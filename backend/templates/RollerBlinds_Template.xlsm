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filterPrivacy="1"/>
  <bookViews>
    <workbookView xWindow="16635" yWindow="49216" windowWidth="29040" windowHeight="15720" tabRatio="916" firstSheet="11" activeTab="0"/>
  </bookViews>
  <sheets>
    <sheet name="Data" sheetId="8" r:id="rId1"/>
    <sheet name="Job Sheet" sheetId="1" r:id="rId2"/>
    <sheet name="Installation" sheetId="27" r:id="rId3"/>
    <sheet name="Pelmets" sheetId="28" r:id="rId4"/>
    <sheet name="Fabric Cutting" sheetId="13" r:id="rId5"/>
    <sheet name="Tube Cutting" sheetId="14" r:id="rId6"/>
    <sheet name="Assembly(a)" sheetId="15" r:id="rId7"/>
    <sheet name="Assembly(b)" sheetId="17" r:id="rId8"/>
    <sheet name="Bagging" sheetId="19" r:id="rId9"/>
    <sheet name="Tubing" sheetId="29" r:id="rId10"/>
    <sheet name="Electrical Form" sheetId="22" r:id="rId11"/>
    <sheet name="Components" sheetId="23" r:id="rId12"/>
    <sheet name="Upholstered Pelmet Order Form" sheetId="21" r:id="rId13"/>
    <sheet name="Labels" sheetId="9" r:id="rId14"/>
    <sheet name="Deductions" sheetId="10" r:id="rId15"/>
    <sheet name="Component Colour Matching" sheetId="16" r:id="rId16"/>
    <sheet name="Tube Size &amp; Chain Drops" sheetId="11" r:id="rId17"/>
  </sheets>
  <definedNames>
    <definedName name="_xleta.COUNTA" hidden="1">#NAME?</definedName>
    <definedName name="_xleta.FIXED" hidden="1">#NAME?</definedName>
    <definedName name="_xleta.IF" hidden="1">#NAME?</definedName>
    <definedName name="_xleta.IFERROR" hidden="1">#NAME?</definedName>
    <definedName name="_xleta.LEFT" hidden="1">#NAME?</definedName>
    <definedName name="_xleta.N" hidden="1">#NAME?</definedName>
    <definedName name="_xleta.NOT" hidden="1">#NAME?</definedName>
    <definedName name="_xleta.OR" hidden="1">#NAME?</definedName>
    <definedName name="_xleta.RIGHT" hidden="1">#NAME?</definedName>
    <definedName name="_xleta.ROUND" hidden="1">#NAME?</definedName>
    <definedName name="_xleta.SHEET" hidden="1">#NAME?</definedName>
    <definedName name="_xleta.SINGLE" hidden="1">#NAME?</definedName>
    <definedName name="_xleta.T" hidden="1">#NAME?</definedName>
    <definedName name="Acmeda12vDCRFRDrop">'Tube Size &amp; Chain Drops'!$J$27:$J$31</definedName>
    <definedName name="Acmeda12vDCRFRGrid">'Tube Size &amp; Chain Drops'!$K$27:$O$31</definedName>
    <definedName name="Acmeda12vDCRFRWidth">'Tube Size &amp; Chain Drops'!$K$26:$O$26</definedName>
    <definedName name="Acmeda12vRDrop">'Tube Size &amp; Chain Drops'!$J$3:$J$7</definedName>
    <definedName name="Acmeda12vRGrid">'Tube Size &amp; Chain Drops'!$K$3:$Q$7</definedName>
    <definedName name="Acmeda12vRWidth">'Tube Size &amp; Chain Drops'!$K$2:$Q$2</definedName>
    <definedName name="Acmeda240vCBUSRDrop">'Tube Size &amp; Chain Drops'!$J$19:$J$23</definedName>
    <definedName name="Acmeda240vCBUSRGrid">'Tube Size &amp; Chain Drops'!$K$19:$M$23</definedName>
    <definedName name="Acmeda240vCBUSRWidth">'Tube Size &amp; Chain Drops'!$K$18:$M$18</definedName>
    <definedName name="Acmeda240vRDrop">'Tube Size &amp; Chain Drops'!$J$11:$J$15</definedName>
    <definedName name="Acmeda240vRGrid">'Tube Size &amp; Chain Drops'!$K$11:$M$15</definedName>
    <definedName name="Acmeda240vRWidth">'Tube Size &amp; Chain Drops'!$K$10:$M$10</definedName>
    <definedName name="AluminiumPelmets">'Tube Size &amp; Chain Drops'!$G$3:$H$25</definedName>
    <definedName name="BlindFinish">Deductions!$AG$2:$AH$17</definedName>
    <definedName name="Brackets">#REF!</definedName>
    <definedName name="ButtDeduct">Deductions!$Q$3:$R$73</definedName>
    <definedName name="ChainSize" localSheetId="6">'Tube Size &amp; Chain Drops'!$A$4:$B$12</definedName>
    <definedName name="ChainSize" localSheetId="15">'Tube Size &amp; Chain Drops'!$A$4:$B$12</definedName>
    <definedName name="ChainSize">'Tube Size &amp; Chain Drops'!$A$4:$B$12</definedName>
    <definedName name="ColourMatch">'Component Colour Matching'!$A$2:$L$3777</definedName>
    <definedName name="CompanyPkId">Data!$BB$2</definedName>
    <definedName name="ControlDeduct" localSheetId="6">Deductions!$D$2:$G$50</definedName>
    <definedName name="ControlDeduct" localSheetId="15">Deductions!$D$2:$G$50</definedName>
    <definedName name="ControlDeduct">Deductions!$D$2:$G$50</definedName>
    <definedName name="CustName" localSheetId="6">'Assembly(a)'!$F$2</definedName>
    <definedName name="CustName" localSheetId="7">'Assembly(b)'!$H$2</definedName>
    <definedName name="CustName" localSheetId="8">Bagging!$G$2</definedName>
    <definedName name="CustName" localSheetId="2">Installation!$J$2</definedName>
    <definedName name="CustName">'Job Sheet'!$K$2</definedName>
    <definedName name="CustOrdOpt" localSheetId="6">Data!$CE$10:$CK$43</definedName>
    <definedName name="CustOrdOpt" localSheetId="15">Data!$CE$10:$CK$43</definedName>
    <definedName name="CustOrdOpt">Data!$CE$10:$CK$381</definedName>
    <definedName name="DataSettings">Data!$A$5:$F$25</definedName>
    <definedName name="FCONTROL">Deductions!$BU$3:$BV$47</definedName>
    <definedName name="FDBRACKET">Deductions!$BW$3:$BX$83</definedName>
    <definedName name="FDeduct">Deductions!$CA$3:$CB$54</definedName>
    <definedName name="FFITTING">Deductions!$BS$3:$BT$14</definedName>
    <definedName name="FGRADING">Deductions!$BM$3:$BN$13</definedName>
    <definedName name="FHEIGHT">Deductions!$BK$3:$BL$13</definedName>
    <definedName name="FitDeduct" localSheetId="6">Deductions!$A$2:$B$7</definedName>
    <definedName name="FitDeduct" localSheetId="15">Deductions!$A$2:$B$7</definedName>
    <definedName name="FitDeduct">Deductions!$A$2:$B$7</definedName>
    <definedName name="FPELMET">Deductions!$BY$3:$BZ$26</definedName>
    <definedName name="FSURFACE">Deductions!$BQ$3:$BR$18</definedName>
    <definedName name="FTAKEDOWN">Deductions!$BO$3:$BP$6</definedName>
    <definedName name="HelperSpring">'Tube Size &amp; Chain Drops'!$D$16:$E$29</definedName>
    <definedName name="InventoryGroup">Data!$BA$1</definedName>
    <definedName name="JobPickLastRow">Data!$BA$2</definedName>
    <definedName name="Linkdeduct" localSheetId="6">Deductions!$I$2:$J$27</definedName>
    <definedName name="Linkdeduct" localSheetId="15">Deductions!$I$2:$J$27</definedName>
    <definedName name="Linkdeduct">Deductions!$I$2:$J$27</definedName>
    <definedName name="MotorLookUp">Deductions!$BG$3:$BH$49</definedName>
    <definedName name="PackingProcedure">Tubing!$K$3:$L$6</definedName>
    <definedName name="Pelmetadd">Deductions!$AY$3:$AZ$10</definedName>
    <definedName name="PelmetBrackets">'Tube Size &amp; Chain Drops'!$G$28:$H$32</definedName>
    <definedName name="PelmetBuy">Deductions!$BD$3:$BE$52</definedName>
    <definedName name="PelmetDeduct" localSheetId="6">Deductions!$W$2:$AE$3234</definedName>
    <definedName name="PelmetDeduct" localSheetId="15">Deductions!$W$2:$AE$3234</definedName>
    <definedName name="PelmetDeduct">Deductions!$W$2:$AE$3234</definedName>
    <definedName name="_xlnm.Print_Area" localSheetId="6">'Assembly(a)'!$A$1:$J$20</definedName>
    <definedName name="_xlnm.Print_Area" localSheetId="7">'Assembly(b)'!$A$1:$P$20</definedName>
    <definedName name="_xlnm.Print_Area" localSheetId="8">Bagging!$A$1:$O$20</definedName>
    <definedName name="_xlnm.Print_Area" localSheetId="10">'Electrical Form'!$A$1:$M$20</definedName>
    <definedName name="_xlnm.Print_Area" localSheetId="4">'Fabric Cutting'!$A$1:$R$20</definedName>
    <definedName name="_xlnm.Print_Area" localSheetId="2">Installation!$A$1:$V$20</definedName>
    <definedName name="_xlnm.Print_Area" localSheetId="1">'Job Sheet'!$A$1:$AO$20</definedName>
    <definedName name="_xlnm.Print_Area" localSheetId="3">Pelmets!$A$1:$O$20</definedName>
    <definedName name="_xlnm.Print_Area" localSheetId="5">'Tube Cutting'!$A$1:$Q$20</definedName>
    <definedName name="_xlnm.Print_Area" localSheetId="9">Tubing!$A$1:$I$20</definedName>
    <definedName name="_xlnm.Print_Area" localSheetId="12">'Upholstered Pelmet Order Form'!$A$1:$O$17</definedName>
    <definedName name="_xlnm.Print_Titles" localSheetId="6">'Assembly(a)'!$1:$10</definedName>
    <definedName name="_xlnm.Print_Titles" localSheetId="7">'Assembly(b)'!$1:$10</definedName>
    <definedName name="_xlnm.Print_Titles" localSheetId="8">Bagging!$1:$10</definedName>
    <definedName name="_xlnm.Print_Titles" localSheetId="2">Installation!$1:$10</definedName>
    <definedName name="_xlnm.Print_Titles" localSheetId="1">'Job Sheet'!$1:$10</definedName>
    <definedName name="RightColumn">Data!$BA$3</definedName>
    <definedName name="SideDeduct" localSheetId="6">Deductions!$L$3:$M$42</definedName>
    <definedName name="SideDeduct" localSheetId="15">Deductions!$L$3:$M$42</definedName>
    <definedName name="SideDeduct">Deductions!$L$3:$M$42</definedName>
    <definedName name="SideGuideLocks">'Tube Size &amp; Chain Drops'!$G$36:$H$41</definedName>
    <definedName name="Spring">'Tube Size &amp; Chain Drops'!$A$49:$B$54</definedName>
    <definedName name="TimberLath">'Tube Size &amp; Chain Drops'!$A$32:$B$47</definedName>
    <definedName name="TubeDropAllowance">Deductions!$AJ$3:$AK$21</definedName>
    <definedName name="TubeLinkRef">Deductions!$AP$3:$AW$228</definedName>
    <definedName name="UserPkId">Data!$AV$3</definedName>
  </definedNames>
  <calcPr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<sst xmlns="http://schemas.openxmlformats.org/spreadsheetml/2006/main" count="42336" uniqueCount="3231">
  <si>
    <t>This should be in column AX</t>
  </si>
  <si>
    <t>InventoryGroup</t>
  </si>
  <si>
    <t>ROLL</t>
  </si>
  <si>
    <t>This should be in column BG</t>
  </si>
  <si>
    <t>LastRow</t>
  </si>
  <si>
    <t>3c5ee578-b561-4f43-9b35-495bb6956c01</t>
  </si>
  <si>
    <t>b64c1b45-c18e-4895-b2a0-91897d2591d2</t>
  </si>
  <si>
    <t>RightColumn</t>
  </si>
  <si>
    <t>W</t>
  </si>
  <si>
    <t>PkId</t>
  </si>
  <si>
    <t>CustomerPkId</t>
  </si>
  <si>
    <t>Descn</t>
  </si>
  <si>
    <t>DateDoc</t>
  </si>
  <si>
    <t>AcceptedDate</t>
  </si>
  <si>
    <t>FollowUpDate</t>
  </si>
  <si>
    <t>InvoicedDate</t>
  </si>
  <si>
    <t>RefNo</t>
  </si>
  <si>
    <t>Revision</t>
  </si>
  <si>
    <t>Customer.Code</t>
  </si>
  <si>
    <t>Customer.Descn</t>
  </si>
  <si>
    <t>Notes</t>
  </si>
  <si>
    <t>Contact.AddUnitNo</t>
  </si>
  <si>
    <t>Contact.AddNo</t>
  </si>
  <si>
    <t>Contact.AddBuilding</t>
  </si>
  <si>
    <t>Contact.AddStreet</t>
  </si>
  <si>
    <t>Contact.AddStType</t>
  </si>
  <si>
    <t>Contact.AddSuburb</t>
  </si>
  <si>
    <t>Contact.AddState</t>
  </si>
  <si>
    <t>Contact.AddPCode</t>
  </si>
  <si>
    <t>Contact.AddCountry</t>
  </si>
  <si>
    <t>LastPwkCopyNo</t>
  </si>
  <si>
    <t>Contact.Email</t>
  </si>
  <si>
    <t>Contact.DirectPhone</t>
  </si>
  <si>
    <t>Contact.Mobile</t>
  </si>
  <si>
    <t>Contact.PhOtherDescn1</t>
  </si>
  <si>
    <t>Contact.PhoneOther1</t>
  </si>
  <si>
    <t>Contact.PhOtherDescn2</t>
  </si>
  <si>
    <t>Contact.PhoneOther2</t>
  </si>
  <si>
    <t>Branch.Descn</t>
  </si>
  <si>
    <t>Branch.AddressLine1</t>
  </si>
  <si>
    <t>Branch.AddressLine2</t>
  </si>
  <si>
    <t>Branch.DirectPhone</t>
  </si>
  <si>
    <t>Branch.Fax</t>
  </si>
  <si>
    <t>Branch.Email</t>
  </si>
  <si>
    <t>SalesRepresentative.Descn</t>
  </si>
  <si>
    <t>SalesRepresentative.Mobile</t>
  </si>
  <si>
    <t>Customer.InvoiceMessage</t>
  </si>
  <si>
    <t>Billing.AddUnitNo</t>
  </si>
  <si>
    <t>Billing.AddNo</t>
  </si>
  <si>
    <t>Billing.AddBuilding</t>
  </si>
  <si>
    <t>Billing.AddStreet</t>
  </si>
  <si>
    <t>Billing.AddStType</t>
  </si>
  <si>
    <t>Billing.AddSuburb</t>
  </si>
  <si>
    <t>Billing.AddState</t>
  </si>
  <si>
    <t>Billing.AddPCode</t>
  </si>
  <si>
    <t>Billing.AddCountry</t>
  </si>
  <si>
    <t>BranchMarkupPer</t>
  </si>
  <si>
    <t>RepresentativeMarkupPer</t>
  </si>
  <si>
    <t>Billing.Title</t>
  </si>
  <si>
    <t>Billing.FirstName</t>
  </si>
  <si>
    <t>Billing.LastName</t>
  </si>
  <si>
    <t>Contact.Title</t>
  </si>
  <si>
    <t>Contact.FirstName</t>
  </si>
  <si>
    <t>Contact.LastName</t>
  </si>
  <si>
    <t>Customer.CustomerGroup.Descn</t>
  </si>
  <si>
    <t>Billing.DirectPhone</t>
  </si>
  <si>
    <t>Billing.Mobile</t>
  </si>
  <si>
    <t>Billing.PhOtherDescn1</t>
  </si>
  <si>
    <t>Billing.PhoneOther1</t>
  </si>
  <si>
    <t>Billing.PhOtherDescn2</t>
  </si>
  <si>
    <t>Billing.PhoneOther2</t>
  </si>
  <si>
    <t>User.Name</t>
  </si>
  <si>
    <t>Deposits</t>
  </si>
  <si>
    <t>Amt</t>
  </si>
  <si>
    <t>SalesRepresentative.Email</t>
  </si>
  <si>
    <t>Billing.Email</t>
  </si>
  <si>
    <t>InvoiceDeliveryStatus</t>
  </si>
  <si>
    <t>Current</t>
  </si>
  <si>
    <t>30Days</t>
  </si>
  <si>
    <t>60Days</t>
  </si>
  <si>
    <t>90Days</t>
  </si>
  <si>
    <t>AmtIncTax</t>
  </si>
  <si>
    <t>AcceptedByUser.Name</t>
  </si>
  <si>
    <t>Installer</t>
  </si>
  <si>
    <t>Flag</t>
  </si>
  <si>
    <t>Is Rework / Remake</t>
  </si>
  <si>
    <t>Customer.Warning</t>
  </si>
  <si>
    <t>Customer.WarningColour</t>
  </si>
  <si>
    <t>DATASETTINGS</t>
  </si>
  <si>
    <t>Sheet Name</t>
  </si>
  <si>
    <t>First Row</t>
  </si>
  <si>
    <t>Last Row</t>
  </si>
  <si>
    <t>Right Column</t>
  </si>
  <si>
    <t>Include in PDF</t>
  </si>
  <si>
    <t>No of Copy in PDF</t>
  </si>
  <si>
    <t>Job Sheet</t>
  </si>
  <si>
    <t>Installation</t>
  </si>
  <si>
    <t>V</t>
  </si>
  <si>
    <t>Pelmets</t>
  </si>
  <si>
    <t>Q</t>
  </si>
  <si>
    <t>Fabric Cutting</t>
  </si>
  <si>
    <t>FixedLine</t>
  </si>
  <si>
    <t>InventoryGroup.Descn</t>
  </si>
  <si>
    <t>Qty</t>
  </si>
  <si>
    <t>ItemWidth</t>
  </si>
  <si>
    <t>ItemHeight</t>
  </si>
  <si>
    <t>Inventory.Code</t>
  </si>
  <si>
    <t>Inventory.Descn</t>
  </si>
  <si>
    <t>Production.DateSched</t>
  </si>
  <si>
    <t>DiscPer</t>
  </si>
  <si>
    <t>Tax</t>
  </si>
  <si>
    <t>RRP</t>
  </si>
  <si>
    <t>DiscountAmt</t>
  </si>
  <si>
    <t>UnitCost</t>
  </si>
  <si>
    <t>Production.ProductionLine.Descn</t>
  </si>
  <si>
    <t>Inventory.Material</t>
  </si>
  <si>
    <t>Inventory.MaterialType</t>
  </si>
  <si>
    <t>Inventory.Colour</t>
  </si>
  <si>
    <t>Supplier</t>
  </si>
  <si>
    <t>Supp Prod Code</t>
  </si>
  <si>
    <t>Supp Prod Descn</t>
  </si>
  <si>
    <t>Fabric Width</t>
  </si>
  <si>
    <t>CustVar1 (PackSize)</t>
  </si>
  <si>
    <t>CustVar2 (PackOpt)</t>
  </si>
  <si>
    <t>CustVar3 (PackType)</t>
  </si>
  <si>
    <t>OrderItemPkId | Descn</t>
  </si>
  <si>
    <t>OrderItemPkId</t>
  </si>
  <si>
    <t>StrValue</t>
  </si>
  <si>
    <t>Tube Cutting</t>
  </si>
  <si>
    <t>Assembly(a)</t>
  </si>
  <si>
    <t>J</t>
  </si>
  <si>
    <t>Assembly(b)</t>
  </si>
  <si>
    <t>P</t>
  </si>
  <si>
    <t>Bagging</t>
  </si>
  <si>
    <t>M</t>
  </si>
  <si>
    <t>Electrical Form</t>
  </si>
  <si>
    <t>Upholstered Pelmet Order Form</t>
  </si>
  <si>
    <t>O</t>
  </si>
  <si>
    <t>Components</t>
  </si>
  <si>
    <t>Labels</t>
  </si>
  <si>
    <t>K</t>
  </si>
  <si>
    <t>Deductions</t>
  </si>
  <si>
    <t>A</t>
  </si>
  <si>
    <t>Tube Size &amp; Chain Drops</t>
  </si>
  <si>
    <t>Component Colour Matching</t>
  </si>
  <si>
    <t>ROLLER BLINDS Job Sheet</t>
  </si>
  <si>
    <t>JOB SHEET</t>
  </si>
  <si>
    <t>Customer Name</t>
  </si>
  <si>
    <t>Special Instructions</t>
  </si>
  <si>
    <t>Order #</t>
  </si>
  <si>
    <t>Customer Order Ref:</t>
  </si>
  <si>
    <t>REVISION:</t>
  </si>
  <si>
    <t>Job required</t>
  </si>
  <si>
    <t>ORDER REC'D:</t>
  </si>
  <si>
    <t>Delivery Address</t>
  </si>
  <si>
    <t>Authority to leave</t>
  </si>
  <si>
    <t>JRB Delivery Notes</t>
  </si>
  <si>
    <t>email</t>
  </si>
  <si>
    <t>Phone Number</t>
  </si>
  <si>
    <t>Sticker No.</t>
  </si>
  <si>
    <t>Location</t>
  </si>
  <si>
    <t>Entered Width</t>
  </si>
  <si>
    <t>Dual</t>
  </si>
  <si>
    <t>Sizes</t>
  </si>
  <si>
    <t>Additional Deductions</t>
  </si>
  <si>
    <t>Blind Width</t>
  </si>
  <si>
    <t>Blind Drop</t>
  </si>
  <si>
    <t>Fabric Type &amp; Colour</t>
  </si>
  <si>
    <t>Fit</t>
  </si>
  <si>
    <t>Fixing</t>
  </si>
  <si>
    <t>Control</t>
  </si>
  <si>
    <t>Control Side</t>
  </si>
  <si>
    <t>Motor Extras</t>
  </si>
  <si>
    <t>Fabric Direction</t>
  </si>
  <si>
    <t>Chain</t>
  </si>
  <si>
    <t>Chain Length</t>
  </si>
  <si>
    <t>Remote Control</t>
  </si>
  <si>
    <t>Bottom Trim</t>
  </si>
  <si>
    <t>Blind/Rail Finish</t>
  </si>
  <si>
    <t>Bracket</t>
  </si>
  <si>
    <t>Component Colour</t>
  </si>
  <si>
    <t>Linked</t>
  </si>
  <si>
    <t>Linked Blinds over 2700mm Wide</t>
  </si>
  <si>
    <t>Linked Layout Code</t>
  </si>
  <si>
    <t>Braid/Fringe Colours</t>
  </si>
  <si>
    <t>Pelmet or Cassette Type</t>
  </si>
  <si>
    <t>Colour</t>
  </si>
  <si>
    <t>Pelmet Add to Width</t>
  </si>
  <si>
    <t>Pelmet Shape</t>
  </si>
  <si>
    <t>Pelmet Face Size</t>
  </si>
  <si>
    <t>Pelmet Returns</t>
  </si>
  <si>
    <t>Pelmet Return Size</t>
  </si>
  <si>
    <t>Headboard Size(mm)</t>
  </si>
  <si>
    <t>Pelmet Piping</t>
  </si>
  <si>
    <t>Installation Deliver or Supply Only</t>
  </si>
  <si>
    <t>Installation Height off Ground</t>
  </si>
  <si>
    <t>Installation Difficulty Grading</t>
  </si>
  <si>
    <t>Take Downs</t>
  </si>
  <si>
    <t>Product Requires Check Measure</t>
  </si>
  <si>
    <t>Comment</t>
  </si>
  <si>
    <t>Stock Fabric?</t>
  </si>
  <si>
    <t>Motor Tails / Batteries</t>
  </si>
  <si>
    <t>Helper Spring</t>
  </si>
  <si>
    <t>Tube</t>
  </si>
  <si>
    <t>Tube Length</t>
  </si>
  <si>
    <t>B/Rail Length</t>
  </si>
  <si>
    <t>Fabric Drop</t>
  </si>
  <si>
    <t>Pelmet or Cassette Width</t>
  </si>
  <si>
    <t>Pelmet or Fascia Brackets</t>
  </si>
  <si>
    <t>Pelmet or Fascia End Caps</t>
  </si>
  <si>
    <t>Bottom Rail Colour</t>
  </si>
  <si>
    <t>Bracket Colour</t>
  </si>
  <si>
    <t>Chain Colour</t>
  </si>
  <si>
    <t>Pelmet Buying</t>
  </si>
  <si>
    <t>ROLLER BLINDS Installation</t>
  </si>
  <si>
    <t>Installers</t>
  </si>
  <si>
    <t>Minutes</t>
  </si>
  <si>
    <t>Measured Width</t>
  </si>
  <si>
    <t>Measured Drop</t>
  </si>
  <si>
    <t>Measured Size</t>
  </si>
  <si>
    <t>Blind Making Width</t>
  </si>
  <si>
    <t>Blind Making Drop</t>
  </si>
  <si>
    <t xml:space="preserve"> Minutes Allowed</t>
  </si>
  <si>
    <t>ROLLER BLINDS Pelmet Assembly &amp; Packing</t>
  </si>
  <si>
    <t>Pelmet or Cassette Colour</t>
  </si>
  <si>
    <t>Pelmet End Caps</t>
  </si>
  <si>
    <t>Fabric Covered Valance End Cap Colour</t>
  </si>
  <si>
    <t>Side Guide Funnel Sets &amp; Screws</t>
  </si>
  <si>
    <t>Side Guide Bottom Caps &amp; Screws</t>
  </si>
  <si>
    <t>Side Guide Ears</t>
  </si>
  <si>
    <t>Side Guide Locks</t>
  </si>
  <si>
    <t>Sign</t>
  </si>
  <si>
    <t xml:space="preserve">ROLLER BLIND Fabric Cutting </t>
  </si>
  <si>
    <t>Skin Width</t>
  </si>
  <si>
    <t>Skin Drop</t>
  </si>
  <si>
    <t>Top &amp; Tail</t>
  </si>
  <si>
    <t>Cutting Order</t>
  </si>
  <si>
    <t>Fabric Required</t>
  </si>
  <si>
    <t>Cotton Colour</t>
  </si>
  <si>
    <t xml:space="preserve">Fabric Width Valance </t>
  </si>
  <si>
    <t xml:space="preserve">Fabric Drop Valance </t>
  </si>
  <si>
    <t xml:space="preserve">ROLLER BLINDS Tube Cutting </t>
  </si>
  <si>
    <t xml:space="preserve">Tube </t>
  </si>
  <si>
    <t>Lath</t>
  </si>
  <si>
    <t>B/Rail Weight Bar</t>
  </si>
  <si>
    <t>Pelmet or Back Cassette Length</t>
  </si>
  <si>
    <t xml:space="preserve"> Fascia or Cassette Cover  Length</t>
  </si>
  <si>
    <t>Side Channel Length</t>
  </si>
  <si>
    <t>Mounting Rail</t>
  </si>
  <si>
    <t>ROLLER BLINDS Assembly (a)</t>
  </si>
  <si>
    <t>Sticker</t>
  </si>
  <si>
    <t>Centre Measurement</t>
  </si>
  <si>
    <t>ROLLER BLINDS Assembly (b)</t>
  </si>
  <si>
    <t>Hairspray</t>
  </si>
  <si>
    <t>Test</t>
  </si>
  <si>
    <t>ROLLER BLINDS Bagging</t>
  </si>
  <si>
    <t>Safety Tag &amp; Chain Safe</t>
  </si>
  <si>
    <t>12v Motor Covers</t>
  </si>
  <si>
    <t>Control Option</t>
  </si>
  <si>
    <t>Motor Tails / Batterys</t>
  </si>
  <si>
    <t>Pelmets &amp; Parts</t>
  </si>
  <si>
    <t>Blind total</t>
  </si>
  <si>
    <t>Criteria</t>
  </si>
  <si>
    <t>Procedure</t>
  </si>
  <si>
    <t>Brax</t>
  </si>
  <si>
    <t>Deliver</t>
  </si>
  <si>
    <t>B</t>
  </si>
  <si>
    <t>W/Sale Deliver</t>
  </si>
  <si>
    <t>C</t>
  </si>
  <si>
    <t>Authority to Leave</t>
  </si>
  <si>
    <t>Contact</t>
  </si>
  <si>
    <t>Email</t>
  </si>
  <si>
    <t>Tube No.</t>
  </si>
  <si>
    <t>Blinds in Tube</t>
  </si>
  <si>
    <t>Length (cm)</t>
  </si>
  <si>
    <t>Width (cm)</t>
  </si>
  <si>
    <t>Height (cm)</t>
  </si>
  <si>
    <t>Weight (kg)</t>
  </si>
  <si>
    <t>Packing Type</t>
  </si>
  <si>
    <t>Electrician Required</t>
  </si>
  <si>
    <t>Product</t>
  </si>
  <si>
    <t>Control Type</t>
  </si>
  <si>
    <t>Controller</t>
  </si>
  <si>
    <t>Receiver</t>
  </si>
  <si>
    <t>House Construction</t>
  </si>
  <si>
    <t>Roof Style</t>
  </si>
  <si>
    <t>Switchboard Upgrade</t>
  </si>
  <si>
    <t>Number of Storeys</t>
  </si>
  <si>
    <t>2009 130 124 0</t>
  </si>
  <si>
    <t>2020 130 156 0</t>
  </si>
  <si>
    <t>molexconnection</t>
  </si>
  <si>
    <t>MT03-0103-069004</t>
  </si>
  <si>
    <t>MT03-0103-069005</t>
  </si>
  <si>
    <t>MTCRDR-35-S45</t>
  </si>
  <si>
    <t>RB56-0138-050508</t>
  </si>
  <si>
    <t>RB56-0105-050502</t>
  </si>
  <si>
    <t>RB40-1402-069400</t>
  </si>
  <si>
    <t>RB56-0711-069519</t>
  </si>
  <si>
    <t>RB40-1402-069401</t>
  </si>
  <si>
    <t>RB56-0711-050509</t>
  </si>
  <si>
    <t>RB56-0136-050508</t>
  </si>
  <si>
    <t>RB56-0701-069518</t>
  </si>
  <si>
    <t>RB56-0701-050508</t>
  </si>
  <si>
    <t>RB56-0701-069508</t>
  </si>
  <si>
    <t>RB40-0234-050401</t>
  </si>
  <si>
    <t>RB40-0205-050401</t>
  </si>
  <si>
    <t>RB56-0236-050501</t>
  </si>
  <si>
    <t>RB56-0238-050501</t>
  </si>
  <si>
    <t>RB56-0205-050511</t>
  </si>
  <si>
    <t>RB56-0711-050501</t>
  </si>
  <si>
    <t>RB56-0706-050050</t>
  </si>
  <si>
    <t>RB56-0752-025050</t>
  </si>
  <si>
    <t>RB40-0134-050406</t>
  </si>
  <si>
    <t>RB40-0105-050406</t>
  </si>
  <si>
    <t>RB56-0105-050506</t>
  </si>
  <si>
    <t>RB56-0136-050506</t>
  </si>
  <si>
    <t>RB56-7103-069060</t>
  </si>
  <si>
    <t>MT02-0401-067001</t>
  </si>
  <si>
    <t>MT03-0302-067001</t>
  </si>
  <si>
    <t>MT03-0301-069007</t>
  </si>
  <si>
    <t>MTDCB-CHARGE-AU</t>
  </si>
  <si>
    <t>MT03-0305-000001</t>
  </si>
  <si>
    <t>MT03-0301-411005</t>
  </si>
  <si>
    <t>MT03-0502-077001</t>
  </si>
  <si>
    <t>MT03-0502-059001</t>
  </si>
  <si>
    <t>MT02-0101-067004</t>
  </si>
  <si>
    <t>MT02-0101-050004</t>
  </si>
  <si>
    <t>MT02-0101-067008</t>
  </si>
  <si>
    <t>MT02-0101-050008</t>
  </si>
  <si>
    <t>MTRF-WS-1C</t>
  </si>
  <si>
    <t>MTRF-WS-2C</t>
  </si>
  <si>
    <t>MTRF-WS5-FLUSH</t>
  </si>
  <si>
    <t>MTRF-WS-15</t>
  </si>
  <si>
    <t>4034 000 920 0</t>
  </si>
  <si>
    <t>4034 000 920 1</t>
  </si>
  <si>
    <t>4034 000 921 0</t>
  </si>
  <si>
    <t>4034 000 921 1</t>
  </si>
  <si>
    <t>4034 000 922 0</t>
  </si>
  <si>
    <t>4034 000 922 1</t>
  </si>
  <si>
    <t>4034 000 908 0</t>
  </si>
  <si>
    <t>4034 000 909</t>
  </si>
  <si>
    <t>Job Tracking Action</t>
  </si>
  <si>
    <t>Dispatch Action</t>
  </si>
  <si>
    <t>Dispatch Date</t>
  </si>
  <si>
    <t>Quote No.</t>
  </si>
  <si>
    <t>Line No</t>
  </si>
  <si>
    <t>Order Item Code</t>
  </si>
  <si>
    <t>Business Name</t>
  </si>
  <si>
    <t>Quote Ref</t>
  </si>
  <si>
    <t>Fabric</t>
  </si>
  <si>
    <t>Fabric Sqm</t>
  </si>
  <si>
    <t>38mm Tube</t>
  </si>
  <si>
    <t>43mm Tube</t>
  </si>
  <si>
    <t>43mm Heavy Duty Tube</t>
  </si>
  <si>
    <t>60mm Tube</t>
  </si>
  <si>
    <t>80mm Tube</t>
  </si>
  <si>
    <t>D30 Bottom Rail Anodised Silver</t>
  </si>
  <si>
    <t>D30 Bottom Rail White</t>
  </si>
  <si>
    <t>D30 Bottom Rail Black</t>
  </si>
  <si>
    <t>D30 Bottom Rail Sandstone</t>
  </si>
  <si>
    <t>D30 Bottom Rail Bone</t>
  </si>
  <si>
    <t>D30 Bottom Rail End Caps Anodised Silver</t>
  </si>
  <si>
    <t>D30 Bottom Rail End Caps White</t>
  </si>
  <si>
    <t>D30 Bottom Rail End Caps Black</t>
  </si>
  <si>
    <t>D30 Bottom Rail End Caps Sandstone</t>
  </si>
  <si>
    <t>D30 Bottom Rail End Caps Bone</t>
  </si>
  <si>
    <t>Weight Bar</t>
  </si>
  <si>
    <t>Pelmet 95 Anodised</t>
  </si>
  <si>
    <t>Pelmet 95 White</t>
  </si>
  <si>
    <t>Pelmet 95 Black</t>
  </si>
  <si>
    <t>Pelmet 95 Cream</t>
  </si>
  <si>
    <t>CF90 Cassette Back Black</t>
  </si>
  <si>
    <t>CF90 Cassette Back White</t>
  </si>
  <si>
    <t>CF90 Cassette Back Cream</t>
  </si>
  <si>
    <t>CF90 Cassette Back Anodised Silver</t>
  </si>
  <si>
    <t>CF90 Cassette Square Front White</t>
  </si>
  <si>
    <t>CF90 Cassette Square Front Black</t>
  </si>
  <si>
    <t>CF90 Cassette Square Front Cream</t>
  </si>
  <si>
    <t>CF90 Cassette Square Front Anodised Silver</t>
  </si>
  <si>
    <t>CF90 Cassette Round Front White</t>
  </si>
  <si>
    <t>CF90 Cassette Round Front Black</t>
  </si>
  <si>
    <t>CF90 Cassette Round Front Cream</t>
  </si>
  <si>
    <t>CF90 Cassette Round Front Anodised Silver</t>
  </si>
  <si>
    <t>CF90 Cassette Side Guide White</t>
  </si>
  <si>
    <t>CF90 Cassette Side Guide Black</t>
  </si>
  <si>
    <t>CF90 Cassette Side Guide Cream</t>
  </si>
  <si>
    <t>CF90 Cassette Side Guide Anodised Silver</t>
  </si>
  <si>
    <t>38mm Chain Winder White</t>
  </si>
  <si>
    <t>38mm Chain Winder Black</t>
  </si>
  <si>
    <t>38mm Chain Winder Birch White</t>
  </si>
  <si>
    <t>38mm Chain Winder Grey</t>
  </si>
  <si>
    <t>38mm Chain Winder Barley</t>
  </si>
  <si>
    <t>38mm Fixed Guide Chain Winder White</t>
  </si>
  <si>
    <t>38mm Fixed Guide Chain Winder Black</t>
  </si>
  <si>
    <t>38mm Fixed Guide Chain Winder Birch White</t>
  </si>
  <si>
    <t>38mm Fixed Guide Chain Winder Grey</t>
  </si>
  <si>
    <t>38mm Fixed Guide Chain Winder Beige</t>
  </si>
  <si>
    <t>43mm Chain Winder White</t>
  </si>
  <si>
    <t>43mm Chain Winder Black</t>
  </si>
  <si>
    <t>43mm Chain Winder Birch White</t>
  </si>
  <si>
    <t>43mm Chain Winder Grey</t>
  </si>
  <si>
    <t>43mm Chain Winder Beige</t>
  </si>
  <si>
    <t>43mm Fixed Guide Chain Winder White</t>
  </si>
  <si>
    <t>43mm Fixed Guide Chain Winder Black</t>
  </si>
  <si>
    <t>43mm Fixed Guide Chain Winder Birch White</t>
  </si>
  <si>
    <t>43mm Fixed Guide Chain Winder Grey</t>
  </si>
  <si>
    <t>43mm Fixed Guide Chain Winder Beige</t>
  </si>
  <si>
    <t>43mm Idles White</t>
  </si>
  <si>
    <t>43mm Idles Black</t>
  </si>
  <si>
    <t>43mm Idles Birch White</t>
  </si>
  <si>
    <t>43mm Idles Grey</t>
  </si>
  <si>
    <t>43mm Idles Barley</t>
  </si>
  <si>
    <t>40mm Bracket White</t>
  </si>
  <si>
    <t>40mm Bracket Black</t>
  </si>
  <si>
    <t>40mm Bracket Birch White</t>
  </si>
  <si>
    <t>40mm Bracket Grey</t>
  </si>
  <si>
    <t>40mm Bracket Barley</t>
  </si>
  <si>
    <t>55mm Bracket White</t>
  </si>
  <si>
    <t>55mm Bracket Black</t>
  </si>
  <si>
    <t>55mm Bracket Birch White</t>
  </si>
  <si>
    <t>55mm Bracket Grey</t>
  </si>
  <si>
    <t>55mm Bracket Beige</t>
  </si>
  <si>
    <t>40mm Motor Bracket White</t>
  </si>
  <si>
    <t>40mm Motor Bracket Black</t>
  </si>
  <si>
    <t>55mm Motor Bracket White</t>
  </si>
  <si>
    <t>55mm Motor Bracket Black</t>
  </si>
  <si>
    <t>40mm Bracket Cover White</t>
  </si>
  <si>
    <t>40mm Bracket Cover Black</t>
  </si>
  <si>
    <t>40mm Bracket Cover Birch White</t>
  </si>
  <si>
    <t>40mm Bracket Cover Grey</t>
  </si>
  <si>
    <t>40mm Bracket Cover Beige</t>
  </si>
  <si>
    <t>55mm Bracket Cover White</t>
  </si>
  <si>
    <t>55mm Bracket Cover Black</t>
  </si>
  <si>
    <t>55mm Bracket Cover Birch White</t>
  </si>
  <si>
    <t>55mm Bracket Cover Grey</t>
  </si>
  <si>
    <t>55mm Bracket Cover Beige</t>
  </si>
  <si>
    <t>Dual Slimline Opposite Side Bracket White</t>
  </si>
  <si>
    <t>Dual Slimline Opposite Side Bracket Black</t>
  </si>
  <si>
    <t>Dual Slimline Opposite Side Bracket Birch White</t>
  </si>
  <si>
    <t>Dual Slimline Opposite Side Bracket Grey</t>
  </si>
  <si>
    <t>Dual Slimline Opposite Side Bracket Beige</t>
  </si>
  <si>
    <t>Dual Same Side Bracket White</t>
  </si>
  <si>
    <t>Dual Same Side Bracket Black</t>
  </si>
  <si>
    <t>Dual Same Side Bracket Birch White</t>
  </si>
  <si>
    <t>Dual Same Side Bracket Grey</t>
  </si>
  <si>
    <t>Dual Same Side Bracket Beige</t>
  </si>
  <si>
    <t>Dual Slimline Top Front LHS Bracket White</t>
  </si>
  <si>
    <t>Dual Slimline Top Front RHS Bracket White</t>
  </si>
  <si>
    <t>Dual Slimline Top Front LHS Bracket Black</t>
  </si>
  <si>
    <t>Dual Slimline Top Front RHS Bracket Black</t>
  </si>
  <si>
    <t>Dual Slimline Top Front LHS Bracket Birch White</t>
  </si>
  <si>
    <t>Dual Slimline Top Front RHS Bracket Birch White</t>
  </si>
  <si>
    <t>Dual Slimline Top Front LHS Bracket Grey</t>
  </si>
  <si>
    <t>Dual Slimline Top Front RHS Bracket Grey</t>
  </si>
  <si>
    <t>Dual Slimline Top Front LHS Bracket Beige</t>
  </si>
  <si>
    <t>Dual Slimline Top Front RHS Bracket Beige</t>
  </si>
  <si>
    <t>Dual Slimline Top Back LHS Bracket White</t>
  </si>
  <si>
    <t>Dual Slimline Top Back RHS Bracket White</t>
  </si>
  <si>
    <t>Dual Slimline Top Back LHS Bracket Black</t>
  </si>
  <si>
    <t>Dual Slimline Top Back RHS Bracket Black</t>
  </si>
  <si>
    <t>Dual Slimline Top Back LHS Bracket Birch White</t>
  </si>
  <si>
    <t>Dual Slimline Top Back RHS Bracket Birch White</t>
  </si>
  <si>
    <t>Dual Slimline Top Back LHS Bracket Grey</t>
  </si>
  <si>
    <t>Dual Slimline Top Back RHS Bracket Grey</t>
  </si>
  <si>
    <t>Dual Slimline Top Back LHS Bracket Beige</t>
  </si>
  <si>
    <t>Dual Slimline Top Back RHS Bracket Beige</t>
  </si>
  <si>
    <t>40mm Link Bracket White</t>
  </si>
  <si>
    <t>40mm Link Bracket Black</t>
  </si>
  <si>
    <t>40mm Link Bracket Birch White</t>
  </si>
  <si>
    <t>40mm Link Bracket Grey</t>
  </si>
  <si>
    <t>40mm Link Bracket Beige</t>
  </si>
  <si>
    <t>55mm Link Bracket White</t>
  </si>
  <si>
    <t>55mm Link Bracket Black</t>
  </si>
  <si>
    <t>55mm Link Bracket Birch White</t>
  </si>
  <si>
    <t>55mm Link Bracket Grey</t>
  </si>
  <si>
    <t>55mm Link Bracket Beige</t>
  </si>
  <si>
    <t>Dual Same Side Link Bracket White</t>
  </si>
  <si>
    <t>Dual Same Side Link Bracket Black</t>
  </si>
  <si>
    <t>Dual Same Side Link Bracket Birch White</t>
  </si>
  <si>
    <t>Dual Same Side Link Bracket Grey</t>
  </si>
  <si>
    <t>Dual Same Side Link Bracket Beige</t>
  </si>
  <si>
    <t>Dual Slimline Linked Top Blind Front Roll White</t>
  </si>
  <si>
    <t>Dual Slimline Linked Top Blind Front Roll Black</t>
  </si>
  <si>
    <t>Dual Slimline Linked Top Blind Front Roll Birch White</t>
  </si>
  <si>
    <t>Dual Slimline Linked Top Blind Front Roll Grey</t>
  </si>
  <si>
    <t>Dual Slimline Linked Top Blind Front Roll Beige</t>
  </si>
  <si>
    <t>Dual Slimline Linked Top Blind Back Roll White</t>
  </si>
  <si>
    <t>Dual Slimline Linked Top Blind Back Roll Black</t>
  </si>
  <si>
    <t>Dual Slimline Linked Top Blind Back Roll Birch White</t>
  </si>
  <si>
    <t>Dual Slimline Linked Top Blind Back Roll Grey</t>
  </si>
  <si>
    <t>Dual Slimline Linked Top Blind Back Roll Beige</t>
  </si>
  <si>
    <t>50cm Metal Chain</t>
  </si>
  <si>
    <t>75cm Metal Chain</t>
  </si>
  <si>
    <t>100cm Metal Chain</t>
  </si>
  <si>
    <t>125cm Metal Chain</t>
  </si>
  <si>
    <t>150cm Metal Chain</t>
  </si>
  <si>
    <t>175cm Metal Chain</t>
  </si>
  <si>
    <t>200cm Metal Chain</t>
  </si>
  <si>
    <t>225cm Metal Chain</t>
  </si>
  <si>
    <t>250cm Metal Chain</t>
  </si>
  <si>
    <t>275cm Metal Chain</t>
  </si>
  <si>
    <t>300cm Metal Chain</t>
  </si>
  <si>
    <t>325cm Metal Chain</t>
  </si>
  <si>
    <t>350cm Metal Chain</t>
  </si>
  <si>
    <t>375cm Metal Chain</t>
  </si>
  <si>
    <t>400cm Metal Chain</t>
  </si>
  <si>
    <t>50cm White Chain</t>
  </si>
  <si>
    <t>75cm White Chain</t>
  </si>
  <si>
    <t>100cm White Chain</t>
  </si>
  <si>
    <t>125cm White Chain</t>
  </si>
  <si>
    <t>150cm White Chain</t>
  </si>
  <si>
    <t>175cm White Chain</t>
  </si>
  <si>
    <t>200cm White Chain</t>
  </si>
  <si>
    <t>225cm White Chain</t>
  </si>
  <si>
    <t>250cm White Chain</t>
  </si>
  <si>
    <t>275cm White Chain</t>
  </si>
  <si>
    <t>300cm White Chain</t>
  </si>
  <si>
    <t>325cm White Chain</t>
  </si>
  <si>
    <t>350cm White Chain</t>
  </si>
  <si>
    <t>375cm White Chain</t>
  </si>
  <si>
    <t>400cm White Chain</t>
  </si>
  <si>
    <t>50cm Black Chain</t>
  </si>
  <si>
    <t>75cm Black Chain</t>
  </si>
  <si>
    <t>100cm Black Chain</t>
  </si>
  <si>
    <t>125cm Black Chain</t>
  </si>
  <si>
    <t>150cm Black Chain</t>
  </si>
  <si>
    <t>175cm Black Chain</t>
  </si>
  <si>
    <t>200cm Black Chain</t>
  </si>
  <si>
    <t>225cm Black Chain</t>
  </si>
  <si>
    <t>250cm Black Chain</t>
  </si>
  <si>
    <t>275cm Black Chain</t>
  </si>
  <si>
    <t>300cm Black Chain</t>
  </si>
  <si>
    <t>325cm Black Chain</t>
  </si>
  <si>
    <t>350cm Black Chain</t>
  </si>
  <si>
    <t>375cm Black Chain</t>
  </si>
  <si>
    <t>400cm Black Chain</t>
  </si>
  <si>
    <t>50cm Cream Chain</t>
  </si>
  <si>
    <t>75cm Cream Chain</t>
  </si>
  <si>
    <t>100cm Cream Chain</t>
  </si>
  <si>
    <t>125cm Cream Chain</t>
  </si>
  <si>
    <t>150cm Cream Chain</t>
  </si>
  <si>
    <t>175cm Cream Chain</t>
  </si>
  <si>
    <t>200cm Cream Chain</t>
  </si>
  <si>
    <t>225cm Cream Chain</t>
  </si>
  <si>
    <t>250cm Cream Chain</t>
  </si>
  <si>
    <t>275cm Cream Chain</t>
  </si>
  <si>
    <t>300cm Cream Chain</t>
  </si>
  <si>
    <t>325cm Cream Chain</t>
  </si>
  <si>
    <t>350cm Cream Chain</t>
  </si>
  <si>
    <t>375cm Cream Chain</t>
  </si>
  <si>
    <t>400cm Cream Chain</t>
  </si>
  <si>
    <t>50cm Grey Chain</t>
  </si>
  <si>
    <t>75cm Grey Chain</t>
  </si>
  <si>
    <t>100cm Grey Chain</t>
  </si>
  <si>
    <t>125cm Grey Chain</t>
  </si>
  <si>
    <t>150cm Grey Chain</t>
  </si>
  <si>
    <t>175cm Grey Chain</t>
  </si>
  <si>
    <t>200cm Grey Chain</t>
  </si>
  <si>
    <t>225cm Grey Chain</t>
  </si>
  <si>
    <t>250cm Grey Chain</t>
  </si>
  <si>
    <t>275cm Grey Chain</t>
  </si>
  <si>
    <t>300cm Grey Chain</t>
  </si>
  <si>
    <t>325cm Grey Chain</t>
  </si>
  <si>
    <t>350cm Grey Chain</t>
  </si>
  <si>
    <t>375cm Grey Chain</t>
  </si>
  <si>
    <t>400cm Grey Chain</t>
  </si>
  <si>
    <t>50cm Beige Chain</t>
  </si>
  <si>
    <t>75cm Beige Chain</t>
  </si>
  <si>
    <t>100cm Beige Chain</t>
  </si>
  <si>
    <t>125cm Beige Chain</t>
  </si>
  <si>
    <t>150cm Beige Chain</t>
  </si>
  <si>
    <t>175cm Beige Chain</t>
  </si>
  <si>
    <t>200cm Beige Chain</t>
  </si>
  <si>
    <t>225cm Beige Chain</t>
  </si>
  <si>
    <t>250cm Beige Chain</t>
  </si>
  <si>
    <t>275cm Beige Chain</t>
  </si>
  <si>
    <t>300cm Beige Chain</t>
  </si>
  <si>
    <t>325cm Beige Chain</t>
  </si>
  <si>
    <t>350cm Beige Chain</t>
  </si>
  <si>
    <t>375cm Beige Chain</t>
  </si>
  <si>
    <t>400cm Beige Chain</t>
  </si>
  <si>
    <t>50cm Stainless Steel Chain</t>
  </si>
  <si>
    <t>75cm Stainless Steel Chain</t>
  </si>
  <si>
    <t>100cm Stainless Steel Chain</t>
  </si>
  <si>
    <t>125cm Stainless Steel Chain</t>
  </si>
  <si>
    <t>150cm Stainless Steel Chain</t>
  </si>
  <si>
    <t>175cm Stainless Steel Chain</t>
  </si>
  <si>
    <t>200cm Stainless Steel Chain</t>
  </si>
  <si>
    <t>225cm Stainless Steel Chain</t>
  </si>
  <si>
    <t>250cm Stainless Steel Chain</t>
  </si>
  <si>
    <t>275cm Stainless Steel Chain</t>
  </si>
  <si>
    <t>300cm Stainless Steel Chain</t>
  </si>
  <si>
    <t>325cm Stainless Steel Chain</t>
  </si>
  <si>
    <t>350cm Stainless Steel Chain</t>
  </si>
  <si>
    <t>375cm Stainless Steel Chain</t>
  </si>
  <si>
    <t>400cm Stainless Steel Chain</t>
  </si>
  <si>
    <t>43mm Heavy Duty Helper Springs LHS</t>
  </si>
  <si>
    <t>43mm Heavy Duty Helper Springs RHS</t>
  </si>
  <si>
    <t>60mm Heavy Duty Helper Springs LHS</t>
  </si>
  <si>
    <t>60mm Heavy Duty Helper Springs RHS</t>
  </si>
  <si>
    <t>43mm Female Link White</t>
  </si>
  <si>
    <t>43mm Female Link Black</t>
  </si>
  <si>
    <t>43mm Male Link White</t>
  </si>
  <si>
    <t>43mm Male Link Black</t>
  </si>
  <si>
    <t>60mm Female Link White</t>
  </si>
  <si>
    <t>60mm Female Link Black</t>
  </si>
  <si>
    <t>60mm Male Link White</t>
  </si>
  <si>
    <t>60mm Male Link Black</t>
  </si>
  <si>
    <t>38mm Senior Spring</t>
  </si>
  <si>
    <t>38mm Junior Spring</t>
  </si>
  <si>
    <t>15mm Spline</t>
  </si>
  <si>
    <t>Metal Pull Ring Silver</t>
  </si>
  <si>
    <t>Metal Pull Ring Gold</t>
  </si>
  <si>
    <t>60mm Chain Winder White</t>
  </si>
  <si>
    <t>60mm Chain Winder Black</t>
  </si>
  <si>
    <t>60mm Idle White</t>
  </si>
  <si>
    <t>60mm Idle Black</t>
  </si>
  <si>
    <t>60mm Tube Adaptor White</t>
  </si>
  <si>
    <t>60mm Tube Adaptor Black</t>
  </si>
  <si>
    <t>60mm Chain Winder Bracket White</t>
  </si>
  <si>
    <t>60mm Chain Winder Bracket Black</t>
  </si>
  <si>
    <t>60mm Idle Bracket White</t>
  </si>
  <si>
    <t>60mm Idle Bracket Black</t>
  </si>
  <si>
    <t>Chain Safe</t>
  </si>
  <si>
    <t>Stopper Balls</t>
  </si>
  <si>
    <t>Acmeda E6 Motor</t>
  </si>
  <si>
    <t>Acmeda M6 Motor</t>
  </si>
  <si>
    <t>Acmeda 0.7nm 12v Motor</t>
  </si>
  <si>
    <t>Acmeda 1.1nm 12v Motor</t>
  </si>
  <si>
    <t>Acmeda 2nm 12v Motor</t>
  </si>
  <si>
    <t>Acmeda 6nm 12v Motor</t>
  </si>
  <si>
    <t>Acmeda 10nm 12v Motor</t>
  </si>
  <si>
    <t>Acmeda FT 15Nm Motor</t>
  </si>
  <si>
    <t>Acmeda 1.1nm 12v DCRF Motor</t>
  </si>
  <si>
    <t>Acmeda 2nm 12v DCRF Motor</t>
  </si>
  <si>
    <t>Sonesse 40 RTS 3/30 with Inline Connector Motor</t>
  </si>
  <si>
    <t>Sonesse 40 WT 3/30 with Inline Connector Motor</t>
  </si>
  <si>
    <t>Somfy 12v Remote Sonesse Motor</t>
  </si>
  <si>
    <t>Sonesse 50 RTS 6/17 RH Motor</t>
  </si>
  <si>
    <t>Sonesse 50 WT 10/28 Motor</t>
  </si>
  <si>
    <t>Becker P4-30-C12A Motor</t>
  </si>
  <si>
    <t>Becker cBus Motor</t>
  </si>
  <si>
    <t>Becker R20-17-C12A Motor</t>
  </si>
  <si>
    <t>Becker External cBus Motor</t>
  </si>
  <si>
    <t>Becker Molex Connection</t>
  </si>
  <si>
    <t>Acmeda 1.1nm 12v Motor Crown &amp; Drive Kit(43mm)</t>
  </si>
  <si>
    <t>Acmeda 2nm 12v Motor Crown &amp; Drive Kit(43mm)</t>
  </si>
  <si>
    <t>Acmeda 6nm 12v Motor Crown &amp; Drive Kit</t>
  </si>
  <si>
    <t>Acmeda 10nm 12v Motor Crown 60mm Tube</t>
  </si>
  <si>
    <t>Acmeda 10nm 12v Motor Crown 80mm Tube</t>
  </si>
  <si>
    <t>Acmeda 10nm 12v Motor Drive Wheel 60/80mm Tube</t>
  </si>
  <si>
    <t>M40 Universal Disc Adaptor</t>
  </si>
  <si>
    <t>M50 Universal Disc Adaptor</t>
  </si>
  <si>
    <t>Acmeda 6nm Motor Head Plate</t>
  </si>
  <si>
    <t>Automate Motor Head Adaptor</t>
  </si>
  <si>
    <t>Automate 60mm Crown</t>
  </si>
  <si>
    <t>Automate 60mm Drive</t>
  </si>
  <si>
    <t>Acmeda 10nm 12v Motor Adaptor  -White</t>
  </si>
  <si>
    <t>Automate FT Motor Adaptor Set  - Black</t>
  </si>
  <si>
    <t>Automate FT Motor Adaptor Set - White</t>
  </si>
  <si>
    <t>Somfy 43mm 12v Crown &amp; Drive</t>
  </si>
  <si>
    <t>Somfy 40 Crown</t>
  </si>
  <si>
    <t>Somfy 40 Drive</t>
  </si>
  <si>
    <t>Somfy 50 Crown 60mm Tube</t>
  </si>
  <si>
    <t>Somfy50 Crown 80mm Tube</t>
  </si>
  <si>
    <t>Somfy 50 Drive 60mm/80mm Tube</t>
  </si>
  <si>
    <t>M50 Somfy/Becker Motor Head Adaptor Set</t>
  </si>
  <si>
    <t>M50 Somfy Motor Head Adaptor Plate</t>
  </si>
  <si>
    <t>Universal Zamack Bracket</t>
  </si>
  <si>
    <t>Becker 40 Crown</t>
  </si>
  <si>
    <t>Becker 40 Drive</t>
  </si>
  <si>
    <t>Becker M50 Drive Wheel 60mm Tube</t>
  </si>
  <si>
    <t>Becker M50 Crown 60mm Tube</t>
  </si>
  <si>
    <t>Pulse Pro Automation Hub</t>
  </si>
  <si>
    <t>Acmeda Solar Panel</t>
  </si>
  <si>
    <t>Acmeda Charging Cable</t>
  </si>
  <si>
    <t>Acmeda 3nm &amp; 10nm Charging Cable</t>
  </si>
  <si>
    <t>210mm Extension Charging Cable</t>
  </si>
  <si>
    <t>1200mm Extension Charging Cable</t>
  </si>
  <si>
    <t>1 Channel Dry Contact Relay Module</t>
  </si>
  <si>
    <t>USB Repeater</t>
  </si>
  <si>
    <t>Acmeda External Battery for DCRF Motors</t>
  </si>
  <si>
    <t>Acmeda Power Panel for DCRF Motors</t>
  </si>
  <si>
    <t>12v Motor Covers White</t>
  </si>
  <si>
    <t>12v Motor Covers Black</t>
  </si>
  <si>
    <t>Acmeda 1 Channel White Remote</t>
  </si>
  <si>
    <t>Acmeda 1 Channel Black Remote</t>
  </si>
  <si>
    <t>Acmeda 5 Channel White Remote</t>
  </si>
  <si>
    <t>Acmeda 5 Channel Black Remote</t>
  </si>
  <si>
    <t>Acmeda 15 Channel White Remote</t>
  </si>
  <si>
    <t>Acmeda 15 Channel Black Remote</t>
  </si>
  <si>
    <t>Acmeda Wall Mounted Single Channel White Remote</t>
  </si>
  <si>
    <t>Acmeda Wall Mounted 2 Channel White Remote</t>
  </si>
  <si>
    <t>Acmeda Wall Mounted 5 Channel White Remote</t>
  </si>
  <si>
    <t>Acmeda Wall Mounted 15 Channel White Remote</t>
  </si>
  <si>
    <t>Acmeda Push Pro White Remote</t>
  </si>
  <si>
    <t>Acmeda Push Pro Black Remote</t>
  </si>
  <si>
    <t>Acmeda Push Pro Charging Cable</t>
  </si>
  <si>
    <t>Acmeda Wall Block</t>
  </si>
  <si>
    <t>Somfy Single Channel White Remote</t>
  </si>
  <si>
    <t>Somfy Single Channel Silver Remote</t>
  </si>
  <si>
    <t>Somfy 2 Channel White Remote</t>
  </si>
  <si>
    <t>Somfy 2 Channel Silver Remote</t>
  </si>
  <si>
    <t>Somfy 5 Channel White Remote</t>
  </si>
  <si>
    <t>Somfy 5 Channel Silver Remote</t>
  </si>
  <si>
    <t>Somfy 15 Channel White Remote</t>
  </si>
  <si>
    <t>Somfy 15 Channel Black Remote</t>
  </si>
  <si>
    <t>Somfy Single Channel Wall Mounted Smoove Remote White</t>
  </si>
  <si>
    <t>Somfy 2 Channel Wall Mounted Smoove Remote White</t>
  </si>
  <si>
    <t>Somfy 5 Channel Wall Mounted Smoove Remote White</t>
  </si>
  <si>
    <t>Somfy Wall Mounted Smoove Remote Cover Plate Black</t>
  </si>
  <si>
    <t>Somfy Wall Mounted Smoove Remote Cover Plate Silver</t>
  </si>
  <si>
    <t>Somfy 12v Charger</t>
  </si>
  <si>
    <t>Somfy Connexoon App Connector</t>
  </si>
  <si>
    <t>Becker Single Channel White Remote</t>
  </si>
  <si>
    <t>Becker Single Channel Black Remote</t>
  </si>
  <si>
    <t>Becker 5 Channel White Remote</t>
  </si>
  <si>
    <t>Becker 5 Channel Black Remote</t>
  </si>
  <si>
    <t>Becker 10 Channel White Remote</t>
  </si>
  <si>
    <t>Becker 10 Channel Black Remote</t>
  </si>
  <si>
    <t>Becker Wall Mounted Single Channel White Remote</t>
  </si>
  <si>
    <t>Becker Wall Mounted 5 Channel White Remote</t>
  </si>
  <si>
    <t>Wall Switch</t>
  </si>
  <si>
    <t>CF90 Cassette Sqaure Cover Set - White</t>
  </si>
  <si>
    <t>CF90 Cassette Sqaure Cover Set -  Black</t>
  </si>
  <si>
    <t>CF90 Cassette Sqaure Cover Set - Cream</t>
  </si>
  <si>
    <t>CF90 Cassette Sqaure Cover Set -  Anodised Silver</t>
  </si>
  <si>
    <t>CF90 Cassette Round Cover Set - White</t>
  </si>
  <si>
    <t>CF90 Cassette Round Cover Set - Black</t>
  </si>
  <si>
    <t>CF90 Cassette Round Cover Set - Cream</t>
  </si>
  <si>
    <t>CF90 Cassette Round Cover Set -  Anodised Silver</t>
  </si>
  <si>
    <t>CF90  Cassette End Plate Set</t>
  </si>
  <si>
    <t>Square Cassette Chain Guide - Left</t>
  </si>
  <si>
    <t>Square Cassette Chain Guide - Right</t>
  </si>
  <si>
    <t>Round Cassette Chain Guide - Left</t>
  </si>
  <si>
    <t>Round Cassette Chain Guide - Right</t>
  </si>
  <si>
    <t>Bottom Rail Brsuh</t>
  </si>
  <si>
    <t>CF90  Cassette Side Guide Ears</t>
  </si>
  <si>
    <t>CF90  Cassette Side Guide Locks</t>
  </si>
  <si>
    <t>Cassette Side Guide Funnel White</t>
  </si>
  <si>
    <t>Cassette Side Guide Funnel Black</t>
  </si>
  <si>
    <t>Cassette Side Guide Funnel Cream</t>
  </si>
  <si>
    <t>Cassette Side Guide Funnel Anodised Silver</t>
  </si>
  <si>
    <t>Cassette Side Guide Bottom Cap White</t>
  </si>
  <si>
    <t>Cassette Side Guide Bottom Cap Black</t>
  </si>
  <si>
    <t>Cassette Side Guide Bottom Cap Cream</t>
  </si>
  <si>
    <t>Valance Reveal Bracket</t>
  </si>
  <si>
    <t>Valance Centre Join Bracket</t>
  </si>
  <si>
    <t>Valance End Caps Black</t>
  </si>
  <si>
    <t>Valance End Caps White</t>
  </si>
  <si>
    <t>Valance End Caps Cream</t>
  </si>
  <si>
    <t>Valance End Caps Grey</t>
  </si>
  <si>
    <t>Valance Round Rubber Spline</t>
  </si>
  <si>
    <t>Pelmet 95 End Caps Grey</t>
  </si>
  <si>
    <t>Pelmet 95 End Caps White</t>
  </si>
  <si>
    <t>Pelmet 95 End Caps Black</t>
  </si>
  <si>
    <t>Pelmet 95 End Caps Cream</t>
  </si>
  <si>
    <t>Pelmet 95 Brackets</t>
  </si>
  <si>
    <t>Mounting Rail Brackets</t>
  </si>
  <si>
    <t>Mounting Rail Bracket Screws</t>
  </si>
  <si>
    <t>Pelmet/Valnce Type</t>
  </si>
  <si>
    <t>Pelmet Colour</t>
  </si>
  <si>
    <t>Pelmet Width</t>
  </si>
  <si>
    <t>IBM OBM</t>
  </si>
  <si>
    <t>Face Size(mm)</t>
  </si>
  <si>
    <t>Return Size(mm)</t>
  </si>
  <si>
    <t>Returns</t>
  </si>
  <si>
    <t>Piping</t>
  </si>
  <si>
    <t>Label 1</t>
  </si>
  <si>
    <t>Header</t>
  </si>
  <si>
    <t>Barcode</t>
  </si>
  <si>
    <t>Field 1 - Order Date</t>
  </si>
  <si>
    <t>Field 2 - Order No/Revision/LineNo</t>
  </si>
  <si>
    <t>Order Ref</t>
  </si>
  <si>
    <t>Dimensions</t>
  </si>
  <si>
    <t>Print Qty</t>
  </si>
  <si>
    <t>End Format</t>
  </si>
  <si>
    <t>Deduction</t>
  </si>
  <si>
    <t>Controls</t>
  </si>
  <si>
    <t>Idles</t>
  </si>
  <si>
    <t>Linked Options</t>
  </si>
  <si>
    <t>Additional Deduction</t>
  </si>
  <si>
    <t>Pelmet Type</t>
  </si>
  <si>
    <t>Blind Deduction</t>
  </si>
  <si>
    <t>Pelmet or Cassette Back Deduction</t>
  </si>
  <si>
    <t>Fascia or Cassette Cover Deduction</t>
  </si>
  <si>
    <t>Side Channel Deduction</t>
  </si>
  <si>
    <t>End Caps</t>
  </si>
  <si>
    <t>Brackets</t>
  </si>
  <si>
    <t>Cassette Control Side</t>
  </si>
  <si>
    <t>Blind Finish</t>
  </si>
  <si>
    <t>Allowance</t>
  </si>
  <si>
    <t>Tube Drop Allowance</t>
  </si>
  <si>
    <t>CONTROL</t>
  </si>
  <si>
    <t>LINK</t>
  </si>
  <si>
    <t>Lookup</t>
  </si>
  <si>
    <t>Tube under 500</t>
  </si>
  <si>
    <t>Tube under 2100</t>
  </si>
  <si>
    <t>Tube Under 2430</t>
  </si>
  <si>
    <t>Tube Under 2730</t>
  </si>
  <si>
    <t>Tube over 2729</t>
  </si>
  <si>
    <t>Pelmet add</t>
  </si>
  <si>
    <t>Add</t>
  </si>
  <si>
    <t>Pelmet</t>
  </si>
  <si>
    <t>Buy From</t>
  </si>
  <si>
    <t>Motor</t>
  </si>
  <si>
    <t>Motor Model</t>
  </si>
  <si>
    <t>Installations</t>
  </si>
  <si>
    <t>Face or Reveal</t>
  </si>
  <si>
    <t>Operation</t>
  </si>
  <si>
    <t>Height</t>
  </si>
  <si>
    <t>Grading</t>
  </si>
  <si>
    <t>Fitting Surface</t>
  </si>
  <si>
    <t>Fitting</t>
  </si>
  <si>
    <t>Double Brackets</t>
  </si>
  <si>
    <t>Yes/No</t>
  </si>
  <si>
    <t>Face</t>
  </si>
  <si>
    <t>1.1nm 12v Acmeda DCRF Motor</t>
  </si>
  <si>
    <t>Yes</t>
  </si>
  <si>
    <t>External Battery</t>
  </si>
  <si>
    <t>RHS Blind</t>
  </si>
  <si>
    <t>No</t>
  </si>
  <si>
    <t>Aluminium Pelmet</t>
  </si>
  <si>
    <t>Chain Winder</t>
  </si>
  <si>
    <t>N/A</t>
  </si>
  <si>
    <t>D30 Bottom Rail</t>
  </si>
  <si>
    <t>37mm</t>
  </si>
  <si>
    <t>Left</t>
  </si>
  <si>
    <t>43mm</t>
  </si>
  <si>
    <t>43mm H/D</t>
  </si>
  <si>
    <t>Motor - Female</t>
  </si>
  <si>
    <t>20mm to Each Side</t>
  </si>
  <si>
    <t>None</t>
  </si>
  <si>
    <t>Less than 2.1m</t>
  </si>
  <si>
    <t>Unoccupied Home</t>
  </si>
  <si>
    <t>Timber</t>
  </si>
  <si>
    <t>Single</t>
  </si>
  <si>
    <t>Reveal</t>
  </si>
  <si>
    <t>1.1nm 12v Acmeda Motor</t>
  </si>
  <si>
    <t>LHS Blind</t>
  </si>
  <si>
    <t>Side by Side(Face)</t>
  </si>
  <si>
    <t>HD Chain Winder</t>
  </si>
  <si>
    <t>D30 Silent Bottom Rail</t>
  </si>
  <si>
    <t>38mm</t>
  </si>
  <si>
    <t>LHS Blind Independent Link</t>
  </si>
  <si>
    <t>Motor - Female with Insert</t>
  </si>
  <si>
    <t>20mm to 1 Side Only</t>
  </si>
  <si>
    <t>Straight Upholstered Pelmet</t>
  </si>
  <si>
    <t>Philip Batch</t>
  </si>
  <si>
    <t>1.1nm 12v Acmeda DCRF Motor with External Battery</t>
  </si>
  <si>
    <t>2.1m-2.4m</t>
  </si>
  <si>
    <t>Occupied Home</t>
  </si>
  <si>
    <t>Brick</t>
  </si>
  <si>
    <t>Single with Covers</t>
  </si>
  <si>
    <t>Top Fix</t>
  </si>
  <si>
    <t>0.7nm 12v Acmeda Motor</t>
  </si>
  <si>
    <t>Middle Blind Control on LHS</t>
  </si>
  <si>
    <t>Side by Side(Reveal)</t>
  </si>
  <si>
    <t>Chain Winder 60mm</t>
  </si>
  <si>
    <t>Round Bottom Rail</t>
  </si>
  <si>
    <t>50mm to Each Side</t>
  </si>
  <si>
    <t>Shaped Upholstered Pelmet</t>
  </si>
  <si>
    <t>2.4m-2.7m</t>
  </si>
  <si>
    <t>Office, School and More Difficult Home</t>
  </si>
  <si>
    <t>Concrete</t>
  </si>
  <si>
    <t>Chain Winder Fixed Guide</t>
  </si>
  <si>
    <t>Single Motor Brackets</t>
  </si>
  <si>
    <t>Outside Window Mount</t>
  </si>
  <si>
    <t>2nm 12v Acmeda DCRF Motor</t>
  </si>
  <si>
    <t>Middle Blind Control on RHS</t>
  </si>
  <si>
    <t>Thru</t>
  </si>
  <si>
    <t>Plain Sewn-In Timber Lath</t>
  </si>
  <si>
    <t>Right</t>
  </si>
  <si>
    <t>Female - Motor</t>
  </si>
  <si>
    <t>50mm to 1 Side Only</t>
  </si>
  <si>
    <t>Straight Bonded Pelmet</t>
  </si>
  <si>
    <t>KIWS</t>
  </si>
  <si>
    <t>2.7m-3m</t>
  </si>
  <si>
    <t>Architectural Homes</t>
  </si>
  <si>
    <t>Plaster</t>
  </si>
  <si>
    <t>Inside Window Mount</t>
  </si>
  <si>
    <t>Dual Opposite Side</t>
  </si>
  <si>
    <t>2nm 12v Acmeda Motor</t>
  </si>
  <si>
    <t>Motor RHS</t>
  </si>
  <si>
    <t>Butt</t>
  </si>
  <si>
    <t>Standard Scallop</t>
  </si>
  <si>
    <t>50mm</t>
  </si>
  <si>
    <t>Zipscreen Hooding</t>
  </si>
  <si>
    <t>Custom Powdercoat</t>
  </si>
  <si>
    <t>DBS to Make</t>
  </si>
  <si>
    <t>3m-3.3m</t>
  </si>
  <si>
    <t>Extreme - Consult Installer</t>
  </si>
  <si>
    <t>Steel</t>
  </si>
  <si>
    <t>Spring</t>
  </si>
  <si>
    <t>Dual Same Side</t>
  </si>
  <si>
    <t>Aluminium Valance</t>
  </si>
  <si>
    <t>Acmeda 12v 6nm Motor</t>
  </si>
  <si>
    <t>Motor LHS</t>
  </si>
  <si>
    <t>Linked - HD</t>
  </si>
  <si>
    <t>Wavy Scallop</t>
  </si>
  <si>
    <t>60mm</t>
  </si>
  <si>
    <t>RHS Blind Independent Link</t>
  </si>
  <si>
    <t>Idle - Motor</t>
  </si>
  <si>
    <t>White</t>
  </si>
  <si>
    <t>3.3m-3.6m</t>
  </si>
  <si>
    <t>Easy</t>
  </si>
  <si>
    <t>Aluminium</t>
  </si>
  <si>
    <t>Slimline Dual Top Blind Front Roll LHS Control</t>
  </si>
  <si>
    <t>Aluminium Valance - Fabric Covered</t>
  </si>
  <si>
    <t>Butt Extension Bracket</t>
  </si>
  <si>
    <t>Standard Spring</t>
  </si>
  <si>
    <t>Georgian</t>
  </si>
  <si>
    <t>63mm</t>
  </si>
  <si>
    <t>Over 3.6m</t>
  </si>
  <si>
    <t>Standard</t>
  </si>
  <si>
    <t>Tile</t>
  </si>
  <si>
    <t>Slimline Dual Top Blind Front Roll RHS Control</t>
  </si>
  <si>
    <t>Butt 60mm Bracket</t>
  </si>
  <si>
    <t>Acmeda External 12v Motor</t>
  </si>
  <si>
    <t>Bay - Face Fit (1 End Butting)</t>
  </si>
  <si>
    <t>Small Spring</t>
  </si>
  <si>
    <t>Double Lath</t>
  </si>
  <si>
    <t>Square Cassette</t>
  </si>
  <si>
    <t>Medium</t>
  </si>
  <si>
    <t>Unknown</t>
  </si>
  <si>
    <t>Linked 60mm</t>
  </si>
  <si>
    <t>Slimline Dual Top Blind Back Roll LHS Control</t>
  </si>
  <si>
    <t>Acmeda External Motor</t>
  </si>
  <si>
    <t>Bay - Face Fit (Both Ends Butting)</t>
  </si>
  <si>
    <t>Uniline Spring (Old Style)</t>
  </si>
  <si>
    <t>Bottom Rail in Pocket</t>
  </si>
  <si>
    <t>Square Cassette with Side Channels</t>
  </si>
  <si>
    <t>Acmeda 12v Motor</t>
  </si>
  <si>
    <t>Slimline Dual Top Blind Back Roll RHS Control</t>
  </si>
  <si>
    <t>Face Fit (Recess Deduction)</t>
  </si>
  <si>
    <t>Becker Remote Motor</t>
  </si>
  <si>
    <t>D30 Bottom Rail with Noise Reducing Strip &amp; Fluffy Strip</t>
  </si>
  <si>
    <t>Square Cassette with Side &amp; Bottom Channels</t>
  </si>
  <si>
    <t>Single Extension</t>
  </si>
  <si>
    <t>Becker CBUS Motor</t>
  </si>
  <si>
    <t>Face Fit (Recess Side by Side Deduction)</t>
  </si>
  <si>
    <t>D30 Bottom Rail with Noise Reducing Strip</t>
  </si>
  <si>
    <t>Round Cassette</t>
  </si>
  <si>
    <t>Acmeda CBUS Motor</t>
  </si>
  <si>
    <t>Single Extension with Extension Covers</t>
  </si>
  <si>
    <t>Face Fit (Recess 5mm Deduction)</t>
  </si>
  <si>
    <t>Becker External Remote Motor</t>
  </si>
  <si>
    <t>Round Cassette with Side Channels</t>
  </si>
  <si>
    <t>Acmeda DCRF 12v Motor</t>
  </si>
  <si>
    <t>60mm Tube Single</t>
  </si>
  <si>
    <t>Face Fit (Recess 10mm Deduction)</t>
  </si>
  <si>
    <t>Becker External CBUS Motor</t>
  </si>
  <si>
    <t>Round Cassette with Side &amp; Bottom Channels</t>
  </si>
  <si>
    <t>Recess Fit (No Deduction)</t>
  </si>
  <si>
    <t>Single Extension Linked</t>
  </si>
  <si>
    <t>Side Channels</t>
  </si>
  <si>
    <t>Recess Fit (5mm Deduction)</t>
  </si>
  <si>
    <t>Acmeda Remote Motor</t>
  </si>
  <si>
    <t>Recess Fit (7mm Deduction)</t>
  </si>
  <si>
    <t>Dual Linked</t>
  </si>
  <si>
    <t>Recess Fit (10mm Deduction)</t>
  </si>
  <si>
    <t>Dual Slimline Linked Top Blind Front Roll</t>
  </si>
  <si>
    <t>Recess Fit (15mm Deduction)</t>
  </si>
  <si>
    <t>Black</t>
  </si>
  <si>
    <t>Dual Slimline Linked Top Blind Back Roll</t>
  </si>
  <si>
    <t>Spring N/A</t>
  </si>
  <si>
    <t>Recess Fit (20mm Deduction)</t>
  </si>
  <si>
    <t>Dual Linked 60mm</t>
  </si>
  <si>
    <t>Middle Blind Control on LHS Independent Link</t>
  </si>
  <si>
    <t>1 Blind inside an Existing Aluminium Pelmet</t>
  </si>
  <si>
    <t>45 Degree Linked</t>
  </si>
  <si>
    <t>Middle Blind Control on RHS Independent Link</t>
  </si>
  <si>
    <t>2 Blinds inside an Existing Aluminium Pelmet</t>
  </si>
  <si>
    <t>Somfy Remote Sonesse Motor</t>
  </si>
  <si>
    <t>Somfy CBUS Motor</t>
  </si>
  <si>
    <t>90 Degree Linked</t>
  </si>
  <si>
    <t>Nice CBus Motor</t>
  </si>
  <si>
    <t>N/A.</t>
  </si>
  <si>
    <t>3 Blinds inside an Existing Aluminium Pelmet</t>
  </si>
  <si>
    <t>Somfy External CBUS Motor</t>
  </si>
  <si>
    <t>Slimline Dual Top Blind Front Roll LHS Control &amp; Dual Slimline Linked Top Blind Front Roll</t>
  </si>
  <si>
    <t>Nice Remote Motor</t>
  </si>
  <si>
    <t>1 Blind inside an Existing Cassette</t>
  </si>
  <si>
    <t>Somfy External Remote Motor</t>
  </si>
  <si>
    <t>Slimline Dual Top Blind Front Roll RHS Control &amp; Dual Slimline Linked Top Blind Front Roll</t>
  </si>
  <si>
    <t>2 Blinds inside an Existing Cassette</t>
  </si>
  <si>
    <t>HD Somfy Remote Sonesse Motor</t>
  </si>
  <si>
    <t>Slimline Dual Top Blind Back Roll LHS Control &amp; Dual Slimline Linked Top Blind Front Roll</t>
  </si>
  <si>
    <t>3 Blinds inside an Existing Cassette</t>
  </si>
  <si>
    <t>HD Somfy 12v Remote Sonesse Motor</t>
  </si>
  <si>
    <t>Slimline Dual Top Blind Back Roll RHS Control &amp; Dual Slimline Linked Top Blind Front Roll</t>
  </si>
  <si>
    <t>Outside of Bracket to Outside of Link Bracket</t>
  </si>
  <si>
    <t>HD Somfy CBUS Motor</t>
  </si>
  <si>
    <t>Slimline Dual Top Blind Front Roll LHS Control &amp; Dual Slimline Linked Top Blind Back Roll</t>
  </si>
  <si>
    <t>Outside of Link Bracket to Outside of Link Bracket</t>
  </si>
  <si>
    <t>HD Somfy External CBUS Motor</t>
  </si>
  <si>
    <t>Slimline Dual Top Blind Front Roll RHS Control &amp; Dual Slimline Linked Top Blind Back Roll</t>
  </si>
  <si>
    <t>Outside of Bracket to Centre of Link Bracket</t>
  </si>
  <si>
    <t>Anodised Silver</t>
  </si>
  <si>
    <t>HD Somfy External Remote Motor</t>
  </si>
  <si>
    <t>Slimline Dual Top Blind Back Roll LHS Control &amp; Dual Slimline Linked Top Blind BackRoll</t>
  </si>
  <si>
    <t>Outside of Link Bracket to Centre of Link Bracket</t>
  </si>
  <si>
    <t>Uniline Remote Motor</t>
  </si>
  <si>
    <t>Slimline Dual Top Blind Back Roll RHS Control &amp; Dual Slimline Linked Top Blind Back Roll</t>
  </si>
  <si>
    <t>Inside of Bracket to Inside of Link Bracket</t>
  </si>
  <si>
    <t>Uniline Cbus Motor</t>
  </si>
  <si>
    <t>Sunboss Chain Winder 38mm Tube</t>
  </si>
  <si>
    <t>Single &amp; Single Linked</t>
  </si>
  <si>
    <t>Inside of Link Bracket to Inside of Link Bracket</t>
  </si>
  <si>
    <t>TBS Cbus Motor</t>
  </si>
  <si>
    <t>Single with Covers &amp; Single Linked</t>
  </si>
  <si>
    <t>Thru (Dual Same Side)</t>
  </si>
  <si>
    <t>TBS Remote Motor</t>
  </si>
  <si>
    <t>Single Extension &amp; Single Extension Linked</t>
  </si>
  <si>
    <t>Butt (Dual Same Side)</t>
  </si>
  <si>
    <t>Dual Same Side &amp; Dual Linked</t>
  </si>
  <si>
    <t>Thru (Dual Same Side Slimline)</t>
  </si>
  <si>
    <t>Sunboss Chain Winder 43mm Tube</t>
  </si>
  <si>
    <t>Spring Single</t>
  </si>
  <si>
    <t>Butt (Dual Same Side Slimline)</t>
  </si>
  <si>
    <t>Linked(2 Sets)</t>
  </si>
  <si>
    <t>Thru (Recess Fit, Front Measurement)</t>
  </si>
  <si>
    <t>Single Extension Linked(2 Sets)|OPRLLK</t>
  </si>
  <si>
    <t>Butt (Recess Fit, Front Measurement)</t>
  </si>
  <si>
    <t>Linked 60mm(2 Sets)|OPRLLK</t>
  </si>
  <si>
    <t>Inside of Bracket to Inside of Bracket</t>
  </si>
  <si>
    <t>Cream</t>
  </si>
  <si>
    <t>Dual Linked(2 Sets)|OPRLLK</t>
  </si>
  <si>
    <t>TBS Cbus</t>
  </si>
  <si>
    <t>Dual Slimline Linked Top Blind Back Roll(2 Sets)|OPRLLK</t>
  </si>
  <si>
    <t>Butts Both Ends</t>
  </si>
  <si>
    <t>Dual Slimline Linked Top Blind Front Roll(2 Sets)|OPRLLK</t>
  </si>
  <si>
    <t>Skirting Board Each Side</t>
  </si>
  <si>
    <t>Uniline CBus Motor</t>
  </si>
  <si>
    <t>Dual Linked 60mm(2 Sets)|OPRLLK</t>
  </si>
  <si>
    <t>Skirting Board 1 Side</t>
  </si>
  <si>
    <t>Not Required</t>
  </si>
  <si>
    <t>Motor - 60mm Male</t>
  </si>
  <si>
    <t>60mm Male - Motor</t>
  </si>
  <si>
    <t>Chain Winder - Female</t>
  </si>
  <si>
    <t>Chain Winder - Female with Insert</t>
  </si>
  <si>
    <t>Check</t>
  </si>
  <si>
    <t>Female - Chain Winder</t>
  </si>
  <si>
    <t>Idle - Chain Winder</t>
  </si>
  <si>
    <t>60mm Chain Winder - Male</t>
  </si>
  <si>
    <t>Male - 60mm Chain Winder</t>
  </si>
  <si>
    <t>Idle - Male</t>
  </si>
  <si>
    <t>Male - Female</t>
  </si>
  <si>
    <t>Male - Female with Insert</t>
  </si>
  <si>
    <t>Female - Male</t>
  </si>
  <si>
    <t>Male - Idle</t>
  </si>
  <si>
    <t>60mm Idle - 60mm Female</t>
  </si>
  <si>
    <t>60mm Female - 60mm Male</t>
  </si>
  <si>
    <t>60mm Male - 60mm Female</t>
  </si>
  <si>
    <t>60mm Female - 60mm Idle</t>
  </si>
  <si>
    <t>Too Big</t>
  </si>
  <si>
    <t>B/Rail Colour</t>
  </si>
  <si>
    <t>Braid Colour</t>
  </si>
  <si>
    <t>Motor Covers</t>
  </si>
  <si>
    <t>Cutting Head</t>
  </si>
  <si>
    <t>Stock Fabric</t>
  </si>
  <si>
    <t>Hunter Douglas Plaza Plus Blockout Alpine Haze</t>
  </si>
  <si>
    <t>Match</t>
  </si>
  <si>
    <t>Hunter Douglas Plaza Plus Blockout Caramel</t>
  </si>
  <si>
    <t>Hunter Douglas Plaza Plus Blockout Cargo</t>
  </si>
  <si>
    <t>Hunter Douglas Plaza Plus Blockout Cashew</t>
  </si>
  <si>
    <t>Hunter Douglas Plaza Plus Blockout Clay</t>
  </si>
  <si>
    <t>Hunter Douglas Plaza Plus Blockout Cockatoo</t>
  </si>
  <si>
    <t>Hunter Douglas Plaza Plus Blockout Ebony</t>
  </si>
  <si>
    <t>Hunter Douglas Plaza Plus Blockout Footprint</t>
  </si>
  <si>
    <t>Hunter Douglas Plaza Plus Blockout Gun Metal</t>
  </si>
  <si>
    <t>Hunter Douglas Plaza Plus Blockout Natural</t>
  </si>
  <si>
    <t>Hunter Douglas Plaza Plus Blockout Orchid</t>
  </si>
  <si>
    <t>Hunter Douglas Plaza Plus Blockout Paperbark</t>
  </si>
  <si>
    <t>Hunter Douglas Plaza Plus Blockout Pumice</t>
  </si>
  <si>
    <t>Hunter Douglas Plaza Plus Blockout Royal</t>
  </si>
  <si>
    <t>Hunter Douglas Plaza Plus Blockout Sand</t>
  </si>
  <si>
    <t>Hunter Douglas Plaza Plus Blockout TBA</t>
  </si>
  <si>
    <t>Hunter Douglas Plaza Plus Blockout White</t>
  </si>
  <si>
    <t>Shaw Fabrics Vibe Blockout Alloy</t>
  </si>
  <si>
    <t>Nickel Steel</t>
  </si>
  <si>
    <t>Colour No. 0</t>
  </si>
  <si>
    <t>Shaw Fabrics Vibe Blockout Birch</t>
  </si>
  <si>
    <t>Shaw Fabrics Vibe Blockout Bistro</t>
  </si>
  <si>
    <t>Shaw Fabrics Vibe Blockout Bronze Metallic</t>
  </si>
  <si>
    <t>Shaw Fabrics Vibe Blockout Brulee Metallic</t>
  </si>
  <si>
    <t>Beige</t>
  </si>
  <si>
    <t>Colour No. 5</t>
  </si>
  <si>
    <t>Shaw Fabrics Vibe Blockout Cactus</t>
  </si>
  <si>
    <t>Shaw Fabrics Vibe Blockout Chateau</t>
  </si>
  <si>
    <t>Shaw Fabrics Vibe Blockout Chintz Metallic</t>
  </si>
  <si>
    <t>Shaw Fabrics Vibe Blockout Clay</t>
  </si>
  <si>
    <t>Colour No. 1</t>
  </si>
  <si>
    <t>Shaw Fabrics Vibe Blockout Cloud</t>
  </si>
  <si>
    <t xml:space="preserve">Colour No. 0 </t>
  </si>
  <si>
    <t>Shaw Fabrics Vibe Blockout Coal</t>
  </si>
  <si>
    <t>Colour No. 20</t>
  </si>
  <si>
    <t>Shaw Fabrics Vibe Blockout Coconut</t>
  </si>
  <si>
    <t>Shaw Fabrics Vibe Blockout Cornsilk</t>
  </si>
  <si>
    <t>Shaw Fabrics Vibe Blockout Dune</t>
  </si>
  <si>
    <t>Colour No. 4</t>
  </si>
  <si>
    <t>Shaw Fabrics Vibe Blockout Ice</t>
  </si>
  <si>
    <t>Shaw Fabrics Vibe Blockout Lace</t>
  </si>
  <si>
    <t>Shaw Fabrics Vibe Blockout Lava Metallic</t>
  </si>
  <si>
    <t>Colour No. 81</t>
  </si>
  <si>
    <t>Shaw Fabrics Vibe Blockout Limestone</t>
  </si>
  <si>
    <t>Shaw Fabrics Vibe Blockout Linen</t>
  </si>
  <si>
    <t>Shaw Fabrics Vibe Blockout Loft</t>
  </si>
  <si>
    <t>Birch White</t>
  </si>
  <si>
    <t>Sandstone</t>
  </si>
  <si>
    <t>Shaw Fabrics Vibe Blockout Mercury Metallic</t>
  </si>
  <si>
    <t>Shaw Fabrics Vibe Blockout Mist</t>
  </si>
  <si>
    <t>Shaw Fabrics Vibe Blockout Moon</t>
  </si>
  <si>
    <t>Shaw Fabrics Vibe Blockout Nimbus</t>
  </si>
  <si>
    <t>Shaw Fabrics Vibe Blockout Odessey</t>
  </si>
  <si>
    <t>Shaw Fabrics Vibe Blockout Orient</t>
  </si>
  <si>
    <t>Shaw Fabrics Vibe Blockout Pool</t>
  </si>
  <si>
    <t>Shaw Fabrics Vibe Blockout Porcelain</t>
  </si>
  <si>
    <t>Shaw Fabrics Vibe Blockout Pure</t>
  </si>
  <si>
    <t>Shaw Fabrics Vibe Blockout Spirit</t>
  </si>
  <si>
    <t>Shaw Fabrics Vibe Blockout Starfish</t>
  </si>
  <si>
    <t>Shaw Fabrics Vibe Blockout Stone</t>
  </si>
  <si>
    <t>Shaw Fabrics Vibe Blockout Storm</t>
  </si>
  <si>
    <t>Shaw Fabrics Vibe Blockout Surf</t>
  </si>
  <si>
    <t>Shaw Fabrics Vibe Blockout Syllabub</t>
  </si>
  <si>
    <t>Shaw Fabrics Vibe Blockout TBA</t>
  </si>
  <si>
    <t>Shaw Fabrics Vibe Blockout Terrace</t>
  </si>
  <si>
    <t>Shaw Fabrics Vibe Blockout Tundra</t>
  </si>
  <si>
    <t>Shaw Fabrics Vibe Blockout Umber</t>
  </si>
  <si>
    <t>Shaw Fabrics Vibe Blockout Whisper</t>
  </si>
  <si>
    <t>Texstyle Focus Blockout Ash</t>
  </si>
  <si>
    <t>Grey</t>
  </si>
  <si>
    <t>Texstyle Focus Blockout Chalk</t>
  </si>
  <si>
    <t>Texstyle Focus Blockout Cloud</t>
  </si>
  <si>
    <t>Texstyle Focus Blockout Coal</t>
  </si>
  <si>
    <t>Dark Grey</t>
  </si>
  <si>
    <t>Texstyle Focus Blockout Dove</t>
  </si>
  <si>
    <t>Texstyle Focus Blockout Ebony</t>
  </si>
  <si>
    <t>Texstyle Focus Blockout Espresso</t>
  </si>
  <si>
    <t>Colour No. 16</t>
  </si>
  <si>
    <t>Texstyle Focus Blockout Mist</t>
  </si>
  <si>
    <t>Texstyle Focus Blockout Oyster</t>
  </si>
  <si>
    <t>Texstyle Focus Blockout Shell</t>
  </si>
  <si>
    <t>Bone</t>
  </si>
  <si>
    <t>Texstyle Focus Blockout TBA</t>
  </si>
  <si>
    <t>Texstyle Focus Blockout Tempest</t>
  </si>
  <si>
    <t>Texstyle Focus Blockout White</t>
  </si>
  <si>
    <t>Texstyle Focus Blockout Polar</t>
  </si>
  <si>
    <t>Texstyle Focus Blockout Feather</t>
  </si>
  <si>
    <t>Texstyle Focus Blockout Bay</t>
  </si>
  <si>
    <t>Texstyle Focus Blockout Drift</t>
  </si>
  <si>
    <t>Texstyle Focus Blockout Magnetic</t>
  </si>
  <si>
    <t>Texstyle Focus Blockout Carbon</t>
  </si>
  <si>
    <t>Texstyle Solitaire Blockout Antique White</t>
  </si>
  <si>
    <t>Texstyle Solitaire Blockout Champagne</t>
  </si>
  <si>
    <t>Texstyle Solitaire Blockout Coffee</t>
  </si>
  <si>
    <t>Texstyle Solitaire Blockout Concord</t>
  </si>
  <si>
    <t>Texstyle Solitaire Blockout Granite</t>
  </si>
  <si>
    <t>Texstyle Solitaire Blockout Ironstone</t>
  </si>
  <si>
    <t>Texstyle Solitaire Blockout Onyx</t>
  </si>
  <si>
    <t>Texstyle Solitaire Blockout Peat</t>
  </si>
  <si>
    <t>Texstyle Solitaire Blockout Pepper</t>
  </si>
  <si>
    <t>Texstyle Solitaire Blockout Snow</t>
  </si>
  <si>
    <t>Texstyle Solitaire Blockout TBA</t>
  </si>
  <si>
    <t>Uniline Dawn Blockout Buttermilk</t>
  </si>
  <si>
    <t>Uniline Dawn Blockout Cocca</t>
  </si>
  <si>
    <t>Uniline Dawn Blockout Coffee</t>
  </si>
  <si>
    <t>Uniline Dawn Blockout Frappe</t>
  </si>
  <si>
    <t>Uniline Dawn Blockout Mocca</t>
  </si>
  <si>
    <t>Uniline Dawn Blockout Rapia</t>
  </si>
  <si>
    <t>Uniline Dawn Blockout Sage</t>
  </si>
  <si>
    <t>Uniline Dawn Blockout Seal</t>
  </si>
  <si>
    <t>Uniline Dawn Blockout TBA</t>
  </si>
  <si>
    <t>Uniline Dawn Blockout Titanium</t>
  </si>
  <si>
    <t>Uniline Dawn Blockout Wedgewood</t>
  </si>
  <si>
    <t>Uniline Dawn Mini Blockout Apple Fizz</t>
  </si>
  <si>
    <t>Uniline Dawn Mini Blockout Bubble Gum</t>
  </si>
  <si>
    <t>Uniline Dawn Mini Blockout Fairy Dust</t>
  </si>
  <si>
    <t>Uniline Dawn Mini Blockout Fire Engine</t>
  </si>
  <si>
    <t>Uniline Dawn Mini Blockout Periwinkle</t>
  </si>
  <si>
    <t>Uniline Dawn Mini Blockout Sunshine</t>
  </si>
  <si>
    <t>Uniline Dawn Mini Blockout Surf Safari</t>
  </si>
  <si>
    <t>Uniline Dawn Mini Blockout Tang</t>
  </si>
  <si>
    <t>Uniline Dawn Mini Blockout TBA</t>
  </si>
  <si>
    <t>Uniline Dawn Pearlised Blockout Charcoal</t>
  </si>
  <si>
    <t>Uniline Dawn Pearlised Blockout Fairstar</t>
  </si>
  <si>
    <t>Uniline Dawn Pearlised Blockout Ghost Gum</t>
  </si>
  <si>
    <t>Uniline Dawn Pearlised Blockout Harbour</t>
  </si>
  <si>
    <t>Uniline Dawn Pearlised Blockout Limestone</t>
  </si>
  <si>
    <t>Uniline Dawn Pearlised Blockout Raccoon</t>
  </si>
  <si>
    <t>Uniline Dawn Pearlised Blockout Snow</t>
  </si>
  <si>
    <t>Uniline Dawn Pearlised Blockout TBA</t>
  </si>
  <si>
    <t>Hunter Douglas Zen Blockout TBA</t>
  </si>
  <si>
    <t>Hunter Douglas Zen Blockout Cluster</t>
  </si>
  <si>
    <t>Hunter Douglas Zen Blockout Chi</t>
  </si>
  <si>
    <t>Hunter Douglas Zen Blockout Greyshee</t>
  </si>
  <si>
    <t>Hunter Douglas Zen Blockout Pluto</t>
  </si>
  <si>
    <t>Hunter Douglas Zen Blockout Oxide</t>
  </si>
  <si>
    <t>Hunter Douglas Zen Blockout Metalcon</t>
  </si>
  <si>
    <t>Hunter Douglas Zen Blockout Gravity</t>
  </si>
  <si>
    <t>Hunter Douglas Zen Blockout Stonehenge</t>
  </si>
  <si>
    <t>Hunter Douglas Zen Blockout Bounty</t>
  </si>
  <si>
    <t>Hunter Douglas Zen Blockout Gazing</t>
  </si>
  <si>
    <t>Hunter Douglas Zen Blockout Cashmere</t>
  </si>
  <si>
    <t>Hunter Douglas Zen Blockout Martini</t>
  </si>
  <si>
    <t>Hunter Douglas Zen Blockout Mario</t>
  </si>
  <si>
    <t>Hunter Douglas Zen Blockout Embrace</t>
  </si>
  <si>
    <t>Hunter Douglas Zen Blockout Sahara</t>
  </si>
  <si>
    <t>Hunter Douglas Zen Blockout Illusion</t>
  </si>
  <si>
    <t>Hunter Douglas Zen Blockout Element</t>
  </si>
  <si>
    <t>Hunter Douglas Zen Blockout Zelda</t>
  </si>
  <si>
    <t>Hunter Douglas Zen Blockout Arabica</t>
  </si>
  <si>
    <t>Hunter Douglas Zen Blockout Yen</t>
  </si>
  <si>
    <t>Uniline Sunset Blockout TBA</t>
  </si>
  <si>
    <t>Uniline Sunset Blockout Snow</t>
  </si>
  <si>
    <t>Uniline Sunset Blockout Antique</t>
  </si>
  <si>
    <t>Uniline Sunset Blockout Stone</t>
  </si>
  <si>
    <t>Uniline Sunset Blockout Vanilla</t>
  </si>
  <si>
    <t>Uniline Sunset Blockout Natural</t>
  </si>
  <si>
    <t>Uniline Sunset Blockout Lace</t>
  </si>
  <si>
    <t>Uniline Sunset Blockout Ecru</t>
  </si>
  <si>
    <t>Uniline Sunset Blockout Flax</t>
  </si>
  <si>
    <t>Uniline Sunset Blockout Sahara</t>
  </si>
  <si>
    <t>Uniline Sunset Blockout Cashew</t>
  </si>
  <si>
    <t>Uniline Sunset Blockout Parchment</t>
  </si>
  <si>
    <t>Uniline Sunset Blockout Pepper</t>
  </si>
  <si>
    <t>Uniline Sunset Blockout Bark</t>
  </si>
  <si>
    <t>Uniline Sunset Blockout Bone</t>
  </si>
  <si>
    <t>Uniline Sunset Blockout Beaver</t>
  </si>
  <si>
    <t>Uniline Sunset Blockout Taupe</t>
  </si>
  <si>
    <t>Uniline Sunset Blockout Lava</t>
  </si>
  <si>
    <t>Uniline Sunset Blockout Mushroom</t>
  </si>
  <si>
    <t>Uniline Sunset Blockout Silver</t>
  </si>
  <si>
    <t>Uniline Sunset Blockout Warm Grey</t>
  </si>
  <si>
    <t>Uniline Sunset Blockout Ash Grey</t>
  </si>
  <si>
    <t>Uniline Sunset Blockout Seal</t>
  </si>
  <si>
    <t>Uniline Sunset Blockout Onyx</t>
  </si>
  <si>
    <t>Uniline Dawn Blockout Alabaster</t>
  </si>
  <si>
    <t>Uniline Dawn Blockout Arum</t>
  </si>
  <si>
    <t>Uniline Dawn Blockout Ash Blue</t>
  </si>
  <si>
    <t>Uniline Dawn Blockout Beige</t>
  </si>
  <si>
    <t>Uniline Dawn Blockout Bison</t>
  </si>
  <si>
    <t>Uniline Dawn Blockout Black</t>
  </si>
  <si>
    <t>Uniline Dawn Blockout Cavier</t>
  </si>
  <si>
    <t>Uniline Dawn Blockout Cotton</t>
  </si>
  <si>
    <t>Uniline Dawn Blockout Crane</t>
  </si>
  <si>
    <t>Uniline Dawn Blockout Custom Cream</t>
  </si>
  <si>
    <t>Uniline Dawn Blockout Dark Grey</t>
  </si>
  <si>
    <t>Uniline Dawn Blockout Dune</t>
  </si>
  <si>
    <t>Uniline Dawn Blockout EarthenPewter</t>
  </si>
  <si>
    <t>Uniline Dawn Blockout Grey</t>
  </si>
  <si>
    <t>Uniline Dawn Blockout Light Bison</t>
  </si>
  <si>
    <t>Uniline Dawn Blockout Linen</t>
  </si>
  <si>
    <t>Uniline Dawn Blockout Macchiato</t>
  </si>
  <si>
    <t>Uniline Dawn Blockout Mariah</t>
  </si>
  <si>
    <t>Uniline Dawn Blockout Mid Grey</t>
  </si>
  <si>
    <t>Uniline Dawn Blockout Misty</t>
  </si>
  <si>
    <t>Uniline Dawn Blockout Natural</t>
  </si>
  <si>
    <t>Uniline Dawn Blockout Nutmeg</t>
  </si>
  <si>
    <t>Uniline Dawn Blockout Oyster</t>
  </si>
  <si>
    <t>Uniline Dawn Blockout Pebble</t>
  </si>
  <si>
    <t>Uniline Dawn Blockout Putty</t>
  </si>
  <si>
    <t>Uniline Dawn Blockout Royal Blue</t>
  </si>
  <si>
    <t>Uniline Dawn Blockout Sesame</t>
  </si>
  <si>
    <t>Uniline Dawn Blockout Shale</t>
  </si>
  <si>
    <t>Uniline Dawn Blockout Slate</t>
  </si>
  <si>
    <t>Uniline Dawn Blockout Soft Grey</t>
  </si>
  <si>
    <t>Uniline Dawn Blockout Taupe</t>
  </si>
  <si>
    <t>Uniline Dawn Blockout Warm White</t>
  </si>
  <si>
    <t>Uniline Dawn Blockout White</t>
  </si>
  <si>
    <t>Shaw Fabrics Duo Block 3.0 Aztec</t>
  </si>
  <si>
    <t>Shaw Fabrics Duo Block 3.0 Basalt</t>
  </si>
  <si>
    <t>Shaw Fabrics Duo Block 3.0 Calm</t>
  </si>
  <si>
    <t>Shaw Fabrics Duo Block 3.0 Carbon</t>
  </si>
  <si>
    <t>Shaw Fabrics Duo Block 3.0 Cumulus</t>
  </si>
  <si>
    <t>Shaw Fabrics Duo Block 3.0 Dove</t>
  </si>
  <si>
    <t>Shaw Fabrics Duo Block 3.0 Muse</t>
  </si>
  <si>
    <t>Shaw Fabrics Duo Block 3.0 Nova</t>
  </si>
  <si>
    <t>Shaw Fabrics Duo Block 3.0 Salt</t>
  </si>
  <si>
    <t>Shaw Fabrics Duo Block 3.0 Stella</t>
  </si>
  <si>
    <t>Shaw Fabrics Duo Block 3.0 TBA</t>
  </si>
  <si>
    <t>Louvolite ABC Blockout TBA</t>
  </si>
  <si>
    <t>Louvolite Acacia Blockout TBA</t>
  </si>
  <si>
    <t>Louvolite Acacia Blockout Caraway</t>
  </si>
  <si>
    <t>Louvolite Acacia Blockout Ebony</t>
  </si>
  <si>
    <t>Louvolite Argent Blockout TBA</t>
  </si>
  <si>
    <t>Louvolite Argent Blockout Champagne</t>
  </si>
  <si>
    <t>Louvolite Argent Blockout Copper</t>
  </si>
  <si>
    <t>Louvolite Argent Blockout Gold</t>
  </si>
  <si>
    <t>Wilson Fabrics Aspen Blockout Charcoal</t>
  </si>
  <si>
    <t>Wilson Fabrics Aspen Blockout Mink</t>
  </si>
  <si>
    <t>Wilson Fabrics Aspen Blockout Oyster</t>
  </si>
  <si>
    <t>Wilson Fabrics Aspen Blockout Pewter</t>
  </si>
  <si>
    <t>Wilson Fabrics Aspen Blockout Snow</t>
  </si>
  <si>
    <t>Wilson Fabrics Aspen Blockout Snowgum</t>
  </si>
  <si>
    <t>Wilson Fabrics Aspen Blockout Stone</t>
  </si>
  <si>
    <t>Shaw Fabrics Aventus Sunscreen 5% Charcoal</t>
  </si>
  <si>
    <t>Shaw Fabrics Aventus Sunscreen 5% Charcoal Bronze</t>
  </si>
  <si>
    <t>Shaw Fabrics Aventus Sunscreen 5% Charcoal Denim</t>
  </si>
  <si>
    <t>Shaw Fabrics Aventus Sunscreen 5% Charcoal Grey</t>
  </si>
  <si>
    <t>Shaw Fabrics Aventus Sunscreen 5% Concrete</t>
  </si>
  <si>
    <t>Shaw Fabrics Aventus Sunscreen 5% Domino</t>
  </si>
  <si>
    <t>Shaw Fabrics Aventus Sunscreen 5% Dune Grey</t>
  </si>
  <si>
    <t>Shaw Fabrics Aventus Sunscreen 5% Graphite</t>
  </si>
  <si>
    <t>Shaw Fabrics Aventus Sunscreen 5% Gull</t>
  </si>
  <si>
    <t>Shaw Fabrics Aventus Sunscreen 5% Ice</t>
  </si>
  <si>
    <t>Shaw Fabrics Aventus Sunscreen 5% Pewter</t>
  </si>
  <si>
    <t>Shaw Fabrics Aventus Sunscreen 5% Platinum</t>
  </si>
  <si>
    <t>Shaw Fabrics Aventus Sunscreen 5% TBA</t>
  </si>
  <si>
    <t>Shaw Fabrics Aventus Sunscreen 5% White</t>
  </si>
  <si>
    <t>Shaw Fabrics Aventus Sunscreen 5% White Grey</t>
  </si>
  <si>
    <t>Shaw Fabrics Aventus Sunscreen 5% White Linen</t>
  </si>
  <si>
    <t>Shaw Fabrics Aventus Sunscreen 5% White Stone</t>
  </si>
  <si>
    <t>Shaw Fabrics Aventus Sunscreen 5% Wren</t>
  </si>
  <si>
    <t>Hunter Douglas Avila Blockout TBA</t>
  </si>
  <si>
    <t>Hunter Douglas Avila Blockout Angel</t>
  </si>
  <si>
    <t>Hunter Douglas Avila Blockout White</t>
  </si>
  <si>
    <t>Hunter Douglas Avila Blockout Chalk</t>
  </si>
  <si>
    <t>Hunter Douglas Avila Blockout Canvas</t>
  </si>
  <si>
    <t>Hunter Douglas Avila Blockout Pewter</t>
  </si>
  <si>
    <t>Hunter Douglas Avila Blockout Charcoal</t>
  </si>
  <si>
    <t>Hunter Douglas Avila Blockout Black</t>
  </si>
  <si>
    <t>Hunter Douglas Avila Blockout Vivid</t>
  </si>
  <si>
    <t>Hunter Douglas Avila Blockout Lightning</t>
  </si>
  <si>
    <t>Texstyle Balmoral Blockout Armour</t>
  </si>
  <si>
    <t xml:space="preserve">Nickel Steel </t>
  </si>
  <si>
    <t>Texstyle Balmoral Blockout Birch</t>
  </si>
  <si>
    <t>Texstyle Balmoral Blockout Bourneville</t>
  </si>
  <si>
    <t>Texstyle Balmoral Blockout Chrome</t>
  </si>
  <si>
    <t>Texstyle Balmoral Blockout Concrete</t>
  </si>
  <si>
    <t>Texstyle Balmoral Blockout Dove</t>
  </si>
  <si>
    <t>Texstyle Balmoral Blockout Jet</t>
  </si>
  <si>
    <t>Texstyle Balmoral Blockout Pearl</t>
  </si>
  <si>
    <t>Texstyle Balmoral Blockout Platinum</t>
  </si>
  <si>
    <t>Texstyle Balmoral Blockout Putty</t>
  </si>
  <si>
    <t>Texstyle Balmoral Blockout Pyrite</t>
  </si>
  <si>
    <t>Texstyle Balmoral Blockout Steel</t>
  </si>
  <si>
    <t>Texstyle Balmoral Blockout TBA</t>
  </si>
  <si>
    <t>Texstyle Balmoral Blockout White</t>
  </si>
  <si>
    <t>Hunter Douglas Baltic Plus Blockout TBA</t>
  </si>
  <si>
    <t>Hunter Douglas Baltic Plus Blockout Froth</t>
  </si>
  <si>
    <t>Hunter Douglas Baltic Plus Blockout Shake</t>
  </si>
  <si>
    <t>Hunter Douglas Baltic Plus Blockout Chalk</t>
  </si>
  <si>
    <t>Hunter Douglas Baltic Plus Blockout Losta</t>
  </si>
  <si>
    <t>Hunter Douglas Baltic Plus Blockout Linen</t>
  </si>
  <si>
    <t>Hunter Douglas Baltic Plus Blockout Pumice</t>
  </si>
  <si>
    <t>Hunter Douglas Baltic Plus Blockout Nordic</t>
  </si>
  <si>
    <t>Hunter Douglas Baltic Plus Blockout Cosmos</t>
  </si>
  <si>
    <t>Hunter Douglas Baltic Plus Blockout Nightsky</t>
  </si>
  <si>
    <t>Hunter Douglas Baltic Plus Blockout Oxford</t>
  </si>
  <si>
    <t>Texstyle Barbados Blockout Driftwood</t>
  </si>
  <si>
    <t>Texstyle Barbados Blockout Dune</t>
  </si>
  <si>
    <t>Texstyle Barbados Blockout Paperbark</t>
  </si>
  <si>
    <t>Texstyle Barbados Blockout Pumice</t>
  </si>
  <si>
    <t>Texstyle Barbados Blockout Sand</t>
  </si>
  <si>
    <t>Texstyle Barbados Blockout Surf</t>
  </si>
  <si>
    <t>Texstyle Barbados Blockout TBA</t>
  </si>
  <si>
    <t>Four Families Bauhaus Blockout Dawn</t>
  </si>
  <si>
    <t>Four Families Bauhaus Blockout Dove</t>
  </si>
  <si>
    <t>Four Families Bauhaus Blockout Dusk</t>
  </si>
  <si>
    <t>Four Families Bauhaus Blockout Pepper</t>
  </si>
  <si>
    <t>Four Families Bauhaus Blockout Shell</t>
  </si>
  <si>
    <t>Four Families Bauhaus Blockout Smoke</t>
  </si>
  <si>
    <t>Four Families Bauhaus Blockout TBA</t>
  </si>
  <si>
    <t>Louvolite Bayside Blockout TBA</t>
  </si>
  <si>
    <t>Louvolite Birdsong Blockout Daybreak</t>
  </si>
  <si>
    <t>Louvolite Birdsong Blockout Midnight</t>
  </si>
  <si>
    <t>Louvolite Birdsong Blockout TBA</t>
  </si>
  <si>
    <t>Louvolite Boleyn Blockout TBA</t>
  </si>
  <si>
    <t>Four Families Bond Blockout Ice</t>
  </si>
  <si>
    <t>Four Families Bond Blockout Chalk</t>
  </si>
  <si>
    <t>Four Families Bond Blockout Linen</t>
  </si>
  <si>
    <t>Four Families Bond Blockout Taupe</t>
  </si>
  <si>
    <t>Four Families Bond Blockout Cloud</t>
  </si>
  <si>
    <t>Four Families Bond Blockout Concrete</t>
  </si>
  <si>
    <t>Four Families Bond Blockout Granite</t>
  </si>
  <si>
    <t>Four Families Bond Blockout Charcoal</t>
  </si>
  <si>
    <t>Four Families Bond Blockout TBA</t>
  </si>
  <si>
    <t>Wilson Fabrics Boston II Blockout Charcoal</t>
  </si>
  <si>
    <t>Wilson Fabrics Boston II Blockout Chinchilla</t>
  </si>
  <si>
    <t>Wilson Fabrics Boston II Blockout Dawn</t>
  </si>
  <si>
    <t>Wilson Fabrics Boston II Blockout Grey</t>
  </si>
  <si>
    <t>Wilson Fabrics Boston II Blockout Linen</t>
  </si>
  <si>
    <t>Wilson Fabrics Boston II Blockout Marshmellow</t>
  </si>
  <si>
    <t>Wilson Fabrics Boston II Blockout Mist</t>
  </si>
  <si>
    <t>Wilson Fabrics Boston II Blockout Monument</t>
  </si>
  <si>
    <t>Wilson Fabrics Boston II Blockout Quartz</t>
  </si>
  <si>
    <t>Wilson Fabrics Boston II Blockout Shark</t>
  </si>
  <si>
    <t>Wilson Fabrics Boston II Blockout Silver</t>
  </si>
  <si>
    <t>Wilson Fabrics Boston II Blockout Stone</t>
  </si>
  <si>
    <t>Wilson Fabrics Boston II Blockout TBA</t>
  </si>
  <si>
    <t>Wilson Fabrics Broome Blockout Bone</t>
  </si>
  <si>
    <t>Wilson Fabrics Broome Blockout Buff</t>
  </si>
  <si>
    <t>Wilson Fabrics Broome Blockout Calm Grey</t>
  </si>
  <si>
    <t>Wilson Fabrics Broome Blockout Dove</t>
  </si>
  <si>
    <t>Wilson Fabrics Broome Blockout Egret</t>
  </si>
  <si>
    <t>Wilson Fabrics Broome Blockout Neutral Grey</t>
  </si>
  <si>
    <t>Wilson Fabrics Broome Blockout Onyx</t>
  </si>
  <si>
    <t>Wilson Fabrics Broome Blockout Rhino</t>
  </si>
  <si>
    <t>Wilson Fabrics Broome Blockout Shadow</t>
  </si>
  <si>
    <t>Wilson Fabrics Broome Blockout Silver Fox</t>
  </si>
  <si>
    <t>Wilson Fabrics Broome Blockout TBA</t>
  </si>
  <si>
    <t>Wilson Fabrics Broome II Blockout Bluewash</t>
  </si>
  <si>
    <t>Wilson Fabrics Broome II Blockout Fossil</t>
  </si>
  <si>
    <t>Wilson Fabrics Broome II Blockout Ivory</t>
  </si>
  <si>
    <t>Wilson Fabrics Broome II Blockout Mink</t>
  </si>
  <si>
    <t>Wilson Fabrics Broome II Blockout Monument</t>
  </si>
  <si>
    <t>Wilson Fabrics Broome II Blockout Nomad</t>
  </si>
  <si>
    <t>Wilson Fabrics Broome II Blockout Off White</t>
  </si>
  <si>
    <t>Wilson Fabrics Broome II Blockout Parchment</t>
  </si>
  <si>
    <t>Wilson Fabrics Broome II Blockout Platinum</t>
  </si>
  <si>
    <t>Wilson Fabrics Broome II Blockout Snow</t>
  </si>
  <si>
    <t>Wilson Fabrics Broome II Blockout Stone</t>
  </si>
  <si>
    <t>Wilson Fabrics Broome II Blockout TBA</t>
  </si>
  <si>
    <t>Wilson Fabrics Broome Translucent Bone</t>
  </si>
  <si>
    <t>Wilson Fabrics Broome Translucent Buff</t>
  </si>
  <si>
    <t>Wilson Fabrics Broome Translucent Calm Grey</t>
  </si>
  <si>
    <t>Wilson Fabrics Broome Translucent Dove</t>
  </si>
  <si>
    <t>Wilson Fabrics Broome Translucent Egret</t>
  </si>
  <si>
    <t>Wilson Fabrics Broome Translucent Neutral Grey</t>
  </si>
  <si>
    <t>Wilson Fabrics Broome Translucent Onyx</t>
  </si>
  <si>
    <t>Wilson Fabrics Broome Translucent Rhino</t>
  </si>
  <si>
    <t>Wilson Fabrics Broome Translucent Shadow</t>
  </si>
  <si>
    <t>Wilson Fabrics Broome Translucent Silver Fox</t>
  </si>
  <si>
    <t>Wilson Fabrics Broome Translucent TBA</t>
  </si>
  <si>
    <t>Turnils Collage Bryson Blockout Coconut</t>
  </si>
  <si>
    <t>Turnils Collage Bryson Blockout Natural Linen</t>
  </si>
  <si>
    <t>Turnils Collage Bryson Blockout Savannah</t>
  </si>
  <si>
    <t>Turnils Collage Bryson Blockout Pacific</t>
  </si>
  <si>
    <t>Turnils Collage Bryson Blockout Marrakesh</t>
  </si>
  <si>
    <t>Turnils Collage Bryson Blockout Granite</t>
  </si>
  <si>
    <t>Turnils Collage Bryson Blockout TBA</t>
  </si>
  <si>
    <t>Wilson Fabrics Buxton Blockout Charcoal</t>
  </si>
  <si>
    <t>Wilson Fabrics Buxton Blockout Eggshell</t>
  </si>
  <si>
    <t>Wilson Fabrics Buxton Blockout Granite</t>
  </si>
  <si>
    <t>Wilson Fabrics Buxton Blockout Mink</t>
  </si>
  <si>
    <t>Wilson Fabrics Buxton Blockout Pewter</t>
  </si>
  <si>
    <t>Wilson Fabrics Buxton Blockout Snow</t>
  </si>
  <si>
    <t>Wilson Fabrics Buxton Blockout Snowgum</t>
  </si>
  <si>
    <t>Wilson Fabrics Buxton Blockout Stone</t>
  </si>
  <si>
    <t>Wilson Fabrics Buxton Blockout TBA</t>
  </si>
  <si>
    <t>Louvolite Carnival Blockout Birch</t>
  </si>
  <si>
    <t>Louvolite Carnival Blockout Blossom</t>
  </si>
  <si>
    <t>Louvolite Carnival Blockout Bonbon</t>
  </si>
  <si>
    <t>Louvolite Carnival Blockout Buttercup</t>
  </si>
  <si>
    <t>Louvolite Carnival Blockout Caramel</t>
  </si>
  <si>
    <t>Louvolite Carnival Blockout Chartreuse</t>
  </si>
  <si>
    <t>Louvolite Carnival Blockout Chelsea Red</t>
  </si>
  <si>
    <t>Louvolite Carnival Blockout China White</t>
  </si>
  <si>
    <t>Louvolite Carnival Blockout Claret</t>
  </si>
  <si>
    <t>Louvolite Carnival Blockout Clay</t>
  </si>
  <si>
    <t>Louvolite Carnival Blockout Coral</t>
  </si>
  <si>
    <t>Louvolite Carnival Blockout Cornflour</t>
  </si>
  <si>
    <t>Louvolite Carnival Blockout Cream</t>
  </si>
  <si>
    <t>Louvolite Carnival Blockout Denim</t>
  </si>
  <si>
    <t>Louvolite Carnival Blockout Ecru</t>
  </si>
  <si>
    <t>Louvolite Carnival Blockout Fuschia</t>
  </si>
  <si>
    <t>Louvolite Carnival Blockout Grape</t>
  </si>
  <si>
    <t>Louvolite Carnival Blockout Heather</t>
  </si>
  <si>
    <t>Louvolite Carnival Blockout Hessian</t>
  </si>
  <si>
    <t>Louvolite Carnival Blockout Ivory</t>
  </si>
  <si>
    <t>Louvolite Carnival Blockout Ivy</t>
  </si>
  <si>
    <t>Louvolite Carnival Blockout Kiwi</t>
  </si>
  <si>
    <t>Louvolite Carnival Blockout Lily</t>
  </si>
  <si>
    <t>Louvolite Carnival Blockout Lime</t>
  </si>
  <si>
    <t>Louvolite Carnival Blockout Luna</t>
  </si>
  <si>
    <t>Louvolite Carnival Blockout Maraschino</t>
  </si>
  <si>
    <t>Louvolite Carnival Blockout Mink</t>
  </si>
  <si>
    <t>Louvolite Carnival Blockout Misty Blue</t>
  </si>
  <si>
    <t>Louvolite Carnival Blockout Mulberry</t>
  </si>
  <si>
    <t>Louvolite Carnival Blockout Navy</t>
  </si>
  <si>
    <t>Louvolite Carnival Blockout Ochre</t>
  </si>
  <si>
    <t>Louvolite Carnival Blockout Pacific</t>
  </si>
  <si>
    <t>Louvolite Carnival Blockout Paloma</t>
  </si>
  <si>
    <t>Louvolite Carnival Blockout Papaya</t>
  </si>
  <si>
    <t>Louvolite Carnival Blockout Peony</t>
  </si>
  <si>
    <t>Louvolite Carnival Blockout Pewter</t>
  </si>
  <si>
    <t>Louvolite Carnival Blockout Powder Blue</t>
  </si>
  <si>
    <t>Louvolite Carnival Blockout Praline</t>
  </si>
  <si>
    <t>Louvolite Carnival Blockout Purple</t>
  </si>
  <si>
    <t>Louvolite Carnival Blockout Raven</t>
  </si>
  <si>
    <t>Louvolite Carnival Blockout Royal</t>
  </si>
  <si>
    <t>Louvolite Carnival Blockout Scuba</t>
  </si>
  <si>
    <t>Louvolite Carnival Blockout Sky</t>
  </si>
  <si>
    <t>Louvolite Carnival Blockout Spring Green</t>
  </si>
  <si>
    <t>Louvolite Carnival Blockout Sunset</t>
  </si>
  <si>
    <t>Louvolite Carnival Blockout Taupe</t>
  </si>
  <si>
    <t>Louvolite Carnival Blockout TBA</t>
  </si>
  <si>
    <t>Louvolite Carnival Blockout Truffle</t>
  </si>
  <si>
    <t>Louvolite Carnival Blockout Willow</t>
  </si>
  <si>
    <t>Louvolite Carnival Blockout Dusk</t>
  </si>
  <si>
    <t>Texstyle Cascata Blockout TBA</t>
  </si>
  <si>
    <t>Texstyle Cascata Blockout Ardesia</t>
  </si>
  <si>
    <t>Texstyle Cascata Blockout Avorio</t>
  </si>
  <si>
    <t>Texstyle Cascata Blockout Baltico</t>
  </si>
  <si>
    <t>Texstyle Cascata Blockout Corvo</t>
  </si>
  <si>
    <t>Texstyle Cascata Blockout Mercurio</t>
  </si>
  <si>
    <t>Texstyle Cascata Blockout Neve</t>
  </si>
  <si>
    <t>Texstyle Cascata Blockout Nuvola</t>
  </si>
  <si>
    <t>Texstyle Cascata Blockout Pepe</t>
  </si>
  <si>
    <t>Texstyle Cascata Blockout Grigio</t>
  </si>
  <si>
    <t>Shann Window Fabrics Castille Blockout Black</t>
  </si>
  <si>
    <t>Shann Window Fabrics Castille Blockout Gravel</t>
  </si>
  <si>
    <t>Shann Window Fabrics Castille Blockout Concrete</t>
  </si>
  <si>
    <t>Shann Window Fabrics Castille Blockout Iron</t>
  </si>
  <si>
    <t>Shann Window Fabrics Castille Blockout Battleship</t>
  </si>
  <si>
    <t>Shann Window Fabrics Castille Blockout Ghost</t>
  </si>
  <si>
    <t>Shann Window Fabrics Castille Blockout Snow</t>
  </si>
  <si>
    <t>Shann Window Fabrics Castille Blockout Vanilla</t>
  </si>
  <si>
    <t>Shann Window Fabrics Castille Blockout Wheat</t>
  </si>
  <si>
    <t>Shann Window Fabrics Castille Blockout Paperbark</t>
  </si>
  <si>
    <t>Shann Window Fabrics Castille Blockout Twig</t>
  </si>
  <si>
    <t>Shann Window Fabrics Castille Blockout Earth</t>
  </si>
  <si>
    <t>Shann Window Fabrics Castille Blockout TBA</t>
  </si>
  <si>
    <t>Louvolite Chatsworth Blockout TBA</t>
  </si>
  <si>
    <t>Shaw Fabrics Chatsworth Blockout Aztec</t>
  </si>
  <si>
    <t>Shaw Fabrics Chatsworth Blockout Beluga</t>
  </si>
  <si>
    <t>Shaw Fabrics Chatsworth Blockout Cinnamon</t>
  </si>
  <si>
    <t>Shaw Fabrics Chatsworth Blockout Crystal</t>
  </si>
  <si>
    <t>Shaw Fabrics Chatsworth Blockout Fawn</t>
  </si>
  <si>
    <t>Shaw Fabrics Chatsworth Blockout Ganache</t>
  </si>
  <si>
    <t>Shaw Fabrics Chatsworth Blockout Gemstone</t>
  </si>
  <si>
    <t>Shaw Fabrics Chatsworth Blockout Lunar</t>
  </si>
  <si>
    <t>Shaw Fabrics Chatsworth Blockout Portabello</t>
  </si>
  <si>
    <t>Shaw Fabrics Chatsworth Blockout Rice</t>
  </si>
  <si>
    <t>Shaw Fabrics Chatsworth Blockout Royale</t>
  </si>
  <si>
    <t>Shaw Fabrics Chatsworth Blockout Shimmer</t>
  </si>
  <si>
    <t>Shaw Fabrics Chatsworth Blockout TBA</t>
  </si>
  <si>
    <t>Louvolite Cherry Blossom Blockout  Geisha</t>
  </si>
  <si>
    <t>Louvolite Cherry Blossom Blockout  Kimono</t>
  </si>
  <si>
    <t>Louvolite Cherry Blossom Blockout  Serenity</t>
  </si>
  <si>
    <t>Louvolite Cherry Blossom Blockout  TBA</t>
  </si>
  <si>
    <t>Hunter Douglas Chester Blockout TBA</t>
  </si>
  <si>
    <t>Hunter Douglas Chester Blockout Adobe</t>
  </si>
  <si>
    <t>Hunter Douglas Chester Blockout Scandi</t>
  </si>
  <si>
    <t>Hunter Douglas Chester Blockout Cedar</t>
  </si>
  <si>
    <t>Hunter Douglas Chester Blockout Felt</t>
  </si>
  <si>
    <t>Hunter Douglas Chester Blockout Metro</t>
  </si>
  <si>
    <t>Hunter Douglas Chester Blockout Crude</t>
  </si>
  <si>
    <t>Louvolite Cheviot Blockout TBA</t>
  </si>
  <si>
    <t>Louvolite Cheviot Blockout Quartz</t>
  </si>
  <si>
    <t>Louvolite Cheviot Blockout Glacier</t>
  </si>
  <si>
    <t>Louvolite Cheviot Blockout Stratus</t>
  </si>
  <si>
    <t>Louvolite Cheviot Blockout Harbour</t>
  </si>
  <si>
    <t>Louvolite Cheviot Blockout Pebble</t>
  </si>
  <si>
    <t>Louvolite Chrysanthemum Blockout TBA</t>
  </si>
  <si>
    <t>Louvolite Collina Blockout Antique Gold</t>
  </si>
  <si>
    <t>Louvolite Collina Blockout Champange Fizz</t>
  </si>
  <si>
    <t>Louvolite Collina Blockout Diamond Dust</t>
  </si>
  <si>
    <t>Louvolite Collina Blockout Lily Pad</t>
  </si>
  <si>
    <t>Louvolite Collina Blockout Moonlight Mink</t>
  </si>
  <si>
    <t>Louvolite Collina Blockout TBA</t>
  </si>
  <si>
    <t>Wilson Fabrics Concord Blockout Bone</t>
  </si>
  <si>
    <t>Wilson Fabrics Concord Blockout Charcoal</t>
  </si>
  <si>
    <t>Wilson Fabrics Concord Blockout Cool Grey</t>
  </si>
  <si>
    <t>Wilson Fabrics Concord Blockout Mist</t>
  </si>
  <si>
    <t>Wilson Fabrics Concord Blockout Oyster</t>
  </si>
  <si>
    <t>Wilson Fabrics Concord Blockout Shark</t>
  </si>
  <si>
    <t>Wilson Fabrics Concord Blockout Snow</t>
  </si>
  <si>
    <t>Wilson Fabrics Concord Blockout TBA</t>
  </si>
  <si>
    <t>Wilson Fabrics Concord II Blockout Antique</t>
  </si>
  <si>
    <t>Wilson Fabrics Concord II Blockout Ash</t>
  </si>
  <si>
    <t>Wilson Fabrics Concord II Blockout Concrete</t>
  </si>
  <si>
    <t>Wilson Fabrics Concord II Blockout Ecru</t>
  </si>
  <si>
    <t>Wilson Fabrics Concord II Blockout Egret</t>
  </si>
  <si>
    <t>Wilson Fabrics Concord II Blockout Fog</t>
  </si>
  <si>
    <t>Wilson Fabrics Concord II Blockout Ironbark</t>
  </si>
  <si>
    <t>Wilson Fabrics Concord II Blockout Pebble</t>
  </si>
  <si>
    <t>Wilson Fabrics Concord II Blockout Silver</t>
  </si>
  <si>
    <t>Wilson Fabrics Concord II Blockout Slate</t>
  </si>
  <si>
    <t>Wilson Fabrics Concord II Blockout Stone</t>
  </si>
  <si>
    <t>Wilson Fabrics Concord II Blockout TBA</t>
  </si>
  <si>
    <t>Louvolite Cosmic Dream Blockout TBA</t>
  </si>
  <si>
    <t>Louvolite Crush Blockout Cream</t>
  </si>
  <si>
    <t xml:space="preserve">Louvolite Crush Blockout Neutrals </t>
  </si>
  <si>
    <t>Louvolite Crush Blockout Whisper White</t>
  </si>
  <si>
    <t>Louvolite Crush Blockout TBA</t>
  </si>
  <si>
    <t>Wilson Fabrics Daintree Blockout Charcoal</t>
  </si>
  <si>
    <t>Wilson Fabrics Daintree Blockout Cream</t>
  </si>
  <si>
    <t>Wilson Fabrics Daintree Blockout Granite</t>
  </si>
  <si>
    <t>Wilson Fabrics Daintree Blockout Linen</t>
  </si>
  <si>
    <t>Wilson Fabrics Daintree Blockout Mist</t>
  </si>
  <si>
    <t>Wilson Fabrics Daintree Blockout Pebble</t>
  </si>
  <si>
    <t>Wilson Fabrics Daintree Blockout Silver</t>
  </si>
  <si>
    <t>Wilson Fabrics Daintree Blockout White</t>
  </si>
  <si>
    <t>Wilson Fabrics Daintree Blockout TBA</t>
  </si>
  <si>
    <t>Louvolite Damask B/O Stone</t>
  </si>
  <si>
    <t>Louvolite Denim Blockout TBA</t>
  </si>
  <si>
    <t>Louvolite Dinosaurs Blockout TBA</t>
  </si>
  <si>
    <t>Shaw Fabrics Duo Blockout Aztec</t>
  </si>
  <si>
    <t>Shaw Fabrics Duo Blockout Basalt</t>
  </si>
  <si>
    <t>Shaw Fabrics Duo Blockout Dove</t>
  </si>
  <si>
    <t>Shaw Fabrics Duo Blockout Iron</t>
  </si>
  <si>
    <t>Shaw Fabrics Duo Blockout Nova</t>
  </si>
  <si>
    <t>Shaw Fabrics Duo Blockout Salt</t>
  </si>
  <si>
    <t>Shaw Fabrics Duo Blockout Shadow</t>
  </si>
  <si>
    <t>Shaw Fabrics Duo Blockout Stella</t>
  </si>
  <si>
    <t>Shaw Fabrics Duo Blockout TBA</t>
  </si>
  <si>
    <t>Shaw Fabrics Duo Blockout Tempo</t>
  </si>
  <si>
    <t>Shaw Fabrics Duo Sunscreen Charcoal</t>
  </si>
  <si>
    <t>Shaw Fabrics Duo Sunscreen Charcoal Grey</t>
  </si>
  <si>
    <t>Shaw Fabrics Duo Sunscreen Charcoal Slate</t>
  </si>
  <si>
    <t>Shaw Fabrics Duo Sunscreen Dune Grey</t>
  </si>
  <si>
    <t>Shaw Fabrics Duo Sunscreen TBA</t>
  </si>
  <si>
    <t>Shaw Fabrics Duo Sunscreen White</t>
  </si>
  <si>
    <t>Shaw Fabrics Duo Sunscreen White Grey</t>
  </si>
  <si>
    <t>Shaw Fabrics Duo Sunscreen White Linen</t>
  </si>
  <si>
    <t>Shaw Fabrics Duo Sunscreen White Stone</t>
  </si>
  <si>
    <t>Shaw Fabrics Edge Blockout Alabaster</t>
  </si>
  <si>
    <t>Shaw Fabrics Edge Blockout Ammonite</t>
  </si>
  <si>
    <t>Shaw Fabrics Edge Blockout Bright White</t>
  </si>
  <si>
    <t>Shaw Fabrics Edge Blockout Calico</t>
  </si>
  <si>
    <t>Shaw Fabrics Edge Blockout Charcoal</t>
  </si>
  <si>
    <t>Shaw Fabrics Edge Blockout Ironstone</t>
  </si>
  <si>
    <t>Shaw Fabrics Edge Blockout Pumice</t>
  </si>
  <si>
    <t>Shaw Fabrics Edge Blockout Soft Grey</t>
  </si>
  <si>
    <t>Shaw Fabrics Edge Blockout TBA</t>
  </si>
  <si>
    <t>Hunter Douglas Elements Blockout TBA</t>
  </si>
  <si>
    <t>Hunter Douglas Elements Blockout White</t>
  </si>
  <si>
    <t>Hunter Douglas Elements Blockout Pearl</t>
  </si>
  <si>
    <t>Hunter Douglas Elements Blockout Linen</t>
  </si>
  <si>
    <t>Hunter Douglas Elements Blockout Weathered Stone</t>
  </si>
  <si>
    <t>Hunter Douglas Elements Blockout Storm Wheat BV</t>
  </si>
  <si>
    <t>Hunter Douglas Elements Blockout Pebble</t>
  </si>
  <si>
    <t>Hunter Douglas Elements Blockout Shale</t>
  </si>
  <si>
    <t>Hunter Douglas Elements Blockout Midnight Storm</t>
  </si>
  <si>
    <t>Hunter Douglas Elements Blockout Midnight Bronze</t>
  </si>
  <si>
    <t>Hunter Douglas Elements Blockout Midnight Smudge</t>
  </si>
  <si>
    <t>Hunter Douglas Elements Blockout Midnight</t>
  </si>
  <si>
    <t>Hunter Douglas Elements Blockout Athena</t>
  </si>
  <si>
    <t>Hunter Douglas Elements Blockout Zurich</t>
  </si>
  <si>
    <t>Hunter Douglas Elements Blockout Spoon</t>
  </si>
  <si>
    <t>Hunter Douglas Elements Blockout Pure White</t>
  </si>
  <si>
    <t>Shaw Fabrics Endota Blockout Blanched Almond</t>
  </si>
  <si>
    <t>Shaw Fabrics Endota Blockout Cashmere</t>
  </si>
  <si>
    <t>Shaw Fabrics Endota Blockout Cool Black</t>
  </si>
  <si>
    <t>Shaw Fabrics Endota Blockout Eucalypt</t>
  </si>
  <si>
    <t>Shaw Fabrics Endota Blockout Flagstone</t>
  </si>
  <si>
    <t>Shaw Fabrics Endota Blockout Gentle Grey</t>
  </si>
  <si>
    <t>Shaw Fabrics Endota Blockout Smokey</t>
  </si>
  <si>
    <t>Shaw Fabrics Endota Blockout Soft Sable</t>
  </si>
  <si>
    <t>Shaw Fabrics Endota Blockout Natural White</t>
  </si>
  <si>
    <t>Shaw Fabrics Endota Blockout Pastel</t>
  </si>
  <si>
    <t>Shaw Fabrics Endota Blockout Optic</t>
  </si>
  <si>
    <t>Shaw Fabrics Endota Blockout TBA</t>
  </si>
  <si>
    <t>Texstyle Enviroblock Blockout Arctic</t>
  </si>
  <si>
    <t>Texstyle Enviroblock Blockout Beige</t>
  </si>
  <si>
    <t>Texstyle Enviroblock Blockout Bronze Pearl</t>
  </si>
  <si>
    <t>Texstyle Enviroblock Blockout Icon</t>
  </si>
  <si>
    <t>Texstyle Enviroblock Blockout Raven</t>
  </si>
  <si>
    <t>Texstyle Enviroblock Blockout Shimmer</t>
  </si>
  <si>
    <t>Texstyle Enviroblock Blockout Stone</t>
  </si>
  <si>
    <t>Texstyle Enviroblock Blockout TBA</t>
  </si>
  <si>
    <t>Texstyle Gala Blockout Anchor</t>
  </si>
  <si>
    <t>Texstyle Gala Blockout Apple</t>
  </si>
  <si>
    <t>Texstyle Gala Blockout Atlantic</t>
  </si>
  <si>
    <t>Texstyle Gala Blockout Beach</t>
  </si>
  <si>
    <t>Texstyle Gala Blockout Boardwalk</t>
  </si>
  <si>
    <t>Texstyle Gala Blockout Bounty</t>
  </si>
  <si>
    <t>Texstyle Gala Blockout Breeze</t>
  </si>
  <si>
    <t>Texstyle Gala Blockout Chilli</t>
  </si>
  <si>
    <t>Texstyle Gala Blockout Dusk</t>
  </si>
  <si>
    <t>Texstyle Gala Blockout Eclipse</t>
  </si>
  <si>
    <t>Texstyle Gala Blockout Espy</t>
  </si>
  <si>
    <t>Texstyle Gala Blockout Feather</t>
  </si>
  <si>
    <t>Texstyle Gala Blockout Fog</t>
  </si>
  <si>
    <t>Texstyle Gala Blockout Frost</t>
  </si>
  <si>
    <t>Texstyle Gala Blockout Harbour</t>
  </si>
  <si>
    <t>Texstyle Gala Blockout Island</t>
  </si>
  <si>
    <t>Texstyle Gala Blockout Jetty</t>
  </si>
  <si>
    <t>Texstyle Gala Blockout Pelican</t>
  </si>
  <si>
    <t>Texstyle Gala Blockout Salt</t>
  </si>
  <si>
    <t>Texstyle Gala Blockout Seashell</t>
  </si>
  <si>
    <t>Texstyle Gala Blockout Splash</t>
  </si>
  <si>
    <t>Texstyle Gala Blockout Twilight</t>
  </si>
  <si>
    <t>Shaw Fabrics Icon FR Blockout Ceylon</t>
  </si>
  <si>
    <t>Shaw Fabrics Icon FR Blockout Flora</t>
  </si>
  <si>
    <t>Shaw Fabrics Icon FR Blockout Harbour</t>
  </si>
  <si>
    <t>Shaw Fabrics Icon FR Blockout Jet</t>
  </si>
  <si>
    <t>Shaw Fabrics Icon FR Blockout Leather</t>
  </si>
  <si>
    <t>Shaw Fabrics Icon FR Blockout Liquorice</t>
  </si>
  <si>
    <t>Shaw Fabrics Icon FR Blockout Maritime</t>
  </si>
  <si>
    <t>Shaw Fabrics Icon FR Blockout Osprey</t>
  </si>
  <si>
    <t>Shaw Fabrics Icon FR Blockout Papyrus</t>
  </si>
  <si>
    <t>Shaw Fabrics Icon FR Blockout Sail</t>
  </si>
  <si>
    <t>Shaw Fabrics Icon FR Blockout Sculpture</t>
  </si>
  <si>
    <t>Shaw Fabrics Icon FR Blockout Sea Mist</t>
  </si>
  <si>
    <t>Shaw Fabrics Icon FR Blockout Solar</t>
  </si>
  <si>
    <t>Shaw Fabrics Icon FR Blockout Stonewash</t>
  </si>
  <si>
    <t>Shaw Fabrics Icon FR Blockout Taurus</t>
  </si>
  <si>
    <t>Shaw Fabrics Icon FR Blockout TBA</t>
  </si>
  <si>
    <t>Louvolite Iona Blockout TBA</t>
  </si>
  <si>
    <t>Louvolite Iona Blockout Forest</t>
  </si>
  <si>
    <t>Texstyle Jersey Blockout Opal</t>
  </si>
  <si>
    <t>Texstyle Jersey Blockout Organic</t>
  </si>
  <si>
    <t>Texstyle Jersey Blockout Pavement</t>
  </si>
  <si>
    <t>Texstyle Jersey Blockout Render</t>
  </si>
  <si>
    <t>Texstyle Jersey Blockout Steel</t>
  </si>
  <si>
    <t>Colour No. 77</t>
  </si>
  <si>
    <t>Texstyle Jersey Blockout Stone</t>
  </si>
  <si>
    <t>Texstyle Jersey Blockout TBA</t>
  </si>
  <si>
    <t>Texstyle Jersey Blockout Timber</t>
  </si>
  <si>
    <t>Colour No. 9</t>
  </si>
  <si>
    <t>Texstyle Jersey Blockout Lace</t>
  </si>
  <si>
    <t>Texstyle Jersey Blockout Mink</t>
  </si>
  <si>
    <t>Texstyle Jersey Blockout Ashen</t>
  </si>
  <si>
    <t>Texstyle Jersey Blockout Willow</t>
  </si>
  <si>
    <t>Texstyle Jersey Blockout Cinder</t>
  </si>
  <si>
    <t>Texstyle Jersey Blockout Sable</t>
  </si>
  <si>
    <t>Texstyle Jersey Blockout Basalt</t>
  </si>
  <si>
    <t>Texstyle Jersey Blockout Ember</t>
  </si>
  <si>
    <t xml:space="preserve">Black </t>
  </si>
  <si>
    <t>Shaw Fabrics Karma Blockout Cliff</t>
  </si>
  <si>
    <t>Shaw Fabrics Karma Blockout Dew</t>
  </si>
  <si>
    <t>Shaw Fabrics Karma Blockout Frost</t>
  </si>
  <si>
    <t>Shaw Fabrics Karma Blockout Glade</t>
  </si>
  <si>
    <t>Shaw Fabrics Karma Blockout Haze</t>
  </si>
  <si>
    <t>Shaw Fabrics Karma Blockout Magma</t>
  </si>
  <si>
    <t>Shaw Fabrics Karma Blockout Moonscape</t>
  </si>
  <si>
    <t>Shaw Fabrics Karma Blockout Ocean</t>
  </si>
  <si>
    <t>Shaw Fabrics Karma Blockout Petrol</t>
  </si>
  <si>
    <t>Shaw Fabrics Karma Blockout Rock</t>
  </si>
  <si>
    <t>Shaw Fabrics Karma Blockout Sandstone</t>
  </si>
  <si>
    <t>Shaw Fabrics Karma Blockout Shell</t>
  </si>
  <si>
    <t>Shaw Fabrics Karma Blockout TBA</t>
  </si>
  <si>
    <t>Hunter Douglas Kenross Blockout TBA</t>
  </si>
  <si>
    <t>Hunter Douglas Kenross Blockout Lace</t>
  </si>
  <si>
    <t>Hunter Douglas Kenross Blockout Light Cream</t>
  </si>
  <si>
    <t>Hunter Douglas Kenross Blockout Gazelle</t>
  </si>
  <si>
    <t>Hunter Douglas Kenross Blockout Fog</t>
  </si>
  <si>
    <t>Hunter Douglas Kenross Blockout Natural</t>
  </si>
  <si>
    <t>Hunter Douglas Kenross Blockout Haze</t>
  </si>
  <si>
    <t>Hunter Douglas Kenross Blockout Dove</t>
  </si>
  <si>
    <t>Hunter Douglas Kenross Blockout Slate</t>
  </si>
  <si>
    <t>Hunter Douglas Kenross Blockout Graphite</t>
  </si>
  <si>
    <t>Texstyle Kew Blockout Bark</t>
  </si>
  <si>
    <t>Nickle Steel</t>
  </si>
  <si>
    <t>Texstyle Kew Blockout Clay</t>
  </si>
  <si>
    <t>Texstyle Kew Blockout Earth</t>
  </si>
  <si>
    <t>Texstyle Kew Blockout Flint</t>
  </si>
  <si>
    <t>Texstyle Kew Blockout Natural</t>
  </si>
  <si>
    <t xml:space="preserve">White </t>
  </si>
  <si>
    <t>Texstyle Kew Blockout Oak</t>
  </si>
  <si>
    <t>Texstyle Kew Blockout Oatmeal</t>
  </si>
  <si>
    <t>Texstyle Kew Blockout Orca</t>
  </si>
  <si>
    <t>Texstyle Kew Blockout Pebble</t>
  </si>
  <si>
    <t>Texstyle Kew Blockout Pewter</t>
  </si>
  <si>
    <t>Texstyle Kew Blockout TBA</t>
  </si>
  <si>
    <t>Texstyle Kew Blockout Tobacco</t>
  </si>
  <si>
    <t>Texstyle Kew Blockout Whisper</t>
  </si>
  <si>
    <t>Texstyle Kleenscreen Blockout Alloy</t>
  </si>
  <si>
    <t>Texstyle Kleenscreen Blockout Barley</t>
  </si>
  <si>
    <t>BIrch White</t>
  </si>
  <si>
    <t>Texstyle Kleenscreen Blockout Black</t>
  </si>
  <si>
    <t>Texstyle Kleenscreen Blockout Charcoal</t>
  </si>
  <si>
    <t>Texstyle Kleenscreen Blockout Ice</t>
  </si>
  <si>
    <t>Texstyle Kleenscreen Blockout Pewter</t>
  </si>
  <si>
    <t>Texstyle Kleenscreen Blockout Pumice</t>
  </si>
  <si>
    <t>Shaw Fabrics Le Reve Blockout Chalk</t>
  </si>
  <si>
    <t>Shaw Fabrics Le Reve Blockout Concrete</t>
  </si>
  <si>
    <t>Shaw Fabrics Le Reve Blockout Crystal</t>
  </si>
  <si>
    <t>Shaw Fabrics Le Reve Blockout Graphite</t>
  </si>
  <si>
    <t>Shaw Fabrics Le Reve Blockout Marble</t>
  </si>
  <si>
    <t>Shaw Fabrics Le Reve Blockout Mink</t>
  </si>
  <si>
    <t>Shaw Fabrics Le Reve Blockout Onyx</t>
  </si>
  <si>
    <t>Shaw Fabrics Le Reve Blockout Pewter</t>
  </si>
  <si>
    <t>Shaw Fabrics Le Reve Blockout Sand</t>
  </si>
  <si>
    <t>Shaw Fabrics Le Reve Blockout Shell</t>
  </si>
  <si>
    <t>Shaw Fabrics Le Reve Blockout TBA</t>
  </si>
  <si>
    <t>Shaw Fabrics Linesque Blockout Almond</t>
  </si>
  <si>
    <t>Shaw Fabrics Linesque Blockout Aspen</t>
  </si>
  <si>
    <t>Shaw Fabrics Linesque Blockout Blanco</t>
  </si>
  <si>
    <t>Shaw Fabrics Linesque Blockout Breeze</t>
  </si>
  <si>
    <t>Shaw Fabrics Linesque Blockout Denim</t>
  </si>
  <si>
    <t>Shaw Fabrics Linesque Blockout Dove</t>
  </si>
  <si>
    <t>Shaw Fabrics Linesque Blockout Fig</t>
  </si>
  <si>
    <t>Shaw Fabrics Linesque Blockout Fleece</t>
  </si>
  <si>
    <t>Shaw Fabrics Linesque Blockout Fossil</t>
  </si>
  <si>
    <t>Shaw Fabrics Linesque Blockout Raffia</t>
  </si>
  <si>
    <t>Shaw Fabrics Linesque Blockout Soba</t>
  </si>
  <si>
    <t>Shaw Fabrics Linesque Blockout TBA</t>
  </si>
  <si>
    <t>Shaw Fabrics Linesque Blockout Vine</t>
  </si>
  <si>
    <t>Louvolite Magnolia Blockout Inky</t>
  </si>
  <si>
    <t>Louvolite Magnolia Blockout Pipin</t>
  </si>
  <si>
    <t>Louvolite Magnolia Blockout Rosa</t>
  </si>
  <si>
    <t>Shaw Fabrics Mantra Blockout Cotton</t>
  </si>
  <si>
    <t>Shaw Fabrics Mantra Blockout Flint</t>
  </si>
  <si>
    <t>Shaw Fabrics Mantra Blockout Opal</t>
  </si>
  <si>
    <t>Shaw Fabrics Mantra Blockout Parchment</t>
  </si>
  <si>
    <t>Shaw Fabrics Mantra Blockout Seagrass</t>
  </si>
  <si>
    <t>Shaw Fabrics Mantra Blockout Seed Pearl</t>
  </si>
  <si>
    <t>Shaw Fabrics Mantra Blockout Sesame</t>
  </si>
  <si>
    <t>Shaw Fabrics Mantra Blockout Spice</t>
  </si>
  <si>
    <t>Shaw Fabrics Mantra Blockout TBA</t>
  </si>
  <si>
    <t>Shaw Fabrics Mantra Blockout Pebble</t>
  </si>
  <si>
    <t>Louvolite Marley Blockout TBA</t>
  </si>
  <si>
    <t>Wilson Fabrics Marley Blockout Charcoal</t>
  </si>
  <si>
    <t>Wilson Fabrics Marley Blockout Fossil</t>
  </si>
  <si>
    <t>Wilson Fabrics Marley Blockout Natural</t>
  </si>
  <si>
    <t>Wilson Fabrics Marley Blockout Ocean</t>
  </si>
  <si>
    <t>Wilson Fabrics Marley Blockout Pewter</t>
  </si>
  <si>
    <t>Wilson Fabrics Marley Blockout Steel</t>
  </si>
  <si>
    <t>Wilson Fabrics Marley Blockout Stone</t>
  </si>
  <si>
    <t>Wilson Fabrics Marley Blockout TBA</t>
  </si>
  <si>
    <t>Wilson Fabrics Marley Blockout White</t>
  </si>
  <si>
    <t>Louvolite Matrix Blockout TBA</t>
  </si>
  <si>
    <t>Wilson Fabrics Matrix Blockout Coffee</t>
  </si>
  <si>
    <t>Wilson Fabrics Matrix Blockout Ebony</t>
  </si>
  <si>
    <t>Wilson Fabrics Matrix Blockout Grey</t>
  </si>
  <si>
    <t>Wilson Fabrics Matrix Blockout Ivory</t>
  </si>
  <si>
    <t>Wilson Fabrics Matrix Blockout Mink</t>
  </si>
  <si>
    <t>Wilson Fabrics Matrix Blockout Pearl</t>
  </si>
  <si>
    <t>Wilson Fabrics Matrix Blockout Pewter</t>
  </si>
  <si>
    <t>Wilson Fabrics Matrix Blockout Pristine</t>
  </si>
  <si>
    <t>Wilson Fabrics Matrix Blockout Stone</t>
  </si>
  <si>
    <t>Wilson Fabrics Matrix Blockout TBA</t>
  </si>
  <si>
    <t>Wilson Fabrics Matrix Blockout White</t>
  </si>
  <si>
    <t>Wilson Fabrics Mercury II Blockout Ash</t>
  </si>
  <si>
    <t>Wilson Fabrics Mercury II Blockout Black</t>
  </si>
  <si>
    <t>Wilson Fabrics Mercury II Blockout Chinchilla</t>
  </si>
  <si>
    <t>Wilson Fabrics Mercury II Blockout Cinder</t>
  </si>
  <si>
    <t>Wilson Fabrics Mercury II Blockout Cream</t>
  </si>
  <si>
    <t>Wilson Fabrics Mercury II Blockout Ironbark</t>
  </si>
  <si>
    <t>Wilson Fabrics Mercury II Blockout Silver</t>
  </si>
  <si>
    <t>Wilson Fabrics Mercury II Blockout Snow</t>
  </si>
  <si>
    <t>Wilson Fabrics Mercury II Blockout Snowgum</t>
  </si>
  <si>
    <t>Wilson Fabrics Mercury II Blockout Steel</t>
  </si>
  <si>
    <t>Wilson Fabrics Mercury II Blockout Stone</t>
  </si>
  <si>
    <t>Wilson Fabrics Mercury II Blockout TBA</t>
  </si>
  <si>
    <t>Wilson Fabrics Mercury II Blockout White</t>
  </si>
  <si>
    <t>Texstyle Metroshade Blockout Black</t>
  </si>
  <si>
    <t>Texstyle Metroshade Blockout Dove/White</t>
  </si>
  <si>
    <t>Texstyle Metroshade Blockout Ecru</t>
  </si>
  <si>
    <t>Texstyle Metroshade Blockout Ice Grey</t>
  </si>
  <si>
    <t>Texstyle Metroshade Blockout Moonstone</t>
  </si>
  <si>
    <t>Texstyle Metroshade Blockout Nougat</t>
  </si>
  <si>
    <t>Texstyle Metroshade Blockout Pebble</t>
  </si>
  <si>
    <t>Texstyle Metroshade Blockout Quill</t>
  </si>
  <si>
    <t>Texstyle Metroshade Blockout Seal</t>
  </si>
  <si>
    <t>Texstyle Metroshade Blockout Slate</t>
  </si>
  <si>
    <t>Texstyle Metroshade Blockout Storm</t>
  </si>
  <si>
    <t>Texstyle Metroshade Blockout TBA</t>
  </si>
  <si>
    <t>Texstyle Metroshade Blockout Whitewash</t>
  </si>
  <si>
    <t>Wilson Fabrics Moma Blockout Black</t>
  </si>
  <si>
    <t>Wilson Fabrics Moma Blockout Iron</t>
  </si>
  <si>
    <t>Wilson Fabrics Moma Blockout Shitake</t>
  </si>
  <si>
    <t>Wilson Fabrics Moma Blockout Snow</t>
  </si>
  <si>
    <t>Wilson Fabrics Moma Blockout Stone</t>
  </si>
  <si>
    <t>Wilson Fabrics Moma Blockout TBA</t>
  </si>
  <si>
    <t>Wilson Fabrics Moma Blockout White</t>
  </si>
  <si>
    <t>Louvolite Night Night Blockout Glow</t>
  </si>
  <si>
    <t>Louvolite Night Safari Blockout TBA</t>
  </si>
  <si>
    <t>Texstyle One Block Blockout Black</t>
  </si>
  <si>
    <t>Texstyle One Block Blockout Charcoal</t>
  </si>
  <si>
    <t>Texstyle One Block Blockout Dune</t>
  </si>
  <si>
    <t>Texstyle One Block Blockout Grey</t>
  </si>
  <si>
    <t>Texstyle One Block Blockout Gunmetal</t>
  </si>
  <si>
    <t>Texstyle One Block Blockout Ice</t>
  </si>
  <si>
    <t>Texstyle One Block Blockout Linen Bronze</t>
  </si>
  <si>
    <t>Texstyle One Block Blockout Mercury</t>
  </si>
  <si>
    <t>Texstyle One Block Blockout Sand</t>
  </si>
  <si>
    <t>Texstyle One Block Blockout Silver Black</t>
  </si>
  <si>
    <t>Texstyle One Block Blockout TBA</t>
  </si>
  <si>
    <t>Texstyle One Block Blockout Wallaby</t>
  </si>
  <si>
    <t>Texstyle One Block Blockout White</t>
  </si>
  <si>
    <t>Louvolite Ophelia Blockout TBA</t>
  </si>
  <si>
    <t>Louvolite Oxley Blockout TBA</t>
  </si>
  <si>
    <t>Louvolite Oxley Blockout French Grey</t>
  </si>
  <si>
    <t>Shaw Fabrics Palm Beach Blockout Angora</t>
  </si>
  <si>
    <t>Shaw Fabrics Palm Beach Blockout Dusk</t>
  </si>
  <si>
    <t>Shaw Fabrics Palm Beach Blockout Gull</t>
  </si>
  <si>
    <t>Shaw Fabrics Palm Beach Blockout Horizon</t>
  </si>
  <si>
    <t>Shaw Fabrics Palm Beach Blockout Ink</t>
  </si>
  <si>
    <t>Shaw Fabrics Palm Beach Blockout Iron</t>
  </si>
  <si>
    <t>Shaw Fabrics Palm Beach Blockout Jasmine</t>
  </si>
  <si>
    <t>Shaw Fabrics Palm Beach Blockout Lyric</t>
  </si>
  <si>
    <t>Shaw Fabrics Palm Beach Blockout Merino</t>
  </si>
  <si>
    <t>Shaw Fabrics Palm Beach Blockout Monsoon</t>
  </si>
  <si>
    <t>Shaw Fabrics Palm Beach Blockout Pearl</t>
  </si>
  <si>
    <t>Shaw Fabrics Palm Beach Blockout Porpoise</t>
  </si>
  <si>
    <t>Shaw Fabrics Palm Beach Blockout Quartz</t>
  </si>
  <si>
    <t>Shaw Fabrics Palm Beach Blockout Quill</t>
  </si>
  <si>
    <t>Shaw Fabrics Palm Beach Blockout Steel</t>
  </si>
  <si>
    <t>Shaw Fabrics Palm Beach Blockout Summer Storm</t>
  </si>
  <si>
    <t>Shaw Fabrics Palm Beach Blockout TBA</t>
  </si>
  <si>
    <t>Shaw Fabrics Palm Beach Blockout Thunder</t>
  </si>
  <si>
    <t>Shaw Fabrics Palm Beach Blockout Urban</t>
  </si>
  <si>
    <t>Hunter Douglas Petra Blockout TBA</t>
  </si>
  <si>
    <t>Hunter Douglas Petra Blockout Foam</t>
  </si>
  <si>
    <t>Hunter Douglas Petra Blockout Brulee</t>
  </si>
  <si>
    <t>Hunter Douglas Petra Blockout Organic</t>
  </si>
  <si>
    <t>Hunter Douglas Petra Blockout Osprey</t>
  </si>
  <si>
    <t>Hunter Douglas Petra Blockout Oyster</t>
  </si>
  <si>
    <t>Hunter Douglas Petra Blockout Shimmer</t>
  </si>
  <si>
    <t>Hunter Douglas Petra Blockout Raven</t>
  </si>
  <si>
    <t>Hunter Douglas Petra Blockout Symphony</t>
  </si>
  <si>
    <t>Louvolite Planetarium Blockout TBA</t>
  </si>
  <si>
    <t>Four Families Resene Blockout Alabaster</t>
  </si>
  <si>
    <t>Four Families Resene Blockout All Black</t>
  </si>
  <si>
    <t>Four Families Resene Blockout Baltic Sea</t>
  </si>
  <si>
    <t>Four Families Resene Blockout Black White</t>
  </si>
  <si>
    <t>Four Families Resene Blockout Bokara Grey</t>
  </si>
  <si>
    <t>Four Families Resene Blockout Concrete</t>
  </si>
  <si>
    <t>Four Families Resene Blockout Double Stack</t>
  </si>
  <si>
    <t>Four Families Resene Blockout Masala</t>
  </si>
  <si>
    <t>Four Families Resene Blockout Quarter Tea</t>
  </si>
  <si>
    <t>Four Families Resene Blockout Rice Cake</t>
  </si>
  <si>
    <t>Four Families Resene Blockout Surrender</t>
  </si>
  <si>
    <t>Four Families Resene Blockout TBA</t>
  </si>
  <si>
    <t>Four Families Resene Blockout Truffle</t>
  </si>
  <si>
    <t>Texstyle Sanctuary Blockout Baltic</t>
  </si>
  <si>
    <t>Texstyle Sanctuary Blockout Ceramic</t>
  </si>
  <si>
    <t>Texstyle Sanctuary Blockout Fossil</t>
  </si>
  <si>
    <t>Texstyle Sanctuary Blockout Lava</t>
  </si>
  <si>
    <t>Texstyle Sanctuary Blockout Limestone</t>
  </si>
  <si>
    <t>Texstyle Sanctuary Blockout Marble</t>
  </si>
  <si>
    <t>Texstyle Sanctuary Blockout Mineral</t>
  </si>
  <si>
    <t>Texstyle Sanctuary Blockout Plaster</t>
  </si>
  <si>
    <t>Texstyle Sanctuary Blockout Slate</t>
  </si>
  <si>
    <t>Texstyle Sanctuary Blockout Suede</t>
  </si>
  <si>
    <t>Texstyle Sanctuary Blockout TBA</t>
  </si>
  <si>
    <t>Texstyle Sanctuary Blockout Truffle</t>
  </si>
  <si>
    <t>Hunter Douglas Scarborough Blockout TBA</t>
  </si>
  <si>
    <t>Hunter Douglas Scarborough Blockout Sugar</t>
  </si>
  <si>
    <t>Hunter Douglas Scarborough Blockout Sorbet</t>
  </si>
  <si>
    <t>Hunter Douglas Scarborough Blockout Biscuit</t>
  </si>
  <si>
    <t>Hunter Douglas Scarborough Blockout Oyster</t>
  </si>
  <si>
    <t>Hunter Douglas Scarborough Blockout Pepper</t>
  </si>
  <si>
    <t>Hunter Douglas Scarborough Blockout Trecale</t>
  </si>
  <si>
    <t>Hunter Douglas Scarborough Blockout Cocoa</t>
  </si>
  <si>
    <t>Hunter Douglas Scarborough Blockout Liquorice</t>
  </si>
  <si>
    <t>Texstyle Serengetti Blockout Albatross</t>
  </si>
  <si>
    <t>Texstyle Serengetti Blockout Antelope</t>
  </si>
  <si>
    <t>Texstyle Serengetti Blockout Caribou</t>
  </si>
  <si>
    <t>Texstyle Serengetti Blockout Chamois</t>
  </si>
  <si>
    <t>Texstyle Serengetti Blockout Eland</t>
  </si>
  <si>
    <t>Texstyle Serengetti Blockout Hyrax</t>
  </si>
  <si>
    <t>Texstyle Serengetti Blockout Jackal</t>
  </si>
  <si>
    <t>Texstyle Serengetti Blockout Llama</t>
  </si>
  <si>
    <t>Texstyle Serengetti Blockout Mamba</t>
  </si>
  <si>
    <t>Texstyle Serengetti Blockout Onyx</t>
  </si>
  <si>
    <t>Texstyle Serengetti Blockout Owl</t>
  </si>
  <si>
    <t>Texstyle Serengetti Blockout Panther</t>
  </si>
  <si>
    <t>Texstyle Serengetti Blockout Polar</t>
  </si>
  <si>
    <t>Texstyle Serengetti Blockout TBA</t>
  </si>
  <si>
    <t>Hunter Douglas Seychelles Plus Blockout TBA</t>
  </si>
  <si>
    <t>Hunter Douglas Seychelles Plus Blockout Ceramic</t>
  </si>
  <si>
    <t>Hunter Douglas Seychelles Plus Blockout Silver Pearl</t>
  </si>
  <si>
    <t>Hunter Douglas Seychelles Plus Blockout Essence</t>
  </si>
  <si>
    <t>Hunter Douglas Seychelles Plus Blockout Angora</t>
  </si>
  <si>
    <t>Hunter Douglas Seychelles Plus Blockout Champagne</t>
  </si>
  <si>
    <t>Hunter Douglas Seychelles Plus Blockout Drizzle</t>
  </si>
  <si>
    <t>Hunter Douglas Seychelles Plus Blockout Empire</t>
  </si>
  <si>
    <t>Louvolite Shot Silk Blockout Burgundy</t>
  </si>
  <si>
    <t>Louvolite Shot Silk Blockout Champagne</t>
  </si>
  <si>
    <t>Louvolite Shot Silk Blockout Cream</t>
  </si>
  <si>
    <t>Louvolite Shot Silk Blockout Duckegg</t>
  </si>
  <si>
    <t>Louvolite Shot Silk Blockout Ivory</t>
  </si>
  <si>
    <t>Louvolite Shot Silk Blockout Latte</t>
  </si>
  <si>
    <t>Louvolite Shot Silk Blockout Mink</t>
  </si>
  <si>
    <t>Louvolite Shot Silk Blockout Olive</t>
  </si>
  <si>
    <t>Louvolite Shot Silk Blockout TBA</t>
  </si>
  <si>
    <t>Louvolite Shot Silk Blockout Teal</t>
  </si>
  <si>
    <t>Blindware Signum Blockout Anthracite</t>
  </si>
  <si>
    <t>Blindware Signum Blockout Basalt</t>
  </si>
  <si>
    <t>Blindware Signum Blockout Charcoal</t>
  </si>
  <si>
    <t>Blindware Signum Blockout Coffee</t>
  </si>
  <si>
    <t>Blindware Signum Blockout Graphite</t>
  </si>
  <si>
    <t>Blindware Signum Blockout Grass Silk</t>
  </si>
  <si>
    <t>Blindware Signum Blockout Mist</t>
  </si>
  <si>
    <t>Blindware Signum Blockout Oak</t>
  </si>
  <si>
    <t>Blindware Signum Blockout Steel</t>
  </si>
  <si>
    <t>Blindware Signum Blockout Storm</t>
  </si>
  <si>
    <t>Blindware Signum Blockout TBA</t>
  </si>
  <si>
    <t>Blindware Signum Blockout Umber</t>
  </si>
  <si>
    <t>Blindware Signum Blockout Vanilla</t>
  </si>
  <si>
    <t>Blindware Signum Blockout White</t>
  </si>
  <si>
    <t>Shaw Fabrics Skye Blockout Blazer</t>
  </si>
  <si>
    <t>Shaw Fabrics Skye Blockout Chiffon</t>
  </si>
  <si>
    <t>Shaw Fabrics Skye Blockout Chrome</t>
  </si>
  <si>
    <t>Shaw Fabrics Skye Blockout Earl Grey</t>
  </si>
  <si>
    <t>Shaw Fabrics Skye Blockout Oyster</t>
  </si>
  <si>
    <t>Shaw Fabrics Skye Blockout Porcelain</t>
  </si>
  <si>
    <t>Shaw Fabrics Skye Blockout Raven</t>
  </si>
  <si>
    <t>Shaw Fabrics Skye Blockout Sail</t>
  </si>
  <si>
    <t>Shaw Fabrics Skye Blockout Swan</t>
  </si>
  <si>
    <t>Louvolite Strand Blockout TBA</t>
  </si>
  <si>
    <t>Blindware Sunbloc Blockout Bronze</t>
  </si>
  <si>
    <t>Blindware Sunbloc Blockout Charcoal</t>
  </si>
  <si>
    <t>Blindware Sunbloc Blockout Charcoal Apricot</t>
  </si>
  <si>
    <t>Blindware Sunbloc Blockout Charcoal Bronze</t>
  </si>
  <si>
    <t>Blindware Sunbloc Blockout Charcoal Grey</t>
  </si>
  <si>
    <t>Blindware Sunbloc Blockout Charcoal Sand</t>
  </si>
  <si>
    <t>Blindware Sunbloc Blockout Grey</t>
  </si>
  <si>
    <t>Blindware Sunbloc Blockout Linen</t>
  </si>
  <si>
    <t>Blindware Sunbloc Blockout TBA</t>
  </si>
  <si>
    <t>Blindware Sunbloc Blockout White</t>
  </si>
  <si>
    <t>Blindware Sunbloc Blockout White Grey</t>
  </si>
  <si>
    <t>Blindware Sunbloc Blockout White Linen</t>
  </si>
  <si>
    <t>Blindware Sunbloc Blockout White Stone</t>
  </si>
  <si>
    <t>Wilson Fabrics Sydney Blockout Charcoal</t>
  </si>
  <si>
    <t>Wilson Fabrics Sydney Blockout Dark Grey</t>
  </si>
  <si>
    <t>Wilson Fabrics Sydney Blockout Linen</t>
  </si>
  <si>
    <t>Wilson Fabrics Sydney Blockout Mist</t>
  </si>
  <si>
    <t>Wilson Fabrics Sydney Blockout Natural</t>
  </si>
  <si>
    <t>Wilson Fabrics Sydney Blockout Silver</t>
  </si>
  <si>
    <t>Wilson Fabrics Sydney Blockout Snow</t>
  </si>
  <si>
    <t>Wilson Fabrics Sydney Blockout TBA</t>
  </si>
  <si>
    <t>Wilson Fabrics Thredbo Blockout Snow</t>
  </si>
  <si>
    <t>Wilson Fabrics Thredbo Blockout White</t>
  </si>
  <si>
    <t>Wilson Fabrics Thredbo Blockout Ivory</t>
  </si>
  <si>
    <t>Wilson Fabrics Thredbo Blockout Pearl</t>
  </si>
  <si>
    <t>Wilson Fabrics Thredbo Blockout Snowgum</t>
  </si>
  <si>
    <t>Wilson Fabrics Thredbo Blockout Vanilla</t>
  </si>
  <si>
    <t>Wilson Fabrics Thredbo Blockout Cloud</t>
  </si>
  <si>
    <t>Wilson Fabrics Thredbo Blockout Ice Grey</t>
  </si>
  <si>
    <t>Wilson Fabrics Thredbo Blockout Mink</t>
  </si>
  <si>
    <t>Wilson Fabrics Thredbo Blockout Chrome</t>
  </si>
  <si>
    <t>Wilson Fabrics Thredbo Blockout Shark</t>
  </si>
  <si>
    <t>Wilson Fabrics Thredbo Blockout Jet</t>
  </si>
  <si>
    <t>Wilson Fabrics Thredbo Blockout Charcoal</t>
  </si>
  <si>
    <t>Wilson Fabrics Thredbo Blockout Ebony</t>
  </si>
  <si>
    <t>Wilson Fabrics Thredbo Blockout TBA</t>
  </si>
  <si>
    <t>Wilson Fabrics Tuscany II Blockout Ash</t>
  </si>
  <si>
    <t>Wilson Fabrics Tuscany II Blockout Charcoal</t>
  </si>
  <si>
    <t>Wilson Fabrics Tuscany II Blockout Eggshell</t>
  </si>
  <si>
    <t>Wilson Fabrics Tuscany II Blockout Granite</t>
  </si>
  <si>
    <t>Wilson Fabrics Tuscany II Blockout Linen</t>
  </si>
  <si>
    <t>Wilson Fabrics Tuscany II Blockout Mink</t>
  </si>
  <si>
    <t>Wilson Fabrics Tuscany II Blockout Natural</t>
  </si>
  <si>
    <t>Wilson Fabrics Tuscany II Blockout Parchment</t>
  </si>
  <si>
    <t>Wilson Fabrics Tuscany II Blockout Pewter</t>
  </si>
  <si>
    <t>Wilson Fabrics Tuscany II Blockout Silver</t>
  </si>
  <si>
    <t>Wilson Fabrics Tuscany II Blockout TBA</t>
  </si>
  <si>
    <t>Wilson Fabrics Tuscany II Blockout White</t>
  </si>
  <si>
    <t>Wilson Fabrics Uluru Blockout Charcoal</t>
  </si>
  <si>
    <t>Wilson Fabrics Uluru Blockout Dove</t>
  </si>
  <si>
    <t>Wilson Fabrics Uluru Blockout Gull</t>
  </si>
  <si>
    <t>Wilson Fabrics Uluru Blockout Light Grey</t>
  </si>
  <si>
    <t>Wilson Fabrics Uluru Blockout Natural</t>
  </si>
  <si>
    <t>Wilson Fabrics Uluru Blockout Night</t>
  </si>
  <si>
    <t>Wilson Fabrics Uluru Blockout Pebble</t>
  </si>
  <si>
    <t>Wilson Fabrics Uluru Blockout Sandstone</t>
  </si>
  <si>
    <t>Wilson Fabrics Uluru Blockout Slate</t>
  </si>
  <si>
    <t>Wilson Fabrics Uluru Blockout Stone</t>
  </si>
  <si>
    <t>Wilson Fabrics Uluru Blockout White</t>
  </si>
  <si>
    <t>Wilson Fabrics Uluru Blockout TBA</t>
  </si>
  <si>
    <t>Louvolite Valencia Blockout TBA</t>
  </si>
  <si>
    <t>Texstyle Vivid Block Blockout Black/Beige</t>
  </si>
  <si>
    <t>Texstyle Vivid Block Blockout Charcoal/Black</t>
  </si>
  <si>
    <t>Texstyle Vivid Block Blockout Charcoal/Grey</t>
  </si>
  <si>
    <t>Texstyle Vivid Block Blockout Linen/Bronze</t>
  </si>
  <si>
    <t>Texstyle Vivid Block Blockout TBA</t>
  </si>
  <si>
    <t>Texstyle Vivid Block Blockout White</t>
  </si>
  <si>
    <t>Texstyle Vivid Block Blockout White/Bone</t>
  </si>
  <si>
    <t>Texstyle Vivid Block Blockout White/Grey</t>
  </si>
  <si>
    <t>Texstyle Vivid Block Blockout White/Silver</t>
  </si>
  <si>
    <t>Texstyle Vivid Block Blockout White/Stone</t>
  </si>
  <si>
    <t>Hunter Douglas Westman Blockout TBA</t>
  </si>
  <si>
    <t>Hunter Douglas Westman Blockout Mist</t>
  </si>
  <si>
    <t>Hunter Douglas Westman Blockout Canvas</t>
  </si>
  <si>
    <t>Hunter Douglas Westman Blockout Aqua</t>
  </si>
  <si>
    <t>Hunter Douglas Westman Blockout Stone</t>
  </si>
  <si>
    <t>Hunter Douglas Westman Blockout Shark</t>
  </si>
  <si>
    <t>Hunter Douglas Willandra Blockout TBA</t>
  </si>
  <si>
    <t>Hunter Douglas Willandra Blockout Mist</t>
  </si>
  <si>
    <t>Hunter Douglas Willandra Blockout Spirit</t>
  </si>
  <si>
    <t>Hunter Douglas Willandra Blockout Smoke</t>
  </si>
  <si>
    <t>Hunter Douglas Willandra Blockout Charcoal</t>
  </si>
  <si>
    <t>Hunter Douglas Willandra Blockout Whisper</t>
  </si>
  <si>
    <t>Hunter Douglas Willandra Blockout Ivory</t>
  </si>
  <si>
    <t>Hunter Douglas Willandra Blockout Jarrah</t>
  </si>
  <si>
    <t>Hunter Douglas Willandra Blockout Saudi Sand</t>
  </si>
  <si>
    <t>Hunter Douglas Willandra Blockout Bison</t>
  </si>
  <si>
    <t>Hunter Douglas Willandra Blockout Storm</t>
  </si>
  <si>
    <t>Louvolite Willow Blockout TBA</t>
  </si>
  <si>
    <t>Louvolite Windsor Blockout Cobblestone</t>
  </si>
  <si>
    <t>Louvolite Windsor Blockout Forest Pine</t>
  </si>
  <si>
    <t>Louvolite Windsor Blockout Heather Fields</t>
  </si>
  <si>
    <t>Louvolite Windsor Blockout Rich Cream</t>
  </si>
  <si>
    <t>Louvolite Windsor Blockout Soothing Grey</t>
  </si>
  <si>
    <t>Louvolite Windsor Blockout TBA</t>
  </si>
  <si>
    <t>Louvolite Zen Blockout TBA</t>
  </si>
  <si>
    <t>Louvolite Arlo Light Filtering TBA</t>
  </si>
  <si>
    <t>U</t>
  </si>
  <si>
    <t>Wilson Fabrics Aruba Sheer Ash</t>
  </si>
  <si>
    <t>Wilson Fabrics Aruba Sheer Black</t>
  </si>
  <si>
    <t>Wilson Fabrics Aruba Sheer Chinchilla</t>
  </si>
  <si>
    <t>Wilson Fabrics Aruba Sheer Cinder</t>
  </si>
  <si>
    <t>Wilson Fabrics Aruba Sheer Cream</t>
  </si>
  <si>
    <t>Wilson Fabrics Aruba Sheer Ironbark</t>
  </si>
  <si>
    <t>Wilson Fabrics Aruba Sheer Silver</t>
  </si>
  <si>
    <t>Wilson Fabrics Aruba Sheer Snow</t>
  </si>
  <si>
    <t>Wilson Fabrics Aruba Sheer Snowgum</t>
  </si>
  <si>
    <t>Wilson Fabrics Aruba Sheer Steel</t>
  </si>
  <si>
    <t>Wilson Fabrics Aruba Sheer Stone</t>
  </si>
  <si>
    <t>Wilson Fabrics Aruba Sheer TBA</t>
  </si>
  <si>
    <t>Wilson Fabrics Aruba Sheer White</t>
  </si>
  <si>
    <t>Louvolite Aztec Light Filtering TBA</t>
  </si>
  <si>
    <t>Texstyle Balmoral Light Filtering Armour</t>
  </si>
  <si>
    <t>Texstyle Balmoral Light Filtering Birch</t>
  </si>
  <si>
    <t>Texstyle Balmoral Light Filtering Bourneville</t>
  </si>
  <si>
    <t>Texstyle Balmoral Light Filtering Chrome</t>
  </si>
  <si>
    <t>Texstyle Balmoral Light Filtering Concrete</t>
  </si>
  <si>
    <t>Texstyle Balmoral Light Filtering Dove</t>
  </si>
  <si>
    <t>Texstyle Balmoral Light Filtering Jet</t>
  </si>
  <si>
    <t>Texstyle Balmoral Light Filtering Pearl</t>
  </si>
  <si>
    <t>Texstyle Balmoral Light Filtering Platinum</t>
  </si>
  <si>
    <t>Texstyle Balmoral Light Filtering Putty</t>
  </si>
  <si>
    <t>Texstyle Balmoral Light Filtering Pyrite</t>
  </si>
  <si>
    <t>Texstyle Balmoral Light Filtering Steel</t>
  </si>
  <si>
    <t>Texstyle Balmoral Light Filtering TBA</t>
  </si>
  <si>
    <t>Texstyle Balmoral Light Filtering White</t>
  </si>
  <si>
    <t>Hunter Douglas Baltic Plus Translucent TBA</t>
  </si>
  <si>
    <t>Hunter Douglas Baltic Plus Translucent Froth</t>
  </si>
  <si>
    <t>Hunter Douglas Baltic Plus Translucent Shake</t>
  </si>
  <si>
    <t>Hunter Douglas Baltic Plus Translucent Chalk</t>
  </si>
  <si>
    <t>Hunter Douglas Baltic Plus Translucent Losta</t>
  </si>
  <si>
    <t>Hunter Douglas Baltic Plus Translucent Linen</t>
  </si>
  <si>
    <t>Hunter Douglas Baltic Plus Translucent Pumice</t>
  </si>
  <si>
    <t>Hunter Douglas Baltic Plus Translucent Nordic</t>
  </si>
  <si>
    <t>Hunter Douglas Baltic Plus Translucent Cosmos</t>
  </si>
  <si>
    <t>Hunter Douglas Baltic Plus Translucent Nightsky</t>
  </si>
  <si>
    <t>Hunter Douglas Baltic Plus Translucent Oxford</t>
  </si>
  <si>
    <t>Uniline Belice Light Filtering Pumice</t>
  </si>
  <si>
    <t>Uniline Belice Light Filtering TBA</t>
  </si>
  <si>
    <t>Wilson Fabrics Boston II Light Filtering Charcoal</t>
  </si>
  <si>
    <t>Wilson Fabrics Boston II Light Filtering Chinchilla</t>
  </si>
  <si>
    <t>Wilson Fabrics Boston II Light Filtering Dawn</t>
  </si>
  <si>
    <t>Wilson Fabrics Boston II Light Filtering Grey</t>
  </si>
  <si>
    <t>Wilson Fabrics Boston II Light Filtering Linen</t>
  </si>
  <si>
    <t>Wilson Fabrics Boston II Light Filtering Marshmellow</t>
  </si>
  <si>
    <t>Wilson Fabrics Boston II Light Filtering Mist</t>
  </si>
  <si>
    <t>Wilson Fabrics Boston II Light Filtering Monument</t>
  </si>
  <si>
    <t>Wilson Fabrics Boston II Light Filtering Quartz</t>
  </si>
  <si>
    <t>Wilson Fabrics Boston II Light Filtering Shark</t>
  </si>
  <si>
    <t>Wilson Fabrics Boston II Light Filtering Silver</t>
  </si>
  <si>
    <t>Wilson Fabrics Boston II Light Filtering Stone</t>
  </si>
  <si>
    <t>Wilson Fabrics Boston II Light Filtering TBA</t>
  </si>
  <si>
    <t>Wilson Fabrics Broome II Light Filtering Bluewash</t>
  </si>
  <si>
    <t>Wilson Fabrics Broome II Light Filtering Fossil</t>
  </si>
  <si>
    <t>Wilson Fabrics Broome II Light Filtering Ivory</t>
  </si>
  <si>
    <t>Wilson Fabrics Broome II Light Filtering Mink</t>
  </si>
  <si>
    <t>Wilson Fabrics Broome II Light Filtering Monument</t>
  </si>
  <si>
    <t>Wilson Fabrics Broome II Light Filtering Nomad</t>
  </si>
  <si>
    <t>Wilson Fabrics Broome II Light Filtering Off White</t>
  </si>
  <si>
    <t>Wilson Fabrics Broome II Light Filtering Parchment</t>
  </si>
  <si>
    <t>Wilson Fabrics Broome II Light Filtering Platinum</t>
  </si>
  <si>
    <t>Wilson Fabrics Broome II Light Filtering Snow</t>
  </si>
  <si>
    <t>Wilson Fabrics Broome II Light Filtering Stone</t>
  </si>
  <si>
    <t>Wilson Fabrics Broome II Light Filtering TBA</t>
  </si>
  <si>
    <t>Turnils Collage Bryson Light Filtering Coconut</t>
  </si>
  <si>
    <t>Turnils Collage Bryson Light Filtering Natural Linen</t>
  </si>
  <si>
    <t>Turnils Collage Bryson Light Filtering Savannah</t>
  </si>
  <si>
    <t>Turnils Collage Bryson Light Filtering Pacific</t>
  </si>
  <si>
    <t>Turnils Collage Bryson Light Filtering Marrakesh</t>
  </si>
  <si>
    <t>Turnils Collage Bryson Light Filtering Granite</t>
  </si>
  <si>
    <t>Turnils Collage Bryson Light Filtering TBA</t>
  </si>
  <si>
    <t>Louvolite Carnival Light Filtering Birch</t>
  </si>
  <si>
    <t>Louvolite Carnival Light Filtering Blossom</t>
  </si>
  <si>
    <t>Louvolite Carnival Light Filtering Bonbon</t>
  </si>
  <si>
    <t>Louvolite Carnival Light Filtering Buttercup</t>
  </si>
  <si>
    <t>Louvolite Carnival Light Filtering Caramel</t>
  </si>
  <si>
    <t>Louvolite Carnival Light Filtering Chartreuse</t>
  </si>
  <si>
    <t>Louvolite Carnival Light Filtering Chelsea Red</t>
  </si>
  <si>
    <t>Louvolite Carnival Light Filtering China White</t>
  </si>
  <si>
    <t>Louvolite Carnival Light Filtering Claret</t>
  </si>
  <si>
    <t>Louvolite Carnival Light Filtering Clay</t>
  </si>
  <si>
    <t>Louvolite Carnival Light Filtering Coral</t>
  </si>
  <si>
    <t>Louvolite Carnival Light Filtering Cornflour</t>
  </si>
  <si>
    <t>Louvolite Carnival Light Filtering Cream</t>
  </si>
  <si>
    <t>Louvolite Carnival Light Filtering Denim</t>
  </si>
  <si>
    <t>Louvolite Carnival Light Filtering Ecru</t>
  </si>
  <si>
    <t>Louvolite Carnival Light Filtering Fuschia</t>
  </si>
  <si>
    <t>Louvolite Carnival Light Filtering Grape</t>
  </si>
  <si>
    <t>Louvolite Carnival Light Filtering Heather</t>
  </si>
  <si>
    <t>Louvolite Carnival Light Filtering Hessian</t>
  </si>
  <si>
    <t>Louvolite Carnival Light Filtering Ivory</t>
  </si>
  <si>
    <t>Louvolite Carnival Light Filtering Ivy</t>
  </si>
  <si>
    <t>Louvolite Carnival Light Filtering Kiwi</t>
  </si>
  <si>
    <t>Louvolite Carnival Light Filtering Lily</t>
  </si>
  <si>
    <t>Louvolite Carnival Light Filtering Lime</t>
  </si>
  <si>
    <t>Louvolite Carnival Light Filtering Luna</t>
  </si>
  <si>
    <t>Louvolite Carnival Light Filtering Maraschino</t>
  </si>
  <si>
    <t>Louvolite Carnival Light Filtering Mink</t>
  </si>
  <si>
    <t>Louvolite Carnival Light Filtering Misty Blue</t>
  </si>
  <si>
    <t>Louvolite Carnival Light Filtering Mulberry</t>
  </si>
  <si>
    <t>Louvolite Carnival Light Filtering Navy</t>
  </si>
  <si>
    <t>Louvolite Carnival Light Filtering Ochre</t>
  </si>
  <si>
    <t>Louvolite Carnival Light Filtering Pacific</t>
  </si>
  <si>
    <t>Louvolite Carnival Light Filtering Paloma</t>
  </si>
  <si>
    <t>Louvolite Carnival Light Filtering Papaya</t>
  </si>
  <si>
    <t>Louvolite Carnival Light Filtering Peony</t>
  </si>
  <si>
    <t>Louvolite Carnival Light Filtering Pewter</t>
  </si>
  <si>
    <t>Louvolite Carnival Light Filtering Powder Blue</t>
  </si>
  <si>
    <t>Louvolite Carnival Light Filtering Praline</t>
  </si>
  <si>
    <t>Louvolite Carnival Light Filtering Purple</t>
  </si>
  <si>
    <t>Louvolite Carnival Light Filtering Raven</t>
  </si>
  <si>
    <t>Louvolite Carnival Light Filtering Royal</t>
  </si>
  <si>
    <t>Louvolite Carnival Light Filtering Scuba</t>
  </si>
  <si>
    <t>Louvolite Carnival Light Filtering Sky</t>
  </si>
  <si>
    <t>Louvolite Carnival Light Filtering Spring Green</t>
  </si>
  <si>
    <t>Louvolite Carnival Light Filtering Sunset</t>
  </si>
  <si>
    <t>Louvolite Carnival Light Filtering Taupe</t>
  </si>
  <si>
    <t>Louvolite Carnival Light Filtering TBA</t>
  </si>
  <si>
    <t>Louvolite Carnival Light Filtering Truffle</t>
  </si>
  <si>
    <t>Louvolite Carnival Light Filtering Willow</t>
  </si>
  <si>
    <t>Shaw Fabrics Chatsworth Light Filtering Cavlar</t>
  </si>
  <si>
    <t>Shaw Fabrics Chatsworth Light Filtering Doe</t>
  </si>
  <si>
    <t>Shaw Fabrics Chatsworth Light Filtering Espresso</t>
  </si>
  <si>
    <t>Shaw Fabrics Chatsworth Light Filtering Glow</t>
  </si>
  <si>
    <t>Shaw Fabrics Chatsworth Light Filtering Halo</t>
  </si>
  <si>
    <t>Shaw Fabrics Chatsworth Light Filtering Icicle</t>
  </si>
  <si>
    <t>Shaw Fabrics Chatsworth Light Filtering Mirage</t>
  </si>
  <si>
    <t>Shaw Fabrics Chatsworth Light Filtering Nutmeg</t>
  </si>
  <si>
    <t>Shaw Fabrics Chatsworth Light Filtering Oasis</t>
  </si>
  <si>
    <t>Shaw Fabrics Chatsworth Light Filtering Oyster</t>
  </si>
  <si>
    <t>Shaw Fabrics Chatsworth Light Filtering Pearl</t>
  </si>
  <si>
    <t>Shaw Fabrics Chatsworth Light Filtering TBA</t>
  </si>
  <si>
    <t>Shaw Fabrics Chatsworth Light Filtering Walnut</t>
  </si>
  <si>
    <t>Hunter Douglas Chester Translucent TBA</t>
  </si>
  <si>
    <t>Hunter Douglas Chester Translucent Adobe</t>
  </si>
  <si>
    <t>Hunter Douglas Chester Translucent Scandi</t>
  </si>
  <si>
    <t>Hunter Douglas Chester Translucent Cedar</t>
  </si>
  <si>
    <t>Hunter Douglas Chester Translucent Felt</t>
  </si>
  <si>
    <t>Hunter Douglas Chester Translucent Metro</t>
  </si>
  <si>
    <t>Hunter Douglas Chester Translucent Crude</t>
  </si>
  <si>
    <t>Louvolite Cheviot Light Filtering TBA</t>
  </si>
  <si>
    <t>Louvolite Como Light Filtering TBA</t>
  </si>
  <si>
    <t>Wilson Fabrics Concord II Light Filtering Antique</t>
  </si>
  <si>
    <t>Wilson Fabrics Concord II Light Filtering Ash</t>
  </si>
  <si>
    <t>Wilson Fabrics Concord II Light Filtering Concrete</t>
  </si>
  <si>
    <t>Wilson Fabrics Concord II Light Filtering Ecru</t>
  </si>
  <si>
    <t>Wilson Fabrics Concord II Light Filtering Egret</t>
  </si>
  <si>
    <t>Wilson Fabrics Concord II Light Filtering Fog</t>
  </si>
  <si>
    <t>Wilson Fabrics Concord II Light Filtering Ironbark</t>
  </si>
  <si>
    <t>Wilson Fabrics Concord II Light Filtering Pebble</t>
  </si>
  <si>
    <t>Wilson Fabrics Concord II Light Filtering Silver</t>
  </si>
  <si>
    <t>Wilson Fabrics Concord II Light Filtering Slate</t>
  </si>
  <si>
    <t>Wilson Fabrics Concord II Light Filtering Stone</t>
  </si>
  <si>
    <t>Wilson Fabrics Concord II Light Filtering TBA</t>
  </si>
  <si>
    <t>Louvolite Crush Light Filtering TBA</t>
  </si>
  <si>
    <t>Shaw Fabrics Duo Light Filtering Bright White</t>
  </si>
  <si>
    <t>Shaw Fabrics Duo Light Filtering Mid Grey</t>
  </si>
  <si>
    <t>Shaw Fabrics Duo Light Filtering TBA</t>
  </si>
  <si>
    <t>Shaw Fabrics Duo Light Filtering Warm White</t>
  </si>
  <si>
    <t>Hunter Douglas Elements Translucent TBA</t>
  </si>
  <si>
    <t>Hunter Douglas Elements Translucent White</t>
  </si>
  <si>
    <t>Hunter Douglas Elements Translucent Pearl</t>
  </si>
  <si>
    <t>Hunter Douglas Elements Translucent Linen</t>
  </si>
  <si>
    <t>Hunter Douglas Elements Translucent Weathered Stone</t>
  </si>
  <si>
    <t>Hunter Douglas Elements Translucent Storm Wheat BV</t>
  </si>
  <si>
    <t>Hunter Douglas Elements Translucent Midnight Storm</t>
  </si>
  <si>
    <t>Hunter Douglas Elements Translucent Zurich</t>
  </si>
  <si>
    <t>Hunter Douglas Elements Translucent Pure White</t>
  </si>
  <si>
    <t>Texstyle Enviroshade Light Filtering Arctic (Metallised)</t>
  </si>
  <si>
    <t>Texstyle Enviroshade Light Filtering Arctic (Non Metallised)</t>
  </si>
  <si>
    <t>Texstyle Enviroshade Light Filtering Beige (Metallised)</t>
  </si>
  <si>
    <t>Texstyle Enviroshade Light Filtering Beige (Non Metallised)</t>
  </si>
  <si>
    <t>Texstyle Enviroshade Light Filtering Bronze/Pearl (Metallised)</t>
  </si>
  <si>
    <t>Texstyle Enviroshade Light Filtering Bronze/Pearl (Non Metallised)</t>
  </si>
  <si>
    <t>Texstyle Enviroshade Light Filtering Icon (Metallised)</t>
  </si>
  <si>
    <t>Texstyle Enviroshade Light Filtering Icon (Non Metallised)</t>
  </si>
  <si>
    <t>Texstyle Enviroshade Light Filtering Mercury (Metallised)</t>
  </si>
  <si>
    <t>Texstyle Enviroshade Light Filtering Mercury (Non Metallised)</t>
  </si>
  <si>
    <t>Texstyle Enviroshade Light Filtering Raven (Metallised)</t>
  </si>
  <si>
    <t>Texstyle Enviroshade Light Filtering Raven (Non Metallised)</t>
  </si>
  <si>
    <t>Texstyle Enviroshade Light Filtering Shimmer (Metallised)</t>
  </si>
  <si>
    <t>Texstyle Enviroshade Light Filtering Shimmer (Non Metallised)</t>
  </si>
  <si>
    <t>Texstyle Enviroshade Light Filtering Stone (Metallised)</t>
  </si>
  <si>
    <t>Texstyle Enviroshade Light Filtering Stone (Non Metallised)</t>
  </si>
  <si>
    <t>Texstyle Enviroshade Light Filtering TBA (Metallised)</t>
  </si>
  <si>
    <t>Texstyle Enviroshade Light Filtering TBA (Non Metallised)</t>
  </si>
  <si>
    <t>Texstyle Enviroshade Light Filtering Walnut (Metallised)</t>
  </si>
  <si>
    <t>Texstyle Enviroshade Light Filtering Walnut (Non Metallised)</t>
  </si>
  <si>
    <t>Four Families Euro St Lucia Light Filtering Bianca</t>
  </si>
  <si>
    <t>Four Families Euro St Lucia Light Filtering Charcoal</t>
  </si>
  <si>
    <t>Four Families Euro St Lucia Light Filtering Ice</t>
  </si>
  <si>
    <t>Four Families Euro St Lucia Light Filtering Silver</t>
  </si>
  <si>
    <t>Four Families Euro St Lucia Light Filtering Steel</t>
  </si>
  <si>
    <t>Four Families Euro St Lucia Light Filtering Stones</t>
  </si>
  <si>
    <t>Four Families Euro St Lucia Light Filtering TBA</t>
  </si>
  <si>
    <t>Four Families Euro St Lucia Light Filtering White</t>
  </si>
  <si>
    <t>Maurice Kain Euro St Lucia Light Filtering Bianca</t>
  </si>
  <si>
    <t>Maurice Kain Euro St Lucia Light Filtering Charcoal</t>
  </si>
  <si>
    <t>Maurice Kain Euro St Lucia Light Filtering Ice</t>
  </si>
  <si>
    <t>Maurice Kain Euro St Lucia Light Filtering Silver</t>
  </si>
  <si>
    <t>Maurice Kain Euro St Lucia Light Filtering Steel</t>
  </si>
  <si>
    <t>Maurice Kain Euro St Lucia Light Filtering Stone</t>
  </si>
  <si>
    <t>Maurice Kain Euro St Lucia Light Filtering TBA</t>
  </si>
  <si>
    <t>Maurice Kain Euro St Lucia Light Filtering White</t>
  </si>
  <si>
    <t>Louvolite Flores Light Filtering TBA</t>
  </si>
  <si>
    <t>Louvolite Grove Light Filtering TBA</t>
  </si>
  <si>
    <t>Louvolite Hampton Light Filtering TBA</t>
  </si>
  <si>
    <t>Wilson Fabrics Husk II Light Filtering Granite</t>
  </si>
  <si>
    <t>Wilson Fabrics Husk II Light Filtering Grey</t>
  </si>
  <si>
    <t>Wilson Fabrics Husk II Light Filtering Ironbark</t>
  </si>
  <si>
    <t>Wilson Fabrics Husk II Light Filtering Latte</t>
  </si>
  <si>
    <t>Wilson Fabrics Husk II Light Filtering Linen</t>
  </si>
  <si>
    <t>Wilson Fabrics Husk II Light Filtering Parchment</t>
  </si>
  <si>
    <t>Wilson Fabrics Husk II Light Filtering Pearl</t>
  </si>
  <si>
    <t>Wilson Fabrics Husk II Light Filtering Platinum</t>
  </si>
  <si>
    <t>Wilson Fabrics Husk II Light Filtering Shark</t>
  </si>
  <si>
    <t>Wilson Fabrics Husk II Light Filtering Silver</t>
  </si>
  <si>
    <t>Wilson Fabrics Husk II Light Filtering Snow</t>
  </si>
  <si>
    <t>Wilson Fabrics Husk II Light Filtering Snowgum</t>
  </si>
  <si>
    <t>Louvolite Ikat Light Filtering TBA</t>
  </si>
  <si>
    <t>Louvolite Iona Light Filtering TBA</t>
  </si>
  <si>
    <t>Texstyle Jersey Light Filtering Opal</t>
  </si>
  <si>
    <t>Texstyle Jersey Light Filtering Organic</t>
  </si>
  <si>
    <t>Texstyle Jersey Light Filtering Pavement</t>
  </si>
  <si>
    <t>Texstyle Jersey Light Filtering Render</t>
  </si>
  <si>
    <t>Texstyle Jersey Light Filtering Steel</t>
  </si>
  <si>
    <t>Texstyle Jersey Light Filtering Stone</t>
  </si>
  <si>
    <t>Texstyle Jersey Light Filtering TBA</t>
  </si>
  <si>
    <t>Texstyle Jersey Light Filtering Timber</t>
  </si>
  <si>
    <t>Texstyle Jersey Light Filtering Lace</t>
  </si>
  <si>
    <t>Texstyle Jersey Light Filtering Mink</t>
  </si>
  <si>
    <t>Texstyle Jersey Light Filtering Ashen</t>
  </si>
  <si>
    <t>Texstyle Jersey Light Filtering Willow</t>
  </si>
  <si>
    <t>Texstyle Jersey Light Filtering Cinder</t>
  </si>
  <si>
    <t>Texstyle Jersey Light Filtering Sable</t>
  </si>
  <si>
    <t>Texstyle Jersey Light Filtering Basalt</t>
  </si>
  <si>
    <t>Texstyle Jersey Light Filtering Ember</t>
  </si>
  <si>
    <t>Hunter Douglas Kenross Translucent TBA</t>
  </si>
  <si>
    <t>Hunter Douglas Kenross Translucent Lace</t>
  </si>
  <si>
    <t>Hunter Douglas Kenross Translucent Light Cream</t>
  </si>
  <si>
    <t>Hunter Douglas Kenross Translucent Gazelle</t>
  </si>
  <si>
    <t>Hunter Douglas Kenross Translucent Fog</t>
  </si>
  <si>
    <t>Hunter Douglas Kenross Translucent Natural</t>
  </si>
  <si>
    <t>Hunter Douglas Kenross Translucent Haze</t>
  </si>
  <si>
    <t>Hunter Douglas Kenross Translucent Dove</t>
  </si>
  <si>
    <t>Hunter Douglas Kenross Translucent Slate</t>
  </si>
  <si>
    <t>Hunter Douglas Kenross Translucent Graphite</t>
  </si>
  <si>
    <t>Louvolite Kenzo Light Filtering TBA</t>
  </si>
  <si>
    <t>Shaw Fabrics Le Reve Light Filtering Chalk</t>
  </si>
  <si>
    <t>Shaw Fabrics Le Reve Light Filtering Concrete</t>
  </si>
  <si>
    <t>Shaw Fabrics Le Reve Light Filtering Crystal</t>
  </si>
  <si>
    <t>Shaw Fabrics Le Reve Light Filtering Graphite</t>
  </si>
  <si>
    <t>Shaw Fabrics Le Reve Light Filtering Marble</t>
  </si>
  <si>
    <t>Shaw Fabrics Le Reve Light Filtering Mink</t>
  </si>
  <si>
    <t>Shaw Fabrics Le Reve Light Filtering Onyx</t>
  </si>
  <si>
    <t>Shaw Fabrics Le Reve Light Filtering Pewter</t>
  </si>
  <si>
    <t>Shaw Fabrics Le Reve Light Filtering Sand</t>
  </si>
  <si>
    <t>Shaw Fabrics Le Reve Light Filtering Shell</t>
  </si>
  <si>
    <t>Shaw Fabrics Le Reve Light Filtering TBA</t>
  </si>
  <si>
    <t>Louvolite Lily Light Filtering TBA</t>
  </si>
  <si>
    <t>Louvolite Lily Light Filtering Mellow Sage</t>
  </si>
  <si>
    <t>Shaw Fabrics Linesque Light Filtering Chestnut</t>
  </si>
  <si>
    <t>Shaw Fabrics Linesque Light Filtering Delta</t>
  </si>
  <si>
    <t>Shaw Fabrics Linesque Light Filtering Granite</t>
  </si>
  <si>
    <t>Shaw Fabrics Linesque Light Filtering Hazelnut</t>
  </si>
  <si>
    <t>Shaw Fabrics Linesque Light Filtering Levi</t>
  </si>
  <si>
    <t>Shaw Fabrics Linesque Light Filtering Lily</t>
  </si>
  <si>
    <t>Shaw Fabrics Linesque Light Filtering Oatcake</t>
  </si>
  <si>
    <t>Shaw Fabrics Linesque Light Filtering Owl</t>
  </si>
  <si>
    <t>Shaw Fabrics Linesque Light Filtering Stonewash</t>
  </si>
  <si>
    <t>Shaw Fabrics Linesque Light Filtering TBA</t>
  </si>
  <si>
    <t>Shaw Fabrics Linesque Light Filtering Trellis</t>
  </si>
  <si>
    <t>Shaw Fabrics Linesque Light Filtering Wicker</t>
  </si>
  <si>
    <t>Shaw Fabrics Linesque Light Filtering Winter</t>
  </si>
  <si>
    <t>Shaw Fabrics Mantra Light Filtering Cotton</t>
  </si>
  <si>
    <t>Shaw Fabrics Mantra Light Filtering Parchment</t>
  </si>
  <si>
    <t>Shaw Fabrics Mantra Light Filtering Seagrass</t>
  </si>
  <si>
    <t>Shaw Fabrics Mantra Light Filtering Seed Pearl</t>
  </si>
  <si>
    <t>Shaw Fabrics Mantra Light Filtering Sesame</t>
  </si>
  <si>
    <t>Shaw Fabrics Mantra Light Filtering TBA</t>
  </si>
  <si>
    <t>Shaw Fabrics Mantra Light Filtering Pebble</t>
  </si>
  <si>
    <t>Wilson Fabrics Marley Light Filtering Charcoal</t>
  </si>
  <si>
    <t>Wilson Fabrics Marley Light Filtering Fossil</t>
  </si>
  <si>
    <t>Wilson Fabrics Marley Light Filtering Natural</t>
  </si>
  <si>
    <t>Wilson Fabrics Marley Light Filtering Ocean</t>
  </si>
  <si>
    <t>Wilson Fabrics Marley Light Filtering Pewter</t>
  </si>
  <si>
    <t>Wilson Fabrics Marley Light Filtering Steel</t>
  </si>
  <si>
    <t>Wilson Fabrics Marley Light Filtering Stone</t>
  </si>
  <si>
    <t>Wilson Fabrics Marley Light Filtering TBA</t>
  </si>
  <si>
    <t>Wilson Fabrics Marley Light Filtering White</t>
  </si>
  <si>
    <t>Wilson Fabrics Matrix Light Filtering Coffee</t>
  </si>
  <si>
    <t>Wilson Fabrics Matrix Light Filtering Ebony</t>
  </si>
  <si>
    <t>Wilson Fabrics Matrix Light Filtering Grey</t>
  </si>
  <si>
    <t>Wilson Fabrics Matrix Light Filtering Ivory</t>
  </si>
  <si>
    <t>Wilson Fabrics Matrix Light Filtering Mink</t>
  </si>
  <si>
    <t>Wilson Fabrics Matrix Light Filtering Pearl</t>
  </si>
  <si>
    <t>Wilson Fabrics Matrix Light Filtering Pewter</t>
  </si>
  <si>
    <t>Wilson Fabrics Matrix Light Filtering Pristine</t>
  </si>
  <si>
    <t>Wilson Fabrics Matrix Light Filtering Stone</t>
  </si>
  <si>
    <t>Wilson Fabrics Matrix Light Filtering TBA</t>
  </si>
  <si>
    <t>Wilson Fabrics Matrix Light Filtering White</t>
  </si>
  <si>
    <t>Wilson Fabrics Mercury II Light Filtering Ash</t>
  </si>
  <si>
    <t>Wilson Fabrics Mercury II Light Filtering Black</t>
  </si>
  <si>
    <t>Wilson Fabrics Mercury II Light Filtering Chinchilla</t>
  </si>
  <si>
    <t>Wilson Fabrics Mercury II Light Filtering Cinder</t>
  </si>
  <si>
    <t>Wilson Fabrics Mercury II Light Filtering Cream</t>
  </si>
  <si>
    <t>Wilson Fabrics Mercury II Light Filtering Ironbark</t>
  </si>
  <si>
    <t>Wilson Fabrics Mercury II Light Filtering Silver</t>
  </si>
  <si>
    <t>Wilson Fabrics Mercury II Light Filtering Snow</t>
  </si>
  <si>
    <t>Wilson Fabrics Mercury II Light Filtering Snowgum</t>
  </si>
  <si>
    <t>Wilson Fabrics Mercury II Light Filtering Steel</t>
  </si>
  <si>
    <t>Wilson Fabrics Mercury II Light Filtering Stone</t>
  </si>
  <si>
    <t>Wilson Fabrics Mercury II Light Filtering TBA</t>
  </si>
  <si>
    <t>Wilson Fabrics Mercury II Light Filtering White</t>
  </si>
  <si>
    <t>Texstyle Metroshade Light Filtering Dove/White</t>
  </si>
  <si>
    <t>Texstyle Metroshade Light Filtering Ecru</t>
  </si>
  <si>
    <t>Texstyle Metroshade Light Filtering Ice Grey</t>
  </si>
  <si>
    <t>Texstyle Metroshade Light Filtering Moonstone</t>
  </si>
  <si>
    <t>Texstyle Metroshade Light Filtering Nougat</t>
  </si>
  <si>
    <t>Texstyle Metroshade Light Filtering Quill</t>
  </si>
  <si>
    <t>Texstyle Metroshade Light Filtering TBA</t>
  </si>
  <si>
    <t>Wilson Fabrics Moma Light Filtering Black</t>
  </si>
  <si>
    <t>Wilson Fabrics Moma Light Filtering Iron</t>
  </si>
  <si>
    <t>Wilson Fabrics Moma Light Filtering Shitake</t>
  </si>
  <si>
    <t>Wilson Fabrics Moma Light Filtering Snow</t>
  </si>
  <si>
    <t>Wilson Fabrics Moma Light Filtering Stone</t>
  </si>
  <si>
    <t>Wilson Fabrics Moma Light Filtering TBA</t>
  </si>
  <si>
    <t>Wilson Fabrics Moma Light Filtering White</t>
  </si>
  <si>
    <t>Louvolite Monterey Light Filtering TBA</t>
  </si>
  <si>
    <t>Shaw Fabrics Orora FR Sheer Biscotti</t>
  </si>
  <si>
    <t>Shaw Fabrics Orora FR Sheer Chia</t>
  </si>
  <si>
    <t>Shaw Fabrics Orora FR Sheer Frost</t>
  </si>
  <si>
    <t>Shaw Fabrics Orora FR Sheer Merlin</t>
  </si>
  <si>
    <t>Shaw Fabrics Orora FR Sheer Osprey</t>
  </si>
  <si>
    <t>Shaw Fabrics Orora FR Sheer Pearl</t>
  </si>
  <si>
    <t>Shaw Fabrics Orora FR Sheer Steel</t>
  </si>
  <si>
    <t>Shaw Fabrics Orora FR Sheer Stone Wash</t>
  </si>
  <si>
    <t>Shaw Fabrics Orora FR Sheer TBA</t>
  </si>
  <si>
    <t>Shaw Fabrics Orora FR Sheer Wild Rice</t>
  </si>
  <si>
    <t>Louvolite Oslo Light Filtering TBA</t>
  </si>
  <si>
    <t>Louvolite Oxley Light Filtering TBA</t>
  </si>
  <si>
    <t>Shaw Fabrics Palm Beach Light Filtering Angora</t>
  </si>
  <si>
    <t>Shaw Fabrics Palm Beach Light Filtering Horizon</t>
  </si>
  <si>
    <t>Shaw Fabrics Palm Beach Light Filtering Ink</t>
  </si>
  <si>
    <t>Shaw Fabrics Palm Beach Light Filtering Melody</t>
  </si>
  <si>
    <t>Shaw Fabrics Palm Beach Light Filtering Monsoon</t>
  </si>
  <si>
    <t>Shaw Fabrics Palm Beach Light Filtering Pearl</t>
  </si>
  <si>
    <t>Shaw Fabrics Palm Beach Light Filtering Steel</t>
  </si>
  <si>
    <t>Shaw Fabrics Palm Beach Light Filtering TBA</t>
  </si>
  <si>
    <t>Texstyle Sanctuary Light Filtering Plaster</t>
  </si>
  <si>
    <t>Texstyle Sanctuary Light Filtering Marble</t>
  </si>
  <si>
    <t>Texstyle Sanctuary Light Filtering Limestone</t>
  </si>
  <si>
    <t>Texstyle Sanctuary Light Filtering Ceramic</t>
  </si>
  <si>
    <t>Texstyle Sanctuary Light Filtering Truffle</t>
  </si>
  <si>
    <t>Texstyle Sanctuary Light Filtering Fossil</t>
  </si>
  <si>
    <t>Texstyle Sanctuary Light Filtering Suede</t>
  </si>
  <si>
    <t>Texstyle Sanctuary Light Filtering Mineral</t>
  </si>
  <si>
    <t>Texstyle Sanctuary Light Filtering Slate</t>
  </si>
  <si>
    <t>Texstyle Sanctuary Light Filtering Baltic</t>
  </si>
  <si>
    <t>Texstyle Sanctuary Light Filtering Lava</t>
  </si>
  <si>
    <t>Lava</t>
  </si>
  <si>
    <t>Texstyle Sanctuary Light Filtering TBA</t>
  </si>
  <si>
    <t>Maurice Kain SB-Southport Light Filtering Arctic</t>
  </si>
  <si>
    <t>Maurice Kain SB-Southport Light Filtering Ash</t>
  </si>
  <si>
    <t>Maurice Kain SB-Southport Light Filtering Baltic Sea</t>
  </si>
  <si>
    <t>Maurice Kain SB-Southport Light Filtering Blackjack</t>
  </si>
  <si>
    <t>Maurice Kain SB-Southport Light Filtering Bounty</t>
  </si>
  <si>
    <t>Maurice Kain SB-Southport Light Filtering Cream</t>
  </si>
  <si>
    <t>Maurice Kain SB-Southport Light Filtering Cumulus</t>
  </si>
  <si>
    <t>Maurice Kain SB-Southport Light Filtering Dusk</t>
  </si>
  <si>
    <t>Maurice Kain SB-Southport Light Filtering Fog</t>
  </si>
  <si>
    <t>Maurice Kain SB-Southport Light Filtering Iron</t>
  </si>
  <si>
    <t>Maurice Kain SB-Southport Light Filtering Linen</t>
  </si>
  <si>
    <t>Maurice Kain SB-Southport Light Filtering Merino</t>
  </si>
  <si>
    <t>Maurice Kain SB-Southport Light Filtering Porcelain</t>
  </si>
  <si>
    <t>Maurice Kain SB-Southport Light Filtering Putty</t>
  </si>
  <si>
    <t>Maurice Kain SB-Southport Light Filtering Seal</t>
  </si>
  <si>
    <t>Maurice Kain SB-Southport Light Filtering Spray</t>
  </si>
  <si>
    <t>Maurice Kain SB-Southport Light Filtering Stone</t>
  </si>
  <si>
    <t>Maurice Kain SB-Southport Light Filtering Storm</t>
  </si>
  <si>
    <t>Maurice Kain SB-Southport Light Filtering TBA</t>
  </si>
  <si>
    <t>Maurice Kain SB-Southport Light Filtering Tea</t>
  </si>
  <si>
    <t>Hunter Douglas Scarborough Translucent TBA</t>
  </si>
  <si>
    <t>Hunter Douglas Scarborough Translucent Sugar</t>
  </si>
  <si>
    <t>Hunter Douglas Scarborough Translucent Sorbet</t>
  </si>
  <si>
    <t>Hunter Douglas Scarborough Translucent Biscuit</t>
  </si>
  <si>
    <t>Hunter Douglas Scarborough Translucent Oyster</t>
  </si>
  <si>
    <t>Hunter Douglas Scarborough Translucent Pepper</t>
  </si>
  <si>
    <t>Hunter Douglas Scarborough Translucent Trecale</t>
  </si>
  <si>
    <t>Hunter Douglas Scarborough Translucent Cocoa</t>
  </si>
  <si>
    <t>Hunter Douglas Scarborough Translucent Liquorice</t>
  </si>
  <si>
    <t>Texstyle Serengetti Light Filtering Albatross</t>
  </si>
  <si>
    <t>Texstyle Serengetti Light Filtering Antelope</t>
  </si>
  <si>
    <t>Texstyle Serengetti Light Filtering Caribou</t>
  </si>
  <si>
    <t>Texstyle Serengetti Light Filtering Chamois</t>
  </si>
  <si>
    <t>Texstyle Serengetti Light Filtering Eland</t>
  </si>
  <si>
    <t>Texstyle Serengetti Light Filtering Hyrax</t>
  </si>
  <si>
    <t>Texstyle Serengetti Light Filtering Jackal</t>
  </si>
  <si>
    <t>Texstyle Serengetti Light Filtering Llama</t>
  </si>
  <si>
    <t>Texstyle Serengetti Light Filtering Mamba</t>
  </si>
  <si>
    <t>Texstyle Serengetti Light Filtering Onyx</t>
  </si>
  <si>
    <t>Texstyle Serengetti Light Filtering Owl</t>
  </si>
  <si>
    <t>Texstyle Serengetti Light Filtering Panther</t>
  </si>
  <si>
    <t>Texstyle Serengetti Light Filtering Polar</t>
  </si>
  <si>
    <t>Texstyle Serengetti Light Filtering TBA</t>
  </si>
  <si>
    <t>Shaw Fabrics Skye Light Filtering Blazer</t>
  </si>
  <si>
    <t>Shaw Fabrics Skye Light Filtering Chiffon</t>
  </si>
  <si>
    <t>Shaw Fabrics Skye Light Filtering Chrome</t>
  </si>
  <si>
    <t>Shaw Fabrics Skye Light Filtering Earl Grey</t>
  </si>
  <si>
    <t>Shaw Fabrics Skye Light Filtering Oyster</t>
  </si>
  <si>
    <t>Shaw Fabrics Skye Light Filtering Porcelain</t>
  </si>
  <si>
    <t>Shaw Fabrics Skye Light Filtering Raven</t>
  </si>
  <si>
    <t>Shaw Fabrics Skye Light Filtering Sail</t>
  </si>
  <si>
    <t>Shaw Fabrics Skye Light Filtering Swan</t>
  </si>
  <si>
    <t>Shaw Fabrics Spectre Sheer Cotswold</t>
  </si>
  <si>
    <t>Shaw Fabrics Spectre Sheer Cumin</t>
  </si>
  <si>
    <t>Shaw Fabrics Spectre Sheer Driftwood</t>
  </si>
  <si>
    <t>Shaw Fabrics Spectre Sheer Ebony</t>
  </si>
  <si>
    <t>Shaw Fabrics Spectre Sheer Flaxen</t>
  </si>
  <si>
    <t>Shaw Fabrics Spectre Sheer Iron</t>
  </si>
  <si>
    <t>Shaw Fabrics Spectre Sheer Ombre</t>
  </si>
  <si>
    <t>Shaw Fabrics Spectre Sheer Pepper</t>
  </si>
  <si>
    <t>Shaw Fabrics Spectre Sheer Quarry</t>
  </si>
  <si>
    <t>Shaw Fabrics Spectre Sheer Seaspray</t>
  </si>
  <si>
    <t>Shaw Fabrics Spectre Sheer TBA</t>
  </si>
  <si>
    <t>Shaw Fabrics Spectre Sheer WoodSmoke</t>
  </si>
  <si>
    <t>Four Families St Lucia Light Filtering Ivory</t>
  </si>
  <si>
    <t>Four Families St Lucia Light Filtering White</t>
  </si>
  <si>
    <t>Four Families St Lucia Light Filtering TBA</t>
  </si>
  <si>
    <t>Louvolite Swedish Birch Light Filtering TBA</t>
  </si>
  <si>
    <t>Louvolite Sweet Pea Light Filtering TBA</t>
  </si>
  <si>
    <t>Louvolite Sweet Pea Light Filtering Dew</t>
  </si>
  <si>
    <t>Wilson Fabrics Sydney Light Filtering Charcoal</t>
  </si>
  <si>
    <t>Wilson Fabrics Sydney Light Filtering Dark Grey</t>
  </si>
  <si>
    <t>Wilson Fabrics Sydney Light Filtering Linen</t>
  </si>
  <si>
    <t>Wilson Fabrics Sydney Light Filtering Mist</t>
  </si>
  <si>
    <t>Wilson Fabrics Sydney Light Filtering Natural</t>
  </si>
  <si>
    <t>Wilson Fabrics Sydney Light Filtering Silver</t>
  </si>
  <si>
    <t>Wilson Fabrics Sydney Light Filtering Snow</t>
  </si>
  <si>
    <t>Wilson Fabrics Sydney Light Filtering TBA</t>
  </si>
  <si>
    <t>Sonata Symphony Light Filtering White</t>
  </si>
  <si>
    <t>Uniline Tapestry Light Filtering TBA</t>
  </si>
  <si>
    <t>Uniline Tapestry Light Filtering Cloud</t>
  </si>
  <si>
    <t>Uniline Tapestry Light Filtering White Wash</t>
  </si>
  <si>
    <t>Uniline Tapestry Light Filtering Seagull</t>
  </si>
  <si>
    <t>Uniline Tapestry Light Filtering Buff</t>
  </si>
  <si>
    <t>Uniline Tapestry Light Filtering Concrete</t>
  </si>
  <si>
    <t>Uniline Tapestry Light Filtering Portland</t>
  </si>
  <si>
    <t>Uniline Tapestry Light Filtering Dove</t>
  </si>
  <si>
    <t>Uniline Tapestry Light Filtering Gunmetal</t>
  </si>
  <si>
    <t>Uniline Tapestry Light Filtering Tuxedo</t>
  </si>
  <si>
    <t>Wilson Fabrics Thredbo Translucent Snow</t>
  </si>
  <si>
    <t>Whtie</t>
  </si>
  <si>
    <t>Wilson Fabrics Thredbo Translucent White</t>
  </si>
  <si>
    <t>Wilson Fabrics Thredbo Translucent Ivory</t>
  </si>
  <si>
    <t>Wilson Fabrics Thredbo Translucent Pearl</t>
  </si>
  <si>
    <t>Wilson Fabrics Thredbo Translucent Snowgum</t>
  </si>
  <si>
    <t>Wilson Fabrics Thredbo Translucent Vanilla</t>
  </si>
  <si>
    <t>Wilson Fabrics Thredbo Translucent Cloud</t>
  </si>
  <si>
    <t>Wilson Fabrics Thredbo Translucent Ice Grey</t>
  </si>
  <si>
    <t>Wilson Fabrics Thredbo Translucent Mink</t>
  </si>
  <si>
    <t>Wilson Fabrics Thredbo Translucent Chrome</t>
  </si>
  <si>
    <t>Wilson Fabrics Thredbo Translucent Shark</t>
  </si>
  <si>
    <t>Wilson Fabrics Thredbo Translucent Jet</t>
  </si>
  <si>
    <t>Wilson Fabrics Thredbo Translucent Charcoal</t>
  </si>
  <si>
    <t>Wilson Fabrics Thredbo Translucent Ebony</t>
  </si>
  <si>
    <t>Wilson Fabrics Thredbo Translucent TBA</t>
  </si>
  <si>
    <t>Wilson Fabrics Tuscany II Light Filtering Ash</t>
  </si>
  <si>
    <t>Wilson Fabrics Tuscany II Light Filtering Charcoal</t>
  </si>
  <si>
    <t>Wilson Fabrics Tuscany II Light Filtering Eggshell</t>
  </si>
  <si>
    <t>Wilson Fabrics Tuscany II Light Filtering Granite</t>
  </si>
  <si>
    <t>Wilson Fabrics Tuscany II Light Filtering Linen</t>
  </si>
  <si>
    <t>Wilson Fabrics Tuscany II Light Filtering Mink</t>
  </si>
  <si>
    <t>Wilson Fabrics Tuscany II Light Filtering Natural</t>
  </si>
  <si>
    <t>Wilson Fabrics Tuscany II Light Filtering Parchment</t>
  </si>
  <si>
    <t>Wilson Fabrics Tuscany II Light Filtering Pewter</t>
  </si>
  <si>
    <t>Wilson Fabrics Tuscany II Light Filtering Silver</t>
  </si>
  <si>
    <t>Wilson Fabrics Tuscany II Light Filtering White</t>
  </si>
  <si>
    <t>Hunter Douglas Westman Translucent TBA</t>
  </si>
  <si>
    <t>Hunter Douglas Westman Translucent Mist</t>
  </si>
  <si>
    <t>Hunter Douglas Westman Translucent Canvas</t>
  </si>
  <si>
    <t>Hunter Douglas Westman Translucent Aqua</t>
  </si>
  <si>
    <t>Hunter Douglas Westman Translucent Stone</t>
  </si>
  <si>
    <t>Hunter Douglas Westman Translucent Shark</t>
  </si>
  <si>
    <t>Wilson Fabrics Whitsundays Light Filtering Arctic White</t>
  </si>
  <si>
    <t>Wilson Fabrics Whitsundays Light Filtering Whitewash</t>
  </si>
  <si>
    <t>Wilson Fabrics Whitsundays Light Filtering Blonde</t>
  </si>
  <si>
    <t>Wilson Fabrics Whitsundays Light Filtering Morning</t>
  </si>
  <si>
    <t>Wilson Fabrics Whitsundays Light Filtering Marble</t>
  </si>
  <si>
    <t>Wilson Fabrics Whitsundays Light Filtering Flaxen</t>
  </si>
  <si>
    <t>Wilson Fabrics Whitsundays Light Filtering Clay</t>
  </si>
  <si>
    <t>Wilson Fabrics Whitsundays Light Filtering Hampton Blue</t>
  </si>
  <si>
    <t>Wilson Fabrics Whitsundays Light Filtering Silver Gum</t>
  </si>
  <si>
    <t>Wilson Fabrics Whitsundays Light Filtering Gravel</t>
  </si>
  <si>
    <t>Wilson Fabrics Whitsundays Light Filtering TBA</t>
  </si>
  <si>
    <t>Hunter Douglas Willandra Light Filtering TBA</t>
  </si>
  <si>
    <t>Hunter Douglas Willandra Light Filtering Mist</t>
  </si>
  <si>
    <t>Hunter Douglas Willandra Light Filtering Spirit</t>
  </si>
  <si>
    <t>Hunter Douglas Willandra Light Filtering Smoke</t>
  </si>
  <si>
    <t>Hunter Douglas Willandra Light Filtering Charcoal</t>
  </si>
  <si>
    <t>Hunter Douglas Willandra Light Filtering Whisper</t>
  </si>
  <si>
    <t>Hunter Douglas Willandra Light Filtering Ivory</t>
  </si>
  <si>
    <t>Hunter Douglas Willandra Light Filtering Jarrah</t>
  </si>
  <si>
    <t>Hunter Douglas Willandra Light Filtering Saudi Sand</t>
  </si>
  <si>
    <t>Hunter Douglas Willandra Light Filtering Bison</t>
  </si>
  <si>
    <t>Hunter Douglas Willandra Light Filtering Storm</t>
  </si>
  <si>
    <t>Louvolite Windsor Light Filtering TBA</t>
  </si>
  <si>
    <t>Maurice Kain Woolamai Light Filtering Basalt</t>
  </si>
  <si>
    <t>Maurice Kain Woolamai Light Filtering Cloud</t>
  </si>
  <si>
    <t>Maurice Kain Woolamai Light Filtering Driftwood</t>
  </si>
  <si>
    <t>Maurice Kain Woolamai Light Filtering Onyx</t>
  </si>
  <si>
    <t>Maurice Kain Woolamai Light Filtering Sand</t>
  </si>
  <si>
    <t>Maurice Kain Woolamai Light Filtering Silver</t>
  </si>
  <si>
    <t>Maurice Kain Woolamai Light Filtering Stone</t>
  </si>
  <si>
    <t>Maurice Kain Woolamai Light Filtering Storm</t>
  </si>
  <si>
    <t>Maurice Kain Woolamai Light Filtering TBA</t>
  </si>
  <si>
    <t>Blindware Signum Metallic Sunscreen Anthracite</t>
  </si>
  <si>
    <t>Blindware Signum Metallic Sunscreen Basalt</t>
  </si>
  <si>
    <t>Blindware Signum Metallic Sunscreen Charcoal</t>
  </si>
  <si>
    <t>Blindware Signum Metallic Sunscreen Coffee</t>
  </si>
  <si>
    <t>Blindware Signum Metallic Sunscreen Graphite</t>
  </si>
  <si>
    <t>Blindware Signum Metallic Sunscreen Grass Silk</t>
  </si>
  <si>
    <t>Blindware Signum Metallic Sunscreen Mist</t>
  </si>
  <si>
    <t>Blindware Signum Metallic Sunscreen Oak</t>
  </si>
  <si>
    <t>Blindware Signum Metallic Sunscreen Silver</t>
  </si>
  <si>
    <t>Blindware Signum Metallic Sunscreen Steel</t>
  </si>
  <si>
    <t>Blindware Signum Metallic Sunscreen Storm</t>
  </si>
  <si>
    <t>Blindware Signum Metallic Sunscreen TBA</t>
  </si>
  <si>
    <t>Blindware Signum Metallic Sunscreen Umber</t>
  </si>
  <si>
    <t>Blindware Signum Metallic Sunscreen Vanilla</t>
  </si>
  <si>
    <t>Blindware Signum Metallic Sunscreen White</t>
  </si>
  <si>
    <t>Blindware Signum Sunscreen Anthracite</t>
  </si>
  <si>
    <t>Blindware Signum Sunscreen Basalt</t>
  </si>
  <si>
    <t>Blindware Signum Sunscreen Charcoal</t>
  </si>
  <si>
    <t>Blindware Signum Sunscreen Coffee</t>
  </si>
  <si>
    <t>Blindware Signum Sunscreen Graphite</t>
  </si>
  <si>
    <t>Blindware Signum Sunscreen Grass Silk</t>
  </si>
  <si>
    <t>Blindware Signum Sunscreen Mist</t>
  </si>
  <si>
    <t>Blindware Signum Sunscreen Oak</t>
  </si>
  <si>
    <t>Blindware Signum Sunscreen Steel</t>
  </si>
  <si>
    <t>Blindware Signum Sunscreen Storm</t>
  </si>
  <si>
    <t>Blindware Signum Sunscreen TBA</t>
  </si>
  <si>
    <t>Blindware Signum Sunscreen Umber</t>
  </si>
  <si>
    <t>Blindware Signum Sunscreen Vanilla</t>
  </si>
  <si>
    <t>Blindware Signum Sunscreen White</t>
  </si>
  <si>
    <t>Louvolite Perspective Screen TBA</t>
  </si>
  <si>
    <t>Louvolite Secoura Sunscreen Ash</t>
  </si>
  <si>
    <t>Louvolite Secoura Sunscreen Iron Grey</t>
  </si>
  <si>
    <t>Louvolite Secoura Sunscreen Liquorice</t>
  </si>
  <si>
    <t>Louvolite Secoura Sunscreen Sandstone</t>
  </si>
  <si>
    <t>Louvolite Secoura Sunscreen TBA</t>
  </si>
  <si>
    <t>Louvolite Secoura Sunscreen White</t>
  </si>
  <si>
    <t>Hunter Douglas M Screen Sunscreen Charcoal/Charcoal</t>
  </si>
  <si>
    <t>Hunter Douglas M Screen Sunscreen Charcoal/Cocoa</t>
  </si>
  <si>
    <t>Hunter Douglas M Screen Sunscreen Charcoal/Grey</t>
  </si>
  <si>
    <t>Hunter Douglas M Screen Sunscreen Charcoal/Linen</t>
  </si>
  <si>
    <t>Hunter Douglas M Screen Sunscreen Charcoal/Lotus</t>
  </si>
  <si>
    <t>Hunter Douglas M Screen Sunscreen Charcoal/Pearl-Grey</t>
  </si>
  <si>
    <t>Hunter Douglas M Screen Sunscreen Charcoal/Sable</t>
  </si>
  <si>
    <t>Hunter Douglas M Screen Sunscreen Flagstone</t>
  </si>
  <si>
    <t>Hunter Douglas M Screen Sunscreen Granite</t>
  </si>
  <si>
    <t>Hunter Douglas M Screen Sunscreen Linen/Stone</t>
  </si>
  <si>
    <t>Hunter Douglas M Screen Sunscreen Oyster Shell</t>
  </si>
  <si>
    <t>Hunter Douglas M Screen Sunscreen Pearl/Linen</t>
  </si>
  <si>
    <t>Hunter Douglas M Screen Sunscreen Pearl/Pearl</t>
  </si>
  <si>
    <t>Hunter Douglas M Screen Sunscreen River Rock</t>
  </si>
  <si>
    <t>Hunter Douglas M Screen Sunscreen Silver Frost</t>
  </si>
  <si>
    <t>Hunter Douglas M Screen Sunscreen TBA</t>
  </si>
  <si>
    <t>Hunter Douglas M Screen Sunscreen Tumbleweed</t>
  </si>
  <si>
    <t>Hunter Douglas M Screen Sunscreen White/Linen</t>
  </si>
  <si>
    <t>Hunter Douglas M Screen Sunscreen White/Lotus</t>
  </si>
  <si>
    <t>Hunter Douglas M Screen Sunscreen White/Stone</t>
  </si>
  <si>
    <t>Hunter Douglas M Screen Sunscreen White/White</t>
  </si>
  <si>
    <t>Shaw Fabrics Duo Sunscreen Blue Grey</t>
  </si>
  <si>
    <t>Shaw Fabrics Sheerweave 2390 Perf+ 5% Sunscreen Beige</t>
  </si>
  <si>
    <t>Shaw Fabrics Sheerweave 2390 Perf+ 5% Sunscreen Charcoal</t>
  </si>
  <si>
    <t>Shaw Fabrics Sheerweave 2390 Perf+ 5% Sunscreen Charcoal Chestnut</t>
  </si>
  <si>
    <t>Shaw Fabrics Sheerweave 2390 Perf+ 5% Sunscreen Charcoal Gold</t>
  </si>
  <si>
    <t>Shaw Fabrics Sheerweave 2390 Perf+ 5% Sunscreen Charcoal Grey</t>
  </si>
  <si>
    <t>Shaw Fabrics Sheerweave 2390 Perf+ 5% Sunscreen Oyster</t>
  </si>
  <si>
    <t>Shaw Fabrics Sheerweave 2390 Perf+ 5% Sunscreen Oyster Beige</t>
  </si>
  <si>
    <t>Shaw Fabrics Sheerweave 2390 Perf+ 5% Sunscreen TBA</t>
  </si>
  <si>
    <t>Shaw Fabrics Sheerweave 2410 Perf+ 3% Sunscreen Beige</t>
  </si>
  <si>
    <t>Shaw Fabrics Sheerweave 2410 Perf+ 3% Sunscreen Charcoal</t>
  </si>
  <si>
    <t>Shaw Fabrics Sheerweave 2410 Perf+ 3% Sunscreen Charcoal Chestnut</t>
  </si>
  <si>
    <t>Shaw Fabrics Sheerweave 2410 Perf+ 3% Sunscreen Charcoal Gold</t>
  </si>
  <si>
    <t>Shaw Fabrics Sheerweave 2410 Perf+ 3% Sunscreen Charcoal Grey</t>
  </si>
  <si>
    <t>Shaw Fabrics Sheerweave 2410 Perf+ 3% Sunscreen Oyster</t>
  </si>
  <si>
    <t>Shaw Fabrics Sheerweave 2410 Perf+ 3% Sunscreen Oyster Beige</t>
  </si>
  <si>
    <t>Shaw Fabrics Sheerweave 2410 Perf+ 3% Sunscreen TBA</t>
  </si>
  <si>
    <t>Shaw Fabrics Sheerweave Ecolibrium 4500 - 5% Sunscreen Charcoal</t>
  </si>
  <si>
    <t>Shaw Fabrics Sheerweave Ecolibrium 4500 - 5% Sunscreen Charcoal Bronze</t>
  </si>
  <si>
    <t>Shaw Fabrics Sheerweave Ecolibrium 4500 - 5% Sunscreen Charcoal Gold</t>
  </si>
  <si>
    <t>Shaw Fabrics Sheerweave Ecolibrium 4500 - 5% Sunscreen Charcoal Grey</t>
  </si>
  <si>
    <t>Shaw Fabrics Sheerweave Ecolibrium 4500 - 5% Sunscreen Ice</t>
  </si>
  <si>
    <t>Shaw Fabrics Sheerweave Ecolibrium 4500 - 5% Sunscreen Linen</t>
  </si>
  <si>
    <t>Shaw Fabrics Sheerweave Ecolibrium 4500 - 5% Sunscreen Sandstone</t>
  </si>
  <si>
    <t>Shaw Fabrics Sheerweave Ecolibrium 4500 - 5% Sunscreen TBA</t>
  </si>
  <si>
    <t>Shaw Fabrics Sheerweave Ecolibrium 4500 - 5% Sunscreen White</t>
  </si>
  <si>
    <t>Shaw Fabrics Sheerweave Ecolibrium 4500 - 5% Sunscreen White Grey</t>
  </si>
  <si>
    <t>Shaw Fabrics Sheerweave Ecolibrium 4500 - 5% Sunscreen White Linen</t>
  </si>
  <si>
    <t>Shaw Fabrics Sheerweave Ecolibrium 4500 - 5% Sunscreen White Stone</t>
  </si>
  <si>
    <t>Shaw Fabrics Sheerweave Ecolibrium 4510 - 10% Sunscreen Charcoal</t>
  </si>
  <si>
    <t>Shaw Fabrics Sheerweave Ecolibrium 4510 - 10% Sunscreen Charcoal Grey</t>
  </si>
  <si>
    <t>Shaw Fabrics Sheerweave Ecolibrium 4510 - 10% Sunscreen White</t>
  </si>
  <si>
    <t>Shaw Fabrics Sheerweave Ecolibrium 4510 - 10% Sunscreen White Grey</t>
  </si>
  <si>
    <t>Shaw Fabrics Sheerweave Ecolibrium 4510 - 10% Sunscreen White Linen</t>
  </si>
  <si>
    <t>Shaw Fabrics Sheerweave Ecolibrium 4510 - 10% Sunscreen White Stone</t>
  </si>
  <si>
    <t>Shaw Fabrics Sheerweave Ecolibrium 4510 - 10%Sunscreen TBA</t>
  </si>
  <si>
    <t>Texstyle Dakota Sunscreen Coal</t>
  </si>
  <si>
    <t>Texstyle Dakota Sunscreen Flint</t>
  </si>
  <si>
    <t>Texstyle Dakota Sunscreen Granite</t>
  </si>
  <si>
    <t>Texstyle Dakota Sunscreen Marble</t>
  </si>
  <si>
    <t>Texstyle Dakota Sunscreen Ore</t>
  </si>
  <si>
    <t>Texstyle Dakota Sunscreen Quartz</t>
  </si>
  <si>
    <t>Texstyle Dakota Sunscreen TBA</t>
  </si>
  <si>
    <t>Texstyle Kleenscreen Sunscreen Alloy</t>
  </si>
  <si>
    <t>Texstyle Kleenscreen Sunscreen Barley</t>
  </si>
  <si>
    <t>Texstyle Kleenscreen Sunscreen Black</t>
  </si>
  <si>
    <t>Texstyle Kleenscreen Sunscreen Black Pearl</t>
  </si>
  <si>
    <t>Texstyle Kleenscreen Sunscreen Charcoal</t>
  </si>
  <si>
    <t>Texstyle Kleenscreen Sunscreen Graphite</t>
  </si>
  <si>
    <t>Texstyle Kleenscreen Sunscreen Ivory</t>
  </si>
  <si>
    <t>Texstyle Kleenscreen Sunscreen Pewter</t>
  </si>
  <si>
    <t>Texstyle Kleenscreen Sunscreen Pumice</t>
  </si>
  <si>
    <t>Texstyle Kleenscreen Sunscreen Pure White</t>
  </si>
  <si>
    <t>Texstyle Kleenscreen Sunscreen Shale</t>
  </si>
  <si>
    <t>Texstyle Kleenscreen Sunscreen TBA</t>
  </si>
  <si>
    <t>Texstyle One Screen Sunscreen Black</t>
  </si>
  <si>
    <t>Texstyle One Screen Sunscreen Charcoal</t>
  </si>
  <si>
    <t>Texstyle One Screen Sunscreen Dune</t>
  </si>
  <si>
    <t>Texstyle One Screen Sunscreen Grey</t>
  </si>
  <si>
    <t>Texstyle One Screen Sunscreen Gunmetal</t>
  </si>
  <si>
    <t>Texstyle One Screen Sunscreen Ice</t>
  </si>
  <si>
    <t>Texstyle One Screen Sunscreen Linen Bronze</t>
  </si>
  <si>
    <t>Texstyle One Screen Sunscreen Mercury</t>
  </si>
  <si>
    <t>Texstyle One Screen Sunscreen Sand</t>
  </si>
  <si>
    <t>Texstyle One Screen Sunscreen Silver Black</t>
  </si>
  <si>
    <t>Texstyle One Screen Sunscreen TBA</t>
  </si>
  <si>
    <t>Texstyle One Screen Sunscreen Wallaby</t>
  </si>
  <si>
    <t>Texstyle One Screen Sunscreen White</t>
  </si>
  <si>
    <t>Texstyle Solar View Sunscreen Alabaster</t>
  </si>
  <si>
    <t>Texstyle Solar View Sunscreen Black</t>
  </si>
  <si>
    <t>Texstyle Solar View Sunscreen Black/Copper</t>
  </si>
  <si>
    <t>Texstyle Solar View Sunscreen Bone/Off White</t>
  </si>
  <si>
    <t>Texstyle Solar View Sunscreen Bronze/Charcoal</t>
  </si>
  <si>
    <t>Texstyle Solar View Sunscreen Charcoal</t>
  </si>
  <si>
    <t>Texstyle Solar View Sunscreen Cotton</t>
  </si>
  <si>
    <t>Texstyle Solar View Sunscreen Grey</t>
  </si>
  <si>
    <t>Texstyle Solar View Sunscreen Off White</t>
  </si>
  <si>
    <t>Texstyle Solar View Sunscreen Platinum</t>
  </si>
  <si>
    <t>Texstyle Solar View Sunscreen Taupe</t>
  </si>
  <si>
    <t>Texstyle Solar View Sunscreen TBA</t>
  </si>
  <si>
    <t>Texstyle Solar View Sunscreen White</t>
  </si>
  <si>
    <t>Texstyle Vivid Shade Sunscreen Black</t>
  </si>
  <si>
    <t>Texstyle Vivid Shade Sunscreen Black/Beige</t>
  </si>
  <si>
    <t>Texstyle Vivid Shade Sunscreen Black/Bronze</t>
  </si>
  <si>
    <t>Texstyle Vivid Shade Sunscreen Black/Sable</t>
  </si>
  <si>
    <t>Texstyle Vivid Shade Sunscreen Bronze/Grey</t>
  </si>
  <si>
    <t>Texstyle Vivid Shade Sunscreen Charcoal</t>
  </si>
  <si>
    <t>Texstyle Vivid Shade Sunscreen Charcoal/Grey</t>
  </si>
  <si>
    <t>Texstyle Vivid Shade Sunscreen Linen/Bronze</t>
  </si>
  <si>
    <t>Texstyle Vivid Shade Sunscreen Silver/Grey</t>
  </si>
  <si>
    <t>Texstyle Vivid Shade Sunscreen Silver/Linen</t>
  </si>
  <si>
    <t>Texstyle Vivid Shade Sunscreen TBA</t>
  </si>
  <si>
    <t>Texstyle Vivid Shade Sunscreen White</t>
  </si>
  <si>
    <t>Texstyle Vivid Shade Sunscreen White/Bone</t>
  </si>
  <si>
    <t>Texstyle Vivid Shade Sunscreen White/Grey</t>
  </si>
  <si>
    <t>Texstyle Vivid Shade Sunscreen White/Lily</t>
  </si>
  <si>
    <t>Texstyle Vivid Shade Sunscreen White/Silver</t>
  </si>
  <si>
    <t>Texstyle Vivid Shade Sunscreen White/Stone</t>
  </si>
  <si>
    <t>Hunter Douglas E Screen 6% Sunscreen TBA</t>
  </si>
  <si>
    <t>Hunter Douglas E Screen 6% Sunscreen White</t>
  </si>
  <si>
    <t>Hunter Douglas E Screen 6% Sunscreen Whisper</t>
  </si>
  <si>
    <t>Hunter Douglas E Screen 6% Sunscreen White Pearl</t>
  </si>
  <si>
    <t>Hunter Douglas E Screen 6% Sunscreen Grey Midnight Linen</t>
  </si>
  <si>
    <t>Hunter Douglas E Screen 6% Sunscreen Gravity</t>
  </si>
  <si>
    <t>Hunter Douglas E Screen 6% Sunscreen Cucmberland</t>
  </si>
  <si>
    <t>Hunter Douglas E Screen 6% Sunscreen Charcoal Cocoa</t>
  </si>
  <si>
    <t>Hunter Douglas E Screen 6% Sunscreen Charcoal Grey</t>
  </si>
  <si>
    <t>Hunter Douglas E Screen 6% Sunscreen Midnight</t>
  </si>
  <si>
    <t>Hunter Douglas E Screen 10% Sunscreen TBA</t>
  </si>
  <si>
    <t>Hunter Douglas E Screen 10% Sunscreen White/White</t>
  </si>
  <si>
    <t>Hunter Douglas E Screen 10% Sunscreen White/Pearl</t>
  </si>
  <si>
    <t>Hunter Douglas E Screen 10% Sunscreen Charcoal/Grey</t>
  </si>
  <si>
    <t>Hunter Douglas E Screen 10% Sunscreen Charcoal/Charcoal</t>
  </si>
  <si>
    <t>Hunter Douglas E Screen 10% Sunscreen Charcoal/Cocoa</t>
  </si>
  <si>
    <t>Hunter Douglas Optimascreen Plus Sunscreen White</t>
  </si>
  <si>
    <t>Hunter Douglas Optimascreen Plus Sunscreen TBA</t>
  </si>
  <si>
    <t>Hunter Douglas Optimascreen Plus Sunscreen White/Linen</t>
  </si>
  <si>
    <t>Hunter Douglas Optimascreen Plus Sunscreen White/Pearl/White/Grey</t>
  </si>
  <si>
    <t>Hunter Douglas Optimascreen Plus Sunscreen White/Sand</t>
  </si>
  <si>
    <t>Hunter Douglas Optimascreen Plus Sunscreen Black/Pearl</t>
  </si>
  <si>
    <t>Hunter Douglas Optimascreen Plus Sunscreen Black/Grey</t>
  </si>
  <si>
    <t>Hunter Douglas Optimascreen Plus Sunscreen Black</t>
  </si>
  <si>
    <t>Shann Window Fabrics S-View Sunscreen Polar</t>
  </si>
  <si>
    <t>Shann Window Fabrics S-View Sunscreen Desert</t>
  </si>
  <si>
    <t>Shann Window Fabrics S-View Sunscreen Taupe</t>
  </si>
  <si>
    <t>Shann Window Fabrics S-View Sunscreen Espresso</t>
  </si>
  <si>
    <t>Shann Window Fabrics S-View Sunscreen Chocolate</t>
  </si>
  <si>
    <t>Shann Window Fabrics S-View Sunscreen Linen</t>
  </si>
  <si>
    <t>Shann Window Fabrics S-View Sunscreen Charcoal Sand</t>
  </si>
  <si>
    <t>Shann Window Fabrics S-View Sunscreen Basalt</t>
  </si>
  <si>
    <t>Shann Window Fabrics S-View Sunscreen Silver Grey</t>
  </si>
  <si>
    <t>Shann Window Fabrics S-View Sunscreen White Liquorice</t>
  </si>
  <si>
    <t>Shann Window Fabrics S-View Sunscreen Black</t>
  </si>
  <si>
    <t>Shann Window Fabrics S-View Sunscreen TBA</t>
  </si>
  <si>
    <t>Chain Drops</t>
  </si>
  <si>
    <t>Aluminium Pelmets</t>
  </si>
  <si>
    <t>12v  Acmeda Motors</t>
  </si>
  <si>
    <t>Chain Size</t>
  </si>
  <si>
    <t>500mm</t>
  </si>
  <si>
    <t>150mm Matching Upholstered Pelmet Face</t>
  </si>
  <si>
    <t>750mm</t>
  </si>
  <si>
    <t>200mm Matching Upholstered Pelmet Face</t>
  </si>
  <si>
    <t>1000mm</t>
  </si>
  <si>
    <t>Aluminium Pelmet - Anodised</t>
  </si>
  <si>
    <t>1250mm</t>
  </si>
  <si>
    <t>Aluminium Pelmet - White</t>
  </si>
  <si>
    <t>1500mm</t>
  </si>
  <si>
    <t>Aluminium Pelmet - Black</t>
  </si>
  <si>
    <t>1750mm</t>
  </si>
  <si>
    <t>Aluminium Pelmet - Cream</t>
  </si>
  <si>
    <t>Acmeda 240v Motors</t>
  </si>
  <si>
    <t>2000mm</t>
  </si>
  <si>
    <t>Square Cassette - White</t>
  </si>
  <si>
    <t>2250mm</t>
  </si>
  <si>
    <t>Square Cassette - Black</t>
  </si>
  <si>
    <t>2500mm</t>
  </si>
  <si>
    <t>Square Cassette - Cream</t>
  </si>
  <si>
    <t>Square Cassette - Anodised Silver</t>
  </si>
  <si>
    <t>Helper Springs</t>
  </si>
  <si>
    <t>Square Cassette with Side Channel - White</t>
  </si>
  <si>
    <t>Square Cassette with Side Channel - Black</t>
  </si>
  <si>
    <t>Back</t>
  </si>
  <si>
    <t>R</t>
  </si>
  <si>
    <t>Square Cassette with Side Channel - Cream</t>
  </si>
  <si>
    <t>Front</t>
  </si>
  <si>
    <t>Square Cassette with Side Channel - Anodised Silver</t>
  </si>
  <si>
    <t>Acmeda 240v CBUS Motors</t>
  </si>
  <si>
    <t>L</t>
  </si>
  <si>
    <t>Round Cassette - White</t>
  </si>
  <si>
    <t>Round Cassette - Black</t>
  </si>
  <si>
    <t>Round Cassette - Cream</t>
  </si>
  <si>
    <t>Round Cassette - Anodised Silver</t>
  </si>
  <si>
    <t>Round Cassette with Side Channel - White</t>
  </si>
  <si>
    <t>Round Cassette with Side Channel - Black</t>
  </si>
  <si>
    <t>Round Cassette with Side Channel - Cream</t>
  </si>
  <si>
    <t>Round Cassette with Side Channel - Anodised Silver</t>
  </si>
  <si>
    <t>12v  Acmeda DCRF Motors RHS</t>
  </si>
  <si>
    <t>Timber Lath</t>
  </si>
  <si>
    <t>HD Bottom Rail with Noise Reducing Strip</t>
  </si>
  <si>
    <t>Oval Bottom Rail</t>
  </si>
  <si>
    <t>Bottom Rail in Pocket with Round Cut Out</t>
  </si>
  <si>
    <t>Light Grey</t>
  </si>
  <si>
    <t>Shaw Fabrics Yaringa Blockout Alpine</t>
  </si>
  <si>
    <t>Shaw Fabrics Yaringa Blockout Arctic</t>
  </si>
  <si>
    <t>Shaw Fabrics Yaringa Blockout Blush</t>
  </si>
  <si>
    <t>Shaw Fabrics Yaringa Blockout Bondi</t>
  </si>
  <si>
    <t>Shaw Fabrics Yaringa Blockout Charm</t>
  </si>
  <si>
    <t>Shaw Fabrics Yaringa Blockout Cirrus</t>
  </si>
  <si>
    <t>Shaw Fabrics Yaringa Blockout Hippo</t>
  </si>
  <si>
    <t>Shaw Fabrics Yaringa Blockout Mineral</t>
  </si>
  <si>
    <t>Shaw Fabrics Yaringa Blockout Nightfall</t>
  </si>
  <si>
    <t>Shaw Fabrics Yaringa Blockout Seashell</t>
  </si>
  <si>
    <t>Shaw Fabrics Yaringa Blockout Silver</t>
  </si>
  <si>
    <t>Shaw Fabrics Yaringa Blockout Soft Jade</t>
  </si>
  <si>
    <t>Shaw Fabrics Yaringa Blockout TBA</t>
  </si>
  <si>
    <t>P10</t>
  </si>
  <si>
    <t>Fabric Location</t>
  </si>
  <si>
    <t>F14</t>
  </si>
  <si>
    <t>F6</t>
  </si>
  <si>
    <t>W4</t>
  </si>
  <si>
    <t>F7</t>
  </si>
  <si>
    <t>F12</t>
  </si>
  <si>
    <t>W8</t>
  </si>
  <si>
    <t>F15</t>
  </si>
  <si>
    <t>W12</t>
  </si>
  <si>
    <t>F10</t>
  </si>
  <si>
    <t>F9</t>
  </si>
  <si>
    <t>F11</t>
  </si>
  <si>
    <t>W3</t>
  </si>
  <si>
    <t>F5</t>
  </si>
  <si>
    <t>W9</t>
  </si>
  <si>
    <t>F8</t>
  </si>
  <si>
    <t>F2</t>
  </si>
  <si>
    <t>U3</t>
  </si>
  <si>
    <t>Texstyle Kleenscreen Blockout Black Pearl</t>
  </si>
  <si>
    <t>F13</t>
  </si>
  <si>
    <t>Box 120 Back</t>
  </si>
  <si>
    <t>Box 120 Cover</t>
  </si>
  <si>
    <t>Box 120 End Plate Set</t>
  </si>
  <si>
    <t>Box 120 End Plate Cover Set - White</t>
  </si>
  <si>
    <t>Box 120 End Plate Cover Set - Black</t>
  </si>
  <si>
    <t>Box 120 End Plate Cover Set - Grey</t>
  </si>
  <si>
    <t>Box 120 Chain Winder Adaptor</t>
  </si>
  <si>
    <t>Box 120 Chain Guide - White</t>
  </si>
  <si>
    <t>Box 120 Chain Guide - Black</t>
  </si>
  <si>
    <t>Box 120 Chain Guide - Grey</t>
  </si>
  <si>
    <t>Aluminium Valance - Fabric Covered (Any Colour)</t>
  </si>
  <si>
    <t>Aluminium Valance - Anodised Silver</t>
  </si>
  <si>
    <t>Aluminium Valance - Black</t>
  </si>
  <si>
    <t>Aluminium Valance - White</t>
  </si>
  <si>
    <t>Four Families Antigua Blockout Birch</t>
  </si>
  <si>
    <t>Four Families Antigua Blockout Carbon</t>
  </si>
  <si>
    <t>Four Families Antigua Blockout Feather</t>
  </si>
  <si>
    <t>Four Families Antigua Blockout Linen</t>
  </si>
  <si>
    <t>Four Families Antigua Blockout Natural</t>
  </si>
  <si>
    <t>Four Families Antigua Blockout Parchment</t>
  </si>
  <si>
    <t>Four Families Antigua Blockout Shell</t>
  </si>
  <si>
    <t>Four Families Antigua Blockout Snow</t>
  </si>
  <si>
    <t>Four Families Antigua Blockout TBA</t>
  </si>
  <si>
    <t>Louvolite Willow Blockout Morning Mist</t>
  </si>
  <si>
    <t>PW</t>
  </si>
  <si>
    <t>W7</t>
  </si>
  <si>
    <t>W1</t>
  </si>
  <si>
    <t>Basford Brands Recraft Blockout Chalk</t>
  </si>
  <si>
    <t>Basford Brands Recraft Blockout Birch</t>
  </si>
  <si>
    <t>Basford Brands Recraft Blockout Linen</t>
  </si>
  <si>
    <t>Basford Brands Recraft Blockout Angora</t>
  </si>
  <si>
    <t>Basford Brands Recraft Blockout Oyster</t>
  </si>
  <si>
    <t>Basford Brands Recraft Blockout Marble</t>
  </si>
  <si>
    <t>Basford Brands Recraft Blockout Lemongrass</t>
  </si>
  <si>
    <t>Basford Brands Recraft Blockout Charcoal</t>
  </si>
  <si>
    <t>Basford Brands Recraft Blockout TBA</t>
  </si>
  <si>
    <t>Four Families Tasman Blockout Beech</t>
  </si>
  <si>
    <t>Four Families Tasman Blockout Graphite</t>
  </si>
  <si>
    <t>Four Families Tasman Blockout Ice</t>
  </si>
  <si>
    <t>Four Families Tasman Blockout Ivory</t>
  </si>
  <si>
    <t>Four Families Tasman Blockout Platinum</t>
  </si>
  <si>
    <t>Four Families Tasman Blockout Shadow</t>
  </si>
  <si>
    <t>Four Families Tasman Blockout Skyline</t>
  </si>
  <si>
    <t>Four Families Tasman Blockout Storm</t>
  </si>
  <si>
    <t>Four Families Tasman Blockout TBA</t>
  </si>
  <si>
    <t>2200 / 3200</t>
  </si>
  <si>
    <t>W13</t>
  </si>
  <si>
    <t>x3000x</t>
  </si>
  <si>
    <t>2200 / 3000</t>
  </si>
  <si>
    <t>ROLLER BLINDS Tubing</t>
  </si>
  <si>
    <t>Tubing</t>
  </si>
  <si>
    <t>Flip fabric for back roll?</t>
  </si>
  <si>
    <t>12v Motor Cover Colour</t>
  </si>
  <si>
    <t>BH</t>
  </si>
  <si>
    <t>Flip Fabric?</t>
  </si>
  <si>
    <t>I</t>
  </si>
  <si>
    <t>Butt Deductions</t>
  </si>
  <si>
    <t>Single Extension with Covers</t>
  </si>
  <si>
    <t>Too Small for Motor</t>
  </si>
  <si>
    <t>Too Small for Spring</t>
  </si>
  <si>
    <t>Too Big for Spring</t>
  </si>
  <si>
    <t>2000 / 2500 / 3000</t>
  </si>
  <si>
    <t>2500 / 3200</t>
  </si>
  <si>
    <t>U5</t>
  </si>
  <si>
    <t>Shaw Fabrics Sheerweave Ecolibrium 4300 - 3% Sunscreen Charcoal</t>
  </si>
  <si>
    <t>Shaw Fabrics Sheerweave Ecolibrium 4300 - 3% Sunscreen Charcoal Gold</t>
  </si>
  <si>
    <t>Shaw Fabrics Sheerweave Ecolibrium 4300 - 3% Sunscreen Sandstone</t>
  </si>
  <si>
    <t>Shaw Fabrics Sheerweave Ecolibrium 4300 - 3% Sunscreen Slate Stone</t>
  </si>
  <si>
    <t>Shaw Fabrics Sheerweave Ecolibrium 4300 - 3% Sunscreen TBA</t>
  </si>
  <si>
    <t>Shaw Fabrics Sheerweave Ecolibrium 4300 - 3% Sunscreen White</t>
  </si>
  <si>
    <t>Shaw Fabrics Sheerweave Ecolibrium 4300 - 3% Sunscreen White Stone</t>
  </si>
  <si>
    <t>Uniline Dawn Blockout Pewter</t>
  </si>
  <si>
    <t>783195bb-7c0b-4237-bb6b-6e71b7848656</t>
  </si>
  <si>
    <t>15abd155-269e-437f-8e19-1347d4e01244</t>
  </si>
  <si>
    <t>Sheers and Rollers</t>
  </si>
  <si>
    <t>12/06/2026 12:00:00 AM</t>
  </si>
  <si>
    <t>6/07/2026 3:35:56 PM</t>
  </si>
  <si>
    <t>4/09/2026 12:00:00 AM</t>
  </si>
  <si>
    <t>40426</t>
  </si>
  <si>
    <t>EVAN3350.15</t>
  </si>
  <si>
    <t xml:space="preserve">Evans, Belinda </t>
  </si>
  <si>
    <t/>
  </si>
  <si>
    <t>15</t>
  </si>
  <si>
    <t>Dublin Street</t>
  </si>
  <si>
    <t>Alfredton</t>
  </si>
  <si>
    <t>VIC</t>
  </si>
  <si>
    <t>3350</t>
  </si>
  <si>
    <t>Australia</t>
  </si>
  <si>
    <t>bel1810@bigpond.com</t>
  </si>
  <si>
    <t xml:space="preserve"> (03) 53429924</t>
  </si>
  <si>
    <t>0422647780</t>
  </si>
  <si>
    <t>Head Office</t>
  </si>
  <si>
    <t>Kate Coffey</t>
  </si>
  <si>
    <t>kate@davidsonsblinds.com.au</t>
  </si>
  <si>
    <t xml:space="preserve">Belinda </t>
  </si>
  <si>
    <t>Evans</t>
  </si>
  <si>
    <t>Retail Customer</t>
  </si>
  <si>
    <t>mark@davidsonsblinds.com.au</t>
  </si>
  <si>
    <t>Unassigned installer 1</t>
  </si>
  <si>
    <t>False</t>
  </si>
  <si>
    <t>2b38d2b8-6100-4746-a0e5-b800bedd3505</t>
  </si>
  <si>
    <t>Roller Blinds</t>
  </si>
  <si>
    <t>Living Door 1</t>
  </si>
  <si>
    <t>ROLLM477T152P63</t>
  </si>
  <si>
    <t>ROLL Texstyle Focus Blockout Polar</t>
  </si>
  <si>
    <t>Production - Roller Blinds</t>
  </si>
  <si>
    <t>Texstyle</t>
  </si>
  <si>
    <t>Focus Blockout</t>
  </si>
  <si>
    <t>Polar</t>
  </si>
  <si>
    <t>3215</t>
  </si>
  <si>
    <t>2b38d2b8-6100-4746-a0e5-b800bedd3505|DESCN</t>
  </si>
  <si>
    <t>4cb09eb7-7537-4f0b-a326-7b7fbcbd7672</t>
  </si>
  <si>
    <t>DESCN</t>
  </si>
  <si>
    <t>2b38d2b8-6100-4746-a0e5-b800bedd3505|ITEMWIDTH</t>
  </si>
  <si>
    <t>d27e2a75-8e13-41bd-8864-3e2978d6dd78</t>
  </si>
  <si>
    <t>ITEMWIDTH</t>
  </si>
  <si>
    <t>876</t>
  </si>
  <si>
    <t>2b38d2b8-6100-4746-a0e5-b800bedd3505|ITEMHEIGHT</t>
  </si>
  <si>
    <t>e7c748ed-cedd-496e-a785-ee289819ecc1</t>
  </si>
  <si>
    <t>ITEMHEIGHT</t>
  </si>
  <si>
    <t>2110</t>
  </si>
  <si>
    <t>2b38d2b8-6100-4746-a0e5-b800bedd3505|DUAL</t>
  </si>
  <si>
    <t>57ef8972-966f-44ec-8270-569df5568abd</t>
  </si>
  <si>
    <t>DUAL</t>
  </si>
  <si>
    <t>2b38d2b8-6100-4746-a0e5-b800bedd3505|SIZE</t>
  </si>
  <si>
    <t>a2683062-f1aa-4c6c-ab6e-9b7b1176fe10</t>
  </si>
  <si>
    <t>SIZE</t>
  </si>
  <si>
    <t>Opening</t>
  </si>
  <si>
    <t>2b38d2b8-6100-4746-a0e5-b800bedd3505|FIT</t>
  </si>
  <si>
    <t>d7e55288-1f4c-49f1-afc8-740f2cae8737</t>
  </si>
  <si>
    <t>FIT</t>
  </si>
  <si>
    <t>2b38d2b8-6100-4746-a0e5-b800bedd3505|FIXING</t>
  </si>
  <si>
    <t>827ca3a6-c181-407c-b3fa-7db3c75a2e06</t>
  </si>
  <si>
    <t>FIXING</t>
  </si>
  <si>
    <t>2b38d2b8-6100-4746-a0e5-b800bedd3505|FINISH</t>
  </si>
  <si>
    <t>7c5d9504-e8d3-49ba-ad77-cb02a681f8ae</t>
  </si>
  <si>
    <t>FINISH</t>
  </si>
  <si>
    <t>2b38d2b8-6100-4746-a0e5-b800bedd3505|RAILCOLOUR</t>
  </si>
  <si>
    <t>abb4f5ff-3ab6-4d86-b6ac-3b56b175fc07</t>
  </si>
  <si>
    <t>RAILCOLOUR</t>
  </si>
  <si>
    <t>2b38d2b8-6100-4746-a0e5-b800bedd3505|CONTROLS</t>
  </si>
  <si>
    <t>fcfb026b-8fe1-4ba6-a82a-cd0702419042</t>
  </si>
  <si>
    <t>CONTROLS</t>
  </si>
  <si>
    <t>2b38d2b8-6100-4746-a0e5-b800bedd3505|CONTROLSIDE</t>
  </si>
  <si>
    <t>25bf53d8-6fdc-4247-afb0-5107d280976c</t>
  </si>
  <si>
    <t>CONTROLSIDE</t>
  </si>
  <si>
    <t>2b38d2b8-6100-4746-a0e5-b800bedd3505|LINKED</t>
  </si>
  <si>
    <t>d88b0b61-e066-4268-887d-1a97f176f31c</t>
  </si>
  <si>
    <t>LINKED</t>
  </si>
  <si>
    <t>2b38d2b8-6100-4746-a0e5-b800bedd3505|CHAIN</t>
  </si>
  <si>
    <t>960cfb39-3011-4c32-8f55-3aaf5663c343</t>
  </si>
  <si>
    <t>CHAIN</t>
  </si>
  <si>
    <t>Nickel Steel Chain</t>
  </si>
  <si>
    <t>2b38d2b8-6100-4746-a0e5-b800bedd3505|CHAINLENGTH</t>
  </si>
  <si>
    <t>c64aa6f5-ea59-4753-af6b-b0bb68c45b12</t>
  </si>
  <si>
    <t>CHAINLENGTH</t>
  </si>
  <si>
    <t>Default</t>
  </si>
  <si>
    <t>2b38d2b8-6100-4746-a0e5-b800bedd3505|REVROLL</t>
  </si>
  <si>
    <t>9426ab80-30e6-4d14-bee4-174e1fa139cc</t>
  </si>
  <si>
    <t>REVROLL</t>
  </si>
  <si>
    <t>2b38d2b8-6100-4746-a0e5-b800bedd3505|BRACKET</t>
  </si>
  <si>
    <t>379721f0-c4e6-4a1f-8a38-51b6e12bc484</t>
  </si>
  <si>
    <t>BRACKET</t>
  </si>
  <si>
    <t>2b38d2b8-6100-4746-a0e5-b800bedd3505|BRACKETCOLR</t>
  </si>
  <si>
    <t>b71d9c46-10eb-4873-a810-bf9287c4e267</t>
  </si>
  <si>
    <t>BRACKETCOLR</t>
  </si>
  <si>
    <t>2b38d2b8-6100-4746-a0e5-b800bedd3505|SIDEBYSIDE</t>
  </si>
  <si>
    <t>87f70956-f2f1-439a-877e-6db8849f7694</t>
  </si>
  <si>
    <t>SIDEBYSIDE</t>
  </si>
  <si>
    <t>2b38d2b8-6100-4746-a0e5-b800bedd3505|PELTYPE</t>
  </si>
  <si>
    <t>c448857d-262a-4833-b7c1-cf3ab6c226ab</t>
  </si>
  <si>
    <t>PELTYPE</t>
  </si>
  <si>
    <t>2b38d2b8-6100-4746-a0e5-b800bedd3505|INSTALLATION</t>
  </si>
  <si>
    <t>adc825ea-f2eb-40cc-bba4-a733c782a615</t>
  </si>
  <si>
    <t>INSTALLATION</t>
  </si>
  <si>
    <t>2b38d2b8-6100-4746-a0e5-b800bedd3505|HANGHEIGHT</t>
  </si>
  <si>
    <t>a13b2c07-cbd4-4965-b496-a1767106fac4</t>
  </si>
  <si>
    <t>HANGHEIGHT</t>
  </si>
  <si>
    <t>2b38d2b8-6100-4746-a0e5-b800bedd3505|INSTALLG</t>
  </si>
  <si>
    <t>e89d9abe-9abb-42a7-905d-da1c99e29c38</t>
  </si>
  <si>
    <t>INSTALLG</t>
  </si>
  <si>
    <t>2b38d2b8-6100-4746-a0e5-b800bedd3505|TAKEDOWN</t>
  </si>
  <si>
    <t>34d4d17e-0d10-419c-bbe0-d9c7c3c918b7</t>
  </si>
  <si>
    <t>TAKEDOWN</t>
  </si>
  <si>
    <t>2b38d2b8-6100-4746-a0e5-b800bedd3505|CHECKM</t>
  </si>
  <si>
    <t>3d471de0-bf98-4adf-a72c-744e4608e556</t>
  </si>
  <si>
    <t>CHECKM</t>
  </si>
  <si>
    <t>4f765aaf-8d47-4e6e-b1ff-93621fc62487</t>
  </si>
  <si>
    <t>Living Door 2</t>
  </si>
  <si>
    <t>4f765aaf-8d47-4e6e-b1ff-93621fc62487|DESCN</t>
  </si>
  <si>
    <t>019f4cc1-645d-43c1-a6e6-aefb0466bb37</t>
  </si>
  <si>
    <t>4f765aaf-8d47-4e6e-b1ff-93621fc62487|ITEMWIDTH</t>
  </si>
  <si>
    <t>02245484-5f44-4619-857b-708b4f1c16b4</t>
  </si>
  <si>
    <t>950</t>
  </si>
  <si>
    <t>4f765aaf-8d47-4e6e-b1ff-93621fc62487|ITEMHEIGHT</t>
  </si>
  <si>
    <t>a8970b7f-b97a-4f87-80d0-ff20a4ccc98a</t>
  </si>
  <si>
    <t>4f765aaf-8d47-4e6e-b1ff-93621fc62487|DUAL</t>
  </si>
  <si>
    <t>69686f86-919a-4164-bc31-d2699828a72a</t>
  </si>
  <si>
    <t>4f765aaf-8d47-4e6e-b1ff-93621fc62487|SIZE</t>
  </si>
  <si>
    <t>60cd3141-84c4-41c8-9591-a8456023ca78</t>
  </si>
  <si>
    <t>4f765aaf-8d47-4e6e-b1ff-93621fc62487|FIT</t>
  </si>
  <si>
    <t>f3bb975a-8369-4c96-8b12-f9c5c645b8d8</t>
  </si>
  <si>
    <t>4f765aaf-8d47-4e6e-b1ff-93621fc62487|FIXING</t>
  </si>
  <si>
    <t>a9ca3f98-00dd-480b-b8fc-a1c05419f042</t>
  </si>
  <si>
    <t>4f765aaf-8d47-4e6e-b1ff-93621fc62487|FINISH</t>
  </si>
  <si>
    <t>197a74fc-eceb-4737-950e-f11cf58e2deb</t>
  </si>
  <si>
    <t>4f765aaf-8d47-4e6e-b1ff-93621fc62487|RAILCOLOUR</t>
  </si>
  <si>
    <t>2e6c5b61-2a29-4c19-a8ee-c6a00b059bc0</t>
  </si>
  <si>
    <t>4f765aaf-8d47-4e6e-b1ff-93621fc62487|CONTROLS</t>
  </si>
  <si>
    <t>c41c99da-0a17-4520-bb79-a501465455e1</t>
  </si>
  <si>
    <t>4f765aaf-8d47-4e6e-b1ff-93621fc62487|CONTROLSIDE</t>
  </si>
  <si>
    <t>5a6e4a53-0c60-460f-a886-27765eeaceeb</t>
  </si>
  <si>
    <t>4f765aaf-8d47-4e6e-b1ff-93621fc62487|LINKED</t>
  </si>
  <si>
    <t>dd45d6e4-9b0d-4491-881e-8e22f94422a2</t>
  </si>
  <si>
    <t>4f765aaf-8d47-4e6e-b1ff-93621fc62487|LINKEDSIZE</t>
  </si>
  <si>
    <t>6cd84ac2-0975-4d92-9e2e-acfd12ad80dd</t>
  </si>
  <si>
    <t>LINKEDSIZE</t>
  </si>
  <si>
    <t>4f765aaf-8d47-4e6e-b1ff-93621fc62487|CHAIN</t>
  </si>
  <si>
    <t>ec67d447-d635-4137-b9f5-ddff9929c324</t>
  </si>
  <si>
    <t>Black Chain</t>
  </si>
  <si>
    <t>4f765aaf-8d47-4e6e-b1ff-93621fc62487|CHAINLENGTH</t>
  </si>
  <si>
    <t>5e439d32-bfab-4ba9-a171-4873b7556781</t>
  </si>
  <si>
    <t>4f765aaf-8d47-4e6e-b1ff-93621fc62487|REVROLL</t>
  </si>
  <si>
    <t>b22e7797-7ca1-49b8-af73-d855858a4561</t>
  </si>
  <si>
    <t>4f765aaf-8d47-4e6e-b1ff-93621fc62487|BRACKET</t>
  </si>
  <si>
    <t>6d5ad319-93fb-4fa5-87f0-a5f21ece8a7a</t>
  </si>
  <si>
    <t>4f765aaf-8d47-4e6e-b1ff-93621fc62487|BRACKETCOLR</t>
  </si>
  <si>
    <t>5d4819a6-bd2a-472a-a6be-12c6286cfe9e</t>
  </si>
  <si>
    <t>4f765aaf-8d47-4e6e-b1ff-93621fc62487|SIDEBYSIDE</t>
  </si>
  <si>
    <t>c9dc67ac-5c0e-42b8-8cd6-2911232852c1</t>
  </si>
  <si>
    <t>4f765aaf-8d47-4e6e-b1ff-93621fc62487|PELTYPE</t>
  </si>
  <si>
    <t>5fa64571-f49a-4628-9e3b-23005bb306bc</t>
  </si>
  <si>
    <t>4f765aaf-8d47-4e6e-b1ff-93621fc62487|INSTALLATION</t>
  </si>
  <si>
    <t>5c396a05-daa2-4ebe-b645-5ecbfef2524a</t>
  </si>
  <si>
    <t>4f765aaf-8d47-4e6e-b1ff-93621fc62487|HANGHEIGHT</t>
  </si>
  <si>
    <t>b9f01d91-ce4b-4918-a073-7b6b3b6ad03b</t>
  </si>
  <si>
    <t>4f765aaf-8d47-4e6e-b1ff-93621fc62487|INSTALLG</t>
  </si>
  <si>
    <t>96b7360f-e168-43d0-b9da-544ca3ceab9d</t>
  </si>
  <si>
    <t>4f765aaf-8d47-4e6e-b1ff-93621fc62487|TAKEDOWN</t>
  </si>
  <si>
    <t>fa6b1c67-82ec-4c23-935c-7af38a712a59</t>
  </si>
  <si>
    <t>4f765aaf-8d47-4e6e-b1ff-93621fc62487|CHECKM</t>
  </si>
  <si>
    <t>7993e88f-a9d0-4783-891a-aceb9f9c2425</t>
  </si>
  <si>
    <t>dbee1b70-e914-4c92-ab56-5b305bf63b34</t>
  </si>
  <si>
    <t>Living Door 3</t>
  </si>
  <si>
    <t>dbee1b70-e914-4c92-ab56-5b305bf63b34|DESCN</t>
  </si>
  <si>
    <t>8e438bd2-d8db-47a8-9a60-9b37f251671f</t>
  </si>
  <si>
    <t>dbee1b70-e914-4c92-ab56-5b305bf63b34|ITEMWIDTH</t>
  </si>
  <si>
    <t>19e18cb9-a8fb-4cac-ae2a-b49dad630147</t>
  </si>
  <si>
    <t>874</t>
  </si>
  <si>
    <t>dbee1b70-e914-4c92-ab56-5b305bf63b34|ITEMHEIGHT</t>
  </si>
  <si>
    <t>a8d5e816-38e8-4ebe-b822-b83c04f71aeb</t>
  </si>
  <si>
    <t>dbee1b70-e914-4c92-ab56-5b305bf63b34|DUAL</t>
  </si>
  <si>
    <t>f4a9a172-e437-46c5-86be-70ab573823ac</t>
  </si>
  <si>
    <t>dbee1b70-e914-4c92-ab56-5b305bf63b34|SIZE</t>
  </si>
  <si>
    <t>4c616897-aa61-4de7-92c7-85efc41093e5</t>
  </si>
  <si>
    <t>dbee1b70-e914-4c92-ab56-5b305bf63b34|FIT</t>
  </si>
  <si>
    <t>04d86223-f45e-4122-93ac-4ea66090a82b</t>
  </si>
  <si>
    <t>dbee1b70-e914-4c92-ab56-5b305bf63b34|FIXING</t>
  </si>
  <si>
    <t>89ea3522-4430-4a4e-af80-ce02afd7f770</t>
  </si>
  <si>
    <t>dbee1b70-e914-4c92-ab56-5b305bf63b34|FINISH</t>
  </si>
  <si>
    <t>e9372c0c-01a2-4da2-bc1d-943f0808a4e5</t>
  </si>
  <si>
    <t>dbee1b70-e914-4c92-ab56-5b305bf63b34|RAILCOLOUR</t>
  </si>
  <si>
    <t>047292fe-aaf4-4515-982c-e60b7ca8c813</t>
  </si>
  <si>
    <t>dbee1b70-e914-4c92-ab56-5b305bf63b34|CONTROLS</t>
  </si>
  <si>
    <t>feb46428-91ef-4a74-8f50-683fa791a303</t>
  </si>
  <si>
    <t>dbee1b70-e914-4c92-ab56-5b305bf63b34|CONTROLSIDE</t>
  </si>
  <si>
    <t>c95deadf-d216-4a41-82a3-2725e95376c2</t>
  </si>
  <si>
    <t>dbee1b70-e914-4c92-ab56-5b305bf63b34|LINKED</t>
  </si>
  <si>
    <t>d43792b3-723b-4b6a-a6b1-4ad438651c4a</t>
  </si>
  <si>
    <t>dbee1b70-e914-4c92-ab56-5b305bf63b34|LINKEDSIZE</t>
  </si>
  <si>
    <t>0d65ad67-33db-4f67-933d-f50545d72336</t>
  </si>
  <si>
    <t>dbee1b70-e914-4c92-ab56-5b305bf63b34|CHAIN</t>
  </si>
  <si>
    <t>8a2afd53-de65-4ba0-b4bb-c57379fdce33</t>
  </si>
  <si>
    <t>dbee1b70-e914-4c92-ab56-5b305bf63b34|CHAINLENGTH</t>
  </si>
  <si>
    <t>7f371d0f-21ff-4373-859e-6fd97f2477a6</t>
  </si>
  <si>
    <t>dbee1b70-e914-4c92-ab56-5b305bf63b34|REVROLL</t>
  </si>
  <si>
    <t>e076037f-8c4b-4839-b75c-33e7e0e256d7</t>
  </si>
  <si>
    <t>dbee1b70-e914-4c92-ab56-5b305bf63b34|BRACKET</t>
  </si>
  <si>
    <t>2f3f486b-cf8d-4e51-8125-a105e3f1dccd</t>
  </si>
  <si>
    <t>dbee1b70-e914-4c92-ab56-5b305bf63b34|BRACKETCOLR</t>
  </si>
  <si>
    <t>5a7e7ef1-08d0-4eb6-a0b6-9794142ed405</t>
  </si>
  <si>
    <t>dbee1b70-e914-4c92-ab56-5b305bf63b34|SIDEBYSIDE</t>
  </si>
  <si>
    <t>b04d7d76-c959-48a0-9932-96287c160b2b</t>
  </si>
  <si>
    <t>dbee1b70-e914-4c92-ab56-5b305bf63b34|PELTYPE</t>
  </si>
  <si>
    <t>caafac4b-c79d-4b46-8cd1-a7456ce58b30</t>
  </si>
  <si>
    <t>dbee1b70-e914-4c92-ab56-5b305bf63b34|INSTALLATION</t>
  </si>
  <si>
    <t>3b20c74a-0a7b-487f-a071-cd59b38a5fa8</t>
  </si>
  <si>
    <t>dbee1b70-e914-4c92-ab56-5b305bf63b34|HANGHEIGHT</t>
  </si>
  <si>
    <t>39665212-7ec4-48dc-a3fe-f24ff20c5e6c</t>
  </si>
  <si>
    <t>dbee1b70-e914-4c92-ab56-5b305bf63b34|INSTALLG</t>
  </si>
  <si>
    <t>b301a8c6-59c6-4a01-83e0-e75379427a84</t>
  </si>
  <si>
    <t>dbee1b70-e914-4c92-ab56-5b305bf63b34|TAKEDOWN</t>
  </si>
  <si>
    <t>3ad337cc-be45-4b31-979e-dc8dc96d49fc</t>
  </si>
  <si>
    <t>dbee1b70-e914-4c92-ab56-5b305bf63b34|CHECKM</t>
  </si>
  <si>
    <t>d5728e8f-f07e-4009-b3bb-0374b31045bc</t>
  </si>
  <si>
    <t>277bf423-7c0c-4910-9414-148921e1f124</t>
  </si>
  <si>
    <t>Study</t>
  </si>
  <si>
    <t>277bf423-7c0c-4910-9414-148921e1f124|DESCN</t>
  </si>
  <si>
    <t>10fac405-15a7-4952-b95b-d8cf8808eb6a</t>
  </si>
  <si>
    <t>277bf423-7c0c-4910-9414-148921e1f124|ITEMWIDTH</t>
  </si>
  <si>
    <t>6adc78f4-c343-40db-a44d-7a65e2941f62</t>
  </si>
  <si>
    <t>2051</t>
  </si>
  <si>
    <t>277bf423-7c0c-4910-9414-148921e1f124|ITEMHEIGHT</t>
  </si>
  <si>
    <t>ee73579c-592d-40d6-a4d1-6d4bb246d5eb</t>
  </si>
  <si>
    <t>1460</t>
  </si>
  <si>
    <t>277bf423-7c0c-4910-9414-148921e1f124|DUAL</t>
  </si>
  <si>
    <t>cd9be232-ba3e-4e9c-af0d-427cfcb45491</t>
  </si>
  <si>
    <t>277bf423-7c0c-4910-9414-148921e1f124|SIZE</t>
  </si>
  <si>
    <t>0ee1e822-fcfb-4687-9255-680df3b72d32</t>
  </si>
  <si>
    <t>277bf423-7c0c-4910-9414-148921e1f124|FIT</t>
  </si>
  <si>
    <t>a456ea8d-2fe1-48f9-b7ac-b375c6f0087d</t>
  </si>
  <si>
    <t>277bf423-7c0c-4910-9414-148921e1f124|FIXING</t>
  </si>
  <si>
    <t>14517467-069b-41e1-bf4e-ec6d1380886a</t>
  </si>
  <si>
    <t>277bf423-7c0c-4910-9414-148921e1f124|FINISH</t>
  </si>
  <si>
    <t>27c8cf61-5140-4942-8621-d040e01ca1eb</t>
  </si>
  <si>
    <t>277bf423-7c0c-4910-9414-148921e1f124|RAILCOLOUR</t>
  </si>
  <si>
    <t>2353790a-22a6-46d0-adcb-83773782c981</t>
  </si>
  <si>
    <t>277bf423-7c0c-4910-9414-148921e1f124|CONTROLS</t>
  </si>
  <si>
    <t>a9d0b477-adad-42c7-a098-bd127db899f6</t>
  </si>
  <si>
    <t>277bf423-7c0c-4910-9414-148921e1f124|CONTROLSIDE</t>
  </si>
  <si>
    <t>2e2deca7-30f9-46a4-a870-a6c215a58f7b</t>
  </si>
  <si>
    <t>277bf423-7c0c-4910-9414-148921e1f124|LINKED</t>
  </si>
  <si>
    <t>94ff4cd1-d7a1-4ccf-b27f-a181d332cfc9</t>
  </si>
  <si>
    <t>277bf423-7c0c-4910-9414-148921e1f124|CHAIN</t>
  </si>
  <si>
    <t>c090d174-315c-40f1-ad9c-ff9c4fe4b77b</t>
  </si>
  <si>
    <t>277bf423-7c0c-4910-9414-148921e1f124|CHAINLENGTH</t>
  </si>
  <si>
    <t>e09f63da-2f20-44b6-9b0d-23725e6cbcb1</t>
  </si>
  <si>
    <t>277bf423-7c0c-4910-9414-148921e1f124|REVROLL</t>
  </si>
  <si>
    <t>c75471ea-924a-43fb-b9de-1cb518f059f1</t>
  </si>
  <si>
    <t>277bf423-7c0c-4910-9414-148921e1f124|BRACKET</t>
  </si>
  <si>
    <t>9a84f871-68b8-43a8-8786-0d311a970113</t>
  </si>
  <si>
    <t>277bf423-7c0c-4910-9414-148921e1f124|BRACKETCOLR</t>
  </si>
  <si>
    <t>86b54075-f3a0-4da5-8faa-bba69d4facc7</t>
  </si>
  <si>
    <t>277bf423-7c0c-4910-9414-148921e1f124|SIDEBYSIDE</t>
  </si>
  <si>
    <t>53611ff4-7a1d-4545-a5b0-fd0a55614a1c</t>
  </si>
  <si>
    <t>277bf423-7c0c-4910-9414-148921e1f124|PELTYPE</t>
  </si>
  <si>
    <t>e140253f-313e-459e-8d50-e71e10e2d2d7</t>
  </si>
  <si>
    <t>277bf423-7c0c-4910-9414-148921e1f124|INSTALLATION</t>
  </si>
  <si>
    <t>4025a6b7-e7c4-4ca4-ae69-46e281419e54</t>
  </si>
  <si>
    <t>277bf423-7c0c-4910-9414-148921e1f124|HANGHEIGHT</t>
  </si>
  <si>
    <t>3670261c-98c0-4e32-a076-5b970b2d34c4</t>
  </si>
  <si>
    <t>277bf423-7c0c-4910-9414-148921e1f124|INSTALLG</t>
  </si>
  <si>
    <t>ef3215c0-577b-4585-8caa-4076ac526b6f</t>
  </si>
  <si>
    <t>277bf423-7c0c-4910-9414-148921e1f124|TAKEDOWN</t>
  </si>
  <si>
    <t>d90214a7-a143-441a-8abf-7b99eca38670</t>
  </si>
  <si>
    <t>277bf423-7c0c-4910-9414-148921e1f124|CHECKM</t>
  </si>
  <si>
    <t>0ac045d9-81d7-43a2-b35a-cba8e960d42c</t>
  </si>
  <si>
    <t>|CHECKMEAS</t>
  </si>
  <si>
    <t>d5790248-29d4-4ed1-9dcf-70221a7ed33d</t>
  </si>
  <si>
    <t>Extras</t>
  </si>
  <si>
    <t>CHECKMEAS</t>
  </si>
  <si>
    <t>|CURTMAKING</t>
  </si>
  <si>
    <t>270ef8a2-e60b-4f9d-8d29-de76b387a807</t>
  </si>
  <si>
    <t>CURTMAKING</t>
  </si>
  <si>
    <t>HM Décor - Unit 4/102 N View Dr, Sunshine West, Vic, 3020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</si>
</sst>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2" formatCode="_-&quot;$&quot;* #,##0_-;\-&quot;$&quot;* #,##0_-;_-&quot;$&quot;* &quot;-&quot;_-;_-@_-"/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[$-F800]dddd\,\ mmmm\ dd\,\ yyyy"/>
    <numFmt numFmtId="165" formatCode="0.0"/>
    <numFmt numFmtId="166" formatCode="&quot;$&quot;#,##0.00"/>
    <numFmt numFmtId="167" formatCode="dd/mm/yyyy"/>
  </numFmts>
  <fonts count="61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u val="single"/>
      <sz val="7.5"/>
      <color indexed="12"/>
      <name val="Arial"/>
      <family val="2"/>
    </font>
    <font>
      <sz val="11"/>
      <color indexed="20"/>
      <name val="Calibri"/>
      <family val="2"/>
    </font>
    <font>
      <u val="single"/>
      <sz val="7.5"/>
      <color indexed="36"/>
      <name val="Arial"/>
      <family val="2"/>
    </font>
    <font>
      <sz val="11"/>
      <color rgb="FF3F3F76"/>
      <name val="Calibri"/>
      <family val="2"/>
      <scheme val="minor"/>
    </font>
    <font>
      <sz val="10"/>
      <name val="Verdana"/>
      <family val="2"/>
    </font>
    <font>
      <b/>
      <sz val="16"/>
      <name val="Arial"/>
      <family val="2"/>
    </font>
    <font>
      <b/>
      <sz val="18"/>
      <name val="Arial"/>
      <family val="2"/>
    </font>
    <font>
      <sz val="18"/>
      <name val="Arial"/>
      <family val="2"/>
    </font>
    <font>
      <i/>
      <sz val="20"/>
      <name val="Arial"/>
      <family val="2"/>
    </font>
    <font>
      <b/>
      <sz val="24"/>
      <name val="Arial"/>
      <family val="2"/>
    </font>
    <font>
      <b/>
      <sz val="26"/>
      <name val="Arial"/>
      <family val="2"/>
    </font>
    <font>
      <b/>
      <sz val="20"/>
      <name val="Arial"/>
      <family val="2"/>
    </font>
    <font>
      <b/>
      <sz val="48"/>
      <name val="Arial"/>
      <family val="2"/>
    </font>
    <font>
      <b/>
      <u val="single"/>
      <sz val="22"/>
      <name val="Arial"/>
      <family val="2"/>
    </font>
    <font>
      <b/>
      <sz val="22"/>
      <name val="Arial"/>
      <family val="2"/>
    </font>
    <font>
      <b/>
      <sz val="11"/>
      <color rgb="FFFFFFFF"/>
      <name val="Calibri"/>
      <family val="2"/>
      <scheme val="minor"/>
    </font>
    <font>
      <sz val="24"/>
      <name val="Arial"/>
      <family val="2"/>
    </font>
    <font>
      <sz val="22"/>
      <name val="Arial"/>
      <family val="2"/>
    </font>
    <font>
      <i/>
      <sz val="22"/>
      <name val="Arial"/>
      <family val="2"/>
    </font>
    <font>
      <b/>
      <sz val="72"/>
      <name val="Arial"/>
      <family val="2"/>
    </font>
    <font>
      <sz val="26"/>
      <name val="Arial"/>
      <family val="2"/>
    </font>
    <font>
      <b/>
      <u val="single"/>
      <sz val="26"/>
      <name val="Arial"/>
      <family val="2"/>
    </font>
    <font>
      <i/>
      <sz val="26"/>
      <name val="Arial"/>
      <family val="2"/>
    </font>
    <font>
      <b/>
      <sz val="11"/>
      <color theme="1"/>
      <name val="Calibri"/>
      <family val="2"/>
      <scheme val="minor"/>
    </font>
    <font>
      <sz val="8"/>
      <color theme="1"/>
      <name val="Arial"/>
      <family val="2"/>
    </font>
    <font>
      <sz val="20"/>
      <name val="Arial"/>
      <family val="2"/>
    </font>
    <font>
      <u val="single"/>
      <sz val="26"/>
      <name val="Arial"/>
      <family val="2"/>
    </font>
    <font>
      <b/>
      <sz val="26"/>
      <color rgb="FFFF0000"/>
      <name val="Arial"/>
      <family val="2"/>
    </font>
    <font>
      <sz val="26"/>
      <color rgb="FFFF0000"/>
      <name val="Arial"/>
      <family val="2"/>
    </font>
    <font>
      <b/>
      <sz val="36"/>
      <name val="Arial"/>
      <family val="2"/>
    </font>
    <font>
      <b/>
      <sz val="24"/>
      <color theme="1"/>
      <name val="Arial"/>
      <family val="2"/>
    </font>
    <font>
      <b/>
      <sz val="18"/>
      <color rgb="FFFF0000"/>
      <name val="Arial"/>
      <family val="2"/>
    </font>
    <font>
      <b/>
      <sz val="28"/>
      <name val="Arial"/>
      <family val="2"/>
    </font>
    <font>
      <b/>
      <sz val="28"/>
      <color rgb="FFFF0000"/>
      <name val="Arial"/>
      <family val="2"/>
    </font>
    <font>
      <sz val="72"/>
      <name val="Arial"/>
      <family val="2"/>
    </font>
    <font>
      <sz val="28"/>
      <name val="Arial"/>
      <family val="2"/>
    </font>
    <font>
      <sz val="36"/>
      <name val="Arial"/>
      <family val="2"/>
    </font>
    <font>
      <sz val="28"/>
      <color rgb="FFFF0000"/>
      <name val="Arial"/>
      <family val="2"/>
    </font>
    <font>
      <i/>
      <sz val="24"/>
      <name val="Arial"/>
      <family val="2"/>
    </font>
  </fonts>
  <fills count="49">
    <fill>
      <patternFill/>
    </fill>
    <fill>
      <patternFill patternType="gray125"/>
    </fill>
    <fill>
      <patternFill patternType="solid">
        <fgColor indexed="54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9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4682B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749982357025"/>
        <bgColor indexed="64"/>
      </patternFill>
    </fill>
    <fill>
      <patternFill patternType="solid">
        <fgColor theme="2" tint="-0.092280000448226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3059998750687"/>
        <bgColor indexed="64"/>
      </patternFill>
    </fill>
    <fill>
      <patternFill patternType="solid">
        <fgColor theme="0" tint="-0.143370002508163"/>
        <bgColor indexed="64"/>
      </patternFill>
    </fill>
    <fill>
      <patternFill patternType="solid">
        <fgColor theme="0" tint="-0.14334000647068"/>
        <bgColor indexed="64"/>
      </patternFill>
    </fill>
    <fill>
      <patternFill patternType="solid">
        <fgColor theme="0" tint="-0.146689996123314"/>
        <bgColor indexed="64"/>
      </patternFill>
    </fill>
    <fill>
      <patternFill patternType="solid">
        <fgColor theme="2" tint="-0.0972499996423721"/>
        <bgColor indexed="64"/>
      </patternFill>
    </fill>
    <fill>
      <patternFill patternType="solid">
        <fgColor theme="0" tint="-0.147459998726845"/>
        <bgColor indexed="64"/>
      </patternFill>
    </fill>
    <fill>
      <patternFill patternType="solid">
        <fgColor theme="0" tint="-0.147550001740456"/>
        <bgColor indexed="64"/>
      </patternFill>
    </fill>
    <fill>
      <patternFill patternType="solid">
        <fgColor theme="0" tint="-0.14800000190734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0" tint="-0.149560004472733"/>
        <bgColor indexed="64"/>
      </patternFill>
    </fill>
    <fill>
      <patternFill patternType="solid">
        <fgColor theme="0" tint="-0.149680003523827"/>
        <bgColor indexed="64"/>
      </patternFill>
    </fill>
    <fill>
      <patternFill patternType="solid">
        <fgColor theme="9" tint="0.59974998235702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599749982357025"/>
        <bgColor indexed="64"/>
      </patternFill>
    </fill>
    <fill>
      <patternFill patternType="solid">
        <fgColor theme="0" tint="-0.243619993329048"/>
        <bgColor indexed="64"/>
      </patternFill>
    </fill>
    <fill>
      <patternFill patternType="solid">
        <fgColor theme="0" tint="-0.244110003113747"/>
        <bgColor indexed="64"/>
      </patternFill>
    </fill>
    <fill>
      <patternFill patternType="solid">
        <fgColor theme="0" tint="-0.344700008630753"/>
        <bgColor indexed="64"/>
      </patternFill>
    </fill>
    <fill>
      <patternFill patternType="solid">
        <fgColor theme="2" tint="-0.0935000032186508"/>
        <bgColor indexed="64"/>
      </patternFill>
    </fill>
  </fills>
  <borders count="3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</border>
    <border>
      <left/>
      <right/>
      <top/>
      <bottom style="thick">
        <color indexed="54"/>
      </bottom>
    </border>
    <border>
      <left/>
      <right/>
      <top/>
      <bottom style="thick">
        <color indexed="22"/>
      </bottom>
    </border>
    <border>
      <left/>
      <right/>
      <top/>
      <bottom style="medium">
        <color indexed="44"/>
      </bottom>
    </border>
    <border>
      <left/>
      <right/>
      <top/>
      <bottom style="double">
        <color indexed="52"/>
      </bottom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</border>
    <border>
      <left/>
      <right/>
      <top style="thin">
        <color indexed="54"/>
      </top>
      <bottom style="double">
        <color indexed="54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 style="thin"/>
      <right style="thin"/>
      <top style="thin"/>
      <bottom style="thin"/>
    </border>
    <border>
      <left style="thin"/>
      <right style="thin"/>
      <top/>
      <bottom/>
    </border>
    <border>
      <left/>
      <right/>
      <top/>
      <bottom style="thin"/>
    </border>
    <border>
      <left style="thin"/>
      <right/>
      <top/>
      <bottom style="thin"/>
    </border>
    <border>
      <left style="thin"/>
      <right/>
      <top/>
      <bottom/>
    </border>
    <border>
      <left/>
      <right/>
      <top style="thin"/>
      <bottom/>
    </border>
    <border>
      <left style="thin"/>
      <right style="thin"/>
      <top/>
      <bottom style="thin"/>
    </border>
    <border>
      <left style="thin"/>
      <right style="thin"/>
      <top style="thin"/>
      <bottom/>
    </border>
    <border>
      <left style="thin"/>
      <right/>
      <top style="thin"/>
      <bottom style="thin"/>
    </border>
    <border>
      <left/>
      <right/>
      <top style="thin"/>
      <bottom style="thin"/>
    </border>
    <border>
      <left/>
      <right style="thin"/>
      <top style="thin"/>
      <bottom style="thin"/>
    </border>
    <border>
      <left style="thin"/>
      <right/>
      <top style="thin"/>
      <bottom/>
    </border>
    <border>
      <left/>
      <right style="thin"/>
      <top style="thin"/>
      <bottom/>
    </border>
    <border>
      <left/>
      <right style="thin"/>
      <top/>
      <bottom style="thin"/>
    </border>
    <border>
      <left/>
      <right style="thin"/>
      <top/>
      <bottom/>
    </border>
    <border>
      <left style="medium"/>
      <right/>
      <top style="medium"/>
      <bottom/>
    </border>
    <border>
      <left/>
      <right style="medium"/>
      <top style="medium"/>
      <bottom/>
    </border>
    <border>
      <left style="medium"/>
      <right/>
      <top/>
      <bottom style="medium"/>
    </border>
    <border>
      <left/>
      <right style="medium"/>
      <top/>
      <bottom style="medium"/>
    </border>
  </borders>
  <cellStyleXfs count="103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7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7" fillId="6" borderId="0" applyNumberFormat="0" applyBorder="0" applyAlignment="0" applyProtection="0"/>
    <xf numFmtId="0" fontId="7" fillId="9" borderId="0" applyNumberFormat="0" applyBorder="0" applyAlignment="0" applyProtection="0"/>
    <xf numFmtId="0" fontId="6" fillId="7" borderId="0" applyNumberFormat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12" borderId="0" applyNumberFormat="0" applyBorder="0" applyAlignment="0" applyProtection="0"/>
    <xf numFmtId="0" fontId="7" fillId="6" borderId="0" applyNumberFormat="0" applyBorder="0" applyAlignment="0" applyProtection="0"/>
    <xf numFmtId="0" fontId="7" fillId="13" borderId="0" applyNumberFormat="0" applyBorder="0" applyAlignment="0" applyProtection="0"/>
    <xf numFmtId="0" fontId="6" fillId="13" borderId="0" applyNumberFormat="0" applyBorder="0" applyAlignment="0" applyProtection="0"/>
    <xf numFmtId="0" fontId="8" fillId="14" borderId="0" applyNumberFormat="0" applyBorder="0" applyAlignment="0" applyProtection="0"/>
    <xf numFmtId="0" fontId="9" fillId="15" borderId="1" applyNumberFormat="0" applyAlignment="0" applyProtection="0"/>
    <xf numFmtId="0" fontId="10" fillId="8" borderId="2" applyNumberFormat="0" applyAlignment="0" applyProtection="0"/>
    <xf numFmtId="41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0" fontId="11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8" borderId="0" applyNumberFormat="0" applyBorder="0" applyAlignment="0" applyProtection="0"/>
    <xf numFmtId="0" fontId="12" fillId="9" borderId="0" applyNumberFormat="0" applyBorder="0" applyAlignment="0" applyProtection="0"/>
    <xf numFmtId="0" fontId="13" fillId="0" borderId="3" applyNumberFormat="0" applyFill="0" applyAlignment="0" applyProtection="0"/>
    <xf numFmtId="0" fontId="14" fillId="0" borderId="4" applyNumberFormat="0" applyFill="0" applyAlignment="0" applyProtection="0"/>
    <xf numFmtId="0" fontId="15" fillId="0" borderId="5" applyNumberFormat="0" applyFill="0" applyAlignment="0" applyProtection="0"/>
    <xf numFmtId="0" fontId="15" fillId="0" borderId="0" applyNumberFormat="0" applyFill="0" applyBorder="0" applyAlignment="0" applyProtection="0"/>
    <xf numFmtId="0" fontId="16" fillId="13" borderId="1" applyNumberFormat="0" applyAlignment="0" applyProtection="0"/>
    <xf numFmtId="0" fontId="17" fillId="0" borderId="6" applyNumberFormat="0" applyFill="0" applyAlignment="0" applyProtection="0"/>
    <xf numFmtId="0" fontId="18" fillId="19" borderId="0" applyNumberFormat="0" applyBorder="0" applyAlignment="0" applyProtection="0"/>
    <xf numFmtId="0" fontId="7" fillId="0" borderId="0">
      <alignment/>
      <protection/>
    </xf>
    <xf numFmtId="0" fontId="1" fillId="0" borderId="0">
      <alignment/>
      <protection/>
    </xf>
    <xf numFmtId="0" fontId="0" fillId="6" borderId="7" applyNumberFormat="0" applyFont="0" applyAlignment="0" applyProtection="0"/>
    <xf numFmtId="0" fontId="19" fillId="15" borderId="8" applyNumberFormat="0" applyAlignment="0" applyProtection="0"/>
    <xf numFmtId="9" fontId="0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11" fillId="0" borderId="9" applyNumberFormat="0" applyFill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14" borderId="0" applyNumberFormat="0" applyBorder="0" applyAlignment="0" applyProtection="0"/>
    <xf numFmtId="0" fontId="24" fillId="0" borderId="0" applyNumberFormat="0" applyFill="0" applyBorder="0" applyAlignment="0" applyProtection="0"/>
    <xf numFmtId="0" fontId="25" fillId="20" borderId="10" applyNumberFormat="0" applyAlignment="0" applyProtection="0"/>
    <xf numFmtId="0" fontId="0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0" fillId="0" borderId="0">
      <alignment/>
      <protection/>
    </xf>
    <xf numFmtId="0" fontId="0" fillId="0" borderId="0">
      <alignment/>
      <protection/>
    </xf>
    <xf numFmtId="0" fontId="26" fillId="0" borderId="0">
      <alignment/>
      <protection/>
    </xf>
    <xf numFmtId="0" fontId="26" fillId="0" borderId="0">
      <alignment/>
      <protection/>
    </xf>
    <xf numFmtId="0" fontId="26" fillId="0" borderId="0">
      <alignment/>
      <protection/>
    </xf>
    <xf numFmtId="0" fontId="26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</cellStyleXfs>
  <cellXfs count="307">
    <xf numFmtId="0" fontId="0" fillId="0" borderId="0" xfId="0"/>
    <xf numFmtId="14" fontId="32" fillId="15" borderId="11" xfId="0" applyNumberFormat="1" applyFont="1" applyFill="1" applyBorder="1" applyAlignment="1" applyProtection="1">
      <alignment horizontal="center" vertical="center" wrapText="1"/>
      <protection locked="0"/>
    </xf>
    <xf numFmtId="0" fontId="32" fillId="0" borderId="11" xfId="0" applyFont="1" applyBorder="1" applyAlignment="1">
      <alignment horizontal="center" vertical="center"/>
    </xf>
    <xf numFmtId="0" fontId="32" fillId="0" borderId="11" xfId="0" applyFont="1" applyBorder="1" applyAlignment="1" applyProtection="1">
      <alignment horizontal="center" vertical="center" wrapText="1"/>
      <protection locked="0"/>
    </xf>
    <xf numFmtId="0" fontId="42" fillId="0" borderId="11" xfId="0" applyFont="1" applyBorder="1" applyAlignment="1">
      <alignment horizontal="center" vertical="center" wrapText="1"/>
    </xf>
    <xf numFmtId="0" fontId="32" fillId="15" borderId="11" xfId="0" applyFont="1" applyFill="1" applyBorder="1" applyAlignment="1" applyProtection="1">
      <alignment horizontal="center" vertical="center" wrapText="1"/>
      <protection locked="0"/>
    </xf>
    <xf numFmtId="0" fontId="32" fillId="15" borderId="11" xfId="0" applyFont="1" applyFill="1" applyBorder="1" applyAlignment="1">
      <alignment horizontal="center" vertical="center" wrapText="1"/>
    </xf>
    <xf numFmtId="0" fontId="2" fillId="0" borderId="0" xfId="0" applyFont="1"/>
    <xf numFmtId="0" fontId="2" fillId="0" borderId="0" xfId="0" applyFont="1" applyAlignment="1">
      <alignment horizontal="center"/>
    </xf>
    <xf numFmtId="0" fontId="4" fillId="0" borderId="0" xfId="0" applyFont="1"/>
    <xf numFmtId="0" fontId="0" fillId="0" borderId="0" xfId="0" applyAlignment="1">
      <alignment horizontal="left"/>
    </xf>
    <xf numFmtId="22" fontId="2" fillId="0" borderId="0" xfId="0" applyNumberFormat="1" applyFont="1"/>
    <xf numFmtId="0" fontId="3" fillId="0" borderId="0" xfId="0" applyFont="1"/>
    <xf numFmtId="14" fontId="0" fillId="0" borderId="0" xfId="0" applyNumberFormat="1"/>
    <xf numFmtId="22" fontId="0" fillId="0" borderId="0" xfId="0" applyNumberFormat="1" applyAlignment="1">
      <alignment horizontal="left"/>
    </xf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left" vertical="center"/>
    </xf>
    <xf numFmtId="0" fontId="22" fillId="0" borderId="0" xfId="72"/>
    <xf numFmtId="0" fontId="4" fillId="0" borderId="11" xfId="0" applyFont="1" applyBorder="1" applyAlignment="1">
      <alignment horizontal="center" vertical="center"/>
    </xf>
    <xf numFmtId="0" fontId="29" fillId="0" borderId="11" xfId="0" applyFont="1" applyBorder="1" applyAlignment="1" applyProtection="1">
      <alignment horizontal="center" vertical="center" wrapText="1"/>
      <protection locked="0"/>
    </xf>
    <xf numFmtId="0" fontId="29" fillId="0" borderId="0" xfId="0" applyFont="1" applyAlignment="1">
      <alignment horizontal="left"/>
    </xf>
    <xf numFmtId="0" fontId="1" fillId="0" borderId="0" xfId="85">
      <alignment/>
      <protection/>
    </xf>
    <xf numFmtId="0" fontId="0" fillId="0" borderId="11" xfId="0" applyBorder="1" applyAlignment="1">
      <alignment horizontal="center"/>
    </xf>
    <xf numFmtId="0" fontId="0" fillId="0" borderId="11" xfId="0" applyBorder="1"/>
    <xf numFmtId="0" fontId="37" fillId="21" borderId="11" xfId="0" applyFont="1" applyFill="1" applyBorder="1"/>
    <xf numFmtId="0" fontId="4" fillId="0" borderId="11" xfId="0" applyFont="1" applyBorder="1"/>
    <xf numFmtId="0" fontId="29" fillId="0" borderId="11" xfId="0" applyFont="1" applyBorder="1" applyAlignment="1" applyProtection="1">
      <alignment horizontal="center" vertical="center" wrapText="1"/>
      <protection hidden="1" locked="0"/>
    </xf>
    <xf numFmtId="0" fontId="4" fillId="0" borderId="11" xfId="0" applyFont="1" applyBorder="1" applyAlignment="1">
      <alignment horizontal="center"/>
    </xf>
    <xf numFmtId="0" fontId="0" fillId="0" borderId="11" xfId="0" applyBorder="1" applyAlignment="1">
      <alignment horizontal="left"/>
    </xf>
    <xf numFmtId="0" fontId="0" fillId="0" borderId="11" xfId="0" applyBorder="1" applyAlignment="1">
      <alignment horizontal="left" vertical="center"/>
    </xf>
    <xf numFmtId="0" fontId="0" fillId="22" borderId="0" xfId="0" applyFill="1"/>
    <xf numFmtId="0" fontId="0" fillId="23" borderId="11" xfId="0" applyFill="1" applyBorder="1"/>
    <xf numFmtId="0" fontId="0" fillId="22" borderId="11" xfId="0" applyFill="1" applyBorder="1"/>
    <xf numFmtId="0" fontId="0" fillId="24" borderId="11" xfId="0" applyFill="1" applyBorder="1"/>
    <xf numFmtId="0" fontId="32" fillId="0" borderId="11" xfId="0" applyFont="1" applyBorder="1" applyAlignment="1" applyProtection="1">
      <alignment horizontal="center" vertical="center" wrapText="1"/>
      <protection hidden="1" locked="0"/>
    </xf>
    <xf numFmtId="0" fontId="42" fillId="0" borderId="11" xfId="0" applyFont="1" applyBorder="1" applyAlignment="1" applyProtection="1">
      <alignment horizontal="center" vertical="center" wrapText="1"/>
      <protection hidden="1" locked="0"/>
    </xf>
    <xf numFmtId="0" fontId="42" fillId="0" borderId="11" xfId="0" applyFont="1" applyBorder="1" applyAlignment="1" applyProtection="1">
      <alignment horizontal="center" vertical="center" wrapText="1"/>
      <protection locked="0"/>
    </xf>
    <xf numFmtId="0" fontId="42" fillId="25" borderId="11" xfId="0" applyFont="1" applyFill="1" applyBorder="1" applyAlignment="1" applyProtection="1">
      <alignment horizontal="center" vertical="center" wrapText="1"/>
      <protection hidden="1" locked="0"/>
    </xf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2" fillId="0" borderId="0" xfId="0" applyFont="1" applyAlignment="1">
      <alignment horizontal="center" wrapText="1"/>
    </xf>
    <xf numFmtId="0" fontId="39" fillId="0" borderId="11" xfId="0" applyFont="1" applyBorder="1" applyAlignment="1" applyProtection="1">
      <alignment horizontal="center" vertical="center" wrapText="1"/>
      <protection locked="0"/>
    </xf>
    <xf numFmtId="0" fontId="39" fillId="0" borderId="11" xfId="0" applyFont="1" applyBorder="1" applyAlignment="1" applyProtection="1">
      <alignment horizontal="center" vertical="center" wrapText="1"/>
      <protection hidden="1" locked="0"/>
    </xf>
    <xf numFmtId="0" fontId="30" fillId="0" borderId="11" xfId="0" applyFont="1" applyBorder="1" applyAlignment="1" applyProtection="1">
      <alignment horizontal="center" vertical="center" wrapText="1"/>
      <protection hidden="1" locked="0"/>
    </xf>
    <xf numFmtId="0" fontId="0" fillId="15" borderId="0" xfId="0" applyFill="1" applyAlignment="1">
      <alignment wrapText="1"/>
    </xf>
    <xf numFmtId="0" fontId="42" fillId="0" borderId="0" xfId="0" applyFont="1" applyAlignment="1">
      <alignment vertical="center"/>
    </xf>
    <xf numFmtId="0" fontId="42" fillId="0" borderId="0" xfId="0" applyFont="1"/>
    <xf numFmtId="0" fontId="44" fillId="0" borderId="11" xfId="0" applyFont="1" applyBorder="1" applyAlignment="1" applyProtection="1">
      <alignment horizontal="center" vertical="center" wrapText="1"/>
      <protection hidden="1" locked="0"/>
    </xf>
    <xf numFmtId="2" fontId="0" fillId="0" borderId="0" xfId="0" applyNumberFormat="1" applyAlignment="1">
      <alignment vertical="center"/>
    </xf>
    <xf numFmtId="2" fontId="2" fillId="0" borderId="0" xfId="0" applyNumberFormat="1" applyFont="1" applyAlignment="1">
      <alignment vertical="center"/>
    </xf>
    <xf numFmtId="2" fontId="2" fillId="0" borderId="0" xfId="0" applyNumberFormat="1" applyFont="1"/>
    <xf numFmtId="2" fontId="2" fillId="0" borderId="0" xfId="0" applyNumberFormat="1" applyFont="1" applyAlignment="1">
      <alignment horizontal="center"/>
    </xf>
    <xf numFmtId="2" fontId="0" fillId="0" borderId="0" xfId="0" applyNumberFormat="1" applyAlignment="1">
      <alignment horizontal="left"/>
    </xf>
    <xf numFmtId="2" fontId="0" fillId="0" borderId="0" xfId="0" applyNumberFormat="1"/>
    <xf numFmtId="0" fontId="29" fillId="0" borderId="0" xfId="0" applyFont="1"/>
    <xf numFmtId="0" fontId="29" fillId="0" borderId="0" xfId="0" applyFont="1" applyAlignment="1">
      <alignment horizontal="center"/>
    </xf>
    <xf numFmtId="0" fontId="42" fillId="26" borderId="11" xfId="0" applyFont="1" applyFill="1" applyBorder="1" applyAlignment="1" applyProtection="1">
      <alignment horizontal="center" vertical="center" wrapText="1"/>
      <protection hidden="1" locked="0"/>
    </xf>
    <xf numFmtId="0" fontId="0" fillId="0" borderId="0" xfId="0" applyAlignment="1">
      <alignment horizontal="center" wrapText="1"/>
    </xf>
    <xf numFmtId="0" fontId="0" fillId="15" borderId="0" xfId="0" applyFill="1" applyAlignment="1">
      <alignment horizontal="center" wrapText="1"/>
    </xf>
    <xf numFmtId="0" fontId="38" fillId="0" borderId="0" xfId="0" applyFont="1"/>
    <xf numFmtId="0" fontId="4" fillId="27" borderId="11" xfId="0" applyFont="1" applyFill="1" applyBorder="1"/>
    <xf numFmtId="0" fontId="42" fillId="0" borderId="11" xfId="0" applyFont="1" applyBorder="1" applyAlignment="1">
      <alignment horizontal="right" vertical="center" wrapText="1"/>
    </xf>
    <xf numFmtId="0" fontId="0" fillId="23" borderId="0" xfId="0" applyFill="1" applyAlignment="1">
      <alignment vertical="center" wrapText="1"/>
    </xf>
    <xf numFmtId="0" fontId="0" fillId="23" borderId="0" xfId="0" applyFill="1" applyAlignment="1">
      <alignment horizontal="center" vertical="center" wrapText="1"/>
    </xf>
    <xf numFmtId="1" fontId="42" fillId="0" borderId="11" xfId="0" applyNumberFormat="1" applyFont="1" applyBorder="1" applyAlignment="1">
      <alignment horizontal="center" vertical="center" wrapText="1"/>
    </xf>
    <xf numFmtId="0" fontId="29" fillId="0" borderId="11" xfId="0" applyFont="1" applyBorder="1" applyAlignment="1">
      <alignment horizontal="center" vertical="center" wrapText="1"/>
    </xf>
    <xf numFmtId="0" fontId="32" fillId="28" borderId="11" xfId="0" applyFont="1" applyFill="1" applyBorder="1" applyAlignment="1" applyProtection="1">
      <alignment horizontal="center" vertical="center" wrapText="1"/>
      <protection locked="0"/>
    </xf>
    <xf numFmtId="0" fontId="29" fillId="29" borderId="11" xfId="0" applyFont="1" applyFill="1" applyBorder="1" applyAlignment="1" applyProtection="1">
      <alignment horizontal="center" vertical="center" wrapText="1"/>
      <protection hidden="1" locked="0"/>
    </xf>
    <xf numFmtId="0" fontId="29" fillId="30" borderId="11" xfId="0" applyFont="1" applyFill="1" applyBorder="1" applyAlignment="1" applyProtection="1">
      <alignment horizontal="center" vertical="center" wrapText="1"/>
      <protection hidden="1" locked="0"/>
    </xf>
    <xf numFmtId="1" fontId="29" fillId="0" borderId="11" xfId="0" applyNumberFormat="1" applyFont="1" applyBorder="1" applyAlignment="1" applyProtection="1">
      <alignment horizontal="center" vertical="center" wrapText="1"/>
      <protection hidden="1" locked="0"/>
    </xf>
    <xf numFmtId="1" fontId="2" fillId="0" borderId="0" xfId="0" applyNumberFormat="1" applyFont="1"/>
    <xf numFmtId="165" fontId="2" fillId="0" borderId="0" xfId="0" applyNumberFormat="1" applyFont="1"/>
    <xf numFmtId="0" fontId="2" fillId="0" borderId="0" xfId="0" applyFont="1" applyAlignment="1">
      <alignment horizontal="center" textRotation="90" wrapText="1"/>
    </xf>
    <xf numFmtId="0" fontId="2" fillId="0" borderId="0" xfId="0" applyFont="1" applyAlignment="1">
      <alignment horizontal="center" vertical="center" wrapText="1"/>
    </xf>
    <xf numFmtId="166" fontId="46" fillId="0" borderId="0" xfId="0" applyNumberFormat="1" applyFont="1" applyAlignment="1">
      <alignment horizontal="center" textRotation="90"/>
    </xf>
    <xf numFmtId="0" fontId="0" fillId="0" borderId="11" xfId="0" applyBorder="1" applyAlignment="1">
      <alignment horizontal="right"/>
    </xf>
    <xf numFmtId="0" fontId="2" fillId="0" borderId="0" xfId="0" applyFont="1" applyAlignment="1">
      <alignment textRotation="90"/>
    </xf>
    <xf numFmtId="1" fontId="2" fillId="0" borderId="0" xfId="0" applyNumberFormat="1" applyFont="1" applyAlignment="1">
      <alignment textRotation="90"/>
    </xf>
    <xf numFmtId="165" fontId="2" fillId="0" borderId="0" xfId="0" applyNumberFormat="1" applyFont="1" applyAlignment="1">
      <alignment textRotation="90"/>
    </xf>
    <xf numFmtId="0" fontId="0" fillId="0" borderId="0" xfId="0" applyAlignment="1">
      <alignment textRotation="90"/>
    </xf>
    <xf numFmtId="0" fontId="0" fillId="0" borderId="0" xfId="0" applyAlignment="1">
      <alignment textRotation="90" wrapText="1"/>
    </xf>
    <xf numFmtId="0" fontId="1" fillId="0" borderId="0" xfId="85" applyAlignment="1">
      <alignment horizontal="center" vertical="center" wrapText="1"/>
      <protection/>
    </xf>
    <xf numFmtId="0" fontId="32" fillId="31" borderId="11" xfId="0" applyFont="1" applyFill="1" applyBorder="1" applyAlignment="1" applyProtection="1">
      <alignment horizontal="center" vertical="center" wrapText="1"/>
      <protection locked="0"/>
    </xf>
    <xf numFmtId="0" fontId="32" fillId="31" borderId="11" xfId="0" applyFont="1" applyFill="1" applyBorder="1" applyAlignment="1" applyProtection="1">
      <alignment horizontal="center" vertical="center" wrapText="1"/>
      <protection hidden="1" locked="0"/>
    </xf>
    <xf numFmtId="0" fontId="42" fillId="0" borderId="11" xfId="0" applyFont="1" applyBorder="1" applyAlignment="1" applyProtection="1">
      <alignment horizontal="center" vertical="center" wrapText="1"/>
      <protection hidden="1"/>
    </xf>
    <xf numFmtId="0" fontId="47" fillId="0" borderId="11" xfId="0" applyFont="1" applyBorder="1" applyAlignment="1" applyProtection="1">
      <alignment horizontal="center" vertical="center" wrapText="1"/>
      <protection hidden="1" locked="0"/>
    </xf>
    <xf numFmtId="0" fontId="45" fillId="27" borderId="0" xfId="85" applyFont="1" applyFill="1" applyAlignment="1">
      <alignment horizontal="center" vertical="center" wrapText="1"/>
      <protection/>
    </xf>
    <xf numFmtId="0" fontId="28" fillId="0" borderId="11" xfId="0" applyFont="1" applyBorder="1" applyAlignment="1" applyProtection="1">
      <alignment horizontal="center" vertical="center" wrapText="1"/>
      <protection locked="0"/>
    </xf>
    <xf numFmtId="0" fontId="28" fillId="23" borderId="11" xfId="0" applyFont="1" applyFill="1" applyBorder="1" applyAlignment="1" applyProtection="1">
      <alignment horizontal="center" vertical="center" wrapText="1"/>
      <protection locked="0"/>
    </xf>
    <xf numFmtId="0" fontId="29" fillId="0" borderId="12" xfId="0" applyFont="1" applyBorder="1" applyAlignment="1">
      <alignment horizontal="left"/>
    </xf>
    <xf numFmtId="0" fontId="42" fillId="0" borderId="11" xfId="0" applyFont="1" applyBorder="1"/>
    <xf numFmtId="0" fontId="0" fillId="0" borderId="11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50" fillId="0" borderId="11" xfId="0" applyFont="1" applyBorder="1" applyAlignment="1" applyProtection="1">
      <alignment horizontal="center" vertical="center" wrapText="1"/>
      <protection hidden="1" locked="0"/>
    </xf>
    <xf numFmtId="0" fontId="50" fillId="32" borderId="11" xfId="0" applyFont="1" applyFill="1" applyBorder="1" applyAlignment="1" applyProtection="1">
      <alignment horizontal="center" vertical="center" wrapText="1"/>
      <protection hidden="1" locked="0"/>
    </xf>
    <xf numFmtId="0" fontId="45" fillId="23" borderId="0" xfId="85" applyFont="1" applyFill="1" applyAlignment="1">
      <alignment horizontal="center" vertical="center"/>
      <protection/>
    </xf>
    <xf numFmtId="0" fontId="45" fillId="23" borderId="0" xfId="85" applyFont="1" applyFill="1" applyAlignment="1">
      <alignment horizontal="center" vertical="center" wrapText="1"/>
      <protection/>
    </xf>
    <xf numFmtId="0" fontId="45" fillId="0" borderId="0" xfId="85" applyFont="1">
      <alignment/>
      <protection/>
    </xf>
    <xf numFmtId="0" fontId="45" fillId="0" borderId="0" xfId="85" applyFont="1" applyAlignment="1">
      <alignment vertical="center" wrapText="1"/>
      <protection/>
    </xf>
    <xf numFmtId="0" fontId="0" fillId="0" borderId="11" xfId="0" applyBorder="1" applyAlignment="1">
      <alignment horizontal="center" vertical="center"/>
    </xf>
    <xf numFmtId="0" fontId="40" fillId="33" borderId="11" xfId="0" applyFont="1" applyFill="1" applyBorder="1" applyAlignment="1" applyProtection="1">
      <alignment horizontal="center" vertical="center" wrapText="1"/>
      <protection hidden="1" locked="0"/>
    </xf>
    <xf numFmtId="0" fontId="40" fillId="0" borderId="11" xfId="0" applyFont="1" applyBorder="1" applyAlignment="1" applyProtection="1">
      <alignment horizontal="center" vertical="center" wrapText="1"/>
      <protection hidden="1" locked="0"/>
    </xf>
    <xf numFmtId="0" fontId="2" fillId="0" borderId="13" xfId="0" applyFont="1" applyBorder="1"/>
    <xf numFmtId="166" fontId="46" fillId="34" borderId="0" xfId="0" applyNumberFormat="1" applyFont="1" applyFill="1" applyAlignment="1">
      <alignment horizontal="center" textRotation="90"/>
    </xf>
    <xf numFmtId="0" fontId="2" fillId="34" borderId="0" xfId="0" applyFont="1" applyFill="1" applyAlignment="1">
      <alignment horizontal="center" textRotation="90" wrapText="1"/>
    </xf>
    <xf numFmtId="0" fontId="2" fillId="24" borderId="0" xfId="0" applyFont="1" applyFill="1" applyAlignment="1">
      <alignment horizontal="center" textRotation="90" wrapText="1"/>
    </xf>
    <xf numFmtId="166" fontId="46" fillId="35" borderId="0" xfId="0" applyNumberFormat="1" applyFont="1" applyFill="1" applyAlignment="1">
      <alignment horizontal="center" textRotation="90"/>
    </xf>
    <xf numFmtId="0" fontId="0" fillId="36" borderId="0" xfId="0" applyFill="1"/>
    <xf numFmtId="0" fontId="1" fillId="36" borderId="0" xfId="85" applyFill="1">
      <alignment/>
      <protection/>
    </xf>
    <xf numFmtId="0" fontId="41" fillId="37" borderId="14" xfId="0" applyFont="1" applyFill="1" applyBorder="1" applyAlignment="1" applyProtection="1">
      <alignment vertical="center" wrapText="1"/>
      <protection hidden="1" locked="0"/>
    </xf>
    <xf numFmtId="0" fontId="41" fillId="37" borderId="13" xfId="0" applyFont="1" applyFill="1" applyBorder="1" applyAlignment="1" applyProtection="1">
      <alignment vertical="center" wrapText="1"/>
      <protection hidden="1" locked="0"/>
    </xf>
    <xf numFmtId="0" fontId="42" fillId="0" borderId="0" xfId="0" applyFont="1" applyAlignment="1">
      <alignment horizontal="center" vertical="center"/>
    </xf>
    <xf numFmtId="0" fontId="42" fillId="0" borderId="15" xfId="0" applyFont="1" applyBorder="1" applyAlignment="1">
      <alignment horizontal="center" vertical="center"/>
    </xf>
    <xf numFmtId="0" fontId="42" fillId="0" borderId="15" xfId="0" applyFont="1" applyBorder="1" applyAlignment="1">
      <alignment vertical="center"/>
    </xf>
    <xf numFmtId="0" fontId="42" fillId="33" borderId="11" xfId="0" applyFont="1" applyFill="1" applyBorder="1" applyAlignment="1" applyProtection="1">
      <alignment horizontal="center" vertical="center" wrapText="1"/>
      <protection hidden="1" locked="0"/>
    </xf>
    <xf numFmtId="0" fontId="44" fillId="33" borderId="11" xfId="0" applyFont="1" applyFill="1" applyBorder="1" applyAlignment="1" applyProtection="1">
      <alignment horizontal="center" vertical="center" wrapText="1"/>
      <protection hidden="1" locked="0"/>
    </xf>
    <xf numFmtId="0" fontId="39" fillId="0" borderId="0" xfId="0" applyFont="1"/>
    <xf numFmtId="0" fontId="32" fillId="0" borderId="11" xfId="0" applyFont="1" applyBorder="1" applyAlignment="1" applyProtection="1">
      <alignment vertical="center" wrapText="1"/>
      <protection locked="0"/>
    </xf>
    <xf numFmtId="0" fontId="38" fillId="0" borderId="0" xfId="0" applyFont="1" applyAlignment="1">
      <alignment horizontal="center" vertical="center"/>
    </xf>
    <xf numFmtId="0" fontId="42" fillId="0" borderId="11" xfId="0" applyFont="1" applyBorder="1" applyAlignment="1" applyProtection="1">
      <alignment horizontal="right" vertical="top" wrapText="1"/>
      <protection hidden="1" locked="0"/>
    </xf>
    <xf numFmtId="0" fontId="39" fillId="0" borderId="11" xfId="0" applyFont="1" applyBorder="1" applyAlignment="1">
      <alignment horizontal="right" vertical="top"/>
    </xf>
    <xf numFmtId="0" fontId="38" fillId="0" borderId="11" xfId="0" applyFont="1" applyBorder="1" applyAlignment="1">
      <alignment horizontal="right" vertical="top"/>
    </xf>
    <xf numFmtId="0" fontId="42" fillId="0" borderId="11" xfId="0" applyFont="1" applyBorder="1" applyAlignment="1">
      <alignment horizontal="right" vertical="top"/>
    </xf>
    <xf numFmtId="0" fontId="47" fillId="0" borderId="11" xfId="0" applyFont="1" applyBorder="1" applyAlignment="1" applyProtection="1">
      <alignment horizontal="center" vertical="center" wrapText="1"/>
      <protection locked="0"/>
    </xf>
    <xf numFmtId="14" fontId="31" fillId="15" borderId="11" xfId="0" applyNumberFormat="1" applyFont="1" applyFill="1" applyBorder="1" applyAlignment="1" applyProtection="1">
      <alignment horizontal="left" vertical="center" wrapText="1"/>
      <protection locked="0"/>
    </xf>
    <xf numFmtId="14" fontId="31" fillId="15" borderId="11" xfId="0" applyNumberFormat="1" applyFont="1" applyFill="1" applyBorder="1" applyAlignment="1" applyProtection="1">
      <alignment horizontal="left" wrapText="1"/>
      <protection locked="0"/>
    </xf>
    <xf numFmtId="0" fontId="36" fillId="0" borderId="11" xfId="0" applyFont="1" applyBorder="1" applyAlignment="1">
      <alignment horizontal="center" vertical="center" wrapText="1"/>
    </xf>
    <xf numFmtId="0" fontId="45" fillId="0" borderId="0" xfId="85" applyFont="1" applyAlignment="1">
      <alignment horizontal="center" vertical="center" wrapText="1"/>
      <protection/>
    </xf>
    <xf numFmtId="0" fontId="34" fillId="0" borderId="0" xfId="0" applyFont="1" applyAlignment="1" applyProtection="1">
      <alignment vertical="center" wrapText="1"/>
      <protection hidden="1" locked="0"/>
    </xf>
    <xf numFmtId="0" fontId="32" fillId="0" borderId="0" xfId="0" applyFont="1" applyAlignment="1" applyProtection="1">
      <alignment vertical="center" wrapText="1"/>
      <protection hidden="1"/>
    </xf>
    <xf numFmtId="0" fontId="32" fillId="0" borderId="0" xfId="0" applyFont="1" applyAlignment="1" applyProtection="1">
      <alignment vertical="center" wrapText="1"/>
      <protection locked="0"/>
    </xf>
    <xf numFmtId="0" fontId="32" fillId="0" borderId="0" xfId="0" applyFont="1" applyAlignment="1">
      <alignment vertical="center"/>
    </xf>
    <xf numFmtId="0" fontId="0" fillId="0" borderId="0" xfId="0" applyAlignment="1">
      <alignment horizontal="center" textRotation="90"/>
    </xf>
    <xf numFmtId="0" fontId="39" fillId="0" borderId="0" xfId="0" applyFont="1" applyAlignment="1">
      <alignment horizontal="center" wrapText="1"/>
    </xf>
    <xf numFmtId="0" fontId="51" fillId="27" borderId="11" xfId="0" applyFont="1" applyFill="1" applyBorder="1" applyAlignment="1" applyProtection="1">
      <alignment horizontal="center" vertical="center"/>
      <protection hidden="1"/>
    </xf>
    <xf numFmtId="0" fontId="54" fillId="0" borderId="11" xfId="0" applyFont="1" applyBorder="1" applyAlignment="1">
      <alignment horizontal="center" vertical="center"/>
    </xf>
    <xf numFmtId="0" fontId="32" fillId="27" borderId="11" xfId="0" applyFont="1" applyFill="1" applyBorder="1" applyAlignment="1">
      <alignment horizontal="center" vertical="center"/>
    </xf>
    <xf numFmtId="167" fontId="0" fillId="0" borderId="0" xfId="0" applyNumberFormat="1"/>
    <xf numFmtId="14" fontId="32" fillId="0" borderId="11" xfId="0" applyNumberFormat="1" applyFont="1" applyBorder="1" applyAlignment="1">
      <alignment horizontal="center" vertical="center"/>
    </xf>
    <xf numFmtId="14" fontId="32" fillId="0" borderId="11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38" fillId="0" borderId="15" xfId="0" applyFont="1" applyBorder="1" applyAlignment="1">
      <alignment horizontal="center" vertical="center"/>
    </xf>
    <xf numFmtId="0" fontId="0" fillId="0" borderId="12" xfId="0" applyBorder="1"/>
    <xf numFmtId="0" fontId="0" fillId="0" borderId="15" xfId="0" applyBorder="1"/>
    <xf numFmtId="166" fontId="46" fillId="0" borderId="0" xfId="0" applyNumberFormat="1" applyFont="1" applyAlignment="1">
      <alignment horizontal="center" textRotation="90" wrapText="1"/>
    </xf>
    <xf numFmtId="0" fontId="0" fillId="0" borderId="0" xfId="0" applyAlignment="1">
      <alignment horizontal="center" textRotation="90" wrapText="1"/>
    </xf>
    <xf numFmtId="166" fontId="46" fillId="34" borderId="0" xfId="0" applyNumberFormat="1" applyFont="1" applyFill="1" applyAlignment="1">
      <alignment horizontal="center" textRotation="90" wrapText="1"/>
    </xf>
    <xf numFmtId="166" fontId="46" fillId="35" borderId="0" xfId="0" applyNumberFormat="1" applyFont="1" applyFill="1" applyAlignment="1">
      <alignment horizontal="center" textRotation="90" wrapText="1"/>
    </xf>
    <xf numFmtId="0" fontId="58" fillId="0" borderId="11" xfId="0" applyFont="1" applyBorder="1" applyAlignment="1">
      <alignment horizontal="right" vertical="top"/>
    </xf>
    <xf numFmtId="0" fontId="58" fillId="38" borderId="11" xfId="0" applyFont="1" applyFill="1" applyBorder="1" applyAlignment="1">
      <alignment horizontal="right" vertical="top"/>
    </xf>
    <xf numFmtId="0" fontId="59" fillId="0" borderId="11" xfId="0" applyFont="1" applyBorder="1" applyAlignment="1" applyProtection="1">
      <alignment horizontal="center" vertical="center" wrapText="1"/>
      <protection hidden="1" locked="0"/>
    </xf>
    <xf numFmtId="0" fontId="57" fillId="0" borderId="11" xfId="0" applyFont="1" applyBorder="1" applyAlignment="1">
      <alignment horizontal="center" vertical="center" wrapText="1"/>
    </xf>
    <xf numFmtId="0" fontId="32" fillId="0" borderId="11" xfId="0" applyFont="1" applyBorder="1" applyAlignment="1" applyProtection="1">
      <alignment horizontal="center" vertical="center" wrapText="1"/>
      <protection hidden="1"/>
    </xf>
    <xf numFmtId="0" fontId="32" fillId="39" borderId="11" xfId="0" applyFont="1" applyFill="1" applyBorder="1" applyAlignment="1">
      <alignment horizontal="center" vertical="center"/>
    </xf>
    <xf numFmtId="0" fontId="54" fillId="39" borderId="11" xfId="0" applyFont="1" applyFill="1" applyBorder="1" applyAlignment="1">
      <alignment horizontal="center" vertical="center"/>
    </xf>
    <xf numFmtId="0" fontId="39" fillId="0" borderId="11" xfId="0" applyFont="1" applyBorder="1" applyAlignment="1">
      <alignment horizontal="center" vertical="center" wrapText="1"/>
    </xf>
    <xf numFmtId="0" fontId="44" fillId="0" borderId="17" xfId="0" applyFont="1" applyBorder="1" applyAlignment="1" applyProtection="1">
      <alignment horizontal="center" vertical="center" wrapText="1"/>
      <protection hidden="1" locked="0"/>
    </xf>
    <xf numFmtId="0" fontId="60" fillId="0" borderId="11" xfId="0" applyFont="1" applyBorder="1" applyAlignment="1" applyProtection="1">
      <alignment horizontal="center" vertical="center" wrapText="1"/>
      <protection hidden="1" locked="0"/>
    </xf>
    <xf numFmtId="0" fontId="28" fillId="0" borderId="11" xfId="0" applyFont="1" applyBorder="1" applyAlignment="1" applyProtection="1">
      <alignment horizontal="center" vertical="center" wrapText="1"/>
      <protection hidden="1"/>
    </xf>
    <xf numFmtId="0" fontId="28" fillId="15" borderId="11" xfId="0" applyFont="1" applyFill="1" applyBorder="1" applyAlignment="1" applyProtection="1">
      <alignment horizontal="center" vertical="center" wrapText="1"/>
      <protection hidden="1"/>
    </xf>
    <xf numFmtId="0" fontId="28" fillId="0" borderId="11" xfId="0" applyFont="1" applyBorder="1" applyAlignment="1">
      <alignment horizontal="center" vertical="center" wrapText="1"/>
    </xf>
    <xf numFmtId="0" fontId="28" fillId="0" borderId="18" xfId="0" applyFont="1" applyBorder="1" applyAlignment="1" applyProtection="1">
      <alignment horizontal="center" vertical="center" wrapText="1"/>
      <protection hidden="1"/>
    </xf>
    <xf numFmtId="0" fontId="28" fillId="0" borderId="12" xfId="0" applyFont="1" applyBorder="1" applyAlignment="1" applyProtection="1">
      <alignment horizontal="center" vertical="center" wrapText="1"/>
      <protection hidden="1"/>
    </xf>
    <xf numFmtId="0" fontId="28" fillId="0" borderId="17" xfId="0" applyFont="1" applyBorder="1" applyAlignment="1" applyProtection="1">
      <alignment horizontal="center" vertical="center" wrapText="1"/>
      <protection hidden="1"/>
    </xf>
    <xf numFmtId="0" fontId="34" fillId="0" borderId="19" xfId="0" applyFont="1" applyBorder="1" applyAlignment="1" applyProtection="1">
      <alignment horizontal="center" vertical="center" wrapText="1"/>
      <protection hidden="1" locked="0"/>
    </xf>
    <xf numFmtId="0" fontId="34" fillId="0" borderId="20" xfId="0" applyFont="1" applyBorder="1" applyAlignment="1" applyProtection="1">
      <alignment horizontal="center" vertical="center" wrapText="1"/>
      <protection hidden="1" locked="0"/>
    </xf>
    <xf numFmtId="0" fontId="34" fillId="0" borderId="21" xfId="0" applyFont="1" applyBorder="1" applyAlignment="1" applyProtection="1">
      <alignment horizontal="center" vertical="center" wrapText="1"/>
      <protection hidden="1" locked="0"/>
    </xf>
    <xf numFmtId="0" fontId="32" fillId="0" borderId="19" xfId="0" applyFont="1" applyBorder="1" applyAlignment="1" applyProtection="1">
      <alignment horizontal="center" vertical="center" wrapText="1"/>
      <protection hidden="1"/>
    </xf>
    <xf numFmtId="0" fontId="32" fillId="0" borderId="20" xfId="0" applyFont="1" applyBorder="1" applyAlignment="1" applyProtection="1">
      <alignment horizontal="center" vertical="center" wrapText="1"/>
      <protection hidden="1"/>
    </xf>
    <xf numFmtId="0" fontId="32" fillId="0" borderId="21" xfId="0" applyFont="1" applyBorder="1" applyAlignment="1" applyProtection="1">
      <alignment horizontal="center" vertical="center" wrapText="1"/>
      <protection hidden="1"/>
    </xf>
    <xf numFmtId="0" fontId="32" fillId="0" borderId="22" xfId="0" applyFont="1" applyBorder="1" applyAlignment="1" applyProtection="1">
      <alignment horizontal="center" vertical="center" wrapText="1"/>
      <protection locked="0"/>
    </xf>
    <xf numFmtId="0" fontId="32" fillId="0" borderId="16" xfId="0" applyFont="1" applyBorder="1" applyAlignment="1" applyProtection="1">
      <alignment horizontal="center" vertical="center" wrapText="1"/>
      <protection locked="0"/>
    </xf>
    <xf numFmtId="0" fontId="32" fillId="0" borderId="23" xfId="0" applyFont="1" applyBorder="1" applyAlignment="1" applyProtection="1">
      <alignment horizontal="center" vertical="center" wrapText="1"/>
      <protection locked="0"/>
    </xf>
    <xf numFmtId="0" fontId="32" fillId="0" borderId="14" xfId="0" applyFont="1" applyBorder="1" applyAlignment="1" applyProtection="1">
      <alignment horizontal="center" vertical="center" wrapText="1"/>
      <protection locked="0"/>
    </xf>
    <xf numFmtId="0" fontId="32" fillId="0" borderId="13" xfId="0" applyFont="1" applyBorder="1" applyAlignment="1" applyProtection="1">
      <alignment horizontal="center" vertical="center" wrapText="1"/>
      <protection locked="0"/>
    </xf>
    <xf numFmtId="0" fontId="32" fillId="0" borderId="24" xfId="0" applyFont="1" applyBorder="1" applyAlignment="1" applyProtection="1">
      <alignment horizontal="center" vertical="center" wrapText="1"/>
      <protection locked="0"/>
    </xf>
    <xf numFmtId="0" fontId="32" fillId="0" borderId="19" xfId="0" applyFont="1" applyBorder="1" applyAlignment="1" applyProtection="1">
      <alignment horizontal="left" vertical="center" wrapText="1"/>
      <protection locked="0"/>
    </xf>
    <xf numFmtId="0" fontId="32" fillId="0" borderId="20" xfId="0" applyFont="1" applyBorder="1" applyAlignment="1" applyProtection="1">
      <alignment horizontal="left" vertical="center" wrapText="1"/>
      <protection locked="0"/>
    </xf>
    <xf numFmtId="0" fontId="32" fillId="0" borderId="21" xfId="0" applyFont="1" applyBorder="1" applyAlignment="1" applyProtection="1">
      <alignment horizontal="left" vertical="center" wrapText="1"/>
      <protection locked="0"/>
    </xf>
    <xf numFmtId="0" fontId="32" fillId="0" borderId="19" xfId="0" applyFont="1" applyBorder="1" applyAlignment="1" applyProtection="1">
      <alignment horizontal="center" vertical="center" wrapText="1"/>
      <protection locked="0"/>
    </xf>
    <xf numFmtId="0" fontId="32" fillId="0" borderId="20" xfId="0" applyFont="1" applyBorder="1" applyAlignment="1" applyProtection="1">
      <alignment horizontal="center" vertical="center" wrapText="1"/>
      <protection locked="0"/>
    </xf>
    <xf numFmtId="0" fontId="32" fillId="0" borderId="21" xfId="0" applyFont="1" applyBorder="1" applyAlignment="1" applyProtection="1">
      <alignment horizontal="center" vertical="center" wrapText="1"/>
      <protection locked="0"/>
    </xf>
    <xf numFmtId="0" fontId="32" fillId="0" borderId="19" xfId="0" applyFont="1" applyBorder="1" applyAlignment="1">
      <alignment horizontal="center" vertical="center"/>
    </xf>
    <xf numFmtId="0" fontId="32" fillId="0" borderId="20" xfId="0" applyFont="1" applyBorder="1" applyAlignment="1">
      <alignment horizontal="center" vertical="center"/>
    </xf>
    <xf numFmtId="0" fontId="32" fillId="0" borderId="21" xfId="0" applyFont="1" applyBorder="1" applyAlignment="1">
      <alignment horizontal="center" vertical="center"/>
    </xf>
    <xf numFmtId="0" fontId="42" fillId="0" borderId="11" xfId="0" applyFont="1" applyBorder="1" applyAlignment="1">
      <alignment horizontal="center" vertical="center" wrapText="1"/>
    </xf>
    <xf numFmtId="14" fontId="32" fillId="15" borderId="11" xfId="0" applyNumberFormat="1" applyFont="1" applyFill="1" applyBorder="1" applyAlignment="1" applyProtection="1">
      <alignment horizontal="center" vertical="center" wrapText="1"/>
      <protection locked="0"/>
    </xf>
    <xf numFmtId="0" fontId="32" fillId="15" borderId="11" xfId="0" applyFont="1" applyFill="1" applyBorder="1" applyAlignment="1">
      <alignment horizontal="center" vertical="center" wrapText="1"/>
    </xf>
    <xf numFmtId="0" fontId="32" fillId="15" borderId="11" xfId="0" applyFont="1" applyFill="1" applyBorder="1" applyAlignment="1" applyProtection="1">
      <alignment horizontal="center" vertical="center" wrapText="1"/>
      <protection locked="0"/>
    </xf>
    <xf numFmtId="0" fontId="32" fillId="0" borderId="11" xfId="0" applyFont="1" applyBorder="1" applyAlignment="1" applyProtection="1">
      <alignment horizontal="center" vertical="center" wrapText="1"/>
      <protection locked="0"/>
    </xf>
    <xf numFmtId="0" fontId="32" fillId="0" borderId="11" xfId="0" applyFont="1" applyBorder="1" applyAlignment="1">
      <alignment horizontal="center" vertical="center" wrapText="1"/>
    </xf>
    <xf numFmtId="0" fontId="43" fillId="0" borderId="11" xfId="0" applyFont="1" applyBorder="1" applyAlignment="1">
      <alignment horizontal="center" vertical="center" wrapText="1"/>
    </xf>
    <xf numFmtId="22" fontId="32" fillId="0" borderId="11" xfId="0" applyNumberFormat="1" applyFont="1" applyBorder="1" applyAlignment="1" applyProtection="1">
      <alignment horizontal="center" vertical="center" wrapText="1"/>
      <protection locked="0"/>
    </xf>
    <xf numFmtId="0" fontId="32" fillId="0" borderId="11" xfId="0" applyFont="1" applyBorder="1" applyAlignment="1">
      <alignment horizontal="center" vertical="center"/>
    </xf>
    <xf numFmtId="0" fontId="32" fillId="40" borderId="11" xfId="0" applyFont="1" applyFill="1" applyBorder="1" applyAlignment="1" applyProtection="1">
      <alignment horizontal="center" vertical="center" wrapText="1"/>
      <protection hidden="1"/>
    </xf>
    <xf numFmtId="0" fontId="42" fillId="0" borderId="11" xfId="0" applyFont="1" applyBorder="1" applyAlignment="1" applyProtection="1">
      <alignment horizontal="center" wrapText="1"/>
      <protection hidden="1"/>
    </xf>
    <xf numFmtId="14" fontId="32" fillId="15" borderId="11" xfId="0" applyNumberFormat="1" applyFont="1" applyFill="1" applyBorder="1" applyAlignment="1" applyProtection="1">
      <alignment horizontal="center" wrapText="1"/>
      <protection locked="0"/>
    </xf>
    <xf numFmtId="0" fontId="28" fillId="15" borderId="11" xfId="0" applyFont="1" applyFill="1" applyBorder="1" applyAlignment="1" applyProtection="1">
      <alignment horizontal="center" vertical="center" textRotation="90" wrapText="1"/>
      <protection hidden="1"/>
    </xf>
    <xf numFmtId="0" fontId="28" fillId="28" borderId="11" xfId="0" applyFont="1" applyFill="1" applyBorder="1" applyAlignment="1" applyProtection="1">
      <alignment horizontal="center" vertical="center" wrapText="1"/>
      <protection hidden="1"/>
    </xf>
    <xf numFmtId="0" fontId="28" fillId="30" borderId="11" xfId="0" applyFont="1" applyFill="1" applyBorder="1" applyAlignment="1">
      <alignment horizontal="center" vertical="center" wrapText="1"/>
    </xf>
    <xf numFmtId="0" fontId="28" fillId="29" borderId="11" xfId="0" applyFont="1" applyFill="1" applyBorder="1" applyAlignment="1">
      <alignment horizontal="center" vertical="center" wrapText="1"/>
    </xf>
    <xf numFmtId="0" fontId="5" fillId="0" borderId="13" xfId="0" applyFont="1" applyBorder="1" applyAlignment="1">
      <alignment horizontal="center" vertical="center"/>
    </xf>
    <xf numFmtId="0" fontId="28" fillId="0" borderId="11" xfId="0" applyFont="1" applyBorder="1" applyAlignment="1" applyProtection="1">
      <alignment horizontal="center" vertical="center" wrapText="1"/>
      <protection locked="0"/>
    </xf>
    <xf numFmtId="0" fontId="28" fillId="31" borderId="11" xfId="0" applyFont="1" applyFill="1" applyBorder="1" applyAlignment="1" applyProtection="1">
      <alignment horizontal="center" vertical="center" wrapText="1"/>
      <protection hidden="1"/>
    </xf>
    <xf numFmtId="0" fontId="34" fillId="0" borderId="11" xfId="0" applyFont="1" applyBorder="1" applyAlignment="1" applyProtection="1">
      <alignment horizontal="center" vertical="center" wrapText="1"/>
      <protection hidden="1" locked="0"/>
    </xf>
    <xf numFmtId="0" fontId="32" fillId="0" borderId="11" xfId="0" applyFont="1" applyBorder="1" applyAlignment="1" applyProtection="1">
      <alignment horizontal="center" vertical="center" wrapText="1"/>
      <protection hidden="1"/>
    </xf>
    <xf numFmtId="0" fontId="36" fillId="0" borderId="11" xfId="0" applyFont="1" applyBorder="1" applyAlignment="1">
      <alignment horizontal="center" vertical="center" wrapText="1"/>
    </xf>
    <xf numFmtId="0" fontId="31" fillId="0" borderId="11" xfId="0" applyFont="1" applyBorder="1" applyAlignment="1" applyProtection="1">
      <alignment horizontal="center" vertical="center" wrapText="1"/>
      <protection hidden="1"/>
    </xf>
    <xf numFmtId="0" fontId="36" fillId="0" borderId="11" xfId="0" applyFont="1" applyBorder="1" applyAlignment="1" applyProtection="1">
      <alignment horizontal="center" vertical="center" wrapText="1"/>
      <protection hidden="1"/>
    </xf>
    <xf numFmtId="0" fontId="41" fillId="37" borderId="22" xfId="0" applyFont="1" applyFill="1" applyBorder="1" applyAlignment="1" applyProtection="1">
      <alignment horizontal="center" vertical="center" wrapText="1"/>
      <protection hidden="1" locked="0"/>
    </xf>
    <xf numFmtId="0" fontId="41" fillId="37" borderId="16" xfId="0" applyFont="1" applyFill="1" applyBorder="1" applyAlignment="1" applyProtection="1">
      <alignment horizontal="center" vertical="center" wrapText="1"/>
      <protection hidden="1" locked="0"/>
    </xf>
    <xf numFmtId="0" fontId="32" fillId="0" borderId="15" xfId="0" applyFont="1" applyBorder="1" applyAlignment="1" applyProtection="1">
      <alignment horizontal="center" vertical="center" wrapText="1"/>
      <protection locked="0"/>
    </xf>
    <xf numFmtId="0" fontId="32" fillId="0" borderId="0" xfId="0" applyFont="1" applyAlignment="1" applyProtection="1">
      <alignment horizontal="center" vertical="center" wrapText="1"/>
      <protection locked="0"/>
    </xf>
    <xf numFmtId="0" fontId="32" fillId="0" borderId="25" xfId="0" applyFont="1" applyBorder="1" applyAlignment="1" applyProtection="1">
      <alignment horizontal="center" vertical="center" wrapText="1"/>
      <protection locked="0"/>
    </xf>
    <xf numFmtId="0" fontId="32" fillId="0" borderId="18" xfId="0" applyFont="1" applyBorder="1" applyAlignment="1" applyProtection="1">
      <alignment horizontal="center" vertical="center" wrapText="1"/>
      <protection hidden="1"/>
    </xf>
    <xf numFmtId="0" fontId="32" fillId="0" borderId="17" xfId="0" applyFont="1" applyBorder="1" applyAlignment="1" applyProtection="1">
      <alignment horizontal="center" vertical="center" wrapText="1"/>
      <protection hidden="1"/>
    </xf>
    <xf numFmtId="0" fontId="36" fillId="0" borderId="18" xfId="0" applyFont="1" applyBorder="1" applyAlignment="1" applyProtection="1">
      <alignment horizontal="center" vertical="center" wrapText="1"/>
      <protection hidden="1"/>
    </xf>
    <xf numFmtId="0" fontId="36" fillId="0" borderId="17" xfId="0" applyFont="1" applyBorder="1" applyAlignment="1" applyProtection="1">
      <alignment horizontal="center" vertical="center" wrapText="1"/>
      <protection hidden="1"/>
    </xf>
    <xf numFmtId="0" fontId="32" fillId="15" borderId="18" xfId="0" applyFont="1" applyFill="1" applyBorder="1" applyAlignment="1" applyProtection="1">
      <alignment horizontal="center" vertical="center" wrapText="1"/>
      <protection hidden="1"/>
    </xf>
    <xf numFmtId="0" fontId="32" fillId="15" borderId="17" xfId="0" applyFont="1" applyFill="1" applyBorder="1" applyAlignment="1" applyProtection="1">
      <alignment horizontal="center" vertical="center" wrapText="1"/>
      <protection hidden="1"/>
    </xf>
    <xf numFmtId="0" fontId="32" fillId="15" borderId="18" xfId="0" applyFont="1" applyFill="1" applyBorder="1" applyAlignment="1" applyProtection="1">
      <alignment horizontal="center" vertical="center" textRotation="90" wrapText="1"/>
      <protection hidden="1"/>
    </xf>
    <xf numFmtId="0" fontId="32" fillId="15" borderId="17" xfId="0" applyFont="1" applyFill="1" applyBorder="1" applyAlignment="1" applyProtection="1">
      <alignment horizontal="center" vertical="center" textRotation="90" wrapText="1"/>
      <protection hidden="1"/>
    </xf>
    <xf numFmtId="0" fontId="5" fillId="15" borderId="11" xfId="0" applyFont="1" applyFill="1" applyBorder="1" applyAlignment="1" applyProtection="1">
      <alignment horizontal="center" vertical="center" textRotation="90" wrapText="1"/>
      <protection hidden="1"/>
    </xf>
    <xf numFmtId="0" fontId="27" fillId="15" borderId="11" xfId="0" applyFont="1" applyFill="1" applyBorder="1" applyAlignment="1" applyProtection="1">
      <alignment horizontal="center" vertical="center" wrapText="1"/>
      <protection hidden="1"/>
    </xf>
    <xf numFmtId="0" fontId="27" fillId="0" borderId="11" xfId="0" applyFont="1" applyBorder="1" applyAlignment="1" applyProtection="1">
      <alignment horizontal="center" vertical="center" wrapText="1"/>
      <protection hidden="1"/>
    </xf>
    <xf numFmtId="0" fontId="53" fillId="0" borderId="11" xfId="0" applyFont="1" applyBorder="1" applyAlignment="1" applyProtection="1">
      <alignment horizontal="center" vertical="center" wrapText="1"/>
      <protection hidden="1"/>
    </xf>
    <xf numFmtId="0" fontId="36" fillId="0" borderId="11" xfId="0" applyFont="1" applyBorder="1" applyAlignment="1">
      <alignment horizontal="center" wrapText="1"/>
    </xf>
    <xf numFmtId="0" fontId="35" fillId="0" borderId="11" xfId="0" applyFont="1" applyBorder="1" applyAlignment="1">
      <alignment horizontal="center" vertical="center" wrapText="1"/>
    </xf>
    <xf numFmtId="0" fontId="47" fillId="0" borderId="11" xfId="0" applyFont="1" applyBorder="1" applyAlignment="1">
      <alignment horizontal="center" vertical="center" wrapText="1"/>
    </xf>
    <xf numFmtId="0" fontId="47" fillId="0" borderId="11" xfId="0" applyFont="1" applyBorder="1" applyAlignment="1" applyProtection="1">
      <alignment horizontal="center" wrapText="1"/>
      <protection hidden="1"/>
    </xf>
    <xf numFmtId="0" fontId="34" fillId="36" borderId="11" xfId="0" applyFont="1" applyFill="1" applyBorder="1" applyAlignment="1" applyProtection="1">
      <alignment horizontal="center" vertical="center" wrapText="1"/>
      <protection hidden="1" locked="0"/>
    </xf>
    <xf numFmtId="0" fontId="36" fillId="15" borderId="11" xfId="0" applyFont="1" applyFill="1" applyBorder="1" applyAlignment="1" applyProtection="1">
      <alignment horizontal="center" vertical="center" wrapText="1"/>
      <protection locked="0"/>
    </xf>
    <xf numFmtId="14" fontId="36" fillId="15" borderId="11" xfId="0" applyNumberFormat="1" applyFont="1" applyFill="1" applyBorder="1" applyAlignment="1" applyProtection="1">
      <alignment horizontal="center" vertical="center" wrapText="1"/>
      <protection locked="0"/>
    </xf>
    <xf numFmtId="0" fontId="36" fillId="15" borderId="11" xfId="0" applyFont="1" applyFill="1" applyBorder="1" applyAlignment="1">
      <alignment horizontal="center" vertical="center" wrapText="1"/>
    </xf>
    <xf numFmtId="0" fontId="36" fillId="40" borderId="11" xfId="0" applyFont="1" applyFill="1" applyBorder="1" applyAlignment="1" applyProtection="1">
      <alignment horizontal="center" vertical="center" wrapText="1"/>
      <protection hidden="1"/>
    </xf>
    <xf numFmtId="14" fontId="31" fillId="0" borderId="11" xfId="0" applyNumberFormat="1" applyFont="1" applyBorder="1" applyAlignment="1" applyProtection="1">
      <alignment horizontal="center" vertical="center" wrapText="1"/>
      <protection locked="0"/>
    </xf>
    <xf numFmtId="0" fontId="31" fillId="0" borderId="11" xfId="0" applyFont="1" applyBorder="1" applyAlignment="1" applyProtection="1">
      <alignment horizontal="center" vertical="center" wrapText="1"/>
      <protection locked="0"/>
    </xf>
    <xf numFmtId="0" fontId="33" fillId="0" borderId="11" xfId="0" applyFont="1" applyBorder="1" applyAlignment="1" applyProtection="1">
      <alignment horizontal="center" vertical="center" wrapText="1"/>
      <protection hidden="1"/>
    </xf>
    <xf numFmtId="164" fontId="31" fillId="0" borderId="11" xfId="0" applyNumberFormat="1" applyFont="1" applyBorder="1" applyAlignment="1" applyProtection="1">
      <alignment horizontal="center" vertical="center" wrapText="1"/>
      <protection hidden="1"/>
    </xf>
    <xf numFmtId="0" fontId="52" fillId="0" borderId="11" xfId="0" applyFont="1" applyBorder="1" applyAlignment="1" applyProtection="1">
      <alignment horizontal="center" vertical="center" wrapText="1"/>
      <protection locked="0"/>
    </xf>
    <xf numFmtId="0" fontId="33" fillId="0" borderId="11" xfId="0" applyFont="1" applyBorder="1" applyAlignment="1">
      <alignment horizontal="center" vertical="center" wrapText="1"/>
    </xf>
    <xf numFmtId="0" fontId="33" fillId="15" borderId="11" xfId="0" applyFont="1" applyFill="1" applyBorder="1" applyAlignment="1" applyProtection="1">
      <alignment horizontal="center" vertical="center" wrapText="1"/>
      <protection hidden="1"/>
    </xf>
    <xf numFmtId="0" fontId="34" fillId="27" borderId="11" xfId="0" applyFont="1" applyFill="1" applyBorder="1" applyAlignment="1" applyProtection="1">
      <alignment horizontal="center" wrapText="1"/>
      <protection hidden="1" locked="0"/>
    </xf>
    <xf numFmtId="0" fontId="42" fillId="0" borderId="11" xfId="0" applyFont="1" applyBorder="1" applyAlignment="1" applyProtection="1">
      <alignment horizontal="center" vertical="center" wrapText="1"/>
      <protection locked="0"/>
    </xf>
    <xf numFmtId="0" fontId="36" fillId="15" borderId="11" xfId="0" applyFont="1" applyFill="1" applyBorder="1" applyAlignment="1" applyProtection="1">
      <alignment horizontal="center" vertical="center" wrapText="1"/>
      <protection hidden="1"/>
    </xf>
    <xf numFmtId="0" fontId="36" fillId="15" borderId="11" xfId="0" applyFont="1" applyFill="1" applyBorder="1" applyAlignment="1" applyProtection="1">
      <alignment horizontal="center" vertical="center" textRotation="90" wrapText="1"/>
      <protection hidden="1"/>
    </xf>
    <xf numFmtId="14" fontId="32" fillId="0" borderId="11" xfId="0" applyNumberFormat="1" applyFont="1" applyBorder="1" applyAlignment="1" applyProtection="1">
      <alignment horizontal="center" vertical="center" wrapText="1"/>
      <protection locked="0"/>
    </xf>
    <xf numFmtId="0" fontId="31" fillId="40" borderId="11" xfId="0" applyFont="1" applyFill="1" applyBorder="1" applyAlignment="1" applyProtection="1">
      <alignment horizontal="center" vertical="center" wrapText="1"/>
      <protection hidden="1"/>
    </xf>
    <xf numFmtId="0" fontId="32" fillId="33" borderId="11" xfId="0" applyFont="1" applyFill="1" applyBorder="1" applyAlignment="1">
      <alignment horizontal="center" vertical="center" wrapText="1"/>
    </xf>
    <xf numFmtId="0" fontId="31" fillId="33" borderId="11" xfId="0" applyFont="1" applyFill="1" applyBorder="1" applyAlignment="1" applyProtection="1">
      <alignment horizontal="center" vertical="center" wrapText="1"/>
      <protection hidden="1"/>
    </xf>
    <xf numFmtId="0" fontId="36" fillId="33" borderId="11" xfId="0" applyFont="1" applyFill="1" applyBorder="1" applyAlignment="1" applyProtection="1">
      <alignment horizontal="center" vertical="center" wrapText="1"/>
      <protection hidden="1"/>
    </xf>
    <xf numFmtId="0" fontId="32" fillId="15" borderId="11" xfId="0" applyFont="1" applyFill="1" applyBorder="1" applyAlignment="1">
      <alignment horizontal="left" vertical="center" wrapText="1"/>
    </xf>
    <xf numFmtId="0" fontId="32" fillId="15" borderId="11" xfId="0" applyFont="1" applyFill="1" applyBorder="1" applyAlignment="1" applyProtection="1">
      <alignment horizontal="center" vertical="center" textRotation="90" wrapText="1"/>
      <protection hidden="1"/>
    </xf>
    <xf numFmtId="0" fontId="32" fillId="15" borderId="11" xfId="0" applyFont="1" applyFill="1" applyBorder="1" applyAlignment="1" applyProtection="1">
      <alignment horizontal="center" vertical="center" wrapText="1"/>
      <protection hidden="1"/>
    </xf>
    <xf numFmtId="0" fontId="49" fillId="15" borderId="11" xfId="0" applyFont="1" applyFill="1" applyBorder="1" applyAlignment="1" applyProtection="1">
      <alignment horizontal="center" vertical="center" wrapText="1"/>
      <protection hidden="1"/>
    </xf>
    <xf numFmtId="0" fontId="32" fillId="26" borderId="11" xfId="0" applyFont="1" applyFill="1" applyBorder="1" applyAlignment="1">
      <alignment horizontal="center" vertical="center" wrapText="1"/>
    </xf>
    <xf numFmtId="0" fontId="41" fillId="23" borderId="11" xfId="0" applyFont="1" applyFill="1" applyBorder="1" applyAlignment="1" applyProtection="1">
      <alignment horizontal="center" vertical="center" wrapText="1"/>
      <protection hidden="1" locked="0"/>
    </xf>
    <xf numFmtId="0" fontId="41" fillId="41" borderId="11" xfId="0" applyFont="1" applyFill="1" applyBorder="1" applyAlignment="1" applyProtection="1">
      <alignment horizontal="center" vertical="center" wrapText="1"/>
      <protection hidden="1" locked="0"/>
    </xf>
    <xf numFmtId="0" fontId="32" fillId="42" borderId="11" xfId="0" applyFont="1" applyFill="1" applyBorder="1" applyAlignment="1" applyProtection="1">
      <alignment horizontal="center" vertical="center" wrapText="1"/>
      <protection hidden="1"/>
    </xf>
    <xf numFmtId="0" fontId="49" fillId="0" borderId="11" xfId="0" applyFont="1" applyBorder="1" applyAlignment="1" applyProtection="1">
      <alignment horizontal="center" vertical="center" wrapText="1"/>
      <protection hidden="1"/>
    </xf>
    <xf numFmtId="0" fontId="31" fillId="25" borderId="11" xfId="0" applyFont="1" applyFill="1" applyBorder="1" applyAlignment="1" applyProtection="1">
      <alignment horizontal="center" vertical="center" wrapText="1"/>
      <protection hidden="1"/>
    </xf>
    <xf numFmtId="0" fontId="49" fillId="32" borderId="11" xfId="0" applyFont="1" applyFill="1" applyBorder="1" applyAlignment="1" applyProtection="1">
      <alignment horizontal="center" vertical="center" wrapText="1"/>
      <protection hidden="1"/>
    </xf>
    <xf numFmtId="0" fontId="32" fillId="26" borderId="11" xfId="0" applyFont="1" applyFill="1" applyBorder="1" applyAlignment="1" applyProtection="1">
      <alignment horizontal="center" vertical="center" wrapText="1"/>
      <protection hidden="1"/>
    </xf>
    <xf numFmtId="0" fontId="32" fillId="25" borderId="11" xfId="0" applyFont="1" applyFill="1" applyBorder="1" applyAlignment="1" applyProtection="1">
      <alignment horizontal="center" vertical="center" wrapText="1"/>
      <protection hidden="1"/>
    </xf>
    <xf numFmtId="0" fontId="31" fillId="25" borderId="11" xfId="0" applyFont="1" applyFill="1" applyBorder="1" applyAlignment="1">
      <alignment horizontal="center" vertical="center" wrapText="1"/>
    </xf>
    <xf numFmtId="0" fontId="41" fillId="43" borderId="11" xfId="0" applyFont="1" applyFill="1" applyBorder="1" applyAlignment="1" applyProtection="1">
      <alignment horizontal="center" vertical="center" wrapText="1"/>
      <protection hidden="1" locked="0"/>
    </xf>
    <xf numFmtId="0" fontId="42" fillId="0" borderId="15" xfId="0" applyFont="1" applyBorder="1" applyAlignment="1">
      <alignment horizontal="center" vertical="center" wrapText="1"/>
    </xf>
    <xf numFmtId="0" fontId="31" fillId="15" borderId="11" xfId="0" applyFont="1" applyFill="1" applyBorder="1" applyAlignment="1" applyProtection="1">
      <alignment horizontal="center" vertical="center" textRotation="90" wrapText="1"/>
      <protection hidden="1"/>
    </xf>
    <xf numFmtId="0" fontId="32" fillId="0" borderId="18" xfId="0" applyFont="1" applyBorder="1" applyAlignment="1" applyProtection="1">
      <alignment horizontal="center" vertical="center" wrapText="1"/>
      <protection locked="0"/>
    </xf>
    <xf numFmtId="0" fontId="31" fillId="0" borderId="26" xfId="0" applyFont="1" applyBorder="1" applyAlignment="1" applyProtection="1">
      <alignment horizontal="center" vertical="center" wrapText="1"/>
      <protection hidden="1"/>
    </xf>
    <xf numFmtId="0" fontId="31" fillId="0" borderId="27" xfId="0" applyFont="1" applyBorder="1" applyAlignment="1" applyProtection="1">
      <alignment horizontal="center" vertical="center" wrapText="1"/>
      <protection hidden="1"/>
    </xf>
    <xf numFmtId="0" fontId="31" fillId="0" borderId="28" xfId="0" applyFont="1" applyBorder="1" applyAlignment="1" applyProtection="1">
      <alignment horizontal="center" vertical="center" wrapText="1"/>
      <protection hidden="1"/>
    </xf>
    <xf numFmtId="0" fontId="31" fillId="0" borderId="29" xfId="0" applyFont="1" applyBorder="1" applyAlignment="1" applyProtection="1">
      <alignment horizontal="center" vertical="center" wrapText="1"/>
      <protection hidden="1"/>
    </xf>
    <xf numFmtId="0" fontId="41" fillId="44" borderId="11" xfId="0" applyFont="1" applyFill="1" applyBorder="1" applyAlignment="1">
      <alignment horizontal="center" vertical="center"/>
    </xf>
    <xf numFmtId="0" fontId="32" fillId="40" borderId="11" xfId="0" applyFont="1" applyFill="1" applyBorder="1" applyAlignment="1">
      <alignment horizontal="center" vertical="center"/>
    </xf>
    <xf numFmtId="0" fontId="56" fillId="0" borderId="11" xfId="0" applyFont="1" applyBorder="1" applyAlignment="1">
      <alignment horizontal="center" vertical="center"/>
    </xf>
    <xf numFmtId="0" fontId="50" fillId="0" borderId="11" xfId="0" applyFont="1" applyBorder="1" applyAlignment="1">
      <alignment horizontal="center" vertical="center"/>
    </xf>
    <xf numFmtId="0" fontId="54" fillId="0" borderId="11" xfId="0" applyFont="1" applyBorder="1" applyAlignment="1">
      <alignment horizontal="center" vertical="center"/>
    </xf>
    <xf numFmtId="0" fontId="54" fillId="0" borderId="11" xfId="0" applyFont="1" applyBorder="1" applyAlignment="1">
      <alignment horizontal="center" vertical="center" wrapText="1"/>
    </xf>
    <xf numFmtId="0" fontId="55" fillId="0" borderId="18" xfId="0" applyFont="1" applyBorder="1" applyAlignment="1">
      <alignment horizontal="center" vertical="center" wrapText="1"/>
    </xf>
    <xf numFmtId="0" fontId="55" fillId="0" borderId="17" xfId="0" applyFont="1" applyBorder="1" applyAlignment="1">
      <alignment horizontal="center" vertical="center" wrapText="1"/>
    </xf>
    <xf numFmtId="0" fontId="34" fillId="45" borderId="11" xfId="0" applyFont="1" applyFill="1" applyBorder="1" applyAlignment="1" applyProtection="1">
      <alignment horizontal="center" vertical="center" wrapText="1"/>
      <protection hidden="1" locked="0"/>
    </xf>
    <xf numFmtId="0" fontId="48" fillId="0" borderId="11" xfId="0" applyFont="1" applyBorder="1" applyAlignment="1">
      <alignment horizontal="center" vertical="center" wrapText="1"/>
    </xf>
    <xf numFmtId="0" fontId="34" fillId="46" borderId="19" xfId="0" applyFont="1" applyFill="1" applyBorder="1" applyAlignment="1" applyProtection="1">
      <alignment horizontal="center" vertical="center" wrapText="1"/>
      <protection hidden="1" locked="0"/>
    </xf>
    <xf numFmtId="0" fontId="34" fillId="46" borderId="20" xfId="0" applyFont="1" applyFill="1" applyBorder="1" applyAlignment="1" applyProtection="1">
      <alignment horizontal="center" vertical="center" wrapText="1"/>
      <protection hidden="1" locked="0"/>
    </xf>
    <xf numFmtId="0" fontId="34" fillId="46" borderId="21" xfId="0" applyFont="1" applyFill="1" applyBorder="1" applyAlignment="1" applyProtection="1">
      <alignment horizontal="center" vertical="center" wrapText="1"/>
      <protection hidden="1" locked="0"/>
    </xf>
    <xf numFmtId="0" fontId="45" fillId="23" borderId="0" xfId="85" applyFont="1" applyFill="1" applyAlignment="1">
      <alignment horizontal="center" vertical="center" wrapText="1"/>
      <protection/>
    </xf>
    <xf numFmtId="0" fontId="45" fillId="23" borderId="0" xfId="85" applyFont="1" applyFill="1" applyAlignment="1">
      <alignment horizontal="center" vertical="center"/>
      <protection/>
    </xf>
    <xf numFmtId="0" fontId="45" fillId="23" borderId="11" xfId="85" applyFont="1" applyFill="1" applyBorder="1" applyAlignment="1">
      <alignment horizontal="center" vertical="center" wrapText="1"/>
      <protection/>
    </xf>
    <xf numFmtId="0" fontId="45" fillId="27" borderId="0" xfId="85" applyFont="1" applyFill="1" applyAlignment="1">
      <alignment horizontal="center" vertical="center"/>
      <protection/>
    </xf>
    <xf numFmtId="0" fontId="4" fillId="43" borderId="19" xfId="0" applyFont="1" applyFill="1" applyBorder="1" applyAlignment="1">
      <alignment horizontal="center"/>
    </xf>
    <xf numFmtId="0" fontId="4" fillId="43" borderId="20" xfId="0" applyFont="1" applyFill="1" applyBorder="1" applyAlignment="1">
      <alignment horizontal="center"/>
    </xf>
    <xf numFmtId="0" fontId="4" fillId="43" borderId="21" xfId="0" applyFont="1" applyFill="1" applyBorder="1" applyAlignment="1">
      <alignment horizontal="center"/>
    </xf>
    <xf numFmtId="0" fontId="4" fillId="43" borderId="11" xfId="0" applyFont="1" applyFill="1" applyBorder="1" applyAlignment="1">
      <alignment horizontal="center"/>
    </xf>
    <xf numFmtId="0" fontId="4" fillId="47" borderId="11" xfId="0" applyFont="1" applyFill="1" applyBorder="1" applyAlignment="1">
      <alignment horizontal="center"/>
    </xf>
    <xf numFmtId="0" fontId="4" fillId="22" borderId="19" xfId="0" applyFont="1" applyFill="1" applyBorder="1" applyAlignment="1">
      <alignment horizontal="center"/>
    </xf>
    <xf numFmtId="0" fontId="4" fillId="22" borderId="21" xfId="0" applyFont="1" applyFill="1" applyBorder="1" applyAlignment="1">
      <alignment horizontal="center"/>
    </xf>
    <xf numFmtId="0" fontId="4" fillId="22" borderId="19" xfId="0" applyFont="1" applyFill="1" applyBorder="1" applyAlignment="1">
      <alignment horizontal="center" wrapText="1"/>
    </xf>
    <xf numFmtId="0" fontId="4" fillId="22" borderId="21" xfId="0" applyFont="1" applyFill="1" applyBorder="1" applyAlignment="1">
      <alignment horizontal="center" wrapText="1"/>
    </xf>
    <xf numFmtId="0" fontId="0" fillId="22" borderId="20" xfId="0" applyFill="1" applyBorder="1" applyAlignment="1">
      <alignment horizontal="center"/>
    </xf>
    <xf numFmtId="0" fontId="0" fillId="22" borderId="21" xfId="0" applyFill="1" applyBorder="1" applyAlignment="1">
      <alignment horizontal="center"/>
    </xf>
    <xf numFmtId="0" fontId="0" fillId="48" borderId="11" xfId="0" applyFill="1" applyBorder="1" applyAlignment="1">
      <alignment horizontal="center" vertical="center"/>
    </xf>
  </cellXfs>
  <cellStyles count="89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Accent1" xfId="20"/>
    <cellStyle name="Accent1 - 20%" xfId="21"/>
    <cellStyle name="Accent1 - 40%" xfId="22"/>
    <cellStyle name="Accent1 - 60%" xfId="23"/>
    <cellStyle name="Accent2" xfId="24"/>
    <cellStyle name="Accent2 - 20%" xfId="25"/>
    <cellStyle name="Accent2 - 40%" xfId="26"/>
    <cellStyle name="Accent2 - 60%" xfId="27"/>
    <cellStyle name="Accent3" xfId="28"/>
    <cellStyle name="Accent3 - 20%" xfId="29"/>
    <cellStyle name="Accent3 - 40%" xfId="30"/>
    <cellStyle name="Accent3 - 60%" xfId="31"/>
    <cellStyle name="Accent4" xfId="32"/>
    <cellStyle name="Accent4 - 20%" xfId="33"/>
    <cellStyle name="Accent4 - 40%" xfId="34"/>
    <cellStyle name="Accent4 - 60%" xfId="35"/>
    <cellStyle name="Accent5" xfId="36"/>
    <cellStyle name="Accent5 - 20%" xfId="37"/>
    <cellStyle name="Accent5 - 40%" xfId="38"/>
    <cellStyle name="Accent5 - 60%" xfId="39"/>
    <cellStyle name="Accent6" xfId="40"/>
    <cellStyle name="Accent6 - 20%" xfId="41"/>
    <cellStyle name="Accent6 - 40%" xfId="42"/>
    <cellStyle name="Accent6 - 60%" xfId="43"/>
    <cellStyle name="Bad" xfId="44"/>
    <cellStyle name="Calculation" xfId="45"/>
    <cellStyle name="Check Cell" xfId="46"/>
    <cellStyle name="Comma [0] 2" xfId="47"/>
    <cellStyle name="Comma 2" xfId="48"/>
    <cellStyle name="Comma 3" xfId="49"/>
    <cellStyle name="Currency [0] 2" xfId="50"/>
    <cellStyle name="Currency 2" xfId="51"/>
    <cellStyle name="Currency 3" xfId="52"/>
    <cellStyle name="Emphasis 1" xfId="53"/>
    <cellStyle name="Emphasis 2" xfId="54"/>
    <cellStyle name="Emphasis 3" xfId="55"/>
    <cellStyle name="Good" xfId="56"/>
    <cellStyle name="Heading 1" xfId="57"/>
    <cellStyle name="Heading 2" xfId="58"/>
    <cellStyle name="Heading 3" xfId="59"/>
    <cellStyle name="Heading 4" xfId="60"/>
    <cellStyle name="Input" xfId="61"/>
    <cellStyle name="Linked Cell" xfId="62"/>
    <cellStyle name="Neutral" xfId="63"/>
    <cellStyle name="Normal 2" xfId="64"/>
    <cellStyle name="Normal 3" xfId="65"/>
    <cellStyle name="Note" xfId="66"/>
    <cellStyle name="Output" xfId="67"/>
    <cellStyle name="Percent 2" xfId="68"/>
    <cellStyle name="Sheet Title" xfId="69"/>
    <cellStyle name="Total" xfId="70"/>
    <cellStyle name="Warning Text" xfId="71"/>
    <cellStyle name="Hyperlink 2" xfId="72"/>
    <cellStyle name="Bad 2" xfId="73"/>
    <cellStyle name="Followed Hyperlink" xfId="74"/>
    <cellStyle name="Input 2" xfId="75"/>
    <cellStyle name="Normal 2 2" xfId="76"/>
    <cellStyle name="Normal 2 3" xfId="77"/>
    <cellStyle name="Normal 2_Components" xfId="78"/>
    <cellStyle name="Normal 3 2" xfId="79"/>
    <cellStyle name="Normal 3_Components" xfId="80"/>
    <cellStyle name="Normal 4" xfId="81"/>
    <cellStyle name="Normal 5" xfId="82"/>
    <cellStyle name="Normal 6" xfId="83"/>
    <cellStyle name="Normal 7" xfId="84"/>
    <cellStyle name="Normal 8" xfId="85"/>
    <cellStyle name="Normal 3 3" xfId="86"/>
    <cellStyle name="Normal 3 4" xfId="87"/>
    <cellStyle name="Normal 2 3 2" xfId="88"/>
    <cellStyle name="Normal 8 2" xfId="89"/>
    <cellStyle name="Normal 3 3 2" xfId="90"/>
    <cellStyle name="Normal 3 6" xfId="91"/>
    <cellStyle name="Normal 2 3 4" xfId="92"/>
    <cellStyle name="Normal 8 4" xfId="93"/>
    <cellStyle name="Normal 3 3 4" xfId="94"/>
    <cellStyle name="Normal 3 5" xfId="95"/>
    <cellStyle name="Normal 2 3 3" xfId="96"/>
    <cellStyle name="Normal 8 3" xfId="97"/>
    <cellStyle name="Normal 3 3 3" xfId="98"/>
    <cellStyle name="Normal 3 4 2" xfId="99"/>
    <cellStyle name="Normal 2 3 2 2" xfId="100"/>
    <cellStyle name="Normal 8 2 2" xfId="101"/>
    <cellStyle name="Normal 3 3 2 2" xfId="102"/>
  </cellStyles>
  <dxfs count="30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 tint="0.799860000610352"/>
        </patternFill>
      </fill>
    </dxf>
    <dxf>
      <fill>
        <patternFill>
          <bgColor theme="4" tint="0.79986000061035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 patternType="solid">
          <bgColor theme="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openxmlformats.org/officeDocument/2006/relationships/worksheet" Target="worksheets/sheet3.xml" /><Relationship Id="rId4" Type="http://schemas.openxmlformats.org/officeDocument/2006/relationships/worksheet" Target="worksheets/sheet4.xml" /><Relationship Id="rId5" Type="http://schemas.openxmlformats.org/officeDocument/2006/relationships/worksheet" Target="worksheets/sheet5.xml" /><Relationship Id="rId6" Type="http://schemas.openxmlformats.org/officeDocument/2006/relationships/worksheet" Target="worksheets/sheet6.xml" /><Relationship Id="rId7" Type="http://schemas.openxmlformats.org/officeDocument/2006/relationships/worksheet" Target="worksheets/sheet7.xml" /><Relationship Id="rId8" Type="http://schemas.openxmlformats.org/officeDocument/2006/relationships/worksheet" Target="worksheets/sheet8.xml" /><Relationship Id="rId9" Type="http://schemas.openxmlformats.org/officeDocument/2006/relationships/worksheet" Target="worksheets/sheet9.xml" /><Relationship Id="rId10" Type="http://schemas.openxmlformats.org/officeDocument/2006/relationships/worksheet" Target="worksheets/sheet10.xml" /><Relationship Id="rId11" Type="http://schemas.openxmlformats.org/officeDocument/2006/relationships/worksheet" Target="worksheets/sheet11.xml" /><Relationship Id="rId12" Type="http://schemas.openxmlformats.org/officeDocument/2006/relationships/worksheet" Target="worksheets/sheet12.xml" /><Relationship Id="rId13" Type="http://schemas.openxmlformats.org/officeDocument/2006/relationships/worksheet" Target="worksheets/sheet13.xml" /><Relationship Id="rId14" Type="http://schemas.openxmlformats.org/officeDocument/2006/relationships/worksheet" Target="worksheets/sheet14.xml" /><Relationship Id="rId15" Type="http://schemas.openxmlformats.org/officeDocument/2006/relationships/worksheet" Target="worksheets/sheet15.xml" /><Relationship Id="rId16" Type="http://schemas.openxmlformats.org/officeDocument/2006/relationships/worksheet" Target="worksheets/sheet16.xml" /><Relationship Id="rId17" Type="http://schemas.openxmlformats.org/officeDocument/2006/relationships/worksheet" Target="worksheets/sheet17.xml" /><Relationship Id="rId18" Type="http://schemas.microsoft.com/office/2006/relationships/vbaProject" Target="vbaProject.bin" /><Relationship Id="rId19" Type="http://schemas.openxmlformats.org/officeDocument/2006/relationships/styles" Target="styles.xml" /><Relationship Id="rId20" Type="http://schemas.openxmlformats.org/officeDocument/2006/relationships/sharedStrings" Target="sharedStrings.xml" /><Relationship Id="rId21" Type="http://schemas.openxmlformats.org/officeDocument/2006/relationships/theme" Target="theme/theme1.xml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_rels/sheet3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3.bin" /></Relationships>
</file>

<file path=xl/worksheets/_rels/sheet4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4.bin" /></Relationships>
</file>

<file path=xl/worksheets/_rels/sheet5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5.bin" /></Relationships>
</file>

<file path=xl/worksheets/_rels/sheet6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6.bin" /></Relationships>
</file>

<file path=xl/worksheets/_rels/sheet7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7.bin" /></Relationships>
</file>

<file path=xl/worksheets/_rels/sheet8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8.bin" /></Relationships>
</file>

<file path=xl/worksheets/_rels/sheet9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9.bin" /></Relationships>
</file>

<file path=xl/worksheets/_rels/sheet10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0.bin" /></Relationships>
</file>

<file path=xl/worksheets/_rels/sheet1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1.bin" /></Relationships>
</file>

<file path=xl/worksheets/_rels/sheet1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2.bin" 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3.bin" /></Relationships>
</file>

<file path=xl/worksheets/_rels/sheet14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4.bin" /></Relationships>
</file>

<file path=xl/worksheets/_rels/sheet15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5.bin" /></Relationships>
</file>

<file path=xl/worksheets/_rels/sheet16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6.bin" /></Relationships>
</file>

<file path=xl/worksheets/_rels/sheet17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7.bin" 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W110"/>
  <sheetViews>
    <sheetView tabSelected="1" zoomScale="90" zoomScaleNormal="90" workbookViewId="0" topLeftCell="A1">
      <selection pane="topLeft" activeCell="AV11" sqref="AV11:XFD1048576"/>
    </sheetView>
  </sheetViews>
  <sheetFormatPr defaultColWidth="9.44140625" defaultRowHeight="13.5"/>
  <cols>
    <col min="1" max="1" width="29.4285714285714" bestFit="1" customWidth="1"/>
    <col min="4" max="4" width="13.5714285714286" customWidth="1"/>
    <col min="5" max="5" width="14.4285714285714" bestFit="1" customWidth="1"/>
    <col min="6" max="6" width="17.5714285714286" bestFit="1" customWidth="1"/>
    <col min="8" max="47" width="9.42857142857143" hidden="1" customWidth="1"/>
    <col min="48" max="49" width="11" customWidth="1"/>
    <col min="50" max="50" width="18.4285714285714" customWidth="1"/>
    <col min="51" max="51" width="15.4285714285714" customWidth="1"/>
    <col min="52" max="52" width="14.4285714285714" customWidth="1"/>
    <col min="53" max="53" width="10.4285714285714" bestFit="1" customWidth="1"/>
    <col min="54" max="54" width="11.5714285714286" bestFit="1" customWidth="1"/>
    <col min="55" max="55" width="27.7142857142857" bestFit="1" customWidth="1"/>
    <col min="56" max="56" width="47.4285714285714" customWidth="1"/>
    <col min="57" max="57" width="8.42857142857143" bestFit="1" customWidth="1"/>
    <col min="58" max="58" width="16.5714285714286" customWidth="1"/>
    <col min="59" max="59" width="61" bestFit="1" customWidth="1"/>
    <col min="60" max="60" width="11.4285714285714" customWidth="1"/>
    <col min="61" max="61" width="9" customWidth="1"/>
    <col min="62" max="62" width="42.5714285714286" bestFit="1" customWidth="1"/>
    <col min="63" max="63" width="23.5714285714286" customWidth="1"/>
    <col min="64" max="64" width="29.4285714285714" customWidth="1"/>
    <col min="65" max="65" width="16.5714285714286" bestFit="1" customWidth="1"/>
    <col min="66" max="66" width="20.2857142857143" bestFit="1" customWidth="1"/>
    <col min="67" max="67" width="22.4285714285714" bestFit="1" customWidth="1"/>
    <col min="68" max="68" width="17" bestFit="1" customWidth="1"/>
    <col min="69" max="69" width="14.5714285714286" customWidth="1"/>
    <col min="71" max="71" width="16.5714285714286" customWidth="1"/>
    <col min="72" max="72" width="21" customWidth="1"/>
    <col min="74" max="74" width="9.42857142857143" customWidth="1"/>
    <col min="75" max="75" width="12.5714285714286" customWidth="1"/>
    <col min="76" max="76" width="14.4285714285714" customWidth="1"/>
    <col min="77" max="77" width="15.5714285714286" customWidth="1"/>
    <col min="78" max="78" width="7.57142857142857" customWidth="1"/>
    <col min="79" max="79" width="10" bestFit="1" customWidth="1"/>
    <col min="80" max="80" width="6.57142857142857" customWidth="1"/>
    <col min="81" max="81" width="13.4285714285714" customWidth="1"/>
    <col min="82" max="83" width="12.5714285714286" customWidth="1"/>
    <col min="84" max="84" width="17.4285714285714" customWidth="1"/>
    <col min="85" max="85" width="11.4285714285714" customWidth="1"/>
    <col min="86" max="86" width="13.5714285714286" customWidth="1"/>
    <col min="87" max="87" width="16.4285714285714" customWidth="1"/>
    <col min="88" max="88" width="29" bestFit="1" customWidth="1"/>
    <col min="89" max="89" width="13.5714285714286" style="57" bestFit="1" customWidth="1"/>
    <col min="90" max="90" width="12.5714285714286" customWidth="1"/>
    <col min="91" max="91" width="17.5714285714286" customWidth="1"/>
    <col min="92" max="92" width="16.4285714285714" bestFit="1" customWidth="1"/>
    <col min="93" max="93" width="7.57142857142857" customWidth="1"/>
    <col min="94" max="94" width="15" customWidth="1"/>
    <col min="95" max="95" width="12" customWidth="1"/>
    <col min="96" max="97" width="11.4285714285714" customWidth="1"/>
    <col min="98" max="98" width="9.57142857142857" bestFit="1" customWidth="1"/>
    <col min="99" max="99" width="12.5714285714286" customWidth="1"/>
    <col min="100" max="100" width="13.4285714285714" customWidth="1"/>
    <col min="101" max="101" width="11.4285714285714" customWidth="1"/>
    <col min="102" max="102" width="13" customWidth="1"/>
    <col min="103" max="103" width="13.5714285714286" customWidth="1"/>
    <col min="104" max="104" width="7.42857142857143" customWidth="1"/>
    <col min="105" max="105" width="12.5714285714286" customWidth="1"/>
    <col min="106" max="106" width="12.4285714285714" customWidth="1"/>
    <col min="107" max="107" width="9.57142857142857" bestFit="1" customWidth="1"/>
    <col min="108" max="108" width="11.4285714285714" customWidth="1"/>
    <col min="109" max="110" width="12.4285714285714" customWidth="1"/>
    <col min="111" max="111" width="7.42857142857143" customWidth="1"/>
    <col min="112" max="112" width="8.42857142857143" customWidth="1"/>
    <col min="113" max="113" width="13.5714285714286" customWidth="1"/>
  </cols>
  <sheetData>
    <row r="1" spans="48:123" ht="26.4">
      <c r="AV1" s="15"/>
      <c r="AW1" s="15"/>
      <c r="AX1" s="19" t="s">
        <v>0</v>
      </c>
      <c r="AY1" s="16"/>
      <c r="AZ1" s="16" t="s">
        <v>1</v>
      </c>
      <c r="BA1" s="18" t="s">
        <v>2</v>
      </c>
      <c r="BB1" s="16"/>
      <c r="BC1" s="16"/>
      <c r="BD1" s="16"/>
      <c r="BE1" s="16"/>
      <c r="BF1" s="16"/>
      <c r="BG1" s="16" t="s">
        <v>3</v>
      </c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52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16"/>
      <c r="DB1" s="16"/>
      <c r="DC1" s="16"/>
      <c r="DD1" s="16"/>
      <c r="DE1" s="16"/>
      <c r="DF1" s="16"/>
      <c r="DG1" s="16"/>
      <c r="DH1" s="16"/>
      <c r="DI1" s="16"/>
      <c r="DJ1" s="16"/>
      <c r="DK1" s="16"/>
      <c r="DL1" s="16"/>
      <c r="DM1" s="16"/>
      <c r="DN1" s="16"/>
      <c r="DO1" s="16"/>
      <c r="DP1" s="16"/>
      <c r="DQ1" s="16"/>
      <c r="DR1" s="16"/>
      <c r="DS1" s="16"/>
    </row>
    <row r="2" spans="48:123" ht="13.2">
      <c r="AV2" s="17"/>
      <c r="AW2" s="17"/>
      <c r="AX2" s="17"/>
      <c r="AY2" s="18"/>
      <c r="AZ2" s="16" t="s">
        <v>4</v>
      </c>
      <c r="BA2" s="20">
        <v>20</v>
      </c>
      <c r="BB2" s="16" t="s">
        <v>5</v>
      </c>
      <c r="BC2" s="16"/>
      <c r="BD2" s="16"/>
      <c r="BE2" s="16"/>
      <c r="BF2" s="16"/>
      <c r="BG2" s="16"/>
      <c r="BO2" s="18"/>
      <c r="BP2" s="18"/>
      <c r="BQ2" s="18"/>
      <c r="BR2" s="18"/>
      <c r="BS2" s="18"/>
      <c r="BT2" s="18"/>
      <c r="BU2" s="18"/>
      <c r="BV2" s="18"/>
      <c r="BW2" s="18"/>
      <c r="BX2" s="18"/>
      <c r="BY2" s="18"/>
      <c r="BZ2" s="18"/>
      <c r="CA2" s="18"/>
      <c r="CB2" s="18"/>
      <c r="CC2" s="18"/>
      <c r="CD2" s="18"/>
      <c r="CE2" s="18"/>
      <c r="CF2" s="18"/>
      <c r="CG2" s="18"/>
      <c r="CH2" s="18"/>
      <c r="CI2" s="18"/>
      <c r="CJ2" s="18"/>
      <c r="CK2" s="53"/>
      <c r="CL2" s="18"/>
      <c r="CM2" s="18"/>
      <c r="CN2" s="18"/>
      <c r="CO2" s="18"/>
      <c r="CP2" s="18"/>
      <c r="CQ2" s="18"/>
      <c r="CR2" s="18"/>
      <c r="CS2" s="18"/>
      <c r="CT2" s="18"/>
      <c r="CU2" s="18"/>
      <c r="CV2" s="18"/>
      <c r="CW2" s="18"/>
      <c r="CX2" s="18"/>
      <c r="CY2" s="18"/>
      <c r="CZ2" s="18"/>
      <c r="DA2" s="18"/>
      <c r="DB2" s="18"/>
      <c r="DC2" s="18"/>
      <c r="DD2" s="18"/>
      <c r="DE2" s="18"/>
      <c r="DF2" s="18"/>
      <c r="DG2" s="18"/>
      <c r="DH2" s="18"/>
      <c r="DI2" s="18"/>
      <c r="DJ2" s="18"/>
      <c r="DK2" s="18"/>
      <c r="DL2" s="18"/>
      <c r="DM2" s="18"/>
      <c r="DN2" s="18"/>
      <c r="DO2" s="18"/>
      <c r="DP2" s="18"/>
      <c r="DQ2" s="18"/>
      <c r="DR2" s="18"/>
      <c r="DS2" s="18"/>
    </row>
    <row r="3" spans="48:123" ht="13.2">
      <c r="AV3" s="17" t="s">
        <v>6</v>
      </c>
      <c r="AW3" s="17"/>
      <c r="AX3" s="17"/>
      <c r="AY3" s="18"/>
      <c r="AZ3" s="18" t="s">
        <v>7</v>
      </c>
      <c r="BA3" s="18" t="s">
        <v>8</v>
      </c>
      <c r="BB3" s="18"/>
      <c r="BC3" s="18"/>
      <c r="BD3" s="16"/>
      <c r="BE3" s="16"/>
      <c r="BF3" s="16"/>
      <c r="BG3" s="16"/>
      <c r="BO3" s="18"/>
      <c r="BP3" s="18"/>
      <c r="BQ3" s="18"/>
      <c r="BR3" s="18"/>
      <c r="BS3" s="18"/>
      <c r="BT3" s="1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  <c r="CG3" s="18"/>
      <c r="CH3" s="18"/>
      <c r="CI3" s="18"/>
      <c r="CJ3" s="18"/>
      <c r="CK3" s="53"/>
      <c r="CL3" s="18"/>
      <c r="CM3" s="18"/>
      <c r="CN3" s="18"/>
      <c r="CO3" s="18"/>
      <c r="CP3" s="18"/>
      <c r="CQ3" s="18"/>
      <c r="CR3" s="18"/>
      <c r="CS3" s="18"/>
      <c r="CT3" s="18"/>
      <c r="CU3" s="18"/>
      <c r="CV3" s="18"/>
      <c r="CW3" s="18"/>
      <c r="CX3" s="18"/>
      <c r="CY3" s="18"/>
      <c r="CZ3" s="18"/>
      <c r="DA3" s="18"/>
      <c r="DB3" s="18"/>
      <c r="DC3" s="18"/>
      <c r="DD3" s="18"/>
      <c r="DE3" s="18"/>
      <c r="DF3" s="18"/>
      <c r="DG3" s="18"/>
      <c r="DH3" s="18"/>
      <c r="DI3" s="18"/>
      <c r="DJ3" s="18"/>
      <c r="DK3" s="18"/>
      <c r="DL3" s="18"/>
      <c r="DM3" s="18"/>
      <c r="DN3" s="18"/>
      <c r="DO3" s="18"/>
      <c r="DP3" s="18"/>
      <c r="DQ3" s="18"/>
      <c r="DR3" s="18"/>
      <c r="DS3" s="18"/>
    </row>
    <row r="4" spans="48:127" ht="13.2">
      <c r="AV4" s="12" t="s">
        <v>9</v>
      </c>
      <c r="AW4" s="12" t="s">
        <v>10</v>
      </c>
      <c r="AX4" s="12" t="s">
        <v>11</v>
      </c>
      <c r="AY4" s="12" t="s">
        <v>12</v>
      </c>
      <c r="AZ4" s="12" t="s">
        <v>13</v>
      </c>
      <c r="BA4" s="12" t="s">
        <v>14</v>
      </c>
      <c r="BB4" s="9" t="s">
        <v>15</v>
      </c>
      <c r="BC4" s="9" t="s">
        <v>16</v>
      </c>
      <c r="BD4" s="9" t="s">
        <v>17</v>
      </c>
      <c r="BE4" s="9" t="s">
        <v>18</v>
      </c>
      <c r="BF4" s="9" t="s">
        <v>19</v>
      </c>
      <c r="BG4" s="9" t="s">
        <v>20</v>
      </c>
      <c r="BH4" s="9" t="s">
        <v>21</v>
      </c>
      <c r="BI4" s="9" t="s">
        <v>22</v>
      </c>
      <c r="BJ4" s="9" t="s">
        <v>23</v>
      </c>
      <c r="BK4" s="9" t="s">
        <v>24</v>
      </c>
      <c r="BL4" s="9" t="s">
        <v>25</v>
      </c>
      <c r="BM4" s="9" t="s">
        <v>26</v>
      </c>
      <c r="BN4" s="9" t="s">
        <v>27</v>
      </c>
      <c r="BO4" s="12" t="s">
        <v>28</v>
      </c>
      <c r="BP4" s="12" t="s">
        <v>29</v>
      </c>
      <c r="BQ4" s="12" t="s">
        <v>30</v>
      </c>
      <c r="BR4" s="12" t="s">
        <v>31</v>
      </c>
      <c r="BS4" s="7" t="s">
        <v>32</v>
      </c>
      <c r="BT4" s="7" t="s">
        <v>33</v>
      </c>
      <c r="BU4" s="7" t="s">
        <v>34</v>
      </c>
      <c r="BV4" s="7" t="s">
        <v>35</v>
      </c>
      <c r="BW4" s="7" t="s">
        <v>36</v>
      </c>
      <c r="BX4" s="7" t="s">
        <v>37</v>
      </c>
      <c r="BY4" s="7" t="s">
        <v>38</v>
      </c>
      <c r="BZ4" s="7" t="s">
        <v>39</v>
      </c>
      <c r="CA4" s="7" t="s">
        <v>40</v>
      </c>
      <c r="CB4" s="7" t="s">
        <v>41</v>
      </c>
      <c r="CC4" s="7" t="s">
        <v>42</v>
      </c>
      <c r="CD4" s="7" t="s">
        <v>43</v>
      </c>
      <c r="CE4" s="7" t="s">
        <v>44</v>
      </c>
      <c r="CF4" s="7" t="s">
        <v>45</v>
      </c>
      <c r="CG4" s="7"/>
      <c r="CH4" s="7" t="s">
        <v>46</v>
      </c>
      <c r="CI4" s="7" t="s">
        <v>47</v>
      </c>
      <c r="CJ4" s="7" t="s">
        <v>48</v>
      </c>
      <c r="CK4" s="54" t="s">
        <v>49</v>
      </c>
      <c r="CL4" s="7" t="s">
        <v>50</v>
      </c>
      <c r="CM4" s="7" t="s">
        <v>51</v>
      </c>
      <c r="CN4" s="7" t="s">
        <v>52</v>
      </c>
      <c r="CO4" s="7" t="s">
        <v>53</v>
      </c>
      <c r="CP4" s="7" t="s">
        <v>54</v>
      </c>
      <c r="CQ4" s="7" t="s">
        <v>55</v>
      </c>
      <c r="CR4" s="7" t="s">
        <v>56</v>
      </c>
      <c r="CS4" s="7" t="s">
        <v>57</v>
      </c>
      <c r="CT4" s="7" t="s">
        <v>58</v>
      </c>
      <c r="CU4" s="7" t="s">
        <v>59</v>
      </c>
      <c r="CV4" s="7" t="s">
        <v>60</v>
      </c>
      <c r="CW4" s="7" t="s">
        <v>61</v>
      </c>
      <c r="CX4" s="7" t="s">
        <v>62</v>
      </c>
      <c r="CY4" s="7" t="s">
        <v>63</v>
      </c>
      <c r="CZ4" s="7" t="s">
        <v>64</v>
      </c>
      <c r="DA4" s="7" t="s">
        <v>65</v>
      </c>
      <c r="DB4" s="7" t="s">
        <v>66</v>
      </c>
      <c r="DC4" s="7" t="s">
        <v>67</v>
      </c>
      <c r="DD4" s="7" t="s">
        <v>68</v>
      </c>
      <c r="DE4" s="7" t="s">
        <v>69</v>
      </c>
      <c r="DF4" s="7" t="s">
        <v>70</v>
      </c>
      <c r="DG4" s="7" t="s">
        <v>71</v>
      </c>
      <c r="DH4" s="7" t="s">
        <v>72</v>
      </c>
      <c r="DI4" s="7" t="s">
        <v>73</v>
      </c>
      <c r="DJ4" s="7" t="s">
        <v>74</v>
      </c>
      <c r="DK4" s="7" t="s">
        <v>75</v>
      </c>
      <c r="DL4" s="7" t="s">
        <v>76</v>
      </c>
      <c r="DM4" s="7" t="s">
        <v>77</v>
      </c>
      <c r="DN4" s="7" t="s">
        <v>78</v>
      </c>
      <c r="DO4" s="7" t="s">
        <v>79</v>
      </c>
      <c r="DP4" s="7" t="s">
        <v>80</v>
      </c>
      <c r="DQ4" s="7" t="s">
        <v>81</v>
      </c>
      <c r="DR4" s="7" t="s">
        <v>82</v>
      </c>
      <c r="DS4" s="7" t="s">
        <v>83</v>
      </c>
      <c r="DT4" t="s">
        <v>84</v>
      </c>
      <c r="DU4" t="s">
        <v>85</v>
      </c>
      <c r="DV4" t="s">
        <v>86</v>
      </c>
      <c r="DW4" t="s">
        <v>87</v>
      </c>
    </row>
    <row r="5" spans="1:127" ht="17.4">
      <c r="A5" s="206" t="s">
        <v>88</v>
      </c>
      <c r="B5" s="206"/>
      <c r="C5" s="206"/>
      <c r="D5" s="206"/>
      <c r="E5" s="206"/>
      <c r="F5" s="206"/>
      <c r="AV5" t="s">
        <v>2948</v>
      </c>
      <c r="AW5" s="13" t="s">
        <v>2949</v>
      </c>
      <c r="AX5" s="13" t="s">
        <v>2950</v>
      </c>
      <c r="AY5" s="13" t="s">
        <v>2951</v>
      </c>
      <c r="AZ5" s="13" t="s">
        <v>2952</v>
      </c>
      <c r="BA5" s="13" t="s">
        <v>2953</v>
      </c>
      <c r="BC5" s="13" t="s">
        <v>2954</v>
      </c>
      <c r="BD5" s="13" t="s">
        <v>142</v>
      </c>
      <c r="BE5" t="s">
        <v>2955</v>
      </c>
      <c r="BF5" t="s">
        <v>2956</v>
      </c>
      <c r="BH5" t="s">
        <v>2957</v>
      </c>
      <c r="BI5" t="s">
        <v>2958</v>
      </c>
      <c r="BJ5" t="s">
        <v>2957</v>
      </c>
      <c r="BK5" t="s">
        <v>2959</v>
      </c>
      <c r="BM5" t="s">
        <v>2960</v>
      </c>
      <c r="BN5" t="s">
        <v>2961</v>
      </c>
      <c r="BO5" s="7" t="s">
        <v>2962</v>
      </c>
      <c r="BP5" s="11" t="s">
        <v>2963</v>
      </c>
      <c r="BQ5" s="11"/>
      <c r="BR5" s="11" t="s">
        <v>2964</v>
      </c>
      <c r="BS5" s="7" t="s">
        <v>2965</v>
      </c>
      <c r="BT5" s="7" t="s">
        <v>2966</v>
      </c>
      <c r="BU5" s="7"/>
      <c r="BV5" s="7"/>
      <c r="BW5" s="7"/>
      <c r="BX5" s="7"/>
      <c r="BY5" s="7" t="s">
        <v>2967</v>
      </c>
      <c r="BZ5" s="7" t="s">
        <v>2957</v>
      </c>
      <c r="CA5" s="7" t="s">
        <v>2957</v>
      </c>
      <c r="CB5" s="7" t="s">
        <v>2957</v>
      </c>
      <c r="CC5" s="7" t="s">
        <v>2957</v>
      </c>
      <c r="CD5" s="7" t="s">
        <v>2957</v>
      </c>
      <c r="CE5" s="7" t="s">
        <v>2968</v>
      </c>
      <c r="CF5" s="7" t="s">
        <v>2957</v>
      </c>
      <c r="CG5" s="7"/>
      <c r="CH5" s="7"/>
      <c r="CI5" s="7" t="s">
        <v>2957</v>
      </c>
      <c r="CJ5" s="7" t="s">
        <v>2958</v>
      </c>
      <c r="CK5" s="54" t="s">
        <v>2957</v>
      </c>
      <c r="CL5" s="7" t="s">
        <v>2959</v>
      </c>
      <c r="CM5" s="7"/>
      <c r="CN5" s="7" t="s">
        <v>2960</v>
      </c>
      <c r="CO5" s="7" t="s">
        <v>2961</v>
      </c>
      <c r="CP5" s="7" t="s">
        <v>2962</v>
      </c>
      <c r="CQ5" s="7" t="s">
        <v>2963</v>
      </c>
      <c r="CR5" s="7">
        <v>0</v>
      </c>
      <c r="CS5" s="7">
        <v>0</v>
      </c>
      <c r="CT5" s="7"/>
      <c r="CU5" s="7" t="s">
        <v>2970</v>
      </c>
      <c r="CV5" s="7" t="s">
        <v>2971</v>
      </c>
      <c r="CW5" s="7"/>
      <c r="CX5" s="7" t="s">
        <v>2970</v>
      </c>
      <c r="CY5" s="7" t="s">
        <v>2971</v>
      </c>
      <c r="CZ5" s="7" t="s">
        <v>2972</v>
      </c>
      <c r="DA5" s="7" t="s">
        <v>2965</v>
      </c>
      <c r="DB5" s="7" t="s">
        <v>2966</v>
      </c>
      <c r="DC5" s="7"/>
      <c r="DD5" s="7"/>
      <c r="DE5" s="7"/>
      <c r="DF5" s="7"/>
      <c r="DG5" s="7" t="s">
        <v>2973</v>
      </c>
      <c r="DH5" s="7">
        <v>0</v>
      </c>
      <c r="DI5" s="7">
        <v>7167.9182</v>
      </c>
      <c r="DJ5" s="7" t="s">
        <v>2969</v>
      </c>
      <c r="DK5" s="7" t="s">
        <v>2964</v>
      </c>
      <c r="DL5" s="7" t="s">
        <v>2957</v>
      </c>
      <c r="DM5" s="7">
        <v>0</v>
      </c>
      <c r="DN5" s="7">
        <v>0</v>
      </c>
      <c r="DO5" s="7">
        <v>0</v>
      </c>
      <c r="DP5" s="7">
        <v>0</v>
      </c>
      <c r="DQ5" s="7">
        <v>7884.7098</v>
      </c>
      <c r="DR5" s="7" t="s">
        <v>2969</v>
      </c>
      <c r="DS5" s="7" t="s">
        <v>2974</v>
      </c>
      <c r="DT5" t="s">
        <v>2084</v>
      </c>
      <c r="DU5" t="s">
        <v>2975</v>
      </c>
    </row>
    <row r="6" spans="1:123" ht="13.2">
      <c r="A6" s="22" t="s">
        <v>89</v>
      </c>
      <c r="B6" s="22" t="s">
        <v>90</v>
      </c>
      <c r="C6" s="22" t="s">
        <v>91</v>
      </c>
      <c r="D6" s="22" t="s">
        <v>92</v>
      </c>
      <c r="E6" s="22" t="s">
        <v>93</v>
      </c>
      <c r="F6" s="22" t="s">
        <v>94</v>
      </c>
      <c r="AV6" s="7"/>
      <c r="AW6" s="7"/>
      <c r="AX6" s="7"/>
      <c r="AY6" s="11"/>
      <c r="AZ6" s="11"/>
      <c r="BA6" s="7"/>
      <c r="BO6" s="7"/>
      <c r="BP6" s="7"/>
      <c r="BQ6" s="7"/>
      <c r="BR6" s="7"/>
      <c r="BS6" s="7"/>
      <c r="BT6" s="11"/>
      <c r="BU6" s="11"/>
      <c r="BV6" s="11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54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</row>
    <row r="7" spans="1:123" ht="13.2">
      <c r="A7" s="27" t="s">
        <v>95</v>
      </c>
      <c r="B7" s="27">
        <v>11</v>
      </c>
      <c r="C7" s="27">
        <v>20</v>
      </c>
      <c r="D7" s="27" t="s">
        <v>2929</v>
      </c>
      <c r="E7" s="27" t="b">
        <v>1</v>
      </c>
      <c r="F7" s="27">
        <v>1</v>
      </c>
      <c r="AV7" s="7"/>
      <c r="AW7" s="7"/>
      <c r="AX7" s="7"/>
      <c r="AY7" s="7"/>
      <c r="AZ7" s="7"/>
      <c r="BA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54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</row>
    <row r="8" spans="1:123" ht="13.2">
      <c r="A8" s="27" t="s">
        <v>96</v>
      </c>
      <c r="B8" s="27">
        <v>11</v>
      </c>
      <c r="C8" s="27">
        <v>20</v>
      </c>
      <c r="D8" s="27" t="s">
        <v>97</v>
      </c>
      <c r="E8" s="27" t="b">
        <v>1</v>
      </c>
      <c r="F8" s="27">
        <v>1</v>
      </c>
      <c r="AV8" s="7"/>
      <c r="AW8" s="7"/>
      <c r="AX8" s="7"/>
      <c r="AY8" s="7"/>
      <c r="AZ8" s="7"/>
      <c r="BA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54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</row>
    <row r="9" spans="1:123" ht="13.2">
      <c r="A9" s="27" t="s">
        <v>98</v>
      </c>
      <c r="B9" s="27">
        <v>11</v>
      </c>
      <c r="C9" s="27">
        <v>20</v>
      </c>
      <c r="D9" s="27" t="s">
        <v>137</v>
      </c>
      <c r="E9" s="103" t="b">
        <v>1</v>
      </c>
      <c r="F9" s="27">
        <v>1</v>
      </c>
      <c r="AV9" s="7"/>
      <c r="AW9" s="7"/>
      <c r="AX9" s="7"/>
      <c r="AY9" s="7"/>
      <c r="AZ9" s="7"/>
      <c r="BA9" s="7"/>
      <c r="BP9" s="7"/>
      <c r="BQ9" s="7"/>
      <c r="BR9" s="7"/>
      <c r="BS9" s="7"/>
      <c r="BT9" s="7"/>
      <c r="BU9" s="7"/>
      <c r="BV9" s="7"/>
      <c r="BW9" s="7"/>
      <c r="BX9" s="8"/>
      <c r="BY9" s="8"/>
      <c r="BZ9" s="8"/>
      <c r="CA9" s="8"/>
      <c r="CB9" s="7"/>
      <c r="CC9" s="7"/>
      <c r="CD9" s="7"/>
      <c r="CE9" s="7"/>
      <c r="CF9" s="7"/>
      <c r="CG9" s="7"/>
      <c r="CH9" s="7"/>
      <c r="CI9" s="7"/>
      <c r="CJ9" s="7"/>
      <c r="CK9" s="54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O9" s="7"/>
      <c r="DP9" s="7"/>
      <c r="DQ9" s="7"/>
      <c r="DR9" s="7"/>
      <c r="DS9" s="7"/>
    </row>
    <row r="10" spans="1:123" ht="13.2">
      <c r="A10" s="27" t="s">
        <v>100</v>
      </c>
      <c r="B10" s="27">
        <v>11</v>
      </c>
      <c r="C10" s="27">
        <v>20</v>
      </c>
      <c r="D10" s="27" t="s">
        <v>2822</v>
      </c>
      <c r="E10" s="27" t="b">
        <v>1</v>
      </c>
      <c r="F10" s="27">
        <v>1</v>
      </c>
      <c r="AV10" s="9" t="s">
        <v>9</v>
      </c>
      <c r="AW10" s="9" t="s">
        <v>101</v>
      </c>
      <c r="AX10" s="9" t="s">
        <v>102</v>
      </c>
      <c r="AY10" s="9" t="s">
        <v>11</v>
      </c>
      <c r="AZ10" s="9" t="s">
        <v>103</v>
      </c>
      <c r="BA10" s="9" t="s">
        <v>104</v>
      </c>
      <c r="BB10" s="9" t="s">
        <v>105</v>
      </c>
      <c r="BC10" s="9" t="s">
        <v>20</v>
      </c>
      <c r="BD10" s="9" t="s">
        <v>106</v>
      </c>
      <c r="BE10" s="9" t="s">
        <v>107</v>
      </c>
      <c r="BF10" s="9" t="s">
        <v>108</v>
      </c>
      <c r="BG10" s="9" t="s">
        <v>73</v>
      </c>
      <c r="BH10" s="9" t="s">
        <v>109</v>
      </c>
      <c r="BI10" s="9" t="s">
        <v>110</v>
      </c>
      <c r="BJ10" s="9" t="s">
        <v>111</v>
      </c>
      <c r="BK10" s="9" t="s">
        <v>112</v>
      </c>
      <c r="BL10" s="9" t="s">
        <v>113</v>
      </c>
      <c r="BM10" s="9" t="s">
        <v>114</v>
      </c>
      <c r="BN10" t="s">
        <v>115</v>
      </c>
      <c r="BO10" s="9" t="s">
        <v>116</v>
      </c>
      <c r="BP10" s="9" t="s">
        <v>117</v>
      </c>
      <c r="BQ10" s="9" t="s">
        <v>118</v>
      </c>
      <c r="BR10" s="9" t="s">
        <v>119</v>
      </c>
      <c r="BS10" s="9" t="s">
        <v>120</v>
      </c>
      <c r="BT10" s="8" t="s">
        <v>121</v>
      </c>
      <c r="BU10" s="8" t="s">
        <v>122</v>
      </c>
      <c r="BV10" s="8" t="s">
        <v>123</v>
      </c>
      <c r="BW10" s="8" t="s">
        <v>124</v>
      </c>
      <c r="BX10" s="8"/>
      <c r="BY10" s="8"/>
      <c r="BZ10" s="8"/>
      <c r="CA10" s="8" t="s">
        <v>125</v>
      </c>
      <c r="CB10" s="8" t="s">
        <v>9</v>
      </c>
      <c r="CC10" s="8" t="s">
        <v>9</v>
      </c>
      <c r="CD10" s="8" t="s">
        <v>126</v>
      </c>
      <c r="CE10" s="8" t="s">
        <v>125</v>
      </c>
      <c r="CF10" s="8" t="s">
        <v>9</v>
      </c>
      <c r="CG10" s="8" t="s">
        <v>9</v>
      </c>
      <c r="CH10" s="8" t="s">
        <v>126</v>
      </c>
      <c r="CI10" s="8" t="s">
        <v>11</v>
      </c>
      <c r="CJ10" s="8" t="s">
        <v>127</v>
      </c>
      <c r="CK10" s="55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</row>
    <row r="11" spans="1:123" ht="13.2">
      <c r="A11" s="27" t="s">
        <v>128</v>
      </c>
      <c r="B11" s="27">
        <v>11</v>
      </c>
      <c r="C11" s="27">
        <v>20</v>
      </c>
      <c r="D11" s="27" t="s">
        <v>99</v>
      </c>
      <c r="E11" s="27" t="b">
        <v>1</v>
      </c>
      <c r="F11" s="27">
        <v>1</v>
      </c>
      <c r="AV11" t="s">
        <v>2976</v>
      </c>
      <c r="AW11">
        <v>9</v>
      </c>
      <c r="AX11" t="s">
        <v>2977</v>
      </c>
      <c r="AY11" t="s">
        <v>2978</v>
      </c>
      <c r="AZ11">
        <v>1</v>
      </c>
      <c r="BA11">
        <v>876</v>
      </c>
      <c r="BB11">
        <v>2110</v>
      </c>
      <c r="BC11" t="s">
        <v>2957</v>
      </c>
      <c r="BD11" t="s">
        <v>2979</v>
      </c>
      <c r="BE11" t="s">
        <v>2980</v>
      </c>
      <c r="BF11" s="141">
        <v>46261</v>
      </c>
      <c r="BG11">
        <v>164.4924</v>
      </c>
      <c r="BH11">
        <v>0</v>
      </c>
      <c r="BI11">
        <v>16.4492</v>
      </c>
      <c r="BJ11">
        <v>170</v>
      </c>
      <c r="BK11">
        <v>-5.5075</v>
      </c>
      <c r="BL11">
        <v>76</v>
      </c>
      <c r="BM11" t="s">
        <v>2981</v>
      </c>
      <c r="BN11" t="s">
        <v>2982</v>
      </c>
      <c r="BO11" t="s">
        <v>2983</v>
      </c>
      <c r="BP11" t="s">
        <v>2984</v>
      </c>
      <c r="BR11" s="13" t="s">
        <v>2957</v>
      </c>
      <c r="BS11" s="10" t="s">
        <v>2957</v>
      </c>
      <c r="BT11" s="10" t="s">
        <v>2985</v>
      </c>
      <c r="BU11">
        <v>0</v>
      </c>
      <c r="BV11" s="10" t="s">
        <v>2957</v>
      </c>
      <c r="BW11" s="10" t="s">
        <v>2957</v>
      </c>
      <c r="BX11" s="10"/>
      <c r="BY11" s="10"/>
      <c r="BZ11" s="10"/>
      <c r="CA11" s="10"/>
      <c r="CB11" s="10"/>
      <c r="CC11" s="10"/>
      <c r="CD11" s="10"/>
      <c r="CE11" s="10" t="s">
        <v>2986</v>
      </c>
      <c r="CF11" s="10" t="s">
        <v>2987</v>
      </c>
      <c r="CG11" s="10" t="s">
        <v>2987</v>
      </c>
      <c r="CH11" s="10" t="s">
        <v>2976</v>
      </c>
      <c r="CI11" s="10" t="s">
        <v>2988</v>
      </c>
      <c r="CJ11" s="10" t="s">
        <v>2978</v>
      </c>
      <c r="CK11" s="56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</row>
    <row r="12" spans="1:123" ht="13.2">
      <c r="A12" s="27" t="s">
        <v>129</v>
      </c>
      <c r="B12" s="27">
        <v>11</v>
      </c>
      <c r="C12" s="27">
        <v>20</v>
      </c>
      <c r="D12" s="27" t="s">
        <v>130</v>
      </c>
      <c r="E12" s="27" t="b">
        <v>1</v>
      </c>
      <c r="F12" s="27">
        <v>1</v>
      </c>
      <c r="AV12" t="s">
        <v>3063</v>
      </c>
      <c r="AW12">
        <v>10</v>
      </c>
      <c r="AX12" t="s">
        <v>2977</v>
      </c>
      <c r="AY12" t="s">
        <v>3064</v>
      </c>
      <c r="AZ12">
        <v>1</v>
      </c>
      <c r="BA12">
        <v>950</v>
      </c>
      <c r="BB12">
        <v>2110</v>
      </c>
      <c r="BC12" t="s">
        <v>2957</v>
      </c>
      <c r="BD12" t="s">
        <v>2979</v>
      </c>
      <c r="BE12" t="s">
        <v>2980</v>
      </c>
      <c r="BF12" s="141">
        <v>46261</v>
      </c>
      <c r="BG12">
        <v>206.0993</v>
      </c>
      <c r="BH12">
        <v>0</v>
      </c>
      <c r="BI12">
        <v>20.6099</v>
      </c>
      <c r="BJ12">
        <v>213</v>
      </c>
      <c r="BK12">
        <v>-6.9006</v>
      </c>
      <c r="BL12">
        <v>90.35</v>
      </c>
      <c r="BM12" t="s">
        <v>2981</v>
      </c>
      <c r="BN12" t="s">
        <v>2982</v>
      </c>
      <c r="BO12" t="s">
        <v>2983</v>
      </c>
      <c r="BP12" t="s">
        <v>2984</v>
      </c>
      <c r="BR12" s="13" t="s">
        <v>2957</v>
      </c>
      <c r="BS12" s="10" t="s">
        <v>2957</v>
      </c>
      <c r="BT12" s="10" t="s">
        <v>2985</v>
      </c>
      <c r="BU12">
        <v>0</v>
      </c>
      <c r="BV12" s="10" t="s">
        <v>2957</v>
      </c>
      <c r="BW12" s="10" t="s">
        <v>2957</v>
      </c>
      <c r="BX12" s="10"/>
      <c r="BY12" s="10"/>
      <c r="BZ12" s="10"/>
      <c r="CA12" s="10"/>
      <c r="CB12" s="10"/>
      <c r="CC12" s="10"/>
      <c r="CD12" s="10"/>
      <c r="CE12" s="10" t="s">
        <v>2989</v>
      </c>
      <c r="CF12" s="10" t="s">
        <v>2990</v>
      </c>
      <c r="CG12" s="10" t="s">
        <v>2990</v>
      </c>
      <c r="CH12" s="14" t="s">
        <v>2976</v>
      </c>
      <c r="CI12" s="10" t="s">
        <v>2991</v>
      </c>
      <c r="CJ12" s="14" t="s">
        <v>2992</v>
      </c>
      <c r="CK12" s="56"/>
      <c r="CL12" s="14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</row>
    <row r="13" spans="1:123" ht="13.2">
      <c r="A13" s="27" t="s">
        <v>131</v>
      </c>
      <c r="B13" s="27">
        <v>11</v>
      </c>
      <c r="C13" s="27">
        <v>20</v>
      </c>
      <c r="D13" s="27" t="s">
        <v>132</v>
      </c>
      <c r="E13" s="27" t="b">
        <v>1</v>
      </c>
      <c r="F13" s="27">
        <v>1</v>
      </c>
      <c r="AV13" t="s">
        <v>3118</v>
      </c>
      <c r="AW13">
        <v>11</v>
      </c>
      <c r="AX13" t="s">
        <v>2977</v>
      </c>
      <c r="AY13" t="s">
        <v>3119</v>
      </c>
      <c r="AZ13">
        <v>1</v>
      </c>
      <c r="BA13">
        <v>874</v>
      </c>
      <c r="BB13">
        <v>2110</v>
      </c>
      <c r="BC13" t="s">
        <v>2957</v>
      </c>
      <c r="BD13" t="s">
        <v>2979</v>
      </c>
      <c r="BE13" t="s">
        <v>2980</v>
      </c>
      <c r="BF13" s="141">
        <v>46261</v>
      </c>
      <c r="BG13">
        <v>232.2246</v>
      </c>
      <c r="BH13">
        <v>0</v>
      </c>
      <c r="BI13">
        <v>23.2224</v>
      </c>
      <c r="BJ13">
        <v>240</v>
      </c>
      <c r="BK13">
        <v>-7.7753</v>
      </c>
      <c r="BL13">
        <v>98.7</v>
      </c>
      <c r="BM13" t="s">
        <v>2981</v>
      </c>
      <c r="BN13" t="s">
        <v>2982</v>
      </c>
      <c r="BO13" t="s">
        <v>2983</v>
      </c>
      <c r="BP13" t="s">
        <v>2984</v>
      </c>
      <c r="BR13" s="13" t="s">
        <v>2957</v>
      </c>
      <c r="BS13" s="10" t="s">
        <v>2957</v>
      </c>
      <c r="BT13" s="10" t="s">
        <v>2985</v>
      </c>
      <c r="BU13">
        <v>0</v>
      </c>
      <c r="BV13" s="10" t="s">
        <v>2957</v>
      </c>
      <c r="BW13" s="10" t="s">
        <v>2957</v>
      </c>
      <c r="BX13" s="10"/>
      <c r="BY13" s="10"/>
      <c r="BZ13" s="10"/>
      <c r="CA13" s="10"/>
      <c r="CB13" s="10"/>
      <c r="CC13" s="10"/>
      <c r="CD13" s="10"/>
      <c r="CE13" s="10" t="s">
        <v>2993</v>
      </c>
      <c r="CF13" s="10" t="s">
        <v>2994</v>
      </c>
      <c r="CG13" s="10" t="s">
        <v>2994</v>
      </c>
      <c r="CH13" s="14" t="s">
        <v>2976</v>
      </c>
      <c r="CI13" s="10" t="s">
        <v>2995</v>
      </c>
      <c r="CJ13" s="14" t="s">
        <v>2996</v>
      </c>
      <c r="CK13" s="56"/>
      <c r="CL13" s="14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</row>
    <row r="14" spans="1:123" ht="13.2">
      <c r="A14" s="27" t="s">
        <v>133</v>
      </c>
      <c r="B14" s="27">
        <v>11</v>
      </c>
      <c r="C14" s="27">
        <v>20</v>
      </c>
      <c r="D14" s="27" t="s">
        <v>132</v>
      </c>
      <c r="E14" s="27" t="b">
        <v>1</v>
      </c>
      <c r="F14" s="27">
        <v>1</v>
      </c>
      <c r="AV14" t="s">
        <v>3171</v>
      </c>
      <c r="AW14">
        <v>12</v>
      </c>
      <c r="AX14" t="s">
        <v>2977</v>
      </c>
      <c r="AY14" t="s">
        <v>3172</v>
      </c>
      <c r="AZ14">
        <v>1</v>
      </c>
      <c r="BA14">
        <v>2051</v>
      </c>
      <c r="BB14">
        <v>1460</v>
      </c>
      <c r="BC14" t="s">
        <v>2957</v>
      </c>
      <c r="BD14" t="s">
        <v>2979</v>
      </c>
      <c r="BE14" t="s">
        <v>2980</v>
      </c>
      <c r="BF14" s="141">
        <v>46261</v>
      </c>
      <c r="BG14">
        <v>212.8725</v>
      </c>
      <c r="BH14">
        <v>0</v>
      </c>
      <c r="BI14">
        <v>21.2872</v>
      </c>
      <c r="BJ14">
        <v>220</v>
      </c>
      <c r="BK14">
        <v>-7.1274</v>
      </c>
      <c r="BL14">
        <v>96</v>
      </c>
      <c r="BM14" t="s">
        <v>2981</v>
      </c>
      <c r="BN14" t="s">
        <v>2982</v>
      </c>
      <c r="BO14" t="s">
        <v>2983</v>
      </c>
      <c r="BP14" t="s">
        <v>2984</v>
      </c>
      <c r="BR14" s="13" t="s">
        <v>2957</v>
      </c>
      <c r="BS14" s="10" t="s">
        <v>2957</v>
      </c>
      <c r="BT14" s="10" t="s">
        <v>2985</v>
      </c>
      <c r="BU14">
        <v>0</v>
      </c>
      <c r="BV14" s="10" t="s">
        <v>2957</v>
      </c>
      <c r="BW14" s="10" t="s">
        <v>2957</v>
      </c>
      <c r="BX14" s="10"/>
      <c r="BY14" s="10"/>
      <c r="BZ14" s="10"/>
      <c r="CA14" s="10"/>
      <c r="CB14" s="10"/>
      <c r="CC14" s="10"/>
      <c r="CD14" s="10"/>
      <c r="CE14" s="10" t="s">
        <v>2997</v>
      </c>
      <c r="CF14" s="10" t="s">
        <v>2998</v>
      </c>
      <c r="CG14" s="10" t="s">
        <v>2998</v>
      </c>
      <c r="CH14" s="14" t="s">
        <v>2976</v>
      </c>
      <c r="CI14" s="10" t="s">
        <v>2999</v>
      </c>
      <c r="CJ14" s="14" t="s">
        <v>821</v>
      </c>
      <c r="CK14" s="56"/>
      <c r="CL14" s="14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</row>
    <row r="15" spans="1:123" ht="13.2">
      <c r="A15" s="27" t="s">
        <v>2926</v>
      </c>
      <c r="B15" s="27">
        <v>11</v>
      </c>
      <c r="C15" s="27">
        <v>20</v>
      </c>
      <c r="D15" s="27" t="s">
        <v>2931</v>
      </c>
      <c r="E15" s="27" t="b">
        <v>1</v>
      </c>
      <c r="F15" s="27">
        <v>1</v>
      </c>
      <c r="BF15" s="141"/>
      <c r="BR15" s="13"/>
      <c r="BS15" s="10"/>
      <c r="BT15" s="14"/>
      <c r="BV15" s="10"/>
      <c r="BW15" s="10"/>
      <c r="BX15" s="10"/>
      <c r="BY15" s="10"/>
      <c r="BZ15" s="10"/>
      <c r="CA15" s="10"/>
      <c r="CB15" s="10"/>
      <c r="CC15" s="10"/>
      <c r="CD15" s="10"/>
      <c r="CE15" s="10" t="s">
        <v>3000</v>
      </c>
      <c r="CF15" s="10" t="s">
        <v>3001</v>
      </c>
      <c r="CG15" s="10" t="s">
        <v>3001</v>
      </c>
      <c r="CH15" s="10" t="s">
        <v>2976</v>
      </c>
      <c r="CI15" s="10" t="s">
        <v>3002</v>
      </c>
      <c r="CJ15" s="10" t="s">
        <v>3003</v>
      </c>
      <c r="CK15" s="56"/>
      <c r="CL15" s="10"/>
      <c r="CM15" s="14"/>
      <c r="CN15" s="14"/>
      <c r="CO15" s="14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</row>
    <row r="16" spans="1:123" ht="13.2">
      <c r="A16" s="27" t="s">
        <v>135</v>
      </c>
      <c r="B16" s="27">
        <v>11</v>
      </c>
      <c r="C16" s="27">
        <v>20</v>
      </c>
      <c r="D16" s="27" t="s">
        <v>134</v>
      </c>
      <c r="E16" s="27" t="b">
        <v>1</v>
      </c>
      <c r="F16" s="27">
        <v>1</v>
      </c>
      <c r="BF16" s="141"/>
      <c r="BR16" s="13"/>
      <c r="BS16" s="10"/>
      <c r="BT16" s="14"/>
      <c r="BV16" s="10"/>
      <c r="BW16" s="10"/>
      <c r="BX16" s="10"/>
      <c r="BY16" s="10"/>
      <c r="BZ16" s="10"/>
      <c r="CA16" s="10"/>
      <c r="CB16" s="10"/>
      <c r="CC16" s="10"/>
      <c r="CD16" s="10"/>
      <c r="CE16" s="10" t="s">
        <v>3004</v>
      </c>
      <c r="CF16" s="10" t="s">
        <v>3005</v>
      </c>
      <c r="CG16" s="10" t="s">
        <v>3005</v>
      </c>
      <c r="CH16" s="10" t="s">
        <v>2976</v>
      </c>
      <c r="CI16" s="10" t="s">
        <v>3006</v>
      </c>
      <c r="CJ16" s="10" t="s">
        <v>837</v>
      </c>
      <c r="CK16" s="56"/>
      <c r="CL16" s="10"/>
      <c r="CM16" s="14"/>
      <c r="CN16" s="14"/>
      <c r="CO16" s="14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</row>
    <row r="17" spans="1:123" ht="13.2">
      <c r="A17" s="27" t="s">
        <v>136</v>
      </c>
      <c r="B17" s="27">
        <v>8</v>
      </c>
      <c r="C17" s="27">
        <v>17</v>
      </c>
      <c r="D17" s="27" t="s">
        <v>137</v>
      </c>
      <c r="E17" s="27" t="b">
        <v>1</v>
      </c>
      <c r="F17" s="27">
        <v>1</v>
      </c>
      <c r="BF17" s="141"/>
      <c r="BR17" s="13"/>
      <c r="BS17" s="10"/>
      <c r="BT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 t="s">
        <v>3007</v>
      </c>
      <c r="CF17" s="10" t="s">
        <v>3008</v>
      </c>
      <c r="CG17" s="10" t="s">
        <v>3008</v>
      </c>
      <c r="CH17" s="10" t="s">
        <v>2976</v>
      </c>
      <c r="CI17" s="10" t="s">
        <v>3009</v>
      </c>
      <c r="CJ17" s="10" t="s">
        <v>835</v>
      </c>
      <c r="CK17" s="56"/>
      <c r="CL17" s="10"/>
      <c r="CM17" s="14"/>
      <c r="CN17" s="14"/>
      <c r="CO17" s="14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</row>
    <row r="18" spans="1:123" ht="13.2">
      <c r="A18" s="27" t="s">
        <v>138</v>
      </c>
      <c r="B18" s="27">
        <v>5</v>
      </c>
      <c r="C18" s="27">
        <v>14</v>
      </c>
      <c r="D18" s="27" t="s">
        <v>2900</v>
      </c>
      <c r="E18" s="27" t="b">
        <v>0</v>
      </c>
      <c r="F18" s="27">
        <v>0</v>
      </c>
      <c r="BF18" s="141"/>
      <c r="BR18" s="13"/>
      <c r="BS18" s="10"/>
      <c r="BT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 t="s">
        <v>3010</v>
      </c>
      <c r="CF18" s="10" t="s">
        <v>3011</v>
      </c>
      <c r="CG18" s="10" t="s">
        <v>3011</v>
      </c>
      <c r="CH18" s="10" t="s">
        <v>2976</v>
      </c>
      <c r="CI18" s="10" t="s">
        <v>3012</v>
      </c>
      <c r="CJ18" s="10" t="s">
        <v>941</v>
      </c>
      <c r="CK18" s="56"/>
      <c r="CL18" s="10"/>
      <c r="CM18" s="14"/>
      <c r="CN18" s="14"/>
      <c r="CO18" s="14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</row>
    <row r="19" spans="1:123" ht="13.2">
      <c r="A19" s="27" t="s">
        <v>139</v>
      </c>
      <c r="B19" s="27">
        <v>11</v>
      </c>
      <c r="C19" s="27">
        <v>20</v>
      </c>
      <c r="D19" s="27" t="s">
        <v>140</v>
      </c>
      <c r="E19" s="27" t="b">
        <v>0</v>
      </c>
      <c r="F19" s="27">
        <v>2</v>
      </c>
      <c r="BF19" s="141"/>
      <c r="BR19" s="13"/>
      <c r="BS19" s="10"/>
      <c r="BT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 t="s">
        <v>3013</v>
      </c>
      <c r="CF19" s="10" t="s">
        <v>3014</v>
      </c>
      <c r="CG19" s="10" t="s">
        <v>3014</v>
      </c>
      <c r="CH19" s="10" t="s">
        <v>2976</v>
      </c>
      <c r="CI19" s="10" t="s">
        <v>3015</v>
      </c>
      <c r="CJ19" s="10" t="s">
        <v>998</v>
      </c>
      <c r="CK19" s="56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</row>
    <row r="20" spans="1:123" ht="13.2">
      <c r="A20" s="27" t="s">
        <v>141</v>
      </c>
      <c r="B20" s="27">
        <v>0</v>
      </c>
      <c r="C20" s="27">
        <v>0</v>
      </c>
      <c r="D20" s="27" t="s">
        <v>142</v>
      </c>
      <c r="E20" s="27" t="b">
        <v>0</v>
      </c>
      <c r="F20" s="27">
        <v>0</v>
      </c>
      <c r="BF20" s="141"/>
      <c r="BR20" s="13"/>
      <c r="BS20" s="10"/>
      <c r="BT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 t="s">
        <v>3016</v>
      </c>
      <c r="CF20" s="10" t="s">
        <v>3017</v>
      </c>
      <c r="CG20" s="10" t="s">
        <v>3017</v>
      </c>
      <c r="CH20" s="10" t="s">
        <v>2976</v>
      </c>
      <c r="CI20" s="10" t="s">
        <v>3018</v>
      </c>
      <c r="CJ20" s="10" t="s">
        <v>823</v>
      </c>
      <c r="CK20" s="56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</row>
    <row r="21" spans="1:123" ht="13.2">
      <c r="A21" s="27" t="s">
        <v>143</v>
      </c>
      <c r="B21" s="27">
        <v>0</v>
      </c>
      <c r="C21" s="27">
        <v>0</v>
      </c>
      <c r="D21" s="27" t="s">
        <v>142</v>
      </c>
      <c r="E21" s="27" t="b">
        <v>0</v>
      </c>
      <c r="F21" s="27">
        <v>0</v>
      </c>
      <c r="BF21" s="141"/>
      <c r="BR21" s="13"/>
      <c r="BS21" s="10"/>
      <c r="BT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 t="s">
        <v>3019</v>
      </c>
      <c r="CF21" s="10" t="s">
        <v>3020</v>
      </c>
      <c r="CG21" s="10" t="s">
        <v>3020</v>
      </c>
      <c r="CH21" s="10" t="s">
        <v>2976</v>
      </c>
      <c r="CI21" s="10" t="s">
        <v>3021</v>
      </c>
      <c r="CJ21" s="10" t="s">
        <v>827</v>
      </c>
      <c r="CK21" s="56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</row>
    <row r="22" spans="1:88" ht="13.2">
      <c r="A22" s="27" t="s">
        <v>144</v>
      </c>
      <c r="B22" s="27">
        <v>0</v>
      </c>
      <c r="C22" s="27">
        <v>0</v>
      </c>
      <c r="D22" s="27" t="s">
        <v>142</v>
      </c>
      <c r="E22" s="27" t="b">
        <v>0</v>
      </c>
      <c r="F22" s="27">
        <v>0</v>
      </c>
      <c r="BF22" s="141"/>
      <c r="BR22" s="13"/>
      <c r="CE22" t="s">
        <v>3022</v>
      </c>
      <c r="CF22" t="s">
        <v>3023</v>
      </c>
      <c r="CG22" t="s">
        <v>3023</v>
      </c>
      <c r="CH22" t="s">
        <v>2976</v>
      </c>
      <c r="CI22" t="s">
        <v>3024</v>
      </c>
      <c r="CJ22" t="s">
        <v>824</v>
      </c>
    </row>
    <row r="23" spans="48:88" ht="13.2">
      <c r="BF23" s="141"/>
      <c r="CE23" t="s">
        <v>3025</v>
      </c>
      <c r="CF23" t="s">
        <v>3026</v>
      </c>
      <c r="CG23" t="s">
        <v>3026</v>
      </c>
      <c r="CH23" t="s">
        <v>2976</v>
      </c>
      <c r="CI23" t="s">
        <v>3027</v>
      </c>
      <c r="CJ23" t="s">
        <v>3028</v>
      </c>
    </row>
    <row r="24" spans="48:88" ht="13.2">
      <c r="BF24" s="141"/>
      <c r="CE24" t="s">
        <v>3029</v>
      </c>
      <c r="CF24" t="s">
        <v>3030</v>
      </c>
      <c r="CG24" t="s">
        <v>3030</v>
      </c>
      <c r="CH24" t="s">
        <v>2976</v>
      </c>
      <c r="CI24" t="s">
        <v>3031</v>
      </c>
      <c r="CJ24" t="s">
        <v>3032</v>
      </c>
    </row>
    <row r="25" spans="48:88" ht="13.2">
      <c r="BF25" s="13"/>
      <c r="CE25" t="s">
        <v>3033</v>
      </c>
      <c r="CF25" t="s">
        <v>3034</v>
      </c>
      <c r="CG25" t="s">
        <v>3034</v>
      </c>
      <c r="CH25" t="s">
        <v>2976</v>
      </c>
      <c r="CI25" t="s">
        <v>3035</v>
      </c>
      <c r="CJ25" t="s">
        <v>2824</v>
      </c>
    </row>
    <row r="26" spans="48:88" ht="13.2">
      <c r="BF26" s="13"/>
      <c r="CE26" t="s">
        <v>3036</v>
      </c>
      <c r="CF26" t="s">
        <v>3037</v>
      </c>
      <c r="CG26" t="s">
        <v>3037</v>
      </c>
      <c r="CH26" t="s">
        <v>2976</v>
      </c>
      <c r="CI26" t="s">
        <v>3038</v>
      </c>
      <c r="CJ26" t="s">
        <v>836</v>
      </c>
    </row>
    <row r="27" spans="48:88" ht="13.2">
      <c r="AX27" s="10"/>
      <c r="AY27" s="10"/>
      <c r="BF27" s="13"/>
      <c r="CE27" t="s">
        <v>3039</v>
      </c>
      <c r="CF27" t="s">
        <v>3040</v>
      </c>
      <c r="CG27" t="s">
        <v>3040</v>
      </c>
      <c r="CH27" t="s">
        <v>2976</v>
      </c>
      <c r="CI27" t="s">
        <v>3041</v>
      </c>
      <c r="CJ27" t="s">
        <v>903</v>
      </c>
    </row>
    <row r="28" spans="48:88" ht="13.2">
      <c r="AX28" s="10"/>
      <c r="AY28" s="10"/>
      <c r="BF28" s="13"/>
      <c r="CE28" t="s">
        <v>3042</v>
      </c>
      <c r="CF28" t="s">
        <v>3043</v>
      </c>
      <c r="CG28" t="s">
        <v>3043</v>
      </c>
      <c r="CH28" t="s">
        <v>2976</v>
      </c>
      <c r="CI28" t="s">
        <v>3044</v>
      </c>
      <c r="CJ28" t="s">
        <v>857</v>
      </c>
    </row>
    <row r="29" spans="48:88" ht="13.2">
      <c r="BF29" s="13"/>
      <c r="CE29" t="s">
        <v>3045</v>
      </c>
      <c r="CF29" t="s">
        <v>3046</v>
      </c>
      <c r="CG29" t="s">
        <v>3046</v>
      </c>
      <c r="CH29" t="s">
        <v>2976</v>
      </c>
      <c r="CI29" t="s">
        <v>3047</v>
      </c>
      <c r="CJ29" t="s">
        <v>832</v>
      </c>
    </row>
    <row r="30" spans="48:89" ht="13.2">
      <c r="BF30" s="13"/>
      <c r="CE30" t="s">
        <v>3048</v>
      </c>
      <c r="CF30" t="s">
        <v>3049</v>
      </c>
      <c r="CG30" t="s">
        <v>3049</v>
      </c>
      <c r="CH30" t="s">
        <v>2976</v>
      </c>
      <c r="CI30" t="s">
        <v>3050</v>
      </c>
      <c r="CJ30" t="s">
        <v>96</v>
      </c>
      <c r="CK30" s="57">
        <v>29.0281</v>
      </c>
    </row>
    <row r="31" spans="48:88" ht="13.2">
      <c r="BF31" s="13"/>
      <c r="CE31" t="s">
        <v>3051</v>
      </c>
      <c r="CF31" t="s">
        <v>3052</v>
      </c>
      <c r="CG31" t="s">
        <v>3052</v>
      </c>
      <c r="CH31" t="s">
        <v>2976</v>
      </c>
      <c r="CI31" t="s">
        <v>3053</v>
      </c>
      <c r="CJ31" t="s">
        <v>850</v>
      </c>
    </row>
    <row r="32" spans="48:88" ht="13.2">
      <c r="BF32" s="13"/>
      <c r="CE32" t="s">
        <v>3054</v>
      </c>
      <c r="CF32" t="s">
        <v>3055</v>
      </c>
      <c r="CG32" t="s">
        <v>3055</v>
      </c>
      <c r="CH32" t="s">
        <v>2976</v>
      </c>
      <c r="CI32" t="s">
        <v>3056</v>
      </c>
      <c r="CJ32" t="s">
        <v>851</v>
      </c>
    </row>
    <row r="33" spans="48:88" ht="13.2">
      <c r="BF33" s="13"/>
      <c r="CE33" t="s">
        <v>3057</v>
      </c>
      <c r="CF33" t="s">
        <v>3058</v>
      </c>
      <c r="CG33" t="s">
        <v>3058</v>
      </c>
      <c r="CH33" t="s">
        <v>2976</v>
      </c>
      <c r="CI33" t="s">
        <v>3059</v>
      </c>
      <c r="CJ33" t="s">
        <v>818</v>
      </c>
    </row>
    <row r="34" spans="48:88" ht="13.2">
      <c r="BF34" s="13"/>
      <c r="CE34" t="s">
        <v>3060</v>
      </c>
      <c r="CF34" t="s">
        <v>3061</v>
      </c>
      <c r="CG34" t="s">
        <v>3061</v>
      </c>
      <c r="CH34" t="s">
        <v>2976</v>
      </c>
      <c r="CI34" t="s">
        <v>3062</v>
      </c>
      <c r="CJ34" t="s">
        <v>821</v>
      </c>
    </row>
    <row r="35" spans="48:88" ht="13.2">
      <c r="BF35" s="13"/>
      <c r="CE35" t="s">
        <v>3065</v>
      </c>
      <c r="CF35" t="s">
        <v>3066</v>
      </c>
      <c r="CG35" t="s">
        <v>3066</v>
      </c>
      <c r="CH35" t="s">
        <v>3063</v>
      </c>
      <c r="CI35" t="s">
        <v>2988</v>
      </c>
      <c r="CJ35" t="s">
        <v>3064</v>
      </c>
    </row>
    <row r="36" spans="48:88" ht="13.2">
      <c r="CE36" t="s">
        <v>3067</v>
      </c>
      <c r="CF36" t="s">
        <v>3068</v>
      </c>
      <c r="CG36" t="s">
        <v>3068</v>
      </c>
      <c r="CH36" t="s">
        <v>3063</v>
      </c>
      <c r="CI36" t="s">
        <v>2991</v>
      </c>
      <c r="CJ36" t="s">
        <v>3069</v>
      </c>
    </row>
    <row r="37" spans="48:88" ht="13.2">
      <c r="CE37" t="s">
        <v>3070</v>
      </c>
      <c r="CF37" t="s">
        <v>3071</v>
      </c>
      <c r="CG37" t="s">
        <v>3071</v>
      </c>
      <c r="CH37" t="s">
        <v>3063</v>
      </c>
      <c r="CI37" t="s">
        <v>2995</v>
      </c>
      <c r="CJ37" t="s">
        <v>2996</v>
      </c>
    </row>
    <row r="38" spans="48:88" ht="13.2">
      <c r="CE38" t="s">
        <v>3072</v>
      </c>
      <c r="CF38" t="s">
        <v>3073</v>
      </c>
      <c r="CG38" t="s">
        <v>3073</v>
      </c>
      <c r="CH38" t="s">
        <v>3063</v>
      </c>
      <c r="CI38" t="s">
        <v>2999</v>
      </c>
      <c r="CJ38" t="s">
        <v>821</v>
      </c>
    </row>
    <row r="39" spans="48:88" ht="13.2">
      <c r="CE39" t="s">
        <v>3074</v>
      </c>
      <c r="CF39" t="s">
        <v>3075</v>
      </c>
      <c r="CG39" t="s">
        <v>3075</v>
      </c>
      <c r="CH39" t="s">
        <v>3063</v>
      </c>
      <c r="CI39" t="s">
        <v>3002</v>
      </c>
      <c r="CJ39" t="s">
        <v>3003</v>
      </c>
    </row>
    <row r="40" spans="48:88" ht="13.2">
      <c r="CE40" t="s">
        <v>3076</v>
      </c>
      <c r="CF40" t="s">
        <v>3077</v>
      </c>
      <c r="CG40" t="s">
        <v>3077</v>
      </c>
      <c r="CH40" t="s">
        <v>3063</v>
      </c>
      <c r="CI40" t="s">
        <v>3006</v>
      </c>
      <c r="CJ40" t="s">
        <v>837</v>
      </c>
    </row>
    <row r="41" spans="48:88" ht="13.2">
      <c r="CE41" t="s">
        <v>3078</v>
      </c>
      <c r="CF41" t="s">
        <v>3079</v>
      </c>
      <c r="CG41" t="s">
        <v>3079</v>
      </c>
      <c r="CH41" t="s">
        <v>3063</v>
      </c>
      <c r="CI41" t="s">
        <v>3009</v>
      </c>
      <c r="CJ41" t="s">
        <v>835</v>
      </c>
    </row>
    <row r="42" spans="48:88" ht="13.2">
      <c r="CE42" t="s">
        <v>3080</v>
      </c>
      <c r="CF42" t="s">
        <v>3081</v>
      </c>
      <c r="CG42" t="s">
        <v>3081</v>
      </c>
      <c r="CH42" t="s">
        <v>3063</v>
      </c>
      <c r="CI42" t="s">
        <v>3012</v>
      </c>
      <c r="CJ42" t="s">
        <v>941</v>
      </c>
    </row>
    <row r="43" spans="48:88" ht="13.2">
      <c r="CE43" t="s">
        <v>3082</v>
      </c>
      <c r="CF43" t="s">
        <v>3083</v>
      </c>
      <c r="CG43" t="s">
        <v>3083</v>
      </c>
      <c r="CH43" t="s">
        <v>3063</v>
      </c>
      <c r="CI43" t="s">
        <v>3015</v>
      </c>
      <c r="CJ43" t="s">
        <v>998</v>
      </c>
    </row>
    <row r="44" spans="48:88" ht="13.2">
      <c r="CE44" t="s">
        <v>3084</v>
      </c>
      <c r="CF44" t="s">
        <v>3085</v>
      </c>
      <c r="CG44" t="s">
        <v>3085</v>
      </c>
      <c r="CH44" t="s">
        <v>3063</v>
      </c>
      <c r="CI44" t="s">
        <v>3018</v>
      </c>
      <c r="CJ44" t="s">
        <v>823</v>
      </c>
    </row>
    <row r="45" spans="48:88" ht="13.2">
      <c r="CE45" t="s">
        <v>3086</v>
      </c>
      <c r="CF45" t="s">
        <v>3087</v>
      </c>
      <c r="CG45" t="s">
        <v>3087</v>
      </c>
      <c r="CH45" t="s">
        <v>3063</v>
      </c>
      <c r="CI45" t="s">
        <v>3021</v>
      </c>
      <c r="CJ45" t="s">
        <v>827</v>
      </c>
    </row>
    <row r="46" spans="48:89" ht="13.2">
      <c r="CE46" t="s">
        <v>3088</v>
      </c>
      <c r="CF46" t="s">
        <v>3089</v>
      </c>
      <c r="CG46" t="s">
        <v>3089</v>
      </c>
      <c r="CH46" t="s">
        <v>3063</v>
      </c>
      <c r="CI46" t="s">
        <v>3024</v>
      </c>
      <c r="CJ46" t="s">
        <v>844</v>
      </c>
      <c r="CK46" s="57">
        <v>33.8661</v>
      </c>
    </row>
    <row r="47" spans="48:88" ht="13.2">
      <c r="CE47" t="s">
        <v>3090</v>
      </c>
      <c r="CF47" t="s">
        <v>3091</v>
      </c>
      <c r="CG47" t="s">
        <v>3091</v>
      </c>
      <c r="CH47" t="s">
        <v>3063</v>
      </c>
      <c r="CI47" t="s">
        <v>3092</v>
      </c>
      <c r="CJ47" t="s">
        <v>821</v>
      </c>
    </row>
    <row r="48" spans="48:88" ht="13.2">
      <c r="CE48" t="s">
        <v>3093</v>
      </c>
      <c r="CF48" t="s">
        <v>3094</v>
      </c>
      <c r="CG48" t="s">
        <v>3094</v>
      </c>
      <c r="CH48" t="s">
        <v>3063</v>
      </c>
      <c r="CI48" t="s">
        <v>3027</v>
      </c>
      <c r="CJ48" t="s">
        <v>3095</v>
      </c>
    </row>
    <row r="49" spans="48:88" ht="13.2">
      <c r="CE49" t="s">
        <v>3096</v>
      </c>
      <c r="CF49" t="s">
        <v>3097</v>
      </c>
      <c r="CG49" t="s">
        <v>3097</v>
      </c>
      <c r="CH49" t="s">
        <v>3063</v>
      </c>
      <c r="CI49" t="s">
        <v>3031</v>
      </c>
      <c r="CJ49" t="s">
        <v>3032</v>
      </c>
    </row>
    <row r="50" spans="48:88" ht="13.2">
      <c r="CE50" t="s">
        <v>3098</v>
      </c>
      <c r="CF50" t="s">
        <v>3099</v>
      </c>
      <c r="CG50" t="s">
        <v>3099</v>
      </c>
      <c r="CH50" t="s">
        <v>3063</v>
      </c>
      <c r="CI50" t="s">
        <v>3035</v>
      </c>
      <c r="CJ50" t="s">
        <v>2824</v>
      </c>
    </row>
    <row r="51" spans="48:88" ht="13.2">
      <c r="CE51" t="s">
        <v>3100</v>
      </c>
      <c r="CF51" t="s">
        <v>3101</v>
      </c>
      <c r="CG51" t="s">
        <v>3101</v>
      </c>
      <c r="CH51" t="s">
        <v>3063</v>
      </c>
      <c r="CI51" t="s">
        <v>3038</v>
      </c>
      <c r="CJ51" t="s">
        <v>1007</v>
      </c>
    </row>
    <row r="52" spans="48:88" ht="13.2">
      <c r="CE52" t="s">
        <v>3102</v>
      </c>
      <c r="CF52" t="s">
        <v>3103</v>
      </c>
      <c r="CG52" t="s">
        <v>3103</v>
      </c>
      <c r="CH52" t="s">
        <v>3063</v>
      </c>
      <c r="CI52" t="s">
        <v>3041</v>
      </c>
      <c r="CJ52" t="s">
        <v>903</v>
      </c>
    </row>
    <row r="53" spans="48:88" ht="13.2">
      <c r="CE53" t="s">
        <v>3104</v>
      </c>
      <c r="CF53" t="s">
        <v>3105</v>
      </c>
      <c r="CG53" t="s">
        <v>3105</v>
      </c>
      <c r="CH53" t="s">
        <v>3063</v>
      </c>
      <c r="CI53" t="s">
        <v>3044</v>
      </c>
      <c r="CJ53" t="s">
        <v>821</v>
      </c>
    </row>
    <row r="54" spans="48:88" ht="13.2">
      <c r="CE54" t="s">
        <v>3106</v>
      </c>
      <c r="CF54" t="s">
        <v>3107</v>
      </c>
      <c r="CG54" t="s">
        <v>3107</v>
      </c>
      <c r="CH54" t="s">
        <v>3063</v>
      </c>
      <c r="CI54" t="s">
        <v>3047</v>
      </c>
      <c r="CJ54" t="s">
        <v>832</v>
      </c>
    </row>
    <row r="55" spans="48:89" ht="13.2">
      <c r="CE55" t="s">
        <v>3108</v>
      </c>
      <c r="CF55" t="s">
        <v>3109</v>
      </c>
      <c r="CG55" t="s">
        <v>3109</v>
      </c>
      <c r="CH55" t="s">
        <v>3063</v>
      </c>
      <c r="CI55" t="s">
        <v>3050</v>
      </c>
      <c r="CJ55" t="s">
        <v>96</v>
      </c>
      <c r="CK55" s="57">
        <v>29.0281</v>
      </c>
    </row>
    <row r="56" spans="48:88" ht="13.2">
      <c r="CE56" t="s">
        <v>3110</v>
      </c>
      <c r="CF56" t="s">
        <v>3111</v>
      </c>
      <c r="CG56" t="s">
        <v>3111</v>
      </c>
      <c r="CH56" t="s">
        <v>3063</v>
      </c>
      <c r="CI56" t="s">
        <v>3053</v>
      </c>
      <c r="CJ56" t="s">
        <v>850</v>
      </c>
    </row>
    <row r="57" spans="48:88" ht="13.2">
      <c r="CE57" t="s">
        <v>3112</v>
      </c>
      <c r="CF57" t="s">
        <v>3113</v>
      </c>
      <c r="CG57" t="s">
        <v>3113</v>
      </c>
      <c r="CH57" t="s">
        <v>3063</v>
      </c>
      <c r="CI57" t="s">
        <v>3056</v>
      </c>
      <c r="CJ57" t="s">
        <v>851</v>
      </c>
    </row>
    <row r="58" spans="48:88" ht="13.2">
      <c r="CE58" t="s">
        <v>3114</v>
      </c>
      <c r="CF58" t="s">
        <v>3115</v>
      </c>
      <c r="CG58" t="s">
        <v>3115</v>
      </c>
      <c r="CH58" t="s">
        <v>3063</v>
      </c>
      <c r="CI58" t="s">
        <v>3059</v>
      </c>
      <c r="CJ58" t="s">
        <v>818</v>
      </c>
    </row>
    <row r="59" spans="48:88" ht="13.2">
      <c r="CE59" t="s">
        <v>3116</v>
      </c>
      <c r="CF59" t="s">
        <v>3117</v>
      </c>
      <c r="CG59" t="s">
        <v>3117</v>
      </c>
      <c r="CH59" t="s">
        <v>3063</v>
      </c>
      <c r="CI59" t="s">
        <v>3062</v>
      </c>
      <c r="CJ59" t="s">
        <v>821</v>
      </c>
    </row>
    <row r="60" spans="48:88" ht="13.2">
      <c r="CE60" t="s">
        <v>3120</v>
      </c>
      <c r="CF60" t="s">
        <v>3121</v>
      </c>
      <c r="CG60" t="s">
        <v>3121</v>
      </c>
      <c r="CH60" t="s">
        <v>3118</v>
      </c>
      <c r="CI60" t="s">
        <v>2988</v>
      </c>
      <c r="CJ60" t="s">
        <v>3119</v>
      </c>
    </row>
    <row r="61" spans="48:88" ht="13.2">
      <c r="CE61" t="s">
        <v>3122</v>
      </c>
      <c r="CF61" t="s">
        <v>3123</v>
      </c>
      <c r="CG61" t="s">
        <v>3123</v>
      </c>
      <c r="CH61" t="s">
        <v>3118</v>
      </c>
      <c r="CI61" t="s">
        <v>2991</v>
      </c>
      <c r="CJ61" t="s">
        <v>3124</v>
      </c>
    </row>
    <row r="62" spans="48:88" ht="13.2">
      <c r="CE62" t="s">
        <v>3125</v>
      </c>
      <c r="CF62" t="s">
        <v>3126</v>
      </c>
      <c r="CG62" t="s">
        <v>3126</v>
      </c>
      <c r="CH62" t="s">
        <v>3118</v>
      </c>
      <c r="CI62" t="s">
        <v>2995</v>
      </c>
      <c r="CJ62" t="s">
        <v>2996</v>
      </c>
    </row>
    <row r="63" spans="48:88" ht="13.2">
      <c r="CE63" t="s">
        <v>3127</v>
      </c>
      <c r="CF63" t="s">
        <v>3128</v>
      </c>
      <c r="CG63" t="s">
        <v>3128</v>
      </c>
      <c r="CH63" t="s">
        <v>3118</v>
      </c>
      <c r="CI63" t="s">
        <v>2999</v>
      </c>
      <c r="CJ63" t="s">
        <v>821</v>
      </c>
    </row>
    <row r="64" spans="48:88" ht="13.2">
      <c r="CE64" t="s">
        <v>3129</v>
      </c>
      <c r="CF64" t="s">
        <v>3130</v>
      </c>
      <c r="CG64" t="s">
        <v>3130</v>
      </c>
      <c r="CH64" t="s">
        <v>3118</v>
      </c>
      <c r="CI64" t="s">
        <v>3002</v>
      </c>
      <c r="CJ64" t="s">
        <v>3003</v>
      </c>
    </row>
    <row r="65" spans="48:88" ht="13.2">
      <c r="CE65" t="s">
        <v>3131</v>
      </c>
      <c r="CF65" t="s">
        <v>3132</v>
      </c>
      <c r="CG65" t="s">
        <v>3132</v>
      </c>
      <c r="CH65" t="s">
        <v>3118</v>
      </c>
      <c r="CI65" t="s">
        <v>3006</v>
      </c>
      <c r="CJ65" t="s">
        <v>837</v>
      </c>
    </row>
    <row r="66" spans="48:88" ht="13.2">
      <c r="CE66" t="s">
        <v>3133</v>
      </c>
      <c r="CF66" t="s">
        <v>3134</v>
      </c>
      <c r="CG66" t="s">
        <v>3134</v>
      </c>
      <c r="CH66" t="s">
        <v>3118</v>
      </c>
      <c r="CI66" t="s">
        <v>3009</v>
      </c>
      <c r="CJ66" t="s">
        <v>835</v>
      </c>
    </row>
    <row r="67" spans="48:88" ht="13.2">
      <c r="CE67" t="s">
        <v>3135</v>
      </c>
      <c r="CF67" t="s">
        <v>3136</v>
      </c>
      <c r="CG67" t="s">
        <v>3136</v>
      </c>
      <c r="CH67" t="s">
        <v>3118</v>
      </c>
      <c r="CI67" t="s">
        <v>3012</v>
      </c>
      <c r="CJ67" t="s">
        <v>941</v>
      </c>
    </row>
    <row r="68" spans="48:88" ht="13.2">
      <c r="CE68" t="s">
        <v>3137</v>
      </c>
      <c r="CF68" t="s">
        <v>3138</v>
      </c>
      <c r="CG68" t="s">
        <v>3138</v>
      </c>
      <c r="CH68" t="s">
        <v>3118</v>
      </c>
      <c r="CI68" t="s">
        <v>3015</v>
      </c>
      <c r="CJ68" t="s">
        <v>998</v>
      </c>
    </row>
    <row r="69" spans="48:88" ht="13.2">
      <c r="CE69" t="s">
        <v>3139</v>
      </c>
      <c r="CF69" t="s">
        <v>3140</v>
      </c>
      <c r="CG69" t="s">
        <v>3140</v>
      </c>
      <c r="CH69" t="s">
        <v>3118</v>
      </c>
      <c r="CI69" t="s">
        <v>3018</v>
      </c>
      <c r="CJ69" t="s">
        <v>823</v>
      </c>
    </row>
    <row r="70" spans="48:88" ht="13.2">
      <c r="CE70" t="s">
        <v>3141</v>
      </c>
      <c r="CF70" t="s">
        <v>3142</v>
      </c>
      <c r="CG70" t="s">
        <v>3142</v>
      </c>
      <c r="CH70" t="s">
        <v>3118</v>
      </c>
      <c r="CI70" t="s">
        <v>3021</v>
      </c>
      <c r="CJ70" t="s">
        <v>872</v>
      </c>
    </row>
    <row r="71" spans="48:89" ht="13.2">
      <c r="CE71" t="s">
        <v>3143</v>
      </c>
      <c r="CF71" t="s">
        <v>3144</v>
      </c>
      <c r="CG71" t="s">
        <v>3144</v>
      </c>
      <c r="CH71" t="s">
        <v>3118</v>
      </c>
      <c r="CI71" t="s">
        <v>3024</v>
      </c>
      <c r="CJ71" t="s">
        <v>901</v>
      </c>
      <c r="CK71" s="57">
        <v>33.8661</v>
      </c>
    </row>
    <row r="72" spans="48:88" ht="13.2">
      <c r="CE72" t="s">
        <v>3145</v>
      </c>
      <c r="CF72" t="s">
        <v>3146</v>
      </c>
      <c r="CG72" t="s">
        <v>3146</v>
      </c>
      <c r="CH72" t="s">
        <v>3118</v>
      </c>
      <c r="CI72" t="s">
        <v>3092</v>
      </c>
      <c r="CJ72" t="s">
        <v>821</v>
      </c>
    </row>
    <row r="73" spans="48:88" ht="13.2">
      <c r="CE73" t="s">
        <v>3147</v>
      </c>
      <c r="CF73" t="s">
        <v>3148</v>
      </c>
      <c r="CG73" t="s">
        <v>3148</v>
      </c>
      <c r="CH73" t="s">
        <v>3118</v>
      </c>
      <c r="CI73" t="s">
        <v>3027</v>
      </c>
      <c r="CJ73" t="s">
        <v>3028</v>
      </c>
    </row>
    <row r="74" spans="48:88" ht="13.2">
      <c r="CE74" t="s">
        <v>3149</v>
      </c>
      <c r="CF74" t="s">
        <v>3150</v>
      </c>
      <c r="CG74" t="s">
        <v>3150</v>
      </c>
      <c r="CH74" t="s">
        <v>3118</v>
      </c>
      <c r="CI74" t="s">
        <v>3031</v>
      </c>
      <c r="CJ74" t="s">
        <v>3032</v>
      </c>
    </row>
    <row r="75" spans="48:88" ht="13.2">
      <c r="CE75" t="s">
        <v>3151</v>
      </c>
      <c r="CF75" t="s">
        <v>3152</v>
      </c>
      <c r="CG75" t="s">
        <v>3152</v>
      </c>
      <c r="CH75" t="s">
        <v>3118</v>
      </c>
      <c r="CI75" t="s">
        <v>3035</v>
      </c>
      <c r="CJ75" t="s">
        <v>2824</v>
      </c>
    </row>
    <row r="76" spans="48:89" ht="13.2">
      <c r="CE76" t="s">
        <v>3153</v>
      </c>
      <c r="CF76" t="s">
        <v>3154</v>
      </c>
      <c r="CG76" t="s">
        <v>3154</v>
      </c>
      <c r="CH76" t="s">
        <v>3118</v>
      </c>
      <c r="CI76" t="s">
        <v>3038</v>
      </c>
      <c r="CJ76" t="s">
        <v>836</v>
      </c>
      <c r="CK76" s="57">
        <v>33.8661</v>
      </c>
    </row>
    <row r="77" spans="48:88" ht="13.2">
      <c r="CE77" t="s">
        <v>3155</v>
      </c>
      <c r="CF77" t="s">
        <v>3156</v>
      </c>
      <c r="CG77" t="s">
        <v>3156</v>
      </c>
      <c r="CH77" t="s">
        <v>3118</v>
      </c>
      <c r="CI77" t="s">
        <v>3041</v>
      </c>
      <c r="CJ77" t="s">
        <v>903</v>
      </c>
    </row>
    <row r="78" spans="48:88" ht="13.2">
      <c r="CE78" t="s">
        <v>3157</v>
      </c>
      <c r="CF78" t="s">
        <v>3158</v>
      </c>
      <c r="CG78" t="s">
        <v>3158</v>
      </c>
      <c r="CH78" t="s">
        <v>3118</v>
      </c>
      <c r="CI78" t="s">
        <v>3044</v>
      </c>
      <c r="CJ78" t="s">
        <v>821</v>
      </c>
    </row>
    <row r="79" spans="48:88" ht="13.2">
      <c r="CE79" t="s">
        <v>3159</v>
      </c>
      <c r="CF79" t="s">
        <v>3160</v>
      </c>
      <c r="CG79" t="s">
        <v>3160</v>
      </c>
      <c r="CH79" t="s">
        <v>3118</v>
      </c>
      <c r="CI79" t="s">
        <v>3047</v>
      </c>
      <c r="CJ79" t="s">
        <v>832</v>
      </c>
    </row>
    <row r="80" spans="48:89" ht="13.2">
      <c r="CE80" t="s">
        <v>3161</v>
      </c>
      <c r="CF80" t="s">
        <v>3162</v>
      </c>
      <c r="CG80" t="s">
        <v>3162</v>
      </c>
      <c r="CH80" t="s">
        <v>3118</v>
      </c>
      <c r="CI80" t="s">
        <v>3050</v>
      </c>
      <c r="CJ80" t="s">
        <v>96</v>
      </c>
      <c r="CK80" s="57">
        <v>29.0281</v>
      </c>
    </row>
    <row r="81" spans="48:88" ht="13.2">
      <c r="CE81" t="s">
        <v>3163</v>
      </c>
      <c r="CF81" t="s">
        <v>3164</v>
      </c>
      <c r="CG81" t="s">
        <v>3164</v>
      </c>
      <c r="CH81" t="s">
        <v>3118</v>
      </c>
      <c r="CI81" t="s">
        <v>3053</v>
      </c>
      <c r="CJ81" t="s">
        <v>850</v>
      </c>
    </row>
    <row r="82" spans="48:88" ht="13.2">
      <c r="CE82" t="s">
        <v>3165</v>
      </c>
      <c r="CF82" t="s">
        <v>3166</v>
      </c>
      <c r="CG82" t="s">
        <v>3166</v>
      </c>
      <c r="CH82" t="s">
        <v>3118</v>
      </c>
      <c r="CI82" t="s">
        <v>3056</v>
      </c>
      <c r="CJ82" t="s">
        <v>851</v>
      </c>
    </row>
    <row r="83" spans="48:88" ht="13.2">
      <c r="CE83" t="s">
        <v>3167</v>
      </c>
      <c r="CF83" t="s">
        <v>3168</v>
      </c>
      <c r="CG83" t="s">
        <v>3168</v>
      </c>
      <c r="CH83" t="s">
        <v>3118</v>
      </c>
      <c r="CI83" t="s">
        <v>3059</v>
      </c>
      <c r="CJ83" t="s">
        <v>818</v>
      </c>
    </row>
    <row r="84" spans="48:88" ht="13.2">
      <c r="CE84" t="s">
        <v>3169</v>
      </c>
      <c r="CF84" t="s">
        <v>3170</v>
      </c>
      <c r="CG84" t="s">
        <v>3170</v>
      </c>
      <c r="CH84" t="s">
        <v>3118</v>
      </c>
      <c r="CI84" t="s">
        <v>3062</v>
      </c>
      <c r="CJ84" t="s">
        <v>821</v>
      </c>
    </row>
    <row r="85" spans="48:88" ht="13.2">
      <c r="CE85" t="s">
        <v>3173</v>
      </c>
      <c r="CF85" t="s">
        <v>3174</v>
      </c>
      <c r="CG85" t="s">
        <v>3174</v>
      </c>
      <c r="CH85" t="s">
        <v>3171</v>
      </c>
      <c r="CI85" t="s">
        <v>2988</v>
      </c>
      <c r="CJ85" t="s">
        <v>3172</v>
      </c>
    </row>
    <row r="86" spans="48:88" ht="13.2">
      <c r="CE86" t="s">
        <v>3175</v>
      </c>
      <c r="CF86" t="s">
        <v>3176</v>
      </c>
      <c r="CG86" t="s">
        <v>3176</v>
      </c>
      <c r="CH86" t="s">
        <v>3171</v>
      </c>
      <c r="CI86" t="s">
        <v>2991</v>
      </c>
      <c r="CJ86" t="s">
        <v>3177</v>
      </c>
    </row>
    <row r="87" spans="48:88" ht="13.2">
      <c r="CE87" t="s">
        <v>3178</v>
      </c>
      <c r="CF87" t="s">
        <v>3179</v>
      </c>
      <c r="CG87" t="s">
        <v>3179</v>
      </c>
      <c r="CH87" t="s">
        <v>3171</v>
      </c>
      <c r="CI87" t="s">
        <v>2995</v>
      </c>
      <c r="CJ87" t="s">
        <v>3180</v>
      </c>
    </row>
    <row r="88" spans="48:88" ht="13.2">
      <c r="CE88" t="s">
        <v>3181</v>
      </c>
      <c r="CF88" t="s">
        <v>3182</v>
      </c>
      <c r="CG88" t="s">
        <v>3182</v>
      </c>
      <c r="CH88" t="s">
        <v>3171</v>
      </c>
      <c r="CI88" t="s">
        <v>2999</v>
      </c>
      <c r="CJ88" t="s">
        <v>821</v>
      </c>
    </row>
    <row r="89" spans="48:88" ht="13.2">
      <c r="CE89" t="s">
        <v>3183</v>
      </c>
      <c r="CF89" t="s">
        <v>3184</v>
      </c>
      <c r="CG89" t="s">
        <v>3184</v>
      </c>
      <c r="CH89" t="s">
        <v>3171</v>
      </c>
      <c r="CI89" t="s">
        <v>3002</v>
      </c>
      <c r="CJ89" t="s">
        <v>3003</v>
      </c>
    </row>
    <row r="90" spans="48:88" ht="13.2">
      <c r="CE90" t="s">
        <v>3185</v>
      </c>
      <c r="CF90" t="s">
        <v>3186</v>
      </c>
      <c r="CG90" t="s">
        <v>3186</v>
      </c>
      <c r="CH90" t="s">
        <v>3171</v>
      </c>
      <c r="CI90" t="s">
        <v>3006</v>
      </c>
      <c r="CJ90" t="s">
        <v>837</v>
      </c>
    </row>
    <row r="91" spans="48:88" ht="13.2">
      <c r="CE91" t="s">
        <v>3187</v>
      </c>
      <c r="CF91" t="s">
        <v>3188</v>
      </c>
      <c r="CG91" t="s">
        <v>3188</v>
      </c>
      <c r="CH91" t="s">
        <v>3171</v>
      </c>
      <c r="CI91" t="s">
        <v>3009</v>
      </c>
      <c r="CJ91" t="s">
        <v>835</v>
      </c>
    </row>
    <row r="92" spans="48:88" ht="13.2">
      <c r="CE92" t="s">
        <v>3189</v>
      </c>
      <c r="CF92" t="s">
        <v>3190</v>
      </c>
      <c r="CG92" t="s">
        <v>3190</v>
      </c>
      <c r="CH92" t="s">
        <v>3171</v>
      </c>
      <c r="CI92" t="s">
        <v>3012</v>
      </c>
      <c r="CJ92" t="s">
        <v>941</v>
      </c>
    </row>
    <row r="93" spans="48:88" ht="13.2">
      <c r="CE93" t="s">
        <v>3191</v>
      </c>
      <c r="CF93" t="s">
        <v>3192</v>
      </c>
      <c r="CG93" t="s">
        <v>3192</v>
      </c>
      <c r="CH93" t="s">
        <v>3171</v>
      </c>
      <c r="CI93" t="s">
        <v>3015</v>
      </c>
      <c r="CJ93" t="s">
        <v>998</v>
      </c>
    </row>
    <row r="94" spans="48:88" ht="13.2">
      <c r="CE94" t="s">
        <v>3193</v>
      </c>
      <c r="CF94" t="s">
        <v>3194</v>
      </c>
      <c r="CG94" t="s">
        <v>3194</v>
      </c>
      <c r="CH94" t="s">
        <v>3171</v>
      </c>
      <c r="CI94" t="s">
        <v>3018</v>
      </c>
      <c r="CJ94" t="s">
        <v>823</v>
      </c>
    </row>
    <row r="95" spans="48:88" ht="13.2">
      <c r="CE95" t="s">
        <v>3195</v>
      </c>
      <c r="CF95" t="s">
        <v>3196</v>
      </c>
      <c r="CG95" t="s">
        <v>3196</v>
      </c>
      <c r="CH95" t="s">
        <v>3171</v>
      </c>
      <c r="CI95" t="s">
        <v>3021</v>
      </c>
      <c r="CJ95" t="s">
        <v>872</v>
      </c>
    </row>
    <row r="96" spans="48:88" ht="13.2">
      <c r="CE96" t="s">
        <v>3197</v>
      </c>
      <c r="CF96" t="s">
        <v>3198</v>
      </c>
      <c r="CG96" t="s">
        <v>3198</v>
      </c>
      <c r="CH96" t="s">
        <v>3171</v>
      </c>
      <c r="CI96" t="s">
        <v>3024</v>
      </c>
      <c r="CJ96" t="s">
        <v>824</v>
      </c>
    </row>
    <row r="97" spans="48:88" ht="13.2">
      <c r="CE97" t="s">
        <v>3199</v>
      </c>
      <c r="CF97" t="s">
        <v>3200</v>
      </c>
      <c r="CG97" t="s">
        <v>3200</v>
      </c>
      <c r="CH97" t="s">
        <v>3171</v>
      </c>
      <c r="CI97" t="s">
        <v>3027</v>
      </c>
      <c r="CJ97" t="s">
        <v>3028</v>
      </c>
    </row>
    <row r="98" spans="48:88" ht="13.2">
      <c r="CE98" t="s">
        <v>3201</v>
      </c>
      <c r="CF98" t="s">
        <v>3202</v>
      </c>
      <c r="CG98" t="s">
        <v>3202</v>
      </c>
      <c r="CH98" t="s">
        <v>3171</v>
      </c>
      <c r="CI98" t="s">
        <v>3031</v>
      </c>
      <c r="CJ98" t="s">
        <v>3032</v>
      </c>
    </row>
    <row r="99" spans="48:88" ht="13.2">
      <c r="CE99" t="s">
        <v>3203</v>
      </c>
      <c r="CF99" t="s">
        <v>3204</v>
      </c>
      <c r="CG99" t="s">
        <v>3204</v>
      </c>
      <c r="CH99" t="s">
        <v>3171</v>
      </c>
      <c r="CI99" t="s">
        <v>3035</v>
      </c>
      <c r="CJ99" t="s">
        <v>2821</v>
      </c>
    </row>
    <row r="100" spans="48:88" ht="13.2">
      <c r="CE100" t="s">
        <v>3205</v>
      </c>
      <c r="CF100" t="s">
        <v>3206</v>
      </c>
      <c r="CG100" t="s">
        <v>3206</v>
      </c>
      <c r="CH100" t="s">
        <v>3171</v>
      </c>
      <c r="CI100" t="s">
        <v>3038</v>
      </c>
      <c r="CJ100" t="s">
        <v>836</v>
      </c>
    </row>
    <row r="101" spans="83:88" ht="13.2">
      <c r="CE101" t="s">
        <v>3207</v>
      </c>
      <c r="CF101" t="s">
        <v>3208</v>
      </c>
      <c r="CG101" t="s">
        <v>3208</v>
      </c>
      <c r="CH101" t="s">
        <v>3171</v>
      </c>
      <c r="CI101" t="s">
        <v>3041</v>
      </c>
      <c r="CJ101" t="s">
        <v>1062</v>
      </c>
    </row>
    <row r="102" spans="83:88" ht="13.2">
      <c r="CE102" t="s">
        <v>3209</v>
      </c>
      <c r="CF102" t="s">
        <v>3210</v>
      </c>
      <c r="CG102" t="s">
        <v>3210</v>
      </c>
      <c r="CH102" t="s">
        <v>3171</v>
      </c>
      <c r="CI102" t="s">
        <v>3044</v>
      </c>
      <c r="CJ102" t="s">
        <v>821</v>
      </c>
    </row>
    <row r="103" spans="83:88" ht="13.2">
      <c r="CE103" t="s">
        <v>3211</v>
      </c>
      <c r="CF103" t="s">
        <v>3212</v>
      </c>
      <c r="CG103" t="s">
        <v>3212</v>
      </c>
      <c r="CH103" t="s">
        <v>3171</v>
      </c>
      <c r="CI103" t="s">
        <v>3047</v>
      </c>
      <c r="CJ103" t="s">
        <v>832</v>
      </c>
    </row>
    <row r="104" spans="83:89" ht="13.2">
      <c r="CE104" t="s">
        <v>3213</v>
      </c>
      <c r="CF104" t="s">
        <v>3214</v>
      </c>
      <c r="CG104" t="s">
        <v>3214</v>
      </c>
      <c r="CH104" t="s">
        <v>3171</v>
      </c>
      <c r="CI104" t="s">
        <v>3050</v>
      </c>
      <c r="CJ104" t="s">
        <v>96</v>
      </c>
      <c r="CK104" s="57">
        <v>29.0281</v>
      </c>
    </row>
    <row r="105" spans="83:88" ht="13.2">
      <c r="CE105" t="s">
        <v>3215</v>
      </c>
      <c r="CF105" t="s">
        <v>3216</v>
      </c>
      <c r="CG105" t="s">
        <v>3216</v>
      </c>
      <c r="CH105" t="s">
        <v>3171</v>
      </c>
      <c r="CI105" t="s">
        <v>3053</v>
      </c>
      <c r="CJ105" t="s">
        <v>850</v>
      </c>
    </row>
    <row r="106" spans="83:88" ht="13.2">
      <c r="CE106" t="s">
        <v>3217</v>
      </c>
      <c r="CF106" t="s">
        <v>3218</v>
      </c>
      <c r="CG106" t="s">
        <v>3218</v>
      </c>
      <c r="CH106" t="s">
        <v>3171</v>
      </c>
      <c r="CI106" t="s">
        <v>3056</v>
      </c>
      <c r="CJ106" t="s">
        <v>851</v>
      </c>
    </row>
    <row r="107" spans="83:88" ht="13.2">
      <c r="CE107" t="s">
        <v>3219</v>
      </c>
      <c r="CF107" t="s">
        <v>3220</v>
      </c>
      <c r="CG107" t="s">
        <v>3220</v>
      </c>
      <c r="CH107" t="s">
        <v>3171</v>
      </c>
      <c r="CI107" t="s">
        <v>3059</v>
      </c>
      <c r="CJ107" t="s">
        <v>818</v>
      </c>
    </row>
    <row r="108" spans="83:88" ht="13.2">
      <c r="CE108" t="s">
        <v>3221</v>
      </c>
      <c r="CF108" t="s">
        <v>3222</v>
      </c>
      <c r="CG108" t="s">
        <v>3222</v>
      </c>
      <c r="CH108" t="s">
        <v>3171</v>
      </c>
      <c r="CI108" t="s">
        <v>3062</v>
      </c>
      <c r="CJ108" t="s">
        <v>821</v>
      </c>
    </row>
    <row r="109" spans="83:88" ht="13.2">
      <c r="CE109" t="s">
        <v>3223</v>
      </c>
      <c r="CF109" t="s">
        <v>3224</v>
      </c>
      <c r="CG109" t="s">
        <v>3224</v>
      </c>
      <c r="CH109" t="s">
        <v>3225</v>
      </c>
      <c r="CI109" t="s">
        <v>3226</v>
      </c>
      <c r="CJ109" t="s">
        <v>821</v>
      </c>
    </row>
    <row r="110" spans="83:88" ht="13.2">
      <c r="CE110" t="s">
        <v>3227</v>
      </c>
      <c r="CF110" t="s">
        <v>3228</v>
      </c>
      <c r="CG110" t="s">
        <v>3228</v>
      </c>
      <c r="CH110" t="s">
        <v>3225</v>
      </c>
      <c r="CI110" t="s">
        <v>3229</v>
      </c>
      <c r="CJ110" t="s">
        <v>3230</v>
      </c>
    </row>
  </sheetData>
  <mergeCells count="1">
    <mergeCell ref="A5:F5"/>
  </mergeCells>
  <pageMargins left="0.7" right="0.7" top="0.75" bottom="0.75" header="0.3" footer="0.3"/>
  <pageSetup horizontalDpi="300" verticalDpi="30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JobSheet">
    <pageSetUpPr fitToPage="1"/>
  </sheetPr>
  <dimension ref="A1:BH21"/>
  <sheetViews>
    <sheetView showZeros="0" view="pageBreakPreview" zoomScale="40" zoomScaleNormal="50" zoomScaleSheetLayoutView="40" zoomScalePageLayoutView="25" workbookViewId="0" topLeftCell="A1">
      <selection pane="topLeft" activeCell="I11" sqref="I11"/>
    </sheetView>
  </sheetViews>
  <sheetFormatPr defaultColWidth="9.44140625" defaultRowHeight="39.9" customHeight="1"/>
  <cols>
    <col min="1" max="1" width="8.71428571428571" style="61" customWidth="1"/>
    <col min="2" max="2" width="30.5714285714286" style="61" customWidth="1"/>
    <col min="3" max="3" width="17.5714285714286" style="61" customWidth="1"/>
    <col min="4" max="4" width="24.8571428571429" style="61" customWidth="1"/>
    <col min="5" max="5" width="17.4285714285714" style="61" customWidth="1"/>
    <col min="6" max="6" width="23.7142857142857" style="61" customWidth="1"/>
    <col min="7" max="7" width="14.8571428571429" style="61" customWidth="1"/>
    <col min="8" max="8" width="15" style="61" customWidth="1"/>
    <col min="9" max="9" width="39.2857142857143" style="61" customWidth="1"/>
    <col min="10" max="10" width="15.5714285714286" style="62" customWidth="1"/>
    <col min="11" max="11" width="21.7142857142857" style="62" customWidth="1"/>
    <col min="12" max="12" width="18.2857142857143" style="61" customWidth="1"/>
    <col min="13" max="13" width="15.5714285714286" style="61" customWidth="1"/>
    <col min="14" max="14" width="20.7142857142857" style="61" customWidth="1"/>
    <col min="15" max="15" width="19.7142857142857" style="61" customWidth="1"/>
    <col min="16" max="16" width="18.7142857142857" style="61" customWidth="1"/>
    <col min="17" max="17" width="19.5714285714286" style="61" customWidth="1"/>
    <col min="18" max="18" width="26.4285714285714" style="61" customWidth="1"/>
    <col min="19" max="19" width="27.5714285714286" style="61" customWidth="1"/>
    <col min="20" max="20" width="25.4285714285714" style="61" customWidth="1"/>
    <col min="21" max="21" width="25" style="61" customWidth="1"/>
    <col min="22" max="22" width="23.1428571428571" style="61" customWidth="1"/>
    <col min="23" max="23" width="21.4285714285714" style="61" customWidth="1"/>
    <col min="24" max="24" width="18.7142857142857" style="61" customWidth="1"/>
    <col min="25" max="25" width="19.8571428571429" style="61" customWidth="1"/>
    <col min="26" max="26" width="26.5714285714286" style="61" customWidth="1"/>
    <col min="27" max="27" width="25.5714285714286" style="61" customWidth="1"/>
    <col min="28" max="28" width="20.7142857142857" style="61" customWidth="1"/>
    <col min="29" max="29" width="17" style="61" customWidth="1"/>
    <col min="30" max="30" width="18" style="61" customWidth="1"/>
    <col min="31" max="31" width="15.7142857142857" style="61" customWidth="1"/>
    <col min="32" max="32" width="17" style="61" customWidth="1"/>
    <col min="33" max="33" width="24.4285714285714" style="61" customWidth="1"/>
    <col min="34" max="34" width="23.5714285714286" customWidth="1"/>
    <col min="35" max="35" width="21" style="61" customWidth="1"/>
    <col min="36" max="36" width="24.2857142857143" customWidth="1"/>
    <col min="37" max="37" width="23.7142857142857" customWidth="1"/>
    <col min="38" max="38" width="24.5714285714286" customWidth="1"/>
    <col min="39" max="39" width="16.8571428571429" customWidth="1"/>
    <col min="40" max="40" width="19.7142857142857" customWidth="1"/>
    <col min="41" max="41" width="57.7142857142857" customWidth="1"/>
    <col min="42" max="42" width="8.57142857142857" customWidth="1"/>
    <col min="43" max="43" width="17" customWidth="1"/>
    <col min="44" max="44" width="22.2857142857143" customWidth="1"/>
    <col min="45" max="45" width="34.4285714285714" customWidth="1"/>
    <col min="46" max="46" width="16.8571428571429" customWidth="1"/>
    <col min="47" max="47" width="16.5714285714286" customWidth="1"/>
    <col min="48" max="48" width="14.1428571428571" customWidth="1"/>
    <col min="49" max="49" width="18.7142857142857" customWidth="1"/>
    <col min="50" max="50" width="17.4285714285714" customWidth="1"/>
    <col min="51" max="51" width="15.8571428571429" customWidth="1"/>
    <col min="52" max="52" width="16" customWidth="1"/>
    <col min="53" max="53" width="21.4285714285714" style="61" customWidth="1"/>
    <col min="54" max="54" width="17.4285714285714" customWidth="1"/>
    <col min="55" max="55" width="16.4285714285714" customWidth="1"/>
    <col min="56" max="56" width="19" customWidth="1"/>
    <col min="57" max="59" width="16.4285714285714" customWidth="1"/>
    <col min="60" max="60" width="22.4285714285714" customWidth="1"/>
  </cols>
  <sheetData>
    <row r="1" spans="1:52" s="16" customFormat="1" ht="219.15" customHeight="1">
      <c r="A1" s="169" t="s">
        <v>145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  <c r="AN1" s="170"/>
      <c r="AO1" s="171"/>
      <c r="AZ1" s="132"/>
    </row>
    <row r="2" spans="1:52" s="49" customFormat="1" ht="50.1" customHeight="1">
      <c r="A2" s="195" t="s">
        <v>146</v>
      </c>
      <c r="B2" s="195"/>
      <c r="C2" s="195"/>
      <c r="D2" s="192"/>
      <c r="E2" s="192"/>
      <c r="F2" s="192"/>
      <c r="G2" s="192" t="s">
        <v>147</v>
      </c>
      <c r="H2" s="192"/>
      <c r="I2" s="192"/>
      <c r="J2" s="192"/>
      <c r="K2" s="194" t="str">
        <f>Data!BF5</f>
        <v>Evans, Belinda </v>
      </c>
      <c r="L2" s="194"/>
      <c r="M2" s="194"/>
      <c r="N2" s="194"/>
      <c r="O2" s="194"/>
      <c r="P2" s="194"/>
      <c r="Q2" s="172" t="s">
        <v>148</v>
      </c>
      <c r="R2" s="173"/>
      <c r="S2" s="173"/>
      <c r="T2" s="173"/>
      <c r="U2" s="173"/>
      <c r="V2" s="173"/>
      <c r="W2" s="173"/>
      <c r="X2" s="173"/>
      <c r="Y2" s="173"/>
      <c r="Z2" s="173"/>
      <c r="AA2" s="173"/>
      <c r="AB2" s="173"/>
      <c r="AC2" s="173"/>
      <c r="AD2" s="173"/>
      <c r="AE2" s="173"/>
      <c r="AF2" s="173"/>
      <c r="AG2" s="173"/>
      <c r="AH2" s="173"/>
      <c r="AI2" s="173"/>
      <c r="AJ2" s="173"/>
      <c r="AK2" s="173"/>
      <c r="AL2" s="173"/>
      <c r="AM2" s="173"/>
      <c r="AN2" s="173"/>
      <c r="AO2" s="174"/>
      <c r="AZ2" s="133"/>
    </row>
    <row r="3" spans="1:52" s="49" customFormat="1" ht="50.1" customHeight="1">
      <c r="A3" s="196" t="s">
        <v>149</v>
      </c>
      <c r="B3" s="196"/>
      <c r="C3" s="196"/>
      <c r="D3" s="191" t="str">
        <f>Data!BC5</f>
        <v>40426</v>
      </c>
      <c r="E3" s="191"/>
      <c r="F3" s="191"/>
      <c r="G3" s="193" t="s">
        <v>150</v>
      </c>
      <c r="H3" s="193"/>
      <c r="I3" s="193"/>
      <c r="J3" s="193"/>
      <c r="K3" s="194" t="str">
        <f>TRIM(Data!AX5)</f>
        <v>Sheers and Rollers</v>
      </c>
      <c r="L3" s="194"/>
      <c r="M3" s="194"/>
      <c r="N3" s="194"/>
      <c r="O3" s="194"/>
      <c r="P3" s="194"/>
      <c r="Q3" s="175" t="str">
        <f>TRIM(Data!BG5)</f>
        <v/>
      </c>
      <c r="R3" s="176"/>
      <c r="S3" s="176"/>
      <c r="T3" s="176"/>
      <c r="U3" s="176"/>
      <c r="V3" s="176"/>
      <c r="W3" s="176"/>
      <c r="X3" s="176"/>
      <c r="Y3" s="176"/>
      <c r="Z3" s="176"/>
      <c r="AA3" s="176"/>
      <c r="AB3" s="176"/>
      <c r="AC3" s="176"/>
      <c r="AD3" s="176"/>
      <c r="AE3" s="176"/>
      <c r="AF3" s="176"/>
      <c r="AG3" s="176"/>
      <c r="AH3" s="176"/>
      <c r="AI3" s="176"/>
      <c r="AJ3" s="176"/>
      <c r="AK3" s="176"/>
      <c r="AL3" s="176"/>
      <c r="AM3" s="176"/>
      <c r="AN3" s="176"/>
      <c r="AO3" s="177"/>
      <c r="AZ3" s="134"/>
    </row>
    <row r="4" spans="1:52" s="50" customFormat="1" ht="50.1" customHeight="1">
      <c r="A4" s="190" t="s">
        <v>151</v>
      </c>
      <c r="B4" s="190"/>
      <c r="C4" s="190"/>
      <c r="D4" s="191" t="str">
        <f>Data!BD5</f>
        <v>A</v>
      </c>
      <c r="E4" s="191"/>
      <c r="F4" s="191"/>
      <c r="G4" s="193" t="s">
        <v>152</v>
      </c>
      <c r="H4" s="193"/>
      <c r="I4" s="193"/>
      <c r="J4" s="193"/>
      <c r="K4" s="194" t="str">
        <f>LEFT(Data!BA5,10)</f>
        <v>4/09/2026 </v>
      </c>
      <c r="L4" s="194"/>
      <c r="M4" s="194"/>
      <c r="N4" s="194"/>
      <c r="O4" s="194"/>
      <c r="P4" s="194"/>
      <c r="Q4" s="178"/>
      <c r="R4" s="179"/>
      <c r="S4" s="179"/>
      <c r="T4" s="179"/>
      <c r="U4" s="179"/>
      <c r="V4" s="179"/>
      <c r="W4" s="179"/>
      <c r="X4" s="179"/>
      <c r="Y4" s="179"/>
      <c r="Z4" s="179"/>
      <c r="AA4" s="179"/>
      <c r="AB4" s="179"/>
      <c r="AC4" s="179"/>
      <c r="AD4" s="179"/>
      <c r="AE4" s="179"/>
      <c r="AF4" s="179"/>
      <c r="AG4" s="179"/>
      <c r="AH4" s="179"/>
      <c r="AI4" s="179"/>
      <c r="AJ4" s="179"/>
      <c r="AK4" s="179"/>
      <c r="AL4" s="179"/>
      <c r="AM4" s="179"/>
      <c r="AN4" s="179"/>
      <c r="AO4" s="180"/>
      <c r="AZ4" s="134"/>
    </row>
    <row r="5" spans="1:52" s="50" customFormat="1" ht="50.1" customHeight="1">
      <c r="A5" s="200" t="s">
        <v>153</v>
      </c>
      <c r="B5" s="200"/>
      <c r="C5" s="200"/>
      <c r="D5" s="201" t="str">
        <f>Data!AY5</f>
        <v>12/06/2026 12:00:00 AM</v>
      </c>
      <c r="E5" s="201"/>
      <c r="F5" s="201"/>
      <c r="G5" s="191" t="s">
        <v>154</v>
      </c>
      <c r="H5" s="191"/>
      <c r="I5" s="191"/>
      <c r="J5" s="191"/>
      <c r="K5" s="194" t="str">
        <f>CONCATENATE(Data!CX5," ",Data!CY5)</f>
        <v>Belinda  Evans</v>
      </c>
      <c r="L5" s="194"/>
      <c r="M5" s="194"/>
      <c r="N5" s="194"/>
      <c r="O5" s="194"/>
      <c r="P5" s="194"/>
      <c r="Q5" s="198" t="s">
        <v>155</v>
      </c>
      <c r="R5" s="198"/>
      <c r="S5" s="187" t="str">
        <f>IFERROR(VLOOKUP("OKTOLEAVE",Data!CI:CJ,2,FALSE),"")</f>
        <v/>
      </c>
      <c r="T5" s="188"/>
      <c r="U5" s="188"/>
      <c r="V5" s="188"/>
      <c r="W5" s="188"/>
      <c r="X5" s="188"/>
      <c r="Y5" s="188"/>
      <c r="Z5" s="188"/>
      <c r="AA5" s="188"/>
      <c r="AB5" s="188"/>
      <c r="AC5" s="188"/>
      <c r="AD5" s="188"/>
      <c r="AE5" s="188"/>
      <c r="AF5" s="188"/>
      <c r="AG5" s="188"/>
      <c r="AH5" s="188"/>
      <c r="AI5" s="188"/>
      <c r="AJ5" s="188"/>
      <c r="AK5" s="188"/>
      <c r="AL5" s="188"/>
      <c r="AM5" s="188"/>
      <c r="AN5" s="188"/>
      <c r="AO5" s="189"/>
      <c r="AZ5" s="135"/>
    </row>
    <row r="6" spans="1:52" s="50" customFormat="1" ht="50.1" customHeight="1">
      <c r="A6" s="199" t="str">
        <f>Data!CZ5</f>
        <v>Retail Customer</v>
      </c>
      <c r="B6" s="199"/>
      <c r="C6" s="199"/>
      <c r="D6" s="199"/>
      <c r="E6" s="199"/>
      <c r="F6" s="199"/>
      <c r="G6" s="191"/>
      <c r="H6" s="191"/>
      <c r="I6" s="191"/>
      <c r="J6" s="191"/>
      <c r="K6" s="194" t="str">
        <f>CONCATENATE(Data!BH5," ",Data!BI5," ",Data!BJ5," ",Data!BK5," ",Data!BL5)</f>
        <v xml:space="preserve"> 15  Dublin Street </v>
      </c>
      <c r="L6" s="194"/>
      <c r="M6" s="194"/>
      <c r="N6" s="194"/>
      <c r="O6" s="194"/>
      <c r="P6" s="194"/>
      <c r="Q6" s="194" t="s">
        <v>156</v>
      </c>
      <c r="R6" s="194"/>
      <c r="S6" s="184" t="str">
        <f>IFERROR(VLOOKUP("DELIVERYNOTES",Data!CI:CJ,2,FALSE),"")</f>
        <v/>
      </c>
      <c r="T6" s="185"/>
      <c r="U6" s="185"/>
      <c r="V6" s="185"/>
      <c r="W6" s="185"/>
      <c r="X6" s="185"/>
      <c r="Y6" s="185"/>
      <c r="Z6" s="185"/>
      <c r="AA6" s="185"/>
      <c r="AB6" s="185"/>
      <c r="AC6" s="185"/>
      <c r="AD6" s="185"/>
      <c r="AE6" s="185"/>
      <c r="AF6" s="185"/>
      <c r="AG6" s="185"/>
      <c r="AH6" s="185"/>
      <c r="AI6" s="185"/>
      <c r="AJ6" s="185"/>
      <c r="AK6" s="185"/>
      <c r="AL6" s="185"/>
      <c r="AM6" s="185"/>
      <c r="AN6" s="185"/>
      <c r="AO6" s="186"/>
      <c r="AZ6" s="134"/>
    </row>
    <row r="7" spans="1:52" s="50" customFormat="1" ht="50.1" customHeight="1">
      <c r="A7" s="199"/>
      <c r="B7" s="199"/>
      <c r="C7" s="199"/>
      <c r="D7" s="199"/>
      <c r="E7" s="199"/>
      <c r="F7" s="199"/>
      <c r="G7" s="191"/>
      <c r="H7" s="191"/>
      <c r="I7" s="191"/>
      <c r="J7" s="191"/>
      <c r="K7" s="194" t="str">
        <f>CONCATENATE(Data!BM5," ",Data!BN5," ",Data!BO5," ",Data!BP5)</f>
        <v>Alfredton VIC 3350 Australia</v>
      </c>
      <c r="L7" s="194"/>
      <c r="M7" s="194"/>
      <c r="N7" s="194"/>
      <c r="O7" s="194"/>
      <c r="P7" s="194"/>
      <c r="Q7" s="194" t="s">
        <v>157</v>
      </c>
      <c r="R7" s="194"/>
      <c r="S7" s="197" t="str">
        <f>Data!BR5</f>
        <v>bel1810@bigpond.com</v>
      </c>
      <c r="T7" s="197"/>
      <c r="U7" s="197"/>
      <c r="V7" s="197"/>
      <c r="W7" s="194" t="s">
        <v>158</v>
      </c>
      <c r="X7" s="194"/>
      <c r="Y7" s="181" t="str">
        <f>Data!DB5</f>
        <v>0422647780</v>
      </c>
      <c r="Z7" s="182"/>
      <c r="AA7" s="182"/>
      <c r="AB7" s="182"/>
      <c r="AC7" s="182"/>
      <c r="AD7" s="182"/>
      <c r="AE7" s="182"/>
      <c r="AF7" s="182"/>
      <c r="AG7" s="182"/>
      <c r="AH7" s="182"/>
      <c r="AI7" s="182"/>
      <c r="AJ7" s="182"/>
      <c r="AK7" s="182"/>
      <c r="AL7" s="182"/>
      <c r="AM7" s="182"/>
      <c r="AN7" s="182"/>
      <c r="AO7" s="183"/>
      <c r="AZ7" s="134"/>
    </row>
    <row r="8" spans="1:60" s="58" customFormat="1" ht="50.1" customHeight="1">
      <c r="A8" s="202" t="s">
        <v>159</v>
      </c>
      <c r="B8" s="164" t="s">
        <v>160</v>
      </c>
      <c r="C8" s="203" t="s">
        <v>161</v>
      </c>
      <c r="D8" s="205" t="s">
        <v>162</v>
      </c>
      <c r="E8" s="205" t="s">
        <v>163</v>
      </c>
      <c r="F8" s="204" t="s">
        <v>164</v>
      </c>
      <c r="G8" s="163" t="s">
        <v>165</v>
      </c>
      <c r="H8" s="163" t="s">
        <v>166</v>
      </c>
      <c r="I8" s="163" t="s">
        <v>167</v>
      </c>
      <c r="J8" s="163" t="s">
        <v>168</v>
      </c>
      <c r="K8" s="163" t="s">
        <v>169</v>
      </c>
      <c r="L8" s="163" t="s">
        <v>170</v>
      </c>
      <c r="M8" s="163" t="s">
        <v>171</v>
      </c>
      <c r="N8" s="163" t="s">
        <v>172</v>
      </c>
      <c r="O8" s="164" t="s">
        <v>173</v>
      </c>
      <c r="P8" s="164" t="s">
        <v>174</v>
      </c>
      <c r="Q8" s="163" t="s">
        <v>175</v>
      </c>
      <c r="R8" s="164" t="s">
        <v>176</v>
      </c>
      <c r="S8" s="164" t="s">
        <v>177</v>
      </c>
      <c r="T8" s="164" t="s">
        <v>178</v>
      </c>
      <c r="U8" s="163" t="s">
        <v>179</v>
      </c>
      <c r="V8" s="165" t="s">
        <v>180</v>
      </c>
      <c r="W8" s="163" t="s">
        <v>181</v>
      </c>
      <c r="X8" s="163" t="s">
        <v>182</v>
      </c>
      <c r="Y8" s="163" t="s">
        <v>183</v>
      </c>
      <c r="Z8" s="164" t="s">
        <v>184</v>
      </c>
      <c r="AA8" s="163" t="s">
        <v>185</v>
      </c>
      <c r="AB8" s="163" t="s">
        <v>186</v>
      </c>
      <c r="AC8" s="163" t="s">
        <v>187</v>
      </c>
      <c r="AD8" s="163" t="s">
        <v>188</v>
      </c>
      <c r="AE8" s="163" t="s">
        <v>189</v>
      </c>
      <c r="AF8" s="163" t="s">
        <v>190</v>
      </c>
      <c r="AG8" s="163" t="s">
        <v>191</v>
      </c>
      <c r="AH8" s="163" t="s">
        <v>192</v>
      </c>
      <c r="AI8" s="163" t="s">
        <v>193</v>
      </c>
      <c r="AJ8" s="163" t="s">
        <v>194</v>
      </c>
      <c r="AK8" s="166" t="s">
        <v>195</v>
      </c>
      <c r="AL8" s="166" t="s">
        <v>196</v>
      </c>
      <c r="AM8" s="166" t="s">
        <v>197</v>
      </c>
      <c r="AN8" s="166" t="s">
        <v>198</v>
      </c>
      <c r="AO8" s="163" t="s">
        <v>199</v>
      </c>
      <c r="AP8" s="24"/>
      <c r="AQ8" s="164" t="s">
        <v>200</v>
      </c>
      <c r="AR8" s="164" t="s">
        <v>170</v>
      </c>
      <c r="AS8" s="164" t="s">
        <v>179</v>
      </c>
      <c r="AT8" s="164" t="s">
        <v>201</v>
      </c>
      <c r="AU8" s="163" t="s">
        <v>202</v>
      </c>
      <c r="AV8" s="165" t="s">
        <v>203</v>
      </c>
      <c r="AW8" s="164" t="s">
        <v>204</v>
      </c>
      <c r="AX8" s="164" t="s">
        <v>205</v>
      </c>
      <c r="AY8" s="163" t="s">
        <v>121</v>
      </c>
      <c r="AZ8" s="163" t="s">
        <v>206</v>
      </c>
      <c r="BA8" s="163" t="s">
        <v>207</v>
      </c>
      <c r="BB8" s="163" t="s">
        <v>208</v>
      </c>
      <c r="BC8" s="163" t="s">
        <v>209</v>
      </c>
      <c r="BD8" s="163" t="s">
        <v>210</v>
      </c>
      <c r="BE8" s="163" t="s">
        <v>211</v>
      </c>
      <c r="BF8" s="163" t="s">
        <v>212</v>
      </c>
      <c r="BG8" s="166" t="s">
        <v>2928</v>
      </c>
      <c r="BH8" s="163" t="s">
        <v>213</v>
      </c>
    </row>
    <row r="9" spans="1:60" s="58" customFormat="1" ht="14.25" customHeight="1" hidden="1">
      <c r="A9" s="202"/>
      <c r="B9" s="164"/>
      <c r="C9" s="203"/>
      <c r="D9" s="205"/>
      <c r="E9" s="205"/>
      <c r="F9" s="204"/>
      <c r="G9" s="163"/>
      <c r="H9" s="163"/>
      <c r="I9" s="163"/>
      <c r="J9" s="163"/>
      <c r="K9" s="163"/>
      <c r="L9" s="163"/>
      <c r="M9" s="163"/>
      <c r="N9" s="163"/>
      <c r="O9" s="164"/>
      <c r="P9" s="164"/>
      <c r="Q9" s="163"/>
      <c r="R9" s="164"/>
      <c r="S9" s="164"/>
      <c r="T9" s="164"/>
      <c r="U9" s="163"/>
      <c r="V9" s="165"/>
      <c r="W9" s="163"/>
      <c r="X9" s="163"/>
      <c r="Y9" s="163"/>
      <c r="Z9" s="164"/>
      <c r="AA9" s="163"/>
      <c r="AB9" s="163"/>
      <c r="AC9" s="163"/>
      <c r="AD9" s="163"/>
      <c r="AE9" s="163"/>
      <c r="AF9" s="163"/>
      <c r="AG9" s="163"/>
      <c r="AH9" s="163"/>
      <c r="AI9" s="163"/>
      <c r="AJ9" s="163"/>
      <c r="AK9" s="167"/>
      <c r="AL9" s="167"/>
      <c r="AM9" s="167"/>
      <c r="AN9" s="167"/>
      <c r="AO9" s="163"/>
      <c r="AP9" s="24"/>
      <c r="AQ9" s="164"/>
      <c r="AR9" s="164"/>
      <c r="AS9" s="164"/>
      <c r="AT9" s="164"/>
      <c r="AU9" s="163"/>
      <c r="AV9" s="165"/>
      <c r="AW9" s="164"/>
      <c r="AX9" s="164"/>
      <c r="AY9" s="163"/>
      <c r="AZ9" s="163"/>
      <c r="BA9" s="163"/>
      <c r="BB9" s="163"/>
      <c r="BC9" s="163"/>
      <c r="BD9" s="163"/>
      <c r="BE9" s="163"/>
      <c r="BF9" s="163"/>
      <c r="BG9" s="167"/>
      <c r="BH9" s="163"/>
    </row>
    <row r="10" spans="1:60" s="59" customFormat="1" ht="127.8" customHeight="1">
      <c r="A10" s="202"/>
      <c r="B10" s="164"/>
      <c r="C10" s="203"/>
      <c r="D10" s="205"/>
      <c r="E10" s="205"/>
      <c r="F10" s="204"/>
      <c r="G10" s="163"/>
      <c r="H10" s="163"/>
      <c r="I10" s="163"/>
      <c r="J10" s="163"/>
      <c r="K10" s="163"/>
      <c r="L10" s="163"/>
      <c r="M10" s="163"/>
      <c r="N10" s="163"/>
      <c r="O10" s="164"/>
      <c r="P10" s="164"/>
      <c r="Q10" s="163"/>
      <c r="R10" s="164"/>
      <c r="S10" s="164"/>
      <c r="T10" s="164"/>
      <c r="U10" s="163"/>
      <c r="V10" s="165"/>
      <c r="W10" s="163"/>
      <c r="X10" s="163"/>
      <c r="Y10" s="163"/>
      <c r="Z10" s="164"/>
      <c r="AA10" s="163"/>
      <c r="AB10" s="163"/>
      <c r="AC10" s="163"/>
      <c r="AD10" s="163"/>
      <c r="AE10" s="163"/>
      <c r="AF10" s="163"/>
      <c r="AG10" s="163"/>
      <c r="AH10" s="163"/>
      <c r="AI10" s="163"/>
      <c r="AJ10" s="163"/>
      <c r="AK10" s="168"/>
      <c r="AL10" s="168"/>
      <c r="AM10" s="168"/>
      <c r="AN10" s="168"/>
      <c r="AO10" s="163"/>
      <c r="AP10" s="24"/>
      <c r="AQ10" s="164"/>
      <c r="AR10" s="164"/>
      <c r="AS10" s="164"/>
      <c r="AT10" s="164"/>
      <c r="AU10" s="163"/>
      <c r="AV10" s="165"/>
      <c r="AW10" s="164"/>
      <c r="AX10" s="164"/>
      <c r="AY10" s="163"/>
      <c r="AZ10" s="163"/>
      <c r="BA10" s="163"/>
      <c r="BB10" s="163"/>
      <c r="BC10" s="163"/>
      <c r="BD10" s="163"/>
      <c r="BE10" s="163"/>
      <c r="BF10" s="163"/>
      <c r="BG10" s="168"/>
      <c r="BH10" s="163"/>
    </row>
    <row r="11" spans="1:60" s="24" customFormat="1" ht="69.75">
      <c r="A11" s="69" t="str">
        <f>TRIM(Data!AW11)</f>
        <v>9</v>
      </c>
      <c r="B11" s="23" t="str">
        <f>Data!AY11</f>
        <v>Living Door 1</v>
      </c>
      <c r="C11" s="70">
        <f>SUM(Data!BA11)</f>
        <v>876</v>
      </c>
      <c r="D11" s="71" t="str">
        <f t="array" ref="D11">bpLOOKUP(Data!$AV11,"DUAL",CustOrdOpt,6,FALSE)</f>
        <v>No</v>
      </c>
      <c r="E11" s="71" t="str">
        <f t="array" ref="E11">bpLOOKUP(Data!$AV11,"SIZE",CustOrdOpt,6,FALSE)</f>
        <v>Opening</v>
      </c>
      <c r="F11" s="72" t="str">
        <f t="array" ref="F11">bpLOOKUP(Data!$AV11,"SIDEBYSIDE",CustOrdOpt,6,FALSE)</f>
        <v>Side by Side(Reveal)</v>
      </c>
      <c r="G11" s="38">
        <f>IF(Data!AW11="","",IF(AND(E11="Cloth",AA11="None"),Data!BA11+30,IF(AND(E11="Cloth",AA11&lt;&gt;"None"),Data!BA11+30+VLOOKUP(CONCATENATE(AA11,J11,AR11),PelmetDeduct,2,FALSE),IF(AND(E11="Opening",F11="Butt"),Data!BA11-VLOOKUP(J11,FitDeduct,2,FALSE)-VLOOKUP(CONCATENATE(U11,J11),ButtDeduct,2,FALSE),IF(E11="Opening",Data!BA11-VLOOKUP(J11,FitDeduct,2,FALSE)-VLOOKUP(F11,SideDeduct,2,FALSE),IF(OR(E11="Making",Data!BA11,E11="Outside of Bracket to Outside of Bracket"),Data!BA11))))))</f>
        <v>874</v>
      </c>
      <c r="H11" s="38">
        <f>Data!BB11</f>
        <v>2110</v>
      </c>
      <c r="I11" s="23" t="str">
        <f>IF(Data!BE11="","",MID(Data!BE11,6,80))</f>
        <v>Texstyle Focus Blockout Polar</v>
      </c>
      <c r="J11" s="30" t="str">
        <f t="array" ref="J11">bpLOOKUP(Data!$AV11,"FIT",CustOrdOpt,6,FALSE)</f>
        <v>Reveal</v>
      </c>
      <c r="K11" s="30" t="str">
        <f t="array" ref="K11">bpLOOKUP(Data!$AV11,"FIXING",CustOrdOpt,6,FALSE)</f>
        <v>Timber</v>
      </c>
      <c r="L11" s="30" t="str">
        <f t="array" ref="L11">bpLOOKUP(Data!$AV11,"CONTROLS",CustOrdOpt,6,FALSE)</f>
        <v>Chain Winder</v>
      </c>
      <c r="M11" s="30" t="str">
        <f t="array" ref="M11">IF(Data!AV11="","",bpLOOKUP(Data!$AV11,"CONTROLSIDE",CustOrdOpt,6,FALSE))</f>
        <v>Left</v>
      </c>
      <c r="N11" s="30" t="str">
        <f t="array" ref="N11">IF(Data!AZ11="","",bpLOOKUP(Data!$AV11,"MOTOREX",CustOrdOpt,6,FALSE))</f>
        <v/>
      </c>
      <c r="O11" s="30" t="str">
        <f t="array" ref="O11">IF(Data!BA11="","",bpLOOKUP(Data!$AV11,"REVROLL",CustOrdOpt,6,FALSE))</f>
        <v>Front</v>
      </c>
      <c r="P11" s="30" t="str">
        <f t="array" ref="P11">bpLOOKUP(Data!$AV11,"CHAIN",CustOrdOpt,6,FALSE)</f>
        <v>Nickel Steel Chain</v>
      </c>
      <c r="Q11" s="30" t="str">
        <f t="array" ref="Q11">bpLOOKUP(Data!$AV11,"CHAINLENGTH",CustOrdOpt,6,FALSE)</f>
        <v>Default</v>
      </c>
      <c r="R11" s="30" t="str">
        <f t="array" ref="R11">bpLOOKUP(Data!$AV11,"CONTROLOPTION",CustOrdOpt,6,FALSE)</f>
        <v/>
      </c>
      <c r="S11" s="30" t="str">
        <f t="array" ref="S11">bpLOOKUP(Data!$AV11,"FINISH",CustOrdOpt,6,FALSE)</f>
        <v>D30 Bottom Rail with Noise Reducing Strip</v>
      </c>
      <c r="T11" s="30" t="str">
        <f t="array" ref="T11">bpLOOKUP(Data!$AV11,"RAILCOLOUR",CustOrdOpt,6,FALSE)</f>
        <v>Anodised Silver</v>
      </c>
      <c r="U11" s="30" t="str">
        <f t="array" ref="U11">bpLOOKUP(Data!$AV11,"BRACKET",CustOrdOpt,6,FALSE)</f>
        <v>Single</v>
      </c>
      <c r="V11" s="30" t="str">
        <f t="array" ref="V11">IF(U11="","",bpLOOKUP(Data!$AV11,"BRACKETCOLR",CustOrdOpt,6,FALSE))</f>
        <v>White</v>
      </c>
      <c r="W11" s="30" t="str">
        <f t="array" ref="W11">bpLOOKUP(Data!$AV11,"LINKED",CustOrdOpt,6,FALSE)</f>
        <v>N/A</v>
      </c>
      <c r="X11" s="30" t="str">
        <f t="array" ref="X11">bpLOOKUP(Data!$AV11,"LINKEDSIZE",CustOrdOpt,6,FALSE)</f>
        <v/>
      </c>
      <c r="Y11" s="30" t="str">
        <f>IF(Data!BA11="","",VLOOKUP(AR11&amp;M11&amp;W11,TubeLinkRef,7,FALSE))</f>
        <v>N/A</v>
      </c>
      <c r="Z11" s="30" t="str">
        <f t="array" ref="Z11">IF(bpLOOKUP(Data!$AV11,"BRAIDCOLOURS",CustOrdOpt,6,FALSE)="Match",VLOOKUP(Data!BN11&amp;" "&amp;Data!BO11&amp;" "&amp;Data!BP11,ColourMatch,6,FALSE),bpLOOKUP(Data!$AV11,"BRAIDCOLOURS",CustOrdOpt,6,FALSE))</f>
        <v/>
      </c>
      <c r="AA11" s="30" t="str">
        <f t="array" ref="AA11">bpLOOKUP(Data!$AV11,"PELTYPE",CustOrdOpt,6,FALSE)</f>
        <v>None</v>
      </c>
      <c r="AB11" s="30" t="str">
        <f t="array" ref="AB11">IF(bpLOOKUP(Data!$AV11,"PELCOLOUR",CustOrdOpt,6,FALSE)="Custom Powdercoat",bpLOOKUP(Data!$AV11,"PELCP",CustOrdOpt,6,FALSE),bpLOOKUP(Data!$AV11,"PELCOLOUR",CustOrdOpt,6,FALSE))</f>
        <v/>
      </c>
      <c r="AC11" s="30" t="str">
        <f t="array" ref="AC11">IF(Data!AV11="","",IF(bpLOOKUP(Data!$AV11,"ADDWIDTH",CustOrdOpt,6,FALSE)="","None",(bpLOOKUP(Data!$AV11,"ADDWIDTH",CustOrdOpt,6,FALSE))))</f>
        <v>None</v>
      </c>
      <c r="AD11" s="30" t="str">
        <f t="array" ref="AD11">bpLOOKUP(Data!$AV11,"PELSHAPE",CustOrdOpt,6,FALSE)</f>
        <v/>
      </c>
      <c r="AE11" s="30" t="str">
        <f t="array" ref="AE11">bpLOOKUP(Data!$AV11,"ITHGT",CustOrdOpt,6,FALSE)</f>
        <v/>
      </c>
      <c r="AF11" s="30" t="str">
        <f t="array" ref="AF11">bpLOOKUP(Data!$AV11,"PELRETURN",CustOrdOpt,6,FALSE)</f>
        <v/>
      </c>
      <c r="AG11" s="30" t="str">
        <f t="array" ref="AG11">bpLOOKUP(Data!$AV11,"PELRETURNSIZE",CustOrdOpt,6,FALSE)</f>
        <v/>
      </c>
      <c r="AH11" s="30" t="str">
        <f t="array" ref="AH11">bpLOOKUP(Data!$AV11,"HBSIZE",CustOrdOpt,6,FALSE)</f>
        <v/>
      </c>
      <c r="AI11" s="30" t="str">
        <f t="array" ref="AI11">bpLOOKUP(Data!$AV11,"PIPING",CustOrdOpt,6,FALSE)</f>
        <v/>
      </c>
      <c r="AJ11" s="30" t="str">
        <f t="array" ref="AJ11">bpLOOKUP(Data!$AV11,"INSTALLATION",CustOrdOpt,6,FALSE)</f>
        <v>Installation</v>
      </c>
      <c r="AK11" s="30" t="str">
        <f t="array" ref="AK11">bpLOOKUP(Data!$AV11,"HANGHEIGHT",CustOrdOpt,6,FALSE)</f>
        <v>2.1m-2.4m</v>
      </c>
      <c r="AL11" s="30" t="str">
        <f t="array" ref="AL11">bpLOOKUP(Data!$AV11,"INSTALLG",CustOrdOpt,6,FALSE)</f>
        <v>Occupied Home</v>
      </c>
      <c r="AM11" s="30" t="str">
        <f t="array" ref="AM11">bpLOOKUP(Data!$AV11,"TAKEDOWN",CustOrdOpt,6,FALSE)</f>
        <v>Yes</v>
      </c>
      <c r="AN11" s="30" t="str">
        <f t="array" ref="AN11">bpLOOKUP(Data!$AV11,"CHECKM",CustOrdOpt,6,FALSE)</f>
        <v>No</v>
      </c>
      <c r="AO11" s="30" t="str">
        <f t="array" ref="AO11">bpLOOKUP(Data!$AV11,"NOTES",CustOrdOpt,6,FALSE)</f>
        <v/>
      </c>
      <c r="AQ11" s="30" t="b">
        <f>IF(Data!AV11="","",VLOOKUP(I11,ColourMatch,2,FALSE))</f>
        <v>1</v>
      </c>
      <c r="AR11" s="30" t="str">
        <f t="array" ref="AR11">IF(Data!AV11="","",IF(AND(D11="Yes - Front Blind",L11="Chain Winder",(OR(bpLOOKUP(Data!$AV11,"BRACKET",CustOrdOpt,6,FALSE)="Slimline Dual Top Blind Front Roll LHS Control",bpLOOKUP(Data!$AV11,"BRACKET",CustOrdOpt,6,FALSE)="Slimline Dual Top Blind Front Roll RHS Control",bpLOOKUP(Data!$AV11,"BRACKET",CustOrdOpt,6,FALSE)="Slimline Dual Top Blind Back Roll LHS Control",bpLOOKUP(Data!$AV11,"BRACKET",CustOrdOpt,6,FALSE)="Slimline Dual Top Blind Back Roll RHS Control",bpLOOKUP(Data!$AV11,"BRACKET",CustOrdOpt,6,FALSE)="Slimline Dual Top Blind Front Roll LHS Control &amp; Dual Slimline Linked Top Blind Front Roll",bpLOOKUP(Data!$AV11,"BRACKET",CustOrdOpt,6,FALSE)="Slimline Dual Top Blind Front Roll RHS Control &amp; Dual Slimline Linked Top Blind Front Roll",bpLOOKUP(Data!$AV11,"BRACKET",CustOrdOpt,6,FALSE)="Slimline Dual Top Blind Back Roll LHS Control &amp; Dual Slimline Linked Top Blind Back Roll",bpLOOKUP(Data!$AV11,"BRACKET",CustOrdOpt,6,FALSE)="Slimline Dual Top Blind Back Roll RHS Control &amp; Dual Slimline Linked Top Blind Back Roll"))),"Chain Winder Fixed Guide",IF(bpLOOKUP(Data!$AV11,"CONTROLS",CustOrdOpt,6,FALSE)="Acmeda 12v Motor",(INDEX(Acmeda12vRGrid,MATCH(H11,Acmeda12vRDrop,1),MATCH(G11,Acmeda12vRWidth,1))),IF(bpLOOKUP(Data!$AV11,"CONTROLS",CustOrdOpt,6,FALSE)="Acmeda Remote Motor",(INDEX(Acmeda240vRGrid,MATCH(H11,Acmeda240vRDrop,1),MATCH(G11,Acmeda240vRWidth,1))),IF(bpLOOKUP(Data!$AV11,"CONTROLS",CustOrdOpt,6,FALSE)="Acmeda CBUS Motor",(INDEX(Acmeda240vCBUSRGrid,MATCH(H11,Acmeda240vCBUSRDrop,1),MATCH(G11,Acmeda240vCBUSRWidth,1))),IF(bpLOOKUP(Data!$AV11,"CONTROLS",CustOrdOpt,6,FALSE)="Acmeda DCRF 12v Motor",(INDEX(Acmeda12vDCRFRGrid,MATCH(H11,Acmeda12vDCRFRDrop,1),MATCH(G11,Acmeda12vDCRFRWidth,1))),IF(bpLOOKUP(Data!$AV11,"CONTROLS",CustOrdOpt,6,FALSE)="Spring",VLOOKUP(C11,Spring,2,TRUE),bpLOOKUP(Data!$AV11,"CONTROLS",CustOrdOpt,6,FALSE))))))))</f>
        <v>Chain Winder</v>
      </c>
      <c r="AS11" s="30" t="str">
        <f t="array" ref="AS11">IF(D11="Yes - Back Blind","Not Required",IF(AND(bpLOOKUP(Data!$AV11,"BRACKET",CustOrdOpt,6,FALSE)="Single",(OR(AR11="Acmeda E6 Motor",AR11="Acmeda M6 Motor"))),"Single Motor Brackets",IF(AND(bpLOOKUP(Data!$AV11,"BRACKET",CustOrdOpt,6,FALSE)="Single &amp; Single Linked",(OR(AR11="Acmeda E6 Motor",AR11="Acmeda M6 Motor"))),"Single Motor Brackets &amp; Single Linked",IF(AND(bpLOOKUP(Data!$AV11,"BRACKET",CustOrdOpt,6,FALSE)="Single with Covers",(OR(AR11="Acmeda E6 Motor",AR11="Acmeda M6 Motor"))),"Single Motor Brackets with Covers",IF(AND(bpLOOKUP(Data!$AV11,"BRACKET",CustOrdOpt,6,FALSE)="Single Extension",(OR(AR11="Acmeda E6 Motor",AR11="Acmeda M6 Motor"))),"Single Motor Extension Brackets",IF(AND(bpLOOKUP(Data!$AV11,"BRACKET",CustOrdOpt,6,FALSE)="Single Extension with Extension Covers",(OR(AR11="Acmeda E6 Motor",AR11="Acmeda M6 Motor"))),"Single Motor Extension Brackets with Extension Covers",bpLOOKUP(Data!$AV11,"BRACKET",CustOrdOpt,6,FALSE)))))))</f>
        <v>Single</v>
      </c>
      <c r="AT11" s="30" t="str">
        <f>IF(Data!AV11="","",VLOOKUP(AR11,ControlDeduct,4,FALSE))</f>
        <v>No</v>
      </c>
      <c r="AU11" s="30" t="str">
        <f>IF(Data!AV11="","",IF(AND(G11&gt;2429,VLOOKUP(CONCATENATE(AR11,M11,W11),TubeLinkRef,8,FALSE)="Check"),CONCATENATE("Yes - "&amp;VLOOKUP(M11&amp;"|"&amp;W11&amp;"|"&amp;O11,HelperSpring,2,FALSE)),IF(VLOOKUP(CONCATENATE(AR11,M11,W11),TubeLinkRef,8,FALSE)="Yes",CONCATENATE("Yes - "&amp;VLOOKUP(M11&amp;"|"&amp;W11&amp;"|"&amp;O11,HelperSpring,2,FALSE)),"No")))</f>
        <v>No</v>
      </c>
      <c r="AV11" s="30" t="str">
        <f>IF(Data!BB11="","",IF(U11="60mm Tube Single","60mm",IF(X11="Yes","43mm H/D",IF(U11="Linked 60mm","60mm",IF(AND(AR11="1.1nm 12v Acmeda Short Motor",G11&lt;560,G11&gt;544),"38mm",IF(G11&lt;500,VLOOKUP(CONCATENATE(AR11,M11,W11),TubeLinkRef,2,FALSE),IF(G11&lt;2100,VLOOKUP(CONCATENATE(AR11,M11,W11),TubeLinkRef,3,FALSE),IF(G11&lt;2729,VLOOKUP(CONCATENATE(AR11,M11,W11),TubeLinkRef,5,FALSE),IF(G11&gt;2728,VLOOKUP(CONCATENATE(AR11,M11,W11),TubeLinkRef,6,FALSE),"")))))))))</f>
        <v>38mm</v>
      </c>
      <c r="AW11" s="47">
        <f>IF(Data!BA11="","",G11-VLOOKUP(AR11,ControlDeduct,2,FALSE)-VLOOKUP(W11,Linkdeduct,2,FALSE)-VLOOKUP(CONCATENATE(AA11,J11,AR11),PelmetDeduct,2,FALSE))</f>
        <v>845</v>
      </c>
      <c r="AX11" s="47">
        <f>IF(OR(S11="Standard Scallop",S11="Plain Sewn-In Timber Lath"),AW11-9,AW11)</f>
        <v>845</v>
      </c>
      <c r="AY11" s="47">
        <f>IF(Data!AW11&gt;0,AW11-2,"")</f>
        <v>843</v>
      </c>
      <c r="AZ11" s="47">
        <f>IF(Data!BB11="","",H11+VLOOKUP(S11,BlindFinish,2,FALSE)+VLOOKUP(AV11,TubeDropAllowance,2,FALSE))</f>
        <v>2360</v>
      </c>
      <c r="BA11" s="89" t="str">
        <f>IF(OR(Data!AV11="",AA11="None"),"",G11+VLOOKUP(AC11,Pelmetadd,2,FALSE))</f>
        <v/>
      </c>
      <c r="BB11" s="30" t="str">
        <f>IF(Data!BA11="","",VLOOKUP(CONCATENATE(AA11,J11,AR11),PelmetDeduct,8,FALSE))</f>
        <v>N/A</v>
      </c>
      <c r="BC11" s="30" t="str">
        <f>IF(Data!BA11="","",VLOOKUP(CONCATENATE(AA11,J11,AR11),PelmetDeduct,6,FALSE))</f>
        <v>N/A</v>
      </c>
      <c r="BD11" s="30" t="str">
        <f>TRIM(IF(T11="Match",VLOOKUP(Data!BN11&amp;" "&amp;Data!BO11&amp;" "&amp;Data!BP11,ColourMatch,4,FALSE),IF(T11="Cream","Sandstone",T11)))</f>
        <v>Anodised Silver</v>
      </c>
      <c r="BE11" s="30" t="str">
        <f>TRIM(IF(V11="Cream","Birch White",IF(V11="Match",VLOOKUP(Data!BN11&amp;" "&amp;Data!BO11&amp;" "&amp;Data!BP11,ColourMatch,3,FALSE),V11)))</f>
        <v>White</v>
      </c>
      <c r="BF11" s="30" t="str">
        <f>TRIM(IF(P11="Metal Chain","Nickel Steel Chain",IF(P11="Cream Chain","Birch White Chain",IF(P11="Match",VLOOKUP(Data!BN11&amp;" "&amp;Data!BO11&amp;" "&amp;Data!BP11,ColourMatch,5,FALSE),IF(AND(P11="",A11&lt;&gt;""),"No Chain",P11)))))</f>
        <v>Nickel Steel Chain</v>
      </c>
      <c r="BG11" s="30" t="str">
        <f t="shared" si="0" ref="BG11:BG20">IF(L11&lt;&gt;"Acmeda 12v Motor","",IF(BE11="White","White",IF(BE11="Black","Black",VLOOKUP(I11,ColourMatch,8,FALSE))))</f>
        <v/>
      </c>
      <c r="BH11" s="30">
        <f t="array" ref="BH11">IF(Data!BA11="","",VLOOKUP(CONCATENATE(AA11,bpLOOKUP(Data!$AV11,"PELCOLOUR",CustOrdOpt,6,FALSE)),PelmetBuy,2,FALSE))</f>
        <v>0</v>
      </c>
    </row>
    <row r="12" spans="1:60" s="24" customFormat="1" ht="93">
      <c r="A12" s="69" t="str">
        <f>TRIM(Data!AW12)</f>
        <v>10</v>
      </c>
      <c r="B12" s="23" t="str">
        <f>Data!AY12</f>
        <v>Living Door 2</v>
      </c>
      <c r="C12" s="70">
        <f>SUM(Data!BA12)</f>
        <v>950</v>
      </c>
      <c r="D12" s="71" t="str">
        <f t="array" ref="D12">bpLOOKUP(Data!$AV12,"DUAL",CustOrdOpt,6,FALSE)</f>
        <v>No</v>
      </c>
      <c r="E12" s="71" t="str">
        <f t="array" ref="E12">bpLOOKUP(Data!$AV12,"SIZE",CustOrdOpt,6,FALSE)</f>
        <v>Opening</v>
      </c>
      <c r="F12" s="72" t="str">
        <f t="array" ref="F12">bpLOOKUP(Data!$AV12,"SIDEBYSIDE",CustOrdOpt,6,FALSE)</f>
        <v>No</v>
      </c>
      <c r="G12" s="38">
        <f>IF(Data!AW12="","",IF(AND(E12="Cloth",AA12="None"),Data!BA12+30,IF(AND(E12="Cloth",AA12&lt;&gt;"None"),Data!BA12+30+VLOOKUP(CONCATENATE(AA12,J12,AR12),PelmetDeduct,2,FALSE),IF(AND(E12="Opening",F12="Butt"),Data!BA12-VLOOKUP(J12,FitDeduct,2,FALSE)-VLOOKUP(CONCATENATE(U12,J12),ButtDeduct,2,FALSE),IF(E12="Opening",Data!BA12-VLOOKUP(J12,FitDeduct,2,FALSE)-VLOOKUP(F12,SideDeduct,2,FALSE),IF(OR(E12="Making",Data!BA12,E12="Outside of Bracket to Outside of Bracket"),Data!BA12))))))</f>
        <v>947</v>
      </c>
      <c r="H12" s="38">
        <f>Data!BB12</f>
        <v>2110</v>
      </c>
      <c r="I12" s="23" t="str">
        <f>IF(Data!BE12="","",MID(Data!BE12,6,80))</f>
        <v>Texstyle Focus Blockout Polar</v>
      </c>
      <c r="J12" s="30" t="str">
        <f t="array" ref="J12">bpLOOKUP(Data!$AV12,"FIT",CustOrdOpt,6,FALSE)</f>
        <v>Reveal</v>
      </c>
      <c r="K12" s="30" t="str">
        <f t="array" ref="K12">bpLOOKUP(Data!$AV12,"FIXING",CustOrdOpt,6,FALSE)</f>
        <v>Timber</v>
      </c>
      <c r="L12" s="30" t="str">
        <f t="array" ref="L12">bpLOOKUP(Data!$AV12,"CONTROLS",CustOrdOpt,6,FALSE)</f>
        <v>Chain Winder</v>
      </c>
      <c r="M12" s="30" t="str">
        <f t="array" ref="M12">IF(Data!AV12="","",bpLOOKUP(Data!$AV12,"CONTROLSIDE",CustOrdOpt,6,FALSE))</f>
        <v>Left</v>
      </c>
      <c r="N12" s="30" t="str">
        <f t="array" ref="N12">IF(Data!AZ12="","",bpLOOKUP(Data!$AV12,"MOTOREX",CustOrdOpt,6,FALSE))</f>
        <v/>
      </c>
      <c r="O12" s="30" t="str">
        <f t="array" ref="O12">IF(Data!BA12="","",bpLOOKUP(Data!$AV12,"REVROLL",CustOrdOpt,6,FALSE))</f>
        <v>Front</v>
      </c>
      <c r="P12" s="30" t="str">
        <f t="array" ref="P12">bpLOOKUP(Data!$AV12,"CHAIN",CustOrdOpt,6,FALSE)</f>
        <v>Black Chain</v>
      </c>
      <c r="Q12" s="30" t="str">
        <f t="array" ref="Q12">bpLOOKUP(Data!$AV12,"CHAINLENGTH",CustOrdOpt,6,FALSE)</f>
        <v>Default</v>
      </c>
      <c r="R12" s="30" t="str">
        <f t="array" ref="R12">bpLOOKUP(Data!$AV12,"CONTROLOPTION",CustOrdOpt,6,FALSE)</f>
        <v/>
      </c>
      <c r="S12" s="30" t="str">
        <f t="array" ref="S12">bpLOOKUP(Data!$AV12,"FINISH",CustOrdOpt,6,FALSE)</f>
        <v>D30 Bottom Rail with Noise Reducing Strip</v>
      </c>
      <c r="T12" s="30" t="str">
        <f t="array" ref="T12">bpLOOKUP(Data!$AV12,"RAILCOLOUR",CustOrdOpt,6,FALSE)</f>
        <v>Anodised Silver</v>
      </c>
      <c r="U12" s="30" t="str">
        <f t="array" ref="U12">bpLOOKUP(Data!$AV12,"BRACKET",CustOrdOpt,6,FALSE)</f>
        <v>Single &amp; Single Linked</v>
      </c>
      <c r="V12" s="30" t="str">
        <f t="array" ref="V12">IF(U12="","",bpLOOKUP(Data!$AV12,"BRACKETCOLR",CustOrdOpt,6,FALSE))</f>
        <v>White</v>
      </c>
      <c r="W12" s="30" t="str">
        <f t="array" ref="W12">bpLOOKUP(Data!$AV12,"LINKED",CustOrdOpt,6,FALSE)</f>
        <v>LHS Blind Independent Link</v>
      </c>
      <c r="X12" s="30" t="str">
        <f t="array" ref="X12">bpLOOKUP(Data!$AV12,"LINKEDSIZE",CustOrdOpt,6,FALSE)</f>
        <v>No</v>
      </c>
      <c r="Y12" s="30" t="str">
        <f>IF(Data!BA12="","",VLOOKUP(AR12&amp;M12&amp;W12,TubeLinkRef,7,FALSE))</f>
        <v>Chain Winder - Female with Insert</v>
      </c>
      <c r="Z12" s="30" t="str">
        <f t="array" ref="Z12">IF(bpLOOKUP(Data!$AV12,"BRAIDCOLOURS",CustOrdOpt,6,FALSE)="Match",VLOOKUP(Data!BN12&amp;" "&amp;Data!BO12&amp;" "&amp;Data!BP12,ColourMatch,6,FALSE),bpLOOKUP(Data!$AV12,"BRAIDCOLOURS",CustOrdOpt,6,FALSE))</f>
        <v/>
      </c>
      <c r="AA12" s="30" t="str">
        <f t="array" ref="AA12">bpLOOKUP(Data!$AV12,"PELTYPE",CustOrdOpt,6,FALSE)</f>
        <v>None</v>
      </c>
      <c r="AB12" s="30" t="str">
        <f t="array" ref="AB12">IF(bpLOOKUP(Data!$AV12,"PELCOLOUR",CustOrdOpt,6,FALSE)="Custom Powdercoat",bpLOOKUP(Data!$AV12,"PELCP",CustOrdOpt,6,FALSE),bpLOOKUP(Data!$AV12,"PELCOLOUR",CustOrdOpt,6,FALSE))</f>
        <v/>
      </c>
      <c r="AC12" s="30" t="str">
        <f t="array" ref="AC12">IF(Data!AV12="","",IF(bpLOOKUP(Data!$AV12,"ADDWIDTH",CustOrdOpt,6,FALSE)="","None",(bpLOOKUP(Data!$AV12,"ADDWIDTH",CustOrdOpt,6,FALSE))))</f>
        <v>None</v>
      </c>
      <c r="AD12" s="30" t="str">
        <f t="array" ref="AD12">bpLOOKUP(Data!$AV12,"PELSHAPE",CustOrdOpt,6,FALSE)</f>
        <v/>
      </c>
      <c r="AE12" s="30" t="str">
        <f t="array" ref="AE12">bpLOOKUP(Data!$AV12,"ITHGT",CustOrdOpt,6,FALSE)</f>
        <v/>
      </c>
      <c r="AF12" s="30" t="str">
        <f t="array" ref="AF12">bpLOOKUP(Data!$AV12,"PELRETURN",CustOrdOpt,6,FALSE)</f>
        <v/>
      </c>
      <c r="AG12" s="30" t="str">
        <f t="array" ref="AG12">bpLOOKUP(Data!$AV12,"PELRETURNSIZE",CustOrdOpt,6,FALSE)</f>
        <v/>
      </c>
      <c r="AH12" s="30" t="str">
        <f t="array" ref="AH12">bpLOOKUP(Data!$AV12,"HBSIZE",CustOrdOpt,6,FALSE)</f>
        <v/>
      </c>
      <c r="AI12" s="30" t="str">
        <f t="array" ref="AI12">bpLOOKUP(Data!$AV12,"PIPING",CustOrdOpt,6,FALSE)</f>
        <v/>
      </c>
      <c r="AJ12" s="30" t="str">
        <f t="array" ref="AJ12">bpLOOKUP(Data!$AV12,"INSTALLATION",CustOrdOpt,6,FALSE)</f>
        <v>Installation</v>
      </c>
      <c r="AK12" s="30" t="str">
        <f t="array" ref="AK12">bpLOOKUP(Data!$AV12,"HANGHEIGHT",CustOrdOpt,6,FALSE)</f>
        <v>2.1m-2.4m</v>
      </c>
      <c r="AL12" s="30" t="str">
        <f t="array" ref="AL12">bpLOOKUP(Data!$AV12,"INSTALLG",CustOrdOpt,6,FALSE)</f>
        <v>Occupied Home</v>
      </c>
      <c r="AM12" s="30" t="str">
        <f t="array" ref="AM12">bpLOOKUP(Data!$AV12,"TAKEDOWN",CustOrdOpt,6,FALSE)</f>
        <v>Yes</v>
      </c>
      <c r="AN12" s="30" t="str">
        <f t="array" ref="AN12">bpLOOKUP(Data!$AV12,"CHECKM",CustOrdOpt,6,FALSE)</f>
        <v>No</v>
      </c>
      <c r="AO12" s="30" t="str">
        <f t="array" ref="AO12">bpLOOKUP(Data!$AV12,"NOTES",CustOrdOpt,6,FALSE)</f>
        <v/>
      </c>
      <c r="AQ12" s="30" t="b">
        <f>IF(Data!AV12="","",VLOOKUP(I12,ColourMatch,2,FALSE))</f>
        <v>1</v>
      </c>
      <c r="AR12" s="30" t="str">
        <f t="array" ref="AR12">IF(Data!AV12="","",IF(AND(D12="Yes - Front Blind",L12="Chain Winder",(OR(bpLOOKUP(Data!$AV12,"BRACKET",CustOrdOpt,6,FALSE)="Slimline Dual Top Blind Front Roll LHS Control",bpLOOKUP(Data!$AV12,"BRACKET",CustOrdOpt,6,FALSE)="Slimline Dual Top Blind Front Roll RHS Control",bpLOOKUP(Data!$AV12,"BRACKET",CustOrdOpt,6,FALSE)="Slimline Dual Top Blind Back Roll LHS Control",bpLOOKUP(Data!$AV12,"BRACKET",CustOrdOpt,6,FALSE)="Slimline Dual Top Blind Back Roll RHS Control",bpLOOKUP(Data!$AV12,"BRACKET",CustOrdOpt,6,FALSE)="Slimline Dual Top Blind Front Roll LHS Control &amp; Dual Slimline Linked Top Blind Front Roll",bpLOOKUP(Data!$AV12,"BRACKET",CustOrdOpt,6,FALSE)="Slimline Dual Top Blind Front Roll RHS Control &amp; Dual Slimline Linked Top Blind Front Roll",bpLOOKUP(Data!$AV12,"BRACKET",CustOrdOpt,6,FALSE)="Slimline Dual Top Blind Back Roll LHS Control &amp; Dual Slimline Linked Top Blind Back Roll",bpLOOKUP(Data!$AV12,"BRACKET",CustOrdOpt,6,FALSE)="Slimline Dual Top Blind Back Roll RHS Control &amp; Dual Slimline Linked Top Blind Back Roll"))),"Chain Winder Fixed Guide",IF(bpLOOKUP(Data!$AV12,"CONTROLS",CustOrdOpt,6,FALSE)="Acmeda 12v Motor",(INDEX(Acmeda12vRGrid,MATCH(H12,Acmeda12vRDrop,1),MATCH(G12,Acmeda12vRWidth,1))),IF(bpLOOKUP(Data!$AV12,"CONTROLS",CustOrdOpt,6,FALSE)="Acmeda Remote Motor",(INDEX(Acmeda240vRGrid,MATCH(H12,Acmeda240vRDrop,1),MATCH(G12,Acmeda240vRWidth,1))),IF(bpLOOKUP(Data!$AV12,"CONTROLS",CustOrdOpt,6,FALSE)="Acmeda CBUS Motor",(INDEX(Acmeda240vCBUSRGrid,MATCH(H12,Acmeda240vCBUSRDrop,1),MATCH(G12,Acmeda240vCBUSRWidth,1))),IF(bpLOOKUP(Data!$AV12,"CONTROLS",CustOrdOpt,6,FALSE)="Acmeda DCRF 12v Motor",(INDEX(Acmeda12vDCRFRGrid,MATCH(H12,Acmeda12vDCRFRDrop,1),MATCH(G12,Acmeda12vDCRFRWidth,1))),IF(bpLOOKUP(Data!$AV12,"CONTROLS",CustOrdOpt,6,FALSE)="Spring",VLOOKUP(C12,Spring,2,TRUE),(bpLOOKUP(Data!$AV12,"CONTROLS",CustOrdOpt,6,FALSE)))))))))</f>
        <v>Chain Winder</v>
      </c>
      <c r="AS12" s="30" t="str">
        <f t="array" ref="AS12">IF(D12="Yes - Back Blind","Not Required",IF(AND(bpLOOKUP(Data!$AV12,"BRACKET",CustOrdOpt,6,FALSE)="Single",(OR(AR12="Acmeda E6 Motor",AR12="Acmeda M6 Motor"))),"Single Motor Brackets",IF(AND(bpLOOKUP(Data!$AV12,"BRACKET",CustOrdOpt,6,FALSE)="Single &amp; Single Linked",(OR(AR12="Acmeda E6 Motor",AR12="Acmeda M6 Motor"))),"Single Motor Brackets &amp; Single Linked",IF(AND(bpLOOKUP(Data!$AV12,"BRACKET",CustOrdOpt,6,FALSE)="Single with Covers",(OR(AR12="Acmeda E6 Motor",AR12="Acmeda M6 Motor"))),"Single Motor Brackets with Covers",IF(AND(bpLOOKUP(Data!$AV12,"BRACKET",CustOrdOpt,6,FALSE)="Single Extension",(OR(AR12="Acmeda E6 Motor",AR12="Acmeda M6 Motor"))),"Single Motor Extension Brackets",IF(AND(bpLOOKUP(Data!$AV12,"BRACKET",CustOrdOpt,6,FALSE)="Single Extension with Extension Covers",(OR(AR12="Acmeda E6 Motor",AR12="Acmeda M6 Motor"))),"Single Motor Extension Brackets with Extension Covers",bpLOOKUP(Data!$AV12,"BRACKET",CustOrdOpt,6,FALSE)))))))</f>
        <v>Single &amp; Single Linked</v>
      </c>
      <c r="AT12" s="30" t="str">
        <f>IF(Data!AV12="","",VLOOKUP(AR12,ControlDeduct,4,FALSE))</f>
        <v>No</v>
      </c>
      <c r="AU12" s="30" t="str">
        <f>IF(Data!AV12="","",IF(AND(G12&gt;2429,VLOOKUP(CONCATENATE(AR12,M12,W12),TubeLinkRef,8,FALSE)="Check"),CONCATENATE("Yes - "&amp;VLOOKUP(M12&amp;"|"&amp;W12&amp;"|"&amp;O12,HelperSpring,2,FALSE)),IF(VLOOKUP(CONCATENATE(AR12,M12,W12),TubeLinkRef,8,FALSE)="Yes",CONCATENATE("Yes - "&amp;VLOOKUP(M12&amp;"|"&amp;W12&amp;"|"&amp;O12,HelperSpring,2,FALSE)),"No")))</f>
        <v>No</v>
      </c>
      <c r="AV12" s="30" t="str">
        <f>IF(Data!BB12="","",IF(U12="60mm Tube Single","60mm",IF(X12="Yes","43mm H/D",IF(U12="Linked 60mm","60mm",IF(AND(AR12="1.1nm 12v Acmeda Short Motor",G12&lt;560,G12&gt;544),"38mm",IF(G12&lt;500,VLOOKUP(CONCATENATE(AR12,M12,W12),TubeLinkRef,2,FALSE),IF(G12&lt;2100,VLOOKUP(CONCATENATE(AR12,M12,W12),TubeLinkRef,3,FALSE),IF(G12&lt;2729,VLOOKUP(CONCATENATE(AR12,M12,W12),TubeLinkRef,5,FALSE),IF(G12&gt;2728,VLOOKUP(CONCATENATE(AR12,M12,W12),TubeLinkRef,6,FALSE),"")))))))))</f>
        <v>43mm</v>
      </c>
      <c r="AW12" s="47">
        <f>IF(Data!BA12="","",G12-VLOOKUP(AR12,ControlDeduct,2,FALSE)-VLOOKUP(W12,Linkdeduct,2,FALSE)-VLOOKUP(CONCATENATE(AA12,J12,AR12),PelmetDeduct,2,FALSE))</f>
        <v>921</v>
      </c>
      <c r="AX12" s="47">
        <f t="shared" si="1" ref="AX12:AX20">IF(S12="Plain Sewn-In Timber Lath",AW12-9,AW12)</f>
        <v>921</v>
      </c>
      <c r="AY12" s="47">
        <f>IF(Data!AW12&gt;0,AW12-2,"")</f>
        <v>919</v>
      </c>
      <c r="AZ12" s="47">
        <f>IF(Data!BB12="","",H12+VLOOKUP(S12,BlindFinish,2,FALSE)+VLOOKUP(AV12,TubeDropAllowance,2,FALSE))</f>
        <v>2360</v>
      </c>
      <c r="BA12" s="89" t="str">
        <f>IF(OR(Data!AV12="",AA12="None"),"",G12+VLOOKUP(AC12,Pelmetadd,2,FALSE))</f>
        <v/>
      </c>
      <c r="BB12" s="30" t="str">
        <f>IF(Data!BA12="","",VLOOKUP(CONCATENATE(AA12,J12,AR12),PelmetDeduct,8,FALSE))</f>
        <v>N/A</v>
      </c>
      <c r="BC12" s="30" t="str">
        <f>IF(Data!BA12="","",VLOOKUP(CONCATENATE(AA12,J12,AR12),PelmetDeduct,6,FALSE))</f>
        <v>N/A</v>
      </c>
      <c r="BD12" s="30" t="str">
        <f>TRIM(IF(T12="Match",VLOOKUP(Data!BN12&amp;" "&amp;Data!BO12&amp;" "&amp;Data!BP12,ColourMatch,4,FALSE),IF(T12="Cream","Sandstone",T12)))</f>
        <v>Anodised Silver</v>
      </c>
      <c r="BE12" s="30" t="str">
        <f>TRIM(IF(V12="Cream","Birch White",IF(V12="Match",VLOOKUP(Data!BN12&amp;" "&amp;Data!BO12&amp;" "&amp;Data!BP12,ColourMatch,3,FALSE),V12)))</f>
        <v>White</v>
      </c>
      <c r="BF12" s="30" t="str">
        <f>TRIM(IF(P12="Metal Chain","Nickel Steel Chain",IF(P12="Cream Chain","Birch White Chain",IF(P12="Match",VLOOKUP(Data!BN12&amp;" "&amp;Data!BO12&amp;" "&amp;Data!BP12,ColourMatch,5,FALSE),IF(AND(P12="",A12&lt;&gt;""),"No Chain",P12)))))</f>
        <v>Black Chain</v>
      </c>
      <c r="BG12" s="30" t="str">
        <f t="shared" si="0"/>
        <v/>
      </c>
      <c r="BH12" s="30">
        <f t="array" ref="BH12">IF(Data!BA12="","",VLOOKUP(CONCATENATE(AA12,bpLOOKUP(Data!$AV12,"PELCOLOUR",CustOrdOpt,6,FALSE)),PelmetBuy,2,FALSE))</f>
        <v>0</v>
      </c>
    </row>
    <row r="13" spans="1:60" s="24" customFormat="1" ht="69.75">
      <c r="A13" s="69" t="str">
        <f>TRIM(Data!AW13)</f>
        <v>11</v>
      </c>
      <c r="B13" s="23" t="str">
        <f>Data!AY13</f>
        <v>Living Door 3</v>
      </c>
      <c r="C13" s="70">
        <f>SUM(Data!BA13)</f>
        <v>874</v>
      </c>
      <c r="D13" s="71" t="str">
        <f t="array" ref="D13">bpLOOKUP(Data!$AV13,"DUAL",CustOrdOpt,6,FALSE)</f>
        <v>No</v>
      </c>
      <c r="E13" s="71" t="str">
        <f t="array" ref="E13">bpLOOKUP(Data!$AV13,"SIZE",CustOrdOpt,6,FALSE)</f>
        <v>Opening</v>
      </c>
      <c r="F13" s="72" t="str">
        <f t="array" ref="F13">bpLOOKUP(Data!$AV13,"SIDEBYSIDE",CustOrdOpt,6,FALSE)</f>
        <v>No</v>
      </c>
      <c r="G13" s="38">
        <f>IF(Data!AW13="","",IF(AND(E13="Cloth",AA13="None"),Data!BA13+30,IF(AND(E13="Cloth",AA13&lt;&gt;"None"),Data!BA13+30+VLOOKUP(CONCATENATE(AA13,J13,AR13),PelmetDeduct,2,FALSE),IF(AND(E13="Opening",F13="Butt"),Data!BA13-VLOOKUP(J13,FitDeduct,2,FALSE)-VLOOKUP(CONCATENATE(U13,J13),ButtDeduct,2,FALSE),IF(E13="Opening",Data!BA13-VLOOKUP(J13,FitDeduct,2,FALSE)-VLOOKUP(F13,SideDeduct,2,FALSE),IF(OR(E13="Making",Data!BA13,E13="Outside of Bracket to Outside of Bracket"),Data!BA13))))))</f>
        <v>871</v>
      </c>
      <c r="H13" s="38">
        <f>Data!BB13</f>
        <v>2110</v>
      </c>
      <c r="I13" s="23" t="str">
        <f>IF(Data!BE13="","",MID(Data!BE13,6,80))</f>
        <v>Texstyle Focus Blockout Polar</v>
      </c>
      <c r="J13" s="30" t="str">
        <f t="array" ref="J13">bpLOOKUP(Data!$AV13,"FIT",CustOrdOpt,6,FALSE)</f>
        <v>Reveal</v>
      </c>
      <c r="K13" s="30" t="str">
        <f t="array" ref="K13">bpLOOKUP(Data!$AV13,"FIXING",CustOrdOpt,6,FALSE)</f>
        <v>Timber</v>
      </c>
      <c r="L13" s="30" t="str">
        <f t="array" ref="L13">bpLOOKUP(Data!$AV13,"CONTROLS",CustOrdOpt,6,FALSE)</f>
        <v>Chain Winder</v>
      </c>
      <c r="M13" s="30" t="str">
        <f t="array" ref="M13">IF(Data!AV13="","",bpLOOKUP(Data!$AV13,"CONTROLSIDE",CustOrdOpt,6,FALSE))</f>
        <v>Right</v>
      </c>
      <c r="N13" s="30" t="str">
        <f t="array" ref="N13">IF(Data!AZ13="","",bpLOOKUP(Data!$AV13,"MOTOREX",CustOrdOpt,6,FALSE))</f>
        <v/>
      </c>
      <c r="O13" s="30" t="str">
        <f t="array" ref="O13">IF(Data!BA13="","",bpLOOKUP(Data!$AV13,"REVROLL",CustOrdOpt,6,FALSE))</f>
        <v>Front</v>
      </c>
      <c r="P13" s="30" t="str">
        <f t="array" ref="P13">bpLOOKUP(Data!$AV13,"CHAIN",CustOrdOpt,6,FALSE)</f>
        <v>Nickel Steel Chain</v>
      </c>
      <c r="Q13" s="30" t="str">
        <f t="array" ref="Q13">bpLOOKUP(Data!$AV13,"CHAINLENGTH",CustOrdOpt,6,FALSE)</f>
        <v>Default</v>
      </c>
      <c r="R13" s="30" t="str">
        <f t="array" ref="R13">bpLOOKUP(Data!$AV13,"CONTROLOPTION",CustOrdOpt,6,FALSE)</f>
        <v/>
      </c>
      <c r="S13" s="30" t="str">
        <f t="array" ref="S13">bpLOOKUP(Data!$AV13,"FINISH",CustOrdOpt,6,FALSE)</f>
        <v>D30 Bottom Rail with Noise Reducing Strip</v>
      </c>
      <c r="T13" s="30" t="str">
        <f t="array" ref="T13">bpLOOKUP(Data!$AV13,"RAILCOLOUR",CustOrdOpt,6,FALSE)</f>
        <v>Anodised Silver</v>
      </c>
      <c r="U13" s="30" t="str">
        <f t="array" ref="U13">bpLOOKUP(Data!$AV13,"BRACKET",CustOrdOpt,6,FALSE)</f>
        <v>Single</v>
      </c>
      <c r="V13" s="30" t="str">
        <f t="array" ref="V13">IF(U13="","",bpLOOKUP(Data!$AV13,"BRACKETCOLR",CustOrdOpt,6,FALSE))</f>
        <v>White</v>
      </c>
      <c r="W13" s="30" t="str">
        <f t="array" ref="W13">bpLOOKUP(Data!$AV13,"LINKED",CustOrdOpt,6,FALSE)</f>
        <v>RHS Blind Independent Link</v>
      </c>
      <c r="X13" s="30" t="str">
        <f t="array" ref="X13">bpLOOKUP(Data!$AV13,"LINKEDSIZE",CustOrdOpt,6,FALSE)</f>
        <v>No</v>
      </c>
      <c r="Y13" s="30" t="str">
        <f>IF(Data!BA13="","",VLOOKUP(AR13&amp;M13&amp;W13,TubeLinkRef,7,FALSE))</f>
        <v>Idle - Chain Winder</v>
      </c>
      <c r="Z13" s="30" t="str">
        <f t="array" ref="Z13">IF(bpLOOKUP(Data!$AV13,"BRAIDCOLOURS",CustOrdOpt,6,FALSE)="Match",VLOOKUP(Data!BN13&amp;" "&amp;Data!BO13&amp;" "&amp;Data!BP13,ColourMatch,6,FALSE),bpLOOKUP(Data!$AV13,"BRAIDCOLOURS",CustOrdOpt,6,FALSE))</f>
        <v/>
      </c>
      <c r="AA13" s="30" t="str">
        <f t="array" ref="AA13">bpLOOKUP(Data!$AV13,"PELTYPE",CustOrdOpt,6,FALSE)</f>
        <v>None</v>
      </c>
      <c r="AB13" s="30" t="str">
        <f t="array" ref="AB13">IF(bpLOOKUP(Data!$AV13,"PELCOLOUR",CustOrdOpt,6,FALSE)="Custom Powdercoat",bpLOOKUP(Data!$AV13,"PELCP",CustOrdOpt,6,FALSE),bpLOOKUP(Data!$AV13,"PELCOLOUR",CustOrdOpt,6,FALSE))</f>
        <v/>
      </c>
      <c r="AC13" s="30" t="str">
        <f t="array" ref="AC13">IF(Data!AV13="","",IF(bpLOOKUP(Data!$AV13,"ADDWIDTH",CustOrdOpt,6,FALSE)="","None",(bpLOOKUP(Data!$AV13,"ADDWIDTH",CustOrdOpt,6,FALSE))))</f>
        <v>None</v>
      </c>
      <c r="AD13" s="30" t="str">
        <f t="array" ref="AD13">bpLOOKUP(Data!$AV13,"PELSHAPE",CustOrdOpt,6,FALSE)</f>
        <v/>
      </c>
      <c r="AE13" s="30" t="str">
        <f t="array" ref="AE13">bpLOOKUP(Data!$AV13,"ITHGT",CustOrdOpt,6,FALSE)</f>
        <v/>
      </c>
      <c r="AF13" s="30" t="str">
        <f t="array" ref="AF13">bpLOOKUP(Data!$AV13,"PELRETURN",CustOrdOpt,6,FALSE)</f>
        <v/>
      </c>
      <c r="AG13" s="30" t="str">
        <f t="array" ref="AG13">bpLOOKUP(Data!$AV13,"PELRETURNSIZE",CustOrdOpt,6,FALSE)</f>
        <v/>
      </c>
      <c r="AH13" s="30" t="str">
        <f t="array" ref="AH13">bpLOOKUP(Data!$AV13,"HBSIZE",CustOrdOpt,6,FALSE)</f>
        <v/>
      </c>
      <c r="AI13" s="30" t="str">
        <f t="array" ref="AI13">bpLOOKUP(Data!$AV13,"PIPING",CustOrdOpt,6,FALSE)</f>
        <v/>
      </c>
      <c r="AJ13" s="30" t="str">
        <f t="array" ref="AJ13">bpLOOKUP(Data!$AV13,"INSTALLATION",CustOrdOpt,6,FALSE)</f>
        <v>Installation</v>
      </c>
      <c r="AK13" s="30" t="str">
        <f t="array" ref="AK13">bpLOOKUP(Data!$AV13,"HANGHEIGHT",CustOrdOpt,6,FALSE)</f>
        <v>2.1m-2.4m</v>
      </c>
      <c r="AL13" s="30" t="str">
        <f t="array" ref="AL13">bpLOOKUP(Data!$AV13,"INSTALLG",CustOrdOpt,6,FALSE)</f>
        <v>Occupied Home</v>
      </c>
      <c r="AM13" s="30" t="str">
        <f t="array" ref="AM13">bpLOOKUP(Data!$AV13,"TAKEDOWN",CustOrdOpt,6,FALSE)</f>
        <v>Yes</v>
      </c>
      <c r="AN13" s="30" t="str">
        <f t="array" ref="AN13">bpLOOKUP(Data!$AV13,"CHECKM",CustOrdOpt,6,FALSE)</f>
        <v>No</v>
      </c>
      <c r="AO13" s="30" t="str">
        <f t="array" ref="AO13">bpLOOKUP(Data!$AV13,"NOTES",CustOrdOpt,6,FALSE)</f>
        <v/>
      </c>
      <c r="AQ13" s="30" t="b">
        <f>IF(Data!AV13="","",VLOOKUP(I13,ColourMatch,2,FALSE))</f>
        <v>1</v>
      </c>
      <c r="AR13" s="30" t="str">
        <f t="array" ref="AR13">IF(Data!AV13="","",IF(AND(D13="Yes - Front Blind",L13="Chain Winder",(OR(bpLOOKUP(Data!$AV13,"BRACKET",CustOrdOpt,6,FALSE)="Slimline Dual Top Blind Front Roll LHS Control",bpLOOKUP(Data!$AV13,"BRACKET",CustOrdOpt,6,FALSE)="Slimline Dual Top Blind Front Roll RHS Control",bpLOOKUP(Data!$AV13,"BRACKET",CustOrdOpt,6,FALSE)="Slimline Dual Top Blind Back Roll LHS Control",bpLOOKUP(Data!$AV13,"BRACKET",CustOrdOpt,6,FALSE)="Slimline Dual Top Blind Back Roll RHS Control",bpLOOKUP(Data!$AV13,"BRACKET",CustOrdOpt,6,FALSE)="Slimline Dual Top Blind Front Roll LHS Control &amp; Dual Slimline Linked Top Blind Front Roll",bpLOOKUP(Data!$AV13,"BRACKET",CustOrdOpt,6,FALSE)="Slimline Dual Top Blind Front Roll RHS Control &amp; Dual Slimline Linked Top Blind Front Roll",bpLOOKUP(Data!$AV13,"BRACKET",CustOrdOpt,6,FALSE)="Slimline Dual Top Blind Back Roll LHS Control &amp; Dual Slimline Linked Top Blind Back Roll",bpLOOKUP(Data!$AV13,"BRACKET",CustOrdOpt,6,FALSE)="Slimline Dual Top Blind Back Roll RHS Control &amp; Dual Slimline Linked Top Blind Back Roll"))),"Chain Winder Fixed Guide",IF(bpLOOKUP(Data!$AV13,"CONTROLS",CustOrdOpt,6,FALSE)="Acmeda 12v Motor",(INDEX(Acmeda12vRGrid,MATCH(H13,Acmeda12vRDrop,1),MATCH(G13,Acmeda12vRWidth,1))),IF(bpLOOKUP(Data!$AV13,"CONTROLS",CustOrdOpt,6,FALSE)="Acmeda Remote Motor",(INDEX(Acmeda240vRGrid,MATCH(H13,Acmeda240vRDrop,1),MATCH(G13,Acmeda240vRWidth,1))),IF(bpLOOKUP(Data!$AV13,"CONTROLS",CustOrdOpt,6,FALSE)="Acmeda CBUS Motor",(INDEX(Acmeda240vCBUSRGrid,MATCH(H13,Acmeda240vCBUSRDrop,1),MATCH(G13,Acmeda240vCBUSRWidth,1))),IF(bpLOOKUP(Data!$AV13,"CONTROLS",CustOrdOpt,6,FALSE)="Acmeda DCRF 12v Motor",(INDEX(Acmeda12vDCRFRGrid,MATCH(H13,Acmeda12vDCRFRDrop,1),MATCH(G13,Acmeda12vDCRFRWidth,1))),IF(bpLOOKUP(Data!$AV13,"CONTROLS",CustOrdOpt,6,FALSE)="Spring",VLOOKUP(C13,Spring,2,TRUE),(bpLOOKUP(Data!$AV13,"CONTROLS",CustOrdOpt,6,FALSE)))))))))</f>
        <v>Chain Winder</v>
      </c>
      <c r="AS13" s="30" t="str">
        <f t="array" ref="AS13">IF(D13="Yes - Back Blind","Not Required",IF(AND(bpLOOKUP(Data!$AV13,"BRACKET",CustOrdOpt,6,FALSE)="Single",(OR(AR13="Acmeda E6 Motor",AR13="Acmeda M6 Motor"))),"Single Motor Brackets",IF(AND(bpLOOKUP(Data!$AV13,"BRACKET",CustOrdOpt,6,FALSE)="Single &amp; Single Linked",(OR(AR13="Acmeda E6 Motor",AR13="Acmeda M6 Motor"))),"Single Motor Brackets &amp; Single Linked",IF(AND(bpLOOKUP(Data!$AV13,"BRACKET",CustOrdOpt,6,FALSE)="Single with Covers",(OR(AR13="Acmeda E6 Motor",AR13="Acmeda M6 Motor"))),"Single Motor Brackets with Covers",IF(AND(bpLOOKUP(Data!$AV13,"BRACKET",CustOrdOpt,6,FALSE)="Single Extension",(OR(AR13="Acmeda E6 Motor",AR13="Acmeda M6 Motor"))),"Single Motor Extension Brackets",IF(AND(bpLOOKUP(Data!$AV13,"BRACKET",CustOrdOpt,6,FALSE)="Single Extension with Extension Covers",(OR(AR13="Acmeda E6 Motor",AR13="Acmeda M6 Motor"))),"Single Motor Extension Brackets with Extension Covers",bpLOOKUP(Data!$AV13,"BRACKET",CustOrdOpt,6,FALSE)))))))</f>
        <v>Single</v>
      </c>
      <c r="AT13" s="30" t="str">
        <f>IF(Data!AV13="","",VLOOKUP(AR13,ControlDeduct,4,FALSE))</f>
        <v>No</v>
      </c>
      <c r="AU13" s="30" t="str">
        <f>IF(Data!AV13="","",IF(AND(G13&gt;2429,VLOOKUP(CONCATENATE(AR13,M13,W13),TubeLinkRef,8,FALSE)="Check"),CONCATENATE("Yes - "&amp;VLOOKUP(M13&amp;"|"&amp;W13&amp;"|"&amp;O13,HelperSpring,2,FALSE)),IF(VLOOKUP(CONCATENATE(AR13,M13,W13),TubeLinkRef,8,FALSE)="Yes",CONCATENATE("Yes - "&amp;VLOOKUP(M13&amp;"|"&amp;W13&amp;"|"&amp;O13,HelperSpring,2,FALSE)),"No")))</f>
        <v>No</v>
      </c>
      <c r="AV13" s="30" t="str">
        <f>IF(Data!BB13="","",IF(U13="60mm Tube Single","60mm",IF(X13="Yes","43mm H/D",IF(U13="Linked 60mm","60mm",IF(AND(AR13="1.1nm 12v Acmeda Short Motor",G13&lt;560,G13&gt;544),"38mm",IF(G13&lt;500,VLOOKUP(CONCATENATE(AR13,M13,W13),TubeLinkRef,2,FALSE),IF(G13&lt;2100,VLOOKUP(CONCATENATE(AR13,M13,W13),TubeLinkRef,3,FALSE),IF(G13&lt;2729,VLOOKUP(CONCATENATE(AR13,M13,W13),TubeLinkRef,5,FALSE),IF(G13&gt;2728,VLOOKUP(CONCATENATE(AR13,M13,W13),TubeLinkRef,6,FALSE),"")))))))))</f>
        <v>43mm</v>
      </c>
      <c r="AW13" s="47">
        <f>IF(Data!BA13="","",G13-VLOOKUP(AR13,ControlDeduct,2,FALSE)-VLOOKUP(W13,Linkdeduct,2,FALSE)-VLOOKUP(CONCATENATE(AA13,J13,AR13),PelmetDeduct,2,FALSE))</f>
        <v>845</v>
      </c>
      <c r="AX13" s="47">
        <f t="shared" si="1"/>
        <v>845</v>
      </c>
      <c r="AY13" s="47">
        <f>IF(Data!AW13&gt;0,AW13-2,"")</f>
        <v>843</v>
      </c>
      <c r="AZ13" s="47">
        <f>IF(Data!BB13="","",H13+VLOOKUP(S13,BlindFinish,2,FALSE)+VLOOKUP(AV13,TubeDropAllowance,2,FALSE))</f>
        <v>2360</v>
      </c>
      <c r="BA13" s="89" t="str">
        <f>IF(OR(Data!AV13="",AA13="None"),"",G13+VLOOKUP(AC13,Pelmetadd,2,FALSE))</f>
        <v/>
      </c>
      <c r="BB13" s="30" t="str">
        <f>IF(Data!BA13="","",VLOOKUP(CONCATENATE(AA13,J13,AR13),PelmetDeduct,8,FALSE))</f>
        <v>N/A</v>
      </c>
      <c r="BC13" s="30" t="str">
        <f>IF(Data!BA13="","",VLOOKUP(CONCATENATE(AA13,J13,AR13),PelmetDeduct,6,FALSE))</f>
        <v>N/A</v>
      </c>
      <c r="BD13" s="30" t="str">
        <f>TRIM(IF(T13="Match",VLOOKUP(Data!BN13&amp;" "&amp;Data!BO13&amp;" "&amp;Data!BP13,ColourMatch,4,FALSE),IF(T13="Cream","Sandstone",T13)))</f>
        <v>Anodised Silver</v>
      </c>
      <c r="BE13" s="30" t="str">
        <f>TRIM(IF(V13="Cream","Birch White",IF(V13="Match",VLOOKUP(Data!BN13&amp;" "&amp;Data!BO13&amp;" "&amp;Data!BP13,ColourMatch,3,FALSE),V13)))</f>
        <v>White</v>
      </c>
      <c r="BF13" s="30" t="str">
        <f>TRIM(IF(P13="Metal Chain","Nickel Steel Chain",IF(P13="Cream Chain","Birch White Chain",IF(P13="Match",VLOOKUP(Data!BN13&amp;" "&amp;Data!BO13&amp;" "&amp;Data!BP13,ColourMatch,5,FALSE),IF(AND(P13="",A13&lt;&gt;""),"No Chain",P13)))))</f>
        <v>Nickel Steel Chain</v>
      </c>
      <c r="BG13" s="30" t="str">
        <f t="shared" si="0"/>
        <v/>
      </c>
      <c r="BH13" s="30">
        <f t="array" ref="BH13">IF(Data!BA13="","",VLOOKUP(CONCATENATE(AA13,bpLOOKUP(Data!$AV13,"PELCOLOUR",CustOrdOpt,6,FALSE)),PelmetBuy,2,FALSE))</f>
        <v>0</v>
      </c>
    </row>
    <row r="14" spans="1:60" s="24" customFormat="1" ht="69.75">
      <c r="A14" s="69" t="str">
        <f>TRIM(Data!AW14)</f>
        <v>12</v>
      </c>
      <c r="B14" s="23" t="str">
        <f>Data!AY14</f>
        <v>Study</v>
      </c>
      <c r="C14" s="70">
        <f>SUM(Data!BA14)</f>
        <v>2051</v>
      </c>
      <c r="D14" s="71" t="str">
        <f t="array" ref="D14">bpLOOKUP(Data!$AV14,"DUAL",CustOrdOpt,6,FALSE)</f>
        <v>No</v>
      </c>
      <c r="E14" s="71" t="str">
        <f t="array" ref="E14">bpLOOKUP(Data!$AV14,"SIZE",CustOrdOpt,6,FALSE)</f>
        <v>Opening</v>
      </c>
      <c r="F14" s="72" t="str">
        <f t="array" ref="F14">bpLOOKUP(Data!$AV14,"SIDEBYSIDE",CustOrdOpt,6,FALSE)</f>
        <v>No</v>
      </c>
      <c r="G14" s="38">
        <f>IF(Data!AW14="","",IF(AND(E14="Cloth",AA14="None"),Data!BA14+30,IF(AND(E14="Cloth",AA14&lt;&gt;"None"),Data!BA14+30+VLOOKUP(CONCATENATE(AA14,J14,AR14),PelmetDeduct,2,FALSE),IF(AND(E14="Opening",F14="Butt"),Data!BA14-VLOOKUP(J14,FitDeduct,2,FALSE)-VLOOKUP(CONCATENATE(U14,J14),ButtDeduct,2,FALSE),IF(E14="Opening",Data!BA14-VLOOKUP(J14,FitDeduct,2,FALSE)-VLOOKUP(F14,SideDeduct,2,FALSE),IF(OR(E14="Making",Data!BA14,E14="Outside of Bracket to Outside of Bracket"),Data!BA14))))))</f>
        <v>2048</v>
      </c>
      <c r="H14" s="38">
        <f>Data!BB14</f>
        <v>1460</v>
      </c>
      <c r="I14" s="23" t="str">
        <f>IF(Data!BE14="","",MID(Data!BE14,6,80))</f>
        <v>Texstyle Focus Blockout Polar</v>
      </c>
      <c r="J14" s="30" t="str">
        <f t="array" ref="J14">bpLOOKUP(Data!$AV14,"FIT",CustOrdOpt,6,FALSE)</f>
        <v>Reveal</v>
      </c>
      <c r="K14" s="30" t="str">
        <f t="array" ref="K14">bpLOOKUP(Data!$AV14,"FIXING",CustOrdOpt,6,FALSE)</f>
        <v>Timber</v>
      </c>
      <c r="L14" s="30" t="str">
        <f t="array" ref="L14">bpLOOKUP(Data!$AV14,"CONTROLS",CustOrdOpt,6,FALSE)</f>
        <v>Chain Winder</v>
      </c>
      <c r="M14" s="30" t="str">
        <f t="array" ref="M14">IF(Data!AV14="","",bpLOOKUP(Data!$AV14,"CONTROLSIDE",CustOrdOpt,6,FALSE))</f>
        <v>Right</v>
      </c>
      <c r="N14" s="30" t="str">
        <f t="array" ref="N14">IF(Data!AZ14="","",bpLOOKUP(Data!$AV14,"MOTOREX",CustOrdOpt,6,FALSE))</f>
        <v/>
      </c>
      <c r="O14" s="30" t="str">
        <f t="array" ref="O14">IF(Data!BA14="","",bpLOOKUP(Data!$AV14,"REVROLL",CustOrdOpt,6,FALSE))</f>
        <v>Back</v>
      </c>
      <c r="P14" s="30" t="str">
        <f t="array" ref="P14">bpLOOKUP(Data!$AV14,"CHAIN",CustOrdOpt,6,FALSE)</f>
        <v>Nickel Steel Chain</v>
      </c>
      <c r="Q14" s="30" t="str">
        <f t="array" ref="Q14">bpLOOKUP(Data!$AV14,"CHAINLENGTH",CustOrdOpt,6,FALSE)</f>
        <v>Default</v>
      </c>
      <c r="R14" s="30" t="str">
        <f t="array" ref="R14">bpLOOKUP(Data!$AV14,"CONTROLOPTION",CustOrdOpt,6,FALSE)</f>
        <v/>
      </c>
      <c r="S14" s="30" t="str">
        <f t="array" ref="S14">bpLOOKUP(Data!$AV14,"FINISH",CustOrdOpt,6,FALSE)</f>
        <v>D30 Bottom Rail with Noise Reducing Strip</v>
      </c>
      <c r="T14" s="30" t="str">
        <f t="array" ref="T14">bpLOOKUP(Data!$AV14,"RAILCOLOUR",CustOrdOpt,6,FALSE)</f>
        <v>Anodised Silver</v>
      </c>
      <c r="U14" s="30" t="str">
        <f t="array" ref="U14">bpLOOKUP(Data!$AV14,"BRACKET",CustOrdOpt,6,FALSE)</f>
        <v>Single</v>
      </c>
      <c r="V14" s="30" t="str">
        <f t="array" ref="V14">IF(U14="","",bpLOOKUP(Data!$AV14,"BRACKETCOLR",CustOrdOpt,6,FALSE))</f>
        <v>Match</v>
      </c>
      <c r="W14" s="30" t="str">
        <f t="array" ref="W14">bpLOOKUP(Data!$AV14,"LINKED",CustOrdOpt,6,FALSE)</f>
        <v>N/A</v>
      </c>
      <c r="X14" s="30" t="str">
        <f t="array" ref="X14">bpLOOKUP(Data!$AV14,"LINKEDSIZE",CustOrdOpt,6,FALSE)</f>
        <v/>
      </c>
      <c r="Y14" s="30" t="str">
        <f>IF(Data!BA14="","",VLOOKUP(AR14&amp;M14&amp;W14,TubeLinkRef,7,FALSE))</f>
        <v>N/A</v>
      </c>
      <c r="Z14" s="30" t="str">
        <f t="array" ref="Z14">IF(bpLOOKUP(Data!$AV14,"BRAIDCOLOURS",CustOrdOpt,6,FALSE)="Match",VLOOKUP(Data!BN14&amp;" "&amp;Data!BO14&amp;" "&amp;Data!BP14,ColourMatch,6,FALSE),bpLOOKUP(Data!$AV14,"BRAIDCOLOURS",CustOrdOpt,6,FALSE))</f>
        <v/>
      </c>
      <c r="AA14" s="30" t="str">
        <f t="array" ref="AA14">bpLOOKUP(Data!$AV14,"PELTYPE",CustOrdOpt,6,FALSE)</f>
        <v>None</v>
      </c>
      <c r="AB14" s="30" t="str">
        <f t="array" ref="AB14">IF(bpLOOKUP(Data!$AV14,"PELCOLOUR",CustOrdOpt,6,FALSE)="Custom Powdercoat",bpLOOKUP(Data!$AV14,"PELCP",CustOrdOpt,6,FALSE),bpLOOKUP(Data!$AV14,"PELCOLOUR",CustOrdOpt,6,FALSE))</f>
        <v/>
      </c>
      <c r="AC14" s="30" t="str">
        <f t="array" ref="AC14">IF(Data!AV14="","",IF(bpLOOKUP(Data!$AV14,"ADDWIDTH",CustOrdOpt,6,FALSE)="","None",(bpLOOKUP(Data!$AV14,"ADDWIDTH",CustOrdOpt,6,FALSE))))</f>
        <v>None</v>
      </c>
      <c r="AD14" s="30" t="str">
        <f t="array" ref="AD14">bpLOOKUP(Data!$AV14,"PELSHAPE",CustOrdOpt,6,FALSE)</f>
        <v/>
      </c>
      <c r="AE14" s="30" t="str">
        <f t="array" ref="AE14">bpLOOKUP(Data!$AV14,"ITHGT",CustOrdOpt,6,FALSE)</f>
        <v/>
      </c>
      <c r="AF14" s="30" t="str">
        <f t="array" ref="AF14">bpLOOKUP(Data!$AV14,"PELRETURN",CustOrdOpt,6,FALSE)</f>
        <v/>
      </c>
      <c r="AG14" s="30" t="str">
        <f t="array" ref="AG14">bpLOOKUP(Data!$AV14,"PELRETURNSIZE",CustOrdOpt,6,FALSE)</f>
        <v/>
      </c>
      <c r="AH14" s="30" t="str">
        <f t="array" ref="AH14">bpLOOKUP(Data!$AV14,"HBSIZE",CustOrdOpt,6,FALSE)</f>
        <v/>
      </c>
      <c r="AI14" s="30" t="str">
        <f t="array" ref="AI14">bpLOOKUP(Data!$AV14,"PIPING",CustOrdOpt,6,FALSE)</f>
        <v/>
      </c>
      <c r="AJ14" s="30" t="str">
        <f t="array" ref="AJ14">bpLOOKUP(Data!$AV14,"INSTALLATION",CustOrdOpt,6,FALSE)</f>
        <v>Installation</v>
      </c>
      <c r="AK14" s="30" t="str">
        <f t="array" ref="AK14">bpLOOKUP(Data!$AV14,"HANGHEIGHT",CustOrdOpt,6,FALSE)</f>
        <v>2.1m-2.4m</v>
      </c>
      <c r="AL14" s="30" t="str">
        <f t="array" ref="AL14">bpLOOKUP(Data!$AV14,"INSTALLG",CustOrdOpt,6,FALSE)</f>
        <v>Occupied Home</v>
      </c>
      <c r="AM14" s="30" t="str">
        <f t="array" ref="AM14">bpLOOKUP(Data!$AV14,"TAKEDOWN",CustOrdOpt,6,FALSE)</f>
        <v>Yes</v>
      </c>
      <c r="AN14" s="30" t="str">
        <f t="array" ref="AN14">bpLOOKUP(Data!$AV14,"CHECKM",CustOrdOpt,6,FALSE)</f>
        <v>No</v>
      </c>
      <c r="AO14" s="30" t="str">
        <f t="array" ref="AO14">bpLOOKUP(Data!$AV14,"NOTES",CustOrdOpt,6,FALSE)</f>
        <v/>
      </c>
      <c r="AQ14" s="30" t="b">
        <f>IF(Data!AV14="","",VLOOKUP(I14,ColourMatch,2,FALSE))</f>
        <v>1</v>
      </c>
      <c r="AR14" s="30" t="str">
        <f t="array" ref="AR14">IF(Data!AV14="","",IF(AND(D14="Yes - Front Blind",L14="Chain Winder",(OR(bpLOOKUP(Data!$AV14,"BRACKET",CustOrdOpt,6,FALSE)="Slimline Dual Top Blind Front Roll LHS Control",bpLOOKUP(Data!$AV14,"BRACKET",CustOrdOpt,6,FALSE)="Slimline Dual Top Blind Front Roll RHS Control",bpLOOKUP(Data!$AV14,"BRACKET",CustOrdOpt,6,FALSE)="Slimline Dual Top Blind Back Roll LHS Control",bpLOOKUP(Data!$AV14,"BRACKET",CustOrdOpt,6,FALSE)="Slimline Dual Top Blind Back Roll RHS Control",bpLOOKUP(Data!$AV14,"BRACKET",CustOrdOpt,6,FALSE)="Slimline Dual Top Blind Front Roll LHS Control &amp; Dual Slimline Linked Top Blind Front Roll",bpLOOKUP(Data!$AV14,"BRACKET",CustOrdOpt,6,FALSE)="Slimline Dual Top Blind Front Roll RHS Control &amp; Dual Slimline Linked Top Blind Front Roll",bpLOOKUP(Data!$AV14,"BRACKET",CustOrdOpt,6,FALSE)="Slimline Dual Top Blind Back Roll LHS Control &amp; Dual Slimline Linked Top Blind Back Roll",bpLOOKUP(Data!$AV14,"BRACKET",CustOrdOpt,6,FALSE)="Slimline Dual Top Blind Back Roll RHS Control &amp; Dual Slimline Linked Top Blind Back Roll"))),"Chain Winder Fixed Guide",IF(bpLOOKUP(Data!$AV14,"CONTROLS",CustOrdOpt,6,FALSE)="Acmeda 12v Motor",(INDEX(Acmeda12vRGrid,MATCH(H14,Acmeda12vRDrop,1),MATCH(G14,Acmeda12vRWidth,1))),IF(bpLOOKUP(Data!$AV14,"CONTROLS",CustOrdOpt,6,FALSE)="Acmeda Remote Motor",(INDEX(Acmeda240vRGrid,MATCH(H14,Acmeda240vRDrop,1),MATCH(G14,Acmeda240vRWidth,1))),IF(bpLOOKUP(Data!$AV14,"CONTROLS",CustOrdOpt,6,FALSE)="Acmeda CBUS Motor",(INDEX(Acmeda240vCBUSRGrid,MATCH(H14,Acmeda240vCBUSRDrop,1),MATCH(G14,Acmeda240vCBUSRWidth,1))),IF(bpLOOKUP(Data!$AV14,"CONTROLS",CustOrdOpt,6,FALSE)="Acmeda DCRF 12v Motor",(INDEX(Acmeda12vDCRFRGrid,MATCH(H14,Acmeda12vDCRFRDrop,1),MATCH(G14,Acmeda12vDCRFRWidth,1))),IF(bpLOOKUP(Data!$AV14,"CONTROLS",CustOrdOpt,6,FALSE)="Spring",VLOOKUP(C14,Spring,2,TRUE),(bpLOOKUP(Data!$AV14,"CONTROLS",CustOrdOpt,6,FALSE)))))))))</f>
        <v>Chain Winder</v>
      </c>
      <c r="AS14" s="30" t="str">
        <f t="array" ref="AS14">IF(D14="Yes - Back Blind","Not Required",IF(AND(bpLOOKUP(Data!$AV14,"BRACKET",CustOrdOpt,6,FALSE)="Single",(OR(AR14="Acmeda E6 Motor",AR14="Acmeda M6 Motor"))),"Single Motor Brackets",IF(AND(bpLOOKUP(Data!$AV14,"BRACKET",CustOrdOpt,6,FALSE)="Single &amp; Single Linked",(OR(AR14="Acmeda E6 Motor",AR14="Acmeda M6 Motor"))),"Single Motor Brackets &amp; Single Linked",IF(AND(bpLOOKUP(Data!$AV14,"BRACKET",CustOrdOpt,6,FALSE)="Single with Covers",(OR(AR14="Acmeda E6 Motor",AR14="Acmeda M6 Motor"))),"Single Motor Brackets with Covers",IF(AND(bpLOOKUP(Data!$AV14,"BRACKET",CustOrdOpt,6,FALSE)="Single Extension",(OR(AR14="Acmeda E6 Motor",AR14="Acmeda M6 Motor"))),"Single Motor Extension Brackets",IF(AND(bpLOOKUP(Data!$AV14,"BRACKET",CustOrdOpt,6,FALSE)="Single Extension with Extension Covers",(OR(AR14="Acmeda E6 Motor",AR14="Acmeda M6 Motor"))),"Single Motor Extension Brackets with Extension Covers",bpLOOKUP(Data!$AV14,"BRACKET",CustOrdOpt,6,FALSE)))))))</f>
        <v>Single</v>
      </c>
      <c r="AT14" s="30" t="str">
        <f>IF(Data!AV14="","",VLOOKUP(AR14,ControlDeduct,4,FALSE))</f>
        <v>No</v>
      </c>
      <c r="AU14" s="30" t="str">
        <f>IF(Data!AV14="","",IF(AND(G14&gt;2429,VLOOKUP(CONCATENATE(AR14,M14,W14),TubeLinkRef,8,FALSE)="Check"),CONCATENATE("Yes - "&amp;VLOOKUP(M14&amp;"|"&amp;W14&amp;"|"&amp;O14,HelperSpring,2,FALSE)),IF(VLOOKUP(CONCATENATE(AR14,M14,W14),TubeLinkRef,8,FALSE)="Yes",CONCATENATE("Yes - "&amp;VLOOKUP(M14&amp;"|"&amp;W14&amp;"|"&amp;O14,HelperSpring,2,FALSE)),"No")))</f>
        <v>No</v>
      </c>
      <c r="AV14" s="30" t="str">
        <f>IF(Data!BB14="","",IF(U14="60mm Tube Single","60mm",IF(X14="Yes","43mm H/D",IF(U14="Linked 60mm","60mm",IF(AND(AR14="1.1nm 12v Acmeda Short Motor",G14&lt;560,G14&gt;544),"38mm",IF(G14&lt;500,VLOOKUP(CONCATENATE(AR14,M14,W14),TubeLinkRef,2,FALSE),IF(G14&lt;2100,VLOOKUP(CONCATENATE(AR14,M14,W14),TubeLinkRef,3,FALSE),IF(G14&lt;2729,VLOOKUP(CONCATENATE(AR14,M14,W14),TubeLinkRef,5,FALSE),IF(G14&gt;2728,VLOOKUP(CONCATENATE(AR14,M14,W14),TubeLinkRef,6,FALSE),"")))))))))</f>
        <v>38mm</v>
      </c>
      <c r="AW14" s="47">
        <f>IF(Data!BA14="","",G14-VLOOKUP(AR14,ControlDeduct,2,FALSE)-VLOOKUP(W14,Linkdeduct,2,FALSE)-VLOOKUP(CONCATENATE(AA14,J14,AR14),PelmetDeduct,2,FALSE))</f>
        <v>2019</v>
      </c>
      <c r="AX14" s="47">
        <f t="shared" si="1"/>
        <v>2019</v>
      </c>
      <c r="AY14" s="47">
        <f>IF(Data!AW14&gt;0,AW14-2,"")</f>
        <v>2017</v>
      </c>
      <c r="AZ14" s="47">
        <f>IF(Data!BB14="","",H14+VLOOKUP(S14,BlindFinish,2,FALSE)+VLOOKUP(AV14,TubeDropAllowance,2,FALSE))</f>
        <v>1710</v>
      </c>
      <c r="BA14" s="89" t="str">
        <f>IF(OR(Data!AV14="",AA14="None"),"",G14+VLOOKUP(AC14,Pelmetadd,2,FALSE))</f>
        <v/>
      </c>
      <c r="BB14" s="30" t="str">
        <f>IF(Data!BA14="","",VLOOKUP(CONCATENATE(AA14,J14,AR14),PelmetDeduct,8,FALSE))</f>
        <v>N/A</v>
      </c>
      <c r="BC14" s="30" t="str">
        <f>IF(Data!BA14="","",VLOOKUP(CONCATENATE(AA14,J14,AR14),PelmetDeduct,6,FALSE))</f>
        <v>N/A</v>
      </c>
      <c r="BD14" s="30" t="str">
        <f>TRIM(IF(T14="Match",VLOOKUP(Data!BN14&amp;" "&amp;Data!BO14&amp;" "&amp;Data!BP14,ColourMatch,4,FALSE),IF(T14="Cream","Sandstone",T14)))</f>
        <v>Anodised Silver</v>
      </c>
      <c r="BE14" s="30" t="str">
        <f>TRIM(IF(V14="Cream","Birch White",IF(V14="Match",VLOOKUP(Data!BN14&amp;" "&amp;Data!BO14&amp;" "&amp;Data!BP14,ColourMatch,3,FALSE),V14)))</f>
        <v>White</v>
      </c>
      <c r="BF14" s="30" t="str">
        <f>TRIM(IF(P14="Metal Chain","Nickel Steel Chain",IF(P14="Cream Chain","Birch White Chain",IF(P14="Match",VLOOKUP(Data!BN14&amp;" "&amp;Data!BO14&amp;" "&amp;Data!BP14,ColourMatch,5,FALSE),IF(AND(P14="",A14&lt;&gt;""),"No Chain",P14)))))</f>
        <v>Nickel Steel Chain</v>
      </c>
      <c r="BG14" s="30" t="str">
        <f t="shared" si="0"/>
        <v/>
      </c>
      <c r="BH14" s="30">
        <f t="array" ref="BH14">IF(Data!BA14="","",VLOOKUP(CONCATENATE(AA14,bpLOOKUP(Data!$AV14,"PELCOLOUR",CustOrdOpt,6,FALSE)),PelmetBuy,2,FALSE))</f>
        <v>0</v>
      </c>
    </row>
    <row r="15" spans="1:60" s="24" customFormat="1" ht="60" customHeight="1">
      <c r="A15" s="69" t="str">
        <f>TRIM(Data!AW15)</f>
        <v/>
      </c>
      <c r="B15" s="23">
        <f>Data!AY15</f>
        <v>0</v>
      </c>
      <c r="C15" s="70">
        <f>SUM(Data!BA15)</f>
        <v>0</v>
      </c>
      <c r="D15" s="71" t="str">
        <f t="array" ref="D15">bpLOOKUP(Data!$AV15,"DUAL",CustOrdOpt,6,FALSE)</f>
        <v/>
      </c>
      <c r="E15" s="71" t="str">
        <f t="array" ref="E15">bpLOOKUP(Data!$AV15,"SIZE",CustOrdOpt,6,FALSE)</f>
        <v/>
      </c>
      <c r="F15" s="72" t="str">
        <f t="array" ref="F15">bpLOOKUP(Data!$AV15,"SIDEBYSIDE",CustOrdOpt,6,FALSE)</f>
        <v/>
      </c>
      <c r="G15" s="38" t="str">
        <f>IF(Data!AW15="","",IF(AND(E15="Cloth",AA15="None"),Data!BA15+30,IF(AND(E15="Cloth",AA15&lt;&gt;"None"),Data!BA15+30+VLOOKUP(CONCATENATE(AA15,J15,AR15),PelmetDeduct,2,FALSE),IF(AND(E15="Opening",F15="Butt"),Data!BA15-VLOOKUP(J15,FitDeduct,2,FALSE)-VLOOKUP(CONCATENATE(U15,J15),ButtDeduct,2,FALSE),IF(E15="Opening",Data!BA15-VLOOKUP(J15,FitDeduct,2,FALSE)-VLOOKUP(F15,SideDeduct,2,FALSE),IF(OR(E15="Making",Data!BA15,E15="Outside of Bracket to Outside of Bracket"),Data!BA15))))))</f>
        <v/>
      </c>
      <c r="H15" s="38">
        <f>Data!BB15</f>
        <v>0</v>
      </c>
      <c r="I15" s="23" t="str">
        <f>IF(Data!BE15="","",MID(Data!BE15,6,80))</f>
        <v/>
      </c>
      <c r="J15" s="30" t="str">
        <f t="array" ref="J15">bpLOOKUP(Data!$AV15,"FIT",CustOrdOpt,6,FALSE)</f>
        <v/>
      </c>
      <c r="K15" s="30" t="str">
        <f t="array" ref="K15">bpLOOKUP(Data!$AV15,"FIXING",CustOrdOpt,6,FALSE)</f>
        <v/>
      </c>
      <c r="L15" s="30" t="str">
        <f t="array" ref="L15">bpLOOKUP(Data!$AV15,"CONTROLS",CustOrdOpt,6,FALSE)</f>
        <v/>
      </c>
      <c r="M15" s="30" t="str">
        <f t="array" ref="M15">IF(Data!AV15="","",bpLOOKUP(Data!$AV15,"CONTROLSIDE",CustOrdOpt,6,FALSE))</f>
        <v/>
      </c>
      <c r="N15" s="30" t="str">
        <f t="array" ref="N15">IF(Data!AZ15="","",bpLOOKUP(Data!$AV15,"MOTOREX",CustOrdOpt,6,FALSE))</f>
        <v/>
      </c>
      <c r="O15" s="30" t="str">
        <f t="array" ref="O15">IF(Data!BA15="","",bpLOOKUP(Data!$AV15,"REVROLL",CustOrdOpt,6,FALSE))</f>
        <v/>
      </c>
      <c r="P15" s="30" t="str">
        <f t="array" ref="P15">bpLOOKUP(Data!$AV15,"CHAIN",CustOrdOpt,6,FALSE)</f>
        <v/>
      </c>
      <c r="Q15" s="30" t="str">
        <f t="array" ref="Q15">bpLOOKUP(Data!$AV15,"CHAINLENGTH",CustOrdOpt,6,FALSE)</f>
        <v/>
      </c>
      <c r="R15" s="30" t="str">
        <f t="array" ref="R15">bpLOOKUP(Data!$AV15,"CONTROLOPTION",CustOrdOpt,6,FALSE)</f>
        <v/>
      </c>
      <c r="S15" s="30" t="str">
        <f t="array" ref="S15">bpLOOKUP(Data!$AV15,"FINISH",CustOrdOpt,6,FALSE)</f>
        <v/>
      </c>
      <c r="T15" s="30" t="str">
        <f t="array" ref="T15">bpLOOKUP(Data!$AV15,"RAILCOLOUR",CustOrdOpt,6,FALSE)</f>
        <v/>
      </c>
      <c r="U15" s="30" t="str">
        <f t="array" ref="U15">bpLOOKUP(Data!$AV15,"BRACKET",CustOrdOpt,6,FALSE)</f>
        <v/>
      </c>
      <c r="V15" s="30" t="str">
        <f t="array" ref="V15">IF(U15="","",bpLOOKUP(Data!$AV15,"BRACKETCOLR",CustOrdOpt,6,FALSE))</f>
        <v/>
      </c>
      <c r="W15" s="30" t="str">
        <f t="array" ref="W15">bpLOOKUP(Data!$AV15,"LINKED",CustOrdOpt,6,FALSE)</f>
        <v/>
      </c>
      <c r="X15" s="30" t="str">
        <f t="array" ref="X15">bpLOOKUP(Data!$AV15,"LINKEDSIZE",CustOrdOpt,6,FALSE)</f>
        <v/>
      </c>
      <c r="Y15" s="30" t="str">
        <f>IF(Data!BA15="","",VLOOKUP(AR15&amp;M15&amp;W15,TubeLinkRef,7,FALSE))</f>
        <v/>
      </c>
      <c r="Z15" s="30" t="str">
        <f t="array" ref="Z15">IF(bpLOOKUP(Data!$AV15,"BRAIDCOLOURS",CustOrdOpt,6,FALSE)="Match",VLOOKUP(Data!BN15&amp;" "&amp;Data!BO15&amp;" "&amp;Data!BP15,ColourMatch,6,FALSE),bpLOOKUP(Data!$AV15,"BRAIDCOLOURS",CustOrdOpt,6,FALSE))</f>
        <v/>
      </c>
      <c r="AA15" s="30" t="str">
        <f t="array" ref="AA15">bpLOOKUP(Data!$AV15,"PELTYPE",CustOrdOpt,6,FALSE)</f>
        <v/>
      </c>
      <c r="AB15" s="30" t="str">
        <f t="array" ref="AB15">IF(bpLOOKUP(Data!$AV15,"PELCOLOUR",CustOrdOpt,6,FALSE)="Custom Powdercoat",bpLOOKUP(Data!$AV15,"PELCP",CustOrdOpt,6,FALSE),bpLOOKUP(Data!$AV15,"PELCOLOUR",CustOrdOpt,6,FALSE))</f>
        <v/>
      </c>
      <c r="AC15" s="30" t="str">
        <f t="array" ref="AC15">IF(Data!AV15="","",IF(bpLOOKUP(Data!$AV15,"ADDWIDTH",CustOrdOpt,6,FALSE)="","None",(bpLOOKUP(Data!$AV15,"ADDWIDTH",CustOrdOpt,6,FALSE))))</f>
        <v/>
      </c>
      <c r="AD15" s="30" t="str">
        <f t="array" ref="AD15">bpLOOKUP(Data!$AV15,"PELSHAPE",CustOrdOpt,6,FALSE)</f>
        <v/>
      </c>
      <c r="AE15" s="30" t="str">
        <f t="array" ref="AE15">bpLOOKUP(Data!$AV15,"ITHGT",CustOrdOpt,6,FALSE)</f>
        <v/>
      </c>
      <c r="AF15" s="30" t="str">
        <f t="array" ref="AF15">bpLOOKUP(Data!$AV15,"PELRETURN",CustOrdOpt,6,FALSE)</f>
        <v/>
      </c>
      <c r="AG15" s="30" t="str">
        <f t="array" ref="AG15">bpLOOKUP(Data!$AV15,"PELRETURNSIZE",CustOrdOpt,6,FALSE)</f>
        <v/>
      </c>
      <c r="AH15" s="30" t="str">
        <f t="array" ref="AH15">bpLOOKUP(Data!$AV15,"HBSIZE",CustOrdOpt,6,FALSE)</f>
        <v/>
      </c>
      <c r="AI15" s="30" t="str">
        <f t="array" ref="AI15">bpLOOKUP(Data!$AV15,"PIPING",CustOrdOpt,6,FALSE)</f>
        <v/>
      </c>
      <c r="AJ15" s="30" t="str">
        <f t="array" ref="AJ15">bpLOOKUP(Data!$AV15,"INSTALLATION",CustOrdOpt,6,FALSE)</f>
        <v/>
      </c>
      <c r="AK15" s="30" t="str">
        <f t="array" ref="AK15">bpLOOKUP(Data!$AV15,"HANGHEIGHT",CustOrdOpt,6,FALSE)</f>
        <v/>
      </c>
      <c r="AL15" s="30" t="str">
        <f t="array" ref="AL15">bpLOOKUP(Data!$AV15,"INSTALLG",CustOrdOpt,6,FALSE)</f>
        <v/>
      </c>
      <c r="AM15" s="30" t="str">
        <f t="array" ref="AM15">bpLOOKUP(Data!$AV15,"TAKEDOWN",CustOrdOpt,6,FALSE)</f>
        <v/>
      </c>
      <c r="AN15" s="30" t="str">
        <f t="array" ref="AN15">bpLOOKUP(Data!$AV15,"CHECKM",CustOrdOpt,6,FALSE)</f>
        <v/>
      </c>
      <c r="AO15" s="30" t="str">
        <f t="array" ref="AO15">bpLOOKUP(Data!$AV15,"NOTES",CustOrdOpt,6,FALSE)</f>
        <v/>
      </c>
      <c r="AQ15" s="30" t="str">
        <f>IF(Data!AV15="","",VLOOKUP(I15,ColourMatch,2,FALSE))</f>
        <v/>
      </c>
      <c r="AR15" s="30" t="str">
        <f t="array" ref="AR15">IF(Data!AV15="","",IF(AND(D15="Yes - Front Blind",L15="Chain Winder",(OR(bpLOOKUP(Data!$AV15,"BRACKET",CustOrdOpt,6,FALSE)="Slimline Dual Top Blind Front Roll LHS Control",bpLOOKUP(Data!$AV15,"BRACKET",CustOrdOpt,6,FALSE)="Slimline Dual Top Blind Front Roll RHS Control",bpLOOKUP(Data!$AV15,"BRACKET",CustOrdOpt,6,FALSE)="Slimline Dual Top Blind Back Roll LHS Control",bpLOOKUP(Data!$AV15,"BRACKET",CustOrdOpt,6,FALSE)="Slimline Dual Top Blind Back Roll RHS Control",bpLOOKUP(Data!$AV15,"BRACKET",CustOrdOpt,6,FALSE)="Slimline Dual Top Blind Front Roll LHS Control &amp; Dual Slimline Linked Top Blind Front Roll",bpLOOKUP(Data!$AV15,"BRACKET",CustOrdOpt,6,FALSE)="Slimline Dual Top Blind Front Roll RHS Control &amp; Dual Slimline Linked Top Blind Front Roll",bpLOOKUP(Data!$AV15,"BRACKET",CustOrdOpt,6,FALSE)="Slimline Dual Top Blind Back Roll LHS Control &amp; Dual Slimline Linked Top Blind Back Roll",bpLOOKUP(Data!$AV15,"BRACKET",CustOrdOpt,6,FALSE)="Slimline Dual Top Blind Back Roll RHS Control &amp; Dual Slimline Linked Top Blind Back Roll"))),"Chain Winder Fixed Guide",IF(bpLOOKUP(Data!$AV15,"CONTROLS",CustOrdOpt,6,FALSE)="Acmeda 12v Motor",(INDEX(Acmeda12vRGrid,MATCH(H15,Acmeda12vRDrop,1),MATCH(G15,Acmeda12vRWidth,1))),IF(bpLOOKUP(Data!$AV15,"CONTROLS",CustOrdOpt,6,FALSE)="Acmeda Remote Motor",(INDEX(Acmeda240vRGrid,MATCH(H15,Acmeda240vRDrop,1),MATCH(G15,Acmeda240vRWidth,1))),IF(bpLOOKUP(Data!$AV15,"CONTROLS",CustOrdOpt,6,FALSE)="Acmeda CBUS Motor",(INDEX(Acmeda240vCBUSRGrid,MATCH(H15,Acmeda240vCBUSRDrop,1),MATCH(G15,Acmeda240vCBUSRWidth,1))),IF(bpLOOKUP(Data!$AV15,"CONTROLS",CustOrdOpt,6,FALSE)="Acmeda DCRF 12v Motor",(INDEX(Acmeda12vDCRFRGrid,MATCH(H15,Acmeda12vDCRFRDrop,1),MATCH(G15,Acmeda12vDCRFRWidth,1))),IF(bpLOOKUP(Data!$AV15,"CONTROLS",CustOrdOpt,6,FALSE)="Spring",VLOOKUP(C15,Spring,2,TRUE),(bpLOOKUP(Data!$AV15,"CONTROLS",CustOrdOpt,6,FALSE)))))))))</f>
        <v/>
      </c>
      <c r="AS15" s="30" t="str">
        <f t="array" ref="AS15">IF(D15="Yes - Back Blind","Not Required",IF(AND(bpLOOKUP(Data!$AV15,"BRACKET",CustOrdOpt,6,FALSE)="Single",(OR(AR15="Acmeda E6 Motor",AR15="Acmeda M6 Motor"))),"Single Motor Brackets",IF(AND(bpLOOKUP(Data!$AV15,"BRACKET",CustOrdOpt,6,FALSE)="Single &amp; Single Linked",(OR(AR15="Acmeda E6 Motor",AR15="Acmeda M6 Motor"))),"Single Motor Brackets &amp; Single Linked",IF(AND(bpLOOKUP(Data!$AV15,"BRACKET",CustOrdOpt,6,FALSE)="Single with Covers",(OR(AR15="Acmeda E6 Motor",AR15="Acmeda M6 Motor"))),"Single Motor Brackets with Covers",IF(AND(bpLOOKUP(Data!$AV15,"BRACKET",CustOrdOpt,6,FALSE)="Single Extension",(OR(AR15="Acmeda E6 Motor",AR15="Acmeda M6 Motor"))),"Single Motor Extension Brackets",IF(AND(bpLOOKUP(Data!$AV15,"BRACKET",CustOrdOpt,6,FALSE)="Single Extension with Extension Covers",(OR(AR15="Acmeda E6 Motor",AR15="Acmeda M6 Motor"))),"Single Motor Extension Brackets with Extension Covers",bpLOOKUP(Data!$AV15,"BRACKET",CustOrdOpt,6,FALSE)))))))</f>
        <v/>
      </c>
      <c r="AT15" s="30" t="str">
        <f>IF(Data!AV15="","",VLOOKUP(AR15,ControlDeduct,4,FALSE))</f>
        <v/>
      </c>
      <c r="AU15" s="30" t="str">
        <f>IF(Data!AV15="","",IF(AND(G15&gt;2429,VLOOKUP(CONCATENATE(AR15,M15,W15),TubeLinkRef,8,FALSE)="Check"),CONCATENATE("Yes - "&amp;VLOOKUP(M15&amp;"|"&amp;W15&amp;"|"&amp;O15,HelperSpring,2,FALSE)),IF(VLOOKUP(CONCATENATE(AR15,M15,W15),TubeLinkRef,8,FALSE)="Yes",CONCATENATE("Yes - "&amp;VLOOKUP(M15&amp;"|"&amp;W15&amp;"|"&amp;O15,HelperSpring,2,FALSE)),"No")))</f>
        <v/>
      </c>
      <c r="AV15" s="30" t="str">
        <f>IF(Data!BB15="","",IF(U15="60mm Tube Single","60mm",IF(X15="Yes","43mm H/D",IF(U15="Linked 60mm","60mm",IF(AND(AR15="1.1nm 12v Acmeda Short Motor",G15&lt;560,G15&gt;544),"38mm",IF(G15&lt;500,VLOOKUP(CONCATENATE(AR15,M15,W15),TubeLinkRef,2,FALSE),IF(G15&lt;2100,VLOOKUP(CONCATENATE(AR15,M15,W15),TubeLinkRef,3,FALSE),IF(G15&lt;2729,VLOOKUP(CONCATENATE(AR15,M15,W15),TubeLinkRef,5,FALSE),IF(G15&gt;2728,VLOOKUP(CONCATENATE(AR15,M15,W15),TubeLinkRef,6,FALSE),"")))))))))</f>
        <v/>
      </c>
      <c r="AW15" s="47" t="str">
        <f>IF(Data!BA15="","",G15-VLOOKUP(AR15,ControlDeduct,2,FALSE)-VLOOKUP(W15,Linkdeduct,2,FALSE)-VLOOKUP(CONCATENATE(AA15,J15,AR15),PelmetDeduct,2,FALSE))</f>
        <v/>
      </c>
      <c r="AX15" s="47" t="str">
        <f t="shared" si="1"/>
        <v/>
      </c>
      <c r="AY15" s="47" t="str">
        <f>IF(Data!AW15&gt;0,AW15-2,"")</f>
        <v/>
      </c>
      <c r="AZ15" s="47" t="str">
        <f>IF(Data!BB15="","",H15+VLOOKUP(S15,BlindFinish,2,FALSE)+VLOOKUP(AV15,TubeDropAllowance,2,FALSE))</f>
        <v/>
      </c>
      <c r="BA15" s="89" t="str">
        <f>IF(OR(Data!AV15="",AA15="None"),"",G15+VLOOKUP(AC15,Pelmetadd,2,FALSE))</f>
        <v/>
      </c>
      <c r="BB15" s="30" t="str">
        <f>IF(Data!BA15="","",VLOOKUP(CONCATENATE(AA15,J15,AR15),PelmetDeduct,8,FALSE))</f>
        <v/>
      </c>
      <c r="BC15" s="30" t="str">
        <f>IF(Data!BA15="","",VLOOKUP(CONCATENATE(AA15,J15,AR15),PelmetDeduct,6,FALSE))</f>
        <v/>
      </c>
      <c r="BD15" s="30" t="str">
        <f>TRIM(IF(T15="Match",VLOOKUP(Data!BN15&amp;" "&amp;Data!BO15&amp;" "&amp;Data!BP15,ColourMatch,4,FALSE),IF(T15="Cream","Sandstone",T15)))</f>
        <v/>
      </c>
      <c r="BE15" s="30" t="str">
        <f>TRIM(IF(V15="Cream","Birch White",IF(V15="Match",VLOOKUP(Data!BN15&amp;" "&amp;Data!BO15&amp;" "&amp;Data!BP15,ColourMatch,3,FALSE),V15)))</f>
        <v/>
      </c>
      <c r="BF15" s="30" t="str">
        <f>TRIM(IF(P15="Metal Chain","Nickel Steel Chain",IF(P15="Cream Chain","Birch White Chain",IF(P15="Match",VLOOKUP(Data!BN15&amp;" "&amp;Data!BO15&amp;" "&amp;Data!BP15,ColourMatch,5,FALSE),IF(AND(P15="",A15&lt;&gt;""),"No Chain",P15)))))</f>
        <v/>
      </c>
      <c r="BG15" s="30" t="str">
        <f t="shared" si="0"/>
        <v/>
      </c>
      <c r="BH15" s="30" t="str">
        <f t="array" ref="BH15">IF(Data!BA15="","",VLOOKUP(CONCATENATE(AA15,bpLOOKUP(Data!$AV15,"PELCOLOUR",CustOrdOpt,6,FALSE)),PelmetBuy,2,FALSE))</f>
        <v/>
      </c>
    </row>
    <row r="16" spans="1:60" s="24" customFormat="1" ht="60" customHeight="1">
      <c r="A16" s="69" t="str">
        <f>TRIM(Data!AW16)</f>
        <v/>
      </c>
      <c r="B16" s="23">
        <f>Data!AY16</f>
        <v>0</v>
      </c>
      <c r="C16" s="70">
        <f>SUM(Data!BA16)</f>
        <v>0</v>
      </c>
      <c r="D16" s="71" t="str">
        <f t="array" ref="D16">bpLOOKUP(Data!$AV16,"DUAL",CustOrdOpt,6,FALSE)</f>
        <v/>
      </c>
      <c r="E16" s="71" t="str">
        <f t="array" ref="E16">bpLOOKUP(Data!$AV16,"SIZE",CustOrdOpt,6,FALSE)</f>
        <v/>
      </c>
      <c r="F16" s="72" t="str">
        <f t="array" ref="F16">bpLOOKUP(Data!$AV16,"SIDEBYSIDE",CustOrdOpt,6,FALSE)</f>
        <v/>
      </c>
      <c r="G16" s="38" t="str">
        <f>IF(Data!AW16="","",IF(AND(E16="Cloth",AA16="None"),Data!BA16+30,IF(AND(E16="Cloth",AA16&lt;&gt;"None"),Data!BA16+30+VLOOKUP(CONCATENATE(AA16,J16,AR16),PelmetDeduct,2,FALSE),IF(AND(E16="Opening",F16="Butt"),Data!BA16-VLOOKUP(J16,FitDeduct,2,FALSE)-VLOOKUP(CONCATENATE(U16,J16),ButtDeduct,2,FALSE),IF(E16="Opening",Data!BA16-VLOOKUP(J16,FitDeduct,2,FALSE)-VLOOKUP(F16,SideDeduct,2,FALSE),IF(OR(E16="Making",Data!BA16,E16="Outside of Bracket to Outside of Bracket"),Data!BA16))))))</f>
        <v/>
      </c>
      <c r="H16" s="38">
        <f>Data!BB16</f>
        <v>0</v>
      </c>
      <c r="I16" s="23" t="str">
        <f>IF(Data!BE16="","",MID(Data!BE16,6,80))</f>
        <v/>
      </c>
      <c r="J16" s="30" t="str">
        <f t="array" ref="J16">bpLOOKUP(Data!$AV16,"FIT",CustOrdOpt,6,FALSE)</f>
        <v/>
      </c>
      <c r="K16" s="30" t="str">
        <f t="array" ref="K16">bpLOOKUP(Data!$AV16,"FIXING",CustOrdOpt,6,FALSE)</f>
        <v/>
      </c>
      <c r="L16" s="30" t="str">
        <f t="array" ref="L16">bpLOOKUP(Data!$AV16,"CONTROLS",CustOrdOpt,6,FALSE)</f>
        <v/>
      </c>
      <c r="M16" s="30" t="str">
        <f t="array" ref="M16">IF(Data!AV16="","",bpLOOKUP(Data!$AV16,"CONTROLSIDE",CustOrdOpt,6,FALSE))</f>
        <v/>
      </c>
      <c r="N16" s="30" t="str">
        <f t="array" ref="N16">IF(Data!AZ16="","",bpLOOKUP(Data!$AV16,"MOTOREX",CustOrdOpt,6,FALSE))</f>
        <v/>
      </c>
      <c r="O16" s="30" t="str">
        <f t="array" ref="O16">IF(Data!BA16="","",bpLOOKUP(Data!$AV16,"REVROLL",CustOrdOpt,6,FALSE))</f>
        <v/>
      </c>
      <c r="P16" s="30" t="str">
        <f t="array" ref="P16">bpLOOKUP(Data!$AV16,"CHAIN",CustOrdOpt,6,FALSE)</f>
        <v/>
      </c>
      <c r="Q16" s="30" t="str">
        <f t="array" ref="Q16">bpLOOKUP(Data!$AV16,"CHAINLENGTH",CustOrdOpt,6,FALSE)</f>
        <v/>
      </c>
      <c r="R16" s="30" t="str">
        <f t="array" ref="R16">bpLOOKUP(Data!$AV16,"CONTROLOPTION",CustOrdOpt,6,FALSE)</f>
        <v/>
      </c>
      <c r="S16" s="30" t="str">
        <f t="array" ref="S16">bpLOOKUP(Data!$AV16,"FINISH",CustOrdOpt,6,FALSE)</f>
        <v/>
      </c>
      <c r="T16" s="30" t="str">
        <f t="array" ref="T16">bpLOOKUP(Data!$AV16,"RAILCOLOUR",CustOrdOpt,6,FALSE)</f>
        <v/>
      </c>
      <c r="U16" s="30" t="str">
        <f t="array" ref="U16">bpLOOKUP(Data!$AV16,"BRACKET",CustOrdOpt,6,FALSE)</f>
        <v/>
      </c>
      <c r="V16" s="30" t="str">
        <f t="array" ref="V16">IF(U16="","",bpLOOKUP(Data!$AV16,"BRACKETCOLR",CustOrdOpt,6,FALSE))</f>
        <v/>
      </c>
      <c r="W16" s="30" t="str">
        <f t="array" ref="W16">bpLOOKUP(Data!$AV16,"LINKED",CustOrdOpt,6,FALSE)</f>
        <v/>
      </c>
      <c r="X16" s="30" t="str">
        <f t="array" ref="X16">bpLOOKUP(Data!$AV16,"LINKEDSIZE",CustOrdOpt,6,FALSE)</f>
        <v/>
      </c>
      <c r="Y16" s="30" t="str">
        <f>IF(Data!BA16="","",VLOOKUP(AR16&amp;M16&amp;W16,TubeLinkRef,7,FALSE))</f>
        <v/>
      </c>
      <c r="Z16" s="30" t="str">
        <f t="array" ref="Z16">IF(bpLOOKUP(Data!$AV16,"BRAIDCOLOURS",CustOrdOpt,6,FALSE)="Match",VLOOKUP(Data!BN16&amp;" "&amp;Data!BO16&amp;" "&amp;Data!BP16,ColourMatch,6,FALSE),bpLOOKUP(Data!$AV16,"BRAIDCOLOURS",CustOrdOpt,6,FALSE))</f>
        <v/>
      </c>
      <c r="AA16" s="30" t="str">
        <f t="array" ref="AA16">bpLOOKUP(Data!$AV16,"PELTYPE",CustOrdOpt,6,FALSE)</f>
        <v/>
      </c>
      <c r="AB16" s="30" t="str">
        <f t="array" ref="AB16">IF(bpLOOKUP(Data!$AV16,"PELCOLOUR",CustOrdOpt,6,FALSE)="Custom Powdercoat",bpLOOKUP(Data!$AV16,"PELCP",CustOrdOpt,6,FALSE),bpLOOKUP(Data!$AV16,"PELCOLOUR",CustOrdOpt,6,FALSE))</f>
        <v/>
      </c>
      <c r="AC16" s="30" t="str">
        <f t="array" ref="AC16">IF(Data!AV16="","",IF(bpLOOKUP(Data!$AV16,"ADDWIDTH",CustOrdOpt,6,FALSE)="","None",(bpLOOKUP(Data!$AV16,"ADDWIDTH",CustOrdOpt,6,FALSE))))</f>
        <v/>
      </c>
      <c r="AD16" s="30" t="str">
        <f t="array" ref="AD16">bpLOOKUP(Data!$AV16,"PELSHAPE",CustOrdOpt,6,FALSE)</f>
        <v/>
      </c>
      <c r="AE16" s="30" t="str">
        <f t="array" ref="AE16">bpLOOKUP(Data!$AV16,"ITHGT",CustOrdOpt,6,FALSE)</f>
        <v/>
      </c>
      <c r="AF16" s="30" t="str">
        <f t="array" ref="AF16">bpLOOKUP(Data!$AV16,"PELRETURN",CustOrdOpt,6,FALSE)</f>
        <v/>
      </c>
      <c r="AG16" s="30" t="str">
        <f t="array" ref="AG16">bpLOOKUP(Data!$AV16,"PELRETURNSIZE",CustOrdOpt,6,FALSE)</f>
        <v/>
      </c>
      <c r="AH16" s="30" t="str">
        <f t="array" ref="AH16">bpLOOKUP(Data!$AV16,"HBSIZE",CustOrdOpt,6,FALSE)</f>
        <v/>
      </c>
      <c r="AI16" s="30" t="str">
        <f t="array" ref="AI16">bpLOOKUP(Data!$AV16,"PIPING",CustOrdOpt,6,FALSE)</f>
        <v/>
      </c>
      <c r="AJ16" s="30" t="str">
        <f t="array" ref="AJ16">bpLOOKUP(Data!$AV16,"INSTALLATION",CustOrdOpt,6,FALSE)</f>
        <v/>
      </c>
      <c r="AK16" s="30" t="str">
        <f t="array" ref="AK16">bpLOOKUP(Data!$AV16,"HANGHEIGHT",CustOrdOpt,6,FALSE)</f>
        <v/>
      </c>
      <c r="AL16" s="30" t="str">
        <f t="array" ref="AL16">bpLOOKUP(Data!$AV16,"INSTALLG",CustOrdOpt,6,FALSE)</f>
        <v/>
      </c>
      <c r="AM16" s="30" t="str">
        <f t="array" ref="AM16">bpLOOKUP(Data!$AV16,"TAKEDOWN",CustOrdOpt,6,FALSE)</f>
        <v/>
      </c>
      <c r="AN16" s="30" t="str">
        <f t="array" ref="AN16">bpLOOKUP(Data!$AV16,"CHECKM",CustOrdOpt,6,FALSE)</f>
        <v/>
      </c>
      <c r="AO16" s="30" t="str">
        <f t="array" ref="AO16">bpLOOKUP(Data!$AV16,"NOTES",CustOrdOpt,6,FALSE)</f>
        <v/>
      </c>
      <c r="AQ16" s="30" t="str">
        <f>IF(Data!AV16="","",VLOOKUP(I16,ColourMatch,2,FALSE))</f>
        <v/>
      </c>
      <c r="AR16" s="30" t="str">
        <f t="array" ref="AR16">IF(Data!AV16="","",IF(AND(D16="Yes - Front Blind",L16="Chain Winder",(OR(bpLOOKUP(Data!$AV16,"BRACKET",CustOrdOpt,6,FALSE)="Slimline Dual Top Blind Front Roll LHS Control",bpLOOKUP(Data!$AV16,"BRACKET",CustOrdOpt,6,FALSE)="Slimline Dual Top Blind Front Roll RHS Control",bpLOOKUP(Data!$AV16,"BRACKET",CustOrdOpt,6,FALSE)="Slimline Dual Top Blind Back Roll LHS Control",bpLOOKUP(Data!$AV16,"BRACKET",CustOrdOpt,6,FALSE)="Slimline Dual Top Blind Back Roll RHS Control",bpLOOKUP(Data!$AV16,"BRACKET",CustOrdOpt,6,FALSE)="Slimline Dual Top Blind Front Roll LHS Control &amp; Dual Slimline Linked Top Blind Front Roll",bpLOOKUP(Data!$AV16,"BRACKET",CustOrdOpt,6,FALSE)="Slimline Dual Top Blind Front Roll RHS Control &amp; Dual Slimline Linked Top Blind Front Roll",bpLOOKUP(Data!$AV16,"BRACKET",CustOrdOpt,6,FALSE)="Slimline Dual Top Blind Back Roll LHS Control &amp; Dual Slimline Linked Top Blind Back Roll",bpLOOKUP(Data!$AV16,"BRACKET",CustOrdOpt,6,FALSE)="Slimline Dual Top Blind Back Roll RHS Control &amp; Dual Slimline Linked Top Blind Back Roll"))),"Chain Winder Fixed Guide",IF(bpLOOKUP(Data!$AV16,"CONTROLS",CustOrdOpt,6,FALSE)="Acmeda 12v Motor",(INDEX(Acmeda12vRGrid,MATCH(H16,Acmeda12vRDrop,1),MATCH(G16,Acmeda12vRWidth,1))),IF(bpLOOKUP(Data!$AV16,"CONTROLS",CustOrdOpt,6,FALSE)="Acmeda Remote Motor",(INDEX(Acmeda240vRGrid,MATCH(H16,Acmeda240vRDrop,1),MATCH(G16,Acmeda240vRWidth,1))),IF(bpLOOKUP(Data!$AV16,"CONTROLS",CustOrdOpt,6,FALSE)="Acmeda CBUS Motor",(INDEX(Acmeda240vCBUSRGrid,MATCH(H16,Acmeda240vCBUSRDrop,1),MATCH(G16,Acmeda240vCBUSRWidth,1))),IF(bpLOOKUP(Data!$AV16,"CONTROLS",CustOrdOpt,6,FALSE)="Acmeda DCRF 12v Motor",(INDEX(Acmeda12vDCRFRGrid,MATCH(H16,Acmeda12vDCRFRDrop,1),MATCH(G16,Acmeda12vDCRFRWidth,1))),IF(bpLOOKUP(Data!$AV16,"CONTROLS",CustOrdOpt,6,FALSE)="Spring",VLOOKUP(C16,Spring,2,TRUE),(bpLOOKUP(Data!$AV16,"CONTROLS",CustOrdOpt,6,FALSE)))))))))</f>
        <v/>
      </c>
      <c r="AS16" s="30" t="str">
        <f t="array" ref="AS16">IF(D16="Yes - Back Blind","Not Required",IF(AND(bpLOOKUP(Data!$AV16,"BRACKET",CustOrdOpt,6,FALSE)="Single",(OR(AR16="Acmeda E6 Motor",AR16="Acmeda M6 Motor"))),"Single Motor Brackets",IF(AND(bpLOOKUP(Data!$AV16,"BRACKET",CustOrdOpt,6,FALSE)="Single &amp; Single Linked",(OR(AR16="Acmeda E6 Motor",AR16="Acmeda M6 Motor"))),"Single Motor Brackets &amp; Single Linked",IF(AND(bpLOOKUP(Data!$AV16,"BRACKET",CustOrdOpt,6,FALSE)="Single with Covers",(OR(AR16="Acmeda E6 Motor",AR16="Acmeda M6 Motor"))),"Single Motor Brackets with Covers",IF(AND(bpLOOKUP(Data!$AV16,"BRACKET",CustOrdOpt,6,FALSE)="Single Extension",(OR(AR16="Acmeda E6 Motor",AR16="Acmeda M6 Motor"))),"Single Motor Extension Brackets",IF(AND(bpLOOKUP(Data!$AV16,"BRACKET",CustOrdOpt,6,FALSE)="Single Extension with Extension Covers",(OR(AR16="Acmeda E6 Motor",AR16="Acmeda M6 Motor"))),"Single Motor Extension Brackets with Extension Covers",bpLOOKUP(Data!$AV16,"BRACKET",CustOrdOpt,6,FALSE)))))))</f>
        <v/>
      </c>
      <c r="AT16" s="30" t="str">
        <f>IF(Data!AV16="","",VLOOKUP(AR16,ControlDeduct,4,FALSE))</f>
        <v/>
      </c>
      <c r="AU16" s="30" t="str">
        <f>IF(Data!AV16="","",IF(AND(G16&gt;2429,VLOOKUP(CONCATENATE(AR16,M16,W16),TubeLinkRef,8,FALSE)="Check"),CONCATENATE("Yes - "&amp;VLOOKUP(M16&amp;"|"&amp;W16&amp;"|"&amp;O16,HelperSpring,2,FALSE)),IF(VLOOKUP(CONCATENATE(AR16,M16,W16),TubeLinkRef,8,FALSE)="Yes",CONCATENATE("Yes - "&amp;VLOOKUP(M16&amp;"|"&amp;W16&amp;"|"&amp;O16,HelperSpring,2,FALSE)),"No")))</f>
        <v/>
      </c>
      <c r="AV16" s="30" t="str">
        <f>IF(Data!BB16="","",IF(U16="60mm Tube Single","60mm",IF(X16="Yes","43mm H/D",IF(U16="Linked 60mm","60mm",IF(AND(AR16="1.1nm 12v Acmeda Short Motor",G16&lt;560,G16&gt;544),"38mm",IF(G16&lt;500,VLOOKUP(CONCATENATE(AR16,M16,W16),TubeLinkRef,2,FALSE),IF(G16&lt;2100,VLOOKUP(CONCATENATE(AR16,M16,W16),TubeLinkRef,3,FALSE),IF(G16&lt;2729,VLOOKUP(CONCATENATE(AR16,M16,W16),TubeLinkRef,5,FALSE),IF(G16&gt;2728,VLOOKUP(CONCATENATE(AR16,M16,W16),TubeLinkRef,6,FALSE),"")))))))))</f>
        <v/>
      </c>
      <c r="AW16" s="47" t="str">
        <f>IF(Data!BA16="","",G16-VLOOKUP(AR16,ControlDeduct,2,FALSE)-VLOOKUP(W16,Linkdeduct,2,FALSE)-VLOOKUP(CONCATENATE(AA16,J16,AR16),PelmetDeduct,2,FALSE))</f>
        <v/>
      </c>
      <c r="AX16" s="47" t="str">
        <f t="shared" si="1"/>
        <v/>
      </c>
      <c r="AY16" s="47" t="str">
        <f>IF(Data!AW16&gt;0,AW16-2,"")</f>
        <v/>
      </c>
      <c r="AZ16" s="47" t="str">
        <f>IF(Data!BB16="","",H16+VLOOKUP(S16,BlindFinish,2,FALSE)+VLOOKUP(AV16,TubeDropAllowance,2,FALSE))</f>
        <v/>
      </c>
      <c r="BA16" s="89" t="str">
        <f>IF(OR(Data!AV16="",AA16="None"),"",G16+VLOOKUP(AC16,Pelmetadd,2,FALSE))</f>
        <v/>
      </c>
      <c r="BB16" s="30" t="str">
        <f>IF(Data!BA16="","",VLOOKUP(CONCATENATE(AA16,J16,AR16),PelmetDeduct,8,FALSE))</f>
        <v/>
      </c>
      <c r="BC16" s="30" t="str">
        <f>IF(Data!BA16="","",VLOOKUP(CONCATENATE(AA16,J16,AR16),PelmetDeduct,6,FALSE))</f>
        <v/>
      </c>
      <c r="BD16" s="30" t="str">
        <f>TRIM(IF(T16="Match",VLOOKUP(Data!BN16&amp;" "&amp;Data!BO16&amp;" "&amp;Data!BP16,ColourMatch,4,FALSE),IF(T16="Cream","Sandstone",T16)))</f>
        <v/>
      </c>
      <c r="BE16" s="30" t="str">
        <f>TRIM(IF(V16="Cream","Birch White",IF(V16="Match",VLOOKUP(Data!BN16&amp;" "&amp;Data!BO16&amp;" "&amp;Data!BP16,ColourMatch,3,FALSE),V16)))</f>
        <v/>
      </c>
      <c r="BF16" s="30" t="str">
        <f>TRIM(IF(P16="Metal Chain","Nickel Steel Chain",IF(P16="Cream Chain","Birch White Chain",IF(P16="Match",VLOOKUP(Data!BN16&amp;" "&amp;Data!BO16&amp;" "&amp;Data!BP16,ColourMatch,5,FALSE),IF(AND(P16="",A16&lt;&gt;""),"No Chain",P16)))))</f>
        <v/>
      </c>
      <c r="BG16" s="30" t="str">
        <f t="shared" si="0"/>
        <v/>
      </c>
      <c r="BH16" s="30" t="str">
        <f t="array" ref="BH16">IF(Data!BA16="","",VLOOKUP(CONCATENATE(AA16,bpLOOKUP(Data!$AV16,"PELCOLOUR",CustOrdOpt,6,FALSE)),PelmetBuy,2,FALSE))</f>
        <v/>
      </c>
    </row>
    <row r="17" spans="1:60" s="24" customFormat="1" ht="60" customHeight="1">
      <c r="A17" s="69" t="str">
        <f>TRIM(Data!AW17)</f>
        <v/>
      </c>
      <c r="B17" s="23">
        <f>Data!AY17</f>
        <v>0</v>
      </c>
      <c r="C17" s="70">
        <f>SUM(Data!BA17)</f>
        <v>0</v>
      </c>
      <c r="D17" s="71" t="str">
        <f t="array" ref="D17">bpLOOKUP(Data!$AV17,"DUAL",CustOrdOpt,6,FALSE)</f>
        <v/>
      </c>
      <c r="E17" s="71" t="str">
        <f t="array" ref="E17">bpLOOKUP(Data!$AV17,"SIZE",CustOrdOpt,6,FALSE)</f>
        <v/>
      </c>
      <c r="F17" s="72" t="str">
        <f t="array" ref="F17">bpLOOKUP(Data!$AV17,"SIDEBYSIDE",CustOrdOpt,6,FALSE)</f>
        <v/>
      </c>
      <c r="G17" s="38" t="str">
        <f>IF(Data!AW17="","",IF(AND(E17="Cloth",AA17="None"),Data!BA17+30,IF(AND(E17="Cloth",AA17&lt;&gt;"None"),Data!BA17+30+VLOOKUP(CONCATENATE(AA17,J17,AR17),PelmetDeduct,2,FALSE),IF(AND(E17="Opening",F17="Butt"),Data!BA17-VLOOKUP(J17,FitDeduct,2,FALSE)-VLOOKUP(CONCATENATE(U17,J17),ButtDeduct,2,FALSE),IF(E17="Opening",Data!BA17-VLOOKUP(J17,FitDeduct,2,FALSE)-VLOOKUP(F17,SideDeduct,2,FALSE),IF(OR(E17="Making",Data!BA17,E17="Outside of Bracket to Outside of Bracket"),Data!BA17))))))</f>
        <v/>
      </c>
      <c r="H17" s="38">
        <f>Data!BB17</f>
        <v>0</v>
      </c>
      <c r="I17" s="23" t="str">
        <f>IF(Data!BE17="","",MID(Data!BE17,6,80))</f>
        <v/>
      </c>
      <c r="J17" s="30" t="str">
        <f t="array" ref="J17">bpLOOKUP(Data!$AV17,"FIT",CustOrdOpt,6,FALSE)</f>
        <v/>
      </c>
      <c r="K17" s="30" t="str">
        <f t="array" ref="K17">bpLOOKUP(Data!$AV17,"FIXING",CustOrdOpt,6,FALSE)</f>
        <v/>
      </c>
      <c r="L17" s="30" t="str">
        <f t="array" ref="L17">bpLOOKUP(Data!$AV17,"CONTROLS",CustOrdOpt,6,FALSE)</f>
        <v/>
      </c>
      <c r="M17" s="30" t="str">
        <f t="array" ref="M17">IF(Data!AV17="","",bpLOOKUP(Data!$AV17,"CONTROLSIDE",CustOrdOpt,6,FALSE))</f>
        <v/>
      </c>
      <c r="N17" s="30" t="str">
        <f t="array" ref="N17">IF(Data!AZ17="","",bpLOOKUP(Data!$AV17,"MOTOREX",CustOrdOpt,6,FALSE))</f>
        <v/>
      </c>
      <c r="O17" s="30" t="str">
        <f t="array" ref="O17">IF(Data!BA17="","",bpLOOKUP(Data!$AV17,"REVROLL",CustOrdOpt,6,FALSE))</f>
        <v/>
      </c>
      <c r="P17" s="30" t="str">
        <f t="array" ref="P17">bpLOOKUP(Data!$AV17,"CHAIN",CustOrdOpt,6,FALSE)</f>
        <v/>
      </c>
      <c r="Q17" s="30" t="str">
        <f t="array" ref="Q17">bpLOOKUP(Data!$AV17,"CHAINLENGTH",CustOrdOpt,6,FALSE)</f>
        <v/>
      </c>
      <c r="R17" s="30" t="str">
        <f t="array" ref="R17">bpLOOKUP(Data!$AV17,"CONTROLOPTION",CustOrdOpt,6,FALSE)</f>
        <v/>
      </c>
      <c r="S17" s="30" t="str">
        <f t="array" ref="S17">bpLOOKUP(Data!$AV17,"FINISH",CustOrdOpt,6,FALSE)</f>
        <v/>
      </c>
      <c r="T17" s="30" t="str">
        <f t="array" ref="T17">bpLOOKUP(Data!$AV17,"RAILCOLOUR",CustOrdOpt,6,FALSE)</f>
        <v/>
      </c>
      <c r="U17" s="30" t="str">
        <f t="array" ref="U17">bpLOOKUP(Data!$AV17,"BRACKET",CustOrdOpt,6,FALSE)</f>
        <v/>
      </c>
      <c r="V17" s="30" t="str">
        <f t="array" ref="V17">IF(U17="","",bpLOOKUP(Data!$AV17,"BRACKETCOLR",CustOrdOpt,6,FALSE))</f>
        <v/>
      </c>
      <c r="W17" s="30" t="str">
        <f t="array" ref="W17">bpLOOKUP(Data!$AV17,"LINKED",CustOrdOpt,6,FALSE)</f>
        <v/>
      </c>
      <c r="X17" s="30" t="str">
        <f t="array" ref="X17">bpLOOKUP(Data!$AV17,"LINKEDSIZE",CustOrdOpt,6,FALSE)</f>
        <v/>
      </c>
      <c r="Y17" s="30" t="str">
        <f>IF(Data!BA17="","",VLOOKUP(AR17&amp;M17&amp;W17,TubeLinkRef,7,FALSE))</f>
        <v/>
      </c>
      <c r="Z17" s="30" t="str">
        <f t="array" ref="Z17">IF(bpLOOKUP(Data!$AV17,"BRAIDCOLOURS",CustOrdOpt,6,FALSE)="Match",VLOOKUP(Data!BN17&amp;" "&amp;Data!BO17&amp;" "&amp;Data!BP17,ColourMatch,6,FALSE),bpLOOKUP(Data!$AV17,"BRAIDCOLOURS",CustOrdOpt,6,FALSE))</f>
        <v/>
      </c>
      <c r="AA17" s="30" t="str">
        <f t="array" ref="AA17">bpLOOKUP(Data!$AV17,"PELTYPE",CustOrdOpt,6,FALSE)</f>
        <v/>
      </c>
      <c r="AB17" s="30" t="str">
        <f t="array" ref="AB17">IF(bpLOOKUP(Data!$AV17,"PELCOLOUR",CustOrdOpt,6,FALSE)="Custom Powdercoat",bpLOOKUP(Data!$AV17,"PELCP",CustOrdOpt,6,FALSE),bpLOOKUP(Data!$AV17,"PELCOLOUR",CustOrdOpt,6,FALSE))</f>
        <v/>
      </c>
      <c r="AC17" s="30" t="str">
        <f t="array" ref="AC17">IF(Data!AV17="","",IF(bpLOOKUP(Data!$AV17,"ADDWIDTH",CustOrdOpt,6,FALSE)="","None",(bpLOOKUP(Data!$AV17,"ADDWIDTH",CustOrdOpt,6,FALSE))))</f>
        <v/>
      </c>
      <c r="AD17" s="30" t="str">
        <f t="array" ref="AD17">bpLOOKUP(Data!$AV17,"PELSHAPE",CustOrdOpt,6,FALSE)</f>
        <v/>
      </c>
      <c r="AE17" s="30" t="str">
        <f t="array" ref="AE17">bpLOOKUP(Data!$AV17,"ITHGT",CustOrdOpt,6,FALSE)</f>
        <v/>
      </c>
      <c r="AF17" s="30" t="str">
        <f t="array" ref="AF17">bpLOOKUP(Data!$AV17,"PELRETURN",CustOrdOpt,6,FALSE)</f>
        <v/>
      </c>
      <c r="AG17" s="30" t="str">
        <f t="array" ref="AG17">bpLOOKUP(Data!$AV17,"PELRETURNSIZE",CustOrdOpt,6,FALSE)</f>
        <v/>
      </c>
      <c r="AH17" s="30" t="str">
        <f t="array" ref="AH17">bpLOOKUP(Data!$AV17,"HBSIZE",CustOrdOpt,6,FALSE)</f>
        <v/>
      </c>
      <c r="AI17" s="30" t="str">
        <f t="array" ref="AI17">bpLOOKUP(Data!$AV17,"PIPING",CustOrdOpt,6,FALSE)</f>
        <v/>
      </c>
      <c r="AJ17" s="30" t="str">
        <f t="array" ref="AJ17">bpLOOKUP(Data!$AV17,"INSTALLATION",CustOrdOpt,6,FALSE)</f>
        <v/>
      </c>
      <c r="AK17" s="30" t="str">
        <f t="array" ref="AK17">bpLOOKUP(Data!$AV17,"HANGHEIGHT",CustOrdOpt,6,FALSE)</f>
        <v/>
      </c>
      <c r="AL17" s="30" t="str">
        <f t="array" ref="AL17">bpLOOKUP(Data!$AV17,"INSTALLG",CustOrdOpt,6,FALSE)</f>
        <v/>
      </c>
      <c r="AM17" s="30" t="str">
        <f t="array" ref="AM17">bpLOOKUP(Data!$AV17,"TAKEDOWN",CustOrdOpt,6,FALSE)</f>
        <v/>
      </c>
      <c r="AN17" s="30" t="str">
        <f t="array" ref="AN17">bpLOOKUP(Data!$AV17,"CHECKM",CustOrdOpt,6,FALSE)</f>
        <v/>
      </c>
      <c r="AO17" s="30" t="str">
        <f t="array" ref="AO17">bpLOOKUP(Data!$AV17,"NOTES",CustOrdOpt,6,FALSE)</f>
        <v/>
      </c>
      <c r="AQ17" s="30" t="str">
        <f>IF(Data!AV17="","",VLOOKUP(I17,ColourMatch,2,FALSE))</f>
        <v/>
      </c>
      <c r="AR17" s="30" t="str">
        <f t="array" ref="AR17">IF(Data!AV17="","",IF(AND(D17="Yes - Front Blind",L17="Chain Winder",(OR(bpLOOKUP(Data!$AV17,"BRACKET",CustOrdOpt,6,FALSE)="Slimline Dual Top Blind Front Roll LHS Control",bpLOOKUP(Data!$AV17,"BRACKET",CustOrdOpt,6,FALSE)="Slimline Dual Top Blind Front Roll RHS Control",bpLOOKUP(Data!$AV17,"BRACKET",CustOrdOpt,6,FALSE)="Slimline Dual Top Blind Back Roll LHS Control",bpLOOKUP(Data!$AV17,"BRACKET",CustOrdOpt,6,FALSE)="Slimline Dual Top Blind Back Roll RHS Control",bpLOOKUP(Data!$AV17,"BRACKET",CustOrdOpt,6,FALSE)="Slimline Dual Top Blind Front Roll LHS Control &amp; Dual Slimline Linked Top Blind Front Roll",bpLOOKUP(Data!$AV17,"BRACKET",CustOrdOpt,6,FALSE)="Slimline Dual Top Blind Front Roll RHS Control &amp; Dual Slimline Linked Top Blind Front Roll",bpLOOKUP(Data!$AV17,"BRACKET",CustOrdOpt,6,FALSE)="Slimline Dual Top Blind Back Roll LHS Control &amp; Dual Slimline Linked Top Blind Back Roll",bpLOOKUP(Data!$AV17,"BRACKET",CustOrdOpt,6,FALSE)="Slimline Dual Top Blind Back Roll RHS Control &amp; Dual Slimline Linked Top Blind Back Roll"))),"Chain Winder Fixed Guide",IF(bpLOOKUP(Data!$AV17,"CONTROLS",CustOrdOpt,6,FALSE)="Acmeda 12v Motor",(INDEX(Acmeda12vRGrid,MATCH(H17,Acmeda12vRDrop,1),MATCH(G17,Acmeda12vRWidth,1))),IF(bpLOOKUP(Data!$AV17,"CONTROLS",CustOrdOpt,6,FALSE)="Acmeda Remote Motor",(INDEX(Acmeda240vRGrid,MATCH(H17,Acmeda240vRDrop,1),MATCH(G17,Acmeda240vRWidth,1))),IF(bpLOOKUP(Data!$AV17,"CONTROLS",CustOrdOpt,6,FALSE)="Acmeda CBUS Motor",(INDEX(Acmeda240vCBUSRGrid,MATCH(H17,Acmeda240vCBUSRDrop,1),MATCH(G17,Acmeda240vCBUSRWidth,1))),IF(bpLOOKUP(Data!$AV17,"CONTROLS",CustOrdOpt,6,FALSE)="Acmeda DCRF 12v Motor",(INDEX(Acmeda12vDCRFRGrid,MATCH(H17,Acmeda12vDCRFRDrop,1),MATCH(G17,Acmeda12vDCRFRWidth,1))),IF(bpLOOKUP(Data!$AV17,"CONTROLS",CustOrdOpt,6,FALSE)="Spring",VLOOKUP(C17,Spring,2,TRUE),(bpLOOKUP(Data!$AV17,"CONTROLS",CustOrdOpt,6,FALSE)))))))))</f>
        <v/>
      </c>
      <c r="AS17" s="30" t="str">
        <f t="array" ref="AS17">IF(D17="Yes - Back Blind","Not Required",IF(AND(bpLOOKUP(Data!$AV17,"BRACKET",CustOrdOpt,6,FALSE)="Single",(OR(AR17="Acmeda E6 Motor",AR17="Acmeda M6 Motor"))),"Single Motor Brackets",IF(AND(bpLOOKUP(Data!$AV17,"BRACKET",CustOrdOpt,6,FALSE)="Single &amp; Single Linked",(OR(AR17="Acmeda E6 Motor",AR17="Acmeda M6 Motor"))),"Single Motor Brackets &amp; Single Linked",IF(AND(bpLOOKUP(Data!$AV17,"BRACKET",CustOrdOpt,6,FALSE)="Single with Covers",(OR(AR17="Acmeda E6 Motor",AR17="Acmeda M6 Motor"))),"Single Motor Brackets with Covers",IF(AND(bpLOOKUP(Data!$AV17,"BRACKET",CustOrdOpt,6,FALSE)="Single Extension",(OR(AR17="Acmeda E6 Motor",AR17="Acmeda M6 Motor"))),"Single Motor Extension Brackets",IF(AND(bpLOOKUP(Data!$AV17,"BRACKET",CustOrdOpt,6,FALSE)="Single Extension with Extension Covers",(OR(AR17="Acmeda E6 Motor",AR17="Acmeda M6 Motor"))),"Single Motor Extension Brackets with Extension Covers",bpLOOKUP(Data!$AV17,"BRACKET",CustOrdOpt,6,FALSE)))))))</f>
        <v/>
      </c>
      <c r="AT17" s="30" t="str">
        <f>IF(Data!AV17="","",VLOOKUP(AR17,ControlDeduct,4,FALSE))</f>
        <v/>
      </c>
      <c r="AU17" s="30" t="str">
        <f>IF(Data!AV17="","",IF(AND(G17&gt;2429,VLOOKUP(CONCATENATE(AR17,M17,W17),TubeLinkRef,8,FALSE)="Check"),CONCATENATE("Yes - "&amp;VLOOKUP(M17&amp;"|"&amp;W17&amp;"|"&amp;O17,HelperSpring,2,FALSE)),IF(VLOOKUP(CONCATENATE(AR17,M17,W17),TubeLinkRef,8,FALSE)="Yes",CONCATENATE("Yes - "&amp;VLOOKUP(M17&amp;"|"&amp;W17&amp;"|"&amp;O17,HelperSpring,2,FALSE)),"No")))</f>
        <v/>
      </c>
      <c r="AV17" s="30" t="str">
        <f>IF(Data!BB17="","",IF(U17="60mm Tube Single","60mm",IF(X17="Yes","43mm H/D",IF(U17="Linked 60mm","60mm",IF(AND(AR17="1.1nm 12v Acmeda Short Motor",G17&lt;560,G17&gt;544),"38mm",IF(G17&lt;500,VLOOKUP(CONCATENATE(AR17,M17,W17),TubeLinkRef,2,FALSE),IF(G17&lt;2100,VLOOKUP(CONCATENATE(AR17,M17,W17),TubeLinkRef,3,FALSE),IF(G17&lt;2729,VLOOKUP(CONCATENATE(AR17,M17,W17),TubeLinkRef,5,FALSE),IF(G17&gt;2728,VLOOKUP(CONCATENATE(AR17,M17,W17),TubeLinkRef,6,FALSE),"")))))))))</f>
        <v/>
      </c>
      <c r="AW17" s="47" t="str">
        <f>IF(Data!BA17="","",G17-VLOOKUP(AR17,ControlDeduct,2,FALSE)-VLOOKUP(W17,Linkdeduct,2,FALSE)-VLOOKUP(CONCATENATE(AA17,J17,AR17),PelmetDeduct,2,FALSE))</f>
        <v/>
      </c>
      <c r="AX17" s="47" t="str">
        <f t="shared" si="1"/>
        <v/>
      </c>
      <c r="AY17" s="47" t="str">
        <f>IF(Data!AW17&gt;0,AW17-2,"")</f>
        <v/>
      </c>
      <c r="AZ17" s="47" t="str">
        <f>IF(Data!BB17="","",H17+VLOOKUP(S17,BlindFinish,2,FALSE)+VLOOKUP(AV17,TubeDropAllowance,2,FALSE))</f>
        <v/>
      </c>
      <c r="BA17" s="89" t="str">
        <f>IF(OR(Data!AV17="",AA17="None"),"",G17+VLOOKUP(AC17,Pelmetadd,2,FALSE))</f>
        <v/>
      </c>
      <c r="BB17" s="30" t="str">
        <f>IF(Data!BA17="","",VLOOKUP(CONCATENATE(AA17,J17,AR17),PelmetDeduct,8,FALSE))</f>
        <v/>
      </c>
      <c r="BC17" s="30" t="str">
        <f>IF(Data!BA17="","",VLOOKUP(CONCATENATE(AA17,J17,AR17),PelmetDeduct,6,FALSE))</f>
        <v/>
      </c>
      <c r="BD17" s="30" t="str">
        <f>TRIM(IF(T17="Match",VLOOKUP(Data!BN17&amp;" "&amp;Data!BO17&amp;" "&amp;Data!BP17,ColourMatch,4,FALSE),IF(T17="Cream","Sandstone",T17)))</f>
        <v/>
      </c>
      <c r="BE17" s="30" t="str">
        <f>TRIM(IF(V17="Cream","Birch White",IF(V17="Match",VLOOKUP(Data!BN17&amp;" "&amp;Data!BO17&amp;" "&amp;Data!BP17,ColourMatch,3,FALSE),V17)))</f>
        <v/>
      </c>
      <c r="BF17" s="30" t="str">
        <f>TRIM(IF(P17="Metal Chain","Nickel Steel Chain",IF(P17="Cream Chain","Birch White Chain",IF(P17="Match",VLOOKUP(Data!BN17&amp;" "&amp;Data!BO17&amp;" "&amp;Data!BP17,ColourMatch,5,FALSE),IF(AND(P17="",A17&lt;&gt;""),"No Chain",P17)))))</f>
        <v/>
      </c>
      <c r="BG17" s="30" t="str">
        <f t="shared" si="0"/>
        <v/>
      </c>
      <c r="BH17" s="30" t="str">
        <f t="array" ref="BH17">IF(Data!BA17="","",VLOOKUP(CONCATENATE(AA17,bpLOOKUP(Data!$AV17,"PELCOLOUR",CustOrdOpt,6,FALSE)),PelmetBuy,2,FALSE))</f>
        <v/>
      </c>
    </row>
    <row r="18" spans="1:60" s="24" customFormat="1" ht="60" customHeight="1">
      <c r="A18" s="69" t="str">
        <f>TRIM(Data!AW18)</f>
        <v/>
      </c>
      <c r="B18" s="23">
        <f>Data!AY18</f>
        <v>0</v>
      </c>
      <c r="C18" s="70">
        <f>SUM(Data!BA18)</f>
        <v>0</v>
      </c>
      <c r="D18" s="71" t="str">
        <f t="array" ref="D18">bpLOOKUP(Data!$AV18,"DUAL",CustOrdOpt,6,FALSE)</f>
        <v/>
      </c>
      <c r="E18" s="71" t="str">
        <f t="array" ref="E18">bpLOOKUP(Data!$AV18,"SIZE",CustOrdOpt,6,FALSE)</f>
        <v/>
      </c>
      <c r="F18" s="72" t="str">
        <f t="array" ref="F18">bpLOOKUP(Data!$AV18,"SIDEBYSIDE",CustOrdOpt,6,FALSE)</f>
        <v/>
      </c>
      <c r="G18" s="38" t="str">
        <f>IF(Data!AW18="","",IF(AND(E18="Cloth",AA18="None"),Data!BA18+30,IF(AND(E18="Cloth",AA18&lt;&gt;"None"),Data!BA18+30+VLOOKUP(CONCATENATE(AA18,J18,AR18),PelmetDeduct,2,FALSE),IF(AND(E18="Opening",F18="Butt"),Data!BA18-VLOOKUP(J18,FitDeduct,2,FALSE)-VLOOKUP(CONCATENATE(U18,J18),ButtDeduct,2,FALSE),IF(E18="Opening",Data!BA18-VLOOKUP(J18,FitDeduct,2,FALSE)-VLOOKUP(F18,SideDeduct,2,FALSE),IF(OR(E18="Making",Data!BA18,E18="Outside of Bracket to Outside of Bracket"),Data!BA18))))))</f>
        <v/>
      </c>
      <c r="H18" s="38">
        <f>Data!BB18</f>
        <v>0</v>
      </c>
      <c r="I18" s="23" t="str">
        <f>IF(Data!BE18="","",MID(Data!BE18,6,80))</f>
        <v/>
      </c>
      <c r="J18" s="30" t="str">
        <f t="array" ref="J18">bpLOOKUP(Data!$AV18,"FIT",CustOrdOpt,6,FALSE)</f>
        <v/>
      </c>
      <c r="K18" s="30" t="str">
        <f t="array" ref="K18">bpLOOKUP(Data!$AV18,"FIXING",CustOrdOpt,6,FALSE)</f>
        <v/>
      </c>
      <c r="L18" s="30" t="str">
        <f t="array" ref="L18">bpLOOKUP(Data!$AV18,"CONTROLS",CustOrdOpt,6,FALSE)</f>
        <v/>
      </c>
      <c r="M18" s="30" t="str">
        <f t="array" ref="M18">IF(Data!AV18="","",bpLOOKUP(Data!$AV18,"CONTROLSIDE",CustOrdOpt,6,FALSE))</f>
        <v/>
      </c>
      <c r="N18" s="30" t="str">
        <f t="array" ref="N18">IF(Data!AZ18="","",bpLOOKUP(Data!$AV18,"MOTOREX",CustOrdOpt,6,FALSE))</f>
        <v/>
      </c>
      <c r="O18" s="30" t="str">
        <f t="array" ref="O18">IF(Data!BA18="","",bpLOOKUP(Data!$AV18,"REVROLL",CustOrdOpt,6,FALSE))</f>
        <v/>
      </c>
      <c r="P18" s="30" t="str">
        <f t="array" ref="P18">bpLOOKUP(Data!$AV18,"CHAIN",CustOrdOpt,6,FALSE)</f>
        <v/>
      </c>
      <c r="Q18" s="30" t="str">
        <f t="array" ref="Q18">bpLOOKUP(Data!$AV18,"CHAINLENGTH",CustOrdOpt,6,FALSE)</f>
        <v/>
      </c>
      <c r="R18" s="30" t="str">
        <f t="array" ref="R18">bpLOOKUP(Data!$AV18,"CONTROLOPTION",CustOrdOpt,6,FALSE)</f>
        <v/>
      </c>
      <c r="S18" s="30" t="str">
        <f t="array" ref="S18">bpLOOKUP(Data!$AV18,"FINISH",CustOrdOpt,6,FALSE)</f>
        <v/>
      </c>
      <c r="T18" s="30" t="str">
        <f t="array" ref="T18">bpLOOKUP(Data!$AV18,"RAILCOLOUR",CustOrdOpt,6,FALSE)</f>
        <v/>
      </c>
      <c r="U18" s="30" t="str">
        <f t="array" ref="U18">bpLOOKUP(Data!$AV18,"BRACKET",CustOrdOpt,6,FALSE)</f>
        <v/>
      </c>
      <c r="V18" s="30" t="str">
        <f t="array" ref="V18">IF(U18="","",bpLOOKUP(Data!$AV18,"BRACKETCOLR",CustOrdOpt,6,FALSE))</f>
        <v/>
      </c>
      <c r="W18" s="30" t="str">
        <f t="array" ref="W18">bpLOOKUP(Data!$AV18,"LINKED",CustOrdOpt,6,FALSE)</f>
        <v/>
      </c>
      <c r="X18" s="30" t="str">
        <f t="array" ref="X18">bpLOOKUP(Data!$AV18,"LINKEDSIZE",CustOrdOpt,6,FALSE)</f>
        <v/>
      </c>
      <c r="Y18" s="30" t="str">
        <f>IF(Data!BA18="","",VLOOKUP(AR18&amp;M18&amp;W18,TubeLinkRef,7,FALSE))</f>
        <v/>
      </c>
      <c r="Z18" s="30" t="str">
        <f t="array" ref="Z18">IF(bpLOOKUP(Data!$AV18,"BRAIDCOLOURS",CustOrdOpt,6,FALSE)="Match",VLOOKUP(Data!BN18&amp;" "&amp;Data!BO18&amp;" "&amp;Data!BP18,ColourMatch,6,FALSE),bpLOOKUP(Data!$AV18,"BRAIDCOLOURS",CustOrdOpt,6,FALSE))</f>
        <v/>
      </c>
      <c r="AA18" s="30" t="str">
        <f t="array" ref="AA18">bpLOOKUP(Data!$AV18,"PELTYPE",CustOrdOpt,6,FALSE)</f>
        <v/>
      </c>
      <c r="AB18" s="30" t="str">
        <f t="array" ref="AB18">IF(bpLOOKUP(Data!$AV18,"PELCOLOUR",CustOrdOpt,6,FALSE)="Custom Powdercoat",bpLOOKUP(Data!$AV18,"PELCP",CustOrdOpt,6,FALSE),bpLOOKUP(Data!$AV18,"PELCOLOUR",CustOrdOpt,6,FALSE))</f>
        <v/>
      </c>
      <c r="AC18" s="30" t="str">
        <f t="array" ref="AC18">IF(Data!AV18="","",IF(bpLOOKUP(Data!$AV18,"ADDWIDTH",CustOrdOpt,6,FALSE)="","None",(bpLOOKUP(Data!$AV18,"ADDWIDTH",CustOrdOpt,6,FALSE))))</f>
        <v/>
      </c>
      <c r="AD18" s="30" t="str">
        <f t="array" ref="AD18">bpLOOKUP(Data!$AV18,"PELSHAPE",CustOrdOpt,6,FALSE)</f>
        <v/>
      </c>
      <c r="AE18" s="30" t="str">
        <f t="array" ref="AE18">bpLOOKUP(Data!$AV18,"ITHGT",CustOrdOpt,6,FALSE)</f>
        <v/>
      </c>
      <c r="AF18" s="30" t="str">
        <f t="array" ref="AF18">bpLOOKUP(Data!$AV18,"PELRETURN",CustOrdOpt,6,FALSE)</f>
        <v/>
      </c>
      <c r="AG18" s="30" t="str">
        <f t="array" ref="AG18">bpLOOKUP(Data!$AV18,"PELRETURNSIZE",CustOrdOpt,6,FALSE)</f>
        <v/>
      </c>
      <c r="AH18" s="30" t="str">
        <f t="array" ref="AH18">bpLOOKUP(Data!$AV18,"HBSIZE",CustOrdOpt,6,FALSE)</f>
        <v/>
      </c>
      <c r="AI18" s="30" t="str">
        <f t="array" ref="AI18">bpLOOKUP(Data!$AV18,"PIPING",CustOrdOpt,6,FALSE)</f>
        <v/>
      </c>
      <c r="AJ18" s="30" t="str">
        <f t="array" ref="AJ18">bpLOOKUP(Data!$AV18,"INSTALLATION",CustOrdOpt,6,FALSE)</f>
        <v/>
      </c>
      <c r="AK18" s="30" t="str">
        <f t="array" ref="AK18">bpLOOKUP(Data!$AV18,"HANGHEIGHT",CustOrdOpt,6,FALSE)</f>
        <v/>
      </c>
      <c r="AL18" s="30" t="str">
        <f t="array" ref="AL18">bpLOOKUP(Data!$AV18,"INSTALLG",CustOrdOpt,6,FALSE)</f>
        <v/>
      </c>
      <c r="AM18" s="30" t="str">
        <f t="array" ref="AM18">bpLOOKUP(Data!$AV18,"TAKEDOWN",CustOrdOpt,6,FALSE)</f>
        <v/>
      </c>
      <c r="AN18" s="30" t="str">
        <f t="array" ref="AN18">bpLOOKUP(Data!$AV18,"CHECKM",CustOrdOpt,6,FALSE)</f>
        <v/>
      </c>
      <c r="AO18" s="30" t="str">
        <f t="array" ref="AO18">bpLOOKUP(Data!$AV18,"NOTES",CustOrdOpt,6,FALSE)</f>
        <v/>
      </c>
      <c r="AQ18" s="30" t="str">
        <f>IF(Data!AV18="","",VLOOKUP(I18,ColourMatch,2,FALSE))</f>
        <v/>
      </c>
      <c r="AR18" s="30" t="str">
        <f t="array" ref="AR18">IF(Data!AV18="","",IF(AND(D18="Yes - Front Blind",L18="Chain Winder",(OR(bpLOOKUP(Data!$AV18,"BRACKET",CustOrdOpt,6,FALSE)="Slimline Dual Top Blind Front Roll LHS Control",bpLOOKUP(Data!$AV18,"BRACKET",CustOrdOpt,6,FALSE)="Slimline Dual Top Blind Front Roll RHS Control",bpLOOKUP(Data!$AV18,"BRACKET",CustOrdOpt,6,FALSE)="Slimline Dual Top Blind Back Roll LHS Control",bpLOOKUP(Data!$AV18,"BRACKET",CustOrdOpt,6,FALSE)="Slimline Dual Top Blind Back Roll RHS Control",bpLOOKUP(Data!$AV18,"BRACKET",CustOrdOpt,6,FALSE)="Slimline Dual Top Blind Front Roll LHS Control &amp; Dual Slimline Linked Top Blind Front Roll",bpLOOKUP(Data!$AV18,"BRACKET",CustOrdOpt,6,FALSE)="Slimline Dual Top Blind Front Roll RHS Control &amp; Dual Slimline Linked Top Blind Front Roll",bpLOOKUP(Data!$AV18,"BRACKET",CustOrdOpt,6,FALSE)="Slimline Dual Top Blind Back Roll LHS Control &amp; Dual Slimline Linked Top Blind Back Roll",bpLOOKUP(Data!$AV18,"BRACKET",CustOrdOpt,6,FALSE)="Slimline Dual Top Blind Back Roll RHS Control &amp; Dual Slimline Linked Top Blind Back Roll"))),"Chain Winder Fixed Guide",IF(bpLOOKUP(Data!$AV18,"CONTROLS",CustOrdOpt,6,FALSE)="Acmeda 12v Motor",(INDEX(Acmeda12vRGrid,MATCH(H18,Acmeda12vRDrop,1),MATCH(G18,Acmeda12vRWidth,1))),IF(bpLOOKUP(Data!$AV18,"CONTROLS",CustOrdOpt,6,FALSE)="Acmeda Remote Motor",(INDEX(Acmeda240vRGrid,MATCH(H18,Acmeda240vRDrop,1),MATCH(G18,Acmeda240vRWidth,1))),IF(bpLOOKUP(Data!$AV18,"CONTROLS",CustOrdOpt,6,FALSE)="Acmeda CBUS Motor",(INDEX(Acmeda240vCBUSRGrid,MATCH(H18,Acmeda240vCBUSRDrop,1),MATCH(G18,Acmeda240vCBUSRWidth,1))),IF(bpLOOKUP(Data!$AV18,"CONTROLS",CustOrdOpt,6,FALSE)="Acmeda DCRF 12v Motor",(INDEX(Acmeda12vDCRFRGrid,MATCH(H18,Acmeda12vDCRFRDrop,1),MATCH(G18,Acmeda12vDCRFRWidth,1))),IF(bpLOOKUP(Data!$AV18,"CONTROLS",CustOrdOpt,6,FALSE)="Spring",VLOOKUP(C18,Spring,2,TRUE),(bpLOOKUP(Data!$AV18,"CONTROLS",CustOrdOpt,6,FALSE)))))))))</f>
        <v/>
      </c>
      <c r="AS18" s="30" t="str">
        <f t="array" ref="AS18">IF(D18="Yes - Back Blind","Not Required",IF(AND(bpLOOKUP(Data!$AV18,"BRACKET",CustOrdOpt,6,FALSE)="Single",(OR(AR18="Acmeda E6 Motor",AR18="Acmeda M6 Motor"))),"Single Motor Brackets",IF(AND(bpLOOKUP(Data!$AV18,"BRACKET",CustOrdOpt,6,FALSE)="Single &amp; Single Linked",(OR(AR18="Acmeda E6 Motor",AR18="Acmeda M6 Motor"))),"Single Motor Brackets &amp; Single Linked",IF(AND(bpLOOKUP(Data!$AV18,"BRACKET",CustOrdOpt,6,FALSE)="Single with Covers",(OR(AR18="Acmeda E6 Motor",AR18="Acmeda M6 Motor"))),"Single Motor Brackets with Covers",IF(AND(bpLOOKUP(Data!$AV18,"BRACKET",CustOrdOpt,6,FALSE)="Single Extension",(OR(AR18="Acmeda E6 Motor",AR18="Acmeda M6 Motor"))),"Single Motor Extension Brackets",IF(AND(bpLOOKUP(Data!$AV18,"BRACKET",CustOrdOpt,6,FALSE)="Single Extension with Extension Covers",(OR(AR18="Acmeda E6 Motor",AR18="Acmeda M6 Motor"))),"Single Motor Extension Brackets with Extension Covers",bpLOOKUP(Data!$AV18,"BRACKET",CustOrdOpt,6,FALSE)))))))</f>
        <v/>
      </c>
      <c r="AT18" s="30" t="str">
        <f>IF(Data!AV18="","",VLOOKUP(AR18,ControlDeduct,4,FALSE))</f>
        <v/>
      </c>
      <c r="AU18" s="30" t="str">
        <f>IF(Data!AV18="","",IF(AND(G18&gt;2429,VLOOKUP(CONCATENATE(AR18,M18,W18),TubeLinkRef,8,FALSE)="Check"),CONCATENATE("Yes - "&amp;VLOOKUP(M18&amp;"|"&amp;W18&amp;"|"&amp;O18,HelperSpring,2,FALSE)),IF(VLOOKUP(CONCATENATE(AR18,M18,W18),TubeLinkRef,8,FALSE)="Yes",CONCATENATE("Yes - "&amp;VLOOKUP(M18&amp;"|"&amp;W18&amp;"|"&amp;O18,HelperSpring,2,FALSE)),"No")))</f>
        <v/>
      </c>
      <c r="AV18" s="30" t="str">
        <f>IF(Data!BB18="","",IF(U18="60mm Tube Single","60mm",IF(X18="Yes","43mm H/D",IF(U18="Linked 60mm","60mm",IF(AND(AR18="1.1nm 12v Acmeda Short Motor",G18&lt;560,G18&gt;544),"38mm",IF(G18&lt;500,VLOOKUP(CONCATENATE(AR18,M18,W18),TubeLinkRef,2,FALSE),IF(G18&lt;2100,VLOOKUP(CONCATENATE(AR18,M18,W18),TubeLinkRef,3,FALSE),IF(G18&lt;2729,VLOOKUP(CONCATENATE(AR18,M18,W18),TubeLinkRef,5,FALSE),IF(G18&gt;2728,VLOOKUP(CONCATENATE(AR18,M18,W18),TubeLinkRef,6,FALSE),"")))))))))</f>
        <v/>
      </c>
      <c r="AW18" s="47" t="str">
        <f>IF(Data!BA18="","",G18-VLOOKUP(AR18,ControlDeduct,2,FALSE)-VLOOKUP(W18,Linkdeduct,2,FALSE)-VLOOKUP(CONCATENATE(AA18,J18,AR18),PelmetDeduct,2,FALSE))</f>
        <v/>
      </c>
      <c r="AX18" s="47" t="str">
        <f t="shared" si="1"/>
        <v/>
      </c>
      <c r="AY18" s="47" t="str">
        <f>IF(Data!AW18&gt;0,AW18-2,"")</f>
        <v/>
      </c>
      <c r="AZ18" s="47" t="str">
        <f>IF(Data!BB18="","",H18+VLOOKUP(S18,BlindFinish,2,FALSE)+VLOOKUP(AV18,TubeDropAllowance,2,FALSE))</f>
        <v/>
      </c>
      <c r="BA18" s="89" t="str">
        <f>IF(OR(Data!AV18="",AA18="None"),"",G18+VLOOKUP(AC18,Pelmetadd,2,FALSE))</f>
        <v/>
      </c>
      <c r="BB18" s="30" t="str">
        <f>IF(Data!BA18="","",VLOOKUP(CONCATENATE(AA18,J18,AR18),PelmetDeduct,8,FALSE))</f>
        <v/>
      </c>
      <c r="BC18" s="30" t="str">
        <f>IF(Data!BA18="","",VLOOKUP(CONCATENATE(AA18,J18,AR18),PelmetDeduct,6,FALSE))</f>
        <v/>
      </c>
      <c r="BD18" s="30" t="str">
        <f>TRIM(IF(T18="Match",VLOOKUP(Data!BN18&amp;" "&amp;Data!BO18&amp;" "&amp;Data!BP18,ColourMatch,4,FALSE),IF(T18="Cream","Sandstone",T18)))</f>
        <v/>
      </c>
      <c r="BE18" s="30" t="str">
        <f>TRIM(IF(V18="Cream","Birch White",IF(V18="Match",VLOOKUP(Data!BN18&amp;" "&amp;Data!BO18&amp;" "&amp;Data!BP18,ColourMatch,3,FALSE),V18)))</f>
        <v/>
      </c>
      <c r="BF18" s="30" t="str">
        <f>TRIM(IF(P18="Metal Chain","Nickel Steel Chain",IF(P18="Cream Chain","Birch White Chain",IF(P18="Match",VLOOKUP(Data!BN18&amp;" "&amp;Data!BO18&amp;" "&amp;Data!BP18,ColourMatch,5,FALSE),IF(AND(P18="",A18&lt;&gt;""),"No Chain",P18)))))</f>
        <v/>
      </c>
      <c r="BG18" s="30" t="str">
        <f t="shared" si="0"/>
        <v/>
      </c>
      <c r="BH18" s="30" t="str">
        <f t="array" ref="BH18">IF(Data!BA18="","",VLOOKUP(CONCATENATE(AA18,bpLOOKUP(Data!$AV18,"PELCOLOUR",CustOrdOpt,6,FALSE)),PelmetBuy,2,FALSE))</f>
        <v/>
      </c>
    </row>
    <row r="19" spans="1:60" s="24" customFormat="1" ht="60" customHeight="1">
      <c r="A19" s="69" t="str">
        <f>TRIM(Data!AW19)</f>
        <v/>
      </c>
      <c r="B19" s="23">
        <f>Data!AY19</f>
        <v>0</v>
      </c>
      <c r="C19" s="70">
        <f>SUM(Data!BA19)</f>
        <v>0</v>
      </c>
      <c r="D19" s="71" t="str">
        <f t="array" ref="D19">bpLOOKUP(Data!$AV19,"DUAL",CustOrdOpt,6,FALSE)</f>
        <v/>
      </c>
      <c r="E19" s="71" t="str">
        <f t="array" ref="E19">bpLOOKUP(Data!$AV19,"SIZE",CustOrdOpt,6,FALSE)</f>
        <v/>
      </c>
      <c r="F19" s="72" t="str">
        <f t="array" ref="F19">bpLOOKUP(Data!$AV19,"SIDEBYSIDE",CustOrdOpt,6,FALSE)</f>
        <v/>
      </c>
      <c r="G19" s="38" t="str">
        <f>IF(Data!AW19="","",IF(AND(E19="Cloth",AA19="None"),Data!BA19+30,IF(AND(E19="Cloth",AA19&lt;&gt;"None"),Data!BA19+30+VLOOKUP(CONCATENATE(AA19,J19,AR19),PelmetDeduct,2,FALSE),IF(AND(E19="Opening",F19="Butt"),Data!BA19-VLOOKUP(J19,FitDeduct,2,FALSE)-VLOOKUP(CONCATENATE(U19,J19),ButtDeduct,2,FALSE),IF(E19="Opening",Data!BA19-VLOOKUP(J19,FitDeduct,2,FALSE)-VLOOKUP(F19,SideDeduct,2,FALSE),IF(OR(E19="Making",Data!BA19,E19="Outside of Bracket to Outside of Bracket"),Data!BA19))))))</f>
        <v/>
      </c>
      <c r="H19" s="38">
        <f>Data!BB19</f>
        <v>0</v>
      </c>
      <c r="I19" s="23" t="str">
        <f>IF(Data!BE19="","",MID(Data!BE19,6,80))</f>
        <v/>
      </c>
      <c r="J19" s="30" t="str">
        <f t="array" ref="J19">bpLOOKUP(Data!$AV19,"FIT",CustOrdOpt,6,FALSE)</f>
        <v/>
      </c>
      <c r="K19" s="30" t="str">
        <f t="array" ref="K19">bpLOOKUP(Data!$AV19,"FIXING",CustOrdOpt,6,FALSE)</f>
        <v/>
      </c>
      <c r="L19" s="30" t="str">
        <f t="array" ref="L19">bpLOOKUP(Data!$AV19,"CONTROLS",CustOrdOpt,6,FALSE)</f>
        <v/>
      </c>
      <c r="M19" s="30" t="str">
        <f t="array" ref="M19">IF(Data!AV19="","",bpLOOKUP(Data!$AV19,"CONTROLSIDE",CustOrdOpt,6,FALSE))</f>
        <v/>
      </c>
      <c r="N19" s="30" t="str">
        <f t="array" ref="N19">IF(Data!AZ19="","",bpLOOKUP(Data!$AV19,"MOTOREX",CustOrdOpt,6,FALSE))</f>
        <v/>
      </c>
      <c r="O19" s="30" t="str">
        <f t="array" ref="O19">IF(Data!BA19="","",bpLOOKUP(Data!$AV19,"REVROLL",CustOrdOpt,6,FALSE))</f>
        <v/>
      </c>
      <c r="P19" s="30" t="str">
        <f t="array" ref="P19">bpLOOKUP(Data!$AV19,"CHAIN",CustOrdOpt,6,FALSE)</f>
        <v/>
      </c>
      <c r="Q19" s="30" t="str">
        <f t="array" ref="Q19">bpLOOKUP(Data!$AV19,"CHAINLENGTH",CustOrdOpt,6,FALSE)</f>
        <v/>
      </c>
      <c r="R19" s="30" t="str">
        <f t="array" ref="R19">bpLOOKUP(Data!$AV19,"CONTROLOPTION",CustOrdOpt,6,FALSE)</f>
        <v/>
      </c>
      <c r="S19" s="30" t="str">
        <f t="array" ref="S19">bpLOOKUP(Data!$AV19,"FINISH",CustOrdOpt,6,FALSE)</f>
        <v/>
      </c>
      <c r="T19" s="30" t="str">
        <f t="array" ref="T19">bpLOOKUP(Data!$AV19,"RAILCOLOUR",CustOrdOpt,6,FALSE)</f>
        <v/>
      </c>
      <c r="U19" s="30" t="str">
        <f t="array" ref="U19">bpLOOKUP(Data!$AV19,"BRACKET",CustOrdOpt,6,FALSE)</f>
        <v/>
      </c>
      <c r="V19" s="30" t="str">
        <f t="array" ref="V19">IF(U19="","",bpLOOKUP(Data!$AV19,"BRACKETCOLR",CustOrdOpt,6,FALSE))</f>
        <v/>
      </c>
      <c r="W19" s="30" t="str">
        <f t="array" ref="W19">bpLOOKUP(Data!$AV19,"LINKED",CustOrdOpt,6,FALSE)</f>
        <v/>
      </c>
      <c r="X19" s="30" t="str">
        <f t="array" ref="X19">bpLOOKUP(Data!$AV19,"LINKEDSIZE",CustOrdOpt,6,FALSE)</f>
        <v/>
      </c>
      <c r="Y19" s="30" t="str">
        <f>IF(Data!BA19="","",VLOOKUP(AR19&amp;M19&amp;W19,TubeLinkRef,7,FALSE))</f>
        <v/>
      </c>
      <c r="Z19" s="30" t="str">
        <f t="array" ref="Z19">IF(bpLOOKUP(Data!$AV19,"BRAIDCOLOURS",CustOrdOpt,6,FALSE)="Match",VLOOKUP(Data!BN19&amp;" "&amp;Data!BO19&amp;" "&amp;Data!BP19,ColourMatch,6,FALSE),bpLOOKUP(Data!$AV19,"BRAIDCOLOURS",CustOrdOpt,6,FALSE))</f>
        <v/>
      </c>
      <c r="AA19" s="30" t="str">
        <f t="array" ref="AA19">bpLOOKUP(Data!$AV19,"PELTYPE",CustOrdOpt,6,FALSE)</f>
        <v/>
      </c>
      <c r="AB19" s="30" t="str">
        <f t="array" ref="AB19">IF(bpLOOKUP(Data!$AV19,"PELCOLOUR",CustOrdOpt,6,FALSE)="Custom Powdercoat",bpLOOKUP(Data!$AV19,"PELCP",CustOrdOpt,6,FALSE),bpLOOKUP(Data!$AV19,"PELCOLOUR",CustOrdOpt,6,FALSE))</f>
        <v/>
      </c>
      <c r="AC19" s="30" t="str">
        <f t="array" ref="AC19">IF(Data!AV19="","",IF(bpLOOKUP(Data!$AV19,"ADDWIDTH",CustOrdOpt,6,FALSE)="","None",(bpLOOKUP(Data!$AV19,"ADDWIDTH",CustOrdOpt,6,FALSE))))</f>
        <v/>
      </c>
      <c r="AD19" s="30" t="str">
        <f t="array" ref="AD19">bpLOOKUP(Data!$AV19,"PELSHAPE",CustOrdOpt,6,FALSE)</f>
        <v/>
      </c>
      <c r="AE19" s="30" t="str">
        <f t="array" ref="AE19">bpLOOKUP(Data!$AV19,"ITHGT",CustOrdOpt,6,FALSE)</f>
        <v/>
      </c>
      <c r="AF19" s="30" t="str">
        <f t="array" ref="AF19">bpLOOKUP(Data!$AV19,"PELRETURN",CustOrdOpt,6,FALSE)</f>
        <v/>
      </c>
      <c r="AG19" s="30" t="str">
        <f t="array" ref="AG19">bpLOOKUP(Data!$AV19,"PELRETURNSIZE",CustOrdOpt,6,FALSE)</f>
        <v/>
      </c>
      <c r="AH19" s="30" t="str">
        <f t="array" ref="AH19">bpLOOKUP(Data!$AV19,"HBSIZE",CustOrdOpt,6,FALSE)</f>
        <v/>
      </c>
      <c r="AI19" s="30" t="str">
        <f t="array" ref="AI19">bpLOOKUP(Data!$AV19,"PIPING",CustOrdOpt,6,FALSE)</f>
        <v/>
      </c>
      <c r="AJ19" s="30" t="str">
        <f t="array" ref="AJ19">bpLOOKUP(Data!$AV19,"INSTALLATION",CustOrdOpt,6,FALSE)</f>
        <v/>
      </c>
      <c r="AK19" s="30" t="str">
        <f t="array" ref="AK19">bpLOOKUP(Data!$AV19,"HANGHEIGHT",CustOrdOpt,6,FALSE)</f>
        <v/>
      </c>
      <c r="AL19" s="30" t="str">
        <f t="array" ref="AL19">bpLOOKUP(Data!$AV19,"INSTALLG",CustOrdOpt,6,FALSE)</f>
        <v/>
      </c>
      <c r="AM19" s="30" t="str">
        <f t="array" ref="AM19">bpLOOKUP(Data!$AV19,"TAKEDOWN",CustOrdOpt,6,FALSE)</f>
        <v/>
      </c>
      <c r="AN19" s="30" t="str">
        <f t="array" ref="AN19">bpLOOKUP(Data!$AV19,"CHECKM",CustOrdOpt,6,FALSE)</f>
        <v/>
      </c>
      <c r="AO19" s="30" t="str">
        <f t="array" ref="AO19">bpLOOKUP(Data!$AV19,"NOTES",CustOrdOpt,6,FALSE)</f>
        <v/>
      </c>
      <c r="AQ19" s="30" t="str">
        <f>IF(Data!AV19="","",VLOOKUP(I19,ColourMatch,2,FALSE))</f>
        <v/>
      </c>
      <c r="AR19" s="30" t="str">
        <f t="array" ref="AR19">IF(Data!AV19="","",IF(AND(D19="Yes - Front Blind",L19="Chain Winder",(OR(bpLOOKUP(Data!$AV19,"BRACKET",CustOrdOpt,6,FALSE)="Slimline Dual Top Blind Front Roll LHS Control",bpLOOKUP(Data!$AV19,"BRACKET",CustOrdOpt,6,FALSE)="Slimline Dual Top Blind Front Roll RHS Control",bpLOOKUP(Data!$AV19,"BRACKET",CustOrdOpt,6,FALSE)="Slimline Dual Top Blind Back Roll LHS Control",bpLOOKUP(Data!$AV19,"BRACKET",CustOrdOpt,6,FALSE)="Slimline Dual Top Blind Back Roll RHS Control",bpLOOKUP(Data!$AV19,"BRACKET",CustOrdOpt,6,FALSE)="Slimline Dual Top Blind Front Roll LHS Control &amp; Dual Slimline Linked Top Blind Front Roll",bpLOOKUP(Data!$AV19,"BRACKET",CustOrdOpt,6,FALSE)="Slimline Dual Top Blind Front Roll RHS Control &amp; Dual Slimline Linked Top Blind Front Roll",bpLOOKUP(Data!$AV19,"BRACKET",CustOrdOpt,6,FALSE)="Slimline Dual Top Blind Back Roll LHS Control &amp; Dual Slimline Linked Top Blind Back Roll",bpLOOKUP(Data!$AV19,"BRACKET",CustOrdOpt,6,FALSE)="Slimline Dual Top Blind Back Roll RHS Control &amp; Dual Slimline Linked Top Blind Back Roll"))),"Chain Winder Fixed Guide",IF(bpLOOKUP(Data!$AV19,"CONTROLS",CustOrdOpt,6,FALSE)="Acmeda 12v Motor",(INDEX(Acmeda12vRGrid,MATCH(H19,Acmeda12vRDrop,1),MATCH(G19,Acmeda12vRWidth,1))),IF(bpLOOKUP(Data!$AV19,"CONTROLS",CustOrdOpt,6,FALSE)="Acmeda Remote Motor",(INDEX(Acmeda240vRGrid,MATCH(H19,Acmeda240vRDrop,1),MATCH(G19,Acmeda240vRWidth,1))),IF(bpLOOKUP(Data!$AV19,"CONTROLS",CustOrdOpt,6,FALSE)="Acmeda CBUS Motor",(INDEX(Acmeda240vCBUSRGrid,MATCH(H19,Acmeda240vCBUSRDrop,1),MATCH(G19,Acmeda240vCBUSRWidth,1))),IF(bpLOOKUP(Data!$AV19,"CONTROLS",CustOrdOpt,6,FALSE)="Acmeda DCRF 12v Motor",(INDEX(Acmeda12vDCRFRGrid,MATCH(H19,Acmeda12vDCRFRDrop,1),MATCH(G19,Acmeda12vDCRFRWidth,1))),IF(bpLOOKUP(Data!$AV19,"CONTROLS",CustOrdOpt,6,FALSE)="Spring",VLOOKUP(C19,Spring,2,TRUE),(bpLOOKUP(Data!$AV19,"CONTROLS",CustOrdOpt,6,FALSE)))))))))</f>
        <v/>
      </c>
      <c r="AS19" s="30" t="str">
        <f t="array" ref="AS19">IF(D19="Yes - Back Blind","Not Required",IF(AND(bpLOOKUP(Data!$AV19,"BRACKET",CustOrdOpt,6,FALSE)="Single",(OR(AR19="Acmeda E6 Motor",AR19="Acmeda M6 Motor"))),"Single Motor Brackets",IF(AND(bpLOOKUP(Data!$AV19,"BRACKET",CustOrdOpt,6,FALSE)="Single &amp; Single Linked",(OR(AR19="Acmeda E6 Motor",AR19="Acmeda M6 Motor"))),"Single Motor Brackets &amp; Single Linked",IF(AND(bpLOOKUP(Data!$AV19,"BRACKET",CustOrdOpt,6,FALSE)="Single with Covers",(OR(AR19="Acmeda E6 Motor",AR19="Acmeda M6 Motor"))),"Single Motor Brackets with Covers",IF(AND(bpLOOKUP(Data!$AV19,"BRACKET",CustOrdOpt,6,FALSE)="Single Extension",(OR(AR19="Acmeda E6 Motor",AR19="Acmeda M6 Motor"))),"Single Motor Extension Brackets",IF(AND(bpLOOKUP(Data!$AV19,"BRACKET",CustOrdOpt,6,FALSE)="Single Extension with Extension Covers",(OR(AR19="Acmeda E6 Motor",AR19="Acmeda M6 Motor"))),"Single Motor Extension Brackets with Extension Covers",bpLOOKUP(Data!$AV19,"BRACKET",CustOrdOpt,6,FALSE)))))))</f>
        <v/>
      </c>
      <c r="AT19" s="30" t="str">
        <f>IF(Data!AV19="","",VLOOKUP(AR19,ControlDeduct,4,FALSE))</f>
        <v/>
      </c>
      <c r="AU19" s="30" t="str">
        <f>IF(Data!AV19="","",IF(AND(G19&gt;2429,VLOOKUP(CONCATENATE(AR19,M19,W19),TubeLinkRef,8,FALSE)="Check"),CONCATENATE("Yes - "&amp;VLOOKUP(M19&amp;"|"&amp;W19&amp;"|"&amp;O19,HelperSpring,2,FALSE)),IF(VLOOKUP(CONCATENATE(AR19,M19,W19),TubeLinkRef,8,FALSE)="Yes",CONCATENATE("Yes - "&amp;VLOOKUP(M19&amp;"|"&amp;W19&amp;"|"&amp;O19,HelperSpring,2,FALSE)),"No")))</f>
        <v/>
      </c>
      <c r="AV19" s="30" t="str">
        <f>IF(Data!BB19="","",IF(U19="60mm Tube Single","60mm",IF(X19="Yes","43mm H/D",IF(U19="Linked 60mm","60mm",IF(AND(AR19="1.1nm 12v Acmeda Short Motor",G19&lt;560,G19&gt;544),"38mm",IF(G19&lt;500,VLOOKUP(CONCATENATE(AR19,M19,W19),TubeLinkRef,2,FALSE),IF(G19&lt;2100,VLOOKUP(CONCATENATE(AR19,M19,W19),TubeLinkRef,3,FALSE),IF(G19&lt;2729,VLOOKUP(CONCATENATE(AR19,M19,W19),TubeLinkRef,5,FALSE),IF(G19&gt;2728,VLOOKUP(CONCATENATE(AR19,M19,W19),TubeLinkRef,6,FALSE),"")))))))))</f>
        <v/>
      </c>
      <c r="AW19" s="47" t="str">
        <f>IF(Data!BA19="","",G19-VLOOKUP(AR19,ControlDeduct,2,FALSE)-VLOOKUP(W19,Linkdeduct,2,FALSE)-VLOOKUP(CONCATENATE(AA19,J19,AR19),PelmetDeduct,2,FALSE))</f>
        <v/>
      </c>
      <c r="AX19" s="47" t="str">
        <f t="shared" si="1"/>
        <v/>
      </c>
      <c r="AY19" s="47" t="str">
        <f>IF(Data!AW19&gt;0,AW19-2,"")</f>
        <v/>
      </c>
      <c r="AZ19" s="47" t="str">
        <f>IF(Data!BB19="","",H19+VLOOKUP(S19,BlindFinish,2,FALSE)+VLOOKUP(AV19,TubeDropAllowance,2,FALSE))</f>
        <v/>
      </c>
      <c r="BA19" s="89" t="str">
        <f>IF(OR(Data!AV19="",AA19="None"),"",G19+VLOOKUP(AC19,Pelmetadd,2,FALSE))</f>
        <v/>
      </c>
      <c r="BB19" s="30" t="str">
        <f>IF(Data!BA19="","",VLOOKUP(CONCATENATE(AA19,J19,AR19),PelmetDeduct,8,FALSE))</f>
        <v/>
      </c>
      <c r="BC19" s="30" t="str">
        <f>IF(Data!BA19="","",VLOOKUP(CONCATENATE(AA19,J19,AR19),PelmetDeduct,6,FALSE))</f>
        <v/>
      </c>
      <c r="BD19" s="30" t="str">
        <f>TRIM(IF(T19="Match",VLOOKUP(Data!BN19&amp;" "&amp;Data!BO19&amp;" "&amp;Data!BP19,ColourMatch,4,FALSE),IF(T19="Cream","Sandstone",T19)))</f>
        <v/>
      </c>
      <c r="BE19" s="30" t="str">
        <f>TRIM(IF(V19="Cream","Birch White",IF(V19="Match",VLOOKUP(Data!BN19&amp;" "&amp;Data!BO19&amp;" "&amp;Data!BP19,ColourMatch,3,FALSE),V19)))</f>
        <v/>
      </c>
      <c r="BF19" s="30" t="str">
        <f>TRIM(IF(P19="Metal Chain","Nickel Steel Chain",IF(P19="Cream Chain","Birch White Chain",IF(P19="Match",VLOOKUP(Data!BN19&amp;" "&amp;Data!BO19&amp;" "&amp;Data!BP19,ColourMatch,5,FALSE),IF(AND(P19="",A19&lt;&gt;""),"No Chain",P19)))))</f>
        <v/>
      </c>
      <c r="BG19" s="30" t="str">
        <f t="shared" si="0"/>
        <v/>
      </c>
      <c r="BH19" s="30" t="str">
        <f t="array" ref="BH19">IF(Data!BA19="","",VLOOKUP(CONCATENATE(AA19,bpLOOKUP(Data!$AV19,"PELCOLOUR",CustOrdOpt,6,FALSE)),PelmetBuy,2,FALSE))</f>
        <v/>
      </c>
    </row>
    <row r="20" spans="1:60" s="24" customFormat="1" ht="60" customHeight="1">
      <c r="A20" s="69" t="str">
        <f>TRIM(Data!AW20)</f>
        <v/>
      </c>
      <c r="B20" s="23">
        <f>Data!AY20</f>
        <v>0</v>
      </c>
      <c r="C20" s="70">
        <f>SUM(Data!BA20)</f>
        <v>0</v>
      </c>
      <c r="D20" s="71" t="str">
        <f t="array" ref="D20">bpLOOKUP(Data!$AV20,"DUAL",CustOrdOpt,6,FALSE)</f>
        <v/>
      </c>
      <c r="E20" s="71" t="str">
        <f t="array" ref="E20">bpLOOKUP(Data!$AV20,"SIZE",CustOrdOpt,6,FALSE)</f>
        <v/>
      </c>
      <c r="F20" s="72" t="str">
        <f t="array" ref="F20">bpLOOKUP(Data!$AV20,"SIDEBYSIDE",CustOrdOpt,6,FALSE)</f>
        <v/>
      </c>
      <c r="G20" s="38" t="str">
        <f>IF(Data!AW20="","",IF(AND(E20="Cloth",AA20="None"),Data!BA20+30,IF(AND(E20="Cloth",AA20&lt;&gt;"None"),Data!BA20+30+VLOOKUP(CONCATENATE(AA20,J20,AR20),PelmetDeduct,2,FALSE),IF(AND(E20="Opening",F20="Butt"),Data!BA20-VLOOKUP(J20,FitDeduct,2,FALSE)-VLOOKUP(CONCATENATE(U20,J20),ButtDeduct,2,FALSE),IF(E20="Opening",Data!BA20-VLOOKUP(J20,FitDeduct,2,FALSE)-VLOOKUP(F20,SideDeduct,2,FALSE),IF(OR(E20="Making",Data!BA20,E20="Outside of Bracket to Outside of Bracket"),Data!BA20))))))</f>
        <v/>
      </c>
      <c r="H20" s="38">
        <f>Data!BB20</f>
        <v>0</v>
      </c>
      <c r="I20" s="23" t="str">
        <f>IF(Data!BE20="","",MID(Data!BE20,6,80))</f>
        <v/>
      </c>
      <c r="J20" s="30" t="str">
        <f t="array" ref="J20">bpLOOKUP(Data!$AV20,"FIT",CustOrdOpt,6,FALSE)</f>
        <v/>
      </c>
      <c r="K20" s="30" t="str">
        <f t="array" ref="K20">bpLOOKUP(Data!$AV20,"FIXING",CustOrdOpt,6,FALSE)</f>
        <v/>
      </c>
      <c r="L20" s="30" t="str">
        <f t="array" ref="L20">bpLOOKUP(Data!$AV20,"CONTROLS",CustOrdOpt,6,FALSE)</f>
        <v/>
      </c>
      <c r="M20" s="30" t="str">
        <f t="array" ref="M20">IF(Data!AV20="","",bpLOOKUP(Data!$AV20,"CONTROLSIDE",CustOrdOpt,6,FALSE))</f>
        <v/>
      </c>
      <c r="N20" s="30" t="str">
        <f t="array" ref="N20">IF(Data!AZ20="","",bpLOOKUP(Data!$AV20,"MOTOREX",CustOrdOpt,6,FALSE))</f>
        <v/>
      </c>
      <c r="O20" s="30" t="str">
        <f t="array" ref="O20">IF(Data!BA20="","",bpLOOKUP(Data!$AV20,"REVROLL",CustOrdOpt,6,FALSE))</f>
        <v/>
      </c>
      <c r="P20" s="30" t="str">
        <f t="array" ref="P20">bpLOOKUP(Data!$AV20,"CHAIN",CustOrdOpt,6,FALSE)</f>
        <v/>
      </c>
      <c r="Q20" s="30" t="str">
        <f t="array" ref="Q20">bpLOOKUP(Data!$AV20,"CHAINLENGTH",CustOrdOpt,6,FALSE)</f>
        <v/>
      </c>
      <c r="R20" s="30" t="str">
        <f t="array" ref="R20">bpLOOKUP(Data!$AV20,"CONTROLOPTION",CustOrdOpt,6,FALSE)</f>
        <v/>
      </c>
      <c r="S20" s="30" t="str">
        <f t="array" ref="S20">bpLOOKUP(Data!$AV20,"FINISH",CustOrdOpt,6,FALSE)</f>
        <v/>
      </c>
      <c r="T20" s="30" t="str">
        <f t="array" ref="T20">bpLOOKUP(Data!$AV20,"RAILCOLOUR",CustOrdOpt,6,FALSE)</f>
        <v/>
      </c>
      <c r="U20" s="30" t="str">
        <f t="array" ref="U20">bpLOOKUP(Data!$AV20,"BRACKET",CustOrdOpt,6,FALSE)</f>
        <v/>
      </c>
      <c r="V20" s="30" t="str">
        <f t="array" ref="V20">IF(U20="","",bpLOOKUP(Data!$AV20,"BRACKETCOLR",CustOrdOpt,6,FALSE))</f>
        <v/>
      </c>
      <c r="W20" s="30" t="str">
        <f t="array" ref="W20">bpLOOKUP(Data!$AV20,"LINKED",CustOrdOpt,6,FALSE)</f>
        <v/>
      </c>
      <c r="X20" s="30" t="str">
        <f t="array" ref="X20">bpLOOKUP(Data!$AV20,"LINKEDSIZE",CustOrdOpt,6,FALSE)</f>
        <v/>
      </c>
      <c r="Y20" s="30" t="str">
        <f>IF(Data!BA20="","",VLOOKUP(AR20&amp;M20&amp;W20,TubeLinkRef,7,FALSE))</f>
        <v/>
      </c>
      <c r="Z20" s="30" t="str">
        <f t="array" ref="Z20">IF(bpLOOKUP(Data!$AV20,"BRAIDCOLOURS",CustOrdOpt,6,FALSE)="Match",VLOOKUP(Data!BN20&amp;" "&amp;Data!BO20&amp;" "&amp;Data!BP20,ColourMatch,6,FALSE),bpLOOKUP(Data!$AV20,"BRAIDCOLOURS",CustOrdOpt,6,FALSE))</f>
        <v/>
      </c>
      <c r="AA20" s="30" t="str">
        <f t="array" ref="AA20">bpLOOKUP(Data!$AV20,"PELTYPE",CustOrdOpt,6,FALSE)</f>
        <v/>
      </c>
      <c r="AB20" s="30" t="str">
        <f t="array" ref="AB20">IF(bpLOOKUP(Data!$AV20,"PELCOLOUR",CustOrdOpt,6,FALSE)="Custom Powdercoat",bpLOOKUP(Data!$AV20,"PELCP",CustOrdOpt,6,FALSE),bpLOOKUP(Data!$AV20,"PELCOLOUR",CustOrdOpt,6,FALSE))</f>
        <v/>
      </c>
      <c r="AC20" s="30" t="str">
        <f t="array" ref="AC20">IF(Data!AV20="","",IF(bpLOOKUP(Data!$AV20,"ADDWIDTH",CustOrdOpt,6,FALSE)="","None",(bpLOOKUP(Data!$AV20,"ADDWIDTH",CustOrdOpt,6,FALSE))))</f>
        <v/>
      </c>
      <c r="AD20" s="30" t="str">
        <f t="array" ref="AD20">bpLOOKUP(Data!$AV20,"PELSHAPE",CustOrdOpt,6,FALSE)</f>
        <v/>
      </c>
      <c r="AE20" s="30" t="str">
        <f t="array" ref="AE20">bpLOOKUP(Data!$AV20,"ITHGT",CustOrdOpt,6,FALSE)</f>
        <v/>
      </c>
      <c r="AF20" s="30" t="str">
        <f t="array" ref="AF20">bpLOOKUP(Data!$AV20,"PELRETURN",CustOrdOpt,6,FALSE)</f>
        <v/>
      </c>
      <c r="AG20" s="30" t="str">
        <f t="array" ref="AG20">bpLOOKUP(Data!$AV20,"PELRETURNSIZE",CustOrdOpt,6,FALSE)</f>
        <v/>
      </c>
      <c r="AH20" s="30" t="str">
        <f t="array" ref="AH20">bpLOOKUP(Data!$AV20,"HBSIZE",CustOrdOpt,6,FALSE)</f>
        <v/>
      </c>
      <c r="AI20" s="30" t="str">
        <f t="array" ref="AI20">bpLOOKUP(Data!$AV20,"PIPING",CustOrdOpt,6,FALSE)</f>
        <v/>
      </c>
      <c r="AJ20" s="30" t="str">
        <f t="array" ref="AJ20">bpLOOKUP(Data!$AV20,"INSTALLATION",CustOrdOpt,6,FALSE)</f>
        <v/>
      </c>
      <c r="AK20" s="30" t="str">
        <f t="array" ref="AK20">bpLOOKUP(Data!$AV20,"HANGHEIGHT",CustOrdOpt,6,FALSE)</f>
        <v/>
      </c>
      <c r="AL20" s="30" t="str">
        <f t="array" ref="AL20">bpLOOKUP(Data!$AV20,"INSTALLG",CustOrdOpt,6,FALSE)</f>
        <v/>
      </c>
      <c r="AM20" s="30" t="str">
        <f t="array" ref="AM20">bpLOOKUP(Data!$AV20,"TAKEDOWN",CustOrdOpt,6,FALSE)</f>
        <v/>
      </c>
      <c r="AN20" s="30" t="str">
        <f t="array" ref="AN20">bpLOOKUP(Data!$AV20,"CHECKM",CustOrdOpt,6,FALSE)</f>
        <v/>
      </c>
      <c r="AO20" s="30" t="str">
        <f t="array" ref="AO20">bpLOOKUP(Data!$AV20,"NOTES",CustOrdOpt,6,FALSE)</f>
        <v/>
      </c>
      <c r="AP20" s="93"/>
      <c r="AQ20" s="30" t="str">
        <f>IF(Data!AV20="","",VLOOKUP(I20,ColourMatch,2,FALSE))</f>
        <v/>
      </c>
      <c r="AR20" s="30" t="str">
        <f t="array" ref="AR20">IF(Data!AV20="","",IF(AND(D20="Yes - Front Blind",L20="Chain Winder",(OR(bpLOOKUP(Data!$AV20,"BRACKET",CustOrdOpt,6,FALSE)="Slimline Dual Top Blind Front Roll LHS Control",bpLOOKUP(Data!$AV20,"BRACKET",CustOrdOpt,6,FALSE)="Slimline Dual Top Blind Front Roll RHS Control",bpLOOKUP(Data!$AV20,"BRACKET",CustOrdOpt,6,FALSE)="Slimline Dual Top Blind Back Roll LHS Control",bpLOOKUP(Data!$AV20,"BRACKET",CustOrdOpt,6,FALSE)="Slimline Dual Top Blind Back Roll RHS Control",bpLOOKUP(Data!$AV20,"BRACKET",CustOrdOpt,6,FALSE)="Slimline Dual Top Blind Front Roll LHS Control &amp; Dual Slimline Linked Top Blind Front Roll",bpLOOKUP(Data!$AV20,"BRACKET",CustOrdOpt,6,FALSE)="Slimline Dual Top Blind Front Roll RHS Control &amp; Dual Slimline Linked Top Blind Front Roll",bpLOOKUP(Data!$AV20,"BRACKET",CustOrdOpt,6,FALSE)="Slimline Dual Top Blind Back Roll LHS Control &amp; Dual Slimline Linked Top Blind Back Roll",bpLOOKUP(Data!$AV20,"BRACKET",CustOrdOpt,6,FALSE)="Slimline Dual Top Blind Back Roll RHS Control &amp; Dual Slimline Linked Top Blind Back Roll"))),"Chain Winder Fixed Guide",IF(bpLOOKUP(Data!$AV20,"CONTROLS",CustOrdOpt,6,FALSE)="Acmeda 12v Motor",(INDEX(Acmeda12vRGrid,MATCH(H20,Acmeda12vRDrop,1),MATCH(G20,Acmeda12vRWidth,1))),IF(bpLOOKUP(Data!$AV20,"CONTROLS",CustOrdOpt,6,FALSE)="Acmeda Remote Motor",(INDEX(Acmeda240vRGrid,MATCH(H20,Acmeda240vRDrop,1),MATCH(G20,Acmeda240vRWidth,1))),IF(bpLOOKUP(Data!$AV20,"CONTROLS",CustOrdOpt,6,FALSE)="Acmeda CBUS Motor",(INDEX(Acmeda240vCBUSRGrid,MATCH(H20,Acmeda240vCBUSRDrop,1),MATCH(G20,Acmeda240vCBUSRWidth,1))),IF(bpLOOKUP(Data!$AV20,"CONTROLS",CustOrdOpt,6,FALSE)="Acmeda DCRF 12v Motor",(INDEX(Acmeda12vDCRFRGrid,MATCH(H20,Acmeda12vDCRFRDrop,1),MATCH(G20,Acmeda12vDCRFRWidth,1))),IF(bpLOOKUP(Data!$AV20,"CONTROLS",CustOrdOpt,6,FALSE)="Spring",VLOOKUP(C20,Spring,2,TRUE),(bpLOOKUP(Data!$AV20,"CONTROLS",CustOrdOpt,6,FALSE)))))))))</f>
        <v/>
      </c>
      <c r="AS20" s="30" t="str">
        <f t="array" ref="AS20">IF(D20="Yes - Back Blind","Not Required",IF(AND(bpLOOKUP(Data!$AV20,"BRACKET",CustOrdOpt,6,FALSE)="Single",(OR(AR20="Acmeda E6 Motor",AR20="Acmeda M6 Motor"))),"Single Motor Brackets",IF(AND(bpLOOKUP(Data!$AV20,"BRACKET",CustOrdOpt,6,FALSE)="Single &amp; Single Linked",(OR(AR20="Acmeda E6 Motor",AR20="Acmeda M6 Motor"))),"Single Motor Brackets &amp; Single Linked",IF(AND(bpLOOKUP(Data!$AV20,"BRACKET",CustOrdOpt,6,FALSE)="Single with Covers",(OR(AR20="Acmeda E6 Motor",AR20="Acmeda M6 Motor"))),"Single Motor Brackets with Covers",IF(AND(bpLOOKUP(Data!$AV20,"BRACKET",CustOrdOpt,6,FALSE)="Single Extension",(OR(AR20="Acmeda E6 Motor",AR20="Acmeda M6 Motor"))),"Single Motor Extension Brackets",IF(AND(bpLOOKUP(Data!$AV20,"BRACKET",CustOrdOpt,6,FALSE)="Single Extension with Extension Covers",(OR(AR20="Acmeda E6 Motor",AR20="Acmeda M6 Motor"))),"Single Motor Extension Brackets with Extension Covers",bpLOOKUP(Data!$AV20,"BRACKET",CustOrdOpt,6,FALSE)))))))</f>
        <v/>
      </c>
      <c r="AT20" s="30" t="str">
        <f>IF(Data!AV20="","",VLOOKUP(AR20,ControlDeduct,4,FALSE))</f>
        <v/>
      </c>
      <c r="AU20" s="30" t="str">
        <f>IF(Data!AV20="","",IF(AND(G20&gt;2429,VLOOKUP(CONCATENATE(AR20,M20,W20),TubeLinkRef,8,FALSE)="Check"),CONCATENATE("Yes - "&amp;VLOOKUP(M20&amp;"|"&amp;W20&amp;"|"&amp;O20,HelperSpring,2,FALSE)),IF(VLOOKUP(CONCATENATE(AR20,M20,W20),TubeLinkRef,8,FALSE)="Yes",CONCATENATE("Yes - "&amp;VLOOKUP(M20&amp;"|"&amp;W20&amp;"|"&amp;O20,HelperSpring,2,FALSE)),"No")))</f>
        <v/>
      </c>
      <c r="AV20" s="30" t="str">
        <f>IF(Data!BB20="","",IF(U20="60mm Tube Single","60mm",IF(X20="Yes","43mm H/D",IF(U20="Linked 60mm","60mm",IF(AND(AR20="1.1nm 12v Acmeda Short Motor",G20&lt;560,G20&gt;544),"38mm",IF(G20&lt;500,VLOOKUP(CONCATENATE(AR20,M20,W20),TubeLinkRef,2,FALSE),IF(G20&lt;2100,VLOOKUP(CONCATENATE(AR20,M20,W20),TubeLinkRef,3,FALSE),IF(G20&lt;2729,VLOOKUP(CONCATENATE(AR20,M20,W20),TubeLinkRef,5,FALSE),IF(G20&gt;2728,VLOOKUP(CONCATENATE(AR20,M20,W20),TubeLinkRef,6,FALSE),"")))))))))</f>
        <v/>
      </c>
      <c r="AW20" s="47" t="str">
        <f>IF(Data!BA20="","",G20-VLOOKUP(AR20,ControlDeduct,2,FALSE)-VLOOKUP(W20,Linkdeduct,2,FALSE)-VLOOKUP(CONCATENATE(AA20,J20,AR20),PelmetDeduct,2,FALSE))</f>
        <v/>
      </c>
      <c r="AX20" s="47" t="str">
        <f t="shared" si="1"/>
        <v/>
      </c>
      <c r="AY20" s="47" t="str">
        <f>IF(Data!AW20&gt;0,AW20-2,"")</f>
        <v/>
      </c>
      <c r="AZ20" s="47" t="str">
        <f>IF(Data!BB20="","",H20+VLOOKUP(S20,BlindFinish,2,FALSE)+VLOOKUP(AV20,TubeDropAllowance,2,FALSE))</f>
        <v/>
      </c>
      <c r="BA20" s="89" t="str">
        <f>IF(OR(Data!AV20="",AA20="None"),"",G20+VLOOKUP(AC20,Pelmetadd,2,FALSE))</f>
        <v/>
      </c>
      <c r="BB20" s="30" t="str">
        <f>IF(Data!BA20="","",VLOOKUP(CONCATENATE(AA20,J20,AR20),PelmetDeduct,8,FALSE))</f>
        <v/>
      </c>
      <c r="BC20" s="30" t="str">
        <f>IF(Data!BA20="","",VLOOKUP(CONCATENATE(AA20,J20,AR20),PelmetDeduct,6,FALSE))</f>
        <v/>
      </c>
      <c r="BD20" s="30" t="str">
        <f>TRIM(IF(T20="Match",VLOOKUP(Data!BN20&amp;" "&amp;Data!BO20&amp;" "&amp;Data!BP20,ColourMatch,4,FALSE),IF(T20="Cream","Sandstone",T20)))</f>
        <v/>
      </c>
      <c r="BE20" s="30" t="str">
        <f>TRIM(IF(V20="Cream","Birch White",IF(V20="Match",VLOOKUP(Data!BN20&amp;" "&amp;Data!BO20&amp;" "&amp;Data!BP20,ColourMatch,3,FALSE),V20)))</f>
        <v/>
      </c>
      <c r="BF20" s="30" t="str">
        <f>TRIM(IF(P20="Metal Chain","Nickel Steel Chain",IF(P20="Cream Chain","Birch White Chain",IF(P20="Match",VLOOKUP(Data!BN20&amp;" "&amp;Data!BO20&amp;" "&amp;Data!BP20,ColourMatch,5,FALSE),IF(AND(P20="",A20&lt;&gt;""),"No Chain",P20)))))</f>
        <v/>
      </c>
      <c r="BG20" s="30" t="str">
        <f t="shared" si="0"/>
        <v/>
      </c>
      <c r="BH20" s="30" t="str">
        <f t="array" ref="BH20">IF(Data!BA20="","",VLOOKUP(CONCATENATE(AA20,bpLOOKUP(Data!$AV20,"PELCOLOUR",CustOrdOpt,6,FALSE)),PelmetBuy,2,FALSE))</f>
        <v/>
      </c>
    </row>
    <row r="21" ht="60" customHeight="1">
      <c r="D21" s="137"/>
    </row>
    <row r="22" ht="60" customHeight="1"/>
    <row r="23" ht="60" customHeight="1"/>
    <row r="24" ht="60" customHeight="1"/>
    <row r="25" ht="60" customHeight="1"/>
    <row r="26" ht="60" customHeight="1"/>
    <row r="27" ht="60" customHeight="1"/>
    <row r="28" ht="60" customHeight="1"/>
    <row r="29" ht="60" customHeight="1"/>
    <row r="30" ht="60" customHeight="1"/>
    <row r="31" ht="60" customHeight="1"/>
    <row r="32" ht="60" customHeight="1"/>
    <row r="33" ht="60" customHeight="1"/>
    <row r="34" ht="60" customHeight="1"/>
    <row r="35" ht="60" customHeight="1"/>
    <row r="36" ht="60" customHeight="1"/>
    <row r="37" ht="60" customHeight="1"/>
    <row r="38" ht="60" customHeight="1"/>
    <row r="39" ht="60" customHeight="1"/>
    <row r="40" ht="60" customHeight="1"/>
    <row r="41" ht="60" customHeight="1"/>
    <row r="42" ht="60" customHeight="1"/>
    <row r="43" ht="60" customHeight="1"/>
    <row r="44" ht="60" customHeight="1"/>
    <row r="45" ht="60" customHeight="1"/>
    <row r="46" ht="60" customHeight="1"/>
    <row r="47" ht="60" customHeight="1"/>
    <row r="48" ht="60" customHeight="1"/>
    <row r="49" ht="60" customHeight="1"/>
    <row r="50" ht="60" customHeight="1"/>
    <row r="51" ht="60" customHeight="1"/>
    <row r="52" ht="60" customHeight="1"/>
    <row r="53" ht="60" customHeight="1"/>
    <row r="54" ht="60" customHeight="1"/>
  </sheetData>
  <sheetProtection formatCells="0" formatRows="0" insertColumns="0" insertRows="0"/>
  <mergeCells count="89">
    <mergeCell ref="BG8:BG10"/>
    <mergeCell ref="A8:A10"/>
    <mergeCell ref="U8:U10"/>
    <mergeCell ref="W8:W10"/>
    <mergeCell ref="C8:C10"/>
    <mergeCell ref="F8:F10"/>
    <mergeCell ref="G8:G10"/>
    <mergeCell ref="H8:H10"/>
    <mergeCell ref="K8:K10"/>
    <mergeCell ref="M8:M10"/>
    <mergeCell ref="N8:N10"/>
    <mergeCell ref="S8:S10"/>
    <mergeCell ref="B8:B10"/>
    <mergeCell ref="D8:D10"/>
    <mergeCell ref="E8:E10"/>
    <mergeCell ref="L8:L10"/>
    <mergeCell ref="A6:F7"/>
    <mergeCell ref="A5:C5"/>
    <mergeCell ref="D5:F5"/>
    <mergeCell ref="G5:J7"/>
    <mergeCell ref="K7:P7"/>
    <mergeCell ref="K2:P2"/>
    <mergeCell ref="K3:P3"/>
    <mergeCell ref="K4:P4"/>
    <mergeCell ref="K5:P5"/>
    <mergeCell ref="K6:P6"/>
    <mergeCell ref="S7:V7"/>
    <mergeCell ref="Q7:R7"/>
    <mergeCell ref="Q5:R5"/>
    <mergeCell ref="Q6:R6"/>
    <mergeCell ref="AC8:AC10"/>
    <mergeCell ref="Q8:Q10"/>
    <mergeCell ref="Z8:Z10"/>
    <mergeCell ref="AB8:AB10"/>
    <mergeCell ref="R8:R10"/>
    <mergeCell ref="X8:X10"/>
    <mergeCell ref="Y8:Y10"/>
    <mergeCell ref="BH8:BH10"/>
    <mergeCell ref="AR8:AR10"/>
    <mergeCell ref="BA8:BA10"/>
    <mergeCell ref="AE8:AE10"/>
    <mergeCell ref="AF8:AF10"/>
    <mergeCell ref="BD8:BD10"/>
    <mergeCell ref="BE8:BE10"/>
    <mergeCell ref="AS8:AS10"/>
    <mergeCell ref="AO8:AO10"/>
    <mergeCell ref="AJ8:AJ10"/>
    <mergeCell ref="AZ8:AZ10"/>
    <mergeCell ref="AW8:AW10"/>
    <mergeCell ref="BF8:BF10"/>
    <mergeCell ref="BB8:BB10"/>
    <mergeCell ref="AY8:AY10"/>
    <mergeCell ref="BC8:BC10"/>
    <mergeCell ref="AD8:AD10"/>
    <mergeCell ref="AA8:AA10"/>
    <mergeCell ref="J8:J10"/>
    <mergeCell ref="I8:I10"/>
    <mergeCell ref="T8:T10"/>
    <mergeCell ref="V8:V10"/>
    <mergeCell ref="P8:P10"/>
    <mergeCell ref="O8:O10"/>
    <mergeCell ref="A1:AO1"/>
    <mergeCell ref="Q2:AO2"/>
    <mergeCell ref="Q3:AO4"/>
    <mergeCell ref="Y7:AO7"/>
    <mergeCell ref="S6:AO6"/>
    <mergeCell ref="S5:AO5"/>
    <mergeCell ref="A4:C4"/>
    <mergeCell ref="D3:F3"/>
    <mergeCell ref="D2:F2"/>
    <mergeCell ref="G2:J2"/>
    <mergeCell ref="G3:J3"/>
    <mergeCell ref="G4:J4"/>
    <mergeCell ref="W7:X7"/>
    <mergeCell ref="D4:F4"/>
    <mergeCell ref="A2:C2"/>
    <mergeCell ref="A3:C3"/>
    <mergeCell ref="AG8:AG10"/>
    <mergeCell ref="AT8:AT10"/>
    <mergeCell ref="AX8:AX10"/>
    <mergeCell ref="AV8:AV10"/>
    <mergeCell ref="AU8:AU10"/>
    <mergeCell ref="AM8:AM10"/>
    <mergeCell ref="AN8:AN10"/>
    <mergeCell ref="AK8:AK10"/>
    <mergeCell ref="AL8:AL10"/>
    <mergeCell ref="AH8:AH10"/>
    <mergeCell ref="AI8:AI10"/>
    <mergeCell ref="AQ8:AQ10"/>
  </mergeCells>
  <conditionalFormatting sqref="I11:I20">
    <cfRule type="expression" priority="6" dxfId="6">
      <formula>AQ11=FALSE</formula>
    </cfRule>
    <cfRule type="expression" priority="5" dxfId="5">
      <formula>ISERROR($AQ11)</formula>
    </cfRule>
  </conditionalFormatting>
  <conditionalFormatting sqref="AA11:AA20">
    <cfRule type="containsText" priority="28" dxfId="25" operator="containsText" text="Bonded">
      <formula>NOT(ISERROR(SEARCH("Bonded",AA11)))</formula>
    </cfRule>
    <cfRule type="containsText" priority="27" dxfId="25" operator="containsText" text="Upholstered">
      <formula>NOT(ISERROR(SEARCH("Upholstered",AA11)))</formula>
    </cfRule>
    <cfRule type="containsText" priority="3" dxfId="25" operator="containsText" text="Zipscreen Hooding">
      <formula>NOT(ISERROR(SEARCH("Zipscreen Hooding",AA11)))</formula>
    </cfRule>
  </conditionalFormatting>
  <conditionalFormatting sqref="T11:T20">
    <cfRule type="expression" priority="20" dxfId="5">
      <formula>$BD11=""</formula>
    </cfRule>
    <cfRule type="containsText" priority="9" dxfId="5" operator="containsText" text="Cloth Pull Ring">
      <formula>NOT(ISERROR(SEARCH("Cloth Pull Ring",T11)))</formula>
    </cfRule>
    <cfRule type="expression" priority="8" dxfId="6">
      <formula>OR(T11="Gold Pull Ring",T11="Silver Pull Ring")</formula>
    </cfRule>
  </conditionalFormatting>
  <conditionalFormatting sqref="V11:V20">
    <cfRule type="expression" priority="23" dxfId="5">
      <formula>BE11=""</formula>
    </cfRule>
  </conditionalFormatting>
  <conditionalFormatting sqref="T11:T20 P11:P20 V11:V20">
    <cfRule type="expression" priority="19" dxfId="20" stopIfTrue="1">
      <formula>$A11=""</formula>
    </cfRule>
  </conditionalFormatting>
  <conditionalFormatting sqref="P11:P20">
    <cfRule type="expression" priority="24" dxfId="5">
      <formula>BF11=""</formula>
    </cfRule>
  </conditionalFormatting>
  <conditionalFormatting sqref="M11:M20">
    <cfRule type="expression" priority="14" dxfId="5">
      <formula>AND(M11="Right",OR(U11="Slimline Dual Top Blind Front Roll LHS Control",U11="Slimline Dual Top Blind Back Roll LHS Control"))</formula>
    </cfRule>
    <cfRule type="expression" priority="13" dxfId="5">
      <formula>AND(M11="Left",OR(U11="Slimline Dual Top Blind Front Roll RHS Control",U11="Slimline Dual Top Blind Back Roll RHS Control"))</formula>
    </cfRule>
  </conditionalFormatting>
  <conditionalFormatting sqref="S11:S20">
    <cfRule type="containsText" priority="12" dxfId="6" operator="containsText" text="Scallop">
      <formula>NOT(ISERROR(SEARCH("Scallop",S11)))</formula>
    </cfRule>
    <cfRule type="containsText" priority="11" dxfId="6" operator="containsText" text="Georgian">
      <formula>NOT(ISERROR(SEARCH("Georgian",S11)))</formula>
    </cfRule>
  </conditionalFormatting>
  <conditionalFormatting sqref="S11:S20 L11:L20">
    <cfRule type="expression" priority="7" dxfId="5">
      <formula>AND($L11="Spring",$S11="D30 Bottom Rail with Noise Reducing Strip")</formula>
    </cfRule>
  </conditionalFormatting>
  <conditionalFormatting sqref="L11:L20">
    <cfRule type="expression" priority="4" dxfId="5">
      <formula>BG11="Match"</formula>
    </cfRule>
  </conditionalFormatting>
  <conditionalFormatting sqref="G11:G20">
    <cfRule type="expression" priority="1" dxfId="5">
      <formula>OR(AR11="Too Small for Motor",AR11="Too Small for Spring",AR11="Too Big for Spring")</formula>
    </cfRule>
  </conditionalFormatting>
  <printOptions horizontalCentered="1"/>
  <pageMargins left="0.3" right="0.3" top="0.3" bottom="0.3" header="0.3" footer="0.3"/>
  <pageSetup fitToHeight="0" orientation="landscape" paperSize="9" scale="10" r:id="rId1"/>
  <headerFooter alignWithMargins="0">
    <oddFooter>&amp;L&amp;P of  &amp;N&amp;C&amp;Z&amp;F&amp;R&amp;D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42566D-2978-410B-B0A9-26FD8516FB14}">
  <sheetPr codeName="JobSheet1">
    <pageSetUpPr fitToPage="1"/>
  </sheetPr>
  <dimension ref="A1:V20"/>
  <sheetViews>
    <sheetView showZeros="0" view="pageBreakPreview" zoomScale="50" zoomScaleNormal="50" zoomScaleSheetLayoutView="50" zoomScalePageLayoutView="25" workbookViewId="0" topLeftCell="A4">
      <selection pane="topLeft" activeCell="A11" sqref="A11:XFD20"/>
    </sheetView>
  </sheetViews>
  <sheetFormatPr defaultColWidth="9.44140625" defaultRowHeight="39.9" customHeight="1"/>
  <cols>
    <col min="1" max="1" width="10.4285714285714" style="61" customWidth="1"/>
    <col min="2" max="2" width="30.5714285714286" style="61" customWidth="1"/>
    <col min="3" max="5" width="18.5714285714286" style="61" customWidth="1"/>
    <col min="6" max="6" width="20" style="61" customWidth="1"/>
    <col min="7" max="7" width="16" style="61" customWidth="1"/>
    <col min="8" max="8" width="15.4285714285714" style="61" customWidth="1"/>
    <col min="9" max="9" width="34.5714285714286" style="61" customWidth="1"/>
    <col min="10" max="10" width="20" style="62" customWidth="1"/>
    <col min="11" max="11" width="18.2857142857143" style="62" customWidth="1"/>
    <col min="12" max="12" width="21.2857142857143" style="61" customWidth="1"/>
    <col min="13" max="13" width="22.5714285714286" style="61" customWidth="1"/>
    <col min="14" max="14" width="16.7142857142857" style="61" customWidth="1"/>
    <col min="15" max="15" width="20.4285714285714" style="61" customWidth="1"/>
    <col min="16" max="16" width="24.4285714285714" customWidth="1"/>
    <col min="17" max="17" width="20.4285714285714" customWidth="1"/>
    <col min="18" max="18" width="20.2857142857143" customWidth="1"/>
    <col min="19" max="19" width="17" customWidth="1"/>
    <col min="20" max="20" width="18.4285714285714" customWidth="1"/>
    <col min="21" max="21" width="42.4285714285714" customWidth="1"/>
    <col min="22" max="22" width="32.7142857142857" customWidth="1"/>
  </cols>
  <sheetData>
    <row r="1" spans="1:22" s="16" customFormat="1" ht="109.2" customHeight="1">
      <c r="A1" s="209" t="s">
        <v>214</v>
      </c>
      <c r="B1" s="209"/>
      <c r="C1" s="209"/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209"/>
      <c r="O1" s="209"/>
      <c r="P1" s="209"/>
      <c r="Q1" s="209"/>
      <c r="R1" s="209"/>
      <c r="S1" s="209"/>
      <c r="T1" s="209"/>
      <c r="U1" s="209"/>
      <c r="V1" s="209"/>
    </row>
    <row r="2" spans="1:22" s="49" customFormat="1" ht="50.1" customHeight="1">
      <c r="A2" s="195" t="s">
        <v>146</v>
      </c>
      <c r="B2" s="195"/>
      <c r="C2" s="195"/>
      <c r="D2" s="192"/>
      <c r="E2" s="192"/>
      <c r="F2" s="192"/>
      <c r="G2" s="192" t="s">
        <v>147</v>
      </c>
      <c r="H2" s="192"/>
      <c r="I2" s="192"/>
      <c r="J2" s="194" t="str">
        <f>TRIM(Data!BF5)</f>
        <v>Evans, Belinda</v>
      </c>
      <c r="K2" s="194"/>
      <c r="L2" s="194"/>
      <c r="M2" s="194"/>
      <c r="N2" s="194"/>
      <c r="O2" s="194"/>
      <c r="P2" s="210" t="s">
        <v>148</v>
      </c>
      <c r="Q2" s="210"/>
      <c r="R2" s="210"/>
      <c r="S2" s="210"/>
      <c r="T2" s="210"/>
      <c r="U2" s="210"/>
      <c r="V2" s="210"/>
    </row>
    <row r="3" spans="1:22" s="49" customFormat="1" ht="50.1" customHeight="1">
      <c r="A3" s="196" t="s">
        <v>149</v>
      </c>
      <c r="B3" s="196"/>
      <c r="C3" s="196"/>
      <c r="D3" s="191" t="str">
        <f>TRIM(Data!BC5)</f>
        <v>40426</v>
      </c>
      <c r="E3" s="191"/>
      <c r="F3" s="191"/>
      <c r="G3" s="193" t="s">
        <v>150</v>
      </c>
      <c r="H3" s="193"/>
      <c r="I3" s="193"/>
      <c r="J3" s="194" t="str">
        <f>TRIM(Data!AX5)</f>
        <v>Sheers and Rollers</v>
      </c>
      <c r="K3" s="194"/>
      <c r="L3" s="194"/>
      <c r="M3" s="194"/>
      <c r="N3" s="194"/>
      <c r="O3" s="194"/>
      <c r="P3" s="194" t="str">
        <f>TRIM(Data!BG5)</f>
        <v/>
      </c>
      <c r="Q3" s="194"/>
      <c r="R3" s="194"/>
      <c r="S3" s="194"/>
      <c r="T3" s="194"/>
      <c r="U3" s="194"/>
      <c r="V3" s="194"/>
    </row>
    <row r="4" spans="1:22" s="50" customFormat="1" ht="50.1" customHeight="1">
      <c r="A4" s="190" t="s">
        <v>151</v>
      </c>
      <c r="B4" s="190"/>
      <c r="C4" s="190"/>
      <c r="D4" s="191" t="str">
        <f>TRIM(Data!BD5)</f>
        <v>A</v>
      </c>
      <c r="E4" s="191"/>
      <c r="F4" s="191"/>
      <c r="G4" s="193" t="s">
        <v>152</v>
      </c>
      <c r="H4" s="193"/>
      <c r="I4" s="193"/>
      <c r="J4" s="194" t="str">
        <f>LEFT(Data!BA5,10)</f>
        <v>4/09/2026 </v>
      </c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</row>
    <row r="5" spans="1:22" s="50" customFormat="1" ht="50.1" customHeight="1">
      <c r="A5" s="200" t="s">
        <v>153</v>
      </c>
      <c r="B5" s="200"/>
      <c r="C5" s="200"/>
      <c r="D5" s="201" t="str">
        <f>TRIM(Data!AY5)</f>
        <v>12/06/2026 12:00:00 AM</v>
      </c>
      <c r="E5" s="201"/>
      <c r="F5" s="201"/>
      <c r="G5" s="191" t="s">
        <v>154</v>
      </c>
      <c r="H5" s="191"/>
      <c r="I5" s="191"/>
      <c r="J5" s="194" t="str">
        <f>CONCATENATE(Data!CX5," ",Data!CY5)</f>
        <v>Belinda  Evans</v>
      </c>
      <c r="K5" s="194"/>
      <c r="L5" s="194"/>
      <c r="M5" s="194"/>
      <c r="N5" s="194"/>
      <c r="O5" s="194"/>
      <c r="P5" s="194"/>
      <c r="Q5" s="194"/>
      <c r="R5" s="194"/>
      <c r="S5" s="194"/>
      <c r="T5" s="194"/>
      <c r="U5" s="194"/>
      <c r="V5" s="194"/>
    </row>
    <row r="6" spans="1:22" s="50" customFormat="1" ht="50.1" customHeight="1">
      <c r="A6" s="199" t="str">
        <f>TRIM(Data!CZ5)</f>
        <v>Retail Customer</v>
      </c>
      <c r="B6" s="199"/>
      <c r="C6" s="199"/>
      <c r="D6" s="199"/>
      <c r="E6" s="199"/>
      <c r="F6" s="199"/>
      <c r="G6" s="191"/>
      <c r="H6" s="191"/>
      <c r="I6" s="191"/>
      <c r="J6" s="194" t="str">
        <f>CONCATENATE(Data!BH5," ",Data!BI5," ",Data!BJ5," ",Data!BK5," ",Data!BL5)</f>
        <v xml:space="preserve"> 15  Dublin Street </v>
      </c>
      <c r="K6" s="194"/>
      <c r="L6" s="194"/>
      <c r="M6" s="194"/>
      <c r="N6" s="194"/>
      <c r="O6" s="194"/>
      <c r="P6" s="194"/>
      <c r="Q6" s="194"/>
      <c r="R6" s="194"/>
      <c r="S6" s="194"/>
      <c r="T6" s="194"/>
      <c r="U6" s="194"/>
      <c r="V6" s="194"/>
    </row>
    <row r="7" spans="1:22" s="50" customFormat="1" ht="50.1" customHeight="1">
      <c r="A7" s="199"/>
      <c r="B7" s="199"/>
      <c r="C7" s="199"/>
      <c r="D7" s="199"/>
      <c r="E7" s="199"/>
      <c r="F7" s="199"/>
      <c r="G7" s="191"/>
      <c r="H7" s="191"/>
      <c r="I7" s="191"/>
      <c r="J7" s="194" t="str">
        <f>CONCATENATE(Data!BM5," ",Data!BN5," ",Data!BO5," ",Data!BP5)</f>
        <v>Alfredton VIC 3350 Australia</v>
      </c>
      <c r="K7" s="194"/>
      <c r="L7" s="194"/>
      <c r="M7" s="194"/>
      <c r="N7" s="194"/>
      <c r="O7" s="194"/>
      <c r="P7" s="91" t="s">
        <v>215</v>
      </c>
      <c r="Q7" s="92"/>
      <c r="R7" s="207" t="s">
        <v>216</v>
      </c>
      <c r="S7" s="207"/>
      <c r="T7" s="207"/>
      <c r="U7" s="92">
        <f>IF(COUNTIF(U11:U999,"Extreme - Consult Installer")&gt;0,"Extreme - Consult Installer",ROUNDUP(SUM(U11:U999),0))</f>
        <v>50</v>
      </c>
      <c r="V7" s="94"/>
    </row>
    <row r="8" spans="1:22" s="58" customFormat="1" ht="50.1" customHeight="1">
      <c r="A8" s="202" t="s">
        <v>159</v>
      </c>
      <c r="B8" s="164" t="s">
        <v>160</v>
      </c>
      <c r="C8" s="208" t="s">
        <v>217</v>
      </c>
      <c r="D8" s="208" t="s">
        <v>218</v>
      </c>
      <c r="E8" s="165" t="s">
        <v>219</v>
      </c>
      <c r="F8" s="165" t="s">
        <v>164</v>
      </c>
      <c r="G8" s="208" t="s">
        <v>220</v>
      </c>
      <c r="H8" s="208" t="s">
        <v>221</v>
      </c>
      <c r="I8" s="163" t="s">
        <v>167</v>
      </c>
      <c r="J8" s="163" t="s">
        <v>162</v>
      </c>
      <c r="K8" s="163" t="s">
        <v>168</v>
      </c>
      <c r="L8" s="163" t="s">
        <v>169</v>
      </c>
      <c r="M8" s="163" t="s">
        <v>170</v>
      </c>
      <c r="N8" s="164" t="s">
        <v>173</v>
      </c>
      <c r="O8" s="163" t="s">
        <v>179</v>
      </c>
      <c r="P8" s="163" t="s">
        <v>185</v>
      </c>
      <c r="Q8" s="166" t="s">
        <v>195</v>
      </c>
      <c r="R8" s="166" t="s">
        <v>196</v>
      </c>
      <c r="S8" s="166" t="s">
        <v>197</v>
      </c>
      <c r="T8" s="166" t="s">
        <v>215</v>
      </c>
      <c r="U8" s="166" t="s">
        <v>222</v>
      </c>
      <c r="V8" s="166" t="s">
        <v>199</v>
      </c>
    </row>
    <row r="9" spans="1:22" s="58" customFormat="1" ht="14.25" customHeight="1" hidden="1">
      <c r="A9" s="202"/>
      <c r="B9" s="164"/>
      <c r="C9" s="208"/>
      <c r="D9" s="208"/>
      <c r="E9" s="165"/>
      <c r="F9" s="165"/>
      <c r="G9" s="208"/>
      <c r="H9" s="208"/>
      <c r="I9" s="163"/>
      <c r="J9" s="163"/>
      <c r="K9" s="163"/>
      <c r="L9" s="163"/>
      <c r="M9" s="163"/>
      <c r="N9" s="164"/>
      <c r="O9" s="163"/>
      <c r="P9" s="163"/>
      <c r="Q9" s="167"/>
      <c r="R9" s="167"/>
      <c r="S9" s="167"/>
      <c r="T9" s="167"/>
      <c r="U9" s="167"/>
      <c r="V9" s="167"/>
    </row>
    <row r="10" spans="1:22" s="59" customFormat="1" ht="42" customHeight="1">
      <c r="A10" s="202"/>
      <c r="B10" s="164"/>
      <c r="C10" s="208"/>
      <c r="D10" s="208"/>
      <c r="E10" s="165"/>
      <c r="F10" s="165"/>
      <c r="G10" s="208"/>
      <c r="H10" s="208"/>
      <c r="I10" s="163"/>
      <c r="J10" s="163"/>
      <c r="K10" s="163"/>
      <c r="L10" s="163"/>
      <c r="M10" s="163"/>
      <c r="N10" s="164"/>
      <c r="O10" s="163"/>
      <c r="P10" s="163"/>
      <c r="Q10" s="168"/>
      <c r="R10" s="168"/>
      <c r="S10" s="168"/>
      <c r="T10" s="168"/>
      <c r="U10" s="168"/>
      <c r="V10" s="168"/>
    </row>
    <row r="11" spans="1:22" s="24" customFormat="1" ht="69.75">
      <c r="A11" s="69" t="str">
        <f>IF('Job Sheet'!AJ11="Installation",'Job Sheet'!A11,"")</f>
        <v>9</v>
      </c>
      <c r="B11" s="69" t="str">
        <f>IF('Job Sheet'!AJ11="Installation",'Job Sheet'!B11,"")</f>
        <v>Living Door 1</v>
      </c>
      <c r="C11" s="86">
        <f>IF('Job Sheet'!AJ11="Installation",'Job Sheet'!C11,"")</f>
        <v>876</v>
      </c>
      <c r="D11" s="87">
        <f>IF('Job Sheet'!AJ11="Installation",Data!BB11,"")</f>
        <v>2110</v>
      </c>
      <c r="E11" s="30" t="str">
        <f>IF('Job Sheet'!AJ11="Installation",'Job Sheet'!E11,"")</f>
        <v>Opening</v>
      </c>
      <c r="F11" s="30" t="str">
        <f>IF('Job Sheet'!AJ11="Installation",'Job Sheet'!F11,"")</f>
        <v>Side by Side(Reveal)</v>
      </c>
      <c r="G11" s="87">
        <f>IF('Job Sheet'!AJ11="Installation",'Job Sheet'!G11,"")</f>
        <v>874</v>
      </c>
      <c r="H11" s="87">
        <f>IF('Job Sheet'!AJ11="Installation",Data!BB11,"")</f>
        <v>2110</v>
      </c>
      <c r="I11" s="23" t="str">
        <f>IF('Job Sheet'!AJ11="Installation",CONCATENATE(Data!BO11," ",Data!BP11),"")</f>
        <v>Focus Blockout Polar</v>
      </c>
      <c r="J11" s="30" t="str">
        <f>IF('Job Sheet'!AJ11="Installation",'Job Sheet'!D11,"")</f>
        <v>No</v>
      </c>
      <c r="K11" s="30" t="str">
        <f>IF('Job Sheet'!AJ11="Installation",'Job Sheet'!J11,"")</f>
        <v>Reveal</v>
      </c>
      <c r="L11" s="30" t="str">
        <f>IF('Job Sheet'!AJ11="Installation",'Job Sheet'!K11,"")</f>
        <v>Timber</v>
      </c>
      <c r="M11" s="30" t="str">
        <f>IF('Job Sheet'!AJ11="Installation",CONCATENATE('Job Sheet'!L11," ",'Job Sheet'!M11),"")</f>
        <v>Chain Winder Left</v>
      </c>
      <c r="N11" s="30" t="str">
        <f>IF('Job Sheet'!AJ11="Installation",'Job Sheet'!O11,"")</f>
        <v>Front</v>
      </c>
      <c r="O11" s="30" t="str">
        <f>IF('Job Sheet'!AJ11="Installation",'Job Sheet'!AS11,"")</f>
        <v>Single</v>
      </c>
      <c r="P11" s="30" t="str">
        <f>IF('Job Sheet'!AJ11="Installation",'Job Sheet'!AA11,"")</f>
        <v>None</v>
      </c>
      <c r="Q11" s="30" t="str">
        <f>IF('Job Sheet'!AJ11="Installation",'Job Sheet'!AK11,"")</f>
        <v>2.1m-2.4m</v>
      </c>
      <c r="R11" s="30" t="str">
        <f>IF('Job Sheet'!AJ11="Installation",'Job Sheet'!AL11,"")</f>
        <v>Occupied Home</v>
      </c>
      <c r="S11" s="30" t="str">
        <f>IF('Job Sheet'!AJ11="Installation",'Job Sheet'!AM11,"")</f>
        <v>Yes</v>
      </c>
      <c r="T11" s="30"/>
      <c r="U11" s="30">
        <f>IF(Data!AV11="","",IF('Job Sheet'!AL11="Extreme - Consult Installer","Consult Installer",(5+IFERROR(VLOOKUP(Q11,FHEIGHT,2,FALSE),0)+IFERROR(VLOOKUP(R11,FGRADING,2,FALSE),0)+IFERROR(VLOOKUP(S11,FTAKEDOWN,2,FALSE),0)+IFERROR(VLOOKUP(L11,FSURFACE,2,FALSE),0)+IFERROR(VLOOKUP(K11,FFITTING,2,FALSE),0)+IFERROR(VLOOKUP(P11,FPELMET,2,FALSE),0)+IFERROR(VLOOKUP(F11,FDeduct,2,FALSE),0)+IFERROR(VLOOKUP(M11,FCONTROL,2,FALSE),0))*IF(VLOOKUP(O11,FDBRACKET,2,FALSE)="Yes",0.75,1)))</f>
        <v>14</v>
      </c>
      <c r="V11" s="30" t="str">
        <f>IF('Job Sheet'!AJ11="Installation",'Job Sheet'!AO11,"")</f>
        <v/>
      </c>
    </row>
    <row r="12" spans="1:22" s="24" customFormat="1" ht="69.75">
      <c r="A12" s="69" t="str">
        <f>IF('Job Sheet'!AJ12="Installation",'Job Sheet'!A12,"")</f>
        <v>10</v>
      </c>
      <c r="B12" s="69" t="str">
        <f>IF('Job Sheet'!AJ12="Installation",'Job Sheet'!B12,"")</f>
        <v>Living Door 2</v>
      </c>
      <c r="C12" s="86">
        <f>IF('Job Sheet'!AJ12="Installation",'Job Sheet'!C12,"")</f>
        <v>950</v>
      </c>
      <c r="D12" s="87">
        <f>IF('Job Sheet'!AJ12="Installation",Data!BB12,"")</f>
        <v>2110</v>
      </c>
      <c r="E12" s="30" t="str">
        <f>IF('Job Sheet'!AJ12="Installation",'Job Sheet'!E12,"")</f>
        <v>Opening</v>
      </c>
      <c r="F12" s="30" t="str">
        <f>IF('Job Sheet'!AJ12="Installation",'Job Sheet'!F12,"")</f>
        <v>No</v>
      </c>
      <c r="G12" s="87">
        <f>IF('Job Sheet'!AJ12="Installation",'Job Sheet'!G12,"")</f>
        <v>947</v>
      </c>
      <c r="H12" s="87">
        <f>IF('Job Sheet'!AJ12="Installation",Data!BB12,"")</f>
        <v>2110</v>
      </c>
      <c r="I12" s="23" t="str">
        <f>IF('Job Sheet'!AJ12="Installation",CONCATENATE(Data!BO12," ",Data!BP12),"")</f>
        <v>Focus Blockout Polar</v>
      </c>
      <c r="J12" s="30" t="str">
        <f>IF('Job Sheet'!AJ12="Installation",'Job Sheet'!D12,"")</f>
        <v>No</v>
      </c>
      <c r="K12" s="30" t="str">
        <f>IF('Job Sheet'!AJ12="Installation",'Job Sheet'!J12,"")</f>
        <v>Reveal</v>
      </c>
      <c r="L12" s="30" t="str">
        <f>IF('Job Sheet'!AJ12="Installation",'Job Sheet'!K12,"")</f>
        <v>Timber</v>
      </c>
      <c r="M12" s="30" t="str">
        <f>IF('Job Sheet'!AJ12="Installation",CONCATENATE('Job Sheet'!L12," ",'Job Sheet'!M12),"")</f>
        <v>Chain Winder Left</v>
      </c>
      <c r="N12" s="30" t="str">
        <f>IF('Job Sheet'!AJ12="Installation",'Job Sheet'!O12,"")</f>
        <v>Front</v>
      </c>
      <c r="O12" s="30" t="str">
        <f>IF('Job Sheet'!AJ12="Installation",'Job Sheet'!AS12,"")</f>
        <v>Single &amp; Single Linked</v>
      </c>
      <c r="P12" s="30" t="str">
        <f>IF('Job Sheet'!AJ12="Installation",'Job Sheet'!AA12,"")</f>
        <v>None</v>
      </c>
      <c r="Q12" s="30" t="str">
        <f>IF('Job Sheet'!AJ12="Installation",'Job Sheet'!AK12,"")</f>
        <v>2.1m-2.4m</v>
      </c>
      <c r="R12" s="30" t="str">
        <f>IF('Job Sheet'!AJ12="Installation",'Job Sheet'!AL12,"")</f>
        <v>Occupied Home</v>
      </c>
      <c r="S12" s="30" t="str">
        <f>IF('Job Sheet'!AJ12="Installation",'Job Sheet'!AM12,"")</f>
        <v>Yes</v>
      </c>
      <c r="T12" s="30"/>
      <c r="U12" s="30">
        <f>IF(Data!AV12="","",IF('Job Sheet'!AL12="Extreme - Consult Installer","Consult Installer",(5+IFERROR(VLOOKUP(Q12,FHEIGHT,2,FALSE),0)+IFERROR(VLOOKUP(R12,FGRADING,2,FALSE),0)+IFERROR(VLOOKUP(S12,FTAKEDOWN,2,FALSE),0)+IFERROR(VLOOKUP(L12,FSURFACE,2,FALSE),0)+IFERROR(VLOOKUP(K12,FFITTING,2,FALSE),0)+IFERROR(VLOOKUP(P12,FPELMET,2,FALSE),0)+IFERROR(VLOOKUP(F12,FDeduct,2,FALSE),0)+IFERROR(VLOOKUP(M12,FCONTROL,2,FALSE),0))*IF(VLOOKUP(O12,FDBRACKET,2,FALSE)="Yes",0.75,1)))</f>
        <v>12</v>
      </c>
      <c r="V12" s="30" t="str">
        <f>IF('Job Sheet'!AJ12="Installation",'Job Sheet'!AO12,"")</f>
        <v/>
      </c>
    </row>
    <row r="13" spans="1:22" s="24" customFormat="1" ht="60" customHeight="1">
      <c r="A13" s="69" t="str">
        <f>IF('Job Sheet'!AJ13="Installation",'Job Sheet'!A13,"")</f>
        <v>11</v>
      </c>
      <c r="B13" s="69" t="str">
        <f>IF('Job Sheet'!AJ13="Installation",'Job Sheet'!B13,"")</f>
        <v>Living Door 3</v>
      </c>
      <c r="C13" s="86">
        <f>IF('Job Sheet'!AJ13="Installation",'Job Sheet'!C13,"")</f>
        <v>874</v>
      </c>
      <c r="D13" s="87">
        <f>IF('Job Sheet'!AJ13="Installation",Data!BB13,"")</f>
        <v>2110</v>
      </c>
      <c r="E13" s="30" t="str">
        <f>IF('Job Sheet'!AJ13="Installation",'Job Sheet'!E13,"")</f>
        <v>Opening</v>
      </c>
      <c r="F13" s="30" t="str">
        <f>IF('Job Sheet'!AJ13="Installation",'Job Sheet'!F13,"")</f>
        <v>No</v>
      </c>
      <c r="G13" s="87">
        <f>IF('Job Sheet'!AJ13="Installation",'Job Sheet'!G13,"")</f>
        <v>871</v>
      </c>
      <c r="H13" s="87">
        <f>IF('Job Sheet'!AJ13="Installation",Data!BB13,"")</f>
        <v>2110</v>
      </c>
      <c r="I13" s="23" t="str">
        <f>IF('Job Sheet'!AJ13="Installation",CONCATENATE(Data!BO13," ",Data!BP13),"")</f>
        <v>Focus Blockout Polar</v>
      </c>
      <c r="J13" s="30" t="str">
        <f>IF('Job Sheet'!AJ13="Installation",'Job Sheet'!D13,"")</f>
        <v>No</v>
      </c>
      <c r="K13" s="30" t="str">
        <f>IF('Job Sheet'!AJ13="Installation",'Job Sheet'!J13,"")</f>
        <v>Reveal</v>
      </c>
      <c r="L13" s="30" t="str">
        <f>IF('Job Sheet'!AJ13="Installation",'Job Sheet'!K13,"")</f>
        <v>Timber</v>
      </c>
      <c r="M13" s="30" t="str">
        <f>IF('Job Sheet'!AJ13="Installation",CONCATENATE('Job Sheet'!L13," ",'Job Sheet'!M13),"")</f>
        <v>Chain Winder Right</v>
      </c>
      <c r="N13" s="30" t="str">
        <f>IF('Job Sheet'!AJ13="Installation",'Job Sheet'!O13,"")</f>
        <v>Front</v>
      </c>
      <c r="O13" s="30" t="str">
        <f>IF('Job Sheet'!AJ13="Installation",'Job Sheet'!AS13,"")</f>
        <v>Single</v>
      </c>
      <c r="P13" s="30" t="str">
        <f>IF('Job Sheet'!AJ13="Installation",'Job Sheet'!AA13,"")</f>
        <v>None</v>
      </c>
      <c r="Q13" s="30" t="str">
        <f>IF('Job Sheet'!AJ13="Installation",'Job Sheet'!AK13,"")</f>
        <v>2.1m-2.4m</v>
      </c>
      <c r="R13" s="30" t="str">
        <f>IF('Job Sheet'!AJ13="Installation",'Job Sheet'!AL13,"")</f>
        <v>Occupied Home</v>
      </c>
      <c r="S13" s="30" t="str">
        <f>IF('Job Sheet'!AJ13="Installation",'Job Sheet'!AM13,"")</f>
        <v>Yes</v>
      </c>
      <c r="T13" s="30"/>
      <c r="U13" s="30">
        <f>IF(Data!AV13="","",IF('Job Sheet'!AL13="Extreme - Consult Installer","Consult Installer",(5+IFERROR(VLOOKUP(Q13,FHEIGHT,2,FALSE),0)+IFERROR(VLOOKUP(R13,FGRADING,2,FALSE),0)+IFERROR(VLOOKUP(S13,FTAKEDOWN,2,FALSE),0)+IFERROR(VLOOKUP(L13,FSURFACE,2,FALSE),0)+IFERROR(VLOOKUP(K13,FFITTING,2,FALSE),0)+IFERROR(VLOOKUP(P13,FPELMET,2,FALSE),0)+IFERROR(VLOOKUP(F13,FDeduct,2,FALSE),0)+IFERROR(VLOOKUP(M13,FCONTROL,2,FALSE),0))*IF(VLOOKUP(O13,FDBRACKET,2,FALSE)="Yes",0.75,1)))</f>
        <v>12</v>
      </c>
      <c r="V13" s="30" t="str">
        <f>IF('Job Sheet'!AJ13="Installation",'Job Sheet'!AO13,"")</f>
        <v/>
      </c>
    </row>
    <row r="14" spans="1:22" s="24" customFormat="1" ht="60" customHeight="1">
      <c r="A14" s="69" t="str">
        <f>IF('Job Sheet'!AJ14="Installation",'Job Sheet'!A14,"")</f>
        <v>12</v>
      </c>
      <c r="B14" s="69" t="str">
        <f>IF('Job Sheet'!AJ14="Installation",'Job Sheet'!B14,"")</f>
        <v>Study</v>
      </c>
      <c r="C14" s="86">
        <f>IF('Job Sheet'!AJ14="Installation",'Job Sheet'!C14,"")</f>
        <v>2051</v>
      </c>
      <c r="D14" s="87">
        <f>IF('Job Sheet'!AJ14="Installation",Data!BB14,"")</f>
        <v>1460</v>
      </c>
      <c r="E14" s="30" t="str">
        <f>IF('Job Sheet'!AJ14="Installation",'Job Sheet'!E14,"")</f>
        <v>Opening</v>
      </c>
      <c r="F14" s="30" t="str">
        <f>IF('Job Sheet'!AJ14="Installation",'Job Sheet'!F14,"")</f>
        <v>No</v>
      </c>
      <c r="G14" s="87">
        <f>IF('Job Sheet'!AJ14="Installation",'Job Sheet'!G14,"")</f>
        <v>2048</v>
      </c>
      <c r="H14" s="87">
        <f>IF('Job Sheet'!AJ14="Installation",Data!BB14,"")</f>
        <v>1460</v>
      </c>
      <c r="I14" s="23" t="str">
        <f>IF('Job Sheet'!AJ14="Installation",CONCATENATE(Data!BO14," ",Data!BP14),"")</f>
        <v>Focus Blockout Polar</v>
      </c>
      <c r="J14" s="30" t="str">
        <f>IF('Job Sheet'!AJ14="Installation",'Job Sheet'!D14,"")</f>
        <v>No</v>
      </c>
      <c r="K14" s="30" t="str">
        <f>IF('Job Sheet'!AJ14="Installation",'Job Sheet'!J14,"")</f>
        <v>Reveal</v>
      </c>
      <c r="L14" s="30" t="str">
        <f>IF('Job Sheet'!AJ14="Installation",'Job Sheet'!K14,"")</f>
        <v>Timber</v>
      </c>
      <c r="M14" s="30" t="str">
        <f>IF('Job Sheet'!AJ14="Installation",CONCATENATE('Job Sheet'!L14," ",'Job Sheet'!M14),"")</f>
        <v>Chain Winder Right</v>
      </c>
      <c r="N14" s="30" t="str">
        <f>IF('Job Sheet'!AJ14="Installation",'Job Sheet'!O14,"")</f>
        <v>Back</v>
      </c>
      <c r="O14" s="30" t="str">
        <f>IF('Job Sheet'!AJ14="Installation",'Job Sheet'!AS14,"")</f>
        <v>Single</v>
      </c>
      <c r="P14" s="30" t="str">
        <f>IF('Job Sheet'!AJ14="Installation",'Job Sheet'!AA14,"")</f>
        <v>None</v>
      </c>
      <c r="Q14" s="30" t="str">
        <f>IF('Job Sheet'!AJ14="Installation",'Job Sheet'!AK14,"")</f>
        <v>2.1m-2.4m</v>
      </c>
      <c r="R14" s="30" t="str">
        <f>IF('Job Sheet'!AJ14="Installation",'Job Sheet'!AL14,"")</f>
        <v>Occupied Home</v>
      </c>
      <c r="S14" s="30" t="str">
        <f>IF('Job Sheet'!AJ14="Installation",'Job Sheet'!AM14,"")</f>
        <v>Yes</v>
      </c>
      <c r="T14" s="30"/>
      <c r="U14" s="30">
        <f>IF(Data!AV14="","",IF('Job Sheet'!AL14="Extreme - Consult Installer","Consult Installer",(5+IFERROR(VLOOKUP(Q14,FHEIGHT,2,FALSE),0)+IFERROR(VLOOKUP(R14,FGRADING,2,FALSE),0)+IFERROR(VLOOKUP(S14,FTAKEDOWN,2,FALSE),0)+IFERROR(VLOOKUP(L14,FSURFACE,2,FALSE),0)+IFERROR(VLOOKUP(K14,FFITTING,2,FALSE),0)+IFERROR(VLOOKUP(P14,FPELMET,2,FALSE),0)+IFERROR(VLOOKUP(F14,FDeduct,2,FALSE),0)+IFERROR(VLOOKUP(M14,FCONTROL,2,FALSE),0))*IF(VLOOKUP(O14,FDBRACKET,2,FALSE)="Yes",0.75,1)))</f>
        <v>12</v>
      </c>
      <c r="V14" s="30" t="str">
        <f>IF('Job Sheet'!AJ14="Installation",'Job Sheet'!AO14,"")</f>
        <v/>
      </c>
    </row>
    <row r="15" spans="1:22" s="24" customFormat="1" ht="60" customHeight="1">
      <c r="A15" s="69" t="str">
        <f>IF('Job Sheet'!AJ15="Installation",'Job Sheet'!A15,"")</f>
        <v/>
      </c>
      <c r="B15" s="69" t="str">
        <f>IF('Job Sheet'!AJ15="Installation",'Job Sheet'!B15,"")</f>
        <v/>
      </c>
      <c r="C15" s="86" t="str">
        <f>IF('Job Sheet'!AJ15="Installation",'Job Sheet'!C15,"")</f>
        <v/>
      </c>
      <c r="D15" s="87" t="str">
        <f>IF('Job Sheet'!AJ15="Installation",Data!BB15,"")</f>
        <v/>
      </c>
      <c r="E15" s="30" t="str">
        <f>IF('Job Sheet'!AJ15="Installation",'Job Sheet'!E15,"")</f>
        <v/>
      </c>
      <c r="F15" s="30" t="str">
        <f>IF('Job Sheet'!AJ15="Installation",'Job Sheet'!F15,"")</f>
        <v/>
      </c>
      <c r="G15" s="87" t="str">
        <f>IF('Job Sheet'!AJ15="Installation",'Job Sheet'!G15,"")</f>
        <v/>
      </c>
      <c r="H15" s="87" t="str">
        <f>IF('Job Sheet'!AJ15="Installation",Data!BB15,"")</f>
        <v/>
      </c>
      <c r="I15" s="23" t="str">
        <f>IF('Job Sheet'!AJ15="Installation",CONCATENATE(Data!BO15," ",Data!BP15),"")</f>
        <v/>
      </c>
      <c r="J15" s="30" t="str">
        <f>IF('Job Sheet'!AJ15="Installation",'Job Sheet'!D15,"")</f>
        <v/>
      </c>
      <c r="K15" s="30" t="str">
        <f>IF('Job Sheet'!AJ15="Installation",'Job Sheet'!J15,"")</f>
        <v/>
      </c>
      <c r="L15" s="30" t="str">
        <f>IF('Job Sheet'!AJ15="Installation",'Job Sheet'!K15,"")</f>
        <v/>
      </c>
      <c r="M15" s="30" t="str">
        <f>IF('Job Sheet'!AJ15="Installation",CONCATENATE('Job Sheet'!L15," ",'Job Sheet'!M15),"")</f>
        <v/>
      </c>
      <c r="N15" s="30" t="str">
        <f>IF('Job Sheet'!AJ15="Installation",'Job Sheet'!O15,"")</f>
        <v/>
      </c>
      <c r="O15" s="30" t="str">
        <f>IF('Job Sheet'!AJ15="Installation",'Job Sheet'!AS15,"")</f>
        <v/>
      </c>
      <c r="P15" s="30" t="str">
        <f>IF('Job Sheet'!AJ15="Installation",'Job Sheet'!AA15,"")</f>
        <v/>
      </c>
      <c r="Q15" s="30" t="str">
        <f>IF('Job Sheet'!AJ15="Installation",'Job Sheet'!AK15,"")</f>
        <v/>
      </c>
      <c r="R15" s="30" t="str">
        <f>IF('Job Sheet'!AJ15="Installation",'Job Sheet'!AL15,"")</f>
        <v/>
      </c>
      <c r="S15" s="30" t="str">
        <f>IF('Job Sheet'!AJ15="Installation",'Job Sheet'!AM15,"")</f>
        <v/>
      </c>
      <c r="T15" s="30"/>
      <c r="U15" s="30" t="str">
        <f>IF(Data!AV15="","",IF('Job Sheet'!AL15="Extreme - Consult Installer","Consult Installer",(5+IFERROR(VLOOKUP(Q15,FHEIGHT,2,FALSE),0)+IFERROR(VLOOKUP(R15,FGRADING,2,FALSE),0)+IFERROR(VLOOKUP(S15,FTAKEDOWN,2,FALSE),0)+IFERROR(VLOOKUP(L15,FSURFACE,2,FALSE),0)+IFERROR(VLOOKUP(K15,FFITTING,2,FALSE),0)+IFERROR(VLOOKUP(P15,FPELMET,2,FALSE),0)+IFERROR(VLOOKUP(F15,FDeduct,2,FALSE),0)+IFERROR(VLOOKUP(M15,FCONTROL,2,FALSE),0))*IF(VLOOKUP(O15,FDBRACKET,2,FALSE)="Yes",0.75,1)))</f>
        <v/>
      </c>
      <c r="V15" s="30" t="str">
        <f>IF('Job Sheet'!AJ15="Installation",'Job Sheet'!AO15,"")</f>
        <v/>
      </c>
    </row>
    <row r="16" spans="1:22" s="24" customFormat="1" ht="60" customHeight="1">
      <c r="A16" s="69" t="str">
        <f>IF('Job Sheet'!AJ16="Installation",'Job Sheet'!A16,"")</f>
        <v/>
      </c>
      <c r="B16" s="69" t="str">
        <f>IF('Job Sheet'!AJ16="Installation",'Job Sheet'!B16,"")</f>
        <v/>
      </c>
      <c r="C16" s="86" t="str">
        <f>IF('Job Sheet'!AJ16="Installation",'Job Sheet'!C16,"")</f>
        <v/>
      </c>
      <c r="D16" s="87" t="str">
        <f>IF('Job Sheet'!AJ16="Installation",Data!BB16,"")</f>
        <v/>
      </c>
      <c r="E16" s="30" t="str">
        <f>IF('Job Sheet'!AJ16="Installation",'Job Sheet'!E16,"")</f>
        <v/>
      </c>
      <c r="F16" s="30" t="str">
        <f>IF('Job Sheet'!AJ16="Installation",'Job Sheet'!F16,"")</f>
        <v/>
      </c>
      <c r="G16" s="87" t="str">
        <f>IF('Job Sheet'!AJ16="Installation",'Job Sheet'!G16,"")</f>
        <v/>
      </c>
      <c r="H16" s="87" t="str">
        <f>IF('Job Sheet'!AJ16="Installation",Data!BB16,"")</f>
        <v/>
      </c>
      <c r="I16" s="23" t="str">
        <f>IF('Job Sheet'!AJ16="Installation",CONCATENATE(Data!BO16," ",Data!BP16),"")</f>
        <v/>
      </c>
      <c r="J16" s="30" t="str">
        <f>IF('Job Sheet'!AJ16="Installation",'Job Sheet'!D16,"")</f>
        <v/>
      </c>
      <c r="K16" s="30" t="str">
        <f>IF('Job Sheet'!AJ16="Installation",'Job Sheet'!J16,"")</f>
        <v/>
      </c>
      <c r="L16" s="30" t="str">
        <f>IF('Job Sheet'!AJ16="Installation",'Job Sheet'!K16,"")</f>
        <v/>
      </c>
      <c r="M16" s="30" t="str">
        <f>IF('Job Sheet'!AJ16="Installation",CONCATENATE('Job Sheet'!L16," ",'Job Sheet'!M16),"")</f>
        <v/>
      </c>
      <c r="N16" s="30" t="str">
        <f>IF('Job Sheet'!AJ16="Installation",'Job Sheet'!O16,"")</f>
        <v/>
      </c>
      <c r="O16" s="30" t="str">
        <f>IF('Job Sheet'!AJ16="Installation",'Job Sheet'!AS16,"")</f>
        <v/>
      </c>
      <c r="P16" s="30" t="str">
        <f>IF('Job Sheet'!AJ16="Installation",'Job Sheet'!AA16,"")</f>
        <v/>
      </c>
      <c r="Q16" s="30" t="str">
        <f>IF('Job Sheet'!AJ16="Installation",'Job Sheet'!AK16,"")</f>
        <v/>
      </c>
      <c r="R16" s="30" t="str">
        <f>IF('Job Sheet'!AJ16="Installation",'Job Sheet'!AL16,"")</f>
        <v/>
      </c>
      <c r="S16" s="30" t="str">
        <f>IF('Job Sheet'!AJ16="Installation",'Job Sheet'!AM16,"")</f>
        <v/>
      </c>
      <c r="T16" s="30"/>
      <c r="U16" s="30" t="str">
        <f>IF(Data!AV16="","",IF('Job Sheet'!AL16="Extreme - Consult Installer","Consult Installer",(5+IFERROR(VLOOKUP(Q16,FHEIGHT,2,FALSE),0)+IFERROR(VLOOKUP(R16,FGRADING,2,FALSE),0)+IFERROR(VLOOKUP(S16,FTAKEDOWN,2,FALSE),0)+IFERROR(VLOOKUP(L16,FSURFACE,2,FALSE),0)+IFERROR(VLOOKUP(K16,FFITTING,2,FALSE),0)+IFERROR(VLOOKUP(P16,FPELMET,2,FALSE),0)+IFERROR(VLOOKUP(F16,FDeduct,2,FALSE),0)+IFERROR(VLOOKUP(M16,FCONTROL,2,FALSE),0))*IF(VLOOKUP(O16,FDBRACKET,2,FALSE)="Yes",0.75,1)))</f>
        <v/>
      </c>
      <c r="V16" s="30" t="str">
        <f>IF('Job Sheet'!AJ16="Installation",'Job Sheet'!AO16,"")</f>
        <v/>
      </c>
    </row>
    <row r="17" spans="1:22" s="24" customFormat="1" ht="60" customHeight="1">
      <c r="A17" s="69" t="str">
        <f>IF('Job Sheet'!AJ17="Installation",'Job Sheet'!A17,"")</f>
        <v/>
      </c>
      <c r="B17" s="69" t="str">
        <f>IF('Job Sheet'!AJ17="Installation",'Job Sheet'!B17,"")</f>
        <v/>
      </c>
      <c r="C17" s="86" t="str">
        <f>IF('Job Sheet'!AJ17="Installation",'Job Sheet'!C17,"")</f>
        <v/>
      </c>
      <c r="D17" s="87" t="str">
        <f>IF('Job Sheet'!AJ17="Installation",Data!BB17,"")</f>
        <v/>
      </c>
      <c r="E17" s="30" t="str">
        <f>IF('Job Sheet'!AJ17="Installation",'Job Sheet'!E17,"")</f>
        <v/>
      </c>
      <c r="F17" s="30" t="str">
        <f>IF('Job Sheet'!AJ17="Installation",'Job Sheet'!F17,"")</f>
        <v/>
      </c>
      <c r="G17" s="87" t="str">
        <f>IF('Job Sheet'!AJ17="Installation",'Job Sheet'!G17,"")</f>
        <v/>
      </c>
      <c r="H17" s="87" t="str">
        <f>IF('Job Sheet'!AJ17="Installation",Data!BB17,"")</f>
        <v/>
      </c>
      <c r="I17" s="23" t="str">
        <f>IF('Job Sheet'!AJ17="Installation",CONCATENATE(Data!BO17," ",Data!BP17),"")</f>
        <v/>
      </c>
      <c r="J17" s="30" t="str">
        <f>IF('Job Sheet'!AJ17="Installation",'Job Sheet'!D17,"")</f>
        <v/>
      </c>
      <c r="K17" s="30" t="str">
        <f>IF('Job Sheet'!AJ17="Installation",'Job Sheet'!J17,"")</f>
        <v/>
      </c>
      <c r="L17" s="30" t="str">
        <f>IF('Job Sheet'!AJ17="Installation",'Job Sheet'!K17,"")</f>
        <v/>
      </c>
      <c r="M17" s="30" t="str">
        <f>IF('Job Sheet'!AJ17="Installation",CONCATENATE('Job Sheet'!L17," ",'Job Sheet'!M17),"")</f>
        <v/>
      </c>
      <c r="N17" s="30" t="str">
        <f>IF('Job Sheet'!AJ17="Installation",'Job Sheet'!O17,"")</f>
        <v/>
      </c>
      <c r="O17" s="30" t="str">
        <f>IF('Job Sheet'!AJ17="Installation",'Job Sheet'!AS17,"")</f>
        <v/>
      </c>
      <c r="P17" s="30" t="str">
        <f>IF('Job Sheet'!AJ17="Installation",'Job Sheet'!AA17,"")</f>
        <v/>
      </c>
      <c r="Q17" s="30" t="str">
        <f>IF('Job Sheet'!AJ17="Installation",'Job Sheet'!AK17,"")</f>
        <v/>
      </c>
      <c r="R17" s="30" t="str">
        <f>IF('Job Sheet'!AJ17="Installation",'Job Sheet'!AL17,"")</f>
        <v/>
      </c>
      <c r="S17" s="30" t="str">
        <f>IF('Job Sheet'!AJ17="Installation",'Job Sheet'!AM17,"")</f>
        <v/>
      </c>
      <c r="T17" s="30"/>
      <c r="U17" s="30" t="str">
        <f>IF(Data!AV17="","",IF('Job Sheet'!AL17="Extreme - Consult Installer","Consult Installer",(5+IFERROR(VLOOKUP(Q17,FHEIGHT,2,FALSE),0)+IFERROR(VLOOKUP(R17,FGRADING,2,FALSE),0)+IFERROR(VLOOKUP(S17,FTAKEDOWN,2,FALSE),0)+IFERROR(VLOOKUP(L17,FSURFACE,2,FALSE),0)+IFERROR(VLOOKUP(K17,FFITTING,2,FALSE),0)+IFERROR(VLOOKUP(P17,FPELMET,2,FALSE),0)+IFERROR(VLOOKUP(F17,FDeduct,2,FALSE),0)+IFERROR(VLOOKUP(M17,FCONTROL,2,FALSE),0))*IF(VLOOKUP(O17,FDBRACKET,2,FALSE)="Yes",0.75,1)))</f>
        <v/>
      </c>
      <c r="V17" s="30" t="str">
        <f>IF('Job Sheet'!AJ17="Installation",'Job Sheet'!AO17,"")</f>
        <v/>
      </c>
    </row>
    <row r="18" spans="1:22" s="24" customFormat="1" ht="60" customHeight="1">
      <c r="A18" s="69" t="str">
        <f>IF('Job Sheet'!AJ18="Installation",'Job Sheet'!A18,"")</f>
        <v/>
      </c>
      <c r="B18" s="69" t="str">
        <f>IF('Job Sheet'!AJ18="Installation",'Job Sheet'!B18,"")</f>
        <v/>
      </c>
      <c r="C18" s="86" t="str">
        <f>IF('Job Sheet'!AJ18="Installation",'Job Sheet'!C18,"")</f>
        <v/>
      </c>
      <c r="D18" s="87" t="str">
        <f>IF('Job Sheet'!AJ18="Installation",Data!BB18,"")</f>
        <v/>
      </c>
      <c r="E18" s="30" t="str">
        <f>IF('Job Sheet'!AJ18="Installation",'Job Sheet'!E18,"")</f>
        <v/>
      </c>
      <c r="F18" s="30" t="str">
        <f>IF('Job Sheet'!AJ18="Installation",'Job Sheet'!F18,"")</f>
        <v/>
      </c>
      <c r="G18" s="87" t="str">
        <f>IF('Job Sheet'!AJ18="Installation",'Job Sheet'!G18,"")</f>
        <v/>
      </c>
      <c r="H18" s="87" t="str">
        <f>IF('Job Sheet'!AJ18="Installation",Data!BB18,"")</f>
        <v/>
      </c>
      <c r="I18" s="23" t="str">
        <f>IF('Job Sheet'!AJ18="Installation",CONCATENATE(Data!BO18," ",Data!BP18),"")</f>
        <v/>
      </c>
      <c r="J18" s="30" t="str">
        <f>IF('Job Sheet'!AJ18="Installation",'Job Sheet'!D18,"")</f>
        <v/>
      </c>
      <c r="K18" s="30" t="str">
        <f>IF('Job Sheet'!AJ18="Installation",'Job Sheet'!J18,"")</f>
        <v/>
      </c>
      <c r="L18" s="30" t="str">
        <f>IF('Job Sheet'!AJ18="Installation",'Job Sheet'!K18,"")</f>
        <v/>
      </c>
      <c r="M18" s="30" t="str">
        <f>IF('Job Sheet'!AJ18="Installation",CONCATENATE('Job Sheet'!L18," ",'Job Sheet'!M18),"")</f>
        <v/>
      </c>
      <c r="N18" s="30" t="str">
        <f>IF('Job Sheet'!AJ18="Installation",'Job Sheet'!O18,"")</f>
        <v/>
      </c>
      <c r="O18" s="30" t="str">
        <f>IF('Job Sheet'!AJ18="Installation",'Job Sheet'!AS18,"")</f>
        <v/>
      </c>
      <c r="P18" s="30" t="str">
        <f>IF('Job Sheet'!AJ18="Installation",'Job Sheet'!AA18,"")</f>
        <v/>
      </c>
      <c r="Q18" s="30" t="str">
        <f>IF('Job Sheet'!AJ18="Installation",'Job Sheet'!AK18,"")</f>
        <v/>
      </c>
      <c r="R18" s="30" t="str">
        <f>IF('Job Sheet'!AJ18="Installation",'Job Sheet'!AL18,"")</f>
        <v/>
      </c>
      <c r="S18" s="30" t="str">
        <f>IF('Job Sheet'!AJ18="Installation",'Job Sheet'!AM18,"")</f>
        <v/>
      </c>
      <c r="T18" s="30"/>
      <c r="U18" s="30" t="str">
        <f>IF(Data!AV18="","",IF('Job Sheet'!AL18="Extreme - Consult Installer","Consult Installer",(5+IFERROR(VLOOKUP(Q18,FHEIGHT,2,FALSE),0)+IFERROR(VLOOKUP(R18,FGRADING,2,FALSE),0)+IFERROR(VLOOKUP(S18,FTAKEDOWN,2,FALSE),0)+IFERROR(VLOOKUP(L18,FSURFACE,2,FALSE),0)+IFERROR(VLOOKUP(K18,FFITTING,2,FALSE),0)+IFERROR(VLOOKUP(P18,FPELMET,2,FALSE),0)+IFERROR(VLOOKUP(F18,FDeduct,2,FALSE),0)+IFERROR(VLOOKUP(M18,FCONTROL,2,FALSE),0))*IF(VLOOKUP(O18,FDBRACKET,2,FALSE)="Yes",0.75,1)))</f>
        <v/>
      </c>
      <c r="V18" s="30" t="str">
        <f>IF('Job Sheet'!AJ18="Installation",'Job Sheet'!AO18,"")</f>
        <v/>
      </c>
    </row>
    <row r="19" spans="1:22" s="24" customFormat="1" ht="60" customHeight="1">
      <c r="A19" s="69" t="str">
        <f>IF('Job Sheet'!AJ19="Installation",'Job Sheet'!A19,"")</f>
        <v/>
      </c>
      <c r="B19" s="69" t="str">
        <f>IF('Job Sheet'!AJ19="Installation",'Job Sheet'!B19,"")</f>
        <v/>
      </c>
      <c r="C19" s="86" t="str">
        <f>IF('Job Sheet'!AJ19="Installation",'Job Sheet'!C19,"")</f>
        <v/>
      </c>
      <c r="D19" s="87" t="str">
        <f>IF('Job Sheet'!AJ19="Installation",Data!BB19,"")</f>
        <v/>
      </c>
      <c r="E19" s="30" t="str">
        <f>IF('Job Sheet'!AJ19="Installation",'Job Sheet'!E19,"")</f>
        <v/>
      </c>
      <c r="F19" s="30" t="str">
        <f>IF('Job Sheet'!AJ19="Installation",'Job Sheet'!F19,"")</f>
        <v/>
      </c>
      <c r="G19" s="87" t="str">
        <f>IF('Job Sheet'!AJ19="Installation",'Job Sheet'!G19,"")</f>
        <v/>
      </c>
      <c r="H19" s="87" t="str">
        <f>IF('Job Sheet'!AJ19="Installation",Data!BB19,"")</f>
        <v/>
      </c>
      <c r="I19" s="23" t="str">
        <f>IF('Job Sheet'!AJ19="Installation",CONCATENATE(Data!BO19," ",Data!BP19),"")</f>
        <v/>
      </c>
      <c r="J19" s="30" t="str">
        <f>IF('Job Sheet'!AJ19="Installation",'Job Sheet'!D19,"")</f>
        <v/>
      </c>
      <c r="K19" s="30" t="str">
        <f>IF('Job Sheet'!AJ19="Installation",'Job Sheet'!J19,"")</f>
        <v/>
      </c>
      <c r="L19" s="30" t="str">
        <f>IF('Job Sheet'!AJ19="Installation",'Job Sheet'!K19,"")</f>
        <v/>
      </c>
      <c r="M19" s="30" t="str">
        <f>IF('Job Sheet'!AJ19="Installation",CONCATENATE('Job Sheet'!L19," ",'Job Sheet'!M19),"")</f>
        <v/>
      </c>
      <c r="N19" s="30" t="str">
        <f>IF('Job Sheet'!AJ19="Installation",'Job Sheet'!O19,"")</f>
        <v/>
      </c>
      <c r="O19" s="30" t="str">
        <f>IF('Job Sheet'!AJ19="Installation",'Job Sheet'!AS19,"")</f>
        <v/>
      </c>
      <c r="P19" s="30" t="str">
        <f>IF('Job Sheet'!AJ19="Installation",'Job Sheet'!AA19,"")</f>
        <v/>
      </c>
      <c r="Q19" s="30" t="str">
        <f>IF('Job Sheet'!AJ19="Installation",'Job Sheet'!AK19,"")</f>
        <v/>
      </c>
      <c r="R19" s="30" t="str">
        <f>IF('Job Sheet'!AJ19="Installation",'Job Sheet'!AL19,"")</f>
        <v/>
      </c>
      <c r="S19" s="30" t="str">
        <f>IF('Job Sheet'!AJ19="Installation",'Job Sheet'!AM19,"")</f>
        <v/>
      </c>
      <c r="T19" s="30"/>
      <c r="U19" s="30" t="str">
        <f>IF(Data!AV19="","",IF('Job Sheet'!AL19="Extreme - Consult Installer","Consult Installer",(5+IFERROR(VLOOKUP(Q19,FHEIGHT,2,FALSE),0)+IFERROR(VLOOKUP(R19,FGRADING,2,FALSE),0)+IFERROR(VLOOKUP(S19,FTAKEDOWN,2,FALSE),0)+IFERROR(VLOOKUP(L19,FSURFACE,2,FALSE),0)+IFERROR(VLOOKUP(K19,FFITTING,2,FALSE),0)+IFERROR(VLOOKUP(P19,FPELMET,2,FALSE),0)+IFERROR(VLOOKUP(F19,FDeduct,2,FALSE),0)+IFERROR(VLOOKUP(M19,FCONTROL,2,FALSE),0))*IF(VLOOKUP(O19,FDBRACKET,2,FALSE)="Yes",0.75,1)))</f>
        <v/>
      </c>
      <c r="V19" s="30" t="str">
        <f>IF('Job Sheet'!AJ19="Installation",'Job Sheet'!AO19,"")</f>
        <v/>
      </c>
    </row>
    <row r="20" spans="1:22" s="24" customFormat="1" ht="60" customHeight="1">
      <c r="A20" s="69" t="str">
        <f>IF('Job Sheet'!AJ20="Installation",'Job Sheet'!A20,"")</f>
        <v/>
      </c>
      <c r="B20" s="69" t="str">
        <f>IF('Job Sheet'!AJ20="Installation",'Job Sheet'!B20,"")</f>
        <v/>
      </c>
      <c r="C20" s="86" t="str">
        <f>IF('Job Sheet'!AJ20="Installation",'Job Sheet'!C20,"")</f>
        <v/>
      </c>
      <c r="D20" s="87" t="str">
        <f>IF('Job Sheet'!AJ20="Installation",Data!BB20,"")</f>
        <v/>
      </c>
      <c r="E20" s="30" t="str">
        <f>IF('Job Sheet'!AJ20="Installation",'Job Sheet'!E20,"")</f>
        <v/>
      </c>
      <c r="F20" s="30" t="str">
        <f>IF('Job Sheet'!AJ20="Installation",'Job Sheet'!F20,"")</f>
        <v/>
      </c>
      <c r="G20" s="87" t="str">
        <f>IF('Job Sheet'!AJ20="Installation",'Job Sheet'!G20,"")</f>
        <v/>
      </c>
      <c r="H20" s="87" t="str">
        <f>IF('Job Sheet'!AJ20="Installation",Data!BB20,"")</f>
        <v/>
      </c>
      <c r="I20" s="23" t="str">
        <f>IF('Job Sheet'!AJ20="Installation",CONCATENATE(Data!BO20," ",Data!BP20),"")</f>
        <v/>
      </c>
      <c r="J20" s="30" t="str">
        <f>IF('Job Sheet'!AJ20="Installation",'Job Sheet'!D20,"")</f>
        <v/>
      </c>
      <c r="K20" s="30" t="str">
        <f>IF('Job Sheet'!AJ20="Installation",'Job Sheet'!J20,"")</f>
        <v/>
      </c>
      <c r="L20" s="30" t="str">
        <f>IF('Job Sheet'!AJ20="Installation",'Job Sheet'!K20,"")</f>
        <v/>
      </c>
      <c r="M20" s="30" t="str">
        <f>IF('Job Sheet'!AJ20="Installation",CONCATENATE('Job Sheet'!L20," ",'Job Sheet'!M20),"")</f>
        <v/>
      </c>
      <c r="N20" s="30" t="str">
        <f>IF('Job Sheet'!AJ20="Installation",'Job Sheet'!O20,"")</f>
        <v/>
      </c>
      <c r="O20" s="30" t="str">
        <f>IF('Job Sheet'!AJ20="Installation",'Job Sheet'!AS20,"")</f>
        <v/>
      </c>
      <c r="P20" s="30" t="str">
        <f>IF('Job Sheet'!AJ20="Installation",'Job Sheet'!AA20,"")</f>
        <v/>
      </c>
      <c r="Q20" s="30" t="str">
        <f>IF('Job Sheet'!AJ20="Installation",'Job Sheet'!AK20,"")</f>
        <v/>
      </c>
      <c r="R20" s="30" t="str">
        <f>IF('Job Sheet'!AJ20="Installation",'Job Sheet'!AL20,"")</f>
        <v/>
      </c>
      <c r="S20" s="30" t="str">
        <f>IF('Job Sheet'!AJ20="Installation",'Job Sheet'!AM20,"")</f>
        <v/>
      </c>
      <c r="T20" s="30"/>
      <c r="U20" s="30" t="str">
        <f>IF(Data!AV20="","",IF('Job Sheet'!AL20="Extreme - Consult Installer","Consult Installer",(5+IFERROR(VLOOKUP(Q20,FHEIGHT,2,FALSE),0)+IFERROR(VLOOKUP(R20,FGRADING,2,FALSE),0)+IFERROR(VLOOKUP(S20,FTAKEDOWN,2,FALSE),0)+IFERROR(VLOOKUP(L20,FSURFACE,2,FALSE),0)+IFERROR(VLOOKUP(K20,FFITTING,2,FALSE),0)+IFERROR(VLOOKUP(P20,FPELMET,2,FALSE),0)+IFERROR(VLOOKUP(F20,FDeduct,2,FALSE),0)+IFERROR(VLOOKUP(M20,FCONTROL,2,FALSE),0))*IF(VLOOKUP(O20,FDBRACKET,2,FALSE)="Yes",0.75,1)))</f>
        <v/>
      </c>
      <c r="V20" s="30" t="str">
        <f>IF('Job Sheet'!AJ20="Installation",'Job Sheet'!AO20,"")</f>
        <v/>
      </c>
    </row>
    <row r="21" ht="60" customHeight="1"/>
    <row r="22" ht="60" customHeight="1"/>
    <row r="23" ht="60" customHeight="1"/>
    <row r="24" ht="60" customHeight="1"/>
    <row r="25" ht="60" customHeight="1"/>
    <row r="26" ht="60" customHeight="1"/>
    <row r="27" ht="60" customHeight="1"/>
    <row r="28" ht="60" customHeight="1"/>
    <row r="29" ht="60" customHeight="1"/>
    <row r="30" ht="60" customHeight="1"/>
    <row r="31" ht="60" customHeight="1"/>
    <row r="32" ht="60" customHeight="1"/>
    <row r="33" ht="60" customHeight="1"/>
    <row r="34" ht="60" customHeight="1"/>
    <row r="35" ht="60" customHeight="1"/>
    <row r="36" ht="60" customHeight="1"/>
    <row r="37" ht="60" customHeight="1"/>
    <row r="38" ht="60" customHeight="1"/>
    <row r="39" ht="60" customHeight="1"/>
    <row r="40" ht="60" customHeight="1"/>
    <row r="41" ht="60" customHeight="1"/>
    <row r="42" ht="60" customHeight="1"/>
    <row r="43" ht="60" customHeight="1"/>
    <row r="44" ht="60" customHeight="1"/>
    <row r="45" ht="60" customHeight="1"/>
    <row r="46" ht="60" customHeight="1"/>
    <row r="47" ht="60" customHeight="1"/>
    <row r="48" ht="60" customHeight="1"/>
    <row r="49" ht="60" customHeight="1"/>
    <row r="50" ht="60" customHeight="1"/>
    <row r="51" ht="60" customHeight="1"/>
    <row r="52" ht="60" customHeight="1"/>
    <row r="53" ht="60" customHeight="1"/>
    <row r="54" ht="60" customHeight="1"/>
  </sheetData>
  <sheetProtection formatCells="0" formatRows="0" insertColumns="0" insertRows="0"/>
  <mergeCells count="45">
    <mergeCell ref="A1:V1"/>
    <mergeCell ref="P2:V2"/>
    <mergeCell ref="P3:V6"/>
    <mergeCell ref="A8:A10"/>
    <mergeCell ref="B8:B10"/>
    <mergeCell ref="C8:C10"/>
    <mergeCell ref="E8:E10"/>
    <mergeCell ref="F8:F10"/>
    <mergeCell ref="D8:D10"/>
    <mergeCell ref="A2:C2"/>
    <mergeCell ref="D2:F2"/>
    <mergeCell ref="V8:V10"/>
    <mergeCell ref="S8:S10"/>
    <mergeCell ref="P8:P10"/>
    <mergeCell ref="Q8:Q10"/>
    <mergeCell ref="R8:R10"/>
    <mergeCell ref="U8:U10"/>
    <mergeCell ref="T8:T10"/>
    <mergeCell ref="O8:O10"/>
    <mergeCell ref="N8:N10"/>
    <mergeCell ref="G8:G10"/>
    <mergeCell ref="H8:H10"/>
    <mergeCell ref="I8:I10"/>
    <mergeCell ref="K8:K10"/>
    <mergeCell ref="M8:M10"/>
    <mergeCell ref="J8:J10"/>
    <mergeCell ref="L8:L10"/>
    <mergeCell ref="J7:O7"/>
    <mergeCell ref="R7:T7"/>
    <mergeCell ref="G2:I2"/>
    <mergeCell ref="G3:I3"/>
    <mergeCell ref="G4:I4"/>
    <mergeCell ref="G5:I7"/>
    <mergeCell ref="J2:O2"/>
    <mergeCell ref="J3:O3"/>
    <mergeCell ref="J4:O4"/>
    <mergeCell ref="J5:O5"/>
    <mergeCell ref="J6:O6"/>
    <mergeCell ref="D5:F5"/>
    <mergeCell ref="A6:F7"/>
    <mergeCell ref="A3:C3"/>
    <mergeCell ref="D3:F3"/>
    <mergeCell ref="A4:C4"/>
    <mergeCell ref="D4:F4"/>
    <mergeCell ref="A5:C5"/>
  </mergeCells>
  <printOptions horizontalCentered="1"/>
  <pageMargins left="0.729133858267744" right="0.729133858267744" top="0.3" bottom="0.3" header="0.3" footer="0.3"/>
  <pageSetup fitToHeight="0" orientation="landscape" paperSize="9" scale="10" r:id="rId1"/>
  <headerFooter alignWithMargins="0">
    <oddFooter>&amp;L&amp;P of  &amp;N&amp;C&amp;Z&amp;F&amp;R&amp;D &amp;T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250EE-AF99-479C-BC8D-2268C51911CC}">
  <sheetPr codeName="Sheet1">
    <pageSetUpPr fitToPage="1"/>
  </sheetPr>
  <dimension ref="A1:Q20"/>
  <sheetViews>
    <sheetView view="pageBreakPreview" zoomScale="40" zoomScaleNormal="40" zoomScaleSheetLayoutView="40" workbookViewId="0" topLeftCell="A1">
      <selection pane="topLeft" activeCell="M11" sqref="M11"/>
    </sheetView>
  </sheetViews>
  <sheetFormatPr defaultColWidth="9.109375" defaultRowHeight="13.5"/>
  <cols>
    <col min="2" max="2" width="34.7142857142857" customWidth="1"/>
    <col min="3" max="3" width="33.2857142857143" customWidth="1"/>
    <col min="4" max="4" width="21.4285714285714" customWidth="1"/>
    <col min="5" max="5" width="27.7142857142857" customWidth="1"/>
    <col min="6" max="6" width="24.2857142857143" customWidth="1"/>
    <col min="7" max="7" width="22.7142857142857" customWidth="1"/>
    <col min="8" max="8" width="24.2857142857143" customWidth="1"/>
    <col min="9" max="9" width="21.7142857142857" bestFit="1" customWidth="1"/>
    <col min="10" max="10" width="30.8571428571429" customWidth="1"/>
    <col min="11" max="11" width="32.8571428571429" customWidth="1"/>
    <col min="12" max="12" width="16.7142857142857" customWidth="1"/>
    <col min="13" max="13" width="17" customWidth="1"/>
    <col min="14" max="14" width="84.1428571428571" customWidth="1"/>
    <col min="15" max="15" width="20.4285714285714" customWidth="1"/>
    <col min="16" max="16" width="18.2857142857143" customWidth="1"/>
    <col min="17" max="17" width="15.4285714285714" bestFit="1" customWidth="1"/>
  </cols>
  <sheetData>
    <row r="1" spans="1:15" ht="129.6" customHeight="1">
      <c r="A1" s="214" t="s">
        <v>223</v>
      </c>
      <c r="B1" s="215"/>
      <c r="C1" s="215"/>
      <c r="D1" s="215"/>
      <c r="E1" s="215"/>
      <c r="F1" s="215"/>
      <c r="G1" s="215"/>
      <c r="H1" s="215"/>
      <c r="I1" s="215"/>
      <c r="J1" s="215"/>
      <c r="K1" s="215"/>
      <c r="L1" s="215"/>
      <c r="M1" s="215"/>
      <c r="N1" s="215"/>
      <c r="O1" s="215"/>
    </row>
    <row r="2" spans="1:15" ht="5.4" customHeight="1">
      <c r="A2" s="113"/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</row>
    <row r="3" spans="1:15" ht="49.95" customHeight="1">
      <c r="A3" s="211" t="s">
        <v>146</v>
      </c>
      <c r="B3" s="211"/>
      <c r="C3" s="192"/>
      <c r="D3" s="192"/>
      <c r="E3" s="192"/>
      <c r="F3" s="192" t="s">
        <v>147</v>
      </c>
      <c r="G3" s="192"/>
      <c r="H3" s="194" t="str">
        <f>TRIM(Data!BF5)</f>
        <v>Evans, Belinda</v>
      </c>
      <c r="I3" s="194"/>
      <c r="J3" s="194"/>
      <c r="K3" s="194"/>
      <c r="L3" s="172" t="s">
        <v>148</v>
      </c>
      <c r="M3" s="173"/>
      <c r="N3" s="173"/>
      <c r="O3" s="174"/>
    </row>
    <row r="4" spans="1:15" ht="49.95" customHeight="1">
      <c r="A4" s="196" t="s">
        <v>149</v>
      </c>
      <c r="B4" s="196"/>
      <c r="C4" s="191" t="str">
        <f>TRIM(Data!BC5)</f>
        <v>40426</v>
      </c>
      <c r="D4" s="191"/>
      <c r="E4" s="191"/>
      <c r="F4" s="193" t="s">
        <v>150</v>
      </c>
      <c r="G4" s="193"/>
      <c r="H4" s="194" t="str">
        <f>TRIM(Data!AX5)</f>
        <v>Sheers and Rollers</v>
      </c>
      <c r="I4" s="194"/>
      <c r="J4" s="194"/>
      <c r="K4" s="194"/>
      <c r="L4" s="175" t="str">
        <f>TRIM(Data!BG5)</f>
        <v/>
      </c>
      <c r="M4" s="176"/>
      <c r="N4" s="176"/>
      <c r="O4" s="177"/>
    </row>
    <row r="5" spans="1:15" ht="49.95" customHeight="1">
      <c r="A5" s="190" t="s">
        <v>151</v>
      </c>
      <c r="B5" s="190"/>
      <c r="C5" s="191" t="str">
        <f>TRIM(Data!BD5)</f>
        <v>A</v>
      </c>
      <c r="D5" s="191"/>
      <c r="E5" s="191"/>
      <c r="F5" s="193" t="s">
        <v>152</v>
      </c>
      <c r="G5" s="193"/>
      <c r="H5" s="194" t="str">
        <f>LEFT(Data!BA5,10)</f>
        <v>4/09/2026 </v>
      </c>
      <c r="I5" s="194"/>
      <c r="J5" s="194"/>
      <c r="K5" s="194"/>
      <c r="L5" s="216"/>
      <c r="M5" s="217"/>
      <c r="N5" s="217"/>
      <c r="O5" s="218"/>
    </row>
    <row r="6" spans="1:15" ht="49.95" customHeight="1">
      <c r="A6" s="200" t="s">
        <v>153</v>
      </c>
      <c r="B6" s="200"/>
      <c r="C6" s="201" t="str">
        <f>TRIM(Data!AY5)</f>
        <v>12/06/2026 12:00:00 AM</v>
      </c>
      <c r="D6" s="201"/>
      <c r="E6" s="201"/>
      <c r="F6" s="191" t="s">
        <v>154</v>
      </c>
      <c r="G6" s="191"/>
      <c r="H6" s="194" t="str">
        <f>'Job Sheet'!K5</f>
        <v>Belinda  Evans</v>
      </c>
      <c r="I6" s="194"/>
      <c r="J6" s="194"/>
      <c r="K6" s="194"/>
      <c r="L6" s="216"/>
      <c r="M6" s="217"/>
      <c r="N6" s="217"/>
      <c r="O6" s="218"/>
    </row>
    <row r="7" spans="1:15" ht="49.95" customHeight="1">
      <c r="A7" s="199" t="str">
        <f>TRIM('Job Sheet'!A6)</f>
        <v>Retail Customer</v>
      </c>
      <c r="B7" s="199"/>
      <c r="C7" s="199"/>
      <c r="D7" s="199"/>
      <c r="E7" s="199"/>
      <c r="F7" s="191"/>
      <c r="G7" s="191"/>
      <c r="H7" s="194" t="str">
        <f>CONCATENATE(Data!BH5," ",Data!BI5," ",Data!BJ5," ",Data!BK5," ",Data!BL5)</f>
        <v xml:space="preserve"> 15  Dublin Street </v>
      </c>
      <c r="I7" s="194"/>
      <c r="J7" s="194"/>
      <c r="K7" s="194"/>
      <c r="L7" s="216"/>
      <c r="M7" s="217"/>
      <c r="N7" s="217"/>
      <c r="O7" s="218"/>
    </row>
    <row r="8" spans="1:15" ht="49.95" customHeight="1">
      <c r="A8" s="199"/>
      <c r="B8" s="199"/>
      <c r="C8" s="199"/>
      <c r="D8" s="199"/>
      <c r="E8" s="199"/>
      <c r="F8" s="191"/>
      <c r="G8" s="191"/>
      <c r="H8" s="194" t="str">
        <f>CONCATENATE(Data!BM5," ",Data!BN5," ",Data!BO5," ",Data!BP5)</f>
        <v>Alfredton VIC 3350 Australia</v>
      </c>
      <c r="I8" s="194"/>
      <c r="J8" s="194"/>
      <c r="K8" s="194"/>
      <c r="L8" s="178"/>
      <c r="M8" s="179"/>
      <c r="N8" s="179"/>
      <c r="O8" s="180"/>
    </row>
    <row r="9" spans="1:17" ht="60" customHeight="1">
      <c r="A9" s="225" t="s">
        <v>159</v>
      </c>
      <c r="B9" s="223" t="s">
        <v>160</v>
      </c>
      <c r="C9" s="221" t="s">
        <v>185</v>
      </c>
      <c r="D9" s="221" t="s">
        <v>224</v>
      </c>
      <c r="E9" s="221" t="s">
        <v>225</v>
      </c>
      <c r="F9" s="213" t="s">
        <v>208</v>
      </c>
      <c r="G9" s="213" t="s">
        <v>209</v>
      </c>
      <c r="H9" s="213" t="s">
        <v>226</v>
      </c>
      <c r="I9" s="212" t="s">
        <v>171</v>
      </c>
      <c r="J9" s="213" t="s">
        <v>227</v>
      </c>
      <c r="K9" s="213" t="s">
        <v>228</v>
      </c>
      <c r="L9" s="212" t="s">
        <v>229</v>
      </c>
      <c r="M9" s="212" t="s">
        <v>230</v>
      </c>
      <c r="N9" s="219" t="s">
        <v>199</v>
      </c>
      <c r="O9" s="219" t="s">
        <v>231</v>
      </c>
      <c r="P9" s="117"/>
      <c r="Q9" s="120"/>
    </row>
    <row r="10" spans="1:16" ht="83.4" customHeight="1">
      <c r="A10" s="226"/>
      <c r="B10" s="224"/>
      <c r="C10" s="222"/>
      <c r="D10" s="222"/>
      <c r="E10" s="222"/>
      <c r="F10" s="213"/>
      <c r="G10" s="213"/>
      <c r="H10" s="213"/>
      <c r="I10" s="212"/>
      <c r="J10" s="213"/>
      <c r="K10" s="213"/>
      <c r="L10" s="212"/>
      <c r="M10" s="212"/>
      <c r="N10" s="220"/>
      <c r="O10" s="220"/>
      <c r="P10" s="116"/>
    </row>
    <row r="11" spans="1:16" ht="60" customHeight="1">
      <c r="A11" s="65" t="str">
        <f>IF(OR(C11="",Data!AW11=""),"",Data!AW11)</f>
        <v/>
      </c>
      <c r="B11" s="40" t="str">
        <f>IF(OR(C11="",Data!AW11=""),"",'Job Sheet'!B11)</f>
        <v/>
      </c>
      <c r="C11" s="46" t="str">
        <f>IF('Job Sheet'!AA11="None","",'Job Sheet'!AA11)</f>
        <v/>
      </c>
      <c r="D11" s="46" t="str">
        <f>'Job Sheet'!AB11</f>
        <v/>
      </c>
      <c r="E11" s="46" t="str">
        <f>IF(OR('Job Sheet'!BC11="N/A",'Job Sheet'!BC11="No"),"",'Job Sheet'!BC11)</f>
        <v/>
      </c>
      <c r="F11" s="39" t="str">
        <f>IF(OR(Data!AV11="",C11=""),"",IF(AND(C11="Aluminium Valance - Fabric Covered",'Fabric Cutting'!F11&gt;3000,'Job Sheet'!B11="Face"),"1 x Valance Centre Join Bracket",IF(AND(C11="Aluminium Valance - Fabric Covered",'Job Sheet'!BB11="Yes"),CONCATENATE(VLOOKUP('Job Sheet'!G11,PelmetBrackets,2,TRUE)," x Valance Reveal Brackets"),IF(C11="Aluminium Pelmet",VLOOKUP('Job Sheet'!G11,PelmetBrackets,2,TRUE),IF(C11="Mounting Rail",CONCATENATE(VLOOKUP('Job Sheet'!G11,PelmetBrackets,2,TRUE)," + 4 Bracket Screws"),"")))))</f>
        <v/>
      </c>
      <c r="G11" s="39" t="str">
        <f>IF(A11="","",IF('Job Sheet'!BC11="Yes","Yes",""))</f>
        <v/>
      </c>
      <c r="H11" s="39" t="str">
        <f t="array" ref="H11">IF(AND(OR('Job Sheet'!AA11="Aluminium Valance - Fabric Covered",'Job Sheet'!AA11="Aluminium Valance"),'Job Sheet'!BC11="Yes"),bpLOOKUP(Data!$AV11,"PELRETURN",CustOrdOpt,6,FALSE),"")</f>
        <v/>
      </c>
      <c r="I11" s="88" t="str">
        <f>IF(C11="","",IF(VLOOKUP(CONCATENATE('Job Sheet'!AA11,'Job Sheet'!J11,'Job Sheet'!AR11),PelmetDeduct,9,FALSE)="Yes",'Assembly(b)'!H11,""))</f>
        <v/>
      </c>
      <c r="J11" s="39" t="str">
        <f>IF('Tube Cutting'!N11="","","Funnel x 2 &amp; Screws x 4")</f>
        <v/>
      </c>
      <c r="K11" s="39" t="str">
        <f>IF('Tube Cutting'!N11="","","Bottom Caps x 2 &amp; Screws x 4")</f>
        <v/>
      </c>
      <c r="L11" s="39" t="str">
        <f>IF('Tube Cutting'!J11="None","",IF('Tube Cutting'!J11="","",IF(VLOOKUP(CONCATENATE('Job Sheet'!AA11,'Job Sheet'!J11,'Job Sheet'!AR11),PelmetDeduct,7,FALSE)="Yes","2","")))</f>
        <v/>
      </c>
      <c r="M11" s="39" t="str">
        <f>IF('Tube Cutting'!N11="","",IF(C11="Square Cassette with Side &amp; Bottom Channels",VLOOKUP('Job Sheet'!G11,SideGuideLocks,2,TRUE)+VLOOKUP('Job Sheet'!H11,SideGuideLocks,2,TRUE),VLOOKUP('Job Sheet'!H11,SideGuideLocks,2,TRUE)))</f>
        <v/>
      </c>
      <c r="N11" s="39" t="str">
        <f>IF(A11="","",'Job Sheet'!AO11)</f>
        <v/>
      </c>
      <c r="O11" s="123" t="str">
        <f t="shared" si="0" ref="O11:O20">A11</f>
        <v/>
      </c>
      <c r="P11" s="115"/>
    </row>
    <row r="12" spans="1:16" ht="60" customHeight="1">
      <c r="A12" s="65" t="str">
        <f>IF(OR(C12="",Data!AW12=""),"",Data!AW12)</f>
        <v/>
      </c>
      <c r="B12" s="40" t="str">
        <f>IF(OR(C12="",Data!AW12=""),"",'Job Sheet'!B12)</f>
        <v/>
      </c>
      <c r="C12" s="46" t="str">
        <f>IF('Job Sheet'!AA12="None","",'Job Sheet'!AA12)</f>
        <v/>
      </c>
      <c r="D12" s="46" t="str">
        <f>'Job Sheet'!AB12</f>
        <v/>
      </c>
      <c r="E12" s="46" t="str">
        <f>IF(OR('Job Sheet'!BC12="N/A",'Job Sheet'!BC12="No"),"",'Job Sheet'!BC12)</f>
        <v/>
      </c>
      <c r="F12" s="39" t="str">
        <f>IF(OR(Data!AV12="",C12=""),"",IF(AND(C12="Aluminium Valance - Fabric Covered",'Fabric Cutting'!F12&gt;3000,'Job Sheet'!B12="Face"),"1 x Valance Centre Join Bracket",IF(AND(C12="Aluminium Valance - Fabric Covered",'Job Sheet'!BB12="Yes"),CONCATENATE(VLOOKUP('Job Sheet'!G12,PelmetBrackets,2,TRUE)," x Valance Reveal Brackets"),IF(C12="Aluminium Pelmet",VLOOKUP('Job Sheet'!G12,PelmetBrackets,2,TRUE),IF(C12="Mounting Rail",CONCATENATE(VLOOKUP('Job Sheet'!G12,PelmetBrackets,2,TRUE)," + 4 Bracket Screws"),"")))))</f>
        <v/>
      </c>
      <c r="G12" s="39" t="str">
        <f>IF(A12="","",IF('Job Sheet'!BC12="Yes","Yes",""))</f>
        <v/>
      </c>
      <c r="H12" s="39" t="str">
        <f t="array" ref="H12">IF(AND(OR('Job Sheet'!AA12="Aluminium Valance - Fabric Covered",'Job Sheet'!AA12="Aluminium Valance"),'Job Sheet'!BC12="Yes"),bpLOOKUP(Data!$AV12,"PELRETURN",CustOrdOpt,6,FALSE),"")</f>
        <v/>
      </c>
      <c r="I12" s="88" t="str">
        <f>IF(C12="","",IF(VLOOKUP(CONCATENATE('Job Sheet'!AA12,'Job Sheet'!J12,'Job Sheet'!AR12),PelmetDeduct,9,FALSE)="Yes",'Assembly(b)'!H12,""))</f>
        <v/>
      </c>
      <c r="J12" s="39" t="str">
        <f>IF('Tube Cutting'!N12="","","Funnel x 2 &amp; Screws x 4")</f>
        <v/>
      </c>
      <c r="K12" s="39" t="str">
        <f>IF('Tube Cutting'!N12="","","Bottom Caps x 2 &amp; Screws x 4")</f>
        <v/>
      </c>
      <c r="L12" s="39" t="str">
        <f>IF('Tube Cutting'!J12="None","",IF('Tube Cutting'!J12="","",IF(VLOOKUP(CONCATENATE('Job Sheet'!AA12,'Job Sheet'!J12,'Job Sheet'!AR12),PelmetDeduct,7,FALSE)="Yes","2","")))</f>
        <v/>
      </c>
      <c r="M12" s="39" t="str">
        <f>IF('Tube Cutting'!N12="","",IF(C12="Square Cassette with Side &amp; Bottom Channels",VLOOKUP('Job Sheet'!G12,SideGuideLocks,2,TRUE)+VLOOKUP('Job Sheet'!H12,SideGuideLocks,2,TRUE),VLOOKUP('Job Sheet'!H12,SideGuideLocks,2,TRUE)))</f>
        <v/>
      </c>
      <c r="N12" s="39" t="str">
        <f>IF(A12="","",'Job Sheet'!AO12)</f>
        <v/>
      </c>
      <c r="O12" s="123" t="str">
        <f t="shared" si="0"/>
        <v/>
      </c>
      <c r="P12" s="115"/>
    </row>
    <row r="13" spans="1:16" ht="60" customHeight="1">
      <c r="A13" s="65" t="str">
        <f>IF(OR(C13="",Data!AW13=""),"",Data!AW13)</f>
        <v/>
      </c>
      <c r="B13" s="40" t="str">
        <f>IF(OR(C13="",Data!AW13=""),"",'Job Sheet'!B13)</f>
        <v/>
      </c>
      <c r="C13" s="46" t="str">
        <f>IF('Job Sheet'!AA13="None","",'Job Sheet'!AA13)</f>
        <v/>
      </c>
      <c r="D13" s="46" t="str">
        <f>'Job Sheet'!AB13</f>
        <v/>
      </c>
      <c r="E13" s="46" t="str">
        <f>IF(OR('Job Sheet'!BC13="N/A",'Job Sheet'!BC13="No"),"",'Job Sheet'!BC13)</f>
        <v/>
      </c>
      <c r="F13" s="39" t="str">
        <f>IF(OR(Data!AV13="",C13=""),"",IF(AND(C13="Aluminium Valance - Fabric Covered",'Fabric Cutting'!F13&gt;3000,'Job Sheet'!B13="Face"),"1 x Valance Centre Join Bracket",IF(AND(C13="Aluminium Valance - Fabric Covered",'Job Sheet'!BB13="Yes"),CONCATENATE(VLOOKUP('Job Sheet'!G13,PelmetBrackets,2,TRUE)," x Valance Reveal Brackets"),IF(C13="Aluminium Pelmet",VLOOKUP('Job Sheet'!G13,PelmetBrackets,2,TRUE),IF(C13="Mounting Rail",CONCATENATE(VLOOKUP('Job Sheet'!G13,PelmetBrackets,2,TRUE)," + 4 Bracket Screws"),"")))))</f>
        <v/>
      </c>
      <c r="G13" s="39" t="str">
        <f>IF(A13="","",IF('Job Sheet'!BC13="Yes","Yes",""))</f>
        <v/>
      </c>
      <c r="H13" s="39" t="str">
        <f t="array" ref="H13">IF(AND(OR('Job Sheet'!AA13="Aluminium Valance - Fabric Covered",'Job Sheet'!AA13="Aluminium Valance"),'Job Sheet'!BC13="Yes"),bpLOOKUP(Data!$AV13,"PELRETURN",CustOrdOpt,6,FALSE),"")</f>
        <v/>
      </c>
      <c r="I13" s="88" t="str">
        <f>IF(C13="","",IF(VLOOKUP(CONCATENATE('Job Sheet'!AA13,'Job Sheet'!J13,'Job Sheet'!AR13),PelmetDeduct,9,FALSE)="Yes",'Assembly(b)'!H13,""))</f>
        <v/>
      </c>
      <c r="J13" s="39" t="str">
        <f>IF('Tube Cutting'!N13="","","Funnel x 2 &amp; Screws x 4")</f>
        <v/>
      </c>
      <c r="K13" s="39" t="str">
        <f>IF('Tube Cutting'!N13="","","Bottom Caps x 2 &amp; Screws x 4")</f>
        <v/>
      </c>
      <c r="L13" s="39" t="str">
        <f>IF('Tube Cutting'!J13="None","",IF('Tube Cutting'!J13="","",IF(VLOOKUP(CONCATENATE('Job Sheet'!AA13,'Job Sheet'!J13,'Job Sheet'!AR13),PelmetDeduct,7,FALSE)="Yes","2","")))</f>
        <v/>
      </c>
      <c r="M13" s="39" t="str">
        <f>IF('Tube Cutting'!N13="","",IF(C13="Square Cassette with Side &amp; Bottom Channels",VLOOKUP('Job Sheet'!G13,SideGuideLocks,2,TRUE)+VLOOKUP('Job Sheet'!H13,SideGuideLocks,2,TRUE),VLOOKUP('Job Sheet'!H13,SideGuideLocks,2,TRUE)))</f>
        <v/>
      </c>
      <c r="N13" s="39" t="str">
        <f>IF(A13="","",'Job Sheet'!AO13)</f>
        <v/>
      </c>
      <c r="O13" s="123" t="str">
        <f t="shared" si="0"/>
        <v/>
      </c>
      <c r="P13" s="115"/>
    </row>
    <row r="14" spans="1:16" ht="60" customHeight="1">
      <c r="A14" s="65" t="str">
        <f>IF(OR(C14="",Data!AW14=""),"",Data!AW14)</f>
        <v/>
      </c>
      <c r="B14" s="40" t="str">
        <f>IF(OR(C14="",Data!AW14=""),"",'Job Sheet'!B14)</f>
        <v/>
      </c>
      <c r="C14" s="46" t="str">
        <f>IF('Job Sheet'!AA14="None","",'Job Sheet'!AA14)</f>
        <v/>
      </c>
      <c r="D14" s="46" t="str">
        <f>'Job Sheet'!AB14</f>
        <v/>
      </c>
      <c r="E14" s="46" t="str">
        <f>IF(OR('Job Sheet'!BC14="N/A",'Job Sheet'!BC14="No"),"",'Job Sheet'!BC14)</f>
        <v/>
      </c>
      <c r="F14" s="39" t="str">
        <f>IF(OR(Data!AV14="",C14=""),"",IF(AND(C14="Aluminium Valance - Fabric Covered",'Fabric Cutting'!F14&gt;3000,'Job Sheet'!B14="Face"),"1 x Valance Centre Join Bracket",IF(AND(C14="Aluminium Valance - Fabric Covered",'Job Sheet'!BB14="Yes"),CONCATENATE(VLOOKUP('Job Sheet'!G14,PelmetBrackets,2,TRUE)," x Valance Reveal Brackets"),IF(C14="Aluminium Pelmet",VLOOKUP('Job Sheet'!G14,PelmetBrackets,2,TRUE),IF(C14="Mounting Rail",CONCATENATE(VLOOKUP('Job Sheet'!G14,PelmetBrackets,2,TRUE)," + 4 Bracket Screws"),"")))))</f>
        <v/>
      </c>
      <c r="G14" s="39" t="str">
        <f>IF(A14="","",IF('Job Sheet'!BC14="Yes","Yes",""))</f>
        <v/>
      </c>
      <c r="H14" s="39" t="str">
        <f t="array" ref="H14">IF(AND(OR('Job Sheet'!AA14="Aluminium Valance - Fabric Covered",'Job Sheet'!AA14="Aluminium Valance"),'Job Sheet'!BC14="Yes"),bpLOOKUP(Data!$AV14,"PELRETURN",CustOrdOpt,6,FALSE),"")</f>
        <v/>
      </c>
      <c r="I14" s="88" t="str">
        <f>IF(C14="","",IF(VLOOKUP(CONCATENATE('Job Sheet'!AA14,'Job Sheet'!J14,'Job Sheet'!AR14),PelmetDeduct,9,FALSE)="Yes",'Assembly(b)'!H14,""))</f>
        <v/>
      </c>
      <c r="J14" s="39" t="str">
        <f>IF('Tube Cutting'!N14="","","Funnel x 2 &amp; Screws x 4")</f>
        <v/>
      </c>
      <c r="K14" s="39" t="str">
        <f>IF('Tube Cutting'!N14="","","Bottom Caps x 2 &amp; Screws x 4")</f>
        <v/>
      </c>
      <c r="L14" s="39" t="str">
        <f>IF('Tube Cutting'!J14="None","",IF('Tube Cutting'!J14="","",IF(VLOOKUP(CONCATENATE('Job Sheet'!AA14,'Job Sheet'!J14,'Job Sheet'!AR14),PelmetDeduct,7,FALSE)="Yes","2","")))</f>
        <v/>
      </c>
      <c r="M14" s="39" t="str">
        <f>IF('Tube Cutting'!N14="","",IF(C14="Square Cassette with Side &amp; Bottom Channels",VLOOKUP('Job Sheet'!G14,SideGuideLocks,2,TRUE)+VLOOKUP('Job Sheet'!H14,SideGuideLocks,2,TRUE),VLOOKUP('Job Sheet'!H14,SideGuideLocks,2,TRUE)))</f>
        <v/>
      </c>
      <c r="N14" s="39" t="str">
        <f>IF(A14="","",'Job Sheet'!AO14)</f>
        <v/>
      </c>
      <c r="O14" s="123" t="str">
        <f t="shared" si="0"/>
        <v/>
      </c>
      <c r="P14" s="115"/>
    </row>
    <row r="15" spans="1:16" ht="60" customHeight="1">
      <c r="A15" s="65" t="str">
        <f>IF(OR(C15="",Data!AW15=""),"",Data!AW15)</f>
        <v/>
      </c>
      <c r="B15" s="40" t="str">
        <f>IF(OR(C15="",Data!AW15=""),"",'Job Sheet'!B15)</f>
        <v/>
      </c>
      <c r="C15" s="46" t="str">
        <f>IF('Job Sheet'!AA15="None","",'Job Sheet'!AA15)</f>
        <v/>
      </c>
      <c r="D15" s="46" t="str">
        <f>'Job Sheet'!AB15</f>
        <v/>
      </c>
      <c r="E15" s="46" t="str">
        <f>IF(OR('Job Sheet'!BC15="N/A",'Job Sheet'!BC15="No"),"",'Job Sheet'!BC15)</f>
        <v/>
      </c>
      <c r="F15" s="39" t="str">
        <f>IF(OR(Data!AV15="",C15=""),"",IF(AND(C15="Aluminium Valance - Fabric Covered",'Fabric Cutting'!F15&gt;3000,'Job Sheet'!B15="Face"),"1 x Valance Centre Join Bracket",IF(AND(C15="Aluminium Valance - Fabric Covered",'Job Sheet'!BB15="Yes"),CONCATENATE(VLOOKUP('Job Sheet'!G15,PelmetBrackets,2,TRUE)," x Valance Reveal Brackets"),IF(C15="Aluminium Pelmet",VLOOKUP('Job Sheet'!G15,PelmetBrackets,2,TRUE),IF(C15="Mounting Rail",CONCATENATE(VLOOKUP('Job Sheet'!G15,PelmetBrackets,2,TRUE)," + 4 Bracket Screws"),"")))))</f>
        <v/>
      </c>
      <c r="G15" s="39" t="str">
        <f>IF(A15="","",IF('Job Sheet'!BC15="Yes","Yes",""))</f>
        <v/>
      </c>
      <c r="H15" s="39" t="str">
        <f t="array" ref="H15">IF(AND(OR('Job Sheet'!AA15="Aluminium Valance - Fabric Covered",'Job Sheet'!AA15="Aluminium Valance"),'Job Sheet'!BC15="Yes"),bpLOOKUP(Data!$AV15,"PELRETURN",CustOrdOpt,6,FALSE),"")</f>
        <v/>
      </c>
      <c r="I15" s="88" t="str">
        <f>IF(C15="","",IF(VLOOKUP(CONCATENATE('Job Sheet'!AA15,'Job Sheet'!J15,'Job Sheet'!AR15),PelmetDeduct,9,FALSE)="Yes",'Assembly(b)'!H15,""))</f>
        <v/>
      </c>
      <c r="J15" s="39" t="str">
        <f>IF('Tube Cutting'!N15="","","Funnel x 2 &amp; Screws x 4")</f>
        <v/>
      </c>
      <c r="K15" s="39" t="str">
        <f>IF('Tube Cutting'!N15="","","Bottom Caps x 2 &amp; Screws x 4")</f>
        <v/>
      </c>
      <c r="L15" s="39" t="str">
        <f>IF('Tube Cutting'!J15="None","",IF('Tube Cutting'!J15="","",IF(VLOOKUP(CONCATENATE('Job Sheet'!AA15,'Job Sheet'!J15,'Job Sheet'!AR15),PelmetDeduct,7,FALSE)="Yes","2","")))</f>
        <v/>
      </c>
      <c r="M15" s="39" t="str">
        <f>IF('Tube Cutting'!N15="","",IF(C15="Square Cassette with Side &amp; Bottom Channels",VLOOKUP('Job Sheet'!G15,SideGuideLocks,2,TRUE)+VLOOKUP('Job Sheet'!H15,SideGuideLocks,2,TRUE),VLOOKUP('Job Sheet'!H15,SideGuideLocks,2,TRUE)))</f>
        <v/>
      </c>
      <c r="N15" s="39" t="str">
        <f>IF(A15="","",'Job Sheet'!AO15)</f>
        <v/>
      </c>
      <c r="O15" s="123" t="str">
        <f t="shared" si="0"/>
        <v/>
      </c>
      <c r="P15" s="115"/>
    </row>
    <row r="16" spans="1:16" ht="60" customHeight="1">
      <c r="A16" s="65" t="str">
        <f>IF(OR(C16="",Data!AW16=""),"",Data!AW16)</f>
        <v/>
      </c>
      <c r="B16" s="40" t="str">
        <f>IF(OR(C16="",Data!AW16=""),"",'Job Sheet'!B16)</f>
        <v/>
      </c>
      <c r="C16" s="46" t="str">
        <f>IF('Job Sheet'!AA16="None","",'Job Sheet'!AA16)</f>
        <v/>
      </c>
      <c r="D16" s="46" t="str">
        <f>'Job Sheet'!AB16</f>
        <v/>
      </c>
      <c r="E16" s="46" t="str">
        <f>IF(OR('Job Sheet'!BC16="N/A",'Job Sheet'!BC16="No"),"",'Job Sheet'!BC16)</f>
        <v/>
      </c>
      <c r="F16" s="39" t="str">
        <f>IF(OR(Data!AV16="",C16=""),"",IF(AND(C16="Aluminium Valance - Fabric Covered",'Fabric Cutting'!F16&gt;3000,'Job Sheet'!B16="Face"),"1 x Valance Centre Join Bracket",IF(AND(C16="Aluminium Valance - Fabric Covered",'Job Sheet'!BB16="Yes"),CONCATENATE(VLOOKUP('Job Sheet'!G16,PelmetBrackets,2,TRUE)," x Valance Reveal Brackets"),IF(C16="Aluminium Pelmet",VLOOKUP('Job Sheet'!G16,PelmetBrackets,2,TRUE),IF(C16="Mounting Rail",CONCATENATE(VLOOKUP('Job Sheet'!G16,PelmetBrackets,2,TRUE)," + 4 Bracket Screws"),"")))))</f>
        <v/>
      </c>
      <c r="G16" s="39" t="str">
        <f>IF(A16="","",IF('Job Sheet'!BC16="Yes","Yes",""))</f>
        <v/>
      </c>
      <c r="H16" s="39" t="str">
        <f t="array" ref="H16">IF(AND(OR('Job Sheet'!AA16="Aluminium Valance - Fabric Covered",'Job Sheet'!AA16="Aluminium Valance"),'Job Sheet'!BC16="Yes"),bpLOOKUP(Data!$AV16,"PELRETURN",CustOrdOpt,6,FALSE),"")</f>
        <v/>
      </c>
      <c r="I16" s="88" t="str">
        <f>IF(C16="","",IF(VLOOKUP(CONCATENATE('Job Sheet'!AA16,'Job Sheet'!J16,'Job Sheet'!AR16),PelmetDeduct,9,FALSE)="Yes",'Assembly(b)'!H16,""))</f>
        <v/>
      </c>
      <c r="J16" s="39" t="str">
        <f>IF('Tube Cutting'!N16="","","Funnel x 2 &amp; Screws x 4")</f>
        <v/>
      </c>
      <c r="K16" s="39" t="str">
        <f>IF('Tube Cutting'!N16="","","Bottom Caps x 2 &amp; Screws x 4")</f>
        <v/>
      </c>
      <c r="L16" s="39" t="str">
        <f>IF('Tube Cutting'!J16="None","",IF('Tube Cutting'!J16="","",IF(VLOOKUP(CONCATENATE('Job Sheet'!AA16,'Job Sheet'!J16,'Job Sheet'!AR16),PelmetDeduct,7,FALSE)="Yes","2","")))</f>
        <v/>
      </c>
      <c r="M16" s="39" t="str">
        <f>IF('Tube Cutting'!N16="","",IF(C16="Square Cassette with Side &amp; Bottom Channels",VLOOKUP('Job Sheet'!G16,SideGuideLocks,2,TRUE)+VLOOKUP('Job Sheet'!H16,SideGuideLocks,2,TRUE),VLOOKUP('Job Sheet'!H16,SideGuideLocks,2,TRUE)))</f>
        <v/>
      </c>
      <c r="N16" s="39" t="str">
        <f>IF(A16="","",'Job Sheet'!AO16)</f>
        <v/>
      </c>
      <c r="O16" s="123" t="str">
        <f t="shared" si="0"/>
        <v/>
      </c>
      <c r="P16" s="115"/>
    </row>
    <row r="17" spans="1:16" ht="60" customHeight="1">
      <c r="A17" s="65" t="str">
        <f>IF(OR(C17="",Data!AW17=""),"",Data!AW17)</f>
        <v/>
      </c>
      <c r="B17" s="40" t="str">
        <f>IF(OR(C17="",Data!AW17=""),"",'Job Sheet'!B17)</f>
        <v/>
      </c>
      <c r="C17" s="46" t="str">
        <f>IF('Job Sheet'!AA17="None","",'Job Sheet'!AA17)</f>
        <v/>
      </c>
      <c r="D17" s="46" t="str">
        <f>'Job Sheet'!AB17</f>
        <v/>
      </c>
      <c r="E17" s="46" t="str">
        <f>IF(OR('Job Sheet'!BC17="N/A",'Job Sheet'!BC17="No"),"",'Job Sheet'!BC17)</f>
        <v/>
      </c>
      <c r="F17" s="39" t="str">
        <f>IF(OR(Data!AV17="",C17=""),"",IF(AND(C17="Aluminium Valance - Fabric Covered",'Fabric Cutting'!F17&gt;3000,'Job Sheet'!B17="Face"),"1 x Valance Centre Join Bracket",IF(AND(C17="Aluminium Valance - Fabric Covered",'Job Sheet'!BB17="Yes"),CONCATENATE(VLOOKUP('Job Sheet'!G17,PelmetBrackets,2,TRUE)," x Valance Reveal Brackets"),IF(C17="Aluminium Pelmet",VLOOKUP('Job Sheet'!G17,PelmetBrackets,2,TRUE),IF(C17="Mounting Rail",CONCATENATE(VLOOKUP('Job Sheet'!G17,PelmetBrackets,2,TRUE)," + 4 Bracket Screws"),"")))))</f>
        <v/>
      </c>
      <c r="G17" s="39" t="str">
        <f>IF(A17="","",IF('Job Sheet'!BC17="Yes","Yes",""))</f>
        <v/>
      </c>
      <c r="H17" s="39" t="str">
        <f t="array" ref="H17">IF(AND(OR('Job Sheet'!AA17="Aluminium Valance - Fabric Covered",'Job Sheet'!AA17="Aluminium Valance"),'Job Sheet'!BC17="Yes"),bpLOOKUP(Data!$AV17,"PELRETURN",CustOrdOpt,6,FALSE),"")</f>
        <v/>
      </c>
      <c r="I17" s="88" t="str">
        <f>IF(C17="","",IF(VLOOKUP(CONCATENATE('Job Sheet'!AA17,'Job Sheet'!J17,'Job Sheet'!AR17),PelmetDeduct,9,FALSE)="Yes",'Assembly(b)'!H17,""))</f>
        <v/>
      </c>
      <c r="J17" s="39" t="str">
        <f>IF('Tube Cutting'!N17="","","Funnel x 2 &amp; Screws x 4")</f>
        <v/>
      </c>
      <c r="K17" s="39" t="str">
        <f>IF('Tube Cutting'!N17="","","Bottom Caps x 2 &amp; Screws x 4")</f>
        <v/>
      </c>
      <c r="L17" s="39" t="str">
        <f>IF('Tube Cutting'!J17="None","",IF('Tube Cutting'!J17="","",IF(VLOOKUP(CONCATENATE('Job Sheet'!AA17,'Job Sheet'!J17,'Job Sheet'!AR17),PelmetDeduct,7,FALSE)="Yes","2","")))</f>
        <v/>
      </c>
      <c r="M17" s="39" t="str">
        <f>IF('Tube Cutting'!N17="","",IF(C17="Square Cassette with Side &amp; Bottom Channels",VLOOKUP('Job Sheet'!G17,SideGuideLocks,2,TRUE)+VLOOKUP('Job Sheet'!H17,SideGuideLocks,2,TRUE),VLOOKUP('Job Sheet'!H17,SideGuideLocks,2,TRUE)))</f>
        <v/>
      </c>
      <c r="N17" s="39" t="str">
        <f>IF(A17="","",'Job Sheet'!AO17)</f>
        <v/>
      </c>
      <c r="O17" s="123" t="str">
        <f t="shared" si="0"/>
        <v/>
      </c>
      <c r="P17" s="115"/>
    </row>
    <row r="18" spans="1:16" ht="60" customHeight="1">
      <c r="A18" s="65" t="str">
        <f>IF(OR(C18="",Data!AW18=""),"",Data!AW18)</f>
        <v/>
      </c>
      <c r="B18" s="40" t="str">
        <f>IF(OR(C18="",Data!AW18=""),"",'Job Sheet'!B18)</f>
        <v/>
      </c>
      <c r="C18" s="46" t="str">
        <f>IF('Job Sheet'!AA18="None","",'Job Sheet'!AA18)</f>
        <v/>
      </c>
      <c r="D18" s="46" t="str">
        <f>'Job Sheet'!AB18</f>
        <v/>
      </c>
      <c r="E18" s="46" t="str">
        <f>IF(OR('Job Sheet'!BC18="N/A",'Job Sheet'!BC18="No"),"",'Job Sheet'!BC18)</f>
        <v/>
      </c>
      <c r="F18" s="39" t="str">
        <f>IF(OR(Data!AV18="",C18=""),"",IF(AND(C18="Aluminium Valance - Fabric Covered",'Fabric Cutting'!F18&gt;3000,'Job Sheet'!B18="Face"),"1 x Valance Centre Join Bracket",IF(AND(C18="Aluminium Valance - Fabric Covered",'Job Sheet'!BB18="Yes"),CONCATENATE(VLOOKUP('Job Sheet'!G18,PelmetBrackets,2,TRUE)," x Valance Reveal Brackets"),IF(C18="Aluminium Pelmet",VLOOKUP('Job Sheet'!G18,PelmetBrackets,2,TRUE),IF(C18="Mounting Rail",CONCATENATE(VLOOKUP('Job Sheet'!G18,PelmetBrackets,2,TRUE)," + 4 Bracket Screws"),"")))))</f>
        <v/>
      </c>
      <c r="G18" s="39" t="str">
        <f>IF(A18="","",IF('Job Sheet'!BC18="Yes","Yes",""))</f>
        <v/>
      </c>
      <c r="H18" s="39" t="str">
        <f t="array" ref="H18">IF(AND(OR('Job Sheet'!AA18="Aluminium Valance - Fabric Covered",'Job Sheet'!AA18="Aluminium Valance"),'Job Sheet'!BC18="Yes"),bpLOOKUP(Data!$AV18,"PELRETURN",CustOrdOpt,6,FALSE),"")</f>
        <v/>
      </c>
      <c r="I18" s="88" t="str">
        <f>IF(C18="","",IF(VLOOKUP(CONCATENATE('Job Sheet'!AA18,'Job Sheet'!J18,'Job Sheet'!AR18),PelmetDeduct,9,FALSE)="Yes",'Assembly(b)'!H18,""))</f>
        <v/>
      </c>
      <c r="J18" s="39" t="str">
        <f>IF('Tube Cutting'!N18="","","Funnel x 2 &amp; Screws x 4")</f>
        <v/>
      </c>
      <c r="K18" s="39" t="str">
        <f>IF('Tube Cutting'!N18="","","Bottom Caps x 2 &amp; Screws x 4")</f>
        <v/>
      </c>
      <c r="L18" s="39" t="str">
        <f>IF('Tube Cutting'!J18="None","",IF('Tube Cutting'!J18="","",IF(VLOOKUP(CONCATENATE('Job Sheet'!AA18,'Job Sheet'!J18,'Job Sheet'!AR18),PelmetDeduct,7,FALSE)="Yes","2","")))</f>
        <v/>
      </c>
      <c r="M18" s="39" t="str">
        <f>IF('Tube Cutting'!N18="","",IF(C18="Square Cassette with Side &amp; Bottom Channels",VLOOKUP('Job Sheet'!G18,SideGuideLocks,2,TRUE)+VLOOKUP('Job Sheet'!H18,SideGuideLocks,2,TRUE),VLOOKUP('Job Sheet'!H18,SideGuideLocks,2,TRUE)))</f>
        <v/>
      </c>
      <c r="N18" s="39" t="str">
        <f>IF(A18="","",'Job Sheet'!AO18)</f>
        <v/>
      </c>
      <c r="O18" s="123" t="str">
        <f t="shared" si="0"/>
        <v/>
      </c>
      <c r="P18" s="115"/>
    </row>
    <row r="19" spans="1:16" ht="60" customHeight="1">
      <c r="A19" s="65" t="str">
        <f>IF(OR(C19="",Data!AW19=""),"",Data!AW19)</f>
        <v/>
      </c>
      <c r="B19" s="40" t="str">
        <f>IF(OR(C19="",Data!AW19=""),"",'Job Sheet'!B19)</f>
        <v/>
      </c>
      <c r="C19" s="46" t="str">
        <f>IF('Job Sheet'!AA19="None","",'Job Sheet'!AA19)</f>
        <v/>
      </c>
      <c r="D19" s="46" t="str">
        <f>'Job Sheet'!AB19</f>
        <v/>
      </c>
      <c r="E19" s="46" t="str">
        <f>IF(OR('Job Sheet'!BC19="N/A",'Job Sheet'!BC19="No"),"",'Job Sheet'!BC19)</f>
        <v/>
      </c>
      <c r="F19" s="39" t="str">
        <f>IF(OR(Data!AV19="",C19=""),"",IF(AND(C19="Aluminium Valance - Fabric Covered",'Fabric Cutting'!F19&gt;3000,'Job Sheet'!B19="Face"),"1 x Valance Centre Join Bracket",IF(AND(C19="Aluminium Valance - Fabric Covered",'Job Sheet'!BB19="Yes"),CONCATENATE(VLOOKUP('Job Sheet'!G19,PelmetBrackets,2,TRUE)," x Valance Reveal Brackets"),IF(C19="Aluminium Pelmet",VLOOKUP('Job Sheet'!G19,PelmetBrackets,2,TRUE),IF(C19="Mounting Rail",CONCATENATE(VLOOKUP('Job Sheet'!G19,PelmetBrackets,2,TRUE)," + 4 Bracket Screws"),"")))))</f>
        <v/>
      </c>
      <c r="G19" s="39" t="str">
        <f>IF(A19="","",IF('Job Sheet'!BC19="Yes","Yes",""))</f>
        <v/>
      </c>
      <c r="H19" s="39" t="str">
        <f t="array" ref="H19">IF(AND(OR('Job Sheet'!AA19="Aluminium Valance - Fabric Covered",'Job Sheet'!AA19="Aluminium Valance"),'Job Sheet'!BC19="Yes"),bpLOOKUP(Data!$AV19,"PELRETURN",CustOrdOpt,6,FALSE),"")</f>
        <v/>
      </c>
      <c r="I19" s="88" t="str">
        <f>IF(C19="","",IF(VLOOKUP(CONCATENATE('Job Sheet'!AA19,'Job Sheet'!J19,'Job Sheet'!AR19),PelmetDeduct,9,FALSE)="Yes",'Assembly(b)'!H19,""))</f>
        <v/>
      </c>
      <c r="J19" s="39" t="str">
        <f>IF('Tube Cutting'!N19="","","Funnel x 2 &amp; Screws x 4")</f>
        <v/>
      </c>
      <c r="K19" s="39" t="str">
        <f>IF('Tube Cutting'!N19="","","Bottom Caps x 2 &amp; Screws x 4")</f>
        <v/>
      </c>
      <c r="L19" s="39" t="str">
        <f>IF('Tube Cutting'!J19="None","",IF('Tube Cutting'!J19="","",IF(VLOOKUP(CONCATENATE('Job Sheet'!AA19,'Job Sheet'!J19,'Job Sheet'!AR19),PelmetDeduct,7,FALSE)="Yes","2","")))</f>
        <v/>
      </c>
      <c r="M19" s="39" t="str">
        <f>IF('Tube Cutting'!N19="","",IF(C19="Square Cassette with Side &amp; Bottom Channels",VLOOKUP('Job Sheet'!G19,SideGuideLocks,2,TRUE)+VLOOKUP('Job Sheet'!H19,SideGuideLocks,2,TRUE),VLOOKUP('Job Sheet'!H19,SideGuideLocks,2,TRUE)))</f>
        <v/>
      </c>
      <c r="N19" s="39" t="str">
        <f>IF(A19="","",'Job Sheet'!AO19)</f>
        <v/>
      </c>
      <c r="O19" s="123" t="str">
        <f t="shared" si="0"/>
        <v/>
      </c>
      <c r="P19" s="115"/>
    </row>
    <row r="20" spans="1:16" ht="60" customHeight="1">
      <c r="A20" s="65" t="str">
        <f>IF(OR(C20="",Data!AW20=""),"",Data!AW20)</f>
        <v/>
      </c>
      <c r="B20" s="40" t="str">
        <f>IF(OR(C20="",Data!AW20=""),"",'Job Sheet'!B20)</f>
        <v/>
      </c>
      <c r="C20" s="46" t="str">
        <f>IF('Job Sheet'!AA20="None","",'Job Sheet'!AA20)</f>
        <v/>
      </c>
      <c r="D20" s="46" t="str">
        <f>'Job Sheet'!AB20</f>
        <v/>
      </c>
      <c r="E20" s="46" t="str">
        <f>IF(OR('Job Sheet'!BC20="N/A",'Job Sheet'!BC20="No"),"",'Job Sheet'!BC20)</f>
        <v/>
      </c>
      <c r="F20" s="39" t="str">
        <f>IF(OR(Data!AV20="",C20=""),"",IF(AND(C20="Aluminium Valance - Fabric Covered",#REF!&gt;3000,'Job Sheet'!B20="Face"),"1 x Valance Centre Join Bracket",IF(AND(C20="Aluminium Valance - Fabric Covered",'Job Sheet'!BB20="Yes"),CONCATENATE(VLOOKUP('Job Sheet'!G20,PelmetBrackets,2,TRUE)," x Valance Reveal Brackets"),IF(C20="Aluminium Pelmet",VLOOKUP('Job Sheet'!G20,PelmetBrackets,2,TRUE),IF(C20="Mounting Rail",CONCATENATE(VLOOKUP('Job Sheet'!G20,PelmetBrackets,2,TRUE)," + 4 Bracket Screws"),"")))))</f>
        <v/>
      </c>
      <c r="G20" s="39" t="str">
        <f>IF(A20="","",IF('Job Sheet'!BC20="Yes","Yes",""))</f>
        <v/>
      </c>
      <c r="H20" s="39" t="str">
        <f t="array" ref="H20">IF(AND(OR('Job Sheet'!AA20="Aluminium Valance - Fabric Covered",'Job Sheet'!AA20="Aluminium Valance"),'Job Sheet'!BC20="Yes"),bpLOOKUP(Data!$AV20,"PELRETURN",CustOrdOpt,6,FALSE),"")</f>
        <v/>
      </c>
      <c r="I20" s="88" t="str">
        <f>IF(C20="","",IF(VLOOKUP(CONCATENATE('Job Sheet'!AA20,'Job Sheet'!J20,'Job Sheet'!AR20),PelmetDeduct,9,FALSE)="Yes",#REF!,""))</f>
        <v/>
      </c>
      <c r="J20" s="39" t="str">
        <f>IF('Tube Cutting'!N20="","","Funnel x 2 &amp; Screws x 4")</f>
        <v/>
      </c>
      <c r="K20" s="39" t="str">
        <f>IF('Tube Cutting'!N20="","","Bottom Caps x 2 &amp; Screws x 4")</f>
        <v/>
      </c>
      <c r="L20" s="39" t="str">
        <f>IF('Tube Cutting'!J20="None","",IF('Tube Cutting'!J20="","",IF(VLOOKUP(CONCATENATE('Job Sheet'!AA20,'Job Sheet'!J20,'Job Sheet'!AR20),PelmetDeduct,7,FALSE)="Yes","2","")))</f>
        <v/>
      </c>
      <c r="M20" s="39" t="str">
        <f>IF('Tube Cutting'!N20="","",IF(C20="Square Cassette with Side &amp; Bottom Channels",VLOOKUP('Job Sheet'!G20,SideGuideLocks,2,TRUE)+VLOOKUP('Job Sheet'!H20,SideGuideLocks,2,TRUE),VLOOKUP('Job Sheet'!H20,SideGuideLocks,2,TRUE)))</f>
        <v/>
      </c>
      <c r="N20" s="39" t="str">
        <f>IF(A20="","",'Job Sheet'!AO20)</f>
        <v/>
      </c>
      <c r="O20" s="123" t="str">
        <f t="shared" si="0"/>
        <v/>
      </c>
      <c r="P20" s="116"/>
    </row>
    <row r="21" ht="60" customHeight="1"/>
    <row r="22" ht="60" customHeight="1"/>
    <row r="23" ht="60" customHeight="1"/>
    <row r="24" ht="60" customHeight="1"/>
    <row r="25" ht="60" customHeight="1"/>
    <row r="26" ht="60" customHeight="1"/>
    <row r="27" ht="60" customHeight="1"/>
    <row r="28" ht="60" customHeight="1"/>
    <row r="29" ht="60" customHeight="1"/>
    <row r="30" ht="60" customHeight="1"/>
    <row r="31" ht="60" customHeight="1"/>
    <row r="32" ht="60" customHeight="1"/>
    <row r="33" ht="60" customHeight="1"/>
    <row r="34" ht="60" customHeight="1"/>
    <row r="35" ht="60" customHeight="1"/>
    <row r="36" ht="60" customHeight="1"/>
    <row r="37" ht="60" customHeight="1"/>
    <row r="38" ht="60" customHeight="1"/>
    <row r="39" ht="60" customHeight="1"/>
    <row r="40" ht="60" customHeight="1"/>
    <row r="41" ht="60" customHeight="1"/>
    <row r="42" ht="60" customHeight="1"/>
    <row r="43" ht="60" customHeight="1"/>
    <row r="44" ht="60" customHeight="1"/>
    <row r="45" ht="60" customHeight="1"/>
    <row r="46" ht="60" customHeight="1"/>
    <row r="47" ht="60" customHeight="1"/>
  </sheetData>
  <mergeCells count="37">
    <mergeCell ref="A1:O1"/>
    <mergeCell ref="L4:O8"/>
    <mergeCell ref="L3:O3"/>
    <mergeCell ref="N9:N10"/>
    <mergeCell ref="M9:M10"/>
    <mergeCell ref="L9:L10"/>
    <mergeCell ref="O9:O10"/>
    <mergeCell ref="E9:E10"/>
    <mergeCell ref="D9:D10"/>
    <mergeCell ref="C9:C10"/>
    <mergeCell ref="K9:K10"/>
    <mergeCell ref="J9:J10"/>
    <mergeCell ref="B9:B10"/>
    <mergeCell ref="A9:A10"/>
    <mergeCell ref="A5:B5"/>
    <mergeCell ref="C5:E5"/>
    <mergeCell ref="F5:G5"/>
    <mergeCell ref="H5:K5"/>
    <mergeCell ref="I9:I10"/>
    <mergeCell ref="H9:H10"/>
    <mergeCell ref="C6:E6"/>
    <mergeCell ref="F6:G8"/>
    <mergeCell ref="H6:K6"/>
    <mergeCell ref="A7:E8"/>
    <mergeCell ref="H7:K7"/>
    <mergeCell ref="H8:K8"/>
    <mergeCell ref="A6:B6"/>
    <mergeCell ref="G9:G10"/>
    <mergeCell ref="F9:F10"/>
    <mergeCell ref="A3:B3"/>
    <mergeCell ref="C3:E3"/>
    <mergeCell ref="F3:G3"/>
    <mergeCell ref="H3:K3"/>
    <mergeCell ref="A4:B4"/>
    <mergeCell ref="C4:E4"/>
    <mergeCell ref="F4:G4"/>
    <mergeCell ref="H4:K4"/>
  </mergeCells>
  <conditionalFormatting sqref="G11:L20">
    <cfRule type="containsText" priority="1" dxfId="0" operator="containsText" text="Chain Winder Fixed Guide">
      <formula>NOT(ISERROR(SEARCH("Chain Winder Fixed Guide",G11)))</formula>
    </cfRule>
  </conditionalFormatting>
  <pageMargins left="0.912598425196864" right="0.912598425196864" top="0.75" bottom="0.75" header="0.3" footer="0.3"/>
  <pageSetup fitToHeight="0" orientation="landscape" paperSize="9" scale="1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pageSetUpPr fitToPage="1"/>
  </sheetPr>
  <dimension ref="A1:R20"/>
  <sheetViews>
    <sheetView showZeros="0" view="pageBreakPreview" zoomScale="50" zoomScaleNormal="55" zoomScaleSheetLayoutView="50" workbookViewId="0" topLeftCell="A1">
      <selection pane="topLeft" activeCell="A11" sqref="A11:XFD20"/>
    </sheetView>
  </sheetViews>
  <sheetFormatPr defaultColWidth="9.109375" defaultRowHeight="13.5"/>
  <cols>
    <col min="1" max="1" width="8.71428571428571" style="42" customWidth="1"/>
    <col min="2" max="2" width="25.2857142857143" style="42" customWidth="1"/>
    <col min="3" max="3" width="56.2857142857143" style="42" customWidth="1"/>
    <col min="4" max="4" width="16.2857142857143" style="42" customWidth="1"/>
    <col min="5" max="5" width="14.2857142857143" style="42" customWidth="1"/>
    <col min="6" max="6" width="15.5714285714286" style="48" customWidth="1"/>
    <col min="7" max="7" width="15.2857142857143" style="48" customWidth="1"/>
    <col min="8" max="8" width="13.7142857142857" style="42" customWidth="1"/>
    <col min="9" max="9" width="15.1428571428571" style="42" customWidth="1"/>
    <col min="10" max="10" width="14.5714285714286" style="42" customWidth="1"/>
    <col min="11" max="11" width="16.5714285714286" style="42" customWidth="1"/>
    <col min="12" max="12" width="15.1428571428571" style="42" customWidth="1"/>
    <col min="13" max="13" width="28.8571428571429" style="42" customWidth="1"/>
    <col min="14" max="14" width="15.7142857142857" customWidth="1"/>
    <col min="15" max="15" width="14.7142857142857" customWidth="1"/>
    <col min="16" max="16" width="16" customWidth="1"/>
    <col min="17" max="17" width="49.5714285714286" customWidth="1"/>
    <col min="18" max="18" width="14.5714285714286" customWidth="1"/>
  </cols>
  <sheetData>
    <row r="1" spans="1:18" ht="133.2" customHeight="1">
      <c r="A1" s="235" t="s">
        <v>232</v>
      </c>
      <c r="B1" s="235"/>
      <c r="C1" s="235"/>
      <c r="D1" s="235"/>
      <c r="E1" s="235"/>
      <c r="F1" s="235"/>
      <c r="G1" s="235"/>
      <c r="H1" s="235"/>
      <c r="I1" s="235"/>
      <c r="J1" s="235"/>
      <c r="K1" s="235"/>
      <c r="L1" s="235"/>
      <c r="M1" s="235"/>
      <c r="N1" s="235"/>
      <c r="O1" s="235"/>
      <c r="P1" s="235"/>
      <c r="Q1" s="235"/>
      <c r="R1" s="235"/>
    </row>
    <row r="2" spans="1:18" ht="40.2" customHeight="1">
      <c r="A2" s="231" t="s">
        <v>146</v>
      </c>
      <c r="B2" s="231"/>
      <c r="C2" s="130" t="str">
        <f>IF(Pelmets!P10=0,"","PELMETS INCLUDED")</f>
        <v/>
      </c>
      <c r="D2" s="238" t="s">
        <v>147</v>
      </c>
      <c r="E2" s="238"/>
      <c r="F2" s="238"/>
      <c r="G2" s="241" t="str">
        <f>Data!BF5</f>
        <v>Evans, Belinda </v>
      </c>
      <c r="H2" s="241"/>
      <c r="I2" s="241"/>
      <c r="J2" s="241"/>
      <c r="K2" s="241"/>
      <c r="L2" s="241"/>
      <c r="M2" s="241"/>
      <c r="N2" s="242" t="s">
        <v>148</v>
      </c>
      <c r="O2" s="242"/>
      <c r="P2" s="242"/>
      <c r="Q2" s="242"/>
      <c r="R2" s="242"/>
    </row>
    <row r="3" spans="1:18" ht="40.2" customHeight="1">
      <c r="A3" s="232" t="s">
        <v>149</v>
      </c>
      <c r="B3" s="232"/>
      <c r="C3" s="128" t="str">
        <f>Data!BC5</f>
        <v>40426</v>
      </c>
      <c r="D3" s="236" t="s">
        <v>150</v>
      </c>
      <c r="E3" s="236"/>
      <c r="F3" s="236"/>
      <c r="G3" s="240" t="str">
        <f>Data!AX5</f>
        <v>Sheers and Rollers</v>
      </c>
      <c r="H3" s="240"/>
      <c r="I3" s="240"/>
      <c r="J3" s="240"/>
      <c r="K3" s="240"/>
      <c r="L3" s="240"/>
      <c r="M3" s="240"/>
      <c r="N3" s="233" t="str">
        <f>TRIM(Data!BG5)</f>
        <v/>
      </c>
      <c r="O3" s="233"/>
      <c r="P3" s="233"/>
      <c r="Q3" s="233"/>
      <c r="R3" s="233"/>
    </row>
    <row r="4" spans="1:18" ht="40.2" customHeight="1">
      <c r="A4" s="233" t="s">
        <v>151</v>
      </c>
      <c r="B4" s="233"/>
      <c r="C4" s="128" t="str">
        <f>Data!BD5</f>
        <v>A</v>
      </c>
      <c r="D4" s="236" t="s">
        <v>152</v>
      </c>
      <c r="E4" s="236"/>
      <c r="F4" s="236"/>
      <c r="G4" s="243" t="str">
        <f>Data!BA5</f>
        <v>4/09/2026 12:00:00 AM</v>
      </c>
      <c r="H4" s="243"/>
      <c r="I4" s="243"/>
      <c r="J4" s="243"/>
      <c r="K4" s="243"/>
      <c r="L4" s="243"/>
      <c r="M4" s="243"/>
      <c r="N4" s="233"/>
      <c r="O4" s="233"/>
      <c r="P4" s="233"/>
      <c r="Q4" s="233"/>
      <c r="R4" s="233"/>
    </row>
    <row r="5" spans="1:18" ht="40.2" customHeight="1">
      <c r="A5" s="234" t="s">
        <v>153</v>
      </c>
      <c r="B5" s="234"/>
      <c r="C5" s="129" t="str">
        <f>Data!AY5</f>
        <v>12/06/2026 12:00:00 AM</v>
      </c>
      <c r="D5" s="237" t="s">
        <v>154</v>
      </c>
      <c r="E5" s="237"/>
      <c r="F5" s="237"/>
      <c r="G5" s="241" t="str">
        <f>'Job Sheet'!K5</f>
        <v>Belinda  Evans</v>
      </c>
      <c r="H5" s="241"/>
      <c r="I5" s="241"/>
      <c r="J5" s="241"/>
      <c r="K5" s="241"/>
      <c r="L5" s="241"/>
      <c r="M5" s="241"/>
      <c r="N5" s="233"/>
      <c r="O5" s="233"/>
      <c r="P5" s="233"/>
      <c r="Q5" s="233"/>
      <c r="R5" s="233"/>
    </row>
    <row r="6" spans="1:18" ht="40.2" customHeight="1">
      <c r="A6" s="239" t="str">
        <f>'Job Sheet'!A6</f>
        <v>Retail Customer</v>
      </c>
      <c r="B6" s="239"/>
      <c r="C6" s="239"/>
      <c r="D6" s="237"/>
      <c r="E6" s="237"/>
      <c r="F6" s="237"/>
      <c r="G6" s="241" t="str">
        <f>CONCATENATE(Data!BH5," ",Data!BI5," ",Data!BJ5," ",Data!BK5," ",Data!BL5)</f>
        <v xml:space="preserve"> 15  Dublin Street </v>
      </c>
      <c r="H6" s="241"/>
      <c r="I6" s="241"/>
      <c r="J6" s="241"/>
      <c r="K6" s="241"/>
      <c r="L6" s="241"/>
      <c r="M6" s="241"/>
      <c r="N6" s="233"/>
      <c r="O6" s="233"/>
      <c r="P6" s="233"/>
      <c r="Q6" s="233"/>
      <c r="R6" s="233"/>
    </row>
    <row r="7" spans="1:18" ht="40.2" customHeight="1">
      <c r="A7" s="239"/>
      <c r="B7" s="239"/>
      <c r="C7" s="239"/>
      <c r="D7" s="237"/>
      <c r="E7" s="237"/>
      <c r="F7" s="237"/>
      <c r="G7" s="244" t="str">
        <f>CONCATENATE(Data!BM5," ",Data!BN5," ",Data!BO5," ",Data!BP5)</f>
        <v>Alfredton VIC 3350 Australia</v>
      </c>
      <c r="H7" s="244"/>
      <c r="I7" s="244"/>
      <c r="J7" s="244"/>
      <c r="K7" s="244"/>
      <c r="L7" s="244"/>
      <c r="M7" s="244"/>
      <c r="N7" s="233"/>
      <c r="O7" s="233"/>
      <c r="P7" s="233"/>
      <c r="Q7" s="233"/>
      <c r="R7" s="233"/>
    </row>
    <row r="8" spans="1:18" ht="23.25" customHeight="1">
      <c r="A8" s="227" t="s">
        <v>159</v>
      </c>
      <c r="B8" s="228" t="s">
        <v>160</v>
      </c>
      <c r="C8" s="229" t="s">
        <v>167</v>
      </c>
      <c r="D8" s="230" t="s">
        <v>2856</v>
      </c>
      <c r="E8" s="165" t="s">
        <v>1059</v>
      </c>
      <c r="F8" s="212" t="s">
        <v>233</v>
      </c>
      <c r="G8" s="212" t="s">
        <v>234</v>
      </c>
      <c r="H8" s="242" t="s">
        <v>235</v>
      </c>
      <c r="I8" s="245" t="s">
        <v>121</v>
      </c>
      <c r="J8" s="165" t="s">
        <v>236</v>
      </c>
      <c r="K8" s="165" t="s">
        <v>237</v>
      </c>
      <c r="L8" s="164" t="s">
        <v>2930</v>
      </c>
      <c r="M8" s="246" t="s">
        <v>177</v>
      </c>
      <c r="N8" s="242" t="s">
        <v>238</v>
      </c>
      <c r="O8" s="163" t="s">
        <v>239</v>
      </c>
      <c r="P8" s="163" t="s">
        <v>240</v>
      </c>
      <c r="Q8" s="163" t="s">
        <v>199</v>
      </c>
      <c r="R8" s="163" t="s">
        <v>231</v>
      </c>
    </row>
    <row r="9" spans="1:18" ht="12.75" customHeight="1">
      <c r="A9" s="227"/>
      <c r="B9" s="228"/>
      <c r="C9" s="229"/>
      <c r="D9" s="230"/>
      <c r="E9" s="165"/>
      <c r="F9" s="212"/>
      <c r="G9" s="212"/>
      <c r="H9" s="242"/>
      <c r="I9" s="245"/>
      <c r="J9" s="165"/>
      <c r="K9" s="165"/>
      <c r="L9" s="164"/>
      <c r="M9" s="246"/>
      <c r="N9" s="242"/>
      <c r="O9" s="163"/>
      <c r="P9" s="163"/>
      <c r="Q9" s="163"/>
      <c r="R9" s="163"/>
    </row>
    <row r="10" spans="1:18" ht="52.5" customHeight="1">
      <c r="A10" s="227"/>
      <c r="B10" s="228"/>
      <c r="C10" s="229"/>
      <c r="D10" s="230"/>
      <c r="E10" s="165"/>
      <c r="F10" s="212"/>
      <c r="G10" s="212"/>
      <c r="H10" s="242"/>
      <c r="I10" s="245"/>
      <c r="J10" s="165"/>
      <c r="K10" s="165"/>
      <c r="L10" s="164"/>
      <c r="M10" s="246"/>
      <c r="N10" s="242"/>
      <c r="O10" s="163"/>
      <c r="P10" s="163"/>
      <c r="Q10" s="163"/>
      <c r="R10" s="163"/>
    </row>
    <row r="11" spans="1:18" s="96" customFormat="1" ht="69.75">
      <c r="A11" s="4" t="str">
        <f>'Job Sheet'!A11</f>
        <v>9</v>
      </c>
      <c r="B11" s="23" t="str">
        <f>'Job Sheet'!B11</f>
        <v>Living Door 1</v>
      </c>
      <c r="C11" s="127" t="str">
        <f>'Job Sheet'!I11</f>
        <v>Texstyle Focus Blockout Polar</v>
      </c>
      <c r="D11" s="155" t="str">
        <f>IF(Data!AV11="","",VLOOKUP(C11,ColourMatch,10,FALSE))</f>
        <v>W4</v>
      </c>
      <c r="E11" s="156" t="str">
        <f>IF(Data!AV11="","",VLOOKUP(C11,ColourMatch,9,FALSE))</f>
        <v>P10</v>
      </c>
      <c r="F11" s="51">
        <f>'Job Sheet'!AY11</f>
        <v>843</v>
      </c>
      <c r="G11" s="51">
        <f>IF(Data!AV11="","",IF(OR('Job Sheet'!Y11="N/A",'Job Sheet'!Y11="N/A."),'Job Sheet'!AZ11,CONCATENATE('Job Sheet'!AZ11," Exact")))</f>
        <v>2360</v>
      </c>
      <c r="H11" s="162" t="str">
        <f t="shared" si="0" ref="H11:H20">IF(F11&lt;500,"Yes","")</f>
        <v/>
      </c>
      <c r="I11" s="160" t="str">
        <f>IF(Data!AV11="","",VLOOKUP(C11,ColourMatch,11,FALSE))</f>
        <v>2200 / 3200</v>
      </c>
      <c r="J11" s="95"/>
      <c r="K11" s="95"/>
      <c r="L11" s="46" t="str">
        <f>IF(Data!AV11="","",IF(AND(VLOOKUP(C11,ColourMatch,12,FALSE)="Yes",'Job Sheet'!O11="Back"),"Yes","No"))</f>
        <v>No</v>
      </c>
      <c r="M11" s="30" t="str">
        <f>'Job Sheet'!S11</f>
        <v>D30 Bottom Rail with Noise Reducing Strip</v>
      </c>
      <c r="N11" s="47" t="str">
        <f>IF(Data!AV11="","",IF(OR(M11="D30 Bottom Rail",M11="D30 Bottom Rail with Noise Reducing Strip"),"",VLOOKUP(Data!BN11&amp;" "&amp;Data!BO11&amp;" "&amp;Data!BP11,ColourMatch,7,FALSE)))</f>
        <v/>
      </c>
      <c r="O11" s="47" t="str">
        <f>IF('Job Sheet'!AA11="Aluminium Valance - Fabric Covered",'Job Sheet'!G11+4,"")</f>
        <v/>
      </c>
      <c r="P11" s="47" t="str">
        <f>IF('Job Sheet'!AA11="Aluminium Valance - Fabric Covered",200,"")</f>
        <v/>
      </c>
      <c r="Q11" s="30" t="str">
        <f>'Job Sheet'!AO11</f>
        <v/>
      </c>
      <c r="R11" s="124" t="str">
        <f>A11</f>
        <v>9</v>
      </c>
    </row>
    <row r="12" spans="1:18" s="96" customFormat="1" ht="69.75">
      <c r="A12" s="4" t="str">
        <f>'Job Sheet'!A12</f>
        <v>10</v>
      </c>
      <c r="B12" s="23" t="str">
        <f>'Job Sheet'!B12</f>
        <v>Living Door 2</v>
      </c>
      <c r="C12" s="127" t="str">
        <f>'Job Sheet'!I12</f>
        <v>Texstyle Focus Blockout Polar</v>
      </c>
      <c r="D12" s="155" t="str">
        <f>IF(Data!AV12="","",VLOOKUP(C12,ColourMatch,10,FALSE))</f>
        <v>W4</v>
      </c>
      <c r="E12" s="156" t="str">
        <f>IF(Data!AV12="","",VLOOKUP(C12,ColourMatch,9,FALSE))</f>
        <v>P10</v>
      </c>
      <c r="F12" s="51">
        <f>'Job Sheet'!AY12</f>
        <v>919</v>
      </c>
      <c r="G12" s="51" t="str">
        <f>IF(Data!AV12="","",IF(OR('Job Sheet'!Y12="N/A",'Job Sheet'!Y12="N/A."),'Job Sheet'!AZ12,CONCATENATE('Job Sheet'!AZ12," Exact")))</f>
        <v>2360 Exact</v>
      </c>
      <c r="H12" s="162" t="str">
        <f t="shared" si="0"/>
        <v/>
      </c>
      <c r="I12" s="160" t="str">
        <f>IF(Data!AV12="","",VLOOKUP(C12,ColourMatch,11,FALSE))</f>
        <v>2200 / 3200</v>
      </c>
      <c r="J12" s="95"/>
      <c r="K12" s="95"/>
      <c r="L12" s="46" t="str">
        <f>IF(Data!AV12="","",IF(AND(VLOOKUP(C12,ColourMatch,12,FALSE)="Yes",'Job Sheet'!O12="Back"),"Yes","No"))</f>
        <v>No</v>
      </c>
      <c r="M12" s="30" t="str">
        <f>'Job Sheet'!S12</f>
        <v>D30 Bottom Rail with Noise Reducing Strip</v>
      </c>
      <c r="N12" s="47" t="str">
        <f>IF(Data!AV12="","",IF(OR(M12="D30 Bottom Rail",M12="D30 Bottom Rail with Noise Reducing Strip"),"",VLOOKUP(Data!BN12&amp;" "&amp;Data!BO12&amp;" "&amp;Data!BP12,ColourMatch,7,FALSE)))</f>
        <v/>
      </c>
      <c r="O12" s="47" t="str">
        <f>IF('Job Sheet'!AA12="Aluminium Valance - Fabric Covered",'Job Sheet'!G12+4,"")</f>
        <v/>
      </c>
      <c r="P12" s="47" t="str">
        <f>IF('Job Sheet'!AA12="Aluminium Valance - Fabric Covered",200,"")</f>
        <v/>
      </c>
      <c r="Q12" s="30" t="str">
        <f>'Job Sheet'!AO12</f>
        <v/>
      </c>
      <c r="R12" s="124" t="str">
        <f t="shared" si="1" ref="R12:R20">A12</f>
        <v>10</v>
      </c>
    </row>
    <row r="13" spans="1:18" s="96" customFormat="1" ht="69.75">
      <c r="A13" s="4" t="str">
        <f>'Job Sheet'!A13</f>
        <v>11</v>
      </c>
      <c r="B13" s="23" t="str">
        <f>'Job Sheet'!B13</f>
        <v>Living Door 3</v>
      </c>
      <c r="C13" s="127" t="str">
        <f>'Job Sheet'!I13</f>
        <v>Texstyle Focus Blockout Polar</v>
      </c>
      <c r="D13" s="155" t="str">
        <f>IF(Data!AV13="","",VLOOKUP(C13,ColourMatch,10,FALSE))</f>
        <v>W4</v>
      </c>
      <c r="E13" s="156" t="str">
        <f>IF(Data!AV13="","",VLOOKUP(C13,ColourMatch,9,FALSE))</f>
        <v>P10</v>
      </c>
      <c r="F13" s="51">
        <f>'Job Sheet'!AY13</f>
        <v>843</v>
      </c>
      <c r="G13" s="51" t="str">
        <f>IF(Data!AV13="","",IF(OR('Job Sheet'!Y13="N/A",'Job Sheet'!Y13="N/A."),'Job Sheet'!AZ13,CONCATENATE('Job Sheet'!AZ13," Exact")))</f>
        <v>2360 Exact</v>
      </c>
      <c r="H13" s="162" t="str">
        <f t="shared" si="0"/>
        <v/>
      </c>
      <c r="I13" s="160" t="str">
        <f>IF(Data!AV13="","",VLOOKUP(C13,ColourMatch,11,FALSE))</f>
        <v>2200 / 3200</v>
      </c>
      <c r="J13" s="95"/>
      <c r="K13" s="95"/>
      <c r="L13" s="46" t="str">
        <f>IF(Data!AV13="","",IF(AND(VLOOKUP(C13,ColourMatch,12,FALSE)="Yes",'Job Sheet'!O13="Back"),"Yes","No"))</f>
        <v>No</v>
      </c>
      <c r="M13" s="30" t="str">
        <f>'Job Sheet'!S13</f>
        <v>D30 Bottom Rail with Noise Reducing Strip</v>
      </c>
      <c r="N13" s="47" t="str">
        <f>IF(Data!AV13="","",IF(OR(M13="D30 Bottom Rail",M13="D30 Bottom Rail with Noise Reducing Strip"),"",VLOOKUP(Data!BN13&amp;" "&amp;Data!BO13&amp;" "&amp;Data!BP13,ColourMatch,7,FALSE)))</f>
        <v/>
      </c>
      <c r="O13" s="47" t="str">
        <f>IF('Job Sheet'!AA13="Aluminium Valance - Fabric Covered",'Job Sheet'!G13+4,"")</f>
        <v/>
      </c>
      <c r="P13" s="47" t="str">
        <f>IF('Job Sheet'!AA13="Aluminium Valance - Fabric Covered",200,"")</f>
        <v/>
      </c>
      <c r="Q13" s="30" t="str">
        <f>'Job Sheet'!AO13</f>
        <v/>
      </c>
      <c r="R13" s="124" t="str">
        <f t="shared" si="1"/>
        <v>11</v>
      </c>
    </row>
    <row r="14" spans="1:18" s="96" customFormat="1" ht="69.75">
      <c r="A14" s="4" t="str">
        <f>'Job Sheet'!A14</f>
        <v>12</v>
      </c>
      <c r="B14" s="23" t="str">
        <f>'Job Sheet'!B14</f>
        <v>Study</v>
      </c>
      <c r="C14" s="127" t="str">
        <f>'Job Sheet'!I14</f>
        <v>Texstyle Focus Blockout Polar</v>
      </c>
      <c r="D14" s="155" t="str">
        <f>IF(Data!AV14="","",VLOOKUP(C14,ColourMatch,10,FALSE))</f>
        <v>W4</v>
      </c>
      <c r="E14" s="156" t="str">
        <f>IF(Data!AV14="","",VLOOKUP(C14,ColourMatch,9,FALSE))</f>
        <v>P10</v>
      </c>
      <c r="F14" s="51">
        <f>'Job Sheet'!AY14</f>
        <v>2017</v>
      </c>
      <c r="G14" s="51">
        <f>IF(Data!AV14="","",IF(OR('Job Sheet'!Y14="N/A",'Job Sheet'!Y14="N/A."),'Job Sheet'!AZ14,CONCATENATE('Job Sheet'!AZ14," Exact")))</f>
        <v>1710</v>
      </c>
      <c r="H14" s="162" t="str">
        <f t="shared" si="0"/>
        <v/>
      </c>
      <c r="I14" s="160" t="str">
        <f>IF(Data!AV14="","",VLOOKUP(C14,ColourMatch,11,FALSE))</f>
        <v>2200 / 3200</v>
      </c>
      <c r="J14" s="95"/>
      <c r="K14" s="95"/>
      <c r="L14" s="46" t="str">
        <f>IF(Data!AV14="","",IF(AND(VLOOKUP(C14,ColourMatch,12,FALSE)="Yes",'Job Sheet'!O14="Back"),"Yes","No"))</f>
        <v>No</v>
      </c>
      <c r="M14" s="30" t="str">
        <f>'Job Sheet'!S14</f>
        <v>D30 Bottom Rail with Noise Reducing Strip</v>
      </c>
      <c r="N14" s="47" t="str">
        <f>IF(Data!AV14="","",IF(OR(M14="D30 Bottom Rail",M14="D30 Bottom Rail with Noise Reducing Strip"),"",VLOOKUP(Data!BN14&amp;" "&amp;Data!BO14&amp;" "&amp;Data!BP14,ColourMatch,7,FALSE)))</f>
        <v/>
      </c>
      <c r="O14" s="47" t="str">
        <f>IF('Job Sheet'!AA14="Aluminium Valance - Fabric Covered",'Job Sheet'!G14+4,"")</f>
        <v/>
      </c>
      <c r="P14" s="47" t="str">
        <f>IF('Job Sheet'!AA14="Aluminium Valance - Fabric Covered",200,"")</f>
        <v/>
      </c>
      <c r="Q14" s="30" t="str">
        <f>'Job Sheet'!AO14</f>
        <v/>
      </c>
      <c r="R14" s="124" t="str">
        <f t="shared" si="1"/>
        <v>12</v>
      </c>
    </row>
    <row r="15" spans="1:18" s="96" customFormat="1" ht="60" customHeight="1">
      <c r="A15" s="4" t="str">
        <f>'Job Sheet'!A15</f>
        <v/>
      </c>
      <c r="B15" s="23">
        <f>'Job Sheet'!B15</f>
        <v>0</v>
      </c>
      <c r="C15" s="127" t="str">
        <f>'Job Sheet'!I15</f>
        <v/>
      </c>
      <c r="D15" s="155" t="str">
        <f>IF(Data!AV15="","",VLOOKUP(C15,ColourMatch,10,FALSE))</f>
        <v/>
      </c>
      <c r="E15" s="156" t="str">
        <f>IF(Data!AV15="","",VLOOKUP(C15,ColourMatch,9,FALSE))</f>
        <v/>
      </c>
      <c r="F15" s="51" t="str">
        <f>'Job Sheet'!AY15</f>
        <v/>
      </c>
      <c r="G15" s="51" t="str">
        <f>IF(Data!AV15="","",IF(OR('Job Sheet'!Y15="N/A",'Job Sheet'!Y15="N/A."),'Job Sheet'!AZ15,CONCATENATE('Job Sheet'!AZ15," Exact")))</f>
        <v/>
      </c>
      <c r="H15" s="162" t="str">
        <f t="shared" si="0"/>
        <v/>
      </c>
      <c r="I15" s="160" t="str">
        <f>IF(Data!AV15="","",VLOOKUP(C15,ColourMatch,11,FALSE))</f>
        <v/>
      </c>
      <c r="J15" s="95"/>
      <c r="K15" s="95"/>
      <c r="L15" s="46" t="str">
        <f>IF(Data!AV15="","",IF(AND(VLOOKUP(C15,ColourMatch,12,FALSE)="Yes",'Job Sheet'!O15="Back"),"Yes","No"))</f>
        <v/>
      </c>
      <c r="M15" s="30" t="str">
        <f>'Job Sheet'!S15</f>
        <v/>
      </c>
      <c r="N15" s="47" t="str">
        <f>IF(Data!AV15="","",IF(OR(M15="D30 Bottom Rail",M15="D30 Bottom Rail with Noise Reducing Strip"),"",VLOOKUP(Data!BN15&amp;" "&amp;Data!BO15&amp;" "&amp;Data!BP15,ColourMatch,7,FALSE)))</f>
        <v/>
      </c>
      <c r="O15" s="47" t="str">
        <f>IF('Job Sheet'!AA15="Aluminium Valance - Fabric Covered",'Job Sheet'!G15+4,"")</f>
        <v/>
      </c>
      <c r="P15" s="47" t="str">
        <f>IF('Job Sheet'!AA15="Aluminium Valance - Fabric Covered",200,"")</f>
        <v/>
      </c>
      <c r="Q15" s="30" t="str">
        <f>'Job Sheet'!AO15</f>
        <v/>
      </c>
      <c r="R15" s="124" t="str">
        <f t="shared" si="1"/>
        <v/>
      </c>
    </row>
    <row r="16" spans="1:18" s="96" customFormat="1" ht="60" customHeight="1">
      <c r="A16" s="4" t="str">
        <f>'Job Sheet'!A16</f>
        <v/>
      </c>
      <c r="B16" s="23">
        <f>'Job Sheet'!B16</f>
        <v>0</v>
      </c>
      <c r="C16" s="127" t="str">
        <f>'Job Sheet'!I16</f>
        <v/>
      </c>
      <c r="D16" s="155" t="str">
        <f>IF(Data!AV16="","",VLOOKUP(C16,ColourMatch,10,FALSE))</f>
        <v/>
      </c>
      <c r="E16" s="156" t="str">
        <f>IF(Data!AV16="","",VLOOKUP(C16,ColourMatch,9,FALSE))</f>
        <v/>
      </c>
      <c r="F16" s="51" t="str">
        <f>'Job Sheet'!AY16</f>
        <v/>
      </c>
      <c r="G16" s="51" t="str">
        <f>IF(Data!AV16="","",IF(OR('Job Sheet'!Y16="N/A",'Job Sheet'!Y16="N/A."),'Job Sheet'!AZ16,CONCATENATE('Job Sheet'!AZ16," Exact")))</f>
        <v/>
      </c>
      <c r="H16" s="162" t="str">
        <f t="shared" si="0"/>
        <v/>
      </c>
      <c r="I16" s="160" t="str">
        <f>IF(Data!AV16="","",VLOOKUP(C16,ColourMatch,11,FALSE))</f>
        <v/>
      </c>
      <c r="J16" s="95"/>
      <c r="K16" s="95"/>
      <c r="L16" s="46" t="str">
        <f>IF(Data!AV16="","",IF(AND(VLOOKUP(C16,ColourMatch,12,FALSE)="Yes",'Job Sheet'!O16="Back"),"Yes","No"))</f>
        <v/>
      </c>
      <c r="M16" s="30" t="str">
        <f>'Job Sheet'!S16</f>
        <v/>
      </c>
      <c r="N16" s="47" t="str">
        <f>IF(Data!AV16="","",IF(OR(M16="D30 Bottom Rail",M16="D30 Bottom Rail with Noise Reducing Strip"),"",VLOOKUP(Data!BN16&amp;" "&amp;Data!BO16&amp;" "&amp;Data!BP16,ColourMatch,7,FALSE)))</f>
        <v/>
      </c>
      <c r="O16" s="47" t="str">
        <f>IF('Job Sheet'!AA16="Aluminium Valance - Fabric Covered",'Job Sheet'!G16+4,"")</f>
        <v/>
      </c>
      <c r="P16" s="47" t="str">
        <f>IF('Job Sheet'!AA16="Aluminium Valance - Fabric Covered",200,"")</f>
        <v/>
      </c>
      <c r="Q16" s="30" t="str">
        <f>'Job Sheet'!AO16</f>
        <v/>
      </c>
      <c r="R16" s="124" t="str">
        <f t="shared" si="1"/>
        <v/>
      </c>
    </row>
    <row r="17" spans="1:18" s="96" customFormat="1" ht="60" customHeight="1">
      <c r="A17" s="4" t="str">
        <f>'Job Sheet'!A17</f>
        <v/>
      </c>
      <c r="B17" s="23">
        <f>'Job Sheet'!B17</f>
        <v>0</v>
      </c>
      <c r="C17" s="127" t="str">
        <f>'Job Sheet'!I17</f>
        <v/>
      </c>
      <c r="D17" s="155" t="str">
        <f>IF(Data!AV17="","",VLOOKUP(C17,ColourMatch,10,FALSE))</f>
        <v/>
      </c>
      <c r="E17" s="156" t="str">
        <f>IF(Data!AV17="","",VLOOKUP(C17,ColourMatch,9,FALSE))</f>
        <v/>
      </c>
      <c r="F17" s="51" t="str">
        <f>'Job Sheet'!AY17</f>
        <v/>
      </c>
      <c r="G17" s="51" t="str">
        <f>IF(Data!AV17="","",IF(OR('Job Sheet'!Y17="N/A",'Job Sheet'!Y17="N/A."),'Job Sheet'!AZ17,CONCATENATE('Job Sheet'!AZ17," Exact")))</f>
        <v/>
      </c>
      <c r="H17" s="162" t="str">
        <f t="shared" si="0"/>
        <v/>
      </c>
      <c r="I17" s="160" t="str">
        <f>IF(Data!AV17="","",VLOOKUP(C17,ColourMatch,11,FALSE))</f>
        <v/>
      </c>
      <c r="J17" s="95"/>
      <c r="K17" s="95"/>
      <c r="L17" s="46" t="str">
        <f>IF(Data!AV17="","",IF(AND(VLOOKUP(C17,ColourMatch,12,FALSE)="Yes",'Job Sheet'!O17="Back"),"Yes","No"))</f>
        <v/>
      </c>
      <c r="M17" s="30" t="str">
        <f>'Job Sheet'!S17</f>
        <v/>
      </c>
      <c r="N17" s="47" t="str">
        <f>IF(Data!AV17="","",IF(OR(M17="D30 Bottom Rail",M17="D30 Bottom Rail with Noise Reducing Strip"),"",VLOOKUP(Data!BN17&amp;" "&amp;Data!BO17&amp;" "&amp;Data!BP17,ColourMatch,7,FALSE)))</f>
        <v/>
      </c>
      <c r="O17" s="47" t="str">
        <f>IF('Job Sheet'!AA17="Aluminium Valance - Fabric Covered",'Job Sheet'!G17+4,"")</f>
        <v/>
      </c>
      <c r="P17" s="47" t="str">
        <f>IF('Job Sheet'!AA17="Aluminium Valance - Fabric Covered",200,"")</f>
        <v/>
      </c>
      <c r="Q17" s="30" t="str">
        <f>'Job Sheet'!AO17</f>
        <v/>
      </c>
      <c r="R17" s="124" t="str">
        <f t="shared" si="1"/>
        <v/>
      </c>
    </row>
    <row r="18" spans="1:18" s="96" customFormat="1" ht="60" customHeight="1">
      <c r="A18" s="4" t="str">
        <f>'Job Sheet'!A18</f>
        <v/>
      </c>
      <c r="B18" s="23">
        <f>'Job Sheet'!B18</f>
        <v>0</v>
      </c>
      <c r="C18" s="127" t="str">
        <f>'Job Sheet'!I18</f>
        <v/>
      </c>
      <c r="D18" s="155" t="str">
        <f>IF(Data!AV18="","",VLOOKUP(C18,ColourMatch,10,FALSE))</f>
        <v/>
      </c>
      <c r="E18" s="156" t="str">
        <f>IF(Data!AV18="","",VLOOKUP(C18,ColourMatch,9,FALSE))</f>
        <v/>
      </c>
      <c r="F18" s="51" t="str">
        <f>'Job Sheet'!AY18</f>
        <v/>
      </c>
      <c r="G18" s="51" t="str">
        <f>IF(Data!AV18="","",IF(OR('Job Sheet'!Y18="N/A",'Job Sheet'!Y18="N/A."),'Job Sheet'!AZ18,CONCATENATE('Job Sheet'!AZ18," Exact")))</f>
        <v/>
      </c>
      <c r="H18" s="162" t="str">
        <f t="shared" si="0"/>
        <v/>
      </c>
      <c r="I18" s="160" t="str">
        <f>IF(Data!AV18="","",VLOOKUP(C18,ColourMatch,11,FALSE))</f>
        <v/>
      </c>
      <c r="J18" s="95"/>
      <c r="K18" s="95"/>
      <c r="L18" s="46" t="str">
        <f>IF(Data!AV18="","",IF(AND(VLOOKUP(C18,ColourMatch,12,FALSE)="Yes",'Job Sheet'!O18="Back"),"Yes","No"))</f>
        <v/>
      </c>
      <c r="M18" s="30" t="str">
        <f>'Job Sheet'!S18</f>
        <v/>
      </c>
      <c r="N18" s="47" t="str">
        <f>IF(Data!AV18="","",IF(OR(M18="D30 Bottom Rail",M18="D30 Bottom Rail with Noise Reducing Strip"),"",VLOOKUP(Data!BN18&amp;" "&amp;Data!BO18&amp;" "&amp;Data!BP18,ColourMatch,7,FALSE)))</f>
        <v/>
      </c>
      <c r="O18" s="47" t="str">
        <f>IF('Job Sheet'!AA18="Aluminium Valance - Fabric Covered",'Job Sheet'!G18+4,"")</f>
        <v/>
      </c>
      <c r="P18" s="47" t="str">
        <f>IF('Job Sheet'!AA18="Aluminium Valance - Fabric Covered",200,"")</f>
        <v/>
      </c>
      <c r="Q18" s="30" t="str">
        <f>'Job Sheet'!AO18</f>
        <v/>
      </c>
      <c r="R18" s="124" t="str">
        <f t="shared" si="1"/>
        <v/>
      </c>
    </row>
    <row r="19" spans="1:18" s="96" customFormat="1" ht="60" customHeight="1">
      <c r="A19" s="4" t="str">
        <f>'Job Sheet'!A19</f>
        <v/>
      </c>
      <c r="B19" s="23">
        <f>'Job Sheet'!B19</f>
        <v>0</v>
      </c>
      <c r="C19" s="127" t="str">
        <f>'Job Sheet'!I19</f>
        <v/>
      </c>
      <c r="D19" s="155" t="str">
        <f>IF(Data!AV19="","",VLOOKUP(C19,ColourMatch,10,FALSE))</f>
        <v/>
      </c>
      <c r="E19" s="156" t="str">
        <f>IF(Data!AV19="","",VLOOKUP(C19,ColourMatch,9,FALSE))</f>
        <v/>
      </c>
      <c r="F19" s="51" t="str">
        <f>'Job Sheet'!AY19</f>
        <v/>
      </c>
      <c r="G19" s="51" t="str">
        <f>IF(Data!AV19="","",IF(OR('Job Sheet'!Y19="N/A",'Job Sheet'!Y19="N/A."),'Job Sheet'!AZ19,CONCATENATE('Job Sheet'!AZ19," Exact")))</f>
        <v/>
      </c>
      <c r="H19" s="162" t="str">
        <f t="shared" si="0"/>
        <v/>
      </c>
      <c r="I19" s="160" t="str">
        <f>IF(Data!AV19="","",VLOOKUP(C19,ColourMatch,11,FALSE))</f>
        <v/>
      </c>
      <c r="J19" s="95"/>
      <c r="K19" s="95"/>
      <c r="L19" s="46" t="str">
        <f>IF(Data!AV19="","",IF(AND(VLOOKUP(C19,ColourMatch,12,FALSE)="Yes",'Job Sheet'!O19="Back"),"Yes","No"))</f>
        <v/>
      </c>
      <c r="M19" s="30" t="str">
        <f>'Job Sheet'!S19</f>
        <v/>
      </c>
      <c r="N19" s="47" t="str">
        <f>IF(Data!AV19="","",IF(OR(M19="D30 Bottom Rail",M19="D30 Bottom Rail with Noise Reducing Strip"),"",VLOOKUP(Data!BN19&amp;" "&amp;Data!BO19&amp;" "&amp;Data!BP19,ColourMatch,7,FALSE)))</f>
        <v/>
      </c>
      <c r="O19" s="47" t="str">
        <f>IF('Job Sheet'!AA19="Aluminium Valance - Fabric Covered",'Job Sheet'!G19+4,"")</f>
        <v/>
      </c>
      <c r="P19" s="47" t="str">
        <f>IF('Job Sheet'!AA19="Aluminium Valance - Fabric Covered",200,"")</f>
        <v/>
      </c>
      <c r="Q19" s="30" t="str">
        <f>'Job Sheet'!AO19</f>
        <v/>
      </c>
      <c r="R19" s="124" t="str">
        <f t="shared" si="1"/>
        <v/>
      </c>
    </row>
    <row r="20" spans="1:18" s="96" customFormat="1" ht="60" customHeight="1">
      <c r="A20" s="4" t="str">
        <f>'Job Sheet'!A20</f>
        <v/>
      </c>
      <c r="B20" s="23">
        <f>'Job Sheet'!B20</f>
        <v>0</v>
      </c>
      <c r="C20" s="127" t="str">
        <f>'Job Sheet'!I20</f>
        <v/>
      </c>
      <c r="D20" s="155" t="str">
        <f>IF(Data!AV20="","",VLOOKUP(C20,ColourMatch,10,FALSE))</f>
        <v/>
      </c>
      <c r="E20" s="156" t="str">
        <f>IF(Data!AV20="","",VLOOKUP(C20,ColourMatch,9,FALSE))</f>
        <v/>
      </c>
      <c r="F20" s="51" t="str">
        <f>'Job Sheet'!AY20</f>
        <v/>
      </c>
      <c r="G20" s="51" t="str">
        <f>IF(Data!AV20="","",IF(OR('Job Sheet'!Y20="N/A",'Job Sheet'!Y20="N/A."),'Job Sheet'!AZ20,CONCATENATE('Job Sheet'!AZ20," Exact")))</f>
        <v/>
      </c>
      <c r="H20" s="162" t="str">
        <f t="shared" si="0"/>
        <v/>
      </c>
      <c r="I20" s="160" t="str">
        <f>IF(Data!AV20="","",VLOOKUP(C20,ColourMatch,11,FALSE))</f>
        <v/>
      </c>
      <c r="J20" s="95"/>
      <c r="K20" s="95"/>
      <c r="L20" s="46" t="str">
        <f>IF(Data!AV20="","",IF(AND(VLOOKUP(C20,ColourMatch,12,FALSE)="Yes",'Job Sheet'!O20="Back"),"Yes","No"))</f>
        <v/>
      </c>
      <c r="M20" s="30" t="str">
        <f>'Job Sheet'!S20</f>
        <v/>
      </c>
      <c r="N20" s="47" t="str">
        <f>IF(Data!AV20="","",IF(OR(M20="D30 Bottom Rail",M20="D30 Bottom Rail with Noise Reducing Strip"),"",VLOOKUP(Data!BN20&amp;" "&amp;Data!BO20&amp;" "&amp;Data!BP20,ColourMatch,7,FALSE)))</f>
        <v/>
      </c>
      <c r="O20" s="47" t="str">
        <f>IF('Job Sheet'!AA20="Aluminium Valance - Fabric Covered",'Job Sheet'!G20+4,"")</f>
        <v/>
      </c>
      <c r="P20" s="47" t="str">
        <f>IF('Job Sheet'!AA20="Aluminium Valance - Fabric Covered",200,"")</f>
        <v/>
      </c>
      <c r="Q20" s="30" t="str">
        <f>'Job Sheet'!AO20</f>
        <v/>
      </c>
      <c r="R20" s="124" t="str">
        <f t="shared" si="1"/>
        <v/>
      </c>
    </row>
    <row r="21" ht="60" customHeight="1"/>
    <row r="22" ht="60" customHeight="1"/>
    <row r="23" ht="60" customHeight="1"/>
    <row r="24" ht="60" customHeight="1"/>
    <row r="25" ht="60" customHeight="1"/>
    <row r="26" ht="60" customHeight="1"/>
    <row r="27" ht="60" customHeight="1"/>
    <row r="28" ht="60" customHeight="1"/>
    <row r="29" ht="60" customHeight="1"/>
    <row r="30" ht="60" customHeight="1"/>
    <row r="31" ht="60" customHeight="1"/>
    <row r="32" ht="60" customHeight="1"/>
    <row r="33" ht="60" customHeight="1"/>
    <row r="34" ht="60" customHeight="1"/>
    <row r="35" ht="60" customHeight="1"/>
    <row r="36" ht="60" customHeight="1"/>
    <row r="37" ht="60" customHeight="1"/>
    <row r="38" ht="60" customHeight="1"/>
    <row r="39" ht="60" customHeight="1"/>
    <row r="40" ht="60" customHeight="1"/>
    <row r="41" ht="60" customHeight="1"/>
    <row r="42" ht="60" customHeight="1"/>
    <row r="43" ht="60" customHeight="1"/>
    <row r="44" ht="60" customHeight="1"/>
    <row r="45" ht="60" customHeight="1"/>
    <row r="46" ht="60" customHeight="1"/>
    <row r="47" ht="60" customHeight="1"/>
    <row r="48" ht="60" customHeight="1"/>
    <row r="49" ht="60" customHeight="1"/>
    <row r="50" ht="60" customHeight="1"/>
    <row r="51" ht="60" customHeight="1"/>
    <row r="52" ht="60" customHeight="1"/>
    <row r="53" ht="60" customHeight="1"/>
    <row r="54" ht="60" customHeight="1"/>
    <row r="55" ht="60" customHeight="1"/>
    <row r="56" ht="60" customHeight="1"/>
    <row r="57" ht="60" customHeight="1"/>
    <row r="58" ht="60" customHeight="1"/>
    <row r="59" ht="60" customHeight="1"/>
    <row r="60" ht="60" customHeight="1"/>
    <row r="61" ht="60" customHeight="1"/>
    <row r="62" ht="60" customHeight="1"/>
    <row r="63" ht="60" customHeight="1"/>
    <row r="64" ht="60" customHeight="1"/>
    <row r="65" ht="60" customHeight="1"/>
    <row r="66" ht="60" customHeight="1"/>
    <row r="67" ht="60" customHeight="1"/>
    <row r="68" ht="60" customHeight="1"/>
    <row r="69" ht="60" customHeight="1"/>
    <row r="70" ht="60" customHeight="1"/>
    <row r="71" ht="60" customHeight="1"/>
    <row r="72" ht="60" customHeight="1"/>
    <row r="73" ht="60" customHeight="1"/>
    <row r="74" ht="60" customHeight="1"/>
    <row r="75" ht="60" customHeight="1"/>
    <row r="76" ht="60" customHeight="1"/>
    <row r="77" ht="60" customHeight="1"/>
    <row r="78" ht="60" customHeight="1"/>
    <row r="79" ht="60" customHeight="1"/>
    <row r="80" ht="60" customHeight="1"/>
    <row r="81" ht="60" customHeight="1"/>
    <row r="82" ht="60" customHeight="1"/>
    <row r="83" ht="60" customHeight="1"/>
    <row r="84" ht="60" customHeight="1"/>
    <row r="85" ht="60" customHeight="1"/>
    <row r="86" ht="60" customHeight="1"/>
    <row r="87" ht="60" customHeight="1"/>
    <row r="88" ht="60" customHeight="1"/>
    <row r="89" ht="60" customHeight="1"/>
    <row r="90" ht="60" customHeight="1"/>
    <row r="91" ht="60" customHeight="1"/>
    <row r="92" ht="60" customHeight="1"/>
    <row r="93" ht="60" customHeight="1"/>
    <row r="94" ht="60" customHeight="1"/>
    <row r="95" ht="60" customHeight="1"/>
    <row r="96" ht="60" customHeight="1"/>
    <row r="97" ht="60" customHeight="1"/>
    <row r="98" ht="60" customHeight="1"/>
    <row r="99" ht="60" customHeight="1"/>
    <row r="100" ht="60" customHeight="1"/>
    <row r="101" ht="60" customHeight="1"/>
    <row r="102" ht="60" customHeight="1"/>
    <row r="103" ht="60" customHeight="1"/>
    <row r="104" ht="60" customHeight="1"/>
    <row r="105" ht="60" customHeight="1"/>
    <row r="106" ht="60" customHeight="1"/>
    <row r="107" ht="60" customHeight="1"/>
    <row r="108" ht="60" customHeight="1"/>
    <row r="109" ht="60" customHeight="1"/>
    <row r="110" ht="60" customHeight="1"/>
    <row r="111" ht="60" customHeight="1"/>
    <row r="112" ht="60" customHeight="1"/>
    <row r="113" ht="60" customHeight="1"/>
    <row r="114" ht="60" customHeight="1"/>
    <row r="115" ht="60" customHeight="1"/>
    <row r="116" ht="60" customHeight="1"/>
    <row r="117" ht="60" customHeight="1"/>
    <row r="118" ht="60" customHeight="1"/>
    <row r="119" ht="60" customHeight="1"/>
    <row r="120" ht="60" customHeight="1"/>
    <row r="121" ht="60" customHeight="1"/>
    <row r="122" ht="60" customHeight="1"/>
    <row r="123" ht="60" customHeight="1"/>
    <row r="124" ht="60" customHeight="1"/>
    <row r="125" ht="60" customHeight="1"/>
    <row r="126" ht="60" customHeight="1"/>
    <row r="127" ht="60" customHeight="1"/>
    <row r="128" ht="60" customHeight="1"/>
    <row r="129" ht="60" customHeight="1"/>
    <row r="130" ht="60" customHeight="1"/>
    <row r="131" ht="60" customHeight="1"/>
    <row r="132" ht="60" customHeight="1"/>
    <row r="133" ht="60" customHeight="1"/>
    <row r="134" ht="60" customHeight="1"/>
    <row r="135" ht="60" customHeight="1"/>
    <row r="136" ht="60" customHeight="1"/>
    <row r="137" ht="60" customHeight="1"/>
    <row r="138" ht="60" customHeight="1"/>
    <row r="139" ht="60" customHeight="1"/>
    <row r="140" ht="60" customHeight="1"/>
    <row r="141" ht="60" customHeight="1"/>
    <row r="142" ht="60" customHeight="1"/>
    <row r="143" ht="60" customHeight="1"/>
    <row r="144" ht="60" customHeight="1"/>
    <row r="145" ht="60" customHeight="1"/>
    <row r="146" ht="60" customHeight="1"/>
    <row r="147" ht="60" customHeight="1"/>
    <row r="148" ht="60" customHeight="1"/>
    <row r="149" ht="60" customHeight="1"/>
    <row r="150" ht="60" customHeight="1"/>
    <row r="151" ht="60" customHeight="1"/>
    <row r="152" ht="60" customHeight="1"/>
    <row r="153" ht="60" customHeight="1"/>
    <row r="154" ht="60" customHeight="1"/>
    <row r="155" ht="60" customHeight="1"/>
    <row r="156" ht="60" customHeight="1"/>
    <row r="157" ht="60" customHeight="1"/>
    <row r="158" ht="60" customHeight="1"/>
    <row r="159" ht="60" customHeight="1"/>
    <row r="160" ht="60" customHeight="1"/>
    <row r="161" ht="60" customHeight="1"/>
    <row r="162" ht="60" customHeight="1"/>
    <row r="163" ht="39.9" customHeight="1"/>
    <row r="164" ht="39.9" customHeight="1"/>
    <row r="165" ht="39.9" customHeight="1"/>
    <row r="166" ht="39.9" customHeight="1"/>
    <row r="167" ht="39.9" customHeight="1"/>
    <row r="168" ht="39.9" customHeight="1"/>
    <row r="169" ht="39.9" customHeight="1"/>
    <row r="170" ht="39.9" customHeight="1"/>
    <row r="171" ht="39.9" customHeight="1"/>
    <row r="172" ht="39.9" customHeight="1"/>
    <row r="173" ht="39.9" customHeight="1"/>
    <row r="174" ht="39.9" customHeight="1"/>
    <row r="175" ht="39.9" customHeight="1"/>
    <row r="176" ht="39.9" customHeight="1"/>
    <row r="177" ht="39.9" customHeight="1"/>
    <row r="178" ht="39.9" customHeight="1"/>
    <row r="179" ht="39.9" customHeight="1"/>
    <row r="180" ht="39.9" customHeight="1"/>
    <row r="181" ht="39.9" customHeight="1"/>
    <row r="182" ht="39.9" customHeight="1"/>
    <row r="183" ht="39.9" customHeight="1"/>
    <row r="184" ht="39.9" customHeight="1"/>
    <row r="185" ht="39.9" customHeight="1"/>
    <row r="186" ht="39.9" customHeight="1"/>
    <row r="187" ht="39.9" customHeight="1"/>
    <row r="188" ht="39.9" customHeight="1"/>
    <row r="189" ht="39.9" customHeight="1"/>
    <row r="190" ht="39.9" customHeight="1"/>
    <row r="191" ht="39.9" customHeight="1"/>
    <row r="192" ht="39.9" customHeight="1"/>
    <row r="193" ht="39.9" customHeight="1"/>
    <row r="194" ht="39.9" customHeight="1"/>
    <row r="195" ht="39.9" customHeight="1"/>
    <row r="196" ht="39.9" customHeight="1"/>
    <row r="197" ht="39.9" customHeight="1"/>
    <row r="198" ht="39.9" customHeight="1"/>
    <row r="199" ht="39.9" customHeight="1"/>
    <row r="200" ht="39.9" customHeight="1"/>
    <row r="201" ht="39.9" customHeight="1"/>
    <row r="202" ht="39.9" customHeight="1"/>
    <row r="203" ht="39.9" customHeight="1"/>
    <row r="204" ht="39.9" customHeight="1"/>
    <row r="205" ht="39.9" customHeight="1"/>
    <row r="206" ht="39.9" customHeight="1"/>
    <row r="207" ht="39.9" customHeight="1"/>
    <row r="208" ht="39.9" customHeight="1"/>
  </sheetData>
  <mergeCells count="36">
    <mergeCell ref="R8:R10"/>
    <mergeCell ref="D3:F3"/>
    <mergeCell ref="Q8:Q10"/>
    <mergeCell ref="O8:O10"/>
    <mergeCell ref="P8:P10"/>
    <mergeCell ref="N8:N10"/>
    <mergeCell ref="G7:M7"/>
    <mergeCell ref="G6:M6"/>
    <mergeCell ref="K8:K10"/>
    <mergeCell ref="I8:I10"/>
    <mergeCell ref="H8:H10"/>
    <mergeCell ref="L8:L10"/>
    <mergeCell ref="M8:M10"/>
    <mergeCell ref="J8:J10"/>
    <mergeCell ref="E8:E10"/>
    <mergeCell ref="A2:B2"/>
    <mergeCell ref="A3:B3"/>
    <mergeCell ref="A4:B4"/>
    <mergeCell ref="A5:B5"/>
    <mergeCell ref="A1:R1"/>
    <mergeCell ref="D4:F4"/>
    <mergeCell ref="D5:F7"/>
    <mergeCell ref="D2:F2"/>
    <mergeCell ref="A6:C7"/>
    <mergeCell ref="G3:M3"/>
    <mergeCell ref="G2:M2"/>
    <mergeCell ref="N3:R7"/>
    <mergeCell ref="N2:R2"/>
    <mergeCell ref="G5:M5"/>
    <mergeCell ref="G4:M4"/>
    <mergeCell ref="A8:A10"/>
    <mergeCell ref="B8:B10"/>
    <mergeCell ref="C8:C10"/>
    <mergeCell ref="F8:F10"/>
    <mergeCell ref="G8:G10"/>
    <mergeCell ref="D8:D10"/>
  </mergeCells>
  <conditionalFormatting sqref="L11:L20">
    <cfRule type="containsText" priority="6" dxfId="0" operator="containsText" text="Yes">
      <formula>NOT(ISERROR(SEARCH("Yes",L11)))</formula>
    </cfRule>
  </conditionalFormatting>
  <conditionalFormatting sqref="C11:K20">
    <cfRule type="expression" priority="7" dxfId="8">
      <formula>SEARCH("Sunscreen",$C11)</formula>
    </cfRule>
    <cfRule type="expression" priority="5" dxfId="9">
      <formula>SEARCH("Light Filtering",$C11)</formula>
    </cfRule>
  </conditionalFormatting>
  <conditionalFormatting sqref="C2">
    <cfRule type="containsText" priority="4" dxfId="0" operator="containsText" text="PELMETS INCLUDED">
      <formula>NOT(ISERROR(SEARCH("PELMETS INCLUDED",C2)))</formula>
    </cfRule>
  </conditionalFormatting>
  <conditionalFormatting sqref="F11:F20 I11:I20">
    <cfRule type="expression" priority="3" dxfId="5">
      <formula>$I11-100&lt;$F11</formula>
    </cfRule>
    <cfRule type="expression" priority="2" dxfId="6">
      <formula>$I11&lt;$F11</formula>
    </cfRule>
  </conditionalFormatting>
  <conditionalFormatting sqref="H11:H20">
    <cfRule type="containsText" priority="1" dxfId="0" operator="containsText" text="Yes">
      <formula>NOT(ISERROR(SEARCH("Yes",H11)))</formula>
    </cfRule>
  </conditionalFormatting>
  <printOptions horizontalCentered="1"/>
  <pageMargins left="0.996062992126028" right="0.996062992126028" top="0.31496062992126" bottom="0.31496062992126" header="0.31496062992126" footer="0.31496062992126"/>
  <pageSetup fitToHeight="0" horizontalDpi="300" verticalDpi="300" orientation="landscape" paperSize="9" scale="1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pageSetUpPr fitToPage="1"/>
  </sheetPr>
  <dimension ref="A1:Q20"/>
  <sheetViews>
    <sheetView showZeros="0" view="pageBreakPreview" zoomScale="40" zoomScaleNormal="40" zoomScaleSheetLayoutView="40" workbookViewId="0" topLeftCell="A1">
      <selection pane="topLeft" activeCell="A11" sqref="A11:XFD20"/>
    </sheetView>
  </sheetViews>
  <sheetFormatPr defaultColWidth="9.109375" defaultRowHeight="13.5"/>
  <cols>
    <col min="1" max="1" width="12.4285714285714" style="42" customWidth="1"/>
    <col min="2" max="2" width="43.8571428571429" style="42" customWidth="1"/>
    <col min="3" max="3" width="16.7142857142857" style="42" customWidth="1"/>
    <col min="4" max="4" width="17.8571428571429" style="42" customWidth="1"/>
    <col min="5" max="5" width="35.7142857142857" style="42" customWidth="1"/>
    <col min="6" max="6" width="23.8571428571429" style="42" customWidth="1"/>
    <col min="7" max="7" width="18.2857142857143" style="42" customWidth="1"/>
    <col min="8" max="8" width="18.7142857142857" style="42" customWidth="1"/>
    <col min="9" max="9" width="17.5714285714286" style="42" customWidth="1"/>
    <col min="10" max="10" width="30.2857142857143" style="42" customWidth="1"/>
    <col min="11" max="11" width="29.2857142857143" style="42" customWidth="1"/>
    <col min="12" max="12" width="22.2857142857143" style="42" customWidth="1"/>
    <col min="13" max="13" width="23.2857142857143" style="42" customWidth="1"/>
    <col min="14" max="14" width="30.7142857142857" style="42" customWidth="1"/>
    <col min="15" max="15" width="20.7142857142857" style="42" customWidth="1"/>
    <col min="16" max="16" width="63.1428571428571" style="42" customWidth="1"/>
    <col min="17" max="17" width="17.4285714285714" customWidth="1"/>
  </cols>
  <sheetData>
    <row r="1" spans="1:17" ht="272.4" customHeight="1">
      <c r="A1" s="247" t="s">
        <v>241</v>
      </c>
      <c r="B1" s="247"/>
      <c r="C1" s="247"/>
      <c r="D1" s="247"/>
      <c r="E1" s="247"/>
      <c r="F1" s="247"/>
      <c r="G1" s="247"/>
      <c r="H1" s="247"/>
      <c r="I1" s="247"/>
      <c r="J1" s="247"/>
      <c r="K1" s="247"/>
      <c r="L1" s="247"/>
      <c r="M1" s="247"/>
      <c r="N1" s="247"/>
      <c r="O1" s="247"/>
      <c r="P1" s="247"/>
      <c r="Q1" s="247"/>
    </row>
    <row r="2" spans="1:17" s="63" customFormat="1" ht="49.95" customHeight="1">
      <c r="A2" s="195" t="s">
        <v>146</v>
      </c>
      <c r="B2" s="195"/>
      <c r="C2" s="192"/>
      <c r="D2" s="192"/>
      <c r="E2" s="192"/>
      <c r="F2" s="192" t="s">
        <v>147</v>
      </c>
      <c r="G2" s="192"/>
      <c r="H2" s="192"/>
      <c r="I2" s="194" t="str">
        <f>Data!BF5</f>
        <v>Evans, Belinda </v>
      </c>
      <c r="J2" s="194"/>
      <c r="K2" s="194"/>
      <c r="L2" s="194"/>
      <c r="M2" s="210" t="s">
        <v>148</v>
      </c>
      <c r="N2" s="210"/>
      <c r="O2" s="210"/>
      <c r="P2" s="210"/>
      <c r="Q2" s="210"/>
    </row>
    <row r="3" spans="1:17" s="63" customFormat="1" ht="49.95" customHeight="1">
      <c r="A3" s="196" t="s">
        <v>149</v>
      </c>
      <c r="B3" s="196"/>
      <c r="C3" s="191" t="str">
        <f>Data!BC5</f>
        <v>40426</v>
      </c>
      <c r="D3" s="191"/>
      <c r="E3" s="191"/>
      <c r="F3" s="193" t="s">
        <v>150</v>
      </c>
      <c r="G3" s="193"/>
      <c r="H3" s="193"/>
      <c r="I3" s="251" t="str">
        <f>Data!AX5</f>
        <v>Sheers and Rollers</v>
      </c>
      <c r="J3" s="251"/>
      <c r="K3" s="251"/>
      <c r="L3" s="251"/>
      <c r="M3" s="248" t="str">
        <f>TRIM(Data!BG5)</f>
        <v/>
      </c>
      <c r="N3" s="248"/>
      <c r="O3" s="248"/>
      <c r="P3" s="248"/>
      <c r="Q3" s="248"/>
    </row>
    <row r="4" spans="1:17" s="63" customFormat="1" ht="49.95" customHeight="1">
      <c r="A4" s="190" t="s">
        <v>151</v>
      </c>
      <c r="B4" s="190"/>
      <c r="C4" s="191" t="str">
        <f>Data!BD5</f>
        <v>A</v>
      </c>
      <c r="D4" s="191"/>
      <c r="E4" s="191"/>
      <c r="F4" s="193" t="s">
        <v>152</v>
      </c>
      <c r="G4" s="193"/>
      <c r="H4" s="193"/>
      <c r="I4" s="251" t="str">
        <f>Data!BA5</f>
        <v>4/09/2026 12:00:00 AM</v>
      </c>
      <c r="J4" s="251"/>
      <c r="K4" s="251"/>
      <c r="L4" s="251"/>
      <c r="M4" s="248"/>
      <c r="N4" s="248"/>
      <c r="O4" s="248"/>
      <c r="P4" s="248"/>
      <c r="Q4" s="248"/>
    </row>
    <row r="5" spans="1:17" s="63" customFormat="1" ht="49.95" customHeight="1">
      <c r="A5" s="200" t="s">
        <v>153</v>
      </c>
      <c r="B5" s="200"/>
      <c r="C5" s="201" t="str">
        <f>Data!AY5</f>
        <v>12/06/2026 12:00:00 AM</v>
      </c>
      <c r="D5" s="201"/>
      <c r="E5" s="201"/>
      <c r="F5" s="191" t="s">
        <v>154</v>
      </c>
      <c r="G5" s="191"/>
      <c r="H5" s="191"/>
      <c r="I5" s="194" t="str">
        <f>'Job Sheet'!K5</f>
        <v>Belinda  Evans</v>
      </c>
      <c r="J5" s="194"/>
      <c r="K5" s="194"/>
      <c r="L5" s="194"/>
      <c r="M5" s="248"/>
      <c r="N5" s="248"/>
      <c r="O5" s="248"/>
      <c r="P5" s="248"/>
      <c r="Q5" s="248"/>
    </row>
    <row r="6" spans="1:17" s="63" customFormat="1" ht="49.95" customHeight="1">
      <c r="A6" s="252" t="str">
        <f>'Job Sheet'!A6</f>
        <v>Retail Customer</v>
      </c>
      <c r="B6" s="252"/>
      <c r="C6" s="252"/>
      <c r="D6" s="252"/>
      <c r="E6" s="252"/>
      <c r="F6" s="191"/>
      <c r="G6" s="191"/>
      <c r="H6" s="191"/>
      <c r="I6" s="194" t="str">
        <f>CONCATENATE(Data!BH5," ",Data!BI5," ",Data!BJ5," ",Data!BK5," ",Data!BL5)</f>
        <v xml:space="preserve"> 15  Dublin Street </v>
      </c>
      <c r="J6" s="194"/>
      <c r="K6" s="194"/>
      <c r="L6" s="194"/>
      <c r="M6" s="248"/>
      <c r="N6" s="248"/>
      <c r="O6" s="248"/>
      <c r="P6" s="248"/>
      <c r="Q6" s="248"/>
    </row>
    <row r="7" spans="1:17" s="63" customFormat="1" ht="49.95" customHeight="1">
      <c r="A7" s="252"/>
      <c r="B7" s="252"/>
      <c r="C7" s="252"/>
      <c r="D7" s="252"/>
      <c r="E7" s="252"/>
      <c r="F7" s="191"/>
      <c r="G7" s="191"/>
      <c r="H7" s="191"/>
      <c r="I7" s="194" t="str">
        <f>CONCATENATE(Data!BM5," ",Data!BN5," ",Data!BO5," ",Data!BP5)</f>
        <v>Alfredton VIC 3350 Australia</v>
      </c>
      <c r="J7" s="194"/>
      <c r="K7" s="194"/>
      <c r="L7" s="194"/>
      <c r="M7" s="248"/>
      <c r="N7" s="248"/>
      <c r="O7" s="248"/>
      <c r="P7" s="248"/>
      <c r="Q7" s="248"/>
    </row>
    <row r="8" spans="1:17" ht="23.25" customHeight="1">
      <c r="A8" s="250" t="s">
        <v>159</v>
      </c>
      <c r="B8" s="249" t="s">
        <v>160</v>
      </c>
      <c r="C8" s="253" t="s">
        <v>242</v>
      </c>
      <c r="D8" s="254" t="s">
        <v>204</v>
      </c>
      <c r="E8" s="213" t="s">
        <v>177</v>
      </c>
      <c r="F8" s="213" t="s">
        <v>178</v>
      </c>
      <c r="G8" s="212" t="s">
        <v>205</v>
      </c>
      <c r="H8" s="249" t="s">
        <v>243</v>
      </c>
      <c r="I8" s="255" t="s">
        <v>244</v>
      </c>
      <c r="J8" s="213" t="s">
        <v>185</v>
      </c>
      <c r="K8" s="213" t="s">
        <v>224</v>
      </c>
      <c r="L8" s="213" t="s">
        <v>245</v>
      </c>
      <c r="M8" s="213" t="s">
        <v>246</v>
      </c>
      <c r="N8" s="213" t="s">
        <v>247</v>
      </c>
      <c r="O8" s="213" t="s">
        <v>248</v>
      </c>
      <c r="P8" s="213" t="s">
        <v>199</v>
      </c>
      <c r="Q8" s="213" t="s">
        <v>231</v>
      </c>
    </row>
    <row r="9" spans="1:17" ht="18.75" customHeight="1">
      <c r="A9" s="250"/>
      <c r="B9" s="249"/>
      <c r="C9" s="253"/>
      <c r="D9" s="254"/>
      <c r="E9" s="213"/>
      <c r="F9" s="213"/>
      <c r="G9" s="212"/>
      <c r="H9" s="249"/>
      <c r="I9" s="255"/>
      <c r="J9" s="213"/>
      <c r="K9" s="213"/>
      <c r="L9" s="213"/>
      <c r="M9" s="213"/>
      <c r="N9" s="213"/>
      <c r="O9" s="213"/>
      <c r="P9" s="213"/>
      <c r="Q9" s="213"/>
    </row>
    <row r="10" spans="1:17" ht="76.5" customHeight="1">
      <c r="A10" s="250"/>
      <c r="B10" s="249"/>
      <c r="C10" s="253"/>
      <c r="D10" s="254"/>
      <c r="E10" s="213"/>
      <c r="F10" s="213"/>
      <c r="G10" s="212"/>
      <c r="H10" s="249"/>
      <c r="I10" s="255"/>
      <c r="J10" s="213"/>
      <c r="K10" s="213"/>
      <c r="L10" s="213"/>
      <c r="M10" s="213"/>
      <c r="N10" s="213"/>
      <c r="O10" s="213"/>
      <c r="P10" s="213"/>
      <c r="Q10" s="213"/>
    </row>
    <row r="11" spans="1:17" ht="81">
      <c r="A11" s="65">
        <f>Data!AW11</f>
        <v>9</v>
      </c>
      <c r="B11" s="45" t="str">
        <f>'Job Sheet'!B11</f>
        <v>Living Door 1</v>
      </c>
      <c r="C11" s="118" t="str">
        <f>'Job Sheet'!AV11</f>
        <v>38mm</v>
      </c>
      <c r="D11" s="119">
        <f>'Job Sheet'!AW11</f>
        <v>845</v>
      </c>
      <c r="E11" s="46" t="str">
        <f>'Job Sheet'!S11</f>
        <v>D30 Bottom Rail with Noise Reducing Strip</v>
      </c>
      <c r="F11" s="46" t="str">
        <f>'Job Sheet'!BD11</f>
        <v>Anodised Silver</v>
      </c>
      <c r="G11" s="51">
        <f>IF(E11="Double Lath",CONCATENATE('Job Sheet'!AX11," x 2"),'Job Sheet'!AX11)</f>
        <v>845</v>
      </c>
      <c r="H11" s="46" t="str">
        <f>IF(OR(Data!AV11="",IFERROR(VLOOKUP(E11,TimberLath,2,FALSE),"")="N/A"),"",IFERROR(VLOOKUP(E11,TimberLath,2,FALSE),""))</f>
        <v/>
      </c>
      <c r="I11" s="104" t="str">
        <f>IF(E11="Plain","",IF('Job Sheet'!G11&lt;450,G11-29,""))</f>
        <v/>
      </c>
      <c r="J11" s="46" t="str">
        <f>IF('Job Sheet'!BH11="DBS to Make",'Job Sheet'!AA11,"")</f>
        <v/>
      </c>
      <c r="K11" s="46" t="str">
        <f>IF(J11="Zipscreen Hooding",CONCATENATE("Powdercoat"," - ",'Job Sheet'!AB11),IF('Job Sheet'!BH11="DBS to Make",'Job Sheet'!AB11,""))</f>
        <v/>
      </c>
      <c r="L11" s="105" t="str">
        <f>IF(OR(J11="",IFERROR(VLOOKUP(CONCATENATE('Job Sheet'!AA11,'Job Sheet'!J11,'Job Sheet'!AR11),PelmetDeduct,3,FALSE),"")="N/A"),"",'Job Sheet'!G11-IFERROR(VLOOKUP(CONCATENATE('Job Sheet'!AA11,'Job Sheet'!J11,'Job Sheet'!AR11),PelmetDeduct,3,FALSE),0))</f>
        <v/>
      </c>
      <c r="M11" s="105" t="str">
        <f>IF(OR(J11="",IFERROR(VLOOKUP(CONCATENATE('Job Sheet'!AA11,'Job Sheet'!J11,'Job Sheet'!AR11),PelmetDeduct,4,FALSE),"")="N/A"),"",'Job Sheet'!G11-IFERROR(VLOOKUP(CONCATENATE('Job Sheet'!AA11,'Job Sheet'!J11,'Job Sheet'!AR11),PelmetDeduct,4,FALSE),0))</f>
        <v/>
      </c>
      <c r="N11" s="105" t="str">
        <f>IF(Data!AV11="","",IF(VLOOKUP(CONCATENATE('Job Sheet'!AA11,'Job Sheet'!J11,'Job Sheet'!AR11),PelmetDeduct,5,FALSE)="N/A","",IF(OR(J11="Square Cassette with Side &amp; Bottom Channels",J11="Round Cassette with Side &amp; Bottom Channels"),CONCATENATE('Job Sheet'!H11-VLOOKUP(CONCATENATE('Job Sheet'!AA11,'Job Sheet'!J11,'Job Sheet'!AR11),PelmetDeduct,5,FALSE)," x 2 (Back &amp; Front)"," ",'Job Sheet'!BA11-110," x 1  (Back &amp; Front)"),CONCATENATE('Job Sheet'!H11-VLOOKUP(CONCATENATE('Job Sheet'!AA11,'Job Sheet'!J11,'Job Sheet'!AR11),PelmetDeduct,5,FALSE)," x 2 (Back &amp; Front)"))))</f>
        <v/>
      </c>
      <c r="O11" s="105" t="str">
        <f>IF('Job Sheet'!AA11="Mounting Rail",'Job Sheet'!G11,"")</f>
        <v/>
      </c>
      <c r="P11" s="46" t="str">
        <f>'Job Sheet'!AO11</f>
        <v/>
      </c>
      <c r="Q11" s="125">
        <f t="shared" si="0" ref="Q11:Q20">A11</f>
        <v>9</v>
      </c>
    </row>
    <row r="12" spans="1:17" ht="81">
      <c r="A12" s="65">
        <f>Data!AW12</f>
        <v>10</v>
      </c>
      <c r="B12" s="45" t="str">
        <f>'Job Sheet'!B12</f>
        <v>Living Door 2</v>
      </c>
      <c r="C12" s="118" t="str">
        <f>'Job Sheet'!AV12</f>
        <v>43mm</v>
      </c>
      <c r="D12" s="119">
        <f>'Job Sheet'!AW12</f>
        <v>921</v>
      </c>
      <c r="E12" s="46" t="str">
        <f>'Job Sheet'!S12</f>
        <v>D30 Bottom Rail with Noise Reducing Strip</v>
      </c>
      <c r="F12" s="46" t="str">
        <f>'Job Sheet'!BD12</f>
        <v>Anodised Silver</v>
      </c>
      <c r="G12" s="51">
        <f>IF(E12="Double Lath",CONCATENATE('Job Sheet'!AX12," x 2"),'Job Sheet'!AX12)</f>
        <v>921</v>
      </c>
      <c r="H12" s="46" t="str">
        <f>IF(OR(Data!AV12="",IFERROR(VLOOKUP(E12,TimberLath,2,FALSE),"")="N/A"),"",IFERROR(VLOOKUP(E12,TimberLath,2,FALSE),""))</f>
        <v/>
      </c>
      <c r="I12" s="104" t="str">
        <f>IF(E12="Plain","",IF('Job Sheet'!G12&lt;450,G12-29,""))</f>
        <v/>
      </c>
      <c r="J12" s="46" t="str">
        <f>IF('Job Sheet'!BH12="DBS to Make",'Job Sheet'!AA12,"")</f>
        <v/>
      </c>
      <c r="K12" s="46" t="str">
        <f>IF(J12="Zipscreen Hooding",CONCATENATE("Powdercoat"," - ",'Job Sheet'!AB12),IF('Job Sheet'!BH12="DBS to Make",'Job Sheet'!AB12,""))</f>
        <v/>
      </c>
      <c r="L12" s="105" t="str">
        <f>IF(OR(J12="",IFERROR(VLOOKUP(CONCATENATE('Job Sheet'!AA12,'Job Sheet'!J12,'Job Sheet'!AR12),PelmetDeduct,3,FALSE),"")="N/A"),"",'Job Sheet'!G12-IFERROR(VLOOKUP(CONCATENATE('Job Sheet'!AA12,'Job Sheet'!J12,'Job Sheet'!AR12),PelmetDeduct,3,FALSE),0))</f>
        <v/>
      </c>
      <c r="M12" s="105" t="str">
        <f>IF(OR(J12="",IFERROR(VLOOKUP(CONCATENATE('Job Sheet'!AA12,'Job Sheet'!J12,'Job Sheet'!AR12),PelmetDeduct,4,FALSE),"")="N/A"),"",'Job Sheet'!G12-IFERROR(VLOOKUP(CONCATENATE('Job Sheet'!AA12,'Job Sheet'!J12,'Job Sheet'!AR12),PelmetDeduct,4,FALSE),0))</f>
        <v/>
      </c>
      <c r="N12" s="105" t="str">
        <f>IF(Data!AV12="","",IF(VLOOKUP(CONCATENATE('Job Sheet'!AA12,'Job Sheet'!J12,'Job Sheet'!AR12),PelmetDeduct,5,FALSE)="N/A","",IF(OR(J12="Square Cassette with Side &amp; Bottom Channels",J12="Round Cassette with Side &amp; Bottom Channels"),CONCATENATE('Job Sheet'!H12-VLOOKUP(CONCATENATE('Job Sheet'!AA12,'Job Sheet'!J12,'Job Sheet'!AR12),PelmetDeduct,5,FALSE)," x 2 (Back &amp; Front)"," ",'Job Sheet'!BA12-110," x 1  (Back &amp; Front)"),CONCATENATE('Job Sheet'!H12-VLOOKUP(CONCATENATE('Job Sheet'!AA12,'Job Sheet'!J12,'Job Sheet'!AR12),PelmetDeduct,5,FALSE)," x 2 (Back &amp; Front)"))))</f>
        <v/>
      </c>
      <c r="O12" s="105" t="str">
        <f>IF('Job Sheet'!AA12="Mounting Rail",'Job Sheet'!G12,"")</f>
        <v/>
      </c>
      <c r="P12" s="46" t="str">
        <f>'Job Sheet'!AO12</f>
        <v/>
      </c>
      <c r="Q12" s="125">
        <f t="shared" si="0"/>
        <v>10</v>
      </c>
    </row>
    <row r="13" spans="1:17" ht="81">
      <c r="A13" s="65">
        <f>Data!AW13</f>
        <v>11</v>
      </c>
      <c r="B13" s="45" t="str">
        <f>'Job Sheet'!B13</f>
        <v>Living Door 3</v>
      </c>
      <c r="C13" s="118" t="str">
        <f>'Job Sheet'!AV13</f>
        <v>43mm</v>
      </c>
      <c r="D13" s="119">
        <f>'Job Sheet'!AW13</f>
        <v>845</v>
      </c>
      <c r="E13" s="46" t="str">
        <f>'Job Sheet'!S13</f>
        <v>D30 Bottom Rail with Noise Reducing Strip</v>
      </c>
      <c r="F13" s="46" t="str">
        <f>'Job Sheet'!BD13</f>
        <v>Anodised Silver</v>
      </c>
      <c r="G13" s="51">
        <f>IF(E13="Double Lath",CONCATENATE('Job Sheet'!AX13," x 2"),'Job Sheet'!AX13)</f>
        <v>845</v>
      </c>
      <c r="H13" s="46" t="str">
        <f>IF(OR(Data!AV13="",IFERROR(VLOOKUP(E13,TimberLath,2,FALSE),"")="N/A"),"",IFERROR(VLOOKUP(E13,TimberLath,2,FALSE),""))</f>
        <v/>
      </c>
      <c r="I13" s="104" t="str">
        <f>IF(E13="Plain","",IF('Job Sheet'!G13&lt;450,G13-29,""))</f>
        <v/>
      </c>
      <c r="J13" s="46" t="str">
        <f>IF('Job Sheet'!BH13="DBS to Make",'Job Sheet'!AA13,"")</f>
        <v/>
      </c>
      <c r="K13" s="46" t="str">
        <f>IF(J13="Zipscreen Hooding",CONCATENATE("Powdercoat"," - ",'Job Sheet'!AB13),IF('Job Sheet'!BH13="DBS to Make",'Job Sheet'!AB13,""))</f>
        <v/>
      </c>
      <c r="L13" s="105" t="str">
        <f>IF(OR(J13="",IFERROR(VLOOKUP(CONCATENATE('Job Sheet'!AA13,'Job Sheet'!J13,'Job Sheet'!AR13),PelmetDeduct,3,FALSE),"")="N/A"),"",'Job Sheet'!G13-IFERROR(VLOOKUP(CONCATENATE('Job Sheet'!AA13,'Job Sheet'!J13,'Job Sheet'!AR13),PelmetDeduct,3,FALSE),0))</f>
        <v/>
      </c>
      <c r="M13" s="105" t="str">
        <f>IF(OR(J13="",IFERROR(VLOOKUP(CONCATENATE('Job Sheet'!AA13,'Job Sheet'!J13,'Job Sheet'!AR13),PelmetDeduct,4,FALSE),"")="N/A"),"",'Job Sheet'!G13-IFERROR(VLOOKUP(CONCATENATE('Job Sheet'!AA13,'Job Sheet'!J13,'Job Sheet'!AR13),PelmetDeduct,4,FALSE),0))</f>
        <v/>
      </c>
      <c r="N13" s="105" t="str">
        <f>IF(Data!AV13="","",IF(VLOOKUP(CONCATENATE('Job Sheet'!AA13,'Job Sheet'!J13,'Job Sheet'!AR13),PelmetDeduct,5,FALSE)="N/A","",IF(OR(J13="Square Cassette with Side &amp; Bottom Channels",J13="Round Cassette with Side &amp; Bottom Channels"),CONCATENATE('Job Sheet'!H13-VLOOKUP(CONCATENATE('Job Sheet'!AA13,'Job Sheet'!J13,'Job Sheet'!AR13),PelmetDeduct,5,FALSE)," x 2 (Back &amp; Front)"," ",'Job Sheet'!BA13-110," x 1  (Back &amp; Front)"),CONCATENATE('Job Sheet'!H13-VLOOKUP(CONCATENATE('Job Sheet'!AA13,'Job Sheet'!J13,'Job Sheet'!AR13),PelmetDeduct,5,FALSE)," x 2 (Back &amp; Front)"))))</f>
        <v/>
      </c>
      <c r="O13" s="105" t="str">
        <f>IF('Job Sheet'!AA13="Mounting Rail",'Job Sheet'!G13,"")</f>
        <v/>
      </c>
      <c r="P13" s="46" t="str">
        <f>'Job Sheet'!AO13</f>
        <v/>
      </c>
      <c r="Q13" s="125">
        <f t="shared" si="0"/>
        <v>11</v>
      </c>
    </row>
    <row r="14" spans="1:17" ht="81">
      <c r="A14" s="65">
        <f>Data!AW14</f>
        <v>12</v>
      </c>
      <c r="B14" s="45" t="str">
        <f>'Job Sheet'!B14</f>
        <v>Study</v>
      </c>
      <c r="C14" s="118" t="str">
        <f>'Job Sheet'!AV14</f>
        <v>38mm</v>
      </c>
      <c r="D14" s="119">
        <f>'Job Sheet'!AW14</f>
        <v>2019</v>
      </c>
      <c r="E14" s="46" t="str">
        <f>'Job Sheet'!S14</f>
        <v>D30 Bottom Rail with Noise Reducing Strip</v>
      </c>
      <c r="F14" s="46" t="str">
        <f>'Job Sheet'!BD14</f>
        <v>Anodised Silver</v>
      </c>
      <c r="G14" s="51">
        <f>IF(E14="Double Lath",CONCATENATE('Job Sheet'!AX14," x 2"),'Job Sheet'!AX14)</f>
        <v>2019</v>
      </c>
      <c r="H14" s="46" t="str">
        <f>IF(OR(Data!AV14="",IFERROR(VLOOKUP(E14,TimberLath,2,FALSE),"")="N/A"),"",IFERROR(VLOOKUP(E14,TimberLath,2,FALSE),""))</f>
        <v/>
      </c>
      <c r="I14" s="104" t="str">
        <f>IF(E14="Plain","",IF('Job Sheet'!G14&lt;450,G14-29,""))</f>
        <v/>
      </c>
      <c r="J14" s="46" t="str">
        <f>IF('Job Sheet'!BH14="DBS to Make",'Job Sheet'!AA14,"")</f>
        <v/>
      </c>
      <c r="K14" s="46" t="str">
        <f>IF(J14="Zipscreen Hooding",CONCATENATE("Powdercoat"," - ",'Job Sheet'!AB14),IF('Job Sheet'!BH14="DBS to Make",'Job Sheet'!AB14,""))</f>
        <v/>
      </c>
      <c r="L14" s="105" t="str">
        <f>IF(OR(J14="",IFERROR(VLOOKUP(CONCATENATE('Job Sheet'!AA14,'Job Sheet'!J14,'Job Sheet'!AR14),PelmetDeduct,3,FALSE),"")="N/A"),"",'Job Sheet'!G14-IFERROR(VLOOKUP(CONCATENATE('Job Sheet'!AA14,'Job Sheet'!J14,'Job Sheet'!AR14),PelmetDeduct,3,FALSE),0))</f>
        <v/>
      </c>
      <c r="M14" s="105" t="str">
        <f>IF(OR(J14="",IFERROR(VLOOKUP(CONCATENATE('Job Sheet'!AA14,'Job Sheet'!J14,'Job Sheet'!AR14),PelmetDeduct,4,FALSE),"")="N/A"),"",'Job Sheet'!G14-IFERROR(VLOOKUP(CONCATENATE('Job Sheet'!AA14,'Job Sheet'!J14,'Job Sheet'!AR14),PelmetDeduct,4,FALSE),0))</f>
        <v/>
      </c>
      <c r="N14" s="105" t="str">
        <f>IF(Data!AV14="","",IF(VLOOKUP(CONCATENATE('Job Sheet'!AA14,'Job Sheet'!J14,'Job Sheet'!AR14),PelmetDeduct,5,FALSE)="N/A","",IF(OR(J14="Square Cassette with Side &amp; Bottom Channels",J14="Round Cassette with Side &amp; Bottom Channels"),CONCATENATE('Job Sheet'!H14-VLOOKUP(CONCATENATE('Job Sheet'!AA14,'Job Sheet'!J14,'Job Sheet'!AR14),PelmetDeduct,5,FALSE)," x 2 (Back &amp; Front)"," ",'Job Sheet'!BA14-110," x 1  (Back &amp; Front)"),CONCATENATE('Job Sheet'!H14-VLOOKUP(CONCATENATE('Job Sheet'!AA14,'Job Sheet'!J14,'Job Sheet'!AR14),PelmetDeduct,5,FALSE)," x 2 (Back &amp; Front)"))))</f>
        <v/>
      </c>
      <c r="O14" s="105" t="str">
        <f>IF('Job Sheet'!AA14="Mounting Rail",'Job Sheet'!G14,"")</f>
        <v/>
      </c>
      <c r="P14" s="46" t="str">
        <f>'Job Sheet'!AO14</f>
        <v/>
      </c>
      <c r="Q14" s="125">
        <f t="shared" si="0"/>
        <v>12</v>
      </c>
    </row>
    <row r="15" spans="1:17" ht="60" customHeight="1">
      <c r="A15" s="65">
        <f>Data!AW15</f>
        <v>0</v>
      </c>
      <c r="B15" s="45">
        <f>'Job Sheet'!B15</f>
        <v>0</v>
      </c>
      <c r="C15" s="118" t="str">
        <f>'Job Sheet'!AV15</f>
        <v/>
      </c>
      <c r="D15" s="119" t="str">
        <f>'Job Sheet'!AW15</f>
        <v/>
      </c>
      <c r="E15" s="46" t="str">
        <f>'Job Sheet'!S15</f>
        <v/>
      </c>
      <c r="F15" s="46" t="str">
        <f>'Job Sheet'!BD15</f>
        <v/>
      </c>
      <c r="G15" s="51" t="str">
        <f>IF(E15="Double Lath",CONCATENATE('Job Sheet'!AX15," x 2"),'Job Sheet'!AX15)</f>
        <v/>
      </c>
      <c r="H15" s="46" t="str">
        <f>IF(OR(Data!AV15="",IFERROR(VLOOKUP(E15,TimberLath,2,FALSE),"")="N/A"),"",IFERROR(VLOOKUP(E15,TimberLath,2,FALSE),""))</f>
        <v/>
      </c>
      <c r="I15" s="104" t="str">
        <f>IF(E15="Plain","",IF('Job Sheet'!G15&lt;450,G15-29,""))</f>
        <v/>
      </c>
      <c r="J15" s="46" t="str">
        <f>IF('Job Sheet'!BH15="DBS to Make",'Job Sheet'!AA15,"")</f>
        <v/>
      </c>
      <c r="K15" s="46" t="str">
        <f>IF(J15="Zipscreen Hooding",CONCATENATE("Powdercoat"," - ",'Job Sheet'!AB15),IF('Job Sheet'!BH15="DBS to Make",'Job Sheet'!AB15,""))</f>
        <v/>
      </c>
      <c r="L15" s="105" t="str">
        <f>IF(OR(J15="",IFERROR(VLOOKUP(CONCATENATE('Job Sheet'!AA15,'Job Sheet'!J15,'Job Sheet'!AR15),PelmetDeduct,3,FALSE),"")="N/A"),"",'Job Sheet'!G15-IFERROR(VLOOKUP(CONCATENATE('Job Sheet'!AA15,'Job Sheet'!J15,'Job Sheet'!AR15),PelmetDeduct,3,FALSE),0))</f>
        <v/>
      </c>
      <c r="M15" s="105" t="str">
        <f>IF(OR(J15="",IFERROR(VLOOKUP(CONCATENATE('Job Sheet'!AA15,'Job Sheet'!J15,'Job Sheet'!AR15),PelmetDeduct,4,FALSE),"")="N/A"),"",'Job Sheet'!G15-IFERROR(VLOOKUP(CONCATENATE('Job Sheet'!AA15,'Job Sheet'!J15,'Job Sheet'!AR15),PelmetDeduct,4,FALSE),0))</f>
        <v/>
      </c>
      <c r="N15" s="105" t="str">
        <f>IF(Data!AV15="","",IF(VLOOKUP(CONCATENATE('Job Sheet'!AA15,'Job Sheet'!J15,'Job Sheet'!AR15),PelmetDeduct,5,FALSE)="N/A","",IF(OR(J15="Square Cassette with Side &amp; Bottom Channels",J15="Round Cassette with Side &amp; Bottom Channels"),CONCATENATE('Job Sheet'!H15-VLOOKUP(CONCATENATE('Job Sheet'!AA15,'Job Sheet'!J15,'Job Sheet'!AR15),PelmetDeduct,5,FALSE)," x 2 (Back &amp; Front)"," ",'Job Sheet'!BA15-110," x 1  (Back &amp; Front)"),CONCATENATE('Job Sheet'!H15-VLOOKUP(CONCATENATE('Job Sheet'!AA15,'Job Sheet'!J15,'Job Sheet'!AR15),PelmetDeduct,5,FALSE)," x 2 (Back &amp; Front)"))))</f>
        <v/>
      </c>
      <c r="O15" s="105" t="str">
        <f>IF('Job Sheet'!AA15="Mounting Rail",'Job Sheet'!G15,"")</f>
        <v/>
      </c>
      <c r="P15" s="46" t="str">
        <f>'Job Sheet'!AO15</f>
        <v/>
      </c>
      <c r="Q15" s="125">
        <f t="shared" si="0"/>
        <v>0</v>
      </c>
    </row>
    <row r="16" spans="1:17" ht="60" customHeight="1">
      <c r="A16" s="65">
        <f>Data!AW16</f>
        <v>0</v>
      </c>
      <c r="B16" s="45">
        <f>'Job Sheet'!B16</f>
        <v>0</v>
      </c>
      <c r="C16" s="118" t="str">
        <f>'Job Sheet'!AV16</f>
        <v/>
      </c>
      <c r="D16" s="119" t="str">
        <f>'Job Sheet'!AW16</f>
        <v/>
      </c>
      <c r="E16" s="46" t="str">
        <f>'Job Sheet'!S16</f>
        <v/>
      </c>
      <c r="F16" s="46" t="str">
        <f>'Job Sheet'!BD16</f>
        <v/>
      </c>
      <c r="G16" s="51" t="str">
        <f>IF(E16="Double Lath",CONCATENATE('Job Sheet'!AX16," x 2"),'Job Sheet'!AX16)</f>
        <v/>
      </c>
      <c r="H16" s="46" t="str">
        <f>IF(OR(Data!AV16="",IFERROR(VLOOKUP(E16,TimberLath,2,FALSE),"")="N/A"),"",IFERROR(VLOOKUP(E16,TimberLath,2,FALSE),""))</f>
        <v/>
      </c>
      <c r="I16" s="104" t="str">
        <f>IF(E16="Plain","",IF('Job Sheet'!G16&lt;450,G16-29,""))</f>
        <v/>
      </c>
      <c r="J16" s="46" t="str">
        <f>IF('Job Sheet'!BH16="DBS to Make",'Job Sheet'!AA16,"")</f>
        <v/>
      </c>
      <c r="K16" s="46" t="str">
        <f>IF(J16="Zipscreen Hooding",CONCATENATE("Powdercoat"," - ",'Job Sheet'!AB16),IF('Job Sheet'!BH16="DBS to Make",'Job Sheet'!AB16,""))</f>
        <v/>
      </c>
      <c r="L16" s="105" t="str">
        <f>IF(OR(J16="",IFERROR(VLOOKUP(CONCATENATE('Job Sheet'!AA16,'Job Sheet'!J16,'Job Sheet'!AR16),PelmetDeduct,3,FALSE),"")="N/A"),"",'Job Sheet'!G16-IFERROR(VLOOKUP(CONCATENATE('Job Sheet'!AA16,'Job Sheet'!J16,'Job Sheet'!AR16),PelmetDeduct,3,FALSE),0))</f>
        <v/>
      </c>
      <c r="M16" s="105" t="str">
        <f>IF(OR(J16="",IFERROR(VLOOKUP(CONCATENATE('Job Sheet'!AA16,'Job Sheet'!J16,'Job Sheet'!AR16),PelmetDeduct,4,FALSE),"")="N/A"),"",'Job Sheet'!G16-IFERROR(VLOOKUP(CONCATENATE('Job Sheet'!AA16,'Job Sheet'!J16,'Job Sheet'!AR16),PelmetDeduct,4,FALSE),0))</f>
        <v/>
      </c>
      <c r="N16" s="105" t="str">
        <f>IF(Data!AV16="","",IF(VLOOKUP(CONCATENATE('Job Sheet'!AA16,'Job Sheet'!J16,'Job Sheet'!AR16),PelmetDeduct,5,FALSE)="N/A","",IF(OR(J16="Square Cassette with Side &amp; Bottom Channels",J16="Round Cassette with Side &amp; Bottom Channels"),CONCATENATE('Job Sheet'!H16-VLOOKUP(CONCATENATE('Job Sheet'!AA16,'Job Sheet'!J16,'Job Sheet'!AR16),PelmetDeduct,5,FALSE)," x 2 (Back &amp; Front)"," ",'Job Sheet'!BA16-110," x 1  (Back &amp; Front)"),CONCATENATE('Job Sheet'!H16-VLOOKUP(CONCATENATE('Job Sheet'!AA16,'Job Sheet'!J16,'Job Sheet'!AR16),PelmetDeduct,5,FALSE)," x 2 (Back &amp; Front)"))))</f>
        <v/>
      </c>
      <c r="O16" s="105" t="str">
        <f>IF('Job Sheet'!AA16="Mounting Rail",'Job Sheet'!G16,"")</f>
        <v/>
      </c>
      <c r="P16" s="46" t="str">
        <f>'Job Sheet'!AO16</f>
        <v/>
      </c>
      <c r="Q16" s="125">
        <f t="shared" si="0"/>
        <v>0</v>
      </c>
    </row>
    <row r="17" spans="1:17" ht="60" customHeight="1">
      <c r="A17" s="65">
        <f>Data!AW17</f>
        <v>0</v>
      </c>
      <c r="B17" s="45">
        <f>'Job Sheet'!B17</f>
        <v>0</v>
      </c>
      <c r="C17" s="118" t="str">
        <f>'Job Sheet'!AV17</f>
        <v/>
      </c>
      <c r="D17" s="119" t="str">
        <f>'Job Sheet'!AW17</f>
        <v/>
      </c>
      <c r="E17" s="46" t="str">
        <f>'Job Sheet'!S17</f>
        <v/>
      </c>
      <c r="F17" s="46" t="str">
        <f>'Job Sheet'!BD17</f>
        <v/>
      </c>
      <c r="G17" s="51" t="str">
        <f>IF(E17="Double Lath",CONCATENATE('Job Sheet'!AX17," x 2"),'Job Sheet'!AX17)</f>
        <v/>
      </c>
      <c r="H17" s="46" t="str">
        <f>IF(OR(Data!AV17="",IFERROR(VLOOKUP(E17,TimberLath,2,FALSE),"")="N/A"),"",IFERROR(VLOOKUP(E17,TimberLath,2,FALSE),""))</f>
        <v/>
      </c>
      <c r="I17" s="104" t="str">
        <f>IF(E17="Plain","",IF('Job Sheet'!G17&lt;450,G17-29,""))</f>
        <v/>
      </c>
      <c r="J17" s="46" t="str">
        <f>IF('Job Sheet'!BH17="DBS to Make",'Job Sheet'!AA17,"")</f>
        <v/>
      </c>
      <c r="K17" s="46" t="str">
        <f>IF(J17="Zipscreen Hooding",CONCATENATE("Powdercoat"," - ",'Job Sheet'!AB17),IF('Job Sheet'!BH17="DBS to Make",'Job Sheet'!AB17,""))</f>
        <v/>
      </c>
      <c r="L17" s="105" t="str">
        <f>IF(OR(J17="",IFERROR(VLOOKUP(CONCATENATE('Job Sheet'!AA17,'Job Sheet'!J17,'Job Sheet'!AR17),PelmetDeduct,3,FALSE),"")="N/A"),"",'Job Sheet'!G17-IFERROR(VLOOKUP(CONCATENATE('Job Sheet'!AA17,'Job Sheet'!J17,'Job Sheet'!AR17),PelmetDeduct,3,FALSE),0))</f>
        <v/>
      </c>
      <c r="M17" s="105" t="str">
        <f>IF(OR(J17="",IFERROR(VLOOKUP(CONCATENATE('Job Sheet'!AA17,'Job Sheet'!J17,'Job Sheet'!AR17),PelmetDeduct,4,FALSE),"")="N/A"),"",'Job Sheet'!G17-IFERROR(VLOOKUP(CONCATENATE('Job Sheet'!AA17,'Job Sheet'!J17,'Job Sheet'!AR17),PelmetDeduct,4,FALSE),0))</f>
        <v/>
      </c>
      <c r="N17" s="105" t="str">
        <f>IF(Data!AV17="","",IF(VLOOKUP(CONCATENATE('Job Sheet'!AA17,'Job Sheet'!J17,'Job Sheet'!AR17),PelmetDeduct,5,FALSE)="N/A","",IF(OR(J17="Square Cassette with Side &amp; Bottom Channels",J17="Round Cassette with Side &amp; Bottom Channels"),CONCATENATE('Job Sheet'!H17-VLOOKUP(CONCATENATE('Job Sheet'!AA17,'Job Sheet'!J17,'Job Sheet'!AR17),PelmetDeduct,5,FALSE)," x 2 (Back &amp; Front)"," ",'Job Sheet'!BA17-110," x 1  (Back &amp; Front)"),CONCATENATE('Job Sheet'!H17-VLOOKUP(CONCATENATE('Job Sheet'!AA17,'Job Sheet'!J17,'Job Sheet'!AR17),PelmetDeduct,5,FALSE)," x 2 (Back &amp; Front)"))))</f>
        <v/>
      </c>
      <c r="O17" s="105" t="str">
        <f>IF('Job Sheet'!AA17="Mounting Rail",'Job Sheet'!G17,"")</f>
        <v/>
      </c>
      <c r="P17" s="46" t="str">
        <f>'Job Sheet'!AO17</f>
        <v/>
      </c>
      <c r="Q17" s="125">
        <f t="shared" si="0"/>
        <v>0</v>
      </c>
    </row>
    <row r="18" spans="1:17" ht="60" customHeight="1">
      <c r="A18" s="65">
        <f>Data!AW18</f>
        <v>0</v>
      </c>
      <c r="B18" s="45">
        <f>'Job Sheet'!B18</f>
        <v>0</v>
      </c>
      <c r="C18" s="118" t="str">
        <f>'Job Sheet'!AV18</f>
        <v/>
      </c>
      <c r="D18" s="119" t="str">
        <f>'Job Sheet'!AW18</f>
        <v/>
      </c>
      <c r="E18" s="46" t="str">
        <f>'Job Sheet'!S18</f>
        <v/>
      </c>
      <c r="F18" s="46" t="str">
        <f>'Job Sheet'!BD18</f>
        <v/>
      </c>
      <c r="G18" s="51" t="str">
        <f>IF(E18="Double Lath",CONCATENATE('Job Sheet'!AX18," x 2"),'Job Sheet'!AX18)</f>
        <v/>
      </c>
      <c r="H18" s="46" t="str">
        <f>IF(OR(Data!AV18="",IFERROR(VLOOKUP(E18,TimberLath,2,FALSE),"")="N/A"),"",IFERROR(VLOOKUP(E18,TimberLath,2,FALSE),""))</f>
        <v/>
      </c>
      <c r="I18" s="104" t="str">
        <f>IF(E18="Plain","",IF('Job Sheet'!G18&lt;450,G18-29,""))</f>
        <v/>
      </c>
      <c r="J18" s="46" t="str">
        <f>IF('Job Sheet'!BH18="DBS to Make",'Job Sheet'!AA18,"")</f>
        <v/>
      </c>
      <c r="K18" s="46" t="str">
        <f>IF(J18="Zipscreen Hooding",CONCATENATE("Powdercoat"," - ",'Job Sheet'!AB18),IF('Job Sheet'!BH18="DBS to Make",'Job Sheet'!AB18,""))</f>
        <v/>
      </c>
      <c r="L18" s="105" t="str">
        <f>IF(OR(J18="",IFERROR(VLOOKUP(CONCATENATE('Job Sheet'!AA18,'Job Sheet'!J18,'Job Sheet'!AR18),PelmetDeduct,3,FALSE),"")="N/A"),"",'Job Sheet'!G18-IFERROR(VLOOKUP(CONCATENATE('Job Sheet'!AA18,'Job Sheet'!J18,'Job Sheet'!AR18),PelmetDeduct,3,FALSE),0))</f>
        <v/>
      </c>
      <c r="M18" s="105" t="str">
        <f>IF(OR(J18="",IFERROR(VLOOKUP(CONCATENATE('Job Sheet'!AA18,'Job Sheet'!J18,'Job Sheet'!AR18),PelmetDeduct,4,FALSE),"")="N/A"),"",'Job Sheet'!G18-IFERROR(VLOOKUP(CONCATENATE('Job Sheet'!AA18,'Job Sheet'!J18,'Job Sheet'!AR18),PelmetDeduct,4,FALSE),0))</f>
        <v/>
      </c>
      <c r="N18" s="105" t="str">
        <f>IF(Data!AV18="","",IF(VLOOKUP(CONCATENATE('Job Sheet'!AA18,'Job Sheet'!J18,'Job Sheet'!AR18),PelmetDeduct,5,FALSE)="N/A","",IF(OR(J18="Square Cassette with Side &amp; Bottom Channels",J18="Round Cassette with Side &amp; Bottom Channels"),CONCATENATE('Job Sheet'!H18-VLOOKUP(CONCATENATE('Job Sheet'!AA18,'Job Sheet'!J18,'Job Sheet'!AR18),PelmetDeduct,5,FALSE)," x 2 (Back &amp; Front)"," ",'Job Sheet'!BA18-110," x 1  (Back &amp; Front)"),CONCATENATE('Job Sheet'!H18-VLOOKUP(CONCATENATE('Job Sheet'!AA18,'Job Sheet'!J18,'Job Sheet'!AR18),PelmetDeduct,5,FALSE)," x 2 (Back &amp; Front)"))))</f>
        <v/>
      </c>
      <c r="O18" s="105" t="str">
        <f>IF('Job Sheet'!AA18="Mounting Rail",'Job Sheet'!G18,"")</f>
        <v/>
      </c>
      <c r="P18" s="46" t="str">
        <f>'Job Sheet'!AO18</f>
        <v/>
      </c>
      <c r="Q18" s="125">
        <f t="shared" si="0"/>
        <v>0</v>
      </c>
    </row>
    <row r="19" spans="1:17" ht="60" customHeight="1">
      <c r="A19" s="65">
        <f>Data!AW19</f>
        <v>0</v>
      </c>
      <c r="B19" s="45">
        <f>'Job Sheet'!B19</f>
        <v>0</v>
      </c>
      <c r="C19" s="118" t="str">
        <f>'Job Sheet'!AV19</f>
        <v/>
      </c>
      <c r="D19" s="119" t="str">
        <f>'Job Sheet'!AW19</f>
        <v/>
      </c>
      <c r="E19" s="46" t="str">
        <f>'Job Sheet'!S19</f>
        <v/>
      </c>
      <c r="F19" s="46" t="str">
        <f>'Job Sheet'!BD19</f>
        <v/>
      </c>
      <c r="G19" s="51" t="str">
        <f>IF(E19="Double Lath",CONCATENATE('Job Sheet'!AX19," x 2"),'Job Sheet'!AX19)</f>
        <v/>
      </c>
      <c r="H19" s="46" t="str">
        <f>IF(OR(Data!AV19="",IFERROR(VLOOKUP(E19,TimberLath,2,FALSE),"")="N/A"),"",IFERROR(VLOOKUP(E19,TimberLath,2,FALSE),""))</f>
        <v/>
      </c>
      <c r="I19" s="104" t="str">
        <f>IF(E19="Plain","",IF('Job Sheet'!G19&lt;450,G19-29,""))</f>
        <v/>
      </c>
      <c r="J19" s="46" t="str">
        <f>IF('Job Sheet'!BH19="DBS to Make",'Job Sheet'!AA19,"")</f>
        <v/>
      </c>
      <c r="K19" s="46" t="str">
        <f>IF(J19="Zipscreen Hooding",CONCATENATE("Powdercoat"," - ",'Job Sheet'!AB19),IF('Job Sheet'!BH19="DBS to Make",'Job Sheet'!AB19,""))</f>
        <v/>
      </c>
      <c r="L19" s="105" t="str">
        <f>IF(OR(J19="",IFERROR(VLOOKUP(CONCATENATE('Job Sheet'!AA19,'Job Sheet'!J19,'Job Sheet'!AR19),PelmetDeduct,3,FALSE),"")="N/A"),"",'Job Sheet'!G19-IFERROR(VLOOKUP(CONCATENATE('Job Sheet'!AA19,'Job Sheet'!J19,'Job Sheet'!AR19),PelmetDeduct,3,FALSE),0))</f>
        <v/>
      </c>
      <c r="M19" s="105" t="str">
        <f>IF(OR(J19="",IFERROR(VLOOKUP(CONCATENATE('Job Sheet'!AA19,'Job Sheet'!J19,'Job Sheet'!AR19),PelmetDeduct,4,FALSE),"")="N/A"),"",'Job Sheet'!G19-IFERROR(VLOOKUP(CONCATENATE('Job Sheet'!AA19,'Job Sheet'!J19,'Job Sheet'!AR19),PelmetDeduct,4,FALSE),0))</f>
        <v/>
      </c>
      <c r="N19" s="105" t="str">
        <f>IF(Data!AV19="","",IF(VLOOKUP(CONCATENATE('Job Sheet'!AA19,'Job Sheet'!J19,'Job Sheet'!AR19),PelmetDeduct,5,FALSE)="N/A","",IF(OR(J19="Square Cassette with Side &amp; Bottom Channels",J19="Round Cassette with Side &amp; Bottom Channels"),CONCATENATE('Job Sheet'!H19-VLOOKUP(CONCATENATE('Job Sheet'!AA19,'Job Sheet'!J19,'Job Sheet'!AR19),PelmetDeduct,5,FALSE)," x 2 (Back &amp; Front)"," ",'Job Sheet'!BA19-110," x 1  (Back &amp; Front)"),CONCATENATE('Job Sheet'!H19-VLOOKUP(CONCATENATE('Job Sheet'!AA19,'Job Sheet'!J19,'Job Sheet'!AR19),PelmetDeduct,5,FALSE)," x 2 (Back &amp; Front)"))))</f>
        <v/>
      </c>
      <c r="O19" s="105" t="str">
        <f>IF('Job Sheet'!AA19="Mounting Rail",'Job Sheet'!G19,"")</f>
        <v/>
      </c>
      <c r="P19" s="46" t="str">
        <f>'Job Sheet'!AO19</f>
        <v/>
      </c>
      <c r="Q19" s="125">
        <f t="shared" si="0"/>
        <v>0</v>
      </c>
    </row>
    <row r="20" spans="1:17" ht="60" customHeight="1">
      <c r="A20" s="65">
        <f>Data!AW20</f>
        <v>0</v>
      </c>
      <c r="B20" s="45">
        <f>'Job Sheet'!B20</f>
        <v>0</v>
      </c>
      <c r="C20" s="118" t="str">
        <f>'Job Sheet'!AV20</f>
        <v/>
      </c>
      <c r="D20" s="119" t="str">
        <f>'Job Sheet'!AW20</f>
        <v/>
      </c>
      <c r="E20" s="46" t="str">
        <f>'Job Sheet'!S20</f>
        <v/>
      </c>
      <c r="F20" s="46" t="str">
        <f>'Job Sheet'!BD20</f>
        <v/>
      </c>
      <c r="G20" s="51" t="str">
        <f>IF(E20="Double Lath",CONCATENATE('Job Sheet'!AX20," x 2"),'Job Sheet'!AX20)</f>
        <v/>
      </c>
      <c r="H20" s="46" t="str">
        <f>IF(OR(Data!AV20="",IFERROR(VLOOKUP(E20,TimberLath,2,FALSE),"")="N/A"),"",IFERROR(VLOOKUP(E20,TimberLath,2,FALSE),""))</f>
        <v/>
      </c>
      <c r="I20" s="104" t="str">
        <f>IF(E20="Plain","",IF('Job Sheet'!G20&lt;450,G20-29,""))</f>
        <v/>
      </c>
      <c r="J20" s="46" t="str">
        <f>IF('Job Sheet'!BH20="DBS to Make",'Job Sheet'!AA20,"")</f>
        <v/>
      </c>
      <c r="K20" s="46" t="str">
        <f>IF(J20="Zipscreen Hooding",CONCATENATE("Powdercoat"," - ",'Job Sheet'!AB20),IF('Job Sheet'!BH20="DBS to Make",'Job Sheet'!AB20,""))</f>
        <v/>
      </c>
      <c r="L20" s="105" t="str">
        <f>IF(OR(J20="",IFERROR(VLOOKUP(CONCATENATE('Job Sheet'!AA20,'Job Sheet'!J20,'Job Sheet'!AR20),PelmetDeduct,3,FALSE),"")="N/A"),"",'Job Sheet'!G20-IFERROR(VLOOKUP(CONCATENATE('Job Sheet'!AA20,'Job Sheet'!J20,'Job Sheet'!AR20),PelmetDeduct,3,FALSE),0))</f>
        <v/>
      </c>
      <c r="M20" s="105" t="str">
        <f>IF(OR(J20="",IFERROR(VLOOKUP(CONCATENATE('Job Sheet'!AA20,'Job Sheet'!J20,'Job Sheet'!AR20),PelmetDeduct,4,FALSE),"")="N/A"),"",'Job Sheet'!G20-IFERROR(VLOOKUP(CONCATENATE('Job Sheet'!AA20,'Job Sheet'!J20,'Job Sheet'!AR20),PelmetDeduct,4,FALSE),0))</f>
        <v/>
      </c>
      <c r="N20" s="105" t="str">
        <f>IF(Data!AV20="","",IF(VLOOKUP(CONCATENATE('Job Sheet'!AA20,'Job Sheet'!J20,'Job Sheet'!AR20),PelmetDeduct,5,FALSE)="N/A","",IF(OR(J20="Square Cassette with Side &amp; Bottom Channels",J20="Round Cassette with Side &amp; Bottom Channels"),CONCATENATE('Job Sheet'!H20-VLOOKUP(CONCATENATE('Job Sheet'!AA20,'Job Sheet'!J20,'Job Sheet'!AR20),PelmetDeduct,5,FALSE)," x 2 (Back &amp; Front)"," ",'Job Sheet'!BA20-110," x 1  (Back &amp; Front)"),CONCATENATE('Job Sheet'!H20-VLOOKUP(CONCATENATE('Job Sheet'!AA20,'Job Sheet'!J20,'Job Sheet'!AR20),PelmetDeduct,5,FALSE)," x 2 (Back &amp; Front)"))))</f>
        <v/>
      </c>
      <c r="O20" s="105" t="str">
        <f>IF('Job Sheet'!AA20="Mounting Rail",'Job Sheet'!G20,"")</f>
        <v/>
      </c>
      <c r="P20" s="46" t="str">
        <f>'Job Sheet'!AO20</f>
        <v/>
      </c>
      <c r="Q20" s="125">
        <f t="shared" si="0"/>
        <v>0</v>
      </c>
    </row>
    <row r="21" ht="60" customHeight="1"/>
    <row r="22" ht="60" customHeight="1"/>
    <row r="23" ht="60" customHeight="1"/>
    <row r="24" ht="60" customHeight="1"/>
    <row r="25" ht="60" customHeight="1"/>
    <row r="26" ht="60" customHeight="1"/>
    <row r="27" ht="60" customHeight="1"/>
    <row r="28" ht="60" customHeight="1"/>
    <row r="29" ht="60" customHeight="1"/>
    <row r="30" ht="60" customHeight="1"/>
    <row r="31" ht="60" customHeight="1"/>
    <row r="32" ht="60" customHeight="1"/>
    <row r="33" ht="60" customHeight="1"/>
    <row r="34" ht="60" customHeight="1"/>
    <row r="35" ht="60" customHeight="1"/>
    <row r="36" ht="60" customHeight="1"/>
    <row r="37" ht="60" customHeight="1"/>
    <row r="38" ht="60" customHeight="1"/>
    <row r="39" ht="60" customHeight="1"/>
    <row r="40" ht="60" customHeight="1"/>
    <row r="41" ht="60" customHeight="1"/>
    <row r="42" ht="60" customHeight="1"/>
    <row r="43" ht="60" customHeight="1"/>
    <row r="44" ht="60" customHeight="1"/>
    <row r="45" ht="60" customHeight="1"/>
    <row r="46" ht="60" customHeight="1"/>
    <row r="47" ht="60" customHeight="1"/>
    <row r="48" ht="60" customHeight="1"/>
    <row r="49" ht="60" customHeight="1"/>
    <row r="50" ht="60" customHeight="1"/>
    <row r="51" ht="60" customHeight="1"/>
    <row r="52" ht="60" customHeight="1"/>
    <row r="53" ht="60" customHeight="1"/>
    <row r="54" ht="60" customHeight="1"/>
    <row r="55" ht="60" customHeight="1"/>
    <row r="56" ht="60" customHeight="1"/>
    <row r="57" ht="60" customHeight="1"/>
    <row r="58" ht="60" customHeight="1"/>
    <row r="59" ht="60" customHeight="1"/>
    <row r="60" ht="60" customHeight="1"/>
    <row r="61" ht="60" customHeight="1"/>
    <row r="62" ht="60" customHeight="1"/>
    <row r="63" ht="60" customHeight="1"/>
    <row r="64" ht="60" customHeight="1"/>
    <row r="65" ht="60" customHeight="1"/>
    <row r="66" ht="60" customHeight="1"/>
    <row r="67" ht="60" customHeight="1"/>
    <row r="68" ht="60" customHeight="1"/>
    <row r="69" ht="60" customHeight="1"/>
    <row r="70" ht="60" customHeight="1"/>
    <row r="71" ht="60" customHeight="1"/>
    <row r="72" ht="60" customHeight="1"/>
    <row r="73" ht="60" customHeight="1"/>
    <row r="74" ht="60" customHeight="1"/>
    <row r="75" ht="60" customHeight="1"/>
    <row r="76" ht="60" customHeight="1"/>
    <row r="77" ht="60" customHeight="1"/>
    <row r="78" ht="60" customHeight="1"/>
    <row r="79" ht="60" customHeight="1"/>
    <row r="80" ht="60" customHeight="1"/>
    <row r="81" ht="60" customHeight="1"/>
    <row r="82" ht="60" customHeight="1"/>
    <row r="83" ht="60" customHeight="1"/>
    <row r="84" ht="60" customHeight="1"/>
    <row r="85" ht="60" customHeight="1"/>
    <row r="86" ht="60" customHeight="1"/>
    <row r="87" ht="60" customHeight="1"/>
    <row r="88" ht="60" customHeight="1"/>
    <row r="89" ht="60" customHeight="1"/>
    <row r="90" ht="60" customHeight="1"/>
    <row r="91" ht="60" customHeight="1"/>
    <row r="92" ht="60" customHeight="1"/>
    <row r="93" ht="60" customHeight="1"/>
    <row r="94" ht="60" customHeight="1"/>
    <row r="95" ht="60" customHeight="1"/>
    <row r="96" ht="60" customHeight="1"/>
    <row r="97" ht="60" customHeight="1"/>
    <row r="98" ht="60" customHeight="1"/>
    <row r="99" ht="60" customHeight="1"/>
    <row r="100" ht="60" customHeight="1"/>
    <row r="101" ht="60" customHeight="1"/>
    <row r="102" ht="60" customHeight="1"/>
    <row r="103" ht="60" customHeight="1"/>
    <row r="104" ht="60" customHeight="1"/>
    <row r="105" ht="60" customHeight="1"/>
    <row r="106" ht="60" customHeight="1"/>
    <row r="107" ht="60" customHeight="1"/>
    <row r="108" ht="60" customHeight="1"/>
    <row r="109" ht="60" customHeight="1"/>
    <row r="110" ht="60" customHeight="1"/>
    <row r="111" ht="60" customHeight="1"/>
    <row r="112" ht="60" customHeight="1"/>
    <row r="113" ht="60" customHeight="1"/>
    <row r="114" ht="60" customHeight="1"/>
    <row r="115" ht="60" customHeight="1"/>
    <row r="116" ht="60" customHeight="1"/>
    <row r="117" ht="60" customHeight="1"/>
    <row r="118" ht="60" customHeight="1"/>
    <row r="119" ht="60" customHeight="1"/>
    <row r="120" ht="60" customHeight="1"/>
    <row r="121" ht="60" customHeight="1"/>
    <row r="122" ht="60" customHeight="1"/>
    <row r="123" ht="60" customHeight="1"/>
    <row r="124" ht="60" customHeight="1"/>
    <row r="125" ht="60" customHeight="1"/>
    <row r="126" ht="60" customHeight="1"/>
    <row r="127" ht="60" customHeight="1"/>
    <row r="128" ht="60" customHeight="1"/>
    <row r="129" ht="60" customHeight="1"/>
    <row r="130" ht="60" customHeight="1"/>
    <row r="131" ht="60" customHeight="1"/>
    <row r="132" ht="60" customHeight="1"/>
    <row r="133" ht="60" customHeight="1"/>
    <row r="134" ht="60" customHeight="1"/>
    <row r="135" ht="60" customHeight="1"/>
    <row r="136" ht="60" customHeight="1"/>
    <row r="137" ht="60" customHeight="1"/>
    <row r="138" ht="60" customHeight="1"/>
    <row r="139" ht="60" customHeight="1"/>
    <row r="140" ht="60" customHeight="1"/>
    <row r="141" ht="60" customHeight="1"/>
    <row r="142" ht="60" customHeight="1"/>
    <row r="143" ht="60" customHeight="1"/>
    <row r="144" ht="60" customHeight="1"/>
    <row r="145" ht="60" customHeight="1"/>
    <row r="146" ht="60" customHeight="1"/>
    <row r="147" ht="60" customHeight="1"/>
    <row r="148" ht="60" customHeight="1"/>
    <row r="149" ht="60" customHeight="1"/>
    <row r="150" ht="60" customHeight="1"/>
    <row r="151" ht="60" customHeight="1"/>
    <row r="152" ht="60" customHeight="1"/>
    <row r="153" ht="60" customHeight="1"/>
    <row r="154" ht="60" customHeight="1"/>
    <row r="155" ht="60" customHeight="1"/>
    <row r="156" ht="60" customHeight="1"/>
    <row r="157" ht="60" customHeight="1"/>
    <row r="158" ht="60" customHeight="1"/>
    <row r="159" ht="60" customHeight="1"/>
    <row r="160" ht="60" customHeight="1"/>
    <row r="161" ht="60" customHeight="1"/>
    <row r="162" ht="60" customHeight="1"/>
    <row r="163" ht="60" customHeight="1"/>
    <row r="164" ht="60" customHeight="1"/>
    <row r="165" ht="60" customHeight="1"/>
    <row r="166" ht="60" customHeight="1"/>
    <row r="167" ht="60" customHeight="1"/>
    <row r="168" ht="60" customHeight="1"/>
    <row r="169" ht="60" customHeight="1"/>
    <row r="170" ht="60" customHeight="1"/>
    <row r="171" ht="60" customHeight="1"/>
    <row r="172" ht="60" customHeight="1"/>
    <row r="173" ht="60" customHeight="1"/>
    <row r="174" ht="60" customHeight="1"/>
    <row r="175" ht="60" customHeight="1"/>
    <row r="176" ht="60" customHeight="1"/>
    <row r="177" ht="60" customHeight="1"/>
    <row r="178" ht="60" customHeight="1"/>
    <row r="179" ht="60" customHeight="1"/>
    <row r="180" ht="60" customHeight="1"/>
    <row r="181" ht="60" customHeight="1"/>
    <row r="182" ht="60" customHeight="1"/>
    <row r="183" ht="60" customHeight="1"/>
    <row r="184" ht="60" customHeight="1"/>
    <row r="185" ht="60" customHeight="1"/>
    <row r="186" ht="60" customHeight="1"/>
    <row r="187" ht="60" customHeight="1"/>
    <row r="188" ht="60" customHeight="1"/>
    <row r="189" ht="60" customHeight="1"/>
    <row r="190" ht="60" customHeight="1"/>
    <row r="191" ht="60" customHeight="1"/>
    <row r="192" ht="60" customHeight="1"/>
    <row r="193" ht="60" customHeight="1"/>
    <row r="194" ht="60" customHeight="1"/>
    <row r="195" ht="60" customHeight="1"/>
    <row r="196" ht="60" customHeight="1"/>
    <row r="197" ht="60" customHeight="1"/>
    <row r="198" ht="60" customHeight="1"/>
    <row r="199" ht="60" customHeight="1"/>
    <row r="200" ht="60" customHeight="1"/>
    <row r="201" ht="60" customHeight="1"/>
    <row r="202" ht="60" customHeight="1"/>
    <row r="203" ht="60" customHeight="1"/>
    <row r="204" ht="60" customHeight="1"/>
    <row r="205" ht="60" customHeight="1"/>
    <row r="206" ht="60" customHeight="1"/>
    <row r="207" ht="60" customHeight="1"/>
    <row r="208" ht="60" customHeight="1"/>
    <row r="209" ht="60" customHeight="1"/>
    <row r="210" ht="60" customHeight="1"/>
    <row r="211" ht="60" customHeight="1"/>
    <row r="212" ht="60" customHeight="1"/>
    <row r="213" ht="60" customHeight="1"/>
    <row r="214" ht="60" customHeight="1"/>
    <row r="215" ht="60" customHeight="1"/>
    <row r="216" ht="60" customHeight="1"/>
    <row r="217" ht="60" customHeight="1"/>
    <row r="218" ht="60" customHeight="1"/>
    <row r="219" ht="60" customHeight="1"/>
    <row r="220" ht="60" customHeight="1"/>
    <row r="221" ht="60" customHeight="1"/>
    <row r="222" ht="60" customHeight="1"/>
    <row r="223" ht="60" customHeight="1"/>
    <row r="224" ht="60" customHeight="1"/>
    <row r="225" ht="60" customHeight="1"/>
    <row r="226" ht="60" customHeight="1"/>
    <row r="227" ht="60" customHeight="1"/>
    <row r="228" ht="60" customHeight="1"/>
    <row r="229" ht="60" customHeight="1"/>
    <row r="230" ht="60" customHeight="1"/>
    <row r="231" ht="60" customHeight="1"/>
    <row r="232" ht="60" customHeight="1"/>
    <row r="233" ht="50.1" customHeight="1"/>
    <row r="234" ht="50.1" customHeight="1"/>
    <row r="235" ht="50.1" customHeight="1"/>
    <row r="236" ht="50.1" customHeight="1"/>
    <row r="237" ht="50.1" customHeight="1"/>
    <row r="238" ht="50.1" customHeight="1"/>
    <row r="239" ht="50.1" customHeight="1"/>
    <row r="240" ht="50.1" customHeight="1"/>
    <row r="241" ht="50.1" customHeight="1"/>
    <row r="242" ht="50.1" customHeight="1"/>
    <row r="243" ht="50.1" customHeight="1"/>
    <row r="244" ht="50.1" customHeight="1"/>
    <row r="245" ht="50.1" customHeight="1"/>
    <row r="246" ht="50.1" customHeight="1"/>
    <row r="247" ht="50.1" customHeight="1"/>
    <row r="248" ht="50.1" customHeight="1"/>
    <row r="249" ht="50.1" customHeight="1"/>
    <row r="250" ht="50.1" customHeight="1"/>
    <row r="251" ht="50.1" customHeight="1"/>
    <row r="252" ht="50.1" customHeight="1"/>
    <row r="253" ht="50.1" customHeight="1"/>
    <row r="254" ht="50.1" customHeight="1"/>
    <row r="255" ht="50.1" customHeight="1"/>
    <row r="256" ht="50.1" customHeight="1"/>
    <row r="257" ht="50.1" customHeight="1"/>
    <row r="258" ht="50.1" customHeight="1"/>
    <row r="259" ht="50.1" customHeight="1"/>
    <row r="260" ht="50.1" customHeight="1"/>
    <row r="261" ht="50.1" customHeight="1"/>
    <row r="262" ht="50.1" customHeight="1"/>
    <row r="263" ht="50.1" customHeight="1"/>
    <row r="264" ht="50.1" customHeight="1"/>
    <row r="265" ht="50.1" customHeight="1"/>
    <row r="266" ht="50.1" customHeight="1"/>
    <row r="267" ht="50.1" customHeight="1"/>
    <row r="268" ht="50.1" customHeight="1"/>
    <row r="269" ht="50.1" customHeight="1"/>
    <row r="270" ht="50.1" customHeight="1"/>
    <row r="271" ht="50.1" customHeight="1"/>
    <row r="272" ht="50.1" customHeight="1"/>
    <row r="273" ht="50.1" customHeight="1"/>
    <row r="274" ht="50.1" customHeight="1"/>
    <row r="275" ht="50.1" customHeight="1"/>
    <row r="276" ht="50.1" customHeight="1"/>
    <row r="277" ht="50.1" customHeight="1"/>
    <row r="278" ht="50.1" customHeight="1"/>
    <row r="279" ht="50.1" customHeight="1"/>
    <row r="280" ht="50.1" customHeight="1"/>
    <row r="281" ht="50.1" customHeight="1"/>
    <row r="282" ht="50.1" customHeight="1"/>
    <row r="283" ht="50.1" customHeight="1"/>
    <row r="284" ht="50.1" customHeight="1"/>
    <row r="285" ht="50.1" customHeight="1"/>
    <row r="286" ht="50.1" customHeight="1"/>
    <row r="287" ht="50.1" customHeight="1"/>
    <row r="288" ht="50.1" customHeight="1"/>
    <row r="289" ht="50.1" customHeight="1"/>
    <row r="290" ht="50.1" customHeight="1"/>
    <row r="291" ht="50.1" customHeight="1"/>
    <row r="292" ht="50.1" customHeight="1"/>
    <row r="293" ht="50.1" customHeight="1"/>
    <row r="294" ht="50.1" customHeight="1"/>
    <row r="295" ht="50.1" customHeight="1"/>
    <row r="296" ht="50.1" customHeight="1"/>
    <row r="297" ht="50.1" customHeight="1"/>
    <row r="298" ht="50.1" customHeight="1"/>
    <row r="299" ht="50.1" customHeight="1"/>
    <row r="300" ht="50.1" customHeight="1"/>
    <row r="301" ht="50.1" customHeight="1"/>
    <row r="302" ht="50.1" customHeight="1"/>
  </sheetData>
  <mergeCells count="39">
    <mergeCell ref="P8:P10"/>
    <mergeCell ref="C8:C10"/>
    <mergeCell ref="D8:D10"/>
    <mergeCell ref="H8:H10"/>
    <mergeCell ref="J8:J10"/>
    <mergeCell ref="K8:K10"/>
    <mergeCell ref="F8:F10"/>
    <mergeCell ref="E8:E10"/>
    <mergeCell ref="I8:I10"/>
    <mergeCell ref="N8:N10"/>
    <mergeCell ref="G8:G10"/>
    <mergeCell ref="L8:L10"/>
    <mergeCell ref="M8:M10"/>
    <mergeCell ref="O8:O10"/>
    <mergeCell ref="F4:H4"/>
    <mergeCell ref="F5:H7"/>
    <mergeCell ref="C2:E2"/>
    <mergeCell ref="C3:E3"/>
    <mergeCell ref="C4:E4"/>
    <mergeCell ref="C5:E5"/>
    <mergeCell ref="A6:E7"/>
    <mergeCell ref="A2:B2"/>
    <mergeCell ref="A3:B3"/>
    <mergeCell ref="Q8:Q10"/>
    <mergeCell ref="A1:Q1"/>
    <mergeCell ref="M2:Q2"/>
    <mergeCell ref="M3:Q7"/>
    <mergeCell ref="B8:B10"/>
    <mergeCell ref="A4:B4"/>
    <mergeCell ref="A5:B5"/>
    <mergeCell ref="A8:A10"/>
    <mergeCell ref="I2:L2"/>
    <mergeCell ref="I3:L3"/>
    <mergeCell ref="I4:L4"/>
    <mergeCell ref="I5:L5"/>
    <mergeCell ref="I6:L6"/>
    <mergeCell ref="I7:L7"/>
    <mergeCell ref="F2:H2"/>
    <mergeCell ref="F3:H3"/>
  </mergeCells>
  <printOptions horizontalCentered="1"/>
  <pageMargins left="0.996062992126028" right="0.996062992126028" top="0.31496062992126" bottom="0.31496062992126" header="0.31496062992126" footer="0.31496062992126"/>
  <pageSetup fitToHeight="0" orientation="landscape" paperSize="9" scale="1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pageSetUpPr fitToPage="1"/>
  </sheetPr>
  <dimension ref="A1:K20"/>
  <sheetViews>
    <sheetView showZeros="0" view="pageBreakPreview" zoomScale="40" zoomScaleNormal="25" zoomScaleSheetLayoutView="40" zoomScalePageLayoutView="25" workbookViewId="0" topLeftCell="A1">
      <selection pane="topLeft" activeCell="A11" sqref="A11:XFD20"/>
    </sheetView>
  </sheetViews>
  <sheetFormatPr defaultColWidth="9.44140625" defaultRowHeight="39.9" customHeight="1"/>
  <cols>
    <col min="1" max="1" width="11.4285714285714" style="42" customWidth="1"/>
    <col min="2" max="2" width="55.4285714285714" style="42" customWidth="1"/>
    <col min="3" max="3" width="25.5714285714286" style="42" customWidth="1"/>
    <col min="4" max="4" width="52.4285714285714" style="42" customWidth="1"/>
    <col min="5" max="5" width="54.4285714285714" style="42" customWidth="1"/>
    <col min="6" max="6" width="34.4285714285714" style="42" customWidth="1"/>
    <col min="7" max="7" width="37.4285714285714" style="42" customWidth="1"/>
    <col min="8" max="8" width="33.7142857142857" customWidth="1"/>
    <col min="9" max="9" width="88.5714285714286" customWidth="1"/>
    <col min="10" max="10" width="22.5714285714286" customWidth="1"/>
  </cols>
  <sheetData>
    <row r="1" spans="1:10" s="16" customFormat="1" ht="219.15" customHeight="1">
      <c r="A1" s="261" t="s">
        <v>249</v>
      </c>
      <c r="B1" s="261"/>
      <c r="C1" s="261"/>
      <c r="D1" s="261"/>
      <c r="E1" s="261"/>
      <c r="F1" s="261"/>
      <c r="G1" s="261"/>
      <c r="H1" s="261"/>
      <c r="I1" s="261"/>
      <c r="J1" s="261"/>
    </row>
    <row r="2" spans="1:10" s="18" customFormat="1" ht="50.1" customHeight="1">
      <c r="A2" s="196" t="s">
        <v>146</v>
      </c>
      <c r="B2" s="196"/>
      <c r="C2" s="256"/>
      <c r="D2" s="256"/>
      <c r="E2" s="6" t="s">
        <v>147</v>
      </c>
      <c r="F2" s="194" t="str">
        <f>Data!BF5</f>
        <v>Evans, Belinda </v>
      </c>
      <c r="G2" s="194"/>
      <c r="H2" s="194"/>
      <c r="I2" s="172" t="s">
        <v>148</v>
      </c>
      <c r="J2" s="174"/>
    </row>
    <row r="3" spans="1:10" s="18" customFormat="1" ht="50.1" customHeight="1">
      <c r="A3" s="196" t="s">
        <v>149</v>
      </c>
      <c r="B3" s="196"/>
      <c r="C3" s="191" t="str">
        <f>Data!BC5</f>
        <v>40426</v>
      </c>
      <c r="D3" s="191"/>
      <c r="E3" s="5" t="s">
        <v>150</v>
      </c>
      <c r="F3" s="251" t="str">
        <f>Data!AX5</f>
        <v>Sheers and Rollers</v>
      </c>
      <c r="G3" s="251"/>
      <c r="H3" s="251"/>
      <c r="I3" s="248" t="str">
        <f>TRIM(Data!BG5)</f>
        <v/>
      </c>
      <c r="J3" s="248"/>
    </row>
    <row r="4" spans="1:10" s="7" customFormat="1" ht="50.1" customHeight="1">
      <c r="A4" s="190" t="s">
        <v>151</v>
      </c>
      <c r="B4" s="190"/>
      <c r="C4" s="191" t="str">
        <f>Data!BD5</f>
        <v>A</v>
      </c>
      <c r="D4" s="191"/>
      <c r="E4" s="5" t="s">
        <v>152</v>
      </c>
      <c r="F4" s="251" t="str">
        <f>Data!BA5</f>
        <v>4/09/2026 12:00:00 AM</v>
      </c>
      <c r="G4" s="251"/>
      <c r="H4" s="251"/>
      <c r="I4" s="248"/>
      <c r="J4" s="248"/>
    </row>
    <row r="5" spans="1:10" s="7" customFormat="1" ht="50.1" customHeight="1">
      <c r="A5" s="200" t="s">
        <v>153</v>
      </c>
      <c r="B5" s="200"/>
      <c r="C5" s="201" t="str">
        <f>Data!AY5</f>
        <v>12/06/2026 12:00:00 AM</v>
      </c>
      <c r="D5" s="201"/>
      <c r="E5" s="191" t="s">
        <v>154</v>
      </c>
      <c r="F5" s="194" t="str">
        <f>'Job Sheet'!K5</f>
        <v>Belinda  Evans</v>
      </c>
      <c r="G5" s="194"/>
      <c r="H5" s="194"/>
      <c r="I5" s="248"/>
      <c r="J5" s="248"/>
    </row>
    <row r="6" spans="1:10" s="7" customFormat="1" ht="50.1" customHeight="1">
      <c r="A6" s="199" t="str">
        <f>'Job Sheet'!A6</f>
        <v>Retail Customer</v>
      </c>
      <c r="B6" s="199"/>
      <c r="C6" s="199"/>
      <c r="D6" s="199"/>
      <c r="E6" s="191"/>
      <c r="F6" s="194" t="str">
        <f>CONCATENATE(Data!BH5," ",Data!BI5," ",Data!BJ5," ",Data!BK5," ",Data!BL5)</f>
        <v xml:space="preserve"> 15  Dublin Street </v>
      </c>
      <c r="G6" s="194"/>
      <c r="H6" s="194"/>
      <c r="I6" s="248"/>
      <c r="J6" s="248"/>
    </row>
    <row r="7" spans="1:10" s="7" customFormat="1" ht="50.1" customHeight="1">
      <c r="A7" s="199"/>
      <c r="B7" s="199"/>
      <c r="C7" s="199"/>
      <c r="D7" s="199"/>
      <c r="E7" s="191"/>
      <c r="F7" s="194" t="str">
        <f>CONCATENATE(Data!BM5," ",Data!BN5," ",Data!BO5," ",Data!BP5)</f>
        <v>Alfredton VIC 3350 Australia</v>
      </c>
      <c r="G7" s="194"/>
      <c r="H7" s="194"/>
      <c r="I7" s="248"/>
      <c r="J7" s="248"/>
    </row>
    <row r="8" spans="1:11" s="43" customFormat="1" ht="50.1" customHeight="1">
      <c r="A8" s="257" t="s">
        <v>159</v>
      </c>
      <c r="B8" s="258" t="s">
        <v>160</v>
      </c>
      <c r="C8" s="210" t="s">
        <v>173</v>
      </c>
      <c r="D8" s="259" t="s">
        <v>177</v>
      </c>
      <c r="E8" s="210" t="s">
        <v>178</v>
      </c>
      <c r="F8" s="260" t="s">
        <v>250</v>
      </c>
      <c r="G8" s="195" t="s">
        <v>251</v>
      </c>
      <c r="H8" s="195" t="s">
        <v>184</v>
      </c>
      <c r="I8" s="210" t="s">
        <v>199</v>
      </c>
      <c r="J8" s="210" t="s">
        <v>231</v>
      </c>
      <c r="K8" s="42"/>
    </row>
    <row r="9" spans="1:11" s="43" customFormat="1" ht="14.25" customHeight="1" hidden="1">
      <c r="A9" s="257"/>
      <c r="B9" s="258"/>
      <c r="C9" s="210"/>
      <c r="D9" s="259"/>
      <c r="E9" s="210"/>
      <c r="F9" s="260"/>
      <c r="G9" s="195"/>
      <c r="H9" s="195"/>
      <c r="I9" s="210"/>
      <c r="J9" s="210"/>
      <c r="K9" s="42"/>
    </row>
    <row r="10" spans="1:11" s="44" customFormat="1" ht="81.75" customHeight="1">
      <c r="A10" s="257"/>
      <c r="B10" s="258"/>
      <c r="C10" s="210"/>
      <c r="D10" s="259"/>
      <c r="E10" s="210"/>
      <c r="F10" s="260"/>
      <c r="G10" s="195"/>
      <c r="H10" s="195"/>
      <c r="I10" s="210"/>
      <c r="J10" s="210"/>
      <c r="K10" s="42"/>
    </row>
    <row r="11" spans="1:10" s="24" customFormat="1" ht="66">
      <c r="A11" s="65">
        <f>Data!AW11</f>
        <v>9</v>
      </c>
      <c r="B11" s="40" t="str">
        <f>Data!AY11</f>
        <v>Living Door 1</v>
      </c>
      <c r="C11" s="39" t="str">
        <f>'Job Sheet'!O11</f>
        <v>Front</v>
      </c>
      <c r="D11" s="97" t="str">
        <f>IF(AND('Job Sheet'!S11="D30 Bottom Rail with Noise Reducing Strip",'Tube Cutting'!N11&lt;&gt;""),"D30 Bottom Rail with Noise Reducing Strip &amp; Fluffy Strip",'Job Sheet'!S11)</f>
        <v>D30 Bottom Rail with Noise Reducing Strip</v>
      </c>
      <c r="E11" s="51" t="str">
        <f>'Tube Cutting'!F11</f>
        <v>Anodised Silver</v>
      </c>
      <c r="F11" s="60" t="str">
        <f>IF(Data!BA11="","",IF(AND(OR(D11="D30 Bottom Rail",D11="D30 Bottom Rail with Noise Reducing Strip",D11="HD Bottom Rail with Noise Reducing Strip",D11="D30 Bottom Rail with Noise Reducing Strip &amp; Fluffy Strip"))*OR('Assembly(b)'!$A$6="Retail Customer",'Assembly(b)'!$A$6="Commercial",Data!$BE$5="CARR.00",Data!$BE$5="CARR."),"Davidson's",IF(OR('Assembly(b)'!$A$6="Wholesale B2B",'Assembly(b)'!$A$6="Wholesale",D11="Bottom Rail in Pocket"),"None",IF(OR('Assembly(b)'!$A$6="Brax Retail",'Assembly(b)'!$A$6="Brax Wholesale",'Assembly(b)'!$A$6="Brax B2B"),"Brax",IF('Assembly(b)'!$A$6="Just Roller Blinds","Just Roller Blinds","")))))</f>
        <v>Davidson's</v>
      </c>
      <c r="G11" s="68" t="str">
        <f>IF(Data!AW11="","",IF(OR(E11="Silver Pull Ring",E11="Gold Pull Ring",E11="Cloth Pull Ring",E11="Fringe with Cloth Pull Ring",E11="Fringe with Turks Head Pull",E11="Braid with Cloth Pull Ring",E11="Braid with Turks Head Pull",D11="Standard Scallop"),('Job Sheet'!AY11/2),""))</f>
        <v/>
      </c>
      <c r="H11" s="4" t="str">
        <f>'Job Sheet'!Z11</f>
        <v/>
      </c>
      <c r="I11" s="39" t="str">
        <f>'Job Sheet'!AO11</f>
        <v/>
      </c>
      <c r="J11" s="123">
        <f t="shared" si="0" ref="J11:J20">A11</f>
        <v>9</v>
      </c>
    </row>
    <row r="12" spans="1:10" s="24" customFormat="1" ht="66">
      <c r="A12" s="65">
        <f>Data!AW12</f>
        <v>10</v>
      </c>
      <c r="B12" s="40" t="str">
        <f>Data!AY12</f>
        <v>Living Door 2</v>
      </c>
      <c r="C12" s="39" t="str">
        <f>'Job Sheet'!O12</f>
        <v>Front</v>
      </c>
      <c r="D12" s="97" t="str">
        <f>IF(AND('Job Sheet'!S12="D30 Bottom Rail with Noise Reducing Strip",'Tube Cutting'!N12&lt;&gt;""),"D30 Bottom Rail with Noise Reducing Strip &amp; Fluffy Strip",'Job Sheet'!S12)</f>
        <v>D30 Bottom Rail with Noise Reducing Strip</v>
      </c>
      <c r="E12" s="51" t="str">
        <f>'Tube Cutting'!F12</f>
        <v>Anodised Silver</v>
      </c>
      <c r="F12" s="60" t="str">
        <f>IF(Data!BA12="","",IF(AND(OR(D12="D30 Bottom Rail",D12="D30 Bottom Rail with Noise Reducing Strip",D12="HD Bottom Rail with Noise Reducing Strip",D12="D30 Bottom Rail with Noise Reducing Strip &amp; Fluffy Strip"))*OR('Assembly(b)'!$A$6="Retail Customer",'Assembly(b)'!$A$6="Commercial",Data!$BE$5="CARR.00",Data!$BE$5="CARR."),"Davidson's",IF(OR('Assembly(b)'!$A$6="Wholesale B2B",'Assembly(b)'!$A$6="Wholesale",D12="Bottom Rail in Pocket"),"None",IF(OR('Assembly(b)'!$A$6="Brax Retail",'Assembly(b)'!$A$6="Brax Wholesale",'Assembly(b)'!$A$6="Brax B2B"),"Brax",IF('Assembly(b)'!$A$6="Just Roller Blinds","Just Roller Blinds","")))))</f>
        <v>Davidson's</v>
      </c>
      <c r="G12" s="68" t="str">
        <f>IF(Data!AW12="","",IF(OR(E12="Silver Pull Ring",E12="Gold Pull Ring",E12="Cloth Pull Ring",E12="Fringe with Cloth Pull Ring",E12="Fringe with Turks Head Pull",E12="Braid with Cloth Pull Ring",E12="Braid with Turks Head Pull",D12="Standard Scallop"),('Job Sheet'!AY12/2),""))</f>
        <v/>
      </c>
      <c r="H12" s="4" t="str">
        <f>'Job Sheet'!Z12</f>
        <v/>
      </c>
      <c r="I12" s="39" t="str">
        <f>'Job Sheet'!AO12</f>
        <v/>
      </c>
      <c r="J12" s="123">
        <f t="shared" si="0"/>
        <v>10</v>
      </c>
    </row>
    <row r="13" spans="1:10" s="24" customFormat="1" ht="66">
      <c r="A13" s="65">
        <f>Data!AW13</f>
        <v>11</v>
      </c>
      <c r="B13" s="40" t="str">
        <f>Data!AY13</f>
        <v>Living Door 3</v>
      </c>
      <c r="C13" s="39" t="str">
        <f>'Job Sheet'!O13</f>
        <v>Front</v>
      </c>
      <c r="D13" s="97" t="str">
        <f>IF(AND('Job Sheet'!S13="D30 Bottom Rail with Noise Reducing Strip",'Tube Cutting'!N13&lt;&gt;""),"D30 Bottom Rail with Noise Reducing Strip &amp; Fluffy Strip",'Job Sheet'!S13)</f>
        <v>D30 Bottom Rail with Noise Reducing Strip</v>
      </c>
      <c r="E13" s="51" t="str">
        <f>'Tube Cutting'!F13</f>
        <v>Anodised Silver</v>
      </c>
      <c r="F13" s="60" t="str">
        <f>IF(Data!BA13="","",IF(AND(OR(D13="D30 Bottom Rail",D13="D30 Bottom Rail with Noise Reducing Strip",D13="HD Bottom Rail with Noise Reducing Strip",D13="D30 Bottom Rail with Noise Reducing Strip &amp; Fluffy Strip"))*OR('Assembly(b)'!$A$6="Retail Customer",'Assembly(b)'!$A$6="Commercial",Data!$BE$5="CARR.00",Data!$BE$5="CARR."),"Davidson's",IF(OR('Assembly(b)'!$A$6="Wholesale B2B",'Assembly(b)'!$A$6="Wholesale",D13="Bottom Rail in Pocket"),"None",IF(OR('Assembly(b)'!$A$6="Brax Retail",'Assembly(b)'!$A$6="Brax Wholesale",'Assembly(b)'!$A$6="Brax B2B"),"Brax",IF('Assembly(b)'!$A$6="Just Roller Blinds","Just Roller Blinds","")))))</f>
        <v>Davidson's</v>
      </c>
      <c r="G13" s="68" t="str">
        <f>IF(Data!AW13="","",IF(OR(E13="Silver Pull Ring",E13="Gold Pull Ring",E13="Cloth Pull Ring",E13="Fringe with Cloth Pull Ring",E13="Fringe with Turks Head Pull",E13="Braid with Cloth Pull Ring",E13="Braid with Turks Head Pull",D13="Standard Scallop"),('Job Sheet'!AY13/2),""))</f>
        <v/>
      </c>
      <c r="H13" s="4" t="str">
        <f>'Job Sheet'!Z13</f>
        <v/>
      </c>
      <c r="I13" s="39" t="str">
        <f>'Job Sheet'!AO13</f>
        <v/>
      </c>
      <c r="J13" s="123">
        <f t="shared" si="0"/>
        <v>11</v>
      </c>
    </row>
    <row r="14" spans="1:10" s="24" customFormat="1" ht="66">
      <c r="A14" s="65">
        <f>Data!AW14</f>
        <v>12</v>
      </c>
      <c r="B14" s="40" t="str">
        <f>Data!AY14</f>
        <v>Study</v>
      </c>
      <c r="C14" s="39" t="str">
        <f>'Job Sheet'!O14</f>
        <v>Back</v>
      </c>
      <c r="D14" s="97" t="str">
        <f>IF(AND('Job Sheet'!S14="D30 Bottom Rail with Noise Reducing Strip",'Tube Cutting'!N14&lt;&gt;""),"D30 Bottom Rail with Noise Reducing Strip &amp; Fluffy Strip",'Job Sheet'!S14)</f>
        <v>D30 Bottom Rail with Noise Reducing Strip</v>
      </c>
      <c r="E14" s="51" t="str">
        <f>'Tube Cutting'!F14</f>
        <v>Anodised Silver</v>
      </c>
      <c r="F14" s="60" t="str">
        <f>IF(Data!BA14="","",IF(AND(OR(D14="D30 Bottom Rail",D14="D30 Bottom Rail with Noise Reducing Strip",D14="HD Bottom Rail with Noise Reducing Strip",D14="D30 Bottom Rail with Noise Reducing Strip &amp; Fluffy Strip"))*OR('Assembly(b)'!$A$6="Retail Customer",'Assembly(b)'!$A$6="Commercial",Data!$BE$5="CARR.00",Data!$BE$5="CARR."),"Davidson's",IF(OR('Assembly(b)'!$A$6="Wholesale B2B",'Assembly(b)'!$A$6="Wholesale",D14="Bottom Rail in Pocket"),"None",IF(OR('Assembly(b)'!$A$6="Brax Retail",'Assembly(b)'!$A$6="Brax Wholesale",'Assembly(b)'!$A$6="Brax B2B"),"Brax",IF('Assembly(b)'!$A$6="Just Roller Blinds","Just Roller Blinds","")))))</f>
        <v>Davidson's</v>
      </c>
      <c r="G14" s="68" t="str">
        <f>IF(Data!AW14="","",IF(OR(E14="Silver Pull Ring",E14="Gold Pull Ring",E14="Cloth Pull Ring",E14="Fringe with Cloth Pull Ring",E14="Fringe with Turks Head Pull",E14="Braid with Cloth Pull Ring",E14="Braid with Turks Head Pull",D14="Standard Scallop"),('Job Sheet'!AY14/2),""))</f>
        <v/>
      </c>
      <c r="H14" s="4" t="str">
        <f>'Job Sheet'!Z14</f>
        <v/>
      </c>
      <c r="I14" s="39" t="str">
        <f>'Job Sheet'!AO14</f>
        <v/>
      </c>
      <c r="J14" s="123">
        <f t="shared" si="0"/>
        <v>12</v>
      </c>
    </row>
    <row r="15" spans="1:10" s="24" customFormat="1" ht="60" customHeight="1">
      <c r="A15" s="65">
        <f>Data!AW15</f>
        <v>0</v>
      </c>
      <c r="B15" s="40">
        <f>Data!AY15</f>
        <v>0</v>
      </c>
      <c r="C15" s="39" t="str">
        <f>'Job Sheet'!O15</f>
        <v/>
      </c>
      <c r="D15" s="97" t="str">
        <f>IF(AND('Job Sheet'!S15="D30 Bottom Rail with Noise Reducing Strip",'Tube Cutting'!N15&lt;&gt;""),"D30 Bottom Rail with Noise Reducing Strip &amp; Fluffy Strip",'Job Sheet'!S15)</f>
        <v/>
      </c>
      <c r="E15" s="51" t="str">
        <f>'Tube Cutting'!F15</f>
        <v/>
      </c>
      <c r="F15" s="60" t="str">
        <f>IF(Data!BA15="","",IF(AND(OR(D15="D30 Bottom Rail",D15="D30 Bottom Rail with Noise Reducing Strip",D15="HD Bottom Rail with Noise Reducing Strip",D15="D30 Bottom Rail with Noise Reducing Strip &amp; Fluffy Strip"))*OR('Assembly(b)'!$A$6="Retail Customer",'Assembly(b)'!$A$6="Commercial",Data!$BE$5="CARR.00",Data!$BE$5="CARR."),"Davidson's",IF(OR('Assembly(b)'!$A$6="Wholesale B2B",'Assembly(b)'!$A$6="Wholesale",D15="Bottom Rail in Pocket"),"None",IF(OR('Assembly(b)'!$A$6="Brax Retail",'Assembly(b)'!$A$6="Brax Wholesale",'Assembly(b)'!$A$6="Brax B2B"),"Brax",IF('Assembly(b)'!$A$6="Just Roller Blinds","Just Roller Blinds","")))))</f>
        <v/>
      </c>
      <c r="G15" s="68" t="str">
        <f>IF(Data!AW15="","",IF(OR(E15="Silver Pull Ring",E15="Gold Pull Ring",E15="Cloth Pull Ring",E15="Fringe with Cloth Pull Ring",E15="Fringe with Turks Head Pull",E15="Braid with Cloth Pull Ring",E15="Braid with Turks Head Pull",D15="Standard Scallop"),('Job Sheet'!AY15/2),""))</f>
        <v/>
      </c>
      <c r="H15" s="4" t="str">
        <f>'Job Sheet'!Z15</f>
        <v/>
      </c>
      <c r="I15" s="39" t="str">
        <f>'Job Sheet'!AO15</f>
        <v/>
      </c>
      <c r="J15" s="123">
        <f t="shared" si="0"/>
        <v>0</v>
      </c>
    </row>
    <row r="16" spans="1:10" s="24" customFormat="1" ht="60" customHeight="1">
      <c r="A16" s="65">
        <f>Data!AW16</f>
        <v>0</v>
      </c>
      <c r="B16" s="40">
        <f>Data!AY16</f>
        <v>0</v>
      </c>
      <c r="C16" s="39" t="str">
        <f>'Job Sheet'!O16</f>
        <v/>
      </c>
      <c r="D16" s="97" t="str">
        <f>IF(AND('Job Sheet'!S16="D30 Bottom Rail with Noise Reducing Strip",'Tube Cutting'!N16&lt;&gt;""),"D30 Bottom Rail with Noise Reducing Strip &amp; Fluffy Strip",'Job Sheet'!S16)</f>
        <v/>
      </c>
      <c r="E16" s="51" t="str">
        <f>'Tube Cutting'!F16</f>
        <v/>
      </c>
      <c r="F16" s="60" t="str">
        <f>IF(Data!BA16="","",IF(AND(OR(D16="D30 Bottom Rail",D16="D30 Bottom Rail with Noise Reducing Strip",D16="HD Bottom Rail with Noise Reducing Strip",D16="D30 Bottom Rail with Noise Reducing Strip &amp; Fluffy Strip"))*OR('Assembly(b)'!$A$6="Retail Customer",'Assembly(b)'!$A$6="Commercial",Data!$BE$5="CARR.00",Data!$BE$5="CARR."),"Davidson's",IF(OR('Assembly(b)'!$A$6="Wholesale B2B",'Assembly(b)'!$A$6="Wholesale",D16="Bottom Rail in Pocket"),"None",IF(OR('Assembly(b)'!$A$6="Brax Retail",'Assembly(b)'!$A$6="Brax Wholesale",'Assembly(b)'!$A$6="Brax B2B"),"Brax",IF('Assembly(b)'!$A$6="Just Roller Blinds","Just Roller Blinds","")))))</f>
        <v/>
      </c>
      <c r="G16" s="68" t="str">
        <f>IF(Data!AW16="","",IF(OR(E16="Silver Pull Ring",E16="Gold Pull Ring",E16="Cloth Pull Ring",E16="Fringe with Cloth Pull Ring",E16="Fringe with Turks Head Pull",E16="Braid with Cloth Pull Ring",E16="Braid with Turks Head Pull",D16="Standard Scallop"),('Job Sheet'!AY16/2),""))</f>
        <v/>
      </c>
      <c r="H16" s="4" t="str">
        <f>'Job Sheet'!Z16</f>
        <v/>
      </c>
      <c r="I16" s="39" t="str">
        <f>'Job Sheet'!AO16</f>
        <v/>
      </c>
      <c r="J16" s="123">
        <f t="shared" si="0"/>
        <v>0</v>
      </c>
    </row>
    <row r="17" spans="1:10" s="24" customFormat="1" ht="60" customHeight="1">
      <c r="A17" s="65">
        <f>Data!AW17</f>
        <v>0</v>
      </c>
      <c r="B17" s="40">
        <f>Data!AY17</f>
        <v>0</v>
      </c>
      <c r="C17" s="39" t="str">
        <f>'Job Sheet'!O17</f>
        <v/>
      </c>
      <c r="D17" s="97" t="str">
        <f>IF(AND('Job Sheet'!S17="D30 Bottom Rail with Noise Reducing Strip",'Tube Cutting'!N17&lt;&gt;""),"D30 Bottom Rail with Noise Reducing Strip &amp; Fluffy Strip",'Job Sheet'!S17)</f>
        <v/>
      </c>
      <c r="E17" s="51" t="str">
        <f>'Tube Cutting'!F17</f>
        <v/>
      </c>
      <c r="F17" s="60" t="str">
        <f>IF(Data!BA17="","",IF(AND(OR(D17="D30 Bottom Rail",D17="D30 Bottom Rail with Noise Reducing Strip",D17="HD Bottom Rail with Noise Reducing Strip",D17="D30 Bottom Rail with Noise Reducing Strip &amp; Fluffy Strip"))*OR('Assembly(b)'!$A$6="Retail Customer",'Assembly(b)'!$A$6="Commercial",Data!$BE$5="CARR.00",Data!$BE$5="CARR."),"Davidson's",IF(OR('Assembly(b)'!$A$6="Wholesale B2B",'Assembly(b)'!$A$6="Wholesale",D17="Bottom Rail in Pocket"),"None",IF(OR('Assembly(b)'!$A$6="Brax Retail",'Assembly(b)'!$A$6="Brax Wholesale",'Assembly(b)'!$A$6="Brax B2B"),"Brax",IF('Assembly(b)'!$A$6="Just Roller Blinds","Just Roller Blinds","")))))</f>
        <v/>
      </c>
      <c r="G17" s="68" t="str">
        <f>IF(Data!AW17="","",IF(OR(E17="Silver Pull Ring",E17="Gold Pull Ring",E17="Cloth Pull Ring",E17="Fringe with Cloth Pull Ring",E17="Fringe with Turks Head Pull",E17="Braid with Cloth Pull Ring",E17="Braid with Turks Head Pull",D17="Standard Scallop"),('Job Sheet'!AY17/2),""))</f>
        <v/>
      </c>
      <c r="H17" s="4" t="str">
        <f>'Job Sheet'!Z17</f>
        <v/>
      </c>
      <c r="I17" s="39" t="str">
        <f>'Job Sheet'!AO17</f>
        <v/>
      </c>
      <c r="J17" s="123">
        <f t="shared" si="0"/>
        <v>0</v>
      </c>
    </row>
    <row r="18" spans="1:10" s="24" customFormat="1" ht="60" customHeight="1">
      <c r="A18" s="65">
        <f>Data!AW18</f>
        <v>0</v>
      </c>
      <c r="B18" s="40">
        <f>Data!AY18</f>
        <v>0</v>
      </c>
      <c r="C18" s="39" t="str">
        <f>'Job Sheet'!O18</f>
        <v/>
      </c>
      <c r="D18" s="97" t="str">
        <f>IF(AND('Job Sheet'!S18="D30 Bottom Rail with Noise Reducing Strip",'Tube Cutting'!N18&lt;&gt;""),"D30 Bottom Rail with Noise Reducing Strip &amp; Fluffy Strip",'Job Sheet'!S18)</f>
        <v/>
      </c>
      <c r="E18" s="51" t="str">
        <f>'Tube Cutting'!F18</f>
        <v/>
      </c>
      <c r="F18" s="60" t="str">
        <f>IF(Data!BA18="","",IF(AND(OR(D18="D30 Bottom Rail",D18="D30 Bottom Rail with Noise Reducing Strip",D18="HD Bottom Rail with Noise Reducing Strip",D18="D30 Bottom Rail with Noise Reducing Strip &amp; Fluffy Strip"))*OR('Assembly(b)'!$A$6="Retail Customer",'Assembly(b)'!$A$6="Commercial",Data!$BE$5="CARR.00",Data!$BE$5="CARR."),"Davidson's",IF(OR('Assembly(b)'!$A$6="Wholesale B2B",'Assembly(b)'!$A$6="Wholesale",D18="Bottom Rail in Pocket"),"None",IF(OR('Assembly(b)'!$A$6="Brax Retail",'Assembly(b)'!$A$6="Brax Wholesale",'Assembly(b)'!$A$6="Brax B2B"),"Brax",IF('Assembly(b)'!$A$6="Just Roller Blinds","Just Roller Blinds","")))))</f>
        <v/>
      </c>
      <c r="G18" s="68" t="str">
        <f>IF(Data!AW18="","",IF(OR(E18="Silver Pull Ring",E18="Gold Pull Ring",E18="Cloth Pull Ring",E18="Fringe with Cloth Pull Ring",E18="Fringe with Turks Head Pull",E18="Braid with Cloth Pull Ring",E18="Braid with Turks Head Pull",D18="Standard Scallop"),('Job Sheet'!AY18/2),""))</f>
        <v/>
      </c>
      <c r="H18" s="4" t="str">
        <f>'Job Sheet'!Z18</f>
        <v/>
      </c>
      <c r="I18" s="39" t="str">
        <f>'Job Sheet'!AO18</f>
        <v/>
      </c>
      <c r="J18" s="123">
        <f t="shared" si="0"/>
        <v>0</v>
      </c>
    </row>
    <row r="19" spans="1:10" ht="60" customHeight="1">
      <c r="A19" s="65">
        <f>Data!AW19</f>
        <v>0</v>
      </c>
      <c r="B19" s="40">
        <f>Data!AY19</f>
        <v>0</v>
      </c>
      <c r="C19" s="39" t="str">
        <f>'Job Sheet'!O19</f>
        <v/>
      </c>
      <c r="D19" s="97" t="str">
        <f>IF(AND('Job Sheet'!S19="D30 Bottom Rail with Noise Reducing Strip",'Tube Cutting'!N19&lt;&gt;""),"D30 Bottom Rail with Noise Reducing Strip &amp; Fluffy Strip",'Job Sheet'!S19)</f>
        <v/>
      </c>
      <c r="E19" s="51" t="str">
        <f>'Tube Cutting'!F19</f>
        <v/>
      </c>
      <c r="F19" s="60" t="str">
        <f>IF(Data!BA19="","",IF(AND(OR(D19="D30 Bottom Rail",D19="D30 Bottom Rail with Noise Reducing Strip",D19="HD Bottom Rail with Noise Reducing Strip",D19="D30 Bottom Rail with Noise Reducing Strip &amp; Fluffy Strip"))*OR('Assembly(b)'!$A$6="Retail Customer",'Assembly(b)'!$A$6="Commercial",Data!$BE$5="CARR.00",Data!$BE$5="CARR."),"Davidson's",IF(OR('Assembly(b)'!$A$6="Wholesale B2B",'Assembly(b)'!$A$6="Wholesale",D19="Bottom Rail in Pocket"),"None",IF(OR('Assembly(b)'!$A$6="Brax Retail",'Assembly(b)'!$A$6="Brax Wholesale",'Assembly(b)'!$A$6="Brax B2B"),"Brax",IF('Assembly(b)'!$A$6="Just Roller Blinds","Just Roller Blinds","")))))</f>
        <v/>
      </c>
      <c r="G19" s="68" t="str">
        <f>IF(Data!AW19="","",IF(OR(E19="Silver Pull Ring",E19="Gold Pull Ring",E19="Cloth Pull Ring",E19="Fringe with Cloth Pull Ring",E19="Fringe with Turks Head Pull",E19="Braid with Cloth Pull Ring",E19="Braid with Turks Head Pull",D19="Standard Scallop"),('Job Sheet'!AY19/2),""))</f>
        <v/>
      </c>
      <c r="H19" s="4" t="str">
        <f>'Job Sheet'!Z19</f>
        <v/>
      </c>
      <c r="I19" s="39" t="str">
        <f>'Job Sheet'!AO19</f>
        <v/>
      </c>
      <c r="J19" s="123">
        <f t="shared" si="0"/>
        <v>0</v>
      </c>
    </row>
    <row r="20" spans="1:10" ht="60" customHeight="1">
      <c r="A20" s="65">
        <f>Data!AW20</f>
        <v>0</v>
      </c>
      <c r="B20" s="40">
        <f>Data!AY20</f>
        <v>0</v>
      </c>
      <c r="C20" s="39" t="str">
        <f>'Job Sheet'!O20</f>
        <v/>
      </c>
      <c r="D20" s="97" t="str">
        <f>IF(AND('Job Sheet'!S20="D30 Bottom Rail with Noise Reducing Strip",'Tube Cutting'!N20&lt;&gt;""),"D30 Bottom Rail with Noise Reducing Strip &amp; Fluffy Strip",'Job Sheet'!S20)</f>
        <v/>
      </c>
      <c r="E20" s="51" t="str">
        <f>'Tube Cutting'!F20</f>
        <v/>
      </c>
      <c r="F20" s="60" t="str">
        <f>IF(Data!BA20="","",IF(AND(OR(D20="D30 Bottom Rail",D20="D30 Bottom Rail with Noise Reducing Strip",D20="HD Bottom Rail with Noise Reducing Strip",D20="D30 Bottom Rail with Noise Reducing Strip &amp; Fluffy Strip"))*OR('Assembly(b)'!$A$6="Retail Customer",'Assembly(b)'!$A$6="Commercial",Data!$BE$5="CARR.00",Data!$BE$5="CARR."),"Davidson's",IF(OR('Assembly(b)'!$A$6="Wholesale B2B",'Assembly(b)'!$A$6="Wholesale",D20="Bottom Rail in Pocket"),"None",IF(OR('Assembly(b)'!$A$6="Brax Retail",'Assembly(b)'!$A$6="Brax Wholesale",'Assembly(b)'!$A$6="Brax B2B"),"Brax",IF('Assembly(b)'!$A$6="Just Roller Blinds","Just Roller Blinds","")))))</f>
        <v/>
      </c>
      <c r="G20" s="68" t="str">
        <f>IF(Data!AW20="","",IF(OR(E20="Silver Pull Ring",E20="Gold Pull Ring",E20="Cloth Pull Ring",E20="Fringe with Cloth Pull Ring",E20="Fringe with Turks Head Pull",E20="Braid with Cloth Pull Ring",E20="Braid with Turks Head Pull",D20="Standard Scallop"),('Job Sheet'!AY20/2),""))</f>
        <v/>
      </c>
      <c r="H20" s="4" t="str">
        <f>'Job Sheet'!Z20</f>
        <v/>
      </c>
      <c r="I20" s="39" t="str">
        <f>'Job Sheet'!AO20</f>
        <v/>
      </c>
      <c r="J20" s="123">
        <f t="shared" si="0"/>
        <v>0</v>
      </c>
    </row>
    <row r="21" ht="60" customHeight="1"/>
    <row r="22" ht="60" customHeight="1"/>
    <row r="23" ht="60" customHeight="1"/>
    <row r="24" ht="60" customHeight="1"/>
    <row r="25" ht="60" customHeight="1"/>
    <row r="26" ht="60" customHeight="1"/>
    <row r="27" ht="60" customHeight="1"/>
    <row r="28" ht="60" customHeight="1"/>
    <row r="29" ht="60" customHeight="1"/>
    <row r="30" ht="60" customHeight="1"/>
    <row r="31" ht="60" customHeight="1"/>
    <row r="32" ht="60" customHeight="1"/>
    <row r="33" ht="60" customHeight="1"/>
    <row r="34" ht="60" customHeight="1"/>
    <row r="35" ht="60" customHeight="1"/>
    <row r="36" ht="60" customHeight="1"/>
    <row r="37" ht="60" customHeight="1"/>
    <row r="38" ht="60" customHeight="1"/>
    <row r="39" ht="60" customHeight="1"/>
    <row r="40" ht="50.1" customHeight="1"/>
    <row r="41" ht="50.1" customHeight="1"/>
  </sheetData>
  <sheetProtection formatCells="0" formatRows="0" insertColumns="0" insertRows="0"/>
  <mergeCells count="29">
    <mergeCell ref="J8:J10"/>
    <mergeCell ref="A1:J1"/>
    <mergeCell ref="A2:B2"/>
    <mergeCell ref="A3:B3"/>
    <mergeCell ref="A4:B4"/>
    <mergeCell ref="A5:B5"/>
    <mergeCell ref="E5:E7"/>
    <mergeCell ref="I2:J2"/>
    <mergeCell ref="I3:J7"/>
    <mergeCell ref="F2:H2"/>
    <mergeCell ref="F3:H3"/>
    <mergeCell ref="F4:H4"/>
    <mergeCell ref="F5:H5"/>
    <mergeCell ref="F6:H6"/>
    <mergeCell ref="F7:H7"/>
    <mergeCell ref="A6:D7"/>
    <mergeCell ref="C2:D2"/>
    <mergeCell ref="C4:D4"/>
    <mergeCell ref="C5:D5"/>
    <mergeCell ref="A8:A10"/>
    <mergeCell ref="I8:I10"/>
    <mergeCell ref="E8:E10"/>
    <mergeCell ref="B8:B10"/>
    <mergeCell ref="C8:C10"/>
    <mergeCell ref="D8:D10"/>
    <mergeCell ref="H8:H10"/>
    <mergeCell ref="G8:G10"/>
    <mergeCell ref="F8:F10"/>
    <mergeCell ref="C3:D3"/>
  </mergeCells>
  <printOptions horizontalCentered="1"/>
  <pageMargins left="0.996062992126028" right="0.996062992126028" top="0.31496062992126" bottom="0.31496062992126" header="0.31496062992126" footer="0.31496062992126"/>
  <pageSetup fitToHeight="0" orientation="landscape" paperSize="9" scale="10" r:id="rId1"/>
  <headerFooter alignWithMargins="0">
    <oddFooter>&amp;L&amp;P of  &amp;N&amp;C&amp;Z&amp;F&amp;R&amp;D &amp;T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Z20"/>
  <sheetViews>
    <sheetView showZeros="0" view="pageBreakPreview" zoomScale="40" zoomScaleNormal="25" zoomScaleSheetLayoutView="40" zoomScalePageLayoutView="25" workbookViewId="0" topLeftCell="A1">
      <selection pane="topLeft" activeCell="A11" sqref="A11:XFD20"/>
    </sheetView>
  </sheetViews>
  <sheetFormatPr defaultColWidth="9.44140625" defaultRowHeight="39.9" customHeight="1"/>
  <cols>
    <col min="1" max="1" width="12.2857142857143" style="42" customWidth="1"/>
    <col min="2" max="2" width="54" style="42" customWidth="1"/>
    <col min="3" max="3" width="22.2857142857143" style="42" customWidth="1"/>
    <col min="4" max="4" width="22.7142857142857" style="42" customWidth="1"/>
    <col min="5" max="5" width="17.7142857142857" style="42" customWidth="1"/>
    <col min="6" max="6" width="25.4285714285714" style="42" customWidth="1"/>
    <col min="7" max="7" width="28.7142857142857" style="42" customWidth="1"/>
    <col min="8" max="8" width="21.2857142857143" style="42" customWidth="1"/>
    <col min="9" max="9" width="20.4285714285714" style="42" customWidth="1"/>
    <col min="10" max="10" width="24.4285714285714" style="42" customWidth="1"/>
    <col min="11" max="11" width="23.7142857142857" style="42" customWidth="1"/>
    <col min="12" max="12" width="24.4285714285714" style="42" customWidth="1"/>
    <col min="13" max="13" width="15.7142857142857" style="42" customWidth="1"/>
    <col min="14" max="14" width="23.5714285714286" style="42" customWidth="1"/>
    <col min="15" max="15" width="84" customWidth="1"/>
    <col min="16" max="16" width="22" customWidth="1"/>
    <col min="17" max="20" width="8.57142857142857" customWidth="1"/>
    <col min="21" max="21" width="10.5714285714286" customWidth="1"/>
    <col min="22" max="23" width="8.57142857142857" customWidth="1"/>
    <col min="24" max="24" width="9.42857142857143" customWidth="1"/>
    <col min="25" max="25" width="9.57142857142857" customWidth="1"/>
    <col min="26" max="26" width="11" customWidth="1"/>
    <col min="27" max="29" width="9.42857142857143" customWidth="1"/>
  </cols>
  <sheetData>
    <row r="1" spans="1:26" s="16" customFormat="1" ht="196.2" customHeight="1">
      <c r="A1" s="262" t="s">
        <v>252</v>
      </c>
      <c r="B1" s="262"/>
      <c r="C1" s="262"/>
      <c r="D1" s="262"/>
      <c r="E1" s="262"/>
      <c r="F1" s="262"/>
      <c r="G1" s="262"/>
      <c r="H1" s="262"/>
      <c r="I1" s="262"/>
      <c r="J1" s="262"/>
      <c r="K1" s="262"/>
      <c r="L1" s="262"/>
      <c r="M1" s="262"/>
      <c r="N1" s="262"/>
      <c r="O1" s="262"/>
      <c r="P1" s="262"/>
      <c r="Q1" s="15"/>
      <c r="R1" s="15"/>
      <c r="S1" s="15"/>
      <c r="T1" s="15"/>
      <c r="U1" s="15"/>
      <c r="V1" s="15"/>
      <c r="W1" s="15"/>
      <c r="X1" s="15"/>
      <c r="Y1" s="15"/>
      <c r="Z1" s="15"/>
    </row>
    <row r="2" spans="1:20" s="18" customFormat="1" ht="50.1" customHeight="1">
      <c r="A2" s="211" t="s">
        <v>146</v>
      </c>
      <c r="B2" s="211"/>
      <c r="C2" s="192"/>
      <c r="D2" s="192"/>
      <c r="E2" s="192"/>
      <c r="F2" s="192" t="s">
        <v>147</v>
      </c>
      <c r="G2" s="192"/>
      <c r="H2" s="184" t="str">
        <f>Data!BF5</f>
        <v>Evans, Belinda </v>
      </c>
      <c r="I2" s="185"/>
      <c r="J2" s="185"/>
      <c r="K2" s="185"/>
      <c r="L2" s="186"/>
      <c r="M2" s="172" t="s">
        <v>148</v>
      </c>
      <c r="N2" s="173"/>
      <c r="O2" s="173"/>
      <c r="P2" s="174"/>
      <c r="Q2" s="17"/>
      <c r="R2" s="17"/>
      <c r="S2" s="17"/>
      <c r="T2" s="17"/>
    </row>
    <row r="3" spans="1:20" s="18" customFormat="1" ht="50.1" customHeight="1">
      <c r="A3" s="196" t="s">
        <v>149</v>
      </c>
      <c r="B3" s="196"/>
      <c r="C3" s="191" t="str">
        <f>Data!BC5</f>
        <v>40426</v>
      </c>
      <c r="D3" s="191"/>
      <c r="E3" s="191"/>
      <c r="F3" s="193" t="s">
        <v>150</v>
      </c>
      <c r="G3" s="193"/>
      <c r="H3" s="184" t="str">
        <f>TRIM(Data!AX5)</f>
        <v>Sheers and Rollers</v>
      </c>
      <c r="I3" s="185"/>
      <c r="J3" s="185"/>
      <c r="K3" s="185"/>
      <c r="L3" s="186"/>
      <c r="M3" s="175" t="str">
        <f>TRIM(Data!BG5)</f>
        <v/>
      </c>
      <c r="N3" s="176"/>
      <c r="O3" s="176"/>
      <c r="P3" s="177"/>
      <c r="Q3" s="17"/>
      <c r="R3" s="17"/>
      <c r="S3" s="17"/>
      <c r="T3" s="17"/>
    </row>
    <row r="4" spans="1:20" s="7" customFormat="1" ht="50.1" customHeight="1">
      <c r="A4" s="190" t="s">
        <v>151</v>
      </c>
      <c r="B4" s="190"/>
      <c r="C4" s="191" t="str">
        <f>Data!BD5</f>
        <v>A</v>
      </c>
      <c r="D4" s="191"/>
      <c r="E4" s="191"/>
      <c r="F4" s="193" t="s">
        <v>152</v>
      </c>
      <c r="G4" s="193"/>
      <c r="H4" s="184" t="str">
        <f>LEFT(Data!BA5,10)</f>
        <v>4/09/2026 </v>
      </c>
      <c r="I4" s="185"/>
      <c r="J4" s="185"/>
      <c r="K4" s="185"/>
      <c r="L4" s="186"/>
      <c r="M4" s="216"/>
      <c r="N4" s="217"/>
      <c r="O4" s="217"/>
      <c r="P4" s="218"/>
      <c r="Q4" s="12"/>
      <c r="R4" s="12"/>
      <c r="S4" s="12"/>
      <c r="T4" s="12"/>
    </row>
    <row r="5" spans="1:20" s="7" customFormat="1" ht="50.1" customHeight="1">
      <c r="A5" s="200" t="s">
        <v>153</v>
      </c>
      <c r="B5" s="200"/>
      <c r="C5" s="201" t="str">
        <f>Data!AY5</f>
        <v>12/06/2026 12:00:00 AM</v>
      </c>
      <c r="D5" s="201"/>
      <c r="E5" s="201"/>
      <c r="F5" s="191" t="s">
        <v>154</v>
      </c>
      <c r="G5" s="191"/>
      <c r="H5" s="184" t="str">
        <f>'Job Sheet'!K5</f>
        <v>Belinda  Evans</v>
      </c>
      <c r="I5" s="185"/>
      <c r="J5" s="185"/>
      <c r="K5" s="185"/>
      <c r="L5" s="186"/>
      <c r="M5" s="216"/>
      <c r="N5" s="217"/>
      <c r="O5" s="217"/>
      <c r="P5" s="218"/>
      <c r="Q5"/>
      <c r="R5"/>
      <c r="S5"/>
      <c r="T5"/>
    </row>
    <row r="6" spans="1:16" s="7" customFormat="1" ht="50.1" customHeight="1">
      <c r="A6" s="263" t="str">
        <f>'Job Sheet'!A6</f>
        <v>Retail Customer</v>
      </c>
      <c r="B6" s="263"/>
      <c r="C6" s="263"/>
      <c r="D6" s="263"/>
      <c r="E6" s="263"/>
      <c r="F6" s="191"/>
      <c r="G6" s="191"/>
      <c r="H6" s="175" t="str">
        <f>CONCATENATE(Data!BH5," ",Data!BI5," ",Data!BJ5," ",Data!BK5," ",Data!BL5)</f>
        <v xml:space="preserve"> 15  Dublin Street </v>
      </c>
      <c r="I6" s="176"/>
      <c r="J6" s="176"/>
      <c r="K6" s="176"/>
      <c r="L6" s="177"/>
      <c r="M6" s="216"/>
      <c r="N6" s="217"/>
      <c r="O6" s="217"/>
      <c r="P6" s="218"/>
    </row>
    <row r="7" spans="1:16" s="7" customFormat="1" ht="3" customHeight="1">
      <c r="A7" s="263"/>
      <c r="B7" s="263"/>
      <c r="C7" s="263"/>
      <c r="D7" s="263"/>
      <c r="E7" s="263"/>
      <c r="F7" s="191"/>
      <c r="G7" s="191"/>
      <c r="H7" s="178"/>
      <c r="I7" s="179"/>
      <c r="J7" s="179"/>
      <c r="K7" s="179"/>
      <c r="L7" s="180"/>
      <c r="M7" s="216"/>
      <c r="N7" s="217"/>
      <c r="O7" s="217"/>
      <c r="P7" s="218"/>
    </row>
    <row r="8" spans="1:16" s="7" customFormat="1" ht="50.1" customHeight="1">
      <c r="A8" s="263"/>
      <c r="B8" s="263"/>
      <c r="C8" s="263"/>
      <c r="D8" s="263"/>
      <c r="E8" s="263"/>
      <c r="F8" s="191"/>
      <c r="G8" s="191"/>
      <c r="H8" s="184" t="str">
        <f>CONCATENATE(Data!BM5," ",Data!BN5," ",Data!BO5," ",Data!BP5)</f>
        <v>Alfredton VIC 3350 Australia</v>
      </c>
      <c r="I8" s="185"/>
      <c r="J8" s="185"/>
      <c r="K8" s="185"/>
      <c r="L8" s="186"/>
      <c r="M8" s="178"/>
      <c r="N8" s="179"/>
      <c r="O8" s="179"/>
      <c r="P8" s="180"/>
    </row>
    <row r="9" spans="1:16" s="7" customFormat="1" ht="50.1" customHeight="1">
      <c r="A9" s="257" t="s">
        <v>159</v>
      </c>
      <c r="B9" s="258" t="s">
        <v>160</v>
      </c>
      <c r="C9" s="268" t="s">
        <v>212</v>
      </c>
      <c r="D9" s="267" t="s">
        <v>175</v>
      </c>
      <c r="E9" s="195" t="s">
        <v>203</v>
      </c>
      <c r="F9" s="266" t="s">
        <v>170</v>
      </c>
      <c r="G9" s="269" t="s">
        <v>180</v>
      </c>
      <c r="H9" s="268" t="s">
        <v>171</v>
      </c>
      <c r="I9" s="210" t="s">
        <v>202</v>
      </c>
      <c r="J9" s="266" t="s">
        <v>183</v>
      </c>
      <c r="K9" s="265" t="s">
        <v>173</v>
      </c>
      <c r="L9" s="265" t="s">
        <v>253</v>
      </c>
      <c r="M9" s="264" t="s">
        <v>254</v>
      </c>
      <c r="N9" s="213" t="s">
        <v>185</v>
      </c>
      <c r="O9" s="210" t="s">
        <v>199</v>
      </c>
      <c r="P9" s="210" t="s">
        <v>231</v>
      </c>
    </row>
    <row r="10" spans="1:16" s="8" customFormat="1" ht="80.25" customHeight="1">
      <c r="A10" s="257"/>
      <c r="B10" s="258"/>
      <c r="C10" s="268"/>
      <c r="D10" s="267"/>
      <c r="E10" s="195"/>
      <c r="F10" s="266"/>
      <c r="G10" s="269"/>
      <c r="H10" s="268"/>
      <c r="I10" s="210"/>
      <c r="J10" s="266"/>
      <c r="K10" s="265"/>
      <c r="L10" s="265"/>
      <c r="M10" s="264"/>
      <c r="N10" s="213"/>
      <c r="O10" s="210"/>
      <c r="P10" s="210"/>
    </row>
    <row r="11" spans="1:16" s="24" customFormat="1" ht="99">
      <c r="A11" s="65">
        <f>Data!AW11</f>
        <v>9</v>
      </c>
      <c r="B11" s="40" t="str">
        <f>'Job Sheet'!B11</f>
        <v>Living Door 1</v>
      </c>
      <c r="C11" s="41" t="str">
        <f>IF('Job Sheet'!BF11="No Chain","",'Job Sheet'!BF11)</f>
        <v>Nickel Steel Chain</v>
      </c>
      <c r="D11" s="60" t="str">
        <f t="array" ref="D11">IF(OR('Job Sheet'!L11="Chain Winder",'Job Sheet'!L11="Chain Winder 60mm",'Job Sheet'!L11="Chain Winder Fixed Guide"),IF(AND(bpLOOKUP(Data!$AV11,"CHAINLENGTH",CustOrdOpt,6,FALSE)="Default",Data!BB11&gt;1),VLOOKUP('Job Sheet'!H11,ChainSize,2,TRUE),IF(Data!BB11&gt;1,bpLOOKUP(Data!$AV11,"CHAINLENGTH",CustOrdOpt,6,FALSE),"")),"")</f>
        <v>1500mm</v>
      </c>
      <c r="E11" s="39" t="str">
        <f>'Job Sheet'!AV11</f>
        <v>38mm</v>
      </c>
      <c r="F11" s="98" t="str">
        <f>IF(Data!AV11="","",VLOOKUP('Job Sheet'!AR11,MotorLookUp,2,FALSE))</f>
        <v>Chain Winder</v>
      </c>
      <c r="G11" s="41" t="str">
        <f>'Job Sheet'!BE11</f>
        <v>White</v>
      </c>
      <c r="H11" s="41" t="str">
        <f>IF(AND('Job Sheet'!L11="Spring",K11="Front"),"Right",IF(AND('Job Sheet'!L11="Spring",K11="Back"),"Left",'Job Sheet'!M11))</f>
        <v>Left</v>
      </c>
      <c r="I11" s="39" t="str">
        <f>IF('Job Sheet'!AU11="No","",'Job Sheet'!AU11)</f>
        <v/>
      </c>
      <c r="J11" s="98" t="str">
        <f>IF('Job Sheet'!Y11="N/A","None",'Job Sheet'!Y11)</f>
        <v>None</v>
      </c>
      <c r="K11" s="41" t="str">
        <f>'Job Sheet'!O11</f>
        <v>Front</v>
      </c>
      <c r="L11" s="41" t="str">
        <f>IF(Data!BO11="","",IF(ISNUMBER(SEARCH("Light Filtering",Data!BO11)),"Yes",""))</f>
        <v/>
      </c>
      <c r="M11" s="97" t="str">
        <f>IF(Data!AV11="","",IF(OR('Job Sheet'!C11&lt;450,$A$6="Wholesale",$A$6="Wholesale B2B"),"Yes",IF(AND('Job Sheet'!L11="Chain Winder",'Job Sheet'!AJ11="Installation"),"No",IF('Job Sheet'!L11="Linked","Test if Motor Link","Yes"))))</f>
        <v>No</v>
      </c>
      <c r="N11" s="46" t="str">
        <f>IF('Job Sheet'!AA11="None","",'Job Sheet'!AA11)</f>
        <v/>
      </c>
      <c r="O11" s="39" t="str">
        <f>'Job Sheet'!AO11</f>
        <v/>
      </c>
      <c r="P11" s="123">
        <f t="shared" si="0" ref="P11:P20">A11</f>
        <v>9</v>
      </c>
    </row>
    <row r="12" spans="1:16" s="24" customFormat="1" ht="132">
      <c r="A12" s="65">
        <f>Data!AW12</f>
        <v>10</v>
      </c>
      <c r="B12" s="40" t="str">
        <f>'Job Sheet'!B12</f>
        <v>Living Door 2</v>
      </c>
      <c r="C12" s="41" t="str">
        <f>IF('Job Sheet'!BF12="No Chain","",'Job Sheet'!BF12)</f>
        <v>Black Chain</v>
      </c>
      <c r="D12" s="60" t="str">
        <f t="array" ref="D12">IF(OR('Job Sheet'!L12="Chain Winder",'Job Sheet'!L12="Chain Winder 60mm",'Job Sheet'!L12="Chain Winder Fixed Guide"),IF(AND(bpLOOKUP(Data!$AV12,"CHAINLENGTH",CustOrdOpt,6,FALSE)="Default",Data!BB12&gt;1),VLOOKUP('Job Sheet'!H12,ChainSize,2,TRUE),IF(Data!BB12&gt;1,bpLOOKUP(Data!$AV12,"CHAINLENGTH",CustOrdOpt,6,FALSE),"")),"")</f>
        <v>1500mm</v>
      </c>
      <c r="E12" s="39" t="str">
        <f>'Job Sheet'!AV12</f>
        <v>43mm</v>
      </c>
      <c r="F12" s="98" t="str">
        <f>IF(Data!AV12="","",VLOOKUP('Job Sheet'!AR12,MotorLookUp,2,FALSE))</f>
        <v>Chain Winder</v>
      </c>
      <c r="G12" s="41" t="str">
        <f>'Job Sheet'!BE12</f>
        <v>White</v>
      </c>
      <c r="H12" s="41" t="str">
        <f>IF(AND('Job Sheet'!L12="Spring",K12="Front"),"Right",IF(AND('Job Sheet'!L12="Spring",K12="Back"),"Left",'Job Sheet'!M12))</f>
        <v>Left</v>
      </c>
      <c r="I12" s="39" t="str">
        <f>IF('Job Sheet'!AU12="No","",'Job Sheet'!AU12)</f>
        <v/>
      </c>
      <c r="J12" s="98" t="str">
        <f>IF('Job Sheet'!Y12="N/A","None",'Job Sheet'!Y12)</f>
        <v>Chain Winder - Female with Insert</v>
      </c>
      <c r="K12" s="41" t="str">
        <f>'Job Sheet'!O12</f>
        <v>Front</v>
      </c>
      <c r="L12" s="41" t="str">
        <f>IF(Data!BO12="","",IF(ISNUMBER(SEARCH("Light Filtering",Data!BO12)),"Yes",""))</f>
        <v/>
      </c>
      <c r="M12" s="97" t="str">
        <f>IF(Data!AV12="","",IF(OR('Job Sheet'!C12&lt;450,$A$6="Wholesale",$A$6="Wholesale B2B"),"Yes",IF(AND('Job Sheet'!L12="Chain Winder",'Job Sheet'!AJ12="Installation"),"No",IF('Job Sheet'!L12="Linked","Test if Motor Link","Yes"))))</f>
        <v>No</v>
      </c>
      <c r="N12" s="46" t="str">
        <f>IF('Job Sheet'!AA12="None","",'Job Sheet'!AA12)</f>
        <v/>
      </c>
      <c r="O12" s="39" t="str">
        <f>'Job Sheet'!AO12</f>
        <v/>
      </c>
      <c r="P12" s="123">
        <f t="shared" si="0"/>
        <v>10</v>
      </c>
    </row>
    <row r="13" spans="1:16" s="24" customFormat="1" ht="99">
      <c r="A13" s="65">
        <f>Data!AW13</f>
        <v>11</v>
      </c>
      <c r="B13" s="40" t="str">
        <f>'Job Sheet'!B13</f>
        <v>Living Door 3</v>
      </c>
      <c r="C13" s="41" t="str">
        <f>IF('Job Sheet'!BF13="No Chain","",'Job Sheet'!BF13)</f>
        <v>Nickel Steel Chain</v>
      </c>
      <c r="D13" s="60" t="str">
        <f t="array" ref="D13">IF(OR('Job Sheet'!L13="Chain Winder",'Job Sheet'!L13="Chain Winder 60mm",'Job Sheet'!L13="Chain Winder Fixed Guide"),IF(AND(bpLOOKUP(Data!$AV13,"CHAINLENGTH",CustOrdOpt,6,FALSE)="Default",Data!BB13&gt;1),VLOOKUP('Job Sheet'!H13,ChainSize,2,TRUE),IF(Data!BB13&gt;1,bpLOOKUP(Data!$AV13,"CHAINLENGTH",CustOrdOpt,6,FALSE),"")),"")</f>
        <v>1500mm</v>
      </c>
      <c r="E13" s="39" t="str">
        <f>'Job Sheet'!AV13</f>
        <v>43mm</v>
      </c>
      <c r="F13" s="98" t="str">
        <f>IF(Data!AV13="","",VLOOKUP('Job Sheet'!AR13,MotorLookUp,2,FALSE))</f>
        <v>Chain Winder</v>
      </c>
      <c r="G13" s="41" t="str">
        <f>'Job Sheet'!BE13</f>
        <v>White</v>
      </c>
      <c r="H13" s="41" t="str">
        <f>IF(AND('Job Sheet'!L13="Spring",K13="Front"),"Right",IF(AND('Job Sheet'!L13="Spring",K13="Back"),"Left",'Job Sheet'!M13))</f>
        <v>Right</v>
      </c>
      <c r="I13" s="39" t="str">
        <f>IF('Job Sheet'!AU13="No","",'Job Sheet'!AU13)</f>
        <v/>
      </c>
      <c r="J13" s="98" t="str">
        <f>IF('Job Sheet'!Y13="N/A","None",'Job Sheet'!Y13)</f>
        <v>Idle - Chain Winder</v>
      </c>
      <c r="K13" s="41" t="str">
        <f>'Job Sheet'!O13</f>
        <v>Front</v>
      </c>
      <c r="L13" s="41" t="str">
        <f>IF(Data!BO13="","",IF(ISNUMBER(SEARCH("Light Filtering",Data!BO13)),"Yes",""))</f>
        <v/>
      </c>
      <c r="M13" s="97" t="str">
        <f>IF(Data!AV13="","",IF(OR('Job Sheet'!C13&lt;450,$A$6="Wholesale",$A$6="Wholesale B2B"),"Yes",IF(AND('Job Sheet'!L13="Chain Winder",'Job Sheet'!AJ13="Installation"),"No",IF('Job Sheet'!L13="Linked","Test if Motor Link","Yes"))))</f>
        <v>No</v>
      </c>
      <c r="N13" s="46" t="str">
        <f>IF('Job Sheet'!AA13="None","",'Job Sheet'!AA13)</f>
        <v/>
      </c>
      <c r="O13" s="39" t="str">
        <f>'Job Sheet'!AO13</f>
        <v/>
      </c>
      <c r="P13" s="123">
        <f t="shared" si="0"/>
        <v>11</v>
      </c>
    </row>
    <row r="14" spans="1:16" s="24" customFormat="1" ht="99">
      <c r="A14" s="65">
        <f>Data!AW14</f>
        <v>12</v>
      </c>
      <c r="B14" s="40" t="str">
        <f>'Job Sheet'!B14</f>
        <v>Study</v>
      </c>
      <c r="C14" s="41" t="str">
        <f>IF('Job Sheet'!BF14="No Chain","",'Job Sheet'!BF14)</f>
        <v>Nickel Steel Chain</v>
      </c>
      <c r="D14" s="60" t="str">
        <f t="array" ref="D14">IF(OR('Job Sheet'!L14="Chain Winder",'Job Sheet'!L14="Chain Winder 60mm",'Job Sheet'!L14="Chain Winder Fixed Guide"),IF(AND(bpLOOKUP(Data!$AV14,"CHAINLENGTH",CustOrdOpt,6,FALSE)="Default",Data!BB14&gt;1),VLOOKUP('Job Sheet'!H14,ChainSize,2,TRUE),IF(Data!BB14&gt;1,bpLOOKUP(Data!$AV14,"CHAINLENGTH",CustOrdOpt,6,FALSE),"")),"")</f>
        <v>1250mm</v>
      </c>
      <c r="E14" s="39" t="str">
        <f>'Job Sheet'!AV14</f>
        <v>38mm</v>
      </c>
      <c r="F14" s="98" t="str">
        <f>IF(Data!AV14="","",VLOOKUP('Job Sheet'!AR14,MotorLookUp,2,FALSE))</f>
        <v>Chain Winder</v>
      </c>
      <c r="G14" s="41" t="str">
        <f>'Job Sheet'!BE14</f>
        <v>White</v>
      </c>
      <c r="H14" s="41" t="str">
        <f>IF(AND('Job Sheet'!L14="Spring",K14="Front"),"Right",IF(AND('Job Sheet'!L14="Spring",K14="Back"),"Left",'Job Sheet'!M14))</f>
        <v>Right</v>
      </c>
      <c r="I14" s="39" t="str">
        <f>IF('Job Sheet'!AU14="No","",'Job Sheet'!AU14)</f>
        <v/>
      </c>
      <c r="J14" s="98" t="str">
        <f>IF('Job Sheet'!Y14="N/A","None",'Job Sheet'!Y14)</f>
        <v>None</v>
      </c>
      <c r="K14" s="41" t="str">
        <f>'Job Sheet'!O14</f>
        <v>Back</v>
      </c>
      <c r="L14" s="41" t="str">
        <f>IF(Data!BO14="","",IF(ISNUMBER(SEARCH("Light Filtering",Data!BO14)),"Yes",""))</f>
        <v/>
      </c>
      <c r="M14" s="97" t="str">
        <f>IF(Data!AV14="","",IF(OR('Job Sheet'!C14&lt;450,$A$6="Wholesale",$A$6="Wholesale B2B"),"Yes",IF(AND('Job Sheet'!L14="Chain Winder",'Job Sheet'!AJ14="Installation"),"No",IF('Job Sheet'!L14="Linked","Test if Motor Link","Yes"))))</f>
        <v>No</v>
      </c>
      <c r="N14" s="46" t="str">
        <f>IF('Job Sheet'!AA14="None","",'Job Sheet'!AA14)</f>
        <v/>
      </c>
      <c r="O14" s="39" t="str">
        <f>'Job Sheet'!AO14</f>
        <v/>
      </c>
      <c r="P14" s="123">
        <f t="shared" si="0"/>
        <v>12</v>
      </c>
    </row>
    <row r="15" spans="1:16" s="24" customFormat="1" ht="60" customHeight="1">
      <c r="A15" s="65">
        <f>Data!AW15</f>
        <v>0</v>
      </c>
      <c r="B15" s="40">
        <f>'Job Sheet'!B15</f>
        <v>0</v>
      </c>
      <c r="C15" s="41" t="str">
        <f>IF('Job Sheet'!BF15="No Chain","",'Job Sheet'!BF15)</f>
        <v/>
      </c>
      <c r="D15" s="60" t="str">
        <f t="array" ref="D15">IF(OR('Job Sheet'!L15="Chain Winder",'Job Sheet'!L15="Chain Winder 60mm",'Job Sheet'!L15="Chain Winder Fixed Guide"),IF(AND(bpLOOKUP(Data!$AV15,"CHAINLENGTH",CustOrdOpt,6,FALSE)="Default",Data!BB15&gt;1),VLOOKUP('Job Sheet'!H15,ChainSize,2,TRUE),IF(Data!BB15&gt;1,bpLOOKUP(Data!$AV15,"CHAINLENGTH",CustOrdOpt,6,FALSE),"")),"")</f>
        <v/>
      </c>
      <c r="E15" s="39" t="str">
        <f>'Job Sheet'!AV15</f>
        <v/>
      </c>
      <c r="F15" s="98" t="str">
        <f>IF(Data!AV15="","",VLOOKUP('Job Sheet'!AR15,MotorLookUp,2,FALSE))</f>
        <v/>
      </c>
      <c r="G15" s="41" t="str">
        <f>'Job Sheet'!BE15</f>
        <v/>
      </c>
      <c r="H15" s="41" t="str">
        <f>IF(AND('Job Sheet'!L15="Spring",K15="Front"),"Right",IF(AND('Job Sheet'!L15="Spring",K15="Back"),"Left",'Job Sheet'!M15))</f>
        <v/>
      </c>
      <c r="I15" s="39" t="str">
        <f>IF('Job Sheet'!AU15="No","",'Job Sheet'!AU15)</f>
        <v/>
      </c>
      <c r="J15" s="98" t="str">
        <f>IF('Job Sheet'!Y15="N/A","None",'Job Sheet'!Y15)</f>
        <v/>
      </c>
      <c r="K15" s="41" t="str">
        <f>'Job Sheet'!O15</f>
        <v/>
      </c>
      <c r="L15" s="41" t="str">
        <f>IF(Data!BO15="","",IF(ISNUMBER(SEARCH("Light Filtering",Data!BO15)),"Yes",""))</f>
        <v/>
      </c>
      <c r="M15" s="97" t="str">
        <f>IF(Data!AV15="","",IF(OR('Job Sheet'!C15&lt;450,$A$6="Wholesale",$A$6="Wholesale B2B"),"Yes",IF(AND('Job Sheet'!L15="Chain Winder",'Job Sheet'!AJ15="Installation"),"No",IF('Job Sheet'!L15="Linked","Test if Motor Link","Yes"))))</f>
        <v/>
      </c>
      <c r="N15" s="46" t="str">
        <f>IF('Job Sheet'!AA15="None","",'Job Sheet'!AA15)</f>
        <v/>
      </c>
      <c r="O15" s="39" t="str">
        <f>'Job Sheet'!AO15</f>
        <v/>
      </c>
      <c r="P15" s="123">
        <f t="shared" si="0"/>
        <v>0</v>
      </c>
    </row>
    <row r="16" spans="1:16" s="24" customFormat="1" ht="60" customHeight="1">
      <c r="A16" s="65">
        <f>Data!AW16</f>
        <v>0</v>
      </c>
      <c r="B16" s="40">
        <f>'Job Sheet'!B16</f>
        <v>0</v>
      </c>
      <c r="C16" s="41" t="str">
        <f>IF('Job Sheet'!BF16="No Chain","",'Job Sheet'!BF16)</f>
        <v/>
      </c>
      <c r="D16" s="60" t="str">
        <f t="array" ref="D16">IF(OR('Job Sheet'!L16="Chain Winder",'Job Sheet'!L16="Chain Winder 60mm",'Job Sheet'!L16="Chain Winder Fixed Guide"),IF(AND(bpLOOKUP(Data!$AV16,"CHAINLENGTH",CustOrdOpt,6,FALSE)="Default",Data!BB16&gt;1),VLOOKUP('Job Sheet'!H16,ChainSize,2,TRUE),IF(Data!BB16&gt;1,bpLOOKUP(Data!$AV16,"CHAINLENGTH",CustOrdOpt,6,FALSE),"")),"")</f>
        <v/>
      </c>
      <c r="E16" s="39" t="str">
        <f>'Job Sheet'!AV16</f>
        <v/>
      </c>
      <c r="F16" s="98" t="str">
        <f>IF(Data!AV16="","",VLOOKUP('Job Sheet'!AR16,MotorLookUp,2,FALSE))</f>
        <v/>
      </c>
      <c r="G16" s="41" t="str">
        <f>'Job Sheet'!BE16</f>
        <v/>
      </c>
      <c r="H16" s="41" t="str">
        <f>IF(AND('Job Sheet'!L16="Spring",K16="Front"),"Right",IF(AND('Job Sheet'!L16="Spring",K16="Back"),"Left",'Job Sheet'!M16))</f>
        <v/>
      </c>
      <c r="I16" s="39" t="str">
        <f>IF('Job Sheet'!AU16="No","",'Job Sheet'!AU16)</f>
        <v/>
      </c>
      <c r="J16" s="98" t="str">
        <f>IF('Job Sheet'!Y16="N/A","None",'Job Sheet'!Y16)</f>
        <v/>
      </c>
      <c r="K16" s="41" t="str">
        <f>'Job Sheet'!O16</f>
        <v/>
      </c>
      <c r="L16" s="41" t="str">
        <f>IF(Data!BO16="","",IF(ISNUMBER(SEARCH("Light Filtering",Data!BO16)),"Yes",""))</f>
        <v/>
      </c>
      <c r="M16" s="97" t="str">
        <f>IF(Data!AV16="","",IF(OR('Job Sheet'!C16&lt;450,$A$6="Wholesale",$A$6="Wholesale B2B"),"Yes",IF(AND('Job Sheet'!L16="Chain Winder",'Job Sheet'!AJ16="Installation"),"No",IF('Job Sheet'!L16="Linked","Test if Motor Link","Yes"))))</f>
        <v/>
      </c>
      <c r="N16" s="46" t="str">
        <f>IF('Job Sheet'!AA16="None","",'Job Sheet'!AA16)</f>
        <v/>
      </c>
      <c r="O16" s="39" t="str">
        <f>'Job Sheet'!AO16</f>
        <v/>
      </c>
      <c r="P16" s="123">
        <f t="shared" si="0"/>
        <v>0</v>
      </c>
    </row>
    <row r="17" spans="1:16" s="24" customFormat="1" ht="60" customHeight="1">
      <c r="A17" s="65">
        <f>Data!AW17</f>
        <v>0</v>
      </c>
      <c r="B17" s="40">
        <f>'Job Sheet'!B17</f>
        <v>0</v>
      </c>
      <c r="C17" s="41" t="str">
        <f>IF('Job Sheet'!BF17="No Chain","",'Job Sheet'!BF17)</f>
        <v/>
      </c>
      <c r="D17" s="60" t="str">
        <f t="array" ref="D17">IF(OR('Job Sheet'!L17="Chain Winder",'Job Sheet'!L17="Chain Winder 60mm",'Job Sheet'!L17="Chain Winder Fixed Guide"),IF(AND(bpLOOKUP(Data!$AV17,"CHAINLENGTH",CustOrdOpt,6,FALSE)="Default",Data!BB17&gt;1),VLOOKUP('Job Sheet'!H17,ChainSize,2,TRUE),IF(Data!BB17&gt;1,bpLOOKUP(Data!$AV17,"CHAINLENGTH",CustOrdOpt,6,FALSE),"")),"")</f>
        <v/>
      </c>
      <c r="E17" s="39" t="str">
        <f>'Job Sheet'!AV17</f>
        <v/>
      </c>
      <c r="F17" s="98" t="str">
        <f>IF(Data!AV17="","",VLOOKUP('Job Sheet'!AR17,MotorLookUp,2,FALSE))</f>
        <v/>
      </c>
      <c r="G17" s="41" t="str">
        <f>'Job Sheet'!BE17</f>
        <v/>
      </c>
      <c r="H17" s="41" t="str">
        <f>IF(AND('Job Sheet'!L17="Spring",K17="Front"),"Right",IF(AND('Job Sheet'!L17="Spring",K17="Back"),"Left",'Job Sheet'!M17))</f>
        <v/>
      </c>
      <c r="I17" s="39" t="str">
        <f>IF('Job Sheet'!AU17="No","",'Job Sheet'!AU17)</f>
        <v/>
      </c>
      <c r="J17" s="98" t="str">
        <f>IF('Job Sheet'!Y17="N/A","None",'Job Sheet'!Y17)</f>
        <v/>
      </c>
      <c r="K17" s="41" t="str">
        <f>'Job Sheet'!O17</f>
        <v/>
      </c>
      <c r="L17" s="41" t="str">
        <f>IF(Data!BO17="","",IF(ISNUMBER(SEARCH("Light Filtering",Data!BO17)),"Yes",""))</f>
        <v/>
      </c>
      <c r="M17" s="97" t="str">
        <f>IF(Data!AV17="","",IF(OR('Job Sheet'!C17&lt;450,$A$6="Wholesale",$A$6="Wholesale B2B"),"Yes",IF(AND('Job Sheet'!L17="Chain Winder",'Job Sheet'!AJ17="Installation"),"No",IF('Job Sheet'!L17="Linked","Test if Motor Link","Yes"))))</f>
        <v/>
      </c>
      <c r="N17" s="46" t="str">
        <f>IF('Job Sheet'!AA17="None","",'Job Sheet'!AA17)</f>
        <v/>
      </c>
      <c r="O17" s="39" t="str">
        <f>'Job Sheet'!AO17</f>
        <v/>
      </c>
      <c r="P17" s="123">
        <f t="shared" si="0"/>
        <v>0</v>
      </c>
    </row>
    <row r="18" spans="1:16" s="24" customFormat="1" ht="60" customHeight="1">
      <c r="A18" s="65">
        <f>Data!AW18</f>
        <v>0</v>
      </c>
      <c r="B18" s="40">
        <f>'Job Sheet'!B18</f>
        <v>0</v>
      </c>
      <c r="C18" s="41" t="str">
        <f>IF('Job Sheet'!BF18="No Chain","",'Job Sheet'!BF18)</f>
        <v/>
      </c>
      <c r="D18" s="60" t="str">
        <f t="array" ref="D18">IF(OR('Job Sheet'!L18="Chain Winder",'Job Sheet'!L18="Chain Winder 60mm",'Job Sheet'!L18="Chain Winder Fixed Guide"),IF(AND(bpLOOKUP(Data!$AV18,"CHAINLENGTH",CustOrdOpt,6,FALSE)="Default",Data!BB18&gt;1),VLOOKUP('Job Sheet'!H18,ChainSize,2,TRUE),IF(Data!BB18&gt;1,bpLOOKUP(Data!$AV18,"CHAINLENGTH",CustOrdOpt,6,FALSE),"")),"")</f>
        <v/>
      </c>
      <c r="E18" s="39" t="str">
        <f>'Job Sheet'!AV18</f>
        <v/>
      </c>
      <c r="F18" s="98" t="str">
        <f>IF(Data!AV18="","",VLOOKUP('Job Sheet'!AR18,MotorLookUp,2,FALSE))</f>
        <v/>
      </c>
      <c r="G18" s="41" t="str">
        <f>'Job Sheet'!BE18</f>
        <v/>
      </c>
      <c r="H18" s="41" t="str">
        <f>IF(AND('Job Sheet'!L18="Spring",K18="Front"),"Right",IF(AND('Job Sheet'!L18="Spring",K18="Back"),"Left",'Job Sheet'!M18))</f>
        <v/>
      </c>
      <c r="I18" s="39" t="str">
        <f>IF('Job Sheet'!AU18="No","",'Job Sheet'!AU18)</f>
        <v/>
      </c>
      <c r="J18" s="98" t="str">
        <f>IF('Job Sheet'!Y18="N/A","None",'Job Sheet'!Y18)</f>
        <v/>
      </c>
      <c r="K18" s="41" t="str">
        <f>'Job Sheet'!O18</f>
        <v/>
      </c>
      <c r="L18" s="41" t="str">
        <f>IF(Data!BO18="","",IF(ISNUMBER(SEARCH("Light Filtering",Data!BO18)),"Yes",""))</f>
        <v/>
      </c>
      <c r="M18" s="97" t="str">
        <f>IF(Data!AV18="","",IF(OR('Job Sheet'!C18&lt;450,$A$6="Wholesale",$A$6="Wholesale B2B"),"Yes",IF(AND('Job Sheet'!L18="Chain Winder",'Job Sheet'!AJ18="Installation"),"No",IF('Job Sheet'!L18="Linked","Test if Motor Link","Yes"))))</f>
        <v/>
      </c>
      <c r="N18" s="46" t="str">
        <f>IF('Job Sheet'!AA18="None","",'Job Sheet'!AA18)</f>
        <v/>
      </c>
      <c r="O18" s="39" t="str">
        <f>'Job Sheet'!AO18</f>
        <v/>
      </c>
      <c r="P18" s="123">
        <f t="shared" si="0"/>
        <v>0</v>
      </c>
    </row>
    <row r="19" spans="1:16" ht="60" customHeight="1">
      <c r="A19" s="65">
        <f>Data!AW19</f>
        <v>0</v>
      </c>
      <c r="B19" s="40">
        <f>'Job Sheet'!B19</f>
        <v>0</v>
      </c>
      <c r="C19" s="41" t="str">
        <f>IF('Job Sheet'!BF19="No Chain","",'Job Sheet'!BF19)</f>
        <v/>
      </c>
      <c r="D19" s="60" t="str">
        <f t="array" ref="D19">IF(OR('Job Sheet'!L19="Chain Winder",'Job Sheet'!L19="Chain Winder 60mm",'Job Sheet'!L19="Chain Winder Fixed Guide"),IF(AND(bpLOOKUP(Data!$AV19,"CHAINLENGTH",CustOrdOpt,6,FALSE)="Default",Data!BB19&gt;1),VLOOKUP('Job Sheet'!H19,ChainSize,2,TRUE),IF(Data!BB19&gt;1,bpLOOKUP(Data!$AV19,"CHAINLENGTH",CustOrdOpt,6,FALSE),"")),"")</f>
        <v/>
      </c>
      <c r="E19" s="39" t="str">
        <f>'Job Sheet'!AV19</f>
        <v/>
      </c>
      <c r="F19" s="98" t="str">
        <f>IF(Data!AV19="","",VLOOKUP('Job Sheet'!AR19,MotorLookUp,2,FALSE))</f>
        <v/>
      </c>
      <c r="G19" s="41" t="str">
        <f>'Job Sheet'!BE19</f>
        <v/>
      </c>
      <c r="H19" s="41" t="str">
        <f>IF(AND('Job Sheet'!L19="Spring",K19="Front"),"Right",IF(AND('Job Sheet'!L19="Spring",K19="Back"),"Left",'Job Sheet'!M19))</f>
        <v/>
      </c>
      <c r="I19" s="39" t="str">
        <f>IF('Job Sheet'!AU19="No","",'Job Sheet'!AU19)</f>
        <v/>
      </c>
      <c r="J19" s="98" t="str">
        <f>IF('Job Sheet'!Y19="N/A","None",'Job Sheet'!Y19)</f>
        <v/>
      </c>
      <c r="K19" s="41" t="str">
        <f>'Job Sheet'!O19</f>
        <v/>
      </c>
      <c r="L19" s="41" t="str">
        <f>IF(Data!BO19="","",IF(ISNUMBER(SEARCH("Light Filtering",Data!BO19)),"Yes",""))</f>
        <v/>
      </c>
      <c r="M19" s="97" t="str">
        <f>IF(Data!AV19="","",IF(OR('Job Sheet'!C19&lt;450,$A$6="Wholesale",$A$6="Wholesale B2B"),"Yes",IF(AND('Job Sheet'!L19="Chain Winder",'Job Sheet'!AJ19="Installation"),"No",IF('Job Sheet'!L19="Linked","Test if Motor Link","Yes"))))</f>
        <v/>
      </c>
      <c r="N19" s="46" t="str">
        <f>IF('Job Sheet'!AA19="None","",'Job Sheet'!AA19)</f>
        <v/>
      </c>
      <c r="O19" s="39" t="str">
        <f>'Job Sheet'!AO19</f>
        <v/>
      </c>
      <c r="P19" s="123">
        <f t="shared" si="0"/>
        <v>0</v>
      </c>
    </row>
    <row r="20" spans="1:16" ht="60" customHeight="1">
      <c r="A20" s="65">
        <f>Data!AW20</f>
        <v>0</v>
      </c>
      <c r="B20" s="40">
        <f>'Job Sheet'!B20</f>
        <v>0</v>
      </c>
      <c r="C20" s="41" t="str">
        <f>IF('Job Sheet'!BF20="No Chain","",'Job Sheet'!BF20)</f>
        <v/>
      </c>
      <c r="D20" s="60" t="str">
        <f t="array" ref="D20">IF(OR('Job Sheet'!L20="Chain Winder",'Job Sheet'!L20="Chain Winder 60mm",'Job Sheet'!L20="Chain Winder Fixed Guide"),IF(AND(bpLOOKUP(Data!$AV20,"CHAINLENGTH",CustOrdOpt,6,FALSE)="Default",Data!BB20&gt;1),VLOOKUP('Job Sheet'!H20,ChainSize,2,TRUE),IF(Data!BB20&gt;1,bpLOOKUP(Data!$AV20,"CHAINLENGTH",CustOrdOpt,6,FALSE),"")),"")</f>
        <v/>
      </c>
      <c r="E20" s="39" t="str">
        <f>'Job Sheet'!AV20</f>
        <v/>
      </c>
      <c r="F20" s="98" t="str">
        <f>IF(Data!AV20="","",VLOOKUP('Job Sheet'!AR20,MotorLookUp,2,FALSE))</f>
        <v/>
      </c>
      <c r="G20" s="41" t="str">
        <f>'Job Sheet'!BE20</f>
        <v/>
      </c>
      <c r="H20" s="41" t="str">
        <f>IF(AND('Job Sheet'!L20="Spring",K20="Front"),"Right",IF(AND('Job Sheet'!L20="Spring",K20="Back"),"Left",'Job Sheet'!M20))</f>
        <v/>
      </c>
      <c r="I20" s="39" t="str">
        <f>IF('Job Sheet'!AU20="No","",'Job Sheet'!AU20)</f>
        <v/>
      </c>
      <c r="J20" s="98" t="str">
        <f>IF('Job Sheet'!Y20="N/A","None",'Job Sheet'!Y20)</f>
        <v/>
      </c>
      <c r="K20" s="41" t="str">
        <f>'Job Sheet'!O20</f>
        <v/>
      </c>
      <c r="L20" s="41" t="str">
        <f>IF(Data!BO20="","",IF(ISNUMBER(SEARCH("Light Filtering",Data!BO20)),"Yes",""))</f>
        <v/>
      </c>
      <c r="M20" s="97" t="str">
        <f>IF(Data!AV20="","",IF(OR('Job Sheet'!C20&lt;450,$A$6="Wholesale",$A$6="Wholesale B2B"),"Yes",IF(AND('Job Sheet'!L20="Chain Winder",'Job Sheet'!AJ20="Installation"),"No",IF('Job Sheet'!L20="Linked","Test if Motor Link","Yes"))))</f>
        <v/>
      </c>
      <c r="N20" s="46" t="str">
        <f>IF('Job Sheet'!AA20="None","",'Job Sheet'!AA20)</f>
        <v/>
      </c>
      <c r="O20" s="39" t="str">
        <f>'Job Sheet'!AO20</f>
        <v/>
      </c>
      <c r="P20" s="123">
        <f t="shared" si="0"/>
        <v>0</v>
      </c>
    </row>
    <row r="21" ht="60" customHeight="1"/>
    <row r="22" ht="60" customHeight="1"/>
    <row r="23" ht="60" customHeight="1"/>
    <row r="24" ht="60" customHeight="1"/>
    <row r="25" ht="60" customHeight="1"/>
    <row r="26" ht="60" customHeight="1"/>
    <row r="27" ht="60" customHeight="1"/>
    <row r="28" ht="60" customHeight="1"/>
    <row r="29" ht="60" customHeight="1"/>
    <row r="30" ht="60" customHeight="1"/>
    <row r="31" ht="60" customHeight="1"/>
    <row r="32" ht="60" customHeight="1"/>
    <row r="33" ht="60" customHeight="1"/>
    <row r="34" ht="60" customHeight="1"/>
    <row r="35" ht="60" customHeight="1"/>
    <row r="36" ht="60" customHeight="1"/>
    <row r="37" ht="60" customHeight="1"/>
    <row r="38" ht="60" customHeight="1"/>
    <row r="39" ht="60" customHeight="1"/>
    <row r="40" ht="60" customHeight="1"/>
    <row r="41" ht="60" customHeight="1"/>
    <row r="42" ht="60" customHeight="1"/>
    <row r="43" ht="60" customHeight="1"/>
    <row r="44" ht="60" customHeight="1"/>
    <row r="45" ht="60" customHeight="1"/>
    <row r="46" ht="60" customHeight="1"/>
    <row r="47" ht="60" customHeight="1"/>
    <row r="48" ht="60" customHeight="1"/>
    <row r="49" ht="60" customHeight="1"/>
    <row r="50" ht="60" customHeight="1"/>
    <row r="51" ht="60" customHeight="1"/>
    <row r="52" ht="60" customHeight="1"/>
    <row r="53" ht="60" customHeight="1"/>
    <row r="54" ht="60" customHeight="1"/>
    <row r="55" ht="60" customHeight="1"/>
    <row r="56" ht="60" customHeight="1"/>
    <row r="57" ht="60" customHeight="1"/>
    <row r="58" ht="60" customHeight="1"/>
    <row r="59" ht="60" customHeight="1"/>
    <row r="60" ht="60" customHeight="1"/>
    <row r="61" ht="60" customHeight="1"/>
    <row r="62" ht="60" customHeight="1"/>
    <row r="63" ht="60" customHeight="1"/>
    <row r="64" ht="60" customHeight="1"/>
    <row r="65" ht="60" customHeight="1"/>
    <row r="66" ht="60" customHeight="1"/>
    <row r="67" ht="60" customHeight="1"/>
    <row r="68" ht="60" customHeight="1"/>
    <row r="69" ht="60" customHeight="1"/>
    <row r="70" ht="60" customHeight="1"/>
    <row r="71" ht="60" customHeight="1"/>
    <row r="72" ht="60" customHeight="1"/>
    <row r="73" ht="60" customHeight="1"/>
    <row r="74" ht="60" customHeight="1"/>
    <row r="75" ht="60" customHeight="1"/>
    <row r="76" ht="60" customHeight="1"/>
    <row r="77" ht="60" customHeight="1"/>
    <row r="78" ht="60" customHeight="1"/>
    <row r="79" ht="60" customHeight="1"/>
    <row r="80" ht="60" customHeight="1"/>
    <row r="81" ht="60" customHeight="1"/>
    <row r="82" ht="60" customHeight="1"/>
    <row r="83" ht="60" customHeight="1"/>
    <row r="84" ht="60" customHeight="1"/>
    <row r="85" ht="60" customHeight="1"/>
    <row r="86" ht="60" customHeight="1"/>
    <row r="87" ht="60" customHeight="1"/>
    <row r="88" ht="60" customHeight="1"/>
    <row r="89" ht="60" customHeight="1"/>
    <row r="90" ht="60" customHeight="1"/>
    <row r="91" ht="60" customHeight="1"/>
    <row r="92" ht="60" customHeight="1"/>
    <row r="93" ht="60" customHeight="1"/>
    <row r="94" ht="60" customHeight="1"/>
    <row r="95" ht="60" customHeight="1"/>
    <row r="96" ht="60" customHeight="1"/>
    <row r="97" ht="60" customHeight="1"/>
    <row r="98" ht="60" customHeight="1"/>
    <row r="99" ht="60" customHeight="1"/>
    <row r="100" ht="60" customHeight="1"/>
    <row r="101" ht="60" customHeight="1"/>
    <row r="102" ht="60" customHeight="1"/>
    <row r="103" ht="60" customHeight="1"/>
    <row r="104" ht="60" customHeight="1"/>
    <row r="105" ht="60" customHeight="1"/>
    <row r="106" ht="60" customHeight="1"/>
    <row r="107" ht="60" customHeight="1"/>
    <row r="108" ht="60" customHeight="1"/>
    <row r="109" ht="60" customHeight="1"/>
    <row r="110" ht="60" customHeight="1"/>
    <row r="111" ht="60" customHeight="1"/>
    <row r="112" ht="60" customHeight="1"/>
    <row r="113" ht="60" customHeight="1"/>
    <row r="114" ht="60" customHeight="1"/>
    <row r="115" ht="60" customHeight="1"/>
    <row r="116" ht="60" customHeight="1"/>
    <row r="117" ht="60" customHeight="1"/>
    <row r="118" ht="60" customHeight="1"/>
    <row r="119" ht="60" customHeight="1"/>
    <row r="120" ht="60" customHeight="1"/>
    <row r="121" ht="60" customHeight="1"/>
    <row r="122" ht="60" customHeight="1"/>
    <row r="123" ht="60" customHeight="1"/>
    <row r="124" ht="60" customHeight="1"/>
    <row r="125" ht="60" customHeight="1"/>
    <row r="126" ht="60" customHeight="1"/>
    <row r="127" ht="60" customHeight="1"/>
    <row r="128" ht="60" customHeight="1"/>
    <row r="129" ht="60" customHeight="1"/>
    <row r="130" ht="60" customHeight="1"/>
    <row r="131" ht="60" customHeight="1"/>
    <row r="132" ht="60" customHeight="1"/>
    <row r="133" ht="60" customHeight="1"/>
    <row r="134" ht="60" customHeight="1"/>
    <row r="135" ht="60" customHeight="1"/>
    <row r="136" ht="60" customHeight="1"/>
    <row r="137" ht="60" customHeight="1"/>
    <row r="138" ht="60" customHeight="1"/>
    <row r="139" ht="60" customHeight="1"/>
    <row r="140" ht="60" customHeight="1"/>
    <row r="141" ht="60" customHeight="1"/>
    <row r="142" ht="60" customHeight="1"/>
    <row r="143" ht="60" customHeight="1"/>
    <row r="144" ht="60" customHeight="1"/>
    <row r="145" ht="60" customHeight="1"/>
    <row r="146" ht="60" customHeight="1"/>
    <row r="147" ht="60" customHeight="1"/>
    <row r="148" ht="60" customHeight="1"/>
    <row r="149" ht="60" customHeight="1"/>
    <row r="150" ht="60" customHeight="1"/>
    <row r="151" ht="60" customHeight="1"/>
    <row r="152" ht="60" customHeight="1"/>
    <row r="153" ht="60" customHeight="1"/>
    <row r="154" ht="60" customHeight="1"/>
    <row r="155" ht="60" customHeight="1"/>
    <row r="156" ht="60" customHeight="1"/>
    <row r="157" ht="60" customHeight="1"/>
    <row r="158" ht="60" customHeight="1"/>
    <row r="159" ht="60" customHeight="1"/>
    <row r="160" ht="60" customHeight="1"/>
    <row r="161" ht="60" customHeight="1"/>
    <row r="162" ht="60" customHeight="1"/>
    <row r="163" ht="60" customHeight="1"/>
    <row r="164" ht="60" customHeight="1"/>
    <row r="165" ht="60" customHeight="1"/>
    <row r="166" ht="60" customHeight="1"/>
    <row r="167" ht="60" customHeight="1"/>
    <row r="168" ht="60" customHeight="1"/>
    <row r="169" ht="60" customHeight="1"/>
    <row r="170" ht="60" customHeight="1"/>
    <row r="171" ht="60" customHeight="1"/>
    <row r="172" ht="60" customHeight="1"/>
    <row r="173" ht="60" customHeight="1"/>
    <row r="174" ht="60" customHeight="1"/>
    <row r="175" ht="60" customHeight="1"/>
    <row r="176" ht="60" customHeight="1"/>
    <row r="177" ht="60" customHeight="1"/>
    <row r="178" ht="60" customHeight="1"/>
    <row r="179" ht="60" customHeight="1"/>
    <row r="180" ht="60" customHeight="1"/>
    <row r="181" ht="60" customHeight="1"/>
    <row r="182" ht="60" customHeight="1"/>
    <row r="183" ht="60" customHeight="1"/>
    <row r="184" ht="60" customHeight="1"/>
    <row r="185" ht="60" customHeight="1"/>
    <row r="186" ht="60" customHeight="1"/>
    <row r="187" ht="60" customHeight="1"/>
    <row r="188" ht="60" customHeight="1"/>
    <row r="189" ht="60" customHeight="1"/>
    <row r="190" ht="60" customHeight="1"/>
    <row r="191" ht="60" customHeight="1"/>
    <row r="192" ht="60" customHeight="1"/>
    <row r="193" ht="60" customHeight="1"/>
    <row r="194" ht="60" customHeight="1"/>
    <row r="195" ht="60" customHeight="1"/>
    <row r="196" ht="60" customHeight="1"/>
    <row r="197" ht="60" customHeight="1"/>
    <row r="198" ht="60" customHeight="1"/>
    <row r="199" ht="60" customHeight="1"/>
    <row r="200" ht="60" customHeight="1"/>
    <row r="201" ht="60" customHeight="1"/>
    <row r="202" ht="60" customHeight="1"/>
    <row r="203" ht="60" customHeight="1"/>
    <row r="204" ht="60" customHeight="1"/>
    <row r="205" ht="60" customHeight="1"/>
    <row r="206" ht="60" customHeight="1"/>
    <row r="207" ht="60" customHeight="1"/>
    <row r="208" ht="60" customHeight="1"/>
    <row r="209" ht="60" customHeight="1"/>
    <row r="210" ht="60" customHeight="1"/>
    <row r="211" ht="60" customHeight="1"/>
    <row r="212" ht="60" customHeight="1"/>
    <row r="213" ht="60" customHeight="1"/>
    <row r="214" ht="60" customHeight="1"/>
    <row r="215" ht="60" customHeight="1"/>
    <row r="216" ht="60" customHeight="1"/>
    <row r="217" ht="60" customHeight="1"/>
    <row r="218" ht="60" customHeight="1"/>
    <row r="219" ht="60" customHeight="1"/>
    <row r="220" ht="60" customHeight="1"/>
    <row r="221" ht="60" customHeight="1"/>
    <row r="222" ht="60" customHeight="1"/>
    <row r="223" ht="60" customHeight="1"/>
    <row r="224" ht="60" customHeight="1"/>
    <row r="225" ht="60" customHeight="1"/>
    <row r="226" ht="60" customHeight="1"/>
    <row r="227" ht="60" customHeight="1"/>
    <row r="228" ht="60" customHeight="1"/>
    <row r="229" ht="60" customHeight="1"/>
    <row r="230" ht="60" customHeight="1"/>
    <row r="231" ht="60" customHeight="1"/>
    <row r="232" ht="60" customHeight="1"/>
  </sheetData>
  <sheetProtection formatCells="0" formatRows="0" insertColumns="0" insertRows="0"/>
  <mergeCells count="38">
    <mergeCell ref="A9:A10"/>
    <mergeCell ref="D9:D10"/>
    <mergeCell ref="C9:C10"/>
    <mergeCell ref="H9:H10"/>
    <mergeCell ref="G9:G10"/>
    <mergeCell ref="F9:F10"/>
    <mergeCell ref="C3:E3"/>
    <mergeCell ref="C2:E2"/>
    <mergeCell ref="A2:B2"/>
    <mergeCell ref="A3:B3"/>
    <mergeCell ref="P9:P10"/>
    <mergeCell ref="O9:O10"/>
    <mergeCell ref="N9:N10"/>
    <mergeCell ref="C5:E5"/>
    <mergeCell ref="F5:G8"/>
    <mergeCell ref="M9:M10"/>
    <mergeCell ref="L9:L10"/>
    <mergeCell ref="K9:K10"/>
    <mergeCell ref="J9:J10"/>
    <mergeCell ref="I9:I10"/>
    <mergeCell ref="E9:E10"/>
    <mergeCell ref="B9:B10"/>
    <mergeCell ref="H2:L2"/>
    <mergeCell ref="A1:P1"/>
    <mergeCell ref="F3:G3"/>
    <mergeCell ref="F4:G4"/>
    <mergeCell ref="A4:B4"/>
    <mergeCell ref="C4:E4"/>
    <mergeCell ref="M3:P8"/>
    <mergeCell ref="M2:P2"/>
    <mergeCell ref="H8:L8"/>
    <mergeCell ref="H6:L7"/>
    <mergeCell ref="H5:L5"/>
    <mergeCell ref="H4:L4"/>
    <mergeCell ref="H3:L3"/>
    <mergeCell ref="A5:B5"/>
    <mergeCell ref="A6:E8"/>
    <mergeCell ref="F2:G2"/>
  </mergeCells>
  <conditionalFormatting sqref="C11:I20">
    <cfRule type="containsText" priority="1" dxfId="0" operator="containsText" text="Chain Winder Fixed Guide">
      <formula>NOT(ISERROR(SEARCH("Chain Winder Fixed Guide",C11)))</formula>
    </cfRule>
  </conditionalFormatting>
  <printOptions horizontalCentered="1"/>
  <pageMargins left="0.996062992126028" right="0.996062992126028" top="0.31496062992126" bottom="0.31496062992126" header="0.31496062992126" footer="0.31496062992126"/>
  <pageSetup fitToHeight="0" orientation="landscape" paperSize="9" scale="10" r:id="rId1"/>
  <headerFooter alignWithMargins="0">
    <oddFooter>&amp;L&amp;P of  &amp;N&amp;C&amp;Z&amp;F&amp;R&amp;D &amp;T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pageSetUpPr fitToPage="1"/>
  </sheetPr>
  <dimension ref="A1:P20"/>
  <sheetViews>
    <sheetView showZeros="0" view="pageBreakPreview" zoomScale="40" zoomScaleNormal="50" zoomScaleSheetLayoutView="40" zoomScalePageLayoutView="25" workbookViewId="0" topLeftCell="A1">
      <selection pane="topLeft" activeCell="A11" sqref="A11:XFD20"/>
    </sheetView>
  </sheetViews>
  <sheetFormatPr defaultColWidth="9.44140625" defaultRowHeight="39.9" customHeight="1"/>
  <cols>
    <col min="1" max="1" width="14.7142857142857" style="42" customWidth="1"/>
    <col min="2" max="2" width="44.2857142857143" style="42" customWidth="1"/>
    <col min="3" max="3" width="31.5714285714286" style="42" customWidth="1"/>
    <col min="4" max="4" width="32.5714285714286" style="42" customWidth="1"/>
    <col min="5" max="5" width="27.5714285714286" style="42" customWidth="1"/>
    <col min="6" max="6" width="27.4285714285714" style="42" customWidth="1"/>
    <col min="7" max="7" width="28.5714285714286" style="42" customWidth="1"/>
    <col min="8" max="8" width="39.8571428571429" customWidth="1"/>
    <col min="9" max="9" width="37.2857142857143" customWidth="1"/>
    <col min="10" max="10" width="36.2857142857143" customWidth="1"/>
    <col min="11" max="11" width="23.7142857142857" customWidth="1"/>
    <col min="12" max="12" width="17.4285714285714" customWidth="1"/>
    <col min="13" max="13" width="16.2857142857143" customWidth="1"/>
    <col min="14" max="14" width="75.2857142857143" customWidth="1"/>
    <col min="15" max="15" width="20.4285714285714" customWidth="1"/>
    <col min="16" max="16" width="21.7142857142857" customWidth="1"/>
  </cols>
  <sheetData>
    <row r="1" spans="1:15" s="16" customFormat="1" ht="194.4" customHeight="1">
      <c r="A1" s="270" t="s">
        <v>255</v>
      </c>
      <c r="B1" s="270"/>
      <c r="C1" s="270"/>
      <c r="D1" s="270"/>
      <c r="E1" s="270"/>
      <c r="F1" s="270"/>
      <c r="G1" s="270"/>
      <c r="H1" s="270"/>
      <c r="I1" s="270"/>
      <c r="J1" s="270"/>
      <c r="K1" s="270"/>
      <c r="L1" s="270"/>
      <c r="M1" s="270"/>
      <c r="N1" s="270"/>
      <c r="O1" s="270"/>
    </row>
    <row r="2" spans="1:15" s="18" customFormat="1" ht="50.1" customHeight="1">
      <c r="A2" s="195" t="s">
        <v>146</v>
      </c>
      <c r="B2" s="195"/>
      <c r="C2" s="192"/>
      <c r="D2" s="192"/>
      <c r="E2" s="192" t="s">
        <v>147</v>
      </c>
      <c r="F2" s="192"/>
      <c r="G2" s="194" t="str">
        <f>Data!BF5</f>
        <v>Evans, Belinda </v>
      </c>
      <c r="H2" s="194"/>
      <c r="I2" s="194"/>
      <c r="J2" s="194"/>
      <c r="K2" s="210" t="s">
        <v>148</v>
      </c>
      <c r="L2" s="210"/>
      <c r="M2" s="210"/>
      <c r="N2" s="210"/>
      <c r="O2" s="210"/>
    </row>
    <row r="3" spans="1:15" s="18" customFormat="1" ht="50.1" customHeight="1">
      <c r="A3" s="196" t="s">
        <v>149</v>
      </c>
      <c r="B3" s="196"/>
      <c r="C3" s="191" t="str">
        <f>Data!BC5</f>
        <v>40426</v>
      </c>
      <c r="D3" s="191"/>
      <c r="E3" s="193" t="s">
        <v>150</v>
      </c>
      <c r="F3" s="193"/>
      <c r="G3" s="194" t="str">
        <f>TRIM(Data!AX5)</f>
        <v>Sheers and Rollers</v>
      </c>
      <c r="H3" s="194"/>
      <c r="I3" s="194"/>
      <c r="J3" s="194"/>
      <c r="K3" s="194" t="str">
        <f>TRIM(Data!BG5)</f>
        <v/>
      </c>
      <c r="L3" s="194"/>
      <c r="M3" s="194"/>
      <c r="N3" s="194"/>
      <c r="O3" s="194"/>
    </row>
    <row r="4" spans="1:15" s="7" customFormat="1" ht="50.1" customHeight="1">
      <c r="A4" s="190" t="s">
        <v>151</v>
      </c>
      <c r="B4" s="190"/>
      <c r="C4" s="191" t="str">
        <f>Data!BD5</f>
        <v>A</v>
      </c>
      <c r="D4" s="191"/>
      <c r="E4" s="193" t="s">
        <v>152</v>
      </c>
      <c r="F4" s="193"/>
      <c r="G4" s="194" t="str">
        <f>LEFT(Data!BA5,10)</f>
        <v>4/09/2026 </v>
      </c>
      <c r="H4" s="194"/>
      <c r="I4" s="194"/>
      <c r="J4" s="194"/>
      <c r="K4" s="194"/>
      <c r="L4" s="194"/>
      <c r="M4" s="194"/>
      <c r="N4" s="194"/>
      <c r="O4" s="194"/>
    </row>
    <row r="5" spans="1:15" s="7" customFormat="1" ht="50.1" customHeight="1">
      <c r="A5" s="200" t="s">
        <v>153</v>
      </c>
      <c r="B5" s="200"/>
      <c r="C5" s="201" t="str">
        <f>Data!AY5</f>
        <v>12/06/2026 12:00:00 AM</v>
      </c>
      <c r="D5" s="201"/>
      <c r="E5" s="191" t="s">
        <v>154</v>
      </c>
      <c r="F5" s="191"/>
      <c r="G5" s="194" t="str">
        <f>'Job Sheet'!K5</f>
        <v>Belinda  Evans</v>
      </c>
      <c r="H5" s="194"/>
      <c r="I5" s="194"/>
      <c r="J5" s="194"/>
      <c r="K5" s="194"/>
      <c r="L5" s="194"/>
      <c r="M5" s="194"/>
      <c r="N5" s="194"/>
      <c r="O5" s="194"/>
    </row>
    <row r="6" spans="1:15" s="7" customFormat="1" ht="50.1" customHeight="1">
      <c r="A6" s="199" t="str">
        <f>'Job Sheet'!A6</f>
        <v>Retail Customer</v>
      </c>
      <c r="B6" s="199"/>
      <c r="C6" s="199"/>
      <c r="D6" s="199"/>
      <c r="E6" s="191"/>
      <c r="F6" s="191"/>
      <c r="G6" s="194" t="str">
        <f>CONCATENATE(Data!BH5," ",Data!BI5," ",Data!BJ5," ",Data!BK5," ",Data!BL5)</f>
        <v xml:space="preserve"> 15  Dublin Street </v>
      </c>
      <c r="H6" s="194"/>
      <c r="I6" s="194"/>
      <c r="J6" s="194"/>
      <c r="K6" s="194"/>
      <c r="L6" s="194"/>
      <c r="M6" s="194"/>
      <c r="N6" s="194"/>
      <c r="O6" s="194"/>
    </row>
    <row r="7" spans="1:15" s="7" customFormat="1" ht="50.1" customHeight="1">
      <c r="A7" s="199"/>
      <c r="B7" s="199"/>
      <c r="C7" s="199"/>
      <c r="D7" s="199"/>
      <c r="E7" s="191"/>
      <c r="F7" s="191"/>
      <c r="G7" s="194" t="str">
        <f>CONCATENATE(Data!BM5," ",Data!BN5," ",Data!BO5," ",Data!BP5)</f>
        <v>Alfredton VIC 3350 Australia</v>
      </c>
      <c r="H7" s="194"/>
      <c r="I7" s="194"/>
      <c r="J7" s="194"/>
      <c r="K7" s="194"/>
      <c r="L7" s="273"/>
      <c r="M7" s="273"/>
      <c r="N7" s="194"/>
      <c r="O7" s="194"/>
    </row>
    <row r="8" spans="1:16" s="7" customFormat="1" ht="83.4" customHeight="1">
      <c r="A8" s="272" t="s">
        <v>159</v>
      </c>
      <c r="B8" s="258" t="s">
        <v>160</v>
      </c>
      <c r="C8" s="264" t="s">
        <v>194</v>
      </c>
      <c r="D8" s="210" t="s">
        <v>179</v>
      </c>
      <c r="E8" s="195" t="s">
        <v>211</v>
      </c>
      <c r="F8" s="213" t="s">
        <v>256</v>
      </c>
      <c r="G8" s="210" t="s">
        <v>257</v>
      </c>
      <c r="H8" s="210" t="s">
        <v>258</v>
      </c>
      <c r="I8" s="210" t="s">
        <v>172</v>
      </c>
      <c r="J8" s="210" t="s">
        <v>259</v>
      </c>
      <c r="K8" s="172" t="s">
        <v>260</v>
      </c>
      <c r="L8" s="274" t="str">
        <f>IF(SUM(L11:L10000)=0,"",CONCATENATE(SUM(L11:L10000)," x Screws ",SUM(M11:M10000)," x Chain Stops"))</f>
        <v/>
      </c>
      <c r="M8" s="275"/>
      <c r="N8" s="174" t="s">
        <v>199</v>
      </c>
      <c r="O8" s="210" t="s">
        <v>231</v>
      </c>
      <c r="P8" s="271" t="s">
        <v>261</v>
      </c>
    </row>
    <row r="9" spans="1:16" s="7" customFormat="1" ht="13.95" customHeight="1">
      <c r="A9" s="272"/>
      <c r="B9" s="258"/>
      <c r="C9" s="264"/>
      <c r="D9" s="210"/>
      <c r="E9" s="195"/>
      <c r="F9" s="213"/>
      <c r="G9" s="210"/>
      <c r="H9" s="210"/>
      <c r="I9" s="210"/>
      <c r="J9" s="210"/>
      <c r="K9" s="172"/>
      <c r="L9" s="276"/>
      <c r="M9" s="277"/>
      <c r="N9" s="174"/>
      <c r="O9" s="210"/>
      <c r="P9" s="271"/>
    </row>
    <row r="10" spans="1:16" s="8" customFormat="1" ht="67.2" customHeight="1">
      <c r="A10" s="138">
        <f>SUM(P11:P10000)</f>
        <v>4</v>
      </c>
      <c r="B10" s="258"/>
      <c r="C10" s="264"/>
      <c r="D10" s="210"/>
      <c r="E10" s="195"/>
      <c r="F10" s="213"/>
      <c r="G10" s="210"/>
      <c r="H10" s="210"/>
      <c r="I10" s="210"/>
      <c r="J10" s="210"/>
      <c r="K10" s="172"/>
      <c r="L10" s="276" t="str">
        <f>IF(OR(A$6="Wholesale B2B",SUM(L11:L10000)=0),"","1 Envelope w/ Instructions")</f>
        <v/>
      </c>
      <c r="M10" s="277"/>
      <c r="N10" s="174"/>
      <c r="O10" s="210"/>
      <c r="P10" s="271"/>
    </row>
    <row r="11" spans="1:16" s="24" customFormat="1" ht="60" customHeight="1">
      <c r="A11" s="65">
        <f>Data!AW11</f>
        <v>9</v>
      </c>
      <c r="B11" s="40" t="str">
        <f>Data!AY11</f>
        <v>Living Door 1</v>
      </c>
      <c r="C11" s="97" t="str">
        <f>IF(Data!AV11="","",IF(OR($A$6="Wholesale B2B",$A$6="Wholesale"),"W/Sale Deliver",'Job Sheet'!AJ11))</f>
        <v>Installation</v>
      </c>
      <c r="D11" s="39" t="str">
        <f>IF('Job Sheet'!D11="Yes - Back Blind","",'Job Sheet'!AS11)</f>
        <v>Single</v>
      </c>
      <c r="E11" s="39" t="str">
        <f>IF(D11="","",'Assembly(b)'!G11)</f>
        <v>White</v>
      </c>
      <c r="F11" s="39" t="str">
        <f>IF(AND(OR(C11="Deliver",C11="Supply Only"),'Job Sheet'!L11="Chain Winder"),"Yes - Attach",IF('Job Sheet'!L11="Chain Winder","Yes",""))</f>
        <v>Yes</v>
      </c>
      <c r="G11" s="39" t="str">
        <f>'Job Sheet'!BG11</f>
        <v/>
      </c>
      <c r="H11" s="51" t="str">
        <f>IF('Job Sheet'!R11="Not Required","",'Job Sheet'!R11)</f>
        <v/>
      </c>
      <c r="I11" s="51" t="str">
        <f>IF('Job Sheet'!N11="None","",'Job Sheet'!N11)</f>
        <v/>
      </c>
      <c r="J11" s="39" t="str">
        <f>IF('Job Sheet'!AT11="No","",'Job Sheet'!AT11)</f>
        <v/>
      </c>
      <c r="K11" s="39" t="str">
        <f>IF(Pelmets!A11="","","Check Pelmet Form")</f>
        <v/>
      </c>
      <c r="L11" s="161" t="str">
        <f>IF(Data!AV11="","",IF(AND(Pelmets!F11&lt;&gt;"",OR(F11="Yes",F11="Yes - Attach"),OR(C11="Supply Only",$A$6="Just Roller Blinds")),Pelmets!F11*2+1,IF(AND(Pelmets!F11&lt;&gt;"",OR(C11="Supply Only",$A$6="Just Roller Blinds")),Pelmets!F11*2,IF(AND(OR(F11="Yes",F11="Yes - Attach"),OR(C11="Supply Only",$A$6="Just Roller Blinds")),5,IF(OR(C11="Supply Only",$A$6="Just Roller Blinds"),4,IF(AND(OR(F11="Yes",F11="Yes - Attach"),$G$2="Creative Blinds"),1,""))))))</f>
        <v/>
      </c>
      <c r="M11" s="161" t="str">
        <f>IF(AND(OR(F11="Yes",F11="Yes - Attach"),OR($A$6="Just Roller Blinds",C11="Supply Only",$G$2="Creative Blinds")),2,"")</f>
        <v/>
      </c>
      <c r="N11" s="39" t="str">
        <f>'Job Sheet'!AO11</f>
        <v/>
      </c>
      <c r="O11" s="126">
        <f t="shared" si="0" ref="O11:O20">A11</f>
        <v>9</v>
      </c>
      <c r="P11" s="122">
        <f>IF(Data!AV11="","",1)</f>
        <v>1</v>
      </c>
    </row>
    <row r="12" spans="1:16" s="24" customFormat="1" ht="66">
      <c r="A12" s="65">
        <f>Data!AW12</f>
        <v>10</v>
      </c>
      <c r="B12" s="40" t="str">
        <f>Data!AY12</f>
        <v>Living Door 2</v>
      </c>
      <c r="C12" s="97" t="str">
        <f>IF(Data!AV12="","",IF(OR($A$6="Wholesale B2B",$A$6="Wholesale"),"W/Sale Deliver",'Job Sheet'!AJ12))</f>
        <v>Installation</v>
      </c>
      <c r="D12" s="39" t="str">
        <f>IF('Job Sheet'!D12="Yes - Back Blind","",'Job Sheet'!AS12)</f>
        <v>Single &amp; Single Linked</v>
      </c>
      <c r="E12" s="39" t="str">
        <f>IF(D12="","",'Assembly(b)'!G12)</f>
        <v>White</v>
      </c>
      <c r="F12" s="39" t="str">
        <f>IF(AND(OR(C12="Deliver",C12="Supply Only"),'Job Sheet'!L12="Chain Winder"),"Yes - Attach",IF('Job Sheet'!L12="Chain Winder","Yes",""))</f>
        <v>Yes</v>
      </c>
      <c r="G12" s="39" t="str">
        <f>'Job Sheet'!BG12</f>
        <v/>
      </c>
      <c r="H12" s="51" t="str">
        <f>IF('Job Sheet'!R12="Not Required","",'Job Sheet'!R12)</f>
        <v/>
      </c>
      <c r="I12" s="51" t="str">
        <f>IF('Job Sheet'!N12="None","",'Job Sheet'!N12)</f>
        <v/>
      </c>
      <c r="J12" s="39" t="str">
        <f>IF('Job Sheet'!AT12="No","",'Job Sheet'!AT12)</f>
        <v/>
      </c>
      <c r="K12" s="39" t="str">
        <f>IF(Pelmets!A12="","","Check Pelmet Form")</f>
        <v/>
      </c>
      <c r="L12" s="161" t="str">
        <f>IF(Data!AV12="","",IF(AND(Pelmets!F12&lt;&gt;"",OR(F12="Yes",F12="Yes - Attach"),OR(C12="Supply Only",$A$6="Just Roller Blinds")),Pelmets!F12*2+1,IF(AND(Pelmets!F12&lt;&gt;"",OR(C12="Supply Only",$A$6="Just Roller Blinds")),Pelmets!F12*2,IF(AND(OR(F12="Yes",F12="Yes - Attach"),OR(C12="Supply Only",$A$6="Just Roller Blinds")),5,IF(OR(C12="Supply Only",$A$6="Just Roller Blinds"),4,IF(AND(OR(F12="Yes",F12="Yes - Attach"),$G$2="Creative Blinds"),1,""))))))</f>
        <v/>
      </c>
      <c r="M12" s="161" t="str">
        <f t="shared" si="1" ref="M12:M20">IF(AND(OR(F12="Yes",F12="Yes - Attach"),OR($A$6="Just Roller Blinds",C12="Supply Only",$G$2="Creative Blinds")),2,"")</f>
        <v/>
      </c>
      <c r="N12" s="39" t="str">
        <f>'Job Sheet'!AO12</f>
        <v/>
      </c>
      <c r="O12" s="126">
        <f t="shared" si="0"/>
        <v>10</v>
      </c>
      <c r="P12" s="122">
        <f>IF(Data!AV12="","",1)</f>
        <v>1</v>
      </c>
    </row>
    <row r="13" spans="1:16" s="24" customFormat="1" ht="60" customHeight="1">
      <c r="A13" s="65">
        <f>Data!AW13</f>
        <v>11</v>
      </c>
      <c r="B13" s="40" t="str">
        <f>Data!AY13</f>
        <v>Living Door 3</v>
      </c>
      <c r="C13" s="97" t="str">
        <f>IF(Data!AV13="","",IF(OR($A$6="Wholesale B2B",$A$6="Wholesale"),"W/Sale Deliver",'Job Sheet'!AJ13))</f>
        <v>Installation</v>
      </c>
      <c r="D13" s="39" t="str">
        <f>IF('Job Sheet'!D13="Yes - Back Blind","",'Job Sheet'!AS13)</f>
        <v>Single</v>
      </c>
      <c r="E13" s="39" t="str">
        <f>IF(D13="","",'Assembly(b)'!G13)</f>
        <v>White</v>
      </c>
      <c r="F13" s="39" t="str">
        <f>IF(AND(OR(C13="Deliver",C13="Supply Only"),'Job Sheet'!L13="Chain Winder"),"Yes - Attach",IF('Job Sheet'!L13="Chain Winder","Yes",""))</f>
        <v>Yes</v>
      </c>
      <c r="G13" s="39" t="str">
        <f>'Job Sheet'!BG13</f>
        <v/>
      </c>
      <c r="H13" s="51" t="str">
        <f>IF('Job Sheet'!R13="Not Required","",'Job Sheet'!R13)</f>
        <v/>
      </c>
      <c r="I13" s="51" t="str">
        <f>IF('Job Sheet'!N13="None","",'Job Sheet'!N13)</f>
        <v/>
      </c>
      <c r="J13" s="39" t="str">
        <f>IF('Job Sheet'!AT13="No","",'Job Sheet'!AT13)</f>
        <v/>
      </c>
      <c r="K13" s="39" t="str">
        <f>IF(Pelmets!A13="","","Check Pelmet Form")</f>
        <v/>
      </c>
      <c r="L13" s="161" t="str">
        <f>IF(Data!AV13="","",IF(AND(Pelmets!F13&lt;&gt;"",OR(F13="Yes",F13="Yes - Attach"),OR(C13="Supply Only",$A$6="Just Roller Blinds")),Pelmets!F13*2+1,IF(AND(Pelmets!F13&lt;&gt;"",OR(C13="Supply Only",$A$6="Just Roller Blinds")),Pelmets!F13*2,IF(AND(OR(F13="Yes",F13="Yes - Attach"),OR(C13="Supply Only",$A$6="Just Roller Blinds")),5,IF(OR(C13="Supply Only",$A$6="Just Roller Blinds"),4,IF(AND(OR(F13="Yes",F13="Yes - Attach"),$G$2="Creative Blinds"),1,""))))))</f>
        <v/>
      </c>
      <c r="M13" s="161" t="str">
        <f t="shared" si="1"/>
        <v/>
      </c>
      <c r="N13" s="39" t="str">
        <f>'Job Sheet'!AO13</f>
        <v/>
      </c>
      <c r="O13" s="126">
        <f t="shared" si="0"/>
        <v>11</v>
      </c>
      <c r="P13" s="122">
        <f>IF(Data!AV13="","",1)</f>
        <v>1</v>
      </c>
    </row>
    <row r="14" spans="1:16" s="24" customFormat="1" ht="60" customHeight="1">
      <c r="A14" s="65">
        <f>Data!AW14</f>
        <v>12</v>
      </c>
      <c r="B14" s="40" t="str">
        <f>Data!AY14</f>
        <v>Study</v>
      </c>
      <c r="C14" s="97" t="str">
        <f>IF(Data!AV14="","",IF(OR($A$6="Wholesale B2B",$A$6="Wholesale"),"W/Sale Deliver",'Job Sheet'!AJ14))</f>
        <v>Installation</v>
      </c>
      <c r="D14" s="39" t="str">
        <f>IF('Job Sheet'!D14="Yes - Back Blind","",'Job Sheet'!AS14)</f>
        <v>Single</v>
      </c>
      <c r="E14" s="39" t="str">
        <f>IF(D14="","",'Assembly(b)'!G14)</f>
        <v>White</v>
      </c>
      <c r="F14" s="39" t="str">
        <f>IF(AND(OR(C14="Deliver",C14="Supply Only"),'Job Sheet'!L14="Chain Winder"),"Yes - Attach",IF('Job Sheet'!L14="Chain Winder","Yes",""))</f>
        <v>Yes</v>
      </c>
      <c r="G14" s="39" t="str">
        <f>'Job Sheet'!BG14</f>
        <v/>
      </c>
      <c r="H14" s="51" t="str">
        <f>IF('Job Sheet'!R14="Not Required","",'Job Sheet'!R14)</f>
        <v/>
      </c>
      <c r="I14" s="51" t="str">
        <f>IF('Job Sheet'!N14="None","",'Job Sheet'!N14)</f>
        <v/>
      </c>
      <c r="J14" s="39" t="str">
        <f>IF('Job Sheet'!AT14="No","",'Job Sheet'!AT14)</f>
        <v/>
      </c>
      <c r="K14" s="39" t="str">
        <f>IF(Pelmets!A14="","","Check Pelmet Form")</f>
        <v/>
      </c>
      <c r="L14" s="161" t="str">
        <f>IF(Data!AV14="","",IF(AND(Pelmets!F14&lt;&gt;"",OR(F14="Yes",F14="Yes - Attach"),OR(C14="Supply Only",$A$6="Just Roller Blinds")),Pelmets!F14*2+1,IF(AND(Pelmets!F14&lt;&gt;"",OR(C14="Supply Only",$A$6="Just Roller Blinds")),Pelmets!F14*2,IF(AND(OR(F14="Yes",F14="Yes - Attach"),OR(C14="Supply Only",$A$6="Just Roller Blinds")),5,IF(OR(C14="Supply Only",$A$6="Just Roller Blinds"),4,IF(AND(OR(F14="Yes",F14="Yes - Attach"),$G$2="Creative Blinds"),1,""))))))</f>
        <v/>
      </c>
      <c r="M14" s="161" t="str">
        <f t="shared" si="1"/>
        <v/>
      </c>
      <c r="N14" s="39" t="str">
        <f>'Job Sheet'!AO14</f>
        <v/>
      </c>
      <c r="O14" s="126">
        <f t="shared" si="0"/>
        <v>12</v>
      </c>
      <c r="P14" s="122">
        <f>IF(Data!AV14="","",1)</f>
        <v>1</v>
      </c>
    </row>
    <row r="15" spans="1:16" s="24" customFormat="1" ht="60" customHeight="1">
      <c r="A15" s="65">
        <f>Data!AW15</f>
        <v>0</v>
      </c>
      <c r="B15" s="40">
        <f>Data!AY15</f>
        <v>0</v>
      </c>
      <c r="C15" s="97" t="str">
        <f>IF(Data!AV15="","",IF(OR($A$6="Wholesale B2B",$A$6="Wholesale"),"W/Sale Deliver",'Job Sheet'!AJ15))</f>
        <v/>
      </c>
      <c r="D15" s="39" t="str">
        <f>IF('Job Sheet'!D15="Yes - Back Blind","",'Job Sheet'!AS15)</f>
        <v/>
      </c>
      <c r="E15" s="39" t="str">
        <f>IF(D15="","",'Assembly(b)'!G15)</f>
        <v/>
      </c>
      <c r="F15" s="39" t="str">
        <f>IF(AND(OR(C15="Deliver",C15="Supply Only"),'Job Sheet'!L15="Chain Winder"),"Yes - Attach",IF('Job Sheet'!L15="Chain Winder","Yes",""))</f>
        <v/>
      </c>
      <c r="G15" s="39" t="str">
        <f>'Job Sheet'!BG15</f>
        <v/>
      </c>
      <c r="H15" s="51" t="str">
        <f>IF('Job Sheet'!R15="Not Required","",'Job Sheet'!R15)</f>
        <v/>
      </c>
      <c r="I15" s="51" t="str">
        <f>IF('Job Sheet'!N15="None","",'Job Sheet'!N15)</f>
        <v/>
      </c>
      <c r="J15" s="39" t="str">
        <f>IF('Job Sheet'!AT15="No","",'Job Sheet'!AT15)</f>
        <v/>
      </c>
      <c r="K15" s="39" t="str">
        <f>IF(Pelmets!A15="","","Check Pelmet Form")</f>
        <v/>
      </c>
      <c r="L15" s="161" t="str">
        <f>IF(Data!AV15="","",IF(AND(Pelmets!F15&lt;&gt;"",OR(F15="Yes",F15="Yes - Attach"),OR(C15="Supply Only",$A$6="Just Roller Blinds")),Pelmets!F15*2+1,IF(AND(Pelmets!F15&lt;&gt;"",OR(C15="Supply Only",$A$6="Just Roller Blinds")),Pelmets!F15*2,IF(AND(OR(F15="Yes",F15="Yes - Attach"),OR(C15="Supply Only",$A$6="Just Roller Blinds")),5,IF(OR(C15="Supply Only",$A$6="Just Roller Blinds"),4,IF(AND(OR(F15="Yes",F15="Yes - Attach"),$G$2="Creative Blinds"),1,""))))))</f>
        <v/>
      </c>
      <c r="M15" s="161" t="str">
        <f t="shared" si="1"/>
        <v/>
      </c>
      <c r="N15" s="39" t="str">
        <f>'Job Sheet'!AO15</f>
        <v/>
      </c>
      <c r="O15" s="126">
        <f t="shared" si="0"/>
        <v>0</v>
      </c>
      <c r="P15" s="122" t="str">
        <f>IF(Data!AV15="","",1)</f>
        <v/>
      </c>
    </row>
    <row r="16" spans="1:16" s="24" customFormat="1" ht="60" customHeight="1">
      <c r="A16" s="65">
        <f>Data!AW16</f>
        <v>0</v>
      </c>
      <c r="B16" s="40">
        <f>Data!AY16</f>
        <v>0</v>
      </c>
      <c r="C16" s="97" t="str">
        <f>IF(Data!AV16="","",IF(OR($A$6="Wholesale B2B",$A$6="Wholesale"),"W/Sale Deliver",'Job Sheet'!AJ16))</f>
        <v/>
      </c>
      <c r="D16" s="39" t="str">
        <f>IF('Job Sheet'!D16="Yes - Back Blind","",'Job Sheet'!AS16)</f>
        <v/>
      </c>
      <c r="E16" s="39" t="str">
        <f>IF(D16="","",'Assembly(b)'!G16)</f>
        <v/>
      </c>
      <c r="F16" s="39" t="str">
        <f>IF(AND(OR(C16="Deliver",C16="Supply Only"),'Job Sheet'!L16="Chain Winder"),"Yes - Attach",IF('Job Sheet'!L16="Chain Winder","Yes",""))</f>
        <v/>
      </c>
      <c r="G16" s="39" t="str">
        <f>'Job Sheet'!BG16</f>
        <v/>
      </c>
      <c r="H16" s="51" t="str">
        <f>IF('Job Sheet'!R16="Not Required","",'Job Sheet'!R16)</f>
        <v/>
      </c>
      <c r="I16" s="51" t="str">
        <f>IF('Job Sheet'!N16="None","",'Job Sheet'!N16)</f>
        <v/>
      </c>
      <c r="J16" s="39" t="str">
        <f>IF('Job Sheet'!AT16="No","",'Job Sheet'!AT16)</f>
        <v/>
      </c>
      <c r="K16" s="39" t="str">
        <f>IF(Pelmets!A16="","","Check Pelmet Form")</f>
        <v/>
      </c>
      <c r="L16" s="161" t="str">
        <f>IF(Data!AV16="","",IF(AND(Pelmets!F16&lt;&gt;"",OR(F16="Yes",F16="Yes - Attach"),OR(C16="Supply Only",$A$6="Just Roller Blinds")),Pelmets!F16*2+1,IF(AND(Pelmets!F16&lt;&gt;"",OR(C16="Supply Only",$A$6="Just Roller Blinds")),Pelmets!F16*2,IF(AND(OR(F16="Yes",F16="Yes - Attach"),OR(C16="Supply Only",$A$6="Just Roller Blinds")),5,IF(OR(C16="Supply Only",$A$6="Just Roller Blinds"),4,IF(AND(OR(F16="Yes",F16="Yes - Attach"),$G$2="Creative Blinds"),1,""))))))</f>
        <v/>
      </c>
      <c r="M16" s="161" t="str">
        <f t="shared" si="1"/>
        <v/>
      </c>
      <c r="N16" s="39" t="str">
        <f>'Job Sheet'!AO16</f>
        <v/>
      </c>
      <c r="O16" s="126">
        <f t="shared" si="0"/>
        <v>0</v>
      </c>
      <c r="P16" s="122" t="str">
        <f>IF(Data!AV16="","",1)</f>
        <v/>
      </c>
    </row>
    <row r="17" spans="1:16" s="24" customFormat="1" ht="60" customHeight="1">
      <c r="A17" s="65">
        <f>Data!AW17</f>
        <v>0</v>
      </c>
      <c r="B17" s="40">
        <f>Data!AY17</f>
        <v>0</v>
      </c>
      <c r="C17" s="97" t="str">
        <f>IF(Data!AV17="","",IF(OR($A$6="Wholesale B2B",$A$6="Wholesale"),"W/Sale Deliver",'Job Sheet'!AJ17))</f>
        <v/>
      </c>
      <c r="D17" s="39" t="str">
        <f>IF('Job Sheet'!D17="Yes - Back Blind","",'Job Sheet'!AS17)</f>
        <v/>
      </c>
      <c r="E17" s="39" t="str">
        <f>IF(D17="","",'Assembly(b)'!G17)</f>
        <v/>
      </c>
      <c r="F17" s="39" t="str">
        <f>IF(AND(OR(C17="Deliver",C17="Supply Only"),'Job Sheet'!L17="Chain Winder"),"Yes - Attach",IF('Job Sheet'!L17="Chain Winder","Yes",""))</f>
        <v/>
      </c>
      <c r="G17" s="39" t="str">
        <f>'Job Sheet'!BG17</f>
        <v/>
      </c>
      <c r="H17" s="51" t="str">
        <f>IF('Job Sheet'!R17="Not Required","",'Job Sheet'!R17)</f>
        <v/>
      </c>
      <c r="I17" s="51" t="str">
        <f>IF('Job Sheet'!N17="None","",'Job Sheet'!N17)</f>
        <v/>
      </c>
      <c r="J17" s="39" t="str">
        <f>IF('Job Sheet'!AT17="No","",'Job Sheet'!AT17)</f>
        <v/>
      </c>
      <c r="K17" s="39" t="str">
        <f>IF(Pelmets!A17="","","Check Pelmet Form")</f>
        <v/>
      </c>
      <c r="L17" s="161" t="str">
        <f>IF(Data!AV17="","",IF(AND(Pelmets!F17&lt;&gt;"",OR(F17="Yes",F17="Yes - Attach"),OR(C17="Supply Only",$A$6="Just Roller Blinds")),Pelmets!F17*2+1,IF(AND(Pelmets!F17&lt;&gt;"",OR(C17="Supply Only",$A$6="Just Roller Blinds")),Pelmets!F17*2,IF(AND(OR(F17="Yes",F17="Yes - Attach"),OR(C17="Supply Only",$A$6="Just Roller Blinds")),5,IF(OR(C17="Supply Only",$A$6="Just Roller Blinds"),4,IF(AND(OR(F17="Yes",F17="Yes - Attach"),$G$2="Creative Blinds"),1,""))))))</f>
        <v/>
      </c>
      <c r="M17" s="161" t="str">
        <f t="shared" si="1"/>
        <v/>
      </c>
      <c r="N17" s="39" t="str">
        <f>'Job Sheet'!AO17</f>
        <v/>
      </c>
      <c r="O17" s="126">
        <f t="shared" si="0"/>
        <v>0</v>
      </c>
      <c r="P17" s="122" t="str">
        <f>IF(Data!AV17="","",1)</f>
        <v/>
      </c>
    </row>
    <row r="18" spans="1:16" s="24" customFormat="1" ht="60" customHeight="1">
      <c r="A18" s="65">
        <f>Data!AW18</f>
        <v>0</v>
      </c>
      <c r="B18" s="40">
        <f>Data!AY18</f>
        <v>0</v>
      </c>
      <c r="C18" s="97" t="str">
        <f>IF(Data!AV18="","",IF(OR($A$6="Wholesale B2B",$A$6="Wholesale"),"W/Sale Deliver",'Job Sheet'!AJ18))</f>
        <v/>
      </c>
      <c r="D18" s="39" t="str">
        <f>IF('Job Sheet'!D18="Yes - Back Blind","",'Job Sheet'!AS18)</f>
        <v/>
      </c>
      <c r="E18" s="39" t="str">
        <f>IF(D18="","",'Assembly(b)'!G18)</f>
        <v/>
      </c>
      <c r="F18" s="39" t="str">
        <f>IF(AND(OR(C18="Deliver",C18="Supply Only"),'Job Sheet'!L18="Chain Winder"),"Yes - Attach",IF('Job Sheet'!L18="Chain Winder","Yes",""))</f>
        <v/>
      </c>
      <c r="G18" s="39" t="str">
        <f>'Job Sheet'!BG18</f>
        <v/>
      </c>
      <c r="H18" s="51" t="str">
        <f>IF('Job Sheet'!R18="Not Required","",'Job Sheet'!R18)</f>
        <v/>
      </c>
      <c r="I18" s="51" t="str">
        <f>IF('Job Sheet'!N18="None","",'Job Sheet'!N18)</f>
        <v/>
      </c>
      <c r="J18" s="39" t="str">
        <f>IF('Job Sheet'!AT18="No","",'Job Sheet'!AT18)</f>
        <v/>
      </c>
      <c r="K18" s="39" t="str">
        <f>IF(Pelmets!A18="","","Check Pelmet Form")</f>
        <v/>
      </c>
      <c r="L18" s="161" t="str">
        <f>IF(Data!AV18="","",IF(AND(Pelmets!F18&lt;&gt;"",OR(F18="Yes",F18="Yes - Attach"),OR(C18="Supply Only",$A$6="Just Roller Blinds")),Pelmets!F18*2+1,IF(AND(Pelmets!F18&lt;&gt;"",OR(C18="Supply Only",$A$6="Just Roller Blinds")),Pelmets!F18*2,IF(AND(OR(F18="Yes",F18="Yes - Attach"),OR(C18="Supply Only",$A$6="Just Roller Blinds")),5,IF(OR(C18="Supply Only",$A$6="Just Roller Blinds"),4,IF(AND(OR(F18="Yes",F18="Yes - Attach"),$G$2="Creative Blinds"),1,""))))))</f>
        <v/>
      </c>
      <c r="M18" s="161" t="str">
        <f t="shared" si="1"/>
        <v/>
      </c>
      <c r="N18" s="39" t="str">
        <f>'Job Sheet'!AO18</f>
        <v/>
      </c>
      <c r="O18" s="126">
        <f t="shared" si="0"/>
        <v>0</v>
      </c>
      <c r="P18" s="122" t="str">
        <f>IF(Data!AV18="","",1)</f>
        <v/>
      </c>
    </row>
    <row r="19" spans="1:16" s="24" customFormat="1" ht="60" customHeight="1">
      <c r="A19" s="65">
        <f>Data!AW19</f>
        <v>0</v>
      </c>
      <c r="B19" s="40">
        <f>Data!AY19</f>
        <v>0</v>
      </c>
      <c r="C19" s="97" t="str">
        <f>IF(Data!AV19="","",IF(OR($A$6="Wholesale B2B",$A$6="Wholesale"),"W/Sale Deliver",'Job Sheet'!AJ19))</f>
        <v/>
      </c>
      <c r="D19" s="39" t="str">
        <f>IF('Job Sheet'!D19="Yes - Back Blind","",'Job Sheet'!AS19)</f>
        <v/>
      </c>
      <c r="E19" s="39" t="str">
        <f>IF(D19="","",'Assembly(b)'!G19)</f>
        <v/>
      </c>
      <c r="F19" s="39" t="str">
        <f>IF(AND(OR(C19="Deliver",C19="Supply Only"),'Job Sheet'!L19="Chain Winder"),"Yes - Attach",IF('Job Sheet'!L19="Chain Winder","Yes",""))</f>
        <v/>
      </c>
      <c r="G19" s="39" t="str">
        <f>'Job Sheet'!BG19</f>
        <v/>
      </c>
      <c r="H19" s="51" t="str">
        <f>IF('Job Sheet'!R19="Not Required","",'Job Sheet'!R19)</f>
        <v/>
      </c>
      <c r="I19" s="51" t="str">
        <f>IF('Job Sheet'!N19="None","",'Job Sheet'!N19)</f>
        <v/>
      </c>
      <c r="J19" s="39" t="str">
        <f>IF('Job Sheet'!AT19="No","",'Job Sheet'!AT19)</f>
        <v/>
      </c>
      <c r="K19" s="39" t="str">
        <f>IF(Pelmets!A19="","","Check Pelmet Form")</f>
        <v/>
      </c>
      <c r="L19" s="161" t="str">
        <f>IF(Data!AV19="","",IF(AND(Pelmets!F19&lt;&gt;"",OR(F19="Yes",F19="Yes - Attach"),OR(C19="Supply Only",$A$6="Just Roller Blinds")),Pelmets!F19*2+1,IF(AND(Pelmets!F19&lt;&gt;"",OR(C19="Supply Only",$A$6="Just Roller Blinds")),Pelmets!F19*2,IF(AND(OR(F19="Yes",F19="Yes - Attach"),OR(C19="Supply Only",$A$6="Just Roller Blinds")),5,IF(OR(C19="Supply Only",$A$6="Just Roller Blinds"),4,IF(AND(OR(F19="Yes",F19="Yes - Attach"),$G$2="Creative Blinds"),1,""))))))</f>
        <v/>
      </c>
      <c r="M19" s="161" t="str">
        <f t="shared" si="1"/>
        <v/>
      </c>
      <c r="N19" s="39" t="str">
        <f>'Job Sheet'!AO19</f>
        <v/>
      </c>
      <c r="O19" s="126">
        <f t="shared" si="0"/>
        <v>0</v>
      </c>
      <c r="P19" s="122" t="str">
        <f>IF(Data!AV19="","",1)</f>
        <v/>
      </c>
    </row>
    <row r="20" spans="1:16" ht="60" customHeight="1">
      <c r="A20" s="65">
        <f>Data!AW20</f>
        <v>0</v>
      </c>
      <c r="B20" s="40">
        <f>Data!AY20</f>
        <v>0</v>
      </c>
      <c r="C20" s="97" t="str">
        <f>IF(Data!AV20="","",IF(OR($A$6="Wholesale B2B",$A$6="Wholesale"),"W/Sale Deliver",'Job Sheet'!AJ20))</f>
        <v/>
      </c>
      <c r="D20" s="39" t="str">
        <f>IF('Job Sheet'!D20="Yes - Back Blind","",'Job Sheet'!AS20)</f>
        <v/>
      </c>
      <c r="E20" s="39" t="str">
        <f>IF(D20="","",'Assembly(b)'!G20)</f>
        <v/>
      </c>
      <c r="F20" s="39" t="str">
        <f>IF(AND(OR(C20="Deliver",C20="Supply Only"),'Job Sheet'!L20="Chain Winder"),"Yes - Attach",IF('Job Sheet'!L20="Chain Winder","Yes",""))</f>
        <v/>
      </c>
      <c r="G20" s="39" t="str">
        <f>'Job Sheet'!BG20</f>
        <v/>
      </c>
      <c r="H20" s="51" t="str">
        <f>IF('Job Sheet'!R20="Not Required","",'Job Sheet'!R20)</f>
        <v/>
      </c>
      <c r="I20" s="51" t="str">
        <f>IF('Job Sheet'!N20="None","",'Job Sheet'!N20)</f>
        <v/>
      </c>
      <c r="J20" s="39" t="str">
        <f>IF('Job Sheet'!AT20="No","",'Job Sheet'!AT20)</f>
        <v/>
      </c>
      <c r="K20" s="39" t="str">
        <f>IF(Pelmets!A20="","","Check Pelmet Form")</f>
        <v/>
      </c>
      <c r="L20" s="161" t="str">
        <f>IF(Data!AV20="","",IF(AND(Pelmets!F20&lt;&gt;"",OR(F20="Yes",F20="Yes - Attach"),OR(C20="Supply Only",$A$6="Just Roller Blinds")),Pelmets!F20*2+1,IF(AND(Pelmets!F20&lt;&gt;"",OR(C20="Supply Only",$A$6="Just Roller Blinds")),Pelmets!F20*2,IF(AND(OR(F20="Yes",F20="Yes - Attach"),OR(C20="Supply Only",$A$6="Just Roller Blinds")),5,IF(OR(C20="Supply Only",$A$6="Just Roller Blinds"),4,IF(AND(OR(F20="Yes",F20="Yes - Attach"),$G$2="Creative Blinds"),1,""))))))</f>
        <v/>
      </c>
      <c r="M20" s="161" t="str">
        <f t="shared" si="1"/>
        <v/>
      </c>
      <c r="N20" s="39" t="str">
        <f>'Job Sheet'!AO20</f>
        <v/>
      </c>
      <c r="O20" s="126">
        <f t="shared" si="0"/>
        <v>0</v>
      </c>
      <c r="P20" s="146" t="str">
        <f>IF(Data!AV20="","",1)</f>
        <v/>
      </c>
    </row>
    <row r="21" ht="60" customHeight="1"/>
    <row r="22" ht="60" customHeight="1"/>
    <row r="23" ht="60" customHeight="1"/>
    <row r="24" ht="60" customHeight="1"/>
    <row r="25" ht="60" customHeight="1"/>
    <row r="26" ht="60" customHeight="1"/>
    <row r="27" ht="60" customHeight="1"/>
    <row r="28" ht="60" customHeight="1"/>
    <row r="29" ht="60" customHeight="1"/>
    <row r="30" ht="60" customHeight="1"/>
    <row r="31" ht="60" customHeight="1"/>
    <row r="32" ht="60" customHeight="1"/>
    <row r="33" ht="60" customHeight="1"/>
    <row r="34" ht="60" customHeight="1"/>
    <row r="35" ht="60" customHeight="1"/>
    <row r="36" ht="60" customHeight="1"/>
    <row r="37" ht="60" customHeight="1"/>
    <row r="38" ht="60" customHeight="1"/>
    <row r="39" ht="60" customHeight="1"/>
    <row r="40" ht="60" customHeight="1"/>
    <row r="41" ht="60" customHeight="1"/>
    <row r="42" ht="60" customHeight="1"/>
    <row r="43" ht="60" customHeight="1"/>
    <row r="44" ht="60" customHeight="1"/>
    <row r="45" ht="60" customHeight="1"/>
    <row r="46" ht="60" customHeight="1"/>
    <row r="47" ht="60" customHeight="1"/>
    <row r="48" ht="60" customHeight="1"/>
    <row r="49" ht="60" customHeight="1"/>
    <row r="50" ht="60" customHeight="1"/>
    <row r="51" ht="60" customHeight="1"/>
    <row r="52" ht="60" customHeight="1"/>
    <row r="53" ht="60" customHeight="1"/>
    <row r="54" ht="60" customHeight="1"/>
    <row r="55" ht="60" customHeight="1"/>
    <row r="56" ht="60" customHeight="1"/>
    <row r="57" ht="60" customHeight="1"/>
    <row r="58" ht="60" customHeight="1"/>
    <row r="59" ht="60" customHeight="1"/>
    <row r="60" ht="60" customHeight="1"/>
    <row r="61" ht="60" customHeight="1"/>
    <row r="62" ht="60" customHeight="1"/>
    <row r="63" ht="60" customHeight="1"/>
    <row r="64" ht="60" customHeight="1"/>
    <row r="65" ht="60" customHeight="1"/>
    <row r="66" ht="60" customHeight="1"/>
    <row r="67" ht="60" customHeight="1"/>
    <row r="68" ht="60" customHeight="1"/>
    <row r="69" ht="60" customHeight="1"/>
    <row r="70" ht="60" customHeight="1"/>
    <row r="71" ht="60" customHeight="1"/>
    <row r="72" ht="60" customHeight="1"/>
    <row r="73" ht="60" customHeight="1"/>
    <row r="74" ht="60" customHeight="1"/>
    <row r="75" ht="60" customHeight="1"/>
    <row r="76" ht="60" customHeight="1"/>
    <row r="77" ht="60" customHeight="1"/>
    <row r="78" ht="60" customHeight="1"/>
    <row r="79" ht="60" customHeight="1"/>
    <row r="80" ht="60" customHeight="1"/>
    <row r="81" ht="60" customHeight="1"/>
    <row r="82" ht="60" customHeight="1"/>
    <row r="83" ht="60" customHeight="1"/>
    <row r="84" ht="60" customHeight="1"/>
    <row r="85" ht="60" customHeight="1"/>
    <row r="86" ht="60" customHeight="1"/>
    <row r="87" ht="60" customHeight="1"/>
    <row r="88" ht="60" customHeight="1"/>
    <row r="89" ht="60" customHeight="1"/>
    <row r="90" ht="60" customHeight="1"/>
    <row r="91" ht="60" customHeight="1"/>
    <row r="92" ht="60" customHeight="1"/>
    <row r="93" ht="60" customHeight="1"/>
    <row r="94" ht="60" customHeight="1"/>
    <row r="95" ht="60" customHeight="1"/>
    <row r="96" ht="60" customHeight="1"/>
    <row r="97" ht="60" customHeight="1"/>
    <row r="98" ht="60" customHeight="1"/>
    <row r="99" ht="60" customHeight="1"/>
    <row r="100" ht="60" customHeight="1"/>
    <row r="101" ht="60" customHeight="1"/>
    <row r="102" ht="60" customHeight="1"/>
    <row r="103" ht="60" customHeight="1"/>
    <row r="104" ht="60" customHeight="1"/>
    <row r="105" ht="60" customHeight="1"/>
    <row r="106" ht="60" customHeight="1"/>
    <row r="107" ht="60" customHeight="1"/>
    <row r="108" ht="60" customHeight="1"/>
    <row r="109" ht="60" customHeight="1"/>
    <row r="110" ht="60" customHeight="1"/>
    <row r="111" ht="60" customHeight="1"/>
    <row r="112" ht="60" customHeight="1"/>
    <row r="113" ht="60" customHeight="1"/>
    <row r="114" ht="60" customHeight="1"/>
    <row r="115" ht="60" customHeight="1"/>
    <row r="116" ht="60" customHeight="1"/>
    <row r="117" ht="60" customHeight="1"/>
    <row r="118" ht="60" customHeight="1"/>
    <row r="119" ht="60" customHeight="1"/>
    <row r="120" ht="60" customHeight="1"/>
    <row r="121" ht="60" customHeight="1"/>
    <row r="122" ht="60" customHeight="1"/>
    <row r="123" ht="60" customHeight="1"/>
    <row r="124" ht="60" customHeight="1"/>
    <row r="125" ht="60" customHeight="1"/>
    <row r="126" ht="60" customHeight="1"/>
    <row r="127" ht="60" customHeight="1"/>
    <row r="128" ht="60" customHeight="1"/>
    <row r="129" ht="50.1" customHeight="1"/>
    <row r="130" ht="50.1" customHeight="1"/>
    <row r="131" ht="50.1" customHeight="1"/>
    <row r="132" ht="50.1" customHeight="1"/>
    <row r="133" ht="50.1" customHeight="1"/>
    <row r="134" ht="50.1" customHeight="1"/>
    <row r="135" ht="50.1" customHeight="1"/>
    <row r="136" ht="50.1" customHeight="1"/>
    <row r="137" ht="50.1" customHeight="1"/>
    <row r="138" ht="50.1" customHeight="1"/>
  </sheetData>
  <sheetProtection formatCells="0" formatRows="0" insertColumns="0" insertRows="0"/>
  <mergeCells count="38">
    <mergeCell ref="K3:O7"/>
    <mergeCell ref="K2:O2"/>
    <mergeCell ref="O8:O10"/>
    <mergeCell ref="N8:N10"/>
    <mergeCell ref="L8:M9"/>
    <mergeCell ref="L10:M10"/>
    <mergeCell ref="E4:F4"/>
    <mergeCell ref="A6:D7"/>
    <mergeCell ref="G7:J7"/>
    <mergeCell ref="G6:J6"/>
    <mergeCell ref="P8:P10"/>
    <mergeCell ref="D8:D10"/>
    <mergeCell ref="C8:C10"/>
    <mergeCell ref="B8:B10"/>
    <mergeCell ref="A8:A9"/>
    <mergeCell ref="K8:K10"/>
    <mergeCell ref="J8:J10"/>
    <mergeCell ref="I8:I10"/>
    <mergeCell ref="H8:H10"/>
    <mergeCell ref="G8:G10"/>
    <mergeCell ref="F8:F10"/>
    <mergeCell ref="E8:E10"/>
    <mergeCell ref="G5:J5"/>
    <mergeCell ref="G4:J4"/>
    <mergeCell ref="G3:J3"/>
    <mergeCell ref="G2:J2"/>
    <mergeCell ref="A1:O1"/>
    <mergeCell ref="A2:B2"/>
    <mergeCell ref="A3:B3"/>
    <mergeCell ref="A4:B4"/>
    <mergeCell ref="A5:B5"/>
    <mergeCell ref="E3:F3"/>
    <mergeCell ref="E2:F2"/>
    <mergeCell ref="C2:D2"/>
    <mergeCell ref="C3:D3"/>
    <mergeCell ref="C4:D4"/>
    <mergeCell ref="C5:D5"/>
    <mergeCell ref="E5:F7"/>
  </mergeCells>
  <conditionalFormatting sqref="K11:K20">
    <cfRule type="notContainsBlanks" priority="2" dxfId="0">
      <formula>LEN(TRIM(K11))&gt;0</formula>
    </cfRule>
  </conditionalFormatting>
  <conditionalFormatting sqref="L8:M10">
    <cfRule type="notContainsBlanks" priority="1" dxfId="0">
      <formula>LEN(TRIM(L8))&gt;0</formula>
    </cfRule>
  </conditionalFormatting>
  <printOptions horizontalCentered="1"/>
  <pageMargins left="0.996062992126028" right="0.996062992126028" top="0.31496062992126" bottom="0.31496062992126" header="0.31496062992126" footer="0.31496062992126"/>
  <pageSetup fitToHeight="0" orientation="landscape" paperSize="9" scale="10" r:id="rId1"/>
  <headerFooter alignWithMargins="0">
    <oddFooter>&amp;L&amp;P of  &amp;N&amp;C&amp;Z&amp;F&amp;R&amp;D &amp;T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A7AAB-0AF2-43C2-A94D-AA37AB2EB4C9}">
  <sheetPr codeName="Sheet12">
    <pageSetUpPr fitToPage="1"/>
  </sheetPr>
  <dimension ref="A1:L32"/>
  <sheetViews>
    <sheetView view="pageBreakPreview" zoomScale="40" zoomScaleNormal="40" zoomScaleSheetLayoutView="40" workbookViewId="0" topLeftCell="A1">
      <selection pane="topLeft" activeCell="C10" sqref="C10"/>
    </sheetView>
  </sheetViews>
  <sheetFormatPr defaultColWidth="9.109375" defaultRowHeight="13.5"/>
  <cols>
    <col min="1" max="1" width="38.4285714285714" customWidth="1"/>
    <col min="2" max="2" width="37.8571428571429" customWidth="1"/>
    <col min="3" max="3" width="54.2857142857143" customWidth="1"/>
    <col min="4" max="4" width="38.8571428571429" customWidth="1"/>
    <col min="5" max="5" width="39.2857142857143" customWidth="1"/>
    <col min="6" max="6" width="38" customWidth="1"/>
    <col min="7" max="7" width="49.4285714285714" bestFit="1" customWidth="1"/>
    <col min="8" max="8" width="50.7142857142857" customWidth="1"/>
    <col min="9" max="9" width="76.2857142857143" customWidth="1"/>
    <col min="11" max="11" width="39.7142857142857" bestFit="1" customWidth="1"/>
    <col min="12" max="12" width="29.2857142857143" bestFit="1" customWidth="1"/>
  </cols>
  <sheetData>
    <row r="1" spans="1:9" ht="169.2" customHeight="1">
      <c r="A1" s="278" t="s">
        <v>2925</v>
      </c>
      <c r="B1" s="278"/>
      <c r="C1" s="278"/>
      <c r="D1" s="278"/>
      <c r="E1" s="278"/>
      <c r="F1" s="278"/>
      <c r="G1" s="278"/>
      <c r="H1" s="278"/>
      <c r="I1" s="278"/>
    </row>
    <row r="2" spans="1:12" ht="60" customHeight="1">
      <c r="A2" s="2" t="s">
        <v>146</v>
      </c>
      <c r="B2" s="2"/>
      <c r="C2" s="6" t="s">
        <v>147</v>
      </c>
      <c r="D2" s="194" t="str">
        <f>Data!BF5</f>
        <v>Evans, Belinda </v>
      </c>
      <c r="E2" s="194"/>
      <c r="F2" s="194"/>
      <c r="G2" s="210" t="s">
        <v>148</v>
      </c>
      <c r="H2" s="210"/>
      <c r="I2" s="210"/>
      <c r="J2" s="133"/>
      <c r="K2" s="157" t="s">
        <v>262</v>
      </c>
      <c r="L2" s="157" t="s">
        <v>263</v>
      </c>
    </row>
    <row r="3" spans="1:12" ht="60" customHeight="1">
      <c r="A3" s="2" t="s">
        <v>149</v>
      </c>
      <c r="B3" s="142" t="str">
        <f>TRIM(Data!BC5)</f>
        <v>40426</v>
      </c>
      <c r="C3" s="5" t="s">
        <v>150</v>
      </c>
      <c r="D3" s="194" t="str">
        <f>TRIM(Data!AX5)</f>
        <v>Sheers and Rollers</v>
      </c>
      <c r="E3" s="194"/>
      <c r="F3" s="194"/>
      <c r="G3" s="194" t="str">
        <f>TRIM(Data!BG5)</f>
        <v/>
      </c>
      <c r="H3" s="194"/>
      <c r="I3" s="194"/>
      <c r="J3" s="134"/>
      <c r="K3" s="121" t="s">
        <v>264</v>
      </c>
      <c r="L3" s="3" t="s">
        <v>142</v>
      </c>
    </row>
    <row r="4" spans="1:12" ht="60" customHeight="1">
      <c r="A4" s="2" t="s">
        <v>151</v>
      </c>
      <c r="B4" s="142" t="str">
        <f>TRIM(Data!BD5)</f>
        <v>A</v>
      </c>
      <c r="C4" s="5" t="s">
        <v>152</v>
      </c>
      <c r="D4" s="194" t="str">
        <f>LEFT(Data!BA5,10)</f>
        <v>4/09/2026 </v>
      </c>
      <c r="E4" s="194"/>
      <c r="F4" s="194"/>
      <c r="G4" s="194"/>
      <c r="H4" s="194"/>
      <c r="I4" s="194"/>
      <c r="J4" s="134"/>
      <c r="K4" s="121" t="s">
        <v>265</v>
      </c>
      <c r="L4" s="3" t="s">
        <v>266</v>
      </c>
    </row>
    <row r="5" spans="1:12" ht="60" customHeight="1">
      <c r="A5" s="2" t="s">
        <v>153</v>
      </c>
      <c r="B5" s="143" t="str">
        <f>TRIM(Data!AY5)</f>
        <v>12/06/2026 12:00:00 AM</v>
      </c>
      <c r="C5" s="191" t="s">
        <v>154</v>
      </c>
      <c r="D5" s="194" t="str">
        <f>'Job Sheet'!K5</f>
        <v>Belinda  Evans</v>
      </c>
      <c r="E5" s="194"/>
      <c r="F5" s="194"/>
      <c r="G5" s="194"/>
      <c r="H5" s="194"/>
      <c r="I5" s="194"/>
      <c r="J5" s="134"/>
      <c r="K5" s="121" t="s">
        <v>267</v>
      </c>
      <c r="L5" s="3" t="s">
        <v>268</v>
      </c>
    </row>
    <row r="6" spans="1:12" ht="60" customHeight="1">
      <c r="A6" s="279" t="str">
        <f>TRIM('Job Sheet'!A6)</f>
        <v>Retail Customer</v>
      </c>
      <c r="B6" s="279"/>
      <c r="C6" s="191"/>
      <c r="D6" s="194" t="str">
        <f>CONCATENATE(Data!BH5," ",Data!BI5," ",Data!BJ5," ",Data!BK5," ",Data!BL5)</f>
        <v xml:space="preserve"> 15  Dublin Street </v>
      </c>
      <c r="E6" s="194"/>
      <c r="F6" s="194"/>
      <c r="G6" s="3" t="s">
        <v>269</v>
      </c>
      <c r="H6" s="2" t="str">
        <f>IF(Data!AV11="","",'Job Sheet'!S5)</f>
        <v/>
      </c>
      <c r="I6" s="2" t="s">
        <v>156</v>
      </c>
      <c r="K6" s="121" t="s">
        <v>824</v>
      </c>
      <c r="L6" s="3" t="s">
        <v>824</v>
      </c>
    </row>
    <row r="7" spans="1:9" ht="60" customHeight="1">
      <c r="A7" s="279"/>
      <c r="B7" s="279"/>
      <c r="C7" s="191"/>
      <c r="D7" s="194" t="str">
        <f>CONCATENATE(Data!BM5," ",Data!BN5," ",Data!BO5," ",Data!BP5)</f>
        <v>Alfredton VIC 3350 Australia</v>
      </c>
      <c r="E7" s="194"/>
      <c r="F7" s="194"/>
      <c r="G7" s="3" t="s">
        <v>270</v>
      </c>
      <c r="H7" s="2" t="str">
        <f>Data!CX5</f>
        <v>Belinda </v>
      </c>
      <c r="I7" s="211" t="str">
        <f>IF(Data!AV11="","",'Job Sheet'!S6)</f>
        <v/>
      </c>
    </row>
    <row r="8" spans="1:9" ht="60" customHeight="1">
      <c r="A8" s="279"/>
      <c r="B8" s="279"/>
      <c r="C8" s="1" t="s">
        <v>271</v>
      </c>
      <c r="D8" s="191" t="str">
        <f>TRIM(Data!BR5)</f>
        <v>bel1810@bigpond.com</v>
      </c>
      <c r="E8" s="191"/>
      <c r="F8" s="191"/>
      <c r="G8" s="1" t="s">
        <v>158</v>
      </c>
      <c r="H8" s="2" t="str">
        <f>Data!DB5</f>
        <v>0422647780</v>
      </c>
      <c r="I8" s="211"/>
    </row>
    <row r="9" spans="1:11" ht="69.6" customHeight="1">
      <c r="A9" s="282" t="s">
        <v>263</v>
      </c>
      <c r="B9" s="283" t="s">
        <v>272</v>
      </c>
      <c r="C9" s="2" t="s">
        <v>273</v>
      </c>
      <c r="D9" s="282" t="s">
        <v>274</v>
      </c>
      <c r="E9" s="282" t="s">
        <v>275</v>
      </c>
      <c r="F9" s="282" t="s">
        <v>276</v>
      </c>
      <c r="G9" s="282" t="s">
        <v>277</v>
      </c>
      <c r="H9" s="282" t="s">
        <v>20</v>
      </c>
      <c r="I9" s="282" t="s">
        <v>231</v>
      </c>
      <c r="K9" s="284" t="s">
        <v>278</v>
      </c>
    </row>
    <row r="10" spans="1:11" ht="46.95" customHeight="1">
      <c r="A10" s="282"/>
      <c r="B10" s="283"/>
      <c r="C10" s="140" t="str">
        <f>CONCATENATE("Total Blinds: ",Bagging!A10)</f>
        <v>Total Blinds: 4</v>
      </c>
      <c r="D10" s="282"/>
      <c r="E10" s="282"/>
      <c r="F10" s="282"/>
      <c r="G10" s="282"/>
      <c r="H10" s="282"/>
      <c r="I10" s="282"/>
      <c r="K10" s="285"/>
    </row>
    <row r="11" spans="1:11" ht="79.95" customHeight="1">
      <c r="A11" s="280" t="str">
        <f>IF(K11="","",VLOOKUP(K11,PackingProcedure,2,FALSE))</f>
        <v>N/A</v>
      </c>
      <c r="B11" s="2" t="str">
        <f>IF($A$11="N/A","X",CONCATENATE($B$3,".",$B$4," - 1"))</f>
        <v>X</v>
      </c>
      <c r="C11" s="139" t="str">
        <f>IF($A$11="N/A","X","")</f>
        <v>X</v>
      </c>
      <c r="D11" s="139" t="str">
        <f>IF(OR($A$11="N/A",$A$11="A"),"X","")</f>
        <v>X</v>
      </c>
      <c r="E11" s="139" t="str">
        <f t="shared" si="0" ref="E11:G20">IF(OR($A$11="N/A",$A$11="A"),"X","")</f>
        <v>X</v>
      </c>
      <c r="F11" s="139" t="str">
        <f t="shared" si="0"/>
        <v>X</v>
      </c>
      <c r="G11" s="139" t="str">
        <f t="shared" si="0"/>
        <v>X</v>
      </c>
      <c r="H11" s="139" t="str">
        <f>IF($A$11="N/A","X","")</f>
        <v>X</v>
      </c>
      <c r="I11" s="153">
        <v>1</v>
      </c>
      <c r="K11" s="281" t="str">
        <f>IF(D2="Brax Window Treatments","Brax",IF(OR(Bagging!C11="Supply Only",Bagging!C11="Installation"),"N/A",Bagging!C11))</f>
        <v>N/A</v>
      </c>
    </row>
    <row r="12" spans="1:11" ht="79.95" customHeight="1">
      <c r="A12" s="280"/>
      <c r="B12" s="158" t="str">
        <f>IF($A$11="N/A","X",CONCATENATE($B$3,".",$B$4," - 2"))</f>
        <v>X</v>
      </c>
      <c r="C12" s="159" t="str">
        <f t="shared" si="1" ref="C12:C20">IF($A$11="N/A","X","")</f>
        <v>X</v>
      </c>
      <c r="D12" s="159" t="str">
        <f t="shared" si="2" ref="D12:D20">IF(OR($A$11="N/A",$A$11="A"),"X","")</f>
        <v>X</v>
      </c>
      <c r="E12" s="159" t="str">
        <f t="shared" si="0"/>
        <v>X</v>
      </c>
      <c r="F12" s="159" t="str">
        <f t="shared" si="0"/>
        <v>X</v>
      </c>
      <c r="G12" s="159" t="str">
        <f t="shared" si="0"/>
        <v>X</v>
      </c>
      <c r="H12" s="159" t="str">
        <f t="shared" si="3" ref="H12:H20">IF($A$11="N/A","X","")</f>
        <v>X</v>
      </c>
      <c r="I12" s="154">
        <v>2</v>
      </c>
      <c r="K12" s="281"/>
    </row>
    <row r="13" spans="1:11" ht="79.95" customHeight="1">
      <c r="A13" s="280"/>
      <c r="B13" s="2" t="str">
        <f>IF($A$11="N/A","X",CONCATENATE($B$3,".",$B$4," - 3"))</f>
        <v>X</v>
      </c>
      <c r="C13" s="139" t="str">
        <f t="shared" si="1"/>
        <v>X</v>
      </c>
      <c r="D13" s="139" t="str">
        <f t="shared" si="2"/>
        <v>X</v>
      </c>
      <c r="E13" s="139" t="str">
        <f t="shared" si="0"/>
        <v>X</v>
      </c>
      <c r="F13" s="139" t="str">
        <f t="shared" si="0"/>
        <v>X</v>
      </c>
      <c r="G13" s="139" t="str">
        <f t="shared" si="0"/>
        <v>X</v>
      </c>
      <c r="H13" s="139" t="str">
        <f t="shared" si="3"/>
        <v>X</v>
      </c>
      <c r="I13" s="153">
        <v>3</v>
      </c>
      <c r="K13" s="281"/>
    </row>
    <row r="14" spans="1:11" ht="79.95" customHeight="1">
      <c r="A14" s="280"/>
      <c r="B14" s="158" t="str">
        <f>IF($A$11="N/A","X",CONCATENATE($B$3,".",$B$4," - 4"))</f>
        <v>X</v>
      </c>
      <c r="C14" s="159" t="str">
        <f t="shared" si="1"/>
        <v>X</v>
      </c>
      <c r="D14" s="159" t="str">
        <f t="shared" si="2"/>
        <v>X</v>
      </c>
      <c r="E14" s="159" t="str">
        <f t="shared" si="0"/>
        <v>X</v>
      </c>
      <c r="F14" s="159" t="str">
        <f t="shared" si="0"/>
        <v>X</v>
      </c>
      <c r="G14" s="159" t="str">
        <f t="shared" si="0"/>
        <v>X</v>
      </c>
      <c r="H14" s="159" t="str">
        <f t="shared" si="3"/>
        <v>X</v>
      </c>
      <c r="I14" s="154">
        <v>4</v>
      </c>
      <c r="K14" s="281"/>
    </row>
    <row r="15" spans="1:11" ht="79.95" customHeight="1">
      <c r="A15" s="280"/>
      <c r="B15" s="2" t="str">
        <f>IF($A$11="N/A","X",CONCATENATE($B$3,".",$B$4," - 5"))</f>
        <v>X</v>
      </c>
      <c r="C15" s="139" t="str">
        <f t="shared" si="1"/>
        <v>X</v>
      </c>
      <c r="D15" s="139" t="str">
        <f t="shared" si="2"/>
        <v>X</v>
      </c>
      <c r="E15" s="139" t="str">
        <f t="shared" si="0"/>
        <v>X</v>
      </c>
      <c r="F15" s="139" t="str">
        <f t="shared" si="0"/>
        <v>X</v>
      </c>
      <c r="G15" s="139" t="str">
        <f t="shared" si="0"/>
        <v>X</v>
      </c>
      <c r="H15" s="139" t="str">
        <f t="shared" si="3"/>
        <v>X</v>
      </c>
      <c r="I15" s="153">
        <v>5</v>
      </c>
      <c r="K15" s="281"/>
    </row>
    <row r="16" spans="1:11" ht="79.95" customHeight="1">
      <c r="A16" s="280"/>
      <c r="B16" s="158" t="str">
        <f>IF($A$11="N/A","X",CONCATENATE($B$3,".",$B$4," - 6"))</f>
        <v>X</v>
      </c>
      <c r="C16" s="159" t="str">
        <f t="shared" si="1"/>
        <v>X</v>
      </c>
      <c r="D16" s="159" t="str">
        <f t="shared" si="2"/>
        <v>X</v>
      </c>
      <c r="E16" s="159" t="str">
        <f t="shared" si="0"/>
        <v>X</v>
      </c>
      <c r="F16" s="159" t="str">
        <f t="shared" si="0"/>
        <v>X</v>
      </c>
      <c r="G16" s="159" t="str">
        <f t="shared" si="0"/>
        <v>X</v>
      </c>
      <c r="H16" s="159" t="str">
        <f t="shared" si="3"/>
        <v>X</v>
      </c>
      <c r="I16" s="154">
        <v>6</v>
      </c>
      <c r="K16" s="281"/>
    </row>
    <row r="17" spans="1:11" ht="79.95" customHeight="1">
      <c r="A17" s="280"/>
      <c r="B17" s="2" t="str">
        <f>IF($A$11="N/A","X",CONCATENATE($B$3,".",$B$4," - 7"))</f>
        <v>X</v>
      </c>
      <c r="C17" s="139" t="str">
        <f t="shared" si="1"/>
        <v>X</v>
      </c>
      <c r="D17" s="139" t="str">
        <f t="shared" si="2"/>
        <v>X</v>
      </c>
      <c r="E17" s="139" t="str">
        <f t="shared" si="0"/>
        <v>X</v>
      </c>
      <c r="F17" s="139" t="str">
        <f t="shared" si="0"/>
        <v>X</v>
      </c>
      <c r="G17" s="139" t="str">
        <f t="shared" si="0"/>
        <v>X</v>
      </c>
      <c r="H17" s="139" t="str">
        <f t="shared" si="3"/>
        <v>X</v>
      </c>
      <c r="I17" s="153">
        <v>7</v>
      </c>
      <c r="K17" s="281"/>
    </row>
    <row r="18" spans="1:11" ht="79.95" customHeight="1">
      <c r="A18" s="280"/>
      <c r="B18" s="158" t="str">
        <f>IF($A$11="N/A","X",CONCATENATE($B$3,".",$B$4," - 8"))</f>
        <v>X</v>
      </c>
      <c r="C18" s="159" t="str">
        <f t="shared" si="1"/>
        <v>X</v>
      </c>
      <c r="D18" s="159" t="str">
        <f t="shared" si="2"/>
        <v>X</v>
      </c>
      <c r="E18" s="159" t="str">
        <f t="shared" si="0"/>
        <v>X</v>
      </c>
      <c r="F18" s="159" t="str">
        <f t="shared" si="0"/>
        <v>X</v>
      </c>
      <c r="G18" s="159" t="str">
        <f t="shared" si="0"/>
        <v>X</v>
      </c>
      <c r="H18" s="159" t="str">
        <f t="shared" si="3"/>
        <v>X</v>
      </c>
      <c r="I18" s="154">
        <v>8</v>
      </c>
      <c r="K18" s="281"/>
    </row>
    <row r="19" spans="1:11" ht="79.95" customHeight="1">
      <c r="A19" s="280"/>
      <c r="B19" s="2" t="str">
        <f>IF($A$11="N/A","X",CONCATENATE($B$3,".",$B$4," - 9"))</f>
        <v>X</v>
      </c>
      <c r="C19" s="139" t="str">
        <f t="shared" si="1"/>
        <v>X</v>
      </c>
      <c r="D19" s="139" t="str">
        <f t="shared" si="2"/>
        <v>X</v>
      </c>
      <c r="E19" s="139" t="str">
        <f t="shared" si="0"/>
        <v>X</v>
      </c>
      <c r="F19" s="139" t="str">
        <f t="shared" si="0"/>
        <v>X</v>
      </c>
      <c r="G19" s="139" t="str">
        <f t="shared" si="0"/>
        <v>X</v>
      </c>
      <c r="H19" s="139" t="str">
        <f t="shared" si="3"/>
        <v>X</v>
      </c>
      <c r="I19" s="153">
        <v>9</v>
      </c>
      <c r="K19" s="281"/>
    </row>
    <row r="20" spans="1:12" ht="79.95" customHeight="1">
      <c r="A20" s="280"/>
      <c r="B20" s="158" t="str">
        <f>IF($A$11="N/A","X",CONCATENATE($B$3,".",$B$4," - 10"))</f>
        <v>X</v>
      </c>
      <c r="C20" s="159" t="str">
        <f t="shared" si="1"/>
        <v>X</v>
      </c>
      <c r="D20" s="159" t="str">
        <f t="shared" si="2"/>
        <v>X</v>
      </c>
      <c r="E20" s="159" t="str">
        <f t="shared" si="0"/>
        <v>X</v>
      </c>
      <c r="F20" s="159" t="str">
        <f t="shared" si="0"/>
        <v>X</v>
      </c>
      <c r="G20" s="159" t="str">
        <f t="shared" si="0"/>
        <v>X</v>
      </c>
      <c r="H20" s="159" t="str">
        <f t="shared" si="3"/>
        <v>X</v>
      </c>
      <c r="I20" s="154">
        <v>10</v>
      </c>
      <c r="J20" s="147"/>
      <c r="K20" s="281"/>
      <c r="L20" s="148"/>
    </row>
    <row r="21" ht="79.95" customHeight="1">
      <c r="B21" s="145"/>
    </row>
    <row r="22" ht="79.95" customHeight="1">
      <c r="B22" s="144"/>
    </row>
    <row r="23" ht="79.95" customHeight="1">
      <c r="B23" s="144"/>
    </row>
    <row r="24" ht="79.95" customHeight="1">
      <c r="B24" s="144"/>
    </row>
    <row r="25" ht="79.95" customHeight="1">
      <c r="B25" s="144"/>
    </row>
    <row r="26" ht="79.95" customHeight="1">
      <c r="B26" s="144"/>
    </row>
    <row r="27" ht="79.95" customHeight="1">
      <c r="B27" s="144"/>
    </row>
    <row r="28" ht="79.95" customHeight="1">
      <c r="B28" s="144"/>
    </row>
    <row r="29" ht="79.95" customHeight="1">
      <c r="B29" s="144"/>
    </row>
    <row r="30" ht="79.95" customHeight="1">
      <c r="B30" s="144"/>
    </row>
    <row r="31" ht="79.95" customHeight="1">
      <c r="B31" s="144"/>
    </row>
    <row r="32" ht="79.95" customHeight="1">
      <c r="B32" s="144"/>
    </row>
    <row r="33" ht="79.95" customHeight="1"/>
    <row r="34" ht="79.95" customHeight="1"/>
    <row r="35" ht="79.95" customHeight="1"/>
    <row r="36" ht="79.95" customHeight="1"/>
    <row r="37" ht="79.95" customHeight="1"/>
    <row r="38" ht="79.95" customHeight="1"/>
    <row r="39" ht="79.95" customHeight="1"/>
    <row r="40" ht="79.95" customHeight="1"/>
    <row r="41" ht="79.95" customHeight="1"/>
    <row r="42" ht="79.95" customHeight="1"/>
    <row r="43" ht="79.95" customHeight="1"/>
    <row r="44" ht="79.95" customHeight="1"/>
  </sheetData>
  <mergeCells count="24">
    <mergeCell ref="A11:A20"/>
    <mergeCell ref="K11:K20"/>
    <mergeCell ref="A9:A10"/>
    <mergeCell ref="B9:B10"/>
    <mergeCell ref="D9:D10"/>
    <mergeCell ref="E9:E10"/>
    <mergeCell ref="F9:F10"/>
    <mergeCell ref="G9:G10"/>
    <mergeCell ref="H9:H10"/>
    <mergeCell ref="I9:I10"/>
    <mergeCell ref="K9:K10"/>
    <mergeCell ref="A1:I1"/>
    <mergeCell ref="D2:F2"/>
    <mergeCell ref="G2:I2"/>
    <mergeCell ref="D3:F3"/>
    <mergeCell ref="G3:I5"/>
    <mergeCell ref="D4:F4"/>
    <mergeCell ref="C5:C7"/>
    <mergeCell ref="D5:F5"/>
    <mergeCell ref="A6:B8"/>
    <mergeCell ref="D6:F6"/>
    <mergeCell ref="D7:F7"/>
    <mergeCell ref="I7:I8"/>
    <mergeCell ref="D8:F8"/>
  </mergeCells>
  <conditionalFormatting sqref="D3:E3">
    <cfRule type="expression" priority="1" dxfId="0">
      <formula>OR($A$6="Wholesale B2B",$A$6="Wholesale")</formula>
    </cfRule>
  </conditionalFormatting>
  <pageMargins left="0.794488188976384" right="0.794488188976384" top="0.75" bottom="0.75" header="0.3" footer="0.3"/>
  <pageSetup fitToHeight="0" horizontalDpi="360" verticalDpi="360" orientation="landscape" paperSize="9" scale="1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12661-7790-462E-A64E-3EB48F7A5F15}">
  <sheetPr codeName="Sheet10">
    <pageSetUpPr fitToPage="1"/>
  </sheetPr>
  <dimension ref="A1:M20"/>
  <sheetViews>
    <sheetView view="pageBreakPreview" zoomScale="50" zoomScaleNormal="60" zoomScaleSheetLayoutView="50" workbookViewId="0" topLeftCell="A4">
      <selection pane="topLeft" activeCell="A20" sqref="A20"/>
    </sheetView>
  </sheetViews>
  <sheetFormatPr defaultColWidth="9.109375" defaultRowHeight="13.5"/>
  <cols>
    <col min="1" max="1" width="10.4285714285714" style="61" customWidth="1"/>
    <col min="2" max="2" width="37" style="61" customWidth="1"/>
    <col min="3" max="3" width="24.7142857142857" style="61" customWidth="1"/>
    <col min="4" max="4" width="38.4285714285714" style="61" customWidth="1"/>
    <col min="5" max="5" width="26" style="61" customWidth="1"/>
    <col min="6" max="6" width="40.2857142857143" style="61" customWidth="1"/>
    <col min="7" max="7" width="32" style="61" customWidth="1"/>
    <col min="8" max="8" width="30.4285714285714" style="61" customWidth="1"/>
    <col min="9" max="9" width="29.5714285714286" style="61" customWidth="1"/>
    <col min="10" max="10" width="24" style="62" customWidth="1"/>
    <col min="11" max="11" width="26.5714285714286" style="62" customWidth="1"/>
    <col min="12" max="12" width="27" style="61" customWidth="1"/>
    <col min="13" max="13" width="44" style="61" customWidth="1"/>
  </cols>
  <sheetData>
    <row r="1" spans="1:13" ht="75" customHeight="1">
      <c r="A1" s="286" t="s">
        <v>135</v>
      </c>
      <c r="B1" s="286"/>
      <c r="C1" s="286"/>
      <c r="D1" s="286"/>
      <c r="E1" s="286"/>
      <c r="F1" s="286"/>
      <c r="G1" s="286"/>
      <c r="H1" s="286"/>
      <c r="I1" s="286"/>
      <c r="J1" s="286"/>
      <c r="K1" s="286"/>
      <c r="L1" s="286"/>
      <c r="M1" s="286"/>
    </row>
    <row r="2" spans="1:13" ht="33">
      <c r="A2" s="195" t="s">
        <v>146</v>
      </c>
      <c r="B2" s="195"/>
      <c r="C2" s="195"/>
      <c r="D2" s="195"/>
      <c r="E2" s="192" t="s">
        <v>147</v>
      </c>
      <c r="F2" s="192"/>
      <c r="G2" s="194" t="str">
        <f>IF(Data!BF5="","",Data!BF5)</f>
        <v>Evans, Belinda </v>
      </c>
      <c r="H2" s="194"/>
      <c r="I2" s="194"/>
      <c r="J2" s="194"/>
      <c r="K2" s="210" t="s">
        <v>148</v>
      </c>
      <c r="L2" s="210"/>
      <c r="M2" s="210"/>
    </row>
    <row r="3" spans="1:13" ht="33">
      <c r="A3" s="196" t="s">
        <v>149</v>
      </c>
      <c r="B3" s="196"/>
      <c r="C3" s="191" t="str">
        <f>IF(Data!BC5="","",Data!BC5)</f>
        <v>40426</v>
      </c>
      <c r="D3" s="191"/>
      <c r="E3" s="193" t="s">
        <v>150</v>
      </c>
      <c r="F3" s="193"/>
      <c r="G3" s="194" t="str">
        <f>TRIM(Data!AX5)</f>
        <v>Sheers and Rollers</v>
      </c>
      <c r="H3" s="194"/>
      <c r="I3" s="194"/>
      <c r="J3" s="194"/>
      <c r="K3" s="175" t="str">
        <f>TRIM(Data!BG5)</f>
        <v/>
      </c>
      <c r="L3" s="176"/>
      <c r="M3" s="177"/>
    </row>
    <row r="4" spans="1:13" ht="33">
      <c r="A4" s="190" t="s">
        <v>151</v>
      </c>
      <c r="B4" s="190"/>
      <c r="C4" s="191" t="str">
        <f>IF(Data!BD5="","",Data!BD5)</f>
        <v>A</v>
      </c>
      <c r="D4" s="191"/>
      <c r="E4" s="193" t="s">
        <v>152</v>
      </c>
      <c r="F4" s="193"/>
      <c r="G4" s="194" t="str">
        <f>LEFT(Data!BA5,10)</f>
        <v>4/09/2026 </v>
      </c>
      <c r="H4" s="194"/>
      <c r="I4" s="194"/>
      <c r="J4" s="194"/>
      <c r="K4" s="216"/>
      <c r="L4" s="217"/>
      <c r="M4" s="218"/>
    </row>
    <row r="5" spans="1:13" ht="33">
      <c r="A5" s="200" t="s">
        <v>153</v>
      </c>
      <c r="B5" s="200"/>
      <c r="C5" s="201" t="str">
        <f>IF(Data!AY5="","",Data!AY5)</f>
        <v>12/06/2026 12:00:00 AM</v>
      </c>
      <c r="D5" s="201"/>
      <c r="E5" s="191" t="s">
        <v>154</v>
      </c>
      <c r="F5" s="191"/>
      <c r="G5" s="194" t="str">
        <f>TRIM(Data!BF5)</f>
        <v>Evans, Belinda</v>
      </c>
      <c r="H5" s="194"/>
      <c r="I5" s="194"/>
      <c r="J5" s="194"/>
      <c r="K5" s="178"/>
      <c r="L5" s="179"/>
      <c r="M5" s="180"/>
    </row>
    <row r="6" spans="1:13" ht="33">
      <c r="A6" s="199" t="str">
        <f>IF(Data!CZ5="","",Data!CZ5)</f>
        <v>Retail Customer</v>
      </c>
      <c r="B6" s="199"/>
      <c r="C6" s="199"/>
      <c r="D6" s="199"/>
      <c r="E6" s="191"/>
      <c r="F6" s="191"/>
      <c r="G6" s="194" t="str">
        <f>CONCATENATE(Data!BH5," ",Data!BI5," ",Data!BJ5," ",Data!BK5," ",Data!BL5)</f>
        <v xml:space="preserve"> 15  Dublin Street </v>
      </c>
      <c r="H6" s="194"/>
      <c r="I6" s="194"/>
      <c r="J6" s="194"/>
      <c r="K6" s="3" t="s">
        <v>271</v>
      </c>
      <c r="L6" s="184" t="str">
        <f>IF(Data!BR5="","",Data!BR5)</f>
        <v>bel1810@bigpond.com</v>
      </c>
      <c r="M6" s="186"/>
    </row>
    <row r="7" spans="1:13" ht="33">
      <c r="A7" s="199"/>
      <c r="B7" s="199"/>
      <c r="C7" s="199"/>
      <c r="D7" s="199"/>
      <c r="E7" s="191"/>
      <c r="F7" s="191"/>
      <c r="G7" s="194" t="str">
        <f>CONCATENATE(Data!BM5," ",Data!BN5," ",Data!BO5," ",Data!BP5)</f>
        <v>Alfredton VIC 3350 Australia</v>
      </c>
      <c r="H7" s="194"/>
      <c r="I7" s="194"/>
      <c r="J7" s="194"/>
      <c r="K7" s="194" t="s">
        <v>158</v>
      </c>
      <c r="L7" s="194"/>
      <c r="M7" s="3" t="str">
        <f>IF(Data!BT5="","",Data!BT5)</f>
        <v>0422647780</v>
      </c>
    </row>
    <row r="8" spans="1:13" ht="13.2">
      <c r="A8" s="202" t="s">
        <v>159</v>
      </c>
      <c r="B8" s="164" t="s">
        <v>160</v>
      </c>
      <c r="C8" s="164" t="s">
        <v>279</v>
      </c>
      <c r="D8" s="163" t="s">
        <v>280</v>
      </c>
      <c r="E8" s="163" t="s">
        <v>168</v>
      </c>
      <c r="F8" s="164" t="s">
        <v>281</v>
      </c>
      <c r="G8" s="164" t="s">
        <v>282</v>
      </c>
      <c r="H8" s="163" t="s">
        <v>283</v>
      </c>
      <c r="I8" s="163" t="s">
        <v>284</v>
      </c>
      <c r="J8" s="163" t="s">
        <v>285</v>
      </c>
      <c r="K8" s="163" t="s">
        <v>286</v>
      </c>
      <c r="L8" s="163" t="s">
        <v>287</v>
      </c>
      <c r="M8" s="163" t="s">
        <v>199</v>
      </c>
    </row>
    <row r="9" spans="1:13" ht="13.2">
      <c r="A9" s="202"/>
      <c r="B9" s="164"/>
      <c r="C9" s="164"/>
      <c r="D9" s="163"/>
      <c r="E9" s="163"/>
      <c r="F9" s="164"/>
      <c r="G9" s="164"/>
      <c r="H9" s="163"/>
      <c r="I9" s="163"/>
      <c r="J9" s="163"/>
      <c r="K9" s="163"/>
      <c r="L9" s="163"/>
      <c r="M9" s="163"/>
    </row>
    <row r="10" spans="1:13" ht="68.25" customHeight="1">
      <c r="A10" s="202"/>
      <c r="B10" s="164"/>
      <c r="C10" s="164"/>
      <c r="D10" s="163"/>
      <c r="E10" s="163"/>
      <c r="F10" s="164"/>
      <c r="G10" s="164"/>
      <c r="H10" s="163"/>
      <c r="I10" s="163"/>
      <c r="J10" s="163"/>
      <c r="K10" s="163"/>
      <c r="L10" s="163"/>
      <c r="M10" s="163"/>
    </row>
    <row r="11" spans="1:13" ht="60" customHeight="1">
      <c r="A11" s="69" t="str">
        <f>IF(Data!AX11="","",'Job Sheet'!A11)</f>
        <v>9</v>
      </c>
      <c r="B11" s="23" t="str">
        <f>IF(C11="","",'Job Sheet'!B11)</f>
        <v/>
      </c>
      <c r="C11" s="23" t="str">
        <f t="array" ref="C11">IF(bpLOOKUP(Data!$AV11,"ELECTRICIAN",CustOrdOpt,6,FALSE)="Yes","Yes","")</f>
        <v/>
      </c>
      <c r="D11" s="23" t="str">
        <f>IF(C11="","",Data!AX11)</f>
        <v/>
      </c>
      <c r="E11" s="30" t="str">
        <f>IF(C11="","",'Job Sheet'!J11)</f>
        <v/>
      </c>
      <c r="F11" s="30" t="str">
        <f>IF(C11="","",'Job Sheet'!L11)</f>
        <v/>
      </c>
      <c r="G11" s="30" t="str">
        <f>IF(C11="","",'Job Sheet'!R11)</f>
        <v/>
      </c>
      <c r="H11" s="30"/>
      <c r="I11" s="30" t="str">
        <f t="array" ref="I11">bpLOOKUP(Data!$AV11,"HOUSECONSTRUCTION",CustOrdOpt,6,FALSE)</f>
        <v/>
      </c>
      <c r="J11" s="30" t="str">
        <f t="array" ref="J11">bpLOOKUP(Data!$AV11,"ROOF",CustOrdOpt,6,FALSE)</f>
        <v/>
      </c>
      <c r="K11" s="30" t="str">
        <f t="array" ref="K11">bpLOOKUP(Data!$AV11,"SWITCHBOARD",CustOrdOpt,6,FALSE)</f>
        <v/>
      </c>
      <c r="L11" s="30" t="str">
        <f t="array" ref="L11">bpLOOKUP(Data!$AV11,"STOREYS",CustOrdOpt,6,FALSE)</f>
        <v/>
      </c>
      <c r="M11" s="73" t="str">
        <f>IF(C11="","",'Job Sheet'!AO11)</f>
        <v/>
      </c>
    </row>
    <row r="12" spans="1:13" ht="60" customHeight="1">
      <c r="A12" s="69" t="str">
        <f>IF(Data!AX12="","",'Job Sheet'!A12)</f>
        <v>10</v>
      </c>
      <c r="B12" s="23" t="str">
        <f>IF(C12="","",'Job Sheet'!B12)</f>
        <v/>
      </c>
      <c r="C12" s="23" t="str">
        <f t="array" ref="C12">IF(bpLOOKUP(Data!$AV12,"ELECTRICIAN",CustOrdOpt,6,FALSE)="Yes","Yes","")</f>
        <v/>
      </c>
      <c r="D12" s="23" t="str">
        <f>IF(C12="","",Data!AX12)</f>
        <v/>
      </c>
      <c r="E12" s="30" t="str">
        <f>IF(C12="","",'Job Sheet'!J12)</f>
        <v/>
      </c>
      <c r="F12" s="30" t="str">
        <f>IF(C12="","",'Job Sheet'!L12)</f>
        <v/>
      </c>
      <c r="G12" s="30" t="str">
        <f>IF(C12="","",'Job Sheet'!R12)</f>
        <v/>
      </c>
      <c r="H12" s="30"/>
      <c r="I12" s="30" t="str">
        <f t="array" ref="I12">bpLOOKUP(Data!$AV12,"HOUSECONSTRUCTION",CustOrdOpt,6,FALSE)</f>
        <v/>
      </c>
      <c r="J12" s="30" t="str">
        <f t="array" ref="J12">bpLOOKUP(Data!$AV12,"ROOF",CustOrdOpt,6,FALSE)</f>
        <v/>
      </c>
      <c r="K12" s="30" t="str">
        <f t="array" ref="K12">bpLOOKUP(Data!$AV12,"SWITCHBOARD",CustOrdOpt,6,FALSE)</f>
        <v/>
      </c>
      <c r="L12" s="30" t="str">
        <f t="array" ref="L12">bpLOOKUP(Data!$AV12,"STOREYS",CustOrdOpt,6,FALSE)</f>
        <v/>
      </c>
      <c r="M12" s="73" t="str">
        <f>IF(C12="","",'Job Sheet'!AO12)</f>
        <v/>
      </c>
    </row>
    <row r="13" spans="1:13" ht="60" customHeight="1">
      <c r="A13" s="69" t="str">
        <f>IF(Data!AX13="","",'Job Sheet'!A13)</f>
        <v>11</v>
      </c>
      <c r="B13" s="23" t="str">
        <f>IF(C13="","",'Job Sheet'!B13)</f>
        <v/>
      </c>
      <c r="C13" s="23" t="str">
        <f t="array" ref="C13">IF(bpLOOKUP(Data!$AV13,"ELECTRICIAN",CustOrdOpt,6,FALSE)="Yes","Yes","")</f>
        <v/>
      </c>
      <c r="D13" s="23" t="str">
        <f>IF(C13="","",Data!AX13)</f>
        <v/>
      </c>
      <c r="E13" s="30" t="str">
        <f>IF(C13="","",'Job Sheet'!J13)</f>
        <v/>
      </c>
      <c r="F13" s="30" t="str">
        <f>IF(C13="","",'Job Sheet'!L13)</f>
        <v/>
      </c>
      <c r="G13" s="30" t="str">
        <f>IF(C13="","",'Job Sheet'!R13)</f>
        <v/>
      </c>
      <c r="H13" s="30"/>
      <c r="I13" s="30" t="str">
        <f t="array" ref="I13">bpLOOKUP(Data!$AV13,"HOUSECONSTRUCTION",CustOrdOpt,6,FALSE)</f>
        <v/>
      </c>
      <c r="J13" s="30" t="str">
        <f t="array" ref="J13">bpLOOKUP(Data!$AV13,"ROOF",CustOrdOpt,6,FALSE)</f>
        <v/>
      </c>
      <c r="K13" s="30" t="str">
        <f t="array" ref="K13">bpLOOKUP(Data!$AV13,"SWITCHBOARD",CustOrdOpt,6,FALSE)</f>
        <v/>
      </c>
      <c r="L13" s="30" t="str">
        <f t="array" ref="L13">bpLOOKUP(Data!$AV13,"STOREYS",CustOrdOpt,6,FALSE)</f>
        <v/>
      </c>
      <c r="M13" s="73" t="str">
        <f>IF(C13="","",'Job Sheet'!AO13)</f>
        <v/>
      </c>
    </row>
    <row r="14" spans="1:13" ht="60" customHeight="1">
      <c r="A14" s="69" t="str">
        <f>IF(Data!AX14="","",'Job Sheet'!A14)</f>
        <v>12</v>
      </c>
      <c r="B14" s="23" t="str">
        <f>IF(C14="","",'Job Sheet'!B14)</f>
        <v/>
      </c>
      <c r="C14" s="23" t="str">
        <f t="array" ref="C14">IF(bpLOOKUP(Data!$AV14,"ELECTRICIAN",CustOrdOpt,6,FALSE)="Yes","Yes","")</f>
        <v/>
      </c>
      <c r="D14" s="23" t="str">
        <f>IF(C14="","",Data!AX14)</f>
        <v/>
      </c>
      <c r="E14" s="30" t="str">
        <f>IF(C14="","",'Job Sheet'!J14)</f>
        <v/>
      </c>
      <c r="F14" s="30" t="str">
        <f>IF(C14="","",'Job Sheet'!L14)</f>
        <v/>
      </c>
      <c r="G14" s="30" t="str">
        <f>IF(C14="","",'Job Sheet'!R14)</f>
        <v/>
      </c>
      <c r="H14" s="30"/>
      <c r="I14" s="30" t="str">
        <f t="array" ref="I14">bpLOOKUP(Data!$AV14,"HOUSECONSTRUCTION",CustOrdOpt,6,FALSE)</f>
        <v/>
      </c>
      <c r="J14" s="30" t="str">
        <f t="array" ref="J14">bpLOOKUP(Data!$AV14,"ROOF",CustOrdOpt,6,FALSE)</f>
        <v/>
      </c>
      <c r="K14" s="30" t="str">
        <f t="array" ref="K14">bpLOOKUP(Data!$AV14,"SWITCHBOARD",CustOrdOpt,6,FALSE)</f>
        <v/>
      </c>
      <c r="L14" s="30" t="str">
        <f t="array" ref="L14">bpLOOKUP(Data!$AV14,"STOREYS",CustOrdOpt,6,FALSE)</f>
        <v/>
      </c>
      <c r="M14" s="73" t="str">
        <f>IF(C14="","",'Job Sheet'!AO14)</f>
        <v/>
      </c>
    </row>
    <row r="15" spans="1:13" ht="60" customHeight="1">
      <c r="A15" s="69" t="str">
        <f>IF(Data!AX15="","",'Job Sheet'!A15)</f>
        <v/>
      </c>
      <c r="B15" s="23" t="str">
        <f>IF(C15="","",'Job Sheet'!B15)</f>
        <v/>
      </c>
      <c r="C15" s="23" t="str">
        <f t="array" ref="C15">IF(bpLOOKUP(Data!$AV15,"ELECTRICIAN",CustOrdOpt,6,FALSE)="Yes","Yes","")</f>
        <v/>
      </c>
      <c r="D15" s="23" t="str">
        <f>IF(C15="","",Data!AX15)</f>
        <v/>
      </c>
      <c r="E15" s="30" t="str">
        <f>IF(C15="","",'Job Sheet'!J15)</f>
        <v/>
      </c>
      <c r="F15" s="30" t="str">
        <f>IF(C15="","",'Job Sheet'!L15)</f>
        <v/>
      </c>
      <c r="G15" s="30" t="str">
        <f>IF(C15="","",'Job Sheet'!R15)</f>
        <v/>
      </c>
      <c r="H15" s="30"/>
      <c r="I15" s="30" t="str">
        <f t="array" ref="I15">bpLOOKUP(Data!$AV15,"HOUSECONSTRUCTION",CustOrdOpt,6,FALSE)</f>
        <v/>
      </c>
      <c r="J15" s="30" t="str">
        <f t="array" ref="J15">bpLOOKUP(Data!$AV15,"ROOF",CustOrdOpt,6,FALSE)</f>
        <v/>
      </c>
      <c r="K15" s="30" t="str">
        <f t="array" ref="K15">bpLOOKUP(Data!$AV15,"SWITCHBOARD",CustOrdOpt,6,FALSE)</f>
        <v/>
      </c>
      <c r="L15" s="30" t="str">
        <f t="array" ref="L15">bpLOOKUP(Data!$AV15,"STOREYS",CustOrdOpt,6,FALSE)</f>
        <v/>
      </c>
      <c r="M15" s="73" t="str">
        <f>IF(C15="","",'Job Sheet'!AO15)</f>
        <v/>
      </c>
    </row>
    <row r="16" spans="1:13" ht="60" customHeight="1">
      <c r="A16" s="69" t="str">
        <f>IF(Data!AX16="","",'Job Sheet'!A16)</f>
        <v/>
      </c>
      <c r="B16" s="23" t="str">
        <f>IF(C16="","",'Job Sheet'!B16)</f>
        <v/>
      </c>
      <c r="C16" s="23" t="str">
        <f t="array" ref="C16">IF(bpLOOKUP(Data!$AV16,"ELECTRICIAN",CustOrdOpt,6,FALSE)="Yes","Yes","")</f>
        <v/>
      </c>
      <c r="D16" s="23" t="str">
        <f>IF(C16="","",Data!AX16)</f>
        <v/>
      </c>
      <c r="E16" s="30" t="str">
        <f>IF(C16="","",'Job Sheet'!J16)</f>
        <v/>
      </c>
      <c r="F16" s="30" t="str">
        <f>IF(C16="","",'Job Sheet'!L16)</f>
        <v/>
      </c>
      <c r="G16" s="30" t="str">
        <f>IF(C16="","",'Job Sheet'!R16)</f>
        <v/>
      </c>
      <c r="H16" s="30"/>
      <c r="I16" s="30" t="str">
        <f t="array" ref="I16">bpLOOKUP(Data!$AV16,"HOUSECONSTRUCTION",CustOrdOpt,6,FALSE)</f>
        <v/>
      </c>
      <c r="J16" s="30" t="str">
        <f t="array" ref="J16">bpLOOKUP(Data!$AV16,"ROOF",CustOrdOpt,6,FALSE)</f>
        <v/>
      </c>
      <c r="K16" s="30" t="str">
        <f t="array" ref="K16">bpLOOKUP(Data!$AV16,"SWITCHBOARD",CustOrdOpt,6,FALSE)</f>
        <v/>
      </c>
      <c r="L16" s="30" t="str">
        <f t="array" ref="L16">bpLOOKUP(Data!$AV16,"STOREYS",CustOrdOpt,6,FALSE)</f>
        <v/>
      </c>
      <c r="M16" s="73" t="str">
        <f>IF(C16="","",'Job Sheet'!AO16)</f>
        <v/>
      </c>
    </row>
    <row r="17" spans="1:13" ht="60" customHeight="1">
      <c r="A17" s="69" t="str">
        <f>IF(Data!AX17="","",'Job Sheet'!A17)</f>
        <v/>
      </c>
      <c r="B17" s="23" t="str">
        <f>IF(C17="","",'Job Sheet'!B17)</f>
        <v/>
      </c>
      <c r="C17" s="23" t="str">
        <f t="array" ref="C17">IF(bpLOOKUP(Data!$AV17,"ELECTRICIAN",CustOrdOpt,6,FALSE)="Yes","Yes","")</f>
        <v/>
      </c>
      <c r="D17" s="23" t="str">
        <f>IF(C17="","",Data!AX17)</f>
        <v/>
      </c>
      <c r="E17" s="30" t="str">
        <f>IF(C17="","",'Job Sheet'!J17)</f>
        <v/>
      </c>
      <c r="F17" s="30" t="str">
        <f>IF(C17="","",'Job Sheet'!L17)</f>
        <v/>
      </c>
      <c r="G17" s="30" t="str">
        <f>IF(C17="","",'Job Sheet'!R17)</f>
        <v/>
      </c>
      <c r="H17" s="30"/>
      <c r="I17" s="30" t="str">
        <f t="array" ref="I17">bpLOOKUP(Data!$AV17,"HOUSECONSTRUCTION",CustOrdOpt,6,FALSE)</f>
        <v/>
      </c>
      <c r="J17" s="30" t="str">
        <f t="array" ref="J17">bpLOOKUP(Data!$AV17,"ROOF",CustOrdOpt,6,FALSE)</f>
        <v/>
      </c>
      <c r="K17" s="30" t="str">
        <f t="array" ref="K17">bpLOOKUP(Data!$AV17,"SWITCHBOARD",CustOrdOpt,6,FALSE)</f>
        <v/>
      </c>
      <c r="L17" s="30" t="str">
        <f t="array" ref="L17">bpLOOKUP(Data!$AV17,"STOREYS",CustOrdOpt,6,FALSE)</f>
        <v/>
      </c>
      <c r="M17" s="73" t="str">
        <f>IF(C17="","",'Job Sheet'!AO17)</f>
        <v/>
      </c>
    </row>
    <row r="18" spans="1:13" ht="60" customHeight="1">
      <c r="A18" s="69" t="str">
        <f>IF(Data!AX18="","",'Job Sheet'!A18)</f>
        <v/>
      </c>
      <c r="B18" s="23" t="str">
        <f>IF(C18="","",'Job Sheet'!B18)</f>
        <v/>
      </c>
      <c r="C18" s="23" t="str">
        <f t="array" ref="C18">IF(bpLOOKUP(Data!$AV18,"ELECTRICIAN",CustOrdOpt,6,FALSE)="Yes","Yes","")</f>
        <v/>
      </c>
      <c r="D18" s="23" t="str">
        <f>IF(C18="","",Data!AX18)</f>
        <v/>
      </c>
      <c r="E18" s="30" t="str">
        <f>IF(C18="","",'Job Sheet'!J18)</f>
        <v/>
      </c>
      <c r="F18" s="30" t="str">
        <f>IF(C18="","",'Job Sheet'!L18)</f>
        <v/>
      </c>
      <c r="G18" s="30" t="str">
        <f>IF(C18="","",'Job Sheet'!R18)</f>
        <v/>
      </c>
      <c r="H18" s="30"/>
      <c r="I18" s="30" t="str">
        <f t="array" ref="I18">bpLOOKUP(Data!$AV18,"HOUSECONSTRUCTION",CustOrdOpt,6,FALSE)</f>
        <v/>
      </c>
      <c r="J18" s="30" t="str">
        <f t="array" ref="J18">bpLOOKUP(Data!$AV18,"ROOF",CustOrdOpt,6,FALSE)</f>
        <v/>
      </c>
      <c r="K18" s="30" t="str">
        <f t="array" ref="K18">bpLOOKUP(Data!$AV18,"SWITCHBOARD",CustOrdOpt,6,FALSE)</f>
        <v/>
      </c>
      <c r="L18" s="30" t="str">
        <f t="array" ref="L18">bpLOOKUP(Data!$AV18,"STOREYS",CustOrdOpt,6,FALSE)</f>
        <v/>
      </c>
      <c r="M18" s="73" t="str">
        <f>IF(C18="","",'Job Sheet'!AO18)</f>
        <v/>
      </c>
    </row>
    <row r="19" spans="1:13" ht="60" customHeight="1">
      <c r="A19" s="69" t="str">
        <f>IF(Data!AX19="","",'Job Sheet'!A19)</f>
        <v/>
      </c>
      <c r="B19" s="23" t="str">
        <f>IF(C19="","",'Job Sheet'!B19)</f>
        <v/>
      </c>
      <c r="C19" s="23" t="str">
        <f t="array" ref="C19">IF(bpLOOKUP(Data!$AV19,"ELECTRICIAN",CustOrdOpt,6,FALSE)="Yes","Yes","")</f>
        <v/>
      </c>
      <c r="D19" s="23" t="str">
        <f>IF(C19="","",Data!AX19)</f>
        <v/>
      </c>
      <c r="E19" s="30" t="str">
        <f>IF(C19="","",'Job Sheet'!J19)</f>
        <v/>
      </c>
      <c r="F19" s="30" t="str">
        <f>IF(C19="","",'Job Sheet'!L19)</f>
        <v/>
      </c>
      <c r="G19" s="30" t="str">
        <f>IF(C19="","",'Job Sheet'!R19)</f>
        <v/>
      </c>
      <c r="H19" s="30"/>
      <c r="I19" s="30" t="str">
        <f t="array" ref="I19">bpLOOKUP(Data!$AV19,"HOUSECONSTRUCTION",CustOrdOpt,6,FALSE)</f>
        <v/>
      </c>
      <c r="J19" s="30" t="str">
        <f t="array" ref="J19">bpLOOKUP(Data!$AV19,"ROOF",CustOrdOpt,6,FALSE)</f>
        <v/>
      </c>
      <c r="K19" s="30" t="str">
        <f t="array" ref="K19">bpLOOKUP(Data!$AV19,"SWITCHBOARD",CustOrdOpt,6,FALSE)</f>
        <v/>
      </c>
      <c r="L19" s="30" t="str">
        <f t="array" ref="L19">bpLOOKUP(Data!$AV19,"STOREYS",CustOrdOpt,6,FALSE)</f>
        <v/>
      </c>
      <c r="M19" s="73" t="str">
        <f>IF(C19="","",'Job Sheet'!AO19)</f>
        <v/>
      </c>
    </row>
    <row r="20" spans="1:13" ht="60" customHeight="1">
      <c r="A20" s="69" t="str">
        <f>IF(Data!AX20="","",'Job Sheet'!A20)</f>
        <v/>
      </c>
      <c r="B20" s="23" t="str">
        <f>IF(C20="","",'Job Sheet'!B20)</f>
        <v/>
      </c>
      <c r="C20" s="23" t="str">
        <f t="array" ref="C20">IF(bpLOOKUP(Data!$AV20,"ELECTRICIAN",CustOrdOpt,6,FALSE)="Yes","Yes","")</f>
        <v/>
      </c>
      <c r="D20" s="23" t="str">
        <f>IF(C20="","",Data!AX20)</f>
        <v/>
      </c>
      <c r="E20" s="30" t="str">
        <f>IF(C20="","",'Job Sheet'!J20)</f>
        <v/>
      </c>
      <c r="F20" s="30" t="str">
        <f>IF(C20="","",'Job Sheet'!L20)</f>
        <v/>
      </c>
      <c r="G20" s="30" t="str">
        <f>IF(C20="","",'Job Sheet'!R20)</f>
        <v/>
      </c>
      <c r="H20" s="30"/>
      <c r="I20" s="30" t="str">
        <f t="array" ref="I20">bpLOOKUP(Data!$AV20,"HOUSECONSTRUCTION",CustOrdOpt,6,FALSE)</f>
        <v/>
      </c>
      <c r="J20" s="30" t="str">
        <f t="array" ref="J20">bpLOOKUP(Data!$AV20,"ROOF",CustOrdOpt,6,FALSE)</f>
        <v/>
      </c>
      <c r="K20" s="30" t="str">
        <f t="array" ref="K20">bpLOOKUP(Data!$AV20,"SWITCHBOARD",CustOrdOpt,6,FALSE)</f>
        <v/>
      </c>
      <c r="L20" s="30" t="str">
        <f t="array" ref="L20">bpLOOKUP(Data!$AV20,"STOREYS",CustOrdOpt,6,FALSE)</f>
        <v/>
      </c>
      <c r="M20" s="73" t="str">
        <f>IF(C20="","",'Job Sheet'!AO20)</f>
        <v/>
      </c>
    </row>
    <row r="21" ht="60" customHeight="1"/>
    <row r="22" ht="60" customHeight="1"/>
    <row r="23" ht="60" customHeight="1"/>
    <row r="24" ht="60" customHeight="1"/>
    <row r="25" ht="60" customHeight="1"/>
    <row r="26" ht="60" customHeight="1"/>
    <row r="27" ht="60" customHeight="1"/>
    <row r="28" ht="60" customHeight="1"/>
    <row r="29" ht="60" customHeight="1"/>
    <row r="30" ht="60" customHeight="1"/>
    <row r="31" ht="60" customHeight="1"/>
    <row r="32" ht="60" customHeight="1"/>
    <row r="33" ht="60" customHeight="1"/>
    <row r="34" ht="60" customHeight="1"/>
    <row r="35" ht="60" customHeight="1"/>
    <row r="36" ht="60" customHeight="1"/>
    <row r="37" ht="60" customHeight="1"/>
    <row r="38" ht="60" customHeight="1"/>
    <row r="39" ht="60" customHeight="1"/>
    <row r="40" ht="60" customHeight="1"/>
    <row r="41" ht="60" customHeight="1"/>
    <row r="42" ht="60" customHeight="1"/>
    <row r="43" ht="60" customHeight="1"/>
    <row r="44" ht="60" customHeight="1"/>
    <row r="45" ht="60" customHeight="1"/>
    <row r="46" ht="60" customHeight="1"/>
    <row r="47" ht="60" customHeight="1"/>
    <row r="48" ht="60" customHeight="1"/>
    <row r="49" ht="60" customHeight="1"/>
    <row r="50" ht="60" customHeight="1"/>
    <row r="51" ht="60" customHeight="1"/>
    <row r="52" ht="60" customHeight="1"/>
    <row r="53" ht="60" customHeight="1"/>
    <row r="54" ht="60" customHeight="1"/>
    <row r="55" ht="60" customHeight="1"/>
    <row r="56" ht="60" customHeight="1"/>
    <row r="57" ht="60" customHeight="1"/>
    <row r="58" ht="60" customHeight="1"/>
    <row r="59" ht="60" customHeight="1"/>
    <row r="60" ht="60" customHeight="1"/>
    <row r="61" ht="60" customHeight="1"/>
    <row r="62" ht="60" customHeight="1"/>
    <row r="63" ht="60" customHeight="1"/>
    <row r="64" ht="60" customHeight="1"/>
    <row r="65" ht="60" customHeight="1"/>
    <row r="66" ht="60" customHeight="1"/>
    <row r="67" ht="60" customHeight="1"/>
    <row r="68" ht="60" customHeight="1"/>
    <row r="69" ht="60" customHeight="1"/>
    <row r="70" ht="60" customHeight="1"/>
    <row r="71" ht="60" customHeight="1"/>
    <row r="72" ht="60" customHeight="1"/>
    <row r="73" ht="60" customHeight="1"/>
    <row r="74" ht="60" customHeight="1"/>
    <row r="75" ht="60" customHeight="1"/>
    <row r="76" ht="60" customHeight="1"/>
    <row r="77" ht="60" customHeight="1"/>
    <row r="78" ht="60" customHeight="1"/>
    <row r="79" ht="60" customHeight="1"/>
    <row r="80" ht="60" customHeight="1"/>
    <row r="81" ht="60" customHeight="1"/>
    <row r="82" ht="60" customHeight="1"/>
    <row r="83" ht="60" customHeight="1"/>
    <row r="84" ht="60" customHeight="1"/>
  </sheetData>
  <mergeCells count="37">
    <mergeCell ref="K3:M5"/>
    <mergeCell ref="L6:M6"/>
    <mergeCell ref="K8:K10"/>
    <mergeCell ref="L8:L10"/>
    <mergeCell ref="M8:M10"/>
    <mergeCell ref="K7:L7"/>
    <mergeCell ref="F8:F10"/>
    <mergeCell ref="G8:G10"/>
    <mergeCell ref="H8:H10"/>
    <mergeCell ref="I8:I10"/>
    <mergeCell ref="J8:J10"/>
    <mergeCell ref="A8:A10"/>
    <mergeCell ref="B8:B10"/>
    <mergeCell ref="C8:C10"/>
    <mergeCell ref="D8:D10"/>
    <mergeCell ref="E8:E10"/>
    <mergeCell ref="A3:B3"/>
    <mergeCell ref="C3:D3"/>
    <mergeCell ref="E3:F3"/>
    <mergeCell ref="G3:J3"/>
    <mergeCell ref="A4:B4"/>
    <mergeCell ref="C4:D4"/>
    <mergeCell ref="E4:F4"/>
    <mergeCell ref="G4:J4"/>
    <mergeCell ref="A5:B5"/>
    <mergeCell ref="C5:D5"/>
    <mergeCell ref="E5:F7"/>
    <mergeCell ref="G5:J5"/>
    <mergeCell ref="A6:D7"/>
    <mergeCell ref="G6:J6"/>
    <mergeCell ref="G7:J7"/>
    <mergeCell ref="A1:M1"/>
    <mergeCell ref="A2:B2"/>
    <mergeCell ref="C2:D2"/>
    <mergeCell ref="E2:F2"/>
    <mergeCell ref="G2:J2"/>
    <mergeCell ref="K2:M2"/>
  </mergeCells>
  <printOptions horizontalCentered="1"/>
  <pageMargins left="0.996062992126028" right="0.996062992126028" top="0.31496062992126" bottom="0.31496062992126" header="0.31496062992126" footer="0.31496062992126"/>
  <pageSetup fitToHeight="0" orientation="landscape" paperSize="9" scale="1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10AEF8-6CB0-481F-97D8-8996F81C54DE}">
  <sheetPr codeName="Sheet11"/>
  <dimension ref="A1:PW77"/>
  <sheetViews>
    <sheetView zoomScale="110" zoomScaleNormal="110" workbookViewId="0" topLeftCell="A1">
      <selection pane="topLeft" activeCell="KH5" sqref="KH5"/>
    </sheetView>
  </sheetViews>
  <sheetFormatPr defaultColWidth="9.109375" defaultRowHeight="13.5"/>
  <cols>
    <col min="1" max="1" width="15.2857142857143" customWidth="1"/>
    <col min="2" max="2" width="11.1428571428571" customWidth="1"/>
    <col min="3" max="3" width="9" customWidth="1"/>
    <col min="4" max="4" width="7.57142857142857" style="7" customWidth="1"/>
    <col min="5" max="5" width="5.42857142857143" style="7" customWidth="1"/>
    <col min="6" max="6" width="7.57142857142857" style="7" customWidth="1"/>
    <col min="7" max="7" width="21" style="7" customWidth="1"/>
    <col min="8" max="8" width="28.2857142857143" style="7" bestFit="1" customWidth="1"/>
    <col min="9" max="9" width="27.4285714285714" style="7" customWidth="1"/>
    <col min="10" max="10" width="6.71428571428571" style="74" customWidth="1"/>
    <col min="11" max="11" width="5.42857142857143" style="7" customWidth="1"/>
    <col min="12" max="12" width="5.42857142857143" style="74" customWidth="1"/>
    <col min="13" max="13" width="4.28571428571429" style="7" customWidth="1"/>
    <col min="14" max="14" width="4.28571428571429" style="75" customWidth="1"/>
    <col min="15" max="15" width="4.28571428571429" style="7" customWidth="1"/>
    <col min="16" max="18" width="4.28571428571429" style="74" customWidth="1"/>
    <col min="19" max="45" width="4.28571428571429" style="7" customWidth="1"/>
    <col min="46" max="46" width="4.42857142857143" style="7" bestFit="1" customWidth="1"/>
    <col min="47" max="48" width="4.28571428571429" style="7" customWidth="1"/>
    <col min="49" max="49" width="4.42857142857143" style="7" bestFit="1" customWidth="1"/>
    <col min="50" max="50" width="4.42857142857143" style="7" customWidth="1"/>
    <col min="51" max="117" width="4.28571428571429" style="7" customWidth="1"/>
    <col min="118" max="417" width="4.28571428571429" customWidth="1"/>
    <col min="418" max="418" width="5.14285714285714" bestFit="1" customWidth="1"/>
    <col min="419" max="419" width="5.14285714285714" customWidth="1"/>
    <col min="420" max="448" width="4.28571428571429" customWidth="1"/>
  </cols>
  <sheetData>
    <row r="1" spans="4:392" s="83" customFormat="1" ht="102">
      <c r="D1" s="80"/>
      <c r="E1" s="80"/>
      <c r="F1" s="80"/>
      <c r="G1" s="80"/>
      <c r="H1" s="80"/>
      <c r="I1" s="80"/>
      <c r="J1" s="81"/>
      <c r="K1" s="80"/>
      <c r="L1" s="81"/>
      <c r="M1" s="80"/>
      <c r="N1" s="82"/>
      <c r="O1" s="80"/>
      <c r="P1" s="81"/>
      <c r="Q1" s="81"/>
      <c r="R1" s="81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0"/>
      <c r="BO1" s="80"/>
      <c r="BP1" s="80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  <c r="CL1" s="80"/>
      <c r="CM1" s="80"/>
      <c r="CN1" s="80"/>
      <c r="CO1" s="80"/>
      <c r="CP1" s="80"/>
      <c r="CQ1" s="80"/>
      <c r="CR1" s="80"/>
      <c r="CS1" s="80"/>
      <c r="CT1" s="80"/>
      <c r="CU1" s="80"/>
      <c r="CV1" s="80"/>
      <c r="CW1" s="80"/>
      <c r="CX1" s="80"/>
      <c r="CY1" s="80"/>
      <c r="CZ1" s="80"/>
      <c r="DA1" s="80"/>
      <c r="DB1" s="80"/>
      <c r="DC1" s="80"/>
      <c r="DD1" s="80"/>
      <c r="DE1" s="80"/>
      <c r="DF1" s="80"/>
      <c r="DG1" s="80"/>
      <c r="DH1" s="80"/>
      <c r="DI1" s="80"/>
      <c r="DJ1" s="80"/>
      <c r="DK1" s="80"/>
      <c r="DL1" s="80"/>
      <c r="DM1" s="80"/>
      <c r="DN1" s="80"/>
      <c r="DO1" s="80"/>
      <c r="DP1" s="80"/>
      <c r="DQ1" s="80"/>
      <c r="DR1" s="80"/>
      <c r="DS1" s="80"/>
      <c r="DT1" s="80"/>
      <c r="DU1" s="80"/>
      <c r="DV1" s="80"/>
      <c r="DW1" s="80"/>
      <c r="DX1" s="80"/>
      <c r="DY1" s="80"/>
      <c r="DZ1" s="80"/>
      <c r="EA1" s="80"/>
      <c r="EB1" s="80"/>
      <c r="EC1" s="80"/>
      <c r="ED1" s="80"/>
      <c r="EE1" s="80"/>
      <c r="EF1" s="80"/>
      <c r="EG1" s="80"/>
      <c r="EH1" s="80"/>
      <c r="EI1" s="80"/>
      <c r="EJ1" s="80"/>
      <c r="EK1" s="80"/>
      <c r="EL1" s="80"/>
      <c r="EM1" s="80"/>
      <c r="EN1" s="80"/>
      <c r="EO1" s="80"/>
      <c r="EP1" s="80"/>
      <c r="EQ1" s="80"/>
      <c r="ER1" s="80"/>
      <c r="ES1" s="80"/>
      <c r="ET1" s="80"/>
      <c r="EU1" s="80"/>
      <c r="EV1" s="80"/>
      <c r="EW1" s="80"/>
      <c r="EX1" s="80"/>
      <c r="EY1" s="80"/>
      <c r="EZ1" s="80"/>
      <c r="FA1" s="80"/>
      <c r="FB1" s="80"/>
      <c r="FC1" s="80"/>
      <c r="FD1" s="80"/>
      <c r="FE1" s="80"/>
      <c r="FF1" s="80"/>
      <c r="FG1" s="80"/>
      <c r="FH1" s="80"/>
      <c r="FI1" s="80"/>
      <c r="FJ1" s="80"/>
      <c r="FK1" s="80"/>
      <c r="FL1" s="80"/>
      <c r="FM1" s="80"/>
      <c r="FN1" s="80"/>
      <c r="FO1" s="80"/>
      <c r="FP1" s="80"/>
      <c r="FQ1" s="80"/>
      <c r="FR1" s="80"/>
      <c r="FS1" s="80"/>
      <c r="FT1" s="80"/>
      <c r="FU1" s="80"/>
      <c r="FV1" s="80"/>
      <c r="FW1" s="80"/>
      <c r="FX1" s="80"/>
      <c r="KU1" s="83">
        <v>1240512</v>
      </c>
      <c r="KX1" s="84" t="s">
        <v>288</v>
      </c>
      <c r="KZ1" s="84" t="s">
        <v>289</v>
      </c>
      <c r="LB1" s="84" t="s">
        <v>290</v>
      </c>
      <c r="LC1" s="83" t="s">
        <v>291</v>
      </c>
      <c r="LD1" s="83" t="s">
        <v>292</v>
      </c>
      <c r="LE1" s="83" t="s">
        <v>293</v>
      </c>
      <c r="LF1" s="83" t="s">
        <v>293</v>
      </c>
      <c r="LG1" s="83" t="s">
        <v>294</v>
      </c>
      <c r="LH1" s="83" t="s">
        <v>295</v>
      </c>
      <c r="LI1" s="83" t="s">
        <v>296</v>
      </c>
      <c r="LJ1" s="83" t="s">
        <v>297</v>
      </c>
      <c r="LK1" s="83" t="s">
        <v>298</v>
      </c>
      <c r="LL1" s="83" t="s">
        <v>299</v>
      </c>
      <c r="LM1" s="83" t="s">
        <v>300</v>
      </c>
      <c r="LN1" s="83" t="s">
        <v>295</v>
      </c>
      <c r="LO1" s="83" t="s">
        <v>301</v>
      </c>
      <c r="LP1" s="83" t="s">
        <v>302</v>
      </c>
      <c r="LQ1" s="83" t="s">
        <v>303</v>
      </c>
      <c r="LR1" s="83">
        <v>9021018</v>
      </c>
      <c r="LS1" s="83" t="s">
        <v>304</v>
      </c>
      <c r="LT1" s="83" t="s">
        <v>305</v>
      </c>
      <c r="LU1" s="83" t="s">
        <v>306</v>
      </c>
      <c r="LV1" s="83" t="s">
        <v>307</v>
      </c>
      <c r="LW1" s="83" t="s">
        <v>308</v>
      </c>
      <c r="LX1" s="83" t="s">
        <v>309</v>
      </c>
      <c r="LY1" s="83" t="s">
        <v>310</v>
      </c>
      <c r="LZ1" s="83" t="s">
        <v>311</v>
      </c>
      <c r="MA1" s="83" t="s">
        <v>312</v>
      </c>
      <c r="MB1" s="83" t="s">
        <v>313</v>
      </c>
      <c r="MC1" s="83" t="s">
        <v>314</v>
      </c>
      <c r="MD1" s="83" t="s">
        <v>315</v>
      </c>
      <c r="ME1" s="83" t="s">
        <v>316</v>
      </c>
      <c r="MF1" s="83" t="s">
        <v>317</v>
      </c>
      <c r="MG1" s="83" t="s">
        <v>318</v>
      </c>
      <c r="MH1" s="83" t="s">
        <v>319</v>
      </c>
      <c r="MI1" s="83" t="s">
        <v>320</v>
      </c>
      <c r="MJ1" s="83" t="s">
        <v>321</v>
      </c>
      <c r="MK1" s="83" t="s">
        <v>322</v>
      </c>
      <c r="ML1" s="83" t="s">
        <v>323</v>
      </c>
      <c r="MM1" s="83" t="s">
        <v>324</v>
      </c>
      <c r="MN1" s="83" t="s">
        <v>321</v>
      </c>
      <c r="MO1" s="83" t="s">
        <v>322</v>
      </c>
      <c r="MP1" s="83" t="s">
        <v>323</v>
      </c>
      <c r="MQ1" s="83" t="s">
        <v>324</v>
      </c>
      <c r="MR1" s="83" t="s">
        <v>325</v>
      </c>
      <c r="MS1" s="83" t="s">
        <v>326</v>
      </c>
      <c r="MT1" s="83" t="s">
        <v>325</v>
      </c>
      <c r="MU1" s="83" t="s">
        <v>326</v>
      </c>
      <c r="MV1" s="83" t="s">
        <v>327</v>
      </c>
      <c r="MW1" s="83" t="s">
        <v>328</v>
      </c>
      <c r="MX1" s="83" t="s">
        <v>329</v>
      </c>
      <c r="MY1" s="83" t="s">
        <v>330</v>
      </c>
      <c r="MZ1" s="83" t="s">
        <v>331</v>
      </c>
      <c r="NA1" s="83" t="s">
        <v>332</v>
      </c>
      <c r="NF1" s="83">
        <v>1800459</v>
      </c>
      <c r="NG1" s="83">
        <v>1800460</v>
      </c>
      <c r="NH1" s="83">
        <v>1811418</v>
      </c>
      <c r="NI1" s="83">
        <v>1811419</v>
      </c>
      <c r="NJ1" s="83">
        <v>1811420</v>
      </c>
      <c r="NK1" s="83">
        <v>1811421</v>
      </c>
      <c r="NL1" s="83">
        <v>1811020</v>
      </c>
      <c r="NM1" s="83">
        <v>1811021</v>
      </c>
      <c r="NN1" s="83">
        <v>1811045</v>
      </c>
      <c r="NO1" s="83">
        <v>1800223</v>
      </c>
      <c r="NP1" s="83">
        <v>1800295</v>
      </c>
      <c r="NQ1" s="83">
        <v>9015023</v>
      </c>
      <c r="NR1" s="83">
        <v>9015025</v>
      </c>
      <c r="NS1" s="83">
        <v>9025165</v>
      </c>
      <c r="NT1" s="83">
        <v>1811591</v>
      </c>
      <c r="NU1" s="83" t="s">
        <v>333</v>
      </c>
      <c r="NV1" s="83" t="s">
        <v>334</v>
      </c>
      <c r="NW1" s="83" t="s">
        <v>335</v>
      </c>
      <c r="NX1" s="83" t="s">
        <v>336</v>
      </c>
      <c r="NY1" s="83" t="s">
        <v>337</v>
      </c>
      <c r="NZ1" s="83" t="s">
        <v>338</v>
      </c>
      <c r="OA1" s="83" t="s">
        <v>339</v>
      </c>
      <c r="OB1" s="83" t="s">
        <v>340</v>
      </c>
    </row>
    <row r="2" spans="4:314" s="83" customFormat="1" ht="24.6" customHeight="1">
      <c r="D2" s="80"/>
      <c r="E2" s="80"/>
      <c r="F2" s="80"/>
      <c r="G2" s="80"/>
      <c r="H2" s="80"/>
      <c r="I2" s="80"/>
      <c r="J2" s="81"/>
      <c r="K2" s="80"/>
      <c r="L2" s="81"/>
      <c r="M2" s="80"/>
      <c r="N2" s="82"/>
      <c r="O2" s="80"/>
      <c r="P2" s="81"/>
      <c r="Q2" s="81"/>
      <c r="R2" s="81"/>
      <c r="S2" s="80"/>
      <c r="T2" s="80"/>
      <c r="U2" s="80"/>
      <c r="V2" s="80"/>
      <c r="W2" s="80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80"/>
      <c r="BP2" s="80"/>
      <c r="BQ2" s="80"/>
      <c r="BR2" s="80"/>
      <c r="BS2" s="80"/>
      <c r="BT2" s="80"/>
      <c r="BU2" s="80"/>
      <c r="BV2" s="80"/>
      <c r="BW2" s="80"/>
      <c r="BX2" s="80"/>
      <c r="BY2" s="80"/>
      <c r="BZ2" s="80"/>
      <c r="CA2" s="80"/>
      <c r="CB2" s="80"/>
      <c r="CC2" s="80"/>
      <c r="CD2" s="80"/>
      <c r="CE2" s="80"/>
      <c r="CF2" s="80"/>
      <c r="CG2" s="80"/>
      <c r="CH2" s="80"/>
      <c r="CI2" s="80"/>
      <c r="CJ2" s="80"/>
      <c r="CK2" s="80"/>
      <c r="CL2" s="80"/>
      <c r="CM2" s="80"/>
      <c r="CN2" s="80"/>
      <c r="CO2" s="80"/>
      <c r="CP2" s="80"/>
      <c r="CQ2" s="80"/>
      <c r="CR2" s="80"/>
      <c r="CS2" s="80"/>
      <c r="CT2" s="80"/>
      <c r="CU2" s="80"/>
      <c r="CV2" s="80"/>
      <c r="CW2" s="80"/>
      <c r="CX2" s="80"/>
      <c r="CY2" s="80"/>
      <c r="CZ2" s="80"/>
      <c r="DA2" s="80"/>
      <c r="DB2" s="80"/>
      <c r="DC2" s="80"/>
      <c r="DD2" s="80"/>
      <c r="DE2" s="80"/>
      <c r="DF2" s="80"/>
      <c r="DG2" s="80"/>
      <c r="DH2" s="80"/>
      <c r="DI2" s="80"/>
      <c r="DJ2" s="80"/>
      <c r="DK2" s="80"/>
      <c r="DL2" s="80"/>
      <c r="DM2" s="80"/>
      <c r="DN2" s="80"/>
      <c r="DO2" s="80"/>
      <c r="DP2" s="80"/>
      <c r="DQ2" s="80"/>
      <c r="DR2" s="80"/>
      <c r="DS2" s="80"/>
      <c r="DT2" s="80"/>
      <c r="DU2" s="80"/>
      <c r="DV2" s="80"/>
      <c r="DW2" s="80"/>
      <c r="DX2" s="80"/>
      <c r="DY2" s="80"/>
      <c r="DZ2" s="80"/>
      <c r="EA2" s="80"/>
      <c r="EB2" s="80"/>
      <c r="EC2" s="80"/>
      <c r="ED2" s="80"/>
      <c r="EE2" s="80"/>
      <c r="EF2" s="80"/>
      <c r="EG2" s="80"/>
      <c r="EH2" s="80"/>
      <c r="EI2" s="80"/>
      <c r="EJ2" s="80"/>
      <c r="EK2" s="80"/>
      <c r="EL2" s="80"/>
      <c r="EM2" s="80"/>
      <c r="EN2" s="80"/>
      <c r="EO2" s="80"/>
      <c r="EP2" s="80"/>
      <c r="EQ2" s="80"/>
      <c r="ER2" s="80"/>
      <c r="ES2" s="80"/>
      <c r="ET2" s="80"/>
      <c r="EU2" s="80"/>
      <c r="EV2" s="80"/>
      <c r="EW2" s="80"/>
      <c r="EX2" s="80"/>
      <c r="EY2" s="80"/>
      <c r="EZ2" s="80"/>
      <c r="FA2" s="80"/>
      <c r="FB2" s="80"/>
      <c r="FC2" s="80"/>
      <c r="FD2" s="80"/>
      <c r="FE2" s="80"/>
      <c r="FF2" s="80"/>
      <c r="FG2" s="80"/>
      <c r="FH2" s="80"/>
      <c r="FI2" s="80"/>
      <c r="FJ2" s="80"/>
      <c r="FK2" s="80"/>
      <c r="FL2" s="80"/>
      <c r="FM2" s="80"/>
      <c r="FN2" s="80"/>
      <c r="FO2" s="80"/>
      <c r="FP2" s="80"/>
      <c r="FQ2" s="80"/>
      <c r="FR2" s="80"/>
      <c r="FS2" s="80"/>
      <c r="FT2" s="80"/>
      <c r="FU2" s="80"/>
      <c r="FV2" s="80"/>
      <c r="FW2" s="80"/>
      <c r="FX2" s="80"/>
      <c r="KX2" s="84"/>
      <c r="KZ2" s="84"/>
      <c r="LB2" s="84"/>
    </row>
    <row r="3" spans="1:439" s="42" customFormat="1" ht="143.4" customHeight="1">
      <c r="A3" s="150" t="s">
        <v>341</v>
      </c>
      <c r="B3" s="150" t="s">
        <v>342</v>
      </c>
      <c r="C3" s="150" t="s">
        <v>343</v>
      </c>
      <c r="D3" s="76" t="s">
        <v>344</v>
      </c>
      <c r="E3" s="76" t="s">
        <v>345</v>
      </c>
      <c r="F3" s="76" t="s">
        <v>346</v>
      </c>
      <c r="G3" s="77" t="s">
        <v>347</v>
      </c>
      <c r="H3" s="77" t="s">
        <v>348</v>
      </c>
      <c r="I3" s="77" t="s">
        <v>349</v>
      </c>
      <c r="J3" s="77" t="s">
        <v>350</v>
      </c>
      <c r="K3" s="77" t="s">
        <v>121</v>
      </c>
      <c r="L3" s="77" t="s">
        <v>206</v>
      </c>
      <c r="M3" s="151" t="s">
        <v>351</v>
      </c>
      <c r="N3" s="151" t="s">
        <v>352</v>
      </c>
      <c r="O3" s="151" t="s">
        <v>353</v>
      </c>
      <c r="P3" s="151" t="s">
        <v>354</v>
      </c>
      <c r="Q3" s="151" t="s">
        <v>355</v>
      </c>
      <c r="R3" s="149" t="s">
        <v>356</v>
      </c>
      <c r="S3" s="149" t="s">
        <v>357</v>
      </c>
      <c r="T3" s="149" t="s">
        <v>358</v>
      </c>
      <c r="U3" s="149" t="s">
        <v>359</v>
      </c>
      <c r="V3" s="149" t="s">
        <v>360</v>
      </c>
      <c r="W3" s="151" t="s">
        <v>361</v>
      </c>
      <c r="X3" s="151" t="s">
        <v>362</v>
      </c>
      <c r="Y3" s="151" t="s">
        <v>363</v>
      </c>
      <c r="Z3" s="151" t="s">
        <v>364</v>
      </c>
      <c r="AA3" s="151" t="s">
        <v>365</v>
      </c>
      <c r="AB3" s="149" t="s">
        <v>243</v>
      </c>
      <c r="AC3" s="149" t="s">
        <v>366</v>
      </c>
      <c r="AD3" s="151" t="s">
        <v>367</v>
      </c>
      <c r="AE3" s="151" t="s">
        <v>368</v>
      </c>
      <c r="AF3" s="151" t="s">
        <v>369</v>
      </c>
      <c r="AG3" s="151" t="s">
        <v>370</v>
      </c>
      <c r="AH3" s="149" t="s">
        <v>371</v>
      </c>
      <c r="AI3" s="149" t="s">
        <v>372</v>
      </c>
      <c r="AJ3" s="149" t="s">
        <v>373</v>
      </c>
      <c r="AK3" s="149" t="s">
        <v>374</v>
      </c>
      <c r="AL3" s="151" t="s">
        <v>375</v>
      </c>
      <c r="AM3" s="151" t="s">
        <v>376</v>
      </c>
      <c r="AN3" s="151" t="s">
        <v>377</v>
      </c>
      <c r="AO3" s="151" t="s">
        <v>378</v>
      </c>
      <c r="AP3" s="149" t="s">
        <v>379</v>
      </c>
      <c r="AQ3" s="149" t="s">
        <v>380</v>
      </c>
      <c r="AR3" s="149" t="s">
        <v>381</v>
      </c>
      <c r="AS3" s="149" t="s">
        <v>382</v>
      </c>
      <c r="AT3" s="151" t="s">
        <v>383</v>
      </c>
      <c r="AU3" s="151" t="s">
        <v>384</v>
      </c>
      <c r="AV3" s="151" t="s">
        <v>385</v>
      </c>
      <c r="AW3" s="151" t="s">
        <v>386</v>
      </c>
      <c r="AX3" s="149" t="s">
        <v>2886</v>
      </c>
      <c r="AY3" s="149" t="s">
        <v>2889</v>
      </c>
      <c r="AZ3" s="149" t="s">
        <v>2888</v>
      </c>
      <c r="BA3" s="149" t="s">
        <v>2887</v>
      </c>
      <c r="BB3" s="149" t="s">
        <v>248</v>
      </c>
      <c r="BC3" s="149" t="s">
        <v>2876</v>
      </c>
      <c r="BD3" s="149" t="s">
        <v>2877</v>
      </c>
      <c r="BE3" s="151" t="s">
        <v>387</v>
      </c>
      <c r="BF3" s="151" t="s">
        <v>388</v>
      </c>
      <c r="BG3" s="151" t="s">
        <v>389</v>
      </c>
      <c r="BH3" s="151" t="s">
        <v>390</v>
      </c>
      <c r="BI3" s="151" t="s">
        <v>391</v>
      </c>
      <c r="BJ3" s="149" t="s">
        <v>392</v>
      </c>
      <c r="BK3" s="149" t="s">
        <v>393</v>
      </c>
      <c r="BL3" s="149" t="s">
        <v>394</v>
      </c>
      <c r="BM3" s="149" t="s">
        <v>395</v>
      </c>
      <c r="BN3" s="149" t="s">
        <v>396</v>
      </c>
      <c r="BO3" s="151" t="s">
        <v>397</v>
      </c>
      <c r="BP3" s="151" t="s">
        <v>398</v>
      </c>
      <c r="BQ3" s="151" t="s">
        <v>399</v>
      </c>
      <c r="BR3" s="151" t="s">
        <v>400</v>
      </c>
      <c r="BS3" s="151" t="s">
        <v>401</v>
      </c>
      <c r="BT3" s="149" t="s">
        <v>402</v>
      </c>
      <c r="BU3" s="149" t="s">
        <v>403</v>
      </c>
      <c r="BV3" s="149" t="s">
        <v>404</v>
      </c>
      <c r="BW3" s="149" t="s">
        <v>405</v>
      </c>
      <c r="BX3" s="149" t="s">
        <v>406</v>
      </c>
      <c r="BY3" s="151" t="s">
        <v>407</v>
      </c>
      <c r="BZ3" s="151" t="s">
        <v>408</v>
      </c>
      <c r="CA3" s="151" t="s">
        <v>409</v>
      </c>
      <c r="CB3" s="151" t="s">
        <v>410</v>
      </c>
      <c r="CC3" s="151" t="s">
        <v>411</v>
      </c>
      <c r="CD3" s="149" t="s">
        <v>412</v>
      </c>
      <c r="CE3" s="149" t="s">
        <v>413</v>
      </c>
      <c r="CF3" s="149" t="s">
        <v>414</v>
      </c>
      <c r="CG3" s="149" t="s">
        <v>415</v>
      </c>
      <c r="CH3" s="149" t="s">
        <v>416</v>
      </c>
      <c r="CI3" s="151" t="s">
        <v>417</v>
      </c>
      <c r="CJ3" s="151" t="s">
        <v>418</v>
      </c>
      <c r="CK3" s="151" t="s">
        <v>419</v>
      </c>
      <c r="CL3" s="151" t="s">
        <v>420</v>
      </c>
      <c r="CM3" s="151" t="s">
        <v>421</v>
      </c>
      <c r="CN3" s="149" t="s">
        <v>422</v>
      </c>
      <c r="CO3" s="149" t="s">
        <v>423</v>
      </c>
      <c r="CP3" s="151" t="s">
        <v>424</v>
      </c>
      <c r="CQ3" s="151" t="s">
        <v>425</v>
      </c>
      <c r="CR3" s="149" t="s">
        <v>426</v>
      </c>
      <c r="CS3" s="149" t="s">
        <v>427</v>
      </c>
      <c r="CT3" s="149" t="s">
        <v>428</v>
      </c>
      <c r="CU3" s="149" t="s">
        <v>429</v>
      </c>
      <c r="CV3" s="149" t="s">
        <v>430</v>
      </c>
      <c r="CW3" s="151" t="s">
        <v>431</v>
      </c>
      <c r="CX3" s="151" t="s">
        <v>432</v>
      </c>
      <c r="CY3" s="151" t="s">
        <v>433</v>
      </c>
      <c r="CZ3" s="151" t="s">
        <v>434</v>
      </c>
      <c r="DA3" s="151" t="s">
        <v>435</v>
      </c>
      <c r="DB3" s="149" t="s">
        <v>436</v>
      </c>
      <c r="DC3" s="149" t="s">
        <v>437</v>
      </c>
      <c r="DD3" s="149" t="s">
        <v>438</v>
      </c>
      <c r="DE3" s="149" t="s">
        <v>439</v>
      </c>
      <c r="DF3" s="149" t="s">
        <v>440</v>
      </c>
      <c r="DG3" s="151" t="s">
        <v>441</v>
      </c>
      <c r="DH3" s="151" t="s">
        <v>442</v>
      </c>
      <c r="DI3" s="151" t="s">
        <v>443</v>
      </c>
      <c r="DJ3" s="151" t="s">
        <v>444</v>
      </c>
      <c r="DK3" s="151" t="s">
        <v>445</v>
      </c>
      <c r="DL3" s="149" t="s">
        <v>446</v>
      </c>
      <c r="DM3" s="149" t="s">
        <v>447</v>
      </c>
      <c r="DN3" s="149" t="s">
        <v>448</v>
      </c>
      <c r="DO3" s="149" t="s">
        <v>449</v>
      </c>
      <c r="DP3" s="149" t="s">
        <v>450</v>
      </c>
      <c r="DQ3" s="149" t="s">
        <v>451</v>
      </c>
      <c r="DR3" s="149" t="s">
        <v>452</v>
      </c>
      <c r="DS3" s="149" t="s">
        <v>453</v>
      </c>
      <c r="DT3" s="149" t="s">
        <v>454</v>
      </c>
      <c r="DU3" s="149" t="s">
        <v>455</v>
      </c>
      <c r="DV3" s="151" t="s">
        <v>456</v>
      </c>
      <c r="DW3" s="152" t="s">
        <v>457</v>
      </c>
      <c r="DX3" s="151" t="s">
        <v>458</v>
      </c>
      <c r="DY3" s="152" t="s">
        <v>459</v>
      </c>
      <c r="DZ3" s="151" t="s">
        <v>460</v>
      </c>
      <c r="EA3" s="152" t="s">
        <v>461</v>
      </c>
      <c r="EB3" s="151" t="s">
        <v>462</v>
      </c>
      <c r="EC3" s="152" t="s">
        <v>463</v>
      </c>
      <c r="ED3" s="151" t="s">
        <v>464</v>
      </c>
      <c r="EE3" s="152" t="s">
        <v>465</v>
      </c>
      <c r="EF3" s="76" t="s">
        <v>466</v>
      </c>
      <c r="EG3" s="76" t="s">
        <v>467</v>
      </c>
      <c r="EH3" s="76" t="s">
        <v>468</v>
      </c>
      <c r="EI3" s="76" t="s">
        <v>469</v>
      </c>
      <c r="EJ3" s="76" t="s">
        <v>470</v>
      </c>
      <c r="EK3" s="108" t="s">
        <v>471</v>
      </c>
      <c r="EL3" s="108" t="s">
        <v>472</v>
      </c>
      <c r="EM3" s="108" t="s">
        <v>473</v>
      </c>
      <c r="EN3" s="108" t="s">
        <v>474</v>
      </c>
      <c r="EO3" s="108" t="s">
        <v>475</v>
      </c>
      <c r="EP3" s="76" t="s">
        <v>476</v>
      </c>
      <c r="EQ3" s="76" t="s">
        <v>477</v>
      </c>
      <c r="ER3" s="76" t="s">
        <v>478</v>
      </c>
      <c r="ES3" s="76" t="s">
        <v>479</v>
      </c>
      <c r="ET3" s="76" t="s">
        <v>480</v>
      </c>
      <c r="EU3" s="108" t="s">
        <v>481</v>
      </c>
      <c r="EV3" s="108" t="s">
        <v>482</v>
      </c>
      <c r="EW3" s="108" t="s">
        <v>483</v>
      </c>
      <c r="EX3" s="108" t="s">
        <v>484</v>
      </c>
      <c r="EY3" s="108" t="s">
        <v>485</v>
      </c>
      <c r="EZ3" s="76" t="s">
        <v>486</v>
      </c>
      <c r="FA3" s="76" t="s">
        <v>487</v>
      </c>
      <c r="FB3" s="76" t="s">
        <v>488</v>
      </c>
      <c r="FC3" s="76" t="s">
        <v>489</v>
      </c>
      <c r="FD3" s="76" t="s">
        <v>490</v>
      </c>
      <c r="FE3" s="108" t="s">
        <v>491</v>
      </c>
      <c r="FF3" s="108" t="s">
        <v>492</v>
      </c>
      <c r="FG3" s="108" t="s">
        <v>493</v>
      </c>
      <c r="FH3" s="108" t="s">
        <v>494</v>
      </c>
      <c r="FI3" s="108" t="s">
        <v>495</v>
      </c>
      <c r="FJ3" s="108" t="s">
        <v>496</v>
      </c>
      <c r="FK3" s="108" t="s">
        <v>497</v>
      </c>
      <c r="FL3" s="108" t="s">
        <v>498</v>
      </c>
      <c r="FM3" s="108" t="s">
        <v>499</v>
      </c>
      <c r="FN3" s="108" t="s">
        <v>500</v>
      </c>
      <c r="FO3" s="108" t="s">
        <v>501</v>
      </c>
      <c r="FP3" s="108" t="s">
        <v>502</v>
      </c>
      <c r="FQ3" s="108" t="s">
        <v>503</v>
      </c>
      <c r="FR3" s="108" t="s">
        <v>504</v>
      </c>
      <c r="FS3" s="108" t="s">
        <v>505</v>
      </c>
      <c r="FT3" s="76" t="s">
        <v>506</v>
      </c>
      <c r="FU3" s="76" t="s">
        <v>507</v>
      </c>
      <c r="FV3" s="76" t="s">
        <v>508</v>
      </c>
      <c r="FW3" s="76" t="s">
        <v>509</v>
      </c>
      <c r="FX3" s="76" t="s">
        <v>510</v>
      </c>
      <c r="FY3" s="76" t="s">
        <v>511</v>
      </c>
      <c r="FZ3" s="76" t="s">
        <v>512</v>
      </c>
      <c r="GA3" s="76" t="s">
        <v>513</v>
      </c>
      <c r="GB3" s="76" t="s">
        <v>514</v>
      </c>
      <c r="GC3" s="76" t="s">
        <v>515</v>
      </c>
      <c r="GD3" s="76" t="s">
        <v>516</v>
      </c>
      <c r="GE3" s="76" t="s">
        <v>517</v>
      </c>
      <c r="GF3" s="76" t="s">
        <v>518</v>
      </c>
      <c r="GG3" s="76" t="s">
        <v>519</v>
      </c>
      <c r="GH3" s="76" t="s">
        <v>520</v>
      </c>
      <c r="GI3" s="108" t="s">
        <v>521</v>
      </c>
      <c r="GJ3" s="108" t="s">
        <v>522</v>
      </c>
      <c r="GK3" s="108" t="s">
        <v>523</v>
      </c>
      <c r="GL3" s="108" t="s">
        <v>524</v>
      </c>
      <c r="GM3" s="108" t="s">
        <v>525</v>
      </c>
      <c r="GN3" s="108" t="s">
        <v>526</v>
      </c>
      <c r="GO3" s="108" t="s">
        <v>527</v>
      </c>
      <c r="GP3" s="108" t="s">
        <v>528</v>
      </c>
      <c r="GQ3" s="108" t="s">
        <v>529</v>
      </c>
      <c r="GR3" s="108" t="s">
        <v>530</v>
      </c>
      <c r="GS3" s="108" t="s">
        <v>531</v>
      </c>
      <c r="GT3" s="108" t="s">
        <v>532</v>
      </c>
      <c r="GU3" s="108" t="s">
        <v>533</v>
      </c>
      <c r="GV3" s="108" t="s">
        <v>534</v>
      </c>
      <c r="GW3" s="108" t="s">
        <v>535</v>
      </c>
      <c r="GX3" s="76" t="s">
        <v>536</v>
      </c>
      <c r="GY3" s="76" t="s">
        <v>537</v>
      </c>
      <c r="GZ3" s="76" t="s">
        <v>538</v>
      </c>
      <c r="HA3" s="76" t="s">
        <v>539</v>
      </c>
      <c r="HB3" s="76" t="s">
        <v>540</v>
      </c>
      <c r="HC3" s="76" t="s">
        <v>541</v>
      </c>
      <c r="HD3" s="76" t="s">
        <v>542</v>
      </c>
      <c r="HE3" s="76" t="s">
        <v>543</v>
      </c>
      <c r="HF3" s="76" t="s">
        <v>544</v>
      </c>
      <c r="HG3" s="76" t="s">
        <v>545</v>
      </c>
      <c r="HH3" s="76" t="s">
        <v>546</v>
      </c>
      <c r="HI3" s="76" t="s">
        <v>547</v>
      </c>
      <c r="HJ3" s="76" t="s">
        <v>548</v>
      </c>
      <c r="HK3" s="76" t="s">
        <v>549</v>
      </c>
      <c r="HL3" s="76" t="s">
        <v>550</v>
      </c>
      <c r="HM3" s="108" t="s">
        <v>551</v>
      </c>
      <c r="HN3" s="108" t="s">
        <v>552</v>
      </c>
      <c r="HO3" s="108" t="s">
        <v>553</v>
      </c>
      <c r="HP3" s="108" t="s">
        <v>554</v>
      </c>
      <c r="HQ3" s="108" t="s">
        <v>555</v>
      </c>
      <c r="HR3" s="108" t="s">
        <v>556</v>
      </c>
      <c r="HS3" s="108" t="s">
        <v>557</v>
      </c>
      <c r="HT3" s="108" t="s">
        <v>558</v>
      </c>
      <c r="HU3" s="108" t="s">
        <v>559</v>
      </c>
      <c r="HV3" s="108" t="s">
        <v>560</v>
      </c>
      <c r="HW3" s="108" t="s">
        <v>561</v>
      </c>
      <c r="HX3" s="108" t="s">
        <v>562</v>
      </c>
      <c r="HY3" s="108" t="s">
        <v>563</v>
      </c>
      <c r="HZ3" s="108" t="s">
        <v>564</v>
      </c>
      <c r="IA3" s="108" t="s">
        <v>565</v>
      </c>
      <c r="IB3" s="76" t="s">
        <v>566</v>
      </c>
      <c r="IC3" s="76" t="s">
        <v>567</v>
      </c>
      <c r="ID3" s="76" t="s">
        <v>568</v>
      </c>
      <c r="IE3" s="76" t="s">
        <v>569</v>
      </c>
      <c r="IF3" s="76" t="s">
        <v>570</v>
      </c>
      <c r="IG3" s="76" t="s">
        <v>571</v>
      </c>
      <c r="IH3" s="76" t="s">
        <v>572</v>
      </c>
      <c r="II3" s="76" t="s">
        <v>573</v>
      </c>
      <c r="IJ3" s="76" t="s">
        <v>574</v>
      </c>
      <c r="IK3" s="76" t="s">
        <v>575</v>
      </c>
      <c r="IL3" s="76" t="s">
        <v>576</v>
      </c>
      <c r="IM3" s="76" t="s">
        <v>577</v>
      </c>
      <c r="IN3" s="76" t="s">
        <v>578</v>
      </c>
      <c r="IO3" s="76" t="s">
        <v>579</v>
      </c>
      <c r="IP3" s="76" t="s">
        <v>580</v>
      </c>
      <c r="IQ3" s="108" t="s">
        <v>581</v>
      </c>
      <c r="IR3" s="108" t="s">
        <v>582</v>
      </c>
      <c r="IS3" s="108" t="s">
        <v>583</v>
      </c>
      <c r="IT3" s="108" t="s">
        <v>584</v>
      </c>
      <c r="IU3" s="108" t="s">
        <v>585</v>
      </c>
      <c r="IV3" s="108" t="s">
        <v>586</v>
      </c>
      <c r="IW3" s="108" t="s">
        <v>587</v>
      </c>
      <c r="IX3" s="108" t="s">
        <v>588</v>
      </c>
      <c r="IY3" s="108" t="s">
        <v>589</v>
      </c>
      <c r="IZ3" s="108" t="s">
        <v>590</v>
      </c>
      <c r="JA3" s="108" t="s">
        <v>591</v>
      </c>
      <c r="JB3" s="108" t="s">
        <v>592</v>
      </c>
      <c r="JC3" s="108" t="s">
        <v>593</v>
      </c>
      <c r="JD3" s="108" t="s">
        <v>594</v>
      </c>
      <c r="JE3" s="108" t="s">
        <v>595</v>
      </c>
      <c r="JF3" s="76" t="s">
        <v>596</v>
      </c>
      <c r="JG3" s="76" t="s">
        <v>597</v>
      </c>
      <c r="JH3" s="76" t="s">
        <v>598</v>
      </c>
      <c r="JI3" s="76" t="s">
        <v>599</v>
      </c>
      <c r="JJ3" s="108" t="s">
        <v>600</v>
      </c>
      <c r="JK3" s="108" t="s">
        <v>601</v>
      </c>
      <c r="JL3" s="108" t="s">
        <v>602</v>
      </c>
      <c r="JM3" s="108" t="s">
        <v>603</v>
      </c>
      <c r="JN3" s="76" t="s">
        <v>604</v>
      </c>
      <c r="JO3" s="76" t="s">
        <v>605</v>
      </c>
      <c r="JP3" s="76" t="s">
        <v>606</v>
      </c>
      <c r="JQ3" s="76" t="s">
        <v>607</v>
      </c>
      <c r="JR3" s="108" t="s">
        <v>608</v>
      </c>
      <c r="JS3" s="108" t="s">
        <v>609</v>
      </c>
      <c r="JT3" s="76" t="s">
        <v>610</v>
      </c>
      <c r="JU3" s="108" t="s">
        <v>611</v>
      </c>
      <c r="JV3" s="108" t="s">
        <v>612</v>
      </c>
      <c r="JW3" s="76" t="s">
        <v>613</v>
      </c>
      <c r="JX3" s="76" t="s">
        <v>614</v>
      </c>
      <c r="JY3" s="76" t="s">
        <v>615</v>
      </c>
      <c r="JZ3" s="76" t="s">
        <v>616</v>
      </c>
      <c r="KA3" s="76" t="s">
        <v>617</v>
      </c>
      <c r="KB3" s="76" t="s">
        <v>618</v>
      </c>
      <c r="KC3" s="76" t="s">
        <v>619</v>
      </c>
      <c r="KD3" s="76" t="s">
        <v>620</v>
      </c>
      <c r="KE3" s="76" t="s">
        <v>621</v>
      </c>
      <c r="KF3" s="76" t="s">
        <v>622</v>
      </c>
      <c r="KG3" s="108" t="s">
        <v>623</v>
      </c>
      <c r="KH3" s="108" t="s">
        <v>624</v>
      </c>
      <c r="KI3" s="109" t="s">
        <v>625</v>
      </c>
      <c r="KJ3" s="109" t="s">
        <v>626</v>
      </c>
      <c r="KK3" s="109" t="s">
        <v>627</v>
      </c>
      <c r="KL3" s="109" t="s">
        <v>628</v>
      </c>
      <c r="KM3" s="109" t="s">
        <v>629</v>
      </c>
      <c r="KN3" s="109" t="s">
        <v>630</v>
      </c>
      <c r="KO3" s="109" t="s">
        <v>631</v>
      </c>
      <c r="KP3" s="109" t="s">
        <v>632</v>
      </c>
      <c r="KQ3" s="109" t="s">
        <v>633</v>
      </c>
      <c r="KR3" s="109" t="s">
        <v>634</v>
      </c>
      <c r="KS3" s="76" t="s">
        <v>635</v>
      </c>
      <c r="KT3" s="76" t="s">
        <v>636</v>
      </c>
      <c r="KU3" s="76" t="s">
        <v>637</v>
      </c>
      <c r="KV3" s="76" t="s">
        <v>638</v>
      </c>
      <c r="KW3" s="76" t="s">
        <v>639</v>
      </c>
      <c r="KX3" s="76" t="s">
        <v>640</v>
      </c>
      <c r="KY3" s="76" t="s">
        <v>641</v>
      </c>
      <c r="KZ3" s="76" t="s">
        <v>642</v>
      </c>
      <c r="LA3" s="76" t="s">
        <v>643</v>
      </c>
      <c r="LB3" s="76" t="s">
        <v>644</v>
      </c>
      <c r="LC3" s="109" t="s">
        <v>645</v>
      </c>
      <c r="LD3" s="109" t="s">
        <v>646</v>
      </c>
      <c r="LE3" s="109" t="s">
        <v>647</v>
      </c>
      <c r="LF3" s="109" t="s">
        <v>648</v>
      </c>
      <c r="LG3" s="109" t="s">
        <v>649</v>
      </c>
      <c r="LH3" s="109" t="s">
        <v>650</v>
      </c>
      <c r="LI3" s="76" t="s">
        <v>651</v>
      </c>
      <c r="LJ3" s="76" t="s">
        <v>652</v>
      </c>
      <c r="LK3" s="76" t="s">
        <v>653</v>
      </c>
      <c r="LL3" s="76" t="s">
        <v>654</v>
      </c>
      <c r="LM3" s="76" t="s">
        <v>655</v>
      </c>
      <c r="LN3" s="76" t="s">
        <v>656</v>
      </c>
      <c r="LO3" s="76" t="s">
        <v>657</v>
      </c>
      <c r="LP3" s="76" t="s">
        <v>658</v>
      </c>
      <c r="LQ3" s="76" t="s">
        <v>659</v>
      </c>
      <c r="LR3" s="76" t="s">
        <v>660</v>
      </c>
      <c r="LS3" s="76" t="s">
        <v>661</v>
      </c>
      <c r="LT3" s="76" t="s">
        <v>662</v>
      </c>
      <c r="LU3" s="76" t="s">
        <v>663</v>
      </c>
      <c r="LV3" s="76" t="s">
        <v>664</v>
      </c>
      <c r="LW3" s="76" t="s">
        <v>665</v>
      </c>
      <c r="LX3" s="76" t="s">
        <v>666</v>
      </c>
      <c r="LY3" s="76" t="s">
        <v>667</v>
      </c>
      <c r="LZ3" s="76" t="s">
        <v>668</v>
      </c>
      <c r="MA3" s="76" t="s">
        <v>669</v>
      </c>
      <c r="MB3" s="76" t="s">
        <v>670</v>
      </c>
      <c r="MC3" s="76" t="s">
        <v>671</v>
      </c>
      <c r="MD3" s="76" t="s">
        <v>672</v>
      </c>
      <c r="ME3" s="76" t="s">
        <v>666</v>
      </c>
      <c r="MF3" s="109" t="s">
        <v>673</v>
      </c>
      <c r="MG3" s="109" t="s">
        <v>674</v>
      </c>
      <c r="MH3" s="109" t="s">
        <v>675</v>
      </c>
      <c r="MI3" s="109" t="s">
        <v>676</v>
      </c>
      <c r="MJ3" s="109" t="s">
        <v>677</v>
      </c>
      <c r="MK3" s="109" t="s">
        <v>678</v>
      </c>
      <c r="ML3" s="109" t="s">
        <v>679</v>
      </c>
      <c r="MM3" s="109" t="s">
        <v>680</v>
      </c>
      <c r="MN3" s="109" t="s">
        <v>681</v>
      </c>
      <c r="MO3" s="109" t="s">
        <v>682</v>
      </c>
      <c r="MP3" s="109" t="s">
        <v>683</v>
      </c>
      <c r="MQ3" s="109" t="s">
        <v>684</v>
      </c>
      <c r="MR3" s="109" t="s">
        <v>685</v>
      </c>
      <c r="MS3" s="109" t="s">
        <v>686</v>
      </c>
      <c r="MT3" s="109" t="s">
        <v>687</v>
      </c>
      <c r="MU3" s="109" t="s">
        <v>688</v>
      </c>
      <c r="MV3" s="109" t="s">
        <v>689</v>
      </c>
      <c r="MW3" s="109" t="s">
        <v>690</v>
      </c>
      <c r="MX3" s="109" t="s">
        <v>691</v>
      </c>
      <c r="MY3" s="109" t="s">
        <v>692</v>
      </c>
      <c r="MZ3" s="109" t="s">
        <v>693</v>
      </c>
      <c r="NA3" s="109" t="s">
        <v>694</v>
      </c>
      <c r="NB3" s="109" t="s">
        <v>695</v>
      </c>
      <c r="NC3" s="109" t="s">
        <v>696</v>
      </c>
      <c r="ND3" s="109" t="s">
        <v>697</v>
      </c>
      <c r="NE3" s="109" t="s">
        <v>698</v>
      </c>
      <c r="NF3" s="76" t="s">
        <v>699</v>
      </c>
      <c r="NG3" s="76" t="s">
        <v>700</v>
      </c>
      <c r="NH3" s="76" t="s">
        <v>701</v>
      </c>
      <c r="NI3" s="76" t="s">
        <v>702</v>
      </c>
      <c r="NJ3" s="76" t="s">
        <v>703</v>
      </c>
      <c r="NK3" s="76" t="s">
        <v>704</v>
      </c>
      <c r="NL3" s="76" t="s">
        <v>705</v>
      </c>
      <c r="NM3" s="76" t="s">
        <v>706</v>
      </c>
      <c r="NN3" s="76" t="s">
        <v>707</v>
      </c>
      <c r="NO3" s="76" t="s">
        <v>708</v>
      </c>
      <c r="NP3" s="76" t="s">
        <v>709</v>
      </c>
      <c r="NQ3" s="76" t="s">
        <v>710</v>
      </c>
      <c r="NR3" s="76" t="s">
        <v>711</v>
      </c>
      <c r="NS3" s="76" t="s">
        <v>712</v>
      </c>
      <c r="NT3" s="76" t="s">
        <v>713</v>
      </c>
      <c r="NU3" s="76" t="s">
        <v>714</v>
      </c>
      <c r="NV3" s="76" t="s">
        <v>715</v>
      </c>
      <c r="NW3" s="76" t="s">
        <v>716</v>
      </c>
      <c r="NX3" s="76" t="s">
        <v>717</v>
      </c>
      <c r="NY3" s="76" t="s">
        <v>718</v>
      </c>
      <c r="NZ3" s="76" t="s">
        <v>719</v>
      </c>
      <c r="OA3" s="76" t="s">
        <v>720</v>
      </c>
      <c r="OB3" s="76" t="s">
        <v>721</v>
      </c>
      <c r="OC3" s="76" t="s">
        <v>722</v>
      </c>
      <c r="OD3" s="108" t="s">
        <v>723</v>
      </c>
      <c r="OE3" s="108" t="s">
        <v>724</v>
      </c>
      <c r="OF3" s="108" t="s">
        <v>725</v>
      </c>
      <c r="OG3" s="108" t="s">
        <v>726</v>
      </c>
      <c r="OH3" s="76" t="s">
        <v>727</v>
      </c>
      <c r="OI3" s="76" t="s">
        <v>728</v>
      </c>
      <c r="OJ3" s="76" t="s">
        <v>729</v>
      </c>
      <c r="OK3" s="76" t="s">
        <v>730</v>
      </c>
      <c r="OL3" s="108" t="s">
        <v>731</v>
      </c>
      <c r="OM3" s="76" t="s">
        <v>732</v>
      </c>
      <c r="ON3" s="76" t="s">
        <v>733</v>
      </c>
      <c r="OO3" s="76" t="s">
        <v>734</v>
      </c>
      <c r="OP3" s="76" t="s">
        <v>735</v>
      </c>
      <c r="OQ3" s="76" t="s">
        <v>736</v>
      </c>
      <c r="OR3" s="108" t="s">
        <v>737</v>
      </c>
      <c r="OS3" s="108" t="s">
        <v>738</v>
      </c>
      <c r="OT3" s="76" t="s">
        <v>739</v>
      </c>
      <c r="OU3" s="76" t="s">
        <v>740</v>
      </c>
      <c r="OV3" s="76" t="s">
        <v>741</v>
      </c>
      <c r="OW3" s="76" t="s">
        <v>742</v>
      </c>
      <c r="OX3" s="76" t="s">
        <v>743</v>
      </c>
      <c r="OY3" s="76" t="s">
        <v>744</v>
      </c>
      <c r="OZ3" s="76" t="s">
        <v>745</v>
      </c>
      <c r="PA3" s="76" t="s">
        <v>744</v>
      </c>
      <c r="PB3" s="108" t="s">
        <v>746</v>
      </c>
      <c r="PC3" s="108" t="s">
        <v>747</v>
      </c>
      <c r="PD3" s="76" t="s">
        <v>748</v>
      </c>
      <c r="PE3" s="76" t="s">
        <v>749</v>
      </c>
      <c r="PF3" s="76" t="s">
        <v>750</v>
      </c>
      <c r="PG3" s="76" t="s">
        <v>751</v>
      </c>
      <c r="PH3" s="108" t="s">
        <v>752</v>
      </c>
      <c r="PI3" s="76" t="s">
        <v>753</v>
      </c>
      <c r="PJ3" s="76" t="s">
        <v>754</v>
      </c>
      <c r="PK3" s="76" t="s">
        <v>755</v>
      </c>
      <c r="PL3" s="76" t="s">
        <v>756</v>
      </c>
      <c r="PM3" s="108" t="s">
        <v>757</v>
      </c>
      <c r="PN3" s="76" t="s">
        <v>758</v>
      </c>
      <c r="PO3" s="76" t="s">
        <v>759</v>
      </c>
      <c r="PP3" s="76" t="s">
        <v>2878</v>
      </c>
      <c r="PQ3" s="76" t="s">
        <v>2879</v>
      </c>
      <c r="PR3" s="76" t="s">
        <v>2880</v>
      </c>
      <c r="PS3" s="76" t="s">
        <v>2881</v>
      </c>
      <c r="PT3" s="76" t="s">
        <v>2882</v>
      </c>
      <c r="PU3" s="76" t="s">
        <v>2883</v>
      </c>
      <c r="PV3" s="76" t="s">
        <v>2884</v>
      </c>
      <c r="PW3" s="76" t="s">
        <v>2885</v>
      </c>
    </row>
    <row r="4" spans="1:432" ht="41.4" customHeight="1">
      <c r="A4" s="136"/>
      <c r="B4" s="136"/>
      <c r="C4" s="136"/>
      <c r="D4" s="76"/>
      <c r="E4" s="76"/>
      <c r="F4" s="76"/>
      <c r="G4" s="77"/>
      <c r="H4" s="77"/>
      <c r="I4" s="77"/>
      <c r="J4" s="77"/>
      <c r="K4" s="77"/>
      <c r="L4" s="77"/>
      <c r="M4" s="107"/>
      <c r="N4" s="107"/>
      <c r="O4" s="107"/>
      <c r="P4" s="107"/>
      <c r="Q4" s="107"/>
      <c r="R4" s="78"/>
      <c r="S4" s="78"/>
      <c r="T4" s="78"/>
      <c r="U4" s="78"/>
      <c r="V4" s="78"/>
      <c r="W4" s="107"/>
      <c r="X4" s="107"/>
      <c r="Y4" s="107"/>
      <c r="Z4" s="107"/>
      <c r="AA4" s="107"/>
      <c r="AB4" s="78"/>
      <c r="AC4" s="78"/>
      <c r="AD4" s="107"/>
      <c r="AE4" s="107"/>
      <c r="AF4" s="107"/>
      <c r="AG4" s="107"/>
      <c r="AH4" s="78"/>
      <c r="AI4" s="78"/>
      <c r="AJ4" s="78"/>
      <c r="AK4" s="78"/>
      <c r="AL4" s="107"/>
      <c r="AM4" s="107"/>
      <c r="AN4" s="107"/>
      <c r="AO4" s="107"/>
      <c r="AP4" s="78"/>
      <c r="AQ4" s="78"/>
      <c r="AR4" s="78"/>
      <c r="AS4" s="78"/>
      <c r="AT4" s="107"/>
      <c r="AU4" s="107"/>
      <c r="AV4" s="107"/>
      <c r="AW4" s="107"/>
      <c r="AX4" s="78"/>
      <c r="AY4" s="78"/>
      <c r="AZ4" s="78"/>
      <c r="BA4" s="78"/>
      <c r="BB4" s="78"/>
      <c r="BC4" s="78"/>
      <c r="BD4" s="78"/>
      <c r="BE4" s="107"/>
      <c r="BF4" s="107"/>
      <c r="BG4" s="107"/>
      <c r="BH4" s="107"/>
      <c r="BI4" s="107"/>
      <c r="BJ4" s="78"/>
      <c r="BK4" s="78"/>
      <c r="BL4" s="78"/>
      <c r="BM4" s="78"/>
      <c r="BN4" s="78"/>
      <c r="BO4" s="107"/>
      <c r="BP4" s="107"/>
      <c r="BQ4" s="107"/>
      <c r="BR4" s="107"/>
      <c r="BS4" s="107"/>
      <c r="BT4" s="78"/>
      <c r="BU4" s="78"/>
      <c r="BV4" s="78"/>
      <c r="BW4" s="78"/>
      <c r="BX4" s="78"/>
      <c r="BY4" s="107"/>
      <c r="BZ4" s="107"/>
      <c r="CA4" s="107"/>
      <c r="CB4" s="107"/>
      <c r="CC4" s="107"/>
      <c r="CD4" s="78"/>
      <c r="CE4" s="78"/>
      <c r="CF4" s="78"/>
      <c r="CG4" s="78"/>
      <c r="CH4" s="78"/>
      <c r="CI4" s="107"/>
      <c r="CJ4" s="107"/>
      <c r="CK4" s="107"/>
      <c r="CL4" s="107"/>
      <c r="CM4" s="107"/>
      <c r="CN4" s="78"/>
      <c r="CO4" s="78"/>
      <c r="CP4" s="107"/>
      <c r="CQ4" s="107"/>
      <c r="CR4" s="78"/>
      <c r="CS4" s="78"/>
      <c r="CT4" s="78"/>
      <c r="CU4" s="78"/>
      <c r="CV4" s="78"/>
      <c r="CW4" s="107"/>
      <c r="CX4" s="107"/>
      <c r="CY4" s="107"/>
      <c r="CZ4" s="107"/>
      <c r="DA4" s="107"/>
      <c r="DB4" s="78"/>
      <c r="DC4" s="78"/>
      <c r="DD4" s="78"/>
      <c r="DE4" s="78"/>
      <c r="DF4" s="78"/>
      <c r="DG4" s="107"/>
      <c r="DH4" s="107"/>
      <c r="DI4" s="107"/>
      <c r="DJ4" s="107"/>
      <c r="DK4" s="107"/>
      <c r="DL4" s="78"/>
      <c r="DM4" s="78"/>
      <c r="DN4" s="78"/>
      <c r="DO4" s="78"/>
      <c r="DP4" s="78"/>
      <c r="DQ4" s="78"/>
      <c r="DR4" s="78"/>
      <c r="DS4" s="78"/>
      <c r="DT4" s="78"/>
      <c r="DU4" s="78"/>
      <c r="DV4" s="107"/>
      <c r="DW4" s="110"/>
      <c r="DX4" s="107"/>
      <c r="DY4" s="110"/>
      <c r="DZ4" s="107"/>
      <c r="EA4" s="110"/>
      <c r="EB4" s="107"/>
      <c r="EC4" s="110"/>
      <c r="ED4" s="107"/>
      <c r="EE4" s="110"/>
      <c r="EF4" s="76"/>
      <c r="EG4" s="76"/>
      <c r="EH4" s="76"/>
      <c r="EI4" s="76"/>
      <c r="EJ4" s="76"/>
      <c r="EK4" s="108"/>
      <c r="EL4" s="108"/>
      <c r="EM4" s="108"/>
      <c r="EN4" s="108"/>
      <c r="EO4" s="108"/>
      <c r="EP4" s="76"/>
      <c r="EQ4" s="76"/>
      <c r="ER4" s="76"/>
      <c r="ES4" s="76"/>
      <c r="ET4" s="76"/>
      <c r="EU4" s="108"/>
      <c r="EV4" s="108"/>
      <c r="EW4" s="108"/>
      <c r="EX4" s="108"/>
      <c r="EY4" s="108"/>
      <c r="EZ4" s="76"/>
      <c r="FA4" s="76"/>
      <c r="FB4" s="76"/>
      <c r="FC4" s="76"/>
      <c r="FD4" s="76"/>
      <c r="FE4" s="108"/>
      <c r="FF4" s="108"/>
      <c r="FG4" s="108"/>
      <c r="FH4" s="108"/>
      <c r="FI4" s="108"/>
      <c r="FJ4" s="108"/>
      <c r="FK4" s="108"/>
      <c r="FL4" s="108"/>
      <c r="FM4" s="108"/>
      <c r="FN4" s="108"/>
      <c r="FO4" s="108"/>
      <c r="FP4" s="108"/>
      <c r="FQ4" s="108"/>
      <c r="FR4" s="108"/>
      <c r="FS4" s="108"/>
      <c r="FT4" s="76"/>
      <c r="FU4" s="76"/>
      <c r="FV4" s="76"/>
      <c r="FW4" s="76"/>
      <c r="FX4" s="76"/>
      <c r="FY4" s="76"/>
      <c r="FZ4" s="76"/>
      <c r="GA4" s="76"/>
      <c r="GB4" s="76"/>
      <c r="GC4" s="76"/>
      <c r="GD4" s="76"/>
      <c r="GE4" s="76"/>
      <c r="GF4" s="76"/>
      <c r="GG4" s="76"/>
      <c r="GH4" s="76"/>
      <c r="GI4" s="108"/>
      <c r="GJ4" s="108"/>
      <c r="GK4" s="108"/>
      <c r="GL4" s="108"/>
      <c r="GM4" s="108"/>
      <c r="GN4" s="108"/>
      <c r="GO4" s="108"/>
      <c r="GP4" s="108"/>
      <c r="GQ4" s="108"/>
      <c r="GR4" s="108"/>
      <c r="GS4" s="108"/>
      <c r="GT4" s="108"/>
      <c r="GU4" s="108"/>
      <c r="GV4" s="108"/>
      <c r="GW4" s="108"/>
      <c r="GX4" s="76"/>
      <c r="GY4" s="76"/>
      <c r="GZ4" s="76"/>
      <c r="HA4" s="76"/>
      <c r="HB4" s="76"/>
      <c r="HC4" s="76"/>
      <c r="HD4" s="76"/>
      <c r="HE4" s="76"/>
      <c r="HF4" s="76"/>
      <c r="HG4" s="76"/>
      <c r="HH4" s="76"/>
      <c r="HI4" s="76"/>
      <c r="HJ4" s="76"/>
      <c r="HK4" s="76"/>
      <c r="HL4" s="76"/>
      <c r="HM4" s="108"/>
      <c r="HN4" s="108"/>
      <c r="HO4" s="108"/>
      <c r="HP4" s="108"/>
      <c r="HQ4" s="108"/>
      <c r="HR4" s="108"/>
      <c r="HS4" s="108"/>
      <c r="HT4" s="108"/>
      <c r="HU4" s="108"/>
      <c r="HV4" s="108"/>
      <c r="HW4" s="108"/>
      <c r="HX4" s="108"/>
      <c r="HY4" s="108"/>
      <c r="HZ4" s="108"/>
      <c r="IA4" s="108"/>
      <c r="IB4" s="76"/>
      <c r="IC4" s="76"/>
      <c r="ID4" s="76"/>
      <c r="IE4" s="76"/>
      <c r="IF4" s="76"/>
      <c r="IG4" s="76"/>
      <c r="IH4" s="76"/>
      <c r="II4" s="76"/>
      <c r="IJ4" s="76"/>
      <c r="IK4" s="76"/>
      <c r="IL4" s="76"/>
      <c r="IM4" s="76"/>
      <c r="IN4" s="76"/>
      <c r="IO4" s="76"/>
      <c r="IP4" s="76"/>
      <c r="IQ4" s="108"/>
      <c r="IR4" s="108"/>
      <c r="IS4" s="108"/>
      <c r="IT4" s="108"/>
      <c r="IU4" s="108"/>
      <c r="IV4" s="108"/>
      <c r="IW4" s="108"/>
      <c r="IX4" s="108"/>
      <c r="IY4" s="108"/>
      <c r="IZ4" s="108"/>
      <c r="JA4" s="108"/>
      <c r="JB4" s="108"/>
      <c r="JC4" s="108"/>
      <c r="JD4" s="108"/>
      <c r="JE4" s="108"/>
      <c r="JF4" s="76"/>
      <c r="JG4" s="76"/>
      <c r="JH4" s="76"/>
      <c r="JI4" s="76"/>
      <c r="JJ4" s="108"/>
      <c r="JK4" s="108"/>
      <c r="JL4" s="108"/>
      <c r="JM4" s="108"/>
      <c r="JN4" s="76"/>
      <c r="JO4" s="76"/>
      <c r="JP4" s="76"/>
      <c r="JQ4" s="76"/>
      <c r="JR4" s="108"/>
      <c r="JS4" s="108"/>
      <c r="JT4" s="76"/>
      <c r="JU4" s="108"/>
      <c r="JV4" s="108"/>
      <c r="JW4" s="76"/>
      <c r="JX4" s="76"/>
      <c r="JY4" s="76"/>
      <c r="JZ4" s="76"/>
      <c r="KA4" s="76"/>
      <c r="KB4" s="76"/>
      <c r="KC4" s="76"/>
      <c r="KD4" s="76"/>
      <c r="KE4" s="76"/>
      <c r="KF4" s="76"/>
      <c r="KG4" s="108"/>
      <c r="KH4" s="108"/>
      <c r="KI4" s="109"/>
      <c r="KJ4" s="109"/>
      <c r="KK4" s="109"/>
      <c r="KL4" s="109"/>
      <c r="KM4" s="109"/>
      <c r="KN4" s="109"/>
      <c r="KO4" s="109"/>
      <c r="KP4" s="109"/>
      <c r="KQ4" s="109"/>
      <c r="KR4" s="109"/>
      <c r="KS4" s="76"/>
      <c r="KT4" s="76"/>
      <c r="KU4" s="76"/>
      <c r="KV4" s="76"/>
      <c r="KW4" s="76"/>
      <c r="KX4" s="76"/>
      <c r="KY4" s="76"/>
      <c r="KZ4" s="76"/>
      <c r="LA4" s="76"/>
      <c r="LB4" s="76"/>
      <c r="LC4" s="109"/>
      <c r="LD4" s="109"/>
      <c r="LE4" s="109"/>
      <c r="LF4" s="109"/>
      <c r="LG4" s="109"/>
      <c r="LH4" s="109"/>
      <c r="LI4" s="76"/>
      <c r="LJ4" s="76"/>
      <c r="LK4" s="76"/>
      <c r="LL4" s="76"/>
      <c r="LM4" s="76"/>
      <c r="LN4" s="76"/>
      <c r="LO4" s="76"/>
      <c r="LP4" s="76"/>
      <c r="LQ4" s="76"/>
      <c r="LR4" s="76"/>
      <c r="LS4" s="76"/>
      <c r="LT4" s="76"/>
      <c r="LU4" s="76"/>
      <c r="LV4" s="76"/>
      <c r="LW4" s="76"/>
      <c r="LX4" s="76"/>
      <c r="LY4" s="76"/>
      <c r="LZ4" s="76"/>
      <c r="MA4" s="76"/>
      <c r="MB4" s="76"/>
      <c r="MC4" s="76"/>
      <c r="MD4" s="76"/>
      <c r="ME4" s="76"/>
      <c r="MF4" s="109"/>
      <c r="MG4" s="109"/>
      <c r="MH4" s="109"/>
      <c r="MI4" s="109"/>
      <c r="MJ4" s="109"/>
      <c r="MK4" s="109"/>
      <c r="ML4" s="109"/>
      <c r="MM4" s="109"/>
      <c r="MN4" s="109"/>
      <c r="MO4" s="109"/>
      <c r="MP4" s="109"/>
      <c r="MQ4" s="109"/>
      <c r="MR4" s="109"/>
      <c r="MS4" s="109"/>
      <c r="MT4" s="109"/>
      <c r="MU4" s="109"/>
      <c r="MV4" s="109"/>
      <c r="MW4" s="109"/>
      <c r="MX4" s="109"/>
      <c r="MY4" s="109"/>
      <c r="MZ4" s="109"/>
      <c r="NA4" s="109"/>
      <c r="NB4" s="109"/>
      <c r="NC4" s="109"/>
      <c r="ND4" s="109"/>
      <c r="NE4" s="109"/>
      <c r="NF4" s="76"/>
      <c r="NG4" s="76"/>
      <c r="NH4" s="76"/>
      <c r="NI4" s="76"/>
      <c r="NJ4" s="76"/>
      <c r="NK4" s="76"/>
      <c r="NL4" s="76"/>
      <c r="NM4" s="76"/>
      <c r="NN4" s="76"/>
      <c r="NO4" s="76"/>
      <c r="NP4" s="76"/>
      <c r="NQ4" s="76"/>
      <c r="NR4" s="76"/>
      <c r="NS4" s="76"/>
      <c r="NT4" s="76"/>
      <c r="NU4" s="76"/>
      <c r="NV4" s="76"/>
      <c r="NW4" s="76"/>
      <c r="NX4" s="76"/>
      <c r="NY4" s="76"/>
      <c r="NZ4" s="76"/>
      <c r="OA4" s="76"/>
      <c r="OB4" s="76"/>
      <c r="OC4" s="76"/>
      <c r="OD4" s="108"/>
      <c r="OE4" s="108"/>
      <c r="OF4" s="108"/>
      <c r="OG4" s="108"/>
      <c r="OH4" s="76"/>
      <c r="OI4" s="76"/>
      <c r="OJ4" s="76"/>
      <c r="OK4" s="76"/>
      <c r="OL4" s="108"/>
      <c r="OM4" s="76"/>
      <c r="ON4" s="76"/>
      <c r="OO4" s="76"/>
      <c r="OP4" s="76"/>
      <c r="OQ4" s="76"/>
      <c r="OR4" s="108"/>
      <c r="OS4" s="108"/>
      <c r="OT4" s="76"/>
      <c r="OU4" s="76"/>
      <c r="OV4" s="76"/>
      <c r="OW4" s="76"/>
      <c r="OX4" s="76"/>
      <c r="OY4" s="76"/>
      <c r="OZ4" s="76"/>
      <c r="PA4" s="76"/>
      <c r="PB4" s="108"/>
      <c r="PC4" s="108"/>
      <c r="PD4" s="76"/>
      <c r="PE4" s="76"/>
      <c r="PF4" s="76"/>
      <c r="PG4" s="76"/>
      <c r="PH4" s="108"/>
      <c r="PI4" s="76"/>
      <c r="PJ4" s="76"/>
      <c r="PK4" s="76"/>
      <c r="PL4" s="76"/>
      <c r="PM4" s="108"/>
      <c r="PN4" s="76"/>
      <c r="PO4" s="76"/>
      <c r="PP4" s="76"/>
    </row>
    <row r="5" spans="4:439" s="7" customFormat="1" ht="11.4" customHeight="1">
      <c r="D5" s="7" t="str">
        <f>IF('Tube Cutting'!D11="","",CONCATENATE(Data!BC$5,".",Data!BD$5))</f>
        <v>40426.A</v>
      </c>
      <c r="E5" s="7">
        <f>IF(D5="","",Data!AW11)</f>
        <v>9</v>
      </c>
      <c r="F5" s="7" t="str">
        <f>IF(D5="","",Data!AV11)</f>
        <v>2b38d2b8-6100-4746-a0e5-b800bedd3505</v>
      </c>
      <c r="G5" s="7" t="str">
        <f>IF(D5="","",Data!BF$5)</f>
        <v>Evans, Belinda </v>
      </c>
      <c r="H5" s="7" t="str">
        <f>IF(D5="","",Data!AX$5)</f>
        <v>Sheers and Rollers</v>
      </c>
      <c r="I5" s="7" t="str">
        <f>'Job Sheet'!I11</f>
        <v>Texstyle Focus Blockout Polar</v>
      </c>
      <c r="J5" s="7">
        <f t="shared" si="0" ref="J5">IF(D5="","",K5*L5/1000000)</f>
        <v>1.98948</v>
      </c>
      <c r="K5" s="7">
        <f>'Fabric Cutting'!F11</f>
        <v>843</v>
      </c>
      <c r="L5" s="7">
        <f>'Job Sheet'!AZ11</f>
        <v>2360</v>
      </c>
      <c r="M5" s="7">
        <f>IF('Tube Cutting'!C11="38mm",'Tube Cutting'!D11,"")</f>
        <v>845</v>
      </c>
      <c r="N5" s="7" t="str">
        <f>IF('Tube Cutting'!C11="43mm",'Tube Cutting'!D11,"")</f>
        <v/>
      </c>
      <c r="O5" s="7" t="str">
        <f>IF('Tube Cutting'!C11="43mm H/D",'Tube Cutting'!D11,"")</f>
        <v/>
      </c>
      <c r="P5" s="7" t="str">
        <f>IF('Tube Cutting'!C11="60mm",'Tube Cutting'!D11,"")</f>
        <v/>
      </c>
      <c r="Q5" s="7" t="str">
        <f>IF('Tube Cutting'!C11="80mm",'Tube Cutting'!D11,"")</f>
        <v/>
      </c>
      <c r="R5" s="7">
        <f>IF(AND('Job Sheet'!BD11="Anodised Silver",(OR('Tube Cutting'!E11="D30 Bottom Rail",'Tube Cutting'!E11="D30 Bottom Rail with Noise Reducing Strip",'Tube Cutting'!E11="D30 Bottom Rail with Noise Reducing Strip &amp; Fluffy Strip",'Tube Cutting'!E11="Bottom Rail in Pocket",'Tube Cutting'!E11="Bottom Rail in Pocket with Round Cut Out",'Tube Cutting'!E11="Bottom Rail in Pocket with Square Cut Out"))),'Tube Cutting'!G11,"")</f>
        <v>845</v>
      </c>
      <c r="S5" s="7" t="str">
        <f>IF(AND('Job Sheet'!BD11="White",(OR('Tube Cutting'!E11="D30 Bottom Rail",'Tube Cutting'!E11="D30 Bottom Rail with Noise Reducing Strip",'Tube Cutting'!E11="D30 Bottom Rail with Noise Reducing Strip &amp; Fluffy Strip",'Tube Cutting'!E11="Bottom Rail in Pocket",'Tube Cutting'!E11="Bottom Rail in Pocket with Round Cut Out",'Tube Cutting'!E11="Bottom Rail in Pocket with Square Cut Out"))),'Tube Cutting'!G11,"")</f>
        <v/>
      </c>
      <c r="T5" s="7" t="str">
        <f>IF(AND('Job Sheet'!BD11="Black",(OR('Tube Cutting'!E11="D30 Bottom Rail",'Tube Cutting'!E11="D30 Bottom Rail with Noise Reducing Strip",'Tube Cutting'!E11="D30 Bottom Rail with Noise Reducing Strip &amp; Fluffy Strip",'Tube Cutting'!E11="Bottom Rail in Pocket",'Tube Cutting'!E11="Bottom Rail in Pocket with Round Cut Out",'Tube Cutting'!E11="Bottom Rail in Pocket with Square Cut Out"))),'Tube Cutting'!G11,"")</f>
        <v/>
      </c>
      <c r="U5" s="7" t="str">
        <f>IF(AND('Job Sheet'!BD11="Sandstone",(OR('Tube Cutting'!E11="D30 Bottom Rail",'Tube Cutting'!E11="D30 Bottom Rail with Noise Reducing Strip",'Tube Cutting'!E11="D30 Bottom Rail with Noise Reducing Strip &amp; Fluffy Strip",'Tube Cutting'!E11="Bottom Rail in Pocket",'Tube Cutting'!E11="Bottom Rail in Pocket with Round Cut Out",'Tube Cutting'!E11="Bottom Rail in Pocket with Square Cut Out"))),'Tube Cutting'!G11,"")</f>
        <v/>
      </c>
      <c r="V5" s="7" t="str">
        <f>IF(AND('Job Sheet'!BD11="Bone",(OR('Tube Cutting'!E11="D30 Bottom Rail",'Tube Cutting'!E11="D30 Bottom Rail with Noise Reducing Strip",'Tube Cutting'!E11="D30 Bottom Rail with Noise Reducing Strip &amp; Fluffy Strip",'Tube Cutting'!E11="Bottom Rail in Pocket",'Tube Cutting'!E11="Bottom Rail in Pocket with Round Cut Out",'Tube Cutting'!E11="Bottom Rail in Pocket with Square Cut Out"))),'Tube Cutting'!G11,"")</f>
        <v/>
      </c>
      <c r="W5" s="7">
        <f t="shared" si="1" ref="W5:W14">IF(R5&lt;&gt;"",1,"")</f>
        <v>1</v>
      </c>
      <c r="X5" s="7" t="str">
        <f t="shared" si="2" ref="X5:AA5">IF(S5&lt;&gt;"",1,"")</f>
        <v/>
      </c>
      <c r="Y5" s="7" t="str">
        <f t="shared" si="2"/>
        <v/>
      </c>
      <c r="Z5" s="7" t="str">
        <f t="shared" si="2"/>
        <v/>
      </c>
      <c r="AA5" s="7" t="str">
        <f t="shared" si="2"/>
        <v/>
      </c>
      <c r="AB5" s="7" t="str">
        <f>IF('Tube Cutting'!H11="Timber",'Tube Cutting'!G11,IF(AND('Tube Cutting'!E11="Double Lath",'Tube Cutting'!H11="Timber"),'Tube Cutting'!G11*2,""))</f>
        <v/>
      </c>
      <c r="AC5" s="7" t="str">
        <f>IF('Tube Cutting'!I11="","",'Tube Cutting'!I11)</f>
        <v/>
      </c>
      <c r="AD5" s="7" t="str">
        <f>IF(AND('Tube Cutting'!J11="Aluminium Pelmet",'Tube Cutting'!K11="Anodised Silver"),'Tube Cutting'!L11,"")</f>
        <v/>
      </c>
      <c r="AE5" s="7" t="str">
        <f>IF(AND('Tube Cutting'!J11="Aluminium Pelmet",'Tube Cutting'!K11="White"),'Tube Cutting'!L11,"")</f>
        <v/>
      </c>
      <c r="AF5" s="7" t="str">
        <f>IF(AND('Tube Cutting'!J11="Aluminium Pelmet",'Tube Cutting'!K11="Black"),'Tube Cutting'!L11,"")</f>
        <v/>
      </c>
      <c r="AG5" s="7" t="str">
        <f>IF(AND('Tube Cutting'!J11="Aluminium Pelmet",'Tube Cutting'!K11="Cream"),'Tube Cutting'!L11,"")</f>
        <v/>
      </c>
      <c r="AH5" s="7" t="str">
        <f>IF(AND('Tube Cutting'!K11="Black",(OR('Tube Cutting'!J11="Square Cassette",'Tube Cutting'!J11="Round Cassette",'Tube Cutting'!J11="Square Cassette with Side Channels",'Tube Cutting'!J11="Square Cassette with Side &amp; Bottom Channels",'Tube Cutting'!J11="Round Cassette with Side Channels",'Tube Cutting'!J11="Round Cassette with Side &amp; Bottom Channels"))),'Tube Cutting'!L11,"")</f>
        <v/>
      </c>
      <c r="AI5" s="7" t="str">
        <f>IF(AND('Tube Cutting'!K11="White",(OR('Tube Cutting'!J11="Square Cassette",'Tube Cutting'!J11="Round Cassette",'Tube Cutting'!J11="Square Cassette with Side Channels",'Tube Cutting'!J11="Square Cassette with Side &amp; Bottom Channels",'Tube Cutting'!J11="Round Cassette with Side Channels",'Tube Cutting'!J11="Round Cassette with Side &amp; Bottom Channels"))),'Tube Cutting'!L11,"")</f>
        <v/>
      </c>
      <c r="AJ5" s="7" t="str">
        <f>IF(AND('Tube Cutting'!K11="Cream",(OR('Tube Cutting'!J11="Square Cassette",'Tube Cutting'!J11="Round Cassette",'Tube Cutting'!J11="Square Cassette with Side Channels",'Tube Cutting'!J11="Square Cassette with Side &amp; Bottom Channels",'Tube Cutting'!J11="Round Cassette with Side Channels",'Tube Cutting'!J11="Round Cassette with Side &amp; Bottom Channels"))),'Tube Cutting'!L11,"")</f>
        <v/>
      </c>
      <c r="AK5" s="7" t="str">
        <f>IF(AND('Tube Cutting'!K11="Anodised Silver",(OR('Tube Cutting'!J11="Square Cassette",'Tube Cutting'!J11="Round Cassette",'Tube Cutting'!J11="Square Cassette with Side Channels",'Tube Cutting'!J11="Square Cassette with Side &amp; Bottom Channels",'Tube Cutting'!J11="Round Cassette with Side Channels",'Tube Cutting'!J11="Round Cassette with Side &amp; Bottom Channels"))),'Tube Cutting'!L11,"")</f>
        <v/>
      </c>
      <c r="AL5" s="7" t="str">
        <f>IF(AND('Tube Cutting'!K11="White",(OR('Tube Cutting'!J11="Square Cassette",'Tube Cutting'!J11="Square Cassette with Side Channels",'Tube Cutting'!J11="Square Cassette with Side &amp; Bottom Channels"))),'Tube Cutting'!M11,"")</f>
        <v/>
      </c>
      <c r="AM5" s="7" t="str">
        <f>IF(AND('Tube Cutting'!K11="Black",(OR('Tube Cutting'!J11="Square Cassette",'Tube Cutting'!J11="Square Cassette with Side Channels",'Tube Cutting'!J11="Square Cassette with Side &amp; Bottom Channels"))),'Tube Cutting'!M11,"")</f>
        <v/>
      </c>
      <c r="AN5" s="7" t="str">
        <f>IF(AND('Tube Cutting'!K11="Cream",(OR('Tube Cutting'!J11="Square Cassette",'Tube Cutting'!J11="Square Cassette with Side Channels",'Tube Cutting'!J11="Square Cassette with Side &amp; Bottom Channels"))),'Tube Cutting'!M11,"")</f>
        <v/>
      </c>
      <c r="AO5" s="7" t="str">
        <f>IF(AND('Tube Cutting'!K11="Anodised Silver",(OR('Tube Cutting'!J11="Square Cassette",'Tube Cutting'!J11="Square Cassette with Side Channels",'Tube Cutting'!J11="Square Cassette with Side &amp; Bottom Channels"))),'Tube Cutting'!M11,"")</f>
        <v/>
      </c>
      <c r="AP5" s="7" t="str">
        <f>IF(AND('Tube Cutting'!K11="White",(OR('Tube Cutting'!J11="Round Cassette",'Tube Cutting'!J11="Round Cassette with Side Channels",'Tube Cutting'!J11="Round Cassette with Side &amp; Bottom Channels"))),'Tube Cutting'!M11,"")</f>
        <v/>
      </c>
      <c r="AQ5" s="7" t="str">
        <f>IF(AND('Tube Cutting'!K11="Black",(OR('Tube Cutting'!J11="Round Cassette",'Tube Cutting'!J11="Round Cassette with Side Channels",'Tube Cutting'!J11="Round Cassette with Side &amp; Bottom Channels"))),'Tube Cutting'!M11,"")</f>
        <v/>
      </c>
      <c r="AR5" s="7" t="str">
        <f>IF(AND('Tube Cutting'!K11="Cream",(OR('Tube Cutting'!J11="Round Cassette",'Tube Cutting'!J11="Round Cassette with Side Channels",'Tube Cutting'!J11="Round Cassette with Side &amp; Bottom Channels"))),'Tube Cutting'!M11,"")</f>
        <v/>
      </c>
      <c r="AS5" s="7" t="str">
        <f>IF(AND('Tube Cutting'!K11="Anodised Silver",(OR('Tube Cutting'!J11="Round Cassette",'Tube Cutting'!J11="Round Cassette with Side Channels",'Tube Cutting'!J11="Round Cassette with Side &amp; Bottom Channels"))),'Tube Cutting'!M11,"")</f>
        <v/>
      </c>
      <c r="AT5" s="7" t="str">
        <f>IF(AND('Tube Cutting'!K11="White",(OR('Tube Cutting'!J11="Square Cassette with Side Channels",'Tube Cutting'!J11="Round Cassette with Side Channels",'Tube Cutting'!J11="Side Channels"))),CONCATENATE('Job Sheet'!H11-VLOOKUP(CONCATENATE('Job Sheet'!AA11,'Job Sheet'!J11,'Job Sheet'!AR11),PelmetDeduct,5,FALSE))*2,IF(AND('Tube Cutting'!K11="White",(OR('Tube Cutting'!J11="Square Cassette with Side &amp; Bottom Channels",'Tube Cutting'!J11="Round Cassette with Side &amp; Bottom Channels"))),CONCATENATE(('Job Sheet'!H11-VLOOKUP(CONCATENATE('Job Sheet'!AA11,'Job Sheet'!J11,'Job Sheet'!AR11),PelmetDeduct,5,FALSE))*2)+'Job Sheet'!BA11-110,""))</f>
        <v/>
      </c>
      <c r="AU5" s="7" t="str">
        <f>IF(AND('Tube Cutting'!K11="Black",(OR('Tube Cutting'!J11="Square Cassette with Side Channels",'Tube Cutting'!J11="Round Cassette with Side Channels",'Tube Cutting'!J11="Side Channels"))),CONCATENATE('Job Sheet'!H11-VLOOKUP(CONCATENATE('Job Sheet'!AA11,'Job Sheet'!J11,'Job Sheet'!AR11),PelmetDeduct,5,FALSE))*2,IF(AND('Tube Cutting'!K11="Black",(OR('Tube Cutting'!J11="Square Cassette with Side &amp; Bottom Channels",'Tube Cutting'!J11="Round Cassette with Side &amp; Bottom Channels"))),CONCATENATE(('Job Sheet'!H11-VLOOKUP(CONCATENATE('Job Sheet'!AA11,'Job Sheet'!J11,'Job Sheet'!AR11),PelmetDeduct,5,FALSE))*2)+'Job Sheet'!BA11-110,""))</f>
        <v/>
      </c>
      <c r="AV5" s="7" t="str">
        <f>IF(AND('Tube Cutting'!K11="Cream",(OR('Tube Cutting'!J11="Square Cassette with Side Channels",'Tube Cutting'!J11="Round Cassette with Side Channels",'Tube Cutting'!J11="Side Channels"))),CONCATENATE('Job Sheet'!H11-VLOOKUP(CONCATENATE('Job Sheet'!AA11,'Job Sheet'!J11,'Job Sheet'!AR11),PelmetDeduct,5,FALSE))*2,IF(AND('Tube Cutting'!K11="Cream",(OR('Tube Cutting'!J11="Square Cassette with Side &amp; Bottom Channels",'Tube Cutting'!J11="Round Cassette with Side &amp; Bottom Channels"))),CONCATENATE(('Job Sheet'!H11-VLOOKUP(CONCATENATE('Job Sheet'!AA11,'Job Sheet'!J11,'Job Sheet'!AR11),PelmetDeduct,5,FALSE))*2)+'Job Sheet'!BA11-110,""))</f>
        <v/>
      </c>
      <c r="AW5" s="7" t="str">
        <f>IF(AND('Tube Cutting'!K11="Anodised Silver",(OR('Tube Cutting'!J11="Square Cassette with Side Channels",'Tube Cutting'!J11="Round Cassette with Side Channels",'Tube Cutting'!J11="Side Channels"))),CONCATENATE('Job Sheet'!H11-VLOOKUP(CONCATENATE('Job Sheet'!AA11,'Job Sheet'!J11,'Job Sheet'!AR11),PelmetDeduct,5,FALSE))*2,IF(AND('Tube Cutting'!K11="Anodised Silver",(OR('Tube Cutting'!J11="Square Cassette with Side &amp; Bottom Channels",'Tube Cutting'!J11="Round Cassette with Side &amp; Bottom Channels"))),CONCATENATE(('Job Sheet'!H11-VLOOKUP(CONCATENATE('Job Sheet'!AA11,'Job Sheet'!J11,'Job Sheet'!AR11),PelmetDeduct,5,FALSE))*2)+'Job Sheet'!BA11-110,""))</f>
        <v/>
      </c>
      <c r="AX5" s="7" t="str">
        <f>IF('Tube Cutting'!J11="Aluminium Valance - Fabric Covered",'Tube Cutting'!M11,"")</f>
        <v/>
      </c>
      <c r="AY5" s="7" t="str">
        <f>IF(AND('Tube Cutting'!K11="White",'Tube Cutting'!J11="Aluminium Valance"),'Tube Cutting'!M11,"")</f>
        <v/>
      </c>
      <c r="AZ5" s="7" t="str">
        <f>IF(AND('Tube Cutting'!K11="Black",'Tube Cutting'!J11="Aluminium Valance"),'Tube Cutting'!M11,"")</f>
        <v/>
      </c>
      <c r="BA5" s="7" t="str">
        <f>IF(AND('Tube Cutting'!K11="Anodised Silver",'Tube Cutting'!J11="Aluminium Valance"),'Tube Cutting'!M11,"")</f>
        <v/>
      </c>
      <c r="BB5" s="7" t="str">
        <f>'Tube Cutting'!O11</f>
        <v/>
      </c>
      <c r="BC5" s="7" t="str">
        <f>IF('Tube Cutting'!J11="Zipscreen Hooding",'Tube Cutting'!L11,"")</f>
        <v/>
      </c>
      <c r="BD5" s="7" t="str">
        <f>IF('Tube Cutting'!J11="Zipscreen Hooding",'Tube Cutting'!M11,"")</f>
        <v/>
      </c>
      <c r="BE5" s="7">
        <f>IF(AND('Assembly(b)'!E11="38mm",'Job Sheet'!BE11="White",'Assembly(b)'!F11="Chain Winder"),1,"")</f>
        <v>1</v>
      </c>
      <c r="BF5" s="7" t="str">
        <f>IF(AND('Assembly(b)'!E11="38mm",'Job Sheet'!BE11="Black",'Assembly(b)'!F11="Chain Winder"),1,"")</f>
        <v/>
      </c>
      <c r="BG5" s="7" t="str">
        <f>IF(AND('Assembly(b)'!E11="38mm",'Job Sheet'!BE11="Birch White",'Job Sheet'!L11="Chain Winder"),1,"")</f>
        <v/>
      </c>
      <c r="BH5" s="7" t="str">
        <f>IF(AND('Assembly(b)'!E11="38mm",'Job Sheet'!BE11="Grey",'Assembly(b)'!F11="Chain Winder"),1,"")</f>
        <v/>
      </c>
      <c r="BI5" s="7" t="str">
        <f>IF(AND('Assembly(b)'!E11="38mm",'Job Sheet'!BE11="Beige",'Assembly(b)'!F11="Chain Winder"),1,"")</f>
        <v/>
      </c>
      <c r="BJ5" s="7" t="str">
        <f>IF(AND('Assembly(b)'!E11="38mm",'Job Sheet'!BE11="White",'Assembly(b)'!F11="Chain Winder Fixed Guide"),1,"")</f>
        <v/>
      </c>
      <c r="BK5" s="7" t="str">
        <f>IF(AND('Assembly(b)'!E11="38mm",'Job Sheet'!BE11="Black",'Assembly(b)'!F11="Chain Winder Fixed Guide"),1,"")</f>
        <v/>
      </c>
      <c r="BL5" s="7" t="str">
        <f>IF(AND('Assembly(b)'!E11="38mm",'Job Sheet'!BE11="Birch White",'Assembly(b)'!F11="Chain Winder Fixed Guide"),1,"")</f>
        <v/>
      </c>
      <c r="BM5" s="7" t="str">
        <f>IF(AND('Assembly(b)'!E11="38mm",'Job Sheet'!BE11="Grey",'Assembly(b)'!F11="Chain Winder Fixed Guide"),1,"")</f>
        <v/>
      </c>
      <c r="BN5" s="7" t="str">
        <f>IF(AND('Assembly(b)'!E11="38mm",'Job Sheet'!BE11="Beige",'Assembly(b)'!F11="Chain Winder Fixed Guide"),1,"")</f>
        <v/>
      </c>
      <c r="BO5" s="7" t="str">
        <f>IF(AND('Job Sheet'!BE11="White",'Assembly(b)'!F11="Chain Winder",(OR('Assembly(b)'!E11="43mm",'Assembly(b)'!E11="43mm H/D"))),1,"")</f>
        <v/>
      </c>
      <c r="BP5" s="7" t="str">
        <f>IF(AND('Job Sheet'!BE11="Black",'Assembly(b)'!F11="Chain Winder",(OR('Assembly(b)'!E11="43mm",'Assembly(b)'!E11="43mm H/D"))),1,"")</f>
        <v/>
      </c>
      <c r="BQ5" s="7" t="str">
        <f>IF(AND('Job Sheet'!BE11="Birch White",'Assembly(b)'!F11="Chain Winder",(OR('Assembly(b)'!E11="43mm",'Assembly(b)'!E11="43mm H/D"))),1,"")</f>
        <v/>
      </c>
      <c r="BR5" s="7" t="str">
        <f>IF(AND('Job Sheet'!BE11="Grey",'Assembly(b)'!F11="Chain Winder",(OR('Assembly(b)'!E11="43mm",'Assembly(b)'!E11="43mm H/D"))),1,"")</f>
        <v/>
      </c>
      <c r="BS5" s="7" t="str">
        <f>IF(AND('Job Sheet'!BE11="Beige",'Assembly(b)'!F11="Chain Winder",(OR('Assembly(b)'!E11="43mm",'Assembly(b)'!E11="43mm H/D"))),1,"")</f>
        <v/>
      </c>
      <c r="BT5" s="7" t="str">
        <f>IF(AND('Job Sheet'!BE11="White",'Assembly(b)'!F11="Chain Winder Fixed Guide",(OR('Assembly(b)'!E11="43mm",'Assembly(b)'!E11="43mm H/D"))),1,"")</f>
        <v/>
      </c>
      <c r="BU5" s="7" t="str">
        <f>IF(AND('Job Sheet'!BE11="Black",'Assembly(b)'!F11="Chain Winder Fixed Guide",(OR('Assembly(b)'!E11="43mm",'Assembly(b)'!E11="43mm H/D"))),1,"")</f>
        <v/>
      </c>
      <c r="BV5" s="7" t="str">
        <f>IF(AND('Job Sheet'!BE11="Birch White",'Assembly(b)'!F11="Chain Winder Fixed Guide",(OR('Assembly(b)'!E11="43mm",'Assembly(b)'!E11="43mm H/D"))),1,"")</f>
        <v/>
      </c>
      <c r="BW5" s="7" t="str">
        <f>IF(AND('Job Sheet'!BE11="Grey",'Assembly(b)'!F11="Chain Winder Fixed Guide",(OR('Assembly(b)'!E11="43mm",'Assembly(b)'!E11="43mm H/D"))),1,"")</f>
        <v/>
      </c>
      <c r="BX5" s="7" t="str">
        <f>IF(AND('Job Sheet'!BE11="Beige",'Assembly(b)'!F11="Chain Winder Fixed Guide",(OR('Assembly(b)'!E11="43mm",'Assembly(b)'!E11="43mm H/D"))),1,"")</f>
        <v/>
      </c>
      <c r="BY5" s="7" t="str">
        <f>IF(Data!AV11="","",IF(AND('Job Sheet'!BE11="White",VLOOKUP('Job Sheet'!AR11,ControlDeduct,3,FALSE)="Yes"),1,""))</f>
        <v/>
      </c>
      <c r="BZ5" s="7" t="str">
        <f>IF(Data!AV11="","",IF(AND('Job Sheet'!BE11="Black",VLOOKUP('Job Sheet'!AR11,ControlDeduct,3,FALSE)="Yes"),1,""))</f>
        <v/>
      </c>
      <c r="CA5" s="7" t="str">
        <f>IF(Data!AV11="","",IF(AND('Job Sheet'!BE11="Birch White",VLOOKUP('Job Sheet'!AR11,ControlDeduct,3,FALSE)="Yes"),1,""))</f>
        <v/>
      </c>
      <c r="CB5" s="7" t="str">
        <f>IF(Data!AV11="","",IF(AND('Job Sheet'!BE11="Grey",VLOOKUP('Job Sheet'!AR11,ControlDeduct,3,FALSE)="Yes"),1,""))</f>
        <v/>
      </c>
      <c r="CC5" s="7" t="str">
        <f>IF(Data!AV11="","",IF(AND('Job Sheet'!BE11="Beige",VLOOKUP('Job Sheet'!AR11,ControlDeduct,3,FALSE)="Yes"),1,""))</f>
        <v/>
      </c>
      <c r="CD5" s="7">
        <f>IF(AND('Job Sheet'!BE11="White",(OR(Bagging!D11="Single",Bagging!D11="Single with Covers",Bagging!D11="Single &amp; Single Linked"))),1,"")</f>
        <v>1</v>
      </c>
      <c r="CE5" s="7" t="str">
        <f>IF(AND('Job Sheet'!BE11="Black",(OR(Bagging!D11="Single",Bagging!D11="Single with Covers",Bagging!D11="Single &amp; Single Linked"))),1,"")</f>
        <v/>
      </c>
      <c r="CF5" s="7" t="str">
        <f>IF(AND('Job Sheet'!BE11="Birch White",(OR(Bagging!D11="Single",Bagging!D11="Single with Covers",Bagging!D11="Single &amp; Single Linked"))),1,"")</f>
        <v/>
      </c>
      <c r="CG5" s="7" t="str">
        <f>IF(AND('Job Sheet'!BE11="Grey",(OR(Bagging!D11="Single",Bagging!D11="Single with Covers",Bagging!D11="Single &amp; Single Linked"))),1,"")</f>
        <v/>
      </c>
      <c r="CH5" s="7" t="str">
        <f>IF(AND('Job Sheet'!BE11="Beige",(OR(Bagging!D11="Single",Bagging!D11="Single with Covers",Bagging!D11="Single &amp; Single Linked"))),1,"")</f>
        <v/>
      </c>
      <c r="CI5" s="7" t="str">
        <f>IF(AND('Job Sheet'!BE11="White",(OR(Bagging!D11="Single Extension",Bagging!D11="Single Extension with Extension Covers",Bagging!D11="Single Extension &amp; Single Extension Linked",Bagging!D11="Single Extension with Extension Covers &amp; Single Extension Linked"))),1,"")</f>
        <v/>
      </c>
      <c r="CJ5" s="7" t="str">
        <f>IF(AND('Job Sheet'!BE11="Black",(OR(Bagging!D11="Single Extension",Bagging!D11="Single Extension with Extension Covers",Bagging!D11="Single Extension &amp; Single Extension Linked",Bagging!D11="Single Extension with Extension Covers &amp; Single Extension Linked"))),1,"")</f>
        <v/>
      </c>
      <c r="CK5" s="7" t="str">
        <f>IF(AND('Job Sheet'!BE11="Birch White",(OR(Bagging!D11="Single Extension",Bagging!D11="Single Extension with Extension Covers",Bagging!D11="Single Extension &amp; Single Extension Linked",Bagging!D11="Single Extension with Extension Covers &amp; Single Extension Linked"))),1,"")</f>
        <v/>
      </c>
      <c r="CL5" s="7" t="str">
        <f>IF(AND('Job Sheet'!BE11="Grey",(OR(Bagging!D11="Single Extension",Bagging!D11="Single Extension with Extension Covers",Bagging!D11="Single Extension &amp; Single Extension Linked",Bagging!D11="Single Extension with Extension Covers &amp; Single Extension Linked"))),1,"")</f>
        <v/>
      </c>
      <c r="CM5" s="7" t="str">
        <f>IF(AND('Job Sheet'!BE11="Beige",(OR(Bagging!D11="Single Extension",Bagging!D11="Single Extension with Extension Covers",Bagging!D11="Single Extension &amp; Single Extension Linked",Bagging!D11="Single Extension with Extension Covers &amp; Single Extension Linked"))),1,"")</f>
        <v/>
      </c>
      <c r="CN5" s="7" t="str">
        <f>IF(AND('Job Sheet'!BE11="White",(OR(Bagging!D11="Single Motor Brackets",Bagging!D11="Single Motor Brackets with Covers"))),1,"")</f>
        <v/>
      </c>
      <c r="CO5" s="7" t="str">
        <f>IF(AND('Job Sheet'!BE11="Black",(OR(Bagging!D11="Single Motor Brackets",Bagging!D11="Single Motor Brackets with Covers"))),1,"")</f>
        <v/>
      </c>
      <c r="CP5" s="7" t="str">
        <f>IF(AND('Job Sheet'!BE11="White",(OR(Bagging!D11="Single Motor Extension Brackets",Bagging!D11="Single Motor Extension Brackets with Extension Covers"))),1,"")</f>
        <v/>
      </c>
      <c r="CQ5" s="7" t="str">
        <f>IF(AND('Job Sheet'!BE11="Black",(OR(Bagging!D11="Single Motor Extension Brackets",Bagging!D11="Single Motor Extension Brackets with Extension Covers"))),1,"")</f>
        <v/>
      </c>
      <c r="CR5" s="7" t="str">
        <f>IF(AND('Job Sheet'!BE11="White",OR(Bagging!D11="Single with Covers",Bagging!D11="Single Motor Brackets with Covers")),1,"")</f>
        <v/>
      </c>
      <c r="CS5" s="7" t="str">
        <f>IF(AND('Job Sheet'!BE11="Black",OR(Bagging!D11="Single with Covers",Bagging!D11="Single Motor Brackets with Covers")),1,"")</f>
        <v/>
      </c>
      <c r="CT5" s="7" t="str">
        <f>IF(AND('Job Sheet'!BE11="Birch White",OR(Bagging!D11="Single with Covers",Bagging!D11="Single Motor Brackets with Covers")),1,"")</f>
        <v/>
      </c>
      <c r="CU5" s="7" t="str">
        <f>IF(AND('Job Sheet'!BE11="Grey",OR(Bagging!D11="Single with Covers",Bagging!D11="Single Motor Brackets with Covers")),1,"")</f>
        <v/>
      </c>
      <c r="CV5" s="7" t="str">
        <f>IF(AND('Job Sheet'!BE11="Beige",OR(Bagging!D11="Single with Covers",Bagging!D11="Single Motor Brackets with Covers")),1,"")</f>
        <v/>
      </c>
      <c r="CW5" s="7" t="str">
        <f>IF(AND('Job Sheet'!BE11="White",OR(Bagging!D11="Single Extension with Extension Covers",Bagging!D11="Single Motor Extension Brackets with Extension Covers",Bagging!D11="Single Extension with Extension Covers &amp; Single Extension Linked")),1,"")</f>
        <v/>
      </c>
      <c r="CX5" s="7" t="str">
        <f>IF(AND('Job Sheet'!BE11="Black",OR(Bagging!D11="Single Extension with Extension Covers",Bagging!D11="Single Motor Extension Brackets with Extension Covers",Bagging!D11="Single Extension with Extension Covers &amp; Single Extension Linked")),1,"")</f>
        <v/>
      </c>
      <c r="CY5" s="7" t="str">
        <f>IF(AND('Job Sheet'!BE11="Birch White",OR(Bagging!D11="Single Extension with Extension Covers",Bagging!D11="Single Motor Extension Brackets with Extension Covers",Bagging!D11="Single Extension with Extension Covers &amp; Single Extension Linked")),1,"")</f>
        <v/>
      </c>
      <c r="CZ5" s="7" t="str">
        <f>IF(AND('Job Sheet'!BE11="Grey",OR(Bagging!D11="Single Extension with Extension Covers",Bagging!D11="Single Motor Extension Brackets with Extension Covers",Bagging!D11="Single Extension with Extension Covers &amp; Single Extension Linked")),1,"")</f>
        <v/>
      </c>
      <c r="DA5" s="7" t="str">
        <f>IF(AND('Job Sheet'!BE11="Beige",OR(Bagging!D11="Single Extension with Extension Covers",Bagging!D11="Single Motor Extension Brackets with Extension Covers",Bagging!D11="Single Extension with Extension Covers &amp; Single Extension Linked")),1,"")</f>
        <v/>
      </c>
      <c r="DB5" s="7" t="str">
        <f>IF(AND(Bagging!D11="Dual Opposite Side",'Job Sheet'!BE11="White"),1,"")</f>
        <v/>
      </c>
      <c r="DC5" s="7" t="str">
        <f>IF(AND(Bagging!D11="Dual Opposite Side",'Job Sheet'!BE11="Black"),1,"")</f>
        <v/>
      </c>
      <c r="DD5" s="7" t="str">
        <f>IF(AND(Bagging!D11="Dual Opposite Side",'Job Sheet'!BE11="Birch White"),1,"")</f>
        <v/>
      </c>
      <c r="DE5" s="7" t="str">
        <f>IF(AND(Bagging!D11="Dual Opposite Side",'Job Sheet'!BE11="Grey"),1,"")</f>
        <v/>
      </c>
      <c r="DF5" s="7" t="str">
        <f>IF(AND(Bagging!D11="Dual Opposite Side",'Job Sheet'!BE11="Beige"),1,"")</f>
        <v/>
      </c>
      <c r="DG5" s="7" t="str">
        <f>IF(AND('Job Sheet'!BE11="White",(OR(Bagging!D11="Dual Same Side",Bagging!D11="Dual Same Side &amp; Dual Linked"))),1,"")</f>
        <v/>
      </c>
      <c r="DH5" s="7" t="str">
        <f>IF(AND('Job Sheet'!BE11="Black",(OR(Bagging!D11="Dual Same Side",Bagging!D11="Dual Same Side &amp; Dual Linked"))),1,"")</f>
        <v/>
      </c>
      <c r="DI5" s="7" t="str">
        <f>IF(AND('Job Sheet'!BE11="Birch White",(OR(Bagging!D11="Dual Same Side",Bagging!D11="Dual Same Side &amp; Dual Linked"))),1,"")</f>
        <v/>
      </c>
      <c r="DJ5" s="7" t="str">
        <f>IF(AND('Job Sheet'!BE11="Grey",(OR(Bagging!D11="Dual Same Side",Bagging!D11="Dual Same Side &amp; Dual Linked"))),1,"")</f>
        <v/>
      </c>
      <c r="DK5" s="7" t="str">
        <f>IF(AND('Job Sheet'!BE11="Beige",(OR(Bagging!D11="Dual Same Side",Bagging!D11="Dual Same Side &amp; Dual Linked"))),1,"")</f>
        <v/>
      </c>
      <c r="DL5" s="7" t="str">
        <f>IF(AND('Job Sheet'!BE11="White",(OR(Bagging!D11="Slimline Dual Top Blind Front Roll LHS Control",Bagging!D11="Slimline Dual Top Blind Front Roll LHS Control &amp; Dual Slimline Linked Top Blind Front Roll"))),1,"")</f>
        <v/>
      </c>
      <c r="DM5" s="7" t="str">
        <f>IF(AND('Job Sheet'!BE11="White",(OR(Bagging!D11="Slimline Dual Top Blind Front Roll RHS Control",Bagging!D11="Slimline Dual Top Blind Front Roll RHS Control &amp; Dual Slimline Linked Top Blind Front Roll"))),1,"")</f>
        <v/>
      </c>
      <c r="DN5" s="7" t="str">
        <f>IF(AND('Job Sheet'!BE11="Black",(OR(Bagging!D11="Slimline Dual Top Blind Front Roll LHS Control",Bagging!D11="Slimline Dual Top Blind Front Roll LHS Control &amp; Dual Slimline Linked Top Blind Front Roll"))),1,"")</f>
        <v/>
      </c>
      <c r="DO5" s="7" t="str">
        <f>IF(AND('Job Sheet'!BE11="Black",(OR(Bagging!D11="Slimline Dual Top Blind Front Roll RHS Control",Bagging!D11="Slimline Dual Top Blind Front Roll RHS Control &amp; Dual Slimline Linked Top Blind Front Roll"))),1,"")</f>
        <v/>
      </c>
      <c r="DP5" s="7" t="str">
        <f>IF(AND('Job Sheet'!BE11="Birch White",(OR(Bagging!D11="Slimline Dual Top Blind Front Roll LHS Control",Bagging!D11="Slimline Dual Top Blind Front Roll LHS Control &amp; Dual Slimline Linked Top Blind Front Roll"))),1,"")</f>
        <v/>
      </c>
      <c r="DQ5" s="7" t="str">
        <f>IF(AND('Job Sheet'!BE11="Birch White",(OR(Bagging!D11="Slimline Dual Top Blind Front Roll RHS Control",Bagging!D11="Slimline Dual Top Blind Front Roll RHS Control &amp; Dual Slimline Linked Top Blind Front Roll"))),1,"")</f>
        <v/>
      </c>
      <c r="DR5" s="7" t="str">
        <f>IF(AND('Job Sheet'!BE11="Grey",(OR(Bagging!D11="Slimline Dual Top Blind Front Roll LHS Control",Bagging!D11="Slimline Dual Top Blind Front Roll LHS Control &amp; Dual Slimline Linked Top Blind Front Roll"))),1,"")</f>
        <v/>
      </c>
      <c r="DS5" s="7" t="str">
        <f>IF(AND('Job Sheet'!BE11="Grey",(OR(Bagging!D11="Slimline Dual Top Blind Front Roll RHS Control",Bagging!D11="Slimline Dual Top Blind Front Roll RHS Control &amp; Dual Slimline Linked Top Blind Front Roll"))),1,"")</f>
        <v/>
      </c>
      <c r="DT5" s="7" t="str">
        <f>IF(AND('Job Sheet'!BE11="Beige",(OR(Bagging!D11="Slimline Dual Top Blind Front Roll LHS Control",Bagging!D11="Slimline Dual Top Blind Front Roll LHS Control &amp; Dual Slimline Linked Top Blind Front Roll"))),1,"")</f>
        <v/>
      </c>
      <c r="DU5" s="7" t="str">
        <f>IF(AND('Job Sheet'!BE11="Beige",(OR(Bagging!D11="Slimline Dual Top Blind Front Roll RHS Control",Bagging!D11="Slimline Dual Top Blind Front Roll RHS Control &amp; Dual Slimline Linked Top Blind Front Roll"))),1,"")</f>
        <v/>
      </c>
      <c r="DV5" s="7" t="str">
        <f>IF(AND('Job Sheet'!BE11="White",(OR(Bagging!D11="Slimline Dual Top Blind Back Roll LHS Control",Bagging!D11="Slimline Dual Top Blind Back Roll LHS Control &amp; Dual Slimline Linked Top Blind Back Roll"))),1,"")</f>
        <v/>
      </c>
      <c r="DW5" s="7" t="str">
        <f>IF(AND('Job Sheet'!BE11="White",(OR(Bagging!D11="Slimline Dual Top Blind Back Roll RHS Control",Bagging!D11="Slimline Dual Top Blind Back Roll LHS Control &amp; Dual Slimline Linked Top Blind Back Roll"))),1,"")</f>
        <v/>
      </c>
      <c r="DX5" s="7" t="str">
        <f>IF(AND('Job Sheet'!BE11="Black",(OR(Bagging!D11="Slimline Dual Top Blind Back Roll LHS Control",Bagging!D11="Slimline Dual Top Blind Back Roll LHS Control &amp; Dual Slimline Linked Top Blind Back Roll"))),1,"")</f>
        <v/>
      </c>
      <c r="DY5" s="7" t="str">
        <f>IF(AND('Job Sheet'!BE11="Black",(OR(Bagging!D11="Slimline Dual Top Blind Back Roll RHS Control",Bagging!D11="Slimline Dual Top Blind Back Roll LHS Control &amp; Dual Slimline Linked Top Blind Back Roll"))),1,"")</f>
        <v/>
      </c>
      <c r="DZ5" s="7" t="str">
        <f>IF(AND('Job Sheet'!BE11="Birch White",(OR(Bagging!D11="Slimline Dual Top Blind Back Roll LHS Control",Bagging!D11="Slimline Dual Top Blind Back Roll LHS Control &amp; Dual Slimline Linked Top Blind Back Roll"))),1,"")</f>
        <v/>
      </c>
      <c r="EA5" s="7" t="str">
        <f>IF(AND('Job Sheet'!BE11="Birch White",(OR(Bagging!D11="Slimline Dual Top Blind Back Roll RHS Control",Bagging!D11="Slimline Dual Top Blind Back Roll LHS Control &amp; Dual Slimline Linked Top Blind Back Roll"))),1,"")</f>
        <v/>
      </c>
      <c r="EB5" s="7" t="str">
        <f>IF(AND('Job Sheet'!BE11="Grey",(OR(Bagging!D11="Slimline Dual Top Blind Back Roll LHS Control",Bagging!D11="Slimline Dual Top Blind Back Roll LHS Control &amp; Dual Slimline Linked Top Blind Back Roll"))),1,"")</f>
        <v/>
      </c>
      <c r="EC5" s="7" t="str">
        <f>IF(AND('Job Sheet'!BE11="Grey",(OR(Bagging!D11="Slimline Dual Top Blind Back Roll RHS Control",Bagging!D11="Slimline Dual Top Blind Back Roll LHS Control &amp; Dual Slimline Linked Top Blind Back Roll"))),1,"")</f>
        <v/>
      </c>
      <c r="ED5" s="7" t="str">
        <f>IF(AND('Job Sheet'!BE11="Beige",(OR(Bagging!D11="Slimline Dual Top Blind Back Roll LHS Control",Bagging!D11="Slimline Dual Top Blind Back Roll LHS Control &amp; Dual Slimline Linked Top Blind Back Roll"))),1,"")</f>
        <v/>
      </c>
      <c r="EE5" s="7" t="str">
        <f>IF(AND('Job Sheet'!BE11="Beige",(OR(Bagging!D11="Slimline Dual Top Blind Back Roll RHS Control",Bagging!D11="Slimline Dual Top Blind Back Roll LHS Control &amp; Dual Slimline Linked Top Blind Back Roll"))),1,"")</f>
        <v/>
      </c>
      <c r="EF5" s="7" t="str">
        <f>IF(AND('Job Sheet'!BE11="White",(OR(Bagging!D11="Linked",Bagging!D11="Single &amp; Single Linked"))),1,IF(AND(Bagging!D11="Linked(2 Sets)",'Job Sheet'!BE11="White"),2,""))</f>
        <v/>
      </c>
      <c r="EG5" s="7" t="str">
        <f>IF(AND('Job Sheet'!BE11="Black",(OR(Bagging!D11="Linked",Bagging!D11="Single &amp; Single Linked"))),1,IF(AND(Bagging!D11="Linked(2 Sets)",'Job Sheet'!BE11="Black"),2,""))</f>
        <v/>
      </c>
      <c r="EH5" s="7" t="str">
        <f>IF(AND('Job Sheet'!BE11="Birch White",(OR(Bagging!D11="Linked",Bagging!D11="Single &amp; Single Linked"))),1,IF(AND(Bagging!D11="Linked(2 Sets)",'Job Sheet'!BE11="Birch White"),2,""))</f>
        <v/>
      </c>
      <c r="EI5" s="7" t="str">
        <f>IF(AND('Job Sheet'!BE11="Grey",(OR(Bagging!D11="Linked",Bagging!D11="Single &amp; Single Linked"))),1,IF(AND(Bagging!D11="Linked(2 Sets)",'Job Sheet'!BE11="Grey"),2,""))</f>
        <v/>
      </c>
      <c r="EJ5" s="7" t="str">
        <f>IF(AND('Job Sheet'!BE11="Beige",(OR(Bagging!D11="Linked",Bagging!D11="Single &amp; Single Linked"))),1,IF(AND(Bagging!D11="Linked(2 Sets)",'Job Sheet'!BE11="Beige"),2,""))</f>
        <v/>
      </c>
      <c r="EK5" s="7" t="str">
        <f>IF(AND('Job Sheet'!BE11="White",(OR(Bagging!D11="Single Extension Linked",Bagging!D11="Single Extension &amp; Single Extension Linked",Bagging!D11="Single Extension with Extension Covers &amp; Single Extension Linked"))),1,IF(AND(Bagging!D11="Single Extension Linked(2 Sets)",'Job Sheet'!BE11="White"),2,""))</f>
        <v/>
      </c>
      <c r="EL5" s="7" t="str">
        <f>IF(AND('Job Sheet'!BE11="Black",(OR(Bagging!D11="Single Extension Linked",Bagging!D11="Single Extension &amp; Single Extension Linked",Bagging!D11="Single Extension with Extension Covers &amp; Single Extension Linked"))),1,IF(AND(Bagging!D11="Single Extension Linked(2 Sets)",'Job Sheet'!BE11="Black"),2,""))</f>
        <v/>
      </c>
      <c r="EM5" s="7" t="str">
        <f>IF(AND('Job Sheet'!BE11="Birch White",(OR(Bagging!D11="Single Extension Linked",Bagging!D11="Single Extension &amp; Single Extension Linked",Bagging!D11="Single Extension with Extension Covers &amp; Single Extension Linked"))),1,IF(AND(Bagging!D11="Single Extension Linked(2 Sets)",'Job Sheet'!BE11="Birch White"),2,""))</f>
        <v/>
      </c>
      <c r="EN5" s="7" t="str">
        <f>IF(AND('Job Sheet'!BE11="Grey",(OR(Bagging!D11="Single Extension Linked",Bagging!D11="Single Extension &amp; Single Extension Linked",Bagging!D11="Single Extension with Extension Covers &amp; Single Extension Linked"))),1,IF(AND(Bagging!D11="Single Extension Linked(2 Sets)",'Job Sheet'!BE11="Grey"),2,""))</f>
        <v/>
      </c>
      <c r="EO5" s="7" t="str">
        <f>IF(AND('Job Sheet'!BE11="Beige",(OR(Bagging!D11="Single Extension Linked",Bagging!D11="Single Extension &amp; Single Extension Linked",Bagging!D11="Single Extension with Extension Covers &amp; Single Extension Linked"))),1,IF(AND(Bagging!D11="Single Extension Linked(2 Sets)",'Job Sheet'!BE11="Beige"),2,""))</f>
        <v/>
      </c>
      <c r="EP5" s="7" t="str">
        <f>IF(AND('Job Sheet'!BE11="White",(OR(Bagging!D11="Dual Linked",Bagging!D11="Dual Same Side &amp; Dual Linked"))),1,IF(AND(Bagging!D11="Dual Linked(2 Sets)",'Job Sheet'!BE11="White"),2,""))</f>
        <v/>
      </c>
      <c r="EQ5" s="7" t="str">
        <f>IF(AND('Job Sheet'!BE11="Black",(OR(Bagging!D11="Dual Linked",Bagging!D11="Dual Same Side &amp; Dual Linked"))),1,IF(AND(Bagging!D11="Dual Linked(2 Sets)",'Job Sheet'!BE11="Black"),2,""))</f>
        <v/>
      </c>
      <c r="ER5" s="7" t="str">
        <f>IF(AND('Job Sheet'!BE11="Birch White",(OR(Bagging!D11="Dual Linked",Bagging!D11="Dual Same Side &amp; Dual Linked"))),1,IF(AND(Bagging!D11="Dual Linked(2 Sets)",'Job Sheet'!BE11="Birch White"),2,""))</f>
        <v/>
      </c>
      <c r="ES5" s="7" t="str">
        <f>IF(AND('Job Sheet'!BE11="Grey",(OR(Bagging!D11="Dual Linked",Bagging!D11="Dual Same Side &amp; Dual Linked"))),1,IF(AND(Bagging!D11="Dual Linked(2 Sets)",'Job Sheet'!BE11="Grey"),2,""))</f>
        <v/>
      </c>
      <c r="ET5" s="7" t="str">
        <f>IF(AND('Job Sheet'!BE11="Beige",(OR(Bagging!D11="Dual Linked",Bagging!D11="Dual Same Side &amp; Dual Linked"))),1,IF(AND(Bagging!D11="Dual Linked(2 Sets)",'Job Sheet'!BE11="Beige"),2,""))</f>
        <v/>
      </c>
      <c r="EU5" s="7" t="str">
        <f>IF(AND('Job Sheet'!BE11="White",(OR(Bagging!D11="Dual Slimline Linked Top Blind Front Roll",Bagging!D11="Slimline Dual Top Blind Front Roll LHS Control &amp; Dual Slimline Linked Top Blind Front Roll",Bagging!D11="Slimline Dual Top Blind Front Roll RHS Control &amp; Dual Slimline Linked Top Blind Front Roll"))),1,IF(AND(Bagging!D11="Dual Slimline Linked Top Blind Front Roll(2 Sets)",'Job Sheet'!BE11="White"),2,""))</f>
        <v/>
      </c>
      <c r="EV5" s="7" t="str">
        <f>IF(AND('Job Sheet'!BE11="Black",(OR(Bagging!D11="Dual Slimline Linked Top Blind Front Roll",Bagging!D11="Slimline Dual Top Blind Front Roll LHS Control &amp; Dual Slimline Linked Top Blind Front Roll",Bagging!D11="Slimline Dual Top Blind Front Roll RHS Control &amp; Dual Slimline Linked Top Blind Front Roll"))),1,IF(AND(Bagging!D11="Dual Slimline Linked Top Blind Front Roll(2 Sets)",'Job Sheet'!BE11="Black"),2,""))</f>
        <v/>
      </c>
      <c r="EW5" s="7" t="str">
        <f>IF(AND('Job Sheet'!BE11="Birch White",(OR(Bagging!D11="Dual Slimline Linked Top Blind Front Roll",Bagging!D11="Slimline Dual Top Blind Front Roll LHS Control &amp; Dual Slimline Linked Top Blind Front Roll",Bagging!D11="Slimline Dual Top Blind Front Roll RHS Control &amp; Dual Slimline Linked Top Blind Front Roll"))),1,IF(AND(Bagging!D11="Dual Slimline Linked Top Blind Front Roll(2 Sets)",'Job Sheet'!BE11="Birch White"),2,""))</f>
        <v/>
      </c>
      <c r="EX5" s="7" t="str">
        <f>IF(AND('Job Sheet'!BE11="Grey",(OR(Bagging!D11="Dual Slimline Linked Top Blind Front Roll",Bagging!D11="Slimline Dual Top Blind Front Roll LHS Control &amp; Dual Slimline Linked Top Blind Front Roll",Bagging!D11="Slimline Dual Top Blind Front Roll RHS Control &amp; Dual Slimline Linked Top Blind Front Roll"))),1,IF(AND(Bagging!D11="Dual Slimline Linked Top Blind Front Roll(2 Sets)",'Job Sheet'!BE11="Grey"),2,""))</f>
        <v/>
      </c>
      <c r="EY5" s="7" t="str">
        <f>IF(AND('Job Sheet'!BE11="Beige",(OR(Bagging!D11="Dual Slimline Linked Top Blind Front Roll",Bagging!D11="Slimline Dual Top Blind Front Roll LHS Control &amp; Dual Slimline Linked Top Blind Front Roll",Bagging!D11="Slimline Dual Top Blind Front Roll RHS Control &amp; Dual Slimline Linked Top Blind Front Roll"))),1,IF(AND(Bagging!D11="Dual Slimline Linked Top Blind Front Roll(2 Sets)",'Job Sheet'!BE11="Beige"),2,""))</f>
        <v/>
      </c>
      <c r="EZ5" s="7" t="str">
        <f>IF(AND('Job Sheet'!BE11="White",(OR(Bagging!D11="Dual Slimline Linked Top Blind Back Roll",Bagging!D11="Slimline Dual Top Blind Back Roll LHS Control &amp; Dual Slimline Linked Top Blind Back Roll",Bagging!D11="Slimline Dual Top Blind Back Roll RHS Control &amp; Dual Slimline Linked Top Blind Back Roll"))),1,IF(AND(Bagging!D11="Dual Slimline Linked Top Blind Back Roll(2 Sets)",'Job Sheet'!BE11="White"),2,""))</f>
        <v/>
      </c>
      <c r="FA5" s="7" t="str">
        <f>IF(AND('Job Sheet'!BE11="Black",(OR(Bagging!D11="Dual Slimline Linked Top Blind Back Roll",Bagging!D11="Slimline Dual Top Blind Back Roll LHS Control &amp; Dual Slimline Linked Top Blind Back Roll",Bagging!D11="Slimline Dual Top Blind Back Roll RHS Control &amp; Dual Slimline Linked Top Blind Back Roll"))),1,IF(AND(Bagging!D11="Dual Slimline Linked Top Blind Back Roll(2 Sets)",'Job Sheet'!BE11="Black"),2,""))</f>
        <v/>
      </c>
      <c r="FB5" s="7" t="str">
        <f>IF(AND('Job Sheet'!BE11="Birch White",(OR(Bagging!D11="Dual Slimline Linked Top Blind Back Roll",Bagging!D11="Slimline Dual Top Blind Back Roll LHS Control &amp; Dual Slimline Linked Top Blind Back Roll",Bagging!D11="Slimline Dual Top Blind Back Roll RHS Control &amp; Dual Slimline Linked Top Blind Back Roll"))),1,IF(AND(Bagging!D11="Dual Slimline Linked Top Blind Back Roll(2 Sets)",'Job Sheet'!BE11="Birch White"),2,""))</f>
        <v/>
      </c>
      <c r="FC5" s="7" t="str">
        <f>IF(AND('Job Sheet'!BE11="Grey",(OR(Bagging!D11="Dual Slimline Linked Top Blind Back Roll",Bagging!D11="Slimline Dual Top Blind Back Roll LHS Control &amp; Dual Slimline Linked Top Blind Back Roll",Bagging!D11="Slimline Dual Top Blind Back Roll RHS Control &amp; Dual Slimline Linked Top Blind Back Roll"))),1,IF(AND(Bagging!D11="Dual Slimline Linked Top Blind Back Roll(2 Sets)",'Job Sheet'!BE11="Grey"),2,""))</f>
        <v/>
      </c>
      <c r="FD5" s="7" t="str">
        <f>IF(AND('Job Sheet'!BE11="Beige",(OR(Bagging!D11="Dual Slimline Linked Top Blind Back Roll",Bagging!D11="Slimline Dual Top Blind Back Roll LHS Control &amp; Dual Slimline Linked Top Blind Back Roll",Bagging!D11="Slimline Dual Top Blind Back Roll RHS Control &amp; Dual Slimline Linked Top Blind Back Roll"))),1,IF(AND(Bagging!D11="Dual Slimline Linked Top Blind Back Roll(2 Sets)",'Job Sheet'!BE11="Beige"),2,""))</f>
        <v/>
      </c>
      <c r="FE5" s="7" t="str">
        <f>IF(AND(OR('Job Sheet'!BF11="Nickel Steel",'Job Sheet'!BF11="Nickel Steel Chain"),OR('Assembly(b)'!D11="500mm",'Assembly(b)'!D11="500")),1,"")</f>
        <v/>
      </c>
      <c r="FF5" s="7" t="str">
        <f>IF(AND(OR('Job Sheet'!BF11="Nickel Steel",'Job Sheet'!BF11="Nickel Steel Chain"),OR('Assembly(b)'!D11="750mm",'Assembly(b)'!D11="750")),1,"")</f>
        <v/>
      </c>
      <c r="FG5" s="7" t="str">
        <f>IF(AND(OR('Job Sheet'!BF11="Nickel Steel",'Job Sheet'!BF11="Nickel Steel Chain"),OR('Assembly(b)'!D11="1000mm",'Assembly(b)'!D11="1000")),1,"")</f>
        <v/>
      </c>
      <c r="FH5" s="7" t="str">
        <f>IF(AND(OR('Job Sheet'!BF11="Nickel Steel",'Job Sheet'!BF11="Nickel Steel Chain"),OR('Assembly(b)'!D11="1250mm",'Assembly(b)'!D11="1250")),1,"")</f>
        <v/>
      </c>
      <c r="FI5" s="7">
        <f>IF(AND(OR('Job Sheet'!BF11="Nickel Steel",'Job Sheet'!BF11="Nickel Steel Chain"),OR('Assembly(b)'!D11="1500mm",'Assembly(b)'!D11="1500")),1,"")</f>
        <v>1</v>
      </c>
      <c r="FJ5" s="7" t="str">
        <f>IF(AND(OR('Job Sheet'!BF11="Nickel Steel",'Job Sheet'!BF11="Nickel Steel Chain"),OR('Assembly(b)'!D11="1750mm",'Assembly(b)'!D11="1750")),1,"")</f>
        <v/>
      </c>
      <c r="FK5" s="7" t="str">
        <f>IF(AND(OR('Job Sheet'!BF11="Nickel Steel",'Job Sheet'!BF11="Nickel Steel Chain"),OR('Assembly(b)'!D11="2000mm",'Assembly(b)'!D11="2000")),1,"")</f>
        <v/>
      </c>
      <c r="FL5" s="7" t="str">
        <f>IF(AND(OR('Job Sheet'!BF11="Nickel Steel",'Job Sheet'!BF11="Nickel Steel Chain"),OR('Assembly(b)'!D11="2250mm",'Assembly(b)'!D11="2250")),1,"")</f>
        <v/>
      </c>
      <c r="FM5" s="7" t="str">
        <f>IF(AND(OR('Job Sheet'!BF11="Nickel Steel",'Job Sheet'!BF11="Nickel Steel Chain"),OR('Assembly(b)'!D11="2500mm",'Assembly(b)'!D11="2500")),1,"")</f>
        <v/>
      </c>
      <c r="FN5" s="7" t="str">
        <f>IF(AND(OR('Job Sheet'!BF11="Nickel Steel",'Job Sheet'!BF11="Nickel Steel Chain"),OR('Assembly(b)'!D11="2750mm",'Assembly(b)'!D11="2750")),1,"")</f>
        <v/>
      </c>
      <c r="FO5" s="7" t="str">
        <f>IF(AND(OR('Job Sheet'!BF11="Nickel Steel",'Job Sheet'!BF11="Nickel Steel Chain"),OR('Assembly(b)'!D11="3000mm",'Assembly(b)'!D11="3000")),1,"")</f>
        <v/>
      </c>
      <c r="FP5" s="7" t="str">
        <f>IF(AND(OR('Job Sheet'!BF11="Nickel Steel",'Job Sheet'!BF11="Nickel Steel Chain"),OR('Assembly(b)'!D11="3250mm",'Assembly(b)'!D11="3250")),1,"")</f>
        <v/>
      </c>
      <c r="FQ5" s="7" t="str">
        <f>IF(AND(OR('Job Sheet'!BF11="Nickel Steel",'Job Sheet'!BF11="Nickel Steel Chain"),OR('Assembly(b)'!D11="3500mm",'Assembly(b)'!D11="3500")),1,"")</f>
        <v/>
      </c>
      <c r="FR5" s="7" t="str">
        <f>IF(AND(OR('Job Sheet'!BF11="Nickel Steel",'Job Sheet'!BF11="Nickel Steel Chain"),OR('Assembly(b)'!D11="3750mm",'Assembly(b)'!D11="3750")),1,"")</f>
        <v/>
      </c>
      <c r="FS5" s="7" t="str">
        <f>IF(AND(OR('Job Sheet'!BF11="Nickel Steel",'Job Sheet'!BF11="Nickel Steel Chain"),OR('Assembly(b)'!D11="4000mm",'Assembly(b)'!D11="4000")),1,"")</f>
        <v/>
      </c>
      <c r="FT5" s="7" t="str">
        <f>IF(AND(OR('Job Sheet'!BF11="White",'Job Sheet'!BF11="White Chain"),OR('Assembly(b)'!D11="500mm",'Assembly(b)'!D11="500")),1,"")</f>
        <v/>
      </c>
      <c r="FU5" s="7" t="str">
        <f>IF(AND(OR('Job Sheet'!BF11="White",'Job Sheet'!BF11="White Chain"),OR('Assembly(b)'!D11="750mm",'Assembly(b)'!D11="750")),1,"")</f>
        <v/>
      </c>
      <c r="FV5" s="7" t="str">
        <f>IF(AND(OR('Job Sheet'!BF11="White",'Job Sheet'!BF11="White Chain"),OR('Assembly(b)'!D11="1000mm",'Assembly(b)'!D11="1000")),1,"")</f>
        <v/>
      </c>
      <c r="FW5" s="7" t="str">
        <f>IF(AND(OR('Job Sheet'!BF11="White",'Job Sheet'!BF11="White Chain"),OR('Assembly(b)'!D11="1250mm",'Assembly(b)'!D11="1250")),1,"")</f>
        <v/>
      </c>
      <c r="FX5" s="7" t="str">
        <f>IF(AND(OR('Job Sheet'!BF11="White",'Job Sheet'!BF11="White Chain"),OR('Assembly(b)'!D11="1500mm",'Assembly(b)'!D11="1500")),1,"")</f>
        <v/>
      </c>
      <c r="FY5" s="7" t="str">
        <f>IF(AND(OR('Job Sheet'!BF11="White",'Job Sheet'!BF11="White Chain"),OR('Assembly(b)'!D11="1750mm",'Assembly(b)'!D11="1750")),1,"")</f>
        <v/>
      </c>
      <c r="FZ5" s="7" t="str">
        <f>IF(AND(OR('Job Sheet'!BF11="White",'Job Sheet'!BF11="White Chain"),OR('Assembly(b)'!D11="2000mm",'Assembly(b)'!D11="2000")),1,"")</f>
        <v/>
      </c>
      <c r="GA5" s="7" t="str">
        <f>IF(AND(OR('Job Sheet'!BF11="White",'Job Sheet'!BF11="White Chain"),OR('Assembly(b)'!D11="2250mm",'Assembly(b)'!D11="2250")),1,"")</f>
        <v/>
      </c>
      <c r="GB5" s="7" t="str">
        <f>IF(AND(OR('Job Sheet'!BF11="White",'Job Sheet'!BF11="White Chain"),OR('Assembly(b)'!D11="2500mm",'Assembly(b)'!D11="2500")),1,"")</f>
        <v/>
      </c>
      <c r="GC5" s="7" t="str">
        <f>IF(AND(OR('Job Sheet'!BF11="White",'Job Sheet'!BF11="White Chain"),OR('Assembly(b)'!D11="2750mm",'Assembly(b)'!D11="2750")),1,"")</f>
        <v/>
      </c>
      <c r="GD5" s="7" t="str">
        <f>IF(AND(OR('Job Sheet'!BF11="White",'Job Sheet'!BF11="White Chain"),OR('Assembly(b)'!D11="3000mm",'Assembly(b)'!D11="3000")),1,"")</f>
        <v/>
      </c>
      <c r="GE5" s="7" t="str">
        <f>IF(AND(OR('Job Sheet'!BF11="White",'Job Sheet'!BF11="White Chain"),OR('Assembly(b)'!D11="3250mm",'Assembly(b)'!D11="3250")),1,"")</f>
        <v/>
      </c>
      <c r="GF5" s="7" t="str">
        <f>IF(AND(OR('Job Sheet'!BF11="White",'Job Sheet'!BF11="White Chain"),OR('Assembly(b)'!D11="3500mm",'Assembly(b)'!D11="3500")),1,"")</f>
        <v/>
      </c>
      <c r="GG5" s="7" t="str">
        <f>IF(AND(OR('Job Sheet'!BF11="White",'Job Sheet'!BF11="White Chain"),OR('Assembly(b)'!D11="3750mm",'Assembly(b)'!D11="3750")),1,"")</f>
        <v/>
      </c>
      <c r="GH5" s="7" t="str">
        <f>IF(AND(OR('Job Sheet'!BF11="White",'Job Sheet'!BF11="White Chain"),OR('Assembly(b)'!D11="4000mm",'Assembly(b)'!D11="4000")),1,"")</f>
        <v/>
      </c>
      <c r="GI5" s="7" t="str">
        <f>IF(AND(OR('Job Sheet'!BF11="Black",'Job Sheet'!BF11="Black Chain"),OR('Assembly(b)'!D11="500mm",'Assembly(b)'!D11="500")),1,"")</f>
        <v/>
      </c>
      <c r="GJ5" s="7" t="str">
        <f>IF(AND(OR('Job Sheet'!BF11="Black",'Job Sheet'!BF11="Black Chain"),OR('Assembly(b)'!D11="750mm",'Assembly(b)'!D11="750")),1,"")</f>
        <v/>
      </c>
      <c r="GK5" s="7" t="str">
        <f>IF(AND(OR('Job Sheet'!BF11="Black",'Job Sheet'!BF11="Black Chain"),OR('Assembly(b)'!D11="1000mm",'Assembly(b)'!D11="1000")),1,"")</f>
        <v/>
      </c>
      <c r="GL5" s="7" t="str">
        <f>IF(AND(OR('Job Sheet'!BF11="Black",'Job Sheet'!BF11="Black Chain"),OR('Assembly(b)'!D11="1250mm",'Assembly(b)'!D11="1250")),1,"")</f>
        <v/>
      </c>
      <c r="GM5" s="7" t="str">
        <f>IF(AND(OR('Job Sheet'!BF11="Black",'Job Sheet'!BF11="Black Chain"),OR('Assembly(b)'!D11="1500mm",'Assembly(b)'!D11="1500")),1,"")</f>
        <v/>
      </c>
      <c r="GN5" s="7" t="str">
        <f>IF(AND(OR('Job Sheet'!BF11="Black",'Job Sheet'!BF11="Black Chain"),OR('Assembly(b)'!D11="1750mm",'Assembly(b)'!D11="1750")),1,"")</f>
        <v/>
      </c>
      <c r="GO5" s="7" t="str">
        <f>IF(AND(OR('Job Sheet'!BF11="Black",'Job Sheet'!BF11="Black Chain"),OR('Assembly(b)'!D11="2000mm",'Assembly(b)'!D11="2000")),1,"")</f>
        <v/>
      </c>
      <c r="GP5" s="7" t="str">
        <f>IF(AND(OR('Job Sheet'!BF11="Black",'Job Sheet'!BF11="Black Chain"),OR('Assembly(b)'!D11="2250mm",'Assembly(b)'!D11="2250")),1,"")</f>
        <v/>
      </c>
      <c r="GQ5" s="7" t="str">
        <f>IF(AND(OR('Job Sheet'!BF11="Black",'Job Sheet'!BF11="Black Chain"),OR('Assembly(b)'!D11="2500mm",'Assembly(b)'!D11="2500")),1,"")</f>
        <v/>
      </c>
      <c r="GR5" s="7" t="str">
        <f>IF(AND(OR('Job Sheet'!BF11="Black",'Job Sheet'!BF11="Black Chain"),OR('Assembly(b)'!D11="2750mm",'Assembly(b)'!D11="2750")),1,"")</f>
        <v/>
      </c>
      <c r="GS5" s="7" t="str">
        <f>IF(AND(OR('Job Sheet'!BF11="Black",'Job Sheet'!BF11="Black Chain"),OR('Assembly(b)'!D11="3000mm",'Assembly(b)'!D11="3000")),1,"")</f>
        <v/>
      </c>
      <c r="GT5" s="7" t="str">
        <f>IF(AND(OR('Job Sheet'!BF11="Black",'Job Sheet'!BF11="Black Chain"),OR('Assembly(b)'!D11="3250mm",'Assembly(b)'!D11="3250")),1,"")</f>
        <v/>
      </c>
      <c r="GU5" s="7" t="str">
        <f>IF(AND(OR('Job Sheet'!BF11="Black",'Job Sheet'!BF11="Black Chain"),OR('Assembly(b)'!D11="3500mm",'Assembly(b)'!D11="3500")),1,"")</f>
        <v/>
      </c>
      <c r="GV5" s="7" t="str">
        <f>IF(AND(OR('Job Sheet'!BF11="Black",'Job Sheet'!BF11="Black Chain"),OR('Assembly(b)'!D11="3750mm",'Assembly(b)'!D11="3750")),1,"")</f>
        <v/>
      </c>
      <c r="GW5" s="7" t="str">
        <f>IF(AND(OR('Job Sheet'!BF11="Black",'Job Sheet'!BF11="Black Chain"),OR('Assembly(b)'!D11="4000mm",'Assembly(b)'!D11="4000")),1,"")</f>
        <v/>
      </c>
      <c r="GX5" s="7" t="str">
        <f>IF(AND(OR('Job Sheet'!BF11="Birch White",'Job Sheet'!BF11="Birch White Chain"),OR('Assembly(b)'!D11="500mm",'Assembly(b)'!D11="500")),1,"")</f>
        <v/>
      </c>
      <c r="GY5" s="7" t="str">
        <f>IF(AND(OR('Job Sheet'!BF11="Birch White",'Job Sheet'!BF11="Birch White Chain"),OR('Assembly(b)'!D11="750mm",'Assembly(b)'!D11="750")),1,"")</f>
        <v/>
      </c>
      <c r="GZ5" s="7" t="str">
        <f>IF(AND(OR('Job Sheet'!BF11="Birch White",'Job Sheet'!BF11="Birch White Chain"),OR('Assembly(b)'!D11="1000mm",'Assembly(b)'!D11="1000")),1,"")</f>
        <v/>
      </c>
      <c r="HA5" s="7" t="str">
        <f>IF(AND(OR('Job Sheet'!BF11="Birch White",'Job Sheet'!BF11="Birch White Chain"),OR('Assembly(b)'!D11="1250mm",'Assembly(b)'!D11="1250")),1,"")</f>
        <v/>
      </c>
      <c r="HB5" s="7" t="str">
        <f>IF(AND(OR('Job Sheet'!BF11="Birch White",'Job Sheet'!BF11="Birch White Chain"),OR('Assembly(b)'!D11="1500mm",'Assembly(b)'!D11="1500")),1,"")</f>
        <v/>
      </c>
      <c r="HC5" s="7" t="str">
        <f>IF(AND(OR('Job Sheet'!BF11="Birch White",'Job Sheet'!BF11="Birch White Chain"),OR('Assembly(b)'!D11="1750mm",'Assembly(b)'!D11="1750")),1,"")</f>
        <v/>
      </c>
      <c r="HD5" s="7" t="str">
        <f>IF(AND(OR('Job Sheet'!BF11="Birch White",'Job Sheet'!BF11="Birch White Chain"),OR('Assembly(b)'!D11="2000mm",'Assembly(b)'!D11="2000")),1,"")</f>
        <v/>
      </c>
      <c r="HE5" s="7" t="str">
        <f>IF(AND(OR('Job Sheet'!BF11="Birch White",'Job Sheet'!BF11="Birch White Chain"),OR('Assembly(b)'!D11="2250mm",'Assembly(b)'!D11="2250")),1,"")</f>
        <v/>
      </c>
      <c r="HF5" s="7" t="str">
        <f>IF(AND(OR('Job Sheet'!BF11="Birch White",'Job Sheet'!BF11="Birch White Chain"),OR('Assembly(b)'!D11="2500mm",'Assembly(b)'!D11="2500")),1,"")</f>
        <v/>
      </c>
      <c r="HG5" s="7" t="str">
        <f>IF(AND(OR('Job Sheet'!BF11="Birch White",'Job Sheet'!BF11="Birch White Chain"),OR('Assembly(b)'!D11="2750mm",'Assembly(b)'!D11="2750")),1,"")</f>
        <v/>
      </c>
      <c r="HH5" s="7" t="str">
        <f>IF(AND(OR('Job Sheet'!BF11="Birch White",'Job Sheet'!BF11="Birch White Chain"),OR('Assembly(b)'!D11="3000mm",'Assembly(b)'!D11="3000")),1,"")</f>
        <v/>
      </c>
      <c r="HI5" s="7" t="str">
        <f>IF(AND(OR('Job Sheet'!BF11="Birch White",'Job Sheet'!BF11="Birch White Chain"),OR('Assembly(b)'!D11="3250mm",'Assembly(b)'!D11="3250")),1,"")</f>
        <v/>
      </c>
      <c r="HJ5" s="7" t="str">
        <f>IF(AND(OR('Job Sheet'!BF11="Birch White",'Job Sheet'!BF11="Birch White Chain"),OR('Assembly(b)'!D11="3500mm",'Assembly(b)'!D11="3500")),1,"")</f>
        <v/>
      </c>
      <c r="HK5" s="7" t="str">
        <f>IF(AND(OR('Job Sheet'!BF11="Birch White",'Job Sheet'!BF11="Birch White Chain"),OR('Assembly(b)'!D11="3750mm",'Assembly(b)'!D11="3750")),1,"")</f>
        <v/>
      </c>
      <c r="HL5" s="7" t="str">
        <f>IF(AND(OR('Job Sheet'!BF11="Birch White",'Job Sheet'!BF11="Birch White Chain"),OR('Assembly(b)'!D11="4000mm",'Assembly(b)'!D11="4000")),1,"")</f>
        <v/>
      </c>
      <c r="HM5" s="7" t="str">
        <f>IF(AND(OR('Job Sheet'!BF11="Grey",'Job Sheet'!BF11="Grey Chain"),OR('Assembly(b)'!D11="500mm",'Assembly(b)'!D11="500")),1,"")</f>
        <v/>
      </c>
      <c r="HN5" s="7" t="str">
        <f>IF(AND(OR('Job Sheet'!BF11="Grey",'Job Sheet'!BF11="Grey Chain"),OR('Assembly(b)'!D11="750mm",'Assembly(b)'!D11="750")),1,"")</f>
        <v/>
      </c>
      <c r="HO5" s="7" t="str">
        <f>IF(AND(OR('Job Sheet'!BF11="Grey",'Job Sheet'!BF11="Grey Chain"),OR('Assembly(b)'!D11="1000mm",'Assembly(b)'!D11="1000")),1,"")</f>
        <v/>
      </c>
      <c r="HP5" s="7" t="str">
        <f>IF(AND(OR('Job Sheet'!BF11="Grey",'Job Sheet'!BF11="Grey Chain"),OR('Assembly(b)'!D11="1250mm",'Assembly(b)'!D11="1250")),1,"")</f>
        <v/>
      </c>
      <c r="HQ5" s="7" t="str">
        <f>IF(AND(OR('Job Sheet'!BF11="Grey",'Job Sheet'!BF11="Grey Chain"),OR('Assembly(b)'!D11="1500mm",'Assembly(b)'!D11="1500")),1,"")</f>
        <v/>
      </c>
      <c r="HR5" s="7" t="str">
        <f>IF(AND(OR('Job Sheet'!BF11="Grey",'Job Sheet'!BF11="Grey Chain"),OR('Assembly(b)'!D11="1750mm",'Assembly(b)'!D11="1750")),1,"")</f>
        <v/>
      </c>
      <c r="HS5" s="7" t="str">
        <f>IF(AND(OR('Job Sheet'!BF11="Grey",'Job Sheet'!BF11="Grey Chain"),OR('Assembly(b)'!D11="2000mm",'Assembly(b)'!D11="2000")),1,"")</f>
        <v/>
      </c>
      <c r="HT5" s="7" t="str">
        <f>IF(AND(OR('Job Sheet'!BF11="Grey",'Job Sheet'!BF11="Grey Chain"),OR('Assembly(b)'!D11="2250mm",'Assembly(b)'!D11="2250")),1,"")</f>
        <v/>
      </c>
      <c r="HU5" s="7" t="str">
        <f>IF(AND(OR('Job Sheet'!BF11="Grey",'Job Sheet'!BF11="Grey Chain"),OR('Assembly(b)'!D11="2500mm",'Assembly(b)'!D11="2500")),1,"")</f>
        <v/>
      </c>
      <c r="HV5" s="7" t="str">
        <f>IF(AND(OR('Job Sheet'!BF11="Grey",'Job Sheet'!BF11="Grey Chain"),OR('Assembly(b)'!D11="2750mm",'Assembly(b)'!D11="2750")),1,"")</f>
        <v/>
      </c>
      <c r="HW5" s="7" t="str">
        <f>IF(AND(OR('Job Sheet'!BF11="Grey",'Job Sheet'!BF11="Grey Chain"),OR('Assembly(b)'!D11="3000mm",'Assembly(b)'!D11="3000")),1,"")</f>
        <v/>
      </c>
      <c r="HX5" s="7" t="str">
        <f>IF(AND(OR('Job Sheet'!BF11="Grey",'Job Sheet'!BF11="Grey Chain"),OR('Assembly(b)'!D11="3250mm",'Assembly(b)'!D11="3250")),1,"")</f>
        <v/>
      </c>
      <c r="HY5" s="7" t="str">
        <f>IF(AND(OR('Job Sheet'!BF11="Grey",'Job Sheet'!BF11="Grey Chain"),OR('Assembly(b)'!D11="3500mm",'Assembly(b)'!D11="3500")),1,"")</f>
        <v/>
      </c>
      <c r="HZ5" s="7" t="str">
        <f>IF(AND(OR('Job Sheet'!BF11="Grey",'Job Sheet'!BF11="Grey Chain"),OR('Assembly(b)'!D11="3750mm",'Assembly(b)'!D11="3750")),1,"")</f>
        <v/>
      </c>
      <c r="IA5" s="7" t="str">
        <f>IF(AND(OR('Job Sheet'!BF11="Grey",'Job Sheet'!BF11="Grey Chain"),OR('Assembly(b)'!D11="4000mm",'Assembly(b)'!D11="4000")),1,"")</f>
        <v/>
      </c>
      <c r="IB5" s="7" t="str">
        <f>IF(AND(OR('Job Sheet'!BF11="Beige",'Job Sheet'!BF11="Beige Chain"),OR('Assembly(b)'!D11="500mm",'Assembly(b)'!D11="500")),1,"")</f>
        <v/>
      </c>
      <c r="IC5" s="7" t="str">
        <f>IF(AND(OR('Job Sheet'!BF11="Beige",'Job Sheet'!BF11="Beige Chain"),OR('Assembly(b)'!D11="750mm",'Assembly(b)'!D11="750")),1,"")</f>
        <v/>
      </c>
      <c r="ID5" s="7" t="str">
        <f>IF(AND(OR('Job Sheet'!BF11="Beige",'Job Sheet'!BF11="Beige Chain"),OR('Assembly(b)'!D11="1000mm",'Assembly(b)'!D11="1000")),1,"")</f>
        <v/>
      </c>
      <c r="IE5" s="7" t="str">
        <f>IF(AND(OR('Job Sheet'!BF11="Beige",'Job Sheet'!BF11="Beige Chain"),OR('Assembly(b)'!D11="1250mm",'Assembly(b)'!D11="1250")),1,"")</f>
        <v/>
      </c>
      <c r="IF5" s="7" t="str">
        <f>IF(AND(OR('Job Sheet'!BF11="Beige",'Job Sheet'!BF11="Beige Chain"),OR('Assembly(b)'!D11="1500mm",'Assembly(b)'!D11="1500")),1,"")</f>
        <v/>
      </c>
      <c r="IG5" s="7" t="str">
        <f>IF(AND(OR('Job Sheet'!BF11="Beige",'Job Sheet'!BF11="Beige Chain"),OR('Assembly(b)'!D11="1750mm",'Assembly(b)'!D11="1750")),1,"")</f>
        <v/>
      </c>
      <c r="IH5" s="7" t="str">
        <f>IF(AND(OR('Job Sheet'!BF11="Beige",'Job Sheet'!BF11="Beige Chain"),OR('Assembly(b)'!D11="2000mm",'Assembly(b)'!D11="2000")),1,"")</f>
        <v/>
      </c>
      <c r="II5" s="7" t="str">
        <f>IF(AND(OR('Job Sheet'!BF11="Beige",'Job Sheet'!BF11="Beige Chain"),OR('Assembly(b)'!D11="2250mm",'Assembly(b)'!D11="2250")),1,"")</f>
        <v/>
      </c>
      <c r="IJ5" s="7" t="str">
        <f>IF(AND(OR('Job Sheet'!BF11="Beige",'Job Sheet'!BF11="Beige Chain"),OR('Assembly(b)'!D11="2500mm",'Assembly(b)'!D11="2500")),1,"")</f>
        <v/>
      </c>
      <c r="IK5" s="7" t="str">
        <f>IF(AND(OR('Job Sheet'!BF11="Beige",'Job Sheet'!BF11="Beige Chain"),OR('Assembly(b)'!D11="2750mm",'Assembly(b)'!D11="2750")),1,"")</f>
        <v/>
      </c>
      <c r="IL5" s="7" t="str">
        <f>IF(AND(OR('Job Sheet'!BF11="Beige",'Job Sheet'!BF11="Beige Chain"),OR('Assembly(b)'!D11="3000mm",'Assembly(b)'!D11="3000")),1,"")</f>
        <v/>
      </c>
      <c r="IM5" s="7" t="str">
        <f>IF(AND(OR('Job Sheet'!BF11="Beige",'Job Sheet'!BF11="Beige Chain"),OR('Assembly(b)'!D11="3250mm",'Assembly(b)'!D11="3250")),1,"")</f>
        <v/>
      </c>
      <c r="IN5" s="7" t="str">
        <f>IF(AND(OR('Job Sheet'!BF11="Beige",'Job Sheet'!BF11="Beige Chain"),OR('Assembly(b)'!D11="3500mm",'Assembly(b)'!D11="3500")),1,"")</f>
        <v/>
      </c>
      <c r="IO5" s="7" t="str">
        <f>IF(AND(OR('Job Sheet'!BF11="Beige",'Job Sheet'!BF11="Beige Chain"),OR('Assembly(b)'!D11="3750mm",'Assembly(b)'!D11="3750")),1,"")</f>
        <v/>
      </c>
      <c r="IP5" s="7" t="str">
        <f>IF(AND(OR('Job Sheet'!BF11="Beige",'Job Sheet'!BF11="Beige Chain"),OR('Assembly(b)'!D11="4000mm",'Assembly(b)'!D11="4000")),1,"")</f>
        <v/>
      </c>
      <c r="IQ5" s="7" t="str">
        <f>IF(AND(OR('Job Sheet'!BF11="Stainless Steel",'Job Sheet'!BF11="Stainless Steel Chain"),OR('Assembly(b)'!D11="500mm",'Assembly(b)'!D11="500")),1,"")</f>
        <v/>
      </c>
      <c r="IR5" s="7" t="str">
        <f>IF(AND(OR('Job Sheet'!BF11="Stainless Steel",'Job Sheet'!BF11="Stainless Steel Chain"),OR('Assembly(b)'!D11="750mm",'Assembly(b)'!D11="750")),1,"")</f>
        <v/>
      </c>
      <c r="IS5" s="7" t="str">
        <f>IF(AND(OR('Job Sheet'!BF11="Stainless Steel",'Job Sheet'!BF11="Stainless Steel Chain"),OR('Assembly(b)'!D11="1000mm",'Assembly(b)'!D11="1000")),1,"")</f>
        <v/>
      </c>
      <c r="IT5" s="7" t="str">
        <f>IF(AND(OR('Job Sheet'!BF11="Stainless Steel",'Job Sheet'!BF11="Stainless Steel Chain"),OR('Assembly(b)'!D11="1250mm",'Assembly(b)'!D11="1250")),1,"")</f>
        <v/>
      </c>
      <c r="IU5" s="7" t="str">
        <f>IF(AND(OR('Job Sheet'!BF11="Stainless Steel",'Job Sheet'!BF11="Stainless Steel Chain"),OR('Assembly(b)'!D11="1500mm",'Assembly(b)'!D11="1500")),1,"")</f>
        <v/>
      </c>
      <c r="IV5" s="7" t="str">
        <f>IF(AND(OR('Job Sheet'!BF11="Stainless Steel",'Job Sheet'!BF11="Stainless Steel Chain"),OR('Assembly(b)'!D11="1750mm",'Assembly(b)'!D11="1750")),1,"")</f>
        <v/>
      </c>
      <c r="IW5" s="7" t="str">
        <f>IF(AND(OR('Job Sheet'!BF11="Stainless Steel",'Job Sheet'!BF11="Stainless Steel Chain"),OR('Assembly(b)'!D11="2000mm",'Assembly(b)'!D11="2000")),1,"")</f>
        <v/>
      </c>
      <c r="IX5" s="7" t="str">
        <f>IF(AND(OR('Job Sheet'!BF11="Stainless Steel",'Job Sheet'!BF11="Stainless Steel Chain"),OR('Assembly(b)'!D11="2250mm",'Assembly(b)'!D11="2250")),1,"")</f>
        <v/>
      </c>
      <c r="IY5" s="7" t="str">
        <f>IF(AND(OR('Job Sheet'!BF11="Stainless Steel",'Job Sheet'!BF11="Stainless Steel Chain"),OR('Assembly(b)'!D11="2500mm",'Assembly(b)'!D11="2500")),1,"")</f>
        <v/>
      </c>
      <c r="IZ5" s="7" t="str">
        <f>IF(AND(OR('Job Sheet'!BF11="Stainless Steel",'Job Sheet'!BF11="Stainless Steel Chain"),OR('Assembly(b)'!D11="2750mm",'Assembly(b)'!D11="2750")),1,"")</f>
        <v/>
      </c>
      <c r="JA5" s="7" t="str">
        <f>IF(AND(OR('Job Sheet'!BF11="Stainless Steel",'Job Sheet'!BF11="Stainless Steel Chain"),OR('Assembly(b)'!D11="3000mm",'Assembly(b)'!D11="3000")),1,"")</f>
        <v/>
      </c>
      <c r="JB5" s="7" t="str">
        <f>IF(AND(OR('Job Sheet'!BF11="Stainless Steel",'Job Sheet'!BF11="Stainless Steel Chain"),OR('Assembly(b)'!D11="3250mm",'Assembly(b)'!D11="3250")),1,"")</f>
        <v/>
      </c>
      <c r="JC5" s="7" t="str">
        <f>IF(AND(OR('Job Sheet'!BF11="Stainless Steel",'Job Sheet'!BF11="Stainless Steel Chain"),OR('Assembly(b)'!D11="3500mm",'Assembly(b)'!D11="3500")),1,"")</f>
        <v/>
      </c>
      <c r="JD5" s="7" t="str">
        <f>IF(AND(OR('Job Sheet'!BF11="Stainless Steel",'Job Sheet'!BF11="Stainless Steel Chain"),OR('Assembly(b)'!D11="3750mm",'Assembly(b)'!D11="3750")),1,"")</f>
        <v/>
      </c>
      <c r="JE5" s="7" t="str">
        <f>IF(AND(OR('Job Sheet'!BF11="Stainless Steel",'Job Sheet'!BF11="Stainless Steel Chain"),OR('Assembly(b)'!D11="4000mm",'Assembly(b)'!D11="4000")),1,"")</f>
        <v/>
      </c>
      <c r="JF5" s="7" t="str">
        <f>IF(AND('Assembly(b)'!I11="Yes - L",(OR('Tube Cutting'!C11="43mm",'Tube Cutting'!C11="43mm H/D"))),1,"")</f>
        <v/>
      </c>
      <c r="JG5" s="7" t="str">
        <f>IF(AND('Assembly(b)'!I11="Yes - R",(OR('Tube Cutting'!C11="43mm",'Tube Cutting'!C11="43mm H/D"))),1,"")</f>
        <v/>
      </c>
      <c r="JH5" s="7" t="str">
        <f>IF(AND('Assembly(b)'!I11="Yes - L",'Tube Cutting'!C11="60mm"),1,"")</f>
        <v/>
      </c>
      <c r="JI5" s="7" t="str">
        <f>IF(AND('Assembly(b)'!I11="Yes - R",'Tube Cutting'!C11="60mm"),1,"")</f>
        <v/>
      </c>
      <c r="JJ5" s="7" t="str">
        <f>IF(OR('Job Sheet'!BE11="Black",'Assembly(b)'!J11="N/A"),"",IF(OR('Assembly(b)'!J11="Motor - Female",'Assembly(b)'!J11="Motor - Female with Insert",'Assembly(b)'!J11="Female - Motor",'Assembly(b)'!J11="Chain Winder - Female",'Assembly(b)'!J11="Chain Winder - Female with Insert",'Assembly(b)'!J11="Female - Chain Winder",'Assembly(b)'!J11="Male - Female",'Assembly(b)'!J11="Female - Male",'Assembly(b)'!J11="Male - Female with Insert"),1,""))</f>
        <v/>
      </c>
      <c r="JK5" s="7" t="str">
        <f>IF(OR('Job Sheet'!BE11="White",'Assembly(b)'!J11="N/A"),"",IF(OR('Assembly(b)'!J11="Motor - Female",'Assembly(b)'!J11="Motor - Female with Insert",'Assembly(b)'!J11="Female - Motor",'Assembly(b)'!J11="Chain Winder - Female",'Assembly(b)'!J11="Chain Winder - Female with Insert",'Assembly(b)'!J11="Female - Chain Winder",'Assembly(b)'!J11="Male - Female",'Assembly(b)'!J11="Female - Male",'Assembly(b)'!J11="Male - Female with Insert"),1,""))</f>
        <v/>
      </c>
      <c r="JL5" s="7" t="str">
        <f>IF(OR('Job Sheet'!BE11="White",'Assembly(b)'!J11="N/A"),"",IF(OR('Assembly(b)'!J11="Motor - Male",'Assembly(b)'!J11="Male - Motor",'Assembly(b)'!J11="Chain Winder - Male",'Assembly(b)'!J11="Male - Chain Winder",'Assembly(b)'!J11="Male - Female",'Assembly(b)'!J11="Female - Male",'Assembly(b)'!J11="Male - Idle",'Assembly(b)'!J11="Idle - Male"),1,""))</f>
        <v/>
      </c>
      <c r="JM5" s="7" t="str">
        <f>IF(OR('Job Sheet'!BE11="White",'Job Sheet'!BE11="Birch White",'Job Sheet'!BE11="Grey",'Job Sheet'!BE11="Beige",'Assembly(b)'!J11="N/A"),"",IF(OR('Assembly(b)'!J11="Motor - Male",'Assembly(b)'!J11="Male - Motor",'Assembly(b)'!J11="Chain Winder - Male",'Assembly(b)'!J11="Male - Chain Winder",'Assembly(b)'!J11="Male - Female",'Assembly(b)'!J11="Female - Male",'Assembly(b)'!J11="Male - Idle",'Assembly(b)'!J11="Idle - Male"),1,""))</f>
        <v/>
      </c>
      <c r="JN5" s="7" t="str">
        <f>IF(OR('Job Sheet'!BE11="Black",'Assembly(b)'!J11="N/A"),"",IF(OR('Assembly(b)'!J11="Motor - 60mm Female",'Assembly(b)'!J11="60mm Female - Motor",'Assembly(b)'!J11="Chain Winder - 60mm Female",'Assembly(b)'!J11="60mm Female - Chain Winder",'Assembly(b)'!J11="60mm Male - 60mm Female",'Assembly(b)'!J11="60mm Female - 60mm Male"),1,""))</f>
        <v/>
      </c>
      <c r="JO5" s="7" t="str">
        <f>IF(OR('Job Sheet'!BE11="White",'Assembly(b)'!J11="N/A"),"",IF(OR('Assembly(b)'!J11="Motor - 60mm Female",'Assembly(b)'!J11="60mm Female - Motor",'Assembly(b)'!J11="Chain Winder - 60mm Female",'Assembly(b)'!J11="60mm Female - Chain Winder",'Assembly(b)'!J11="60mm Male - 60mm Female",'Assembly(b)'!J11="60mm Female - 60mm Male"),1,""))</f>
        <v/>
      </c>
      <c r="JP5" s="7" t="str">
        <f>IF(OR('Job Sheet'!BE11="Black",'Assembly(b)'!J11="N/A"),"",IF(OR('Assembly(b)'!J11="Motor - 60mm Male",'Assembly(b)'!J11="60mm Male - Motor",'Assembly(b)'!J11="Chain Winder - 60mm Male",'Assembly(b)'!J11="60mm Male - Chain Winder",'Assembly(b)'!J11="60mm Male - 60mm Female",'Assembly(b)'!J11="60mm Female - 60mm Male"),1,""))</f>
        <v/>
      </c>
      <c r="JQ5" s="7" t="str">
        <f>IF(OR('Job Sheet'!BE11="White",'Assembly(b)'!J11="N/A"),"",IF(OR('Assembly(b)'!J11="Motor - 60mm Male",'Assembly(b)'!J11="60mm Male - Motor",'Assembly(b)'!J11="Chain Winder - 60mm Male",'Assembly(b)'!J11="60mm Male - Chain Winder",'Assembly(b)'!J11="60mm Male - 60mm Female",'Assembly(b)'!J11="60mm Female - 60mm Male"),1,""))</f>
        <v/>
      </c>
      <c r="JR5" s="7" t="str">
        <f>IF('Assembly(b)'!F11="Standard Spring",1,"")</f>
        <v/>
      </c>
      <c r="JS5" s="7" t="str">
        <f>IF('Assembly(b)'!F11="Small Spring",1,"")</f>
        <v/>
      </c>
      <c r="JT5" s="7">
        <f>IF(D5="","",IF(OR(SUM(R5:V5)=0,'Tube Cutting'!E11="Bottom Rail in Pocket"),"",SUM(R5:V5)))</f>
        <v>845</v>
      </c>
      <c r="JU5" s="7" t="str">
        <f>IF('Job Sheet'!BE11="Silver Pull Ring",1,"")</f>
        <v/>
      </c>
      <c r="JV5" s="7" t="str">
        <f>IF('Job Sheet'!BE11="Gold Pull Ring",1,"")</f>
        <v/>
      </c>
      <c r="JW5" s="7" t="str">
        <f>IF(AND('Job Sheet'!BE11="White",'Assembly(b)'!E11="60mm"),1,"")</f>
        <v/>
      </c>
      <c r="JX5" s="7" t="str">
        <f>IF(AND('Job Sheet'!BE11="Black",'Assembly(b)'!E11="60mm"),1,"")</f>
        <v/>
      </c>
      <c r="JY5" s="7" t="str">
        <f>IF(AND(OR('Assembly(b)'!G11="White",'Assembly(b)'!J11="N/A"),(OR(AND('Assembly(b)'!F11="Chain Winder",'Assembly(b)'!E11="60mm"),'Job Sheet'!AR11="Acmeda External Motor",'Job Sheet'!AR11="Somfy External CBUS Motor",'Job Sheet'!AR11="Somfy External Remote Motor"))),1,IF(AND('Assembly(b)'!G11="White",(OR('Assembly(b)'!J11="60mm Male - 60mm Idle",'Assembly(b)'!J11="60mm Idle - 60mm Male"))),1,""))</f>
        <v/>
      </c>
      <c r="JZ5" s="7" t="str">
        <f>IF(AND(OR('Assembly(b)'!G11="Black",'Assembly(b)'!J11="N/A"),(OR(AND('Assembly(b)'!F11="Chain Winder",'Assembly(b)'!E11="60mm"),'Job Sheet'!AR11="Acmeda External Motor",'Job Sheet'!AR11="Somfy External CBUS Motor",'Job Sheet'!AR11="Somfy External Remote Motor"))),1,IF(AND('Assembly(b)'!G11="Black",(OR('Assembly(b)'!J11="60mm Male - 60mm Idle",'Assembly(b)'!J11="60mm Idle - 60mm Male"))),1,""))</f>
        <v/>
      </c>
      <c r="KA5" s="7" t="str">
        <f t="shared" si="3" ref="KA5:KA14">IF(SUM(JW5,JY5)=0,"",SUM(JW5,JY5))</f>
        <v/>
      </c>
      <c r="KB5" s="7" t="str">
        <f t="shared" si="4" ref="KB5:KB14">IF(SUM(JX5,JZ5)=0,"",SUM(JX5,JZ5))</f>
        <v/>
      </c>
      <c r="KC5" s="7" t="str">
        <f>IF('Tube Cutting'!J11&lt;&gt;"Zipscreen Hooding",JW5,"")</f>
        <v/>
      </c>
      <c r="KD5" s="7" t="str">
        <f>IF('Tube Cutting'!J11&lt;&gt;"Zipscreen Hooding",JX5,"")</f>
        <v/>
      </c>
      <c r="KE5" s="7" t="str">
        <f t="shared" si="5" ref="KE5:KE14">JY5</f>
        <v/>
      </c>
      <c r="KF5" s="7" t="str">
        <f t="shared" si="6" ref="KF5:KF14">JZ5</f>
        <v/>
      </c>
      <c r="KG5" s="7">
        <f>IF(D5="","",IF(OR(Bagging!F11="Yes - Attach",Bagging!F11="Yes"),1,""))</f>
        <v>1</v>
      </c>
      <c r="KH5" s="7">
        <f t="shared" si="7" ref="KH5:KH14">IF(OR(KG5="",D5=""),"",2)</f>
        <v>2</v>
      </c>
      <c r="KI5" s="7" t="str">
        <f>IF('Assembly(b)'!F11="Acmeda E6 Motor",1,"")</f>
        <v/>
      </c>
      <c r="KJ5" s="7" t="str">
        <f>IF('Assembly(b)'!F11="Acmeda M6 Motor",1,"")</f>
        <v/>
      </c>
      <c r="KK5" s="7" t="str">
        <f>IF('Assembly(b)'!F11="0.7nm 12v Acmeda Motor",1,"")</f>
        <v/>
      </c>
      <c r="KL5" s="7" t="str">
        <f>IF('Assembly(b)'!F11="1.1nm 12v Acmeda Motor",1,"")</f>
        <v/>
      </c>
      <c r="KM5" s="7" t="str">
        <f>IF('Assembly(b)'!F11="2nm 12v Acmeda Motor",1,"")</f>
        <v/>
      </c>
      <c r="KN5" s="7" t="str">
        <f>IF('Assembly(b)'!F11="Acmeda 12v 6nm Motor",1,"")</f>
        <v/>
      </c>
      <c r="KO5" s="7" t="str">
        <f>IF('Assembly(b)'!F11="Acmeda 10nm 12v Motor",1,"")</f>
        <v/>
      </c>
      <c r="KP5" s="7" t="str">
        <f>IF('Assembly(b)'!F11="Acmeda FT 15Nm Motor",1,"")</f>
        <v/>
      </c>
      <c r="KQ5" s="7" t="str">
        <f>IF('Assembly(b)'!F11="1.1nm 12v Acmeda DCRF Motor",1,"")</f>
        <v/>
      </c>
      <c r="KR5" s="7" t="str">
        <f>IF('Assembly(b)'!F11="2nm 12v Acmeda DCRF Motor",1,"")</f>
        <v/>
      </c>
      <c r="KS5" s="7" t="str">
        <f>IF('Assembly(b)'!F11="Sonesse 40 RTS 3/30 with Inline Connector Motor",1,"")</f>
        <v/>
      </c>
      <c r="KT5" s="7" t="str">
        <f>IF('Assembly(b)'!F11="Sonesse 40 WT 3/30 with Inline Connector Motor",1,"")</f>
        <v/>
      </c>
      <c r="KU5" s="7" t="str">
        <f>IF('Assembly(b)'!F11="Somfy 12v Remote Sonesse Motor",1,"")</f>
        <v/>
      </c>
      <c r="KV5" s="7" t="str">
        <f>IF('Assembly(b)'!F11="Sonesse 50 RTS 6/17 RH Motor",1,"")</f>
        <v/>
      </c>
      <c r="KW5" s="7" t="str">
        <f>IF('Assembly(b)'!F11="Sonesse 50 WT 10/28 Motor",1,"")</f>
        <v/>
      </c>
      <c r="KX5" s="7" t="str">
        <f>IF('Assembly(b)'!F11="Becker P4-30-C12A Motor",1,"")</f>
        <v/>
      </c>
      <c r="KY5" s="7" t="str">
        <f>IF('Assembly(b)'!F11="Becker cBus Motor",1,"")</f>
        <v/>
      </c>
      <c r="KZ5" s="7" t="str">
        <f>IF('Assembly(b)'!F11="Becker R20-17-C12A Motor",1,"")</f>
        <v/>
      </c>
      <c r="LA5" s="7" t="str">
        <f>IF('Assembly(b)'!F11="Becker cBus Motor",1,"")</f>
        <v/>
      </c>
      <c r="LB5" s="7" t="str">
        <f t="shared" si="8" ref="LB5">IF(SUM(KX5,KY5,KZ5,LA5)=0,"",SUM(KX5,KY5,KZ5,LA5))</f>
        <v/>
      </c>
      <c r="LC5" s="7" t="str">
        <f t="shared" si="9" ref="LC5">IF(SUM(KK5,KL5,KQ5)=0,"",SUM(KK5,KL5,KQ5))</f>
        <v/>
      </c>
      <c r="LD5" s="7" t="str">
        <f t="shared" si="10" ref="LD5">IF(SUM(KM5,KR5)=0,"",SUM(KM5,KR5))</f>
        <v/>
      </c>
      <c r="LE5" s="7" t="str">
        <f t="shared" si="11" ref="LE5">KN5</f>
        <v/>
      </c>
      <c r="LF5" s="7" t="str">
        <f t="shared" si="12" ref="LF5:LF14">IF(P5="","",KO5)</f>
        <v/>
      </c>
      <c r="LG5" s="7" t="str">
        <f t="shared" si="13" ref="LG5:LG14">IF(Q5="","",KQ5)</f>
        <v/>
      </c>
      <c r="LH5" s="7" t="str">
        <f>IF(KO5="","",IF(OR('Tube Cutting'!C11="60mm",'Tube Cutting'!C11="80mm"),SUM(KO5,KP5),""))</f>
        <v/>
      </c>
      <c r="LI5" s="7" t="str">
        <f t="shared" si="14" ref="LI5">IF(SUM(KS5,KT5,KX5,KY5)=0,"",SUM(KS5,KT5,KX5,KY5))</f>
        <v/>
      </c>
      <c r="LJ5" s="7" t="str">
        <f t="shared" si="15" ref="LJ5">IF(SUM(KO5)=0,"",SUM(KO5))</f>
        <v/>
      </c>
      <c r="LK5" s="7" t="str">
        <f t="shared" si="16" ref="LK5:LK14">KN5</f>
        <v/>
      </c>
      <c r="LL5" s="7" t="str">
        <f t="shared" si="17" ref="LL5:LL14">IF(SUM(KO5,KP5)=0,"",SUM(KO5,KP5))</f>
        <v/>
      </c>
      <c r="LM5" s="7" t="str">
        <f t="shared" si="18" ref="LM5:LM14">IF(SUM(KN5,KO5)=0,"",SUM(KN5,KO5))</f>
        <v/>
      </c>
      <c r="LN5" s="7" t="str">
        <f t="shared" si="19" ref="LN5:LN14">IF(SUM(KN5,KO5)=0,"",SUM(KN5,KO5))</f>
        <v/>
      </c>
      <c r="LO5" s="7" t="str">
        <f t="shared" si="20" ref="LO5">IF(KO5=1,1,"")</f>
        <v/>
      </c>
      <c r="LP5" s="7" t="str">
        <f>IF(AND(KP5=1,'Job Sheet'!BE11="Black"),1,"")</f>
        <v/>
      </c>
      <c r="LQ5" s="7" t="str">
        <f>IF(AND(KP5=1,'Job Sheet'!BE11="White"),1,"")</f>
        <v/>
      </c>
      <c r="LR5" s="7" t="str">
        <f t="shared" si="21" ref="LR5:LR14">IF(KU5=1,1,"")</f>
        <v/>
      </c>
      <c r="LS5" s="7" t="str">
        <f t="shared" si="22" ref="LS5">IF(SUM(KS5,KT5)=0,"",SUM(KS5,KT5))</f>
        <v/>
      </c>
      <c r="LT5" s="7" t="str">
        <f t="shared" si="23" ref="LT5">IF(SUM(KS5,KT5)=0,"",SUM(KS5,KT5))</f>
        <v/>
      </c>
      <c r="LU5" s="7" t="str">
        <f t="shared" si="24" ref="LU5">IF(P5="","",SUM(KV5,KW5))</f>
        <v/>
      </c>
      <c r="LV5" s="7" t="str">
        <f t="shared" si="25" ref="LV5">IF(Q5="","",SUM(KV5,KW5))</f>
        <v/>
      </c>
      <c r="LW5" s="7" t="str">
        <f>IF(OR('Tube Cutting'!C11="60mm",'Tube Cutting'!C11="80mm"),SUM(KV5,KW5),"")</f>
        <v/>
      </c>
      <c r="LX5" s="7" t="str">
        <f t="shared" si="26" ref="LX5">KV5</f>
        <v/>
      </c>
      <c r="LY5" s="7" t="str">
        <f t="shared" si="27" ref="LY5">KV5</f>
        <v/>
      </c>
      <c r="LZ5" s="7" t="str">
        <f t="shared" si="28" ref="LZ5">KW5</f>
        <v/>
      </c>
      <c r="MA5" s="7" t="str">
        <f t="shared" si="29" ref="MA5">IF(SUM(KX5,KY5)=0,"",SUM(KX5,KY5))</f>
        <v/>
      </c>
      <c r="MB5" s="7" t="str">
        <f t="shared" si="30" ref="MB5">IF(SUM(KX5,KY5)=0,"",SUM(KX5,KY5))</f>
        <v/>
      </c>
      <c r="MC5" s="7" t="str">
        <f t="shared" si="31" ref="MC5">IF(SUM(KZ5,LA5)=0,"",SUM(KZ5,LA5))</f>
        <v/>
      </c>
      <c r="MD5" s="7" t="str">
        <f t="shared" si="32" ref="MD5">IF(SUM(KZ5,LA5)=0,"",SUM(KZ5,LA5))</f>
        <v/>
      </c>
      <c r="ME5" s="7" t="str">
        <f t="shared" si="33" ref="ME5">IF(SUM(KZ5,LA5)=0,"",SUM(KZ5,LA5))</f>
        <v/>
      </c>
      <c r="MF5" s="7" t="str">
        <f>IF('Job Sheet'!N11="Pulse Pro Automation Hub",1,"")</f>
        <v/>
      </c>
      <c r="MG5" s="7" t="str">
        <f>IF('Job Sheet'!N11="Solar Panel",1,"")</f>
        <v/>
      </c>
      <c r="MH5" s="7" t="str">
        <f>IF(AND('Job Sheet'!N11="12v Wall Charger with 4m USB Cable",KN5="",KO5=""),1,"")</f>
        <v/>
      </c>
      <c r="MI5" s="7" t="str">
        <f>IF(Bagging!I11="12v Wall Charger with Cable to suit 3nm Motor",1,"")</f>
        <v/>
      </c>
      <c r="MJ5" s="7" t="str">
        <f t="array" ref="MJ5">IF(OR('Job Sheet'!N11="210mm Extension Charging Cable",AND(bpLOOKUP(Data!$AV11,"CONTROLS",CustOrdOpt,6,FALSE)="Acmeda 12v Motor",OL5=1)),1,"")</f>
        <v/>
      </c>
      <c r="MK5" s="7" t="str">
        <f>IF('Job Sheet'!N11="1200mm Extension Charging Cable",1,"")</f>
        <v/>
      </c>
      <c r="ML5" s="7" t="str">
        <f>IF('Job Sheet'!N11="1 Channel Dry Contact Relay Module",1,"")</f>
        <v/>
      </c>
      <c r="MM5" s="7" t="str">
        <f>IF('Job Sheet'!N11="USB Repeater",1,"")</f>
        <v/>
      </c>
      <c r="MN5" s="7" t="str">
        <f>IF(OR('Assembly(b)'!F11="1.1nm 12v Acmeda DCRF Motor",'Assembly(b)'!F11="2nm 12v Acmeda DCRF Motor"),1,"")</f>
        <v/>
      </c>
      <c r="MO5" s="7" t="str">
        <f>IF('Job Sheet'!N11="DC Panel",1,"")</f>
        <v/>
      </c>
      <c r="MP5" s="7" t="str">
        <f t="array" ref="MP5">IF(AND(bpLOOKUP(Data!$AV11,"CONTROLS",CustOrdOpt,6,FALSE)="Acmeda 12v Motor",Bagging!G11="White"),1,"")</f>
        <v/>
      </c>
      <c r="MQ5" s="7" t="str">
        <f t="array" ref="MQ5">IF(AND(bpLOOKUP(Data!$AV11,"CONTROLS",CustOrdOpt,6,FALSE)="Acmeda 12v Motor",Bagging!G11="Black"),1,"")</f>
        <v/>
      </c>
      <c r="MR5" s="7" t="str">
        <f>IF('Job Sheet'!R11="Acmeda 1 Channel White Remote",1,"")</f>
        <v/>
      </c>
      <c r="MS5" s="7" t="str">
        <f>IF('Job Sheet'!R11="Acmeda 1 Channel Black Remote",1,"")</f>
        <v/>
      </c>
      <c r="MT5" s="7" t="str">
        <f>IF('Job Sheet'!R11="Acmeda 5 Channel White Remote",1,"")</f>
        <v/>
      </c>
      <c r="MU5" s="7" t="str">
        <f>IF('Job Sheet'!R11="Acmeda 5 Channel Black Remote",1,"")</f>
        <v/>
      </c>
      <c r="MV5" s="7" t="str">
        <f>IF('Job Sheet'!R11="Acmeda 15 Channel White Remote",1,"")</f>
        <v/>
      </c>
      <c r="MW5" s="7" t="str">
        <f>IF('Job Sheet'!R11="Acmeda 15 Channel Black Remote",1,"")</f>
        <v/>
      </c>
      <c r="MX5" s="7" t="str">
        <f>IF('Job Sheet'!R11="Acmeda Wall Mounted Single Channel White Remote",1,"")</f>
        <v/>
      </c>
      <c r="MY5" s="7" t="str">
        <f>IF('Job Sheet'!R11="Acmeda Wall Mounted 2 Channel White Remote",1,"")</f>
        <v/>
      </c>
      <c r="MZ5" s="7" t="str">
        <f>IF('Job Sheet'!R11="Acmeda Wall Mounted 5 Channel White Remote",1,"")</f>
        <v/>
      </c>
      <c r="NA5" s="7" t="str">
        <f>IF('Job Sheet'!R11="Acmeda Wall Mounted 15 Channel White Remote",1,"")</f>
        <v/>
      </c>
      <c r="NB5" s="7" t="str">
        <f>IF('Job Sheet'!R11="Acmeda Push Pro White Remote","1","")</f>
        <v/>
      </c>
      <c r="NC5" s="7" t="str">
        <f>IF('Job Sheet'!R11="Acmeda Push Pro Black Remote","1","")</f>
        <v/>
      </c>
      <c r="ND5" s="7" t="str">
        <f>IF(OR('Job Sheet'!R11="Acmeda Push Pro White Remote with Charger",'Job Sheet'!R11="Acmeda Push Pro Black Remote with Charger"),1,"")</f>
        <v/>
      </c>
      <c r="NE5" s="7" t="str">
        <f t="shared" si="34" ref="NE5:NE14">ND5</f>
        <v/>
      </c>
      <c r="NF5" s="7" t="str">
        <f>IF('Job Sheet'!R11="Somfy Single Channel White Remote",1,"")</f>
        <v/>
      </c>
      <c r="NG5" s="7" t="str">
        <f>IF('Job Sheet'!R11="Somfy Single Channel Silver Remote",1,"")</f>
        <v/>
      </c>
      <c r="NH5" s="7" t="str">
        <f>IF('Job Sheet'!R11="Somfy 2 Channel White Remote",1,"")</f>
        <v/>
      </c>
      <c r="NI5" s="7" t="str">
        <f>IF('Job Sheet'!R11="Somfy 2 Channel Silver Remote",1,"")</f>
        <v/>
      </c>
      <c r="NJ5" s="7" t="str">
        <f>IF('Job Sheet'!R11="Somfy 5 Channel White Remote",1,"")</f>
        <v/>
      </c>
      <c r="NK5" s="7" t="str">
        <f>IF('Job Sheet'!R11="Somfy 5 Channel Silver Remote",1,"")</f>
        <v/>
      </c>
      <c r="NL5" s="7" t="str">
        <f>IF('Job Sheet'!R11="Somfy 15 Channel White Remote",1,"")</f>
        <v/>
      </c>
      <c r="NM5" s="7" t="str">
        <f>IF('Job Sheet'!R11="Somfy 15 Channel Black Remote",1,"")</f>
        <v/>
      </c>
      <c r="NN5" s="7" t="str">
        <f>IF(OR('Job Sheet'!R11="Somfy Single Channel Wall Mounted Smoove Remote White",'Job Sheet'!R11="Somfy Single Channel Wall Mounted Smoove Remote White with Black Cover Plate",'Job Sheet'!R11="Somfy Single Channel Wall Mounted Smoove Remote White with Silver Cover Plate"),1,"")</f>
        <v/>
      </c>
      <c r="NO5" s="7" t="str">
        <f>IF(OR('Job Sheet'!R11="Somfy 2 Channel Wall Mounted Smoove Remote White",'Job Sheet'!R11="Somfy 2 Channel Wall Mounted Smoove Remote White with Black Cover Plate",'Job Sheet'!R11="Somfy 2 Channel Wall Mounted Smoove Remote White with Silver Cover Plate"),1,"")</f>
        <v/>
      </c>
      <c r="NP5" s="7" t="str">
        <f>IF(OR('Job Sheet'!R11="Somfy 5 Channel Wall Mounted Smoove Remote White",'Job Sheet'!R11="Somfy 5 Channel Wall Mounted Smoove Remote White with Black Cover Plate",'Job Sheet'!R11="Somfy 5 Channel Wall Mounted Smoove Remote White with Silver Cover Plate"),1,"")</f>
        <v/>
      </c>
      <c r="NQ5" s="7" t="str">
        <f>IF(OR('Job Sheet'!R11="Somfy Single Channel Wall Mounted Smoove Remote White with Black Cover Plate",'Job Sheet'!R11="Somfy 2 Channel Wall Mounted Smoove Remote White with Black Cover Plate",'Job Sheet'!R11="Somfy 5 Channel Wall Mounted Smoove Remote White with Black Cover Plate"),1,"")</f>
        <v/>
      </c>
      <c r="NR5" s="7" t="str">
        <f>IF(OR('Job Sheet'!R11="Somfy Single Channel Wall Mounted Smoove Remote White with Silver Cover Plate",'Job Sheet'!R11="Somfy 2 Channel Wall Mounted Smoove Remote White with Silver Cover Plate",'Job Sheet'!R11="Somfy 5 Channel Wall Mounted Smoove Remote White with Silver Cover Plate"),1,"")</f>
        <v/>
      </c>
      <c r="NS5" s="7" t="str">
        <f>IF(Bagging!I11="Charging Cable",1,"")</f>
        <v/>
      </c>
      <c r="NT5" s="7" t="str">
        <f>IF('Job Sheet'!N11="Connexoon App Connector",1,"")</f>
        <v/>
      </c>
      <c r="NU5" s="7" t="str">
        <f>IF('Job Sheet'!R11="Becker Single Channel White Remote",1,"")</f>
        <v/>
      </c>
      <c r="NV5" s="7" t="str">
        <f>IF('Job Sheet'!R11="Becker Single Channel Black Remote",1,"")</f>
        <v/>
      </c>
      <c r="NW5" s="7" t="str">
        <f>IF('Job Sheet'!R11="Becker 5 Channel White Remote",1,"")</f>
        <v/>
      </c>
      <c r="NX5" s="7" t="str">
        <f>IF('Job Sheet'!R11="Becker 5 Channel Black Remote",1,"")</f>
        <v/>
      </c>
      <c r="NY5" s="7" t="str">
        <f>IF('Job Sheet'!R11="Becker 10 Channel White Remote",1,"")</f>
        <v/>
      </c>
      <c r="NZ5" s="7" t="str">
        <f>IF('Job Sheet'!R11="Becker 10 Channel Black Remote",1,"")</f>
        <v/>
      </c>
      <c r="OA5" s="7" t="str">
        <f>IF('Job Sheet'!R11="Becker Wall Mounted Single Channel White Remote",1,"")</f>
        <v/>
      </c>
      <c r="OB5" s="7" t="str">
        <f>IF('Job Sheet'!R11="Becker Wall Mounted 5 Channel White Remote",1,"")</f>
        <v/>
      </c>
      <c r="OC5" s="7" t="str">
        <f>IF('Job Sheet'!R11="Wall Switch",1,"")</f>
        <v/>
      </c>
      <c r="OD5" s="7" t="str">
        <f t="shared" si="35" ref="OD5:OK5">IF(AL5="","",1)</f>
        <v/>
      </c>
      <c r="OE5" s="7" t="str">
        <f t="shared" si="35"/>
        <v/>
      </c>
      <c r="OF5" s="7" t="str">
        <f t="shared" si="35"/>
        <v/>
      </c>
      <c r="OG5" s="7" t="str">
        <f t="shared" si="35"/>
        <v/>
      </c>
      <c r="OH5" s="7" t="str">
        <f t="shared" si="35"/>
        <v/>
      </c>
      <c r="OI5" s="7" t="str">
        <f t="shared" si="35"/>
        <v/>
      </c>
      <c r="OJ5" s="7" t="str">
        <f t="shared" si="35"/>
        <v/>
      </c>
      <c r="OK5" s="7" t="str">
        <f t="shared" si="35"/>
        <v/>
      </c>
      <c r="OL5" s="7" t="str">
        <f t="shared" si="36" ref="OL5:OL14">IF(SUM(OD5:OK5)=0,"",SUM(OD5:OK5))</f>
        <v/>
      </c>
      <c r="OM5" s="7" t="str">
        <f>IF(AND(OR('Tube Cutting'!J11="Square Cassette",'Tube Cutting'!J11="Square Cassette with Side Channels",'Tube Cutting'!J11="Square Cassette with Side &amp; Bottom Channels"),'Job Sheet'!L11="Chain Winder",'Job Sheet'!M11="Left"),1,"")</f>
        <v/>
      </c>
      <c r="ON5" s="7" t="str">
        <f>IF(AND(OR('Tube Cutting'!J11="Square Cassette",'Tube Cutting'!J11="Square Cassette with Side Channels",'Tube Cutting'!J11="Square Cassette with Side &amp; Bottom Channels"),'Job Sheet'!L11="Chain Winder",'Job Sheet'!M11="Right"),1,"")</f>
        <v/>
      </c>
      <c r="OO5" s="7" t="str">
        <f>IF(AND(OR('Tube Cutting'!J11="Round Cassette",'Tube Cutting'!J11="Round Cassette with Side Channels",'Tube Cutting'!J11="Round Cassette with Side &amp; Bottom Channels"),'Job Sheet'!L11="Chain Winder",'Job Sheet'!M11="Left"),1,"")</f>
        <v/>
      </c>
      <c r="OP5" s="7" t="str">
        <f>IF(AND(OR('Tube Cutting'!J11="Round Cassette",'Tube Cutting'!J11="Round Cassette with Side Channels",'Tube Cutting'!J11="Round Cassette with Side &amp; Bottom Channels"),'Job Sheet'!L11="Chain Winder",'Job Sheet'!M11="Right"),1,"")</f>
        <v/>
      </c>
      <c r="OQ5" s="7" t="str">
        <f>IF('Tube Cutting'!E11="D30 Bottom Rail with Noise Reducing Strip &amp; Fluffy Strip",'Tube Cutting'!D11,"")</f>
        <v/>
      </c>
      <c r="OR5" s="7" t="str">
        <f>Pelmets!L11</f>
        <v/>
      </c>
      <c r="OS5" s="7" t="str">
        <f>Pelmets!M11</f>
        <v/>
      </c>
      <c r="OT5" s="7" t="str">
        <f t="shared" si="37" ref="OT5:OT14">IF(AT5="","",2)</f>
        <v/>
      </c>
      <c r="OU5" s="7" t="str">
        <f t="shared" si="38" ref="OU5:OU14">IF(AU5="","",2)</f>
        <v/>
      </c>
      <c r="OV5" s="7" t="str">
        <f t="shared" si="39" ref="OV5:OV14">IF(AV5="","",2)</f>
        <v/>
      </c>
      <c r="OW5" s="7" t="str">
        <f t="shared" si="40" ref="OW5:OW14">IF(AW5="","",2)</f>
        <v/>
      </c>
      <c r="OX5" s="7" t="str">
        <f t="shared" si="41" ref="OX5:OX14">IF(AT5="","",2)</f>
        <v/>
      </c>
      <c r="OY5" s="7" t="str">
        <f t="shared" si="42" ref="OY5:OY14">IF(AU5="","",2)</f>
        <v/>
      </c>
      <c r="OZ5" s="7" t="str">
        <f t="shared" si="43" ref="OZ5:OZ14">IF(AV5="","",2)</f>
        <v/>
      </c>
      <c r="PA5" s="7" t="str">
        <f t="shared" si="44" ref="PA5:PA14">IF(AW5="","",2)</f>
        <v/>
      </c>
      <c r="PB5" s="7" t="str">
        <f>IF(AND('Job Sheet'!J11="Reveal",OR('Tube Cutting'!J11="Aluminium Valance",'Tube Cutting'!J11="Aluminium Valance - Fabric Covered")),VLOOKUP('Job Sheet'!G11,PelmetBrackets,2,TRUE),"")</f>
        <v/>
      </c>
      <c r="PC5" s="7" t="str">
        <f>IF(Pelmets!F11="1 x Valance Centre Join Bracket",1,"")</f>
        <v/>
      </c>
      <c r="PD5" s="7" t="str">
        <f>IF(AND(Pelmets!H11="Black",(OR('Tube Cutting'!J11="Aluminium Valance",'Tube Cutting'!J11="Aluminium Valance - Fabric Covered"))),1,"")</f>
        <v/>
      </c>
      <c r="PE5" s="7" t="str">
        <f>IF(AND(Pelmets!H11="White",(OR('Tube Cutting'!J11="Aluminium Valance",'Tube Cutting'!J11="Aluminium Valance - Fabric Covered"))),1,"")</f>
        <v/>
      </c>
      <c r="PF5" s="7" t="str">
        <f>IF(AND(Pelmets!H11="Cream",(OR('Tube Cutting'!J11="Aluminium Valance",'Tube Cutting'!J11="Aluminium Valance - Fabric Covered"))),1,"")</f>
        <v/>
      </c>
      <c r="PG5" s="7" t="str">
        <f>IF(AND(Pelmets!H11="Grey",(OR('Tube Cutting'!J11="Aluminium Valance",'Tube Cutting'!J11="Aluminium Valance - Fabric Covered"))),1,"")</f>
        <v/>
      </c>
      <c r="PH5" s="7" t="str">
        <f>IF('Job Sheet'!AA11="Aluminium Valance - Fabric Covered",AY5,"")</f>
        <v/>
      </c>
      <c r="PI5" s="7" t="str">
        <f t="shared" si="45" ref="PI5:PI14">IF(AD5="","",1)</f>
        <v/>
      </c>
      <c r="PJ5" s="7" t="str">
        <f t="shared" si="46" ref="PJ5:PJ14">IF(AE5="","",1)</f>
        <v/>
      </c>
      <c r="PK5" s="7" t="str">
        <f t="shared" si="47" ref="PK5:PK14">IF(AF5="","",1)</f>
        <v/>
      </c>
      <c r="PL5" s="7" t="str">
        <f t="shared" si="48" ref="PL5:PL14">IF(AG5="","",1)</f>
        <v/>
      </c>
      <c r="PM5" s="7" t="str">
        <f>IF('Tube Cutting'!J11="Aluminium Pelmet",Pelmets!F11,"")</f>
        <v/>
      </c>
      <c r="PN5" s="7" t="str">
        <f>IF('Job Sheet'!AA11="Mounting Rail",VLOOKUP('Job Sheet'!G11,PelmetBrackets,2,TRUE),"")</f>
        <v/>
      </c>
      <c r="PO5" s="7" t="str">
        <f>IF('Job Sheet'!AA11="Mounting Rail",4,"")</f>
        <v/>
      </c>
      <c r="PP5" s="7" t="str">
        <f>IF('Tube Cutting'!J11="Zipscreen Hooding",1,"")</f>
        <v/>
      </c>
      <c r="PQ5" s="7" t="str">
        <f>IF(AND(PP5=1,'Job Sheet'!AB11="White"),1,"")</f>
        <v/>
      </c>
      <c r="PR5" s="7" t="str">
        <f>IF(AND(PP5=1,'Job Sheet'!AB11="Black"),1,"")</f>
        <v/>
      </c>
      <c r="PS5" s="7" t="str">
        <f>IF(AND(PP5=1,'Job Sheet'!AB11="Grey"),1,"")</f>
        <v/>
      </c>
      <c r="PT5" s="7" t="str">
        <f>IF(AND(PP5=1,'Job Sheet'!L11="Chain Winder",'Job Sheet'!AV11="60mm"),1,"")</f>
        <v/>
      </c>
      <c r="PU5" s="7" t="str">
        <f t="shared" si="49" ref="PU5:PU14">IF(AND(PT5=1,PQ5=1),1,"")</f>
        <v/>
      </c>
      <c r="PV5" s="7" t="str">
        <f t="shared" si="50" ref="PV5:PV14">IF(AND(PT5=1,PR5=1),1,"")</f>
        <v/>
      </c>
      <c r="PW5" s="7" t="str">
        <f t="shared" si="51" ref="PW5:PW14">IF(AND(PT5=1,PS5=1),1,"")</f>
        <v/>
      </c>
    </row>
    <row r="6" spans="4:439" s="7" customFormat="1" ht="12" customHeight="1">
      <c r="D6" s="7" t="str">
        <f>IF('Tube Cutting'!D12="","",CONCATENATE(Data!BC$5,".",Data!BD$5))</f>
        <v>40426.A</v>
      </c>
      <c r="E6" s="7">
        <f>IF(D6="","",Data!AW12)</f>
        <v>10</v>
      </c>
      <c r="F6" s="7" t="str">
        <f>IF(D6="","",Data!AV12)</f>
        <v>4f765aaf-8d47-4e6e-b1ff-93621fc62487</v>
      </c>
      <c r="G6" s="7" t="str">
        <f>IF(D6="","",Data!BF$5)</f>
        <v>Evans, Belinda </v>
      </c>
      <c r="H6" s="7" t="str">
        <f>IF(D6="","",Data!AX$5)</f>
        <v>Sheers and Rollers</v>
      </c>
      <c r="I6" s="7" t="str">
        <f>'Job Sheet'!I12</f>
        <v>Texstyle Focus Blockout Polar</v>
      </c>
      <c r="J6" s="7">
        <f t="shared" si="52" ref="J6:J14">IF(D6="","",K6*L6/1000000)</f>
        <v>2.16884</v>
      </c>
      <c r="K6" s="7">
        <f>'Fabric Cutting'!F12</f>
        <v>919</v>
      </c>
      <c r="L6" s="7">
        <f>'Job Sheet'!AZ12</f>
        <v>2360</v>
      </c>
      <c r="M6" s="7" t="str">
        <f>IF('Tube Cutting'!C12="38mm",'Tube Cutting'!D12,"")</f>
        <v/>
      </c>
      <c r="N6" s="7">
        <f>IF('Tube Cutting'!C12="43mm",'Tube Cutting'!D12,"")</f>
        <v>921</v>
      </c>
      <c r="O6" s="7" t="str">
        <f>IF('Tube Cutting'!C12="43mm H/D",'Tube Cutting'!D12,"")</f>
        <v/>
      </c>
      <c r="P6" s="7" t="str">
        <f>IF('Tube Cutting'!C12="60mm",'Tube Cutting'!D12,"")</f>
        <v/>
      </c>
      <c r="Q6" s="7" t="str">
        <f>IF('Tube Cutting'!C12="80mm",'Tube Cutting'!D12,"")</f>
        <v/>
      </c>
      <c r="R6" s="7">
        <f>IF(AND('Job Sheet'!BD12="Anodised Silver",(OR('Tube Cutting'!E12="D30 Bottom Rail",'Tube Cutting'!E12="D30 Bottom Rail with Noise Reducing Strip",'Tube Cutting'!E12="D30 Bottom Rail with Noise Reducing Strip &amp; Fluffy Strip",'Tube Cutting'!E12="Bottom Rail in Pocket",'Tube Cutting'!E12="Bottom Rail in Pocket with Round Cut Out",'Tube Cutting'!E12="Bottom Rail in Pocket with Square Cut Out"))),'Tube Cutting'!G12,"")</f>
        <v>921</v>
      </c>
      <c r="S6" s="7" t="str">
        <f>IF(AND('Job Sheet'!BD12="White",(OR('Tube Cutting'!E12="D30 Bottom Rail",'Tube Cutting'!E12="D30 Bottom Rail with Noise Reducing Strip",'Tube Cutting'!E12="D30 Bottom Rail with Noise Reducing Strip &amp; Fluffy Strip",'Tube Cutting'!E12="Bottom Rail in Pocket",'Tube Cutting'!E12="Bottom Rail in Pocket with Round Cut Out",'Tube Cutting'!E12="Bottom Rail in Pocket with Square Cut Out"))),'Tube Cutting'!G12,"")</f>
        <v/>
      </c>
      <c r="T6" s="7" t="str">
        <f>IF(AND('Job Sheet'!BD12="Black",(OR('Tube Cutting'!E12="D30 Bottom Rail",'Tube Cutting'!E12="D30 Bottom Rail with Noise Reducing Strip",'Tube Cutting'!E12="D30 Bottom Rail with Noise Reducing Strip &amp; Fluffy Strip",'Tube Cutting'!E12="Bottom Rail in Pocket",'Tube Cutting'!E12="Bottom Rail in Pocket with Round Cut Out",'Tube Cutting'!E12="Bottom Rail in Pocket with Square Cut Out"))),'Tube Cutting'!G12,"")</f>
        <v/>
      </c>
      <c r="U6" s="7" t="str">
        <f>IF(AND('Job Sheet'!BD12="Sandstone",(OR('Tube Cutting'!E12="D30 Bottom Rail",'Tube Cutting'!E12="D30 Bottom Rail with Noise Reducing Strip",'Tube Cutting'!E12="D30 Bottom Rail with Noise Reducing Strip &amp; Fluffy Strip",'Tube Cutting'!E12="Bottom Rail in Pocket",'Tube Cutting'!E12="Bottom Rail in Pocket with Round Cut Out",'Tube Cutting'!E12="Bottom Rail in Pocket with Square Cut Out"))),'Tube Cutting'!G12,"")</f>
        <v/>
      </c>
      <c r="V6" s="7" t="str">
        <f>IF(AND('Job Sheet'!BD12="Bone",(OR('Tube Cutting'!E12="D30 Bottom Rail",'Tube Cutting'!E12="D30 Bottom Rail with Noise Reducing Strip",'Tube Cutting'!E12="D30 Bottom Rail with Noise Reducing Strip &amp; Fluffy Strip",'Tube Cutting'!E12="Bottom Rail in Pocket",'Tube Cutting'!E12="Bottom Rail in Pocket with Round Cut Out",'Tube Cutting'!E12="Bottom Rail in Pocket with Square Cut Out"))),'Tube Cutting'!G12,"")</f>
        <v/>
      </c>
      <c r="W6" s="7">
        <f t="shared" si="1"/>
        <v>1</v>
      </c>
      <c r="X6" s="7" t="str">
        <f t="shared" si="53" ref="X6:X14">IF(S6&lt;&gt;"",1,"")</f>
        <v/>
      </c>
      <c r="Y6" s="7" t="str">
        <f t="shared" si="54" ref="Y6:Y14">IF(T6&lt;&gt;"",1,"")</f>
        <v/>
      </c>
      <c r="Z6" s="7" t="str">
        <f t="shared" si="55" ref="Z6:Z14">IF(U6&lt;&gt;"",1,"")</f>
        <v/>
      </c>
      <c r="AA6" s="7" t="str">
        <f t="shared" si="56" ref="AA6:AA14">IF(V6&lt;&gt;"",1,"")</f>
        <v/>
      </c>
      <c r="AB6" s="7" t="str">
        <f>IF('Tube Cutting'!H12="Timber",'Tube Cutting'!G12,IF(AND('Tube Cutting'!E12="Double Lath",'Tube Cutting'!H12="Timber"),'Tube Cutting'!G12*2,""))</f>
        <v/>
      </c>
      <c r="AC6" s="7" t="str">
        <f>IF('Tube Cutting'!I12="","",'Tube Cutting'!I12)</f>
        <v/>
      </c>
      <c r="AD6" s="7" t="str">
        <f>IF(AND('Tube Cutting'!J12="Aluminium Pelmet",'Tube Cutting'!K12="Anodised Silver"),'Tube Cutting'!L12,"")</f>
        <v/>
      </c>
      <c r="AE6" s="7" t="str">
        <f>IF(AND('Tube Cutting'!J12="Aluminium Pelmet",'Tube Cutting'!K12="White"),'Tube Cutting'!L12,"")</f>
        <v/>
      </c>
      <c r="AF6" s="7" t="str">
        <f>IF(AND('Tube Cutting'!J12="Aluminium Pelmet",'Tube Cutting'!K12="Black"),'Tube Cutting'!L12,"")</f>
        <v/>
      </c>
      <c r="AG6" s="7" t="str">
        <f>IF(AND('Tube Cutting'!J12="Aluminium Pelmet",'Tube Cutting'!K12="Cream"),'Tube Cutting'!L12,"")</f>
        <v/>
      </c>
      <c r="AH6" s="7" t="str">
        <f>IF(AND('Tube Cutting'!K12="Black",(OR('Tube Cutting'!J12="Square Cassette",'Tube Cutting'!J12="Round Cassette",'Tube Cutting'!J12="Square Cassette with Side Channels",'Tube Cutting'!J12="Square Cassette with Side &amp; Bottom Channels",'Tube Cutting'!J12="Round Cassette with Side Channels",'Tube Cutting'!J12="Round Cassette with Side &amp; Bottom Channels"))),'Tube Cutting'!L12,"")</f>
        <v/>
      </c>
      <c r="AI6" s="7" t="str">
        <f>IF(AND('Tube Cutting'!K12="White",(OR('Tube Cutting'!J12="Square Cassette",'Tube Cutting'!J12="Round Cassette",'Tube Cutting'!J12="Square Cassette with Side Channels",'Tube Cutting'!J12="Square Cassette with Side &amp; Bottom Channels",'Tube Cutting'!J12="Round Cassette with Side Channels",'Tube Cutting'!J12="Round Cassette with Side &amp; Bottom Channels"))),'Tube Cutting'!L12,"")</f>
        <v/>
      </c>
      <c r="AJ6" s="7" t="str">
        <f>IF(AND('Tube Cutting'!K12="Cream",(OR('Tube Cutting'!J12="Square Cassette",'Tube Cutting'!J12="Round Cassette",'Tube Cutting'!J12="Square Cassette with Side Channels",'Tube Cutting'!J12="Square Cassette with Side &amp; Bottom Channels",'Tube Cutting'!J12="Round Cassette with Side Channels",'Tube Cutting'!J12="Round Cassette with Side &amp; Bottom Channels"))),'Tube Cutting'!L12,"")</f>
        <v/>
      </c>
      <c r="AK6" s="7" t="str">
        <f>IF(AND('Tube Cutting'!K12="Anodised Silver",(OR('Tube Cutting'!J12="Square Cassette",'Tube Cutting'!J12="Round Cassette",'Tube Cutting'!J12="Square Cassette with Side Channels",'Tube Cutting'!J12="Square Cassette with Side &amp; Bottom Channels",'Tube Cutting'!J12="Round Cassette with Side Channels",'Tube Cutting'!J12="Round Cassette with Side &amp; Bottom Channels"))),'Tube Cutting'!L12,"")</f>
        <v/>
      </c>
      <c r="AL6" s="7" t="str">
        <f>IF(AND('Tube Cutting'!K12="White",(OR('Tube Cutting'!J12="Square Cassette",'Tube Cutting'!J12="Square Cassette with Side Channels",'Tube Cutting'!J12="Square Cassette with Side &amp; Bottom Channels"))),'Tube Cutting'!M12,"")</f>
        <v/>
      </c>
      <c r="AM6" s="7" t="str">
        <f>IF(AND('Tube Cutting'!K12="Black",(OR('Tube Cutting'!J12="Square Cassette",'Tube Cutting'!J12="Square Cassette with Side Channels",'Tube Cutting'!J12="Square Cassette with Side &amp; Bottom Channels"))),'Tube Cutting'!M12,"")</f>
        <v/>
      </c>
      <c r="AN6" s="7" t="str">
        <f>IF(AND('Tube Cutting'!K12="Cream",(OR('Tube Cutting'!J12="Square Cassette",'Tube Cutting'!J12="Square Cassette with Side Channels",'Tube Cutting'!J12="Square Cassette with Side &amp; Bottom Channels"))),'Tube Cutting'!M12,"")</f>
        <v/>
      </c>
      <c r="AO6" s="7" t="str">
        <f>IF(AND('Tube Cutting'!K12="Anodised Silver",(OR('Tube Cutting'!J12="Square Cassette",'Tube Cutting'!J12="Square Cassette with Side Channels",'Tube Cutting'!J12="Square Cassette with Side &amp; Bottom Channels"))),'Tube Cutting'!M12,"")</f>
        <v/>
      </c>
      <c r="AP6" s="7" t="str">
        <f>IF(AND('Tube Cutting'!K12="White",(OR('Tube Cutting'!J12="Round Cassette",'Tube Cutting'!J12="Round Cassette with Side Channels",'Tube Cutting'!J12="Round Cassette with Side &amp; Bottom Channels"))),'Tube Cutting'!M12,"")</f>
        <v/>
      </c>
      <c r="AQ6" s="7" t="str">
        <f>IF(AND('Tube Cutting'!K12="Black",(OR('Tube Cutting'!J12="Round Cassette",'Tube Cutting'!J12="Round Cassette with Side Channels",'Tube Cutting'!J12="Round Cassette with Side &amp; Bottom Channels"))),'Tube Cutting'!M12,"")</f>
        <v/>
      </c>
      <c r="AR6" s="7" t="str">
        <f>IF(AND('Tube Cutting'!K12="Cream",(OR('Tube Cutting'!J12="Round Cassette",'Tube Cutting'!J12="Round Cassette with Side Channels",'Tube Cutting'!J12="Round Cassette with Side &amp; Bottom Channels"))),'Tube Cutting'!M12,"")</f>
        <v/>
      </c>
      <c r="AS6" s="7" t="str">
        <f>IF(AND('Tube Cutting'!K12="Anodised Silver",(OR('Tube Cutting'!J12="Round Cassette",'Tube Cutting'!J12="Round Cassette with Side Channels",'Tube Cutting'!J12="Round Cassette with Side &amp; Bottom Channels"))),'Tube Cutting'!M12,"")</f>
        <v/>
      </c>
      <c r="AT6" s="7" t="str">
        <f>IF(AND('Tube Cutting'!K12="White",(OR('Tube Cutting'!J12="Square Cassette with Side Channels",'Tube Cutting'!J12="Round Cassette with Side Channels",'Tube Cutting'!J12="Side Channels"))),CONCATENATE('Job Sheet'!H12-VLOOKUP(CONCATENATE('Job Sheet'!AA12,'Job Sheet'!J12,'Job Sheet'!AR12),PelmetDeduct,5,FALSE))*2,IF(AND('Tube Cutting'!K12="White",(OR('Tube Cutting'!J12="Square Cassette with Side &amp; Bottom Channels",'Tube Cutting'!J12="Round Cassette with Side &amp; Bottom Channels"))),CONCATENATE(('Job Sheet'!H12-VLOOKUP(CONCATENATE('Job Sheet'!AA12,'Job Sheet'!J12,'Job Sheet'!AR12),PelmetDeduct,5,FALSE))*2)+'Job Sheet'!BA12-110,""))</f>
        <v/>
      </c>
      <c r="AU6" s="7" t="str">
        <f>IF(AND('Tube Cutting'!K12="Black",(OR('Tube Cutting'!J12="Square Cassette with Side Channels",'Tube Cutting'!J12="Round Cassette with Side Channels",'Tube Cutting'!J12="Side Channels"))),CONCATENATE('Job Sheet'!H12-VLOOKUP(CONCATENATE('Job Sheet'!AA12,'Job Sheet'!J12,'Job Sheet'!AR12),PelmetDeduct,5,FALSE))*2,IF(AND('Tube Cutting'!K12="Black",(OR('Tube Cutting'!J12="Square Cassette with Side &amp; Bottom Channels",'Tube Cutting'!J12="Round Cassette with Side &amp; Bottom Channels"))),CONCATENATE(('Job Sheet'!H12-VLOOKUP(CONCATENATE('Job Sheet'!AA12,'Job Sheet'!J12,'Job Sheet'!AR12),PelmetDeduct,5,FALSE))*2)+'Job Sheet'!BA12-110,""))</f>
        <v/>
      </c>
      <c r="AV6" s="7" t="str">
        <f>IF(AND('Tube Cutting'!K12="Cream",(OR('Tube Cutting'!J12="Square Cassette with Side Channels",'Tube Cutting'!J12="Round Cassette with Side Channels",'Tube Cutting'!J12="Side Channels"))),CONCATENATE('Job Sheet'!H12-VLOOKUP(CONCATENATE('Job Sheet'!AA12,'Job Sheet'!J12,'Job Sheet'!AR12),PelmetDeduct,5,FALSE))*2,IF(AND('Tube Cutting'!K12="Cream",(OR('Tube Cutting'!J12="Square Cassette with Side &amp; Bottom Channels",'Tube Cutting'!J12="Round Cassette with Side &amp; Bottom Channels"))),CONCATENATE(('Job Sheet'!H12-VLOOKUP(CONCATENATE('Job Sheet'!AA12,'Job Sheet'!J12,'Job Sheet'!AR12),PelmetDeduct,5,FALSE))*2)+'Job Sheet'!BA12-110,""))</f>
        <v/>
      </c>
      <c r="AW6" s="7" t="str">
        <f>IF(AND('Tube Cutting'!K12="Anodised Silver",(OR('Tube Cutting'!J12="Square Cassette with Side Channels",'Tube Cutting'!J12="Round Cassette with Side Channels",'Tube Cutting'!J12="Side Channels"))),CONCATENATE('Job Sheet'!H12-VLOOKUP(CONCATENATE('Job Sheet'!AA12,'Job Sheet'!J12,'Job Sheet'!AR12),PelmetDeduct,5,FALSE))*2,IF(AND('Tube Cutting'!K12="Anodised Silver",(OR('Tube Cutting'!J12="Square Cassette with Side &amp; Bottom Channels",'Tube Cutting'!J12="Round Cassette with Side &amp; Bottom Channels"))),CONCATENATE(('Job Sheet'!H12-VLOOKUP(CONCATENATE('Job Sheet'!AA12,'Job Sheet'!J12,'Job Sheet'!AR12),PelmetDeduct,5,FALSE))*2)+'Job Sheet'!BA12-110,""))</f>
        <v/>
      </c>
      <c r="AX6" s="7" t="str">
        <f>IF('Tube Cutting'!J12="Aluminium Valance - Fabric Covered",'Tube Cutting'!M12,"")</f>
        <v/>
      </c>
      <c r="AY6" s="7" t="str">
        <f>IF(AND('Tube Cutting'!K12="White",'Tube Cutting'!J12="Aluminium Valance"),'Tube Cutting'!M12,"")</f>
        <v/>
      </c>
      <c r="AZ6" s="7" t="str">
        <f>IF(AND('Tube Cutting'!K12="Black",'Tube Cutting'!J12="Aluminium Valance"),'Tube Cutting'!M12,"")</f>
        <v/>
      </c>
      <c r="BA6" s="7" t="str">
        <f>IF(AND('Tube Cutting'!K12="Anodised Silver",'Tube Cutting'!J12="Aluminium Valance"),'Tube Cutting'!M12,"")</f>
        <v/>
      </c>
      <c r="BB6" s="7" t="str">
        <f>'Tube Cutting'!O12</f>
        <v/>
      </c>
      <c r="BC6" s="7" t="str">
        <f>IF('Tube Cutting'!J12="Zipscreen Hooding",'Tube Cutting'!L12,"")</f>
        <v/>
      </c>
      <c r="BD6" s="7" t="str">
        <f>IF('Tube Cutting'!J12="Zipscreen Hooding",'Tube Cutting'!M12,"")</f>
        <v/>
      </c>
      <c r="BE6" s="7" t="str">
        <f>IF(AND('Assembly(b)'!E12="38mm",'Job Sheet'!BE12="White",'Assembly(b)'!F12="Chain Winder"),1,"")</f>
        <v/>
      </c>
      <c r="BF6" s="7" t="str">
        <f>IF(AND('Assembly(b)'!E12="38mm",'Job Sheet'!BE12="Black",'Assembly(b)'!F12="Chain Winder"),1,"")</f>
        <v/>
      </c>
      <c r="BG6" s="7" t="str">
        <f>IF(AND('Assembly(b)'!E12="38mm",'Job Sheet'!BE12="Birch White",'Job Sheet'!L12="Chain Winder"),1,"")</f>
        <v/>
      </c>
      <c r="BH6" s="7" t="str">
        <f>IF(AND('Assembly(b)'!E12="38mm",'Job Sheet'!BE12="Grey",'Assembly(b)'!F12="Chain Winder"),1,"")</f>
        <v/>
      </c>
      <c r="BI6" s="7" t="str">
        <f>IF(AND('Assembly(b)'!E12="38mm",'Job Sheet'!BE12="Beige",'Assembly(b)'!F12="Chain Winder"),1,"")</f>
        <v/>
      </c>
      <c r="BJ6" s="7" t="str">
        <f>IF(AND('Assembly(b)'!E12="38mm",'Job Sheet'!BE12="White",'Assembly(b)'!F12="Chain Winder Fixed Guide"),1,"")</f>
        <v/>
      </c>
      <c r="BK6" s="7" t="str">
        <f>IF(AND('Assembly(b)'!E12="38mm",'Job Sheet'!BE12="Black",'Assembly(b)'!F12="Chain Winder Fixed Guide"),1,"")</f>
        <v/>
      </c>
      <c r="BL6" s="7" t="str">
        <f>IF(AND('Assembly(b)'!E12="38mm",'Job Sheet'!BE12="Birch White",'Assembly(b)'!F12="Chain Winder Fixed Guide"),1,"")</f>
        <v/>
      </c>
      <c r="BM6" s="7" t="str">
        <f>IF(AND('Assembly(b)'!E12="38mm",'Job Sheet'!BE12="Grey",'Assembly(b)'!F12="Chain Winder Fixed Guide"),1,"")</f>
        <v/>
      </c>
      <c r="BN6" s="7" t="str">
        <f>IF(AND('Assembly(b)'!E12="38mm",'Job Sheet'!BE12="Beige",'Assembly(b)'!F12="Chain Winder Fixed Guide"),1,"")</f>
        <v/>
      </c>
      <c r="BO6" s="7">
        <f>IF(AND('Job Sheet'!BE12="White",'Assembly(b)'!F12="Chain Winder",(OR('Assembly(b)'!E12="43mm",'Assembly(b)'!E12="43mm H/D"))),1,"")</f>
        <v>1</v>
      </c>
      <c r="BP6" s="7" t="str">
        <f>IF(AND('Job Sheet'!BE12="Black",'Assembly(b)'!F12="Chain Winder",(OR('Assembly(b)'!E12="43mm",'Assembly(b)'!E12="43mm H/D"))),1,"")</f>
        <v/>
      </c>
      <c r="BQ6" s="7" t="str">
        <f>IF(AND('Job Sheet'!BE12="Birch White",'Assembly(b)'!F12="Chain Winder",(OR('Assembly(b)'!E12="43mm",'Assembly(b)'!E12="43mm H/D"))),1,"")</f>
        <v/>
      </c>
      <c r="BR6" s="7" t="str">
        <f>IF(AND('Job Sheet'!BE12="Grey",'Assembly(b)'!F12="Chain Winder",(OR('Assembly(b)'!E12="43mm",'Assembly(b)'!E12="43mm H/D"))),1,"")</f>
        <v/>
      </c>
      <c r="BS6" s="7" t="str">
        <f>IF(AND('Job Sheet'!BE12="Beige",'Assembly(b)'!F12="Chain Winder",(OR('Assembly(b)'!E12="43mm",'Assembly(b)'!E12="43mm H/D"))),1,"")</f>
        <v/>
      </c>
      <c r="BT6" s="7" t="str">
        <f>IF(AND('Job Sheet'!BE12="White",'Assembly(b)'!F12="Chain Winder Fixed Guide",(OR('Assembly(b)'!E12="43mm",'Assembly(b)'!E12="43mm H/D"))),1,"")</f>
        <v/>
      </c>
      <c r="BU6" s="7" t="str">
        <f>IF(AND('Job Sheet'!BE12="Black",'Assembly(b)'!F12="Chain Winder Fixed Guide",(OR('Assembly(b)'!E12="43mm",'Assembly(b)'!E12="43mm H/D"))),1,"")</f>
        <v/>
      </c>
      <c r="BV6" s="7" t="str">
        <f>IF(AND('Job Sheet'!BE12="Birch White",'Assembly(b)'!F12="Chain Winder Fixed Guide",(OR('Assembly(b)'!E12="43mm",'Assembly(b)'!E12="43mm H/D"))),1,"")</f>
        <v/>
      </c>
      <c r="BW6" s="7" t="str">
        <f>IF(AND('Job Sheet'!BE12="Grey",'Assembly(b)'!F12="Chain Winder Fixed Guide",(OR('Assembly(b)'!E12="43mm",'Assembly(b)'!E12="43mm H/D"))),1,"")</f>
        <v/>
      </c>
      <c r="BX6" s="7" t="str">
        <f>IF(AND('Job Sheet'!BE12="Beige",'Assembly(b)'!F12="Chain Winder Fixed Guide",(OR('Assembly(b)'!E12="43mm",'Assembly(b)'!E12="43mm H/D"))),1,"")</f>
        <v/>
      </c>
      <c r="BY6" s="7" t="str">
        <f>IF(Data!AV12="","",IF(AND('Job Sheet'!BE12="White",VLOOKUP('Job Sheet'!AR12,ControlDeduct,3,FALSE)="Yes"),1,""))</f>
        <v/>
      </c>
      <c r="BZ6" s="7" t="str">
        <f>IF(Data!AV12="","",IF(AND('Job Sheet'!BE12="Black",VLOOKUP('Job Sheet'!AR12,ControlDeduct,3,FALSE)="Yes"),1,""))</f>
        <v/>
      </c>
      <c r="CA6" s="7" t="str">
        <f>IF(Data!AV12="","",IF(AND('Job Sheet'!BE12="Birch White",VLOOKUP('Job Sheet'!AR12,ControlDeduct,3,FALSE)="Yes"),1,""))</f>
        <v/>
      </c>
      <c r="CB6" s="7" t="str">
        <f>IF(Data!AV12="","",IF(AND('Job Sheet'!BE12="Grey",VLOOKUP('Job Sheet'!AR12,ControlDeduct,3,FALSE)="Yes"),1,""))</f>
        <v/>
      </c>
      <c r="CC6" s="7" t="str">
        <f>IF(Data!AV12="","",IF(AND('Job Sheet'!BE12="Beige",VLOOKUP('Job Sheet'!AR12,ControlDeduct,3,FALSE)="Yes"),1,""))</f>
        <v/>
      </c>
      <c r="CD6" s="7">
        <f>IF(AND('Job Sheet'!BE12="White",(OR(Bagging!D12="Single",Bagging!D12="Single with Covers",Bagging!D12="Single &amp; Single Linked"))),1,"")</f>
        <v>1</v>
      </c>
      <c r="CE6" s="7" t="str">
        <f>IF(AND('Job Sheet'!BE12="Black",(OR(Bagging!D12="Single",Bagging!D12="Single with Covers",Bagging!D12="Single &amp; Single Linked"))),1,"")</f>
        <v/>
      </c>
      <c r="CF6" s="7" t="str">
        <f>IF(AND('Job Sheet'!BE12="Birch White",(OR(Bagging!D12="Single",Bagging!D12="Single with Covers",Bagging!D12="Single &amp; Single Linked"))),1,"")</f>
        <v/>
      </c>
      <c r="CG6" s="7" t="str">
        <f>IF(AND('Job Sheet'!BE12="Grey",(OR(Bagging!D12="Single",Bagging!D12="Single with Covers",Bagging!D12="Single &amp; Single Linked"))),1,"")</f>
        <v/>
      </c>
      <c r="CH6" s="7" t="str">
        <f>IF(AND('Job Sheet'!BE12="Beige",(OR(Bagging!D12="Single",Bagging!D12="Single with Covers",Bagging!D12="Single &amp; Single Linked"))),1,"")</f>
        <v/>
      </c>
      <c r="CI6" s="7" t="str">
        <f>IF(AND('Job Sheet'!BE12="White",(OR(Bagging!D12="Single Extension",Bagging!D12="Single Extension with Extension Covers",Bagging!D12="Single Extension &amp; Single Extension Linked",Bagging!D12="Single Extension with Extension Covers &amp; Single Extension Linked"))),1,"")</f>
        <v/>
      </c>
      <c r="CJ6" s="7" t="str">
        <f>IF(AND('Job Sheet'!BE12="Black",(OR(Bagging!D12="Single Extension",Bagging!D12="Single Extension with Extension Covers",Bagging!D12="Single Extension &amp; Single Extension Linked",Bagging!D12="Single Extension with Extension Covers &amp; Single Extension Linked"))),1,"")</f>
        <v/>
      </c>
      <c r="CK6" s="7" t="str">
        <f>IF(AND('Job Sheet'!BE12="Birch White",(OR(Bagging!D12="Single Extension",Bagging!D12="Single Extension with Extension Covers",Bagging!D12="Single Extension &amp; Single Extension Linked",Bagging!D12="Single Extension with Extension Covers &amp; Single Extension Linked"))),1,"")</f>
        <v/>
      </c>
      <c r="CL6" s="7" t="str">
        <f>IF(AND('Job Sheet'!BE12="Grey",(OR(Bagging!D12="Single Extension",Bagging!D12="Single Extension with Extension Covers",Bagging!D12="Single Extension &amp; Single Extension Linked",Bagging!D12="Single Extension with Extension Covers &amp; Single Extension Linked"))),1,"")</f>
        <v/>
      </c>
      <c r="CM6" s="7" t="str">
        <f>IF(AND('Job Sheet'!BE12="Beige",(OR(Bagging!D12="Single Extension",Bagging!D12="Single Extension with Extension Covers",Bagging!D12="Single Extension &amp; Single Extension Linked",Bagging!D12="Single Extension with Extension Covers &amp; Single Extension Linked"))),1,"")</f>
        <v/>
      </c>
      <c r="CN6" s="7" t="str">
        <f>IF(AND('Job Sheet'!BE12="White",(OR(Bagging!D12="Single Motor Brackets",Bagging!D12="Single Motor Brackets with Covers"))),1,"")</f>
        <v/>
      </c>
      <c r="CO6" s="7" t="str">
        <f>IF(AND('Job Sheet'!BE12="Black",(OR(Bagging!D12="Single Motor Brackets",Bagging!D12="Single Motor Brackets with Covers"))),1,"")</f>
        <v/>
      </c>
      <c r="CP6" s="7" t="str">
        <f>IF(AND('Job Sheet'!BE12="White",(OR(Bagging!D12="Single Motor Extension Brackets",Bagging!D12="Single Motor Extension Brackets with Extension Covers"))),1,"")</f>
        <v/>
      </c>
      <c r="CQ6" s="7" t="str">
        <f>IF(AND('Job Sheet'!BE12="Black",(OR(Bagging!D12="Single Motor Extension Brackets",Bagging!D12="Single Motor Extension Brackets with Extension Covers"))),1,"")</f>
        <v/>
      </c>
      <c r="CR6" s="7" t="str">
        <f>IF(AND('Job Sheet'!BE12="White",OR(Bagging!D12="Single with Covers",Bagging!D12="Single Motor Brackets with Covers")),1,"")</f>
        <v/>
      </c>
      <c r="CS6" s="7" t="str">
        <f>IF(AND('Job Sheet'!BE12="Black",OR(Bagging!D12="Single with Covers",Bagging!D12="Single Motor Brackets with Covers")),1,"")</f>
        <v/>
      </c>
      <c r="CT6" s="7" t="str">
        <f>IF(AND('Job Sheet'!BE12="Birch White",OR(Bagging!D12="Single with Covers",Bagging!D12="Single Motor Brackets with Covers")),1,"")</f>
        <v/>
      </c>
      <c r="CU6" s="7" t="str">
        <f>IF(AND('Job Sheet'!BE12="Grey",OR(Bagging!D12="Single with Covers",Bagging!D12="Single Motor Brackets with Covers")),1,"")</f>
        <v/>
      </c>
      <c r="CV6" s="7" t="str">
        <f>IF(AND('Job Sheet'!BE12="Beige",OR(Bagging!D12="Single with Covers",Bagging!D12="Single Motor Brackets with Covers")),1,"")</f>
        <v/>
      </c>
      <c r="CW6" s="7" t="str">
        <f>IF(AND('Job Sheet'!BE12="White",OR(Bagging!D12="Single Extension with Extension Covers",Bagging!D12="Single Motor Extension Brackets with Extension Covers",Bagging!D12="Single Extension with Extension Covers &amp; Single Extension Linked")),1,"")</f>
        <v/>
      </c>
      <c r="CX6" s="7" t="str">
        <f>IF(AND('Job Sheet'!BE12="Black",OR(Bagging!D12="Single Extension with Extension Covers",Bagging!D12="Single Motor Extension Brackets with Extension Covers",Bagging!D12="Single Extension with Extension Covers &amp; Single Extension Linked")),1,"")</f>
        <v/>
      </c>
      <c r="CY6" s="7" t="str">
        <f>IF(AND('Job Sheet'!BE12="Birch White",OR(Bagging!D12="Single Extension with Extension Covers",Bagging!D12="Single Motor Extension Brackets with Extension Covers",Bagging!D12="Single Extension with Extension Covers &amp; Single Extension Linked")),1,"")</f>
        <v/>
      </c>
      <c r="CZ6" s="7" t="str">
        <f>IF(AND('Job Sheet'!BE12="Grey",OR(Bagging!D12="Single Extension with Extension Covers",Bagging!D12="Single Motor Extension Brackets with Extension Covers",Bagging!D12="Single Extension with Extension Covers &amp; Single Extension Linked")),1,"")</f>
        <v/>
      </c>
      <c r="DA6" s="7" t="str">
        <f>IF(AND('Job Sheet'!BE12="Beige",OR(Bagging!D12="Single Extension with Extension Covers",Bagging!D12="Single Motor Extension Brackets with Extension Covers",Bagging!D12="Single Extension with Extension Covers &amp; Single Extension Linked")),1,"")</f>
        <v/>
      </c>
      <c r="DB6" s="7" t="str">
        <f>IF(AND(Bagging!D12="Dual Opposite Side",'Job Sheet'!BE12="White"),1,"")</f>
        <v/>
      </c>
      <c r="DC6" s="7" t="str">
        <f>IF(AND(Bagging!D12="Dual Opposite Side",'Job Sheet'!BE12="Black"),1,"")</f>
        <v/>
      </c>
      <c r="DD6" s="7" t="str">
        <f>IF(AND(Bagging!D12="Dual Opposite Side",'Job Sheet'!BE12="Birch White"),1,"")</f>
        <v/>
      </c>
      <c r="DE6" s="7" t="str">
        <f>IF(AND(Bagging!D12="Dual Opposite Side",'Job Sheet'!BE12="Grey"),1,"")</f>
        <v/>
      </c>
      <c r="DF6" s="7" t="str">
        <f>IF(AND(Bagging!D12="Dual Opposite Side",'Job Sheet'!BE12="Beige"),1,"")</f>
        <v/>
      </c>
      <c r="DG6" s="7" t="str">
        <f>IF(AND('Job Sheet'!BE12="White",(OR(Bagging!D12="Dual Same Side",Bagging!D12="Dual Same Side &amp; Dual Linked"))),1,"")</f>
        <v/>
      </c>
      <c r="DH6" s="7" t="str">
        <f>IF(AND('Job Sheet'!BE12="Black",(OR(Bagging!D12="Dual Same Side",Bagging!D12="Dual Same Side &amp; Dual Linked"))),1,"")</f>
        <v/>
      </c>
      <c r="DI6" s="7" t="str">
        <f>IF(AND('Job Sheet'!BE12="Birch White",(OR(Bagging!D12="Dual Same Side",Bagging!D12="Dual Same Side &amp; Dual Linked"))),1,"")</f>
        <v/>
      </c>
      <c r="DJ6" s="7" t="str">
        <f>IF(AND('Job Sheet'!BE12="Grey",(OR(Bagging!D12="Dual Same Side",Bagging!D12="Dual Same Side &amp; Dual Linked"))),1,"")</f>
        <v/>
      </c>
      <c r="DK6" s="7" t="str">
        <f>IF(AND('Job Sheet'!BE12="Beige",(OR(Bagging!D12="Dual Same Side",Bagging!D12="Dual Same Side &amp; Dual Linked"))),1,"")</f>
        <v/>
      </c>
      <c r="DL6" s="7" t="str">
        <f>IF(AND('Job Sheet'!BE12="White",(OR(Bagging!D12="Slimline Dual Top Blind Front Roll LHS Control",Bagging!D12="Slimline Dual Top Blind Front Roll LHS Control &amp; Dual Slimline Linked Top Blind Front Roll"))),1,"")</f>
        <v/>
      </c>
      <c r="DM6" s="7" t="str">
        <f>IF(AND('Job Sheet'!BE12="White",(OR(Bagging!D12="Slimline Dual Top Blind Front Roll RHS Control",Bagging!D12="Slimline Dual Top Blind Front Roll RHS Control &amp; Dual Slimline Linked Top Blind Front Roll"))),1,"")</f>
        <v/>
      </c>
      <c r="DN6" s="7" t="str">
        <f>IF(AND('Job Sheet'!BE12="Black",(OR(Bagging!D12="Slimline Dual Top Blind Front Roll LHS Control",Bagging!D12="Slimline Dual Top Blind Front Roll LHS Control &amp; Dual Slimline Linked Top Blind Front Roll"))),1,"")</f>
        <v/>
      </c>
      <c r="DO6" s="7" t="str">
        <f>IF(AND('Job Sheet'!BE12="Black",(OR(Bagging!D12="Slimline Dual Top Blind Front Roll RHS Control",Bagging!D12="Slimline Dual Top Blind Front Roll RHS Control &amp; Dual Slimline Linked Top Blind Front Roll"))),1,"")</f>
        <v/>
      </c>
      <c r="DP6" s="7" t="str">
        <f>IF(AND('Job Sheet'!BE12="Birch White",(OR(Bagging!D12="Slimline Dual Top Blind Front Roll LHS Control",Bagging!D12="Slimline Dual Top Blind Front Roll LHS Control &amp; Dual Slimline Linked Top Blind Front Roll"))),1,"")</f>
        <v/>
      </c>
      <c r="DQ6" s="7" t="str">
        <f>IF(AND('Job Sheet'!BE12="Birch White",(OR(Bagging!D12="Slimline Dual Top Blind Front Roll RHS Control",Bagging!D12="Slimline Dual Top Blind Front Roll RHS Control &amp; Dual Slimline Linked Top Blind Front Roll"))),1,"")</f>
        <v/>
      </c>
      <c r="DR6" s="7" t="str">
        <f>IF(AND('Job Sheet'!BE12="Grey",(OR(Bagging!D12="Slimline Dual Top Blind Front Roll LHS Control",Bagging!D12="Slimline Dual Top Blind Front Roll LHS Control &amp; Dual Slimline Linked Top Blind Front Roll"))),1,"")</f>
        <v/>
      </c>
      <c r="DS6" s="7" t="str">
        <f>IF(AND('Job Sheet'!BE12="Grey",(OR(Bagging!D12="Slimline Dual Top Blind Front Roll RHS Control",Bagging!D12="Slimline Dual Top Blind Front Roll RHS Control &amp; Dual Slimline Linked Top Blind Front Roll"))),1,"")</f>
        <v/>
      </c>
      <c r="DT6" s="7" t="str">
        <f>IF(AND('Job Sheet'!BE12="Beige",(OR(Bagging!D12="Slimline Dual Top Blind Front Roll LHS Control",Bagging!D12="Slimline Dual Top Blind Front Roll LHS Control &amp; Dual Slimline Linked Top Blind Front Roll"))),1,"")</f>
        <v/>
      </c>
      <c r="DU6" s="7" t="str">
        <f>IF(AND('Job Sheet'!BE12="Beige",(OR(Bagging!D12="Slimline Dual Top Blind Front Roll RHS Control",Bagging!D12="Slimline Dual Top Blind Front Roll RHS Control &amp; Dual Slimline Linked Top Blind Front Roll"))),1,"")</f>
        <v/>
      </c>
      <c r="DV6" s="7" t="str">
        <f>IF(AND('Job Sheet'!BE12="White",(OR(Bagging!D12="Slimline Dual Top Blind Back Roll LHS Control",Bagging!D12="Slimline Dual Top Blind Back Roll LHS Control &amp; Dual Slimline Linked Top Blind Back Roll"))),1,"")</f>
        <v/>
      </c>
      <c r="DW6" s="7" t="str">
        <f>IF(AND('Job Sheet'!BE12="White",(OR(Bagging!D12="Slimline Dual Top Blind Back Roll RHS Control",Bagging!D12="Slimline Dual Top Blind Back Roll LHS Control &amp; Dual Slimline Linked Top Blind Back Roll"))),1,"")</f>
        <v/>
      </c>
      <c r="DX6" s="7" t="str">
        <f>IF(AND('Job Sheet'!BE12="Black",(OR(Bagging!D12="Slimline Dual Top Blind Back Roll LHS Control",Bagging!D12="Slimline Dual Top Blind Back Roll LHS Control &amp; Dual Slimline Linked Top Blind Back Roll"))),1,"")</f>
        <v/>
      </c>
      <c r="DY6" s="7" t="str">
        <f>IF(AND('Job Sheet'!BE12="Black",(OR(Bagging!D12="Slimline Dual Top Blind Back Roll RHS Control",Bagging!D12="Slimline Dual Top Blind Back Roll LHS Control &amp; Dual Slimline Linked Top Blind Back Roll"))),1,"")</f>
        <v/>
      </c>
      <c r="DZ6" s="7" t="str">
        <f>IF(AND('Job Sheet'!BE12="Birch White",(OR(Bagging!D12="Slimline Dual Top Blind Back Roll LHS Control",Bagging!D12="Slimline Dual Top Blind Back Roll LHS Control &amp; Dual Slimline Linked Top Blind Back Roll"))),1,"")</f>
        <v/>
      </c>
      <c r="EA6" s="7" t="str">
        <f>IF(AND('Job Sheet'!BE12="Birch White",(OR(Bagging!D12="Slimline Dual Top Blind Back Roll RHS Control",Bagging!D12="Slimline Dual Top Blind Back Roll LHS Control &amp; Dual Slimline Linked Top Blind Back Roll"))),1,"")</f>
        <v/>
      </c>
      <c r="EB6" s="7" t="str">
        <f>IF(AND('Job Sheet'!BE12="Grey",(OR(Bagging!D12="Slimline Dual Top Blind Back Roll LHS Control",Bagging!D12="Slimline Dual Top Blind Back Roll LHS Control &amp; Dual Slimline Linked Top Blind Back Roll"))),1,"")</f>
        <v/>
      </c>
      <c r="EC6" s="7" t="str">
        <f>IF(AND('Job Sheet'!BE12="Grey",(OR(Bagging!D12="Slimline Dual Top Blind Back Roll RHS Control",Bagging!D12="Slimline Dual Top Blind Back Roll LHS Control &amp; Dual Slimline Linked Top Blind Back Roll"))),1,"")</f>
        <v/>
      </c>
      <c r="ED6" s="7" t="str">
        <f>IF(AND('Job Sheet'!BE12="Beige",(OR(Bagging!D12="Slimline Dual Top Blind Back Roll LHS Control",Bagging!D12="Slimline Dual Top Blind Back Roll LHS Control &amp; Dual Slimline Linked Top Blind Back Roll"))),1,"")</f>
        <v/>
      </c>
      <c r="EE6" s="7" t="str">
        <f>IF(AND('Job Sheet'!BE12="Beige",(OR(Bagging!D12="Slimline Dual Top Blind Back Roll RHS Control",Bagging!D12="Slimline Dual Top Blind Back Roll LHS Control &amp; Dual Slimline Linked Top Blind Back Roll"))),1,"")</f>
        <v/>
      </c>
      <c r="EF6" s="7">
        <f>IF(AND('Job Sheet'!BE12="White",(OR(Bagging!D12="Linked",Bagging!D12="Single &amp; Single Linked"))),1,IF(AND(Bagging!D12="Linked(2 Sets)",'Job Sheet'!BE12="White"),2,""))</f>
        <v>1</v>
      </c>
      <c r="EG6" s="7" t="str">
        <f>IF(AND('Job Sheet'!BE12="Black",(OR(Bagging!D12="Linked",Bagging!D12="Single &amp; Single Linked"))),1,IF(AND(Bagging!D12="Linked(2 Sets)",'Job Sheet'!BE12="Black"),2,""))</f>
        <v/>
      </c>
      <c r="EH6" s="7" t="str">
        <f>IF(AND('Job Sheet'!BE12="Birch White",(OR(Bagging!D12="Linked",Bagging!D12="Single &amp; Single Linked"))),1,IF(AND(Bagging!D12="Linked(2 Sets)",'Job Sheet'!BE12="Birch White"),2,""))</f>
        <v/>
      </c>
      <c r="EI6" s="7" t="str">
        <f>IF(AND('Job Sheet'!BE12="Grey",(OR(Bagging!D12="Linked",Bagging!D12="Single &amp; Single Linked"))),1,IF(AND(Bagging!D12="Linked(2 Sets)",'Job Sheet'!BE12="Grey"),2,""))</f>
        <v/>
      </c>
      <c r="EJ6" s="7" t="str">
        <f>IF(AND('Job Sheet'!BE12="Beige",(OR(Bagging!D12="Linked",Bagging!D12="Single &amp; Single Linked"))),1,IF(AND(Bagging!D12="Linked(2 Sets)",'Job Sheet'!BE12="Beige"),2,""))</f>
        <v/>
      </c>
      <c r="EK6" s="7" t="str">
        <f>IF(AND('Job Sheet'!BE12="White",(OR(Bagging!D12="Single Extension Linked",Bagging!D12="Single Extension &amp; Single Extension Linked",Bagging!D12="Single Extension with Extension Covers &amp; Single Extension Linked"))),1,IF(AND(Bagging!D12="Single Extension Linked(2 Sets)",'Job Sheet'!BE12="White"),2,""))</f>
        <v/>
      </c>
      <c r="EL6" s="7" t="str">
        <f>IF(AND('Job Sheet'!BE12="Black",(OR(Bagging!D12="Single Extension Linked",Bagging!D12="Single Extension &amp; Single Extension Linked",Bagging!D12="Single Extension with Extension Covers &amp; Single Extension Linked"))),1,IF(AND(Bagging!D12="Single Extension Linked(2 Sets)",'Job Sheet'!BE12="Black"),2,""))</f>
        <v/>
      </c>
      <c r="EM6" s="7" t="str">
        <f>IF(AND('Job Sheet'!BE12="Birch White",(OR(Bagging!D12="Single Extension Linked",Bagging!D12="Single Extension &amp; Single Extension Linked",Bagging!D12="Single Extension with Extension Covers &amp; Single Extension Linked"))),1,IF(AND(Bagging!D12="Single Extension Linked(2 Sets)",'Job Sheet'!BE12="Birch White"),2,""))</f>
        <v/>
      </c>
      <c r="EN6" s="7" t="str">
        <f>IF(AND('Job Sheet'!BE12="Grey",(OR(Bagging!D12="Single Extension Linked",Bagging!D12="Single Extension &amp; Single Extension Linked",Bagging!D12="Single Extension with Extension Covers &amp; Single Extension Linked"))),1,IF(AND(Bagging!D12="Single Extension Linked(2 Sets)",'Job Sheet'!BE12="Grey"),2,""))</f>
        <v/>
      </c>
      <c r="EO6" s="7" t="str">
        <f>IF(AND('Job Sheet'!BE12="Beige",(OR(Bagging!D12="Single Extension Linked",Bagging!D12="Single Extension &amp; Single Extension Linked",Bagging!D12="Single Extension with Extension Covers &amp; Single Extension Linked"))),1,IF(AND(Bagging!D12="Single Extension Linked(2 Sets)",'Job Sheet'!BE12="Beige"),2,""))</f>
        <v/>
      </c>
      <c r="EP6" s="7" t="str">
        <f>IF(AND('Job Sheet'!BE12="White",(OR(Bagging!D12="Dual Linked",Bagging!D12="Dual Same Side &amp; Dual Linked"))),1,IF(AND(Bagging!D12="Dual Linked(2 Sets)",'Job Sheet'!BE12="White"),2,""))</f>
        <v/>
      </c>
      <c r="EQ6" s="7" t="str">
        <f>IF(AND('Job Sheet'!BE12="Black",(OR(Bagging!D12="Dual Linked",Bagging!D12="Dual Same Side &amp; Dual Linked"))),1,IF(AND(Bagging!D12="Dual Linked(2 Sets)",'Job Sheet'!BE12="Black"),2,""))</f>
        <v/>
      </c>
      <c r="ER6" s="7" t="str">
        <f>IF(AND('Job Sheet'!BE12="Birch White",(OR(Bagging!D12="Dual Linked",Bagging!D12="Dual Same Side &amp; Dual Linked"))),1,IF(AND(Bagging!D12="Dual Linked(2 Sets)",'Job Sheet'!BE12="Birch White"),2,""))</f>
        <v/>
      </c>
      <c r="ES6" s="7" t="str">
        <f>IF(AND('Job Sheet'!BE12="Grey",(OR(Bagging!D12="Dual Linked",Bagging!D12="Dual Same Side &amp; Dual Linked"))),1,IF(AND(Bagging!D12="Dual Linked(2 Sets)",'Job Sheet'!BE12="Grey"),2,""))</f>
        <v/>
      </c>
      <c r="ET6" s="7" t="str">
        <f>IF(AND('Job Sheet'!BE12="Beige",(OR(Bagging!D12="Dual Linked",Bagging!D12="Dual Same Side &amp; Dual Linked"))),1,IF(AND(Bagging!D12="Dual Linked(2 Sets)",'Job Sheet'!BE12="Beige"),2,""))</f>
        <v/>
      </c>
      <c r="EU6" s="7" t="str">
        <f>IF(AND('Job Sheet'!BE12="White",(OR(Bagging!D12="Dual Slimline Linked Top Blind Front Roll",Bagging!D12="Slimline Dual Top Blind Front Roll LHS Control &amp; Dual Slimline Linked Top Blind Front Roll",Bagging!D12="Slimline Dual Top Blind Front Roll RHS Control &amp; Dual Slimline Linked Top Blind Front Roll"))),1,IF(AND(Bagging!D12="Dual Slimline Linked Top Blind Front Roll(2 Sets)",'Job Sheet'!BE12="White"),2,""))</f>
        <v/>
      </c>
      <c r="EV6" s="7" t="str">
        <f>IF(AND('Job Sheet'!BE12="Black",(OR(Bagging!D12="Dual Slimline Linked Top Blind Front Roll",Bagging!D12="Slimline Dual Top Blind Front Roll LHS Control &amp; Dual Slimline Linked Top Blind Front Roll",Bagging!D12="Slimline Dual Top Blind Front Roll RHS Control &amp; Dual Slimline Linked Top Blind Front Roll"))),1,IF(AND(Bagging!D12="Dual Slimline Linked Top Blind Front Roll(2 Sets)",'Job Sheet'!BE12="Black"),2,""))</f>
        <v/>
      </c>
      <c r="EW6" s="7" t="str">
        <f>IF(AND('Job Sheet'!BE12="Birch White",(OR(Bagging!D12="Dual Slimline Linked Top Blind Front Roll",Bagging!D12="Slimline Dual Top Blind Front Roll LHS Control &amp; Dual Slimline Linked Top Blind Front Roll",Bagging!D12="Slimline Dual Top Blind Front Roll RHS Control &amp; Dual Slimline Linked Top Blind Front Roll"))),1,IF(AND(Bagging!D12="Dual Slimline Linked Top Blind Front Roll(2 Sets)",'Job Sheet'!BE12="Birch White"),2,""))</f>
        <v/>
      </c>
      <c r="EX6" s="7" t="str">
        <f>IF(AND('Job Sheet'!BE12="Grey",(OR(Bagging!D12="Dual Slimline Linked Top Blind Front Roll",Bagging!D12="Slimline Dual Top Blind Front Roll LHS Control &amp; Dual Slimline Linked Top Blind Front Roll",Bagging!D12="Slimline Dual Top Blind Front Roll RHS Control &amp; Dual Slimline Linked Top Blind Front Roll"))),1,IF(AND(Bagging!D12="Dual Slimline Linked Top Blind Front Roll(2 Sets)",'Job Sheet'!BE12="Grey"),2,""))</f>
        <v/>
      </c>
      <c r="EY6" s="7" t="str">
        <f>IF(AND('Job Sheet'!BE12="Beige",(OR(Bagging!D12="Dual Slimline Linked Top Blind Front Roll",Bagging!D12="Slimline Dual Top Blind Front Roll LHS Control &amp; Dual Slimline Linked Top Blind Front Roll",Bagging!D12="Slimline Dual Top Blind Front Roll RHS Control &amp; Dual Slimline Linked Top Blind Front Roll"))),1,IF(AND(Bagging!D12="Dual Slimline Linked Top Blind Front Roll(2 Sets)",'Job Sheet'!BE12="Beige"),2,""))</f>
        <v/>
      </c>
      <c r="EZ6" s="7" t="str">
        <f>IF(AND('Job Sheet'!BE12="White",(OR(Bagging!D12="Dual Slimline Linked Top Blind Back Roll",Bagging!D12="Slimline Dual Top Blind Back Roll LHS Control &amp; Dual Slimline Linked Top Blind Back Roll",Bagging!D12="Slimline Dual Top Blind Back Roll RHS Control &amp; Dual Slimline Linked Top Blind Back Roll"))),1,IF(AND(Bagging!D12="Dual Slimline Linked Top Blind Back Roll(2 Sets)",'Job Sheet'!BE12="White"),2,""))</f>
        <v/>
      </c>
      <c r="FA6" s="7" t="str">
        <f>IF(AND('Job Sheet'!BE12="Black",(OR(Bagging!D12="Dual Slimline Linked Top Blind Back Roll",Bagging!D12="Slimline Dual Top Blind Back Roll LHS Control &amp; Dual Slimline Linked Top Blind Back Roll",Bagging!D12="Slimline Dual Top Blind Back Roll RHS Control &amp; Dual Slimline Linked Top Blind Back Roll"))),1,IF(AND(Bagging!D12="Dual Slimline Linked Top Blind Back Roll(2 Sets)",'Job Sheet'!BE12="Black"),2,""))</f>
        <v/>
      </c>
      <c r="FB6" s="7" t="str">
        <f>IF(AND('Job Sheet'!BE12="Birch White",(OR(Bagging!D12="Dual Slimline Linked Top Blind Back Roll",Bagging!D12="Slimline Dual Top Blind Back Roll LHS Control &amp; Dual Slimline Linked Top Blind Back Roll",Bagging!D12="Slimline Dual Top Blind Back Roll RHS Control &amp; Dual Slimline Linked Top Blind Back Roll"))),1,IF(AND(Bagging!D12="Dual Slimline Linked Top Blind Back Roll(2 Sets)",'Job Sheet'!BE12="Birch White"),2,""))</f>
        <v/>
      </c>
      <c r="FC6" s="7" t="str">
        <f>IF(AND('Job Sheet'!BE12="Grey",(OR(Bagging!D12="Dual Slimline Linked Top Blind Back Roll",Bagging!D12="Slimline Dual Top Blind Back Roll LHS Control &amp; Dual Slimline Linked Top Blind Back Roll",Bagging!D12="Slimline Dual Top Blind Back Roll RHS Control &amp; Dual Slimline Linked Top Blind Back Roll"))),1,IF(AND(Bagging!D12="Dual Slimline Linked Top Blind Back Roll(2 Sets)",'Job Sheet'!BE12="Grey"),2,""))</f>
        <v/>
      </c>
      <c r="FD6" s="7" t="str">
        <f>IF(AND('Job Sheet'!BE12="Beige",(OR(Bagging!D12="Dual Slimline Linked Top Blind Back Roll",Bagging!D12="Slimline Dual Top Blind Back Roll LHS Control &amp; Dual Slimline Linked Top Blind Back Roll",Bagging!D12="Slimline Dual Top Blind Back Roll RHS Control &amp; Dual Slimline Linked Top Blind Back Roll"))),1,IF(AND(Bagging!D12="Dual Slimline Linked Top Blind Back Roll(2 Sets)",'Job Sheet'!BE12="Beige"),2,""))</f>
        <v/>
      </c>
      <c r="FE6" s="7" t="str">
        <f>IF(AND(OR('Job Sheet'!BF12="Nickel Steel",'Job Sheet'!BF12="Nickel Steel Chain"),OR('Assembly(b)'!D12="500mm",'Assembly(b)'!D12="500")),1,"")</f>
        <v/>
      </c>
      <c r="FF6" s="7" t="str">
        <f>IF(AND(OR('Job Sheet'!BF12="Nickel Steel",'Job Sheet'!BF12="Nickel Steel Chain"),OR('Assembly(b)'!D12="750mm",'Assembly(b)'!D12="750")),1,"")</f>
        <v/>
      </c>
      <c r="FG6" s="7" t="str">
        <f>IF(AND(OR('Job Sheet'!BF12="Nickel Steel",'Job Sheet'!BF12="Nickel Steel Chain"),OR('Assembly(b)'!D12="1000mm",'Assembly(b)'!D12="1000")),1,"")</f>
        <v/>
      </c>
      <c r="FH6" s="7" t="str">
        <f>IF(AND(OR('Job Sheet'!BF12="Nickel Steel",'Job Sheet'!BF12="Nickel Steel Chain"),OR('Assembly(b)'!D12="1250mm",'Assembly(b)'!D12="1250")),1,"")</f>
        <v/>
      </c>
      <c r="FI6" s="7" t="str">
        <f>IF(AND(OR('Job Sheet'!BF12="Nickel Steel",'Job Sheet'!BF12="Nickel Steel Chain"),OR('Assembly(b)'!D12="1500mm",'Assembly(b)'!D12="1500")),1,"")</f>
        <v/>
      </c>
      <c r="FJ6" s="7" t="str">
        <f>IF(AND(OR('Job Sheet'!BF12="Nickel Steel",'Job Sheet'!BF12="Nickel Steel Chain"),OR('Assembly(b)'!D12="1750mm",'Assembly(b)'!D12="1750")),1,"")</f>
        <v/>
      </c>
      <c r="FK6" s="7" t="str">
        <f>IF(AND(OR('Job Sheet'!BF12="Nickel Steel",'Job Sheet'!BF12="Nickel Steel Chain"),OR('Assembly(b)'!D12="2000mm",'Assembly(b)'!D12="2000")),1,"")</f>
        <v/>
      </c>
      <c r="FL6" s="7" t="str">
        <f>IF(AND(OR('Job Sheet'!BF12="Nickel Steel",'Job Sheet'!BF12="Nickel Steel Chain"),OR('Assembly(b)'!D12="2250mm",'Assembly(b)'!D12="2250")),1,"")</f>
        <v/>
      </c>
      <c r="FM6" s="7" t="str">
        <f>IF(AND(OR('Job Sheet'!BF12="Nickel Steel",'Job Sheet'!BF12="Nickel Steel Chain"),OR('Assembly(b)'!D12="2500mm",'Assembly(b)'!D12="2500")),1,"")</f>
        <v/>
      </c>
      <c r="FN6" s="7" t="str">
        <f>IF(AND(OR('Job Sheet'!BF12="Nickel Steel",'Job Sheet'!BF12="Nickel Steel Chain"),OR('Assembly(b)'!D12="2750mm",'Assembly(b)'!D12="2750")),1,"")</f>
        <v/>
      </c>
      <c r="FO6" s="7" t="str">
        <f>IF(AND(OR('Job Sheet'!BF12="Nickel Steel",'Job Sheet'!BF12="Nickel Steel Chain"),OR('Assembly(b)'!D12="3000mm",'Assembly(b)'!D12="3000")),1,"")</f>
        <v/>
      </c>
      <c r="FP6" s="7" t="str">
        <f>IF(AND(OR('Job Sheet'!BF12="Nickel Steel",'Job Sheet'!BF12="Nickel Steel Chain"),OR('Assembly(b)'!D12="3250mm",'Assembly(b)'!D12="3250")),1,"")</f>
        <v/>
      </c>
      <c r="FQ6" s="7" t="str">
        <f>IF(AND(OR('Job Sheet'!BF12="Nickel Steel",'Job Sheet'!BF12="Nickel Steel Chain"),OR('Assembly(b)'!D12="3500mm",'Assembly(b)'!D12="3500")),1,"")</f>
        <v/>
      </c>
      <c r="FR6" s="7" t="str">
        <f>IF(AND(OR('Job Sheet'!BF12="Nickel Steel",'Job Sheet'!BF12="Nickel Steel Chain"),OR('Assembly(b)'!D12="3750mm",'Assembly(b)'!D12="3750")),1,"")</f>
        <v/>
      </c>
      <c r="FS6" s="7" t="str">
        <f>IF(AND(OR('Job Sheet'!BF12="Nickel Steel",'Job Sheet'!BF12="Nickel Steel Chain"),OR('Assembly(b)'!D12="4000mm",'Assembly(b)'!D12="4000")),1,"")</f>
        <v/>
      </c>
      <c r="FT6" s="7" t="str">
        <f>IF(AND(OR('Job Sheet'!BF12="White",'Job Sheet'!BF12="White Chain"),OR('Assembly(b)'!D12="500mm",'Assembly(b)'!D12="500")),1,"")</f>
        <v/>
      </c>
      <c r="FU6" s="7" t="str">
        <f>IF(AND(OR('Job Sheet'!BF12="White",'Job Sheet'!BF12="White Chain"),OR('Assembly(b)'!D12="750mm",'Assembly(b)'!D12="750")),1,"")</f>
        <v/>
      </c>
      <c r="FV6" s="7" t="str">
        <f>IF(AND(OR('Job Sheet'!BF12="White",'Job Sheet'!BF12="White Chain"),OR('Assembly(b)'!D12="1000mm",'Assembly(b)'!D12="1000")),1,"")</f>
        <v/>
      </c>
      <c r="FW6" s="7" t="str">
        <f>IF(AND(OR('Job Sheet'!BF12="White",'Job Sheet'!BF12="White Chain"),OR('Assembly(b)'!D12="1250mm",'Assembly(b)'!D12="1250")),1,"")</f>
        <v/>
      </c>
      <c r="FX6" s="7" t="str">
        <f>IF(AND(OR('Job Sheet'!BF12="White",'Job Sheet'!BF12="White Chain"),OR('Assembly(b)'!D12="1500mm",'Assembly(b)'!D12="1500")),1,"")</f>
        <v/>
      </c>
      <c r="FY6" s="7" t="str">
        <f>IF(AND(OR('Job Sheet'!BF12="White",'Job Sheet'!BF12="White Chain"),OR('Assembly(b)'!D12="1750mm",'Assembly(b)'!D12="1750")),1,"")</f>
        <v/>
      </c>
      <c r="FZ6" s="7" t="str">
        <f>IF(AND(OR('Job Sheet'!BF12="White",'Job Sheet'!BF12="White Chain"),OR('Assembly(b)'!D12="2000mm",'Assembly(b)'!D12="2000")),1,"")</f>
        <v/>
      </c>
      <c r="GA6" s="7" t="str">
        <f>IF(AND(OR('Job Sheet'!BF12="White",'Job Sheet'!BF12="White Chain"),OR('Assembly(b)'!D12="2250mm",'Assembly(b)'!D12="2250")),1,"")</f>
        <v/>
      </c>
      <c r="GB6" s="7" t="str">
        <f>IF(AND(OR('Job Sheet'!BF12="White",'Job Sheet'!BF12="White Chain"),OR('Assembly(b)'!D12="2500mm",'Assembly(b)'!D12="2500")),1,"")</f>
        <v/>
      </c>
      <c r="GC6" s="7" t="str">
        <f>IF(AND(OR('Job Sheet'!BF12="White",'Job Sheet'!BF12="White Chain"),OR('Assembly(b)'!D12="2750mm",'Assembly(b)'!D12="2750")),1,"")</f>
        <v/>
      </c>
      <c r="GD6" s="7" t="str">
        <f>IF(AND(OR('Job Sheet'!BF12="White",'Job Sheet'!BF12="White Chain"),OR('Assembly(b)'!D12="3000mm",'Assembly(b)'!D12="3000")),1,"")</f>
        <v/>
      </c>
      <c r="GE6" s="7" t="str">
        <f>IF(AND(OR('Job Sheet'!BF12="White",'Job Sheet'!BF12="White Chain"),OR('Assembly(b)'!D12="3250mm",'Assembly(b)'!D12="3250")),1,"")</f>
        <v/>
      </c>
      <c r="GF6" s="7" t="str">
        <f>IF(AND(OR('Job Sheet'!BF12="White",'Job Sheet'!BF12="White Chain"),OR('Assembly(b)'!D12="3500mm",'Assembly(b)'!D12="3500")),1,"")</f>
        <v/>
      </c>
      <c r="GG6" s="7" t="str">
        <f>IF(AND(OR('Job Sheet'!BF12="White",'Job Sheet'!BF12="White Chain"),OR('Assembly(b)'!D12="3750mm",'Assembly(b)'!D12="3750")),1,"")</f>
        <v/>
      </c>
      <c r="GH6" s="7" t="str">
        <f>IF(AND(OR('Job Sheet'!BF12="White",'Job Sheet'!BF12="White Chain"),OR('Assembly(b)'!D12="4000mm",'Assembly(b)'!D12="4000")),1,"")</f>
        <v/>
      </c>
      <c r="GI6" s="7" t="str">
        <f>IF(AND(OR('Job Sheet'!BF12="Black",'Job Sheet'!BF12="Black Chain"),OR('Assembly(b)'!D12="500mm",'Assembly(b)'!D12="500")),1,"")</f>
        <v/>
      </c>
      <c r="GJ6" s="7" t="str">
        <f>IF(AND(OR('Job Sheet'!BF12="Black",'Job Sheet'!BF12="Black Chain"),OR('Assembly(b)'!D12="750mm",'Assembly(b)'!D12="750")),1,"")</f>
        <v/>
      </c>
      <c r="GK6" s="7" t="str">
        <f>IF(AND(OR('Job Sheet'!BF12="Black",'Job Sheet'!BF12="Black Chain"),OR('Assembly(b)'!D12="1000mm",'Assembly(b)'!D12="1000")),1,"")</f>
        <v/>
      </c>
      <c r="GL6" s="7" t="str">
        <f>IF(AND(OR('Job Sheet'!BF12="Black",'Job Sheet'!BF12="Black Chain"),OR('Assembly(b)'!D12="1250mm",'Assembly(b)'!D12="1250")),1,"")</f>
        <v/>
      </c>
      <c r="GM6" s="7">
        <f>IF(AND(OR('Job Sheet'!BF12="Black",'Job Sheet'!BF12="Black Chain"),OR('Assembly(b)'!D12="1500mm",'Assembly(b)'!D12="1500")),1,"")</f>
        <v>1</v>
      </c>
      <c r="GN6" s="7" t="str">
        <f>IF(AND(OR('Job Sheet'!BF12="Black",'Job Sheet'!BF12="Black Chain"),OR('Assembly(b)'!D12="1750mm",'Assembly(b)'!D12="1750")),1,"")</f>
        <v/>
      </c>
      <c r="GO6" s="7" t="str">
        <f>IF(AND(OR('Job Sheet'!BF12="Black",'Job Sheet'!BF12="Black Chain"),OR('Assembly(b)'!D12="2000mm",'Assembly(b)'!D12="2000")),1,"")</f>
        <v/>
      </c>
      <c r="GP6" s="7" t="str">
        <f>IF(AND(OR('Job Sheet'!BF12="Black",'Job Sheet'!BF12="Black Chain"),OR('Assembly(b)'!D12="2250mm",'Assembly(b)'!D12="2250")),1,"")</f>
        <v/>
      </c>
      <c r="GQ6" s="7" t="str">
        <f>IF(AND(OR('Job Sheet'!BF12="Black",'Job Sheet'!BF12="Black Chain"),OR('Assembly(b)'!D12="2500mm",'Assembly(b)'!D12="2500")),1,"")</f>
        <v/>
      </c>
      <c r="GR6" s="7" t="str">
        <f>IF(AND(OR('Job Sheet'!BF12="Black",'Job Sheet'!BF12="Black Chain"),OR('Assembly(b)'!D12="2750mm",'Assembly(b)'!D12="2750")),1,"")</f>
        <v/>
      </c>
      <c r="GS6" s="7" t="str">
        <f>IF(AND(OR('Job Sheet'!BF12="Black",'Job Sheet'!BF12="Black Chain"),OR('Assembly(b)'!D12="3000mm",'Assembly(b)'!D12="3000")),1,"")</f>
        <v/>
      </c>
      <c r="GT6" s="7" t="str">
        <f>IF(AND(OR('Job Sheet'!BF12="Black",'Job Sheet'!BF12="Black Chain"),OR('Assembly(b)'!D12="3250mm",'Assembly(b)'!D12="3250")),1,"")</f>
        <v/>
      </c>
      <c r="GU6" s="7" t="str">
        <f>IF(AND(OR('Job Sheet'!BF12="Black",'Job Sheet'!BF12="Black Chain"),OR('Assembly(b)'!D12="3500mm",'Assembly(b)'!D12="3500")),1,"")</f>
        <v/>
      </c>
      <c r="GV6" s="7" t="str">
        <f>IF(AND(OR('Job Sheet'!BF12="Black",'Job Sheet'!BF12="Black Chain"),OR('Assembly(b)'!D12="3750mm",'Assembly(b)'!D12="3750")),1,"")</f>
        <v/>
      </c>
      <c r="GW6" s="7" t="str">
        <f>IF(AND(OR('Job Sheet'!BF12="Black",'Job Sheet'!BF12="Black Chain"),OR('Assembly(b)'!D12="4000mm",'Assembly(b)'!D12="4000")),1,"")</f>
        <v/>
      </c>
      <c r="GX6" s="7" t="str">
        <f>IF(AND(OR('Job Sheet'!BF12="Birch White",'Job Sheet'!BF12="Birch White Chain"),OR('Assembly(b)'!D12="500mm",'Assembly(b)'!D12="500")),1,"")</f>
        <v/>
      </c>
      <c r="GY6" s="7" t="str">
        <f>IF(AND(OR('Job Sheet'!BF12="Birch White",'Job Sheet'!BF12="Birch White Chain"),OR('Assembly(b)'!D12="750mm",'Assembly(b)'!D12="750")),1,"")</f>
        <v/>
      </c>
      <c r="GZ6" s="7" t="str">
        <f>IF(AND(OR('Job Sheet'!BF12="Birch White",'Job Sheet'!BF12="Birch White Chain"),OR('Assembly(b)'!D12="1000mm",'Assembly(b)'!D12="1000")),1,"")</f>
        <v/>
      </c>
      <c r="HA6" s="7" t="str">
        <f>IF(AND(OR('Job Sheet'!BF12="Birch White",'Job Sheet'!BF12="Birch White Chain"),OR('Assembly(b)'!D12="1250mm",'Assembly(b)'!D12="1250")),1,"")</f>
        <v/>
      </c>
      <c r="HB6" s="7" t="str">
        <f>IF(AND(OR('Job Sheet'!BF12="Birch White",'Job Sheet'!BF12="Birch White Chain"),OR('Assembly(b)'!D12="1500mm",'Assembly(b)'!D12="1500")),1,"")</f>
        <v/>
      </c>
      <c r="HC6" s="7" t="str">
        <f>IF(AND(OR('Job Sheet'!BF12="Birch White",'Job Sheet'!BF12="Birch White Chain"),OR('Assembly(b)'!D12="1750mm",'Assembly(b)'!D12="1750")),1,"")</f>
        <v/>
      </c>
      <c r="HD6" s="7" t="str">
        <f>IF(AND(OR('Job Sheet'!BF12="Birch White",'Job Sheet'!BF12="Birch White Chain"),OR('Assembly(b)'!D12="2000mm",'Assembly(b)'!D12="2000")),1,"")</f>
        <v/>
      </c>
      <c r="HE6" s="7" t="str">
        <f>IF(AND(OR('Job Sheet'!BF12="Birch White",'Job Sheet'!BF12="Birch White Chain"),OR('Assembly(b)'!D12="2250mm",'Assembly(b)'!D12="2250")),1,"")</f>
        <v/>
      </c>
      <c r="HF6" s="7" t="str">
        <f>IF(AND(OR('Job Sheet'!BF12="Birch White",'Job Sheet'!BF12="Birch White Chain"),OR('Assembly(b)'!D12="2500mm",'Assembly(b)'!D12="2500")),1,"")</f>
        <v/>
      </c>
      <c r="HG6" s="7" t="str">
        <f>IF(AND(OR('Job Sheet'!BF12="Birch White",'Job Sheet'!BF12="Birch White Chain"),OR('Assembly(b)'!D12="2750mm",'Assembly(b)'!D12="2750")),1,"")</f>
        <v/>
      </c>
      <c r="HH6" s="7" t="str">
        <f>IF(AND(OR('Job Sheet'!BF12="Birch White",'Job Sheet'!BF12="Birch White Chain"),OR('Assembly(b)'!D12="3000mm",'Assembly(b)'!D12="3000")),1,"")</f>
        <v/>
      </c>
      <c r="HI6" s="7" t="str">
        <f>IF(AND(OR('Job Sheet'!BF12="Birch White",'Job Sheet'!BF12="Birch White Chain"),OR('Assembly(b)'!D12="3250mm",'Assembly(b)'!D12="3250")),1,"")</f>
        <v/>
      </c>
      <c r="HJ6" s="7" t="str">
        <f>IF(AND(OR('Job Sheet'!BF12="Birch White",'Job Sheet'!BF12="Birch White Chain"),OR('Assembly(b)'!D12="3500mm",'Assembly(b)'!D12="3500")),1,"")</f>
        <v/>
      </c>
      <c r="HK6" s="7" t="str">
        <f>IF(AND(OR('Job Sheet'!BF12="Birch White",'Job Sheet'!BF12="Birch White Chain"),OR('Assembly(b)'!D12="3750mm",'Assembly(b)'!D12="3750")),1,"")</f>
        <v/>
      </c>
      <c r="HL6" s="7" t="str">
        <f>IF(AND(OR('Job Sheet'!BF12="Birch White",'Job Sheet'!BF12="Birch White Chain"),OR('Assembly(b)'!D12="4000mm",'Assembly(b)'!D12="4000")),1,"")</f>
        <v/>
      </c>
      <c r="HM6" s="7" t="str">
        <f>IF(AND(OR('Job Sheet'!BF12="Grey",'Job Sheet'!BF12="Grey Chain"),OR('Assembly(b)'!D12="500mm",'Assembly(b)'!D12="500")),1,"")</f>
        <v/>
      </c>
      <c r="HN6" s="7" t="str">
        <f>IF(AND(OR('Job Sheet'!BF12="Grey",'Job Sheet'!BF12="Grey Chain"),OR('Assembly(b)'!D12="750mm",'Assembly(b)'!D12="750")),1,"")</f>
        <v/>
      </c>
      <c r="HO6" s="7" t="str">
        <f>IF(AND(OR('Job Sheet'!BF12="Grey",'Job Sheet'!BF12="Grey Chain"),OR('Assembly(b)'!D12="1000mm",'Assembly(b)'!D12="1000")),1,"")</f>
        <v/>
      </c>
      <c r="HP6" s="7" t="str">
        <f>IF(AND(OR('Job Sheet'!BF12="Grey",'Job Sheet'!BF12="Grey Chain"),OR('Assembly(b)'!D12="1250mm",'Assembly(b)'!D12="1250")),1,"")</f>
        <v/>
      </c>
      <c r="HQ6" s="7" t="str">
        <f>IF(AND(OR('Job Sheet'!BF12="Grey",'Job Sheet'!BF12="Grey Chain"),OR('Assembly(b)'!D12="1500mm",'Assembly(b)'!D12="1500")),1,"")</f>
        <v/>
      </c>
      <c r="HR6" s="7" t="str">
        <f>IF(AND(OR('Job Sheet'!BF12="Grey",'Job Sheet'!BF12="Grey Chain"),OR('Assembly(b)'!D12="1750mm",'Assembly(b)'!D12="1750")),1,"")</f>
        <v/>
      </c>
      <c r="HS6" s="7" t="str">
        <f>IF(AND(OR('Job Sheet'!BF12="Grey",'Job Sheet'!BF12="Grey Chain"),OR('Assembly(b)'!D12="2000mm",'Assembly(b)'!D12="2000")),1,"")</f>
        <v/>
      </c>
      <c r="HT6" s="7" t="str">
        <f>IF(AND(OR('Job Sheet'!BF12="Grey",'Job Sheet'!BF12="Grey Chain"),OR('Assembly(b)'!D12="2250mm",'Assembly(b)'!D12="2250")),1,"")</f>
        <v/>
      </c>
      <c r="HU6" s="7" t="str">
        <f>IF(AND(OR('Job Sheet'!BF12="Grey",'Job Sheet'!BF12="Grey Chain"),OR('Assembly(b)'!D12="2500mm",'Assembly(b)'!D12="2500")),1,"")</f>
        <v/>
      </c>
      <c r="HV6" s="7" t="str">
        <f>IF(AND(OR('Job Sheet'!BF12="Grey",'Job Sheet'!BF12="Grey Chain"),OR('Assembly(b)'!D12="2750mm",'Assembly(b)'!D12="2750")),1,"")</f>
        <v/>
      </c>
      <c r="HW6" s="7" t="str">
        <f>IF(AND(OR('Job Sheet'!BF12="Grey",'Job Sheet'!BF12="Grey Chain"),OR('Assembly(b)'!D12="3000mm",'Assembly(b)'!D12="3000")),1,"")</f>
        <v/>
      </c>
      <c r="HX6" s="7" t="str">
        <f>IF(AND(OR('Job Sheet'!BF12="Grey",'Job Sheet'!BF12="Grey Chain"),OR('Assembly(b)'!D12="3250mm",'Assembly(b)'!D12="3250")),1,"")</f>
        <v/>
      </c>
      <c r="HY6" s="7" t="str">
        <f>IF(AND(OR('Job Sheet'!BF12="Grey",'Job Sheet'!BF12="Grey Chain"),OR('Assembly(b)'!D12="3500mm",'Assembly(b)'!D12="3500")),1,"")</f>
        <v/>
      </c>
      <c r="HZ6" s="7" t="str">
        <f>IF(AND(OR('Job Sheet'!BF12="Grey",'Job Sheet'!BF12="Grey Chain"),OR('Assembly(b)'!D12="3750mm",'Assembly(b)'!D12="3750")),1,"")</f>
        <v/>
      </c>
      <c r="IA6" s="7" t="str">
        <f>IF(AND(OR('Job Sheet'!BF12="Grey",'Job Sheet'!BF12="Grey Chain"),OR('Assembly(b)'!D12="4000mm",'Assembly(b)'!D12="4000")),1,"")</f>
        <v/>
      </c>
      <c r="IB6" s="7" t="str">
        <f>IF(AND(OR('Job Sheet'!BF12="Beige",'Job Sheet'!BF12="Beige Chain"),OR('Assembly(b)'!D12="500mm",'Assembly(b)'!D12="500")),1,"")</f>
        <v/>
      </c>
      <c r="IC6" s="7" t="str">
        <f>IF(AND(OR('Job Sheet'!BF12="Beige",'Job Sheet'!BF12="Beige Chain"),OR('Assembly(b)'!D12="750mm",'Assembly(b)'!D12="750")),1,"")</f>
        <v/>
      </c>
      <c r="ID6" s="7" t="str">
        <f>IF(AND(OR('Job Sheet'!BF12="Beige",'Job Sheet'!BF12="Beige Chain"),OR('Assembly(b)'!D12="1000mm",'Assembly(b)'!D12="1000")),1,"")</f>
        <v/>
      </c>
      <c r="IE6" s="7" t="str">
        <f>IF(AND(OR('Job Sheet'!BF12="Beige",'Job Sheet'!BF12="Beige Chain"),OR('Assembly(b)'!D12="1250mm",'Assembly(b)'!D12="1250")),1,"")</f>
        <v/>
      </c>
      <c r="IF6" s="7" t="str">
        <f>IF(AND(OR('Job Sheet'!BF12="Beige",'Job Sheet'!BF12="Beige Chain"),OR('Assembly(b)'!D12="1500mm",'Assembly(b)'!D12="1500")),1,"")</f>
        <v/>
      </c>
      <c r="IG6" s="7" t="str">
        <f>IF(AND(OR('Job Sheet'!BF12="Beige",'Job Sheet'!BF12="Beige Chain"),OR('Assembly(b)'!D12="1750mm",'Assembly(b)'!D12="1750")),1,"")</f>
        <v/>
      </c>
      <c r="IH6" s="7" t="str">
        <f>IF(AND(OR('Job Sheet'!BF12="Beige",'Job Sheet'!BF12="Beige Chain"),OR('Assembly(b)'!D12="2000mm",'Assembly(b)'!D12="2000")),1,"")</f>
        <v/>
      </c>
      <c r="II6" s="7" t="str">
        <f>IF(AND(OR('Job Sheet'!BF12="Beige",'Job Sheet'!BF12="Beige Chain"),OR('Assembly(b)'!D12="2250mm",'Assembly(b)'!D12="2250")),1,"")</f>
        <v/>
      </c>
      <c r="IJ6" s="7" t="str">
        <f>IF(AND(OR('Job Sheet'!BF12="Beige",'Job Sheet'!BF12="Beige Chain"),OR('Assembly(b)'!D12="2500mm",'Assembly(b)'!D12="2500")),1,"")</f>
        <v/>
      </c>
      <c r="IK6" s="7" t="str">
        <f>IF(AND(OR('Job Sheet'!BF12="Beige",'Job Sheet'!BF12="Beige Chain"),OR('Assembly(b)'!D12="2750mm",'Assembly(b)'!D12="2750")),1,"")</f>
        <v/>
      </c>
      <c r="IL6" s="7" t="str">
        <f>IF(AND(OR('Job Sheet'!BF12="Beige",'Job Sheet'!BF12="Beige Chain"),OR('Assembly(b)'!D12="3000mm",'Assembly(b)'!D12="3000")),1,"")</f>
        <v/>
      </c>
      <c r="IM6" s="7" t="str">
        <f>IF(AND(OR('Job Sheet'!BF12="Beige",'Job Sheet'!BF12="Beige Chain"),OR('Assembly(b)'!D12="3250mm",'Assembly(b)'!D12="3250")),1,"")</f>
        <v/>
      </c>
      <c r="IN6" s="7" t="str">
        <f>IF(AND(OR('Job Sheet'!BF12="Beige",'Job Sheet'!BF12="Beige Chain"),OR('Assembly(b)'!D12="3500mm",'Assembly(b)'!D12="3500")),1,"")</f>
        <v/>
      </c>
      <c r="IO6" s="7" t="str">
        <f>IF(AND(OR('Job Sheet'!BF12="Beige",'Job Sheet'!BF12="Beige Chain"),OR('Assembly(b)'!D12="3750mm",'Assembly(b)'!D12="3750")),1,"")</f>
        <v/>
      </c>
      <c r="IP6" s="7" t="str">
        <f>IF(AND(OR('Job Sheet'!BF12="Beige",'Job Sheet'!BF12="Beige Chain"),OR('Assembly(b)'!D12="4000mm",'Assembly(b)'!D12="4000")),1,"")</f>
        <v/>
      </c>
      <c r="IQ6" s="7" t="str">
        <f>IF(AND(OR('Job Sheet'!BF12="Stainless Steel",'Job Sheet'!BF12="Stainless Steel Chain"),OR('Assembly(b)'!D12="500mm",'Assembly(b)'!D12="500")),1,"")</f>
        <v/>
      </c>
      <c r="IR6" s="7" t="str">
        <f>IF(AND(OR('Job Sheet'!BF12="Stainless Steel",'Job Sheet'!BF12="Stainless Steel Chain"),OR('Assembly(b)'!D12="750mm",'Assembly(b)'!D12="750")),1,"")</f>
        <v/>
      </c>
      <c r="IS6" s="7" t="str">
        <f>IF(AND(OR('Job Sheet'!BF12="Stainless Steel",'Job Sheet'!BF12="Stainless Steel Chain"),OR('Assembly(b)'!D12="1000mm",'Assembly(b)'!D12="1000")),1,"")</f>
        <v/>
      </c>
      <c r="IT6" s="7" t="str">
        <f>IF(AND(OR('Job Sheet'!BF12="Stainless Steel",'Job Sheet'!BF12="Stainless Steel Chain"),OR('Assembly(b)'!D12="1250mm",'Assembly(b)'!D12="1250")),1,"")</f>
        <v/>
      </c>
      <c r="IU6" s="7" t="str">
        <f>IF(AND(OR('Job Sheet'!BF12="Stainless Steel",'Job Sheet'!BF12="Stainless Steel Chain"),OR('Assembly(b)'!D12="1500mm",'Assembly(b)'!D12="1500")),1,"")</f>
        <v/>
      </c>
      <c r="IV6" s="7" t="str">
        <f>IF(AND(OR('Job Sheet'!BF12="Stainless Steel",'Job Sheet'!BF12="Stainless Steel Chain"),OR('Assembly(b)'!D12="1750mm",'Assembly(b)'!D12="1750")),1,"")</f>
        <v/>
      </c>
      <c r="IW6" s="7" t="str">
        <f>IF(AND(OR('Job Sheet'!BF12="Stainless Steel",'Job Sheet'!BF12="Stainless Steel Chain"),OR('Assembly(b)'!D12="2000mm",'Assembly(b)'!D12="2000")),1,"")</f>
        <v/>
      </c>
      <c r="IX6" s="7" t="str">
        <f>IF(AND(OR('Job Sheet'!BF12="Stainless Steel",'Job Sheet'!BF12="Stainless Steel Chain"),OR('Assembly(b)'!D12="2250mm",'Assembly(b)'!D12="2250")),1,"")</f>
        <v/>
      </c>
      <c r="IY6" s="7" t="str">
        <f>IF(AND(OR('Job Sheet'!BF12="Stainless Steel",'Job Sheet'!BF12="Stainless Steel Chain"),OR('Assembly(b)'!D12="2500mm",'Assembly(b)'!D12="2500")),1,"")</f>
        <v/>
      </c>
      <c r="IZ6" s="7" t="str">
        <f>IF(AND(OR('Job Sheet'!BF12="Stainless Steel",'Job Sheet'!BF12="Stainless Steel Chain"),OR('Assembly(b)'!D12="2750mm",'Assembly(b)'!D12="2750")),1,"")</f>
        <v/>
      </c>
      <c r="JA6" s="7" t="str">
        <f>IF(AND(OR('Job Sheet'!BF12="Stainless Steel",'Job Sheet'!BF12="Stainless Steel Chain"),OR('Assembly(b)'!D12="3000mm",'Assembly(b)'!D12="3000")),1,"")</f>
        <v/>
      </c>
      <c r="JB6" s="7" t="str">
        <f>IF(AND(OR('Job Sheet'!BF12="Stainless Steel",'Job Sheet'!BF12="Stainless Steel Chain"),OR('Assembly(b)'!D12="3250mm",'Assembly(b)'!D12="3250")),1,"")</f>
        <v/>
      </c>
      <c r="JC6" s="7" t="str">
        <f>IF(AND(OR('Job Sheet'!BF12="Stainless Steel",'Job Sheet'!BF12="Stainless Steel Chain"),OR('Assembly(b)'!D12="3500mm",'Assembly(b)'!D12="3500")),1,"")</f>
        <v/>
      </c>
      <c r="JD6" s="7" t="str">
        <f>IF(AND(OR('Job Sheet'!BF12="Stainless Steel",'Job Sheet'!BF12="Stainless Steel Chain"),OR('Assembly(b)'!D12="3750mm",'Assembly(b)'!D12="3750")),1,"")</f>
        <v/>
      </c>
      <c r="JE6" s="7" t="str">
        <f>IF(AND(OR('Job Sheet'!BF12="Stainless Steel",'Job Sheet'!BF12="Stainless Steel Chain"),OR('Assembly(b)'!D12="4000mm",'Assembly(b)'!D12="4000")),1,"")</f>
        <v/>
      </c>
      <c r="JF6" s="7" t="str">
        <f>IF(AND('Assembly(b)'!I12="Yes - L",(OR('Tube Cutting'!C12="43mm",'Tube Cutting'!C12="43mm H/D"))),1,"")</f>
        <v/>
      </c>
      <c r="JG6" s="7" t="str">
        <f>IF(AND('Assembly(b)'!I12="Yes - R",(OR('Tube Cutting'!C12="43mm",'Tube Cutting'!C12="43mm H/D"))),1,"")</f>
        <v/>
      </c>
      <c r="JH6" s="7" t="str">
        <f>IF(AND('Assembly(b)'!I12="Yes - L",'Tube Cutting'!C12="60mm"),1,"")</f>
        <v/>
      </c>
      <c r="JI6" s="7" t="str">
        <f>IF(AND('Assembly(b)'!I12="Yes - R",'Tube Cutting'!C12="60mm"),1,"")</f>
        <v/>
      </c>
      <c r="JJ6" s="7">
        <f>IF(OR('Job Sheet'!BE12="Black",'Assembly(b)'!J12="N/A"),"",IF(OR('Assembly(b)'!J12="Motor - Female",'Assembly(b)'!J12="Motor - Female with Insert",'Assembly(b)'!J12="Female - Motor",'Assembly(b)'!J12="Chain Winder - Female",'Assembly(b)'!J12="Chain Winder - Female with Insert",'Assembly(b)'!J12="Female - Chain Winder",'Assembly(b)'!J12="Male - Female",'Assembly(b)'!J12="Female - Male",'Assembly(b)'!J12="Male - Female with Insert"),1,""))</f>
        <v>1</v>
      </c>
      <c r="JK6" s="7" t="str">
        <f>IF(OR('Job Sheet'!BE12="White",'Assembly(b)'!J12="N/A"),"",IF(OR('Assembly(b)'!J12="Motor - Female",'Assembly(b)'!J12="Motor - Female with Insert",'Assembly(b)'!J12="Female - Motor",'Assembly(b)'!J12="Chain Winder - Female",'Assembly(b)'!J12="Chain Winder - Female with Insert",'Assembly(b)'!J12="Female - Chain Winder",'Assembly(b)'!J12="Male - Female",'Assembly(b)'!J12="Female - Male",'Assembly(b)'!J12="Male - Female with Insert"),1,""))</f>
        <v/>
      </c>
      <c r="JL6" s="7" t="str">
        <f>IF(OR('Job Sheet'!BE12="White",'Assembly(b)'!J12="N/A"),"",IF(OR('Assembly(b)'!J12="Motor - Male",'Assembly(b)'!J12="Male - Motor",'Assembly(b)'!J12="Chain Winder - Male",'Assembly(b)'!J12="Male - Chain Winder",'Assembly(b)'!J12="Male - Female",'Assembly(b)'!J12="Female - Male",'Assembly(b)'!J12="Male - Idle",'Assembly(b)'!J12="Idle - Male"),1,""))</f>
        <v/>
      </c>
      <c r="JM6" s="7" t="str">
        <f>IF(OR('Job Sheet'!BE12="White",'Job Sheet'!BE12="Birch White",'Job Sheet'!BE12="Grey",'Job Sheet'!BE12="Beige",'Assembly(b)'!J12="N/A"),"",IF(OR('Assembly(b)'!J12="Motor - Male",'Assembly(b)'!J12="Male - Motor",'Assembly(b)'!J12="Chain Winder - Male",'Assembly(b)'!J12="Male - Chain Winder",'Assembly(b)'!J12="Male - Female",'Assembly(b)'!J12="Female - Male",'Assembly(b)'!J12="Male - Idle",'Assembly(b)'!J12="Idle - Male"),1,""))</f>
        <v/>
      </c>
      <c r="JN6" s="7" t="str">
        <f>IF(OR('Job Sheet'!BE12="Black",'Assembly(b)'!J12="N/A"),"",IF(OR('Assembly(b)'!J12="Motor - 60mm Female",'Assembly(b)'!J12="60mm Female - Motor",'Assembly(b)'!J12="Chain Winder - 60mm Female",'Assembly(b)'!J12="60mm Female - Chain Winder",'Assembly(b)'!J12="60mm Male - 60mm Female",'Assembly(b)'!J12="60mm Female - 60mm Male"),1,""))</f>
        <v/>
      </c>
      <c r="JO6" s="7" t="str">
        <f>IF(OR('Job Sheet'!BE12="White",'Assembly(b)'!J12="N/A"),"",IF(OR('Assembly(b)'!J12="Motor - 60mm Female",'Assembly(b)'!J12="60mm Female - Motor",'Assembly(b)'!J12="Chain Winder - 60mm Female",'Assembly(b)'!J12="60mm Female - Chain Winder",'Assembly(b)'!J12="60mm Male - 60mm Female",'Assembly(b)'!J12="60mm Female - 60mm Male"),1,""))</f>
        <v/>
      </c>
      <c r="JP6" s="7" t="str">
        <f>IF(OR('Job Sheet'!BE12="Black",'Assembly(b)'!J12="N/A"),"",IF(OR('Assembly(b)'!J12="Motor - 60mm Male",'Assembly(b)'!J12="60mm Male - Motor",'Assembly(b)'!J12="Chain Winder - 60mm Male",'Assembly(b)'!J12="60mm Male - Chain Winder",'Assembly(b)'!J12="60mm Male - 60mm Female",'Assembly(b)'!J12="60mm Female - 60mm Male"),1,""))</f>
        <v/>
      </c>
      <c r="JQ6" s="7" t="str">
        <f>IF(OR('Job Sheet'!BE12="White",'Assembly(b)'!J12="N/A"),"",IF(OR('Assembly(b)'!J12="Motor - 60mm Male",'Assembly(b)'!J12="60mm Male - Motor",'Assembly(b)'!J12="Chain Winder - 60mm Male",'Assembly(b)'!J12="60mm Male - Chain Winder",'Assembly(b)'!J12="60mm Male - 60mm Female",'Assembly(b)'!J12="60mm Female - 60mm Male"),1,""))</f>
        <v/>
      </c>
      <c r="JR6" s="7" t="str">
        <f>IF('Assembly(b)'!F12="Standard Spring",1,"")</f>
        <v/>
      </c>
      <c r="JS6" s="7" t="str">
        <f>IF('Assembly(b)'!F12="Small Spring",1,"")</f>
        <v/>
      </c>
      <c r="JT6" s="7">
        <f>IF(D6="","",IF(OR(SUM(R6:V6)=0,'Tube Cutting'!E12="Bottom Rail in Pocket"),"",SUM(R6:V6)))</f>
        <v>921</v>
      </c>
      <c r="JU6" s="7" t="str">
        <f>IF('Job Sheet'!BE12="Silver Pull Ring",1,"")</f>
        <v/>
      </c>
      <c r="JV6" s="7" t="str">
        <f>IF('Job Sheet'!BE12="Gold Pull Ring",1,"")</f>
        <v/>
      </c>
      <c r="JW6" s="7" t="str">
        <f>IF(AND('Job Sheet'!BE12="White",'Assembly(b)'!E12="60mm"),1,"")</f>
        <v/>
      </c>
      <c r="JX6" s="7" t="str">
        <f>IF(AND('Job Sheet'!BE12="Black",'Assembly(b)'!E12="60mm"),1,"")</f>
        <v/>
      </c>
      <c r="JY6" s="7" t="str">
        <f>IF(AND(OR('Assembly(b)'!G12="White",'Assembly(b)'!J12="N/A"),(OR(AND('Assembly(b)'!F12="Chain Winder",'Assembly(b)'!E12="60mm"),'Job Sheet'!AR12="Acmeda External Motor",'Job Sheet'!AR12="Somfy External CBUS Motor",'Job Sheet'!AR12="Somfy External Remote Motor"))),1,IF(AND('Assembly(b)'!G12="White",(OR('Assembly(b)'!J12="60mm Male - 60mm Idle",'Assembly(b)'!J12="60mm Idle - 60mm Male"))),1,""))</f>
        <v/>
      </c>
      <c r="JZ6" s="7" t="str">
        <f>IF(AND(OR('Assembly(b)'!G12="Black",'Assembly(b)'!J12="N/A"),(OR(AND('Assembly(b)'!F12="Chain Winder",'Assembly(b)'!E12="60mm"),'Job Sheet'!AR12="Acmeda External Motor",'Job Sheet'!AR12="Somfy External CBUS Motor",'Job Sheet'!AR12="Somfy External Remote Motor"))),1,IF(AND('Assembly(b)'!G12="Black",(OR('Assembly(b)'!J12="60mm Male - 60mm Idle",'Assembly(b)'!J12="60mm Idle - 60mm Male"))),1,""))</f>
        <v/>
      </c>
      <c r="KA6" s="7" t="str">
        <f t="shared" si="3"/>
        <v/>
      </c>
      <c r="KB6" s="7" t="str">
        <f t="shared" si="4"/>
        <v/>
      </c>
      <c r="KC6" s="7" t="str">
        <f>IF('Tube Cutting'!J12&lt;&gt;"Zipscreen Hooding",JW6,"")</f>
        <v/>
      </c>
      <c r="KD6" s="7" t="str">
        <f>IF('Tube Cutting'!J12&lt;&gt;"Zipscreen Hooding",JX6,"")</f>
        <v/>
      </c>
      <c r="KE6" s="7" t="str">
        <f t="shared" si="5"/>
        <v/>
      </c>
      <c r="KF6" s="7" t="str">
        <f t="shared" si="6"/>
        <v/>
      </c>
      <c r="KG6" s="7">
        <f>IF(D6="","",IF(OR(Bagging!F12="Yes - Attach",Bagging!F12="Yes"),1,""))</f>
        <v>1</v>
      </c>
      <c r="KH6" s="7">
        <f t="shared" si="7"/>
        <v>2</v>
      </c>
      <c r="KI6" s="7" t="str">
        <f>IF('Assembly(b)'!F12="Acmeda E6 Motor",1,"")</f>
        <v/>
      </c>
      <c r="KJ6" s="7" t="str">
        <f>IF('Assembly(b)'!F12="Acmeda M6 Motor",1,"")</f>
        <v/>
      </c>
      <c r="KK6" s="7" t="str">
        <f>IF('Assembly(b)'!F12="0.7nm 12v Acmeda Motor",1,"")</f>
        <v/>
      </c>
      <c r="KL6" s="7" t="str">
        <f>IF('Assembly(b)'!F12="1.1nm 12v Acmeda Motor",1,"")</f>
        <v/>
      </c>
      <c r="KM6" s="7" t="str">
        <f>IF('Assembly(b)'!F12="2nm 12v Acmeda Motor",1,"")</f>
        <v/>
      </c>
      <c r="KN6" s="7" t="str">
        <f>IF('Assembly(b)'!F12="Acmeda 12v 6nm Motor",1,"")</f>
        <v/>
      </c>
      <c r="KO6" s="7" t="str">
        <f>IF('Assembly(b)'!F12="Acmeda 10nm 12v Motor",1,"")</f>
        <v/>
      </c>
      <c r="KP6" s="7" t="str">
        <f>IF('Assembly(b)'!F12="Acmeda FT 15Nm Motor",1,"")</f>
        <v/>
      </c>
      <c r="KQ6" s="7" t="str">
        <f>IF('Assembly(b)'!F12="1.1nm 12v Acmeda DCRF Motor",1,"")</f>
        <v/>
      </c>
      <c r="KR6" s="7" t="str">
        <f>IF('Assembly(b)'!F12="2nm 12v Acmeda DCRF Motor",1,"")</f>
        <v/>
      </c>
      <c r="KS6" s="7" t="str">
        <f>IF('Assembly(b)'!F12="Sonesse 40 RTS 3/30 with Inline Connector Motor",1,"")</f>
        <v/>
      </c>
      <c r="KT6" s="7" t="str">
        <f>IF('Assembly(b)'!F12="Sonesse 40 WT 3/30 with Inline Connector Motor",1,"")</f>
        <v/>
      </c>
      <c r="KU6" s="7" t="str">
        <f>IF('Assembly(b)'!F12="Somfy 12v Remote Sonesse Motor",1,"")</f>
        <v/>
      </c>
      <c r="KV6" s="7" t="str">
        <f>IF('Assembly(b)'!F12="Sonesse 50 RTS 6/17 RH Motor",1,"")</f>
        <v/>
      </c>
      <c r="KW6" s="7" t="str">
        <f>IF('Assembly(b)'!F12="Sonesse 50 WT 10/28 Motor",1,"")</f>
        <v/>
      </c>
      <c r="KX6" s="7" t="str">
        <f>IF('Assembly(b)'!F12="Becker P4-30-C12A Motor",1,"")</f>
        <v/>
      </c>
      <c r="KY6" s="7" t="str">
        <f>IF('Assembly(b)'!F12="Becker cBus Motor",1,"")</f>
        <v/>
      </c>
      <c r="KZ6" s="7" t="str">
        <f>IF('Assembly(b)'!F12="Becker R20-17-C12A Motor",1,"")</f>
        <v/>
      </c>
      <c r="LA6" s="7" t="str">
        <f>IF('Assembly(b)'!F12="Becker cBus Motor",1,"")</f>
        <v/>
      </c>
      <c r="LB6" s="7" t="str">
        <f t="shared" si="57" ref="LB6:LB14">IF(SUM(KX6,KY6,KZ6,LA6)=0,"",SUM(KX6,KY6,KZ6,LA6))</f>
        <v/>
      </c>
      <c r="LC6" s="7" t="str">
        <f t="shared" si="58" ref="LC6:LC14">IF(SUM(KK6,KL6,KQ6)=0,"",SUM(KK6,KL6,KQ6))</f>
        <v/>
      </c>
      <c r="LD6" s="7" t="str">
        <f t="shared" si="59" ref="LD6:LD14">IF(SUM(KM6,KR6)=0,"",SUM(KM6,KR6))</f>
        <v/>
      </c>
      <c r="LE6" s="7" t="str">
        <f t="shared" si="60" ref="LE6:LE14">KN6</f>
        <v/>
      </c>
      <c r="LF6" s="7" t="str">
        <f t="shared" si="12"/>
        <v/>
      </c>
      <c r="LG6" s="7" t="str">
        <f t="shared" si="13"/>
        <v/>
      </c>
      <c r="LH6" s="7" t="str">
        <f>IF(KO6="","",IF(OR('Tube Cutting'!C12="60mm",'Tube Cutting'!C12="80mm"),SUM(KO6,KP6),""))</f>
        <v/>
      </c>
      <c r="LI6" s="7" t="str">
        <f t="shared" si="61" ref="LI6:LI14">IF(SUM(KS6,KT6,KX6,KY6)=0,"",SUM(KS6,KT6,KX6,KY6))</f>
        <v/>
      </c>
      <c r="LJ6" s="7" t="str">
        <f t="shared" si="62" ref="LJ6:LJ14">IF(SUM(KO6)=0,"",SUM(KO6))</f>
        <v/>
      </c>
      <c r="LK6" s="7" t="str">
        <f t="shared" si="16"/>
        <v/>
      </c>
      <c r="LL6" s="7" t="str">
        <f t="shared" si="17"/>
        <v/>
      </c>
      <c r="LM6" s="7" t="str">
        <f t="shared" si="18"/>
        <v/>
      </c>
      <c r="LN6" s="7" t="str">
        <f t="shared" si="19"/>
        <v/>
      </c>
      <c r="LO6" s="7" t="str">
        <f t="shared" si="63" ref="LO6:LO14">IF(KO6=1,1,"")</f>
        <v/>
      </c>
      <c r="LP6" s="7" t="str">
        <f>IF(AND(KP6=1,'Job Sheet'!BE12="Black"),1,"")</f>
        <v/>
      </c>
      <c r="LQ6" s="7" t="str">
        <f>IF(AND(KP6=1,'Job Sheet'!BE12="White"),1,"")</f>
        <v/>
      </c>
      <c r="LR6" s="7" t="str">
        <f t="shared" si="21"/>
        <v/>
      </c>
      <c r="LS6" s="7" t="str">
        <f t="shared" si="64" ref="LS6:LS14">IF(SUM(KS6,KT6)=0,"",SUM(KS6,KT6))</f>
        <v/>
      </c>
      <c r="LT6" s="7" t="str">
        <f t="shared" si="65" ref="LT6:LT14">IF(SUM(KS6,KT6)=0,"",SUM(KS6,KT6))</f>
        <v/>
      </c>
      <c r="LU6" s="7" t="str">
        <f t="shared" si="66" ref="LU6:LU14">IF(P6="","",SUM(KV6,KW6))</f>
        <v/>
      </c>
      <c r="LV6" s="7" t="str">
        <f t="shared" si="67" ref="LV6:LV14">IF(Q6="","",SUM(KV6,KW6))</f>
        <v/>
      </c>
      <c r="LW6" s="7" t="str">
        <f>IF(OR('Tube Cutting'!C12="60mm",'Tube Cutting'!C12="80mm"),SUM(KV6,KW6),"")</f>
        <v/>
      </c>
      <c r="LX6" s="7" t="str">
        <f t="shared" si="68" ref="LX6:LX14">KV6</f>
        <v/>
      </c>
      <c r="LY6" s="7" t="str">
        <f t="shared" si="69" ref="LY6:LY14">KV6</f>
        <v/>
      </c>
      <c r="LZ6" s="7" t="str">
        <f t="shared" si="70" ref="LZ6:LZ14">KW6</f>
        <v/>
      </c>
      <c r="MA6" s="7" t="str">
        <f t="shared" si="71" ref="MA6:MA14">IF(SUM(KX6,KY6)=0,"",SUM(KX6,KY6))</f>
        <v/>
      </c>
      <c r="MB6" s="7" t="str">
        <f t="shared" si="72" ref="MB6:MB14">IF(SUM(KX6,KY6)=0,"",SUM(KX6,KY6))</f>
        <v/>
      </c>
      <c r="MC6" s="7" t="str">
        <f t="shared" si="73" ref="MC6:MC14">IF(SUM(KZ6,LA6)=0,"",SUM(KZ6,LA6))</f>
        <v/>
      </c>
      <c r="MD6" s="7" t="str">
        <f t="shared" si="74" ref="MD6:MD14">IF(SUM(KZ6,LA6)=0,"",SUM(KZ6,LA6))</f>
        <v/>
      </c>
      <c r="ME6" s="7" t="str">
        <f t="shared" si="75" ref="ME6:ME14">IF(SUM(KZ6,LA6)=0,"",SUM(KZ6,LA6))</f>
        <v/>
      </c>
      <c r="MF6" s="7" t="str">
        <f>IF('Job Sheet'!N12="Pulse Pro Automation Hub",1,"")</f>
        <v/>
      </c>
      <c r="MG6" s="7" t="str">
        <f>IF('Job Sheet'!N12="Solar Panel",1,"")</f>
        <v/>
      </c>
      <c r="MH6" s="7" t="str">
        <f>IF(AND('Job Sheet'!N12="12v Wall Charger with 4m USB Cable",KN6="",KO6=""),1,"")</f>
        <v/>
      </c>
      <c r="MI6" s="7" t="str">
        <f>IF(Bagging!I12="12v Wall Charger with Cable to suit 3nm Motor",1,"")</f>
        <v/>
      </c>
      <c r="MJ6" s="7" t="str">
        <f t="array" ref="MJ6">IF(OR('Job Sheet'!N12="210mm Extension Charging Cable",AND(bpLOOKUP(Data!$AV12,"CONTROLS",CustOrdOpt,6,FALSE)="Acmeda 12v Motor",OL6=1)),1,"")</f>
        <v/>
      </c>
      <c r="MK6" s="7" t="str">
        <f>IF('Job Sheet'!N12="1200mm Extension Charging Cable",1,"")</f>
        <v/>
      </c>
      <c r="ML6" s="7" t="str">
        <f>IF('Job Sheet'!N12="1 Channel Dry Contact Relay Module",1,"")</f>
        <v/>
      </c>
      <c r="MM6" s="7" t="str">
        <f>IF('Job Sheet'!N12="USB Repeater",1,"")</f>
        <v/>
      </c>
      <c r="MN6" s="7" t="str">
        <f>IF(OR('Assembly(b)'!F12="1.1nm 12v Acmeda DCRF Motor",'Assembly(b)'!F12="2nm 12v Acmeda DCRF Motor"),1,"")</f>
        <v/>
      </c>
      <c r="MO6" s="7" t="str">
        <f>IF('Job Sheet'!N12="DC Panel",1,"")</f>
        <v/>
      </c>
      <c r="MP6" s="7" t="str">
        <f t="array" ref="MP6">IF(AND(bpLOOKUP(Data!$AV12,"CONTROLS",CustOrdOpt,6,FALSE)="Acmeda 12v Motor",Bagging!G12="White"),1,"")</f>
        <v/>
      </c>
      <c r="MQ6" s="7" t="str">
        <f t="array" ref="MQ6">IF(AND(bpLOOKUP(Data!$AV12,"CONTROLS",CustOrdOpt,6,FALSE)="Acmeda 12v Motor",Bagging!G12="Black"),1,"")</f>
        <v/>
      </c>
      <c r="MR6" s="7" t="str">
        <f>IF('Job Sheet'!R12="Acmeda 1 Channel White Remote",1,"")</f>
        <v/>
      </c>
      <c r="MS6" s="7" t="str">
        <f>IF('Job Sheet'!R12="Acmeda 1 Channel Black Remote",1,"")</f>
        <v/>
      </c>
      <c r="MT6" s="7" t="str">
        <f>IF('Job Sheet'!R12="Acmeda 5 Channel White Remote",1,"")</f>
        <v/>
      </c>
      <c r="MU6" s="7" t="str">
        <f>IF('Job Sheet'!R12="Acmeda 5 Channel Black Remote",1,"")</f>
        <v/>
      </c>
      <c r="MV6" s="7" t="str">
        <f>IF('Job Sheet'!R12="Acmeda 15 Channel White Remote",1,"")</f>
        <v/>
      </c>
      <c r="MW6" s="7" t="str">
        <f>IF('Job Sheet'!R12="Acmeda 15 Channel Black Remote",1,"")</f>
        <v/>
      </c>
      <c r="MX6" s="7" t="str">
        <f>IF('Job Sheet'!R12="Acmeda Wall Mounted Single Channel White Remote",1,"")</f>
        <v/>
      </c>
      <c r="MY6" s="7" t="str">
        <f>IF('Job Sheet'!R12="Acmeda Wall Mounted 2 Channel White Remote",1,"")</f>
        <v/>
      </c>
      <c r="MZ6" s="7" t="str">
        <f>IF('Job Sheet'!R12="Acmeda Wall Mounted 5 Channel White Remote",1,"")</f>
        <v/>
      </c>
      <c r="NA6" s="7" t="str">
        <f>IF('Job Sheet'!R12="Acmeda Wall Mounted 15 Channel White Remote",1,"")</f>
        <v/>
      </c>
      <c r="NB6" s="7" t="str">
        <f>IF('Job Sheet'!R12="Acmeda Push Pro White Remote","1","")</f>
        <v/>
      </c>
      <c r="NC6" s="7" t="str">
        <f>IF('Job Sheet'!R12="Acmeda Push Pro Black Remote","1","")</f>
        <v/>
      </c>
      <c r="ND6" s="7" t="str">
        <f>IF(OR('Job Sheet'!R12="Acmeda Push Pro White Remote with Charger",'Job Sheet'!R12="Acmeda Push Pro Black Remote with Charger"),1,"")</f>
        <v/>
      </c>
      <c r="NE6" s="7" t="str">
        <f t="shared" si="34"/>
        <v/>
      </c>
      <c r="NF6" s="7" t="str">
        <f>IF('Job Sheet'!R12="Somfy Single Channel White Remote",1,"")</f>
        <v/>
      </c>
      <c r="NG6" s="7" t="str">
        <f>IF('Job Sheet'!R12="Somfy Single Channel Silver Remote",1,"")</f>
        <v/>
      </c>
      <c r="NH6" s="7" t="str">
        <f>IF('Job Sheet'!R12="Somfy 2 Channel White Remote",1,"")</f>
        <v/>
      </c>
      <c r="NI6" s="7" t="str">
        <f>IF('Job Sheet'!R12="Somfy 2 Channel Silver Remote",1,"")</f>
        <v/>
      </c>
      <c r="NJ6" s="7" t="str">
        <f>IF('Job Sheet'!R12="Somfy 5 Channel White Remote",1,"")</f>
        <v/>
      </c>
      <c r="NK6" s="7" t="str">
        <f>IF('Job Sheet'!R12="Somfy 5 Channel Silver Remote",1,"")</f>
        <v/>
      </c>
      <c r="NL6" s="7" t="str">
        <f>IF('Job Sheet'!R12="Somfy 15 Channel White Remote",1,"")</f>
        <v/>
      </c>
      <c r="NM6" s="7" t="str">
        <f>IF('Job Sheet'!R12="Somfy 15 Channel Black Remote",1,"")</f>
        <v/>
      </c>
      <c r="NN6" s="7" t="str">
        <f>IF(OR('Job Sheet'!R12="Somfy Single Channel Wall Mounted Smoove Remote White",'Job Sheet'!R12="Somfy Single Channel Wall Mounted Smoove Remote White with Black Cover Plate",'Job Sheet'!R12="Somfy Single Channel Wall Mounted Smoove Remote White with Silver Cover Plate"),1,"")</f>
        <v/>
      </c>
      <c r="NO6" s="7" t="str">
        <f>IF(OR('Job Sheet'!R12="Somfy 2 Channel Wall Mounted Smoove Remote White",'Job Sheet'!R12="Somfy 2 Channel Wall Mounted Smoove Remote White with Black Cover Plate",'Job Sheet'!R12="Somfy 2 Channel Wall Mounted Smoove Remote White with Silver Cover Plate"),1,"")</f>
        <v/>
      </c>
      <c r="NP6" s="7" t="str">
        <f>IF(OR('Job Sheet'!R12="Somfy 5 Channel Wall Mounted Smoove Remote White",'Job Sheet'!R12="Somfy 5 Channel Wall Mounted Smoove Remote White with Black Cover Plate",'Job Sheet'!R12="Somfy 5 Channel Wall Mounted Smoove Remote White with Silver Cover Plate"),1,"")</f>
        <v/>
      </c>
      <c r="NQ6" s="7" t="str">
        <f>IF(OR('Job Sheet'!R12="Somfy Single Channel Wall Mounted Smoove Remote White with Black Cover Plate",'Job Sheet'!R12="Somfy 2 Channel Wall Mounted Smoove Remote White with Black Cover Plate",'Job Sheet'!R12="Somfy 5 Channel Wall Mounted Smoove Remote White with Black Cover Plate"),1,"")</f>
        <v/>
      </c>
      <c r="NR6" s="7" t="str">
        <f>IF(OR('Job Sheet'!R12="Somfy Single Channel Wall Mounted Smoove Remote White with Silver Cover Plate",'Job Sheet'!R12="Somfy 2 Channel Wall Mounted Smoove Remote White with Silver Cover Plate",'Job Sheet'!R12="Somfy 5 Channel Wall Mounted Smoove Remote White with Silver Cover Plate"),1,"")</f>
        <v/>
      </c>
      <c r="NS6" s="7" t="str">
        <f>IF(Bagging!I12="Charging Cable",1,"")</f>
        <v/>
      </c>
      <c r="NT6" s="7" t="str">
        <f>IF('Job Sheet'!N12="Connexoon App Connector",1,"")</f>
        <v/>
      </c>
      <c r="NU6" s="7" t="str">
        <f>IF('Job Sheet'!R12="Becker Single Channel White Remote",1,"")</f>
        <v/>
      </c>
      <c r="NV6" s="7" t="str">
        <f>IF('Job Sheet'!R12="Becker Single Channel Black Remote",1,"")</f>
        <v/>
      </c>
      <c r="NW6" s="7" t="str">
        <f>IF('Job Sheet'!R12="Becker 5 Channel White Remote",1,"")</f>
        <v/>
      </c>
      <c r="NX6" s="7" t="str">
        <f>IF('Job Sheet'!R12="Becker 5 Channel Black Remote",1,"")</f>
        <v/>
      </c>
      <c r="NY6" s="7" t="str">
        <f>IF('Job Sheet'!R12="Becker 10 Channel White Remote",1,"")</f>
        <v/>
      </c>
      <c r="NZ6" s="7" t="str">
        <f>IF('Job Sheet'!R12="Becker 10 Channel Black Remote",1,"")</f>
        <v/>
      </c>
      <c r="OA6" s="7" t="str">
        <f>IF('Job Sheet'!R12="Becker Wall Mounted Single Channel White Remote",1,"")</f>
        <v/>
      </c>
      <c r="OB6" s="7" t="str">
        <f>IF('Job Sheet'!R12="Becker Wall Mounted 5 Channel White Remote",1,"")</f>
        <v/>
      </c>
      <c r="OC6" s="7" t="str">
        <f>IF('Job Sheet'!R12="Wall Switch",1,"")</f>
        <v/>
      </c>
      <c r="OD6" s="7" t="str">
        <f t="shared" si="76" ref="OD6:OD14">IF(AL6="","",1)</f>
        <v/>
      </c>
      <c r="OE6" s="7" t="str">
        <f t="shared" si="77" ref="OE6:OE14">IF(AM6="","",1)</f>
        <v/>
      </c>
      <c r="OF6" s="7" t="str">
        <f t="shared" si="78" ref="OF6:OF14">IF(AN6="","",1)</f>
        <v/>
      </c>
      <c r="OG6" s="7" t="str">
        <f t="shared" si="79" ref="OG6:OG14">IF(AO6="","",1)</f>
        <v/>
      </c>
      <c r="OH6" s="7" t="str">
        <f t="shared" si="80" ref="OH6:OH14">IF(AP6="","",1)</f>
        <v/>
      </c>
      <c r="OI6" s="7" t="str">
        <f t="shared" si="81" ref="OI6:OI14">IF(AQ6="","",1)</f>
        <v/>
      </c>
      <c r="OJ6" s="7" t="str">
        <f t="shared" si="82" ref="OJ6:OJ14">IF(AR6="","",1)</f>
        <v/>
      </c>
      <c r="OK6" s="7" t="str">
        <f t="shared" si="83" ref="OK6:OK14">IF(AS6="","",1)</f>
        <v/>
      </c>
      <c r="OL6" s="7" t="str">
        <f t="shared" si="36"/>
        <v/>
      </c>
      <c r="OM6" s="7" t="str">
        <f>IF(AND(OR('Tube Cutting'!J12="Square Cassette",'Tube Cutting'!J12="Square Cassette with Side Channels",'Tube Cutting'!J12="Square Cassette with Side &amp; Bottom Channels"),'Job Sheet'!L12="Chain Winder",'Job Sheet'!M12="Left"),1,"")</f>
        <v/>
      </c>
      <c r="ON6" s="7" t="str">
        <f>IF(AND(OR('Tube Cutting'!J12="Square Cassette",'Tube Cutting'!J12="Square Cassette with Side Channels",'Tube Cutting'!J12="Square Cassette with Side &amp; Bottom Channels"),'Job Sheet'!L12="Chain Winder",'Job Sheet'!M12="Right"),1,"")</f>
        <v/>
      </c>
      <c r="OO6" s="7" t="str">
        <f>IF(AND(OR('Tube Cutting'!J12="Round Cassette",'Tube Cutting'!J12="Round Cassette with Side Channels",'Tube Cutting'!J12="Round Cassette with Side &amp; Bottom Channels"),'Job Sheet'!L12="Chain Winder",'Job Sheet'!M12="Left"),1,"")</f>
        <v/>
      </c>
      <c r="OP6" s="7" t="str">
        <f>IF(AND(OR('Tube Cutting'!J12="Round Cassette",'Tube Cutting'!J12="Round Cassette with Side Channels",'Tube Cutting'!J12="Round Cassette with Side &amp; Bottom Channels"),'Job Sheet'!L12="Chain Winder",'Job Sheet'!M12="Right"),1,"")</f>
        <v/>
      </c>
      <c r="OQ6" s="7" t="str">
        <f>IF('Tube Cutting'!E12="D30 Bottom Rail with Noise Reducing Strip &amp; Fluffy Strip",'Tube Cutting'!D12,"")</f>
        <v/>
      </c>
      <c r="OR6" s="7" t="str">
        <f>Pelmets!L12</f>
        <v/>
      </c>
      <c r="OS6" s="7" t="str">
        <f>Pelmets!M12</f>
        <v/>
      </c>
      <c r="OT6" s="7" t="str">
        <f t="shared" si="37"/>
        <v/>
      </c>
      <c r="OU6" s="7" t="str">
        <f t="shared" si="38"/>
        <v/>
      </c>
      <c r="OV6" s="7" t="str">
        <f t="shared" si="39"/>
        <v/>
      </c>
      <c r="OW6" s="7" t="str">
        <f t="shared" si="40"/>
        <v/>
      </c>
      <c r="OX6" s="7" t="str">
        <f t="shared" si="41"/>
        <v/>
      </c>
      <c r="OY6" s="7" t="str">
        <f t="shared" si="42"/>
        <v/>
      </c>
      <c r="OZ6" s="7" t="str">
        <f t="shared" si="43"/>
        <v/>
      </c>
      <c r="PA6" s="7" t="str">
        <f t="shared" si="44"/>
        <v/>
      </c>
      <c r="PB6" s="7" t="str">
        <f>IF(AND('Job Sheet'!J12="Reveal",OR('Tube Cutting'!J12="Aluminium Valance",'Tube Cutting'!J12="Aluminium Valance - Fabric Covered")),VLOOKUP('Job Sheet'!G12,PelmetBrackets,2,TRUE),"")</f>
        <v/>
      </c>
      <c r="PC6" s="7" t="str">
        <f>IF(Pelmets!F12="1 x Valance Centre Join Bracket",1,"")</f>
        <v/>
      </c>
      <c r="PD6" s="7" t="str">
        <f>IF(AND(Pelmets!H12="Black",(OR('Tube Cutting'!J12="Aluminium Valance",'Tube Cutting'!J12="Aluminium Valance - Fabric Covered"))),1,"")</f>
        <v/>
      </c>
      <c r="PE6" s="7" t="str">
        <f>IF(AND(Pelmets!H12="White",(OR('Tube Cutting'!J12="Aluminium Valance",'Tube Cutting'!J12="Aluminium Valance - Fabric Covered"))),1,"")</f>
        <v/>
      </c>
      <c r="PF6" s="7" t="str">
        <f>IF(AND(Pelmets!H12="Cream",(OR('Tube Cutting'!J12="Aluminium Valance",'Tube Cutting'!J12="Aluminium Valance - Fabric Covered"))),1,"")</f>
        <v/>
      </c>
      <c r="PG6" s="7" t="str">
        <f>IF(AND(Pelmets!H12="Grey",(OR('Tube Cutting'!J12="Aluminium Valance",'Tube Cutting'!J12="Aluminium Valance - Fabric Covered"))),1,"")</f>
        <v/>
      </c>
      <c r="PH6" s="7" t="str">
        <f>IF('Job Sheet'!AA12="Aluminium Valance - Fabric Covered",AY6,"")</f>
        <v/>
      </c>
      <c r="PI6" s="7" t="str">
        <f t="shared" si="45"/>
        <v/>
      </c>
      <c r="PJ6" s="7" t="str">
        <f t="shared" si="46"/>
        <v/>
      </c>
      <c r="PK6" s="7" t="str">
        <f t="shared" si="47"/>
        <v/>
      </c>
      <c r="PL6" s="7" t="str">
        <f t="shared" si="48"/>
        <v/>
      </c>
      <c r="PM6" s="7" t="str">
        <f>IF('Tube Cutting'!J12="Aluminium Pelmet",Pelmets!F12,"")</f>
        <v/>
      </c>
      <c r="PN6" s="7" t="str">
        <f>IF('Job Sheet'!AA12="Mounting Rail",VLOOKUP('Job Sheet'!G12,PelmetBrackets,2,TRUE),"")</f>
        <v/>
      </c>
      <c r="PO6" s="7" t="str">
        <f>IF('Job Sheet'!AA12="Mounting Rail",4,"")</f>
        <v/>
      </c>
      <c r="PP6" s="7" t="str">
        <f>IF('Tube Cutting'!J12="Zipscreen Hooding",1,"")</f>
        <v/>
      </c>
      <c r="PQ6" s="7" t="str">
        <f>IF(AND(PP6=1,'Job Sheet'!AB12="White"),1,"")</f>
        <v/>
      </c>
      <c r="PR6" s="7" t="str">
        <f>IF(AND(PP6=1,'Job Sheet'!AB12="Black"),1,"")</f>
        <v/>
      </c>
      <c r="PS6" s="7" t="str">
        <f>IF(AND(PP6=1,'Job Sheet'!AB12="Grey"),1,"")</f>
        <v/>
      </c>
      <c r="PT6" s="7" t="str">
        <f>IF(AND(PP6=1,'Job Sheet'!L12="Chain Winder",'Job Sheet'!AV12="60mm"),1,"")</f>
        <v/>
      </c>
      <c r="PU6" s="7" t="str">
        <f t="shared" si="49"/>
        <v/>
      </c>
      <c r="PV6" s="7" t="str">
        <f t="shared" si="50"/>
        <v/>
      </c>
      <c r="PW6" s="7" t="str">
        <f t="shared" si="51"/>
        <v/>
      </c>
    </row>
    <row r="7" spans="4:439" s="7" customFormat="1" ht="12" customHeight="1">
      <c r="D7" s="7" t="str">
        <f>IF('Tube Cutting'!D13="","",CONCATENATE(Data!BC$5,".",Data!BD$5))</f>
        <v>40426.A</v>
      </c>
      <c r="E7" s="7">
        <f>IF(D7="","",Data!AW13)</f>
        <v>11</v>
      </c>
      <c r="F7" s="7" t="str">
        <f>IF(D7="","",Data!AV13)</f>
        <v>dbee1b70-e914-4c92-ab56-5b305bf63b34</v>
      </c>
      <c r="G7" s="7" t="str">
        <f>IF(D7="","",Data!BF$5)</f>
        <v>Evans, Belinda </v>
      </c>
      <c r="H7" s="7" t="str">
        <f>IF(D7="","",Data!AX$5)</f>
        <v>Sheers and Rollers</v>
      </c>
      <c r="I7" s="7" t="str">
        <f>'Job Sheet'!I13</f>
        <v>Texstyle Focus Blockout Polar</v>
      </c>
      <c r="J7" s="7">
        <f t="shared" si="52"/>
        <v>1.98948</v>
      </c>
      <c r="K7" s="7">
        <f>'Fabric Cutting'!F13</f>
        <v>843</v>
      </c>
      <c r="L7" s="7">
        <f>'Job Sheet'!AZ13</f>
        <v>2360</v>
      </c>
      <c r="M7" s="7" t="str">
        <f>IF('Tube Cutting'!C13="38mm",'Tube Cutting'!D13,"")</f>
        <v/>
      </c>
      <c r="N7" s="7">
        <f>IF('Tube Cutting'!C13="43mm",'Tube Cutting'!D13,"")</f>
        <v>845</v>
      </c>
      <c r="O7" s="7" t="str">
        <f>IF('Tube Cutting'!C13="43mm H/D",'Tube Cutting'!D13,"")</f>
        <v/>
      </c>
      <c r="P7" s="7" t="str">
        <f>IF('Tube Cutting'!C13="60mm",'Tube Cutting'!D13,"")</f>
        <v/>
      </c>
      <c r="Q7" s="7" t="str">
        <f>IF('Tube Cutting'!C13="80mm",'Tube Cutting'!D13,"")</f>
        <v/>
      </c>
      <c r="R7" s="7">
        <f>IF(AND('Job Sheet'!BD13="Anodised Silver",(OR('Tube Cutting'!E13="D30 Bottom Rail",'Tube Cutting'!E13="D30 Bottom Rail with Noise Reducing Strip",'Tube Cutting'!E13="D30 Bottom Rail with Noise Reducing Strip &amp; Fluffy Strip",'Tube Cutting'!E13="Bottom Rail in Pocket",'Tube Cutting'!E13="Bottom Rail in Pocket with Round Cut Out",'Tube Cutting'!E13="Bottom Rail in Pocket with Square Cut Out"))),'Tube Cutting'!G13,"")</f>
        <v>845</v>
      </c>
      <c r="S7" s="7" t="str">
        <f>IF(AND('Job Sheet'!BD13="White",(OR('Tube Cutting'!E13="D30 Bottom Rail",'Tube Cutting'!E13="D30 Bottom Rail with Noise Reducing Strip",'Tube Cutting'!E13="D30 Bottom Rail with Noise Reducing Strip &amp; Fluffy Strip",'Tube Cutting'!E13="Bottom Rail in Pocket",'Tube Cutting'!E13="Bottom Rail in Pocket with Round Cut Out",'Tube Cutting'!E13="Bottom Rail in Pocket with Square Cut Out"))),'Tube Cutting'!G13,"")</f>
        <v/>
      </c>
      <c r="T7" s="7" t="str">
        <f>IF(AND('Job Sheet'!BD13="Black",(OR('Tube Cutting'!E13="D30 Bottom Rail",'Tube Cutting'!E13="D30 Bottom Rail with Noise Reducing Strip",'Tube Cutting'!E13="D30 Bottom Rail with Noise Reducing Strip &amp; Fluffy Strip",'Tube Cutting'!E13="Bottom Rail in Pocket",'Tube Cutting'!E13="Bottom Rail in Pocket with Round Cut Out",'Tube Cutting'!E13="Bottom Rail in Pocket with Square Cut Out"))),'Tube Cutting'!G13,"")</f>
        <v/>
      </c>
      <c r="U7" s="7" t="str">
        <f>IF(AND('Job Sheet'!BD13="Sandstone",(OR('Tube Cutting'!E13="D30 Bottom Rail",'Tube Cutting'!E13="D30 Bottom Rail with Noise Reducing Strip",'Tube Cutting'!E13="D30 Bottom Rail with Noise Reducing Strip &amp; Fluffy Strip",'Tube Cutting'!E13="Bottom Rail in Pocket",'Tube Cutting'!E13="Bottom Rail in Pocket with Round Cut Out",'Tube Cutting'!E13="Bottom Rail in Pocket with Square Cut Out"))),'Tube Cutting'!G13,"")</f>
        <v/>
      </c>
      <c r="V7" s="7" t="str">
        <f>IF(AND('Job Sheet'!BD13="Bone",(OR('Tube Cutting'!E13="D30 Bottom Rail",'Tube Cutting'!E13="D30 Bottom Rail with Noise Reducing Strip",'Tube Cutting'!E13="D30 Bottom Rail with Noise Reducing Strip &amp; Fluffy Strip",'Tube Cutting'!E13="Bottom Rail in Pocket",'Tube Cutting'!E13="Bottom Rail in Pocket with Round Cut Out",'Tube Cutting'!E13="Bottom Rail in Pocket with Square Cut Out"))),'Tube Cutting'!G13,"")</f>
        <v/>
      </c>
      <c r="W7" s="7">
        <f t="shared" si="1"/>
        <v>1</v>
      </c>
      <c r="X7" s="7" t="str">
        <f t="shared" si="53"/>
        <v/>
      </c>
      <c r="Y7" s="7" t="str">
        <f t="shared" si="54"/>
        <v/>
      </c>
      <c r="Z7" s="7" t="str">
        <f t="shared" si="55"/>
        <v/>
      </c>
      <c r="AA7" s="7" t="str">
        <f t="shared" si="56"/>
        <v/>
      </c>
      <c r="AB7" s="7" t="str">
        <f>IF('Tube Cutting'!H13="Timber",'Tube Cutting'!G13,IF(AND('Tube Cutting'!E13="Double Lath",'Tube Cutting'!H13="Timber"),'Tube Cutting'!G13*2,""))</f>
        <v/>
      </c>
      <c r="AC7" s="7" t="str">
        <f>IF('Tube Cutting'!I13="","",'Tube Cutting'!I13)</f>
        <v/>
      </c>
      <c r="AD7" s="7" t="str">
        <f>IF(AND('Tube Cutting'!J13="Aluminium Pelmet",'Tube Cutting'!K13="Anodised Silver"),'Tube Cutting'!L13,"")</f>
        <v/>
      </c>
      <c r="AE7" s="7" t="str">
        <f>IF(AND('Tube Cutting'!J13="Aluminium Pelmet",'Tube Cutting'!K13="White"),'Tube Cutting'!L13,"")</f>
        <v/>
      </c>
      <c r="AF7" s="7" t="str">
        <f>IF(AND('Tube Cutting'!J13="Aluminium Pelmet",'Tube Cutting'!K13="Black"),'Tube Cutting'!L13,"")</f>
        <v/>
      </c>
      <c r="AG7" s="7" t="str">
        <f>IF(AND('Tube Cutting'!J13="Aluminium Pelmet",'Tube Cutting'!K13="Cream"),'Tube Cutting'!L13,"")</f>
        <v/>
      </c>
      <c r="AH7" s="7" t="str">
        <f>IF(AND('Tube Cutting'!K13="Black",(OR('Tube Cutting'!J13="Square Cassette",'Tube Cutting'!J13="Round Cassette",'Tube Cutting'!J13="Square Cassette with Side Channels",'Tube Cutting'!J13="Square Cassette with Side &amp; Bottom Channels",'Tube Cutting'!J13="Round Cassette with Side Channels",'Tube Cutting'!J13="Round Cassette with Side &amp; Bottom Channels"))),'Tube Cutting'!L13,"")</f>
        <v/>
      </c>
      <c r="AI7" s="7" t="str">
        <f>IF(AND('Tube Cutting'!K13="White",(OR('Tube Cutting'!J13="Square Cassette",'Tube Cutting'!J13="Round Cassette",'Tube Cutting'!J13="Square Cassette with Side Channels",'Tube Cutting'!J13="Square Cassette with Side &amp; Bottom Channels",'Tube Cutting'!J13="Round Cassette with Side Channels",'Tube Cutting'!J13="Round Cassette with Side &amp; Bottom Channels"))),'Tube Cutting'!L13,"")</f>
        <v/>
      </c>
      <c r="AJ7" s="7" t="str">
        <f>IF(AND('Tube Cutting'!K13="Cream",(OR('Tube Cutting'!J13="Square Cassette",'Tube Cutting'!J13="Round Cassette",'Tube Cutting'!J13="Square Cassette with Side Channels",'Tube Cutting'!J13="Square Cassette with Side &amp; Bottom Channels",'Tube Cutting'!J13="Round Cassette with Side Channels",'Tube Cutting'!J13="Round Cassette with Side &amp; Bottom Channels"))),'Tube Cutting'!L13,"")</f>
        <v/>
      </c>
      <c r="AK7" s="7" t="str">
        <f>IF(AND('Tube Cutting'!K13="Anodised Silver",(OR('Tube Cutting'!J13="Square Cassette",'Tube Cutting'!J13="Round Cassette",'Tube Cutting'!J13="Square Cassette with Side Channels",'Tube Cutting'!J13="Square Cassette with Side &amp; Bottom Channels",'Tube Cutting'!J13="Round Cassette with Side Channels",'Tube Cutting'!J13="Round Cassette with Side &amp; Bottom Channels"))),'Tube Cutting'!L13,"")</f>
        <v/>
      </c>
      <c r="AL7" s="7" t="str">
        <f>IF(AND('Tube Cutting'!K13="White",(OR('Tube Cutting'!J13="Square Cassette",'Tube Cutting'!J13="Square Cassette with Side Channels",'Tube Cutting'!J13="Square Cassette with Side &amp; Bottom Channels"))),'Tube Cutting'!M13,"")</f>
        <v/>
      </c>
      <c r="AM7" s="7" t="str">
        <f>IF(AND('Tube Cutting'!K13="Black",(OR('Tube Cutting'!J13="Square Cassette",'Tube Cutting'!J13="Square Cassette with Side Channels",'Tube Cutting'!J13="Square Cassette with Side &amp; Bottom Channels"))),'Tube Cutting'!M13,"")</f>
        <v/>
      </c>
      <c r="AN7" s="7" t="str">
        <f>IF(AND('Tube Cutting'!K13="Cream",(OR('Tube Cutting'!J13="Square Cassette",'Tube Cutting'!J13="Square Cassette with Side Channels",'Tube Cutting'!J13="Square Cassette with Side &amp; Bottom Channels"))),'Tube Cutting'!M13,"")</f>
        <v/>
      </c>
      <c r="AO7" s="7" t="str">
        <f>IF(AND('Tube Cutting'!K13="Anodised Silver",(OR('Tube Cutting'!J13="Square Cassette",'Tube Cutting'!J13="Square Cassette with Side Channels",'Tube Cutting'!J13="Square Cassette with Side &amp; Bottom Channels"))),'Tube Cutting'!M13,"")</f>
        <v/>
      </c>
      <c r="AP7" s="7" t="str">
        <f>IF(AND('Tube Cutting'!K13="White",(OR('Tube Cutting'!J13="Round Cassette",'Tube Cutting'!J13="Round Cassette with Side Channels",'Tube Cutting'!J13="Round Cassette with Side &amp; Bottom Channels"))),'Tube Cutting'!M13,"")</f>
        <v/>
      </c>
      <c r="AQ7" s="7" t="str">
        <f>IF(AND('Tube Cutting'!K13="Black",(OR('Tube Cutting'!J13="Round Cassette",'Tube Cutting'!J13="Round Cassette with Side Channels",'Tube Cutting'!J13="Round Cassette with Side &amp; Bottom Channels"))),'Tube Cutting'!M13,"")</f>
        <v/>
      </c>
      <c r="AR7" s="7" t="str">
        <f>IF(AND('Tube Cutting'!K13="Cream",(OR('Tube Cutting'!J13="Round Cassette",'Tube Cutting'!J13="Round Cassette with Side Channels",'Tube Cutting'!J13="Round Cassette with Side &amp; Bottom Channels"))),'Tube Cutting'!M13,"")</f>
        <v/>
      </c>
      <c r="AS7" s="7" t="str">
        <f>IF(AND('Tube Cutting'!K13="Anodised Silver",(OR('Tube Cutting'!J13="Round Cassette",'Tube Cutting'!J13="Round Cassette with Side Channels",'Tube Cutting'!J13="Round Cassette with Side &amp; Bottom Channels"))),'Tube Cutting'!M13,"")</f>
        <v/>
      </c>
      <c r="AT7" s="7" t="str">
        <f>IF(AND('Tube Cutting'!K13="White",(OR('Tube Cutting'!J13="Square Cassette with Side Channels",'Tube Cutting'!J13="Round Cassette with Side Channels",'Tube Cutting'!J13="Side Channels"))),CONCATENATE('Job Sheet'!H13-VLOOKUP(CONCATENATE('Job Sheet'!AA13,'Job Sheet'!J13,'Job Sheet'!AR13),PelmetDeduct,5,FALSE))*2,IF(AND('Tube Cutting'!K13="White",(OR('Tube Cutting'!J13="Square Cassette with Side &amp; Bottom Channels",'Tube Cutting'!J13="Round Cassette with Side &amp; Bottom Channels"))),CONCATENATE(('Job Sheet'!H13-VLOOKUP(CONCATENATE('Job Sheet'!AA13,'Job Sheet'!J13,'Job Sheet'!AR13),PelmetDeduct,5,FALSE))*2)+'Job Sheet'!BA13-110,""))</f>
        <v/>
      </c>
      <c r="AU7" s="7" t="str">
        <f>IF(AND('Tube Cutting'!K13="Black",(OR('Tube Cutting'!J13="Square Cassette with Side Channels",'Tube Cutting'!J13="Round Cassette with Side Channels",'Tube Cutting'!J13="Side Channels"))),CONCATENATE('Job Sheet'!H13-VLOOKUP(CONCATENATE('Job Sheet'!AA13,'Job Sheet'!J13,'Job Sheet'!AR13),PelmetDeduct,5,FALSE))*2,IF(AND('Tube Cutting'!K13="Black",(OR('Tube Cutting'!J13="Square Cassette with Side &amp; Bottom Channels",'Tube Cutting'!J13="Round Cassette with Side &amp; Bottom Channels"))),CONCATENATE(('Job Sheet'!H13-VLOOKUP(CONCATENATE('Job Sheet'!AA13,'Job Sheet'!J13,'Job Sheet'!AR13),PelmetDeduct,5,FALSE))*2)+'Job Sheet'!BA13-110,""))</f>
        <v/>
      </c>
      <c r="AV7" s="7" t="str">
        <f>IF(AND('Tube Cutting'!K13="Cream",(OR('Tube Cutting'!J13="Square Cassette with Side Channels",'Tube Cutting'!J13="Round Cassette with Side Channels",'Tube Cutting'!J13="Side Channels"))),CONCATENATE('Job Sheet'!H13-VLOOKUP(CONCATENATE('Job Sheet'!AA13,'Job Sheet'!J13,'Job Sheet'!AR13),PelmetDeduct,5,FALSE))*2,IF(AND('Tube Cutting'!K13="Cream",(OR('Tube Cutting'!J13="Square Cassette with Side &amp; Bottom Channels",'Tube Cutting'!J13="Round Cassette with Side &amp; Bottom Channels"))),CONCATENATE(('Job Sheet'!H13-VLOOKUP(CONCATENATE('Job Sheet'!AA13,'Job Sheet'!J13,'Job Sheet'!AR13),PelmetDeduct,5,FALSE))*2)+'Job Sheet'!BA13-110,""))</f>
        <v/>
      </c>
      <c r="AW7" s="7" t="str">
        <f>IF(AND('Tube Cutting'!K13="Anodised Silver",(OR('Tube Cutting'!J13="Square Cassette with Side Channels",'Tube Cutting'!J13="Round Cassette with Side Channels",'Tube Cutting'!J13="Side Channels"))),CONCATENATE('Job Sheet'!H13-VLOOKUP(CONCATENATE('Job Sheet'!AA13,'Job Sheet'!J13,'Job Sheet'!AR13),PelmetDeduct,5,FALSE))*2,IF(AND('Tube Cutting'!K13="Anodised Silver",(OR('Tube Cutting'!J13="Square Cassette with Side &amp; Bottom Channels",'Tube Cutting'!J13="Round Cassette with Side &amp; Bottom Channels"))),CONCATENATE(('Job Sheet'!H13-VLOOKUP(CONCATENATE('Job Sheet'!AA13,'Job Sheet'!J13,'Job Sheet'!AR13),PelmetDeduct,5,FALSE))*2)+'Job Sheet'!BA13-110,""))</f>
        <v/>
      </c>
      <c r="AX7" s="7" t="str">
        <f>IF('Tube Cutting'!J13="Aluminium Valance - Fabric Covered",'Tube Cutting'!M13,"")</f>
        <v/>
      </c>
      <c r="AY7" s="7" t="str">
        <f>IF(AND('Tube Cutting'!K13="White",'Tube Cutting'!J13="Aluminium Valance"),'Tube Cutting'!M13,"")</f>
        <v/>
      </c>
      <c r="AZ7" s="7" t="str">
        <f>IF(AND('Tube Cutting'!K13="Black",'Tube Cutting'!J13="Aluminium Valance"),'Tube Cutting'!M13,"")</f>
        <v/>
      </c>
      <c r="BA7" s="7" t="str">
        <f>IF(AND('Tube Cutting'!K13="Anodised Silver",'Tube Cutting'!J13="Aluminium Valance"),'Tube Cutting'!M13,"")</f>
        <v/>
      </c>
      <c r="BB7" s="7" t="str">
        <f>'Tube Cutting'!O13</f>
        <v/>
      </c>
      <c r="BC7" s="7" t="str">
        <f>IF('Tube Cutting'!J13="Zipscreen Hooding",'Tube Cutting'!L13,"")</f>
        <v/>
      </c>
      <c r="BD7" s="7" t="str">
        <f>IF('Tube Cutting'!J13="Zipscreen Hooding",'Tube Cutting'!M13,"")</f>
        <v/>
      </c>
      <c r="BE7" s="7" t="str">
        <f>IF(AND('Assembly(b)'!E13="38mm",'Job Sheet'!BE13="White",'Assembly(b)'!F13="Chain Winder"),1,"")</f>
        <v/>
      </c>
      <c r="BF7" s="7" t="str">
        <f>IF(AND('Assembly(b)'!E13="38mm",'Job Sheet'!BE13="Black",'Assembly(b)'!F13="Chain Winder"),1,"")</f>
        <v/>
      </c>
      <c r="BG7" s="7" t="str">
        <f>IF(AND('Assembly(b)'!E13="38mm",'Job Sheet'!BE13="Birch White",'Job Sheet'!L13="Chain Winder"),1,"")</f>
        <v/>
      </c>
      <c r="BH7" s="7" t="str">
        <f>IF(AND('Assembly(b)'!E13="38mm",'Job Sheet'!BE13="Grey",'Assembly(b)'!F13="Chain Winder"),1,"")</f>
        <v/>
      </c>
      <c r="BI7" s="7" t="str">
        <f>IF(AND('Assembly(b)'!E13="38mm",'Job Sheet'!BE13="Beige",'Assembly(b)'!F13="Chain Winder"),1,"")</f>
        <v/>
      </c>
      <c r="BJ7" s="7" t="str">
        <f>IF(AND('Assembly(b)'!E13="38mm",'Job Sheet'!BE13="White",'Assembly(b)'!F13="Chain Winder Fixed Guide"),1,"")</f>
        <v/>
      </c>
      <c r="BK7" s="7" t="str">
        <f>IF(AND('Assembly(b)'!E13="38mm",'Job Sheet'!BE13="Black",'Assembly(b)'!F13="Chain Winder Fixed Guide"),1,"")</f>
        <v/>
      </c>
      <c r="BL7" s="7" t="str">
        <f>IF(AND('Assembly(b)'!E13="38mm",'Job Sheet'!BE13="Birch White",'Assembly(b)'!F13="Chain Winder Fixed Guide"),1,"")</f>
        <v/>
      </c>
      <c r="BM7" s="7" t="str">
        <f>IF(AND('Assembly(b)'!E13="38mm",'Job Sheet'!BE13="Grey",'Assembly(b)'!F13="Chain Winder Fixed Guide"),1,"")</f>
        <v/>
      </c>
      <c r="BN7" s="7" t="str">
        <f>IF(AND('Assembly(b)'!E13="38mm",'Job Sheet'!BE13="Beige",'Assembly(b)'!F13="Chain Winder Fixed Guide"),1,"")</f>
        <v/>
      </c>
      <c r="BO7" s="7">
        <f>IF(AND('Job Sheet'!BE13="White",'Assembly(b)'!F13="Chain Winder",(OR('Assembly(b)'!E13="43mm",'Assembly(b)'!E13="43mm H/D"))),1,"")</f>
        <v>1</v>
      </c>
      <c r="BP7" s="7" t="str">
        <f>IF(AND('Job Sheet'!BE13="Black",'Assembly(b)'!F13="Chain Winder",(OR('Assembly(b)'!E13="43mm",'Assembly(b)'!E13="43mm H/D"))),1,"")</f>
        <v/>
      </c>
      <c r="BQ7" s="7" t="str">
        <f>IF(AND('Job Sheet'!BE13="Birch White",'Assembly(b)'!F13="Chain Winder",(OR('Assembly(b)'!E13="43mm",'Assembly(b)'!E13="43mm H/D"))),1,"")</f>
        <v/>
      </c>
      <c r="BR7" s="7" t="str">
        <f>IF(AND('Job Sheet'!BE13="Grey",'Assembly(b)'!F13="Chain Winder",(OR('Assembly(b)'!E13="43mm",'Assembly(b)'!E13="43mm H/D"))),1,"")</f>
        <v/>
      </c>
      <c r="BS7" s="7" t="str">
        <f>IF(AND('Job Sheet'!BE13="Beige",'Assembly(b)'!F13="Chain Winder",(OR('Assembly(b)'!E13="43mm",'Assembly(b)'!E13="43mm H/D"))),1,"")</f>
        <v/>
      </c>
      <c r="BT7" s="7" t="str">
        <f>IF(AND('Job Sheet'!BE13="White",'Assembly(b)'!F13="Chain Winder Fixed Guide",(OR('Assembly(b)'!E13="43mm",'Assembly(b)'!E13="43mm H/D"))),1,"")</f>
        <v/>
      </c>
      <c r="BU7" s="7" t="str">
        <f>IF(AND('Job Sheet'!BE13="Black",'Assembly(b)'!F13="Chain Winder Fixed Guide",(OR('Assembly(b)'!E13="43mm",'Assembly(b)'!E13="43mm H/D"))),1,"")</f>
        <v/>
      </c>
      <c r="BV7" s="7" t="str">
        <f>IF(AND('Job Sheet'!BE13="Birch White",'Assembly(b)'!F13="Chain Winder Fixed Guide",(OR('Assembly(b)'!E13="43mm",'Assembly(b)'!E13="43mm H/D"))),1,"")</f>
        <v/>
      </c>
      <c r="BW7" s="7" t="str">
        <f>IF(AND('Job Sheet'!BE13="Grey",'Assembly(b)'!F13="Chain Winder Fixed Guide",(OR('Assembly(b)'!E13="43mm",'Assembly(b)'!E13="43mm H/D"))),1,"")</f>
        <v/>
      </c>
      <c r="BX7" s="7" t="str">
        <f>IF(AND('Job Sheet'!BE13="Beige",'Assembly(b)'!F13="Chain Winder Fixed Guide",(OR('Assembly(b)'!E13="43mm",'Assembly(b)'!E13="43mm H/D"))),1,"")</f>
        <v/>
      </c>
      <c r="BY7" s="7" t="str">
        <f>IF(Data!AV13="","",IF(AND('Job Sheet'!BE13="White",VLOOKUP('Job Sheet'!AR13,ControlDeduct,3,FALSE)="Yes"),1,""))</f>
        <v/>
      </c>
      <c r="BZ7" s="7" t="str">
        <f>IF(Data!AV13="","",IF(AND('Job Sheet'!BE13="Black",VLOOKUP('Job Sheet'!AR13,ControlDeduct,3,FALSE)="Yes"),1,""))</f>
        <v/>
      </c>
      <c r="CA7" s="7" t="str">
        <f>IF(Data!AV13="","",IF(AND('Job Sheet'!BE13="Birch White",VLOOKUP('Job Sheet'!AR13,ControlDeduct,3,FALSE)="Yes"),1,""))</f>
        <v/>
      </c>
      <c r="CB7" s="7" t="str">
        <f>IF(Data!AV13="","",IF(AND('Job Sheet'!BE13="Grey",VLOOKUP('Job Sheet'!AR13,ControlDeduct,3,FALSE)="Yes"),1,""))</f>
        <v/>
      </c>
      <c r="CC7" s="7" t="str">
        <f>IF(Data!AV13="","",IF(AND('Job Sheet'!BE13="Beige",VLOOKUP('Job Sheet'!AR13,ControlDeduct,3,FALSE)="Yes"),1,""))</f>
        <v/>
      </c>
      <c r="CD7" s="7">
        <f>IF(AND('Job Sheet'!BE13="White",(OR(Bagging!D13="Single",Bagging!D13="Single with Covers",Bagging!D13="Single &amp; Single Linked"))),1,"")</f>
        <v>1</v>
      </c>
      <c r="CE7" s="7" t="str">
        <f>IF(AND('Job Sheet'!BE13="Black",(OR(Bagging!D13="Single",Bagging!D13="Single with Covers",Bagging!D13="Single &amp; Single Linked"))),1,"")</f>
        <v/>
      </c>
      <c r="CF7" s="7" t="str">
        <f>IF(AND('Job Sheet'!BE13="Birch White",(OR(Bagging!D13="Single",Bagging!D13="Single with Covers",Bagging!D13="Single &amp; Single Linked"))),1,"")</f>
        <v/>
      </c>
      <c r="CG7" s="7" t="str">
        <f>IF(AND('Job Sheet'!BE13="Grey",(OR(Bagging!D13="Single",Bagging!D13="Single with Covers",Bagging!D13="Single &amp; Single Linked"))),1,"")</f>
        <v/>
      </c>
      <c r="CH7" s="7" t="str">
        <f>IF(AND('Job Sheet'!BE13="Beige",(OR(Bagging!D13="Single",Bagging!D13="Single with Covers",Bagging!D13="Single &amp; Single Linked"))),1,"")</f>
        <v/>
      </c>
      <c r="CI7" s="7" t="str">
        <f>IF(AND('Job Sheet'!BE13="White",(OR(Bagging!D13="Single Extension",Bagging!D13="Single Extension with Extension Covers",Bagging!D13="Single Extension &amp; Single Extension Linked",Bagging!D13="Single Extension with Extension Covers &amp; Single Extension Linked"))),1,"")</f>
        <v/>
      </c>
      <c r="CJ7" s="7" t="str">
        <f>IF(AND('Job Sheet'!BE13="Black",(OR(Bagging!D13="Single Extension",Bagging!D13="Single Extension with Extension Covers",Bagging!D13="Single Extension &amp; Single Extension Linked",Bagging!D13="Single Extension with Extension Covers &amp; Single Extension Linked"))),1,"")</f>
        <v/>
      </c>
      <c r="CK7" s="7" t="str">
        <f>IF(AND('Job Sheet'!BE13="Birch White",(OR(Bagging!D13="Single Extension",Bagging!D13="Single Extension with Extension Covers",Bagging!D13="Single Extension &amp; Single Extension Linked",Bagging!D13="Single Extension with Extension Covers &amp; Single Extension Linked"))),1,"")</f>
        <v/>
      </c>
      <c r="CL7" s="7" t="str">
        <f>IF(AND('Job Sheet'!BE13="Grey",(OR(Bagging!D13="Single Extension",Bagging!D13="Single Extension with Extension Covers",Bagging!D13="Single Extension &amp; Single Extension Linked",Bagging!D13="Single Extension with Extension Covers &amp; Single Extension Linked"))),1,"")</f>
        <v/>
      </c>
      <c r="CM7" s="7" t="str">
        <f>IF(AND('Job Sheet'!BE13="Beige",(OR(Bagging!D13="Single Extension",Bagging!D13="Single Extension with Extension Covers",Bagging!D13="Single Extension &amp; Single Extension Linked",Bagging!D13="Single Extension with Extension Covers &amp; Single Extension Linked"))),1,"")</f>
        <v/>
      </c>
      <c r="CN7" s="7" t="str">
        <f>IF(AND('Job Sheet'!BE13="White",(OR(Bagging!D13="Single Motor Brackets",Bagging!D13="Single Motor Brackets with Covers"))),1,"")</f>
        <v/>
      </c>
      <c r="CO7" s="7" t="str">
        <f>IF(AND('Job Sheet'!BE13="Black",(OR(Bagging!D13="Single Motor Brackets",Bagging!D13="Single Motor Brackets with Covers"))),1,"")</f>
        <v/>
      </c>
      <c r="CP7" s="7" t="str">
        <f>IF(AND('Job Sheet'!BE13="White",(OR(Bagging!D13="Single Motor Extension Brackets",Bagging!D13="Single Motor Extension Brackets with Extension Covers"))),1,"")</f>
        <v/>
      </c>
      <c r="CQ7" s="7" t="str">
        <f>IF(AND('Job Sheet'!BE13="Black",(OR(Bagging!D13="Single Motor Extension Brackets",Bagging!D13="Single Motor Extension Brackets with Extension Covers"))),1,"")</f>
        <v/>
      </c>
      <c r="CR7" s="7" t="str">
        <f>IF(AND('Job Sheet'!BE13="White",OR(Bagging!D13="Single with Covers",Bagging!D13="Single Motor Brackets with Covers")),1,"")</f>
        <v/>
      </c>
      <c r="CS7" s="7" t="str">
        <f>IF(AND('Job Sheet'!BE13="Black",OR(Bagging!D13="Single with Covers",Bagging!D13="Single Motor Brackets with Covers")),1,"")</f>
        <v/>
      </c>
      <c r="CT7" s="7" t="str">
        <f>IF(AND('Job Sheet'!BE13="Birch White",OR(Bagging!D13="Single with Covers",Bagging!D13="Single Motor Brackets with Covers")),1,"")</f>
        <v/>
      </c>
      <c r="CU7" s="7" t="str">
        <f>IF(AND('Job Sheet'!BE13="Grey",OR(Bagging!D13="Single with Covers",Bagging!D13="Single Motor Brackets with Covers")),1,"")</f>
        <v/>
      </c>
      <c r="CV7" s="7" t="str">
        <f>IF(AND('Job Sheet'!BE13="Beige",OR(Bagging!D13="Single with Covers",Bagging!D13="Single Motor Brackets with Covers")),1,"")</f>
        <v/>
      </c>
      <c r="CW7" s="7" t="str">
        <f>IF(AND('Job Sheet'!BE13="White",OR(Bagging!D13="Single Extension with Extension Covers",Bagging!D13="Single Motor Extension Brackets with Extension Covers",Bagging!D13="Single Extension with Extension Covers &amp; Single Extension Linked")),1,"")</f>
        <v/>
      </c>
      <c r="CX7" s="7" t="str">
        <f>IF(AND('Job Sheet'!BE13="Black",OR(Bagging!D13="Single Extension with Extension Covers",Bagging!D13="Single Motor Extension Brackets with Extension Covers",Bagging!D13="Single Extension with Extension Covers &amp; Single Extension Linked")),1,"")</f>
        <v/>
      </c>
      <c r="CY7" s="7" t="str">
        <f>IF(AND('Job Sheet'!BE13="Birch White",OR(Bagging!D13="Single Extension with Extension Covers",Bagging!D13="Single Motor Extension Brackets with Extension Covers",Bagging!D13="Single Extension with Extension Covers &amp; Single Extension Linked")),1,"")</f>
        <v/>
      </c>
      <c r="CZ7" s="7" t="str">
        <f>IF(AND('Job Sheet'!BE13="Grey",OR(Bagging!D13="Single Extension with Extension Covers",Bagging!D13="Single Motor Extension Brackets with Extension Covers",Bagging!D13="Single Extension with Extension Covers &amp; Single Extension Linked")),1,"")</f>
        <v/>
      </c>
      <c r="DA7" s="7" t="str">
        <f>IF(AND('Job Sheet'!BE13="Beige",OR(Bagging!D13="Single Extension with Extension Covers",Bagging!D13="Single Motor Extension Brackets with Extension Covers",Bagging!D13="Single Extension with Extension Covers &amp; Single Extension Linked")),1,"")</f>
        <v/>
      </c>
      <c r="DB7" s="7" t="str">
        <f>IF(AND(Bagging!D13="Dual Opposite Side",'Job Sheet'!BE13="White"),1,"")</f>
        <v/>
      </c>
      <c r="DC7" s="7" t="str">
        <f>IF(AND(Bagging!D13="Dual Opposite Side",'Job Sheet'!BE13="Black"),1,"")</f>
        <v/>
      </c>
      <c r="DD7" s="7" t="str">
        <f>IF(AND(Bagging!D13="Dual Opposite Side",'Job Sheet'!BE13="Birch White"),1,"")</f>
        <v/>
      </c>
      <c r="DE7" s="7" t="str">
        <f>IF(AND(Bagging!D13="Dual Opposite Side",'Job Sheet'!BE13="Grey"),1,"")</f>
        <v/>
      </c>
      <c r="DF7" s="7" t="str">
        <f>IF(AND(Bagging!D13="Dual Opposite Side",'Job Sheet'!BE13="Beige"),1,"")</f>
        <v/>
      </c>
      <c r="DG7" s="7" t="str">
        <f>IF(AND('Job Sheet'!BE13="White",(OR(Bagging!D13="Dual Same Side",Bagging!D13="Dual Same Side &amp; Dual Linked"))),1,"")</f>
        <v/>
      </c>
      <c r="DH7" s="7" t="str">
        <f>IF(AND('Job Sheet'!BE13="Black",(OR(Bagging!D13="Dual Same Side",Bagging!D13="Dual Same Side &amp; Dual Linked"))),1,"")</f>
        <v/>
      </c>
      <c r="DI7" s="7" t="str">
        <f>IF(AND('Job Sheet'!BE13="Birch White",(OR(Bagging!D13="Dual Same Side",Bagging!D13="Dual Same Side &amp; Dual Linked"))),1,"")</f>
        <v/>
      </c>
      <c r="DJ7" s="7" t="str">
        <f>IF(AND('Job Sheet'!BE13="Grey",(OR(Bagging!D13="Dual Same Side",Bagging!D13="Dual Same Side &amp; Dual Linked"))),1,"")</f>
        <v/>
      </c>
      <c r="DK7" s="7" t="str">
        <f>IF(AND('Job Sheet'!BE13="Beige",(OR(Bagging!D13="Dual Same Side",Bagging!D13="Dual Same Side &amp; Dual Linked"))),1,"")</f>
        <v/>
      </c>
      <c r="DL7" s="7" t="str">
        <f>IF(AND('Job Sheet'!BE13="White",(OR(Bagging!D13="Slimline Dual Top Blind Front Roll LHS Control",Bagging!D13="Slimline Dual Top Blind Front Roll LHS Control &amp; Dual Slimline Linked Top Blind Front Roll"))),1,"")</f>
        <v/>
      </c>
      <c r="DM7" s="7" t="str">
        <f>IF(AND('Job Sheet'!BE13="White",(OR(Bagging!D13="Slimline Dual Top Blind Front Roll RHS Control",Bagging!D13="Slimline Dual Top Blind Front Roll RHS Control &amp; Dual Slimline Linked Top Blind Front Roll"))),1,"")</f>
        <v/>
      </c>
      <c r="DN7" s="7" t="str">
        <f>IF(AND('Job Sheet'!BE13="Black",(OR(Bagging!D13="Slimline Dual Top Blind Front Roll LHS Control",Bagging!D13="Slimline Dual Top Blind Front Roll LHS Control &amp; Dual Slimline Linked Top Blind Front Roll"))),1,"")</f>
        <v/>
      </c>
      <c r="DO7" s="7" t="str">
        <f>IF(AND('Job Sheet'!BE13="Black",(OR(Bagging!D13="Slimline Dual Top Blind Front Roll RHS Control",Bagging!D13="Slimline Dual Top Blind Front Roll RHS Control &amp; Dual Slimline Linked Top Blind Front Roll"))),1,"")</f>
        <v/>
      </c>
      <c r="DP7" s="7" t="str">
        <f>IF(AND('Job Sheet'!BE13="Birch White",(OR(Bagging!D13="Slimline Dual Top Blind Front Roll LHS Control",Bagging!D13="Slimline Dual Top Blind Front Roll LHS Control &amp; Dual Slimline Linked Top Blind Front Roll"))),1,"")</f>
        <v/>
      </c>
      <c r="DQ7" s="7" t="str">
        <f>IF(AND('Job Sheet'!BE13="Birch White",(OR(Bagging!D13="Slimline Dual Top Blind Front Roll RHS Control",Bagging!D13="Slimline Dual Top Blind Front Roll RHS Control &amp; Dual Slimline Linked Top Blind Front Roll"))),1,"")</f>
        <v/>
      </c>
      <c r="DR7" s="7" t="str">
        <f>IF(AND('Job Sheet'!BE13="Grey",(OR(Bagging!D13="Slimline Dual Top Blind Front Roll LHS Control",Bagging!D13="Slimline Dual Top Blind Front Roll LHS Control &amp; Dual Slimline Linked Top Blind Front Roll"))),1,"")</f>
        <v/>
      </c>
      <c r="DS7" s="7" t="str">
        <f>IF(AND('Job Sheet'!BE13="Grey",(OR(Bagging!D13="Slimline Dual Top Blind Front Roll RHS Control",Bagging!D13="Slimline Dual Top Blind Front Roll RHS Control &amp; Dual Slimline Linked Top Blind Front Roll"))),1,"")</f>
        <v/>
      </c>
      <c r="DT7" s="7" t="str">
        <f>IF(AND('Job Sheet'!BE13="Beige",(OR(Bagging!D13="Slimline Dual Top Blind Front Roll LHS Control",Bagging!D13="Slimline Dual Top Blind Front Roll LHS Control &amp; Dual Slimline Linked Top Blind Front Roll"))),1,"")</f>
        <v/>
      </c>
      <c r="DU7" s="7" t="str">
        <f>IF(AND('Job Sheet'!BE13="Beige",(OR(Bagging!D13="Slimline Dual Top Blind Front Roll RHS Control",Bagging!D13="Slimline Dual Top Blind Front Roll RHS Control &amp; Dual Slimline Linked Top Blind Front Roll"))),1,"")</f>
        <v/>
      </c>
      <c r="DV7" s="7" t="str">
        <f>IF(AND('Job Sheet'!BE13="White",(OR(Bagging!D13="Slimline Dual Top Blind Back Roll LHS Control",Bagging!D13="Slimline Dual Top Blind Back Roll LHS Control &amp; Dual Slimline Linked Top Blind Back Roll"))),1,"")</f>
        <v/>
      </c>
      <c r="DW7" s="7" t="str">
        <f>IF(AND('Job Sheet'!BE13="White",(OR(Bagging!D13="Slimline Dual Top Blind Back Roll RHS Control",Bagging!D13="Slimline Dual Top Blind Back Roll LHS Control &amp; Dual Slimline Linked Top Blind Back Roll"))),1,"")</f>
        <v/>
      </c>
      <c r="DX7" s="7" t="str">
        <f>IF(AND('Job Sheet'!BE13="Black",(OR(Bagging!D13="Slimline Dual Top Blind Back Roll LHS Control",Bagging!D13="Slimline Dual Top Blind Back Roll LHS Control &amp; Dual Slimline Linked Top Blind Back Roll"))),1,"")</f>
        <v/>
      </c>
      <c r="DY7" s="7" t="str">
        <f>IF(AND('Job Sheet'!BE13="Black",(OR(Bagging!D13="Slimline Dual Top Blind Back Roll RHS Control",Bagging!D13="Slimline Dual Top Blind Back Roll LHS Control &amp; Dual Slimline Linked Top Blind Back Roll"))),1,"")</f>
        <v/>
      </c>
      <c r="DZ7" s="7" t="str">
        <f>IF(AND('Job Sheet'!BE13="Birch White",(OR(Bagging!D13="Slimline Dual Top Blind Back Roll LHS Control",Bagging!D13="Slimline Dual Top Blind Back Roll LHS Control &amp; Dual Slimline Linked Top Blind Back Roll"))),1,"")</f>
        <v/>
      </c>
      <c r="EA7" s="7" t="str">
        <f>IF(AND('Job Sheet'!BE13="Birch White",(OR(Bagging!D13="Slimline Dual Top Blind Back Roll RHS Control",Bagging!D13="Slimline Dual Top Blind Back Roll LHS Control &amp; Dual Slimline Linked Top Blind Back Roll"))),1,"")</f>
        <v/>
      </c>
      <c r="EB7" s="7" t="str">
        <f>IF(AND('Job Sheet'!BE13="Grey",(OR(Bagging!D13="Slimline Dual Top Blind Back Roll LHS Control",Bagging!D13="Slimline Dual Top Blind Back Roll LHS Control &amp; Dual Slimline Linked Top Blind Back Roll"))),1,"")</f>
        <v/>
      </c>
      <c r="EC7" s="7" t="str">
        <f>IF(AND('Job Sheet'!BE13="Grey",(OR(Bagging!D13="Slimline Dual Top Blind Back Roll RHS Control",Bagging!D13="Slimline Dual Top Blind Back Roll LHS Control &amp; Dual Slimline Linked Top Blind Back Roll"))),1,"")</f>
        <v/>
      </c>
      <c r="ED7" s="7" t="str">
        <f>IF(AND('Job Sheet'!BE13="Beige",(OR(Bagging!D13="Slimline Dual Top Blind Back Roll LHS Control",Bagging!D13="Slimline Dual Top Blind Back Roll LHS Control &amp; Dual Slimline Linked Top Blind Back Roll"))),1,"")</f>
        <v/>
      </c>
      <c r="EE7" s="7" t="str">
        <f>IF(AND('Job Sheet'!BE13="Beige",(OR(Bagging!D13="Slimline Dual Top Blind Back Roll RHS Control",Bagging!D13="Slimline Dual Top Blind Back Roll LHS Control &amp; Dual Slimline Linked Top Blind Back Roll"))),1,"")</f>
        <v/>
      </c>
      <c r="EF7" s="7" t="str">
        <f>IF(AND('Job Sheet'!BE13="White",(OR(Bagging!D13="Linked",Bagging!D13="Single &amp; Single Linked"))),1,IF(AND(Bagging!D13="Linked(2 Sets)",'Job Sheet'!BE13="White"),2,""))</f>
        <v/>
      </c>
      <c r="EG7" s="7" t="str">
        <f>IF(AND('Job Sheet'!BE13="Black",(OR(Bagging!D13="Linked",Bagging!D13="Single &amp; Single Linked"))),1,IF(AND(Bagging!D13="Linked(2 Sets)",'Job Sheet'!BE13="Black"),2,""))</f>
        <v/>
      </c>
      <c r="EH7" s="7" t="str">
        <f>IF(AND('Job Sheet'!BE13="Birch White",(OR(Bagging!D13="Linked",Bagging!D13="Single &amp; Single Linked"))),1,IF(AND(Bagging!D13="Linked(2 Sets)",'Job Sheet'!BE13="Birch White"),2,""))</f>
        <v/>
      </c>
      <c r="EI7" s="7" t="str">
        <f>IF(AND('Job Sheet'!BE13="Grey",(OR(Bagging!D13="Linked",Bagging!D13="Single &amp; Single Linked"))),1,IF(AND(Bagging!D13="Linked(2 Sets)",'Job Sheet'!BE13="Grey"),2,""))</f>
        <v/>
      </c>
      <c r="EJ7" s="7" t="str">
        <f>IF(AND('Job Sheet'!BE13="Beige",(OR(Bagging!D13="Linked",Bagging!D13="Single &amp; Single Linked"))),1,IF(AND(Bagging!D13="Linked(2 Sets)",'Job Sheet'!BE13="Beige"),2,""))</f>
        <v/>
      </c>
      <c r="EK7" s="7" t="str">
        <f>IF(AND('Job Sheet'!BE13="White",(OR(Bagging!D13="Single Extension Linked",Bagging!D13="Single Extension &amp; Single Extension Linked",Bagging!D13="Single Extension with Extension Covers &amp; Single Extension Linked"))),1,IF(AND(Bagging!D13="Single Extension Linked(2 Sets)",'Job Sheet'!BE13="White"),2,""))</f>
        <v/>
      </c>
      <c r="EL7" s="7" t="str">
        <f>IF(AND('Job Sheet'!BE13="Black",(OR(Bagging!D13="Single Extension Linked",Bagging!D13="Single Extension &amp; Single Extension Linked",Bagging!D13="Single Extension with Extension Covers &amp; Single Extension Linked"))),1,IF(AND(Bagging!D13="Single Extension Linked(2 Sets)",'Job Sheet'!BE13="Black"),2,""))</f>
        <v/>
      </c>
      <c r="EM7" s="7" t="str">
        <f>IF(AND('Job Sheet'!BE13="Birch White",(OR(Bagging!D13="Single Extension Linked",Bagging!D13="Single Extension &amp; Single Extension Linked",Bagging!D13="Single Extension with Extension Covers &amp; Single Extension Linked"))),1,IF(AND(Bagging!D13="Single Extension Linked(2 Sets)",'Job Sheet'!BE13="Birch White"),2,""))</f>
        <v/>
      </c>
      <c r="EN7" s="7" t="str">
        <f>IF(AND('Job Sheet'!BE13="Grey",(OR(Bagging!D13="Single Extension Linked",Bagging!D13="Single Extension &amp; Single Extension Linked",Bagging!D13="Single Extension with Extension Covers &amp; Single Extension Linked"))),1,IF(AND(Bagging!D13="Single Extension Linked(2 Sets)",'Job Sheet'!BE13="Grey"),2,""))</f>
        <v/>
      </c>
      <c r="EO7" s="7" t="str">
        <f>IF(AND('Job Sheet'!BE13="Beige",(OR(Bagging!D13="Single Extension Linked",Bagging!D13="Single Extension &amp; Single Extension Linked",Bagging!D13="Single Extension with Extension Covers &amp; Single Extension Linked"))),1,IF(AND(Bagging!D13="Single Extension Linked(2 Sets)",'Job Sheet'!BE13="Beige"),2,""))</f>
        <v/>
      </c>
      <c r="EP7" s="7" t="str">
        <f>IF(AND('Job Sheet'!BE13="White",(OR(Bagging!D13="Dual Linked",Bagging!D13="Dual Same Side &amp; Dual Linked"))),1,IF(AND(Bagging!D13="Dual Linked(2 Sets)",'Job Sheet'!BE13="White"),2,""))</f>
        <v/>
      </c>
      <c r="EQ7" s="7" t="str">
        <f>IF(AND('Job Sheet'!BE13="Black",(OR(Bagging!D13="Dual Linked",Bagging!D13="Dual Same Side &amp; Dual Linked"))),1,IF(AND(Bagging!D13="Dual Linked(2 Sets)",'Job Sheet'!BE13="Black"),2,""))</f>
        <v/>
      </c>
      <c r="ER7" s="7" t="str">
        <f>IF(AND('Job Sheet'!BE13="Birch White",(OR(Bagging!D13="Dual Linked",Bagging!D13="Dual Same Side &amp; Dual Linked"))),1,IF(AND(Bagging!D13="Dual Linked(2 Sets)",'Job Sheet'!BE13="Birch White"),2,""))</f>
        <v/>
      </c>
      <c r="ES7" s="7" t="str">
        <f>IF(AND('Job Sheet'!BE13="Grey",(OR(Bagging!D13="Dual Linked",Bagging!D13="Dual Same Side &amp; Dual Linked"))),1,IF(AND(Bagging!D13="Dual Linked(2 Sets)",'Job Sheet'!BE13="Grey"),2,""))</f>
        <v/>
      </c>
      <c r="ET7" s="7" t="str">
        <f>IF(AND('Job Sheet'!BE13="Beige",(OR(Bagging!D13="Dual Linked",Bagging!D13="Dual Same Side &amp; Dual Linked"))),1,IF(AND(Bagging!D13="Dual Linked(2 Sets)",'Job Sheet'!BE13="Beige"),2,""))</f>
        <v/>
      </c>
      <c r="EU7" s="7" t="str">
        <f>IF(AND('Job Sheet'!BE13="White",(OR(Bagging!D13="Dual Slimline Linked Top Blind Front Roll",Bagging!D13="Slimline Dual Top Blind Front Roll LHS Control &amp; Dual Slimline Linked Top Blind Front Roll",Bagging!D13="Slimline Dual Top Blind Front Roll RHS Control &amp; Dual Slimline Linked Top Blind Front Roll"))),1,IF(AND(Bagging!D13="Dual Slimline Linked Top Blind Front Roll(2 Sets)",'Job Sheet'!BE13="White"),2,""))</f>
        <v/>
      </c>
      <c r="EV7" s="7" t="str">
        <f>IF(AND('Job Sheet'!BE13="Black",(OR(Bagging!D13="Dual Slimline Linked Top Blind Front Roll",Bagging!D13="Slimline Dual Top Blind Front Roll LHS Control &amp; Dual Slimline Linked Top Blind Front Roll",Bagging!D13="Slimline Dual Top Blind Front Roll RHS Control &amp; Dual Slimline Linked Top Blind Front Roll"))),1,IF(AND(Bagging!D13="Dual Slimline Linked Top Blind Front Roll(2 Sets)",'Job Sheet'!BE13="Black"),2,""))</f>
        <v/>
      </c>
      <c r="EW7" s="7" t="str">
        <f>IF(AND('Job Sheet'!BE13="Birch White",(OR(Bagging!D13="Dual Slimline Linked Top Blind Front Roll",Bagging!D13="Slimline Dual Top Blind Front Roll LHS Control &amp; Dual Slimline Linked Top Blind Front Roll",Bagging!D13="Slimline Dual Top Blind Front Roll RHS Control &amp; Dual Slimline Linked Top Blind Front Roll"))),1,IF(AND(Bagging!D13="Dual Slimline Linked Top Blind Front Roll(2 Sets)",'Job Sheet'!BE13="Birch White"),2,""))</f>
        <v/>
      </c>
      <c r="EX7" s="7" t="str">
        <f>IF(AND('Job Sheet'!BE13="Grey",(OR(Bagging!D13="Dual Slimline Linked Top Blind Front Roll",Bagging!D13="Slimline Dual Top Blind Front Roll LHS Control &amp; Dual Slimline Linked Top Blind Front Roll",Bagging!D13="Slimline Dual Top Blind Front Roll RHS Control &amp; Dual Slimline Linked Top Blind Front Roll"))),1,IF(AND(Bagging!D13="Dual Slimline Linked Top Blind Front Roll(2 Sets)",'Job Sheet'!BE13="Grey"),2,""))</f>
        <v/>
      </c>
      <c r="EY7" s="7" t="str">
        <f>IF(AND('Job Sheet'!BE13="Beige",(OR(Bagging!D13="Dual Slimline Linked Top Blind Front Roll",Bagging!D13="Slimline Dual Top Blind Front Roll LHS Control &amp; Dual Slimline Linked Top Blind Front Roll",Bagging!D13="Slimline Dual Top Blind Front Roll RHS Control &amp; Dual Slimline Linked Top Blind Front Roll"))),1,IF(AND(Bagging!D13="Dual Slimline Linked Top Blind Front Roll(2 Sets)",'Job Sheet'!BE13="Beige"),2,""))</f>
        <v/>
      </c>
      <c r="EZ7" s="7" t="str">
        <f>IF(AND('Job Sheet'!BE13="White",(OR(Bagging!D13="Dual Slimline Linked Top Blind Back Roll",Bagging!D13="Slimline Dual Top Blind Back Roll LHS Control &amp; Dual Slimline Linked Top Blind Back Roll",Bagging!D13="Slimline Dual Top Blind Back Roll RHS Control &amp; Dual Slimline Linked Top Blind Back Roll"))),1,IF(AND(Bagging!D13="Dual Slimline Linked Top Blind Back Roll(2 Sets)",'Job Sheet'!BE13="White"),2,""))</f>
        <v/>
      </c>
      <c r="FA7" s="7" t="str">
        <f>IF(AND('Job Sheet'!BE13="Black",(OR(Bagging!D13="Dual Slimline Linked Top Blind Back Roll",Bagging!D13="Slimline Dual Top Blind Back Roll LHS Control &amp; Dual Slimline Linked Top Blind Back Roll",Bagging!D13="Slimline Dual Top Blind Back Roll RHS Control &amp; Dual Slimline Linked Top Blind Back Roll"))),1,IF(AND(Bagging!D13="Dual Slimline Linked Top Blind Back Roll(2 Sets)",'Job Sheet'!BE13="Black"),2,""))</f>
        <v/>
      </c>
      <c r="FB7" s="7" t="str">
        <f>IF(AND('Job Sheet'!BE13="Birch White",(OR(Bagging!D13="Dual Slimline Linked Top Blind Back Roll",Bagging!D13="Slimline Dual Top Blind Back Roll LHS Control &amp; Dual Slimline Linked Top Blind Back Roll",Bagging!D13="Slimline Dual Top Blind Back Roll RHS Control &amp; Dual Slimline Linked Top Blind Back Roll"))),1,IF(AND(Bagging!D13="Dual Slimline Linked Top Blind Back Roll(2 Sets)",'Job Sheet'!BE13="Birch White"),2,""))</f>
        <v/>
      </c>
      <c r="FC7" s="7" t="str">
        <f>IF(AND('Job Sheet'!BE13="Grey",(OR(Bagging!D13="Dual Slimline Linked Top Blind Back Roll",Bagging!D13="Slimline Dual Top Blind Back Roll LHS Control &amp; Dual Slimline Linked Top Blind Back Roll",Bagging!D13="Slimline Dual Top Blind Back Roll RHS Control &amp; Dual Slimline Linked Top Blind Back Roll"))),1,IF(AND(Bagging!D13="Dual Slimline Linked Top Blind Back Roll(2 Sets)",'Job Sheet'!BE13="Grey"),2,""))</f>
        <v/>
      </c>
      <c r="FD7" s="7" t="str">
        <f>IF(AND('Job Sheet'!BE13="Beige",(OR(Bagging!D13="Dual Slimline Linked Top Blind Back Roll",Bagging!D13="Slimline Dual Top Blind Back Roll LHS Control &amp; Dual Slimline Linked Top Blind Back Roll",Bagging!D13="Slimline Dual Top Blind Back Roll RHS Control &amp; Dual Slimline Linked Top Blind Back Roll"))),1,IF(AND(Bagging!D13="Dual Slimline Linked Top Blind Back Roll(2 Sets)",'Job Sheet'!BE13="Beige"),2,""))</f>
        <v/>
      </c>
      <c r="FE7" s="7" t="str">
        <f>IF(AND(OR('Job Sheet'!BF13="Nickel Steel",'Job Sheet'!BF13="Nickel Steel Chain"),OR('Assembly(b)'!D13="500mm",'Assembly(b)'!D13="500")),1,"")</f>
        <v/>
      </c>
      <c r="FF7" s="7" t="str">
        <f>IF(AND(OR('Job Sheet'!BF13="Nickel Steel",'Job Sheet'!BF13="Nickel Steel Chain"),OR('Assembly(b)'!D13="750mm",'Assembly(b)'!D13="750")),1,"")</f>
        <v/>
      </c>
      <c r="FG7" s="7" t="str">
        <f>IF(AND(OR('Job Sheet'!BF13="Nickel Steel",'Job Sheet'!BF13="Nickel Steel Chain"),OR('Assembly(b)'!D13="1000mm",'Assembly(b)'!D13="1000")),1,"")</f>
        <v/>
      </c>
      <c r="FH7" s="7" t="str">
        <f>IF(AND(OR('Job Sheet'!BF13="Nickel Steel",'Job Sheet'!BF13="Nickel Steel Chain"),OR('Assembly(b)'!D13="1250mm",'Assembly(b)'!D13="1250")),1,"")</f>
        <v/>
      </c>
      <c r="FI7" s="7">
        <f>IF(AND(OR('Job Sheet'!BF13="Nickel Steel",'Job Sheet'!BF13="Nickel Steel Chain"),OR('Assembly(b)'!D13="1500mm",'Assembly(b)'!D13="1500")),1,"")</f>
        <v>1</v>
      </c>
      <c r="FJ7" s="7" t="str">
        <f>IF(AND(OR('Job Sheet'!BF13="Nickel Steel",'Job Sheet'!BF13="Nickel Steel Chain"),OR('Assembly(b)'!D13="1750mm",'Assembly(b)'!D13="1750")),1,"")</f>
        <v/>
      </c>
      <c r="FK7" s="7" t="str">
        <f>IF(AND(OR('Job Sheet'!BF13="Nickel Steel",'Job Sheet'!BF13="Nickel Steel Chain"),OR('Assembly(b)'!D13="2000mm",'Assembly(b)'!D13="2000")),1,"")</f>
        <v/>
      </c>
      <c r="FL7" s="7" t="str">
        <f>IF(AND(OR('Job Sheet'!BF13="Nickel Steel",'Job Sheet'!BF13="Nickel Steel Chain"),OR('Assembly(b)'!D13="2250mm",'Assembly(b)'!D13="2250")),1,"")</f>
        <v/>
      </c>
      <c r="FM7" s="7" t="str">
        <f>IF(AND(OR('Job Sheet'!BF13="Nickel Steel",'Job Sheet'!BF13="Nickel Steel Chain"),OR('Assembly(b)'!D13="2500mm",'Assembly(b)'!D13="2500")),1,"")</f>
        <v/>
      </c>
      <c r="FN7" s="7" t="str">
        <f>IF(AND(OR('Job Sheet'!BF13="Nickel Steel",'Job Sheet'!BF13="Nickel Steel Chain"),OR('Assembly(b)'!D13="2750mm",'Assembly(b)'!D13="2750")),1,"")</f>
        <v/>
      </c>
      <c r="FO7" s="7" t="str">
        <f>IF(AND(OR('Job Sheet'!BF13="Nickel Steel",'Job Sheet'!BF13="Nickel Steel Chain"),OR('Assembly(b)'!D13="3000mm",'Assembly(b)'!D13="3000")),1,"")</f>
        <v/>
      </c>
      <c r="FP7" s="7" t="str">
        <f>IF(AND(OR('Job Sheet'!BF13="Nickel Steel",'Job Sheet'!BF13="Nickel Steel Chain"),OR('Assembly(b)'!D13="3250mm",'Assembly(b)'!D13="3250")),1,"")</f>
        <v/>
      </c>
      <c r="FQ7" s="7" t="str">
        <f>IF(AND(OR('Job Sheet'!BF13="Nickel Steel",'Job Sheet'!BF13="Nickel Steel Chain"),OR('Assembly(b)'!D13="3500mm",'Assembly(b)'!D13="3500")),1,"")</f>
        <v/>
      </c>
      <c r="FR7" s="7" t="str">
        <f>IF(AND(OR('Job Sheet'!BF13="Nickel Steel",'Job Sheet'!BF13="Nickel Steel Chain"),OR('Assembly(b)'!D13="3750mm",'Assembly(b)'!D13="3750")),1,"")</f>
        <v/>
      </c>
      <c r="FS7" s="7" t="str">
        <f>IF(AND(OR('Job Sheet'!BF13="Nickel Steel",'Job Sheet'!BF13="Nickel Steel Chain"),OR('Assembly(b)'!D13="4000mm",'Assembly(b)'!D13="4000")),1,"")</f>
        <v/>
      </c>
      <c r="FT7" s="7" t="str">
        <f>IF(AND(OR('Job Sheet'!BF13="White",'Job Sheet'!BF13="White Chain"),OR('Assembly(b)'!D13="500mm",'Assembly(b)'!D13="500")),1,"")</f>
        <v/>
      </c>
      <c r="FU7" s="7" t="str">
        <f>IF(AND(OR('Job Sheet'!BF13="White",'Job Sheet'!BF13="White Chain"),OR('Assembly(b)'!D13="750mm",'Assembly(b)'!D13="750")),1,"")</f>
        <v/>
      </c>
      <c r="FV7" s="7" t="str">
        <f>IF(AND(OR('Job Sheet'!BF13="White",'Job Sheet'!BF13="White Chain"),OR('Assembly(b)'!D13="1000mm",'Assembly(b)'!D13="1000")),1,"")</f>
        <v/>
      </c>
      <c r="FW7" s="7" t="str">
        <f>IF(AND(OR('Job Sheet'!BF13="White",'Job Sheet'!BF13="White Chain"),OR('Assembly(b)'!D13="1250mm",'Assembly(b)'!D13="1250")),1,"")</f>
        <v/>
      </c>
      <c r="FX7" s="7" t="str">
        <f>IF(AND(OR('Job Sheet'!BF13="White",'Job Sheet'!BF13="White Chain"),OR('Assembly(b)'!D13="1500mm",'Assembly(b)'!D13="1500")),1,"")</f>
        <v/>
      </c>
      <c r="FY7" s="7" t="str">
        <f>IF(AND(OR('Job Sheet'!BF13="White",'Job Sheet'!BF13="White Chain"),OR('Assembly(b)'!D13="1750mm",'Assembly(b)'!D13="1750")),1,"")</f>
        <v/>
      </c>
      <c r="FZ7" s="7" t="str">
        <f>IF(AND(OR('Job Sheet'!BF13="White",'Job Sheet'!BF13="White Chain"),OR('Assembly(b)'!D13="2000mm",'Assembly(b)'!D13="2000")),1,"")</f>
        <v/>
      </c>
      <c r="GA7" s="7" t="str">
        <f>IF(AND(OR('Job Sheet'!BF13="White",'Job Sheet'!BF13="White Chain"),OR('Assembly(b)'!D13="2250mm",'Assembly(b)'!D13="2250")),1,"")</f>
        <v/>
      </c>
      <c r="GB7" s="7" t="str">
        <f>IF(AND(OR('Job Sheet'!BF13="White",'Job Sheet'!BF13="White Chain"),OR('Assembly(b)'!D13="2500mm",'Assembly(b)'!D13="2500")),1,"")</f>
        <v/>
      </c>
      <c r="GC7" s="7" t="str">
        <f>IF(AND(OR('Job Sheet'!BF13="White",'Job Sheet'!BF13="White Chain"),OR('Assembly(b)'!D13="2750mm",'Assembly(b)'!D13="2750")),1,"")</f>
        <v/>
      </c>
      <c r="GD7" s="7" t="str">
        <f>IF(AND(OR('Job Sheet'!BF13="White",'Job Sheet'!BF13="White Chain"),OR('Assembly(b)'!D13="3000mm",'Assembly(b)'!D13="3000")),1,"")</f>
        <v/>
      </c>
      <c r="GE7" s="7" t="str">
        <f>IF(AND(OR('Job Sheet'!BF13="White",'Job Sheet'!BF13="White Chain"),OR('Assembly(b)'!D13="3250mm",'Assembly(b)'!D13="3250")),1,"")</f>
        <v/>
      </c>
      <c r="GF7" s="7" t="str">
        <f>IF(AND(OR('Job Sheet'!BF13="White",'Job Sheet'!BF13="White Chain"),OR('Assembly(b)'!D13="3500mm",'Assembly(b)'!D13="3500")),1,"")</f>
        <v/>
      </c>
      <c r="GG7" s="7" t="str">
        <f>IF(AND(OR('Job Sheet'!BF13="White",'Job Sheet'!BF13="White Chain"),OR('Assembly(b)'!D13="3750mm",'Assembly(b)'!D13="3750")),1,"")</f>
        <v/>
      </c>
      <c r="GH7" s="7" t="str">
        <f>IF(AND(OR('Job Sheet'!BF13="White",'Job Sheet'!BF13="White Chain"),OR('Assembly(b)'!D13="4000mm",'Assembly(b)'!D13="4000")),1,"")</f>
        <v/>
      </c>
      <c r="GI7" s="7" t="str">
        <f>IF(AND(OR('Job Sheet'!BF13="Black",'Job Sheet'!BF13="Black Chain"),OR('Assembly(b)'!D13="500mm",'Assembly(b)'!D13="500")),1,"")</f>
        <v/>
      </c>
      <c r="GJ7" s="7" t="str">
        <f>IF(AND(OR('Job Sheet'!BF13="Black",'Job Sheet'!BF13="Black Chain"),OR('Assembly(b)'!D13="750mm",'Assembly(b)'!D13="750")),1,"")</f>
        <v/>
      </c>
      <c r="GK7" s="7" t="str">
        <f>IF(AND(OR('Job Sheet'!BF13="Black",'Job Sheet'!BF13="Black Chain"),OR('Assembly(b)'!D13="1000mm",'Assembly(b)'!D13="1000")),1,"")</f>
        <v/>
      </c>
      <c r="GL7" s="7" t="str">
        <f>IF(AND(OR('Job Sheet'!BF13="Black",'Job Sheet'!BF13="Black Chain"),OR('Assembly(b)'!D13="1250mm",'Assembly(b)'!D13="1250")),1,"")</f>
        <v/>
      </c>
      <c r="GM7" s="7" t="str">
        <f>IF(AND(OR('Job Sheet'!BF13="Black",'Job Sheet'!BF13="Black Chain"),OR('Assembly(b)'!D13="1500mm",'Assembly(b)'!D13="1500")),1,"")</f>
        <v/>
      </c>
      <c r="GN7" s="7" t="str">
        <f>IF(AND(OR('Job Sheet'!BF13="Black",'Job Sheet'!BF13="Black Chain"),OR('Assembly(b)'!D13="1750mm",'Assembly(b)'!D13="1750")),1,"")</f>
        <v/>
      </c>
      <c r="GO7" s="7" t="str">
        <f>IF(AND(OR('Job Sheet'!BF13="Black",'Job Sheet'!BF13="Black Chain"),OR('Assembly(b)'!D13="2000mm",'Assembly(b)'!D13="2000")),1,"")</f>
        <v/>
      </c>
      <c r="GP7" s="7" t="str">
        <f>IF(AND(OR('Job Sheet'!BF13="Black",'Job Sheet'!BF13="Black Chain"),OR('Assembly(b)'!D13="2250mm",'Assembly(b)'!D13="2250")),1,"")</f>
        <v/>
      </c>
      <c r="GQ7" s="7" t="str">
        <f>IF(AND(OR('Job Sheet'!BF13="Black",'Job Sheet'!BF13="Black Chain"),OR('Assembly(b)'!D13="2500mm",'Assembly(b)'!D13="2500")),1,"")</f>
        <v/>
      </c>
      <c r="GR7" s="7" t="str">
        <f>IF(AND(OR('Job Sheet'!BF13="Black",'Job Sheet'!BF13="Black Chain"),OR('Assembly(b)'!D13="2750mm",'Assembly(b)'!D13="2750")),1,"")</f>
        <v/>
      </c>
      <c r="GS7" s="7" t="str">
        <f>IF(AND(OR('Job Sheet'!BF13="Black",'Job Sheet'!BF13="Black Chain"),OR('Assembly(b)'!D13="3000mm",'Assembly(b)'!D13="3000")),1,"")</f>
        <v/>
      </c>
      <c r="GT7" s="7" t="str">
        <f>IF(AND(OR('Job Sheet'!BF13="Black",'Job Sheet'!BF13="Black Chain"),OR('Assembly(b)'!D13="3250mm",'Assembly(b)'!D13="3250")),1,"")</f>
        <v/>
      </c>
      <c r="GU7" s="7" t="str">
        <f>IF(AND(OR('Job Sheet'!BF13="Black",'Job Sheet'!BF13="Black Chain"),OR('Assembly(b)'!D13="3500mm",'Assembly(b)'!D13="3500")),1,"")</f>
        <v/>
      </c>
      <c r="GV7" s="7" t="str">
        <f>IF(AND(OR('Job Sheet'!BF13="Black",'Job Sheet'!BF13="Black Chain"),OR('Assembly(b)'!D13="3750mm",'Assembly(b)'!D13="3750")),1,"")</f>
        <v/>
      </c>
      <c r="GW7" s="7" t="str">
        <f>IF(AND(OR('Job Sheet'!BF13="Black",'Job Sheet'!BF13="Black Chain"),OR('Assembly(b)'!D13="4000mm",'Assembly(b)'!D13="4000")),1,"")</f>
        <v/>
      </c>
      <c r="GX7" s="7" t="str">
        <f>IF(AND(OR('Job Sheet'!BF13="Birch White",'Job Sheet'!BF13="Birch White Chain"),OR('Assembly(b)'!D13="500mm",'Assembly(b)'!D13="500")),1,"")</f>
        <v/>
      </c>
      <c r="GY7" s="7" t="str">
        <f>IF(AND(OR('Job Sheet'!BF13="Birch White",'Job Sheet'!BF13="Birch White Chain"),OR('Assembly(b)'!D13="750mm",'Assembly(b)'!D13="750")),1,"")</f>
        <v/>
      </c>
      <c r="GZ7" s="7" t="str">
        <f>IF(AND(OR('Job Sheet'!BF13="Birch White",'Job Sheet'!BF13="Birch White Chain"),OR('Assembly(b)'!D13="1000mm",'Assembly(b)'!D13="1000")),1,"")</f>
        <v/>
      </c>
      <c r="HA7" s="7" t="str">
        <f>IF(AND(OR('Job Sheet'!BF13="Birch White",'Job Sheet'!BF13="Birch White Chain"),OR('Assembly(b)'!D13="1250mm",'Assembly(b)'!D13="1250")),1,"")</f>
        <v/>
      </c>
      <c r="HB7" s="7" t="str">
        <f>IF(AND(OR('Job Sheet'!BF13="Birch White",'Job Sheet'!BF13="Birch White Chain"),OR('Assembly(b)'!D13="1500mm",'Assembly(b)'!D13="1500")),1,"")</f>
        <v/>
      </c>
      <c r="HC7" s="7" t="str">
        <f>IF(AND(OR('Job Sheet'!BF13="Birch White",'Job Sheet'!BF13="Birch White Chain"),OR('Assembly(b)'!D13="1750mm",'Assembly(b)'!D13="1750")),1,"")</f>
        <v/>
      </c>
      <c r="HD7" s="7" t="str">
        <f>IF(AND(OR('Job Sheet'!BF13="Birch White",'Job Sheet'!BF13="Birch White Chain"),OR('Assembly(b)'!D13="2000mm",'Assembly(b)'!D13="2000")),1,"")</f>
        <v/>
      </c>
      <c r="HE7" s="7" t="str">
        <f>IF(AND(OR('Job Sheet'!BF13="Birch White",'Job Sheet'!BF13="Birch White Chain"),OR('Assembly(b)'!D13="2250mm",'Assembly(b)'!D13="2250")),1,"")</f>
        <v/>
      </c>
      <c r="HF7" s="7" t="str">
        <f>IF(AND(OR('Job Sheet'!BF13="Birch White",'Job Sheet'!BF13="Birch White Chain"),OR('Assembly(b)'!D13="2500mm",'Assembly(b)'!D13="2500")),1,"")</f>
        <v/>
      </c>
      <c r="HG7" s="7" t="str">
        <f>IF(AND(OR('Job Sheet'!BF13="Birch White",'Job Sheet'!BF13="Birch White Chain"),OR('Assembly(b)'!D13="2750mm",'Assembly(b)'!D13="2750")),1,"")</f>
        <v/>
      </c>
      <c r="HH7" s="7" t="str">
        <f>IF(AND(OR('Job Sheet'!BF13="Birch White",'Job Sheet'!BF13="Birch White Chain"),OR('Assembly(b)'!D13="3000mm",'Assembly(b)'!D13="3000")),1,"")</f>
        <v/>
      </c>
      <c r="HI7" s="7" t="str">
        <f>IF(AND(OR('Job Sheet'!BF13="Birch White",'Job Sheet'!BF13="Birch White Chain"),OR('Assembly(b)'!D13="3250mm",'Assembly(b)'!D13="3250")),1,"")</f>
        <v/>
      </c>
      <c r="HJ7" s="7" t="str">
        <f>IF(AND(OR('Job Sheet'!BF13="Birch White",'Job Sheet'!BF13="Birch White Chain"),OR('Assembly(b)'!D13="3500mm",'Assembly(b)'!D13="3500")),1,"")</f>
        <v/>
      </c>
      <c r="HK7" s="7" t="str">
        <f>IF(AND(OR('Job Sheet'!BF13="Birch White",'Job Sheet'!BF13="Birch White Chain"),OR('Assembly(b)'!D13="3750mm",'Assembly(b)'!D13="3750")),1,"")</f>
        <v/>
      </c>
      <c r="HL7" s="7" t="str">
        <f>IF(AND(OR('Job Sheet'!BF13="Birch White",'Job Sheet'!BF13="Birch White Chain"),OR('Assembly(b)'!D13="4000mm",'Assembly(b)'!D13="4000")),1,"")</f>
        <v/>
      </c>
      <c r="HM7" s="7" t="str">
        <f>IF(AND(OR('Job Sheet'!BF13="Grey",'Job Sheet'!BF13="Grey Chain"),OR('Assembly(b)'!D13="500mm",'Assembly(b)'!D13="500")),1,"")</f>
        <v/>
      </c>
      <c r="HN7" s="7" t="str">
        <f>IF(AND(OR('Job Sheet'!BF13="Grey",'Job Sheet'!BF13="Grey Chain"),OR('Assembly(b)'!D13="750mm",'Assembly(b)'!D13="750")),1,"")</f>
        <v/>
      </c>
      <c r="HO7" s="7" t="str">
        <f>IF(AND(OR('Job Sheet'!BF13="Grey",'Job Sheet'!BF13="Grey Chain"),OR('Assembly(b)'!D13="1000mm",'Assembly(b)'!D13="1000")),1,"")</f>
        <v/>
      </c>
      <c r="HP7" s="7" t="str">
        <f>IF(AND(OR('Job Sheet'!BF13="Grey",'Job Sheet'!BF13="Grey Chain"),OR('Assembly(b)'!D13="1250mm",'Assembly(b)'!D13="1250")),1,"")</f>
        <v/>
      </c>
      <c r="HQ7" s="7" t="str">
        <f>IF(AND(OR('Job Sheet'!BF13="Grey",'Job Sheet'!BF13="Grey Chain"),OR('Assembly(b)'!D13="1500mm",'Assembly(b)'!D13="1500")),1,"")</f>
        <v/>
      </c>
      <c r="HR7" s="7" t="str">
        <f>IF(AND(OR('Job Sheet'!BF13="Grey",'Job Sheet'!BF13="Grey Chain"),OR('Assembly(b)'!D13="1750mm",'Assembly(b)'!D13="1750")),1,"")</f>
        <v/>
      </c>
      <c r="HS7" s="7" t="str">
        <f>IF(AND(OR('Job Sheet'!BF13="Grey",'Job Sheet'!BF13="Grey Chain"),OR('Assembly(b)'!D13="2000mm",'Assembly(b)'!D13="2000")),1,"")</f>
        <v/>
      </c>
      <c r="HT7" s="7" t="str">
        <f>IF(AND(OR('Job Sheet'!BF13="Grey",'Job Sheet'!BF13="Grey Chain"),OR('Assembly(b)'!D13="2250mm",'Assembly(b)'!D13="2250")),1,"")</f>
        <v/>
      </c>
      <c r="HU7" s="7" t="str">
        <f>IF(AND(OR('Job Sheet'!BF13="Grey",'Job Sheet'!BF13="Grey Chain"),OR('Assembly(b)'!D13="2500mm",'Assembly(b)'!D13="2500")),1,"")</f>
        <v/>
      </c>
      <c r="HV7" s="7" t="str">
        <f>IF(AND(OR('Job Sheet'!BF13="Grey",'Job Sheet'!BF13="Grey Chain"),OR('Assembly(b)'!D13="2750mm",'Assembly(b)'!D13="2750")),1,"")</f>
        <v/>
      </c>
      <c r="HW7" s="7" t="str">
        <f>IF(AND(OR('Job Sheet'!BF13="Grey",'Job Sheet'!BF13="Grey Chain"),OR('Assembly(b)'!D13="3000mm",'Assembly(b)'!D13="3000")),1,"")</f>
        <v/>
      </c>
      <c r="HX7" s="7" t="str">
        <f>IF(AND(OR('Job Sheet'!BF13="Grey",'Job Sheet'!BF13="Grey Chain"),OR('Assembly(b)'!D13="3250mm",'Assembly(b)'!D13="3250")),1,"")</f>
        <v/>
      </c>
      <c r="HY7" s="7" t="str">
        <f>IF(AND(OR('Job Sheet'!BF13="Grey",'Job Sheet'!BF13="Grey Chain"),OR('Assembly(b)'!D13="3500mm",'Assembly(b)'!D13="3500")),1,"")</f>
        <v/>
      </c>
      <c r="HZ7" s="7" t="str">
        <f>IF(AND(OR('Job Sheet'!BF13="Grey",'Job Sheet'!BF13="Grey Chain"),OR('Assembly(b)'!D13="3750mm",'Assembly(b)'!D13="3750")),1,"")</f>
        <v/>
      </c>
      <c r="IA7" s="7" t="str">
        <f>IF(AND(OR('Job Sheet'!BF13="Grey",'Job Sheet'!BF13="Grey Chain"),OR('Assembly(b)'!D13="4000mm",'Assembly(b)'!D13="4000")),1,"")</f>
        <v/>
      </c>
      <c r="IB7" s="7" t="str">
        <f>IF(AND(OR('Job Sheet'!BF13="Beige",'Job Sheet'!BF13="Beige Chain"),OR('Assembly(b)'!D13="500mm",'Assembly(b)'!D13="500")),1,"")</f>
        <v/>
      </c>
      <c r="IC7" s="7" t="str">
        <f>IF(AND(OR('Job Sheet'!BF13="Beige",'Job Sheet'!BF13="Beige Chain"),OR('Assembly(b)'!D13="750mm",'Assembly(b)'!D13="750")),1,"")</f>
        <v/>
      </c>
      <c r="ID7" s="7" t="str">
        <f>IF(AND(OR('Job Sheet'!BF13="Beige",'Job Sheet'!BF13="Beige Chain"),OR('Assembly(b)'!D13="1000mm",'Assembly(b)'!D13="1000")),1,"")</f>
        <v/>
      </c>
      <c r="IE7" s="7" t="str">
        <f>IF(AND(OR('Job Sheet'!BF13="Beige",'Job Sheet'!BF13="Beige Chain"),OR('Assembly(b)'!D13="1250mm",'Assembly(b)'!D13="1250")),1,"")</f>
        <v/>
      </c>
      <c r="IF7" s="7" t="str">
        <f>IF(AND(OR('Job Sheet'!BF13="Beige",'Job Sheet'!BF13="Beige Chain"),OR('Assembly(b)'!D13="1500mm",'Assembly(b)'!D13="1500")),1,"")</f>
        <v/>
      </c>
      <c r="IG7" s="7" t="str">
        <f>IF(AND(OR('Job Sheet'!BF13="Beige",'Job Sheet'!BF13="Beige Chain"),OR('Assembly(b)'!D13="1750mm",'Assembly(b)'!D13="1750")),1,"")</f>
        <v/>
      </c>
      <c r="IH7" s="7" t="str">
        <f>IF(AND(OR('Job Sheet'!BF13="Beige",'Job Sheet'!BF13="Beige Chain"),OR('Assembly(b)'!D13="2000mm",'Assembly(b)'!D13="2000")),1,"")</f>
        <v/>
      </c>
      <c r="II7" s="7" t="str">
        <f>IF(AND(OR('Job Sheet'!BF13="Beige",'Job Sheet'!BF13="Beige Chain"),OR('Assembly(b)'!D13="2250mm",'Assembly(b)'!D13="2250")),1,"")</f>
        <v/>
      </c>
      <c r="IJ7" s="7" t="str">
        <f>IF(AND(OR('Job Sheet'!BF13="Beige",'Job Sheet'!BF13="Beige Chain"),OR('Assembly(b)'!D13="2500mm",'Assembly(b)'!D13="2500")),1,"")</f>
        <v/>
      </c>
      <c r="IK7" s="7" t="str">
        <f>IF(AND(OR('Job Sheet'!BF13="Beige",'Job Sheet'!BF13="Beige Chain"),OR('Assembly(b)'!D13="2750mm",'Assembly(b)'!D13="2750")),1,"")</f>
        <v/>
      </c>
      <c r="IL7" s="7" t="str">
        <f>IF(AND(OR('Job Sheet'!BF13="Beige",'Job Sheet'!BF13="Beige Chain"),OR('Assembly(b)'!D13="3000mm",'Assembly(b)'!D13="3000")),1,"")</f>
        <v/>
      </c>
      <c r="IM7" s="7" t="str">
        <f>IF(AND(OR('Job Sheet'!BF13="Beige",'Job Sheet'!BF13="Beige Chain"),OR('Assembly(b)'!D13="3250mm",'Assembly(b)'!D13="3250")),1,"")</f>
        <v/>
      </c>
      <c r="IN7" s="7" t="str">
        <f>IF(AND(OR('Job Sheet'!BF13="Beige",'Job Sheet'!BF13="Beige Chain"),OR('Assembly(b)'!D13="3500mm",'Assembly(b)'!D13="3500")),1,"")</f>
        <v/>
      </c>
      <c r="IO7" s="7" t="str">
        <f>IF(AND(OR('Job Sheet'!BF13="Beige",'Job Sheet'!BF13="Beige Chain"),OR('Assembly(b)'!D13="3750mm",'Assembly(b)'!D13="3750")),1,"")</f>
        <v/>
      </c>
      <c r="IP7" s="7" t="str">
        <f>IF(AND(OR('Job Sheet'!BF13="Beige",'Job Sheet'!BF13="Beige Chain"),OR('Assembly(b)'!D13="4000mm",'Assembly(b)'!D13="4000")),1,"")</f>
        <v/>
      </c>
      <c r="IQ7" s="7" t="str">
        <f>IF(AND(OR('Job Sheet'!BF13="Stainless Steel",'Job Sheet'!BF13="Stainless Steel Chain"),OR('Assembly(b)'!D13="500mm",'Assembly(b)'!D13="500")),1,"")</f>
        <v/>
      </c>
      <c r="IR7" s="7" t="str">
        <f>IF(AND(OR('Job Sheet'!BF13="Stainless Steel",'Job Sheet'!BF13="Stainless Steel Chain"),OR('Assembly(b)'!D13="750mm",'Assembly(b)'!D13="750")),1,"")</f>
        <v/>
      </c>
      <c r="IS7" s="7" t="str">
        <f>IF(AND(OR('Job Sheet'!BF13="Stainless Steel",'Job Sheet'!BF13="Stainless Steel Chain"),OR('Assembly(b)'!D13="1000mm",'Assembly(b)'!D13="1000")),1,"")</f>
        <v/>
      </c>
      <c r="IT7" s="7" t="str">
        <f>IF(AND(OR('Job Sheet'!BF13="Stainless Steel",'Job Sheet'!BF13="Stainless Steel Chain"),OR('Assembly(b)'!D13="1250mm",'Assembly(b)'!D13="1250")),1,"")</f>
        <v/>
      </c>
      <c r="IU7" s="7" t="str">
        <f>IF(AND(OR('Job Sheet'!BF13="Stainless Steel",'Job Sheet'!BF13="Stainless Steel Chain"),OR('Assembly(b)'!D13="1500mm",'Assembly(b)'!D13="1500")),1,"")</f>
        <v/>
      </c>
      <c r="IV7" s="7" t="str">
        <f>IF(AND(OR('Job Sheet'!BF13="Stainless Steel",'Job Sheet'!BF13="Stainless Steel Chain"),OR('Assembly(b)'!D13="1750mm",'Assembly(b)'!D13="1750")),1,"")</f>
        <v/>
      </c>
      <c r="IW7" s="7" t="str">
        <f>IF(AND(OR('Job Sheet'!BF13="Stainless Steel",'Job Sheet'!BF13="Stainless Steel Chain"),OR('Assembly(b)'!D13="2000mm",'Assembly(b)'!D13="2000")),1,"")</f>
        <v/>
      </c>
      <c r="IX7" s="7" t="str">
        <f>IF(AND(OR('Job Sheet'!BF13="Stainless Steel",'Job Sheet'!BF13="Stainless Steel Chain"),OR('Assembly(b)'!D13="2250mm",'Assembly(b)'!D13="2250")),1,"")</f>
        <v/>
      </c>
      <c r="IY7" s="7" t="str">
        <f>IF(AND(OR('Job Sheet'!BF13="Stainless Steel",'Job Sheet'!BF13="Stainless Steel Chain"),OR('Assembly(b)'!D13="2500mm",'Assembly(b)'!D13="2500")),1,"")</f>
        <v/>
      </c>
      <c r="IZ7" s="7" t="str">
        <f>IF(AND(OR('Job Sheet'!BF13="Stainless Steel",'Job Sheet'!BF13="Stainless Steel Chain"),OR('Assembly(b)'!D13="2750mm",'Assembly(b)'!D13="2750")),1,"")</f>
        <v/>
      </c>
      <c r="JA7" s="7" t="str">
        <f>IF(AND(OR('Job Sheet'!BF13="Stainless Steel",'Job Sheet'!BF13="Stainless Steel Chain"),OR('Assembly(b)'!D13="3000mm",'Assembly(b)'!D13="3000")),1,"")</f>
        <v/>
      </c>
      <c r="JB7" s="7" t="str">
        <f>IF(AND(OR('Job Sheet'!BF13="Stainless Steel",'Job Sheet'!BF13="Stainless Steel Chain"),OR('Assembly(b)'!D13="3250mm",'Assembly(b)'!D13="3250")),1,"")</f>
        <v/>
      </c>
      <c r="JC7" s="7" t="str">
        <f>IF(AND(OR('Job Sheet'!BF13="Stainless Steel",'Job Sheet'!BF13="Stainless Steel Chain"),OR('Assembly(b)'!D13="3500mm",'Assembly(b)'!D13="3500")),1,"")</f>
        <v/>
      </c>
      <c r="JD7" s="7" t="str">
        <f>IF(AND(OR('Job Sheet'!BF13="Stainless Steel",'Job Sheet'!BF13="Stainless Steel Chain"),OR('Assembly(b)'!D13="3750mm",'Assembly(b)'!D13="3750")),1,"")</f>
        <v/>
      </c>
      <c r="JE7" s="7" t="str">
        <f>IF(AND(OR('Job Sheet'!BF13="Stainless Steel",'Job Sheet'!BF13="Stainless Steel Chain"),OR('Assembly(b)'!D13="4000mm",'Assembly(b)'!D13="4000")),1,"")</f>
        <v/>
      </c>
      <c r="JF7" s="7" t="str">
        <f>IF(AND('Assembly(b)'!I13="Yes - L",(OR('Tube Cutting'!C13="43mm",'Tube Cutting'!C13="43mm H/D"))),1,"")</f>
        <v/>
      </c>
      <c r="JG7" s="7" t="str">
        <f>IF(AND('Assembly(b)'!I13="Yes - R",(OR('Tube Cutting'!C13="43mm",'Tube Cutting'!C13="43mm H/D"))),1,"")</f>
        <v/>
      </c>
      <c r="JH7" s="7" t="str">
        <f>IF(AND('Assembly(b)'!I13="Yes - L",'Tube Cutting'!C13="60mm"),1,"")</f>
        <v/>
      </c>
      <c r="JI7" s="7" t="str">
        <f>IF(AND('Assembly(b)'!I13="Yes - R",'Tube Cutting'!C13="60mm"),1,"")</f>
        <v/>
      </c>
      <c r="JJ7" s="7" t="str">
        <f>IF(OR('Job Sheet'!BE13="Black",'Assembly(b)'!J13="N/A"),"",IF(OR('Assembly(b)'!J13="Motor - Female",'Assembly(b)'!J13="Motor - Female with Insert",'Assembly(b)'!J13="Female - Motor",'Assembly(b)'!J13="Chain Winder - Female",'Assembly(b)'!J13="Chain Winder - Female with Insert",'Assembly(b)'!J13="Female - Chain Winder",'Assembly(b)'!J13="Male - Female",'Assembly(b)'!J13="Female - Male",'Assembly(b)'!J13="Male - Female with Insert"),1,""))</f>
        <v/>
      </c>
      <c r="JK7" s="7" t="str">
        <f>IF(OR('Job Sheet'!BE13="White",'Assembly(b)'!J13="N/A"),"",IF(OR('Assembly(b)'!J13="Motor - Female",'Assembly(b)'!J13="Motor - Female with Insert",'Assembly(b)'!J13="Female - Motor",'Assembly(b)'!J13="Chain Winder - Female",'Assembly(b)'!J13="Chain Winder - Female with Insert",'Assembly(b)'!J13="Female - Chain Winder",'Assembly(b)'!J13="Male - Female",'Assembly(b)'!J13="Female - Male",'Assembly(b)'!J13="Male - Female with Insert"),1,""))</f>
        <v/>
      </c>
      <c r="JL7" s="7" t="str">
        <f>IF(OR('Job Sheet'!BE13="White",'Assembly(b)'!J13="N/A"),"",IF(OR('Assembly(b)'!J13="Motor - Male",'Assembly(b)'!J13="Male - Motor",'Assembly(b)'!J13="Chain Winder - Male",'Assembly(b)'!J13="Male - Chain Winder",'Assembly(b)'!J13="Male - Female",'Assembly(b)'!J13="Female - Male",'Assembly(b)'!J13="Male - Idle",'Assembly(b)'!J13="Idle - Male"),1,""))</f>
        <v/>
      </c>
      <c r="JM7" s="7" t="str">
        <f>IF(OR('Job Sheet'!BE13="White",'Job Sheet'!BE13="Birch White",'Job Sheet'!BE13="Grey",'Job Sheet'!BE13="Beige",'Assembly(b)'!J13="N/A"),"",IF(OR('Assembly(b)'!J13="Motor - Male",'Assembly(b)'!J13="Male - Motor",'Assembly(b)'!J13="Chain Winder - Male",'Assembly(b)'!J13="Male - Chain Winder",'Assembly(b)'!J13="Male - Female",'Assembly(b)'!J13="Female - Male",'Assembly(b)'!J13="Male - Idle",'Assembly(b)'!J13="Idle - Male"),1,""))</f>
        <v/>
      </c>
      <c r="JN7" s="7" t="str">
        <f>IF(OR('Job Sheet'!BE13="Black",'Assembly(b)'!J13="N/A"),"",IF(OR('Assembly(b)'!J13="Motor - 60mm Female",'Assembly(b)'!J13="60mm Female - Motor",'Assembly(b)'!J13="Chain Winder - 60mm Female",'Assembly(b)'!J13="60mm Female - Chain Winder",'Assembly(b)'!J13="60mm Male - 60mm Female",'Assembly(b)'!J13="60mm Female - 60mm Male"),1,""))</f>
        <v/>
      </c>
      <c r="JO7" s="7" t="str">
        <f>IF(OR('Job Sheet'!BE13="White",'Assembly(b)'!J13="N/A"),"",IF(OR('Assembly(b)'!J13="Motor - 60mm Female",'Assembly(b)'!J13="60mm Female - Motor",'Assembly(b)'!J13="Chain Winder - 60mm Female",'Assembly(b)'!J13="60mm Female - Chain Winder",'Assembly(b)'!J13="60mm Male - 60mm Female",'Assembly(b)'!J13="60mm Female - 60mm Male"),1,""))</f>
        <v/>
      </c>
      <c r="JP7" s="7" t="str">
        <f>IF(OR('Job Sheet'!BE13="Black",'Assembly(b)'!J13="N/A"),"",IF(OR('Assembly(b)'!J13="Motor - 60mm Male",'Assembly(b)'!J13="60mm Male - Motor",'Assembly(b)'!J13="Chain Winder - 60mm Male",'Assembly(b)'!J13="60mm Male - Chain Winder",'Assembly(b)'!J13="60mm Male - 60mm Female",'Assembly(b)'!J13="60mm Female - 60mm Male"),1,""))</f>
        <v/>
      </c>
      <c r="JQ7" s="7" t="str">
        <f>IF(OR('Job Sheet'!BE13="White",'Assembly(b)'!J13="N/A"),"",IF(OR('Assembly(b)'!J13="Motor - 60mm Male",'Assembly(b)'!J13="60mm Male - Motor",'Assembly(b)'!J13="Chain Winder - 60mm Male",'Assembly(b)'!J13="60mm Male - Chain Winder",'Assembly(b)'!J13="60mm Male - 60mm Female",'Assembly(b)'!J13="60mm Female - 60mm Male"),1,""))</f>
        <v/>
      </c>
      <c r="JR7" s="7" t="str">
        <f>IF('Assembly(b)'!F13="Standard Spring",1,"")</f>
        <v/>
      </c>
      <c r="JS7" s="7" t="str">
        <f>IF('Assembly(b)'!F13="Small Spring",1,"")</f>
        <v/>
      </c>
      <c r="JT7" s="7">
        <f>IF(D7="","",IF(OR(SUM(R7:V7)=0,'Tube Cutting'!E13="Bottom Rail in Pocket"),"",SUM(R7:V7)))</f>
        <v>845</v>
      </c>
      <c r="JU7" s="7" t="str">
        <f>IF('Job Sheet'!BE13="Silver Pull Ring",1,"")</f>
        <v/>
      </c>
      <c r="JV7" s="7" t="str">
        <f>IF('Job Sheet'!BE13="Gold Pull Ring",1,"")</f>
        <v/>
      </c>
      <c r="JW7" s="7" t="str">
        <f>IF(AND('Job Sheet'!BE13="White",'Assembly(b)'!E13="60mm"),1,"")</f>
        <v/>
      </c>
      <c r="JX7" s="7" t="str">
        <f>IF(AND('Job Sheet'!BE13="Black",'Assembly(b)'!E13="60mm"),1,"")</f>
        <v/>
      </c>
      <c r="JY7" s="7" t="str">
        <f>IF(AND(OR('Assembly(b)'!G13="White",'Assembly(b)'!J13="N/A"),(OR(AND('Assembly(b)'!F13="Chain Winder",'Assembly(b)'!E13="60mm"),'Job Sheet'!AR13="Acmeda External Motor",'Job Sheet'!AR13="Somfy External CBUS Motor",'Job Sheet'!AR13="Somfy External Remote Motor"))),1,IF(AND('Assembly(b)'!G13="White",(OR('Assembly(b)'!J13="60mm Male - 60mm Idle",'Assembly(b)'!J13="60mm Idle - 60mm Male"))),1,""))</f>
        <v/>
      </c>
      <c r="JZ7" s="7" t="str">
        <f>IF(AND(OR('Assembly(b)'!G13="Black",'Assembly(b)'!J13="N/A"),(OR(AND('Assembly(b)'!F13="Chain Winder",'Assembly(b)'!E13="60mm"),'Job Sheet'!AR13="Acmeda External Motor",'Job Sheet'!AR13="Somfy External CBUS Motor",'Job Sheet'!AR13="Somfy External Remote Motor"))),1,IF(AND('Assembly(b)'!G13="Black",(OR('Assembly(b)'!J13="60mm Male - 60mm Idle",'Assembly(b)'!J13="60mm Idle - 60mm Male"))),1,""))</f>
        <v/>
      </c>
      <c r="KA7" s="7" t="str">
        <f t="shared" si="3"/>
        <v/>
      </c>
      <c r="KB7" s="7" t="str">
        <f t="shared" si="4"/>
        <v/>
      </c>
      <c r="KC7" s="7" t="str">
        <f>IF('Tube Cutting'!J13&lt;&gt;"Zipscreen Hooding",JW7,"")</f>
        <v/>
      </c>
      <c r="KD7" s="7" t="str">
        <f>IF('Tube Cutting'!J13&lt;&gt;"Zipscreen Hooding",JX7,"")</f>
        <v/>
      </c>
      <c r="KE7" s="7" t="str">
        <f t="shared" si="5"/>
        <v/>
      </c>
      <c r="KF7" s="7" t="str">
        <f t="shared" si="6"/>
        <v/>
      </c>
      <c r="KG7" s="7">
        <f>IF(D7="","",IF(OR(Bagging!F13="Yes - Attach",Bagging!F13="Yes"),1,""))</f>
        <v>1</v>
      </c>
      <c r="KH7" s="7">
        <f t="shared" si="7"/>
        <v>2</v>
      </c>
      <c r="KI7" s="7" t="str">
        <f>IF('Assembly(b)'!F13="Acmeda E6 Motor",1,"")</f>
        <v/>
      </c>
      <c r="KJ7" s="7" t="str">
        <f>IF('Assembly(b)'!F13="Acmeda M6 Motor",1,"")</f>
        <v/>
      </c>
      <c r="KK7" s="7" t="str">
        <f>IF('Assembly(b)'!F13="0.7nm 12v Acmeda Motor",1,"")</f>
        <v/>
      </c>
      <c r="KL7" s="7" t="str">
        <f>IF('Assembly(b)'!F13="1.1nm 12v Acmeda Motor",1,"")</f>
        <v/>
      </c>
      <c r="KM7" s="7" t="str">
        <f>IF('Assembly(b)'!F13="2nm 12v Acmeda Motor",1,"")</f>
        <v/>
      </c>
      <c r="KN7" s="7" t="str">
        <f>IF('Assembly(b)'!F13="Acmeda 12v 6nm Motor",1,"")</f>
        <v/>
      </c>
      <c r="KO7" s="7" t="str">
        <f>IF('Assembly(b)'!F13="Acmeda 10nm 12v Motor",1,"")</f>
        <v/>
      </c>
      <c r="KP7" s="7" t="str">
        <f>IF('Assembly(b)'!F13="Acmeda FT 15Nm Motor",1,"")</f>
        <v/>
      </c>
      <c r="KQ7" s="7" t="str">
        <f>IF('Assembly(b)'!F13="1.1nm 12v Acmeda DCRF Motor",1,"")</f>
        <v/>
      </c>
      <c r="KR7" s="7" t="str">
        <f>IF('Assembly(b)'!F13="2nm 12v Acmeda DCRF Motor",1,"")</f>
        <v/>
      </c>
      <c r="KS7" s="7" t="str">
        <f>IF('Assembly(b)'!F13="Sonesse 40 RTS 3/30 with Inline Connector Motor",1,"")</f>
        <v/>
      </c>
      <c r="KT7" s="7" t="str">
        <f>IF('Assembly(b)'!F13="Sonesse 40 WT 3/30 with Inline Connector Motor",1,"")</f>
        <v/>
      </c>
      <c r="KU7" s="7" t="str">
        <f>IF('Assembly(b)'!F13="Somfy 12v Remote Sonesse Motor",1,"")</f>
        <v/>
      </c>
      <c r="KV7" s="7" t="str">
        <f>IF('Assembly(b)'!F13="Sonesse 50 RTS 6/17 RH Motor",1,"")</f>
        <v/>
      </c>
      <c r="KW7" s="7" t="str">
        <f>IF('Assembly(b)'!F13="Sonesse 50 WT 10/28 Motor",1,"")</f>
        <v/>
      </c>
      <c r="KX7" s="7" t="str">
        <f>IF('Assembly(b)'!F13="Becker P4-30-C12A Motor",1,"")</f>
        <v/>
      </c>
      <c r="KY7" s="7" t="str">
        <f>IF('Assembly(b)'!F13="Becker cBus Motor",1,"")</f>
        <v/>
      </c>
      <c r="KZ7" s="7" t="str">
        <f>IF('Assembly(b)'!F13="Becker R20-17-C12A Motor",1,"")</f>
        <v/>
      </c>
      <c r="LA7" s="7" t="str">
        <f>IF('Assembly(b)'!F13="Becker cBus Motor",1,"")</f>
        <v/>
      </c>
      <c r="LB7" s="7" t="str">
        <f t="shared" si="57"/>
        <v/>
      </c>
      <c r="LC7" s="7" t="str">
        <f t="shared" si="58"/>
        <v/>
      </c>
      <c r="LD7" s="7" t="str">
        <f t="shared" si="59"/>
        <v/>
      </c>
      <c r="LE7" s="7" t="str">
        <f t="shared" si="60"/>
        <v/>
      </c>
      <c r="LF7" s="7" t="str">
        <f t="shared" si="12"/>
        <v/>
      </c>
      <c r="LG7" s="7" t="str">
        <f t="shared" si="13"/>
        <v/>
      </c>
      <c r="LH7" s="7" t="str">
        <f>IF(KO7="","",IF(OR('Tube Cutting'!C13="60mm",'Tube Cutting'!C13="80mm"),SUM(KO7,KP7),""))</f>
        <v/>
      </c>
      <c r="LI7" s="7" t="str">
        <f t="shared" si="61"/>
        <v/>
      </c>
      <c r="LJ7" s="7" t="str">
        <f t="shared" si="62"/>
        <v/>
      </c>
      <c r="LK7" s="7" t="str">
        <f t="shared" si="16"/>
        <v/>
      </c>
      <c r="LL7" s="7" t="str">
        <f t="shared" si="17"/>
        <v/>
      </c>
      <c r="LM7" s="7" t="str">
        <f t="shared" si="18"/>
        <v/>
      </c>
      <c r="LN7" s="7" t="str">
        <f t="shared" si="19"/>
        <v/>
      </c>
      <c r="LO7" s="7" t="str">
        <f t="shared" si="63"/>
        <v/>
      </c>
      <c r="LP7" s="7" t="str">
        <f>IF(AND(KP7=1,'Job Sheet'!BE13="Black"),1,"")</f>
        <v/>
      </c>
      <c r="LQ7" s="7" t="str">
        <f>IF(AND(KP7=1,'Job Sheet'!BE13="White"),1,"")</f>
        <v/>
      </c>
      <c r="LR7" s="7" t="str">
        <f t="shared" si="21"/>
        <v/>
      </c>
      <c r="LS7" s="7" t="str">
        <f t="shared" si="64"/>
        <v/>
      </c>
      <c r="LT7" s="7" t="str">
        <f t="shared" si="65"/>
        <v/>
      </c>
      <c r="LU7" s="7" t="str">
        <f t="shared" si="66"/>
        <v/>
      </c>
      <c r="LV7" s="7" t="str">
        <f t="shared" si="67"/>
        <v/>
      </c>
      <c r="LW7" s="7" t="str">
        <f>IF(OR('Tube Cutting'!C13="60mm",'Tube Cutting'!C13="80mm"),SUM(KV7,KW7),"")</f>
        <v/>
      </c>
      <c r="LX7" s="7" t="str">
        <f t="shared" si="68"/>
        <v/>
      </c>
      <c r="LY7" s="7" t="str">
        <f t="shared" si="69"/>
        <v/>
      </c>
      <c r="LZ7" s="7" t="str">
        <f t="shared" si="70"/>
        <v/>
      </c>
      <c r="MA7" s="7" t="str">
        <f t="shared" si="71"/>
        <v/>
      </c>
      <c r="MB7" s="7" t="str">
        <f t="shared" si="72"/>
        <v/>
      </c>
      <c r="MC7" s="7" t="str">
        <f t="shared" si="73"/>
        <v/>
      </c>
      <c r="MD7" s="7" t="str">
        <f t="shared" si="74"/>
        <v/>
      </c>
      <c r="ME7" s="7" t="str">
        <f t="shared" si="75"/>
        <v/>
      </c>
      <c r="MF7" s="7" t="str">
        <f>IF('Job Sheet'!N13="Pulse Pro Automation Hub",1,"")</f>
        <v/>
      </c>
      <c r="MG7" s="7" t="str">
        <f>IF('Job Sheet'!N13="Solar Panel",1,"")</f>
        <v/>
      </c>
      <c r="MH7" s="7" t="str">
        <f>IF(AND('Job Sheet'!N13="12v Wall Charger with 4m USB Cable",KN7="",KO7=""),1,"")</f>
        <v/>
      </c>
      <c r="MI7" s="7" t="str">
        <f>IF(Bagging!I13="12v Wall Charger with Cable to suit 3nm Motor",1,"")</f>
        <v/>
      </c>
      <c r="MJ7" s="7" t="str">
        <f t="array" ref="MJ7">IF(OR('Job Sheet'!N13="210mm Extension Charging Cable",AND(bpLOOKUP(Data!$AV13,"CONTROLS",CustOrdOpt,6,FALSE)="Acmeda 12v Motor",OL7=1)),1,"")</f>
        <v/>
      </c>
      <c r="MK7" s="7" t="str">
        <f>IF('Job Sheet'!N13="1200mm Extension Charging Cable",1,"")</f>
        <v/>
      </c>
      <c r="ML7" s="7" t="str">
        <f>IF('Job Sheet'!N13="1 Channel Dry Contact Relay Module",1,"")</f>
        <v/>
      </c>
      <c r="MM7" s="7" t="str">
        <f>IF('Job Sheet'!N13="USB Repeater",1,"")</f>
        <v/>
      </c>
      <c r="MN7" s="7" t="str">
        <f>IF(OR('Assembly(b)'!F13="1.1nm 12v Acmeda DCRF Motor",'Assembly(b)'!F13="2nm 12v Acmeda DCRF Motor"),1,"")</f>
        <v/>
      </c>
      <c r="MO7" s="7" t="str">
        <f>IF('Job Sheet'!N13="DC Panel",1,"")</f>
        <v/>
      </c>
      <c r="MP7" s="7" t="str">
        <f t="array" ref="MP7">IF(AND(bpLOOKUP(Data!$AV13,"CONTROLS",CustOrdOpt,6,FALSE)="Acmeda 12v Motor",Bagging!G13="White"),1,"")</f>
        <v/>
      </c>
      <c r="MQ7" s="7" t="str">
        <f t="array" ref="MQ7">IF(AND(bpLOOKUP(Data!$AV13,"CONTROLS",CustOrdOpt,6,FALSE)="Acmeda 12v Motor",Bagging!G13="Black"),1,"")</f>
        <v/>
      </c>
      <c r="MR7" s="7" t="str">
        <f>IF('Job Sheet'!R13="Acmeda 1 Channel White Remote",1,"")</f>
        <v/>
      </c>
      <c r="MS7" s="7" t="str">
        <f>IF('Job Sheet'!R13="Acmeda 1 Channel Black Remote",1,"")</f>
        <v/>
      </c>
      <c r="MT7" s="7" t="str">
        <f>IF('Job Sheet'!R13="Acmeda 5 Channel White Remote",1,"")</f>
        <v/>
      </c>
      <c r="MU7" s="7" t="str">
        <f>IF('Job Sheet'!R13="Acmeda 5 Channel Black Remote",1,"")</f>
        <v/>
      </c>
      <c r="MV7" s="7" t="str">
        <f>IF('Job Sheet'!R13="Acmeda 15 Channel White Remote",1,"")</f>
        <v/>
      </c>
      <c r="MW7" s="7" t="str">
        <f>IF('Job Sheet'!R13="Acmeda 15 Channel Black Remote",1,"")</f>
        <v/>
      </c>
      <c r="MX7" s="7" t="str">
        <f>IF('Job Sheet'!R13="Acmeda Wall Mounted Single Channel White Remote",1,"")</f>
        <v/>
      </c>
      <c r="MY7" s="7" t="str">
        <f>IF('Job Sheet'!R13="Acmeda Wall Mounted 2 Channel White Remote",1,"")</f>
        <v/>
      </c>
      <c r="MZ7" s="7" t="str">
        <f>IF('Job Sheet'!R13="Acmeda Wall Mounted 5 Channel White Remote",1,"")</f>
        <v/>
      </c>
      <c r="NA7" s="7" t="str">
        <f>IF('Job Sheet'!R13="Acmeda Wall Mounted 15 Channel White Remote",1,"")</f>
        <v/>
      </c>
      <c r="NB7" s="7" t="str">
        <f>IF('Job Sheet'!R13="Acmeda Push Pro White Remote","1","")</f>
        <v/>
      </c>
      <c r="NC7" s="7" t="str">
        <f>IF('Job Sheet'!R13="Acmeda Push Pro Black Remote","1","")</f>
        <v/>
      </c>
      <c r="ND7" s="7" t="str">
        <f>IF(OR('Job Sheet'!R13="Acmeda Push Pro White Remote with Charger",'Job Sheet'!R13="Acmeda Push Pro Black Remote with Charger"),1,"")</f>
        <v/>
      </c>
      <c r="NE7" s="7" t="str">
        <f t="shared" si="34"/>
        <v/>
      </c>
      <c r="NF7" s="7" t="str">
        <f>IF('Job Sheet'!R13="Somfy Single Channel White Remote",1,"")</f>
        <v/>
      </c>
      <c r="NG7" s="7" t="str">
        <f>IF('Job Sheet'!R13="Somfy Single Channel Silver Remote",1,"")</f>
        <v/>
      </c>
      <c r="NH7" s="7" t="str">
        <f>IF('Job Sheet'!R13="Somfy 2 Channel White Remote",1,"")</f>
        <v/>
      </c>
      <c r="NI7" s="7" t="str">
        <f>IF('Job Sheet'!R13="Somfy 2 Channel Silver Remote",1,"")</f>
        <v/>
      </c>
      <c r="NJ7" s="7" t="str">
        <f>IF('Job Sheet'!R13="Somfy 5 Channel White Remote",1,"")</f>
        <v/>
      </c>
      <c r="NK7" s="7" t="str">
        <f>IF('Job Sheet'!R13="Somfy 5 Channel Silver Remote",1,"")</f>
        <v/>
      </c>
      <c r="NL7" s="7" t="str">
        <f>IF('Job Sheet'!R13="Somfy 15 Channel White Remote",1,"")</f>
        <v/>
      </c>
      <c r="NM7" s="7" t="str">
        <f>IF('Job Sheet'!R13="Somfy 15 Channel Black Remote",1,"")</f>
        <v/>
      </c>
      <c r="NN7" s="7" t="str">
        <f>IF(OR('Job Sheet'!R13="Somfy Single Channel Wall Mounted Smoove Remote White",'Job Sheet'!R13="Somfy Single Channel Wall Mounted Smoove Remote White with Black Cover Plate",'Job Sheet'!R13="Somfy Single Channel Wall Mounted Smoove Remote White with Silver Cover Plate"),1,"")</f>
        <v/>
      </c>
      <c r="NO7" s="7" t="str">
        <f>IF(OR('Job Sheet'!R13="Somfy 2 Channel Wall Mounted Smoove Remote White",'Job Sheet'!R13="Somfy 2 Channel Wall Mounted Smoove Remote White with Black Cover Plate",'Job Sheet'!R13="Somfy 2 Channel Wall Mounted Smoove Remote White with Silver Cover Plate"),1,"")</f>
        <v/>
      </c>
      <c r="NP7" s="7" t="str">
        <f>IF(OR('Job Sheet'!R13="Somfy 5 Channel Wall Mounted Smoove Remote White",'Job Sheet'!R13="Somfy 5 Channel Wall Mounted Smoove Remote White with Black Cover Plate",'Job Sheet'!R13="Somfy 5 Channel Wall Mounted Smoove Remote White with Silver Cover Plate"),1,"")</f>
        <v/>
      </c>
      <c r="NQ7" s="7" t="str">
        <f>IF(OR('Job Sheet'!R13="Somfy Single Channel Wall Mounted Smoove Remote White with Black Cover Plate",'Job Sheet'!R13="Somfy 2 Channel Wall Mounted Smoove Remote White with Black Cover Plate",'Job Sheet'!R13="Somfy 5 Channel Wall Mounted Smoove Remote White with Black Cover Plate"),1,"")</f>
        <v/>
      </c>
      <c r="NR7" s="7" t="str">
        <f>IF(OR('Job Sheet'!R13="Somfy Single Channel Wall Mounted Smoove Remote White with Silver Cover Plate",'Job Sheet'!R13="Somfy 2 Channel Wall Mounted Smoove Remote White with Silver Cover Plate",'Job Sheet'!R13="Somfy 5 Channel Wall Mounted Smoove Remote White with Silver Cover Plate"),1,"")</f>
        <v/>
      </c>
      <c r="NS7" s="7" t="str">
        <f>IF(Bagging!I13="Charging Cable",1,"")</f>
        <v/>
      </c>
      <c r="NT7" s="7" t="str">
        <f>IF('Job Sheet'!N13="Connexoon App Connector",1,"")</f>
        <v/>
      </c>
      <c r="NU7" s="7" t="str">
        <f>IF('Job Sheet'!R13="Becker Single Channel White Remote",1,"")</f>
        <v/>
      </c>
      <c r="NV7" s="7" t="str">
        <f>IF('Job Sheet'!R13="Becker Single Channel Black Remote",1,"")</f>
        <v/>
      </c>
      <c r="NW7" s="7" t="str">
        <f>IF('Job Sheet'!R13="Becker 5 Channel White Remote",1,"")</f>
        <v/>
      </c>
      <c r="NX7" s="7" t="str">
        <f>IF('Job Sheet'!R13="Becker 5 Channel Black Remote",1,"")</f>
        <v/>
      </c>
      <c r="NY7" s="7" t="str">
        <f>IF('Job Sheet'!R13="Becker 10 Channel White Remote",1,"")</f>
        <v/>
      </c>
      <c r="NZ7" s="7" t="str">
        <f>IF('Job Sheet'!R13="Becker 10 Channel Black Remote",1,"")</f>
        <v/>
      </c>
      <c r="OA7" s="7" t="str">
        <f>IF('Job Sheet'!R13="Becker Wall Mounted Single Channel White Remote",1,"")</f>
        <v/>
      </c>
      <c r="OB7" s="7" t="str">
        <f>IF('Job Sheet'!R13="Becker Wall Mounted 5 Channel White Remote",1,"")</f>
        <v/>
      </c>
      <c r="OC7" s="7" t="str">
        <f>IF('Job Sheet'!R13="Wall Switch",1,"")</f>
        <v/>
      </c>
      <c r="OD7" s="7" t="str">
        <f t="shared" si="76"/>
        <v/>
      </c>
      <c r="OE7" s="7" t="str">
        <f t="shared" si="77"/>
        <v/>
      </c>
      <c r="OF7" s="7" t="str">
        <f t="shared" si="78"/>
        <v/>
      </c>
      <c r="OG7" s="7" t="str">
        <f t="shared" si="79"/>
        <v/>
      </c>
      <c r="OH7" s="7" t="str">
        <f t="shared" si="80"/>
        <v/>
      </c>
      <c r="OI7" s="7" t="str">
        <f t="shared" si="81"/>
        <v/>
      </c>
      <c r="OJ7" s="7" t="str">
        <f t="shared" si="82"/>
        <v/>
      </c>
      <c r="OK7" s="7" t="str">
        <f t="shared" si="83"/>
        <v/>
      </c>
      <c r="OL7" s="7" t="str">
        <f t="shared" si="36"/>
        <v/>
      </c>
      <c r="OM7" s="7" t="str">
        <f>IF(AND(OR('Tube Cutting'!J13="Square Cassette",'Tube Cutting'!J13="Square Cassette with Side Channels",'Tube Cutting'!J13="Square Cassette with Side &amp; Bottom Channels"),'Job Sheet'!L13="Chain Winder",'Job Sheet'!M13="Left"),1,"")</f>
        <v/>
      </c>
      <c r="ON7" s="7" t="str">
        <f>IF(AND(OR('Tube Cutting'!J13="Square Cassette",'Tube Cutting'!J13="Square Cassette with Side Channels",'Tube Cutting'!J13="Square Cassette with Side &amp; Bottom Channels"),'Job Sheet'!L13="Chain Winder",'Job Sheet'!M13="Right"),1,"")</f>
        <v/>
      </c>
      <c r="OO7" s="7" t="str">
        <f>IF(AND(OR('Tube Cutting'!J13="Round Cassette",'Tube Cutting'!J13="Round Cassette with Side Channels",'Tube Cutting'!J13="Round Cassette with Side &amp; Bottom Channels"),'Job Sheet'!L13="Chain Winder",'Job Sheet'!M13="Left"),1,"")</f>
        <v/>
      </c>
      <c r="OP7" s="7" t="str">
        <f>IF(AND(OR('Tube Cutting'!J13="Round Cassette",'Tube Cutting'!J13="Round Cassette with Side Channels",'Tube Cutting'!J13="Round Cassette with Side &amp; Bottom Channels"),'Job Sheet'!L13="Chain Winder",'Job Sheet'!M13="Right"),1,"")</f>
        <v/>
      </c>
      <c r="OQ7" s="7" t="str">
        <f>IF('Tube Cutting'!E13="D30 Bottom Rail with Noise Reducing Strip &amp; Fluffy Strip",'Tube Cutting'!D13,"")</f>
        <v/>
      </c>
      <c r="OR7" s="7" t="str">
        <f>Pelmets!L13</f>
        <v/>
      </c>
      <c r="OS7" s="7" t="str">
        <f>Pelmets!M13</f>
        <v/>
      </c>
      <c r="OT7" s="7" t="str">
        <f t="shared" si="37"/>
        <v/>
      </c>
      <c r="OU7" s="7" t="str">
        <f t="shared" si="38"/>
        <v/>
      </c>
      <c r="OV7" s="7" t="str">
        <f t="shared" si="39"/>
        <v/>
      </c>
      <c r="OW7" s="7" t="str">
        <f t="shared" si="40"/>
        <v/>
      </c>
      <c r="OX7" s="7" t="str">
        <f t="shared" si="41"/>
        <v/>
      </c>
      <c r="OY7" s="7" t="str">
        <f t="shared" si="42"/>
        <v/>
      </c>
      <c r="OZ7" s="7" t="str">
        <f t="shared" si="43"/>
        <v/>
      </c>
      <c r="PA7" s="7" t="str">
        <f t="shared" si="44"/>
        <v/>
      </c>
      <c r="PB7" s="7" t="str">
        <f>IF(AND('Job Sheet'!J13="Reveal",OR('Tube Cutting'!J13="Aluminium Valance",'Tube Cutting'!J13="Aluminium Valance - Fabric Covered")),VLOOKUP('Job Sheet'!G13,PelmetBrackets,2,TRUE),"")</f>
        <v/>
      </c>
      <c r="PC7" s="7" t="str">
        <f>IF(Pelmets!F13="1 x Valance Centre Join Bracket",1,"")</f>
        <v/>
      </c>
      <c r="PD7" s="7" t="str">
        <f>IF(AND(Pelmets!H13="Black",(OR('Tube Cutting'!J13="Aluminium Valance",'Tube Cutting'!J13="Aluminium Valance - Fabric Covered"))),1,"")</f>
        <v/>
      </c>
      <c r="PE7" s="7" t="str">
        <f>IF(AND(Pelmets!H13="White",(OR('Tube Cutting'!J13="Aluminium Valance",'Tube Cutting'!J13="Aluminium Valance - Fabric Covered"))),1,"")</f>
        <v/>
      </c>
      <c r="PF7" s="7" t="str">
        <f>IF(AND(Pelmets!H13="Cream",(OR('Tube Cutting'!J13="Aluminium Valance",'Tube Cutting'!J13="Aluminium Valance - Fabric Covered"))),1,"")</f>
        <v/>
      </c>
      <c r="PG7" s="7" t="str">
        <f>IF(AND(Pelmets!H13="Grey",(OR('Tube Cutting'!J13="Aluminium Valance",'Tube Cutting'!J13="Aluminium Valance - Fabric Covered"))),1,"")</f>
        <v/>
      </c>
      <c r="PH7" s="7" t="str">
        <f>IF('Job Sheet'!AA13="Aluminium Valance - Fabric Covered",AY7,"")</f>
        <v/>
      </c>
      <c r="PI7" s="7" t="str">
        <f t="shared" si="45"/>
        <v/>
      </c>
      <c r="PJ7" s="7" t="str">
        <f t="shared" si="46"/>
        <v/>
      </c>
      <c r="PK7" s="7" t="str">
        <f t="shared" si="47"/>
        <v/>
      </c>
      <c r="PL7" s="7" t="str">
        <f t="shared" si="48"/>
        <v/>
      </c>
      <c r="PM7" s="7" t="str">
        <f>IF('Tube Cutting'!J13="Aluminium Pelmet",Pelmets!F13,"")</f>
        <v/>
      </c>
      <c r="PN7" s="7" t="str">
        <f>IF('Job Sheet'!AA13="Mounting Rail",VLOOKUP('Job Sheet'!G13,PelmetBrackets,2,TRUE),"")</f>
        <v/>
      </c>
      <c r="PO7" s="7" t="str">
        <f>IF('Job Sheet'!AA13="Mounting Rail",4,"")</f>
        <v/>
      </c>
      <c r="PP7" s="7" t="str">
        <f>IF('Tube Cutting'!J13="Zipscreen Hooding",1,"")</f>
        <v/>
      </c>
      <c r="PQ7" s="7" t="str">
        <f>IF(AND(PP7=1,'Job Sheet'!AB13="White"),1,"")</f>
        <v/>
      </c>
      <c r="PR7" s="7" t="str">
        <f>IF(AND(PP7=1,'Job Sheet'!AB13="Black"),1,"")</f>
        <v/>
      </c>
      <c r="PS7" s="7" t="str">
        <f>IF(AND(PP7=1,'Job Sheet'!AB13="Grey"),1,"")</f>
        <v/>
      </c>
      <c r="PT7" s="7" t="str">
        <f>IF(AND(PP7=1,'Job Sheet'!L13="Chain Winder",'Job Sheet'!AV13="60mm"),1,"")</f>
        <v/>
      </c>
      <c r="PU7" s="7" t="str">
        <f t="shared" si="49"/>
        <v/>
      </c>
      <c r="PV7" s="7" t="str">
        <f t="shared" si="50"/>
        <v/>
      </c>
      <c r="PW7" s="7" t="str">
        <f t="shared" si="51"/>
        <v/>
      </c>
    </row>
    <row r="8" spans="4:439" s="7" customFormat="1" ht="12" customHeight="1">
      <c r="D8" s="7" t="str">
        <f>IF('Tube Cutting'!D14="","",CONCATENATE(Data!BC$5,".",Data!BD$5))</f>
        <v>40426.A</v>
      </c>
      <c r="E8" s="7">
        <f>IF(D8="","",Data!AW14)</f>
        <v>12</v>
      </c>
      <c r="F8" s="7" t="str">
        <f>IF(D8="","",Data!AV14)</f>
        <v>277bf423-7c0c-4910-9414-148921e1f124</v>
      </c>
      <c r="G8" s="7" t="str">
        <f>IF(D8="","",Data!BF$5)</f>
        <v>Evans, Belinda </v>
      </c>
      <c r="H8" s="7" t="str">
        <f>IF(D8="","",Data!AX$5)</f>
        <v>Sheers and Rollers</v>
      </c>
      <c r="I8" s="7" t="str">
        <f>'Job Sheet'!I14</f>
        <v>Texstyle Focus Blockout Polar</v>
      </c>
      <c r="J8" s="7">
        <f t="shared" si="52"/>
        <v>3.44907</v>
      </c>
      <c r="K8" s="7">
        <f>'Fabric Cutting'!F14</f>
        <v>2017</v>
      </c>
      <c r="L8" s="7">
        <f>'Job Sheet'!AZ14</f>
        <v>1710</v>
      </c>
      <c r="M8" s="7">
        <f>IF('Tube Cutting'!C14="38mm",'Tube Cutting'!D14,"")</f>
        <v>2019</v>
      </c>
      <c r="N8" s="7" t="str">
        <f>IF('Tube Cutting'!C14="43mm",'Tube Cutting'!D14,"")</f>
        <v/>
      </c>
      <c r="O8" s="7" t="str">
        <f>IF('Tube Cutting'!C14="43mm H/D",'Tube Cutting'!D14,"")</f>
        <v/>
      </c>
      <c r="P8" s="7" t="str">
        <f>IF('Tube Cutting'!C14="60mm",'Tube Cutting'!D14,"")</f>
        <v/>
      </c>
      <c r="Q8" s="7" t="str">
        <f>IF('Tube Cutting'!C14="80mm",'Tube Cutting'!D14,"")</f>
        <v/>
      </c>
      <c r="R8" s="7">
        <f>IF(AND('Job Sheet'!BD14="Anodised Silver",(OR('Tube Cutting'!E14="D30 Bottom Rail",'Tube Cutting'!E14="D30 Bottom Rail with Noise Reducing Strip",'Tube Cutting'!E14="D30 Bottom Rail with Noise Reducing Strip &amp; Fluffy Strip",'Tube Cutting'!E14="Bottom Rail in Pocket",'Tube Cutting'!E14="Bottom Rail in Pocket with Round Cut Out",'Tube Cutting'!E14="Bottom Rail in Pocket with Square Cut Out"))),'Tube Cutting'!G14,"")</f>
        <v>2019</v>
      </c>
      <c r="S8" s="7" t="str">
        <f>IF(AND('Job Sheet'!BD14="White",(OR('Tube Cutting'!E14="D30 Bottom Rail",'Tube Cutting'!E14="D30 Bottom Rail with Noise Reducing Strip",'Tube Cutting'!E14="D30 Bottom Rail with Noise Reducing Strip &amp; Fluffy Strip",'Tube Cutting'!E14="Bottom Rail in Pocket",'Tube Cutting'!E14="Bottom Rail in Pocket with Round Cut Out",'Tube Cutting'!E14="Bottom Rail in Pocket with Square Cut Out"))),'Tube Cutting'!G14,"")</f>
        <v/>
      </c>
      <c r="T8" s="7" t="str">
        <f>IF(AND('Job Sheet'!BD14="Black",(OR('Tube Cutting'!E14="D30 Bottom Rail",'Tube Cutting'!E14="D30 Bottom Rail with Noise Reducing Strip",'Tube Cutting'!E14="D30 Bottom Rail with Noise Reducing Strip &amp; Fluffy Strip",'Tube Cutting'!E14="Bottom Rail in Pocket",'Tube Cutting'!E14="Bottom Rail in Pocket with Round Cut Out",'Tube Cutting'!E14="Bottom Rail in Pocket with Square Cut Out"))),'Tube Cutting'!G14,"")</f>
        <v/>
      </c>
      <c r="U8" s="7" t="str">
        <f>IF(AND('Job Sheet'!BD14="Sandstone",(OR('Tube Cutting'!E14="D30 Bottom Rail",'Tube Cutting'!E14="D30 Bottom Rail with Noise Reducing Strip",'Tube Cutting'!E14="D30 Bottom Rail with Noise Reducing Strip &amp; Fluffy Strip",'Tube Cutting'!E14="Bottom Rail in Pocket",'Tube Cutting'!E14="Bottom Rail in Pocket with Round Cut Out",'Tube Cutting'!E14="Bottom Rail in Pocket with Square Cut Out"))),'Tube Cutting'!G14,"")</f>
        <v/>
      </c>
      <c r="V8" s="7" t="str">
        <f>IF(AND('Job Sheet'!BD14="Bone",(OR('Tube Cutting'!E14="D30 Bottom Rail",'Tube Cutting'!E14="D30 Bottom Rail with Noise Reducing Strip",'Tube Cutting'!E14="D30 Bottom Rail with Noise Reducing Strip &amp; Fluffy Strip",'Tube Cutting'!E14="Bottom Rail in Pocket",'Tube Cutting'!E14="Bottom Rail in Pocket with Round Cut Out",'Tube Cutting'!E14="Bottom Rail in Pocket with Square Cut Out"))),'Tube Cutting'!G14,"")</f>
        <v/>
      </c>
      <c r="W8" s="7">
        <f t="shared" si="1"/>
        <v>1</v>
      </c>
      <c r="X8" s="7" t="str">
        <f t="shared" si="53"/>
        <v/>
      </c>
      <c r="Y8" s="7" t="str">
        <f t="shared" si="54"/>
        <v/>
      </c>
      <c r="Z8" s="7" t="str">
        <f t="shared" si="55"/>
        <v/>
      </c>
      <c r="AA8" s="7" t="str">
        <f t="shared" si="56"/>
        <v/>
      </c>
      <c r="AB8" s="7" t="str">
        <f>IF('Tube Cutting'!H14="Timber",'Tube Cutting'!G14,IF(AND('Tube Cutting'!E14="Double Lath",'Tube Cutting'!H14="Timber"),'Tube Cutting'!G14*2,""))</f>
        <v/>
      </c>
      <c r="AC8" s="7" t="str">
        <f>IF('Tube Cutting'!I14="","",'Tube Cutting'!I14)</f>
        <v/>
      </c>
      <c r="AD8" s="7" t="str">
        <f>IF(AND('Tube Cutting'!J14="Aluminium Pelmet",'Tube Cutting'!K14="Anodised Silver"),'Tube Cutting'!L14,"")</f>
        <v/>
      </c>
      <c r="AE8" s="7" t="str">
        <f>IF(AND('Tube Cutting'!J14="Aluminium Pelmet",'Tube Cutting'!K14="White"),'Tube Cutting'!L14,"")</f>
        <v/>
      </c>
      <c r="AF8" s="7" t="str">
        <f>IF(AND('Tube Cutting'!J14="Aluminium Pelmet",'Tube Cutting'!K14="Black"),'Tube Cutting'!L14,"")</f>
        <v/>
      </c>
      <c r="AG8" s="7" t="str">
        <f>IF(AND('Tube Cutting'!J14="Aluminium Pelmet",'Tube Cutting'!K14="Cream"),'Tube Cutting'!L14,"")</f>
        <v/>
      </c>
      <c r="AH8" s="7" t="str">
        <f>IF(AND('Tube Cutting'!K14="Black",(OR('Tube Cutting'!J14="Square Cassette",'Tube Cutting'!J14="Round Cassette",'Tube Cutting'!J14="Square Cassette with Side Channels",'Tube Cutting'!J14="Square Cassette with Side &amp; Bottom Channels",'Tube Cutting'!J14="Round Cassette with Side Channels",'Tube Cutting'!J14="Round Cassette with Side &amp; Bottom Channels"))),'Tube Cutting'!L14,"")</f>
        <v/>
      </c>
      <c r="AI8" s="7" t="str">
        <f>IF(AND('Tube Cutting'!K14="White",(OR('Tube Cutting'!J14="Square Cassette",'Tube Cutting'!J14="Round Cassette",'Tube Cutting'!J14="Square Cassette with Side Channels",'Tube Cutting'!J14="Square Cassette with Side &amp; Bottom Channels",'Tube Cutting'!J14="Round Cassette with Side Channels",'Tube Cutting'!J14="Round Cassette with Side &amp; Bottom Channels"))),'Tube Cutting'!L14,"")</f>
        <v/>
      </c>
      <c r="AJ8" s="7" t="str">
        <f>IF(AND('Tube Cutting'!K14="Cream",(OR('Tube Cutting'!J14="Square Cassette",'Tube Cutting'!J14="Round Cassette",'Tube Cutting'!J14="Square Cassette with Side Channels",'Tube Cutting'!J14="Square Cassette with Side &amp; Bottom Channels",'Tube Cutting'!J14="Round Cassette with Side Channels",'Tube Cutting'!J14="Round Cassette with Side &amp; Bottom Channels"))),'Tube Cutting'!L14,"")</f>
        <v/>
      </c>
      <c r="AK8" s="7" t="str">
        <f>IF(AND('Tube Cutting'!K14="Anodised Silver",(OR('Tube Cutting'!J14="Square Cassette",'Tube Cutting'!J14="Round Cassette",'Tube Cutting'!J14="Square Cassette with Side Channels",'Tube Cutting'!J14="Square Cassette with Side &amp; Bottom Channels",'Tube Cutting'!J14="Round Cassette with Side Channels",'Tube Cutting'!J14="Round Cassette with Side &amp; Bottom Channels"))),'Tube Cutting'!L14,"")</f>
        <v/>
      </c>
      <c r="AL8" s="7" t="str">
        <f>IF(AND('Tube Cutting'!K14="White",(OR('Tube Cutting'!J14="Square Cassette",'Tube Cutting'!J14="Square Cassette with Side Channels",'Tube Cutting'!J14="Square Cassette with Side &amp; Bottom Channels"))),'Tube Cutting'!M14,"")</f>
        <v/>
      </c>
      <c r="AM8" s="7" t="str">
        <f>IF(AND('Tube Cutting'!K14="Black",(OR('Tube Cutting'!J14="Square Cassette",'Tube Cutting'!J14="Square Cassette with Side Channels",'Tube Cutting'!J14="Square Cassette with Side &amp; Bottom Channels"))),'Tube Cutting'!M14,"")</f>
        <v/>
      </c>
      <c r="AN8" s="7" t="str">
        <f>IF(AND('Tube Cutting'!K14="Cream",(OR('Tube Cutting'!J14="Square Cassette",'Tube Cutting'!J14="Square Cassette with Side Channels",'Tube Cutting'!J14="Square Cassette with Side &amp; Bottom Channels"))),'Tube Cutting'!M14,"")</f>
        <v/>
      </c>
      <c r="AO8" s="7" t="str">
        <f>IF(AND('Tube Cutting'!K14="Anodised Silver",(OR('Tube Cutting'!J14="Square Cassette",'Tube Cutting'!J14="Square Cassette with Side Channels",'Tube Cutting'!J14="Square Cassette with Side &amp; Bottom Channels"))),'Tube Cutting'!M14,"")</f>
        <v/>
      </c>
      <c r="AP8" s="7" t="str">
        <f>IF(AND('Tube Cutting'!K14="White",(OR('Tube Cutting'!J14="Round Cassette",'Tube Cutting'!J14="Round Cassette with Side Channels",'Tube Cutting'!J14="Round Cassette with Side &amp; Bottom Channels"))),'Tube Cutting'!M14,"")</f>
        <v/>
      </c>
      <c r="AQ8" s="7" t="str">
        <f>IF(AND('Tube Cutting'!K14="Black",(OR('Tube Cutting'!J14="Round Cassette",'Tube Cutting'!J14="Round Cassette with Side Channels",'Tube Cutting'!J14="Round Cassette with Side &amp; Bottom Channels"))),'Tube Cutting'!M14,"")</f>
        <v/>
      </c>
      <c r="AR8" s="7" t="str">
        <f>IF(AND('Tube Cutting'!K14="Cream",(OR('Tube Cutting'!J14="Round Cassette",'Tube Cutting'!J14="Round Cassette with Side Channels",'Tube Cutting'!J14="Round Cassette with Side &amp; Bottom Channels"))),'Tube Cutting'!M14,"")</f>
        <v/>
      </c>
      <c r="AS8" s="7" t="str">
        <f>IF(AND('Tube Cutting'!K14="Anodised Silver",(OR('Tube Cutting'!J14="Round Cassette",'Tube Cutting'!J14="Round Cassette with Side Channels",'Tube Cutting'!J14="Round Cassette with Side &amp; Bottom Channels"))),'Tube Cutting'!M14,"")</f>
        <v/>
      </c>
      <c r="AT8" s="7" t="str">
        <f>IF(AND('Tube Cutting'!K14="White",(OR('Tube Cutting'!J14="Square Cassette with Side Channels",'Tube Cutting'!J14="Round Cassette with Side Channels",'Tube Cutting'!J14="Side Channels"))),CONCATENATE('Job Sheet'!H14-VLOOKUP(CONCATENATE('Job Sheet'!AA14,'Job Sheet'!J14,'Job Sheet'!AR14),PelmetDeduct,5,FALSE))*2,IF(AND('Tube Cutting'!K14="White",(OR('Tube Cutting'!J14="Square Cassette with Side &amp; Bottom Channels",'Tube Cutting'!J14="Round Cassette with Side &amp; Bottom Channels"))),CONCATENATE(('Job Sheet'!H14-VLOOKUP(CONCATENATE('Job Sheet'!AA14,'Job Sheet'!J14,'Job Sheet'!AR14),PelmetDeduct,5,FALSE))*2)+'Job Sheet'!BA14-110,""))</f>
        <v/>
      </c>
      <c r="AU8" s="7" t="str">
        <f>IF(AND('Tube Cutting'!K14="Black",(OR('Tube Cutting'!J14="Square Cassette with Side Channels",'Tube Cutting'!J14="Round Cassette with Side Channels",'Tube Cutting'!J14="Side Channels"))),CONCATENATE('Job Sheet'!H14-VLOOKUP(CONCATENATE('Job Sheet'!AA14,'Job Sheet'!J14,'Job Sheet'!AR14),PelmetDeduct,5,FALSE))*2,IF(AND('Tube Cutting'!K14="Black",(OR('Tube Cutting'!J14="Square Cassette with Side &amp; Bottom Channels",'Tube Cutting'!J14="Round Cassette with Side &amp; Bottom Channels"))),CONCATENATE(('Job Sheet'!H14-VLOOKUP(CONCATENATE('Job Sheet'!AA14,'Job Sheet'!J14,'Job Sheet'!AR14),PelmetDeduct,5,FALSE))*2)+'Job Sheet'!BA14-110,""))</f>
        <v/>
      </c>
      <c r="AV8" s="7" t="str">
        <f>IF(AND('Tube Cutting'!K14="Cream",(OR('Tube Cutting'!J14="Square Cassette with Side Channels",'Tube Cutting'!J14="Round Cassette with Side Channels",'Tube Cutting'!J14="Side Channels"))),CONCATENATE('Job Sheet'!H14-VLOOKUP(CONCATENATE('Job Sheet'!AA14,'Job Sheet'!J14,'Job Sheet'!AR14),PelmetDeduct,5,FALSE))*2,IF(AND('Tube Cutting'!K14="Cream",(OR('Tube Cutting'!J14="Square Cassette with Side &amp; Bottom Channels",'Tube Cutting'!J14="Round Cassette with Side &amp; Bottom Channels"))),CONCATENATE(('Job Sheet'!H14-VLOOKUP(CONCATENATE('Job Sheet'!AA14,'Job Sheet'!J14,'Job Sheet'!AR14),PelmetDeduct,5,FALSE))*2)+'Job Sheet'!BA14-110,""))</f>
        <v/>
      </c>
      <c r="AW8" s="7" t="str">
        <f>IF(AND('Tube Cutting'!K14="Anodised Silver",(OR('Tube Cutting'!J14="Square Cassette with Side Channels",'Tube Cutting'!J14="Round Cassette with Side Channels",'Tube Cutting'!J14="Side Channels"))),CONCATENATE('Job Sheet'!H14-VLOOKUP(CONCATENATE('Job Sheet'!AA14,'Job Sheet'!J14,'Job Sheet'!AR14),PelmetDeduct,5,FALSE))*2,IF(AND('Tube Cutting'!K14="Anodised Silver",(OR('Tube Cutting'!J14="Square Cassette with Side &amp; Bottom Channels",'Tube Cutting'!J14="Round Cassette with Side &amp; Bottom Channels"))),CONCATENATE(('Job Sheet'!H14-VLOOKUP(CONCATENATE('Job Sheet'!AA14,'Job Sheet'!J14,'Job Sheet'!AR14),PelmetDeduct,5,FALSE))*2)+'Job Sheet'!BA14-110,""))</f>
        <v/>
      </c>
      <c r="AX8" s="7" t="str">
        <f>IF('Tube Cutting'!J14="Aluminium Valance - Fabric Covered",'Tube Cutting'!M14,"")</f>
        <v/>
      </c>
      <c r="AY8" s="7" t="str">
        <f>IF(AND('Tube Cutting'!K14="White",'Tube Cutting'!J14="Aluminium Valance"),'Tube Cutting'!M14,"")</f>
        <v/>
      </c>
      <c r="AZ8" s="7" t="str">
        <f>IF(AND('Tube Cutting'!K14="Black",'Tube Cutting'!J14="Aluminium Valance"),'Tube Cutting'!M14,"")</f>
        <v/>
      </c>
      <c r="BA8" s="7" t="str">
        <f>IF(AND('Tube Cutting'!K14="Anodised Silver",'Tube Cutting'!J14="Aluminium Valance"),'Tube Cutting'!M14,"")</f>
        <v/>
      </c>
      <c r="BB8" s="7" t="str">
        <f>'Tube Cutting'!O14</f>
        <v/>
      </c>
      <c r="BC8" s="7" t="str">
        <f>IF('Tube Cutting'!J14="Zipscreen Hooding",'Tube Cutting'!L14,"")</f>
        <v/>
      </c>
      <c r="BD8" s="7" t="str">
        <f>IF('Tube Cutting'!J14="Zipscreen Hooding",'Tube Cutting'!M14,"")</f>
        <v/>
      </c>
      <c r="BE8" s="7">
        <f>IF(AND('Assembly(b)'!E14="38mm",'Job Sheet'!BE14="White",'Assembly(b)'!F14="Chain Winder"),1,"")</f>
        <v>1</v>
      </c>
      <c r="BF8" s="7" t="str">
        <f>IF(AND('Assembly(b)'!E14="38mm",'Job Sheet'!BE14="Black",'Assembly(b)'!F14="Chain Winder"),1,"")</f>
        <v/>
      </c>
      <c r="BG8" s="7" t="str">
        <f>IF(AND('Assembly(b)'!E14="38mm",'Job Sheet'!BE14="Birch White",'Job Sheet'!L14="Chain Winder"),1,"")</f>
        <v/>
      </c>
      <c r="BH8" s="7" t="str">
        <f>IF(AND('Assembly(b)'!E14="38mm",'Job Sheet'!BE14="Grey",'Assembly(b)'!F14="Chain Winder"),1,"")</f>
        <v/>
      </c>
      <c r="BI8" s="7" t="str">
        <f>IF(AND('Assembly(b)'!E14="38mm",'Job Sheet'!BE14="Beige",'Assembly(b)'!F14="Chain Winder"),1,"")</f>
        <v/>
      </c>
      <c r="BJ8" s="7" t="str">
        <f>IF(AND('Assembly(b)'!E14="38mm",'Job Sheet'!BE14="White",'Assembly(b)'!F14="Chain Winder Fixed Guide"),1,"")</f>
        <v/>
      </c>
      <c r="BK8" s="7" t="str">
        <f>IF(AND('Assembly(b)'!E14="38mm",'Job Sheet'!BE14="Black",'Assembly(b)'!F14="Chain Winder Fixed Guide"),1,"")</f>
        <v/>
      </c>
      <c r="BL8" s="7" t="str">
        <f>IF(AND('Assembly(b)'!E14="38mm",'Job Sheet'!BE14="Birch White",'Assembly(b)'!F14="Chain Winder Fixed Guide"),1,"")</f>
        <v/>
      </c>
      <c r="BM8" s="7" t="str">
        <f>IF(AND('Assembly(b)'!E14="38mm",'Job Sheet'!BE14="Grey",'Assembly(b)'!F14="Chain Winder Fixed Guide"),1,"")</f>
        <v/>
      </c>
      <c r="BN8" s="7" t="str">
        <f>IF(AND('Assembly(b)'!E14="38mm",'Job Sheet'!BE14="Beige",'Assembly(b)'!F14="Chain Winder Fixed Guide"),1,"")</f>
        <v/>
      </c>
      <c r="BO8" s="7" t="str">
        <f>IF(AND('Job Sheet'!BE14="White",'Assembly(b)'!F14="Chain Winder",(OR('Assembly(b)'!E14="43mm",'Assembly(b)'!E14="43mm H/D"))),1,"")</f>
        <v/>
      </c>
      <c r="BP8" s="7" t="str">
        <f>IF(AND('Job Sheet'!BE14="Black",'Assembly(b)'!F14="Chain Winder",(OR('Assembly(b)'!E14="43mm",'Assembly(b)'!E14="43mm H/D"))),1,"")</f>
        <v/>
      </c>
      <c r="BQ8" s="7" t="str">
        <f>IF(AND('Job Sheet'!BE14="Birch White",'Assembly(b)'!F14="Chain Winder",(OR('Assembly(b)'!E14="43mm",'Assembly(b)'!E14="43mm H/D"))),1,"")</f>
        <v/>
      </c>
      <c r="BR8" s="7" t="str">
        <f>IF(AND('Job Sheet'!BE14="Grey",'Assembly(b)'!F14="Chain Winder",(OR('Assembly(b)'!E14="43mm",'Assembly(b)'!E14="43mm H/D"))),1,"")</f>
        <v/>
      </c>
      <c r="BS8" s="7" t="str">
        <f>IF(AND('Job Sheet'!BE14="Beige",'Assembly(b)'!F14="Chain Winder",(OR('Assembly(b)'!E14="43mm",'Assembly(b)'!E14="43mm H/D"))),1,"")</f>
        <v/>
      </c>
      <c r="BT8" s="7" t="str">
        <f>IF(AND('Job Sheet'!BE14="White",'Assembly(b)'!F14="Chain Winder Fixed Guide",(OR('Assembly(b)'!E14="43mm",'Assembly(b)'!E14="43mm H/D"))),1,"")</f>
        <v/>
      </c>
      <c r="BU8" s="7" t="str">
        <f>IF(AND('Job Sheet'!BE14="Black",'Assembly(b)'!F14="Chain Winder Fixed Guide",(OR('Assembly(b)'!E14="43mm",'Assembly(b)'!E14="43mm H/D"))),1,"")</f>
        <v/>
      </c>
      <c r="BV8" s="7" t="str">
        <f>IF(AND('Job Sheet'!BE14="Birch White",'Assembly(b)'!F14="Chain Winder Fixed Guide",(OR('Assembly(b)'!E14="43mm",'Assembly(b)'!E14="43mm H/D"))),1,"")</f>
        <v/>
      </c>
      <c r="BW8" s="7" t="str">
        <f>IF(AND('Job Sheet'!BE14="Grey",'Assembly(b)'!F14="Chain Winder Fixed Guide",(OR('Assembly(b)'!E14="43mm",'Assembly(b)'!E14="43mm H/D"))),1,"")</f>
        <v/>
      </c>
      <c r="BX8" s="7" t="str">
        <f>IF(AND('Job Sheet'!BE14="Beige",'Assembly(b)'!F14="Chain Winder Fixed Guide",(OR('Assembly(b)'!E14="43mm",'Assembly(b)'!E14="43mm H/D"))),1,"")</f>
        <v/>
      </c>
      <c r="BY8" s="7" t="str">
        <f>IF(Data!AV14="","",IF(AND('Job Sheet'!BE14="White",VLOOKUP('Job Sheet'!AR14,ControlDeduct,3,FALSE)="Yes"),1,""))</f>
        <v/>
      </c>
      <c r="BZ8" s="7" t="str">
        <f>IF(Data!AV14="","",IF(AND('Job Sheet'!BE14="Black",VLOOKUP('Job Sheet'!AR14,ControlDeduct,3,FALSE)="Yes"),1,""))</f>
        <v/>
      </c>
      <c r="CA8" s="7" t="str">
        <f>IF(Data!AV14="","",IF(AND('Job Sheet'!BE14="Birch White",VLOOKUP('Job Sheet'!AR14,ControlDeduct,3,FALSE)="Yes"),1,""))</f>
        <v/>
      </c>
      <c r="CB8" s="7" t="str">
        <f>IF(Data!AV14="","",IF(AND('Job Sheet'!BE14="Grey",VLOOKUP('Job Sheet'!AR14,ControlDeduct,3,FALSE)="Yes"),1,""))</f>
        <v/>
      </c>
      <c r="CC8" s="7" t="str">
        <f>IF(Data!AV14="","",IF(AND('Job Sheet'!BE14="Beige",VLOOKUP('Job Sheet'!AR14,ControlDeduct,3,FALSE)="Yes"),1,""))</f>
        <v/>
      </c>
      <c r="CD8" s="7">
        <f>IF(AND('Job Sheet'!BE14="White",(OR(Bagging!D14="Single",Bagging!D14="Single with Covers",Bagging!D14="Single &amp; Single Linked"))),1,"")</f>
        <v>1</v>
      </c>
      <c r="CE8" s="7" t="str">
        <f>IF(AND('Job Sheet'!BE14="Black",(OR(Bagging!D14="Single",Bagging!D14="Single with Covers",Bagging!D14="Single &amp; Single Linked"))),1,"")</f>
        <v/>
      </c>
      <c r="CF8" s="7" t="str">
        <f>IF(AND('Job Sheet'!BE14="Birch White",(OR(Bagging!D14="Single",Bagging!D14="Single with Covers",Bagging!D14="Single &amp; Single Linked"))),1,"")</f>
        <v/>
      </c>
      <c r="CG8" s="7" t="str">
        <f>IF(AND('Job Sheet'!BE14="Grey",(OR(Bagging!D14="Single",Bagging!D14="Single with Covers",Bagging!D14="Single &amp; Single Linked"))),1,"")</f>
        <v/>
      </c>
      <c r="CH8" s="7" t="str">
        <f>IF(AND('Job Sheet'!BE14="Beige",(OR(Bagging!D14="Single",Bagging!D14="Single with Covers",Bagging!D14="Single &amp; Single Linked"))),1,"")</f>
        <v/>
      </c>
      <c r="CI8" s="7" t="str">
        <f>IF(AND('Job Sheet'!BE14="White",(OR(Bagging!D14="Single Extension",Bagging!D14="Single Extension with Extension Covers",Bagging!D14="Single Extension &amp; Single Extension Linked",Bagging!D14="Single Extension with Extension Covers &amp; Single Extension Linked"))),1,"")</f>
        <v/>
      </c>
      <c r="CJ8" s="7" t="str">
        <f>IF(AND('Job Sheet'!BE14="Black",(OR(Bagging!D14="Single Extension",Bagging!D14="Single Extension with Extension Covers",Bagging!D14="Single Extension &amp; Single Extension Linked",Bagging!D14="Single Extension with Extension Covers &amp; Single Extension Linked"))),1,"")</f>
        <v/>
      </c>
      <c r="CK8" s="7" t="str">
        <f>IF(AND('Job Sheet'!BE14="Birch White",(OR(Bagging!D14="Single Extension",Bagging!D14="Single Extension with Extension Covers",Bagging!D14="Single Extension &amp; Single Extension Linked",Bagging!D14="Single Extension with Extension Covers &amp; Single Extension Linked"))),1,"")</f>
        <v/>
      </c>
      <c r="CL8" s="7" t="str">
        <f>IF(AND('Job Sheet'!BE14="Grey",(OR(Bagging!D14="Single Extension",Bagging!D14="Single Extension with Extension Covers",Bagging!D14="Single Extension &amp; Single Extension Linked",Bagging!D14="Single Extension with Extension Covers &amp; Single Extension Linked"))),1,"")</f>
        <v/>
      </c>
      <c r="CM8" s="7" t="str">
        <f>IF(AND('Job Sheet'!BE14="Beige",(OR(Bagging!D14="Single Extension",Bagging!D14="Single Extension with Extension Covers",Bagging!D14="Single Extension &amp; Single Extension Linked",Bagging!D14="Single Extension with Extension Covers &amp; Single Extension Linked"))),1,"")</f>
        <v/>
      </c>
      <c r="CN8" s="7" t="str">
        <f>IF(AND('Job Sheet'!BE14="White",(OR(Bagging!D14="Single Motor Brackets",Bagging!D14="Single Motor Brackets with Covers"))),1,"")</f>
        <v/>
      </c>
      <c r="CO8" s="7" t="str">
        <f>IF(AND('Job Sheet'!BE14="Black",(OR(Bagging!D14="Single Motor Brackets",Bagging!D14="Single Motor Brackets with Covers"))),1,"")</f>
        <v/>
      </c>
      <c r="CP8" s="7" t="str">
        <f>IF(AND('Job Sheet'!BE14="White",(OR(Bagging!D14="Single Motor Extension Brackets",Bagging!D14="Single Motor Extension Brackets with Extension Covers"))),1,"")</f>
        <v/>
      </c>
      <c r="CQ8" s="7" t="str">
        <f>IF(AND('Job Sheet'!BE14="Black",(OR(Bagging!D14="Single Motor Extension Brackets",Bagging!D14="Single Motor Extension Brackets with Extension Covers"))),1,"")</f>
        <v/>
      </c>
      <c r="CR8" s="7" t="str">
        <f>IF(AND('Job Sheet'!BE14="White",OR(Bagging!D14="Single with Covers",Bagging!D14="Single Motor Brackets with Covers")),1,"")</f>
        <v/>
      </c>
      <c r="CS8" s="7" t="str">
        <f>IF(AND('Job Sheet'!BE14="Black",OR(Bagging!D14="Single with Covers",Bagging!D14="Single Motor Brackets with Covers")),1,"")</f>
        <v/>
      </c>
      <c r="CT8" s="7" t="str">
        <f>IF(AND('Job Sheet'!BE14="Birch White",OR(Bagging!D14="Single with Covers",Bagging!D14="Single Motor Brackets with Covers")),1,"")</f>
        <v/>
      </c>
      <c r="CU8" s="7" t="str">
        <f>IF(AND('Job Sheet'!BE14="Grey",OR(Bagging!D14="Single with Covers",Bagging!D14="Single Motor Brackets with Covers")),1,"")</f>
        <v/>
      </c>
      <c r="CV8" s="7" t="str">
        <f>IF(AND('Job Sheet'!BE14="Beige",OR(Bagging!D14="Single with Covers",Bagging!D14="Single Motor Brackets with Covers")),1,"")</f>
        <v/>
      </c>
      <c r="CW8" s="7" t="str">
        <f>IF(AND('Job Sheet'!BE14="White",OR(Bagging!D14="Single Extension with Extension Covers",Bagging!D14="Single Motor Extension Brackets with Extension Covers",Bagging!D14="Single Extension with Extension Covers &amp; Single Extension Linked")),1,"")</f>
        <v/>
      </c>
      <c r="CX8" s="7" t="str">
        <f>IF(AND('Job Sheet'!BE14="Black",OR(Bagging!D14="Single Extension with Extension Covers",Bagging!D14="Single Motor Extension Brackets with Extension Covers",Bagging!D14="Single Extension with Extension Covers &amp; Single Extension Linked")),1,"")</f>
        <v/>
      </c>
      <c r="CY8" s="7" t="str">
        <f>IF(AND('Job Sheet'!BE14="Birch White",OR(Bagging!D14="Single Extension with Extension Covers",Bagging!D14="Single Motor Extension Brackets with Extension Covers",Bagging!D14="Single Extension with Extension Covers &amp; Single Extension Linked")),1,"")</f>
        <v/>
      </c>
      <c r="CZ8" s="7" t="str">
        <f>IF(AND('Job Sheet'!BE14="Grey",OR(Bagging!D14="Single Extension with Extension Covers",Bagging!D14="Single Motor Extension Brackets with Extension Covers",Bagging!D14="Single Extension with Extension Covers &amp; Single Extension Linked")),1,"")</f>
        <v/>
      </c>
      <c r="DA8" s="7" t="str">
        <f>IF(AND('Job Sheet'!BE14="Beige",OR(Bagging!D14="Single Extension with Extension Covers",Bagging!D14="Single Motor Extension Brackets with Extension Covers",Bagging!D14="Single Extension with Extension Covers &amp; Single Extension Linked")),1,"")</f>
        <v/>
      </c>
      <c r="DB8" s="7" t="str">
        <f>IF(AND(Bagging!D14="Dual Opposite Side",'Job Sheet'!BE14="White"),1,"")</f>
        <v/>
      </c>
      <c r="DC8" s="7" t="str">
        <f>IF(AND(Bagging!D14="Dual Opposite Side",'Job Sheet'!BE14="Black"),1,"")</f>
        <v/>
      </c>
      <c r="DD8" s="7" t="str">
        <f>IF(AND(Bagging!D14="Dual Opposite Side",'Job Sheet'!BE14="Birch White"),1,"")</f>
        <v/>
      </c>
      <c r="DE8" s="7" t="str">
        <f>IF(AND(Bagging!D14="Dual Opposite Side",'Job Sheet'!BE14="Grey"),1,"")</f>
        <v/>
      </c>
      <c r="DF8" s="7" t="str">
        <f>IF(AND(Bagging!D14="Dual Opposite Side",'Job Sheet'!BE14="Beige"),1,"")</f>
        <v/>
      </c>
      <c r="DG8" s="7" t="str">
        <f>IF(AND('Job Sheet'!BE14="White",(OR(Bagging!D14="Dual Same Side",Bagging!D14="Dual Same Side &amp; Dual Linked"))),1,"")</f>
        <v/>
      </c>
      <c r="DH8" s="7" t="str">
        <f>IF(AND('Job Sheet'!BE14="Black",(OR(Bagging!D14="Dual Same Side",Bagging!D14="Dual Same Side &amp; Dual Linked"))),1,"")</f>
        <v/>
      </c>
      <c r="DI8" s="7" t="str">
        <f>IF(AND('Job Sheet'!BE14="Birch White",(OR(Bagging!D14="Dual Same Side",Bagging!D14="Dual Same Side &amp; Dual Linked"))),1,"")</f>
        <v/>
      </c>
      <c r="DJ8" s="7" t="str">
        <f>IF(AND('Job Sheet'!BE14="Grey",(OR(Bagging!D14="Dual Same Side",Bagging!D14="Dual Same Side &amp; Dual Linked"))),1,"")</f>
        <v/>
      </c>
      <c r="DK8" s="7" t="str">
        <f>IF(AND('Job Sheet'!BE14="Beige",(OR(Bagging!D14="Dual Same Side",Bagging!D14="Dual Same Side &amp; Dual Linked"))),1,"")</f>
        <v/>
      </c>
      <c r="DL8" s="7" t="str">
        <f>IF(AND('Job Sheet'!BE14="White",(OR(Bagging!D14="Slimline Dual Top Blind Front Roll LHS Control",Bagging!D14="Slimline Dual Top Blind Front Roll LHS Control &amp; Dual Slimline Linked Top Blind Front Roll"))),1,"")</f>
        <v/>
      </c>
      <c r="DM8" s="7" t="str">
        <f>IF(AND('Job Sheet'!BE14="White",(OR(Bagging!D14="Slimline Dual Top Blind Front Roll RHS Control",Bagging!D14="Slimline Dual Top Blind Front Roll RHS Control &amp; Dual Slimline Linked Top Blind Front Roll"))),1,"")</f>
        <v/>
      </c>
      <c r="DN8" s="7" t="str">
        <f>IF(AND('Job Sheet'!BE14="Black",(OR(Bagging!D14="Slimline Dual Top Blind Front Roll LHS Control",Bagging!D14="Slimline Dual Top Blind Front Roll LHS Control &amp; Dual Slimline Linked Top Blind Front Roll"))),1,"")</f>
        <v/>
      </c>
      <c r="DO8" s="7" t="str">
        <f>IF(AND('Job Sheet'!BE14="Black",(OR(Bagging!D14="Slimline Dual Top Blind Front Roll RHS Control",Bagging!D14="Slimline Dual Top Blind Front Roll RHS Control &amp; Dual Slimline Linked Top Blind Front Roll"))),1,"")</f>
        <v/>
      </c>
      <c r="DP8" s="7" t="str">
        <f>IF(AND('Job Sheet'!BE14="Birch White",(OR(Bagging!D14="Slimline Dual Top Blind Front Roll LHS Control",Bagging!D14="Slimline Dual Top Blind Front Roll LHS Control &amp; Dual Slimline Linked Top Blind Front Roll"))),1,"")</f>
        <v/>
      </c>
      <c r="DQ8" s="7" t="str">
        <f>IF(AND('Job Sheet'!BE14="Birch White",(OR(Bagging!D14="Slimline Dual Top Blind Front Roll RHS Control",Bagging!D14="Slimline Dual Top Blind Front Roll RHS Control &amp; Dual Slimline Linked Top Blind Front Roll"))),1,"")</f>
        <v/>
      </c>
      <c r="DR8" s="7" t="str">
        <f>IF(AND('Job Sheet'!BE14="Grey",(OR(Bagging!D14="Slimline Dual Top Blind Front Roll LHS Control",Bagging!D14="Slimline Dual Top Blind Front Roll LHS Control &amp; Dual Slimline Linked Top Blind Front Roll"))),1,"")</f>
        <v/>
      </c>
      <c r="DS8" s="7" t="str">
        <f>IF(AND('Job Sheet'!BE14="Grey",(OR(Bagging!D14="Slimline Dual Top Blind Front Roll RHS Control",Bagging!D14="Slimline Dual Top Blind Front Roll RHS Control &amp; Dual Slimline Linked Top Blind Front Roll"))),1,"")</f>
        <v/>
      </c>
      <c r="DT8" s="7" t="str">
        <f>IF(AND('Job Sheet'!BE14="Beige",(OR(Bagging!D14="Slimline Dual Top Blind Front Roll LHS Control",Bagging!D14="Slimline Dual Top Blind Front Roll LHS Control &amp; Dual Slimline Linked Top Blind Front Roll"))),1,"")</f>
        <v/>
      </c>
      <c r="DU8" s="7" t="str">
        <f>IF(AND('Job Sheet'!BE14="Beige",(OR(Bagging!D14="Slimline Dual Top Blind Front Roll RHS Control",Bagging!D14="Slimline Dual Top Blind Front Roll RHS Control &amp; Dual Slimline Linked Top Blind Front Roll"))),1,"")</f>
        <v/>
      </c>
      <c r="DV8" s="7" t="str">
        <f>IF(AND('Job Sheet'!BE14="White",(OR(Bagging!D14="Slimline Dual Top Blind Back Roll LHS Control",Bagging!D14="Slimline Dual Top Blind Back Roll LHS Control &amp; Dual Slimline Linked Top Blind Back Roll"))),1,"")</f>
        <v/>
      </c>
      <c r="DW8" s="7" t="str">
        <f>IF(AND('Job Sheet'!BE14="White",(OR(Bagging!D14="Slimline Dual Top Blind Back Roll RHS Control",Bagging!D14="Slimline Dual Top Blind Back Roll LHS Control &amp; Dual Slimline Linked Top Blind Back Roll"))),1,"")</f>
        <v/>
      </c>
      <c r="DX8" s="7" t="str">
        <f>IF(AND('Job Sheet'!BE14="Black",(OR(Bagging!D14="Slimline Dual Top Blind Back Roll LHS Control",Bagging!D14="Slimline Dual Top Blind Back Roll LHS Control &amp; Dual Slimline Linked Top Blind Back Roll"))),1,"")</f>
        <v/>
      </c>
      <c r="DY8" s="7" t="str">
        <f>IF(AND('Job Sheet'!BE14="Black",(OR(Bagging!D14="Slimline Dual Top Blind Back Roll RHS Control",Bagging!D14="Slimline Dual Top Blind Back Roll LHS Control &amp; Dual Slimline Linked Top Blind Back Roll"))),1,"")</f>
        <v/>
      </c>
      <c r="DZ8" s="7" t="str">
        <f>IF(AND('Job Sheet'!BE14="Birch White",(OR(Bagging!D14="Slimline Dual Top Blind Back Roll LHS Control",Bagging!D14="Slimline Dual Top Blind Back Roll LHS Control &amp; Dual Slimline Linked Top Blind Back Roll"))),1,"")</f>
        <v/>
      </c>
      <c r="EA8" s="7" t="str">
        <f>IF(AND('Job Sheet'!BE14="Birch White",(OR(Bagging!D14="Slimline Dual Top Blind Back Roll RHS Control",Bagging!D14="Slimline Dual Top Blind Back Roll LHS Control &amp; Dual Slimline Linked Top Blind Back Roll"))),1,"")</f>
        <v/>
      </c>
      <c r="EB8" s="7" t="str">
        <f>IF(AND('Job Sheet'!BE14="Grey",(OR(Bagging!D14="Slimline Dual Top Blind Back Roll LHS Control",Bagging!D14="Slimline Dual Top Blind Back Roll LHS Control &amp; Dual Slimline Linked Top Blind Back Roll"))),1,"")</f>
        <v/>
      </c>
      <c r="EC8" s="7" t="str">
        <f>IF(AND('Job Sheet'!BE14="Grey",(OR(Bagging!D14="Slimline Dual Top Blind Back Roll RHS Control",Bagging!D14="Slimline Dual Top Blind Back Roll LHS Control &amp; Dual Slimline Linked Top Blind Back Roll"))),1,"")</f>
        <v/>
      </c>
      <c r="ED8" s="7" t="str">
        <f>IF(AND('Job Sheet'!BE14="Beige",(OR(Bagging!D14="Slimline Dual Top Blind Back Roll LHS Control",Bagging!D14="Slimline Dual Top Blind Back Roll LHS Control &amp; Dual Slimline Linked Top Blind Back Roll"))),1,"")</f>
        <v/>
      </c>
      <c r="EE8" s="7" t="str">
        <f>IF(AND('Job Sheet'!BE14="Beige",(OR(Bagging!D14="Slimline Dual Top Blind Back Roll RHS Control",Bagging!D14="Slimline Dual Top Blind Back Roll LHS Control &amp; Dual Slimline Linked Top Blind Back Roll"))),1,"")</f>
        <v/>
      </c>
      <c r="EF8" s="7" t="str">
        <f>IF(AND('Job Sheet'!BE14="White",(OR(Bagging!D14="Linked",Bagging!D14="Single &amp; Single Linked"))),1,IF(AND(Bagging!D14="Linked(2 Sets)",'Job Sheet'!BE14="White"),2,""))</f>
        <v/>
      </c>
      <c r="EG8" s="7" t="str">
        <f>IF(AND('Job Sheet'!BE14="Black",(OR(Bagging!D14="Linked",Bagging!D14="Single &amp; Single Linked"))),1,IF(AND(Bagging!D14="Linked(2 Sets)",'Job Sheet'!BE14="Black"),2,""))</f>
        <v/>
      </c>
      <c r="EH8" s="7" t="str">
        <f>IF(AND('Job Sheet'!BE14="Birch White",(OR(Bagging!D14="Linked",Bagging!D14="Single &amp; Single Linked"))),1,IF(AND(Bagging!D14="Linked(2 Sets)",'Job Sheet'!BE14="Birch White"),2,""))</f>
        <v/>
      </c>
      <c r="EI8" s="7" t="str">
        <f>IF(AND('Job Sheet'!BE14="Grey",(OR(Bagging!D14="Linked",Bagging!D14="Single &amp; Single Linked"))),1,IF(AND(Bagging!D14="Linked(2 Sets)",'Job Sheet'!BE14="Grey"),2,""))</f>
        <v/>
      </c>
      <c r="EJ8" s="7" t="str">
        <f>IF(AND('Job Sheet'!BE14="Beige",(OR(Bagging!D14="Linked",Bagging!D14="Single &amp; Single Linked"))),1,IF(AND(Bagging!D14="Linked(2 Sets)",'Job Sheet'!BE14="Beige"),2,""))</f>
        <v/>
      </c>
      <c r="EK8" s="7" t="str">
        <f>IF(AND('Job Sheet'!BE14="White",(OR(Bagging!D14="Single Extension Linked",Bagging!D14="Single Extension &amp; Single Extension Linked",Bagging!D14="Single Extension with Extension Covers &amp; Single Extension Linked"))),1,IF(AND(Bagging!D14="Single Extension Linked(2 Sets)",'Job Sheet'!BE14="White"),2,""))</f>
        <v/>
      </c>
      <c r="EL8" s="7" t="str">
        <f>IF(AND('Job Sheet'!BE14="Black",(OR(Bagging!D14="Single Extension Linked",Bagging!D14="Single Extension &amp; Single Extension Linked",Bagging!D14="Single Extension with Extension Covers &amp; Single Extension Linked"))),1,IF(AND(Bagging!D14="Single Extension Linked(2 Sets)",'Job Sheet'!BE14="Black"),2,""))</f>
        <v/>
      </c>
      <c r="EM8" s="7" t="str">
        <f>IF(AND('Job Sheet'!BE14="Birch White",(OR(Bagging!D14="Single Extension Linked",Bagging!D14="Single Extension &amp; Single Extension Linked",Bagging!D14="Single Extension with Extension Covers &amp; Single Extension Linked"))),1,IF(AND(Bagging!D14="Single Extension Linked(2 Sets)",'Job Sheet'!BE14="Birch White"),2,""))</f>
        <v/>
      </c>
      <c r="EN8" s="7" t="str">
        <f>IF(AND('Job Sheet'!BE14="Grey",(OR(Bagging!D14="Single Extension Linked",Bagging!D14="Single Extension &amp; Single Extension Linked",Bagging!D14="Single Extension with Extension Covers &amp; Single Extension Linked"))),1,IF(AND(Bagging!D14="Single Extension Linked(2 Sets)",'Job Sheet'!BE14="Grey"),2,""))</f>
        <v/>
      </c>
      <c r="EO8" s="7" t="str">
        <f>IF(AND('Job Sheet'!BE14="Beige",(OR(Bagging!D14="Single Extension Linked",Bagging!D14="Single Extension &amp; Single Extension Linked",Bagging!D14="Single Extension with Extension Covers &amp; Single Extension Linked"))),1,IF(AND(Bagging!D14="Single Extension Linked(2 Sets)",'Job Sheet'!BE14="Beige"),2,""))</f>
        <v/>
      </c>
      <c r="EP8" s="7" t="str">
        <f>IF(AND('Job Sheet'!BE14="White",(OR(Bagging!D14="Dual Linked",Bagging!D14="Dual Same Side &amp; Dual Linked"))),1,IF(AND(Bagging!D14="Dual Linked(2 Sets)",'Job Sheet'!BE14="White"),2,""))</f>
        <v/>
      </c>
      <c r="EQ8" s="7" t="str">
        <f>IF(AND('Job Sheet'!BE14="Black",(OR(Bagging!D14="Dual Linked",Bagging!D14="Dual Same Side &amp; Dual Linked"))),1,IF(AND(Bagging!D14="Dual Linked(2 Sets)",'Job Sheet'!BE14="Black"),2,""))</f>
        <v/>
      </c>
      <c r="ER8" s="7" t="str">
        <f>IF(AND('Job Sheet'!BE14="Birch White",(OR(Bagging!D14="Dual Linked",Bagging!D14="Dual Same Side &amp; Dual Linked"))),1,IF(AND(Bagging!D14="Dual Linked(2 Sets)",'Job Sheet'!BE14="Birch White"),2,""))</f>
        <v/>
      </c>
      <c r="ES8" s="7" t="str">
        <f>IF(AND('Job Sheet'!BE14="Grey",(OR(Bagging!D14="Dual Linked",Bagging!D14="Dual Same Side &amp; Dual Linked"))),1,IF(AND(Bagging!D14="Dual Linked(2 Sets)",'Job Sheet'!BE14="Grey"),2,""))</f>
        <v/>
      </c>
      <c r="ET8" s="7" t="str">
        <f>IF(AND('Job Sheet'!BE14="Beige",(OR(Bagging!D14="Dual Linked",Bagging!D14="Dual Same Side &amp; Dual Linked"))),1,IF(AND(Bagging!D14="Dual Linked(2 Sets)",'Job Sheet'!BE14="Beige"),2,""))</f>
        <v/>
      </c>
      <c r="EU8" s="7" t="str">
        <f>IF(AND('Job Sheet'!BE14="White",(OR(Bagging!D14="Dual Slimline Linked Top Blind Front Roll",Bagging!D14="Slimline Dual Top Blind Front Roll LHS Control &amp; Dual Slimline Linked Top Blind Front Roll",Bagging!D14="Slimline Dual Top Blind Front Roll RHS Control &amp; Dual Slimline Linked Top Blind Front Roll"))),1,IF(AND(Bagging!D14="Dual Slimline Linked Top Blind Front Roll(2 Sets)",'Job Sheet'!BE14="White"),2,""))</f>
        <v/>
      </c>
      <c r="EV8" s="7" t="str">
        <f>IF(AND('Job Sheet'!BE14="Black",(OR(Bagging!D14="Dual Slimline Linked Top Blind Front Roll",Bagging!D14="Slimline Dual Top Blind Front Roll LHS Control &amp; Dual Slimline Linked Top Blind Front Roll",Bagging!D14="Slimline Dual Top Blind Front Roll RHS Control &amp; Dual Slimline Linked Top Blind Front Roll"))),1,IF(AND(Bagging!D14="Dual Slimline Linked Top Blind Front Roll(2 Sets)",'Job Sheet'!BE14="Black"),2,""))</f>
        <v/>
      </c>
      <c r="EW8" s="7" t="str">
        <f>IF(AND('Job Sheet'!BE14="Birch White",(OR(Bagging!D14="Dual Slimline Linked Top Blind Front Roll",Bagging!D14="Slimline Dual Top Blind Front Roll LHS Control &amp; Dual Slimline Linked Top Blind Front Roll",Bagging!D14="Slimline Dual Top Blind Front Roll RHS Control &amp; Dual Slimline Linked Top Blind Front Roll"))),1,IF(AND(Bagging!D14="Dual Slimline Linked Top Blind Front Roll(2 Sets)",'Job Sheet'!BE14="Birch White"),2,""))</f>
        <v/>
      </c>
      <c r="EX8" s="7" t="str">
        <f>IF(AND('Job Sheet'!BE14="Grey",(OR(Bagging!D14="Dual Slimline Linked Top Blind Front Roll",Bagging!D14="Slimline Dual Top Blind Front Roll LHS Control &amp; Dual Slimline Linked Top Blind Front Roll",Bagging!D14="Slimline Dual Top Blind Front Roll RHS Control &amp; Dual Slimline Linked Top Blind Front Roll"))),1,IF(AND(Bagging!D14="Dual Slimline Linked Top Blind Front Roll(2 Sets)",'Job Sheet'!BE14="Grey"),2,""))</f>
        <v/>
      </c>
      <c r="EY8" s="7" t="str">
        <f>IF(AND('Job Sheet'!BE14="Beige",(OR(Bagging!D14="Dual Slimline Linked Top Blind Front Roll",Bagging!D14="Slimline Dual Top Blind Front Roll LHS Control &amp; Dual Slimline Linked Top Blind Front Roll",Bagging!D14="Slimline Dual Top Blind Front Roll RHS Control &amp; Dual Slimline Linked Top Blind Front Roll"))),1,IF(AND(Bagging!D14="Dual Slimline Linked Top Blind Front Roll(2 Sets)",'Job Sheet'!BE14="Beige"),2,""))</f>
        <v/>
      </c>
      <c r="EZ8" s="7" t="str">
        <f>IF(AND('Job Sheet'!BE14="White",(OR(Bagging!D14="Dual Slimline Linked Top Blind Back Roll",Bagging!D14="Slimline Dual Top Blind Back Roll LHS Control &amp; Dual Slimline Linked Top Blind Back Roll",Bagging!D14="Slimline Dual Top Blind Back Roll RHS Control &amp; Dual Slimline Linked Top Blind Back Roll"))),1,IF(AND(Bagging!D14="Dual Slimline Linked Top Blind Back Roll(2 Sets)",'Job Sheet'!BE14="White"),2,""))</f>
        <v/>
      </c>
      <c r="FA8" s="7" t="str">
        <f>IF(AND('Job Sheet'!BE14="Black",(OR(Bagging!D14="Dual Slimline Linked Top Blind Back Roll",Bagging!D14="Slimline Dual Top Blind Back Roll LHS Control &amp; Dual Slimline Linked Top Blind Back Roll",Bagging!D14="Slimline Dual Top Blind Back Roll RHS Control &amp; Dual Slimline Linked Top Blind Back Roll"))),1,IF(AND(Bagging!D14="Dual Slimline Linked Top Blind Back Roll(2 Sets)",'Job Sheet'!BE14="Black"),2,""))</f>
        <v/>
      </c>
      <c r="FB8" s="7" t="str">
        <f>IF(AND('Job Sheet'!BE14="Birch White",(OR(Bagging!D14="Dual Slimline Linked Top Blind Back Roll",Bagging!D14="Slimline Dual Top Blind Back Roll LHS Control &amp; Dual Slimline Linked Top Blind Back Roll",Bagging!D14="Slimline Dual Top Blind Back Roll RHS Control &amp; Dual Slimline Linked Top Blind Back Roll"))),1,IF(AND(Bagging!D14="Dual Slimline Linked Top Blind Back Roll(2 Sets)",'Job Sheet'!BE14="Birch White"),2,""))</f>
        <v/>
      </c>
      <c r="FC8" s="7" t="str">
        <f>IF(AND('Job Sheet'!BE14="Grey",(OR(Bagging!D14="Dual Slimline Linked Top Blind Back Roll",Bagging!D14="Slimline Dual Top Blind Back Roll LHS Control &amp; Dual Slimline Linked Top Blind Back Roll",Bagging!D14="Slimline Dual Top Blind Back Roll RHS Control &amp; Dual Slimline Linked Top Blind Back Roll"))),1,IF(AND(Bagging!D14="Dual Slimline Linked Top Blind Back Roll(2 Sets)",'Job Sheet'!BE14="Grey"),2,""))</f>
        <v/>
      </c>
      <c r="FD8" s="7" t="str">
        <f>IF(AND('Job Sheet'!BE14="Beige",(OR(Bagging!D14="Dual Slimline Linked Top Blind Back Roll",Bagging!D14="Slimline Dual Top Blind Back Roll LHS Control &amp; Dual Slimline Linked Top Blind Back Roll",Bagging!D14="Slimline Dual Top Blind Back Roll RHS Control &amp; Dual Slimline Linked Top Blind Back Roll"))),1,IF(AND(Bagging!D14="Dual Slimline Linked Top Blind Back Roll(2 Sets)",'Job Sheet'!BE14="Beige"),2,""))</f>
        <v/>
      </c>
      <c r="FE8" s="7" t="str">
        <f>IF(AND(OR('Job Sheet'!BF14="Nickel Steel",'Job Sheet'!BF14="Nickel Steel Chain"),OR('Assembly(b)'!D14="500mm",'Assembly(b)'!D14="500")),1,"")</f>
        <v/>
      </c>
      <c r="FF8" s="7" t="str">
        <f>IF(AND(OR('Job Sheet'!BF14="Nickel Steel",'Job Sheet'!BF14="Nickel Steel Chain"),OR('Assembly(b)'!D14="750mm",'Assembly(b)'!D14="750")),1,"")</f>
        <v/>
      </c>
      <c r="FG8" s="7" t="str">
        <f>IF(AND(OR('Job Sheet'!BF14="Nickel Steel",'Job Sheet'!BF14="Nickel Steel Chain"),OR('Assembly(b)'!D14="1000mm",'Assembly(b)'!D14="1000")),1,"")</f>
        <v/>
      </c>
      <c r="FH8" s="7">
        <f>IF(AND(OR('Job Sheet'!BF14="Nickel Steel",'Job Sheet'!BF14="Nickel Steel Chain"),OR('Assembly(b)'!D14="1250mm",'Assembly(b)'!D14="1250")),1,"")</f>
        <v>1</v>
      </c>
      <c r="FI8" s="7" t="str">
        <f>IF(AND(OR('Job Sheet'!BF14="Nickel Steel",'Job Sheet'!BF14="Nickel Steel Chain"),OR('Assembly(b)'!D14="1500mm",'Assembly(b)'!D14="1500")),1,"")</f>
        <v/>
      </c>
      <c r="FJ8" s="7" t="str">
        <f>IF(AND(OR('Job Sheet'!BF14="Nickel Steel",'Job Sheet'!BF14="Nickel Steel Chain"),OR('Assembly(b)'!D14="1750mm",'Assembly(b)'!D14="1750")),1,"")</f>
        <v/>
      </c>
      <c r="FK8" s="7" t="str">
        <f>IF(AND(OR('Job Sheet'!BF14="Nickel Steel",'Job Sheet'!BF14="Nickel Steel Chain"),OR('Assembly(b)'!D14="2000mm",'Assembly(b)'!D14="2000")),1,"")</f>
        <v/>
      </c>
      <c r="FL8" s="7" t="str">
        <f>IF(AND(OR('Job Sheet'!BF14="Nickel Steel",'Job Sheet'!BF14="Nickel Steel Chain"),OR('Assembly(b)'!D14="2250mm",'Assembly(b)'!D14="2250")),1,"")</f>
        <v/>
      </c>
      <c r="FM8" s="7" t="str">
        <f>IF(AND(OR('Job Sheet'!BF14="Nickel Steel",'Job Sheet'!BF14="Nickel Steel Chain"),OR('Assembly(b)'!D14="2500mm",'Assembly(b)'!D14="2500")),1,"")</f>
        <v/>
      </c>
      <c r="FN8" s="7" t="str">
        <f>IF(AND(OR('Job Sheet'!BF14="Nickel Steel",'Job Sheet'!BF14="Nickel Steel Chain"),OR('Assembly(b)'!D14="2750mm",'Assembly(b)'!D14="2750")),1,"")</f>
        <v/>
      </c>
      <c r="FO8" s="7" t="str">
        <f>IF(AND(OR('Job Sheet'!BF14="Nickel Steel",'Job Sheet'!BF14="Nickel Steel Chain"),OR('Assembly(b)'!D14="3000mm",'Assembly(b)'!D14="3000")),1,"")</f>
        <v/>
      </c>
      <c r="FP8" s="7" t="str">
        <f>IF(AND(OR('Job Sheet'!BF14="Nickel Steel",'Job Sheet'!BF14="Nickel Steel Chain"),OR('Assembly(b)'!D14="3250mm",'Assembly(b)'!D14="3250")),1,"")</f>
        <v/>
      </c>
      <c r="FQ8" s="7" t="str">
        <f>IF(AND(OR('Job Sheet'!BF14="Nickel Steel",'Job Sheet'!BF14="Nickel Steel Chain"),OR('Assembly(b)'!D14="3500mm",'Assembly(b)'!D14="3500")),1,"")</f>
        <v/>
      </c>
      <c r="FR8" s="7" t="str">
        <f>IF(AND(OR('Job Sheet'!BF14="Nickel Steel",'Job Sheet'!BF14="Nickel Steel Chain"),OR('Assembly(b)'!D14="3750mm",'Assembly(b)'!D14="3750")),1,"")</f>
        <v/>
      </c>
      <c r="FS8" s="7" t="str">
        <f>IF(AND(OR('Job Sheet'!BF14="Nickel Steel",'Job Sheet'!BF14="Nickel Steel Chain"),OR('Assembly(b)'!D14="4000mm",'Assembly(b)'!D14="4000")),1,"")</f>
        <v/>
      </c>
      <c r="FT8" s="7" t="str">
        <f>IF(AND(OR('Job Sheet'!BF14="White",'Job Sheet'!BF14="White Chain"),OR('Assembly(b)'!D14="500mm",'Assembly(b)'!D14="500")),1,"")</f>
        <v/>
      </c>
      <c r="FU8" s="7" t="str">
        <f>IF(AND(OR('Job Sheet'!BF14="White",'Job Sheet'!BF14="White Chain"),OR('Assembly(b)'!D14="750mm",'Assembly(b)'!D14="750")),1,"")</f>
        <v/>
      </c>
      <c r="FV8" s="7" t="str">
        <f>IF(AND(OR('Job Sheet'!BF14="White",'Job Sheet'!BF14="White Chain"),OR('Assembly(b)'!D14="1000mm",'Assembly(b)'!D14="1000")),1,"")</f>
        <v/>
      </c>
      <c r="FW8" s="7" t="str">
        <f>IF(AND(OR('Job Sheet'!BF14="White",'Job Sheet'!BF14="White Chain"),OR('Assembly(b)'!D14="1250mm",'Assembly(b)'!D14="1250")),1,"")</f>
        <v/>
      </c>
      <c r="FX8" s="7" t="str">
        <f>IF(AND(OR('Job Sheet'!BF14="White",'Job Sheet'!BF14="White Chain"),OR('Assembly(b)'!D14="1500mm",'Assembly(b)'!D14="1500")),1,"")</f>
        <v/>
      </c>
      <c r="FY8" s="7" t="str">
        <f>IF(AND(OR('Job Sheet'!BF14="White",'Job Sheet'!BF14="White Chain"),OR('Assembly(b)'!D14="1750mm",'Assembly(b)'!D14="1750")),1,"")</f>
        <v/>
      </c>
      <c r="FZ8" s="7" t="str">
        <f>IF(AND(OR('Job Sheet'!BF14="White",'Job Sheet'!BF14="White Chain"),OR('Assembly(b)'!D14="2000mm",'Assembly(b)'!D14="2000")),1,"")</f>
        <v/>
      </c>
      <c r="GA8" s="7" t="str">
        <f>IF(AND(OR('Job Sheet'!BF14="White",'Job Sheet'!BF14="White Chain"),OR('Assembly(b)'!D14="2250mm",'Assembly(b)'!D14="2250")),1,"")</f>
        <v/>
      </c>
      <c r="GB8" s="7" t="str">
        <f>IF(AND(OR('Job Sheet'!BF14="White",'Job Sheet'!BF14="White Chain"),OR('Assembly(b)'!D14="2500mm",'Assembly(b)'!D14="2500")),1,"")</f>
        <v/>
      </c>
      <c r="GC8" s="7" t="str">
        <f>IF(AND(OR('Job Sheet'!BF14="White",'Job Sheet'!BF14="White Chain"),OR('Assembly(b)'!D14="2750mm",'Assembly(b)'!D14="2750")),1,"")</f>
        <v/>
      </c>
      <c r="GD8" s="7" t="str">
        <f>IF(AND(OR('Job Sheet'!BF14="White",'Job Sheet'!BF14="White Chain"),OR('Assembly(b)'!D14="3000mm",'Assembly(b)'!D14="3000")),1,"")</f>
        <v/>
      </c>
      <c r="GE8" s="7" t="str">
        <f>IF(AND(OR('Job Sheet'!BF14="White",'Job Sheet'!BF14="White Chain"),OR('Assembly(b)'!D14="3250mm",'Assembly(b)'!D14="3250")),1,"")</f>
        <v/>
      </c>
      <c r="GF8" s="7" t="str">
        <f>IF(AND(OR('Job Sheet'!BF14="White",'Job Sheet'!BF14="White Chain"),OR('Assembly(b)'!D14="3500mm",'Assembly(b)'!D14="3500")),1,"")</f>
        <v/>
      </c>
      <c r="GG8" s="7" t="str">
        <f>IF(AND(OR('Job Sheet'!BF14="White",'Job Sheet'!BF14="White Chain"),OR('Assembly(b)'!D14="3750mm",'Assembly(b)'!D14="3750")),1,"")</f>
        <v/>
      </c>
      <c r="GH8" s="7" t="str">
        <f>IF(AND(OR('Job Sheet'!BF14="White",'Job Sheet'!BF14="White Chain"),OR('Assembly(b)'!D14="4000mm",'Assembly(b)'!D14="4000")),1,"")</f>
        <v/>
      </c>
      <c r="GI8" s="7" t="str">
        <f>IF(AND(OR('Job Sheet'!BF14="Black",'Job Sheet'!BF14="Black Chain"),OR('Assembly(b)'!D14="500mm",'Assembly(b)'!D14="500")),1,"")</f>
        <v/>
      </c>
      <c r="GJ8" s="7" t="str">
        <f>IF(AND(OR('Job Sheet'!BF14="Black",'Job Sheet'!BF14="Black Chain"),OR('Assembly(b)'!D14="750mm",'Assembly(b)'!D14="750")),1,"")</f>
        <v/>
      </c>
      <c r="GK8" s="7" t="str">
        <f>IF(AND(OR('Job Sheet'!BF14="Black",'Job Sheet'!BF14="Black Chain"),OR('Assembly(b)'!D14="1000mm",'Assembly(b)'!D14="1000")),1,"")</f>
        <v/>
      </c>
      <c r="GL8" s="7" t="str">
        <f>IF(AND(OR('Job Sheet'!BF14="Black",'Job Sheet'!BF14="Black Chain"),OR('Assembly(b)'!D14="1250mm",'Assembly(b)'!D14="1250")),1,"")</f>
        <v/>
      </c>
      <c r="GM8" s="7" t="str">
        <f>IF(AND(OR('Job Sheet'!BF14="Black",'Job Sheet'!BF14="Black Chain"),OR('Assembly(b)'!D14="1500mm",'Assembly(b)'!D14="1500")),1,"")</f>
        <v/>
      </c>
      <c r="GN8" s="7" t="str">
        <f>IF(AND(OR('Job Sheet'!BF14="Black",'Job Sheet'!BF14="Black Chain"),OR('Assembly(b)'!D14="1750mm",'Assembly(b)'!D14="1750")),1,"")</f>
        <v/>
      </c>
      <c r="GO8" s="7" t="str">
        <f>IF(AND(OR('Job Sheet'!BF14="Black",'Job Sheet'!BF14="Black Chain"),OR('Assembly(b)'!D14="2000mm",'Assembly(b)'!D14="2000")),1,"")</f>
        <v/>
      </c>
      <c r="GP8" s="7" t="str">
        <f>IF(AND(OR('Job Sheet'!BF14="Black",'Job Sheet'!BF14="Black Chain"),OR('Assembly(b)'!D14="2250mm",'Assembly(b)'!D14="2250")),1,"")</f>
        <v/>
      </c>
      <c r="GQ8" s="7" t="str">
        <f>IF(AND(OR('Job Sheet'!BF14="Black",'Job Sheet'!BF14="Black Chain"),OR('Assembly(b)'!D14="2500mm",'Assembly(b)'!D14="2500")),1,"")</f>
        <v/>
      </c>
      <c r="GR8" s="7" t="str">
        <f>IF(AND(OR('Job Sheet'!BF14="Black",'Job Sheet'!BF14="Black Chain"),OR('Assembly(b)'!D14="2750mm",'Assembly(b)'!D14="2750")),1,"")</f>
        <v/>
      </c>
      <c r="GS8" s="7" t="str">
        <f>IF(AND(OR('Job Sheet'!BF14="Black",'Job Sheet'!BF14="Black Chain"),OR('Assembly(b)'!D14="3000mm",'Assembly(b)'!D14="3000")),1,"")</f>
        <v/>
      </c>
      <c r="GT8" s="7" t="str">
        <f>IF(AND(OR('Job Sheet'!BF14="Black",'Job Sheet'!BF14="Black Chain"),OR('Assembly(b)'!D14="3250mm",'Assembly(b)'!D14="3250")),1,"")</f>
        <v/>
      </c>
      <c r="GU8" s="7" t="str">
        <f>IF(AND(OR('Job Sheet'!BF14="Black",'Job Sheet'!BF14="Black Chain"),OR('Assembly(b)'!D14="3500mm",'Assembly(b)'!D14="3500")),1,"")</f>
        <v/>
      </c>
      <c r="GV8" s="7" t="str">
        <f>IF(AND(OR('Job Sheet'!BF14="Black",'Job Sheet'!BF14="Black Chain"),OR('Assembly(b)'!D14="3750mm",'Assembly(b)'!D14="3750")),1,"")</f>
        <v/>
      </c>
      <c r="GW8" s="7" t="str">
        <f>IF(AND(OR('Job Sheet'!BF14="Black",'Job Sheet'!BF14="Black Chain"),OR('Assembly(b)'!D14="4000mm",'Assembly(b)'!D14="4000")),1,"")</f>
        <v/>
      </c>
      <c r="GX8" s="7" t="str">
        <f>IF(AND(OR('Job Sheet'!BF14="Birch White",'Job Sheet'!BF14="Birch White Chain"),OR('Assembly(b)'!D14="500mm",'Assembly(b)'!D14="500")),1,"")</f>
        <v/>
      </c>
      <c r="GY8" s="7" t="str">
        <f>IF(AND(OR('Job Sheet'!BF14="Birch White",'Job Sheet'!BF14="Birch White Chain"),OR('Assembly(b)'!D14="750mm",'Assembly(b)'!D14="750")),1,"")</f>
        <v/>
      </c>
      <c r="GZ8" s="7" t="str">
        <f>IF(AND(OR('Job Sheet'!BF14="Birch White",'Job Sheet'!BF14="Birch White Chain"),OR('Assembly(b)'!D14="1000mm",'Assembly(b)'!D14="1000")),1,"")</f>
        <v/>
      </c>
      <c r="HA8" s="7" t="str">
        <f>IF(AND(OR('Job Sheet'!BF14="Birch White",'Job Sheet'!BF14="Birch White Chain"),OR('Assembly(b)'!D14="1250mm",'Assembly(b)'!D14="1250")),1,"")</f>
        <v/>
      </c>
      <c r="HB8" s="7" t="str">
        <f>IF(AND(OR('Job Sheet'!BF14="Birch White",'Job Sheet'!BF14="Birch White Chain"),OR('Assembly(b)'!D14="1500mm",'Assembly(b)'!D14="1500")),1,"")</f>
        <v/>
      </c>
      <c r="HC8" s="7" t="str">
        <f>IF(AND(OR('Job Sheet'!BF14="Birch White",'Job Sheet'!BF14="Birch White Chain"),OR('Assembly(b)'!D14="1750mm",'Assembly(b)'!D14="1750")),1,"")</f>
        <v/>
      </c>
      <c r="HD8" s="7" t="str">
        <f>IF(AND(OR('Job Sheet'!BF14="Birch White",'Job Sheet'!BF14="Birch White Chain"),OR('Assembly(b)'!D14="2000mm",'Assembly(b)'!D14="2000")),1,"")</f>
        <v/>
      </c>
      <c r="HE8" s="7" t="str">
        <f>IF(AND(OR('Job Sheet'!BF14="Birch White",'Job Sheet'!BF14="Birch White Chain"),OR('Assembly(b)'!D14="2250mm",'Assembly(b)'!D14="2250")),1,"")</f>
        <v/>
      </c>
      <c r="HF8" s="7" t="str">
        <f>IF(AND(OR('Job Sheet'!BF14="Birch White",'Job Sheet'!BF14="Birch White Chain"),OR('Assembly(b)'!D14="2500mm",'Assembly(b)'!D14="2500")),1,"")</f>
        <v/>
      </c>
      <c r="HG8" s="7" t="str">
        <f>IF(AND(OR('Job Sheet'!BF14="Birch White",'Job Sheet'!BF14="Birch White Chain"),OR('Assembly(b)'!D14="2750mm",'Assembly(b)'!D14="2750")),1,"")</f>
        <v/>
      </c>
      <c r="HH8" s="7" t="str">
        <f>IF(AND(OR('Job Sheet'!BF14="Birch White",'Job Sheet'!BF14="Birch White Chain"),OR('Assembly(b)'!D14="3000mm",'Assembly(b)'!D14="3000")),1,"")</f>
        <v/>
      </c>
      <c r="HI8" s="7" t="str">
        <f>IF(AND(OR('Job Sheet'!BF14="Birch White",'Job Sheet'!BF14="Birch White Chain"),OR('Assembly(b)'!D14="3250mm",'Assembly(b)'!D14="3250")),1,"")</f>
        <v/>
      </c>
      <c r="HJ8" s="7" t="str">
        <f>IF(AND(OR('Job Sheet'!BF14="Birch White",'Job Sheet'!BF14="Birch White Chain"),OR('Assembly(b)'!D14="3500mm",'Assembly(b)'!D14="3500")),1,"")</f>
        <v/>
      </c>
      <c r="HK8" s="7" t="str">
        <f>IF(AND(OR('Job Sheet'!BF14="Birch White",'Job Sheet'!BF14="Birch White Chain"),OR('Assembly(b)'!D14="3750mm",'Assembly(b)'!D14="3750")),1,"")</f>
        <v/>
      </c>
      <c r="HL8" s="7" t="str">
        <f>IF(AND(OR('Job Sheet'!BF14="Birch White",'Job Sheet'!BF14="Birch White Chain"),OR('Assembly(b)'!D14="4000mm",'Assembly(b)'!D14="4000")),1,"")</f>
        <v/>
      </c>
      <c r="HM8" s="7" t="str">
        <f>IF(AND(OR('Job Sheet'!BF14="Grey",'Job Sheet'!BF14="Grey Chain"),OR('Assembly(b)'!D14="500mm",'Assembly(b)'!D14="500")),1,"")</f>
        <v/>
      </c>
      <c r="HN8" s="7" t="str">
        <f>IF(AND(OR('Job Sheet'!BF14="Grey",'Job Sheet'!BF14="Grey Chain"),OR('Assembly(b)'!D14="750mm",'Assembly(b)'!D14="750")),1,"")</f>
        <v/>
      </c>
      <c r="HO8" s="7" t="str">
        <f>IF(AND(OR('Job Sheet'!BF14="Grey",'Job Sheet'!BF14="Grey Chain"),OR('Assembly(b)'!D14="1000mm",'Assembly(b)'!D14="1000")),1,"")</f>
        <v/>
      </c>
      <c r="HP8" s="7" t="str">
        <f>IF(AND(OR('Job Sheet'!BF14="Grey",'Job Sheet'!BF14="Grey Chain"),OR('Assembly(b)'!D14="1250mm",'Assembly(b)'!D14="1250")),1,"")</f>
        <v/>
      </c>
      <c r="HQ8" s="7" t="str">
        <f>IF(AND(OR('Job Sheet'!BF14="Grey",'Job Sheet'!BF14="Grey Chain"),OR('Assembly(b)'!D14="1500mm",'Assembly(b)'!D14="1500")),1,"")</f>
        <v/>
      </c>
      <c r="HR8" s="7" t="str">
        <f>IF(AND(OR('Job Sheet'!BF14="Grey",'Job Sheet'!BF14="Grey Chain"),OR('Assembly(b)'!D14="1750mm",'Assembly(b)'!D14="1750")),1,"")</f>
        <v/>
      </c>
      <c r="HS8" s="7" t="str">
        <f>IF(AND(OR('Job Sheet'!BF14="Grey",'Job Sheet'!BF14="Grey Chain"),OR('Assembly(b)'!D14="2000mm",'Assembly(b)'!D14="2000")),1,"")</f>
        <v/>
      </c>
      <c r="HT8" s="7" t="str">
        <f>IF(AND(OR('Job Sheet'!BF14="Grey",'Job Sheet'!BF14="Grey Chain"),OR('Assembly(b)'!D14="2250mm",'Assembly(b)'!D14="2250")),1,"")</f>
        <v/>
      </c>
      <c r="HU8" s="7" t="str">
        <f>IF(AND(OR('Job Sheet'!BF14="Grey",'Job Sheet'!BF14="Grey Chain"),OR('Assembly(b)'!D14="2500mm",'Assembly(b)'!D14="2500")),1,"")</f>
        <v/>
      </c>
      <c r="HV8" s="7" t="str">
        <f>IF(AND(OR('Job Sheet'!BF14="Grey",'Job Sheet'!BF14="Grey Chain"),OR('Assembly(b)'!D14="2750mm",'Assembly(b)'!D14="2750")),1,"")</f>
        <v/>
      </c>
      <c r="HW8" s="7" t="str">
        <f>IF(AND(OR('Job Sheet'!BF14="Grey",'Job Sheet'!BF14="Grey Chain"),OR('Assembly(b)'!D14="3000mm",'Assembly(b)'!D14="3000")),1,"")</f>
        <v/>
      </c>
      <c r="HX8" s="7" t="str">
        <f>IF(AND(OR('Job Sheet'!BF14="Grey",'Job Sheet'!BF14="Grey Chain"),OR('Assembly(b)'!D14="3250mm",'Assembly(b)'!D14="3250")),1,"")</f>
        <v/>
      </c>
      <c r="HY8" s="7" t="str">
        <f>IF(AND(OR('Job Sheet'!BF14="Grey",'Job Sheet'!BF14="Grey Chain"),OR('Assembly(b)'!D14="3500mm",'Assembly(b)'!D14="3500")),1,"")</f>
        <v/>
      </c>
      <c r="HZ8" s="7" t="str">
        <f>IF(AND(OR('Job Sheet'!BF14="Grey",'Job Sheet'!BF14="Grey Chain"),OR('Assembly(b)'!D14="3750mm",'Assembly(b)'!D14="3750")),1,"")</f>
        <v/>
      </c>
      <c r="IA8" s="7" t="str">
        <f>IF(AND(OR('Job Sheet'!BF14="Grey",'Job Sheet'!BF14="Grey Chain"),OR('Assembly(b)'!D14="4000mm",'Assembly(b)'!D14="4000")),1,"")</f>
        <v/>
      </c>
      <c r="IB8" s="7" t="str">
        <f>IF(AND(OR('Job Sheet'!BF14="Beige",'Job Sheet'!BF14="Beige Chain"),OR('Assembly(b)'!D14="500mm",'Assembly(b)'!D14="500")),1,"")</f>
        <v/>
      </c>
      <c r="IC8" s="7" t="str">
        <f>IF(AND(OR('Job Sheet'!BF14="Beige",'Job Sheet'!BF14="Beige Chain"),OR('Assembly(b)'!D14="750mm",'Assembly(b)'!D14="750")),1,"")</f>
        <v/>
      </c>
      <c r="ID8" s="7" t="str">
        <f>IF(AND(OR('Job Sheet'!BF14="Beige",'Job Sheet'!BF14="Beige Chain"),OR('Assembly(b)'!D14="1000mm",'Assembly(b)'!D14="1000")),1,"")</f>
        <v/>
      </c>
      <c r="IE8" s="7" t="str">
        <f>IF(AND(OR('Job Sheet'!BF14="Beige",'Job Sheet'!BF14="Beige Chain"),OR('Assembly(b)'!D14="1250mm",'Assembly(b)'!D14="1250")),1,"")</f>
        <v/>
      </c>
      <c r="IF8" s="7" t="str">
        <f>IF(AND(OR('Job Sheet'!BF14="Beige",'Job Sheet'!BF14="Beige Chain"),OR('Assembly(b)'!D14="1500mm",'Assembly(b)'!D14="1500")),1,"")</f>
        <v/>
      </c>
      <c r="IG8" s="7" t="str">
        <f>IF(AND(OR('Job Sheet'!BF14="Beige",'Job Sheet'!BF14="Beige Chain"),OR('Assembly(b)'!D14="1750mm",'Assembly(b)'!D14="1750")),1,"")</f>
        <v/>
      </c>
      <c r="IH8" s="7" t="str">
        <f>IF(AND(OR('Job Sheet'!BF14="Beige",'Job Sheet'!BF14="Beige Chain"),OR('Assembly(b)'!D14="2000mm",'Assembly(b)'!D14="2000")),1,"")</f>
        <v/>
      </c>
      <c r="II8" s="7" t="str">
        <f>IF(AND(OR('Job Sheet'!BF14="Beige",'Job Sheet'!BF14="Beige Chain"),OR('Assembly(b)'!D14="2250mm",'Assembly(b)'!D14="2250")),1,"")</f>
        <v/>
      </c>
      <c r="IJ8" s="7" t="str">
        <f>IF(AND(OR('Job Sheet'!BF14="Beige",'Job Sheet'!BF14="Beige Chain"),OR('Assembly(b)'!D14="2500mm",'Assembly(b)'!D14="2500")),1,"")</f>
        <v/>
      </c>
      <c r="IK8" s="7" t="str">
        <f>IF(AND(OR('Job Sheet'!BF14="Beige",'Job Sheet'!BF14="Beige Chain"),OR('Assembly(b)'!D14="2750mm",'Assembly(b)'!D14="2750")),1,"")</f>
        <v/>
      </c>
      <c r="IL8" s="7" t="str">
        <f>IF(AND(OR('Job Sheet'!BF14="Beige",'Job Sheet'!BF14="Beige Chain"),OR('Assembly(b)'!D14="3000mm",'Assembly(b)'!D14="3000")),1,"")</f>
        <v/>
      </c>
      <c r="IM8" s="7" t="str">
        <f>IF(AND(OR('Job Sheet'!BF14="Beige",'Job Sheet'!BF14="Beige Chain"),OR('Assembly(b)'!D14="3250mm",'Assembly(b)'!D14="3250")),1,"")</f>
        <v/>
      </c>
      <c r="IN8" s="7" t="str">
        <f>IF(AND(OR('Job Sheet'!BF14="Beige",'Job Sheet'!BF14="Beige Chain"),OR('Assembly(b)'!D14="3500mm",'Assembly(b)'!D14="3500")),1,"")</f>
        <v/>
      </c>
      <c r="IO8" s="7" t="str">
        <f>IF(AND(OR('Job Sheet'!BF14="Beige",'Job Sheet'!BF14="Beige Chain"),OR('Assembly(b)'!D14="3750mm",'Assembly(b)'!D14="3750")),1,"")</f>
        <v/>
      </c>
      <c r="IP8" s="7" t="str">
        <f>IF(AND(OR('Job Sheet'!BF14="Beige",'Job Sheet'!BF14="Beige Chain"),OR('Assembly(b)'!D14="4000mm",'Assembly(b)'!D14="4000")),1,"")</f>
        <v/>
      </c>
      <c r="IQ8" s="7" t="str">
        <f>IF(AND(OR('Job Sheet'!BF14="Stainless Steel",'Job Sheet'!BF14="Stainless Steel Chain"),OR('Assembly(b)'!D14="500mm",'Assembly(b)'!D14="500")),1,"")</f>
        <v/>
      </c>
      <c r="IR8" s="7" t="str">
        <f>IF(AND(OR('Job Sheet'!BF14="Stainless Steel",'Job Sheet'!BF14="Stainless Steel Chain"),OR('Assembly(b)'!D14="750mm",'Assembly(b)'!D14="750")),1,"")</f>
        <v/>
      </c>
      <c r="IS8" s="7" t="str">
        <f>IF(AND(OR('Job Sheet'!BF14="Stainless Steel",'Job Sheet'!BF14="Stainless Steel Chain"),OR('Assembly(b)'!D14="1000mm",'Assembly(b)'!D14="1000")),1,"")</f>
        <v/>
      </c>
      <c r="IT8" s="7" t="str">
        <f>IF(AND(OR('Job Sheet'!BF14="Stainless Steel",'Job Sheet'!BF14="Stainless Steel Chain"),OR('Assembly(b)'!D14="1250mm",'Assembly(b)'!D14="1250")),1,"")</f>
        <v/>
      </c>
      <c r="IU8" s="7" t="str">
        <f>IF(AND(OR('Job Sheet'!BF14="Stainless Steel",'Job Sheet'!BF14="Stainless Steel Chain"),OR('Assembly(b)'!D14="1500mm",'Assembly(b)'!D14="1500")),1,"")</f>
        <v/>
      </c>
      <c r="IV8" s="7" t="str">
        <f>IF(AND(OR('Job Sheet'!BF14="Stainless Steel",'Job Sheet'!BF14="Stainless Steel Chain"),OR('Assembly(b)'!D14="1750mm",'Assembly(b)'!D14="1750")),1,"")</f>
        <v/>
      </c>
      <c r="IW8" s="7" t="str">
        <f>IF(AND(OR('Job Sheet'!BF14="Stainless Steel",'Job Sheet'!BF14="Stainless Steel Chain"),OR('Assembly(b)'!D14="2000mm",'Assembly(b)'!D14="2000")),1,"")</f>
        <v/>
      </c>
      <c r="IX8" s="7" t="str">
        <f>IF(AND(OR('Job Sheet'!BF14="Stainless Steel",'Job Sheet'!BF14="Stainless Steel Chain"),OR('Assembly(b)'!D14="2250mm",'Assembly(b)'!D14="2250")),1,"")</f>
        <v/>
      </c>
      <c r="IY8" s="7" t="str">
        <f>IF(AND(OR('Job Sheet'!BF14="Stainless Steel",'Job Sheet'!BF14="Stainless Steel Chain"),OR('Assembly(b)'!D14="2500mm",'Assembly(b)'!D14="2500")),1,"")</f>
        <v/>
      </c>
      <c r="IZ8" s="7" t="str">
        <f>IF(AND(OR('Job Sheet'!BF14="Stainless Steel",'Job Sheet'!BF14="Stainless Steel Chain"),OR('Assembly(b)'!D14="2750mm",'Assembly(b)'!D14="2750")),1,"")</f>
        <v/>
      </c>
      <c r="JA8" s="7" t="str">
        <f>IF(AND(OR('Job Sheet'!BF14="Stainless Steel",'Job Sheet'!BF14="Stainless Steel Chain"),OR('Assembly(b)'!D14="3000mm",'Assembly(b)'!D14="3000")),1,"")</f>
        <v/>
      </c>
      <c r="JB8" s="7" t="str">
        <f>IF(AND(OR('Job Sheet'!BF14="Stainless Steel",'Job Sheet'!BF14="Stainless Steel Chain"),OR('Assembly(b)'!D14="3250mm",'Assembly(b)'!D14="3250")),1,"")</f>
        <v/>
      </c>
      <c r="JC8" s="7" t="str">
        <f>IF(AND(OR('Job Sheet'!BF14="Stainless Steel",'Job Sheet'!BF14="Stainless Steel Chain"),OR('Assembly(b)'!D14="3500mm",'Assembly(b)'!D14="3500")),1,"")</f>
        <v/>
      </c>
      <c r="JD8" s="7" t="str">
        <f>IF(AND(OR('Job Sheet'!BF14="Stainless Steel",'Job Sheet'!BF14="Stainless Steel Chain"),OR('Assembly(b)'!D14="3750mm",'Assembly(b)'!D14="3750")),1,"")</f>
        <v/>
      </c>
      <c r="JE8" s="7" t="str">
        <f>IF(AND(OR('Job Sheet'!BF14="Stainless Steel",'Job Sheet'!BF14="Stainless Steel Chain"),OR('Assembly(b)'!D14="4000mm",'Assembly(b)'!D14="4000")),1,"")</f>
        <v/>
      </c>
      <c r="JF8" s="7" t="str">
        <f>IF(AND('Assembly(b)'!I14="Yes - L",(OR('Tube Cutting'!C14="43mm",'Tube Cutting'!C14="43mm H/D"))),1,"")</f>
        <v/>
      </c>
      <c r="JG8" s="7" t="str">
        <f>IF(AND('Assembly(b)'!I14="Yes - R",(OR('Tube Cutting'!C14="43mm",'Tube Cutting'!C14="43mm H/D"))),1,"")</f>
        <v/>
      </c>
      <c r="JH8" s="7" t="str">
        <f>IF(AND('Assembly(b)'!I14="Yes - L",'Tube Cutting'!C14="60mm"),1,"")</f>
        <v/>
      </c>
      <c r="JI8" s="7" t="str">
        <f>IF(AND('Assembly(b)'!I14="Yes - R",'Tube Cutting'!C14="60mm"),1,"")</f>
        <v/>
      </c>
      <c r="JJ8" s="7" t="str">
        <f>IF(OR('Job Sheet'!BE14="Black",'Assembly(b)'!J14="N/A"),"",IF(OR('Assembly(b)'!J14="Motor - Female",'Assembly(b)'!J14="Motor - Female with Insert",'Assembly(b)'!J14="Female - Motor",'Assembly(b)'!J14="Chain Winder - Female",'Assembly(b)'!J14="Chain Winder - Female with Insert",'Assembly(b)'!J14="Female - Chain Winder",'Assembly(b)'!J14="Male - Female",'Assembly(b)'!J14="Female - Male",'Assembly(b)'!J14="Male - Female with Insert"),1,""))</f>
        <v/>
      </c>
      <c r="JK8" s="7" t="str">
        <f>IF(OR('Job Sheet'!BE14="White",'Assembly(b)'!J14="N/A"),"",IF(OR('Assembly(b)'!J14="Motor - Female",'Assembly(b)'!J14="Motor - Female with Insert",'Assembly(b)'!J14="Female - Motor",'Assembly(b)'!J14="Chain Winder - Female",'Assembly(b)'!J14="Chain Winder - Female with Insert",'Assembly(b)'!J14="Female - Chain Winder",'Assembly(b)'!J14="Male - Female",'Assembly(b)'!J14="Female - Male",'Assembly(b)'!J14="Male - Female with Insert"),1,""))</f>
        <v/>
      </c>
      <c r="JL8" s="7" t="str">
        <f>IF(OR('Job Sheet'!BE14="White",'Assembly(b)'!J14="N/A"),"",IF(OR('Assembly(b)'!J14="Motor - Male",'Assembly(b)'!J14="Male - Motor",'Assembly(b)'!J14="Chain Winder - Male",'Assembly(b)'!J14="Male - Chain Winder",'Assembly(b)'!J14="Male - Female",'Assembly(b)'!J14="Female - Male",'Assembly(b)'!J14="Male - Idle",'Assembly(b)'!J14="Idle - Male"),1,""))</f>
        <v/>
      </c>
      <c r="JM8" s="7" t="str">
        <f>IF(OR('Job Sheet'!BE14="White",'Job Sheet'!BE14="Birch White",'Job Sheet'!BE14="Grey",'Job Sheet'!BE14="Beige",'Assembly(b)'!J14="N/A"),"",IF(OR('Assembly(b)'!J14="Motor - Male",'Assembly(b)'!J14="Male - Motor",'Assembly(b)'!J14="Chain Winder - Male",'Assembly(b)'!J14="Male - Chain Winder",'Assembly(b)'!J14="Male - Female",'Assembly(b)'!J14="Female - Male",'Assembly(b)'!J14="Male - Idle",'Assembly(b)'!J14="Idle - Male"),1,""))</f>
        <v/>
      </c>
      <c r="JN8" s="7" t="str">
        <f>IF(OR('Job Sheet'!BE14="Black",'Assembly(b)'!J14="N/A"),"",IF(OR('Assembly(b)'!J14="Motor - 60mm Female",'Assembly(b)'!J14="60mm Female - Motor",'Assembly(b)'!J14="Chain Winder - 60mm Female",'Assembly(b)'!J14="60mm Female - Chain Winder",'Assembly(b)'!J14="60mm Male - 60mm Female",'Assembly(b)'!J14="60mm Female - 60mm Male"),1,""))</f>
        <v/>
      </c>
      <c r="JO8" s="7" t="str">
        <f>IF(OR('Job Sheet'!BE14="White",'Assembly(b)'!J14="N/A"),"",IF(OR('Assembly(b)'!J14="Motor - 60mm Female",'Assembly(b)'!J14="60mm Female - Motor",'Assembly(b)'!J14="Chain Winder - 60mm Female",'Assembly(b)'!J14="60mm Female - Chain Winder",'Assembly(b)'!J14="60mm Male - 60mm Female",'Assembly(b)'!J14="60mm Female - 60mm Male"),1,""))</f>
        <v/>
      </c>
      <c r="JP8" s="7" t="str">
        <f>IF(OR('Job Sheet'!BE14="Black",'Assembly(b)'!J14="N/A"),"",IF(OR('Assembly(b)'!J14="Motor - 60mm Male",'Assembly(b)'!J14="60mm Male - Motor",'Assembly(b)'!J14="Chain Winder - 60mm Male",'Assembly(b)'!J14="60mm Male - Chain Winder",'Assembly(b)'!J14="60mm Male - 60mm Female",'Assembly(b)'!J14="60mm Female - 60mm Male"),1,""))</f>
        <v/>
      </c>
      <c r="JQ8" s="7" t="str">
        <f>IF(OR('Job Sheet'!BE14="White",'Assembly(b)'!J14="N/A"),"",IF(OR('Assembly(b)'!J14="Motor - 60mm Male",'Assembly(b)'!J14="60mm Male - Motor",'Assembly(b)'!J14="Chain Winder - 60mm Male",'Assembly(b)'!J14="60mm Male - Chain Winder",'Assembly(b)'!J14="60mm Male - 60mm Female",'Assembly(b)'!J14="60mm Female - 60mm Male"),1,""))</f>
        <v/>
      </c>
      <c r="JR8" s="7" t="str">
        <f>IF('Assembly(b)'!F14="Standard Spring",1,"")</f>
        <v/>
      </c>
      <c r="JS8" s="7" t="str">
        <f>IF('Assembly(b)'!F14="Small Spring",1,"")</f>
        <v/>
      </c>
      <c r="JT8" s="7">
        <f>IF(D8="","",IF(OR(SUM(R8:V8)=0,'Tube Cutting'!E14="Bottom Rail in Pocket"),"",SUM(R8:V8)))</f>
        <v>2019</v>
      </c>
      <c r="JU8" s="7" t="str">
        <f>IF('Job Sheet'!BE14="Silver Pull Ring",1,"")</f>
        <v/>
      </c>
      <c r="JV8" s="7" t="str">
        <f>IF('Job Sheet'!BE14="Gold Pull Ring",1,"")</f>
        <v/>
      </c>
      <c r="JW8" s="7" t="str">
        <f>IF(AND('Job Sheet'!BE14="White",'Assembly(b)'!E14="60mm"),1,"")</f>
        <v/>
      </c>
      <c r="JX8" s="7" t="str">
        <f>IF(AND('Job Sheet'!BE14="Black",'Assembly(b)'!E14="60mm"),1,"")</f>
        <v/>
      </c>
      <c r="JY8" s="7" t="str">
        <f>IF(AND(OR('Assembly(b)'!G14="White",'Assembly(b)'!J14="N/A"),(OR(AND('Assembly(b)'!F14="Chain Winder",'Assembly(b)'!E14="60mm"),'Job Sheet'!AR14="Acmeda External Motor",'Job Sheet'!AR14="Somfy External CBUS Motor",'Job Sheet'!AR14="Somfy External Remote Motor"))),1,IF(AND('Assembly(b)'!G14="White",(OR('Assembly(b)'!J14="60mm Male - 60mm Idle",'Assembly(b)'!J14="60mm Idle - 60mm Male"))),1,""))</f>
        <v/>
      </c>
      <c r="JZ8" s="7" t="str">
        <f>IF(AND(OR('Assembly(b)'!G14="Black",'Assembly(b)'!J14="N/A"),(OR(AND('Assembly(b)'!F14="Chain Winder",'Assembly(b)'!E14="60mm"),'Job Sheet'!AR14="Acmeda External Motor",'Job Sheet'!AR14="Somfy External CBUS Motor",'Job Sheet'!AR14="Somfy External Remote Motor"))),1,IF(AND('Assembly(b)'!G14="Black",(OR('Assembly(b)'!J14="60mm Male - 60mm Idle",'Assembly(b)'!J14="60mm Idle - 60mm Male"))),1,""))</f>
        <v/>
      </c>
      <c r="KA8" s="7" t="str">
        <f t="shared" si="3"/>
        <v/>
      </c>
      <c r="KB8" s="7" t="str">
        <f t="shared" si="4"/>
        <v/>
      </c>
      <c r="KC8" s="7" t="str">
        <f>IF('Tube Cutting'!J14&lt;&gt;"Zipscreen Hooding",JW8,"")</f>
        <v/>
      </c>
      <c r="KD8" s="7" t="str">
        <f>IF('Tube Cutting'!J14&lt;&gt;"Zipscreen Hooding",JX8,"")</f>
        <v/>
      </c>
      <c r="KE8" s="7" t="str">
        <f t="shared" si="5"/>
        <v/>
      </c>
      <c r="KF8" s="7" t="str">
        <f t="shared" si="6"/>
        <v/>
      </c>
      <c r="KG8" s="7">
        <f>IF(D8="","",IF(OR(Bagging!F14="Yes - Attach",Bagging!F14="Yes"),1,""))</f>
        <v>1</v>
      </c>
      <c r="KH8" s="7">
        <f t="shared" si="7"/>
        <v>2</v>
      </c>
      <c r="KI8" s="7" t="str">
        <f>IF('Assembly(b)'!F14="Acmeda E6 Motor",1,"")</f>
        <v/>
      </c>
      <c r="KJ8" s="7" t="str">
        <f>IF('Assembly(b)'!F14="Acmeda M6 Motor",1,"")</f>
        <v/>
      </c>
      <c r="KK8" s="7" t="str">
        <f>IF('Assembly(b)'!F14="0.7nm 12v Acmeda Motor",1,"")</f>
        <v/>
      </c>
      <c r="KL8" s="7" t="str">
        <f>IF('Assembly(b)'!F14="1.1nm 12v Acmeda Motor",1,"")</f>
        <v/>
      </c>
      <c r="KM8" s="7" t="str">
        <f>IF('Assembly(b)'!F14="2nm 12v Acmeda Motor",1,"")</f>
        <v/>
      </c>
      <c r="KN8" s="7" t="str">
        <f>IF('Assembly(b)'!F14="Acmeda 12v 6nm Motor",1,"")</f>
        <v/>
      </c>
      <c r="KO8" s="7" t="str">
        <f>IF('Assembly(b)'!F14="Acmeda 10nm 12v Motor",1,"")</f>
        <v/>
      </c>
      <c r="KP8" s="7" t="str">
        <f>IF('Assembly(b)'!F14="Acmeda FT 15Nm Motor",1,"")</f>
        <v/>
      </c>
      <c r="KQ8" s="7" t="str">
        <f>IF('Assembly(b)'!F14="1.1nm 12v Acmeda DCRF Motor",1,"")</f>
        <v/>
      </c>
      <c r="KR8" s="7" t="str">
        <f>IF('Assembly(b)'!F14="2nm 12v Acmeda DCRF Motor",1,"")</f>
        <v/>
      </c>
      <c r="KS8" s="7" t="str">
        <f>IF('Assembly(b)'!F14="Sonesse 40 RTS 3/30 with Inline Connector Motor",1,"")</f>
        <v/>
      </c>
      <c r="KT8" s="7" t="str">
        <f>IF('Assembly(b)'!F14="Sonesse 40 WT 3/30 with Inline Connector Motor",1,"")</f>
        <v/>
      </c>
      <c r="KU8" s="7" t="str">
        <f>IF('Assembly(b)'!F14="Somfy 12v Remote Sonesse Motor",1,"")</f>
        <v/>
      </c>
      <c r="KV8" s="7" t="str">
        <f>IF('Assembly(b)'!F14="Sonesse 50 RTS 6/17 RH Motor",1,"")</f>
        <v/>
      </c>
      <c r="KW8" s="7" t="str">
        <f>IF('Assembly(b)'!F14="Sonesse 50 WT 10/28 Motor",1,"")</f>
        <v/>
      </c>
      <c r="KX8" s="7" t="str">
        <f>IF('Assembly(b)'!F14="Becker P4-30-C12A Motor",1,"")</f>
        <v/>
      </c>
      <c r="KY8" s="7" t="str">
        <f>IF('Assembly(b)'!F14="Becker cBus Motor",1,"")</f>
        <v/>
      </c>
      <c r="KZ8" s="7" t="str">
        <f>IF('Assembly(b)'!F14="Becker R20-17-C12A Motor",1,"")</f>
        <v/>
      </c>
      <c r="LA8" s="7" t="str">
        <f>IF('Assembly(b)'!F14="Becker cBus Motor",1,"")</f>
        <v/>
      </c>
      <c r="LB8" s="7" t="str">
        <f t="shared" si="57"/>
        <v/>
      </c>
      <c r="LC8" s="7" t="str">
        <f t="shared" si="58"/>
        <v/>
      </c>
      <c r="LD8" s="7" t="str">
        <f t="shared" si="59"/>
        <v/>
      </c>
      <c r="LE8" s="7" t="str">
        <f t="shared" si="60"/>
        <v/>
      </c>
      <c r="LF8" s="7" t="str">
        <f t="shared" si="12"/>
        <v/>
      </c>
      <c r="LG8" s="7" t="str">
        <f t="shared" si="13"/>
        <v/>
      </c>
      <c r="LH8" s="7" t="str">
        <f>IF(KO8="","",IF(OR('Tube Cutting'!C14="60mm",'Tube Cutting'!C14="80mm"),SUM(KO8,KP8),""))</f>
        <v/>
      </c>
      <c r="LI8" s="7" t="str">
        <f t="shared" si="61"/>
        <v/>
      </c>
      <c r="LJ8" s="7" t="str">
        <f t="shared" si="62"/>
        <v/>
      </c>
      <c r="LK8" s="7" t="str">
        <f t="shared" si="16"/>
        <v/>
      </c>
      <c r="LL8" s="7" t="str">
        <f t="shared" si="17"/>
        <v/>
      </c>
      <c r="LM8" s="7" t="str">
        <f t="shared" si="18"/>
        <v/>
      </c>
      <c r="LN8" s="7" t="str">
        <f t="shared" si="19"/>
        <v/>
      </c>
      <c r="LO8" s="7" t="str">
        <f t="shared" si="63"/>
        <v/>
      </c>
      <c r="LP8" s="7" t="str">
        <f>IF(AND(KP8=1,'Job Sheet'!BE14="Black"),1,"")</f>
        <v/>
      </c>
      <c r="LQ8" s="7" t="str">
        <f>IF(AND(KP8=1,'Job Sheet'!BE14="White"),1,"")</f>
        <v/>
      </c>
      <c r="LR8" s="7" t="str">
        <f t="shared" si="21"/>
        <v/>
      </c>
      <c r="LS8" s="7" t="str">
        <f t="shared" si="64"/>
        <v/>
      </c>
      <c r="LT8" s="7" t="str">
        <f t="shared" si="65"/>
        <v/>
      </c>
      <c r="LU8" s="7" t="str">
        <f t="shared" si="66"/>
        <v/>
      </c>
      <c r="LV8" s="7" t="str">
        <f t="shared" si="67"/>
        <v/>
      </c>
      <c r="LW8" s="7" t="str">
        <f>IF(OR('Tube Cutting'!C14="60mm",'Tube Cutting'!C14="80mm"),SUM(KV8,KW8),"")</f>
        <v/>
      </c>
      <c r="LX8" s="7" t="str">
        <f t="shared" si="68"/>
        <v/>
      </c>
      <c r="LY8" s="7" t="str">
        <f t="shared" si="69"/>
        <v/>
      </c>
      <c r="LZ8" s="7" t="str">
        <f t="shared" si="70"/>
        <v/>
      </c>
      <c r="MA8" s="7" t="str">
        <f t="shared" si="71"/>
        <v/>
      </c>
      <c r="MB8" s="7" t="str">
        <f t="shared" si="72"/>
        <v/>
      </c>
      <c r="MC8" s="7" t="str">
        <f t="shared" si="73"/>
        <v/>
      </c>
      <c r="MD8" s="7" t="str">
        <f t="shared" si="74"/>
        <v/>
      </c>
      <c r="ME8" s="7" t="str">
        <f t="shared" si="75"/>
        <v/>
      </c>
      <c r="MF8" s="7" t="str">
        <f>IF('Job Sheet'!N14="Pulse Pro Automation Hub",1,"")</f>
        <v/>
      </c>
      <c r="MG8" s="7" t="str">
        <f>IF('Job Sheet'!N14="Solar Panel",1,"")</f>
        <v/>
      </c>
      <c r="MH8" s="7" t="str">
        <f>IF(AND('Job Sheet'!N14="12v Wall Charger with 4m USB Cable",KN8="",KO8=""),1,"")</f>
        <v/>
      </c>
      <c r="MI8" s="7" t="str">
        <f>IF(Bagging!I14="12v Wall Charger with Cable to suit 3nm Motor",1,"")</f>
        <v/>
      </c>
      <c r="MJ8" s="7" t="str">
        <f t="array" ref="MJ8">IF(OR('Job Sheet'!N14="210mm Extension Charging Cable",AND(bpLOOKUP(Data!$AV14,"CONTROLS",CustOrdOpt,6,FALSE)="Acmeda 12v Motor",OL8=1)),1,"")</f>
        <v/>
      </c>
      <c r="MK8" s="7" t="str">
        <f>IF('Job Sheet'!N14="1200mm Extension Charging Cable",1,"")</f>
        <v/>
      </c>
      <c r="ML8" s="7" t="str">
        <f>IF('Job Sheet'!N14="1 Channel Dry Contact Relay Module",1,"")</f>
        <v/>
      </c>
      <c r="MM8" s="7" t="str">
        <f>IF('Job Sheet'!N14="USB Repeater",1,"")</f>
        <v/>
      </c>
      <c r="MN8" s="7" t="str">
        <f>IF(OR('Assembly(b)'!F14="1.1nm 12v Acmeda DCRF Motor",'Assembly(b)'!F14="2nm 12v Acmeda DCRF Motor"),1,"")</f>
        <v/>
      </c>
      <c r="MO8" s="7" t="str">
        <f>IF('Job Sheet'!N14="DC Panel",1,"")</f>
        <v/>
      </c>
      <c r="MP8" s="7" t="str">
        <f t="array" ref="MP8">IF(AND(bpLOOKUP(Data!$AV14,"CONTROLS",CustOrdOpt,6,FALSE)="Acmeda 12v Motor",Bagging!G14="White"),1,"")</f>
        <v/>
      </c>
      <c r="MQ8" s="7" t="str">
        <f t="array" ref="MQ8">IF(AND(bpLOOKUP(Data!$AV14,"CONTROLS",CustOrdOpt,6,FALSE)="Acmeda 12v Motor",Bagging!G14="Black"),1,"")</f>
        <v/>
      </c>
      <c r="MR8" s="7" t="str">
        <f>IF('Job Sheet'!R14="Acmeda 1 Channel White Remote",1,"")</f>
        <v/>
      </c>
      <c r="MS8" s="7" t="str">
        <f>IF('Job Sheet'!R14="Acmeda 1 Channel Black Remote",1,"")</f>
        <v/>
      </c>
      <c r="MT8" s="7" t="str">
        <f>IF('Job Sheet'!R14="Acmeda 5 Channel White Remote",1,"")</f>
        <v/>
      </c>
      <c r="MU8" s="7" t="str">
        <f>IF('Job Sheet'!R14="Acmeda 5 Channel Black Remote",1,"")</f>
        <v/>
      </c>
      <c r="MV8" s="7" t="str">
        <f>IF('Job Sheet'!R14="Acmeda 15 Channel White Remote",1,"")</f>
        <v/>
      </c>
      <c r="MW8" s="7" t="str">
        <f>IF('Job Sheet'!R14="Acmeda 15 Channel Black Remote",1,"")</f>
        <v/>
      </c>
      <c r="MX8" s="7" t="str">
        <f>IF('Job Sheet'!R14="Acmeda Wall Mounted Single Channel White Remote",1,"")</f>
        <v/>
      </c>
      <c r="MY8" s="7" t="str">
        <f>IF('Job Sheet'!R14="Acmeda Wall Mounted 2 Channel White Remote",1,"")</f>
        <v/>
      </c>
      <c r="MZ8" s="7" t="str">
        <f>IF('Job Sheet'!R14="Acmeda Wall Mounted 5 Channel White Remote",1,"")</f>
        <v/>
      </c>
      <c r="NA8" s="7" t="str">
        <f>IF('Job Sheet'!R14="Acmeda Wall Mounted 15 Channel White Remote",1,"")</f>
        <v/>
      </c>
      <c r="NB8" s="7" t="str">
        <f>IF('Job Sheet'!R14="Acmeda Push Pro White Remote","1","")</f>
        <v/>
      </c>
      <c r="NC8" s="7" t="str">
        <f>IF('Job Sheet'!R14="Acmeda Push Pro Black Remote","1","")</f>
        <v/>
      </c>
      <c r="ND8" s="7" t="str">
        <f>IF(OR('Job Sheet'!R14="Acmeda Push Pro White Remote with Charger",'Job Sheet'!R14="Acmeda Push Pro Black Remote with Charger"),1,"")</f>
        <v/>
      </c>
      <c r="NE8" s="7" t="str">
        <f t="shared" si="34"/>
        <v/>
      </c>
      <c r="NF8" s="7" t="str">
        <f>IF('Job Sheet'!R14="Somfy Single Channel White Remote",1,"")</f>
        <v/>
      </c>
      <c r="NG8" s="7" t="str">
        <f>IF('Job Sheet'!R14="Somfy Single Channel Silver Remote",1,"")</f>
        <v/>
      </c>
      <c r="NH8" s="7" t="str">
        <f>IF('Job Sheet'!R14="Somfy 2 Channel White Remote",1,"")</f>
        <v/>
      </c>
      <c r="NI8" s="7" t="str">
        <f>IF('Job Sheet'!R14="Somfy 2 Channel Silver Remote",1,"")</f>
        <v/>
      </c>
      <c r="NJ8" s="7" t="str">
        <f>IF('Job Sheet'!R14="Somfy 5 Channel White Remote",1,"")</f>
        <v/>
      </c>
      <c r="NK8" s="7" t="str">
        <f>IF('Job Sheet'!R14="Somfy 5 Channel Silver Remote",1,"")</f>
        <v/>
      </c>
      <c r="NL8" s="7" t="str">
        <f>IF('Job Sheet'!R14="Somfy 15 Channel White Remote",1,"")</f>
        <v/>
      </c>
      <c r="NM8" s="7" t="str">
        <f>IF('Job Sheet'!R14="Somfy 15 Channel Black Remote",1,"")</f>
        <v/>
      </c>
      <c r="NN8" s="7" t="str">
        <f>IF(OR('Job Sheet'!R14="Somfy Single Channel Wall Mounted Smoove Remote White",'Job Sheet'!R14="Somfy Single Channel Wall Mounted Smoove Remote White with Black Cover Plate",'Job Sheet'!R14="Somfy Single Channel Wall Mounted Smoove Remote White with Silver Cover Plate"),1,"")</f>
        <v/>
      </c>
      <c r="NO8" s="7" t="str">
        <f>IF(OR('Job Sheet'!R14="Somfy 2 Channel Wall Mounted Smoove Remote White",'Job Sheet'!R14="Somfy 2 Channel Wall Mounted Smoove Remote White with Black Cover Plate",'Job Sheet'!R14="Somfy 2 Channel Wall Mounted Smoove Remote White with Silver Cover Plate"),1,"")</f>
        <v/>
      </c>
      <c r="NP8" s="7" t="str">
        <f>IF(OR('Job Sheet'!R14="Somfy 5 Channel Wall Mounted Smoove Remote White",'Job Sheet'!R14="Somfy 5 Channel Wall Mounted Smoove Remote White with Black Cover Plate",'Job Sheet'!R14="Somfy 5 Channel Wall Mounted Smoove Remote White with Silver Cover Plate"),1,"")</f>
        <v/>
      </c>
      <c r="NQ8" s="7" t="str">
        <f>IF(OR('Job Sheet'!R14="Somfy Single Channel Wall Mounted Smoove Remote White with Black Cover Plate",'Job Sheet'!R14="Somfy 2 Channel Wall Mounted Smoove Remote White with Black Cover Plate",'Job Sheet'!R14="Somfy 5 Channel Wall Mounted Smoove Remote White with Black Cover Plate"),1,"")</f>
        <v/>
      </c>
      <c r="NR8" s="7" t="str">
        <f>IF(OR('Job Sheet'!R14="Somfy Single Channel Wall Mounted Smoove Remote White with Silver Cover Plate",'Job Sheet'!R14="Somfy 2 Channel Wall Mounted Smoove Remote White with Silver Cover Plate",'Job Sheet'!R14="Somfy 5 Channel Wall Mounted Smoove Remote White with Silver Cover Plate"),1,"")</f>
        <v/>
      </c>
      <c r="NS8" s="7" t="str">
        <f>IF(Bagging!I14="Charging Cable",1,"")</f>
        <v/>
      </c>
      <c r="NT8" s="7" t="str">
        <f>IF('Job Sheet'!N14="Connexoon App Connector",1,"")</f>
        <v/>
      </c>
      <c r="NU8" s="7" t="str">
        <f>IF('Job Sheet'!R14="Becker Single Channel White Remote",1,"")</f>
        <v/>
      </c>
      <c r="NV8" s="7" t="str">
        <f>IF('Job Sheet'!R14="Becker Single Channel Black Remote",1,"")</f>
        <v/>
      </c>
      <c r="NW8" s="7" t="str">
        <f>IF('Job Sheet'!R14="Becker 5 Channel White Remote",1,"")</f>
        <v/>
      </c>
      <c r="NX8" s="7" t="str">
        <f>IF('Job Sheet'!R14="Becker 5 Channel Black Remote",1,"")</f>
        <v/>
      </c>
      <c r="NY8" s="7" t="str">
        <f>IF('Job Sheet'!R14="Becker 10 Channel White Remote",1,"")</f>
        <v/>
      </c>
      <c r="NZ8" s="7" t="str">
        <f>IF('Job Sheet'!R14="Becker 10 Channel Black Remote",1,"")</f>
        <v/>
      </c>
      <c r="OA8" s="7" t="str">
        <f>IF('Job Sheet'!R14="Becker Wall Mounted Single Channel White Remote",1,"")</f>
        <v/>
      </c>
      <c r="OB8" s="7" t="str">
        <f>IF('Job Sheet'!R14="Becker Wall Mounted 5 Channel White Remote",1,"")</f>
        <v/>
      </c>
      <c r="OC8" s="7" t="str">
        <f>IF('Job Sheet'!R14="Wall Switch",1,"")</f>
        <v/>
      </c>
      <c r="OD8" s="7" t="str">
        <f t="shared" si="76"/>
        <v/>
      </c>
      <c r="OE8" s="7" t="str">
        <f t="shared" si="77"/>
        <v/>
      </c>
      <c r="OF8" s="7" t="str">
        <f t="shared" si="78"/>
        <v/>
      </c>
      <c r="OG8" s="7" t="str">
        <f t="shared" si="79"/>
        <v/>
      </c>
      <c r="OH8" s="7" t="str">
        <f t="shared" si="80"/>
        <v/>
      </c>
      <c r="OI8" s="7" t="str">
        <f t="shared" si="81"/>
        <v/>
      </c>
      <c r="OJ8" s="7" t="str">
        <f t="shared" si="82"/>
        <v/>
      </c>
      <c r="OK8" s="7" t="str">
        <f t="shared" si="83"/>
        <v/>
      </c>
      <c r="OL8" s="7" t="str">
        <f t="shared" si="36"/>
        <v/>
      </c>
      <c r="OM8" s="7" t="str">
        <f>IF(AND(OR('Tube Cutting'!J14="Square Cassette",'Tube Cutting'!J14="Square Cassette with Side Channels",'Tube Cutting'!J14="Square Cassette with Side &amp; Bottom Channels"),'Job Sheet'!L14="Chain Winder",'Job Sheet'!M14="Left"),1,"")</f>
        <v/>
      </c>
      <c r="ON8" s="7" t="str">
        <f>IF(AND(OR('Tube Cutting'!J14="Square Cassette",'Tube Cutting'!J14="Square Cassette with Side Channels",'Tube Cutting'!J14="Square Cassette with Side &amp; Bottom Channels"),'Job Sheet'!L14="Chain Winder",'Job Sheet'!M14="Right"),1,"")</f>
        <v/>
      </c>
      <c r="OO8" s="7" t="str">
        <f>IF(AND(OR('Tube Cutting'!J14="Round Cassette",'Tube Cutting'!J14="Round Cassette with Side Channels",'Tube Cutting'!J14="Round Cassette with Side &amp; Bottom Channels"),'Job Sheet'!L14="Chain Winder",'Job Sheet'!M14="Left"),1,"")</f>
        <v/>
      </c>
      <c r="OP8" s="7" t="str">
        <f>IF(AND(OR('Tube Cutting'!J14="Round Cassette",'Tube Cutting'!J14="Round Cassette with Side Channels",'Tube Cutting'!J14="Round Cassette with Side &amp; Bottom Channels"),'Job Sheet'!L14="Chain Winder",'Job Sheet'!M14="Right"),1,"")</f>
        <v/>
      </c>
      <c r="OQ8" s="7" t="str">
        <f>IF('Tube Cutting'!E14="D30 Bottom Rail with Noise Reducing Strip &amp; Fluffy Strip",'Tube Cutting'!D14,"")</f>
        <v/>
      </c>
      <c r="OR8" s="7" t="str">
        <f>Pelmets!L14</f>
        <v/>
      </c>
      <c r="OS8" s="7" t="str">
        <f>Pelmets!M14</f>
        <v/>
      </c>
      <c r="OT8" s="7" t="str">
        <f t="shared" si="37"/>
        <v/>
      </c>
      <c r="OU8" s="7" t="str">
        <f t="shared" si="38"/>
        <v/>
      </c>
      <c r="OV8" s="7" t="str">
        <f t="shared" si="39"/>
        <v/>
      </c>
      <c r="OW8" s="7" t="str">
        <f t="shared" si="40"/>
        <v/>
      </c>
      <c r="OX8" s="7" t="str">
        <f t="shared" si="41"/>
        <v/>
      </c>
      <c r="OY8" s="7" t="str">
        <f t="shared" si="42"/>
        <v/>
      </c>
      <c r="OZ8" s="7" t="str">
        <f t="shared" si="43"/>
        <v/>
      </c>
      <c r="PA8" s="7" t="str">
        <f t="shared" si="44"/>
        <v/>
      </c>
      <c r="PB8" s="7" t="str">
        <f>IF(AND('Job Sheet'!J14="Reveal",OR('Tube Cutting'!J14="Aluminium Valance",'Tube Cutting'!J14="Aluminium Valance - Fabric Covered")),VLOOKUP('Job Sheet'!G14,PelmetBrackets,2,TRUE),"")</f>
        <v/>
      </c>
      <c r="PC8" s="7" t="str">
        <f>IF(Pelmets!F14="1 x Valance Centre Join Bracket",1,"")</f>
        <v/>
      </c>
      <c r="PD8" s="7" t="str">
        <f>IF(AND(Pelmets!H14="Black",(OR('Tube Cutting'!J14="Aluminium Valance",'Tube Cutting'!J14="Aluminium Valance - Fabric Covered"))),1,"")</f>
        <v/>
      </c>
      <c r="PE8" s="7" t="str">
        <f>IF(AND(Pelmets!H14="White",(OR('Tube Cutting'!J14="Aluminium Valance",'Tube Cutting'!J14="Aluminium Valance - Fabric Covered"))),1,"")</f>
        <v/>
      </c>
      <c r="PF8" s="7" t="str">
        <f>IF(AND(Pelmets!H14="Cream",(OR('Tube Cutting'!J14="Aluminium Valance",'Tube Cutting'!J14="Aluminium Valance - Fabric Covered"))),1,"")</f>
        <v/>
      </c>
      <c r="PG8" s="7" t="str">
        <f>IF(AND(Pelmets!H14="Grey",(OR('Tube Cutting'!J14="Aluminium Valance",'Tube Cutting'!J14="Aluminium Valance - Fabric Covered"))),1,"")</f>
        <v/>
      </c>
      <c r="PH8" s="7" t="str">
        <f>IF('Job Sheet'!AA14="Aluminium Valance - Fabric Covered",AY8,"")</f>
        <v/>
      </c>
      <c r="PI8" s="7" t="str">
        <f t="shared" si="45"/>
        <v/>
      </c>
      <c r="PJ8" s="7" t="str">
        <f t="shared" si="46"/>
        <v/>
      </c>
      <c r="PK8" s="7" t="str">
        <f t="shared" si="47"/>
        <v/>
      </c>
      <c r="PL8" s="7" t="str">
        <f t="shared" si="48"/>
        <v/>
      </c>
      <c r="PM8" s="7" t="str">
        <f>IF('Tube Cutting'!J14="Aluminium Pelmet",Pelmets!F14,"")</f>
        <v/>
      </c>
      <c r="PN8" s="7" t="str">
        <f>IF('Job Sheet'!AA14="Mounting Rail",VLOOKUP('Job Sheet'!G14,PelmetBrackets,2,TRUE),"")</f>
        <v/>
      </c>
      <c r="PO8" s="7" t="str">
        <f>IF('Job Sheet'!AA14="Mounting Rail",4,"")</f>
        <v/>
      </c>
      <c r="PP8" s="7" t="str">
        <f>IF('Tube Cutting'!J14="Zipscreen Hooding",1,"")</f>
        <v/>
      </c>
      <c r="PQ8" s="7" t="str">
        <f>IF(AND(PP8=1,'Job Sheet'!AB14="White"),1,"")</f>
        <v/>
      </c>
      <c r="PR8" s="7" t="str">
        <f>IF(AND(PP8=1,'Job Sheet'!AB14="Black"),1,"")</f>
        <v/>
      </c>
      <c r="PS8" s="7" t="str">
        <f>IF(AND(PP8=1,'Job Sheet'!AB14="Grey"),1,"")</f>
        <v/>
      </c>
      <c r="PT8" s="7" t="str">
        <f>IF(AND(PP8=1,'Job Sheet'!L14="Chain Winder",'Job Sheet'!AV14="60mm"),1,"")</f>
        <v/>
      </c>
      <c r="PU8" s="7" t="str">
        <f t="shared" si="49"/>
        <v/>
      </c>
      <c r="PV8" s="7" t="str">
        <f t="shared" si="50"/>
        <v/>
      </c>
      <c r="PW8" s="7" t="str">
        <f t="shared" si="51"/>
        <v/>
      </c>
    </row>
    <row r="9" spans="4:439" s="7" customFormat="1" ht="12" customHeight="1">
      <c r="D9" s="7" t="str">
        <f>IF('Tube Cutting'!D15="","",CONCATENATE(Data!BC$5,".",Data!BD$5))</f>
        <v/>
      </c>
      <c r="E9" s="7" t="str">
        <f>IF(D9="","",Data!AW15)</f>
        <v/>
      </c>
      <c r="F9" s="7" t="str">
        <f>IF(D9="","",Data!AV15)</f>
        <v/>
      </c>
      <c r="G9" s="7" t="str">
        <f>IF(D9="","",Data!BF$5)</f>
        <v/>
      </c>
      <c r="H9" s="7" t="str">
        <f>IF(D9="","",Data!AX$5)</f>
        <v/>
      </c>
      <c r="I9" s="7" t="str">
        <f>'Job Sheet'!I15</f>
        <v/>
      </c>
      <c r="J9" s="7" t="str">
        <f t="shared" si="52"/>
        <v/>
      </c>
      <c r="K9" s="7" t="str">
        <f>'Fabric Cutting'!F15</f>
        <v/>
      </c>
      <c r="L9" s="7" t="str">
        <f>'Job Sheet'!AZ15</f>
        <v/>
      </c>
      <c r="M9" s="7" t="str">
        <f>IF('Tube Cutting'!C15="38mm",'Tube Cutting'!D15,"")</f>
        <v/>
      </c>
      <c r="N9" s="7" t="str">
        <f>IF('Tube Cutting'!C15="43mm",'Tube Cutting'!D15,"")</f>
        <v/>
      </c>
      <c r="O9" s="7" t="str">
        <f>IF('Tube Cutting'!C15="43mm H/D",'Tube Cutting'!D15,"")</f>
        <v/>
      </c>
      <c r="P9" s="7" t="str">
        <f>IF('Tube Cutting'!C15="60mm",'Tube Cutting'!D15,"")</f>
        <v/>
      </c>
      <c r="Q9" s="7" t="str">
        <f>IF('Tube Cutting'!C15="80mm",'Tube Cutting'!D15,"")</f>
        <v/>
      </c>
      <c r="R9" s="7" t="str">
        <f>IF(AND('Job Sheet'!BD15="Anodised Silver",(OR('Tube Cutting'!E15="D30 Bottom Rail",'Tube Cutting'!E15="D30 Bottom Rail with Noise Reducing Strip",'Tube Cutting'!E15="D30 Bottom Rail with Noise Reducing Strip &amp; Fluffy Strip",'Tube Cutting'!E15="Bottom Rail in Pocket",'Tube Cutting'!E15="Bottom Rail in Pocket with Round Cut Out",'Tube Cutting'!E15="Bottom Rail in Pocket with Square Cut Out"))),'Tube Cutting'!G15,"")</f>
        <v/>
      </c>
      <c r="S9" s="7" t="str">
        <f>IF(AND('Job Sheet'!BD15="White",(OR('Tube Cutting'!E15="D30 Bottom Rail",'Tube Cutting'!E15="D30 Bottom Rail with Noise Reducing Strip",'Tube Cutting'!E15="D30 Bottom Rail with Noise Reducing Strip &amp; Fluffy Strip",'Tube Cutting'!E15="Bottom Rail in Pocket",'Tube Cutting'!E15="Bottom Rail in Pocket with Round Cut Out",'Tube Cutting'!E15="Bottom Rail in Pocket with Square Cut Out"))),'Tube Cutting'!G15,"")</f>
        <v/>
      </c>
      <c r="T9" s="7" t="str">
        <f>IF(AND('Job Sheet'!BD15="Black",(OR('Tube Cutting'!E15="D30 Bottom Rail",'Tube Cutting'!E15="D30 Bottom Rail with Noise Reducing Strip",'Tube Cutting'!E15="D30 Bottom Rail with Noise Reducing Strip &amp; Fluffy Strip",'Tube Cutting'!E15="Bottom Rail in Pocket",'Tube Cutting'!E15="Bottom Rail in Pocket with Round Cut Out",'Tube Cutting'!E15="Bottom Rail in Pocket with Square Cut Out"))),'Tube Cutting'!G15,"")</f>
        <v/>
      </c>
      <c r="U9" s="7" t="str">
        <f>IF(AND('Job Sheet'!BD15="Sandstone",(OR('Tube Cutting'!E15="D30 Bottom Rail",'Tube Cutting'!E15="D30 Bottom Rail with Noise Reducing Strip",'Tube Cutting'!E15="D30 Bottom Rail with Noise Reducing Strip &amp; Fluffy Strip",'Tube Cutting'!E15="Bottom Rail in Pocket",'Tube Cutting'!E15="Bottom Rail in Pocket with Round Cut Out",'Tube Cutting'!E15="Bottom Rail in Pocket with Square Cut Out"))),'Tube Cutting'!G15,"")</f>
        <v/>
      </c>
      <c r="V9" s="7" t="str">
        <f>IF(AND('Job Sheet'!BD15="Bone",(OR('Tube Cutting'!E15="D30 Bottom Rail",'Tube Cutting'!E15="D30 Bottom Rail with Noise Reducing Strip",'Tube Cutting'!E15="D30 Bottom Rail with Noise Reducing Strip &amp; Fluffy Strip",'Tube Cutting'!E15="Bottom Rail in Pocket",'Tube Cutting'!E15="Bottom Rail in Pocket with Round Cut Out",'Tube Cutting'!E15="Bottom Rail in Pocket with Square Cut Out"))),'Tube Cutting'!G15,"")</f>
        <v/>
      </c>
      <c r="W9" s="7" t="str">
        <f t="shared" si="1"/>
        <v/>
      </c>
      <c r="X9" s="7" t="str">
        <f t="shared" si="53"/>
        <v/>
      </c>
      <c r="Y9" s="7" t="str">
        <f t="shared" si="54"/>
        <v/>
      </c>
      <c r="Z9" s="7" t="str">
        <f t="shared" si="55"/>
        <v/>
      </c>
      <c r="AA9" s="7" t="str">
        <f t="shared" si="56"/>
        <v/>
      </c>
      <c r="AB9" s="7" t="str">
        <f>IF('Tube Cutting'!H15="Timber",'Tube Cutting'!G15,IF(AND('Tube Cutting'!E15="Double Lath",'Tube Cutting'!H15="Timber"),'Tube Cutting'!G15*2,""))</f>
        <v/>
      </c>
      <c r="AC9" s="7" t="str">
        <f>IF('Tube Cutting'!I15="","",'Tube Cutting'!I15)</f>
        <v/>
      </c>
      <c r="AD9" s="7" t="str">
        <f>IF(AND('Tube Cutting'!J15="Aluminium Pelmet",'Tube Cutting'!K15="Anodised Silver"),'Tube Cutting'!L15,"")</f>
        <v/>
      </c>
      <c r="AE9" s="7" t="str">
        <f>IF(AND('Tube Cutting'!J15="Aluminium Pelmet",'Tube Cutting'!K15="White"),'Tube Cutting'!L15,"")</f>
        <v/>
      </c>
      <c r="AF9" s="7" t="str">
        <f>IF(AND('Tube Cutting'!J15="Aluminium Pelmet",'Tube Cutting'!K15="Black"),'Tube Cutting'!L15,"")</f>
        <v/>
      </c>
      <c r="AG9" s="7" t="str">
        <f>IF(AND('Tube Cutting'!J15="Aluminium Pelmet",'Tube Cutting'!K15="Cream"),'Tube Cutting'!L15,"")</f>
        <v/>
      </c>
      <c r="AH9" s="7" t="str">
        <f>IF(AND('Tube Cutting'!K15="Black",(OR('Tube Cutting'!J15="Square Cassette",'Tube Cutting'!J15="Round Cassette",'Tube Cutting'!J15="Square Cassette with Side Channels",'Tube Cutting'!J15="Square Cassette with Side &amp; Bottom Channels",'Tube Cutting'!J15="Round Cassette with Side Channels",'Tube Cutting'!J15="Round Cassette with Side &amp; Bottom Channels"))),'Tube Cutting'!L15,"")</f>
        <v/>
      </c>
      <c r="AI9" s="7" t="str">
        <f>IF(AND('Tube Cutting'!K15="White",(OR('Tube Cutting'!J15="Square Cassette",'Tube Cutting'!J15="Round Cassette",'Tube Cutting'!J15="Square Cassette with Side Channels",'Tube Cutting'!J15="Square Cassette with Side &amp; Bottom Channels",'Tube Cutting'!J15="Round Cassette with Side Channels",'Tube Cutting'!J15="Round Cassette with Side &amp; Bottom Channels"))),'Tube Cutting'!L15,"")</f>
        <v/>
      </c>
      <c r="AJ9" s="7" t="str">
        <f>IF(AND('Tube Cutting'!K15="Cream",(OR('Tube Cutting'!J15="Square Cassette",'Tube Cutting'!J15="Round Cassette",'Tube Cutting'!J15="Square Cassette with Side Channels",'Tube Cutting'!J15="Square Cassette with Side &amp; Bottom Channels",'Tube Cutting'!J15="Round Cassette with Side Channels",'Tube Cutting'!J15="Round Cassette with Side &amp; Bottom Channels"))),'Tube Cutting'!L15,"")</f>
        <v/>
      </c>
      <c r="AK9" s="7" t="str">
        <f>IF(AND('Tube Cutting'!K15="Anodised Silver",(OR('Tube Cutting'!J15="Square Cassette",'Tube Cutting'!J15="Round Cassette",'Tube Cutting'!J15="Square Cassette with Side Channels",'Tube Cutting'!J15="Square Cassette with Side &amp; Bottom Channels",'Tube Cutting'!J15="Round Cassette with Side Channels",'Tube Cutting'!J15="Round Cassette with Side &amp; Bottom Channels"))),'Tube Cutting'!L15,"")</f>
        <v/>
      </c>
      <c r="AL9" s="7" t="str">
        <f>IF(AND('Tube Cutting'!K15="White",(OR('Tube Cutting'!J15="Square Cassette",'Tube Cutting'!J15="Square Cassette with Side Channels",'Tube Cutting'!J15="Square Cassette with Side &amp; Bottom Channels"))),'Tube Cutting'!M15,"")</f>
        <v/>
      </c>
      <c r="AM9" s="7" t="str">
        <f>IF(AND('Tube Cutting'!K15="Black",(OR('Tube Cutting'!J15="Square Cassette",'Tube Cutting'!J15="Square Cassette with Side Channels",'Tube Cutting'!J15="Square Cassette with Side &amp; Bottom Channels"))),'Tube Cutting'!M15,"")</f>
        <v/>
      </c>
      <c r="AN9" s="7" t="str">
        <f>IF(AND('Tube Cutting'!K15="Cream",(OR('Tube Cutting'!J15="Square Cassette",'Tube Cutting'!J15="Square Cassette with Side Channels",'Tube Cutting'!J15="Square Cassette with Side &amp; Bottom Channels"))),'Tube Cutting'!M15,"")</f>
        <v/>
      </c>
      <c r="AO9" s="7" t="str">
        <f>IF(AND('Tube Cutting'!K15="Anodised Silver",(OR('Tube Cutting'!J15="Square Cassette",'Tube Cutting'!J15="Square Cassette with Side Channels",'Tube Cutting'!J15="Square Cassette with Side &amp; Bottom Channels"))),'Tube Cutting'!M15,"")</f>
        <v/>
      </c>
      <c r="AP9" s="7" t="str">
        <f>IF(AND('Tube Cutting'!K15="White",(OR('Tube Cutting'!J15="Round Cassette",'Tube Cutting'!J15="Round Cassette with Side Channels",'Tube Cutting'!J15="Round Cassette with Side &amp; Bottom Channels"))),'Tube Cutting'!M15,"")</f>
        <v/>
      </c>
      <c r="AQ9" s="7" t="str">
        <f>IF(AND('Tube Cutting'!K15="Black",(OR('Tube Cutting'!J15="Round Cassette",'Tube Cutting'!J15="Round Cassette with Side Channels",'Tube Cutting'!J15="Round Cassette with Side &amp; Bottom Channels"))),'Tube Cutting'!M15,"")</f>
        <v/>
      </c>
      <c r="AR9" s="7" t="str">
        <f>IF(AND('Tube Cutting'!K15="Cream",(OR('Tube Cutting'!J15="Round Cassette",'Tube Cutting'!J15="Round Cassette with Side Channels",'Tube Cutting'!J15="Round Cassette with Side &amp; Bottom Channels"))),'Tube Cutting'!M15,"")</f>
        <v/>
      </c>
      <c r="AS9" s="7" t="str">
        <f>IF(AND('Tube Cutting'!K15="Anodised Silver",(OR('Tube Cutting'!J15="Round Cassette",'Tube Cutting'!J15="Round Cassette with Side Channels",'Tube Cutting'!J15="Round Cassette with Side &amp; Bottom Channels"))),'Tube Cutting'!M15,"")</f>
        <v/>
      </c>
      <c r="AT9" s="7" t="str">
        <f>IF(AND('Tube Cutting'!K15="White",(OR('Tube Cutting'!J15="Square Cassette with Side Channels",'Tube Cutting'!J15="Round Cassette with Side Channels",'Tube Cutting'!J15="Side Channels"))),CONCATENATE('Job Sheet'!H15-VLOOKUP(CONCATENATE('Job Sheet'!AA15,'Job Sheet'!J15,'Job Sheet'!AR15),PelmetDeduct,5,FALSE))*2,IF(AND('Tube Cutting'!K15="White",(OR('Tube Cutting'!J15="Square Cassette with Side &amp; Bottom Channels",'Tube Cutting'!J15="Round Cassette with Side &amp; Bottom Channels"))),CONCATENATE(('Job Sheet'!H15-VLOOKUP(CONCATENATE('Job Sheet'!AA15,'Job Sheet'!J15,'Job Sheet'!AR15),PelmetDeduct,5,FALSE))*2)+'Job Sheet'!BA15-110,""))</f>
        <v/>
      </c>
      <c r="AU9" s="7" t="str">
        <f>IF(AND('Tube Cutting'!K15="Black",(OR('Tube Cutting'!J15="Square Cassette with Side Channels",'Tube Cutting'!J15="Round Cassette with Side Channels",'Tube Cutting'!J15="Side Channels"))),CONCATENATE('Job Sheet'!H15-VLOOKUP(CONCATENATE('Job Sheet'!AA15,'Job Sheet'!J15,'Job Sheet'!AR15),PelmetDeduct,5,FALSE))*2,IF(AND('Tube Cutting'!K15="Black",(OR('Tube Cutting'!J15="Square Cassette with Side &amp; Bottom Channels",'Tube Cutting'!J15="Round Cassette with Side &amp; Bottom Channels"))),CONCATENATE(('Job Sheet'!H15-VLOOKUP(CONCATENATE('Job Sheet'!AA15,'Job Sheet'!J15,'Job Sheet'!AR15),PelmetDeduct,5,FALSE))*2)+'Job Sheet'!BA15-110,""))</f>
        <v/>
      </c>
      <c r="AV9" s="7" t="str">
        <f>IF(AND('Tube Cutting'!K15="Cream",(OR('Tube Cutting'!J15="Square Cassette with Side Channels",'Tube Cutting'!J15="Round Cassette with Side Channels",'Tube Cutting'!J15="Side Channels"))),CONCATENATE('Job Sheet'!H15-VLOOKUP(CONCATENATE('Job Sheet'!AA15,'Job Sheet'!J15,'Job Sheet'!AR15),PelmetDeduct,5,FALSE))*2,IF(AND('Tube Cutting'!K15="Cream",(OR('Tube Cutting'!J15="Square Cassette with Side &amp; Bottom Channels",'Tube Cutting'!J15="Round Cassette with Side &amp; Bottom Channels"))),CONCATENATE(('Job Sheet'!H15-VLOOKUP(CONCATENATE('Job Sheet'!AA15,'Job Sheet'!J15,'Job Sheet'!AR15),PelmetDeduct,5,FALSE))*2)+'Job Sheet'!BA15-110,""))</f>
        <v/>
      </c>
      <c r="AW9" s="7" t="str">
        <f>IF(AND('Tube Cutting'!K15="Anodised Silver",(OR('Tube Cutting'!J15="Square Cassette with Side Channels",'Tube Cutting'!J15="Round Cassette with Side Channels",'Tube Cutting'!J15="Side Channels"))),CONCATENATE('Job Sheet'!H15-VLOOKUP(CONCATENATE('Job Sheet'!AA15,'Job Sheet'!J15,'Job Sheet'!AR15),PelmetDeduct,5,FALSE))*2,IF(AND('Tube Cutting'!K15="Anodised Silver",(OR('Tube Cutting'!J15="Square Cassette with Side &amp; Bottom Channels",'Tube Cutting'!J15="Round Cassette with Side &amp; Bottom Channels"))),CONCATENATE(('Job Sheet'!H15-VLOOKUP(CONCATENATE('Job Sheet'!AA15,'Job Sheet'!J15,'Job Sheet'!AR15),PelmetDeduct,5,FALSE))*2)+'Job Sheet'!BA15-110,""))</f>
        <v/>
      </c>
      <c r="AX9" s="7" t="str">
        <f>IF('Tube Cutting'!J15="Aluminium Valance - Fabric Covered",'Tube Cutting'!M15,"")</f>
        <v/>
      </c>
      <c r="AY9" s="7" t="str">
        <f>IF(AND('Tube Cutting'!K15="White",'Tube Cutting'!J15="Aluminium Valance"),'Tube Cutting'!M15,"")</f>
        <v/>
      </c>
      <c r="AZ9" s="7" t="str">
        <f>IF(AND('Tube Cutting'!K15="Black",'Tube Cutting'!J15="Aluminium Valance"),'Tube Cutting'!M15,"")</f>
        <v/>
      </c>
      <c r="BA9" s="7" t="str">
        <f>IF(AND('Tube Cutting'!K15="Anodised Silver",'Tube Cutting'!J15="Aluminium Valance"),'Tube Cutting'!M15,"")</f>
        <v/>
      </c>
      <c r="BB9" s="7" t="str">
        <f>'Tube Cutting'!O15</f>
        <v/>
      </c>
      <c r="BC9" s="7" t="str">
        <f>IF('Tube Cutting'!J15="Zipscreen Hooding",'Tube Cutting'!L15,"")</f>
        <v/>
      </c>
      <c r="BD9" s="7" t="str">
        <f>IF('Tube Cutting'!J15="Zipscreen Hooding",'Tube Cutting'!M15,"")</f>
        <v/>
      </c>
      <c r="BE9" s="7" t="str">
        <f>IF(AND('Assembly(b)'!E15="38mm",'Job Sheet'!BE15="White",'Assembly(b)'!F15="Chain Winder"),1,"")</f>
        <v/>
      </c>
      <c r="BF9" s="7" t="str">
        <f>IF(AND('Assembly(b)'!E15="38mm",'Job Sheet'!BE15="Black",'Assembly(b)'!F15="Chain Winder"),1,"")</f>
        <v/>
      </c>
      <c r="BG9" s="7" t="str">
        <f>IF(AND('Assembly(b)'!E15="38mm",'Job Sheet'!BE15="Birch White",'Job Sheet'!L15="Chain Winder"),1,"")</f>
        <v/>
      </c>
      <c r="BH9" s="7" t="str">
        <f>IF(AND('Assembly(b)'!E15="38mm",'Job Sheet'!BE15="Grey",'Assembly(b)'!F15="Chain Winder"),1,"")</f>
        <v/>
      </c>
      <c r="BI9" s="7" t="str">
        <f>IF(AND('Assembly(b)'!E15="38mm",'Job Sheet'!BE15="Beige",'Assembly(b)'!F15="Chain Winder"),1,"")</f>
        <v/>
      </c>
      <c r="BJ9" s="7" t="str">
        <f>IF(AND('Assembly(b)'!E15="38mm",'Job Sheet'!BE15="White",'Assembly(b)'!F15="Chain Winder Fixed Guide"),1,"")</f>
        <v/>
      </c>
      <c r="BK9" s="7" t="str">
        <f>IF(AND('Assembly(b)'!E15="38mm",'Job Sheet'!BE15="Black",'Assembly(b)'!F15="Chain Winder Fixed Guide"),1,"")</f>
        <v/>
      </c>
      <c r="BL9" s="7" t="str">
        <f>IF(AND('Assembly(b)'!E15="38mm",'Job Sheet'!BE15="Birch White",'Assembly(b)'!F15="Chain Winder Fixed Guide"),1,"")</f>
        <v/>
      </c>
      <c r="BM9" s="7" t="str">
        <f>IF(AND('Assembly(b)'!E15="38mm",'Job Sheet'!BE15="Grey",'Assembly(b)'!F15="Chain Winder Fixed Guide"),1,"")</f>
        <v/>
      </c>
      <c r="BN9" s="7" t="str">
        <f>IF(AND('Assembly(b)'!E15="38mm",'Job Sheet'!BE15="Beige",'Assembly(b)'!F15="Chain Winder Fixed Guide"),1,"")</f>
        <v/>
      </c>
      <c r="BO9" s="7" t="str">
        <f>IF(AND('Job Sheet'!BE15="White",'Assembly(b)'!F15="Chain Winder",(OR('Assembly(b)'!E15="43mm",'Assembly(b)'!E15="43mm H/D"))),1,"")</f>
        <v/>
      </c>
      <c r="BP9" s="7" t="str">
        <f>IF(AND('Job Sheet'!BE15="Black",'Assembly(b)'!F15="Chain Winder",(OR('Assembly(b)'!E15="43mm",'Assembly(b)'!E15="43mm H/D"))),1,"")</f>
        <v/>
      </c>
      <c r="BQ9" s="7" t="str">
        <f>IF(AND('Job Sheet'!BE15="Birch White",'Assembly(b)'!F15="Chain Winder",(OR('Assembly(b)'!E15="43mm",'Assembly(b)'!E15="43mm H/D"))),1,"")</f>
        <v/>
      </c>
      <c r="BR9" s="7" t="str">
        <f>IF(AND('Job Sheet'!BE15="Grey",'Assembly(b)'!F15="Chain Winder",(OR('Assembly(b)'!E15="43mm",'Assembly(b)'!E15="43mm H/D"))),1,"")</f>
        <v/>
      </c>
      <c r="BS9" s="7" t="str">
        <f>IF(AND('Job Sheet'!BE15="Beige",'Assembly(b)'!F15="Chain Winder",(OR('Assembly(b)'!E15="43mm",'Assembly(b)'!E15="43mm H/D"))),1,"")</f>
        <v/>
      </c>
      <c r="BT9" s="7" t="str">
        <f>IF(AND('Job Sheet'!BE15="White",'Assembly(b)'!F15="Chain Winder Fixed Guide",(OR('Assembly(b)'!E15="43mm",'Assembly(b)'!E15="43mm H/D"))),1,"")</f>
        <v/>
      </c>
      <c r="BU9" s="7" t="str">
        <f>IF(AND('Job Sheet'!BE15="Black",'Assembly(b)'!F15="Chain Winder Fixed Guide",(OR('Assembly(b)'!E15="43mm",'Assembly(b)'!E15="43mm H/D"))),1,"")</f>
        <v/>
      </c>
      <c r="BV9" s="7" t="str">
        <f>IF(AND('Job Sheet'!BE15="Birch White",'Assembly(b)'!F15="Chain Winder Fixed Guide",(OR('Assembly(b)'!E15="43mm",'Assembly(b)'!E15="43mm H/D"))),1,"")</f>
        <v/>
      </c>
      <c r="BW9" s="7" t="str">
        <f>IF(AND('Job Sheet'!BE15="Grey",'Assembly(b)'!F15="Chain Winder Fixed Guide",(OR('Assembly(b)'!E15="43mm",'Assembly(b)'!E15="43mm H/D"))),1,"")</f>
        <v/>
      </c>
      <c r="BX9" s="7" t="str">
        <f>IF(AND('Job Sheet'!BE15="Beige",'Assembly(b)'!F15="Chain Winder Fixed Guide",(OR('Assembly(b)'!E15="43mm",'Assembly(b)'!E15="43mm H/D"))),1,"")</f>
        <v/>
      </c>
      <c r="BY9" s="7" t="str">
        <f>IF(Data!AV15="","",IF(AND('Job Sheet'!BE15="White",VLOOKUP('Job Sheet'!AR15,ControlDeduct,3,FALSE)="Yes"),1,""))</f>
        <v/>
      </c>
      <c r="BZ9" s="7" t="str">
        <f>IF(Data!AV15="","",IF(AND('Job Sheet'!BE15="Black",VLOOKUP('Job Sheet'!AR15,ControlDeduct,3,FALSE)="Yes"),1,""))</f>
        <v/>
      </c>
      <c r="CA9" s="7" t="str">
        <f>IF(Data!AV15="","",IF(AND('Job Sheet'!BE15="Birch White",VLOOKUP('Job Sheet'!AR15,ControlDeduct,3,FALSE)="Yes"),1,""))</f>
        <v/>
      </c>
      <c r="CB9" s="7" t="str">
        <f>IF(Data!AV15="","",IF(AND('Job Sheet'!BE15="Grey",VLOOKUP('Job Sheet'!AR15,ControlDeduct,3,FALSE)="Yes"),1,""))</f>
        <v/>
      </c>
      <c r="CC9" s="7" t="str">
        <f>IF(Data!AV15="","",IF(AND('Job Sheet'!BE15="Beige",VLOOKUP('Job Sheet'!AR15,ControlDeduct,3,FALSE)="Yes"),1,""))</f>
        <v/>
      </c>
      <c r="CD9" s="7" t="str">
        <f>IF(AND('Job Sheet'!BE15="White",(OR(Bagging!D15="Single",Bagging!D15="Single with Covers",Bagging!D15="Single &amp; Single Linked"))),1,"")</f>
        <v/>
      </c>
      <c r="CE9" s="7" t="str">
        <f>IF(AND('Job Sheet'!BE15="Black",(OR(Bagging!D15="Single",Bagging!D15="Single with Covers",Bagging!D15="Single &amp; Single Linked"))),1,"")</f>
        <v/>
      </c>
      <c r="CF9" s="7" t="str">
        <f>IF(AND('Job Sheet'!BE15="Birch White",(OR(Bagging!D15="Single",Bagging!D15="Single with Covers",Bagging!D15="Single &amp; Single Linked"))),1,"")</f>
        <v/>
      </c>
      <c r="CG9" s="7" t="str">
        <f>IF(AND('Job Sheet'!BE15="Grey",(OR(Bagging!D15="Single",Bagging!D15="Single with Covers",Bagging!D15="Single &amp; Single Linked"))),1,"")</f>
        <v/>
      </c>
      <c r="CH9" s="7" t="str">
        <f>IF(AND('Job Sheet'!BE15="Beige",(OR(Bagging!D15="Single",Bagging!D15="Single with Covers",Bagging!D15="Single &amp; Single Linked"))),1,"")</f>
        <v/>
      </c>
      <c r="CI9" s="7" t="str">
        <f>IF(AND('Job Sheet'!BE15="White",(OR(Bagging!D15="Single Extension",Bagging!D15="Single Extension with Extension Covers",Bagging!D15="Single Extension &amp; Single Extension Linked",Bagging!D15="Single Extension with Extension Covers &amp; Single Extension Linked"))),1,"")</f>
        <v/>
      </c>
      <c r="CJ9" s="7" t="str">
        <f>IF(AND('Job Sheet'!BE15="Black",(OR(Bagging!D15="Single Extension",Bagging!D15="Single Extension with Extension Covers",Bagging!D15="Single Extension &amp; Single Extension Linked",Bagging!D15="Single Extension with Extension Covers &amp; Single Extension Linked"))),1,"")</f>
        <v/>
      </c>
      <c r="CK9" s="7" t="str">
        <f>IF(AND('Job Sheet'!BE15="Birch White",(OR(Bagging!D15="Single Extension",Bagging!D15="Single Extension with Extension Covers",Bagging!D15="Single Extension &amp; Single Extension Linked",Bagging!D15="Single Extension with Extension Covers &amp; Single Extension Linked"))),1,"")</f>
        <v/>
      </c>
      <c r="CL9" s="7" t="str">
        <f>IF(AND('Job Sheet'!BE15="Grey",(OR(Bagging!D15="Single Extension",Bagging!D15="Single Extension with Extension Covers",Bagging!D15="Single Extension &amp; Single Extension Linked",Bagging!D15="Single Extension with Extension Covers &amp; Single Extension Linked"))),1,"")</f>
        <v/>
      </c>
      <c r="CM9" s="7" t="str">
        <f>IF(AND('Job Sheet'!BE15="Beige",(OR(Bagging!D15="Single Extension",Bagging!D15="Single Extension with Extension Covers",Bagging!D15="Single Extension &amp; Single Extension Linked",Bagging!D15="Single Extension with Extension Covers &amp; Single Extension Linked"))),1,"")</f>
        <v/>
      </c>
      <c r="CN9" s="7" t="str">
        <f>IF(AND('Job Sheet'!BE15="White",(OR(Bagging!D15="Single Motor Brackets",Bagging!D15="Single Motor Brackets with Covers"))),1,"")</f>
        <v/>
      </c>
      <c r="CO9" s="7" t="str">
        <f>IF(AND('Job Sheet'!BE15="Black",(OR(Bagging!D15="Single Motor Brackets",Bagging!D15="Single Motor Brackets with Covers"))),1,"")</f>
        <v/>
      </c>
      <c r="CP9" s="7" t="str">
        <f>IF(AND('Job Sheet'!BE15="White",(OR(Bagging!D15="Single Motor Extension Brackets",Bagging!D15="Single Motor Extension Brackets with Extension Covers"))),1,"")</f>
        <v/>
      </c>
      <c r="CQ9" s="7" t="str">
        <f>IF(AND('Job Sheet'!BE15="Black",(OR(Bagging!D15="Single Motor Extension Brackets",Bagging!D15="Single Motor Extension Brackets with Extension Covers"))),1,"")</f>
        <v/>
      </c>
      <c r="CR9" s="7" t="str">
        <f>IF(AND('Job Sheet'!BE15="White",OR(Bagging!D15="Single with Covers",Bagging!D15="Single Motor Brackets with Covers")),1,"")</f>
        <v/>
      </c>
      <c r="CS9" s="7" t="str">
        <f>IF(AND('Job Sheet'!BE15="Black",OR(Bagging!D15="Single with Covers",Bagging!D15="Single Motor Brackets with Covers")),1,"")</f>
        <v/>
      </c>
      <c r="CT9" s="7" t="str">
        <f>IF(AND('Job Sheet'!BE15="Birch White",OR(Bagging!D15="Single with Covers",Bagging!D15="Single Motor Brackets with Covers")),1,"")</f>
        <v/>
      </c>
      <c r="CU9" s="7" t="str">
        <f>IF(AND('Job Sheet'!BE15="Grey",OR(Bagging!D15="Single with Covers",Bagging!D15="Single Motor Brackets with Covers")),1,"")</f>
        <v/>
      </c>
      <c r="CV9" s="7" t="str">
        <f>IF(AND('Job Sheet'!BE15="Beige",OR(Bagging!D15="Single with Covers",Bagging!D15="Single Motor Brackets with Covers")),1,"")</f>
        <v/>
      </c>
      <c r="CW9" s="7" t="str">
        <f>IF(AND('Job Sheet'!BE15="White",OR(Bagging!D15="Single Extension with Extension Covers",Bagging!D15="Single Motor Extension Brackets with Extension Covers",Bagging!D15="Single Extension with Extension Covers &amp; Single Extension Linked")),1,"")</f>
        <v/>
      </c>
      <c r="CX9" s="7" t="str">
        <f>IF(AND('Job Sheet'!BE15="Black",OR(Bagging!D15="Single Extension with Extension Covers",Bagging!D15="Single Motor Extension Brackets with Extension Covers",Bagging!D15="Single Extension with Extension Covers &amp; Single Extension Linked")),1,"")</f>
        <v/>
      </c>
      <c r="CY9" s="7" t="str">
        <f>IF(AND('Job Sheet'!BE15="Birch White",OR(Bagging!D15="Single Extension with Extension Covers",Bagging!D15="Single Motor Extension Brackets with Extension Covers",Bagging!D15="Single Extension with Extension Covers &amp; Single Extension Linked")),1,"")</f>
        <v/>
      </c>
      <c r="CZ9" s="7" t="str">
        <f>IF(AND('Job Sheet'!BE15="Grey",OR(Bagging!D15="Single Extension with Extension Covers",Bagging!D15="Single Motor Extension Brackets with Extension Covers",Bagging!D15="Single Extension with Extension Covers &amp; Single Extension Linked")),1,"")</f>
        <v/>
      </c>
      <c r="DA9" s="7" t="str">
        <f>IF(AND('Job Sheet'!BE15="Beige",OR(Bagging!D15="Single Extension with Extension Covers",Bagging!D15="Single Motor Extension Brackets with Extension Covers",Bagging!D15="Single Extension with Extension Covers &amp; Single Extension Linked")),1,"")</f>
        <v/>
      </c>
      <c r="DB9" s="7" t="str">
        <f>IF(AND(Bagging!D15="Dual Opposite Side",'Job Sheet'!BE15="White"),1,"")</f>
        <v/>
      </c>
      <c r="DC9" s="7" t="str">
        <f>IF(AND(Bagging!D15="Dual Opposite Side",'Job Sheet'!BE15="Black"),1,"")</f>
        <v/>
      </c>
      <c r="DD9" s="7" t="str">
        <f>IF(AND(Bagging!D15="Dual Opposite Side",'Job Sheet'!BE15="Birch White"),1,"")</f>
        <v/>
      </c>
      <c r="DE9" s="7" t="str">
        <f>IF(AND(Bagging!D15="Dual Opposite Side",'Job Sheet'!BE15="Grey"),1,"")</f>
        <v/>
      </c>
      <c r="DF9" s="7" t="str">
        <f>IF(AND(Bagging!D15="Dual Opposite Side",'Job Sheet'!BE15="Beige"),1,"")</f>
        <v/>
      </c>
      <c r="DG9" s="7" t="str">
        <f>IF(AND('Job Sheet'!BE15="White",(OR(Bagging!D15="Dual Same Side",Bagging!D15="Dual Same Side &amp; Dual Linked"))),1,"")</f>
        <v/>
      </c>
      <c r="DH9" s="7" t="str">
        <f>IF(AND('Job Sheet'!BE15="Black",(OR(Bagging!D15="Dual Same Side",Bagging!D15="Dual Same Side &amp; Dual Linked"))),1,"")</f>
        <v/>
      </c>
      <c r="DI9" s="7" t="str">
        <f>IF(AND('Job Sheet'!BE15="Birch White",(OR(Bagging!D15="Dual Same Side",Bagging!D15="Dual Same Side &amp; Dual Linked"))),1,"")</f>
        <v/>
      </c>
      <c r="DJ9" s="7" t="str">
        <f>IF(AND('Job Sheet'!BE15="Grey",(OR(Bagging!D15="Dual Same Side",Bagging!D15="Dual Same Side &amp; Dual Linked"))),1,"")</f>
        <v/>
      </c>
      <c r="DK9" s="7" t="str">
        <f>IF(AND('Job Sheet'!BE15="Beige",(OR(Bagging!D15="Dual Same Side",Bagging!D15="Dual Same Side &amp; Dual Linked"))),1,"")</f>
        <v/>
      </c>
      <c r="DL9" s="7" t="str">
        <f>IF(AND('Job Sheet'!BE15="White",(OR(Bagging!D15="Slimline Dual Top Blind Front Roll LHS Control",Bagging!D15="Slimline Dual Top Blind Front Roll LHS Control &amp; Dual Slimline Linked Top Blind Front Roll"))),1,"")</f>
        <v/>
      </c>
      <c r="DM9" s="7" t="str">
        <f>IF(AND('Job Sheet'!BE15="White",(OR(Bagging!D15="Slimline Dual Top Blind Front Roll RHS Control",Bagging!D15="Slimline Dual Top Blind Front Roll RHS Control &amp; Dual Slimline Linked Top Blind Front Roll"))),1,"")</f>
        <v/>
      </c>
      <c r="DN9" s="7" t="str">
        <f>IF(AND('Job Sheet'!BE15="Black",(OR(Bagging!D15="Slimline Dual Top Blind Front Roll LHS Control",Bagging!D15="Slimline Dual Top Blind Front Roll LHS Control &amp; Dual Slimline Linked Top Blind Front Roll"))),1,"")</f>
        <v/>
      </c>
      <c r="DO9" s="7" t="str">
        <f>IF(AND('Job Sheet'!BE15="Black",(OR(Bagging!D15="Slimline Dual Top Blind Front Roll RHS Control",Bagging!D15="Slimline Dual Top Blind Front Roll RHS Control &amp; Dual Slimline Linked Top Blind Front Roll"))),1,"")</f>
        <v/>
      </c>
      <c r="DP9" s="7" t="str">
        <f>IF(AND('Job Sheet'!BE15="Birch White",(OR(Bagging!D15="Slimline Dual Top Blind Front Roll LHS Control",Bagging!D15="Slimline Dual Top Blind Front Roll LHS Control &amp; Dual Slimline Linked Top Blind Front Roll"))),1,"")</f>
        <v/>
      </c>
      <c r="DQ9" s="7" t="str">
        <f>IF(AND('Job Sheet'!BE15="Birch White",(OR(Bagging!D15="Slimline Dual Top Blind Front Roll RHS Control",Bagging!D15="Slimline Dual Top Blind Front Roll RHS Control &amp; Dual Slimline Linked Top Blind Front Roll"))),1,"")</f>
        <v/>
      </c>
      <c r="DR9" s="7" t="str">
        <f>IF(AND('Job Sheet'!BE15="Grey",(OR(Bagging!D15="Slimline Dual Top Blind Front Roll LHS Control",Bagging!D15="Slimline Dual Top Blind Front Roll LHS Control &amp; Dual Slimline Linked Top Blind Front Roll"))),1,"")</f>
        <v/>
      </c>
      <c r="DS9" s="7" t="str">
        <f>IF(AND('Job Sheet'!BE15="Grey",(OR(Bagging!D15="Slimline Dual Top Blind Front Roll RHS Control",Bagging!D15="Slimline Dual Top Blind Front Roll RHS Control &amp; Dual Slimline Linked Top Blind Front Roll"))),1,"")</f>
        <v/>
      </c>
      <c r="DT9" s="7" t="str">
        <f>IF(AND('Job Sheet'!BE15="Beige",(OR(Bagging!D15="Slimline Dual Top Blind Front Roll LHS Control",Bagging!D15="Slimline Dual Top Blind Front Roll LHS Control &amp; Dual Slimline Linked Top Blind Front Roll"))),1,"")</f>
        <v/>
      </c>
      <c r="DU9" s="7" t="str">
        <f>IF(AND('Job Sheet'!BE15="Beige",(OR(Bagging!D15="Slimline Dual Top Blind Front Roll RHS Control",Bagging!D15="Slimline Dual Top Blind Front Roll RHS Control &amp; Dual Slimline Linked Top Blind Front Roll"))),1,"")</f>
        <v/>
      </c>
      <c r="DV9" s="7" t="str">
        <f>IF(AND('Job Sheet'!BE15="White",(OR(Bagging!D15="Slimline Dual Top Blind Back Roll LHS Control",Bagging!D15="Slimline Dual Top Blind Back Roll LHS Control &amp; Dual Slimline Linked Top Blind Back Roll"))),1,"")</f>
        <v/>
      </c>
      <c r="DW9" s="7" t="str">
        <f>IF(AND('Job Sheet'!BE15="White",(OR(Bagging!D15="Slimline Dual Top Blind Back Roll RHS Control",Bagging!D15="Slimline Dual Top Blind Back Roll LHS Control &amp; Dual Slimline Linked Top Blind Back Roll"))),1,"")</f>
        <v/>
      </c>
      <c r="DX9" s="7" t="str">
        <f>IF(AND('Job Sheet'!BE15="Black",(OR(Bagging!D15="Slimline Dual Top Blind Back Roll LHS Control",Bagging!D15="Slimline Dual Top Blind Back Roll LHS Control &amp; Dual Slimline Linked Top Blind Back Roll"))),1,"")</f>
        <v/>
      </c>
      <c r="DY9" s="7" t="str">
        <f>IF(AND('Job Sheet'!BE15="Black",(OR(Bagging!D15="Slimline Dual Top Blind Back Roll RHS Control",Bagging!D15="Slimline Dual Top Blind Back Roll LHS Control &amp; Dual Slimline Linked Top Blind Back Roll"))),1,"")</f>
        <v/>
      </c>
      <c r="DZ9" s="7" t="str">
        <f>IF(AND('Job Sheet'!BE15="Birch White",(OR(Bagging!D15="Slimline Dual Top Blind Back Roll LHS Control",Bagging!D15="Slimline Dual Top Blind Back Roll LHS Control &amp; Dual Slimline Linked Top Blind Back Roll"))),1,"")</f>
        <v/>
      </c>
      <c r="EA9" s="7" t="str">
        <f>IF(AND('Job Sheet'!BE15="Birch White",(OR(Bagging!D15="Slimline Dual Top Blind Back Roll RHS Control",Bagging!D15="Slimline Dual Top Blind Back Roll LHS Control &amp; Dual Slimline Linked Top Blind Back Roll"))),1,"")</f>
        <v/>
      </c>
      <c r="EB9" s="7" t="str">
        <f>IF(AND('Job Sheet'!BE15="Grey",(OR(Bagging!D15="Slimline Dual Top Blind Back Roll LHS Control",Bagging!D15="Slimline Dual Top Blind Back Roll LHS Control &amp; Dual Slimline Linked Top Blind Back Roll"))),1,"")</f>
        <v/>
      </c>
      <c r="EC9" s="7" t="str">
        <f>IF(AND('Job Sheet'!BE15="Grey",(OR(Bagging!D15="Slimline Dual Top Blind Back Roll RHS Control",Bagging!D15="Slimline Dual Top Blind Back Roll LHS Control &amp; Dual Slimline Linked Top Blind Back Roll"))),1,"")</f>
        <v/>
      </c>
      <c r="ED9" s="7" t="str">
        <f>IF(AND('Job Sheet'!BE15="Beige",(OR(Bagging!D15="Slimline Dual Top Blind Back Roll LHS Control",Bagging!D15="Slimline Dual Top Blind Back Roll LHS Control &amp; Dual Slimline Linked Top Blind Back Roll"))),1,"")</f>
        <v/>
      </c>
      <c r="EE9" s="7" t="str">
        <f>IF(AND('Job Sheet'!BE15="Beige",(OR(Bagging!D15="Slimline Dual Top Blind Back Roll RHS Control",Bagging!D15="Slimline Dual Top Blind Back Roll LHS Control &amp; Dual Slimline Linked Top Blind Back Roll"))),1,"")</f>
        <v/>
      </c>
      <c r="EF9" s="7" t="str">
        <f>IF(AND('Job Sheet'!BE15="White",(OR(Bagging!D15="Linked",Bagging!D15="Single &amp; Single Linked"))),1,IF(AND(Bagging!D15="Linked(2 Sets)",'Job Sheet'!BE15="White"),2,""))</f>
        <v/>
      </c>
      <c r="EG9" s="7" t="str">
        <f>IF(AND('Job Sheet'!BE15="Black",(OR(Bagging!D15="Linked",Bagging!D15="Single &amp; Single Linked"))),1,IF(AND(Bagging!D15="Linked(2 Sets)",'Job Sheet'!BE15="Black"),2,""))</f>
        <v/>
      </c>
      <c r="EH9" s="7" t="str">
        <f>IF(AND('Job Sheet'!BE15="Birch White",(OR(Bagging!D15="Linked",Bagging!D15="Single &amp; Single Linked"))),1,IF(AND(Bagging!D15="Linked(2 Sets)",'Job Sheet'!BE15="Birch White"),2,""))</f>
        <v/>
      </c>
      <c r="EI9" s="7" t="str">
        <f>IF(AND('Job Sheet'!BE15="Grey",(OR(Bagging!D15="Linked",Bagging!D15="Single &amp; Single Linked"))),1,IF(AND(Bagging!D15="Linked(2 Sets)",'Job Sheet'!BE15="Grey"),2,""))</f>
        <v/>
      </c>
      <c r="EJ9" s="7" t="str">
        <f>IF(AND('Job Sheet'!BE15="Beige",(OR(Bagging!D15="Linked",Bagging!D15="Single &amp; Single Linked"))),1,IF(AND(Bagging!D15="Linked(2 Sets)",'Job Sheet'!BE15="Beige"),2,""))</f>
        <v/>
      </c>
      <c r="EK9" s="7" t="str">
        <f>IF(AND('Job Sheet'!BE15="White",(OR(Bagging!D15="Single Extension Linked",Bagging!D15="Single Extension &amp; Single Extension Linked",Bagging!D15="Single Extension with Extension Covers &amp; Single Extension Linked"))),1,IF(AND(Bagging!D15="Single Extension Linked(2 Sets)",'Job Sheet'!BE15="White"),2,""))</f>
        <v/>
      </c>
      <c r="EL9" s="7" t="str">
        <f>IF(AND('Job Sheet'!BE15="Black",(OR(Bagging!D15="Single Extension Linked",Bagging!D15="Single Extension &amp; Single Extension Linked",Bagging!D15="Single Extension with Extension Covers &amp; Single Extension Linked"))),1,IF(AND(Bagging!D15="Single Extension Linked(2 Sets)",'Job Sheet'!BE15="Black"),2,""))</f>
        <v/>
      </c>
      <c r="EM9" s="7" t="str">
        <f>IF(AND('Job Sheet'!BE15="Birch White",(OR(Bagging!D15="Single Extension Linked",Bagging!D15="Single Extension &amp; Single Extension Linked",Bagging!D15="Single Extension with Extension Covers &amp; Single Extension Linked"))),1,IF(AND(Bagging!D15="Single Extension Linked(2 Sets)",'Job Sheet'!BE15="Birch White"),2,""))</f>
        <v/>
      </c>
      <c r="EN9" s="7" t="str">
        <f>IF(AND('Job Sheet'!BE15="Grey",(OR(Bagging!D15="Single Extension Linked",Bagging!D15="Single Extension &amp; Single Extension Linked",Bagging!D15="Single Extension with Extension Covers &amp; Single Extension Linked"))),1,IF(AND(Bagging!D15="Single Extension Linked(2 Sets)",'Job Sheet'!BE15="Grey"),2,""))</f>
        <v/>
      </c>
      <c r="EO9" s="7" t="str">
        <f>IF(AND('Job Sheet'!BE15="Beige",(OR(Bagging!D15="Single Extension Linked",Bagging!D15="Single Extension &amp; Single Extension Linked",Bagging!D15="Single Extension with Extension Covers &amp; Single Extension Linked"))),1,IF(AND(Bagging!D15="Single Extension Linked(2 Sets)",'Job Sheet'!BE15="Beige"),2,""))</f>
        <v/>
      </c>
      <c r="EP9" s="7" t="str">
        <f>IF(AND('Job Sheet'!BE15="White",(OR(Bagging!D15="Dual Linked",Bagging!D15="Dual Same Side &amp; Dual Linked"))),1,IF(AND(Bagging!D15="Dual Linked(2 Sets)",'Job Sheet'!BE15="White"),2,""))</f>
        <v/>
      </c>
      <c r="EQ9" s="7" t="str">
        <f>IF(AND('Job Sheet'!BE15="Black",(OR(Bagging!D15="Dual Linked",Bagging!D15="Dual Same Side &amp; Dual Linked"))),1,IF(AND(Bagging!D15="Dual Linked(2 Sets)",'Job Sheet'!BE15="Black"),2,""))</f>
        <v/>
      </c>
      <c r="ER9" s="7" t="str">
        <f>IF(AND('Job Sheet'!BE15="Birch White",(OR(Bagging!D15="Dual Linked",Bagging!D15="Dual Same Side &amp; Dual Linked"))),1,IF(AND(Bagging!D15="Dual Linked(2 Sets)",'Job Sheet'!BE15="Birch White"),2,""))</f>
        <v/>
      </c>
      <c r="ES9" s="7" t="str">
        <f>IF(AND('Job Sheet'!BE15="Grey",(OR(Bagging!D15="Dual Linked",Bagging!D15="Dual Same Side &amp; Dual Linked"))),1,IF(AND(Bagging!D15="Dual Linked(2 Sets)",'Job Sheet'!BE15="Grey"),2,""))</f>
        <v/>
      </c>
      <c r="ET9" s="7" t="str">
        <f>IF(AND('Job Sheet'!BE15="Beige",(OR(Bagging!D15="Dual Linked",Bagging!D15="Dual Same Side &amp; Dual Linked"))),1,IF(AND(Bagging!D15="Dual Linked(2 Sets)",'Job Sheet'!BE15="Beige"),2,""))</f>
        <v/>
      </c>
      <c r="EU9" s="7" t="str">
        <f>IF(AND('Job Sheet'!BE15="White",(OR(Bagging!D15="Dual Slimline Linked Top Blind Front Roll",Bagging!D15="Slimline Dual Top Blind Front Roll LHS Control &amp; Dual Slimline Linked Top Blind Front Roll",Bagging!D15="Slimline Dual Top Blind Front Roll RHS Control &amp; Dual Slimline Linked Top Blind Front Roll"))),1,IF(AND(Bagging!D15="Dual Slimline Linked Top Blind Front Roll(2 Sets)",'Job Sheet'!BE15="White"),2,""))</f>
        <v/>
      </c>
      <c r="EV9" s="7" t="str">
        <f>IF(AND('Job Sheet'!BE15="Black",(OR(Bagging!D15="Dual Slimline Linked Top Blind Front Roll",Bagging!D15="Slimline Dual Top Blind Front Roll LHS Control &amp; Dual Slimline Linked Top Blind Front Roll",Bagging!D15="Slimline Dual Top Blind Front Roll RHS Control &amp; Dual Slimline Linked Top Blind Front Roll"))),1,IF(AND(Bagging!D15="Dual Slimline Linked Top Blind Front Roll(2 Sets)",'Job Sheet'!BE15="Black"),2,""))</f>
        <v/>
      </c>
      <c r="EW9" s="7" t="str">
        <f>IF(AND('Job Sheet'!BE15="Birch White",(OR(Bagging!D15="Dual Slimline Linked Top Blind Front Roll",Bagging!D15="Slimline Dual Top Blind Front Roll LHS Control &amp; Dual Slimline Linked Top Blind Front Roll",Bagging!D15="Slimline Dual Top Blind Front Roll RHS Control &amp; Dual Slimline Linked Top Blind Front Roll"))),1,IF(AND(Bagging!D15="Dual Slimline Linked Top Blind Front Roll(2 Sets)",'Job Sheet'!BE15="Birch White"),2,""))</f>
        <v/>
      </c>
      <c r="EX9" s="7" t="str">
        <f>IF(AND('Job Sheet'!BE15="Grey",(OR(Bagging!D15="Dual Slimline Linked Top Blind Front Roll",Bagging!D15="Slimline Dual Top Blind Front Roll LHS Control &amp; Dual Slimline Linked Top Blind Front Roll",Bagging!D15="Slimline Dual Top Blind Front Roll RHS Control &amp; Dual Slimline Linked Top Blind Front Roll"))),1,IF(AND(Bagging!D15="Dual Slimline Linked Top Blind Front Roll(2 Sets)",'Job Sheet'!BE15="Grey"),2,""))</f>
        <v/>
      </c>
      <c r="EY9" s="7" t="str">
        <f>IF(AND('Job Sheet'!BE15="Beige",(OR(Bagging!D15="Dual Slimline Linked Top Blind Front Roll",Bagging!D15="Slimline Dual Top Blind Front Roll LHS Control &amp; Dual Slimline Linked Top Blind Front Roll",Bagging!D15="Slimline Dual Top Blind Front Roll RHS Control &amp; Dual Slimline Linked Top Blind Front Roll"))),1,IF(AND(Bagging!D15="Dual Slimline Linked Top Blind Front Roll(2 Sets)",'Job Sheet'!BE15="Beige"),2,""))</f>
        <v/>
      </c>
      <c r="EZ9" s="7" t="str">
        <f>IF(AND('Job Sheet'!BE15="White",(OR(Bagging!D15="Dual Slimline Linked Top Blind Back Roll",Bagging!D15="Slimline Dual Top Blind Back Roll LHS Control &amp; Dual Slimline Linked Top Blind Back Roll",Bagging!D15="Slimline Dual Top Blind Back Roll RHS Control &amp; Dual Slimline Linked Top Blind Back Roll"))),1,IF(AND(Bagging!D15="Dual Slimline Linked Top Blind Back Roll(2 Sets)",'Job Sheet'!BE15="White"),2,""))</f>
        <v/>
      </c>
      <c r="FA9" s="7" t="str">
        <f>IF(AND('Job Sheet'!BE15="Black",(OR(Bagging!D15="Dual Slimline Linked Top Blind Back Roll",Bagging!D15="Slimline Dual Top Blind Back Roll LHS Control &amp; Dual Slimline Linked Top Blind Back Roll",Bagging!D15="Slimline Dual Top Blind Back Roll RHS Control &amp; Dual Slimline Linked Top Blind Back Roll"))),1,IF(AND(Bagging!D15="Dual Slimline Linked Top Blind Back Roll(2 Sets)",'Job Sheet'!BE15="Black"),2,""))</f>
        <v/>
      </c>
      <c r="FB9" s="7" t="str">
        <f>IF(AND('Job Sheet'!BE15="Birch White",(OR(Bagging!D15="Dual Slimline Linked Top Blind Back Roll",Bagging!D15="Slimline Dual Top Blind Back Roll LHS Control &amp; Dual Slimline Linked Top Blind Back Roll",Bagging!D15="Slimline Dual Top Blind Back Roll RHS Control &amp; Dual Slimline Linked Top Blind Back Roll"))),1,IF(AND(Bagging!D15="Dual Slimline Linked Top Blind Back Roll(2 Sets)",'Job Sheet'!BE15="Birch White"),2,""))</f>
        <v/>
      </c>
      <c r="FC9" s="7" t="str">
        <f>IF(AND('Job Sheet'!BE15="Grey",(OR(Bagging!D15="Dual Slimline Linked Top Blind Back Roll",Bagging!D15="Slimline Dual Top Blind Back Roll LHS Control &amp; Dual Slimline Linked Top Blind Back Roll",Bagging!D15="Slimline Dual Top Blind Back Roll RHS Control &amp; Dual Slimline Linked Top Blind Back Roll"))),1,IF(AND(Bagging!D15="Dual Slimline Linked Top Blind Back Roll(2 Sets)",'Job Sheet'!BE15="Grey"),2,""))</f>
        <v/>
      </c>
      <c r="FD9" s="7" t="str">
        <f>IF(AND('Job Sheet'!BE15="Beige",(OR(Bagging!D15="Dual Slimline Linked Top Blind Back Roll",Bagging!D15="Slimline Dual Top Blind Back Roll LHS Control &amp; Dual Slimline Linked Top Blind Back Roll",Bagging!D15="Slimline Dual Top Blind Back Roll RHS Control &amp; Dual Slimline Linked Top Blind Back Roll"))),1,IF(AND(Bagging!D15="Dual Slimline Linked Top Blind Back Roll(2 Sets)",'Job Sheet'!BE15="Beige"),2,""))</f>
        <v/>
      </c>
      <c r="FE9" s="7" t="str">
        <f>IF(AND(OR('Job Sheet'!BF15="Nickel Steel",'Job Sheet'!BF15="Nickel Steel Chain"),OR('Assembly(b)'!D15="500mm",'Assembly(b)'!D15="500")),1,"")</f>
        <v/>
      </c>
      <c r="FF9" s="7" t="str">
        <f>IF(AND(OR('Job Sheet'!BF15="Nickel Steel",'Job Sheet'!BF15="Nickel Steel Chain"),OR('Assembly(b)'!D15="750mm",'Assembly(b)'!D15="750")),1,"")</f>
        <v/>
      </c>
      <c r="FG9" s="7" t="str">
        <f>IF(AND(OR('Job Sheet'!BF15="Nickel Steel",'Job Sheet'!BF15="Nickel Steel Chain"),OR('Assembly(b)'!D15="1000mm",'Assembly(b)'!D15="1000")),1,"")</f>
        <v/>
      </c>
      <c r="FH9" s="7" t="str">
        <f>IF(AND(OR('Job Sheet'!BF15="Nickel Steel",'Job Sheet'!BF15="Nickel Steel Chain"),OR('Assembly(b)'!D15="1250mm",'Assembly(b)'!D15="1250")),1,"")</f>
        <v/>
      </c>
      <c r="FI9" s="7" t="str">
        <f>IF(AND(OR('Job Sheet'!BF15="Nickel Steel",'Job Sheet'!BF15="Nickel Steel Chain"),OR('Assembly(b)'!D15="1500mm",'Assembly(b)'!D15="1500")),1,"")</f>
        <v/>
      </c>
      <c r="FJ9" s="7" t="str">
        <f>IF(AND(OR('Job Sheet'!BF15="Nickel Steel",'Job Sheet'!BF15="Nickel Steel Chain"),OR('Assembly(b)'!D15="1750mm",'Assembly(b)'!D15="1750")),1,"")</f>
        <v/>
      </c>
      <c r="FK9" s="7" t="str">
        <f>IF(AND(OR('Job Sheet'!BF15="Nickel Steel",'Job Sheet'!BF15="Nickel Steel Chain"),OR('Assembly(b)'!D15="2000mm",'Assembly(b)'!D15="2000")),1,"")</f>
        <v/>
      </c>
      <c r="FL9" s="7" t="str">
        <f>IF(AND(OR('Job Sheet'!BF15="Nickel Steel",'Job Sheet'!BF15="Nickel Steel Chain"),OR('Assembly(b)'!D15="2250mm",'Assembly(b)'!D15="2250")),1,"")</f>
        <v/>
      </c>
      <c r="FM9" s="7" t="str">
        <f>IF(AND(OR('Job Sheet'!BF15="Nickel Steel",'Job Sheet'!BF15="Nickel Steel Chain"),OR('Assembly(b)'!D15="2500mm",'Assembly(b)'!D15="2500")),1,"")</f>
        <v/>
      </c>
      <c r="FN9" s="7" t="str">
        <f>IF(AND(OR('Job Sheet'!BF15="Nickel Steel",'Job Sheet'!BF15="Nickel Steel Chain"),OR('Assembly(b)'!D15="2750mm",'Assembly(b)'!D15="2750")),1,"")</f>
        <v/>
      </c>
      <c r="FO9" s="7" t="str">
        <f>IF(AND(OR('Job Sheet'!BF15="Nickel Steel",'Job Sheet'!BF15="Nickel Steel Chain"),OR('Assembly(b)'!D15="3000mm",'Assembly(b)'!D15="3000")),1,"")</f>
        <v/>
      </c>
      <c r="FP9" s="7" t="str">
        <f>IF(AND(OR('Job Sheet'!BF15="Nickel Steel",'Job Sheet'!BF15="Nickel Steel Chain"),OR('Assembly(b)'!D15="3250mm",'Assembly(b)'!D15="3250")),1,"")</f>
        <v/>
      </c>
      <c r="FQ9" s="7" t="str">
        <f>IF(AND(OR('Job Sheet'!BF15="Nickel Steel",'Job Sheet'!BF15="Nickel Steel Chain"),OR('Assembly(b)'!D15="3500mm",'Assembly(b)'!D15="3500")),1,"")</f>
        <v/>
      </c>
      <c r="FR9" s="7" t="str">
        <f>IF(AND(OR('Job Sheet'!BF15="Nickel Steel",'Job Sheet'!BF15="Nickel Steel Chain"),OR('Assembly(b)'!D15="3750mm",'Assembly(b)'!D15="3750")),1,"")</f>
        <v/>
      </c>
      <c r="FS9" s="7" t="str">
        <f>IF(AND(OR('Job Sheet'!BF15="Nickel Steel",'Job Sheet'!BF15="Nickel Steel Chain"),OR('Assembly(b)'!D15="4000mm",'Assembly(b)'!D15="4000")),1,"")</f>
        <v/>
      </c>
      <c r="FT9" s="7" t="str">
        <f>IF(AND(OR('Job Sheet'!BF15="White",'Job Sheet'!BF15="White Chain"),OR('Assembly(b)'!D15="500mm",'Assembly(b)'!D15="500")),1,"")</f>
        <v/>
      </c>
      <c r="FU9" s="7" t="str">
        <f>IF(AND(OR('Job Sheet'!BF15="White",'Job Sheet'!BF15="White Chain"),OR('Assembly(b)'!D15="750mm",'Assembly(b)'!D15="750")),1,"")</f>
        <v/>
      </c>
      <c r="FV9" s="7" t="str">
        <f>IF(AND(OR('Job Sheet'!BF15="White",'Job Sheet'!BF15="White Chain"),OR('Assembly(b)'!D15="1000mm",'Assembly(b)'!D15="1000")),1,"")</f>
        <v/>
      </c>
      <c r="FW9" s="7" t="str">
        <f>IF(AND(OR('Job Sheet'!BF15="White",'Job Sheet'!BF15="White Chain"),OR('Assembly(b)'!D15="1250mm",'Assembly(b)'!D15="1250")),1,"")</f>
        <v/>
      </c>
      <c r="FX9" s="7" t="str">
        <f>IF(AND(OR('Job Sheet'!BF15="White",'Job Sheet'!BF15="White Chain"),OR('Assembly(b)'!D15="1500mm",'Assembly(b)'!D15="1500")),1,"")</f>
        <v/>
      </c>
      <c r="FY9" s="7" t="str">
        <f>IF(AND(OR('Job Sheet'!BF15="White",'Job Sheet'!BF15="White Chain"),OR('Assembly(b)'!D15="1750mm",'Assembly(b)'!D15="1750")),1,"")</f>
        <v/>
      </c>
      <c r="FZ9" s="7" t="str">
        <f>IF(AND(OR('Job Sheet'!BF15="White",'Job Sheet'!BF15="White Chain"),OR('Assembly(b)'!D15="2000mm",'Assembly(b)'!D15="2000")),1,"")</f>
        <v/>
      </c>
      <c r="GA9" s="7" t="str">
        <f>IF(AND(OR('Job Sheet'!BF15="White",'Job Sheet'!BF15="White Chain"),OR('Assembly(b)'!D15="2250mm",'Assembly(b)'!D15="2250")),1,"")</f>
        <v/>
      </c>
      <c r="GB9" s="7" t="str">
        <f>IF(AND(OR('Job Sheet'!BF15="White",'Job Sheet'!BF15="White Chain"),OR('Assembly(b)'!D15="2500mm",'Assembly(b)'!D15="2500")),1,"")</f>
        <v/>
      </c>
      <c r="GC9" s="7" t="str">
        <f>IF(AND(OR('Job Sheet'!BF15="White",'Job Sheet'!BF15="White Chain"),OR('Assembly(b)'!D15="2750mm",'Assembly(b)'!D15="2750")),1,"")</f>
        <v/>
      </c>
      <c r="GD9" s="7" t="str">
        <f>IF(AND(OR('Job Sheet'!BF15="White",'Job Sheet'!BF15="White Chain"),OR('Assembly(b)'!D15="3000mm",'Assembly(b)'!D15="3000")),1,"")</f>
        <v/>
      </c>
      <c r="GE9" s="7" t="str">
        <f>IF(AND(OR('Job Sheet'!BF15="White",'Job Sheet'!BF15="White Chain"),OR('Assembly(b)'!D15="3250mm",'Assembly(b)'!D15="3250")),1,"")</f>
        <v/>
      </c>
      <c r="GF9" s="7" t="str">
        <f>IF(AND(OR('Job Sheet'!BF15="White",'Job Sheet'!BF15="White Chain"),OR('Assembly(b)'!D15="3500mm",'Assembly(b)'!D15="3500")),1,"")</f>
        <v/>
      </c>
      <c r="GG9" s="7" t="str">
        <f>IF(AND(OR('Job Sheet'!BF15="White",'Job Sheet'!BF15="White Chain"),OR('Assembly(b)'!D15="3750mm",'Assembly(b)'!D15="3750")),1,"")</f>
        <v/>
      </c>
      <c r="GH9" s="7" t="str">
        <f>IF(AND(OR('Job Sheet'!BF15="White",'Job Sheet'!BF15="White Chain"),OR('Assembly(b)'!D15="4000mm",'Assembly(b)'!D15="4000")),1,"")</f>
        <v/>
      </c>
      <c r="GI9" s="7" t="str">
        <f>IF(AND(OR('Job Sheet'!BF15="Black",'Job Sheet'!BF15="Black Chain"),OR('Assembly(b)'!D15="500mm",'Assembly(b)'!D15="500")),1,"")</f>
        <v/>
      </c>
      <c r="GJ9" s="7" t="str">
        <f>IF(AND(OR('Job Sheet'!BF15="Black",'Job Sheet'!BF15="Black Chain"),OR('Assembly(b)'!D15="750mm",'Assembly(b)'!D15="750")),1,"")</f>
        <v/>
      </c>
      <c r="GK9" s="7" t="str">
        <f>IF(AND(OR('Job Sheet'!BF15="Black",'Job Sheet'!BF15="Black Chain"),OR('Assembly(b)'!D15="1000mm",'Assembly(b)'!D15="1000")),1,"")</f>
        <v/>
      </c>
      <c r="GL9" s="7" t="str">
        <f>IF(AND(OR('Job Sheet'!BF15="Black",'Job Sheet'!BF15="Black Chain"),OR('Assembly(b)'!D15="1250mm",'Assembly(b)'!D15="1250")),1,"")</f>
        <v/>
      </c>
      <c r="GM9" s="7" t="str">
        <f>IF(AND(OR('Job Sheet'!BF15="Black",'Job Sheet'!BF15="Black Chain"),OR('Assembly(b)'!D15="1500mm",'Assembly(b)'!D15="1500")),1,"")</f>
        <v/>
      </c>
      <c r="GN9" s="7" t="str">
        <f>IF(AND(OR('Job Sheet'!BF15="Black",'Job Sheet'!BF15="Black Chain"),OR('Assembly(b)'!D15="1750mm",'Assembly(b)'!D15="1750")),1,"")</f>
        <v/>
      </c>
      <c r="GO9" s="7" t="str">
        <f>IF(AND(OR('Job Sheet'!BF15="Black",'Job Sheet'!BF15="Black Chain"),OR('Assembly(b)'!D15="2000mm",'Assembly(b)'!D15="2000")),1,"")</f>
        <v/>
      </c>
      <c r="GP9" s="7" t="str">
        <f>IF(AND(OR('Job Sheet'!BF15="Black",'Job Sheet'!BF15="Black Chain"),OR('Assembly(b)'!D15="2250mm",'Assembly(b)'!D15="2250")),1,"")</f>
        <v/>
      </c>
      <c r="GQ9" s="7" t="str">
        <f>IF(AND(OR('Job Sheet'!BF15="Black",'Job Sheet'!BF15="Black Chain"),OR('Assembly(b)'!D15="2500mm",'Assembly(b)'!D15="2500")),1,"")</f>
        <v/>
      </c>
      <c r="GR9" s="7" t="str">
        <f>IF(AND(OR('Job Sheet'!BF15="Black",'Job Sheet'!BF15="Black Chain"),OR('Assembly(b)'!D15="2750mm",'Assembly(b)'!D15="2750")),1,"")</f>
        <v/>
      </c>
      <c r="GS9" s="7" t="str">
        <f>IF(AND(OR('Job Sheet'!BF15="Black",'Job Sheet'!BF15="Black Chain"),OR('Assembly(b)'!D15="3000mm",'Assembly(b)'!D15="3000")),1,"")</f>
        <v/>
      </c>
      <c r="GT9" s="7" t="str">
        <f>IF(AND(OR('Job Sheet'!BF15="Black",'Job Sheet'!BF15="Black Chain"),OR('Assembly(b)'!D15="3250mm",'Assembly(b)'!D15="3250")),1,"")</f>
        <v/>
      </c>
      <c r="GU9" s="7" t="str">
        <f>IF(AND(OR('Job Sheet'!BF15="Black",'Job Sheet'!BF15="Black Chain"),OR('Assembly(b)'!D15="3500mm",'Assembly(b)'!D15="3500")),1,"")</f>
        <v/>
      </c>
      <c r="GV9" s="7" t="str">
        <f>IF(AND(OR('Job Sheet'!BF15="Black",'Job Sheet'!BF15="Black Chain"),OR('Assembly(b)'!D15="3750mm",'Assembly(b)'!D15="3750")),1,"")</f>
        <v/>
      </c>
      <c r="GW9" s="7" t="str">
        <f>IF(AND(OR('Job Sheet'!BF15="Black",'Job Sheet'!BF15="Black Chain"),OR('Assembly(b)'!D15="4000mm",'Assembly(b)'!D15="4000")),1,"")</f>
        <v/>
      </c>
      <c r="GX9" s="7" t="str">
        <f>IF(AND(OR('Job Sheet'!BF15="Birch White",'Job Sheet'!BF15="Birch White Chain"),OR('Assembly(b)'!D15="500mm",'Assembly(b)'!D15="500")),1,"")</f>
        <v/>
      </c>
      <c r="GY9" s="7" t="str">
        <f>IF(AND(OR('Job Sheet'!BF15="Birch White",'Job Sheet'!BF15="Birch White Chain"),OR('Assembly(b)'!D15="750mm",'Assembly(b)'!D15="750")),1,"")</f>
        <v/>
      </c>
      <c r="GZ9" s="7" t="str">
        <f>IF(AND(OR('Job Sheet'!BF15="Birch White",'Job Sheet'!BF15="Birch White Chain"),OR('Assembly(b)'!D15="1000mm",'Assembly(b)'!D15="1000")),1,"")</f>
        <v/>
      </c>
      <c r="HA9" s="7" t="str">
        <f>IF(AND(OR('Job Sheet'!BF15="Birch White",'Job Sheet'!BF15="Birch White Chain"),OR('Assembly(b)'!D15="1250mm",'Assembly(b)'!D15="1250")),1,"")</f>
        <v/>
      </c>
      <c r="HB9" s="7" t="str">
        <f>IF(AND(OR('Job Sheet'!BF15="Birch White",'Job Sheet'!BF15="Birch White Chain"),OR('Assembly(b)'!D15="1500mm",'Assembly(b)'!D15="1500")),1,"")</f>
        <v/>
      </c>
      <c r="HC9" s="7" t="str">
        <f>IF(AND(OR('Job Sheet'!BF15="Birch White",'Job Sheet'!BF15="Birch White Chain"),OR('Assembly(b)'!D15="1750mm",'Assembly(b)'!D15="1750")),1,"")</f>
        <v/>
      </c>
      <c r="HD9" s="7" t="str">
        <f>IF(AND(OR('Job Sheet'!BF15="Birch White",'Job Sheet'!BF15="Birch White Chain"),OR('Assembly(b)'!D15="2000mm",'Assembly(b)'!D15="2000")),1,"")</f>
        <v/>
      </c>
      <c r="HE9" s="7" t="str">
        <f>IF(AND(OR('Job Sheet'!BF15="Birch White",'Job Sheet'!BF15="Birch White Chain"),OR('Assembly(b)'!D15="2250mm",'Assembly(b)'!D15="2250")),1,"")</f>
        <v/>
      </c>
      <c r="HF9" s="7" t="str">
        <f>IF(AND(OR('Job Sheet'!BF15="Birch White",'Job Sheet'!BF15="Birch White Chain"),OR('Assembly(b)'!D15="2500mm",'Assembly(b)'!D15="2500")),1,"")</f>
        <v/>
      </c>
      <c r="HG9" s="7" t="str">
        <f>IF(AND(OR('Job Sheet'!BF15="Birch White",'Job Sheet'!BF15="Birch White Chain"),OR('Assembly(b)'!D15="2750mm",'Assembly(b)'!D15="2750")),1,"")</f>
        <v/>
      </c>
      <c r="HH9" s="7" t="str">
        <f>IF(AND(OR('Job Sheet'!BF15="Birch White",'Job Sheet'!BF15="Birch White Chain"),OR('Assembly(b)'!D15="3000mm",'Assembly(b)'!D15="3000")),1,"")</f>
        <v/>
      </c>
      <c r="HI9" s="7" t="str">
        <f>IF(AND(OR('Job Sheet'!BF15="Birch White",'Job Sheet'!BF15="Birch White Chain"),OR('Assembly(b)'!D15="3250mm",'Assembly(b)'!D15="3250")),1,"")</f>
        <v/>
      </c>
      <c r="HJ9" s="7" t="str">
        <f>IF(AND(OR('Job Sheet'!BF15="Birch White",'Job Sheet'!BF15="Birch White Chain"),OR('Assembly(b)'!D15="3500mm",'Assembly(b)'!D15="3500")),1,"")</f>
        <v/>
      </c>
      <c r="HK9" s="7" t="str">
        <f>IF(AND(OR('Job Sheet'!BF15="Birch White",'Job Sheet'!BF15="Birch White Chain"),OR('Assembly(b)'!D15="3750mm",'Assembly(b)'!D15="3750")),1,"")</f>
        <v/>
      </c>
      <c r="HL9" s="7" t="str">
        <f>IF(AND(OR('Job Sheet'!BF15="Birch White",'Job Sheet'!BF15="Birch White Chain"),OR('Assembly(b)'!D15="4000mm",'Assembly(b)'!D15="4000")),1,"")</f>
        <v/>
      </c>
      <c r="HM9" s="7" t="str">
        <f>IF(AND(OR('Job Sheet'!BF15="Grey",'Job Sheet'!BF15="Grey Chain"),OR('Assembly(b)'!D15="500mm",'Assembly(b)'!D15="500")),1,"")</f>
        <v/>
      </c>
      <c r="HN9" s="7" t="str">
        <f>IF(AND(OR('Job Sheet'!BF15="Grey",'Job Sheet'!BF15="Grey Chain"),OR('Assembly(b)'!D15="750mm",'Assembly(b)'!D15="750")),1,"")</f>
        <v/>
      </c>
      <c r="HO9" s="7" t="str">
        <f>IF(AND(OR('Job Sheet'!BF15="Grey",'Job Sheet'!BF15="Grey Chain"),OR('Assembly(b)'!D15="1000mm",'Assembly(b)'!D15="1000")),1,"")</f>
        <v/>
      </c>
      <c r="HP9" s="7" t="str">
        <f>IF(AND(OR('Job Sheet'!BF15="Grey",'Job Sheet'!BF15="Grey Chain"),OR('Assembly(b)'!D15="1250mm",'Assembly(b)'!D15="1250")),1,"")</f>
        <v/>
      </c>
      <c r="HQ9" s="7" t="str">
        <f>IF(AND(OR('Job Sheet'!BF15="Grey",'Job Sheet'!BF15="Grey Chain"),OR('Assembly(b)'!D15="1500mm",'Assembly(b)'!D15="1500")),1,"")</f>
        <v/>
      </c>
      <c r="HR9" s="7" t="str">
        <f>IF(AND(OR('Job Sheet'!BF15="Grey",'Job Sheet'!BF15="Grey Chain"),OR('Assembly(b)'!D15="1750mm",'Assembly(b)'!D15="1750")),1,"")</f>
        <v/>
      </c>
      <c r="HS9" s="7" t="str">
        <f>IF(AND(OR('Job Sheet'!BF15="Grey",'Job Sheet'!BF15="Grey Chain"),OR('Assembly(b)'!D15="2000mm",'Assembly(b)'!D15="2000")),1,"")</f>
        <v/>
      </c>
      <c r="HT9" s="7" t="str">
        <f>IF(AND(OR('Job Sheet'!BF15="Grey",'Job Sheet'!BF15="Grey Chain"),OR('Assembly(b)'!D15="2250mm",'Assembly(b)'!D15="2250")),1,"")</f>
        <v/>
      </c>
      <c r="HU9" s="7" t="str">
        <f>IF(AND(OR('Job Sheet'!BF15="Grey",'Job Sheet'!BF15="Grey Chain"),OR('Assembly(b)'!D15="2500mm",'Assembly(b)'!D15="2500")),1,"")</f>
        <v/>
      </c>
      <c r="HV9" s="7" t="str">
        <f>IF(AND(OR('Job Sheet'!BF15="Grey",'Job Sheet'!BF15="Grey Chain"),OR('Assembly(b)'!D15="2750mm",'Assembly(b)'!D15="2750")),1,"")</f>
        <v/>
      </c>
      <c r="HW9" s="7" t="str">
        <f>IF(AND(OR('Job Sheet'!BF15="Grey",'Job Sheet'!BF15="Grey Chain"),OR('Assembly(b)'!D15="3000mm",'Assembly(b)'!D15="3000")),1,"")</f>
        <v/>
      </c>
      <c r="HX9" s="7" t="str">
        <f>IF(AND(OR('Job Sheet'!BF15="Grey",'Job Sheet'!BF15="Grey Chain"),OR('Assembly(b)'!D15="3250mm",'Assembly(b)'!D15="3250")),1,"")</f>
        <v/>
      </c>
      <c r="HY9" s="7" t="str">
        <f>IF(AND(OR('Job Sheet'!BF15="Grey",'Job Sheet'!BF15="Grey Chain"),OR('Assembly(b)'!D15="3500mm",'Assembly(b)'!D15="3500")),1,"")</f>
        <v/>
      </c>
      <c r="HZ9" s="7" t="str">
        <f>IF(AND(OR('Job Sheet'!BF15="Grey",'Job Sheet'!BF15="Grey Chain"),OR('Assembly(b)'!D15="3750mm",'Assembly(b)'!D15="3750")),1,"")</f>
        <v/>
      </c>
      <c r="IA9" s="7" t="str">
        <f>IF(AND(OR('Job Sheet'!BF15="Grey",'Job Sheet'!BF15="Grey Chain"),OR('Assembly(b)'!D15="4000mm",'Assembly(b)'!D15="4000")),1,"")</f>
        <v/>
      </c>
      <c r="IB9" s="7" t="str">
        <f>IF(AND(OR('Job Sheet'!BF15="Beige",'Job Sheet'!BF15="Beige Chain"),OR('Assembly(b)'!D15="500mm",'Assembly(b)'!D15="500")),1,"")</f>
        <v/>
      </c>
      <c r="IC9" s="7" t="str">
        <f>IF(AND(OR('Job Sheet'!BF15="Beige",'Job Sheet'!BF15="Beige Chain"),OR('Assembly(b)'!D15="750mm",'Assembly(b)'!D15="750")),1,"")</f>
        <v/>
      </c>
      <c r="ID9" s="7" t="str">
        <f>IF(AND(OR('Job Sheet'!BF15="Beige",'Job Sheet'!BF15="Beige Chain"),OR('Assembly(b)'!D15="1000mm",'Assembly(b)'!D15="1000")),1,"")</f>
        <v/>
      </c>
      <c r="IE9" s="7" t="str">
        <f>IF(AND(OR('Job Sheet'!BF15="Beige",'Job Sheet'!BF15="Beige Chain"),OR('Assembly(b)'!D15="1250mm",'Assembly(b)'!D15="1250")),1,"")</f>
        <v/>
      </c>
      <c r="IF9" s="7" t="str">
        <f>IF(AND(OR('Job Sheet'!BF15="Beige",'Job Sheet'!BF15="Beige Chain"),OR('Assembly(b)'!D15="1500mm",'Assembly(b)'!D15="1500")),1,"")</f>
        <v/>
      </c>
      <c r="IG9" s="7" t="str">
        <f>IF(AND(OR('Job Sheet'!BF15="Beige",'Job Sheet'!BF15="Beige Chain"),OR('Assembly(b)'!D15="1750mm",'Assembly(b)'!D15="1750")),1,"")</f>
        <v/>
      </c>
      <c r="IH9" s="7" t="str">
        <f>IF(AND(OR('Job Sheet'!BF15="Beige",'Job Sheet'!BF15="Beige Chain"),OR('Assembly(b)'!D15="2000mm",'Assembly(b)'!D15="2000")),1,"")</f>
        <v/>
      </c>
      <c r="II9" s="7" t="str">
        <f>IF(AND(OR('Job Sheet'!BF15="Beige",'Job Sheet'!BF15="Beige Chain"),OR('Assembly(b)'!D15="2250mm",'Assembly(b)'!D15="2250")),1,"")</f>
        <v/>
      </c>
      <c r="IJ9" s="7" t="str">
        <f>IF(AND(OR('Job Sheet'!BF15="Beige",'Job Sheet'!BF15="Beige Chain"),OR('Assembly(b)'!D15="2500mm",'Assembly(b)'!D15="2500")),1,"")</f>
        <v/>
      </c>
      <c r="IK9" s="7" t="str">
        <f>IF(AND(OR('Job Sheet'!BF15="Beige",'Job Sheet'!BF15="Beige Chain"),OR('Assembly(b)'!D15="2750mm",'Assembly(b)'!D15="2750")),1,"")</f>
        <v/>
      </c>
      <c r="IL9" s="7" t="str">
        <f>IF(AND(OR('Job Sheet'!BF15="Beige",'Job Sheet'!BF15="Beige Chain"),OR('Assembly(b)'!D15="3000mm",'Assembly(b)'!D15="3000")),1,"")</f>
        <v/>
      </c>
      <c r="IM9" s="7" t="str">
        <f>IF(AND(OR('Job Sheet'!BF15="Beige",'Job Sheet'!BF15="Beige Chain"),OR('Assembly(b)'!D15="3250mm",'Assembly(b)'!D15="3250")),1,"")</f>
        <v/>
      </c>
      <c r="IN9" s="7" t="str">
        <f>IF(AND(OR('Job Sheet'!BF15="Beige",'Job Sheet'!BF15="Beige Chain"),OR('Assembly(b)'!D15="3500mm",'Assembly(b)'!D15="3500")),1,"")</f>
        <v/>
      </c>
      <c r="IO9" s="7" t="str">
        <f>IF(AND(OR('Job Sheet'!BF15="Beige",'Job Sheet'!BF15="Beige Chain"),OR('Assembly(b)'!D15="3750mm",'Assembly(b)'!D15="3750")),1,"")</f>
        <v/>
      </c>
      <c r="IP9" s="7" t="str">
        <f>IF(AND(OR('Job Sheet'!BF15="Beige",'Job Sheet'!BF15="Beige Chain"),OR('Assembly(b)'!D15="4000mm",'Assembly(b)'!D15="4000")),1,"")</f>
        <v/>
      </c>
      <c r="IQ9" s="7" t="str">
        <f>IF(AND(OR('Job Sheet'!BF15="Stainless Steel",'Job Sheet'!BF15="Stainless Steel Chain"),OR('Assembly(b)'!D15="500mm",'Assembly(b)'!D15="500")),1,"")</f>
        <v/>
      </c>
      <c r="IR9" s="7" t="str">
        <f>IF(AND(OR('Job Sheet'!BF15="Stainless Steel",'Job Sheet'!BF15="Stainless Steel Chain"),OR('Assembly(b)'!D15="750mm",'Assembly(b)'!D15="750")),1,"")</f>
        <v/>
      </c>
      <c r="IS9" s="7" t="str">
        <f>IF(AND(OR('Job Sheet'!BF15="Stainless Steel",'Job Sheet'!BF15="Stainless Steel Chain"),OR('Assembly(b)'!D15="1000mm",'Assembly(b)'!D15="1000")),1,"")</f>
        <v/>
      </c>
      <c r="IT9" s="7" t="str">
        <f>IF(AND(OR('Job Sheet'!BF15="Stainless Steel",'Job Sheet'!BF15="Stainless Steel Chain"),OR('Assembly(b)'!D15="1250mm",'Assembly(b)'!D15="1250")),1,"")</f>
        <v/>
      </c>
      <c r="IU9" s="7" t="str">
        <f>IF(AND(OR('Job Sheet'!BF15="Stainless Steel",'Job Sheet'!BF15="Stainless Steel Chain"),OR('Assembly(b)'!D15="1500mm",'Assembly(b)'!D15="1500")),1,"")</f>
        <v/>
      </c>
      <c r="IV9" s="7" t="str">
        <f>IF(AND(OR('Job Sheet'!BF15="Stainless Steel",'Job Sheet'!BF15="Stainless Steel Chain"),OR('Assembly(b)'!D15="1750mm",'Assembly(b)'!D15="1750")),1,"")</f>
        <v/>
      </c>
      <c r="IW9" s="7" t="str">
        <f>IF(AND(OR('Job Sheet'!BF15="Stainless Steel",'Job Sheet'!BF15="Stainless Steel Chain"),OR('Assembly(b)'!D15="2000mm",'Assembly(b)'!D15="2000")),1,"")</f>
        <v/>
      </c>
      <c r="IX9" s="7" t="str">
        <f>IF(AND(OR('Job Sheet'!BF15="Stainless Steel",'Job Sheet'!BF15="Stainless Steel Chain"),OR('Assembly(b)'!D15="2250mm",'Assembly(b)'!D15="2250")),1,"")</f>
        <v/>
      </c>
      <c r="IY9" s="7" t="str">
        <f>IF(AND(OR('Job Sheet'!BF15="Stainless Steel",'Job Sheet'!BF15="Stainless Steel Chain"),OR('Assembly(b)'!D15="2500mm",'Assembly(b)'!D15="2500")),1,"")</f>
        <v/>
      </c>
      <c r="IZ9" s="7" t="str">
        <f>IF(AND(OR('Job Sheet'!BF15="Stainless Steel",'Job Sheet'!BF15="Stainless Steel Chain"),OR('Assembly(b)'!D15="2750mm",'Assembly(b)'!D15="2750")),1,"")</f>
        <v/>
      </c>
      <c r="JA9" s="7" t="str">
        <f>IF(AND(OR('Job Sheet'!BF15="Stainless Steel",'Job Sheet'!BF15="Stainless Steel Chain"),OR('Assembly(b)'!D15="3000mm",'Assembly(b)'!D15="3000")),1,"")</f>
        <v/>
      </c>
      <c r="JB9" s="7" t="str">
        <f>IF(AND(OR('Job Sheet'!BF15="Stainless Steel",'Job Sheet'!BF15="Stainless Steel Chain"),OR('Assembly(b)'!D15="3250mm",'Assembly(b)'!D15="3250")),1,"")</f>
        <v/>
      </c>
      <c r="JC9" s="7" t="str">
        <f>IF(AND(OR('Job Sheet'!BF15="Stainless Steel",'Job Sheet'!BF15="Stainless Steel Chain"),OR('Assembly(b)'!D15="3500mm",'Assembly(b)'!D15="3500")),1,"")</f>
        <v/>
      </c>
      <c r="JD9" s="7" t="str">
        <f>IF(AND(OR('Job Sheet'!BF15="Stainless Steel",'Job Sheet'!BF15="Stainless Steel Chain"),OR('Assembly(b)'!D15="3750mm",'Assembly(b)'!D15="3750")),1,"")</f>
        <v/>
      </c>
      <c r="JE9" s="7" t="str">
        <f>IF(AND(OR('Job Sheet'!BF15="Stainless Steel",'Job Sheet'!BF15="Stainless Steel Chain"),OR('Assembly(b)'!D15="4000mm",'Assembly(b)'!D15="4000")),1,"")</f>
        <v/>
      </c>
      <c r="JF9" s="7" t="str">
        <f>IF(AND('Assembly(b)'!I15="Yes - L",(OR('Tube Cutting'!C15="43mm",'Tube Cutting'!C15="43mm H/D"))),1,"")</f>
        <v/>
      </c>
      <c r="JG9" s="7" t="str">
        <f>IF(AND('Assembly(b)'!I15="Yes - R",(OR('Tube Cutting'!C15="43mm",'Tube Cutting'!C15="43mm H/D"))),1,"")</f>
        <v/>
      </c>
      <c r="JH9" s="7" t="str">
        <f>IF(AND('Assembly(b)'!I15="Yes - L",'Tube Cutting'!C15="60mm"),1,"")</f>
        <v/>
      </c>
      <c r="JI9" s="7" t="str">
        <f>IF(AND('Assembly(b)'!I15="Yes - R",'Tube Cutting'!C15="60mm"),1,"")</f>
        <v/>
      </c>
      <c r="JJ9" s="7" t="str">
        <f>IF(OR('Job Sheet'!BE15="Black",'Assembly(b)'!J15="N/A"),"",IF(OR('Assembly(b)'!J15="Motor - Female",'Assembly(b)'!J15="Motor - Female with Insert",'Assembly(b)'!J15="Female - Motor",'Assembly(b)'!J15="Chain Winder - Female",'Assembly(b)'!J15="Chain Winder - Female with Insert",'Assembly(b)'!J15="Female - Chain Winder",'Assembly(b)'!J15="Male - Female",'Assembly(b)'!J15="Female - Male",'Assembly(b)'!J15="Male - Female with Insert"),1,""))</f>
        <v/>
      </c>
      <c r="JK9" s="7" t="str">
        <f>IF(OR('Job Sheet'!BE15="White",'Assembly(b)'!J15="N/A"),"",IF(OR('Assembly(b)'!J15="Motor - Female",'Assembly(b)'!J15="Motor - Female with Insert",'Assembly(b)'!J15="Female - Motor",'Assembly(b)'!J15="Chain Winder - Female",'Assembly(b)'!J15="Chain Winder - Female with Insert",'Assembly(b)'!J15="Female - Chain Winder",'Assembly(b)'!J15="Male - Female",'Assembly(b)'!J15="Female - Male",'Assembly(b)'!J15="Male - Female with Insert"),1,""))</f>
        <v/>
      </c>
      <c r="JL9" s="7" t="str">
        <f>IF(OR('Job Sheet'!BE15="White",'Assembly(b)'!J15="N/A"),"",IF(OR('Assembly(b)'!J15="Motor - Male",'Assembly(b)'!J15="Male - Motor",'Assembly(b)'!J15="Chain Winder - Male",'Assembly(b)'!J15="Male - Chain Winder",'Assembly(b)'!J15="Male - Female",'Assembly(b)'!J15="Female - Male",'Assembly(b)'!J15="Male - Idle",'Assembly(b)'!J15="Idle - Male"),1,""))</f>
        <v/>
      </c>
      <c r="JM9" s="7" t="str">
        <f>IF(OR('Job Sheet'!BE15="White",'Job Sheet'!BE15="Birch White",'Job Sheet'!BE15="Grey",'Job Sheet'!BE15="Beige",'Assembly(b)'!J15="N/A"),"",IF(OR('Assembly(b)'!J15="Motor - Male",'Assembly(b)'!J15="Male - Motor",'Assembly(b)'!J15="Chain Winder - Male",'Assembly(b)'!J15="Male - Chain Winder",'Assembly(b)'!J15="Male - Female",'Assembly(b)'!J15="Female - Male",'Assembly(b)'!J15="Male - Idle",'Assembly(b)'!J15="Idle - Male"),1,""))</f>
        <v/>
      </c>
      <c r="JN9" s="7" t="str">
        <f>IF(OR('Job Sheet'!BE15="Black",'Assembly(b)'!J15="N/A"),"",IF(OR('Assembly(b)'!J15="Motor - 60mm Female",'Assembly(b)'!J15="60mm Female - Motor",'Assembly(b)'!J15="Chain Winder - 60mm Female",'Assembly(b)'!J15="60mm Female - Chain Winder",'Assembly(b)'!J15="60mm Male - 60mm Female",'Assembly(b)'!J15="60mm Female - 60mm Male"),1,""))</f>
        <v/>
      </c>
      <c r="JO9" s="7" t="str">
        <f>IF(OR('Job Sheet'!BE15="White",'Assembly(b)'!J15="N/A"),"",IF(OR('Assembly(b)'!J15="Motor - 60mm Female",'Assembly(b)'!J15="60mm Female - Motor",'Assembly(b)'!J15="Chain Winder - 60mm Female",'Assembly(b)'!J15="60mm Female - Chain Winder",'Assembly(b)'!J15="60mm Male - 60mm Female",'Assembly(b)'!J15="60mm Female - 60mm Male"),1,""))</f>
        <v/>
      </c>
      <c r="JP9" s="7" t="str">
        <f>IF(OR('Job Sheet'!BE15="Black",'Assembly(b)'!J15="N/A"),"",IF(OR('Assembly(b)'!J15="Motor - 60mm Male",'Assembly(b)'!J15="60mm Male - Motor",'Assembly(b)'!J15="Chain Winder - 60mm Male",'Assembly(b)'!J15="60mm Male - Chain Winder",'Assembly(b)'!J15="60mm Male - 60mm Female",'Assembly(b)'!J15="60mm Female - 60mm Male"),1,""))</f>
        <v/>
      </c>
      <c r="JQ9" s="7" t="str">
        <f>IF(OR('Job Sheet'!BE15="White",'Assembly(b)'!J15="N/A"),"",IF(OR('Assembly(b)'!J15="Motor - 60mm Male",'Assembly(b)'!J15="60mm Male - Motor",'Assembly(b)'!J15="Chain Winder - 60mm Male",'Assembly(b)'!J15="60mm Male - Chain Winder",'Assembly(b)'!J15="60mm Male - 60mm Female",'Assembly(b)'!J15="60mm Female - 60mm Male"),1,""))</f>
        <v/>
      </c>
      <c r="JR9" s="7" t="str">
        <f>IF('Assembly(b)'!F15="Standard Spring",1,"")</f>
        <v/>
      </c>
      <c r="JS9" s="7" t="str">
        <f>IF('Assembly(b)'!F15="Small Spring",1,"")</f>
        <v/>
      </c>
      <c r="JT9" s="7" t="str">
        <f>IF(D9="","",IF(OR(SUM(R9:V9)=0,'Tube Cutting'!E15="Bottom Rail in Pocket"),"",SUM(R9:V9)))</f>
        <v/>
      </c>
      <c r="JU9" s="7" t="str">
        <f>IF('Job Sheet'!BE15="Silver Pull Ring",1,"")</f>
        <v/>
      </c>
      <c r="JV9" s="7" t="str">
        <f>IF('Job Sheet'!BE15="Gold Pull Ring",1,"")</f>
        <v/>
      </c>
      <c r="JW9" s="7" t="str">
        <f>IF(AND('Job Sheet'!BE15="White",'Assembly(b)'!E15="60mm"),1,"")</f>
        <v/>
      </c>
      <c r="JX9" s="7" t="str">
        <f>IF(AND('Job Sheet'!BE15="Black",'Assembly(b)'!E15="60mm"),1,"")</f>
        <v/>
      </c>
      <c r="JY9" s="7" t="str">
        <f>IF(AND(OR('Assembly(b)'!G15="White",'Assembly(b)'!J15="N/A"),(OR(AND('Assembly(b)'!F15="Chain Winder",'Assembly(b)'!E15="60mm"),'Job Sheet'!AR15="Acmeda External Motor",'Job Sheet'!AR15="Somfy External CBUS Motor",'Job Sheet'!AR15="Somfy External Remote Motor"))),1,IF(AND('Assembly(b)'!G15="White",(OR('Assembly(b)'!J15="60mm Male - 60mm Idle",'Assembly(b)'!J15="60mm Idle - 60mm Male"))),1,""))</f>
        <v/>
      </c>
      <c r="JZ9" s="7" t="str">
        <f>IF(AND(OR('Assembly(b)'!G15="Black",'Assembly(b)'!J15="N/A"),(OR(AND('Assembly(b)'!F15="Chain Winder",'Assembly(b)'!E15="60mm"),'Job Sheet'!AR15="Acmeda External Motor",'Job Sheet'!AR15="Somfy External CBUS Motor",'Job Sheet'!AR15="Somfy External Remote Motor"))),1,IF(AND('Assembly(b)'!G15="Black",(OR('Assembly(b)'!J15="60mm Male - 60mm Idle",'Assembly(b)'!J15="60mm Idle - 60mm Male"))),1,""))</f>
        <v/>
      </c>
      <c r="KA9" s="7" t="str">
        <f t="shared" si="3"/>
        <v/>
      </c>
      <c r="KB9" s="7" t="str">
        <f t="shared" si="4"/>
        <v/>
      </c>
      <c r="KC9" s="7" t="str">
        <f>IF('Tube Cutting'!J15&lt;&gt;"Zipscreen Hooding",JW9,"")</f>
        <v/>
      </c>
      <c r="KD9" s="7" t="str">
        <f>IF('Tube Cutting'!J15&lt;&gt;"Zipscreen Hooding",JX9,"")</f>
        <v/>
      </c>
      <c r="KE9" s="7" t="str">
        <f t="shared" si="5"/>
        <v/>
      </c>
      <c r="KF9" s="7" t="str">
        <f t="shared" si="6"/>
        <v/>
      </c>
      <c r="KG9" s="7" t="str">
        <f>IF(D9="","",IF(OR(Bagging!F15="Yes - Attach",Bagging!F15="Yes"),1,""))</f>
        <v/>
      </c>
      <c r="KH9" s="7" t="str">
        <f t="shared" si="7"/>
        <v/>
      </c>
      <c r="KI9" s="7" t="str">
        <f>IF('Assembly(b)'!F15="Acmeda E6 Motor",1,"")</f>
        <v/>
      </c>
      <c r="KJ9" s="7" t="str">
        <f>IF('Assembly(b)'!F15="Acmeda M6 Motor",1,"")</f>
        <v/>
      </c>
      <c r="KK9" s="7" t="str">
        <f>IF('Assembly(b)'!F15="0.7nm 12v Acmeda Motor",1,"")</f>
        <v/>
      </c>
      <c r="KL9" s="7" t="str">
        <f>IF('Assembly(b)'!F15="1.1nm 12v Acmeda Motor",1,"")</f>
        <v/>
      </c>
      <c r="KM9" s="7" t="str">
        <f>IF('Assembly(b)'!F15="2nm 12v Acmeda Motor",1,"")</f>
        <v/>
      </c>
      <c r="KN9" s="7" t="str">
        <f>IF('Assembly(b)'!F15="Acmeda 12v 6nm Motor",1,"")</f>
        <v/>
      </c>
      <c r="KO9" s="7" t="str">
        <f>IF('Assembly(b)'!F15="Acmeda 10nm 12v Motor",1,"")</f>
        <v/>
      </c>
      <c r="KP9" s="7" t="str">
        <f>IF('Assembly(b)'!F15="Acmeda FT 15Nm Motor",1,"")</f>
        <v/>
      </c>
      <c r="KQ9" s="7" t="str">
        <f>IF('Assembly(b)'!F15="1.1nm 12v Acmeda DCRF Motor",1,"")</f>
        <v/>
      </c>
      <c r="KR9" s="7" t="str">
        <f>IF('Assembly(b)'!F15="2nm 12v Acmeda DCRF Motor",1,"")</f>
        <v/>
      </c>
      <c r="KS9" s="7" t="str">
        <f>IF('Assembly(b)'!F15="Sonesse 40 RTS 3/30 with Inline Connector Motor",1,"")</f>
        <v/>
      </c>
      <c r="KT9" s="7" t="str">
        <f>IF('Assembly(b)'!F15="Sonesse 40 WT 3/30 with Inline Connector Motor",1,"")</f>
        <v/>
      </c>
      <c r="KU9" s="7" t="str">
        <f>IF('Assembly(b)'!F15="Somfy 12v Remote Sonesse Motor",1,"")</f>
        <v/>
      </c>
      <c r="KV9" s="7" t="str">
        <f>IF('Assembly(b)'!F15="Sonesse 50 RTS 6/17 RH Motor",1,"")</f>
        <v/>
      </c>
      <c r="KW9" s="7" t="str">
        <f>IF('Assembly(b)'!F15="Sonesse 50 WT 10/28 Motor",1,"")</f>
        <v/>
      </c>
      <c r="KX9" s="7" t="str">
        <f>IF('Assembly(b)'!F15="Becker P4-30-C12A Motor",1,"")</f>
        <v/>
      </c>
      <c r="KY9" s="7" t="str">
        <f>IF('Assembly(b)'!F15="Becker cBus Motor",1,"")</f>
        <v/>
      </c>
      <c r="KZ9" s="7" t="str">
        <f>IF('Assembly(b)'!F15="Becker R20-17-C12A Motor",1,"")</f>
        <v/>
      </c>
      <c r="LA9" s="7" t="str">
        <f>IF('Assembly(b)'!F15="Becker cBus Motor",1,"")</f>
        <v/>
      </c>
      <c r="LB9" s="7" t="str">
        <f t="shared" si="57"/>
        <v/>
      </c>
      <c r="LC9" s="7" t="str">
        <f t="shared" si="58"/>
        <v/>
      </c>
      <c r="LD9" s="7" t="str">
        <f t="shared" si="59"/>
        <v/>
      </c>
      <c r="LE9" s="7" t="str">
        <f t="shared" si="60"/>
        <v/>
      </c>
      <c r="LF9" s="7" t="str">
        <f t="shared" si="12"/>
        <v/>
      </c>
      <c r="LG9" s="7" t="str">
        <f t="shared" si="13"/>
        <v/>
      </c>
      <c r="LH9" s="7" t="str">
        <f>IF(KO9="","",IF(OR('Tube Cutting'!C15="60mm",'Tube Cutting'!C15="80mm"),SUM(KO9,KP9),""))</f>
        <v/>
      </c>
      <c r="LI9" s="7" t="str">
        <f t="shared" si="61"/>
        <v/>
      </c>
      <c r="LJ9" s="7" t="str">
        <f t="shared" si="62"/>
        <v/>
      </c>
      <c r="LK9" s="7" t="str">
        <f t="shared" si="16"/>
        <v/>
      </c>
      <c r="LL9" s="7" t="str">
        <f t="shared" si="17"/>
        <v/>
      </c>
      <c r="LM9" s="7" t="str">
        <f t="shared" si="18"/>
        <v/>
      </c>
      <c r="LN9" s="7" t="str">
        <f t="shared" si="19"/>
        <v/>
      </c>
      <c r="LO9" s="7" t="str">
        <f t="shared" si="63"/>
        <v/>
      </c>
      <c r="LP9" s="7" t="str">
        <f>IF(AND(KP9=1,'Job Sheet'!BE15="Black"),1,"")</f>
        <v/>
      </c>
      <c r="LQ9" s="7" t="str">
        <f>IF(AND(KP9=1,'Job Sheet'!BE15="White"),1,"")</f>
        <v/>
      </c>
      <c r="LR9" s="7" t="str">
        <f t="shared" si="21"/>
        <v/>
      </c>
      <c r="LS9" s="7" t="str">
        <f t="shared" si="64"/>
        <v/>
      </c>
      <c r="LT9" s="7" t="str">
        <f t="shared" si="65"/>
        <v/>
      </c>
      <c r="LU9" s="7" t="str">
        <f t="shared" si="66"/>
        <v/>
      </c>
      <c r="LV9" s="7" t="str">
        <f t="shared" si="67"/>
        <v/>
      </c>
      <c r="LW9" s="7" t="str">
        <f>IF(OR('Tube Cutting'!C15="60mm",'Tube Cutting'!C15="80mm"),SUM(KV9,KW9),"")</f>
        <v/>
      </c>
      <c r="LX9" s="7" t="str">
        <f t="shared" si="68"/>
        <v/>
      </c>
      <c r="LY9" s="7" t="str">
        <f t="shared" si="69"/>
        <v/>
      </c>
      <c r="LZ9" s="7" t="str">
        <f t="shared" si="70"/>
        <v/>
      </c>
      <c r="MA9" s="7" t="str">
        <f t="shared" si="71"/>
        <v/>
      </c>
      <c r="MB9" s="7" t="str">
        <f t="shared" si="72"/>
        <v/>
      </c>
      <c r="MC9" s="7" t="str">
        <f t="shared" si="73"/>
        <v/>
      </c>
      <c r="MD9" s="7" t="str">
        <f t="shared" si="74"/>
        <v/>
      </c>
      <c r="ME9" s="7" t="str">
        <f t="shared" si="75"/>
        <v/>
      </c>
      <c r="MF9" s="7" t="str">
        <f>IF('Job Sheet'!N15="Pulse Pro Automation Hub",1,"")</f>
        <v/>
      </c>
      <c r="MG9" s="7" t="str">
        <f>IF('Job Sheet'!N15="Solar Panel",1,"")</f>
        <v/>
      </c>
      <c r="MH9" s="7" t="str">
        <f>IF(AND('Job Sheet'!N15="12v Wall Charger with 4m USB Cable",KN9="",KO9=""),1,"")</f>
        <v/>
      </c>
      <c r="MI9" s="7" t="str">
        <f>IF(Bagging!I15="12v Wall Charger with Cable to suit 3nm Motor",1,"")</f>
        <v/>
      </c>
      <c r="MJ9" s="7" t="str">
        <f t="array" ref="MJ9">IF(OR('Job Sheet'!N15="210mm Extension Charging Cable",AND(bpLOOKUP(Data!$AV15,"CONTROLS",CustOrdOpt,6,FALSE)="Acmeda 12v Motor",OL9=1)),1,"")</f>
        <v/>
      </c>
      <c r="MK9" s="7" t="str">
        <f>IF('Job Sheet'!N15="1200mm Extension Charging Cable",1,"")</f>
        <v/>
      </c>
      <c r="ML9" s="7" t="str">
        <f>IF('Job Sheet'!N15="1 Channel Dry Contact Relay Module",1,"")</f>
        <v/>
      </c>
      <c r="MM9" s="7" t="str">
        <f>IF('Job Sheet'!N15="USB Repeater",1,"")</f>
        <v/>
      </c>
      <c r="MN9" s="7" t="str">
        <f>IF(OR('Assembly(b)'!F15="1.1nm 12v Acmeda DCRF Motor",'Assembly(b)'!F15="2nm 12v Acmeda DCRF Motor"),1,"")</f>
        <v/>
      </c>
      <c r="MO9" s="7" t="str">
        <f>IF('Job Sheet'!N15="DC Panel",1,"")</f>
        <v/>
      </c>
      <c r="MP9" s="7" t="str">
        <f t="array" ref="MP9">IF(AND(bpLOOKUP(Data!$AV15,"CONTROLS",CustOrdOpt,6,FALSE)="Acmeda 12v Motor",Bagging!G15="White"),1,"")</f>
        <v/>
      </c>
      <c r="MQ9" s="7" t="str">
        <f t="array" ref="MQ9">IF(AND(bpLOOKUP(Data!$AV15,"CONTROLS",CustOrdOpt,6,FALSE)="Acmeda 12v Motor",Bagging!G15="Black"),1,"")</f>
        <v/>
      </c>
      <c r="MR9" s="7" t="str">
        <f>IF('Job Sheet'!R15="Acmeda 1 Channel White Remote",1,"")</f>
        <v/>
      </c>
      <c r="MS9" s="7" t="str">
        <f>IF('Job Sheet'!R15="Acmeda 1 Channel Black Remote",1,"")</f>
        <v/>
      </c>
      <c r="MT9" s="7" t="str">
        <f>IF('Job Sheet'!R15="Acmeda 5 Channel White Remote",1,"")</f>
        <v/>
      </c>
      <c r="MU9" s="7" t="str">
        <f>IF('Job Sheet'!R15="Acmeda 5 Channel Black Remote",1,"")</f>
        <v/>
      </c>
      <c r="MV9" s="7" t="str">
        <f>IF('Job Sheet'!R15="Acmeda 15 Channel White Remote",1,"")</f>
        <v/>
      </c>
      <c r="MW9" s="7" t="str">
        <f>IF('Job Sheet'!R15="Acmeda 15 Channel Black Remote",1,"")</f>
        <v/>
      </c>
      <c r="MX9" s="7" t="str">
        <f>IF('Job Sheet'!R15="Acmeda Wall Mounted Single Channel White Remote",1,"")</f>
        <v/>
      </c>
      <c r="MY9" s="7" t="str">
        <f>IF('Job Sheet'!R15="Acmeda Wall Mounted 2 Channel White Remote",1,"")</f>
        <v/>
      </c>
      <c r="MZ9" s="7" t="str">
        <f>IF('Job Sheet'!R15="Acmeda Wall Mounted 5 Channel White Remote",1,"")</f>
        <v/>
      </c>
      <c r="NA9" s="7" t="str">
        <f>IF('Job Sheet'!R15="Acmeda Wall Mounted 15 Channel White Remote",1,"")</f>
        <v/>
      </c>
      <c r="NB9" s="7" t="str">
        <f>IF('Job Sheet'!R15="Acmeda Push Pro White Remote","1","")</f>
        <v/>
      </c>
      <c r="NC9" s="7" t="str">
        <f>IF('Job Sheet'!R15="Acmeda Push Pro Black Remote","1","")</f>
        <v/>
      </c>
      <c r="ND9" s="7" t="str">
        <f>IF(OR('Job Sheet'!R15="Acmeda Push Pro White Remote with Charger",'Job Sheet'!R15="Acmeda Push Pro Black Remote with Charger"),1,"")</f>
        <v/>
      </c>
      <c r="NE9" s="7" t="str">
        <f t="shared" si="34"/>
        <v/>
      </c>
      <c r="NF9" s="7" t="str">
        <f>IF('Job Sheet'!R15="Somfy Single Channel White Remote",1,"")</f>
        <v/>
      </c>
      <c r="NG9" s="7" t="str">
        <f>IF('Job Sheet'!R15="Somfy Single Channel Silver Remote",1,"")</f>
        <v/>
      </c>
      <c r="NH9" s="7" t="str">
        <f>IF('Job Sheet'!R15="Somfy 2 Channel White Remote",1,"")</f>
        <v/>
      </c>
      <c r="NI9" s="7" t="str">
        <f>IF('Job Sheet'!R15="Somfy 2 Channel Silver Remote",1,"")</f>
        <v/>
      </c>
      <c r="NJ9" s="7" t="str">
        <f>IF('Job Sheet'!R15="Somfy 5 Channel White Remote",1,"")</f>
        <v/>
      </c>
      <c r="NK9" s="7" t="str">
        <f>IF('Job Sheet'!R15="Somfy 5 Channel Silver Remote",1,"")</f>
        <v/>
      </c>
      <c r="NL9" s="7" t="str">
        <f>IF('Job Sheet'!R15="Somfy 15 Channel White Remote",1,"")</f>
        <v/>
      </c>
      <c r="NM9" s="7" t="str">
        <f>IF('Job Sheet'!R15="Somfy 15 Channel Black Remote",1,"")</f>
        <v/>
      </c>
      <c r="NN9" s="7" t="str">
        <f>IF(OR('Job Sheet'!R15="Somfy Single Channel Wall Mounted Smoove Remote White",'Job Sheet'!R15="Somfy Single Channel Wall Mounted Smoove Remote White with Black Cover Plate",'Job Sheet'!R15="Somfy Single Channel Wall Mounted Smoove Remote White with Silver Cover Plate"),1,"")</f>
        <v/>
      </c>
      <c r="NO9" s="7" t="str">
        <f>IF(OR('Job Sheet'!R15="Somfy 2 Channel Wall Mounted Smoove Remote White",'Job Sheet'!R15="Somfy 2 Channel Wall Mounted Smoove Remote White with Black Cover Plate",'Job Sheet'!R15="Somfy 2 Channel Wall Mounted Smoove Remote White with Silver Cover Plate"),1,"")</f>
        <v/>
      </c>
      <c r="NP9" s="7" t="str">
        <f>IF(OR('Job Sheet'!R15="Somfy 5 Channel Wall Mounted Smoove Remote White",'Job Sheet'!R15="Somfy 5 Channel Wall Mounted Smoove Remote White with Black Cover Plate",'Job Sheet'!R15="Somfy 5 Channel Wall Mounted Smoove Remote White with Silver Cover Plate"),1,"")</f>
        <v/>
      </c>
      <c r="NQ9" s="7" t="str">
        <f>IF(OR('Job Sheet'!R15="Somfy Single Channel Wall Mounted Smoove Remote White with Black Cover Plate",'Job Sheet'!R15="Somfy 2 Channel Wall Mounted Smoove Remote White with Black Cover Plate",'Job Sheet'!R15="Somfy 5 Channel Wall Mounted Smoove Remote White with Black Cover Plate"),1,"")</f>
        <v/>
      </c>
      <c r="NR9" s="7" t="str">
        <f>IF(OR('Job Sheet'!R15="Somfy Single Channel Wall Mounted Smoove Remote White with Silver Cover Plate",'Job Sheet'!R15="Somfy 2 Channel Wall Mounted Smoove Remote White with Silver Cover Plate",'Job Sheet'!R15="Somfy 5 Channel Wall Mounted Smoove Remote White with Silver Cover Plate"),1,"")</f>
        <v/>
      </c>
      <c r="NS9" s="7" t="str">
        <f>IF(Bagging!I15="Charging Cable",1,"")</f>
        <v/>
      </c>
      <c r="NT9" s="7" t="str">
        <f>IF('Job Sheet'!N15="Connexoon App Connector",1,"")</f>
        <v/>
      </c>
      <c r="NU9" s="7" t="str">
        <f>IF('Job Sheet'!R15="Becker Single Channel White Remote",1,"")</f>
        <v/>
      </c>
      <c r="NV9" s="7" t="str">
        <f>IF('Job Sheet'!R15="Becker Single Channel Black Remote",1,"")</f>
        <v/>
      </c>
      <c r="NW9" s="7" t="str">
        <f>IF('Job Sheet'!R15="Becker 5 Channel White Remote",1,"")</f>
        <v/>
      </c>
      <c r="NX9" s="7" t="str">
        <f>IF('Job Sheet'!R15="Becker 5 Channel Black Remote",1,"")</f>
        <v/>
      </c>
      <c r="NY9" s="7" t="str">
        <f>IF('Job Sheet'!R15="Becker 10 Channel White Remote",1,"")</f>
        <v/>
      </c>
      <c r="NZ9" s="7" t="str">
        <f>IF('Job Sheet'!R15="Becker 10 Channel Black Remote",1,"")</f>
        <v/>
      </c>
      <c r="OA9" s="7" t="str">
        <f>IF('Job Sheet'!R15="Becker Wall Mounted Single Channel White Remote",1,"")</f>
        <v/>
      </c>
      <c r="OB9" s="7" t="str">
        <f>IF('Job Sheet'!R15="Becker Wall Mounted 5 Channel White Remote",1,"")</f>
        <v/>
      </c>
      <c r="OC9" s="7" t="str">
        <f>IF('Job Sheet'!R15="Wall Switch",1,"")</f>
        <v/>
      </c>
      <c r="OD9" s="7" t="str">
        <f t="shared" si="76"/>
        <v/>
      </c>
      <c r="OE9" s="7" t="str">
        <f t="shared" si="77"/>
        <v/>
      </c>
      <c r="OF9" s="7" t="str">
        <f t="shared" si="78"/>
        <v/>
      </c>
      <c r="OG9" s="7" t="str">
        <f t="shared" si="79"/>
        <v/>
      </c>
      <c r="OH9" s="7" t="str">
        <f t="shared" si="80"/>
        <v/>
      </c>
      <c r="OI9" s="7" t="str">
        <f t="shared" si="81"/>
        <v/>
      </c>
      <c r="OJ9" s="7" t="str">
        <f t="shared" si="82"/>
        <v/>
      </c>
      <c r="OK9" s="7" t="str">
        <f t="shared" si="83"/>
        <v/>
      </c>
      <c r="OL9" s="7" t="str">
        <f t="shared" si="36"/>
        <v/>
      </c>
      <c r="OM9" s="7" t="str">
        <f>IF(AND(OR('Tube Cutting'!J15="Square Cassette",'Tube Cutting'!J15="Square Cassette with Side Channels",'Tube Cutting'!J15="Square Cassette with Side &amp; Bottom Channels"),'Job Sheet'!L15="Chain Winder",'Job Sheet'!M15="Left"),1,"")</f>
        <v/>
      </c>
      <c r="ON9" s="7" t="str">
        <f>IF(AND(OR('Tube Cutting'!J15="Square Cassette",'Tube Cutting'!J15="Square Cassette with Side Channels",'Tube Cutting'!J15="Square Cassette with Side &amp; Bottom Channels"),'Job Sheet'!L15="Chain Winder",'Job Sheet'!M15="Right"),1,"")</f>
        <v/>
      </c>
      <c r="OO9" s="7" t="str">
        <f>IF(AND(OR('Tube Cutting'!J15="Round Cassette",'Tube Cutting'!J15="Round Cassette with Side Channels",'Tube Cutting'!J15="Round Cassette with Side &amp; Bottom Channels"),'Job Sheet'!L15="Chain Winder",'Job Sheet'!M15="Left"),1,"")</f>
        <v/>
      </c>
      <c r="OP9" s="7" t="str">
        <f>IF(AND(OR('Tube Cutting'!J15="Round Cassette",'Tube Cutting'!J15="Round Cassette with Side Channels",'Tube Cutting'!J15="Round Cassette with Side &amp; Bottom Channels"),'Job Sheet'!L15="Chain Winder",'Job Sheet'!M15="Right"),1,"")</f>
        <v/>
      </c>
      <c r="OQ9" s="7" t="str">
        <f>IF('Tube Cutting'!E15="D30 Bottom Rail with Noise Reducing Strip &amp; Fluffy Strip",'Tube Cutting'!D15,"")</f>
        <v/>
      </c>
      <c r="OR9" s="7" t="str">
        <f>Pelmets!L15</f>
        <v/>
      </c>
      <c r="OS9" s="7" t="str">
        <f>Pelmets!M15</f>
        <v/>
      </c>
      <c r="OT9" s="7" t="str">
        <f t="shared" si="37"/>
        <v/>
      </c>
      <c r="OU9" s="7" t="str">
        <f t="shared" si="38"/>
        <v/>
      </c>
      <c r="OV9" s="7" t="str">
        <f t="shared" si="39"/>
        <v/>
      </c>
      <c r="OW9" s="7" t="str">
        <f t="shared" si="40"/>
        <v/>
      </c>
      <c r="OX9" s="7" t="str">
        <f t="shared" si="41"/>
        <v/>
      </c>
      <c r="OY9" s="7" t="str">
        <f t="shared" si="42"/>
        <v/>
      </c>
      <c r="OZ9" s="7" t="str">
        <f t="shared" si="43"/>
        <v/>
      </c>
      <c r="PA9" s="7" t="str">
        <f t="shared" si="44"/>
        <v/>
      </c>
      <c r="PB9" s="7" t="str">
        <f>IF(AND('Job Sheet'!J15="Reveal",OR('Tube Cutting'!J15="Aluminium Valance",'Tube Cutting'!J15="Aluminium Valance - Fabric Covered")),VLOOKUP('Job Sheet'!G15,PelmetBrackets,2,TRUE),"")</f>
        <v/>
      </c>
      <c r="PC9" s="7" t="str">
        <f>IF(Pelmets!F15="1 x Valance Centre Join Bracket",1,"")</f>
        <v/>
      </c>
      <c r="PD9" s="7" t="str">
        <f>IF(AND(Pelmets!H15="Black",(OR('Tube Cutting'!J15="Aluminium Valance",'Tube Cutting'!J15="Aluminium Valance - Fabric Covered"))),1,"")</f>
        <v/>
      </c>
      <c r="PE9" s="7" t="str">
        <f>IF(AND(Pelmets!H15="White",(OR('Tube Cutting'!J15="Aluminium Valance",'Tube Cutting'!J15="Aluminium Valance - Fabric Covered"))),1,"")</f>
        <v/>
      </c>
      <c r="PF9" s="7" t="str">
        <f>IF(AND(Pelmets!H15="Cream",(OR('Tube Cutting'!J15="Aluminium Valance",'Tube Cutting'!J15="Aluminium Valance - Fabric Covered"))),1,"")</f>
        <v/>
      </c>
      <c r="PG9" s="7" t="str">
        <f>IF(AND(Pelmets!H15="Grey",(OR('Tube Cutting'!J15="Aluminium Valance",'Tube Cutting'!J15="Aluminium Valance - Fabric Covered"))),1,"")</f>
        <v/>
      </c>
      <c r="PH9" s="7" t="str">
        <f>IF('Job Sheet'!AA15="Aluminium Valance - Fabric Covered",AY9,"")</f>
        <v/>
      </c>
      <c r="PI9" s="7" t="str">
        <f t="shared" si="45"/>
        <v/>
      </c>
      <c r="PJ9" s="7" t="str">
        <f t="shared" si="46"/>
        <v/>
      </c>
      <c r="PK9" s="7" t="str">
        <f t="shared" si="47"/>
        <v/>
      </c>
      <c r="PL9" s="7" t="str">
        <f t="shared" si="48"/>
        <v/>
      </c>
      <c r="PM9" s="7" t="str">
        <f>IF('Tube Cutting'!J15="Aluminium Pelmet",Pelmets!F15,"")</f>
        <v/>
      </c>
      <c r="PN9" s="7" t="str">
        <f>IF('Job Sheet'!AA15="Mounting Rail",VLOOKUP('Job Sheet'!G15,PelmetBrackets,2,TRUE),"")</f>
        <v/>
      </c>
      <c r="PO9" s="7" t="str">
        <f>IF('Job Sheet'!AA15="Mounting Rail",4,"")</f>
        <v/>
      </c>
      <c r="PP9" s="7" t="str">
        <f>IF('Tube Cutting'!J15="Zipscreen Hooding",1,"")</f>
        <v/>
      </c>
      <c r="PQ9" s="7" t="str">
        <f>IF(AND(PP9=1,'Job Sheet'!AB15="White"),1,"")</f>
        <v/>
      </c>
      <c r="PR9" s="7" t="str">
        <f>IF(AND(PP9=1,'Job Sheet'!AB15="Black"),1,"")</f>
        <v/>
      </c>
      <c r="PS9" s="7" t="str">
        <f>IF(AND(PP9=1,'Job Sheet'!AB15="Grey"),1,"")</f>
        <v/>
      </c>
      <c r="PT9" s="7" t="str">
        <f>IF(AND(PP9=1,'Job Sheet'!L15="Chain Winder",'Job Sheet'!AV15="60mm"),1,"")</f>
        <v/>
      </c>
      <c r="PU9" s="7" t="str">
        <f t="shared" si="49"/>
        <v/>
      </c>
      <c r="PV9" s="7" t="str">
        <f t="shared" si="50"/>
        <v/>
      </c>
      <c r="PW9" s="7" t="str">
        <f t="shared" si="51"/>
        <v/>
      </c>
    </row>
    <row r="10" spans="4:439" s="7" customFormat="1" ht="12" customHeight="1">
      <c r="D10" s="7" t="str">
        <f>IF('Tube Cutting'!D16="","",CONCATENATE(Data!BC$5,".",Data!BD$5))</f>
        <v/>
      </c>
      <c r="E10" s="7" t="str">
        <f>IF(D10="","",Data!AW16)</f>
        <v/>
      </c>
      <c r="F10" s="7" t="str">
        <f>IF(D10="","",Data!AV16)</f>
        <v/>
      </c>
      <c r="G10" s="7" t="str">
        <f>IF(D10="","",Data!BF$5)</f>
        <v/>
      </c>
      <c r="H10" s="7" t="str">
        <f>IF(D10="","",Data!AX$5)</f>
        <v/>
      </c>
      <c r="I10" s="7" t="str">
        <f>'Job Sheet'!I16</f>
        <v/>
      </c>
      <c r="J10" s="7" t="str">
        <f t="shared" si="52"/>
        <v/>
      </c>
      <c r="K10" s="7" t="str">
        <f>'Fabric Cutting'!F16</f>
        <v/>
      </c>
      <c r="L10" s="7" t="str">
        <f>'Job Sheet'!AZ16</f>
        <v/>
      </c>
      <c r="M10" s="7" t="str">
        <f>IF('Tube Cutting'!C16="38mm",'Tube Cutting'!D16,"")</f>
        <v/>
      </c>
      <c r="N10" s="7" t="str">
        <f>IF('Tube Cutting'!C16="43mm",'Tube Cutting'!D16,"")</f>
        <v/>
      </c>
      <c r="O10" s="7" t="str">
        <f>IF('Tube Cutting'!C16="43mm H/D",'Tube Cutting'!D16,"")</f>
        <v/>
      </c>
      <c r="P10" s="7" t="str">
        <f>IF('Tube Cutting'!C16="60mm",'Tube Cutting'!D16,"")</f>
        <v/>
      </c>
      <c r="Q10" s="7" t="str">
        <f>IF('Tube Cutting'!C16="80mm",'Tube Cutting'!D16,"")</f>
        <v/>
      </c>
      <c r="R10" s="7" t="str">
        <f>IF(AND('Job Sheet'!BD16="Anodised Silver",(OR('Tube Cutting'!E16="D30 Bottom Rail",'Tube Cutting'!E16="D30 Bottom Rail with Noise Reducing Strip",'Tube Cutting'!E16="D30 Bottom Rail with Noise Reducing Strip &amp; Fluffy Strip",'Tube Cutting'!E16="Bottom Rail in Pocket",'Tube Cutting'!E16="Bottom Rail in Pocket with Round Cut Out",'Tube Cutting'!E16="Bottom Rail in Pocket with Square Cut Out"))),'Tube Cutting'!G16,"")</f>
        <v/>
      </c>
      <c r="S10" s="7" t="str">
        <f>IF(AND('Job Sheet'!BD16="White",(OR('Tube Cutting'!E16="D30 Bottom Rail",'Tube Cutting'!E16="D30 Bottom Rail with Noise Reducing Strip",'Tube Cutting'!E16="D30 Bottom Rail with Noise Reducing Strip &amp; Fluffy Strip",'Tube Cutting'!E16="Bottom Rail in Pocket",'Tube Cutting'!E16="Bottom Rail in Pocket with Round Cut Out",'Tube Cutting'!E16="Bottom Rail in Pocket with Square Cut Out"))),'Tube Cutting'!G16,"")</f>
        <v/>
      </c>
      <c r="T10" s="7" t="str">
        <f>IF(AND('Job Sheet'!BD16="Black",(OR('Tube Cutting'!E16="D30 Bottom Rail",'Tube Cutting'!E16="D30 Bottom Rail with Noise Reducing Strip",'Tube Cutting'!E16="D30 Bottom Rail with Noise Reducing Strip &amp; Fluffy Strip",'Tube Cutting'!E16="Bottom Rail in Pocket",'Tube Cutting'!E16="Bottom Rail in Pocket with Round Cut Out",'Tube Cutting'!E16="Bottom Rail in Pocket with Square Cut Out"))),'Tube Cutting'!G16,"")</f>
        <v/>
      </c>
      <c r="U10" s="7" t="str">
        <f>IF(AND('Job Sheet'!BD16="Sandstone",(OR('Tube Cutting'!E16="D30 Bottom Rail",'Tube Cutting'!E16="D30 Bottom Rail with Noise Reducing Strip",'Tube Cutting'!E16="D30 Bottom Rail with Noise Reducing Strip &amp; Fluffy Strip",'Tube Cutting'!E16="Bottom Rail in Pocket",'Tube Cutting'!E16="Bottom Rail in Pocket with Round Cut Out",'Tube Cutting'!E16="Bottom Rail in Pocket with Square Cut Out"))),'Tube Cutting'!G16,"")</f>
        <v/>
      </c>
      <c r="V10" s="7" t="str">
        <f>IF(AND('Job Sheet'!BD16="Bone",(OR('Tube Cutting'!E16="D30 Bottom Rail",'Tube Cutting'!E16="D30 Bottom Rail with Noise Reducing Strip",'Tube Cutting'!E16="D30 Bottom Rail with Noise Reducing Strip &amp; Fluffy Strip",'Tube Cutting'!E16="Bottom Rail in Pocket",'Tube Cutting'!E16="Bottom Rail in Pocket with Round Cut Out",'Tube Cutting'!E16="Bottom Rail in Pocket with Square Cut Out"))),'Tube Cutting'!G16,"")</f>
        <v/>
      </c>
      <c r="W10" s="7" t="str">
        <f t="shared" si="1"/>
        <v/>
      </c>
      <c r="X10" s="7" t="str">
        <f t="shared" si="53"/>
        <v/>
      </c>
      <c r="Y10" s="7" t="str">
        <f t="shared" si="54"/>
        <v/>
      </c>
      <c r="Z10" s="7" t="str">
        <f t="shared" si="55"/>
        <v/>
      </c>
      <c r="AA10" s="7" t="str">
        <f t="shared" si="56"/>
        <v/>
      </c>
      <c r="AB10" s="7" t="str">
        <f>IF('Tube Cutting'!H16="Timber",'Tube Cutting'!G16,IF(AND('Tube Cutting'!E16="Double Lath",'Tube Cutting'!H16="Timber"),'Tube Cutting'!G16*2,""))</f>
        <v/>
      </c>
      <c r="AC10" s="7" t="str">
        <f>IF('Tube Cutting'!I16="","",'Tube Cutting'!I16)</f>
        <v/>
      </c>
      <c r="AD10" s="7" t="str">
        <f>IF(AND('Tube Cutting'!J16="Aluminium Pelmet",'Tube Cutting'!K16="Anodised Silver"),'Tube Cutting'!L16,"")</f>
        <v/>
      </c>
      <c r="AE10" s="7" t="str">
        <f>IF(AND('Tube Cutting'!J16="Aluminium Pelmet",'Tube Cutting'!K16="White"),'Tube Cutting'!L16,"")</f>
        <v/>
      </c>
      <c r="AF10" s="7" t="str">
        <f>IF(AND('Tube Cutting'!J16="Aluminium Pelmet",'Tube Cutting'!K16="Black"),'Tube Cutting'!L16,"")</f>
        <v/>
      </c>
      <c r="AG10" s="7" t="str">
        <f>IF(AND('Tube Cutting'!J16="Aluminium Pelmet",'Tube Cutting'!K16="Cream"),'Tube Cutting'!L16,"")</f>
        <v/>
      </c>
      <c r="AH10" s="7" t="str">
        <f>IF(AND('Tube Cutting'!K16="Black",(OR('Tube Cutting'!J16="Square Cassette",'Tube Cutting'!J16="Round Cassette",'Tube Cutting'!J16="Square Cassette with Side Channels",'Tube Cutting'!J16="Square Cassette with Side &amp; Bottom Channels",'Tube Cutting'!J16="Round Cassette with Side Channels",'Tube Cutting'!J16="Round Cassette with Side &amp; Bottom Channels"))),'Tube Cutting'!L16,"")</f>
        <v/>
      </c>
      <c r="AI10" s="7" t="str">
        <f>IF(AND('Tube Cutting'!K16="White",(OR('Tube Cutting'!J16="Square Cassette",'Tube Cutting'!J16="Round Cassette",'Tube Cutting'!J16="Square Cassette with Side Channels",'Tube Cutting'!J16="Square Cassette with Side &amp; Bottom Channels",'Tube Cutting'!J16="Round Cassette with Side Channels",'Tube Cutting'!J16="Round Cassette with Side &amp; Bottom Channels"))),'Tube Cutting'!L16,"")</f>
        <v/>
      </c>
      <c r="AJ10" s="7" t="str">
        <f>IF(AND('Tube Cutting'!K16="Cream",(OR('Tube Cutting'!J16="Square Cassette",'Tube Cutting'!J16="Round Cassette",'Tube Cutting'!J16="Square Cassette with Side Channels",'Tube Cutting'!J16="Square Cassette with Side &amp; Bottom Channels",'Tube Cutting'!J16="Round Cassette with Side Channels",'Tube Cutting'!J16="Round Cassette with Side &amp; Bottom Channels"))),'Tube Cutting'!L16,"")</f>
        <v/>
      </c>
      <c r="AK10" s="7" t="str">
        <f>IF(AND('Tube Cutting'!K16="Anodised Silver",(OR('Tube Cutting'!J16="Square Cassette",'Tube Cutting'!J16="Round Cassette",'Tube Cutting'!J16="Square Cassette with Side Channels",'Tube Cutting'!J16="Square Cassette with Side &amp; Bottom Channels",'Tube Cutting'!J16="Round Cassette with Side Channels",'Tube Cutting'!J16="Round Cassette with Side &amp; Bottom Channels"))),'Tube Cutting'!L16,"")</f>
        <v/>
      </c>
      <c r="AL10" s="7" t="str">
        <f>IF(AND('Tube Cutting'!K16="White",(OR('Tube Cutting'!J16="Square Cassette",'Tube Cutting'!J16="Square Cassette with Side Channels",'Tube Cutting'!J16="Square Cassette with Side &amp; Bottom Channels"))),'Tube Cutting'!M16,"")</f>
        <v/>
      </c>
      <c r="AM10" s="7" t="str">
        <f>IF(AND('Tube Cutting'!K16="Black",(OR('Tube Cutting'!J16="Square Cassette",'Tube Cutting'!J16="Square Cassette with Side Channels",'Tube Cutting'!J16="Square Cassette with Side &amp; Bottom Channels"))),'Tube Cutting'!M16,"")</f>
        <v/>
      </c>
      <c r="AN10" s="7" t="str">
        <f>IF(AND('Tube Cutting'!K16="Cream",(OR('Tube Cutting'!J16="Square Cassette",'Tube Cutting'!J16="Square Cassette with Side Channels",'Tube Cutting'!J16="Square Cassette with Side &amp; Bottom Channels"))),'Tube Cutting'!M16,"")</f>
        <v/>
      </c>
      <c r="AO10" s="7" t="str">
        <f>IF(AND('Tube Cutting'!K16="Anodised Silver",(OR('Tube Cutting'!J16="Square Cassette",'Tube Cutting'!J16="Square Cassette with Side Channels",'Tube Cutting'!J16="Square Cassette with Side &amp; Bottom Channels"))),'Tube Cutting'!M16,"")</f>
        <v/>
      </c>
      <c r="AP10" s="7" t="str">
        <f>IF(AND('Tube Cutting'!K16="White",(OR('Tube Cutting'!J16="Round Cassette",'Tube Cutting'!J16="Round Cassette with Side Channels",'Tube Cutting'!J16="Round Cassette with Side &amp; Bottom Channels"))),'Tube Cutting'!M16,"")</f>
        <v/>
      </c>
      <c r="AQ10" s="7" t="str">
        <f>IF(AND('Tube Cutting'!K16="Black",(OR('Tube Cutting'!J16="Round Cassette",'Tube Cutting'!J16="Round Cassette with Side Channels",'Tube Cutting'!J16="Round Cassette with Side &amp; Bottom Channels"))),'Tube Cutting'!M16,"")</f>
        <v/>
      </c>
      <c r="AR10" s="7" t="str">
        <f>IF(AND('Tube Cutting'!K16="Cream",(OR('Tube Cutting'!J16="Round Cassette",'Tube Cutting'!J16="Round Cassette with Side Channels",'Tube Cutting'!J16="Round Cassette with Side &amp; Bottom Channels"))),'Tube Cutting'!M16,"")</f>
        <v/>
      </c>
      <c r="AS10" s="7" t="str">
        <f>IF(AND('Tube Cutting'!K16="Anodised Silver",(OR('Tube Cutting'!J16="Round Cassette",'Tube Cutting'!J16="Round Cassette with Side Channels",'Tube Cutting'!J16="Round Cassette with Side &amp; Bottom Channels"))),'Tube Cutting'!M16,"")</f>
        <v/>
      </c>
      <c r="AT10" s="7" t="str">
        <f>IF(AND('Tube Cutting'!K16="White",(OR('Tube Cutting'!J16="Square Cassette with Side Channels",'Tube Cutting'!J16="Round Cassette with Side Channels",'Tube Cutting'!J16="Side Channels"))),CONCATENATE('Job Sheet'!H16-VLOOKUP(CONCATENATE('Job Sheet'!AA16,'Job Sheet'!J16,'Job Sheet'!AR16),PelmetDeduct,5,FALSE))*2,IF(AND('Tube Cutting'!K16="White",(OR('Tube Cutting'!J16="Square Cassette with Side &amp; Bottom Channels",'Tube Cutting'!J16="Round Cassette with Side &amp; Bottom Channels"))),CONCATENATE(('Job Sheet'!H16-VLOOKUP(CONCATENATE('Job Sheet'!AA16,'Job Sheet'!J16,'Job Sheet'!AR16),PelmetDeduct,5,FALSE))*2)+'Job Sheet'!BA16-110,""))</f>
        <v/>
      </c>
      <c r="AU10" s="7" t="str">
        <f>IF(AND('Tube Cutting'!K16="Black",(OR('Tube Cutting'!J16="Square Cassette with Side Channels",'Tube Cutting'!J16="Round Cassette with Side Channels",'Tube Cutting'!J16="Side Channels"))),CONCATENATE('Job Sheet'!H16-VLOOKUP(CONCATENATE('Job Sheet'!AA16,'Job Sheet'!J16,'Job Sheet'!AR16),PelmetDeduct,5,FALSE))*2,IF(AND('Tube Cutting'!K16="Black",(OR('Tube Cutting'!J16="Square Cassette with Side &amp; Bottom Channels",'Tube Cutting'!J16="Round Cassette with Side &amp; Bottom Channels"))),CONCATENATE(('Job Sheet'!H16-VLOOKUP(CONCATENATE('Job Sheet'!AA16,'Job Sheet'!J16,'Job Sheet'!AR16),PelmetDeduct,5,FALSE))*2)+'Job Sheet'!BA16-110,""))</f>
        <v/>
      </c>
      <c r="AV10" s="7" t="str">
        <f>IF(AND('Tube Cutting'!K16="Cream",(OR('Tube Cutting'!J16="Square Cassette with Side Channels",'Tube Cutting'!J16="Round Cassette with Side Channels",'Tube Cutting'!J16="Side Channels"))),CONCATENATE('Job Sheet'!H16-VLOOKUP(CONCATENATE('Job Sheet'!AA16,'Job Sheet'!J16,'Job Sheet'!AR16),PelmetDeduct,5,FALSE))*2,IF(AND('Tube Cutting'!K16="Cream",(OR('Tube Cutting'!J16="Square Cassette with Side &amp; Bottom Channels",'Tube Cutting'!J16="Round Cassette with Side &amp; Bottom Channels"))),CONCATENATE(('Job Sheet'!H16-VLOOKUP(CONCATENATE('Job Sheet'!AA16,'Job Sheet'!J16,'Job Sheet'!AR16),PelmetDeduct,5,FALSE))*2)+'Job Sheet'!BA16-110,""))</f>
        <v/>
      </c>
      <c r="AW10" s="7" t="str">
        <f>IF(AND('Tube Cutting'!K16="Anodised Silver",(OR('Tube Cutting'!J16="Square Cassette with Side Channels",'Tube Cutting'!J16="Round Cassette with Side Channels",'Tube Cutting'!J16="Side Channels"))),CONCATENATE('Job Sheet'!H16-VLOOKUP(CONCATENATE('Job Sheet'!AA16,'Job Sheet'!J16,'Job Sheet'!AR16),PelmetDeduct,5,FALSE))*2,IF(AND('Tube Cutting'!K16="Anodised Silver",(OR('Tube Cutting'!J16="Square Cassette with Side &amp; Bottom Channels",'Tube Cutting'!J16="Round Cassette with Side &amp; Bottom Channels"))),CONCATENATE(('Job Sheet'!H16-VLOOKUP(CONCATENATE('Job Sheet'!AA16,'Job Sheet'!J16,'Job Sheet'!AR16),PelmetDeduct,5,FALSE))*2)+'Job Sheet'!BA16-110,""))</f>
        <v/>
      </c>
      <c r="AX10" s="7" t="str">
        <f>IF('Tube Cutting'!J16="Aluminium Valance - Fabric Covered",'Tube Cutting'!M16,"")</f>
        <v/>
      </c>
      <c r="AY10" s="7" t="str">
        <f>IF(AND('Tube Cutting'!K16="White",'Tube Cutting'!J16="Aluminium Valance"),'Tube Cutting'!M16,"")</f>
        <v/>
      </c>
      <c r="AZ10" s="7" t="str">
        <f>IF(AND('Tube Cutting'!K16="Black",'Tube Cutting'!J16="Aluminium Valance"),'Tube Cutting'!M16,"")</f>
        <v/>
      </c>
      <c r="BA10" s="7" t="str">
        <f>IF(AND('Tube Cutting'!K16="Anodised Silver",'Tube Cutting'!J16="Aluminium Valance"),'Tube Cutting'!M16,"")</f>
        <v/>
      </c>
      <c r="BB10" s="7" t="str">
        <f>'Tube Cutting'!O16</f>
        <v/>
      </c>
      <c r="BC10" s="7" t="str">
        <f>IF('Tube Cutting'!J16="Zipscreen Hooding",'Tube Cutting'!L16,"")</f>
        <v/>
      </c>
      <c r="BD10" s="7" t="str">
        <f>IF('Tube Cutting'!J16="Zipscreen Hooding",'Tube Cutting'!M16,"")</f>
        <v/>
      </c>
      <c r="BE10" s="7" t="str">
        <f>IF(AND('Assembly(b)'!E16="38mm",'Job Sheet'!BE16="White",'Assembly(b)'!F16="Chain Winder"),1,"")</f>
        <v/>
      </c>
      <c r="BF10" s="7" t="str">
        <f>IF(AND('Assembly(b)'!E16="38mm",'Job Sheet'!BE16="Black",'Assembly(b)'!F16="Chain Winder"),1,"")</f>
        <v/>
      </c>
      <c r="BG10" s="7" t="str">
        <f>IF(AND('Assembly(b)'!E16="38mm",'Job Sheet'!BE16="Birch White",'Job Sheet'!L16="Chain Winder"),1,"")</f>
        <v/>
      </c>
      <c r="BH10" s="7" t="str">
        <f>IF(AND('Assembly(b)'!E16="38mm",'Job Sheet'!BE16="Grey",'Assembly(b)'!F16="Chain Winder"),1,"")</f>
        <v/>
      </c>
      <c r="BI10" s="7" t="str">
        <f>IF(AND('Assembly(b)'!E16="38mm",'Job Sheet'!BE16="Beige",'Assembly(b)'!F16="Chain Winder"),1,"")</f>
        <v/>
      </c>
      <c r="BJ10" s="7" t="str">
        <f>IF(AND('Assembly(b)'!E16="38mm",'Job Sheet'!BE16="White",'Assembly(b)'!F16="Chain Winder Fixed Guide"),1,"")</f>
        <v/>
      </c>
      <c r="BK10" s="7" t="str">
        <f>IF(AND('Assembly(b)'!E16="38mm",'Job Sheet'!BE16="Black",'Assembly(b)'!F16="Chain Winder Fixed Guide"),1,"")</f>
        <v/>
      </c>
      <c r="BL10" s="7" t="str">
        <f>IF(AND('Assembly(b)'!E16="38mm",'Job Sheet'!BE16="Birch White",'Assembly(b)'!F16="Chain Winder Fixed Guide"),1,"")</f>
        <v/>
      </c>
      <c r="BM10" s="7" t="str">
        <f>IF(AND('Assembly(b)'!E16="38mm",'Job Sheet'!BE16="Grey",'Assembly(b)'!F16="Chain Winder Fixed Guide"),1,"")</f>
        <v/>
      </c>
      <c r="BN10" s="7" t="str">
        <f>IF(AND('Assembly(b)'!E16="38mm",'Job Sheet'!BE16="Beige",'Assembly(b)'!F16="Chain Winder Fixed Guide"),1,"")</f>
        <v/>
      </c>
      <c r="BO10" s="7" t="str">
        <f>IF(AND('Job Sheet'!BE16="White",'Assembly(b)'!F16="Chain Winder",(OR('Assembly(b)'!E16="43mm",'Assembly(b)'!E16="43mm H/D"))),1,"")</f>
        <v/>
      </c>
      <c r="BP10" s="7" t="str">
        <f>IF(AND('Job Sheet'!BE16="Black",'Assembly(b)'!F16="Chain Winder",(OR('Assembly(b)'!E16="43mm",'Assembly(b)'!E16="43mm H/D"))),1,"")</f>
        <v/>
      </c>
      <c r="BQ10" s="7" t="str">
        <f>IF(AND('Job Sheet'!BE16="Birch White",'Assembly(b)'!F16="Chain Winder",(OR('Assembly(b)'!E16="43mm",'Assembly(b)'!E16="43mm H/D"))),1,"")</f>
        <v/>
      </c>
      <c r="BR10" s="7" t="str">
        <f>IF(AND('Job Sheet'!BE16="Grey",'Assembly(b)'!F16="Chain Winder",(OR('Assembly(b)'!E16="43mm",'Assembly(b)'!E16="43mm H/D"))),1,"")</f>
        <v/>
      </c>
      <c r="BS10" s="7" t="str">
        <f>IF(AND('Job Sheet'!BE16="Beige",'Assembly(b)'!F16="Chain Winder",(OR('Assembly(b)'!E16="43mm",'Assembly(b)'!E16="43mm H/D"))),1,"")</f>
        <v/>
      </c>
      <c r="BT10" s="7" t="str">
        <f>IF(AND('Job Sheet'!BE16="White",'Assembly(b)'!F16="Chain Winder Fixed Guide",(OR('Assembly(b)'!E16="43mm",'Assembly(b)'!E16="43mm H/D"))),1,"")</f>
        <v/>
      </c>
      <c r="BU10" s="7" t="str">
        <f>IF(AND('Job Sheet'!BE16="Black",'Assembly(b)'!F16="Chain Winder Fixed Guide",(OR('Assembly(b)'!E16="43mm",'Assembly(b)'!E16="43mm H/D"))),1,"")</f>
        <v/>
      </c>
      <c r="BV10" s="7" t="str">
        <f>IF(AND('Job Sheet'!BE16="Birch White",'Assembly(b)'!F16="Chain Winder Fixed Guide",(OR('Assembly(b)'!E16="43mm",'Assembly(b)'!E16="43mm H/D"))),1,"")</f>
        <v/>
      </c>
      <c r="BW10" s="7" t="str">
        <f>IF(AND('Job Sheet'!BE16="Grey",'Assembly(b)'!F16="Chain Winder Fixed Guide",(OR('Assembly(b)'!E16="43mm",'Assembly(b)'!E16="43mm H/D"))),1,"")</f>
        <v/>
      </c>
      <c r="BX10" s="7" t="str">
        <f>IF(AND('Job Sheet'!BE16="Beige",'Assembly(b)'!F16="Chain Winder Fixed Guide",(OR('Assembly(b)'!E16="43mm",'Assembly(b)'!E16="43mm H/D"))),1,"")</f>
        <v/>
      </c>
      <c r="BY10" s="7" t="str">
        <f>IF(Data!AV16="","",IF(AND('Job Sheet'!BE16="White",VLOOKUP('Job Sheet'!AR16,ControlDeduct,3,FALSE)="Yes"),1,""))</f>
        <v/>
      </c>
      <c r="BZ10" s="7" t="str">
        <f>IF(Data!AV16="","",IF(AND('Job Sheet'!BE16="Black",VLOOKUP('Job Sheet'!AR16,ControlDeduct,3,FALSE)="Yes"),1,""))</f>
        <v/>
      </c>
      <c r="CA10" s="7" t="str">
        <f>IF(Data!AV16="","",IF(AND('Job Sheet'!BE16="Birch White",VLOOKUP('Job Sheet'!AR16,ControlDeduct,3,FALSE)="Yes"),1,""))</f>
        <v/>
      </c>
      <c r="CB10" s="7" t="str">
        <f>IF(Data!AV16="","",IF(AND('Job Sheet'!BE16="Grey",VLOOKUP('Job Sheet'!AR16,ControlDeduct,3,FALSE)="Yes"),1,""))</f>
        <v/>
      </c>
      <c r="CC10" s="7" t="str">
        <f>IF(Data!AV16="","",IF(AND('Job Sheet'!BE16="Beige",VLOOKUP('Job Sheet'!AR16,ControlDeduct,3,FALSE)="Yes"),1,""))</f>
        <v/>
      </c>
      <c r="CD10" s="7" t="str">
        <f>IF(AND('Job Sheet'!BE16="White",(OR(Bagging!D16="Single",Bagging!D16="Single with Covers",Bagging!D16="Single &amp; Single Linked"))),1,"")</f>
        <v/>
      </c>
      <c r="CE10" s="7" t="str">
        <f>IF(AND('Job Sheet'!BE16="Black",(OR(Bagging!D16="Single",Bagging!D16="Single with Covers",Bagging!D16="Single &amp; Single Linked"))),1,"")</f>
        <v/>
      </c>
      <c r="CF10" s="7" t="str">
        <f>IF(AND('Job Sheet'!BE16="Birch White",(OR(Bagging!D16="Single",Bagging!D16="Single with Covers",Bagging!D16="Single &amp; Single Linked"))),1,"")</f>
        <v/>
      </c>
      <c r="CG10" s="7" t="str">
        <f>IF(AND('Job Sheet'!BE16="Grey",(OR(Bagging!D16="Single",Bagging!D16="Single with Covers",Bagging!D16="Single &amp; Single Linked"))),1,"")</f>
        <v/>
      </c>
      <c r="CH10" s="7" t="str">
        <f>IF(AND('Job Sheet'!BE16="Beige",(OR(Bagging!D16="Single",Bagging!D16="Single with Covers",Bagging!D16="Single &amp; Single Linked"))),1,"")</f>
        <v/>
      </c>
      <c r="CI10" s="7" t="str">
        <f>IF(AND('Job Sheet'!BE16="White",(OR(Bagging!D16="Single Extension",Bagging!D16="Single Extension with Extension Covers",Bagging!D16="Single Extension &amp; Single Extension Linked",Bagging!D16="Single Extension with Extension Covers &amp; Single Extension Linked"))),1,"")</f>
        <v/>
      </c>
      <c r="CJ10" s="7" t="str">
        <f>IF(AND('Job Sheet'!BE16="Black",(OR(Bagging!D16="Single Extension",Bagging!D16="Single Extension with Extension Covers",Bagging!D16="Single Extension &amp; Single Extension Linked",Bagging!D16="Single Extension with Extension Covers &amp; Single Extension Linked"))),1,"")</f>
        <v/>
      </c>
      <c r="CK10" s="7" t="str">
        <f>IF(AND('Job Sheet'!BE16="Birch White",(OR(Bagging!D16="Single Extension",Bagging!D16="Single Extension with Extension Covers",Bagging!D16="Single Extension &amp; Single Extension Linked",Bagging!D16="Single Extension with Extension Covers &amp; Single Extension Linked"))),1,"")</f>
        <v/>
      </c>
      <c r="CL10" s="7" t="str">
        <f>IF(AND('Job Sheet'!BE16="Grey",(OR(Bagging!D16="Single Extension",Bagging!D16="Single Extension with Extension Covers",Bagging!D16="Single Extension &amp; Single Extension Linked",Bagging!D16="Single Extension with Extension Covers &amp; Single Extension Linked"))),1,"")</f>
        <v/>
      </c>
      <c r="CM10" s="7" t="str">
        <f>IF(AND('Job Sheet'!BE16="Beige",(OR(Bagging!D16="Single Extension",Bagging!D16="Single Extension with Extension Covers",Bagging!D16="Single Extension &amp; Single Extension Linked",Bagging!D16="Single Extension with Extension Covers &amp; Single Extension Linked"))),1,"")</f>
        <v/>
      </c>
      <c r="CN10" s="7" t="str">
        <f>IF(AND('Job Sheet'!BE16="White",(OR(Bagging!D16="Single Motor Brackets",Bagging!D16="Single Motor Brackets with Covers"))),1,"")</f>
        <v/>
      </c>
      <c r="CO10" s="7" t="str">
        <f>IF(AND('Job Sheet'!BE16="Black",(OR(Bagging!D16="Single Motor Brackets",Bagging!D16="Single Motor Brackets with Covers"))),1,"")</f>
        <v/>
      </c>
      <c r="CP10" s="7" t="str">
        <f>IF(AND('Job Sheet'!BE16="White",(OR(Bagging!D16="Single Motor Extension Brackets",Bagging!D16="Single Motor Extension Brackets with Extension Covers"))),1,"")</f>
        <v/>
      </c>
      <c r="CQ10" s="7" t="str">
        <f>IF(AND('Job Sheet'!BE16="Black",(OR(Bagging!D16="Single Motor Extension Brackets",Bagging!D16="Single Motor Extension Brackets with Extension Covers"))),1,"")</f>
        <v/>
      </c>
      <c r="CR10" s="7" t="str">
        <f>IF(AND('Job Sheet'!BE16="White",OR(Bagging!D16="Single with Covers",Bagging!D16="Single Motor Brackets with Covers")),1,"")</f>
        <v/>
      </c>
      <c r="CS10" s="7" t="str">
        <f>IF(AND('Job Sheet'!BE16="Black",OR(Bagging!D16="Single with Covers",Bagging!D16="Single Motor Brackets with Covers")),1,"")</f>
        <v/>
      </c>
      <c r="CT10" s="7" t="str">
        <f>IF(AND('Job Sheet'!BE16="Birch White",OR(Bagging!D16="Single with Covers",Bagging!D16="Single Motor Brackets with Covers")),1,"")</f>
        <v/>
      </c>
      <c r="CU10" s="7" t="str">
        <f>IF(AND('Job Sheet'!BE16="Grey",OR(Bagging!D16="Single with Covers",Bagging!D16="Single Motor Brackets with Covers")),1,"")</f>
        <v/>
      </c>
      <c r="CV10" s="7" t="str">
        <f>IF(AND('Job Sheet'!BE16="Beige",OR(Bagging!D16="Single with Covers",Bagging!D16="Single Motor Brackets with Covers")),1,"")</f>
        <v/>
      </c>
      <c r="CW10" s="7" t="str">
        <f>IF(AND('Job Sheet'!BE16="White",OR(Bagging!D16="Single Extension with Extension Covers",Bagging!D16="Single Motor Extension Brackets with Extension Covers",Bagging!D16="Single Extension with Extension Covers &amp; Single Extension Linked")),1,"")</f>
        <v/>
      </c>
      <c r="CX10" s="7" t="str">
        <f>IF(AND('Job Sheet'!BE16="Black",OR(Bagging!D16="Single Extension with Extension Covers",Bagging!D16="Single Motor Extension Brackets with Extension Covers",Bagging!D16="Single Extension with Extension Covers &amp; Single Extension Linked")),1,"")</f>
        <v/>
      </c>
      <c r="CY10" s="7" t="str">
        <f>IF(AND('Job Sheet'!BE16="Birch White",OR(Bagging!D16="Single Extension with Extension Covers",Bagging!D16="Single Motor Extension Brackets with Extension Covers",Bagging!D16="Single Extension with Extension Covers &amp; Single Extension Linked")),1,"")</f>
        <v/>
      </c>
      <c r="CZ10" s="7" t="str">
        <f>IF(AND('Job Sheet'!BE16="Grey",OR(Bagging!D16="Single Extension with Extension Covers",Bagging!D16="Single Motor Extension Brackets with Extension Covers",Bagging!D16="Single Extension with Extension Covers &amp; Single Extension Linked")),1,"")</f>
        <v/>
      </c>
      <c r="DA10" s="7" t="str">
        <f>IF(AND('Job Sheet'!BE16="Beige",OR(Bagging!D16="Single Extension with Extension Covers",Bagging!D16="Single Motor Extension Brackets with Extension Covers",Bagging!D16="Single Extension with Extension Covers &amp; Single Extension Linked")),1,"")</f>
        <v/>
      </c>
      <c r="DB10" s="7" t="str">
        <f>IF(AND(Bagging!D16="Dual Opposite Side",'Job Sheet'!BE16="White"),1,"")</f>
        <v/>
      </c>
      <c r="DC10" s="7" t="str">
        <f>IF(AND(Bagging!D16="Dual Opposite Side",'Job Sheet'!BE16="Black"),1,"")</f>
        <v/>
      </c>
      <c r="DD10" s="7" t="str">
        <f>IF(AND(Bagging!D16="Dual Opposite Side",'Job Sheet'!BE16="Birch White"),1,"")</f>
        <v/>
      </c>
      <c r="DE10" s="7" t="str">
        <f>IF(AND(Bagging!D16="Dual Opposite Side",'Job Sheet'!BE16="Grey"),1,"")</f>
        <v/>
      </c>
      <c r="DF10" s="7" t="str">
        <f>IF(AND(Bagging!D16="Dual Opposite Side",'Job Sheet'!BE16="Beige"),1,"")</f>
        <v/>
      </c>
      <c r="DG10" s="7" t="str">
        <f>IF(AND('Job Sheet'!BE16="White",(OR(Bagging!D16="Dual Same Side",Bagging!D16="Dual Same Side &amp; Dual Linked"))),1,"")</f>
        <v/>
      </c>
      <c r="DH10" s="7" t="str">
        <f>IF(AND('Job Sheet'!BE16="Black",(OR(Bagging!D16="Dual Same Side",Bagging!D16="Dual Same Side &amp; Dual Linked"))),1,"")</f>
        <v/>
      </c>
      <c r="DI10" s="7" t="str">
        <f>IF(AND('Job Sheet'!BE16="Birch White",(OR(Bagging!D16="Dual Same Side",Bagging!D16="Dual Same Side &amp; Dual Linked"))),1,"")</f>
        <v/>
      </c>
      <c r="DJ10" s="7" t="str">
        <f>IF(AND('Job Sheet'!BE16="Grey",(OR(Bagging!D16="Dual Same Side",Bagging!D16="Dual Same Side &amp; Dual Linked"))),1,"")</f>
        <v/>
      </c>
      <c r="DK10" s="7" t="str">
        <f>IF(AND('Job Sheet'!BE16="Beige",(OR(Bagging!D16="Dual Same Side",Bagging!D16="Dual Same Side &amp; Dual Linked"))),1,"")</f>
        <v/>
      </c>
      <c r="DL10" s="7" t="str">
        <f>IF(AND('Job Sheet'!BE16="White",(OR(Bagging!D16="Slimline Dual Top Blind Front Roll LHS Control",Bagging!D16="Slimline Dual Top Blind Front Roll LHS Control &amp; Dual Slimline Linked Top Blind Front Roll"))),1,"")</f>
        <v/>
      </c>
      <c r="DM10" s="7" t="str">
        <f>IF(AND('Job Sheet'!BE16="White",(OR(Bagging!D16="Slimline Dual Top Blind Front Roll RHS Control",Bagging!D16="Slimline Dual Top Blind Front Roll RHS Control &amp; Dual Slimline Linked Top Blind Front Roll"))),1,"")</f>
        <v/>
      </c>
      <c r="DN10" s="7" t="str">
        <f>IF(AND('Job Sheet'!BE16="Black",(OR(Bagging!D16="Slimline Dual Top Blind Front Roll LHS Control",Bagging!D16="Slimline Dual Top Blind Front Roll LHS Control &amp; Dual Slimline Linked Top Blind Front Roll"))),1,"")</f>
        <v/>
      </c>
      <c r="DO10" s="7" t="str">
        <f>IF(AND('Job Sheet'!BE16="Black",(OR(Bagging!D16="Slimline Dual Top Blind Front Roll RHS Control",Bagging!D16="Slimline Dual Top Blind Front Roll RHS Control &amp; Dual Slimline Linked Top Blind Front Roll"))),1,"")</f>
        <v/>
      </c>
      <c r="DP10" s="7" t="str">
        <f>IF(AND('Job Sheet'!BE16="Birch White",(OR(Bagging!D16="Slimline Dual Top Blind Front Roll LHS Control",Bagging!D16="Slimline Dual Top Blind Front Roll LHS Control &amp; Dual Slimline Linked Top Blind Front Roll"))),1,"")</f>
        <v/>
      </c>
      <c r="DQ10" s="7" t="str">
        <f>IF(AND('Job Sheet'!BE16="Birch White",(OR(Bagging!D16="Slimline Dual Top Blind Front Roll RHS Control",Bagging!D16="Slimline Dual Top Blind Front Roll RHS Control &amp; Dual Slimline Linked Top Blind Front Roll"))),1,"")</f>
        <v/>
      </c>
      <c r="DR10" s="7" t="str">
        <f>IF(AND('Job Sheet'!BE16="Grey",(OR(Bagging!D16="Slimline Dual Top Blind Front Roll LHS Control",Bagging!D16="Slimline Dual Top Blind Front Roll LHS Control &amp; Dual Slimline Linked Top Blind Front Roll"))),1,"")</f>
        <v/>
      </c>
      <c r="DS10" s="7" t="str">
        <f>IF(AND('Job Sheet'!BE16="Grey",(OR(Bagging!D16="Slimline Dual Top Blind Front Roll RHS Control",Bagging!D16="Slimline Dual Top Blind Front Roll RHS Control &amp; Dual Slimline Linked Top Blind Front Roll"))),1,"")</f>
        <v/>
      </c>
      <c r="DT10" s="7" t="str">
        <f>IF(AND('Job Sheet'!BE16="Beige",(OR(Bagging!D16="Slimline Dual Top Blind Front Roll LHS Control",Bagging!D16="Slimline Dual Top Blind Front Roll LHS Control &amp; Dual Slimline Linked Top Blind Front Roll"))),1,"")</f>
        <v/>
      </c>
      <c r="DU10" s="7" t="str">
        <f>IF(AND('Job Sheet'!BE16="Beige",(OR(Bagging!D16="Slimline Dual Top Blind Front Roll RHS Control",Bagging!D16="Slimline Dual Top Blind Front Roll RHS Control &amp; Dual Slimline Linked Top Blind Front Roll"))),1,"")</f>
        <v/>
      </c>
      <c r="DV10" s="7" t="str">
        <f>IF(AND('Job Sheet'!BE16="White",(OR(Bagging!D16="Slimline Dual Top Blind Back Roll LHS Control",Bagging!D16="Slimline Dual Top Blind Back Roll LHS Control &amp; Dual Slimline Linked Top Blind Back Roll"))),1,"")</f>
        <v/>
      </c>
      <c r="DW10" s="7" t="str">
        <f>IF(AND('Job Sheet'!BE16="White",(OR(Bagging!D16="Slimline Dual Top Blind Back Roll RHS Control",Bagging!D16="Slimline Dual Top Blind Back Roll LHS Control &amp; Dual Slimline Linked Top Blind Back Roll"))),1,"")</f>
        <v/>
      </c>
      <c r="DX10" s="7" t="str">
        <f>IF(AND('Job Sheet'!BE16="Black",(OR(Bagging!D16="Slimline Dual Top Blind Back Roll LHS Control",Bagging!D16="Slimline Dual Top Blind Back Roll LHS Control &amp; Dual Slimline Linked Top Blind Back Roll"))),1,"")</f>
        <v/>
      </c>
      <c r="DY10" s="7" t="str">
        <f>IF(AND('Job Sheet'!BE16="Black",(OR(Bagging!D16="Slimline Dual Top Blind Back Roll RHS Control",Bagging!D16="Slimline Dual Top Blind Back Roll LHS Control &amp; Dual Slimline Linked Top Blind Back Roll"))),1,"")</f>
        <v/>
      </c>
      <c r="DZ10" s="7" t="str">
        <f>IF(AND('Job Sheet'!BE16="Birch White",(OR(Bagging!D16="Slimline Dual Top Blind Back Roll LHS Control",Bagging!D16="Slimline Dual Top Blind Back Roll LHS Control &amp; Dual Slimline Linked Top Blind Back Roll"))),1,"")</f>
        <v/>
      </c>
      <c r="EA10" s="7" t="str">
        <f>IF(AND('Job Sheet'!BE16="Birch White",(OR(Bagging!D16="Slimline Dual Top Blind Back Roll RHS Control",Bagging!D16="Slimline Dual Top Blind Back Roll LHS Control &amp; Dual Slimline Linked Top Blind Back Roll"))),1,"")</f>
        <v/>
      </c>
      <c r="EB10" s="7" t="str">
        <f>IF(AND('Job Sheet'!BE16="Grey",(OR(Bagging!D16="Slimline Dual Top Blind Back Roll LHS Control",Bagging!D16="Slimline Dual Top Blind Back Roll LHS Control &amp; Dual Slimline Linked Top Blind Back Roll"))),1,"")</f>
        <v/>
      </c>
      <c r="EC10" s="7" t="str">
        <f>IF(AND('Job Sheet'!BE16="Grey",(OR(Bagging!D16="Slimline Dual Top Blind Back Roll RHS Control",Bagging!D16="Slimline Dual Top Blind Back Roll LHS Control &amp; Dual Slimline Linked Top Blind Back Roll"))),1,"")</f>
        <v/>
      </c>
      <c r="ED10" s="7" t="str">
        <f>IF(AND('Job Sheet'!BE16="Beige",(OR(Bagging!D16="Slimline Dual Top Blind Back Roll LHS Control",Bagging!D16="Slimline Dual Top Blind Back Roll LHS Control &amp; Dual Slimline Linked Top Blind Back Roll"))),1,"")</f>
        <v/>
      </c>
      <c r="EE10" s="7" t="str">
        <f>IF(AND('Job Sheet'!BE16="Beige",(OR(Bagging!D16="Slimline Dual Top Blind Back Roll RHS Control",Bagging!D16="Slimline Dual Top Blind Back Roll LHS Control &amp; Dual Slimline Linked Top Blind Back Roll"))),1,"")</f>
        <v/>
      </c>
      <c r="EF10" s="7" t="str">
        <f>IF(AND('Job Sheet'!BE16="White",(OR(Bagging!D16="Linked",Bagging!D16="Single &amp; Single Linked"))),1,IF(AND(Bagging!D16="Linked(2 Sets)",'Job Sheet'!BE16="White"),2,""))</f>
        <v/>
      </c>
      <c r="EG10" s="7" t="str">
        <f>IF(AND('Job Sheet'!BE16="Black",(OR(Bagging!D16="Linked",Bagging!D16="Single &amp; Single Linked"))),1,IF(AND(Bagging!D16="Linked(2 Sets)",'Job Sheet'!BE16="Black"),2,""))</f>
        <v/>
      </c>
      <c r="EH10" s="7" t="str">
        <f>IF(AND('Job Sheet'!BE16="Birch White",(OR(Bagging!D16="Linked",Bagging!D16="Single &amp; Single Linked"))),1,IF(AND(Bagging!D16="Linked(2 Sets)",'Job Sheet'!BE16="Birch White"),2,""))</f>
        <v/>
      </c>
      <c r="EI10" s="7" t="str">
        <f>IF(AND('Job Sheet'!BE16="Grey",(OR(Bagging!D16="Linked",Bagging!D16="Single &amp; Single Linked"))),1,IF(AND(Bagging!D16="Linked(2 Sets)",'Job Sheet'!BE16="Grey"),2,""))</f>
        <v/>
      </c>
      <c r="EJ10" s="7" t="str">
        <f>IF(AND('Job Sheet'!BE16="Beige",(OR(Bagging!D16="Linked",Bagging!D16="Single &amp; Single Linked"))),1,IF(AND(Bagging!D16="Linked(2 Sets)",'Job Sheet'!BE16="Beige"),2,""))</f>
        <v/>
      </c>
      <c r="EK10" s="7" t="str">
        <f>IF(AND('Job Sheet'!BE16="White",(OR(Bagging!D16="Single Extension Linked",Bagging!D16="Single Extension &amp; Single Extension Linked",Bagging!D16="Single Extension with Extension Covers &amp; Single Extension Linked"))),1,IF(AND(Bagging!D16="Single Extension Linked(2 Sets)",'Job Sheet'!BE16="White"),2,""))</f>
        <v/>
      </c>
      <c r="EL10" s="7" t="str">
        <f>IF(AND('Job Sheet'!BE16="Black",(OR(Bagging!D16="Single Extension Linked",Bagging!D16="Single Extension &amp; Single Extension Linked",Bagging!D16="Single Extension with Extension Covers &amp; Single Extension Linked"))),1,IF(AND(Bagging!D16="Single Extension Linked(2 Sets)",'Job Sheet'!BE16="Black"),2,""))</f>
        <v/>
      </c>
      <c r="EM10" s="7" t="str">
        <f>IF(AND('Job Sheet'!BE16="Birch White",(OR(Bagging!D16="Single Extension Linked",Bagging!D16="Single Extension &amp; Single Extension Linked",Bagging!D16="Single Extension with Extension Covers &amp; Single Extension Linked"))),1,IF(AND(Bagging!D16="Single Extension Linked(2 Sets)",'Job Sheet'!BE16="Birch White"),2,""))</f>
        <v/>
      </c>
      <c r="EN10" s="7" t="str">
        <f>IF(AND('Job Sheet'!BE16="Grey",(OR(Bagging!D16="Single Extension Linked",Bagging!D16="Single Extension &amp; Single Extension Linked",Bagging!D16="Single Extension with Extension Covers &amp; Single Extension Linked"))),1,IF(AND(Bagging!D16="Single Extension Linked(2 Sets)",'Job Sheet'!BE16="Grey"),2,""))</f>
        <v/>
      </c>
      <c r="EO10" s="7" t="str">
        <f>IF(AND('Job Sheet'!BE16="Beige",(OR(Bagging!D16="Single Extension Linked",Bagging!D16="Single Extension &amp; Single Extension Linked",Bagging!D16="Single Extension with Extension Covers &amp; Single Extension Linked"))),1,IF(AND(Bagging!D16="Single Extension Linked(2 Sets)",'Job Sheet'!BE16="Beige"),2,""))</f>
        <v/>
      </c>
      <c r="EP10" s="7" t="str">
        <f>IF(AND('Job Sheet'!BE16="White",(OR(Bagging!D16="Dual Linked",Bagging!D16="Dual Same Side &amp; Dual Linked"))),1,IF(AND(Bagging!D16="Dual Linked(2 Sets)",'Job Sheet'!BE16="White"),2,""))</f>
        <v/>
      </c>
      <c r="EQ10" s="7" t="str">
        <f>IF(AND('Job Sheet'!BE16="Black",(OR(Bagging!D16="Dual Linked",Bagging!D16="Dual Same Side &amp; Dual Linked"))),1,IF(AND(Bagging!D16="Dual Linked(2 Sets)",'Job Sheet'!BE16="Black"),2,""))</f>
        <v/>
      </c>
      <c r="ER10" s="7" t="str">
        <f>IF(AND('Job Sheet'!BE16="Birch White",(OR(Bagging!D16="Dual Linked",Bagging!D16="Dual Same Side &amp; Dual Linked"))),1,IF(AND(Bagging!D16="Dual Linked(2 Sets)",'Job Sheet'!BE16="Birch White"),2,""))</f>
        <v/>
      </c>
      <c r="ES10" s="7" t="str">
        <f>IF(AND('Job Sheet'!BE16="Grey",(OR(Bagging!D16="Dual Linked",Bagging!D16="Dual Same Side &amp; Dual Linked"))),1,IF(AND(Bagging!D16="Dual Linked(2 Sets)",'Job Sheet'!BE16="Grey"),2,""))</f>
        <v/>
      </c>
      <c r="ET10" s="7" t="str">
        <f>IF(AND('Job Sheet'!BE16="Beige",(OR(Bagging!D16="Dual Linked",Bagging!D16="Dual Same Side &amp; Dual Linked"))),1,IF(AND(Bagging!D16="Dual Linked(2 Sets)",'Job Sheet'!BE16="Beige"),2,""))</f>
        <v/>
      </c>
      <c r="EU10" s="7" t="str">
        <f>IF(AND('Job Sheet'!BE16="White",(OR(Bagging!D16="Dual Slimline Linked Top Blind Front Roll",Bagging!D16="Slimline Dual Top Blind Front Roll LHS Control &amp; Dual Slimline Linked Top Blind Front Roll",Bagging!D16="Slimline Dual Top Blind Front Roll RHS Control &amp; Dual Slimline Linked Top Blind Front Roll"))),1,IF(AND(Bagging!D16="Dual Slimline Linked Top Blind Front Roll(2 Sets)",'Job Sheet'!BE16="White"),2,""))</f>
        <v/>
      </c>
      <c r="EV10" s="7" t="str">
        <f>IF(AND('Job Sheet'!BE16="Black",(OR(Bagging!D16="Dual Slimline Linked Top Blind Front Roll",Bagging!D16="Slimline Dual Top Blind Front Roll LHS Control &amp; Dual Slimline Linked Top Blind Front Roll",Bagging!D16="Slimline Dual Top Blind Front Roll RHS Control &amp; Dual Slimline Linked Top Blind Front Roll"))),1,IF(AND(Bagging!D16="Dual Slimline Linked Top Blind Front Roll(2 Sets)",'Job Sheet'!BE16="Black"),2,""))</f>
        <v/>
      </c>
      <c r="EW10" s="7" t="str">
        <f>IF(AND('Job Sheet'!BE16="Birch White",(OR(Bagging!D16="Dual Slimline Linked Top Blind Front Roll",Bagging!D16="Slimline Dual Top Blind Front Roll LHS Control &amp; Dual Slimline Linked Top Blind Front Roll",Bagging!D16="Slimline Dual Top Blind Front Roll RHS Control &amp; Dual Slimline Linked Top Blind Front Roll"))),1,IF(AND(Bagging!D16="Dual Slimline Linked Top Blind Front Roll(2 Sets)",'Job Sheet'!BE16="Birch White"),2,""))</f>
        <v/>
      </c>
      <c r="EX10" s="7" t="str">
        <f>IF(AND('Job Sheet'!BE16="Grey",(OR(Bagging!D16="Dual Slimline Linked Top Blind Front Roll",Bagging!D16="Slimline Dual Top Blind Front Roll LHS Control &amp; Dual Slimline Linked Top Blind Front Roll",Bagging!D16="Slimline Dual Top Blind Front Roll RHS Control &amp; Dual Slimline Linked Top Blind Front Roll"))),1,IF(AND(Bagging!D16="Dual Slimline Linked Top Blind Front Roll(2 Sets)",'Job Sheet'!BE16="Grey"),2,""))</f>
        <v/>
      </c>
      <c r="EY10" s="7" t="str">
        <f>IF(AND('Job Sheet'!BE16="Beige",(OR(Bagging!D16="Dual Slimline Linked Top Blind Front Roll",Bagging!D16="Slimline Dual Top Blind Front Roll LHS Control &amp; Dual Slimline Linked Top Blind Front Roll",Bagging!D16="Slimline Dual Top Blind Front Roll RHS Control &amp; Dual Slimline Linked Top Blind Front Roll"))),1,IF(AND(Bagging!D16="Dual Slimline Linked Top Blind Front Roll(2 Sets)",'Job Sheet'!BE16="Beige"),2,""))</f>
        <v/>
      </c>
      <c r="EZ10" s="7" t="str">
        <f>IF(AND('Job Sheet'!BE16="White",(OR(Bagging!D16="Dual Slimline Linked Top Blind Back Roll",Bagging!D16="Slimline Dual Top Blind Back Roll LHS Control &amp; Dual Slimline Linked Top Blind Back Roll",Bagging!D16="Slimline Dual Top Blind Back Roll RHS Control &amp; Dual Slimline Linked Top Blind Back Roll"))),1,IF(AND(Bagging!D16="Dual Slimline Linked Top Blind Back Roll(2 Sets)",'Job Sheet'!BE16="White"),2,""))</f>
        <v/>
      </c>
      <c r="FA10" s="7" t="str">
        <f>IF(AND('Job Sheet'!BE16="Black",(OR(Bagging!D16="Dual Slimline Linked Top Blind Back Roll",Bagging!D16="Slimline Dual Top Blind Back Roll LHS Control &amp; Dual Slimline Linked Top Blind Back Roll",Bagging!D16="Slimline Dual Top Blind Back Roll RHS Control &amp; Dual Slimline Linked Top Blind Back Roll"))),1,IF(AND(Bagging!D16="Dual Slimline Linked Top Blind Back Roll(2 Sets)",'Job Sheet'!BE16="Black"),2,""))</f>
        <v/>
      </c>
      <c r="FB10" s="7" t="str">
        <f>IF(AND('Job Sheet'!BE16="Birch White",(OR(Bagging!D16="Dual Slimline Linked Top Blind Back Roll",Bagging!D16="Slimline Dual Top Blind Back Roll LHS Control &amp; Dual Slimline Linked Top Blind Back Roll",Bagging!D16="Slimline Dual Top Blind Back Roll RHS Control &amp; Dual Slimline Linked Top Blind Back Roll"))),1,IF(AND(Bagging!D16="Dual Slimline Linked Top Blind Back Roll(2 Sets)",'Job Sheet'!BE16="Birch White"),2,""))</f>
        <v/>
      </c>
      <c r="FC10" s="7" t="str">
        <f>IF(AND('Job Sheet'!BE16="Grey",(OR(Bagging!D16="Dual Slimline Linked Top Blind Back Roll",Bagging!D16="Slimline Dual Top Blind Back Roll LHS Control &amp; Dual Slimline Linked Top Blind Back Roll",Bagging!D16="Slimline Dual Top Blind Back Roll RHS Control &amp; Dual Slimline Linked Top Blind Back Roll"))),1,IF(AND(Bagging!D16="Dual Slimline Linked Top Blind Back Roll(2 Sets)",'Job Sheet'!BE16="Grey"),2,""))</f>
        <v/>
      </c>
      <c r="FD10" s="7" t="str">
        <f>IF(AND('Job Sheet'!BE16="Beige",(OR(Bagging!D16="Dual Slimline Linked Top Blind Back Roll",Bagging!D16="Slimline Dual Top Blind Back Roll LHS Control &amp; Dual Slimline Linked Top Blind Back Roll",Bagging!D16="Slimline Dual Top Blind Back Roll RHS Control &amp; Dual Slimline Linked Top Blind Back Roll"))),1,IF(AND(Bagging!D16="Dual Slimline Linked Top Blind Back Roll(2 Sets)",'Job Sheet'!BE16="Beige"),2,""))</f>
        <v/>
      </c>
      <c r="FE10" s="7" t="str">
        <f>IF(AND(OR('Job Sheet'!BF16="Nickel Steel",'Job Sheet'!BF16="Nickel Steel Chain"),OR('Assembly(b)'!D16="500mm",'Assembly(b)'!D16="500")),1,"")</f>
        <v/>
      </c>
      <c r="FF10" s="7" t="str">
        <f>IF(AND(OR('Job Sheet'!BF16="Nickel Steel",'Job Sheet'!BF16="Nickel Steel Chain"),OR('Assembly(b)'!D16="750mm",'Assembly(b)'!D16="750")),1,"")</f>
        <v/>
      </c>
      <c r="FG10" s="7" t="str">
        <f>IF(AND(OR('Job Sheet'!BF16="Nickel Steel",'Job Sheet'!BF16="Nickel Steel Chain"),OR('Assembly(b)'!D16="1000mm",'Assembly(b)'!D16="1000")),1,"")</f>
        <v/>
      </c>
      <c r="FH10" s="7" t="str">
        <f>IF(AND(OR('Job Sheet'!BF16="Nickel Steel",'Job Sheet'!BF16="Nickel Steel Chain"),OR('Assembly(b)'!D16="1250mm",'Assembly(b)'!D16="1250")),1,"")</f>
        <v/>
      </c>
      <c r="FI10" s="7" t="str">
        <f>IF(AND(OR('Job Sheet'!BF16="Nickel Steel",'Job Sheet'!BF16="Nickel Steel Chain"),OR('Assembly(b)'!D16="1500mm",'Assembly(b)'!D16="1500")),1,"")</f>
        <v/>
      </c>
      <c r="FJ10" s="7" t="str">
        <f>IF(AND(OR('Job Sheet'!BF16="Nickel Steel",'Job Sheet'!BF16="Nickel Steel Chain"),OR('Assembly(b)'!D16="1750mm",'Assembly(b)'!D16="1750")),1,"")</f>
        <v/>
      </c>
      <c r="FK10" s="7" t="str">
        <f>IF(AND(OR('Job Sheet'!BF16="Nickel Steel",'Job Sheet'!BF16="Nickel Steel Chain"),OR('Assembly(b)'!D16="2000mm",'Assembly(b)'!D16="2000")),1,"")</f>
        <v/>
      </c>
      <c r="FL10" s="7" t="str">
        <f>IF(AND(OR('Job Sheet'!BF16="Nickel Steel",'Job Sheet'!BF16="Nickel Steel Chain"),OR('Assembly(b)'!D16="2250mm",'Assembly(b)'!D16="2250")),1,"")</f>
        <v/>
      </c>
      <c r="FM10" s="7" t="str">
        <f>IF(AND(OR('Job Sheet'!BF16="Nickel Steel",'Job Sheet'!BF16="Nickel Steel Chain"),OR('Assembly(b)'!D16="2500mm",'Assembly(b)'!D16="2500")),1,"")</f>
        <v/>
      </c>
      <c r="FN10" s="7" t="str">
        <f>IF(AND(OR('Job Sheet'!BF16="Nickel Steel",'Job Sheet'!BF16="Nickel Steel Chain"),OR('Assembly(b)'!D16="2750mm",'Assembly(b)'!D16="2750")),1,"")</f>
        <v/>
      </c>
      <c r="FO10" s="7" t="str">
        <f>IF(AND(OR('Job Sheet'!BF16="Nickel Steel",'Job Sheet'!BF16="Nickel Steel Chain"),OR('Assembly(b)'!D16="3000mm",'Assembly(b)'!D16="3000")),1,"")</f>
        <v/>
      </c>
      <c r="FP10" s="7" t="str">
        <f>IF(AND(OR('Job Sheet'!BF16="Nickel Steel",'Job Sheet'!BF16="Nickel Steel Chain"),OR('Assembly(b)'!D16="3250mm",'Assembly(b)'!D16="3250")),1,"")</f>
        <v/>
      </c>
      <c r="FQ10" s="7" t="str">
        <f>IF(AND(OR('Job Sheet'!BF16="Nickel Steel",'Job Sheet'!BF16="Nickel Steel Chain"),OR('Assembly(b)'!D16="3500mm",'Assembly(b)'!D16="3500")),1,"")</f>
        <v/>
      </c>
      <c r="FR10" s="7" t="str">
        <f>IF(AND(OR('Job Sheet'!BF16="Nickel Steel",'Job Sheet'!BF16="Nickel Steel Chain"),OR('Assembly(b)'!D16="3750mm",'Assembly(b)'!D16="3750")),1,"")</f>
        <v/>
      </c>
      <c r="FS10" s="7" t="str">
        <f>IF(AND(OR('Job Sheet'!BF16="Nickel Steel",'Job Sheet'!BF16="Nickel Steel Chain"),OR('Assembly(b)'!D16="4000mm",'Assembly(b)'!D16="4000")),1,"")</f>
        <v/>
      </c>
      <c r="FT10" s="7" t="str">
        <f>IF(AND(OR('Job Sheet'!BF16="White",'Job Sheet'!BF16="White Chain"),OR('Assembly(b)'!D16="500mm",'Assembly(b)'!D16="500")),1,"")</f>
        <v/>
      </c>
      <c r="FU10" s="7" t="str">
        <f>IF(AND(OR('Job Sheet'!BF16="White",'Job Sheet'!BF16="White Chain"),OR('Assembly(b)'!D16="750mm",'Assembly(b)'!D16="750")),1,"")</f>
        <v/>
      </c>
      <c r="FV10" s="7" t="str">
        <f>IF(AND(OR('Job Sheet'!BF16="White",'Job Sheet'!BF16="White Chain"),OR('Assembly(b)'!D16="1000mm",'Assembly(b)'!D16="1000")),1,"")</f>
        <v/>
      </c>
      <c r="FW10" s="7" t="str">
        <f>IF(AND(OR('Job Sheet'!BF16="White",'Job Sheet'!BF16="White Chain"),OR('Assembly(b)'!D16="1250mm",'Assembly(b)'!D16="1250")),1,"")</f>
        <v/>
      </c>
      <c r="FX10" s="7" t="str">
        <f>IF(AND(OR('Job Sheet'!BF16="White",'Job Sheet'!BF16="White Chain"),OR('Assembly(b)'!D16="1500mm",'Assembly(b)'!D16="1500")),1,"")</f>
        <v/>
      </c>
      <c r="FY10" s="7" t="str">
        <f>IF(AND(OR('Job Sheet'!BF16="White",'Job Sheet'!BF16="White Chain"),OR('Assembly(b)'!D16="1750mm",'Assembly(b)'!D16="1750")),1,"")</f>
        <v/>
      </c>
      <c r="FZ10" s="7" t="str">
        <f>IF(AND(OR('Job Sheet'!BF16="White",'Job Sheet'!BF16="White Chain"),OR('Assembly(b)'!D16="2000mm",'Assembly(b)'!D16="2000")),1,"")</f>
        <v/>
      </c>
      <c r="GA10" s="7" t="str">
        <f>IF(AND(OR('Job Sheet'!BF16="White",'Job Sheet'!BF16="White Chain"),OR('Assembly(b)'!D16="2250mm",'Assembly(b)'!D16="2250")),1,"")</f>
        <v/>
      </c>
      <c r="GB10" s="7" t="str">
        <f>IF(AND(OR('Job Sheet'!BF16="White",'Job Sheet'!BF16="White Chain"),OR('Assembly(b)'!D16="2500mm",'Assembly(b)'!D16="2500")),1,"")</f>
        <v/>
      </c>
      <c r="GC10" s="7" t="str">
        <f>IF(AND(OR('Job Sheet'!BF16="White",'Job Sheet'!BF16="White Chain"),OR('Assembly(b)'!D16="2750mm",'Assembly(b)'!D16="2750")),1,"")</f>
        <v/>
      </c>
      <c r="GD10" s="7" t="str">
        <f>IF(AND(OR('Job Sheet'!BF16="White",'Job Sheet'!BF16="White Chain"),OR('Assembly(b)'!D16="3000mm",'Assembly(b)'!D16="3000")),1,"")</f>
        <v/>
      </c>
      <c r="GE10" s="7" t="str">
        <f>IF(AND(OR('Job Sheet'!BF16="White",'Job Sheet'!BF16="White Chain"),OR('Assembly(b)'!D16="3250mm",'Assembly(b)'!D16="3250")),1,"")</f>
        <v/>
      </c>
      <c r="GF10" s="7" t="str">
        <f>IF(AND(OR('Job Sheet'!BF16="White",'Job Sheet'!BF16="White Chain"),OR('Assembly(b)'!D16="3500mm",'Assembly(b)'!D16="3500")),1,"")</f>
        <v/>
      </c>
      <c r="GG10" s="7" t="str">
        <f>IF(AND(OR('Job Sheet'!BF16="White",'Job Sheet'!BF16="White Chain"),OR('Assembly(b)'!D16="3750mm",'Assembly(b)'!D16="3750")),1,"")</f>
        <v/>
      </c>
      <c r="GH10" s="7" t="str">
        <f>IF(AND(OR('Job Sheet'!BF16="White",'Job Sheet'!BF16="White Chain"),OR('Assembly(b)'!D16="4000mm",'Assembly(b)'!D16="4000")),1,"")</f>
        <v/>
      </c>
      <c r="GI10" s="7" t="str">
        <f>IF(AND(OR('Job Sheet'!BF16="Black",'Job Sheet'!BF16="Black Chain"),OR('Assembly(b)'!D16="500mm",'Assembly(b)'!D16="500")),1,"")</f>
        <v/>
      </c>
      <c r="GJ10" s="7" t="str">
        <f>IF(AND(OR('Job Sheet'!BF16="Black",'Job Sheet'!BF16="Black Chain"),OR('Assembly(b)'!D16="750mm",'Assembly(b)'!D16="750")),1,"")</f>
        <v/>
      </c>
      <c r="GK10" s="7" t="str">
        <f>IF(AND(OR('Job Sheet'!BF16="Black",'Job Sheet'!BF16="Black Chain"),OR('Assembly(b)'!D16="1000mm",'Assembly(b)'!D16="1000")),1,"")</f>
        <v/>
      </c>
      <c r="GL10" s="7" t="str">
        <f>IF(AND(OR('Job Sheet'!BF16="Black",'Job Sheet'!BF16="Black Chain"),OR('Assembly(b)'!D16="1250mm",'Assembly(b)'!D16="1250")),1,"")</f>
        <v/>
      </c>
      <c r="GM10" s="7" t="str">
        <f>IF(AND(OR('Job Sheet'!BF16="Black",'Job Sheet'!BF16="Black Chain"),OR('Assembly(b)'!D16="1500mm",'Assembly(b)'!D16="1500")),1,"")</f>
        <v/>
      </c>
      <c r="GN10" s="7" t="str">
        <f>IF(AND(OR('Job Sheet'!BF16="Black",'Job Sheet'!BF16="Black Chain"),OR('Assembly(b)'!D16="1750mm",'Assembly(b)'!D16="1750")),1,"")</f>
        <v/>
      </c>
      <c r="GO10" s="7" t="str">
        <f>IF(AND(OR('Job Sheet'!BF16="Black",'Job Sheet'!BF16="Black Chain"),OR('Assembly(b)'!D16="2000mm",'Assembly(b)'!D16="2000")),1,"")</f>
        <v/>
      </c>
      <c r="GP10" s="7" t="str">
        <f>IF(AND(OR('Job Sheet'!BF16="Black",'Job Sheet'!BF16="Black Chain"),OR('Assembly(b)'!D16="2250mm",'Assembly(b)'!D16="2250")),1,"")</f>
        <v/>
      </c>
      <c r="GQ10" s="7" t="str">
        <f>IF(AND(OR('Job Sheet'!BF16="Black",'Job Sheet'!BF16="Black Chain"),OR('Assembly(b)'!D16="2500mm",'Assembly(b)'!D16="2500")),1,"")</f>
        <v/>
      </c>
      <c r="GR10" s="7" t="str">
        <f>IF(AND(OR('Job Sheet'!BF16="Black",'Job Sheet'!BF16="Black Chain"),OR('Assembly(b)'!D16="2750mm",'Assembly(b)'!D16="2750")),1,"")</f>
        <v/>
      </c>
      <c r="GS10" s="7" t="str">
        <f>IF(AND(OR('Job Sheet'!BF16="Black",'Job Sheet'!BF16="Black Chain"),OR('Assembly(b)'!D16="3000mm",'Assembly(b)'!D16="3000")),1,"")</f>
        <v/>
      </c>
      <c r="GT10" s="7" t="str">
        <f>IF(AND(OR('Job Sheet'!BF16="Black",'Job Sheet'!BF16="Black Chain"),OR('Assembly(b)'!D16="3250mm",'Assembly(b)'!D16="3250")),1,"")</f>
        <v/>
      </c>
      <c r="GU10" s="7" t="str">
        <f>IF(AND(OR('Job Sheet'!BF16="Black",'Job Sheet'!BF16="Black Chain"),OR('Assembly(b)'!D16="3500mm",'Assembly(b)'!D16="3500")),1,"")</f>
        <v/>
      </c>
      <c r="GV10" s="7" t="str">
        <f>IF(AND(OR('Job Sheet'!BF16="Black",'Job Sheet'!BF16="Black Chain"),OR('Assembly(b)'!D16="3750mm",'Assembly(b)'!D16="3750")),1,"")</f>
        <v/>
      </c>
      <c r="GW10" s="7" t="str">
        <f>IF(AND(OR('Job Sheet'!BF16="Black",'Job Sheet'!BF16="Black Chain"),OR('Assembly(b)'!D16="4000mm",'Assembly(b)'!D16="4000")),1,"")</f>
        <v/>
      </c>
      <c r="GX10" s="7" t="str">
        <f>IF(AND(OR('Job Sheet'!BF16="Birch White",'Job Sheet'!BF16="Birch White Chain"),OR('Assembly(b)'!D16="500mm",'Assembly(b)'!D16="500")),1,"")</f>
        <v/>
      </c>
      <c r="GY10" s="7" t="str">
        <f>IF(AND(OR('Job Sheet'!BF16="Birch White",'Job Sheet'!BF16="Birch White Chain"),OR('Assembly(b)'!D16="750mm",'Assembly(b)'!D16="750")),1,"")</f>
        <v/>
      </c>
      <c r="GZ10" s="7" t="str">
        <f>IF(AND(OR('Job Sheet'!BF16="Birch White",'Job Sheet'!BF16="Birch White Chain"),OR('Assembly(b)'!D16="1000mm",'Assembly(b)'!D16="1000")),1,"")</f>
        <v/>
      </c>
      <c r="HA10" s="7" t="str">
        <f>IF(AND(OR('Job Sheet'!BF16="Birch White",'Job Sheet'!BF16="Birch White Chain"),OR('Assembly(b)'!D16="1250mm",'Assembly(b)'!D16="1250")),1,"")</f>
        <v/>
      </c>
      <c r="HB10" s="7" t="str">
        <f>IF(AND(OR('Job Sheet'!BF16="Birch White",'Job Sheet'!BF16="Birch White Chain"),OR('Assembly(b)'!D16="1500mm",'Assembly(b)'!D16="1500")),1,"")</f>
        <v/>
      </c>
      <c r="HC10" s="7" t="str">
        <f>IF(AND(OR('Job Sheet'!BF16="Birch White",'Job Sheet'!BF16="Birch White Chain"),OR('Assembly(b)'!D16="1750mm",'Assembly(b)'!D16="1750")),1,"")</f>
        <v/>
      </c>
      <c r="HD10" s="7" t="str">
        <f>IF(AND(OR('Job Sheet'!BF16="Birch White",'Job Sheet'!BF16="Birch White Chain"),OR('Assembly(b)'!D16="2000mm",'Assembly(b)'!D16="2000")),1,"")</f>
        <v/>
      </c>
      <c r="HE10" s="7" t="str">
        <f>IF(AND(OR('Job Sheet'!BF16="Birch White",'Job Sheet'!BF16="Birch White Chain"),OR('Assembly(b)'!D16="2250mm",'Assembly(b)'!D16="2250")),1,"")</f>
        <v/>
      </c>
      <c r="HF10" s="7" t="str">
        <f>IF(AND(OR('Job Sheet'!BF16="Birch White",'Job Sheet'!BF16="Birch White Chain"),OR('Assembly(b)'!D16="2500mm",'Assembly(b)'!D16="2500")),1,"")</f>
        <v/>
      </c>
      <c r="HG10" s="7" t="str">
        <f>IF(AND(OR('Job Sheet'!BF16="Birch White",'Job Sheet'!BF16="Birch White Chain"),OR('Assembly(b)'!D16="2750mm",'Assembly(b)'!D16="2750")),1,"")</f>
        <v/>
      </c>
      <c r="HH10" s="7" t="str">
        <f>IF(AND(OR('Job Sheet'!BF16="Birch White",'Job Sheet'!BF16="Birch White Chain"),OR('Assembly(b)'!D16="3000mm",'Assembly(b)'!D16="3000")),1,"")</f>
        <v/>
      </c>
      <c r="HI10" s="7" t="str">
        <f>IF(AND(OR('Job Sheet'!BF16="Birch White",'Job Sheet'!BF16="Birch White Chain"),OR('Assembly(b)'!D16="3250mm",'Assembly(b)'!D16="3250")),1,"")</f>
        <v/>
      </c>
      <c r="HJ10" s="7" t="str">
        <f>IF(AND(OR('Job Sheet'!BF16="Birch White",'Job Sheet'!BF16="Birch White Chain"),OR('Assembly(b)'!D16="3500mm",'Assembly(b)'!D16="3500")),1,"")</f>
        <v/>
      </c>
      <c r="HK10" s="7" t="str">
        <f>IF(AND(OR('Job Sheet'!BF16="Birch White",'Job Sheet'!BF16="Birch White Chain"),OR('Assembly(b)'!D16="3750mm",'Assembly(b)'!D16="3750")),1,"")</f>
        <v/>
      </c>
      <c r="HL10" s="7" t="str">
        <f>IF(AND(OR('Job Sheet'!BF16="Birch White",'Job Sheet'!BF16="Birch White Chain"),OR('Assembly(b)'!D16="4000mm",'Assembly(b)'!D16="4000")),1,"")</f>
        <v/>
      </c>
      <c r="HM10" s="7" t="str">
        <f>IF(AND(OR('Job Sheet'!BF16="Grey",'Job Sheet'!BF16="Grey Chain"),OR('Assembly(b)'!D16="500mm",'Assembly(b)'!D16="500")),1,"")</f>
        <v/>
      </c>
      <c r="HN10" s="7" t="str">
        <f>IF(AND(OR('Job Sheet'!BF16="Grey",'Job Sheet'!BF16="Grey Chain"),OR('Assembly(b)'!D16="750mm",'Assembly(b)'!D16="750")),1,"")</f>
        <v/>
      </c>
      <c r="HO10" s="7" t="str">
        <f>IF(AND(OR('Job Sheet'!BF16="Grey",'Job Sheet'!BF16="Grey Chain"),OR('Assembly(b)'!D16="1000mm",'Assembly(b)'!D16="1000")),1,"")</f>
        <v/>
      </c>
      <c r="HP10" s="7" t="str">
        <f>IF(AND(OR('Job Sheet'!BF16="Grey",'Job Sheet'!BF16="Grey Chain"),OR('Assembly(b)'!D16="1250mm",'Assembly(b)'!D16="1250")),1,"")</f>
        <v/>
      </c>
      <c r="HQ10" s="7" t="str">
        <f>IF(AND(OR('Job Sheet'!BF16="Grey",'Job Sheet'!BF16="Grey Chain"),OR('Assembly(b)'!D16="1500mm",'Assembly(b)'!D16="1500")),1,"")</f>
        <v/>
      </c>
      <c r="HR10" s="7" t="str">
        <f>IF(AND(OR('Job Sheet'!BF16="Grey",'Job Sheet'!BF16="Grey Chain"),OR('Assembly(b)'!D16="1750mm",'Assembly(b)'!D16="1750")),1,"")</f>
        <v/>
      </c>
      <c r="HS10" s="7" t="str">
        <f>IF(AND(OR('Job Sheet'!BF16="Grey",'Job Sheet'!BF16="Grey Chain"),OR('Assembly(b)'!D16="2000mm",'Assembly(b)'!D16="2000")),1,"")</f>
        <v/>
      </c>
      <c r="HT10" s="7" t="str">
        <f>IF(AND(OR('Job Sheet'!BF16="Grey",'Job Sheet'!BF16="Grey Chain"),OR('Assembly(b)'!D16="2250mm",'Assembly(b)'!D16="2250")),1,"")</f>
        <v/>
      </c>
      <c r="HU10" s="7" t="str">
        <f>IF(AND(OR('Job Sheet'!BF16="Grey",'Job Sheet'!BF16="Grey Chain"),OR('Assembly(b)'!D16="2500mm",'Assembly(b)'!D16="2500")),1,"")</f>
        <v/>
      </c>
      <c r="HV10" s="7" t="str">
        <f>IF(AND(OR('Job Sheet'!BF16="Grey",'Job Sheet'!BF16="Grey Chain"),OR('Assembly(b)'!D16="2750mm",'Assembly(b)'!D16="2750")),1,"")</f>
        <v/>
      </c>
      <c r="HW10" s="7" t="str">
        <f>IF(AND(OR('Job Sheet'!BF16="Grey",'Job Sheet'!BF16="Grey Chain"),OR('Assembly(b)'!D16="3000mm",'Assembly(b)'!D16="3000")),1,"")</f>
        <v/>
      </c>
      <c r="HX10" s="7" t="str">
        <f>IF(AND(OR('Job Sheet'!BF16="Grey",'Job Sheet'!BF16="Grey Chain"),OR('Assembly(b)'!D16="3250mm",'Assembly(b)'!D16="3250")),1,"")</f>
        <v/>
      </c>
      <c r="HY10" s="7" t="str">
        <f>IF(AND(OR('Job Sheet'!BF16="Grey",'Job Sheet'!BF16="Grey Chain"),OR('Assembly(b)'!D16="3500mm",'Assembly(b)'!D16="3500")),1,"")</f>
        <v/>
      </c>
      <c r="HZ10" s="7" t="str">
        <f>IF(AND(OR('Job Sheet'!BF16="Grey",'Job Sheet'!BF16="Grey Chain"),OR('Assembly(b)'!D16="3750mm",'Assembly(b)'!D16="3750")),1,"")</f>
        <v/>
      </c>
      <c r="IA10" s="7" t="str">
        <f>IF(AND(OR('Job Sheet'!BF16="Grey",'Job Sheet'!BF16="Grey Chain"),OR('Assembly(b)'!D16="4000mm",'Assembly(b)'!D16="4000")),1,"")</f>
        <v/>
      </c>
      <c r="IB10" s="7" t="str">
        <f>IF(AND(OR('Job Sheet'!BF16="Beige",'Job Sheet'!BF16="Beige Chain"),OR('Assembly(b)'!D16="500mm",'Assembly(b)'!D16="500")),1,"")</f>
        <v/>
      </c>
      <c r="IC10" s="7" t="str">
        <f>IF(AND(OR('Job Sheet'!BF16="Beige",'Job Sheet'!BF16="Beige Chain"),OR('Assembly(b)'!D16="750mm",'Assembly(b)'!D16="750")),1,"")</f>
        <v/>
      </c>
      <c r="ID10" s="7" t="str">
        <f>IF(AND(OR('Job Sheet'!BF16="Beige",'Job Sheet'!BF16="Beige Chain"),OR('Assembly(b)'!D16="1000mm",'Assembly(b)'!D16="1000")),1,"")</f>
        <v/>
      </c>
      <c r="IE10" s="7" t="str">
        <f>IF(AND(OR('Job Sheet'!BF16="Beige",'Job Sheet'!BF16="Beige Chain"),OR('Assembly(b)'!D16="1250mm",'Assembly(b)'!D16="1250")),1,"")</f>
        <v/>
      </c>
      <c r="IF10" s="7" t="str">
        <f>IF(AND(OR('Job Sheet'!BF16="Beige",'Job Sheet'!BF16="Beige Chain"),OR('Assembly(b)'!D16="1500mm",'Assembly(b)'!D16="1500")),1,"")</f>
        <v/>
      </c>
      <c r="IG10" s="7" t="str">
        <f>IF(AND(OR('Job Sheet'!BF16="Beige",'Job Sheet'!BF16="Beige Chain"),OR('Assembly(b)'!D16="1750mm",'Assembly(b)'!D16="1750")),1,"")</f>
        <v/>
      </c>
      <c r="IH10" s="7" t="str">
        <f>IF(AND(OR('Job Sheet'!BF16="Beige",'Job Sheet'!BF16="Beige Chain"),OR('Assembly(b)'!D16="2000mm",'Assembly(b)'!D16="2000")),1,"")</f>
        <v/>
      </c>
      <c r="II10" s="7" t="str">
        <f>IF(AND(OR('Job Sheet'!BF16="Beige",'Job Sheet'!BF16="Beige Chain"),OR('Assembly(b)'!D16="2250mm",'Assembly(b)'!D16="2250")),1,"")</f>
        <v/>
      </c>
      <c r="IJ10" s="7" t="str">
        <f>IF(AND(OR('Job Sheet'!BF16="Beige",'Job Sheet'!BF16="Beige Chain"),OR('Assembly(b)'!D16="2500mm",'Assembly(b)'!D16="2500")),1,"")</f>
        <v/>
      </c>
      <c r="IK10" s="7" t="str">
        <f>IF(AND(OR('Job Sheet'!BF16="Beige",'Job Sheet'!BF16="Beige Chain"),OR('Assembly(b)'!D16="2750mm",'Assembly(b)'!D16="2750")),1,"")</f>
        <v/>
      </c>
      <c r="IL10" s="7" t="str">
        <f>IF(AND(OR('Job Sheet'!BF16="Beige",'Job Sheet'!BF16="Beige Chain"),OR('Assembly(b)'!D16="3000mm",'Assembly(b)'!D16="3000")),1,"")</f>
        <v/>
      </c>
      <c r="IM10" s="7" t="str">
        <f>IF(AND(OR('Job Sheet'!BF16="Beige",'Job Sheet'!BF16="Beige Chain"),OR('Assembly(b)'!D16="3250mm",'Assembly(b)'!D16="3250")),1,"")</f>
        <v/>
      </c>
      <c r="IN10" s="7" t="str">
        <f>IF(AND(OR('Job Sheet'!BF16="Beige",'Job Sheet'!BF16="Beige Chain"),OR('Assembly(b)'!D16="3500mm",'Assembly(b)'!D16="3500")),1,"")</f>
        <v/>
      </c>
      <c r="IO10" s="7" t="str">
        <f>IF(AND(OR('Job Sheet'!BF16="Beige",'Job Sheet'!BF16="Beige Chain"),OR('Assembly(b)'!D16="3750mm",'Assembly(b)'!D16="3750")),1,"")</f>
        <v/>
      </c>
      <c r="IP10" s="7" t="str">
        <f>IF(AND(OR('Job Sheet'!BF16="Beige",'Job Sheet'!BF16="Beige Chain"),OR('Assembly(b)'!D16="4000mm",'Assembly(b)'!D16="4000")),1,"")</f>
        <v/>
      </c>
      <c r="IQ10" s="7" t="str">
        <f>IF(AND(OR('Job Sheet'!BF16="Stainless Steel",'Job Sheet'!BF16="Stainless Steel Chain"),OR('Assembly(b)'!D16="500mm",'Assembly(b)'!D16="500")),1,"")</f>
        <v/>
      </c>
      <c r="IR10" s="7" t="str">
        <f>IF(AND(OR('Job Sheet'!BF16="Stainless Steel",'Job Sheet'!BF16="Stainless Steel Chain"),OR('Assembly(b)'!D16="750mm",'Assembly(b)'!D16="750")),1,"")</f>
        <v/>
      </c>
      <c r="IS10" s="7" t="str">
        <f>IF(AND(OR('Job Sheet'!BF16="Stainless Steel",'Job Sheet'!BF16="Stainless Steel Chain"),OR('Assembly(b)'!D16="1000mm",'Assembly(b)'!D16="1000")),1,"")</f>
        <v/>
      </c>
      <c r="IT10" s="7" t="str">
        <f>IF(AND(OR('Job Sheet'!BF16="Stainless Steel",'Job Sheet'!BF16="Stainless Steel Chain"),OR('Assembly(b)'!D16="1250mm",'Assembly(b)'!D16="1250")),1,"")</f>
        <v/>
      </c>
      <c r="IU10" s="7" t="str">
        <f>IF(AND(OR('Job Sheet'!BF16="Stainless Steel",'Job Sheet'!BF16="Stainless Steel Chain"),OR('Assembly(b)'!D16="1500mm",'Assembly(b)'!D16="1500")),1,"")</f>
        <v/>
      </c>
      <c r="IV10" s="7" t="str">
        <f>IF(AND(OR('Job Sheet'!BF16="Stainless Steel",'Job Sheet'!BF16="Stainless Steel Chain"),OR('Assembly(b)'!D16="1750mm",'Assembly(b)'!D16="1750")),1,"")</f>
        <v/>
      </c>
      <c r="IW10" s="7" t="str">
        <f>IF(AND(OR('Job Sheet'!BF16="Stainless Steel",'Job Sheet'!BF16="Stainless Steel Chain"),OR('Assembly(b)'!D16="2000mm",'Assembly(b)'!D16="2000")),1,"")</f>
        <v/>
      </c>
      <c r="IX10" s="7" t="str">
        <f>IF(AND(OR('Job Sheet'!BF16="Stainless Steel",'Job Sheet'!BF16="Stainless Steel Chain"),OR('Assembly(b)'!D16="2250mm",'Assembly(b)'!D16="2250")),1,"")</f>
        <v/>
      </c>
      <c r="IY10" s="7" t="str">
        <f>IF(AND(OR('Job Sheet'!BF16="Stainless Steel",'Job Sheet'!BF16="Stainless Steel Chain"),OR('Assembly(b)'!D16="2500mm",'Assembly(b)'!D16="2500")),1,"")</f>
        <v/>
      </c>
      <c r="IZ10" s="7" t="str">
        <f>IF(AND(OR('Job Sheet'!BF16="Stainless Steel",'Job Sheet'!BF16="Stainless Steel Chain"),OR('Assembly(b)'!D16="2750mm",'Assembly(b)'!D16="2750")),1,"")</f>
        <v/>
      </c>
      <c r="JA10" s="7" t="str">
        <f>IF(AND(OR('Job Sheet'!BF16="Stainless Steel",'Job Sheet'!BF16="Stainless Steel Chain"),OR('Assembly(b)'!D16="3000mm",'Assembly(b)'!D16="3000")),1,"")</f>
        <v/>
      </c>
      <c r="JB10" s="7" t="str">
        <f>IF(AND(OR('Job Sheet'!BF16="Stainless Steel",'Job Sheet'!BF16="Stainless Steel Chain"),OR('Assembly(b)'!D16="3250mm",'Assembly(b)'!D16="3250")),1,"")</f>
        <v/>
      </c>
      <c r="JC10" s="7" t="str">
        <f>IF(AND(OR('Job Sheet'!BF16="Stainless Steel",'Job Sheet'!BF16="Stainless Steel Chain"),OR('Assembly(b)'!D16="3500mm",'Assembly(b)'!D16="3500")),1,"")</f>
        <v/>
      </c>
      <c r="JD10" s="7" t="str">
        <f>IF(AND(OR('Job Sheet'!BF16="Stainless Steel",'Job Sheet'!BF16="Stainless Steel Chain"),OR('Assembly(b)'!D16="3750mm",'Assembly(b)'!D16="3750")),1,"")</f>
        <v/>
      </c>
      <c r="JE10" s="7" t="str">
        <f>IF(AND(OR('Job Sheet'!BF16="Stainless Steel",'Job Sheet'!BF16="Stainless Steel Chain"),OR('Assembly(b)'!D16="4000mm",'Assembly(b)'!D16="4000")),1,"")</f>
        <v/>
      </c>
      <c r="JF10" s="7" t="str">
        <f>IF(AND('Assembly(b)'!I16="Yes - L",(OR('Tube Cutting'!C16="43mm",'Tube Cutting'!C16="43mm H/D"))),1,"")</f>
        <v/>
      </c>
      <c r="JG10" s="7" t="str">
        <f>IF(AND('Assembly(b)'!I16="Yes - R",(OR('Tube Cutting'!C16="43mm",'Tube Cutting'!C16="43mm H/D"))),1,"")</f>
        <v/>
      </c>
      <c r="JH10" s="7" t="str">
        <f>IF(AND('Assembly(b)'!I16="Yes - L",'Tube Cutting'!C16="60mm"),1,"")</f>
        <v/>
      </c>
      <c r="JI10" s="7" t="str">
        <f>IF(AND('Assembly(b)'!I16="Yes - R",'Tube Cutting'!C16="60mm"),1,"")</f>
        <v/>
      </c>
      <c r="JJ10" s="7" t="str">
        <f>IF(OR('Job Sheet'!BE16="Black",'Assembly(b)'!J16="N/A"),"",IF(OR('Assembly(b)'!J16="Motor - Female",'Assembly(b)'!J16="Motor - Female with Insert",'Assembly(b)'!J16="Female - Motor",'Assembly(b)'!J16="Chain Winder - Female",'Assembly(b)'!J16="Chain Winder - Female with Insert",'Assembly(b)'!J16="Female - Chain Winder",'Assembly(b)'!J16="Male - Female",'Assembly(b)'!J16="Female - Male",'Assembly(b)'!J16="Male - Female with Insert"),1,""))</f>
        <v/>
      </c>
      <c r="JK10" s="7" t="str">
        <f>IF(OR('Job Sheet'!BE16="White",'Assembly(b)'!J16="N/A"),"",IF(OR('Assembly(b)'!J16="Motor - Female",'Assembly(b)'!J16="Motor - Female with Insert",'Assembly(b)'!J16="Female - Motor",'Assembly(b)'!J16="Chain Winder - Female",'Assembly(b)'!J16="Chain Winder - Female with Insert",'Assembly(b)'!J16="Female - Chain Winder",'Assembly(b)'!J16="Male - Female",'Assembly(b)'!J16="Female - Male",'Assembly(b)'!J16="Male - Female with Insert"),1,""))</f>
        <v/>
      </c>
      <c r="JL10" s="7" t="str">
        <f>IF(OR('Job Sheet'!BE16="White",'Assembly(b)'!J16="N/A"),"",IF(OR('Assembly(b)'!J16="Motor - Male",'Assembly(b)'!J16="Male - Motor",'Assembly(b)'!J16="Chain Winder - Male",'Assembly(b)'!J16="Male - Chain Winder",'Assembly(b)'!J16="Male - Female",'Assembly(b)'!J16="Female - Male",'Assembly(b)'!J16="Male - Idle",'Assembly(b)'!J16="Idle - Male"),1,""))</f>
        <v/>
      </c>
      <c r="JM10" s="7" t="str">
        <f>IF(OR('Job Sheet'!BE16="White",'Job Sheet'!BE16="Birch White",'Job Sheet'!BE16="Grey",'Job Sheet'!BE16="Beige",'Assembly(b)'!J16="N/A"),"",IF(OR('Assembly(b)'!J16="Motor - Male",'Assembly(b)'!J16="Male - Motor",'Assembly(b)'!J16="Chain Winder - Male",'Assembly(b)'!J16="Male - Chain Winder",'Assembly(b)'!J16="Male - Female",'Assembly(b)'!J16="Female - Male",'Assembly(b)'!J16="Male - Idle",'Assembly(b)'!J16="Idle - Male"),1,""))</f>
        <v/>
      </c>
      <c r="JN10" s="7" t="str">
        <f>IF(OR('Job Sheet'!BE16="Black",'Assembly(b)'!J16="N/A"),"",IF(OR('Assembly(b)'!J16="Motor - 60mm Female",'Assembly(b)'!J16="60mm Female - Motor",'Assembly(b)'!J16="Chain Winder - 60mm Female",'Assembly(b)'!J16="60mm Female - Chain Winder",'Assembly(b)'!J16="60mm Male - 60mm Female",'Assembly(b)'!J16="60mm Female - 60mm Male"),1,""))</f>
        <v/>
      </c>
      <c r="JO10" s="7" t="str">
        <f>IF(OR('Job Sheet'!BE16="White",'Assembly(b)'!J16="N/A"),"",IF(OR('Assembly(b)'!J16="Motor - 60mm Female",'Assembly(b)'!J16="60mm Female - Motor",'Assembly(b)'!J16="Chain Winder - 60mm Female",'Assembly(b)'!J16="60mm Female - Chain Winder",'Assembly(b)'!J16="60mm Male - 60mm Female",'Assembly(b)'!J16="60mm Female - 60mm Male"),1,""))</f>
        <v/>
      </c>
      <c r="JP10" s="7" t="str">
        <f>IF(OR('Job Sheet'!BE16="Black",'Assembly(b)'!J16="N/A"),"",IF(OR('Assembly(b)'!J16="Motor - 60mm Male",'Assembly(b)'!J16="60mm Male - Motor",'Assembly(b)'!J16="Chain Winder - 60mm Male",'Assembly(b)'!J16="60mm Male - Chain Winder",'Assembly(b)'!J16="60mm Male - 60mm Female",'Assembly(b)'!J16="60mm Female - 60mm Male"),1,""))</f>
        <v/>
      </c>
      <c r="JQ10" s="7" t="str">
        <f>IF(OR('Job Sheet'!BE16="White",'Assembly(b)'!J16="N/A"),"",IF(OR('Assembly(b)'!J16="Motor - 60mm Male",'Assembly(b)'!J16="60mm Male - Motor",'Assembly(b)'!J16="Chain Winder - 60mm Male",'Assembly(b)'!J16="60mm Male - Chain Winder",'Assembly(b)'!J16="60mm Male - 60mm Female",'Assembly(b)'!J16="60mm Female - 60mm Male"),1,""))</f>
        <v/>
      </c>
      <c r="JR10" s="7" t="str">
        <f>IF('Assembly(b)'!F16="Standard Spring",1,"")</f>
        <v/>
      </c>
      <c r="JS10" s="7" t="str">
        <f>IF('Assembly(b)'!F16="Small Spring",1,"")</f>
        <v/>
      </c>
      <c r="JT10" s="7" t="str">
        <f>IF(D10="","",IF(OR(SUM(R10:V10)=0,'Tube Cutting'!E16="Bottom Rail in Pocket"),"",SUM(R10:V10)))</f>
        <v/>
      </c>
      <c r="JU10" s="7" t="str">
        <f>IF('Job Sheet'!BE16="Silver Pull Ring",1,"")</f>
        <v/>
      </c>
      <c r="JV10" s="7" t="str">
        <f>IF('Job Sheet'!BE16="Gold Pull Ring",1,"")</f>
        <v/>
      </c>
      <c r="JW10" s="7" t="str">
        <f>IF(AND('Job Sheet'!BE16="White",'Assembly(b)'!E16="60mm"),1,"")</f>
        <v/>
      </c>
      <c r="JX10" s="7" t="str">
        <f>IF(AND('Job Sheet'!BE16="Black",'Assembly(b)'!E16="60mm"),1,"")</f>
        <v/>
      </c>
      <c r="JY10" s="7" t="str">
        <f>IF(AND(OR('Assembly(b)'!G16="White",'Assembly(b)'!J16="N/A"),(OR(AND('Assembly(b)'!F16="Chain Winder",'Assembly(b)'!E16="60mm"),'Job Sheet'!AR16="Acmeda External Motor",'Job Sheet'!AR16="Somfy External CBUS Motor",'Job Sheet'!AR16="Somfy External Remote Motor"))),1,IF(AND('Assembly(b)'!G16="White",(OR('Assembly(b)'!J16="60mm Male - 60mm Idle",'Assembly(b)'!J16="60mm Idle - 60mm Male"))),1,""))</f>
        <v/>
      </c>
      <c r="JZ10" s="7" t="str">
        <f>IF(AND(OR('Assembly(b)'!G16="Black",'Assembly(b)'!J16="N/A"),(OR(AND('Assembly(b)'!F16="Chain Winder",'Assembly(b)'!E16="60mm"),'Job Sheet'!AR16="Acmeda External Motor",'Job Sheet'!AR16="Somfy External CBUS Motor",'Job Sheet'!AR16="Somfy External Remote Motor"))),1,IF(AND('Assembly(b)'!G16="Black",(OR('Assembly(b)'!J16="60mm Male - 60mm Idle",'Assembly(b)'!J16="60mm Idle - 60mm Male"))),1,""))</f>
        <v/>
      </c>
      <c r="KA10" s="7" t="str">
        <f t="shared" si="3"/>
        <v/>
      </c>
      <c r="KB10" s="7" t="str">
        <f t="shared" si="4"/>
        <v/>
      </c>
      <c r="KC10" s="7" t="str">
        <f>IF('Tube Cutting'!J16&lt;&gt;"Zipscreen Hooding",JW10,"")</f>
        <v/>
      </c>
      <c r="KD10" s="7" t="str">
        <f>IF('Tube Cutting'!J16&lt;&gt;"Zipscreen Hooding",JX10,"")</f>
        <v/>
      </c>
      <c r="KE10" s="7" t="str">
        <f t="shared" si="5"/>
        <v/>
      </c>
      <c r="KF10" s="7" t="str">
        <f t="shared" si="6"/>
        <v/>
      </c>
      <c r="KG10" s="7" t="str">
        <f>IF(D10="","",IF(OR(Bagging!F16="Yes - Attach",Bagging!F16="Yes"),1,""))</f>
        <v/>
      </c>
      <c r="KH10" s="7" t="str">
        <f t="shared" si="7"/>
        <v/>
      </c>
      <c r="KI10" s="7" t="str">
        <f>IF('Assembly(b)'!F16="Acmeda E6 Motor",1,"")</f>
        <v/>
      </c>
      <c r="KJ10" s="7" t="str">
        <f>IF('Assembly(b)'!F16="Acmeda M6 Motor",1,"")</f>
        <v/>
      </c>
      <c r="KK10" s="7" t="str">
        <f>IF('Assembly(b)'!F16="0.7nm 12v Acmeda Motor",1,"")</f>
        <v/>
      </c>
      <c r="KL10" s="7" t="str">
        <f>IF('Assembly(b)'!F16="1.1nm 12v Acmeda Motor",1,"")</f>
        <v/>
      </c>
      <c r="KM10" s="7" t="str">
        <f>IF('Assembly(b)'!F16="2nm 12v Acmeda Motor",1,"")</f>
        <v/>
      </c>
      <c r="KN10" s="7" t="str">
        <f>IF('Assembly(b)'!F16="Acmeda 12v 6nm Motor",1,"")</f>
        <v/>
      </c>
      <c r="KO10" s="7" t="str">
        <f>IF('Assembly(b)'!F16="Acmeda 10nm 12v Motor",1,"")</f>
        <v/>
      </c>
      <c r="KP10" s="7" t="str">
        <f>IF('Assembly(b)'!F16="Acmeda FT 15Nm Motor",1,"")</f>
        <v/>
      </c>
      <c r="KQ10" s="7" t="str">
        <f>IF('Assembly(b)'!F16="1.1nm 12v Acmeda DCRF Motor",1,"")</f>
        <v/>
      </c>
      <c r="KR10" s="7" t="str">
        <f>IF('Assembly(b)'!F16="2nm 12v Acmeda DCRF Motor",1,"")</f>
        <v/>
      </c>
      <c r="KS10" s="7" t="str">
        <f>IF('Assembly(b)'!F16="Sonesse 40 RTS 3/30 with Inline Connector Motor",1,"")</f>
        <v/>
      </c>
      <c r="KT10" s="7" t="str">
        <f>IF('Assembly(b)'!F16="Sonesse 40 WT 3/30 with Inline Connector Motor",1,"")</f>
        <v/>
      </c>
      <c r="KU10" s="7" t="str">
        <f>IF('Assembly(b)'!F16="Somfy 12v Remote Sonesse Motor",1,"")</f>
        <v/>
      </c>
      <c r="KV10" s="7" t="str">
        <f>IF('Assembly(b)'!F16="Sonesse 50 RTS 6/17 RH Motor",1,"")</f>
        <v/>
      </c>
      <c r="KW10" s="7" t="str">
        <f>IF('Assembly(b)'!F16="Sonesse 50 WT 10/28 Motor",1,"")</f>
        <v/>
      </c>
      <c r="KX10" s="7" t="str">
        <f>IF('Assembly(b)'!F16="Becker P4-30-C12A Motor",1,"")</f>
        <v/>
      </c>
      <c r="KY10" s="7" t="str">
        <f>IF('Assembly(b)'!F16="Becker cBus Motor",1,"")</f>
        <v/>
      </c>
      <c r="KZ10" s="7" t="str">
        <f>IF('Assembly(b)'!F16="Becker R20-17-C12A Motor",1,"")</f>
        <v/>
      </c>
      <c r="LA10" s="7" t="str">
        <f>IF('Assembly(b)'!F16="Becker cBus Motor",1,"")</f>
        <v/>
      </c>
      <c r="LB10" s="7" t="str">
        <f t="shared" si="57"/>
        <v/>
      </c>
      <c r="LC10" s="7" t="str">
        <f t="shared" si="58"/>
        <v/>
      </c>
      <c r="LD10" s="7" t="str">
        <f t="shared" si="59"/>
        <v/>
      </c>
      <c r="LE10" s="7" t="str">
        <f t="shared" si="60"/>
        <v/>
      </c>
      <c r="LF10" s="7" t="str">
        <f t="shared" si="12"/>
        <v/>
      </c>
      <c r="LG10" s="7" t="str">
        <f t="shared" si="13"/>
        <v/>
      </c>
      <c r="LH10" s="7" t="str">
        <f>IF(KO10="","",IF(OR('Tube Cutting'!C16="60mm",'Tube Cutting'!C16="80mm"),SUM(KO10,KP10),""))</f>
        <v/>
      </c>
      <c r="LI10" s="7" t="str">
        <f t="shared" si="61"/>
        <v/>
      </c>
      <c r="LJ10" s="7" t="str">
        <f t="shared" si="62"/>
        <v/>
      </c>
      <c r="LK10" s="7" t="str">
        <f t="shared" si="16"/>
        <v/>
      </c>
      <c r="LL10" s="7" t="str">
        <f t="shared" si="17"/>
        <v/>
      </c>
      <c r="LM10" s="7" t="str">
        <f t="shared" si="18"/>
        <v/>
      </c>
      <c r="LN10" s="7" t="str">
        <f t="shared" si="19"/>
        <v/>
      </c>
      <c r="LO10" s="7" t="str">
        <f t="shared" si="63"/>
        <v/>
      </c>
      <c r="LP10" s="7" t="str">
        <f>IF(AND(KP10=1,'Job Sheet'!BE16="Black"),1,"")</f>
        <v/>
      </c>
      <c r="LQ10" s="7" t="str">
        <f>IF(AND(KP10=1,'Job Sheet'!BE16="White"),1,"")</f>
        <v/>
      </c>
      <c r="LR10" s="7" t="str">
        <f t="shared" si="21"/>
        <v/>
      </c>
      <c r="LS10" s="7" t="str">
        <f t="shared" si="64"/>
        <v/>
      </c>
      <c r="LT10" s="7" t="str">
        <f t="shared" si="65"/>
        <v/>
      </c>
      <c r="LU10" s="7" t="str">
        <f t="shared" si="66"/>
        <v/>
      </c>
      <c r="LV10" s="7" t="str">
        <f t="shared" si="67"/>
        <v/>
      </c>
      <c r="LW10" s="7" t="str">
        <f>IF(OR('Tube Cutting'!C16="60mm",'Tube Cutting'!C16="80mm"),SUM(KV10,KW10),"")</f>
        <v/>
      </c>
      <c r="LX10" s="7" t="str">
        <f t="shared" si="68"/>
        <v/>
      </c>
      <c r="LY10" s="7" t="str">
        <f t="shared" si="69"/>
        <v/>
      </c>
      <c r="LZ10" s="7" t="str">
        <f t="shared" si="70"/>
        <v/>
      </c>
      <c r="MA10" s="7" t="str">
        <f t="shared" si="71"/>
        <v/>
      </c>
      <c r="MB10" s="7" t="str">
        <f t="shared" si="72"/>
        <v/>
      </c>
      <c r="MC10" s="7" t="str">
        <f t="shared" si="73"/>
        <v/>
      </c>
      <c r="MD10" s="7" t="str">
        <f t="shared" si="74"/>
        <v/>
      </c>
      <c r="ME10" s="7" t="str">
        <f t="shared" si="75"/>
        <v/>
      </c>
      <c r="MF10" s="7" t="str">
        <f>IF('Job Sheet'!N16="Pulse Pro Automation Hub",1,"")</f>
        <v/>
      </c>
      <c r="MG10" s="7" t="str">
        <f>IF('Job Sheet'!N16="Solar Panel",1,"")</f>
        <v/>
      </c>
      <c r="MH10" s="7" t="str">
        <f>IF(AND('Job Sheet'!N16="12v Wall Charger with 4m USB Cable",KN10="",KO10=""),1,"")</f>
        <v/>
      </c>
      <c r="MI10" s="7" t="str">
        <f>IF(Bagging!I16="12v Wall Charger with Cable to suit 3nm Motor",1,"")</f>
        <v/>
      </c>
      <c r="MJ10" s="7" t="str">
        <f t="array" ref="MJ10">IF(OR('Job Sheet'!N16="210mm Extension Charging Cable",AND(bpLOOKUP(Data!$AV16,"CONTROLS",CustOrdOpt,6,FALSE)="Acmeda 12v Motor",OL10=1)),1,"")</f>
        <v/>
      </c>
      <c r="MK10" s="7" t="str">
        <f>IF('Job Sheet'!N16="1200mm Extension Charging Cable",1,"")</f>
        <v/>
      </c>
      <c r="ML10" s="7" t="str">
        <f>IF('Job Sheet'!N16="1 Channel Dry Contact Relay Module",1,"")</f>
        <v/>
      </c>
      <c r="MM10" s="7" t="str">
        <f>IF('Job Sheet'!N16="USB Repeater",1,"")</f>
        <v/>
      </c>
      <c r="MN10" s="7" t="str">
        <f>IF(OR('Assembly(b)'!F16="1.1nm 12v Acmeda DCRF Motor",'Assembly(b)'!F16="2nm 12v Acmeda DCRF Motor"),1,"")</f>
        <v/>
      </c>
      <c r="MO10" s="7" t="str">
        <f>IF('Job Sheet'!N16="DC Panel",1,"")</f>
        <v/>
      </c>
      <c r="MP10" s="7" t="str">
        <f t="array" ref="MP10">IF(AND(bpLOOKUP(Data!$AV16,"CONTROLS",CustOrdOpt,6,FALSE)="Acmeda 12v Motor",Bagging!G16="White"),1,"")</f>
        <v/>
      </c>
      <c r="MQ10" s="7" t="str">
        <f t="array" ref="MQ10">IF(AND(bpLOOKUP(Data!$AV16,"CONTROLS",CustOrdOpt,6,FALSE)="Acmeda 12v Motor",Bagging!G16="Black"),1,"")</f>
        <v/>
      </c>
      <c r="MR10" s="7" t="str">
        <f>IF('Job Sheet'!R16="Acmeda 1 Channel White Remote",1,"")</f>
        <v/>
      </c>
      <c r="MS10" s="7" t="str">
        <f>IF('Job Sheet'!R16="Acmeda 1 Channel Black Remote",1,"")</f>
        <v/>
      </c>
      <c r="MT10" s="7" t="str">
        <f>IF('Job Sheet'!R16="Acmeda 5 Channel White Remote",1,"")</f>
        <v/>
      </c>
      <c r="MU10" s="7" t="str">
        <f>IF('Job Sheet'!R16="Acmeda 5 Channel Black Remote",1,"")</f>
        <v/>
      </c>
      <c r="MV10" s="7" t="str">
        <f>IF('Job Sheet'!R16="Acmeda 15 Channel White Remote",1,"")</f>
        <v/>
      </c>
      <c r="MW10" s="7" t="str">
        <f>IF('Job Sheet'!R16="Acmeda 15 Channel Black Remote",1,"")</f>
        <v/>
      </c>
      <c r="MX10" s="7" t="str">
        <f>IF('Job Sheet'!R16="Acmeda Wall Mounted Single Channel White Remote",1,"")</f>
        <v/>
      </c>
      <c r="MY10" s="7" t="str">
        <f>IF('Job Sheet'!R16="Acmeda Wall Mounted 2 Channel White Remote",1,"")</f>
        <v/>
      </c>
      <c r="MZ10" s="7" t="str">
        <f>IF('Job Sheet'!R16="Acmeda Wall Mounted 5 Channel White Remote",1,"")</f>
        <v/>
      </c>
      <c r="NA10" s="7" t="str">
        <f>IF('Job Sheet'!R16="Acmeda Wall Mounted 15 Channel White Remote",1,"")</f>
        <v/>
      </c>
      <c r="NB10" s="7" t="str">
        <f>IF('Job Sheet'!R16="Acmeda Push Pro White Remote","1","")</f>
        <v/>
      </c>
      <c r="NC10" s="7" t="str">
        <f>IF('Job Sheet'!R16="Acmeda Push Pro Black Remote","1","")</f>
        <v/>
      </c>
      <c r="ND10" s="7" t="str">
        <f>IF(OR('Job Sheet'!R16="Acmeda Push Pro White Remote with Charger",'Job Sheet'!R16="Acmeda Push Pro Black Remote with Charger"),1,"")</f>
        <v/>
      </c>
      <c r="NE10" s="7" t="str">
        <f t="shared" si="34"/>
        <v/>
      </c>
      <c r="NF10" s="7" t="str">
        <f>IF('Job Sheet'!R16="Somfy Single Channel White Remote",1,"")</f>
        <v/>
      </c>
      <c r="NG10" s="7" t="str">
        <f>IF('Job Sheet'!R16="Somfy Single Channel Silver Remote",1,"")</f>
        <v/>
      </c>
      <c r="NH10" s="7" t="str">
        <f>IF('Job Sheet'!R16="Somfy 2 Channel White Remote",1,"")</f>
        <v/>
      </c>
      <c r="NI10" s="7" t="str">
        <f>IF('Job Sheet'!R16="Somfy 2 Channel Silver Remote",1,"")</f>
        <v/>
      </c>
      <c r="NJ10" s="7" t="str">
        <f>IF('Job Sheet'!R16="Somfy 5 Channel White Remote",1,"")</f>
        <v/>
      </c>
      <c r="NK10" s="7" t="str">
        <f>IF('Job Sheet'!R16="Somfy 5 Channel Silver Remote",1,"")</f>
        <v/>
      </c>
      <c r="NL10" s="7" t="str">
        <f>IF('Job Sheet'!R16="Somfy 15 Channel White Remote",1,"")</f>
        <v/>
      </c>
      <c r="NM10" s="7" t="str">
        <f>IF('Job Sheet'!R16="Somfy 15 Channel Black Remote",1,"")</f>
        <v/>
      </c>
      <c r="NN10" s="7" t="str">
        <f>IF(OR('Job Sheet'!R16="Somfy Single Channel Wall Mounted Smoove Remote White",'Job Sheet'!R16="Somfy Single Channel Wall Mounted Smoove Remote White with Black Cover Plate",'Job Sheet'!R16="Somfy Single Channel Wall Mounted Smoove Remote White with Silver Cover Plate"),1,"")</f>
        <v/>
      </c>
      <c r="NO10" s="7" t="str">
        <f>IF(OR('Job Sheet'!R16="Somfy 2 Channel Wall Mounted Smoove Remote White",'Job Sheet'!R16="Somfy 2 Channel Wall Mounted Smoove Remote White with Black Cover Plate",'Job Sheet'!R16="Somfy 2 Channel Wall Mounted Smoove Remote White with Silver Cover Plate"),1,"")</f>
        <v/>
      </c>
      <c r="NP10" s="7" t="str">
        <f>IF(OR('Job Sheet'!R16="Somfy 5 Channel Wall Mounted Smoove Remote White",'Job Sheet'!R16="Somfy 5 Channel Wall Mounted Smoove Remote White with Black Cover Plate",'Job Sheet'!R16="Somfy 5 Channel Wall Mounted Smoove Remote White with Silver Cover Plate"),1,"")</f>
        <v/>
      </c>
      <c r="NQ10" s="7" t="str">
        <f>IF(OR('Job Sheet'!R16="Somfy Single Channel Wall Mounted Smoove Remote White with Black Cover Plate",'Job Sheet'!R16="Somfy 2 Channel Wall Mounted Smoove Remote White with Black Cover Plate",'Job Sheet'!R16="Somfy 5 Channel Wall Mounted Smoove Remote White with Black Cover Plate"),1,"")</f>
        <v/>
      </c>
      <c r="NR10" s="7" t="str">
        <f>IF(OR('Job Sheet'!R16="Somfy Single Channel Wall Mounted Smoove Remote White with Silver Cover Plate",'Job Sheet'!R16="Somfy 2 Channel Wall Mounted Smoove Remote White with Silver Cover Plate",'Job Sheet'!R16="Somfy 5 Channel Wall Mounted Smoove Remote White with Silver Cover Plate"),1,"")</f>
        <v/>
      </c>
      <c r="NS10" s="7" t="str">
        <f>IF(Bagging!I16="Charging Cable",1,"")</f>
        <v/>
      </c>
      <c r="NT10" s="7" t="str">
        <f>IF('Job Sheet'!N16="Connexoon App Connector",1,"")</f>
        <v/>
      </c>
      <c r="NU10" s="7" t="str">
        <f>IF('Job Sheet'!R16="Becker Single Channel White Remote",1,"")</f>
        <v/>
      </c>
      <c r="NV10" s="7" t="str">
        <f>IF('Job Sheet'!R16="Becker Single Channel Black Remote",1,"")</f>
        <v/>
      </c>
      <c r="NW10" s="7" t="str">
        <f>IF('Job Sheet'!R16="Becker 5 Channel White Remote",1,"")</f>
        <v/>
      </c>
      <c r="NX10" s="7" t="str">
        <f>IF('Job Sheet'!R16="Becker 5 Channel Black Remote",1,"")</f>
        <v/>
      </c>
      <c r="NY10" s="7" t="str">
        <f>IF('Job Sheet'!R16="Becker 10 Channel White Remote",1,"")</f>
        <v/>
      </c>
      <c r="NZ10" s="7" t="str">
        <f>IF('Job Sheet'!R16="Becker 10 Channel Black Remote",1,"")</f>
        <v/>
      </c>
      <c r="OA10" s="7" t="str">
        <f>IF('Job Sheet'!R16="Becker Wall Mounted Single Channel White Remote",1,"")</f>
        <v/>
      </c>
      <c r="OB10" s="7" t="str">
        <f>IF('Job Sheet'!R16="Becker Wall Mounted 5 Channel White Remote",1,"")</f>
        <v/>
      </c>
      <c r="OC10" s="7" t="str">
        <f>IF('Job Sheet'!R16="Wall Switch",1,"")</f>
        <v/>
      </c>
      <c r="OD10" s="7" t="str">
        <f t="shared" si="76"/>
        <v/>
      </c>
      <c r="OE10" s="7" t="str">
        <f t="shared" si="77"/>
        <v/>
      </c>
      <c r="OF10" s="7" t="str">
        <f t="shared" si="78"/>
        <v/>
      </c>
      <c r="OG10" s="7" t="str">
        <f t="shared" si="79"/>
        <v/>
      </c>
      <c r="OH10" s="7" t="str">
        <f t="shared" si="80"/>
        <v/>
      </c>
      <c r="OI10" s="7" t="str">
        <f t="shared" si="81"/>
        <v/>
      </c>
      <c r="OJ10" s="7" t="str">
        <f t="shared" si="82"/>
        <v/>
      </c>
      <c r="OK10" s="7" t="str">
        <f t="shared" si="83"/>
        <v/>
      </c>
      <c r="OL10" s="7" t="str">
        <f t="shared" si="36"/>
        <v/>
      </c>
      <c r="OM10" s="7" t="str">
        <f>IF(AND(OR('Tube Cutting'!J16="Square Cassette",'Tube Cutting'!J16="Square Cassette with Side Channels",'Tube Cutting'!J16="Square Cassette with Side &amp; Bottom Channels"),'Job Sheet'!L16="Chain Winder",'Job Sheet'!M16="Left"),1,"")</f>
        <v/>
      </c>
      <c r="ON10" s="7" t="str">
        <f>IF(AND(OR('Tube Cutting'!J16="Square Cassette",'Tube Cutting'!J16="Square Cassette with Side Channels",'Tube Cutting'!J16="Square Cassette with Side &amp; Bottom Channels"),'Job Sheet'!L16="Chain Winder",'Job Sheet'!M16="Right"),1,"")</f>
        <v/>
      </c>
      <c r="OO10" s="7" t="str">
        <f>IF(AND(OR('Tube Cutting'!J16="Round Cassette",'Tube Cutting'!J16="Round Cassette with Side Channels",'Tube Cutting'!J16="Round Cassette with Side &amp; Bottom Channels"),'Job Sheet'!L16="Chain Winder",'Job Sheet'!M16="Left"),1,"")</f>
        <v/>
      </c>
      <c r="OP10" s="7" t="str">
        <f>IF(AND(OR('Tube Cutting'!J16="Round Cassette",'Tube Cutting'!J16="Round Cassette with Side Channels",'Tube Cutting'!J16="Round Cassette with Side &amp; Bottom Channels"),'Job Sheet'!L16="Chain Winder",'Job Sheet'!M16="Right"),1,"")</f>
        <v/>
      </c>
      <c r="OQ10" s="7" t="str">
        <f>IF('Tube Cutting'!E16="D30 Bottom Rail with Noise Reducing Strip &amp; Fluffy Strip",'Tube Cutting'!D16,"")</f>
        <v/>
      </c>
      <c r="OR10" s="7" t="str">
        <f>Pelmets!L16</f>
        <v/>
      </c>
      <c r="OS10" s="7" t="str">
        <f>Pelmets!M16</f>
        <v/>
      </c>
      <c r="OT10" s="7" t="str">
        <f t="shared" si="37"/>
        <v/>
      </c>
      <c r="OU10" s="7" t="str">
        <f t="shared" si="38"/>
        <v/>
      </c>
      <c r="OV10" s="7" t="str">
        <f t="shared" si="39"/>
        <v/>
      </c>
      <c r="OW10" s="7" t="str">
        <f t="shared" si="40"/>
        <v/>
      </c>
      <c r="OX10" s="7" t="str">
        <f t="shared" si="41"/>
        <v/>
      </c>
      <c r="OY10" s="7" t="str">
        <f t="shared" si="42"/>
        <v/>
      </c>
      <c r="OZ10" s="7" t="str">
        <f t="shared" si="43"/>
        <v/>
      </c>
      <c r="PA10" s="7" t="str">
        <f t="shared" si="44"/>
        <v/>
      </c>
      <c r="PB10" s="7" t="str">
        <f>IF(AND('Job Sheet'!J16="Reveal",OR('Tube Cutting'!J16="Aluminium Valance",'Tube Cutting'!J16="Aluminium Valance - Fabric Covered")),VLOOKUP('Job Sheet'!G16,PelmetBrackets,2,TRUE),"")</f>
        <v/>
      </c>
      <c r="PC10" s="7" t="str">
        <f>IF(Pelmets!F16="1 x Valance Centre Join Bracket",1,"")</f>
        <v/>
      </c>
      <c r="PD10" s="7" t="str">
        <f>IF(AND(Pelmets!H16="Black",(OR('Tube Cutting'!J16="Aluminium Valance",'Tube Cutting'!J16="Aluminium Valance - Fabric Covered"))),1,"")</f>
        <v/>
      </c>
      <c r="PE10" s="7" t="str">
        <f>IF(AND(Pelmets!H16="White",(OR('Tube Cutting'!J16="Aluminium Valance",'Tube Cutting'!J16="Aluminium Valance - Fabric Covered"))),1,"")</f>
        <v/>
      </c>
      <c r="PF10" s="7" t="str">
        <f>IF(AND(Pelmets!H16="Cream",(OR('Tube Cutting'!J16="Aluminium Valance",'Tube Cutting'!J16="Aluminium Valance - Fabric Covered"))),1,"")</f>
        <v/>
      </c>
      <c r="PG10" s="7" t="str">
        <f>IF(AND(Pelmets!H16="Grey",(OR('Tube Cutting'!J16="Aluminium Valance",'Tube Cutting'!J16="Aluminium Valance - Fabric Covered"))),1,"")</f>
        <v/>
      </c>
      <c r="PH10" s="7" t="str">
        <f>IF('Job Sheet'!AA16="Aluminium Valance - Fabric Covered",AY10,"")</f>
        <v/>
      </c>
      <c r="PI10" s="7" t="str">
        <f t="shared" si="45"/>
        <v/>
      </c>
      <c r="PJ10" s="7" t="str">
        <f t="shared" si="46"/>
        <v/>
      </c>
      <c r="PK10" s="7" t="str">
        <f t="shared" si="47"/>
        <v/>
      </c>
      <c r="PL10" s="7" t="str">
        <f t="shared" si="48"/>
        <v/>
      </c>
      <c r="PM10" s="7" t="str">
        <f>IF('Tube Cutting'!J16="Aluminium Pelmet",Pelmets!F16,"")</f>
        <v/>
      </c>
      <c r="PN10" s="7" t="str">
        <f>IF('Job Sheet'!AA16="Mounting Rail",VLOOKUP('Job Sheet'!G16,PelmetBrackets,2,TRUE),"")</f>
        <v/>
      </c>
      <c r="PO10" s="7" t="str">
        <f>IF('Job Sheet'!AA16="Mounting Rail",4,"")</f>
        <v/>
      </c>
      <c r="PP10" s="7" t="str">
        <f>IF('Tube Cutting'!J16="Zipscreen Hooding",1,"")</f>
        <v/>
      </c>
      <c r="PQ10" s="7" t="str">
        <f>IF(AND(PP10=1,'Job Sheet'!AB16="White"),1,"")</f>
        <v/>
      </c>
      <c r="PR10" s="7" t="str">
        <f>IF(AND(PP10=1,'Job Sheet'!AB16="Black"),1,"")</f>
        <v/>
      </c>
      <c r="PS10" s="7" t="str">
        <f>IF(AND(PP10=1,'Job Sheet'!AB16="Grey"),1,"")</f>
        <v/>
      </c>
      <c r="PT10" s="7" t="str">
        <f>IF(AND(PP10=1,'Job Sheet'!L16="Chain Winder",'Job Sheet'!AV16="60mm"),1,"")</f>
        <v/>
      </c>
      <c r="PU10" s="7" t="str">
        <f t="shared" si="49"/>
        <v/>
      </c>
      <c r="PV10" s="7" t="str">
        <f t="shared" si="50"/>
        <v/>
      </c>
      <c r="PW10" s="7" t="str">
        <f t="shared" si="51"/>
        <v/>
      </c>
    </row>
    <row r="11" spans="4:439" s="7" customFormat="1" ht="12" customHeight="1">
      <c r="D11" s="7" t="str">
        <f>IF('Tube Cutting'!D17="","",CONCATENATE(Data!BC$5,".",Data!BD$5))</f>
        <v/>
      </c>
      <c r="E11" s="7" t="str">
        <f>IF(D11="","",Data!AW17)</f>
        <v/>
      </c>
      <c r="F11" s="7" t="str">
        <f>IF(D11="","",Data!AV17)</f>
        <v/>
      </c>
      <c r="G11" s="7" t="str">
        <f>IF(D11="","",Data!BF$5)</f>
        <v/>
      </c>
      <c r="H11" s="7" t="str">
        <f>IF(D11="","",Data!AX$5)</f>
        <v/>
      </c>
      <c r="I11" s="7" t="str">
        <f>'Job Sheet'!I17</f>
        <v/>
      </c>
      <c r="J11" s="7" t="str">
        <f t="shared" si="52"/>
        <v/>
      </c>
      <c r="K11" s="7" t="str">
        <f>'Fabric Cutting'!F17</f>
        <v/>
      </c>
      <c r="L11" s="7" t="str">
        <f>'Job Sheet'!AZ17</f>
        <v/>
      </c>
      <c r="M11" s="7" t="str">
        <f>IF('Tube Cutting'!C17="38mm",'Tube Cutting'!D17,"")</f>
        <v/>
      </c>
      <c r="N11" s="7" t="str">
        <f>IF('Tube Cutting'!C17="43mm",'Tube Cutting'!D17,"")</f>
        <v/>
      </c>
      <c r="O11" s="7" t="str">
        <f>IF('Tube Cutting'!C17="43mm H/D",'Tube Cutting'!D17,"")</f>
        <v/>
      </c>
      <c r="P11" s="7" t="str">
        <f>IF('Tube Cutting'!C17="60mm",'Tube Cutting'!D17,"")</f>
        <v/>
      </c>
      <c r="Q11" s="7" t="str">
        <f>IF('Tube Cutting'!C17="80mm",'Tube Cutting'!D17,"")</f>
        <v/>
      </c>
      <c r="R11" s="7" t="str">
        <f>IF(AND('Job Sheet'!BD17="Anodised Silver",(OR('Tube Cutting'!E17="D30 Bottom Rail",'Tube Cutting'!E17="D30 Bottom Rail with Noise Reducing Strip",'Tube Cutting'!E17="D30 Bottom Rail with Noise Reducing Strip &amp; Fluffy Strip",'Tube Cutting'!E17="Bottom Rail in Pocket",'Tube Cutting'!E17="Bottom Rail in Pocket with Round Cut Out",'Tube Cutting'!E17="Bottom Rail in Pocket with Square Cut Out"))),'Tube Cutting'!G17,"")</f>
        <v/>
      </c>
      <c r="S11" s="7" t="str">
        <f>IF(AND('Job Sheet'!BD17="White",(OR('Tube Cutting'!E17="D30 Bottom Rail",'Tube Cutting'!E17="D30 Bottom Rail with Noise Reducing Strip",'Tube Cutting'!E17="D30 Bottom Rail with Noise Reducing Strip &amp; Fluffy Strip",'Tube Cutting'!E17="Bottom Rail in Pocket",'Tube Cutting'!E17="Bottom Rail in Pocket with Round Cut Out",'Tube Cutting'!E17="Bottom Rail in Pocket with Square Cut Out"))),'Tube Cutting'!G17,"")</f>
        <v/>
      </c>
      <c r="T11" s="7" t="str">
        <f>IF(AND('Job Sheet'!BD17="Black",(OR('Tube Cutting'!E17="D30 Bottom Rail",'Tube Cutting'!E17="D30 Bottom Rail with Noise Reducing Strip",'Tube Cutting'!E17="D30 Bottom Rail with Noise Reducing Strip &amp; Fluffy Strip",'Tube Cutting'!E17="Bottom Rail in Pocket",'Tube Cutting'!E17="Bottom Rail in Pocket with Round Cut Out",'Tube Cutting'!E17="Bottom Rail in Pocket with Square Cut Out"))),'Tube Cutting'!G17,"")</f>
        <v/>
      </c>
      <c r="U11" s="7" t="str">
        <f>IF(AND('Job Sheet'!BD17="Sandstone",(OR('Tube Cutting'!E17="D30 Bottom Rail",'Tube Cutting'!E17="D30 Bottom Rail with Noise Reducing Strip",'Tube Cutting'!E17="D30 Bottom Rail with Noise Reducing Strip &amp; Fluffy Strip",'Tube Cutting'!E17="Bottom Rail in Pocket",'Tube Cutting'!E17="Bottom Rail in Pocket with Round Cut Out",'Tube Cutting'!E17="Bottom Rail in Pocket with Square Cut Out"))),'Tube Cutting'!G17,"")</f>
        <v/>
      </c>
      <c r="V11" s="7" t="str">
        <f>IF(AND('Job Sheet'!BD17="Bone",(OR('Tube Cutting'!E17="D30 Bottom Rail",'Tube Cutting'!E17="D30 Bottom Rail with Noise Reducing Strip",'Tube Cutting'!E17="D30 Bottom Rail with Noise Reducing Strip &amp; Fluffy Strip",'Tube Cutting'!E17="Bottom Rail in Pocket",'Tube Cutting'!E17="Bottom Rail in Pocket with Round Cut Out",'Tube Cutting'!E17="Bottom Rail in Pocket with Square Cut Out"))),'Tube Cutting'!G17,"")</f>
        <v/>
      </c>
      <c r="W11" s="7" t="str">
        <f t="shared" si="1"/>
        <v/>
      </c>
      <c r="X11" s="7" t="str">
        <f t="shared" si="53"/>
        <v/>
      </c>
      <c r="Y11" s="7" t="str">
        <f t="shared" si="54"/>
        <v/>
      </c>
      <c r="Z11" s="7" t="str">
        <f t="shared" si="55"/>
        <v/>
      </c>
      <c r="AA11" s="7" t="str">
        <f t="shared" si="56"/>
        <v/>
      </c>
      <c r="AB11" s="7" t="str">
        <f>IF('Tube Cutting'!H17="Timber",'Tube Cutting'!G17,IF(AND('Tube Cutting'!E17="Double Lath",'Tube Cutting'!H17="Timber"),'Tube Cutting'!G17*2,""))</f>
        <v/>
      </c>
      <c r="AC11" s="7" t="str">
        <f>IF('Tube Cutting'!I17="","",'Tube Cutting'!I17)</f>
        <v/>
      </c>
      <c r="AD11" s="7" t="str">
        <f>IF(AND('Tube Cutting'!J17="Aluminium Pelmet",'Tube Cutting'!K17="Anodised Silver"),'Tube Cutting'!L17,"")</f>
        <v/>
      </c>
      <c r="AE11" s="7" t="str">
        <f>IF(AND('Tube Cutting'!J17="Aluminium Pelmet",'Tube Cutting'!K17="White"),'Tube Cutting'!L17,"")</f>
        <v/>
      </c>
      <c r="AF11" s="7" t="str">
        <f>IF(AND('Tube Cutting'!J17="Aluminium Pelmet",'Tube Cutting'!K17="Black"),'Tube Cutting'!L17,"")</f>
        <v/>
      </c>
      <c r="AG11" s="7" t="str">
        <f>IF(AND('Tube Cutting'!J17="Aluminium Pelmet",'Tube Cutting'!K17="Cream"),'Tube Cutting'!L17,"")</f>
        <v/>
      </c>
      <c r="AH11" s="7" t="str">
        <f>IF(AND('Tube Cutting'!K17="Black",(OR('Tube Cutting'!J17="Square Cassette",'Tube Cutting'!J17="Round Cassette",'Tube Cutting'!J17="Square Cassette with Side Channels",'Tube Cutting'!J17="Square Cassette with Side &amp; Bottom Channels",'Tube Cutting'!J17="Round Cassette with Side Channels",'Tube Cutting'!J17="Round Cassette with Side &amp; Bottom Channels"))),'Tube Cutting'!L17,"")</f>
        <v/>
      </c>
      <c r="AI11" s="7" t="str">
        <f>IF(AND('Tube Cutting'!K17="White",(OR('Tube Cutting'!J17="Square Cassette",'Tube Cutting'!J17="Round Cassette",'Tube Cutting'!J17="Square Cassette with Side Channels",'Tube Cutting'!J17="Square Cassette with Side &amp; Bottom Channels",'Tube Cutting'!J17="Round Cassette with Side Channels",'Tube Cutting'!J17="Round Cassette with Side &amp; Bottom Channels"))),'Tube Cutting'!L17,"")</f>
        <v/>
      </c>
      <c r="AJ11" s="7" t="str">
        <f>IF(AND('Tube Cutting'!K17="Cream",(OR('Tube Cutting'!J17="Square Cassette",'Tube Cutting'!J17="Round Cassette",'Tube Cutting'!J17="Square Cassette with Side Channels",'Tube Cutting'!J17="Square Cassette with Side &amp; Bottom Channels",'Tube Cutting'!J17="Round Cassette with Side Channels",'Tube Cutting'!J17="Round Cassette with Side &amp; Bottom Channels"))),'Tube Cutting'!L17,"")</f>
        <v/>
      </c>
      <c r="AK11" s="7" t="str">
        <f>IF(AND('Tube Cutting'!K17="Anodised Silver",(OR('Tube Cutting'!J17="Square Cassette",'Tube Cutting'!J17="Round Cassette",'Tube Cutting'!J17="Square Cassette with Side Channels",'Tube Cutting'!J17="Square Cassette with Side &amp; Bottom Channels",'Tube Cutting'!J17="Round Cassette with Side Channels",'Tube Cutting'!J17="Round Cassette with Side &amp; Bottom Channels"))),'Tube Cutting'!L17,"")</f>
        <v/>
      </c>
      <c r="AL11" s="7" t="str">
        <f>IF(AND('Tube Cutting'!K17="White",(OR('Tube Cutting'!J17="Square Cassette",'Tube Cutting'!J17="Square Cassette with Side Channels",'Tube Cutting'!J17="Square Cassette with Side &amp; Bottom Channels"))),'Tube Cutting'!M17,"")</f>
        <v/>
      </c>
      <c r="AM11" s="7" t="str">
        <f>IF(AND('Tube Cutting'!K17="Black",(OR('Tube Cutting'!J17="Square Cassette",'Tube Cutting'!J17="Square Cassette with Side Channels",'Tube Cutting'!J17="Square Cassette with Side &amp; Bottom Channels"))),'Tube Cutting'!M17,"")</f>
        <v/>
      </c>
      <c r="AN11" s="7" t="str">
        <f>IF(AND('Tube Cutting'!K17="Cream",(OR('Tube Cutting'!J17="Square Cassette",'Tube Cutting'!J17="Square Cassette with Side Channels",'Tube Cutting'!J17="Square Cassette with Side &amp; Bottom Channels"))),'Tube Cutting'!M17,"")</f>
        <v/>
      </c>
      <c r="AO11" s="7" t="str">
        <f>IF(AND('Tube Cutting'!K17="Anodised Silver",(OR('Tube Cutting'!J17="Square Cassette",'Tube Cutting'!J17="Square Cassette with Side Channels",'Tube Cutting'!J17="Square Cassette with Side &amp; Bottom Channels"))),'Tube Cutting'!M17,"")</f>
        <v/>
      </c>
      <c r="AP11" s="7" t="str">
        <f>IF(AND('Tube Cutting'!K17="White",(OR('Tube Cutting'!J17="Round Cassette",'Tube Cutting'!J17="Round Cassette with Side Channels",'Tube Cutting'!J17="Round Cassette with Side &amp; Bottom Channels"))),'Tube Cutting'!M17,"")</f>
        <v/>
      </c>
      <c r="AQ11" s="7" t="str">
        <f>IF(AND('Tube Cutting'!K17="Black",(OR('Tube Cutting'!J17="Round Cassette",'Tube Cutting'!J17="Round Cassette with Side Channels",'Tube Cutting'!J17="Round Cassette with Side &amp; Bottom Channels"))),'Tube Cutting'!M17,"")</f>
        <v/>
      </c>
      <c r="AR11" s="7" t="str">
        <f>IF(AND('Tube Cutting'!K17="Cream",(OR('Tube Cutting'!J17="Round Cassette",'Tube Cutting'!J17="Round Cassette with Side Channels",'Tube Cutting'!J17="Round Cassette with Side &amp; Bottom Channels"))),'Tube Cutting'!M17,"")</f>
        <v/>
      </c>
      <c r="AS11" s="7" t="str">
        <f>IF(AND('Tube Cutting'!K17="Anodised Silver",(OR('Tube Cutting'!J17="Round Cassette",'Tube Cutting'!J17="Round Cassette with Side Channels",'Tube Cutting'!J17="Round Cassette with Side &amp; Bottom Channels"))),'Tube Cutting'!M17,"")</f>
        <v/>
      </c>
      <c r="AT11" s="7" t="str">
        <f>IF(AND('Tube Cutting'!K17="White",(OR('Tube Cutting'!J17="Square Cassette with Side Channels",'Tube Cutting'!J17="Round Cassette with Side Channels",'Tube Cutting'!J17="Side Channels"))),CONCATENATE('Job Sheet'!H17-VLOOKUP(CONCATENATE('Job Sheet'!AA17,'Job Sheet'!J17,'Job Sheet'!AR17),PelmetDeduct,5,FALSE))*2,IF(AND('Tube Cutting'!K17="White",(OR('Tube Cutting'!J17="Square Cassette with Side &amp; Bottom Channels",'Tube Cutting'!J17="Round Cassette with Side &amp; Bottom Channels"))),CONCATENATE(('Job Sheet'!H17-VLOOKUP(CONCATENATE('Job Sheet'!AA17,'Job Sheet'!J17,'Job Sheet'!AR17),PelmetDeduct,5,FALSE))*2)+'Job Sheet'!BA17-110,""))</f>
        <v/>
      </c>
      <c r="AU11" s="7" t="str">
        <f>IF(AND('Tube Cutting'!K17="Black",(OR('Tube Cutting'!J17="Square Cassette with Side Channels",'Tube Cutting'!J17="Round Cassette with Side Channels",'Tube Cutting'!J17="Side Channels"))),CONCATENATE('Job Sheet'!H17-VLOOKUP(CONCATENATE('Job Sheet'!AA17,'Job Sheet'!J17,'Job Sheet'!AR17),PelmetDeduct,5,FALSE))*2,IF(AND('Tube Cutting'!K17="Black",(OR('Tube Cutting'!J17="Square Cassette with Side &amp; Bottom Channels",'Tube Cutting'!J17="Round Cassette with Side &amp; Bottom Channels"))),CONCATENATE(('Job Sheet'!H17-VLOOKUP(CONCATENATE('Job Sheet'!AA17,'Job Sheet'!J17,'Job Sheet'!AR17),PelmetDeduct,5,FALSE))*2)+'Job Sheet'!BA17-110,""))</f>
        <v/>
      </c>
      <c r="AV11" s="7" t="str">
        <f>IF(AND('Tube Cutting'!K17="Cream",(OR('Tube Cutting'!J17="Square Cassette with Side Channels",'Tube Cutting'!J17="Round Cassette with Side Channels",'Tube Cutting'!J17="Side Channels"))),CONCATENATE('Job Sheet'!H17-VLOOKUP(CONCATENATE('Job Sheet'!AA17,'Job Sheet'!J17,'Job Sheet'!AR17),PelmetDeduct,5,FALSE))*2,IF(AND('Tube Cutting'!K17="Cream",(OR('Tube Cutting'!J17="Square Cassette with Side &amp; Bottom Channels",'Tube Cutting'!J17="Round Cassette with Side &amp; Bottom Channels"))),CONCATENATE(('Job Sheet'!H17-VLOOKUP(CONCATENATE('Job Sheet'!AA17,'Job Sheet'!J17,'Job Sheet'!AR17),PelmetDeduct,5,FALSE))*2)+'Job Sheet'!BA17-110,""))</f>
        <v/>
      </c>
      <c r="AW11" s="7" t="str">
        <f>IF(AND('Tube Cutting'!K17="Anodised Silver",(OR('Tube Cutting'!J17="Square Cassette with Side Channels",'Tube Cutting'!J17="Round Cassette with Side Channels",'Tube Cutting'!J17="Side Channels"))),CONCATENATE('Job Sheet'!H17-VLOOKUP(CONCATENATE('Job Sheet'!AA17,'Job Sheet'!J17,'Job Sheet'!AR17),PelmetDeduct,5,FALSE))*2,IF(AND('Tube Cutting'!K17="Anodised Silver",(OR('Tube Cutting'!J17="Square Cassette with Side &amp; Bottom Channels",'Tube Cutting'!J17="Round Cassette with Side &amp; Bottom Channels"))),CONCATENATE(('Job Sheet'!H17-VLOOKUP(CONCATENATE('Job Sheet'!AA17,'Job Sheet'!J17,'Job Sheet'!AR17),PelmetDeduct,5,FALSE))*2)+'Job Sheet'!BA17-110,""))</f>
        <v/>
      </c>
      <c r="AX11" s="7" t="str">
        <f>IF('Tube Cutting'!J17="Aluminium Valance - Fabric Covered",'Tube Cutting'!M17,"")</f>
        <v/>
      </c>
      <c r="AY11" s="7" t="str">
        <f>IF(AND('Tube Cutting'!K17="White",'Tube Cutting'!J17="Aluminium Valance"),'Tube Cutting'!M17,"")</f>
        <v/>
      </c>
      <c r="AZ11" s="7" t="str">
        <f>IF(AND('Tube Cutting'!K17="Black",'Tube Cutting'!J17="Aluminium Valance"),'Tube Cutting'!M17,"")</f>
        <v/>
      </c>
      <c r="BA11" s="7" t="str">
        <f>IF(AND('Tube Cutting'!K17="Anodised Silver",'Tube Cutting'!J17="Aluminium Valance"),'Tube Cutting'!M17,"")</f>
        <v/>
      </c>
      <c r="BB11" s="7" t="str">
        <f>'Tube Cutting'!O17</f>
        <v/>
      </c>
      <c r="BC11" s="7" t="str">
        <f>IF('Tube Cutting'!J17="Zipscreen Hooding",'Tube Cutting'!L17,"")</f>
        <v/>
      </c>
      <c r="BD11" s="7" t="str">
        <f>IF('Tube Cutting'!J17="Zipscreen Hooding",'Tube Cutting'!M17,"")</f>
        <v/>
      </c>
      <c r="BE11" s="7" t="str">
        <f>IF(AND('Assembly(b)'!E17="38mm",'Job Sheet'!BE17="White",'Assembly(b)'!F17="Chain Winder"),1,"")</f>
        <v/>
      </c>
      <c r="BF11" s="7" t="str">
        <f>IF(AND('Assembly(b)'!E17="38mm",'Job Sheet'!BE17="Black",'Assembly(b)'!F17="Chain Winder"),1,"")</f>
        <v/>
      </c>
      <c r="BG11" s="7" t="str">
        <f>IF(AND('Assembly(b)'!E17="38mm",'Job Sheet'!BE17="Birch White",'Job Sheet'!L17="Chain Winder"),1,"")</f>
        <v/>
      </c>
      <c r="BH11" s="7" t="str">
        <f>IF(AND('Assembly(b)'!E17="38mm",'Job Sheet'!BE17="Grey",'Assembly(b)'!F17="Chain Winder"),1,"")</f>
        <v/>
      </c>
      <c r="BI11" s="7" t="str">
        <f>IF(AND('Assembly(b)'!E17="38mm",'Job Sheet'!BE17="Beige",'Assembly(b)'!F17="Chain Winder"),1,"")</f>
        <v/>
      </c>
      <c r="BJ11" s="7" t="str">
        <f>IF(AND('Assembly(b)'!E17="38mm",'Job Sheet'!BE17="White",'Assembly(b)'!F17="Chain Winder Fixed Guide"),1,"")</f>
        <v/>
      </c>
      <c r="BK11" s="7" t="str">
        <f>IF(AND('Assembly(b)'!E17="38mm",'Job Sheet'!BE17="Black",'Assembly(b)'!F17="Chain Winder Fixed Guide"),1,"")</f>
        <v/>
      </c>
      <c r="BL11" s="7" t="str">
        <f>IF(AND('Assembly(b)'!E17="38mm",'Job Sheet'!BE17="Birch White",'Assembly(b)'!F17="Chain Winder Fixed Guide"),1,"")</f>
        <v/>
      </c>
      <c r="BM11" s="7" t="str">
        <f>IF(AND('Assembly(b)'!E17="38mm",'Job Sheet'!BE17="Grey",'Assembly(b)'!F17="Chain Winder Fixed Guide"),1,"")</f>
        <v/>
      </c>
      <c r="BN11" s="7" t="str">
        <f>IF(AND('Assembly(b)'!E17="38mm",'Job Sheet'!BE17="Beige",'Assembly(b)'!F17="Chain Winder Fixed Guide"),1,"")</f>
        <v/>
      </c>
      <c r="BO11" s="7" t="str">
        <f>IF(AND('Job Sheet'!BE17="White",'Assembly(b)'!F17="Chain Winder",(OR('Assembly(b)'!E17="43mm",'Assembly(b)'!E17="43mm H/D"))),1,"")</f>
        <v/>
      </c>
      <c r="BP11" s="7" t="str">
        <f>IF(AND('Job Sheet'!BE17="Black",'Assembly(b)'!F17="Chain Winder",(OR('Assembly(b)'!E17="43mm",'Assembly(b)'!E17="43mm H/D"))),1,"")</f>
        <v/>
      </c>
      <c r="BQ11" s="7" t="str">
        <f>IF(AND('Job Sheet'!BE17="Birch White",'Assembly(b)'!F17="Chain Winder",(OR('Assembly(b)'!E17="43mm",'Assembly(b)'!E17="43mm H/D"))),1,"")</f>
        <v/>
      </c>
      <c r="BR11" s="7" t="str">
        <f>IF(AND('Job Sheet'!BE17="Grey",'Assembly(b)'!F17="Chain Winder",(OR('Assembly(b)'!E17="43mm",'Assembly(b)'!E17="43mm H/D"))),1,"")</f>
        <v/>
      </c>
      <c r="BS11" s="7" t="str">
        <f>IF(AND('Job Sheet'!BE17="Beige",'Assembly(b)'!F17="Chain Winder",(OR('Assembly(b)'!E17="43mm",'Assembly(b)'!E17="43mm H/D"))),1,"")</f>
        <v/>
      </c>
      <c r="BT11" s="7" t="str">
        <f>IF(AND('Job Sheet'!BE17="White",'Assembly(b)'!F17="Chain Winder Fixed Guide",(OR('Assembly(b)'!E17="43mm",'Assembly(b)'!E17="43mm H/D"))),1,"")</f>
        <v/>
      </c>
      <c r="BU11" s="7" t="str">
        <f>IF(AND('Job Sheet'!BE17="Black",'Assembly(b)'!F17="Chain Winder Fixed Guide",(OR('Assembly(b)'!E17="43mm",'Assembly(b)'!E17="43mm H/D"))),1,"")</f>
        <v/>
      </c>
      <c r="BV11" s="7" t="str">
        <f>IF(AND('Job Sheet'!BE17="Birch White",'Assembly(b)'!F17="Chain Winder Fixed Guide",(OR('Assembly(b)'!E17="43mm",'Assembly(b)'!E17="43mm H/D"))),1,"")</f>
        <v/>
      </c>
      <c r="BW11" s="7" t="str">
        <f>IF(AND('Job Sheet'!BE17="Grey",'Assembly(b)'!F17="Chain Winder Fixed Guide",(OR('Assembly(b)'!E17="43mm",'Assembly(b)'!E17="43mm H/D"))),1,"")</f>
        <v/>
      </c>
      <c r="BX11" s="7" t="str">
        <f>IF(AND('Job Sheet'!BE17="Beige",'Assembly(b)'!F17="Chain Winder Fixed Guide",(OR('Assembly(b)'!E17="43mm",'Assembly(b)'!E17="43mm H/D"))),1,"")</f>
        <v/>
      </c>
      <c r="BY11" s="7" t="str">
        <f>IF(Data!AV17="","",IF(AND('Job Sheet'!BE17="White",VLOOKUP('Job Sheet'!AR17,ControlDeduct,3,FALSE)="Yes"),1,""))</f>
        <v/>
      </c>
      <c r="BZ11" s="7" t="str">
        <f>IF(Data!AV17="","",IF(AND('Job Sheet'!BE17="Black",VLOOKUP('Job Sheet'!AR17,ControlDeduct,3,FALSE)="Yes"),1,""))</f>
        <v/>
      </c>
      <c r="CA11" s="7" t="str">
        <f>IF(Data!AV17="","",IF(AND('Job Sheet'!BE17="Birch White",VLOOKUP('Job Sheet'!AR17,ControlDeduct,3,FALSE)="Yes"),1,""))</f>
        <v/>
      </c>
      <c r="CB11" s="7" t="str">
        <f>IF(Data!AV17="","",IF(AND('Job Sheet'!BE17="Grey",VLOOKUP('Job Sheet'!AR17,ControlDeduct,3,FALSE)="Yes"),1,""))</f>
        <v/>
      </c>
      <c r="CC11" s="7" t="str">
        <f>IF(Data!AV17="","",IF(AND('Job Sheet'!BE17="Beige",VLOOKUP('Job Sheet'!AR17,ControlDeduct,3,FALSE)="Yes"),1,""))</f>
        <v/>
      </c>
      <c r="CD11" s="7" t="str">
        <f>IF(AND('Job Sheet'!BE17="White",(OR(Bagging!D17="Single",Bagging!D17="Single with Covers",Bagging!D17="Single &amp; Single Linked"))),1,"")</f>
        <v/>
      </c>
      <c r="CE11" s="7" t="str">
        <f>IF(AND('Job Sheet'!BE17="Black",(OR(Bagging!D17="Single",Bagging!D17="Single with Covers",Bagging!D17="Single &amp; Single Linked"))),1,"")</f>
        <v/>
      </c>
      <c r="CF11" s="7" t="str">
        <f>IF(AND('Job Sheet'!BE17="Birch White",(OR(Bagging!D17="Single",Bagging!D17="Single with Covers",Bagging!D17="Single &amp; Single Linked"))),1,"")</f>
        <v/>
      </c>
      <c r="CG11" s="7" t="str">
        <f>IF(AND('Job Sheet'!BE17="Grey",(OR(Bagging!D17="Single",Bagging!D17="Single with Covers",Bagging!D17="Single &amp; Single Linked"))),1,"")</f>
        <v/>
      </c>
      <c r="CH11" s="7" t="str">
        <f>IF(AND('Job Sheet'!BE17="Beige",(OR(Bagging!D17="Single",Bagging!D17="Single with Covers",Bagging!D17="Single &amp; Single Linked"))),1,"")</f>
        <v/>
      </c>
      <c r="CI11" s="7" t="str">
        <f>IF(AND('Job Sheet'!BE17="White",(OR(Bagging!D17="Single Extension",Bagging!D17="Single Extension with Extension Covers",Bagging!D17="Single Extension &amp; Single Extension Linked",Bagging!D17="Single Extension with Extension Covers &amp; Single Extension Linked"))),1,"")</f>
        <v/>
      </c>
      <c r="CJ11" s="7" t="str">
        <f>IF(AND('Job Sheet'!BE17="Black",(OR(Bagging!D17="Single Extension",Bagging!D17="Single Extension with Extension Covers",Bagging!D17="Single Extension &amp; Single Extension Linked",Bagging!D17="Single Extension with Extension Covers &amp; Single Extension Linked"))),1,"")</f>
        <v/>
      </c>
      <c r="CK11" s="7" t="str">
        <f>IF(AND('Job Sheet'!BE17="Birch White",(OR(Bagging!D17="Single Extension",Bagging!D17="Single Extension with Extension Covers",Bagging!D17="Single Extension &amp; Single Extension Linked",Bagging!D17="Single Extension with Extension Covers &amp; Single Extension Linked"))),1,"")</f>
        <v/>
      </c>
      <c r="CL11" s="7" t="str">
        <f>IF(AND('Job Sheet'!BE17="Grey",(OR(Bagging!D17="Single Extension",Bagging!D17="Single Extension with Extension Covers",Bagging!D17="Single Extension &amp; Single Extension Linked",Bagging!D17="Single Extension with Extension Covers &amp; Single Extension Linked"))),1,"")</f>
        <v/>
      </c>
      <c r="CM11" s="7" t="str">
        <f>IF(AND('Job Sheet'!BE17="Beige",(OR(Bagging!D17="Single Extension",Bagging!D17="Single Extension with Extension Covers",Bagging!D17="Single Extension &amp; Single Extension Linked",Bagging!D17="Single Extension with Extension Covers &amp; Single Extension Linked"))),1,"")</f>
        <v/>
      </c>
      <c r="CN11" s="7" t="str">
        <f>IF(AND('Job Sheet'!BE17="White",(OR(Bagging!D17="Single Motor Brackets",Bagging!D17="Single Motor Brackets with Covers"))),1,"")</f>
        <v/>
      </c>
      <c r="CO11" s="7" t="str">
        <f>IF(AND('Job Sheet'!BE17="Black",(OR(Bagging!D17="Single Motor Brackets",Bagging!D17="Single Motor Brackets with Covers"))),1,"")</f>
        <v/>
      </c>
      <c r="CP11" s="7" t="str">
        <f>IF(AND('Job Sheet'!BE17="White",(OR(Bagging!D17="Single Motor Extension Brackets",Bagging!D17="Single Motor Extension Brackets with Extension Covers"))),1,"")</f>
        <v/>
      </c>
      <c r="CQ11" s="7" t="str">
        <f>IF(AND('Job Sheet'!BE17="Black",(OR(Bagging!D17="Single Motor Extension Brackets",Bagging!D17="Single Motor Extension Brackets with Extension Covers"))),1,"")</f>
        <v/>
      </c>
      <c r="CR11" s="7" t="str">
        <f>IF(AND('Job Sheet'!BE17="White",OR(Bagging!D17="Single with Covers",Bagging!D17="Single Motor Brackets with Covers")),1,"")</f>
        <v/>
      </c>
      <c r="CS11" s="7" t="str">
        <f>IF(AND('Job Sheet'!BE17="Black",OR(Bagging!D17="Single with Covers",Bagging!D17="Single Motor Brackets with Covers")),1,"")</f>
        <v/>
      </c>
      <c r="CT11" s="7" t="str">
        <f>IF(AND('Job Sheet'!BE17="Birch White",OR(Bagging!D17="Single with Covers",Bagging!D17="Single Motor Brackets with Covers")),1,"")</f>
        <v/>
      </c>
      <c r="CU11" s="7" t="str">
        <f>IF(AND('Job Sheet'!BE17="Grey",OR(Bagging!D17="Single with Covers",Bagging!D17="Single Motor Brackets with Covers")),1,"")</f>
        <v/>
      </c>
      <c r="CV11" s="7" t="str">
        <f>IF(AND('Job Sheet'!BE17="Beige",OR(Bagging!D17="Single with Covers",Bagging!D17="Single Motor Brackets with Covers")),1,"")</f>
        <v/>
      </c>
      <c r="CW11" s="7" t="str">
        <f>IF(AND('Job Sheet'!BE17="White",OR(Bagging!D17="Single Extension with Extension Covers",Bagging!D17="Single Motor Extension Brackets with Extension Covers",Bagging!D17="Single Extension with Extension Covers &amp; Single Extension Linked")),1,"")</f>
        <v/>
      </c>
      <c r="CX11" s="7" t="str">
        <f>IF(AND('Job Sheet'!BE17="Black",OR(Bagging!D17="Single Extension with Extension Covers",Bagging!D17="Single Motor Extension Brackets with Extension Covers",Bagging!D17="Single Extension with Extension Covers &amp; Single Extension Linked")),1,"")</f>
        <v/>
      </c>
      <c r="CY11" s="7" t="str">
        <f>IF(AND('Job Sheet'!BE17="Birch White",OR(Bagging!D17="Single Extension with Extension Covers",Bagging!D17="Single Motor Extension Brackets with Extension Covers",Bagging!D17="Single Extension with Extension Covers &amp; Single Extension Linked")),1,"")</f>
        <v/>
      </c>
      <c r="CZ11" s="7" t="str">
        <f>IF(AND('Job Sheet'!BE17="Grey",OR(Bagging!D17="Single Extension with Extension Covers",Bagging!D17="Single Motor Extension Brackets with Extension Covers",Bagging!D17="Single Extension with Extension Covers &amp; Single Extension Linked")),1,"")</f>
        <v/>
      </c>
      <c r="DA11" s="7" t="str">
        <f>IF(AND('Job Sheet'!BE17="Beige",OR(Bagging!D17="Single Extension with Extension Covers",Bagging!D17="Single Motor Extension Brackets with Extension Covers",Bagging!D17="Single Extension with Extension Covers &amp; Single Extension Linked")),1,"")</f>
        <v/>
      </c>
      <c r="DB11" s="7" t="str">
        <f>IF(AND(Bagging!D17="Dual Opposite Side",'Job Sheet'!BE17="White"),1,"")</f>
        <v/>
      </c>
      <c r="DC11" s="7" t="str">
        <f>IF(AND(Bagging!D17="Dual Opposite Side",'Job Sheet'!BE17="Black"),1,"")</f>
        <v/>
      </c>
      <c r="DD11" s="7" t="str">
        <f>IF(AND(Bagging!D17="Dual Opposite Side",'Job Sheet'!BE17="Birch White"),1,"")</f>
        <v/>
      </c>
      <c r="DE11" s="7" t="str">
        <f>IF(AND(Bagging!D17="Dual Opposite Side",'Job Sheet'!BE17="Grey"),1,"")</f>
        <v/>
      </c>
      <c r="DF11" s="7" t="str">
        <f>IF(AND(Bagging!D17="Dual Opposite Side",'Job Sheet'!BE17="Beige"),1,"")</f>
        <v/>
      </c>
      <c r="DG11" s="7" t="str">
        <f>IF(AND('Job Sheet'!BE17="White",(OR(Bagging!D17="Dual Same Side",Bagging!D17="Dual Same Side &amp; Dual Linked"))),1,"")</f>
        <v/>
      </c>
      <c r="DH11" s="7" t="str">
        <f>IF(AND('Job Sheet'!BE17="Black",(OR(Bagging!D17="Dual Same Side",Bagging!D17="Dual Same Side &amp; Dual Linked"))),1,"")</f>
        <v/>
      </c>
      <c r="DI11" s="7" t="str">
        <f>IF(AND('Job Sheet'!BE17="Birch White",(OR(Bagging!D17="Dual Same Side",Bagging!D17="Dual Same Side &amp; Dual Linked"))),1,"")</f>
        <v/>
      </c>
      <c r="DJ11" s="7" t="str">
        <f>IF(AND('Job Sheet'!BE17="Grey",(OR(Bagging!D17="Dual Same Side",Bagging!D17="Dual Same Side &amp; Dual Linked"))),1,"")</f>
        <v/>
      </c>
      <c r="DK11" s="7" t="str">
        <f>IF(AND('Job Sheet'!BE17="Beige",(OR(Bagging!D17="Dual Same Side",Bagging!D17="Dual Same Side &amp; Dual Linked"))),1,"")</f>
        <v/>
      </c>
      <c r="DL11" s="7" t="str">
        <f>IF(AND('Job Sheet'!BE17="White",(OR(Bagging!D17="Slimline Dual Top Blind Front Roll LHS Control",Bagging!D17="Slimline Dual Top Blind Front Roll LHS Control &amp; Dual Slimline Linked Top Blind Front Roll"))),1,"")</f>
        <v/>
      </c>
      <c r="DM11" s="7" t="str">
        <f>IF(AND('Job Sheet'!BE17="White",(OR(Bagging!D17="Slimline Dual Top Blind Front Roll RHS Control",Bagging!D17="Slimline Dual Top Blind Front Roll RHS Control &amp; Dual Slimline Linked Top Blind Front Roll"))),1,"")</f>
        <v/>
      </c>
      <c r="DN11" s="7" t="str">
        <f>IF(AND('Job Sheet'!BE17="Black",(OR(Bagging!D17="Slimline Dual Top Blind Front Roll LHS Control",Bagging!D17="Slimline Dual Top Blind Front Roll LHS Control &amp; Dual Slimline Linked Top Blind Front Roll"))),1,"")</f>
        <v/>
      </c>
      <c r="DO11" s="7" t="str">
        <f>IF(AND('Job Sheet'!BE17="Black",(OR(Bagging!D17="Slimline Dual Top Blind Front Roll RHS Control",Bagging!D17="Slimline Dual Top Blind Front Roll RHS Control &amp; Dual Slimline Linked Top Blind Front Roll"))),1,"")</f>
        <v/>
      </c>
      <c r="DP11" s="7" t="str">
        <f>IF(AND('Job Sheet'!BE17="Birch White",(OR(Bagging!D17="Slimline Dual Top Blind Front Roll LHS Control",Bagging!D17="Slimline Dual Top Blind Front Roll LHS Control &amp; Dual Slimline Linked Top Blind Front Roll"))),1,"")</f>
        <v/>
      </c>
      <c r="DQ11" s="7" t="str">
        <f>IF(AND('Job Sheet'!BE17="Birch White",(OR(Bagging!D17="Slimline Dual Top Blind Front Roll RHS Control",Bagging!D17="Slimline Dual Top Blind Front Roll RHS Control &amp; Dual Slimline Linked Top Blind Front Roll"))),1,"")</f>
        <v/>
      </c>
      <c r="DR11" s="7" t="str">
        <f>IF(AND('Job Sheet'!BE17="Grey",(OR(Bagging!D17="Slimline Dual Top Blind Front Roll LHS Control",Bagging!D17="Slimline Dual Top Blind Front Roll LHS Control &amp; Dual Slimline Linked Top Blind Front Roll"))),1,"")</f>
        <v/>
      </c>
      <c r="DS11" s="7" t="str">
        <f>IF(AND('Job Sheet'!BE17="Grey",(OR(Bagging!D17="Slimline Dual Top Blind Front Roll RHS Control",Bagging!D17="Slimline Dual Top Blind Front Roll RHS Control &amp; Dual Slimline Linked Top Blind Front Roll"))),1,"")</f>
        <v/>
      </c>
      <c r="DT11" s="7" t="str">
        <f>IF(AND('Job Sheet'!BE17="Beige",(OR(Bagging!D17="Slimline Dual Top Blind Front Roll LHS Control",Bagging!D17="Slimline Dual Top Blind Front Roll LHS Control &amp; Dual Slimline Linked Top Blind Front Roll"))),1,"")</f>
        <v/>
      </c>
      <c r="DU11" s="7" t="str">
        <f>IF(AND('Job Sheet'!BE17="Beige",(OR(Bagging!D17="Slimline Dual Top Blind Front Roll RHS Control",Bagging!D17="Slimline Dual Top Blind Front Roll RHS Control &amp; Dual Slimline Linked Top Blind Front Roll"))),1,"")</f>
        <v/>
      </c>
      <c r="DV11" s="7" t="str">
        <f>IF(AND('Job Sheet'!BE17="White",(OR(Bagging!D17="Slimline Dual Top Blind Back Roll LHS Control",Bagging!D17="Slimline Dual Top Blind Back Roll LHS Control &amp; Dual Slimline Linked Top Blind Back Roll"))),1,"")</f>
        <v/>
      </c>
      <c r="DW11" s="7" t="str">
        <f>IF(AND('Job Sheet'!BE17="White",(OR(Bagging!D17="Slimline Dual Top Blind Back Roll RHS Control",Bagging!D17="Slimline Dual Top Blind Back Roll LHS Control &amp; Dual Slimline Linked Top Blind Back Roll"))),1,"")</f>
        <v/>
      </c>
      <c r="DX11" s="7" t="str">
        <f>IF(AND('Job Sheet'!BE17="Black",(OR(Bagging!D17="Slimline Dual Top Blind Back Roll LHS Control",Bagging!D17="Slimline Dual Top Blind Back Roll LHS Control &amp; Dual Slimline Linked Top Blind Back Roll"))),1,"")</f>
        <v/>
      </c>
      <c r="DY11" s="7" t="str">
        <f>IF(AND('Job Sheet'!BE17="Black",(OR(Bagging!D17="Slimline Dual Top Blind Back Roll RHS Control",Bagging!D17="Slimline Dual Top Blind Back Roll LHS Control &amp; Dual Slimline Linked Top Blind Back Roll"))),1,"")</f>
        <v/>
      </c>
      <c r="DZ11" s="7" t="str">
        <f>IF(AND('Job Sheet'!BE17="Birch White",(OR(Bagging!D17="Slimline Dual Top Blind Back Roll LHS Control",Bagging!D17="Slimline Dual Top Blind Back Roll LHS Control &amp; Dual Slimline Linked Top Blind Back Roll"))),1,"")</f>
        <v/>
      </c>
      <c r="EA11" s="7" t="str">
        <f>IF(AND('Job Sheet'!BE17="Birch White",(OR(Bagging!D17="Slimline Dual Top Blind Back Roll RHS Control",Bagging!D17="Slimline Dual Top Blind Back Roll LHS Control &amp; Dual Slimline Linked Top Blind Back Roll"))),1,"")</f>
        <v/>
      </c>
      <c r="EB11" s="7" t="str">
        <f>IF(AND('Job Sheet'!BE17="Grey",(OR(Bagging!D17="Slimline Dual Top Blind Back Roll LHS Control",Bagging!D17="Slimline Dual Top Blind Back Roll LHS Control &amp; Dual Slimline Linked Top Blind Back Roll"))),1,"")</f>
        <v/>
      </c>
      <c r="EC11" s="7" t="str">
        <f>IF(AND('Job Sheet'!BE17="Grey",(OR(Bagging!D17="Slimline Dual Top Blind Back Roll RHS Control",Bagging!D17="Slimline Dual Top Blind Back Roll LHS Control &amp; Dual Slimline Linked Top Blind Back Roll"))),1,"")</f>
        <v/>
      </c>
      <c r="ED11" s="7" t="str">
        <f>IF(AND('Job Sheet'!BE17="Beige",(OR(Bagging!D17="Slimline Dual Top Blind Back Roll LHS Control",Bagging!D17="Slimline Dual Top Blind Back Roll LHS Control &amp; Dual Slimline Linked Top Blind Back Roll"))),1,"")</f>
        <v/>
      </c>
      <c r="EE11" s="7" t="str">
        <f>IF(AND('Job Sheet'!BE17="Beige",(OR(Bagging!D17="Slimline Dual Top Blind Back Roll RHS Control",Bagging!D17="Slimline Dual Top Blind Back Roll LHS Control &amp; Dual Slimline Linked Top Blind Back Roll"))),1,"")</f>
        <v/>
      </c>
      <c r="EF11" s="7" t="str">
        <f>IF(AND('Job Sheet'!BE17="White",(OR(Bagging!D17="Linked",Bagging!D17="Single &amp; Single Linked"))),1,IF(AND(Bagging!D17="Linked(2 Sets)",'Job Sheet'!BE17="White"),2,""))</f>
        <v/>
      </c>
      <c r="EG11" s="7" t="str">
        <f>IF(AND('Job Sheet'!BE17="Black",(OR(Bagging!D17="Linked",Bagging!D17="Single &amp; Single Linked"))),1,IF(AND(Bagging!D17="Linked(2 Sets)",'Job Sheet'!BE17="Black"),2,""))</f>
        <v/>
      </c>
      <c r="EH11" s="7" t="str">
        <f>IF(AND('Job Sheet'!BE17="Birch White",(OR(Bagging!D17="Linked",Bagging!D17="Single &amp; Single Linked"))),1,IF(AND(Bagging!D17="Linked(2 Sets)",'Job Sheet'!BE17="Birch White"),2,""))</f>
        <v/>
      </c>
      <c r="EI11" s="7" t="str">
        <f>IF(AND('Job Sheet'!BE17="Grey",(OR(Bagging!D17="Linked",Bagging!D17="Single &amp; Single Linked"))),1,IF(AND(Bagging!D17="Linked(2 Sets)",'Job Sheet'!BE17="Grey"),2,""))</f>
        <v/>
      </c>
      <c r="EJ11" s="7" t="str">
        <f>IF(AND('Job Sheet'!BE17="Beige",(OR(Bagging!D17="Linked",Bagging!D17="Single &amp; Single Linked"))),1,IF(AND(Bagging!D17="Linked(2 Sets)",'Job Sheet'!BE17="Beige"),2,""))</f>
        <v/>
      </c>
      <c r="EK11" s="7" t="str">
        <f>IF(AND('Job Sheet'!BE17="White",(OR(Bagging!D17="Single Extension Linked",Bagging!D17="Single Extension &amp; Single Extension Linked",Bagging!D17="Single Extension with Extension Covers &amp; Single Extension Linked"))),1,IF(AND(Bagging!D17="Single Extension Linked(2 Sets)",'Job Sheet'!BE17="White"),2,""))</f>
        <v/>
      </c>
      <c r="EL11" s="7" t="str">
        <f>IF(AND('Job Sheet'!BE17="Black",(OR(Bagging!D17="Single Extension Linked",Bagging!D17="Single Extension &amp; Single Extension Linked",Bagging!D17="Single Extension with Extension Covers &amp; Single Extension Linked"))),1,IF(AND(Bagging!D17="Single Extension Linked(2 Sets)",'Job Sheet'!BE17="Black"),2,""))</f>
        <v/>
      </c>
      <c r="EM11" s="7" t="str">
        <f>IF(AND('Job Sheet'!BE17="Birch White",(OR(Bagging!D17="Single Extension Linked",Bagging!D17="Single Extension &amp; Single Extension Linked",Bagging!D17="Single Extension with Extension Covers &amp; Single Extension Linked"))),1,IF(AND(Bagging!D17="Single Extension Linked(2 Sets)",'Job Sheet'!BE17="Birch White"),2,""))</f>
        <v/>
      </c>
      <c r="EN11" s="7" t="str">
        <f>IF(AND('Job Sheet'!BE17="Grey",(OR(Bagging!D17="Single Extension Linked",Bagging!D17="Single Extension &amp; Single Extension Linked",Bagging!D17="Single Extension with Extension Covers &amp; Single Extension Linked"))),1,IF(AND(Bagging!D17="Single Extension Linked(2 Sets)",'Job Sheet'!BE17="Grey"),2,""))</f>
        <v/>
      </c>
      <c r="EO11" s="7" t="str">
        <f>IF(AND('Job Sheet'!BE17="Beige",(OR(Bagging!D17="Single Extension Linked",Bagging!D17="Single Extension &amp; Single Extension Linked",Bagging!D17="Single Extension with Extension Covers &amp; Single Extension Linked"))),1,IF(AND(Bagging!D17="Single Extension Linked(2 Sets)",'Job Sheet'!BE17="Beige"),2,""))</f>
        <v/>
      </c>
      <c r="EP11" s="7" t="str">
        <f>IF(AND('Job Sheet'!BE17="White",(OR(Bagging!D17="Dual Linked",Bagging!D17="Dual Same Side &amp; Dual Linked"))),1,IF(AND(Bagging!D17="Dual Linked(2 Sets)",'Job Sheet'!BE17="White"),2,""))</f>
        <v/>
      </c>
      <c r="EQ11" s="7" t="str">
        <f>IF(AND('Job Sheet'!BE17="Black",(OR(Bagging!D17="Dual Linked",Bagging!D17="Dual Same Side &amp; Dual Linked"))),1,IF(AND(Bagging!D17="Dual Linked(2 Sets)",'Job Sheet'!BE17="Black"),2,""))</f>
        <v/>
      </c>
      <c r="ER11" s="7" t="str">
        <f>IF(AND('Job Sheet'!BE17="Birch White",(OR(Bagging!D17="Dual Linked",Bagging!D17="Dual Same Side &amp; Dual Linked"))),1,IF(AND(Bagging!D17="Dual Linked(2 Sets)",'Job Sheet'!BE17="Birch White"),2,""))</f>
        <v/>
      </c>
      <c r="ES11" s="7" t="str">
        <f>IF(AND('Job Sheet'!BE17="Grey",(OR(Bagging!D17="Dual Linked",Bagging!D17="Dual Same Side &amp; Dual Linked"))),1,IF(AND(Bagging!D17="Dual Linked(2 Sets)",'Job Sheet'!BE17="Grey"),2,""))</f>
        <v/>
      </c>
      <c r="ET11" s="7" t="str">
        <f>IF(AND('Job Sheet'!BE17="Beige",(OR(Bagging!D17="Dual Linked",Bagging!D17="Dual Same Side &amp; Dual Linked"))),1,IF(AND(Bagging!D17="Dual Linked(2 Sets)",'Job Sheet'!BE17="Beige"),2,""))</f>
        <v/>
      </c>
      <c r="EU11" s="7" t="str">
        <f>IF(AND('Job Sheet'!BE17="White",(OR(Bagging!D17="Dual Slimline Linked Top Blind Front Roll",Bagging!D17="Slimline Dual Top Blind Front Roll LHS Control &amp; Dual Slimline Linked Top Blind Front Roll",Bagging!D17="Slimline Dual Top Blind Front Roll RHS Control &amp; Dual Slimline Linked Top Blind Front Roll"))),1,IF(AND(Bagging!D17="Dual Slimline Linked Top Blind Front Roll(2 Sets)",'Job Sheet'!BE17="White"),2,""))</f>
        <v/>
      </c>
      <c r="EV11" s="7" t="str">
        <f>IF(AND('Job Sheet'!BE17="Black",(OR(Bagging!D17="Dual Slimline Linked Top Blind Front Roll",Bagging!D17="Slimline Dual Top Blind Front Roll LHS Control &amp; Dual Slimline Linked Top Blind Front Roll",Bagging!D17="Slimline Dual Top Blind Front Roll RHS Control &amp; Dual Slimline Linked Top Blind Front Roll"))),1,IF(AND(Bagging!D17="Dual Slimline Linked Top Blind Front Roll(2 Sets)",'Job Sheet'!BE17="Black"),2,""))</f>
        <v/>
      </c>
      <c r="EW11" s="7" t="str">
        <f>IF(AND('Job Sheet'!BE17="Birch White",(OR(Bagging!D17="Dual Slimline Linked Top Blind Front Roll",Bagging!D17="Slimline Dual Top Blind Front Roll LHS Control &amp; Dual Slimline Linked Top Blind Front Roll",Bagging!D17="Slimline Dual Top Blind Front Roll RHS Control &amp; Dual Slimline Linked Top Blind Front Roll"))),1,IF(AND(Bagging!D17="Dual Slimline Linked Top Blind Front Roll(2 Sets)",'Job Sheet'!BE17="Birch White"),2,""))</f>
        <v/>
      </c>
      <c r="EX11" s="7" t="str">
        <f>IF(AND('Job Sheet'!BE17="Grey",(OR(Bagging!D17="Dual Slimline Linked Top Blind Front Roll",Bagging!D17="Slimline Dual Top Blind Front Roll LHS Control &amp; Dual Slimline Linked Top Blind Front Roll",Bagging!D17="Slimline Dual Top Blind Front Roll RHS Control &amp; Dual Slimline Linked Top Blind Front Roll"))),1,IF(AND(Bagging!D17="Dual Slimline Linked Top Blind Front Roll(2 Sets)",'Job Sheet'!BE17="Grey"),2,""))</f>
        <v/>
      </c>
      <c r="EY11" s="7" t="str">
        <f>IF(AND('Job Sheet'!BE17="Beige",(OR(Bagging!D17="Dual Slimline Linked Top Blind Front Roll",Bagging!D17="Slimline Dual Top Blind Front Roll LHS Control &amp; Dual Slimline Linked Top Blind Front Roll",Bagging!D17="Slimline Dual Top Blind Front Roll RHS Control &amp; Dual Slimline Linked Top Blind Front Roll"))),1,IF(AND(Bagging!D17="Dual Slimline Linked Top Blind Front Roll(2 Sets)",'Job Sheet'!BE17="Beige"),2,""))</f>
        <v/>
      </c>
      <c r="EZ11" s="7" t="str">
        <f>IF(AND('Job Sheet'!BE17="White",(OR(Bagging!D17="Dual Slimline Linked Top Blind Back Roll",Bagging!D17="Slimline Dual Top Blind Back Roll LHS Control &amp; Dual Slimline Linked Top Blind Back Roll",Bagging!D17="Slimline Dual Top Blind Back Roll RHS Control &amp; Dual Slimline Linked Top Blind Back Roll"))),1,IF(AND(Bagging!D17="Dual Slimline Linked Top Blind Back Roll(2 Sets)",'Job Sheet'!BE17="White"),2,""))</f>
        <v/>
      </c>
      <c r="FA11" s="7" t="str">
        <f>IF(AND('Job Sheet'!BE17="Black",(OR(Bagging!D17="Dual Slimline Linked Top Blind Back Roll",Bagging!D17="Slimline Dual Top Blind Back Roll LHS Control &amp; Dual Slimline Linked Top Blind Back Roll",Bagging!D17="Slimline Dual Top Blind Back Roll RHS Control &amp; Dual Slimline Linked Top Blind Back Roll"))),1,IF(AND(Bagging!D17="Dual Slimline Linked Top Blind Back Roll(2 Sets)",'Job Sheet'!BE17="Black"),2,""))</f>
        <v/>
      </c>
      <c r="FB11" s="7" t="str">
        <f>IF(AND('Job Sheet'!BE17="Birch White",(OR(Bagging!D17="Dual Slimline Linked Top Blind Back Roll",Bagging!D17="Slimline Dual Top Blind Back Roll LHS Control &amp; Dual Slimline Linked Top Blind Back Roll",Bagging!D17="Slimline Dual Top Blind Back Roll RHS Control &amp; Dual Slimline Linked Top Blind Back Roll"))),1,IF(AND(Bagging!D17="Dual Slimline Linked Top Blind Back Roll(2 Sets)",'Job Sheet'!BE17="Birch White"),2,""))</f>
        <v/>
      </c>
      <c r="FC11" s="7" t="str">
        <f>IF(AND('Job Sheet'!BE17="Grey",(OR(Bagging!D17="Dual Slimline Linked Top Blind Back Roll",Bagging!D17="Slimline Dual Top Blind Back Roll LHS Control &amp; Dual Slimline Linked Top Blind Back Roll",Bagging!D17="Slimline Dual Top Blind Back Roll RHS Control &amp; Dual Slimline Linked Top Blind Back Roll"))),1,IF(AND(Bagging!D17="Dual Slimline Linked Top Blind Back Roll(2 Sets)",'Job Sheet'!BE17="Grey"),2,""))</f>
        <v/>
      </c>
      <c r="FD11" s="7" t="str">
        <f>IF(AND('Job Sheet'!BE17="Beige",(OR(Bagging!D17="Dual Slimline Linked Top Blind Back Roll",Bagging!D17="Slimline Dual Top Blind Back Roll LHS Control &amp; Dual Slimline Linked Top Blind Back Roll",Bagging!D17="Slimline Dual Top Blind Back Roll RHS Control &amp; Dual Slimline Linked Top Blind Back Roll"))),1,IF(AND(Bagging!D17="Dual Slimline Linked Top Blind Back Roll(2 Sets)",'Job Sheet'!BE17="Beige"),2,""))</f>
        <v/>
      </c>
      <c r="FE11" s="7" t="str">
        <f>IF(AND(OR('Job Sheet'!BF17="Nickel Steel",'Job Sheet'!BF17="Nickel Steel Chain"),OR('Assembly(b)'!D17="500mm",'Assembly(b)'!D17="500")),1,"")</f>
        <v/>
      </c>
      <c r="FF11" s="7" t="str">
        <f>IF(AND(OR('Job Sheet'!BF17="Nickel Steel",'Job Sheet'!BF17="Nickel Steel Chain"),OR('Assembly(b)'!D17="750mm",'Assembly(b)'!D17="750")),1,"")</f>
        <v/>
      </c>
      <c r="FG11" s="7" t="str">
        <f>IF(AND(OR('Job Sheet'!BF17="Nickel Steel",'Job Sheet'!BF17="Nickel Steel Chain"),OR('Assembly(b)'!D17="1000mm",'Assembly(b)'!D17="1000")),1,"")</f>
        <v/>
      </c>
      <c r="FH11" s="7" t="str">
        <f>IF(AND(OR('Job Sheet'!BF17="Nickel Steel",'Job Sheet'!BF17="Nickel Steel Chain"),OR('Assembly(b)'!D17="1250mm",'Assembly(b)'!D17="1250")),1,"")</f>
        <v/>
      </c>
      <c r="FI11" s="7" t="str">
        <f>IF(AND(OR('Job Sheet'!BF17="Nickel Steel",'Job Sheet'!BF17="Nickel Steel Chain"),OR('Assembly(b)'!D17="1500mm",'Assembly(b)'!D17="1500")),1,"")</f>
        <v/>
      </c>
      <c r="FJ11" s="7" t="str">
        <f>IF(AND(OR('Job Sheet'!BF17="Nickel Steel",'Job Sheet'!BF17="Nickel Steel Chain"),OR('Assembly(b)'!D17="1750mm",'Assembly(b)'!D17="1750")),1,"")</f>
        <v/>
      </c>
      <c r="FK11" s="7" t="str">
        <f>IF(AND(OR('Job Sheet'!BF17="Nickel Steel",'Job Sheet'!BF17="Nickel Steel Chain"),OR('Assembly(b)'!D17="2000mm",'Assembly(b)'!D17="2000")),1,"")</f>
        <v/>
      </c>
      <c r="FL11" s="7" t="str">
        <f>IF(AND(OR('Job Sheet'!BF17="Nickel Steel",'Job Sheet'!BF17="Nickel Steel Chain"),OR('Assembly(b)'!D17="2250mm",'Assembly(b)'!D17="2250")),1,"")</f>
        <v/>
      </c>
      <c r="FM11" s="7" t="str">
        <f>IF(AND(OR('Job Sheet'!BF17="Nickel Steel",'Job Sheet'!BF17="Nickel Steel Chain"),OR('Assembly(b)'!D17="2500mm",'Assembly(b)'!D17="2500")),1,"")</f>
        <v/>
      </c>
      <c r="FN11" s="7" t="str">
        <f>IF(AND(OR('Job Sheet'!BF17="Nickel Steel",'Job Sheet'!BF17="Nickel Steel Chain"),OR('Assembly(b)'!D17="2750mm",'Assembly(b)'!D17="2750")),1,"")</f>
        <v/>
      </c>
      <c r="FO11" s="7" t="str">
        <f>IF(AND(OR('Job Sheet'!BF17="Nickel Steel",'Job Sheet'!BF17="Nickel Steel Chain"),OR('Assembly(b)'!D17="3000mm",'Assembly(b)'!D17="3000")),1,"")</f>
        <v/>
      </c>
      <c r="FP11" s="7" t="str">
        <f>IF(AND(OR('Job Sheet'!BF17="Nickel Steel",'Job Sheet'!BF17="Nickel Steel Chain"),OR('Assembly(b)'!D17="3250mm",'Assembly(b)'!D17="3250")),1,"")</f>
        <v/>
      </c>
      <c r="FQ11" s="7" t="str">
        <f>IF(AND(OR('Job Sheet'!BF17="Nickel Steel",'Job Sheet'!BF17="Nickel Steel Chain"),OR('Assembly(b)'!D17="3500mm",'Assembly(b)'!D17="3500")),1,"")</f>
        <v/>
      </c>
      <c r="FR11" s="7" t="str">
        <f>IF(AND(OR('Job Sheet'!BF17="Nickel Steel",'Job Sheet'!BF17="Nickel Steel Chain"),OR('Assembly(b)'!D17="3750mm",'Assembly(b)'!D17="3750")),1,"")</f>
        <v/>
      </c>
      <c r="FS11" s="7" t="str">
        <f>IF(AND(OR('Job Sheet'!BF17="Nickel Steel",'Job Sheet'!BF17="Nickel Steel Chain"),OR('Assembly(b)'!D17="4000mm",'Assembly(b)'!D17="4000")),1,"")</f>
        <v/>
      </c>
      <c r="FT11" s="7" t="str">
        <f>IF(AND(OR('Job Sheet'!BF17="White",'Job Sheet'!BF17="White Chain"),OR('Assembly(b)'!D17="500mm",'Assembly(b)'!D17="500")),1,"")</f>
        <v/>
      </c>
      <c r="FU11" s="7" t="str">
        <f>IF(AND(OR('Job Sheet'!BF17="White",'Job Sheet'!BF17="White Chain"),OR('Assembly(b)'!D17="750mm",'Assembly(b)'!D17="750")),1,"")</f>
        <v/>
      </c>
      <c r="FV11" s="7" t="str">
        <f>IF(AND(OR('Job Sheet'!BF17="White",'Job Sheet'!BF17="White Chain"),OR('Assembly(b)'!D17="1000mm",'Assembly(b)'!D17="1000")),1,"")</f>
        <v/>
      </c>
      <c r="FW11" s="7" t="str">
        <f>IF(AND(OR('Job Sheet'!BF17="White",'Job Sheet'!BF17="White Chain"),OR('Assembly(b)'!D17="1250mm",'Assembly(b)'!D17="1250")),1,"")</f>
        <v/>
      </c>
      <c r="FX11" s="7" t="str">
        <f>IF(AND(OR('Job Sheet'!BF17="White",'Job Sheet'!BF17="White Chain"),OR('Assembly(b)'!D17="1500mm",'Assembly(b)'!D17="1500")),1,"")</f>
        <v/>
      </c>
      <c r="FY11" s="7" t="str">
        <f>IF(AND(OR('Job Sheet'!BF17="White",'Job Sheet'!BF17="White Chain"),OR('Assembly(b)'!D17="1750mm",'Assembly(b)'!D17="1750")),1,"")</f>
        <v/>
      </c>
      <c r="FZ11" s="7" t="str">
        <f>IF(AND(OR('Job Sheet'!BF17="White",'Job Sheet'!BF17="White Chain"),OR('Assembly(b)'!D17="2000mm",'Assembly(b)'!D17="2000")),1,"")</f>
        <v/>
      </c>
      <c r="GA11" s="7" t="str">
        <f>IF(AND(OR('Job Sheet'!BF17="White",'Job Sheet'!BF17="White Chain"),OR('Assembly(b)'!D17="2250mm",'Assembly(b)'!D17="2250")),1,"")</f>
        <v/>
      </c>
      <c r="GB11" s="7" t="str">
        <f>IF(AND(OR('Job Sheet'!BF17="White",'Job Sheet'!BF17="White Chain"),OR('Assembly(b)'!D17="2500mm",'Assembly(b)'!D17="2500")),1,"")</f>
        <v/>
      </c>
      <c r="GC11" s="7" t="str">
        <f>IF(AND(OR('Job Sheet'!BF17="White",'Job Sheet'!BF17="White Chain"),OR('Assembly(b)'!D17="2750mm",'Assembly(b)'!D17="2750")),1,"")</f>
        <v/>
      </c>
      <c r="GD11" s="7" t="str">
        <f>IF(AND(OR('Job Sheet'!BF17="White",'Job Sheet'!BF17="White Chain"),OR('Assembly(b)'!D17="3000mm",'Assembly(b)'!D17="3000")),1,"")</f>
        <v/>
      </c>
      <c r="GE11" s="7" t="str">
        <f>IF(AND(OR('Job Sheet'!BF17="White",'Job Sheet'!BF17="White Chain"),OR('Assembly(b)'!D17="3250mm",'Assembly(b)'!D17="3250")),1,"")</f>
        <v/>
      </c>
      <c r="GF11" s="7" t="str">
        <f>IF(AND(OR('Job Sheet'!BF17="White",'Job Sheet'!BF17="White Chain"),OR('Assembly(b)'!D17="3500mm",'Assembly(b)'!D17="3500")),1,"")</f>
        <v/>
      </c>
      <c r="GG11" s="7" t="str">
        <f>IF(AND(OR('Job Sheet'!BF17="White",'Job Sheet'!BF17="White Chain"),OR('Assembly(b)'!D17="3750mm",'Assembly(b)'!D17="3750")),1,"")</f>
        <v/>
      </c>
      <c r="GH11" s="7" t="str">
        <f>IF(AND(OR('Job Sheet'!BF17="White",'Job Sheet'!BF17="White Chain"),OR('Assembly(b)'!D17="4000mm",'Assembly(b)'!D17="4000")),1,"")</f>
        <v/>
      </c>
      <c r="GI11" s="7" t="str">
        <f>IF(AND(OR('Job Sheet'!BF17="Black",'Job Sheet'!BF17="Black Chain"),OR('Assembly(b)'!D17="500mm",'Assembly(b)'!D17="500")),1,"")</f>
        <v/>
      </c>
      <c r="GJ11" s="7" t="str">
        <f>IF(AND(OR('Job Sheet'!BF17="Black",'Job Sheet'!BF17="Black Chain"),OR('Assembly(b)'!D17="750mm",'Assembly(b)'!D17="750")),1,"")</f>
        <v/>
      </c>
      <c r="GK11" s="7" t="str">
        <f>IF(AND(OR('Job Sheet'!BF17="Black",'Job Sheet'!BF17="Black Chain"),OR('Assembly(b)'!D17="1000mm",'Assembly(b)'!D17="1000")),1,"")</f>
        <v/>
      </c>
      <c r="GL11" s="7" t="str">
        <f>IF(AND(OR('Job Sheet'!BF17="Black",'Job Sheet'!BF17="Black Chain"),OR('Assembly(b)'!D17="1250mm",'Assembly(b)'!D17="1250")),1,"")</f>
        <v/>
      </c>
      <c r="GM11" s="7" t="str">
        <f>IF(AND(OR('Job Sheet'!BF17="Black",'Job Sheet'!BF17="Black Chain"),OR('Assembly(b)'!D17="1500mm",'Assembly(b)'!D17="1500")),1,"")</f>
        <v/>
      </c>
      <c r="GN11" s="7" t="str">
        <f>IF(AND(OR('Job Sheet'!BF17="Black",'Job Sheet'!BF17="Black Chain"),OR('Assembly(b)'!D17="1750mm",'Assembly(b)'!D17="1750")),1,"")</f>
        <v/>
      </c>
      <c r="GO11" s="7" t="str">
        <f>IF(AND(OR('Job Sheet'!BF17="Black",'Job Sheet'!BF17="Black Chain"),OR('Assembly(b)'!D17="2000mm",'Assembly(b)'!D17="2000")),1,"")</f>
        <v/>
      </c>
      <c r="GP11" s="7" t="str">
        <f>IF(AND(OR('Job Sheet'!BF17="Black",'Job Sheet'!BF17="Black Chain"),OR('Assembly(b)'!D17="2250mm",'Assembly(b)'!D17="2250")),1,"")</f>
        <v/>
      </c>
      <c r="GQ11" s="7" t="str">
        <f>IF(AND(OR('Job Sheet'!BF17="Black",'Job Sheet'!BF17="Black Chain"),OR('Assembly(b)'!D17="2500mm",'Assembly(b)'!D17="2500")),1,"")</f>
        <v/>
      </c>
      <c r="GR11" s="7" t="str">
        <f>IF(AND(OR('Job Sheet'!BF17="Black",'Job Sheet'!BF17="Black Chain"),OR('Assembly(b)'!D17="2750mm",'Assembly(b)'!D17="2750")),1,"")</f>
        <v/>
      </c>
      <c r="GS11" s="7" t="str">
        <f>IF(AND(OR('Job Sheet'!BF17="Black",'Job Sheet'!BF17="Black Chain"),OR('Assembly(b)'!D17="3000mm",'Assembly(b)'!D17="3000")),1,"")</f>
        <v/>
      </c>
      <c r="GT11" s="7" t="str">
        <f>IF(AND(OR('Job Sheet'!BF17="Black",'Job Sheet'!BF17="Black Chain"),OR('Assembly(b)'!D17="3250mm",'Assembly(b)'!D17="3250")),1,"")</f>
        <v/>
      </c>
      <c r="GU11" s="7" t="str">
        <f>IF(AND(OR('Job Sheet'!BF17="Black",'Job Sheet'!BF17="Black Chain"),OR('Assembly(b)'!D17="3500mm",'Assembly(b)'!D17="3500")),1,"")</f>
        <v/>
      </c>
      <c r="GV11" s="7" t="str">
        <f>IF(AND(OR('Job Sheet'!BF17="Black",'Job Sheet'!BF17="Black Chain"),OR('Assembly(b)'!D17="3750mm",'Assembly(b)'!D17="3750")),1,"")</f>
        <v/>
      </c>
      <c r="GW11" s="7" t="str">
        <f>IF(AND(OR('Job Sheet'!BF17="Black",'Job Sheet'!BF17="Black Chain"),OR('Assembly(b)'!D17="4000mm",'Assembly(b)'!D17="4000")),1,"")</f>
        <v/>
      </c>
      <c r="GX11" s="7" t="str">
        <f>IF(AND(OR('Job Sheet'!BF17="Birch White",'Job Sheet'!BF17="Birch White Chain"),OR('Assembly(b)'!D17="500mm",'Assembly(b)'!D17="500")),1,"")</f>
        <v/>
      </c>
      <c r="GY11" s="7" t="str">
        <f>IF(AND(OR('Job Sheet'!BF17="Birch White",'Job Sheet'!BF17="Birch White Chain"),OR('Assembly(b)'!D17="750mm",'Assembly(b)'!D17="750")),1,"")</f>
        <v/>
      </c>
      <c r="GZ11" s="7" t="str">
        <f>IF(AND(OR('Job Sheet'!BF17="Birch White",'Job Sheet'!BF17="Birch White Chain"),OR('Assembly(b)'!D17="1000mm",'Assembly(b)'!D17="1000")),1,"")</f>
        <v/>
      </c>
      <c r="HA11" s="7" t="str">
        <f>IF(AND(OR('Job Sheet'!BF17="Birch White",'Job Sheet'!BF17="Birch White Chain"),OR('Assembly(b)'!D17="1250mm",'Assembly(b)'!D17="1250")),1,"")</f>
        <v/>
      </c>
      <c r="HB11" s="7" t="str">
        <f>IF(AND(OR('Job Sheet'!BF17="Birch White",'Job Sheet'!BF17="Birch White Chain"),OR('Assembly(b)'!D17="1500mm",'Assembly(b)'!D17="1500")),1,"")</f>
        <v/>
      </c>
      <c r="HC11" s="7" t="str">
        <f>IF(AND(OR('Job Sheet'!BF17="Birch White",'Job Sheet'!BF17="Birch White Chain"),OR('Assembly(b)'!D17="1750mm",'Assembly(b)'!D17="1750")),1,"")</f>
        <v/>
      </c>
      <c r="HD11" s="7" t="str">
        <f>IF(AND(OR('Job Sheet'!BF17="Birch White",'Job Sheet'!BF17="Birch White Chain"),OR('Assembly(b)'!D17="2000mm",'Assembly(b)'!D17="2000")),1,"")</f>
        <v/>
      </c>
      <c r="HE11" s="7" t="str">
        <f>IF(AND(OR('Job Sheet'!BF17="Birch White",'Job Sheet'!BF17="Birch White Chain"),OR('Assembly(b)'!D17="2250mm",'Assembly(b)'!D17="2250")),1,"")</f>
        <v/>
      </c>
      <c r="HF11" s="7" t="str">
        <f>IF(AND(OR('Job Sheet'!BF17="Birch White",'Job Sheet'!BF17="Birch White Chain"),OR('Assembly(b)'!D17="2500mm",'Assembly(b)'!D17="2500")),1,"")</f>
        <v/>
      </c>
      <c r="HG11" s="7" t="str">
        <f>IF(AND(OR('Job Sheet'!BF17="Birch White",'Job Sheet'!BF17="Birch White Chain"),OR('Assembly(b)'!D17="2750mm",'Assembly(b)'!D17="2750")),1,"")</f>
        <v/>
      </c>
      <c r="HH11" s="7" t="str">
        <f>IF(AND(OR('Job Sheet'!BF17="Birch White",'Job Sheet'!BF17="Birch White Chain"),OR('Assembly(b)'!D17="3000mm",'Assembly(b)'!D17="3000")),1,"")</f>
        <v/>
      </c>
      <c r="HI11" s="7" t="str">
        <f>IF(AND(OR('Job Sheet'!BF17="Birch White",'Job Sheet'!BF17="Birch White Chain"),OR('Assembly(b)'!D17="3250mm",'Assembly(b)'!D17="3250")),1,"")</f>
        <v/>
      </c>
      <c r="HJ11" s="7" t="str">
        <f>IF(AND(OR('Job Sheet'!BF17="Birch White",'Job Sheet'!BF17="Birch White Chain"),OR('Assembly(b)'!D17="3500mm",'Assembly(b)'!D17="3500")),1,"")</f>
        <v/>
      </c>
      <c r="HK11" s="7" t="str">
        <f>IF(AND(OR('Job Sheet'!BF17="Birch White",'Job Sheet'!BF17="Birch White Chain"),OR('Assembly(b)'!D17="3750mm",'Assembly(b)'!D17="3750")),1,"")</f>
        <v/>
      </c>
      <c r="HL11" s="7" t="str">
        <f>IF(AND(OR('Job Sheet'!BF17="Birch White",'Job Sheet'!BF17="Birch White Chain"),OR('Assembly(b)'!D17="4000mm",'Assembly(b)'!D17="4000")),1,"")</f>
        <v/>
      </c>
      <c r="HM11" s="7" t="str">
        <f>IF(AND(OR('Job Sheet'!BF17="Grey",'Job Sheet'!BF17="Grey Chain"),OR('Assembly(b)'!D17="500mm",'Assembly(b)'!D17="500")),1,"")</f>
        <v/>
      </c>
      <c r="HN11" s="7" t="str">
        <f>IF(AND(OR('Job Sheet'!BF17="Grey",'Job Sheet'!BF17="Grey Chain"),OR('Assembly(b)'!D17="750mm",'Assembly(b)'!D17="750")),1,"")</f>
        <v/>
      </c>
      <c r="HO11" s="7" t="str">
        <f>IF(AND(OR('Job Sheet'!BF17="Grey",'Job Sheet'!BF17="Grey Chain"),OR('Assembly(b)'!D17="1000mm",'Assembly(b)'!D17="1000")),1,"")</f>
        <v/>
      </c>
      <c r="HP11" s="7" t="str">
        <f>IF(AND(OR('Job Sheet'!BF17="Grey",'Job Sheet'!BF17="Grey Chain"),OR('Assembly(b)'!D17="1250mm",'Assembly(b)'!D17="1250")),1,"")</f>
        <v/>
      </c>
      <c r="HQ11" s="7" t="str">
        <f>IF(AND(OR('Job Sheet'!BF17="Grey",'Job Sheet'!BF17="Grey Chain"),OR('Assembly(b)'!D17="1500mm",'Assembly(b)'!D17="1500")),1,"")</f>
        <v/>
      </c>
      <c r="HR11" s="7" t="str">
        <f>IF(AND(OR('Job Sheet'!BF17="Grey",'Job Sheet'!BF17="Grey Chain"),OR('Assembly(b)'!D17="1750mm",'Assembly(b)'!D17="1750")),1,"")</f>
        <v/>
      </c>
      <c r="HS11" s="7" t="str">
        <f>IF(AND(OR('Job Sheet'!BF17="Grey",'Job Sheet'!BF17="Grey Chain"),OR('Assembly(b)'!D17="2000mm",'Assembly(b)'!D17="2000")),1,"")</f>
        <v/>
      </c>
      <c r="HT11" s="7" t="str">
        <f>IF(AND(OR('Job Sheet'!BF17="Grey",'Job Sheet'!BF17="Grey Chain"),OR('Assembly(b)'!D17="2250mm",'Assembly(b)'!D17="2250")),1,"")</f>
        <v/>
      </c>
      <c r="HU11" s="7" t="str">
        <f>IF(AND(OR('Job Sheet'!BF17="Grey",'Job Sheet'!BF17="Grey Chain"),OR('Assembly(b)'!D17="2500mm",'Assembly(b)'!D17="2500")),1,"")</f>
        <v/>
      </c>
      <c r="HV11" s="7" t="str">
        <f>IF(AND(OR('Job Sheet'!BF17="Grey",'Job Sheet'!BF17="Grey Chain"),OR('Assembly(b)'!D17="2750mm",'Assembly(b)'!D17="2750")),1,"")</f>
        <v/>
      </c>
      <c r="HW11" s="7" t="str">
        <f>IF(AND(OR('Job Sheet'!BF17="Grey",'Job Sheet'!BF17="Grey Chain"),OR('Assembly(b)'!D17="3000mm",'Assembly(b)'!D17="3000")),1,"")</f>
        <v/>
      </c>
      <c r="HX11" s="7" t="str">
        <f>IF(AND(OR('Job Sheet'!BF17="Grey",'Job Sheet'!BF17="Grey Chain"),OR('Assembly(b)'!D17="3250mm",'Assembly(b)'!D17="3250")),1,"")</f>
        <v/>
      </c>
      <c r="HY11" s="7" t="str">
        <f>IF(AND(OR('Job Sheet'!BF17="Grey",'Job Sheet'!BF17="Grey Chain"),OR('Assembly(b)'!D17="3500mm",'Assembly(b)'!D17="3500")),1,"")</f>
        <v/>
      </c>
      <c r="HZ11" s="7" t="str">
        <f>IF(AND(OR('Job Sheet'!BF17="Grey",'Job Sheet'!BF17="Grey Chain"),OR('Assembly(b)'!D17="3750mm",'Assembly(b)'!D17="3750")),1,"")</f>
        <v/>
      </c>
      <c r="IA11" s="7" t="str">
        <f>IF(AND(OR('Job Sheet'!BF17="Grey",'Job Sheet'!BF17="Grey Chain"),OR('Assembly(b)'!D17="4000mm",'Assembly(b)'!D17="4000")),1,"")</f>
        <v/>
      </c>
      <c r="IB11" s="7" t="str">
        <f>IF(AND(OR('Job Sheet'!BF17="Beige",'Job Sheet'!BF17="Beige Chain"),OR('Assembly(b)'!D17="500mm",'Assembly(b)'!D17="500")),1,"")</f>
        <v/>
      </c>
      <c r="IC11" s="7" t="str">
        <f>IF(AND(OR('Job Sheet'!BF17="Beige",'Job Sheet'!BF17="Beige Chain"),OR('Assembly(b)'!D17="750mm",'Assembly(b)'!D17="750")),1,"")</f>
        <v/>
      </c>
      <c r="ID11" s="7" t="str">
        <f>IF(AND(OR('Job Sheet'!BF17="Beige",'Job Sheet'!BF17="Beige Chain"),OR('Assembly(b)'!D17="1000mm",'Assembly(b)'!D17="1000")),1,"")</f>
        <v/>
      </c>
      <c r="IE11" s="7" t="str">
        <f>IF(AND(OR('Job Sheet'!BF17="Beige",'Job Sheet'!BF17="Beige Chain"),OR('Assembly(b)'!D17="1250mm",'Assembly(b)'!D17="1250")),1,"")</f>
        <v/>
      </c>
      <c r="IF11" s="7" t="str">
        <f>IF(AND(OR('Job Sheet'!BF17="Beige",'Job Sheet'!BF17="Beige Chain"),OR('Assembly(b)'!D17="1500mm",'Assembly(b)'!D17="1500")),1,"")</f>
        <v/>
      </c>
      <c r="IG11" s="7" t="str">
        <f>IF(AND(OR('Job Sheet'!BF17="Beige",'Job Sheet'!BF17="Beige Chain"),OR('Assembly(b)'!D17="1750mm",'Assembly(b)'!D17="1750")),1,"")</f>
        <v/>
      </c>
      <c r="IH11" s="7" t="str">
        <f>IF(AND(OR('Job Sheet'!BF17="Beige",'Job Sheet'!BF17="Beige Chain"),OR('Assembly(b)'!D17="2000mm",'Assembly(b)'!D17="2000")),1,"")</f>
        <v/>
      </c>
      <c r="II11" s="7" t="str">
        <f>IF(AND(OR('Job Sheet'!BF17="Beige",'Job Sheet'!BF17="Beige Chain"),OR('Assembly(b)'!D17="2250mm",'Assembly(b)'!D17="2250")),1,"")</f>
        <v/>
      </c>
      <c r="IJ11" s="7" t="str">
        <f>IF(AND(OR('Job Sheet'!BF17="Beige",'Job Sheet'!BF17="Beige Chain"),OR('Assembly(b)'!D17="2500mm",'Assembly(b)'!D17="2500")),1,"")</f>
        <v/>
      </c>
      <c r="IK11" s="7" t="str">
        <f>IF(AND(OR('Job Sheet'!BF17="Beige",'Job Sheet'!BF17="Beige Chain"),OR('Assembly(b)'!D17="2750mm",'Assembly(b)'!D17="2750")),1,"")</f>
        <v/>
      </c>
      <c r="IL11" s="7" t="str">
        <f>IF(AND(OR('Job Sheet'!BF17="Beige",'Job Sheet'!BF17="Beige Chain"),OR('Assembly(b)'!D17="3000mm",'Assembly(b)'!D17="3000")),1,"")</f>
        <v/>
      </c>
      <c r="IM11" s="7" t="str">
        <f>IF(AND(OR('Job Sheet'!BF17="Beige",'Job Sheet'!BF17="Beige Chain"),OR('Assembly(b)'!D17="3250mm",'Assembly(b)'!D17="3250")),1,"")</f>
        <v/>
      </c>
      <c r="IN11" s="7" t="str">
        <f>IF(AND(OR('Job Sheet'!BF17="Beige",'Job Sheet'!BF17="Beige Chain"),OR('Assembly(b)'!D17="3500mm",'Assembly(b)'!D17="3500")),1,"")</f>
        <v/>
      </c>
      <c r="IO11" s="7" t="str">
        <f>IF(AND(OR('Job Sheet'!BF17="Beige",'Job Sheet'!BF17="Beige Chain"),OR('Assembly(b)'!D17="3750mm",'Assembly(b)'!D17="3750")),1,"")</f>
        <v/>
      </c>
      <c r="IP11" s="7" t="str">
        <f>IF(AND(OR('Job Sheet'!BF17="Beige",'Job Sheet'!BF17="Beige Chain"),OR('Assembly(b)'!D17="4000mm",'Assembly(b)'!D17="4000")),1,"")</f>
        <v/>
      </c>
      <c r="IQ11" s="7" t="str">
        <f>IF(AND(OR('Job Sheet'!BF17="Stainless Steel",'Job Sheet'!BF17="Stainless Steel Chain"),OR('Assembly(b)'!D17="500mm",'Assembly(b)'!D17="500")),1,"")</f>
        <v/>
      </c>
      <c r="IR11" s="7" t="str">
        <f>IF(AND(OR('Job Sheet'!BF17="Stainless Steel",'Job Sheet'!BF17="Stainless Steel Chain"),OR('Assembly(b)'!D17="750mm",'Assembly(b)'!D17="750")),1,"")</f>
        <v/>
      </c>
      <c r="IS11" s="7" t="str">
        <f>IF(AND(OR('Job Sheet'!BF17="Stainless Steel",'Job Sheet'!BF17="Stainless Steel Chain"),OR('Assembly(b)'!D17="1000mm",'Assembly(b)'!D17="1000")),1,"")</f>
        <v/>
      </c>
      <c r="IT11" s="7" t="str">
        <f>IF(AND(OR('Job Sheet'!BF17="Stainless Steel",'Job Sheet'!BF17="Stainless Steel Chain"),OR('Assembly(b)'!D17="1250mm",'Assembly(b)'!D17="1250")),1,"")</f>
        <v/>
      </c>
      <c r="IU11" s="7" t="str">
        <f>IF(AND(OR('Job Sheet'!BF17="Stainless Steel",'Job Sheet'!BF17="Stainless Steel Chain"),OR('Assembly(b)'!D17="1500mm",'Assembly(b)'!D17="1500")),1,"")</f>
        <v/>
      </c>
      <c r="IV11" s="7" t="str">
        <f>IF(AND(OR('Job Sheet'!BF17="Stainless Steel",'Job Sheet'!BF17="Stainless Steel Chain"),OR('Assembly(b)'!D17="1750mm",'Assembly(b)'!D17="1750")),1,"")</f>
        <v/>
      </c>
      <c r="IW11" s="7" t="str">
        <f>IF(AND(OR('Job Sheet'!BF17="Stainless Steel",'Job Sheet'!BF17="Stainless Steel Chain"),OR('Assembly(b)'!D17="2000mm",'Assembly(b)'!D17="2000")),1,"")</f>
        <v/>
      </c>
      <c r="IX11" s="7" t="str">
        <f>IF(AND(OR('Job Sheet'!BF17="Stainless Steel",'Job Sheet'!BF17="Stainless Steel Chain"),OR('Assembly(b)'!D17="2250mm",'Assembly(b)'!D17="2250")),1,"")</f>
        <v/>
      </c>
      <c r="IY11" s="7" t="str">
        <f>IF(AND(OR('Job Sheet'!BF17="Stainless Steel",'Job Sheet'!BF17="Stainless Steel Chain"),OR('Assembly(b)'!D17="2500mm",'Assembly(b)'!D17="2500")),1,"")</f>
        <v/>
      </c>
      <c r="IZ11" s="7" t="str">
        <f>IF(AND(OR('Job Sheet'!BF17="Stainless Steel",'Job Sheet'!BF17="Stainless Steel Chain"),OR('Assembly(b)'!D17="2750mm",'Assembly(b)'!D17="2750")),1,"")</f>
        <v/>
      </c>
      <c r="JA11" s="7" t="str">
        <f>IF(AND(OR('Job Sheet'!BF17="Stainless Steel",'Job Sheet'!BF17="Stainless Steel Chain"),OR('Assembly(b)'!D17="3000mm",'Assembly(b)'!D17="3000")),1,"")</f>
        <v/>
      </c>
      <c r="JB11" s="7" t="str">
        <f>IF(AND(OR('Job Sheet'!BF17="Stainless Steel",'Job Sheet'!BF17="Stainless Steel Chain"),OR('Assembly(b)'!D17="3250mm",'Assembly(b)'!D17="3250")),1,"")</f>
        <v/>
      </c>
      <c r="JC11" s="7" t="str">
        <f>IF(AND(OR('Job Sheet'!BF17="Stainless Steel",'Job Sheet'!BF17="Stainless Steel Chain"),OR('Assembly(b)'!D17="3500mm",'Assembly(b)'!D17="3500")),1,"")</f>
        <v/>
      </c>
      <c r="JD11" s="7" t="str">
        <f>IF(AND(OR('Job Sheet'!BF17="Stainless Steel",'Job Sheet'!BF17="Stainless Steel Chain"),OR('Assembly(b)'!D17="3750mm",'Assembly(b)'!D17="3750")),1,"")</f>
        <v/>
      </c>
      <c r="JE11" s="7" t="str">
        <f>IF(AND(OR('Job Sheet'!BF17="Stainless Steel",'Job Sheet'!BF17="Stainless Steel Chain"),OR('Assembly(b)'!D17="4000mm",'Assembly(b)'!D17="4000")),1,"")</f>
        <v/>
      </c>
      <c r="JF11" s="7" t="str">
        <f>IF(AND('Assembly(b)'!I17="Yes - L",(OR('Tube Cutting'!C17="43mm",'Tube Cutting'!C17="43mm H/D"))),1,"")</f>
        <v/>
      </c>
      <c r="JG11" s="7" t="str">
        <f>IF(AND('Assembly(b)'!I17="Yes - R",(OR('Tube Cutting'!C17="43mm",'Tube Cutting'!C17="43mm H/D"))),1,"")</f>
        <v/>
      </c>
      <c r="JH11" s="7" t="str">
        <f>IF(AND('Assembly(b)'!I17="Yes - L",'Tube Cutting'!C17="60mm"),1,"")</f>
        <v/>
      </c>
      <c r="JI11" s="7" t="str">
        <f>IF(AND('Assembly(b)'!I17="Yes - R",'Tube Cutting'!C17="60mm"),1,"")</f>
        <v/>
      </c>
      <c r="JJ11" s="7" t="str">
        <f>IF(OR('Job Sheet'!BE17="Black",'Assembly(b)'!J17="N/A"),"",IF(OR('Assembly(b)'!J17="Motor - Female",'Assembly(b)'!J17="Motor - Female with Insert",'Assembly(b)'!J17="Female - Motor",'Assembly(b)'!J17="Chain Winder - Female",'Assembly(b)'!J17="Chain Winder - Female with Insert",'Assembly(b)'!J17="Female - Chain Winder",'Assembly(b)'!J17="Male - Female",'Assembly(b)'!J17="Female - Male",'Assembly(b)'!J17="Male - Female with Insert"),1,""))</f>
        <v/>
      </c>
      <c r="JK11" s="7" t="str">
        <f>IF(OR('Job Sheet'!BE17="White",'Assembly(b)'!J17="N/A"),"",IF(OR('Assembly(b)'!J17="Motor - Female",'Assembly(b)'!J17="Motor - Female with Insert",'Assembly(b)'!J17="Female - Motor",'Assembly(b)'!J17="Chain Winder - Female",'Assembly(b)'!J17="Chain Winder - Female with Insert",'Assembly(b)'!J17="Female - Chain Winder",'Assembly(b)'!J17="Male - Female",'Assembly(b)'!J17="Female - Male",'Assembly(b)'!J17="Male - Female with Insert"),1,""))</f>
        <v/>
      </c>
      <c r="JL11" s="7" t="str">
        <f>IF(OR('Job Sheet'!BE17="White",'Assembly(b)'!J17="N/A"),"",IF(OR('Assembly(b)'!J17="Motor - Male",'Assembly(b)'!J17="Male - Motor",'Assembly(b)'!J17="Chain Winder - Male",'Assembly(b)'!J17="Male - Chain Winder",'Assembly(b)'!J17="Male - Female",'Assembly(b)'!J17="Female - Male",'Assembly(b)'!J17="Male - Idle",'Assembly(b)'!J17="Idle - Male"),1,""))</f>
        <v/>
      </c>
      <c r="JM11" s="7" t="str">
        <f>IF(OR('Job Sheet'!BE17="White",'Job Sheet'!BE17="Birch White",'Job Sheet'!BE17="Grey",'Job Sheet'!BE17="Beige",'Assembly(b)'!J17="N/A"),"",IF(OR('Assembly(b)'!J17="Motor - Male",'Assembly(b)'!J17="Male - Motor",'Assembly(b)'!J17="Chain Winder - Male",'Assembly(b)'!J17="Male - Chain Winder",'Assembly(b)'!J17="Male - Female",'Assembly(b)'!J17="Female - Male",'Assembly(b)'!J17="Male - Idle",'Assembly(b)'!J17="Idle - Male"),1,""))</f>
        <v/>
      </c>
      <c r="JN11" s="7" t="str">
        <f>IF(OR('Job Sheet'!BE17="Black",'Assembly(b)'!J17="N/A"),"",IF(OR('Assembly(b)'!J17="Motor - 60mm Female",'Assembly(b)'!J17="60mm Female - Motor",'Assembly(b)'!J17="Chain Winder - 60mm Female",'Assembly(b)'!J17="60mm Female - Chain Winder",'Assembly(b)'!J17="60mm Male - 60mm Female",'Assembly(b)'!J17="60mm Female - 60mm Male"),1,""))</f>
        <v/>
      </c>
      <c r="JO11" s="7" t="str">
        <f>IF(OR('Job Sheet'!BE17="White",'Assembly(b)'!J17="N/A"),"",IF(OR('Assembly(b)'!J17="Motor - 60mm Female",'Assembly(b)'!J17="60mm Female - Motor",'Assembly(b)'!J17="Chain Winder - 60mm Female",'Assembly(b)'!J17="60mm Female - Chain Winder",'Assembly(b)'!J17="60mm Male - 60mm Female",'Assembly(b)'!J17="60mm Female - 60mm Male"),1,""))</f>
        <v/>
      </c>
      <c r="JP11" s="7" t="str">
        <f>IF(OR('Job Sheet'!BE17="Black",'Assembly(b)'!J17="N/A"),"",IF(OR('Assembly(b)'!J17="Motor - 60mm Male",'Assembly(b)'!J17="60mm Male - Motor",'Assembly(b)'!J17="Chain Winder - 60mm Male",'Assembly(b)'!J17="60mm Male - Chain Winder",'Assembly(b)'!J17="60mm Male - 60mm Female",'Assembly(b)'!J17="60mm Female - 60mm Male"),1,""))</f>
        <v/>
      </c>
      <c r="JQ11" s="7" t="str">
        <f>IF(OR('Job Sheet'!BE17="White",'Assembly(b)'!J17="N/A"),"",IF(OR('Assembly(b)'!J17="Motor - 60mm Male",'Assembly(b)'!J17="60mm Male - Motor",'Assembly(b)'!J17="Chain Winder - 60mm Male",'Assembly(b)'!J17="60mm Male - Chain Winder",'Assembly(b)'!J17="60mm Male - 60mm Female",'Assembly(b)'!J17="60mm Female - 60mm Male"),1,""))</f>
        <v/>
      </c>
      <c r="JR11" s="7" t="str">
        <f>IF('Assembly(b)'!F17="Standard Spring",1,"")</f>
        <v/>
      </c>
      <c r="JS11" s="7" t="str">
        <f>IF('Assembly(b)'!F17="Small Spring",1,"")</f>
        <v/>
      </c>
      <c r="JT11" s="7" t="str">
        <f>IF(D11="","",IF(OR(SUM(R11:V11)=0,'Tube Cutting'!E17="Bottom Rail in Pocket"),"",SUM(R11:V11)))</f>
        <v/>
      </c>
      <c r="JU11" s="7" t="str">
        <f>IF('Job Sheet'!BE17="Silver Pull Ring",1,"")</f>
        <v/>
      </c>
      <c r="JV11" s="7" t="str">
        <f>IF('Job Sheet'!BE17="Gold Pull Ring",1,"")</f>
        <v/>
      </c>
      <c r="JW11" s="7" t="str">
        <f>IF(AND('Job Sheet'!BE17="White",'Assembly(b)'!E17="60mm"),1,"")</f>
        <v/>
      </c>
      <c r="JX11" s="7" t="str">
        <f>IF(AND('Job Sheet'!BE17="Black",'Assembly(b)'!E17="60mm"),1,"")</f>
        <v/>
      </c>
      <c r="JY11" s="7" t="str">
        <f>IF(AND(OR('Assembly(b)'!G17="White",'Assembly(b)'!J17="N/A"),(OR(AND('Assembly(b)'!F17="Chain Winder",'Assembly(b)'!E17="60mm"),'Job Sheet'!AR17="Acmeda External Motor",'Job Sheet'!AR17="Somfy External CBUS Motor",'Job Sheet'!AR17="Somfy External Remote Motor"))),1,IF(AND('Assembly(b)'!G17="White",(OR('Assembly(b)'!J17="60mm Male - 60mm Idle",'Assembly(b)'!J17="60mm Idle - 60mm Male"))),1,""))</f>
        <v/>
      </c>
      <c r="JZ11" s="7" t="str">
        <f>IF(AND(OR('Assembly(b)'!G17="Black",'Assembly(b)'!J17="N/A"),(OR(AND('Assembly(b)'!F17="Chain Winder",'Assembly(b)'!E17="60mm"),'Job Sheet'!AR17="Acmeda External Motor",'Job Sheet'!AR17="Somfy External CBUS Motor",'Job Sheet'!AR17="Somfy External Remote Motor"))),1,IF(AND('Assembly(b)'!G17="Black",(OR('Assembly(b)'!J17="60mm Male - 60mm Idle",'Assembly(b)'!J17="60mm Idle - 60mm Male"))),1,""))</f>
        <v/>
      </c>
      <c r="KA11" s="7" t="str">
        <f t="shared" si="3"/>
        <v/>
      </c>
      <c r="KB11" s="7" t="str">
        <f t="shared" si="4"/>
        <v/>
      </c>
      <c r="KC11" s="7" t="str">
        <f>IF('Tube Cutting'!J17&lt;&gt;"Zipscreen Hooding",JW11,"")</f>
        <v/>
      </c>
      <c r="KD11" s="7" t="str">
        <f>IF('Tube Cutting'!J17&lt;&gt;"Zipscreen Hooding",JX11,"")</f>
        <v/>
      </c>
      <c r="KE11" s="7" t="str">
        <f t="shared" si="5"/>
        <v/>
      </c>
      <c r="KF11" s="7" t="str">
        <f t="shared" si="6"/>
        <v/>
      </c>
      <c r="KG11" s="7" t="str">
        <f>IF(D11="","",IF(OR(Bagging!F17="Yes - Attach",Bagging!F17="Yes"),1,""))</f>
        <v/>
      </c>
      <c r="KH11" s="7" t="str">
        <f t="shared" si="7"/>
        <v/>
      </c>
      <c r="KI11" s="7" t="str">
        <f>IF('Assembly(b)'!F17="Acmeda E6 Motor",1,"")</f>
        <v/>
      </c>
      <c r="KJ11" s="7" t="str">
        <f>IF('Assembly(b)'!F17="Acmeda M6 Motor",1,"")</f>
        <v/>
      </c>
      <c r="KK11" s="7" t="str">
        <f>IF('Assembly(b)'!F17="0.7nm 12v Acmeda Motor",1,"")</f>
        <v/>
      </c>
      <c r="KL11" s="7" t="str">
        <f>IF('Assembly(b)'!F17="1.1nm 12v Acmeda Motor",1,"")</f>
        <v/>
      </c>
      <c r="KM11" s="7" t="str">
        <f>IF('Assembly(b)'!F17="2nm 12v Acmeda Motor",1,"")</f>
        <v/>
      </c>
      <c r="KN11" s="7" t="str">
        <f>IF('Assembly(b)'!F17="Acmeda 12v 6nm Motor",1,"")</f>
        <v/>
      </c>
      <c r="KO11" s="7" t="str">
        <f>IF('Assembly(b)'!F17="Acmeda 10nm 12v Motor",1,"")</f>
        <v/>
      </c>
      <c r="KP11" s="7" t="str">
        <f>IF('Assembly(b)'!F17="Acmeda FT 15Nm Motor",1,"")</f>
        <v/>
      </c>
      <c r="KQ11" s="7" t="str">
        <f>IF('Assembly(b)'!F17="1.1nm 12v Acmeda DCRF Motor",1,"")</f>
        <v/>
      </c>
      <c r="KR11" s="7" t="str">
        <f>IF('Assembly(b)'!F17="2nm 12v Acmeda DCRF Motor",1,"")</f>
        <v/>
      </c>
      <c r="KS11" s="7" t="str">
        <f>IF('Assembly(b)'!F17="Sonesse 40 RTS 3/30 with Inline Connector Motor",1,"")</f>
        <v/>
      </c>
      <c r="KT11" s="7" t="str">
        <f>IF('Assembly(b)'!F17="Sonesse 40 WT 3/30 with Inline Connector Motor",1,"")</f>
        <v/>
      </c>
      <c r="KU11" s="7" t="str">
        <f>IF('Assembly(b)'!F17="Somfy 12v Remote Sonesse Motor",1,"")</f>
        <v/>
      </c>
      <c r="KV11" s="7" t="str">
        <f>IF('Assembly(b)'!F17="Sonesse 50 RTS 6/17 RH Motor",1,"")</f>
        <v/>
      </c>
      <c r="KW11" s="7" t="str">
        <f>IF('Assembly(b)'!F17="Sonesse 50 WT 10/28 Motor",1,"")</f>
        <v/>
      </c>
      <c r="KX11" s="7" t="str">
        <f>IF('Assembly(b)'!F17="Becker P4-30-C12A Motor",1,"")</f>
        <v/>
      </c>
      <c r="KY11" s="7" t="str">
        <f>IF('Assembly(b)'!F17="Becker cBus Motor",1,"")</f>
        <v/>
      </c>
      <c r="KZ11" s="7" t="str">
        <f>IF('Assembly(b)'!F17="Becker R20-17-C12A Motor",1,"")</f>
        <v/>
      </c>
      <c r="LA11" s="7" t="str">
        <f>IF('Assembly(b)'!F17="Becker cBus Motor",1,"")</f>
        <v/>
      </c>
      <c r="LB11" s="7" t="str">
        <f t="shared" si="57"/>
        <v/>
      </c>
      <c r="LC11" s="7" t="str">
        <f t="shared" si="58"/>
        <v/>
      </c>
      <c r="LD11" s="7" t="str">
        <f t="shared" si="59"/>
        <v/>
      </c>
      <c r="LE11" s="7" t="str">
        <f t="shared" si="60"/>
        <v/>
      </c>
      <c r="LF11" s="7" t="str">
        <f t="shared" si="12"/>
        <v/>
      </c>
      <c r="LG11" s="7" t="str">
        <f t="shared" si="13"/>
        <v/>
      </c>
      <c r="LH11" s="7" t="str">
        <f>IF(KO11="","",IF(OR('Tube Cutting'!C17="60mm",'Tube Cutting'!C17="80mm"),SUM(KO11,KP11),""))</f>
        <v/>
      </c>
      <c r="LI11" s="7" t="str">
        <f t="shared" si="61"/>
        <v/>
      </c>
      <c r="LJ11" s="7" t="str">
        <f t="shared" si="62"/>
        <v/>
      </c>
      <c r="LK11" s="7" t="str">
        <f t="shared" si="16"/>
        <v/>
      </c>
      <c r="LL11" s="7" t="str">
        <f t="shared" si="17"/>
        <v/>
      </c>
      <c r="LM11" s="7" t="str">
        <f t="shared" si="18"/>
        <v/>
      </c>
      <c r="LN11" s="7" t="str">
        <f t="shared" si="19"/>
        <v/>
      </c>
      <c r="LO11" s="7" t="str">
        <f t="shared" si="63"/>
        <v/>
      </c>
      <c r="LP11" s="7" t="str">
        <f>IF(AND(KP11=1,'Job Sheet'!BE17="Black"),1,"")</f>
        <v/>
      </c>
      <c r="LQ11" s="7" t="str">
        <f>IF(AND(KP11=1,'Job Sheet'!BE17="White"),1,"")</f>
        <v/>
      </c>
      <c r="LR11" s="7" t="str">
        <f t="shared" si="21"/>
        <v/>
      </c>
      <c r="LS11" s="7" t="str">
        <f t="shared" si="64"/>
        <v/>
      </c>
      <c r="LT11" s="7" t="str">
        <f t="shared" si="65"/>
        <v/>
      </c>
      <c r="LU11" s="7" t="str">
        <f t="shared" si="66"/>
        <v/>
      </c>
      <c r="LV11" s="7" t="str">
        <f t="shared" si="67"/>
        <v/>
      </c>
      <c r="LW11" s="7" t="str">
        <f>IF(OR('Tube Cutting'!C17="60mm",'Tube Cutting'!C17="80mm"),SUM(KV11,KW11),"")</f>
        <v/>
      </c>
      <c r="LX11" s="7" t="str">
        <f t="shared" si="68"/>
        <v/>
      </c>
      <c r="LY11" s="7" t="str">
        <f t="shared" si="69"/>
        <v/>
      </c>
      <c r="LZ11" s="7" t="str">
        <f t="shared" si="70"/>
        <v/>
      </c>
      <c r="MA11" s="7" t="str">
        <f t="shared" si="71"/>
        <v/>
      </c>
      <c r="MB11" s="7" t="str">
        <f t="shared" si="72"/>
        <v/>
      </c>
      <c r="MC11" s="7" t="str">
        <f t="shared" si="73"/>
        <v/>
      </c>
      <c r="MD11" s="7" t="str">
        <f t="shared" si="74"/>
        <v/>
      </c>
      <c r="ME11" s="7" t="str">
        <f t="shared" si="75"/>
        <v/>
      </c>
      <c r="MF11" s="7" t="str">
        <f>IF('Job Sheet'!N17="Pulse Pro Automation Hub",1,"")</f>
        <v/>
      </c>
      <c r="MG11" s="7" t="str">
        <f>IF('Job Sheet'!N17="Solar Panel",1,"")</f>
        <v/>
      </c>
      <c r="MH11" s="7" t="str">
        <f>IF(AND('Job Sheet'!N17="12v Wall Charger with 4m USB Cable",KN11="",KO11=""),1,"")</f>
        <v/>
      </c>
      <c r="MI11" s="7" t="str">
        <f>IF(Bagging!I17="12v Wall Charger with Cable to suit 3nm Motor",1,"")</f>
        <v/>
      </c>
      <c r="MJ11" s="7" t="str">
        <f t="array" ref="MJ11">IF(OR('Job Sheet'!N17="210mm Extension Charging Cable",AND(bpLOOKUP(Data!$AV17,"CONTROLS",CustOrdOpt,6,FALSE)="Acmeda 12v Motor",OL11=1)),1,"")</f>
        <v/>
      </c>
      <c r="MK11" s="7" t="str">
        <f>IF('Job Sheet'!N17="1200mm Extension Charging Cable",1,"")</f>
        <v/>
      </c>
      <c r="ML11" s="7" t="str">
        <f>IF('Job Sheet'!N17="1 Channel Dry Contact Relay Module",1,"")</f>
        <v/>
      </c>
      <c r="MM11" s="7" t="str">
        <f>IF('Job Sheet'!N17="USB Repeater",1,"")</f>
        <v/>
      </c>
      <c r="MN11" s="7" t="str">
        <f>IF(OR('Assembly(b)'!F17="1.1nm 12v Acmeda DCRF Motor",'Assembly(b)'!F17="2nm 12v Acmeda DCRF Motor"),1,"")</f>
        <v/>
      </c>
      <c r="MO11" s="7" t="str">
        <f>IF('Job Sheet'!N17="DC Panel",1,"")</f>
        <v/>
      </c>
      <c r="MP11" s="7" t="str">
        <f t="array" ref="MP11">IF(AND(bpLOOKUP(Data!$AV17,"CONTROLS",CustOrdOpt,6,FALSE)="Acmeda 12v Motor",Bagging!G17="White"),1,"")</f>
        <v/>
      </c>
      <c r="MQ11" s="7" t="str">
        <f t="array" ref="MQ11">IF(AND(bpLOOKUP(Data!$AV17,"CONTROLS",CustOrdOpt,6,FALSE)="Acmeda 12v Motor",Bagging!G17="Black"),1,"")</f>
        <v/>
      </c>
      <c r="MR11" s="7" t="str">
        <f>IF('Job Sheet'!R17="Acmeda 1 Channel White Remote",1,"")</f>
        <v/>
      </c>
      <c r="MS11" s="7" t="str">
        <f>IF('Job Sheet'!R17="Acmeda 1 Channel Black Remote",1,"")</f>
        <v/>
      </c>
      <c r="MT11" s="7" t="str">
        <f>IF('Job Sheet'!R17="Acmeda 5 Channel White Remote",1,"")</f>
        <v/>
      </c>
      <c r="MU11" s="7" t="str">
        <f>IF('Job Sheet'!R17="Acmeda 5 Channel Black Remote",1,"")</f>
        <v/>
      </c>
      <c r="MV11" s="7" t="str">
        <f>IF('Job Sheet'!R17="Acmeda 15 Channel White Remote",1,"")</f>
        <v/>
      </c>
      <c r="MW11" s="7" t="str">
        <f>IF('Job Sheet'!R17="Acmeda 15 Channel Black Remote",1,"")</f>
        <v/>
      </c>
      <c r="MX11" s="7" t="str">
        <f>IF('Job Sheet'!R17="Acmeda Wall Mounted Single Channel White Remote",1,"")</f>
        <v/>
      </c>
      <c r="MY11" s="7" t="str">
        <f>IF('Job Sheet'!R17="Acmeda Wall Mounted 2 Channel White Remote",1,"")</f>
        <v/>
      </c>
      <c r="MZ11" s="7" t="str">
        <f>IF('Job Sheet'!R17="Acmeda Wall Mounted 5 Channel White Remote",1,"")</f>
        <v/>
      </c>
      <c r="NA11" s="7" t="str">
        <f>IF('Job Sheet'!R17="Acmeda Wall Mounted 15 Channel White Remote",1,"")</f>
        <v/>
      </c>
      <c r="NB11" s="7" t="str">
        <f>IF('Job Sheet'!R17="Acmeda Push Pro White Remote","1","")</f>
        <v/>
      </c>
      <c r="NC11" s="7" t="str">
        <f>IF('Job Sheet'!R17="Acmeda Push Pro Black Remote","1","")</f>
        <v/>
      </c>
      <c r="ND11" s="7" t="str">
        <f>IF(OR('Job Sheet'!R17="Acmeda Push Pro White Remote with Charger",'Job Sheet'!R17="Acmeda Push Pro Black Remote with Charger"),1,"")</f>
        <v/>
      </c>
      <c r="NE11" s="7" t="str">
        <f t="shared" si="34"/>
        <v/>
      </c>
      <c r="NF11" s="7" t="str">
        <f>IF('Job Sheet'!R17="Somfy Single Channel White Remote",1,"")</f>
        <v/>
      </c>
      <c r="NG11" s="7" t="str">
        <f>IF('Job Sheet'!R17="Somfy Single Channel Silver Remote",1,"")</f>
        <v/>
      </c>
      <c r="NH11" s="7" t="str">
        <f>IF('Job Sheet'!R17="Somfy 2 Channel White Remote",1,"")</f>
        <v/>
      </c>
      <c r="NI11" s="7" t="str">
        <f>IF('Job Sheet'!R17="Somfy 2 Channel Silver Remote",1,"")</f>
        <v/>
      </c>
      <c r="NJ11" s="7" t="str">
        <f>IF('Job Sheet'!R17="Somfy 5 Channel White Remote",1,"")</f>
        <v/>
      </c>
      <c r="NK11" s="7" t="str">
        <f>IF('Job Sheet'!R17="Somfy 5 Channel Silver Remote",1,"")</f>
        <v/>
      </c>
      <c r="NL11" s="7" t="str">
        <f>IF('Job Sheet'!R17="Somfy 15 Channel White Remote",1,"")</f>
        <v/>
      </c>
      <c r="NM11" s="7" t="str">
        <f>IF('Job Sheet'!R17="Somfy 15 Channel Black Remote",1,"")</f>
        <v/>
      </c>
      <c r="NN11" s="7" t="str">
        <f>IF(OR('Job Sheet'!R17="Somfy Single Channel Wall Mounted Smoove Remote White",'Job Sheet'!R17="Somfy Single Channel Wall Mounted Smoove Remote White with Black Cover Plate",'Job Sheet'!R17="Somfy Single Channel Wall Mounted Smoove Remote White with Silver Cover Plate"),1,"")</f>
        <v/>
      </c>
      <c r="NO11" s="7" t="str">
        <f>IF(OR('Job Sheet'!R17="Somfy 2 Channel Wall Mounted Smoove Remote White",'Job Sheet'!R17="Somfy 2 Channel Wall Mounted Smoove Remote White with Black Cover Plate",'Job Sheet'!R17="Somfy 2 Channel Wall Mounted Smoove Remote White with Silver Cover Plate"),1,"")</f>
        <v/>
      </c>
      <c r="NP11" s="7" t="str">
        <f>IF(OR('Job Sheet'!R17="Somfy 5 Channel Wall Mounted Smoove Remote White",'Job Sheet'!R17="Somfy 5 Channel Wall Mounted Smoove Remote White with Black Cover Plate",'Job Sheet'!R17="Somfy 5 Channel Wall Mounted Smoove Remote White with Silver Cover Plate"),1,"")</f>
        <v/>
      </c>
      <c r="NQ11" s="7" t="str">
        <f>IF(OR('Job Sheet'!R17="Somfy Single Channel Wall Mounted Smoove Remote White with Black Cover Plate",'Job Sheet'!R17="Somfy 2 Channel Wall Mounted Smoove Remote White with Black Cover Plate",'Job Sheet'!R17="Somfy 5 Channel Wall Mounted Smoove Remote White with Black Cover Plate"),1,"")</f>
        <v/>
      </c>
      <c r="NR11" s="7" t="str">
        <f>IF(OR('Job Sheet'!R17="Somfy Single Channel Wall Mounted Smoove Remote White with Silver Cover Plate",'Job Sheet'!R17="Somfy 2 Channel Wall Mounted Smoove Remote White with Silver Cover Plate",'Job Sheet'!R17="Somfy 5 Channel Wall Mounted Smoove Remote White with Silver Cover Plate"),1,"")</f>
        <v/>
      </c>
      <c r="NS11" s="7" t="str">
        <f>IF(Bagging!I17="Charging Cable",1,"")</f>
        <v/>
      </c>
      <c r="NT11" s="7" t="str">
        <f>IF('Job Sheet'!N17="Connexoon App Connector",1,"")</f>
        <v/>
      </c>
      <c r="NU11" s="7" t="str">
        <f>IF('Job Sheet'!R17="Becker Single Channel White Remote",1,"")</f>
        <v/>
      </c>
      <c r="NV11" s="7" t="str">
        <f>IF('Job Sheet'!R17="Becker Single Channel Black Remote",1,"")</f>
        <v/>
      </c>
      <c r="NW11" s="7" t="str">
        <f>IF('Job Sheet'!R17="Becker 5 Channel White Remote",1,"")</f>
        <v/>
      </c>
      <c r="NX11" s="7" t="str">
        <f>IF('Job Sheet'!R17="Becker 5 Channel Black Remote",1,"")</f>
        <v/>
      </c>
      <c r="NY11" s="7" t="str">
        <f>IF('Job Sheet'!R17="Becker 10 Channel White Remote",1,"")</f>
        <v/>
      </c>
      <c r="NZ11" s="7" t="str">
        <f>IF('Job Sheet'!R17="Becker 10 Channel Black Remote",1,"")</f>
        <v/>
      </c>
      <c r="OA11" s="7" t="str">
        <f>IF('Job Sheet'!R17="Becker Wall Mounted Single Channel White Remote",1,"")</f>
        <v/>
      </c>
      <c r="OB11" s="7" t="str">
        <f>IF('Job Sheet'!R17="Becker Wall Mounted 5 Channel White Remote",1,"")</f>
        <v/>
      </c>
      <c r="OC11" s="7" t="str">
        <f>IF('Job Sheet'!R17="Wall Switch",1,"")</f>
        <v/>
      </c>
      <c r="OD11" s="7" t="str">
        <f t="shared" si="76"/>
        <v/>
      </c>
      <c r="OE11" s="7" t="str">
        <f t="shared" si="77"/>
        <v/>
      </c>
      <c r="OF11" s="7" t="str">
        <f t="shared" si="78"/>
        <v/>
      </c>
      <c r="OG11" s="7" t="str">
        <f t="shared" si="79"/>
        <v/>
      </c>
      <c r="OH11" s="7" t="str">
        <f t="shared" si="80"/>
        <v/>
      </c>
      <c r="OI11" s="7" t="str">
        <f t="shared" si="81"/>
        <v/>
      </c>
      <c r="OJ11" s="7" t="str">
        <f t="shared" si="82"/>
        <v/>
      </c>
      <c r="OK11" s="7" t="str">
        <f t="shared" si="83"/>
        <v/>
      </c>
      <c r="OL11" s="7" t="str">
        <f t="shared" si="36"/>
        <v/>
      </c>
      <c r="OM11" s="7" t="str">
        <f>IF(AND(OR('Tube Cutting'!J17="Square Cassette",'Tube Cutting'!J17="Square Cassette with Side Channels",'Tube Cutting'!J17="Square Cassette with Side &amp; Bottom Channels"),'Job Sheet'!L17="Chain Winder",'Job Sheet'!M17="Left"),1,"")</f>
        <v/>
      </c>
      <c r="ON11" s="7" t="str">
        <f>IF(AND(OR('Tube Cutting'!J17="Square Cassette",'Tube Cutting'!J17="Square Cassette with Side Channels",'Tube Cutting'!J17="Square Cassette with Side &amp; Bottom Channels"),'Job Sheet'!L17="Chain Winder",'Job Sheet'!M17="Right"),1,"")</f>
        <v/>
      </c>
      <c r="OO11" s="7" t="str">
        <f>IF(AND(OR('Tube Cutting'!J17="Round Cassette",'Tube Cutting'!J17="Round Cassette with Side Channels",'Tube Cutting'!J17="Round Cassette with Side &amp; Bottom Channels"),'Job Sheet'!L17="Chain Winder",'Job Sheet'!M17="Left"),1,"")</f>
        <v/>
      </c>
      <c r="OP11" s="7" t="str">
        <f>IF(AND(OR('Tube Cutting'!J17="Round Cassette",'Tube Cutting'!J17="Round Cassette with Side Channels",'Tube Cutting'!J17="Round Cassette with Side &amp; Bottom Channels"),'Job Sheet'!L17="Chain Winder",'Job Sheet'!M17="Right"),1,"")</f>
        <v/>
      </c>
      <c r="OQ11" s="7" t="str">
        <f>IF('Tube Cutting'!E17="D30 Bottom Rail with Noise Reducing Strip &amp; Fluffy Strip",'Tube Cutting'!D17,"")</f>
        <v/>
      </c>
      <c r="OR11" s="7" t="str">
        <f>Pelmets!L17</f>
        <v/>
      </c>
      <c r="OS11" s="7" t="str">
        <f>Pelmets!M17</f>
        <v/>
      </c>
      <c r="OT11" s="7" t="str">
        <f t="shared" si="37"/>
        <v/>
      </c>
      <c r="OU11" s="7" t="str">
        <f t="shared" si="38"/>
        <v/>
      </c>
      <c r="OV11" s="7" t="str">
        <f t="shared" si="39"/>
        <v/>
      </c>
      <c r="OW11" s="7" t="str">
        <f t="shared" si="40"/>
        <v/>
      </c>
      <c r="OX11" s="7" t="str">
        <f t="shared" si="41"/>
        <v/>
      </c>
      <c r="OY11" s="7" t="str">
        <f t="shared" si="42"/>
        <v/>
      </c>
      <c r="OZ11" s="7" t="str">
        <f t="shared" si="43"/>
        <v/>
      </c>
      <c r="PA11" s="7" t="str">
        <f t="shared" si="44"/>
        <v/>
      </c>
      <c r="PB11" s="7" t="str">
        <f>IF(AND('Job Sheet'!J17="Reveal",OR('Tube Cutting'!J17="Aluminium Valance",'Tube Cutting'!J17="Aluminium Valance - Fabric Covered")),VLOOKUP('Job Sheet'!G17,PelmetBrackets,2,TRUE),"")</f>
        <v/>
      </c>
      <c r="PC11" s="7" t="str">
        <f>IF(Pelmets!F17="1 x Valance Centre Join Bracket",1,"")</f>
        <v/>
      </c>
      <c r="PD11" s="7" t="str">
        <f>IF(AND(Pelmets!H17="Black",(OR('Tube Cutting'!J17="Aluminium Valance",'Tube Cutting'!J17="Aluminium Valance - Fabric Covered"))),1,"")</f>
        <v/>
      </c>
      <c r="PE11" s="7" t="str">
        <f>IF(AND(Pelmets!H17="White",(OR('Tube Cutting'!J17="Aluminium Valance",'Tube Cutting'!J17="Aluminium Valance - Fabric Covered"))),1,"")</f>
        <v/>
      </c>
      <c r="PF11" s="7" t="str">
        <f>IF(AND(Pelmets!H17="Cream",(OR('Tube Cutting'!J17="Aluminium Valance",'Tube Cutting'!J17="Aluminium Valance - Fabric Covered"))),1,"")</f>
        <v/>
      </c>
      <c r="PG11" s="7" t="str">
        <f>IF(AND(Pelmets!H17="Grey",(OR('Tube Cutting'!J17="Aluminium Valance",'Tube Cutting'!J17="Aluminium Valance - Fabric Covered"))),1,"")</f>
        <v/>
      </c>
      <c r="PH11" s="7" t="str">
        <f>IF('Job Sheet'!AA17="Aluminium Valance - Fabric Covered",AY11,"")</f>
        <v/>
      </c>
      <c r="PI11" s="7" t="str">
        <f t="shared" si="45"/>
        <v/>
      </c>
      <c r="PJ11" s="7" t="str">
        <f t="shared" si="46"/>
        <v/>
      </c>
      <c r="PK11" s="7" t="str">
        <f t="shared" si="47"/>
        <v/>
      </c>
      <c r="PL11" s="7" t="str">
        <f t="shared" si="48"/>
        <v/>
      </c>
      <c r="PM11" s="7" t="str">
        <f>IF('Tube Cutting'!J17="Aluminium Pelmet",Pelmets!F17,"")</f>
        <v/>
      </c>
      <c r="PN11" s="7" t="str">
        <f>IF('Job Sheet'!AA17="Mounting Rail",VLOOKUP('Job Sheet'!G17,PelmetBrackets,2,TRUE),"")</f>
        <v/>
      </c>
      <c r="PO11" s="7" t="str">
        <f>IF('Job Sheet'!AA17="Mounting Rail",4,"")</f>
        <v/>
      </c>
      <c r="PP11" s="7" t="str">
        <f>IF('Tube Cutting'!J17="Zipscreen Hooding",1,"")</f>
        <v/>
      </c>
      <c r="PQ11" s="7" t="str">
        <f>IF(AND(PP11=1,'Job Sheet'!AB17="White"),1,"")</f>
        <v/>
      </c>
      <c r="PR11" s="7" t="str">
        <f>IF(AND(PP11=1,'Job Sheet'!AB17="Black"),1,"")</f>
        <v/>
      </c>
      <c r="PS11" s="7" t="str">
        <f>IF(AND(PP11=1,'Job Sheet'!AB17="Grey"),1,"")</f>
        <v/>
      </c>
      <c r="PT11" s="7" t="str">
        <f>IF(AND(PP11=1,'Job Sheet'!L17="Chain Winder",'Job Sheet'!AV17="60mm"),1,"")</f>
        <v/>
      </c>
      <c r="PU11" s="7" t="str">
        <f t="shared" si="49"/>
        <v/>
      </c>
      <c r="PV11" s="7" t="str">
        <f t="shared" si="50"/>
        <v/>
      </c>
      <c r="PW11" s="7" t="str">
        <f t="shared" si="51"/>
        <v/>
      </c>
    </row>
    <row r="12" spans="4:439" s="7" customFormat="1" ht="12" customHeight="1">
      <c r="D12" s="7" t="str">
        <f>IF('Tube Cutting'!D18="","",CONCATENATE(Data!BC$5,".",Data!BD$5))</f>
        <v/>
      </c>
      <c r="E12" s="7" t="str">
        <f>IF(D12="","",Data!AW18)</f>
        <v/>
      </c>
      <c r="F12" s="7" t="str">
        <f>IF(D12="","",Data!AV18)</f>
        <v/>
      </c>
      <c r="G12" s="7" t="str">
        <f>IF(D12="","",Data!BF$5)</f>
        <v/>
      </c>
      <c r="H12" s="7" t="str">
        <f>IF(D12="","",Data!AX$5)</f>
        <v/>
      </c>
      <c r="I12" s="7" t="str">
        <f>'Job Sheet'!I18</f>
        <v/>
      </c>
      <c r="J12" s="7" t="str">
        <f t="shared" si="52"/>
        <v/>
      </c>
      <c r="K12" s="7" t="str">
        <f>'Fabric Cutting'!F18</f>
        <v/>
      </c>
      <c r="L12" s="7" t="str">
        <f>'Job Sheet'!AZ18</f>
        <v/>
      </c>
      <c r="M12" s="7" t="str">
        <f>IF('Tube Cutting'!C18="38mm",'Tube Cutting'!D18,"")</f>
        <v/>
      </c>
      <c r="N12" s="7" t="str">
        <f>IF('Tube Cutting'!C18="43mm",'Tube Cutting'!D18,"")</f>
        <v/>
      </c>
      <c r="O12" s="7" t="str">
        <f>IF('Tube Cutting'!C18="43mm H/D",'Tube Cutting'!D18,"")</f>
        <v/>
      </c>
      <c r="P12" s="7" t="str">
        <f>IF('Tube Cutting'!C18="60mm",'Tube Cutting'!D18,"")</f>
        <v/>
      </c>
      <c r="Q12" s="7" t="str">
        <f>IF('Tube Cutting'!C18="80mm",'Tube Cutting'!D18,"")</f>
        <v/>
      </c>
      <c r="R12" s="7" t="str">
        <f>IF(AND('Job Sheet'!BD18="Anodised Silver",(OR('Tube Cutting'!E18="D30 Bottom Rail",'Tube Cutting'!E18="D30 Bottom Rail with Noise Reducing Strip",'Tube Cutting'!E18="D30 Bottom Rail with Noise Reducing Strip &amp; Fluffy Strip",'Tube Cutting'!E18="Bottom Rail in Pocket",'Tube Cutting'!E18="Bottom Rail in Pocket with Round Cut Out",'Tube Cutting'!E18="Bottom Rail in Pocket with Square Cut Out"))),'Tube Cutting'!G18,"")</f>
        <v/>
      </c>
      <c r="S12" s="7" t="str">
        <f>IF(AND('Job Sheet'!BD18="White",(OR('Tube Cutting'!E18="D30 Bottom Rail",'Tube Cutting'!E18="D30 Bottom Rail with Noise Reducing Strip",'Tube Cutting'!E18="D30 Bottom Rail with Noise Reducing Strip &amp; Fluffy Strip",'Tube Cutting'!E18="Bottom Rail in Pocket",'Tube Cutting'!E18="Bottom Rail in Pocket with Round Cut Out",'Tube Cutting'!E18="Bottom Rail in Pocket with Square Cut Out"))),'Tube Cutting'!G18,"")</f>
        <v/>
      </c>
      <c r="T12" s="7" t="str">
        <f>IF(AND('Job Sheet'!BD18="Black",(OR('Tube Cutting'!E18="D30 Bottom Rail",'Tube Cutting'!E18="D30 Bottom Rail with Noise Reducing Strip",'Tube Cutting'!E18="D30 Bottom Rail with Noise Reducing Strip &amp; Fluffy Strip",'Tube Cutting'!E18="Bottom Rail in Pocket",'Tube Cutting'!E18="Bottom Rail in Pocket with Round Cut Out",'Tube Cutting'!E18="Bottom Rail in Pocket with Square Cut Out"))),'Tube Cutting'!G18,"")</f>
        <v/>
      </c>
      <c r="U12" s="7" t="str">
        <f>IF(AND('Job Sheet'!BD18="Sandstone",(OR('Tube Cutting'!E18="D30 Bottom Rail",'Tube Cutting'!E18="D30 Bottom Rail with Noise Reducing Strip",'Tube Cutting'!E18="D30 Bottom Rail with Noise Reducing Strip &amp; Fluffy Strip",'Tube Cutting'!E18="Bottom Rail in Pocket",'Tube Cutting'!E18="Bottom Rail in Pocket with Round Cut Out",'Tube Cutting'!E18="Bottom Rail in Pocket with Square Cut Out"))),'Tube Cutting'!G18,"")</f>
        <v/>
      </c>
      <c r="V12" s="7" t="str">
        <f>IF(AND('Job Sheet'!BD18="Bone",(OR('Tube Cutting'!E18="D30 Bottom Rail",'Tube Cutting'!E18="D30 Bottom Rail with Noise Reducing Strip",'Tube Cutting'!E18="D30 Bottom Rail with Noise Reducing Strip &amp; Fluffy Strip",'Tube Cutting'!E18="Bottom Rail in Pocket",'Tube Cutting'!E18="Bottom Rail in Pocket with Round Cut Out",'Tube Cutting'!E18="Bottom Rail in Pocket with Square Cut Out"))),'Tube Cutting'!G18,"")</f>
        <v/>
      </c>
      <c r="W12" s="7" t="str">
        <f t="shared" si="1"/>
        <v/>
      </c>
      <c r="X12" s="7" t="str">
        <f t="shared" si="53"/>
        <v/>
      </c>
      <c r="Y12" s="7" t="str">
        <f t="shared" si="54"/>
        <v/>
      </c>
      <c r="Z12" s="7" t="str">
        <f t="shared" si="55"/>
        <v/>
      </c>
      <c r="AA12" s="7" t="str">
        <f t="shared" si="56"/>
        <v/>
      </c>
      <c r="AB12" s="7" t="str">
        <f>IF('Tube Cutting'!H18="Timber",'Tube Cutting'!G18,IF(AND('Tube Cutting'!E18="Double Lath",'Tube Cutting'!H18="Timber"),'Tube Cutting'!G18*2,""))</f>
        <v/>
      </c>
      <c r="AC12" s="7" t="str">
        <f>IF('Tube Cutting'!I18="","",'Tube Cutting'!I18)</f>
        <v/>
      </c>
      <c r="AD12" s="7" t="str">
        <f>IF(AND('Tube Cutting'!J18="Aluminium Pelmet",'Tube Cutting'!K18="Anodised Silver"),'Tube Cutting'!L18,"")</f>
        <v/>
      </c>
      <c r="AE12" s="7" t="str">
        <f>IF(AND('Tube Cutting'!J18="Aluminium Pelmet",'Tube Cutting'!K18="White"),'Tube Cutting'!L18,"")</f>
        <v/>
      </c>
      <c r="AF12" s="7" t="str">
        <f>IF(AND('Tube Cutting'!J18="Aluminium Pelmet",'Tube Cutting'!K18="Black"),'Tube Cutting'!L18,"")</f>
        <v/>
      </c>
      <c r="AG12" s="7" t="str">
        <f>IF(AND('Tube Cutting'!J18="Aluminium Pelmet",'Tube Cutting'!K18="Cream"),'Tube Cutting'!L18,"")</f>
        <v/>
      </c>
      <c r="AH12" s="7" t="str">
        <f>IF(AND('Tube Cutting'!K18="Black",(OR('Tube Cutting'!J18="Square Cassette",'Tube Cutting'!J18="Round Cassette",'Tube Cutting'!J18="Square Cassette with Side Channels",'Tube Cutting'!J18="Square Cassette with Side &amp; Bottom Channels",'Tube Cutting'!J18="Round Cassette with Side Channels",'Tube Cutting'!J18="Round Cassette with Side &amp; Bottom Channels"))),'Tube Cutting'!L18,"")</f>
        <v/>
      </c>
      <c r="AI12" s="7" t="str">
        <f>IF(AND('Tube Cutting'!K18="White",(OR('Tube Cutting'!J18="Square Cassette",'Tube Cutting'!J18="Round Cassette",'Tube Cutting'!J18="Square Cassette with Side Channels",'Tube Cutting'!J18="Square Cassette with Side &amp; Bottom Channels",'Tube Cutting'!J18="Round Cassette with Side Channels",'Tube Cutting'!J18="Round Cassette with Side &amp; Bottom Channels"))),'Tube Cutting'!L18,"")</f>
        <v/>
      </c>
      <c r="AJ12" s="7" t="str">
        <f>IF(AND('Tube Cutting'!K18="Cream",(OR('Tube Cutting'!J18="Square Cassette",'Tube Cutting'!J18="Round Cassette",'Tube Cutting'!J18="Square Cassette with Side Channels",'Tube Cutting'!J18="Square Cassette with Side &amp; Bottom Channels",'Tube Cutting'!J18="Round Cassette with Side Channels",'Tube Cutting'!J18="Round Cassette with Side &amp; Bottom Channels"))),'Tube Cutting'!L18,"")</f>
        <v/>
      </c>
      <c r="AK12" s="7" t="str">
        <f>IF(AND('Tube Cutting'!K18="Anodised Silver",(OR('Tube Cutting'!J18="Square Cassette",'Tube Cutting'!J18="Round Cassette",'Tube Cutting'!J18="Square Cassette with Side Channels",'Tube Cutting'!J18="Square Cassette with Side &amp; Bottom Channels",'Tube Cutting'!J18="Round Cassette with Side Channels",'Tube Cutting'!J18="Round Cassette with Side &amp; Bottom Channels"))),'Tube Cutting'!L18,"")</f>
        <v/>
      </c>
      <c r="AL12" s="7" t="str">
        <f>IF(AND('Tube Cutting'!K18="White",(OR('Tube Cutting'!J18="Square Cassette",'Tube Cutting'!J18="Square Cassette with Side Channels",'Tube Cutting'!J18="Square Cassette with Side &amp; Bottom Channels"))),'Tube Cutting'!M18,"")</f>
        <v/>
      </c>
      <c r="AM12" s="7" t="str">
        <f>IF(AND('Tube Cutting'!K18="Black",(OR('Tube Cutting'!J18="Square Cassette",'Tube Cutting'!J18="Square Cassette with Side Channels",'Tube Cutting'!J18="Square Cassette with Side &amp; Bottom Channels"))),'Tube Cutting'!M18,"")</f>
        <v/>
      </c>
      <c r="AN12" s="7" t="str">
        <f>IF(AND('Tube Cutting'!K18="Cream",(OR('Tube Cutting'!J18="Square Cassette",'Tube Cutting'!J18="Square Cassette with Side Channels",'Tube Cutting'!J18="Square Cassette with Side &amp; Bottom Channels"))),'Tube Cutting'!M18,"")</f>
        <v/>
      </c>
      <c r="AO12" s="7" t="str">
        <f>IF(AND('Tube Cutting'!K18="Anodised Silver",(OR('Tube Cutting'!J18="Square Cassette",'Tube Cutting'!J18="Square Cassette with Side Channels",'Tube Cutting'!J18="Square Cassette with Side &amp; Bottom Channels"))),'Tube Cutting'!M18,"")</f>
        <v/>
      </c>
      <c r="AP12" s="7" t="str">
        <f>IF(AND('Tube Cutting'!K18="White",(OR('Tube Cutting'!J18="Round Cassette",'Tube Cutting'!J18="Round Cassette with Side Channels",'Tube Cutting'!J18="Round Cassette with Side &amp; Bottom Channels"))),'Tube Cutting'!M18,"")</f>
        <v/>
      </c>
      <c r="AQ12" s="7" t="str">
        <f>IF(AND('Tube Cutting'!K18="Black",(OR('Tube Cutting'!J18="Round Cassette",'Tube Cutting'!J18="Round Cassette with Side Channels",'Tube Cutting'!J18="Round Cassette with Side &amp; Bottom Channels"))),'Tube Cutting'!M18,"")</f>
        <v/>
      </c>
      <c r="AR12" s="7" t="str">
        <f>IF(AND('Tube Cutting'!K18="Cream",(OR('Tube Cutting'!J18="Round Cassette",'Tube Cutting'!J18="Round Cassette with Side Channels",'Tube Cutting'!J18="Round Cassette with Side &amp; Bottom Channels"))),'Tube Cutting'!M18,"")</f>
        <v/>
      </c>
      <c r="AS12" s="7" t="str">
        <f>IF(AND('Tube Cutting'!K18="Anodised Silver",(OR('Tube Cutting'!J18="Round Cassette",'Tube Cutting'!J18="Round Cassette with Side Channels",'Tube Cutting'!J18="Round Cassette with Side &amp; Bottom Channels"))),'Tube Cutting'!M18,"")</f>
        <v/>
      </c>
      <c r="AT12" s="7" t="str">
        <f>IF(AND('Tube Cutting'!K18="White",(OR('Tube Cutting'!J18="Square Cassette with Side Channels",'Tube Cutting'!J18="Round Cassette with Side Channels",'Tube Cutting'!J18="Side Channels"))),CONCATENATE('Job Sheet'!H18-VLOOKUP(CONCATENATE('Job Sheet'!AA18,'Job Sheet'!J18,'Job Sheet'!AR18),PelmetDeduct,5,FALSE))*2,IF(AND('Tube Cutting'!K18="White",(OR('Tube Cutting'!J18="Square Cassette with Side &amp; Bottom Channels",'Tube Cutting'!J18="Round Cassette with Side &amp; Bottom Channels"))),CONCATENATE(('Job Sheet'!H18-VLOOKUP(CONCATENATE('Job Sheet'!AA18,'Job Sheet'!J18,'Job Sheet'!AR18),PelmetDeduct,5,FALSE))*2)+'Job Sheet'!BA18-110,""))</f>
        <v/>
      </c>
      <c r="AU12" s="7" t="str">
        <f>IF(AND('Tube Cutting'!K18="Black",(OR('Tube Cutting'!J18="Square Cassette with Side Channels",'Tube Cutting'!J18="Round Cassette with Side Channels",'Tube Cutting'!J18="Side Channels"))),CONCATENATE('Job Sheet'!H18-VLOOKUP(CONCATENATE('Job Sheet'!AA18,'Job Sheet'!J18,'Job Sheet'!AR18),PelmetDeduct,5,FALSE))*2,IF(AND('Tube Cutting'!K18="Black",(OR('Tube Cutting'!J18="Square Cassette with Side &amp; Bottom Channels",'Tube Cutting'!J18="Round Cassette with Side &amp; Bottom Channels"))),CONCATENATE(('Job Sheet'!H18-VLOOKUP(CONCATENATE('Job Sheet'!AA18,'Job Sheet'!J18,'Job Sheet'!AR18),PelmetDeduct,5,FALSE))*2)+'Job Sheet'!BA18-110,""))</f>
        <v/>
      </c>
      <c r="AV12" s="7" t="str">
        <f>IF(AND('Tube Cutting'!K18="Cream",(OR('Tube Cutting'!J18="Square Cassette with Side Channels",'Tube Cutting'!J18="Round Cassette with Side Channels",'Tube Cutting'!J18="Side Channels"))),CONCATENATE('Job Sheet'!H18-VLOOKUP(CONCATENATE('Job Sheet'!AA18,'Job Sheet'!J18,'Job Sheet'!AR18),PelmetDeduct,5,FALSE))*2,IF(AND('Tube Cutting'!K18="Cream",(OR('Tube Cutting'!J18="Square Cassette with Side &amp; Bottom Channels",'Tube Cutting'!J18="Round Cassette with Side &amp; Bottom Channels"))),CONCATENATE(('Job Sheet'!H18-VLOOKUP(CONCATENATE('Job Sheet'!AA18,'Job Sheet'!J18,'Job Sheet'!AR18),PelmetDeduct,5,FALSE))*2)+'Job Sheet'!BA18-110,""))</f>
        <v/>
      </c>
      <c r="AW12" s="7" t="str">
        <f>IF(AND('Tube Cutting'!K18="Anodised Silver",(OR('Tube Cutting'!J18="Square Cassette with Side Channels",'Tube Cutting'!J18="Round Cassette with Side Channels",'Tube Cutting'!J18="Side Channels"))),CONCATENATE('Job Sheet'!H18-VLOOKUP(CONCATENATE('Job Sheet'!AA18,'Job Sheet'!J18,'Job Sheet'!AR18),PelmetDeduct,5,FALSE))*2,IF(AND('Tube Cutting'!K18="Anodised Silver",(OR('Tube Cutting'!J18="Square Cassette with Side &amp; Bottom Channels",'Tube Cutting'!J18="Round Cassette with Side &amp; Bottom Channels"))),CONCATENATE(('Job Sheet'!H18-VLOOKUP(CONCATENATE('Job Sheet'!AA18,'Job Sheet'!J18,'Job Sheet'!AR18),PelmetDeduct,5,FALSE))*2)+'Job Sheet'!BA18-110,""))</f>
        <v/>
      </c>
      <c r="AX12" s="7" t="str">
        <f>IF('Tube Cutting'!J18="Aluminium Valance - Fabric Covered",'Tube Cutting'!M18,"")</f>
        <v/>
      </c>
      <c r="AY12" s="7" t="str">
        <f>IF(AND('Tube Cutting'!K18="White",'Tube Cutting'!J18="Aluminium Valance"),'Tube Cutting'!M18,"")</f>
        <v/>
      </c>
      <c r="AZ12" s="7" t="str">
        <f>IF(AND('Tube Cutting'!K18="Black",'Tube Cutting'!J18="Aluminium Valance"),'Tube Cutting'!M18,"")</f>
        <v/>
      </c>
      <c r="BA12" s="7" t="str">
        <f>IF(AND('Tube Cutting'!K18="Anodised Silver",'Tube Cutting'!J18="Aluminium Valance"),'Tube Cutting'!M18,"")</f>
        <v/>
      </c>
      <c r="BB12" s="7" t="str">
        <f>'Tube Cutting'!O18</f>
        <v/>
      </c>
      <c r="BC12" s="7" t="str">
        <f>IF('Tube Cutting'!J18="Zipscreen Hooding",'Tube Cutting'!L18,"")</f>
        <v/>
      </c>
      <c r="BD12" s="7" t="str">
        <f>IF('Tube Cutting'!J18="Zipscreen Hooding",'Tube Cutting'!M18,"")</f>
        <v/>
      </c>
      <c r="BE12" s="7" t="str">
        <f>IF(AND('Assembly(b)'!E18="38mm",'Job Sheet'!BE18="White",'Assembly(b)'!F18="Chain Winder"),1,"")</f>
        <v/>
      </c>
      <c r="BF12" s="7" t="str">
        <f>IF(AND('Assembly(b)'!E18="38mm",'Job Sheet'!BE18="Black",'Assembly(b)'!F18="Chain Winder"),1,"")</f>
        <v/>
      </c>
      <c r="BG12" s="7" t="str">
        <f>IF(AND('Assembly(b)'!E18="38mm",'Job Sheet'!BE18="Birch White",'Job Sheet'!L18="Chain Winder"),1,"")</f>
        <v/>
      </c>
      <c r="BH12" s="7" t="str">
        <f>IF(AND('Assembly(b)'!E18="38mm",'Job Sheet'!BE18="Grey",'Assembly(b)'!F18="Chain Winder"),1,"")</f>
        <v/>
      </c>
      <c r="BI12" s="7" t="str">
        <f>IF(AND('Assembly(b)'!E18="38mm",'Job Sheet'!BE18="Beige",'Assembly(b)'!F18="Chain Winder"),1,"")</f>
        <v/>
      </c>
      <c r="BJ12" s="7" t="str">
        <f>IF(AND('Assembly(b)'!E18="38mm",'Job Sheet'!BE18="White",'Assembly(b)'!F18="Chain Winder Fixed Guide"),1,"")</f>
        <v/>
      </c>
      <c r="BK12" s="7" t="str">
        <f>IF(AND('Assembly(b)'!E18="38mm",'Job Sheet'!BE18="Black",'Assembly(b)'!F18="Chain Winder Fixed Guide"),1,"")</f>
        <v/>
      </c>
      <c r="BL12" s="7" t="str">
        <f>IF(AND('Assembly(b)'!E18="38mm",'Job Sheet'!BE18="Birch White",'Assembly(b)'!F18="Chain Winder Fixed Guide"),1,"")</f>
        <v/>
      </c>
      <c r="BM12" s="7" t="str">
        <f>IF(AND('Assembly(b)'!E18="38mm",'Job Sheet'!BE18="Grey",'Assembly(b)'!F18="Chain Winder Fixed Guide"),1,"")</f>
        <v/>
      </c>
      <c r="BN12" s="7" t="str">
        <f>IF(AND('Assembly(b)'!E18="38mm",'Job Sheet'!BE18="Beige",'Assembly(b)'!F18="Chain Winder Fixed Guide"),1,"")</f>
        <v/>
      </c>
      <c r="BO12" s="7" t="str">
        <f>IF(AND('Job Sheet'!BE18="White",'Assembly(b)'!F18="Chain Winder",(OR('Assembly(b)'!E18="43mm",'Assembly(b)'!E18="43mm H/D"))),1,"")</f>
        <v/>
      </c>
      <c r="BP12" s="7" t="str">
        <f>IF(AND('Job Sheet'!BE18="Black",'Assembly(b)'!F18="Chain Winder",(OR('Assembly(b)'!E18="43mm",'Assembly(b)'!E18="43mm H/D"))),1,"")</f>
        <v/>
      </c>
      <c r="BQ12" s="7" t="str">
        <f>IF(AND('Job Sheet'!BE18="Birch White",'Assembly(b)'!F18="Chain Winder",(OR('Assembly(b)'!E18="43mm",'Assembly(b)'!E18="43mm H/D"))),1,"")</f>
        <v/>
      </c>
      <c r="BR12" s="7" t="str">
        <f>IF(AND('Job Sheet'!BE18="Grey",'Assembly(b)'!F18="Chain Winder",(OR('Assembly(b)'!E18="43mm",'Assembly(b)'!E18="43mm H/D"))),1,"")</f>
        <v/>
      </c>
      <c r="BS12" s="7" t="str">
        <f>IF(AND('Job Sheet'!BE18="Beige",'Assembly(b)'!F18="Chain Winder",(OR('Assembly(b)'!E18="43mm",'Assembly(b)'!E18="43mm H/D"))),1,"")</f>
        <v/>
      </c>
      <c r="BT12" s="7" t="str">
        <f>IF(AND('Job Sheet'!BE18="White",'Assembly(b)'!F18="Chain Winder Fixed Guide",(OR('Assembly(b)'!E18="43mm",'Assembly(b)'!E18="43mm H/D"))),1,"")</f>
        <v/>
      </c>
      <c r="BU12" s="7" t="str">
        <f>IF(AND('Job Sheet'!BE18="Black",'Assembly(b)'!F18="Chain Winder Fixed Guide",(OR('Assembly(b)'!E18="43mm",'Assembly(b)'!E18="43mm H/D"))),1,"")</f>
        <v/>
      </c>
      <c r="BV12" s="7" t="str">
        <f>IF(AND('Job Sheet'!BE18="Birch White",'Assembly(b)'!F18="Chain Winder Fixed Guide",(OR('Assembly(b)'!E18="43mm",'Assembly(b)'!E18="43mm H/D"))),1,"")</f>
        <v/>
      </c>
      <c r="BW12" s="7" t="str">
        <f>IF(AND('Job Sheet'!BE18="Grey",'Assembly(b)'!F18="Chain Winder Fixed Guide",(OR('Assembly(b)'!E18="43mm",'Assembly(b)'!E18="43mm H/D"))),1,"")</f>
        <v/>
      </c>
      <c r="BX12" s="7" t="str">
        <f>IF(AND('Job Sheet'!BE18="Beige",'Assembly(b)'!F18="Chain Winder Fixed Guide",(OR('Assembly(b)'!E18="43mm",'Assembly(b)'!E18="43mm H/D"))),1,"")</f>
        <v/>
      </c>
      <c r="BY12" s="7" t="str">
        <f>IF(Data!AV18="","",IF(AND('Job Sheet'!BE18="White",VLOOKUP('Job Sheet'!AR18,ControlDeduct,3,FALSE)="Yes"),1,""))</f>
        <v/>
      </c>
      <c r="BZ12" s="7" t="str">
        <f>IF(Data!AV18="","",IF(AND('Job Sheet'!BE18="Black",VLOOKUP('Job Sheet'!AR18,ControlDeduct,3,FALSE)="Yes"),1,""))</f>
        <v/>
      </c>
      <c r="CA12" s="7" t="str">
        <f>IF(Data!AV18="","",IF(AND('Job Sheet'!BE18="Birch White",VLOOKUP('Job Sheet'!AR18,ControlDeduct,3,FALSE)="Yes"),1,""))</f>
        <v/>
      </c>
      <c r="CB12" s="7" t="str">
        <f>IF(Data!AV18="","",IF(AND('Job Sheet'!BE18="Grey",VLOOKUP('Job Sheet'!AR18,ControlDeduct,3,FALSE)="Yes"),1,""))</f>
        <v/>
      </c>
      <c r="CC12" s="7" t="str">
        <f>IF(Data!AV18="","",IF(AND('Job Sheet'!BE18="Beige",VLOOKUP('Job Sheet'!AR18,ControlDeduct,3,FALSE)="Yes"),1,""))</f>
        <v/>
      </c>
      <c r="CD12" s="7" t="str">
        <f>IF(AND('Job Sheet'!BE18="White",(OR(Bagging!D18="Single",Bagging!D18="Single with Covers",Bagging!D18="Single &amp; Single Linked"))),1,"")</f>
        <v/>
      </c>
      <c r="CE12" s="7" t="str">
        <f>IF(AND('Job Sheet'!BE18="Black",(OR(Bagging!D18="Single",Bagging!D18="Single with Covers",Bagging!D18="Single &amp; Single Linked"))),1,"")</f>
        <v/>
      </c>
      <c r="CF12" s="7" t="str">
        <f>IF(AND('Job Sheet'!BE18="Birch White",(OR(Bagging!D18="Single",Bagging!D18="Single with Covers",Bagging!D18="Single &amp; Single Linked"))),1,"")</f>
        <v/>
      </c>
      <c r="CG12" s="7" t="str">
        <f>IF(AND('Job Sheet'!BE18="Grey",(OR(Bagging!D18="Single",Bagging!D18="Single with Covers",Bagging!D18="Single &amp; Single Linked"))),1,"")</f>
        <v/>
      </c>
      <c r="CH12" s="7" t="str">
        <f>IF(AND('Job Sheet'!BE18="Beige",(OR(Bagging!D18="Single",Bagging!D18="Single with Covers",Bagging!D18="Single &amp; Single Linked"))),1,"")</f>
        <v/>
      </c>
      <c r="CI12" s="7" t="str">
        <f>IF(AND('Job Sheet'!BE18="White",(OR(Bagging!D18="Single Extension",Bagging!D18="Single Extension with Extension Covers",Bagging!D18="Single Extension &amp; Single Extension Linked",Bagging!D18="Single Extension with Extension Covers &amp; Single Extension Linked"))),1,"")</f>
        <v/>
      </c>
      <c r="CJ12" s="7" t="str">
        <f>IF(AND('Job Sheet'!BE18="Black",(OR(Bagging!D18="Single Extension",Bagging!D18="Single Extension with Extension Covers",Bagging!D18="Single Extension &amp; Single Extension Linked",Bagging!D18="Single Extension with Extension Covers &amp; Single Extension Linked"))),1,"")</f>
        <v/>
      </c>
      <c r="CK12" s="7" t="str">
        <f>IF(AND('Job Sheet'!BE18="Birch White",(OR(Bagging!D18="Single Extension",Bagging!D18="Single Extension with Extension Covers",Bagging!D18="Single Extension &amp; Single Extension Linked",Bagging!D18="Single Extension with Extension Covers &amp; Single Extension Linked"))),1,"")</f>
        <v/>
      </c>
      <c r="CL12" s="7" t="str">
        <f>IF(AND('Job Sheet'!BE18="Grey",(OR(Bagging!D18="Single Extension",Bagging!D18="Single Extension with Extension Covers",Bagging!D18="Single Extension &amp; Single Extension Linked",Bagging!D18="Single Extension with Extension Covers &amp; Single Extension Linked"))),1,"")</f>
        <v/>
      </c>
      <c r="CM12" s="7" t="str">
        <f>IF(AND('Job Sheet'!BE18="Beige",(OR(Bagging!D18="Single Extension",Bagging!D18="Single Extension with Extension Covers",Bagging!D18="Single Extension &amp; Single Extension Linked",Bagging!D18="Single Extension with Extension Covers &amp; Single Extension Linked"))),1,"")</f>
        <v/>
      </c>
      <c r="CN12" s="7" t="str">
        <f>IF(AND('Job Sheet'!BE18="White",(OR(Bagging!D18="Single Motor Brackets",Bagging!D18="Single Motor Brackets with Covers"))),1,"")</f>
        <v/>
      </c>
      <c r="CO12" s="7" t="str">
        <f>IF(AND('Job Sheet'!BE18="Black",(OR(Bagging!D18="Single Motor Brackets",Bagging!D18="Single Motor Brackets with Covers"))),1,"")</f>
        <v/>
      </c>
      <c r="CP12" s="7" t="str">
        <f>IF(AND('Job Sheet'!BE18="White",(OR(Bagging!D18="Single Motor Extension Brackets",Bagging!D18="Single Motor Extension Brackets with Extension Covers"))),1,"")</f>
        <v/>
      </c>
      <c r="CQ12" s="7" t="str">
        <f>IF(AND('Job Sheet'!BE18="Black",(OR(Bagging!D18="Single Motor Extension Brackets",Bagging!D18="Single Motor Extension Brackets with Extension Covers"))),1,"")</f>
        <v/>
      </c>
      <c r="CR12" s="7" t="str">
        <f>IF(AND('Job Sheet'!BE18="White",OR(Bagging!D18="Single with Covers",Bagging!D18="Single Motor Brackets with Covers")),1,"")</f>
        <v/>
      </c>
      <c r="CS12" s="7" t="str">
        <f>IF(AND('Job Sheet'!BE18="Black",OR(Bagging!D18="Single with Covers",Bagging!D18="Single Motor Brackets with Covers")),1,"")</f>
        <v/>
      </c>
      <c r="CT12" s="7" t="str">
        <f>IF(AND('Job Sheet'!BE18="Birch White",OR(Bagging!D18="Single with Covers",Bagging!D18="Single Motor Brackets with Covers")),1,"")</f>
        <v/>
      </c>
      <c r="CU12" s="7" t="str">
        <f>IF(AND('Job Sheet'!BE18="Grey",OR(Bagging!D18="Single with Covers",Bagging!D18="Single Motor Brackets with Covers")),1,"")</f>
        <v/>
      </c>
      <c r="CV12" s="7" t="str">
        <f>IF(AND('Job Sheet'!BE18="Beige",OR(Bagging!D18="Single with Covers",Bagging!D18="Single Motor Brackets with Covers")),1,"")</f>
        <v/>
      </c>
      <c r="CW12" s="7" t="str">
        <f>IF(AND('Job Sheet'!BE18="White",OR(Bagging!D18="Single Extension with Extension Covers",Bagging!D18="Single Motor Extension Brackets with Extension Covers",Bagging!D18="Single Extension with Extension Covers &amp; Single Extension Linked")),1,"")</f>
        <v/>
      </c>
      <c r="CX12" s="7" t="str">
        <f>IF(AND('Job Sheet'!BE18="Black",OR(Bagging!D18="Single Extension with Extension Covers",Bagging!D18="Single Motor Extension Brackets with Extension Covers",Bagging!D18="Single Extension with Extension Covers &amp; Single Extension Linked")),1,"")</f>
        <v/>
      </c>
      <c r="CY12" s="7" t="str">
        <f>IF(AND('Job Sheet'!BE18="Birch White",OR(Bagging!D18="Single Extension with Extension Covers",Bagging!D18="Single Motor Extension Brackets with Extension Covers",Bagging!D18="Single Extension with Extension Covers &amp; Single Extension Linked")),1,"")</f>
        <v/>
      </c>
      <c r="CZ12" s="7" t="str">
        <f>IF(AND('Job Sheet'!BE18="Grey",OR(Bagging!D18="Single Extension with Extension Covers",Bagging!D18="Single Motor Extension Brackets with Extension Covers",Bagging!D18="Single Extension with Extension Covers &amp; Single Extension Linked")),1,"")</f>
        <v/>
      </c>
      <c r="DA12" s="7" t="str">
        <f>IF(AND('Job Sheet'!BE18="Beige",OR(Bagging!D18="Single Extension with Extension Covers",Bagging!D18="Single Motor Extension Brackets with Extension Covers",Bagging!D18="Single Extension with Extension Covers &amp; Single Extension Linked")),1,"")</f>
        <v/>
      </c>
      <c r="DB12" s="7" t="str">
        <f>IF(AND(Bagging!D18="Dual Opposite Side",'Job Sheet'!BE18="White"),1,"")</f>
        <v/>
      </c>
      <c r="DC12" s="7" t="str">
        <f>IF(AND(Bagging!D18="Dual Opposite Side",'Job Sheet'!BE18="Black"),1,"")</f>
        <v/>
      </c>
      <c r="DD12" s="7" t="str">
        <f>IF(AND(Bagging!D18="Dual Opposite Side",'Job Sheet'!BE18="Birch White"),1,"")</f>
        <v/>
      </c>
      <c r="DE12" s="7" t="str">
        <f>IF(AND(Bagging!D18="Dual Opposite Side",'Job Sheet'!BE18="Grey"),1,"")</f>
        <v/>
      </c>
      <c r="DF12" s="7" t="str">
        <f>IF(AND(Bagging!D18="Dual Opposite Side",'Job Sheet'!BE18="Beige"),1,"")</f>
        <v/>
      </c>
      <c r="DG12" s="7" t="str">
        <f>IF(AND('Job Sheet'!BE18="White",(OR(Bagging!D18="Dual Same Side",Bagging!D18="Dual Same Side &amp; Dual Linked"))),1,"")</f>
        <v/>
      </c>
      <c r="DH12" s="7" t="str">
        <f>IF(AND('Job Sheet'!BE18="Black",(OR(Bagging!D18="Dual Same Side",Bagging!D18="Dual Same Side &amp; Dual Linked"))),1,"")</f>
        <v/>
      </c>
      <c r="DI12" s="7" t="str">
        <f>IF(AND('Job Sheet'!BE18="Birch White",(OR(Bagging!D18="Dual Same Side",Bagging!D18="Dual Same Side &amp; Dual Linked"))),1,"")</f>
        <v/>
      </c>
      <c r="DJ12" s="7" t="str">
        <f>IF(AND('Job Sheet'!BE18="Grey",(OR(Bagging!D18="Dual Same Side",Bagging!D18="Dual Same Side &amp; Dual Linked"))),1,"")</f>
        <v/>
      </c>
      <c r="DK12" s="7" t="str">
        <f>IF(AND('Job Sheet'!BE18="Beige",(OR(Bagging!D18="Dual Same Side",Bagging!D18="Dual Same Side &amp; Dual Linked"))),1,"")</f>
        <v/>
      </c>
      <c r="DL12" s="7" t="str">
        <f>IF(AND('Job Sheet'!BE18="White",(OR(Bagging!D18="Slimline Dual Top Blind Front Roll LHS Control",Bagging!D18="Slimline Dual Top Blind Front Roll LHS Control &amp; Dual Slimline Linked Top Blind Front Roll"))),1,"")</f>
        <v/>
      </c>
      <c r="DM12" s="7" t="str">
        <f>IF(AND('Job Sheet'!BE18="White",(OR(Bagging!D18="Slimline Dual Top Blind Front Roll RHS Control",Bagging!D18="Slimline Dual Top Blind Front Roll RHS Control &amp; Dual Slimline Linked Top Blind Front Roll"))),1,"")</f>
        <v/>
      </c>
      <c r="DN12" s="7" t="str">
        <f>IF(AND('Job Sheet'!BE18="Black",(OR(Bagging!D18="Slimline Dual Top Blind Front Roll LHS Control",Bagging!D18="Slimline Dual Top Blind Front Roll LHS Control &amp; Dual Slimline Linked Top Blind Front Roll"))),1,"")</f>
        <v/>
      </c>
      <c r="DO12" s="7" t="str">
        <f>IF(AND('Job Sheet'!BE18="Black",(OR(Bagging!D18="Slimline Dual Top Blind Front Roll RHS Control",Bagging!D18="Slimline Dual Top Blind Front Roll RHS Control &amp; Dual Slimline Linked Top Blind Front Roll"))),1,"")</f>
        <v/>
      </c>
      <c r="DP12" s="7" t="str">
        <f>IF(AND('Job Sheet'!BE18="Birch White",(OR(Bagging!D18="Slimline Dual Top Blind Front Roll LHS Control",Bagging!D18="Slimline Dual Top Blind Front Roll LHS Control &amp; Dual Slimline Linked Top Blind Front Roll"))),1,"")</f>
        <v/>
      </c>
      <c r="DQ12" s="7" t="str">
        <f>IF(AND('Job Sheet'!BE18="Birch White",(OR(Bagging!D18="Slimline Dual Top Blind Front Roll RHS Control",Bagging!D18="Slimline Dual Top Blind Front Roll RHS Control &amp; Dual Slimline Linked Top Blind Front Roll"))),1,"")</f>
        <v/>
      </c>
      <c r="DR12" s="7" t="str">
        <f>IF(AND('Job Sheet'!BE18="Grey",(OR(Bagging!D18="Slimline Dual Top Blind Front Roll LHS Control",Bagging!D18="Slimline Dual Top Blind Front Roll LHS Control &amp; Dual Slimline Linked Top Blind Front Roll"))),1,"")</f>
        <v/>
      </c>
      <c r="DS12" s="7" t="str">
        <f>IF(AND('Job Sheet'!BE18="Grey",(OR(Bagging!D18="Slimline Dual Top Blind Front Roll RHS Control",Bagging!D18="Slimline Dual Top Blind Front Roll RHS Control &amp; Dual Slimline Linked Top Blind Front Roll"))),1,"")</f>
        <v/>
      </c>
      <c r="DT12" s="7" t="str">
        <f>IF(AND('Job Sheet'!BE18="Beige",(OR(Bagging!D18="Slimline Dual Top Blind Front Roll LHS Control",Bagging!D18="Slimline Dual Top Blind Front Roll LHS Control &amp; Dual Slimline Linked Top Blind Front Roll"))),1,"")</f>
        <v/>
      </c>
      <c r="DU12" s="7" t="str">
        <f>IF(AND('Job Sheet'!BE18="Beige",(OR(Bagging!D18="Slimline Dual Top Blind Front Roll RHS Control",Bagging!D18="Slimline Dual Top Blind Front Roll RHS Control &amp; Dual Slimline Linked Top Blind Front Roll"))),1,"")</f>
        <v/>
      </c>
      <c r="DV12" s="7" t="str">
        <f>IF(AND('Job Sheet'!BE18="White",(OR(Bagging!D18="Slimline Dual Top Blind Back Roll LHS Control",Bagging!D18="Slimline Dual Top Blind Back Roll LHS Control &amp; Dual Slimline Linked Top Blind Back Roll"))),1,"")</f>
        <v/>
      </c>
      <c r="DW12" s="7" t="str">
        <f>IF(AND('Job Sheet'!BE18="White",(OR(Bagging!D18="Slimline Dual Top Blind Back Roll RHS Control",Bagging!D18="Slimline Dual Top Blind Back Roll LHS Control &amp; Dual Slimline Linked Top Blind Back Roll"))),1,"")</f>
        <v/>
      </c>
      <c r="DX12" s="7" t="str">
        <f>IF(AND('Job Sheet'!BE18="Black",(OR(Bagging!D18="Slimline Dual Top Blind Back Roll LHS Control",Bagging!D18="Slimline Dual Top Blind Back Roll LHS Control &amp; Dual Slimline Linked Top Blind Back Roll"))),1,"")</f>
        <v/>
      </c>
      <c r="DY12" s="7" t="str">
        <f>IF(AND('Job Sheet'!BE18="Black",(OR(Bagging!D18="Slimline Dual Top Blind Back Roll RHS Control",Bagging!D18="Slimline Dual Top Blind Back Roll LHS Control &amp; Dual Slimline Linked Top Blind Back Roll"))),1,"")</f>
        <v/>
      </c>
      <c r="DZ12" s="7" t="str">
        <f>IF(AND('Job Sheet'!BE18="Birch White",(OR(Bagging!D18="Slimline Dual Top Blind Back Roll LHS Control",Bagging!D18="Slimline Dual Top Blind Back Roll LHS Control &amp; Dual Slimline Linked Top Blind Back Roll"))),1,"")</f>
        <v/>
      </c>
      <c r="EA12" s="7" t="str">
        <f>IF(AND('Job Sheet'!BE18="Birch White",(OR(Bagging!D18="Slimline Dual Top Blind Back Roll RHS Control",Bagging!D18="Slimline Dual Top Blind Back Roll LHS Control &amp; Dual Slimline Linked Top Blind Back Roll"))),1,"")</f>
        <v/>
      </c>
      <c r="EB12" s="7" t="str">
        <f>IF(AND('Job Sheet'!BE18="Grey",(OR(Bagging!D18="Slimline Dual Top Blind Back Roll LHS Control",Bagging!D18="Slimline Dual Top Blind Back Roll LHS Control &amp; Dual Slimline Linked Top Blind Back Roll"))),1,"")</f>
        <v/>
      </c>
      <c r="EC12" s="7" t="str">
        <f>IF(AND('Job Sheet'!BE18="Grey",(OR(Bagging!D18="Slimline Dual Top Blind Back Roll RHS Control",Bagging!D18="Slimline Dual Top Blind Back Roll LHS Control &amp; Dual Slimline Linked Top Blind Back Roll"))),1,"")</f>
        <v/>
      </c>
      <c r="ED12" s="7" t="str">
        <f>IF(AND('Job Sheet'!BE18="Beige",(OR(Bagging!D18="Slimline Dual Top Blind Back Roll LHS Control",Bagging!D18="Slimline Dual Top Blind Back Roll LHS Control &amp; Dual Slimline Linked Top Blind Back Roll"))),1,"")</f>
        <v/>
      </c>
      <c r="EE12" s="7" t="str">
        <f>IF(AND('Job Sheet'!BE18="Beige",(OR(Bagging!D18="Slimline Dual Top Blind Back Roll RHS Control",Bagging!D18="Slimline Dual Top Blind Back Roll LHS Control &amp; Dual Slimline Linked Top Blind Back Roll"))),1,"")</f>
        <v/>
      </c>
      <c r="EF12" s="7" t="str">
        <f>IF(AND('Job Sheet'!BE18="White",(OR(Bagging!D18="Linked",Bagging!D18="Single &amp; Single Linked"))),1,IF(AND(Bagging!D18="Linked(2 Sets)",'Job Sheet'!BE18="White"),2,""))</f>
        <v/>
      </c>
      <c r="EG12" s="7" t="str">
        <f>IF(AND('Job Sheet'!BE18="Black",(OR(Bagging!D18="Linked",Bagging!D18="Single &amp; Single Linked"))),1,IF(AND(Bagging!D18="Linked(2 Sets)",'Job Sheet'!BE18="Black"),2,""))</f>
        <v/>
      </c>
      <c r="EH12" s="7" t="str">
        <f>IF(AND('Job Sheet'!BE18="Birch White",(OR(Bagging!D18="Linked",Bagging!D18="Single &amp; Single Linked"))),1,IF(AND(Bagging!D18="Linked(2 Sets)",'Job Sheet'!BE18="Birch White"),2,""))</f>
        <v/>
      </c>
      <c r="EI12" s="7" t="str">
        <f>IF(AND('Job Sheet'!BE18="Grey",(OR(Bagging!D18="Linked",Bagging!D18="Single &amp; Single Linked"))),1,IF(AND(Bagging!D18="Linked(2 Sets)",'Job Sheet'!BE18="Grey"),2,""))</f>
        <v/>
      </c>
      <c r="EJ12" s="7" t="str">
        <f>IF(AND('Job Sheet'!BE18="Beige",(OR(Bagging!D18="Linked",Bagging!D18="Single &amp; Single Linked"))),1,IF(AND(Bagging!D18="Linked(2 Sets)",'Job Sheet'!BE18="Beige"),2,""))</f>
        <v/>
      </c>
      <c r="EK12" s="7" t="str">
        <f>IF(AND('Job Sheet'!BE18="White",(OR(Bagging!D18="Single Extension Linked",Bagging!D18="Single Extension &amp; Single Extension Linked",Bagging!D18="Single Extension with Extension Covers &amp; Single Extension Linked"))),1,IF(AND(Bagging!D18="Single Extension Linked(2 Sets)",'Job Sheet'!BE18="White"),2,""))</f>
        <v/>
      </c>
      <c r="EL12" s="7" t="str">
        <f>IF(AND('Job Sheet'!BE18="Black",(OR(Bagging!D18="Single Extension Linked",Bagging!D18="Single Extension &amp; Single Extension Linked",Bagging!D18="Single Extension with Extension Covers &amp; Single Extension Linked"))),1,IF(AND(Bagging!D18="Single Extension Linked(2 Sets)",'Job Sheet'!BE18="Black"),2,""))</f>
        <v/>
      </c>
      <c r="EM12" s="7" t="str">
        <f>IF(AND('Job Sheet'!BE18="Birch White",(OR(Bagging!D18="Single Extension Linked",Bagging!D18="Single Extension &amp; Single Extension Linked",Bagging!D18="Single Extension with Extension Covers &amp; Single Extension Linked"))),1,IF(AND(Bagging!D18="Single Extension Linked(2 Sets)",'Job Sheet'!BE18="Birch White"),2,""))</f>
        <v/>
      </c>
      <c r="EN12" s="7" t="str">
        <f>IF(AND('Job Sheet'!BE18="Grey",(OR(Bagging!D18="Single Extension Linked",Bagging!D18="Single Extension &amp; Single Extension Linked",Bagging!D18="Single Extension with Extension Covers &amp; Single Extension Linked"))),1,IF(AND(Bagging!D18="Single Extension Linked(2 Sets)",'Job Sheet'!BE18="Grey"),2,""))</f>
        <v/>
      </c>
      <c r="EO12" s="7" t="str">
        <f>IF(AND('Job Sheet'!BE18="Beige",(OR(Bagging!D18="Single Extension Linked",Bagging!D18="Single Extension &amp; Single Extension Linked",Bagging!D18="Single Extension with Extension Covers &amp; Single Extension Linked"))),1,IF(AND(Bagging!D18="Single Extension Linked(2 Sets)",'Job Sheet'!BE18="Beige"),2,""))</f>
        <v/>
      </c>
      <c r="EP12" s="7" t="str">
        <f>IF(AND('Job Sheet'!BE18="White",(OR(Bagging!D18="Dual Linked",Bagging!D18="Dual Same Side &amp; Dual Linked"))),1,IF(AND(Bagging!D18="Dual Linked(2 Sets)",'Job Sheet'!BE18="White"),2,""))</f>
        <v/>
      </c>
      <c r="EQ12" s="7" t="str">
        <f>IF(AND('Job Sheet'!BE18="Black",(OR(Bagging!D18="Dual Linked",Bagging!D18="Dual Same Side &amp; Dual Linked"))),1,IF(AND(Bagging!D18="Dual Linked(2 Sets)",'Job Sheet'!BE18="Black"),2,""))</f>
        <v/>
      </c>
      <c r="ER12" s="7" t="str">
        <f>IF(AND('Job Sheet'!BE18="Birch White",(OR(Bagging!D18="Dual Linked",Bagging!D18="Dual Same Side &amp; Dual Linked"))),1,IF(AND(Bagging!D18="Dual Linked(2 Sets)",'Job Sheet'!BE18="Birch White"),2,""))</f>
        <v/>
      </c>
      <c r="ES12" s="7" t="str">
        <f>IF(AND('Job Sheet'!BE18="Grey",(OR(Bagging!D18="Dual Linked",Bagging!D18="Dual Same Side &amp; Dual Linked"))),1,IF(AND(Bagging!D18="Dual Linked(2 Sets)",'Job Sheet'!BE18="Grey"),2,""))</f>
        <v/>
      </c>
      <c r="ET12" s="7" t="str">
        <f>IF(AND('Job Sheet'!BE18="Beige",(OR(Bagging!D18="Dual Linked",Bagging!D18="Dual Same Side &amp; Dual Linked"))),1,IF(AND(Bagging!D18="Dual Linked(2 Sets)",'Job Sheet'!BE18="Beige"),2,""))</f>
        <v/>
      </c>
      <c r="EU12" s="7" t="str">
        <f>IF(AND('Job Sheet'!BE18="White",(OR(Bagging!D18="Dual Slimline Linked Top Blind Front Roll",Bagging!D18="Slimline Dual Top Blind Front Roll LHS Control &amp; Dual Slimline Linked Top Blind Front Roll",Bagging!D18="Slimline Dual Top Blind Front Roll RHS Control &amp; Dual Slimline Linked Top Blind Front Roll"))),1,IF(AND(Bagging!D18="Dual Slimline Linked Top Blind Front Roll(2 Sets)",'Job Sheet'!BE18="White"),2,""))</f>
        <v/>
      </c>
      <c r="EV12" s="7" t="str">
        <f>IF(AND('Job Sheet'!BE18="Black",(OR(Bagging!D18="Dual Slimline Linked Top Blind Front Roll",Bagging!D18="Slimline Dual Top Blind Front Roll LHS Control &amp; Dual Slimline Linked Top Blind Front Roll",Bagging!D18="Slimline Dual Top Blind Front Roll RHS Control &amp; Dual Slimline Linked Top Blind Front Roll"))),1,IF(AND(Bagging!D18="Dual Slimline Linked Top Blind Front Roll(2 Sets)",'Job Sheet'!BE18="Black"),2,""))</f>
        <v/>
      </c>
      <c r="EW12" s="7" t="str">
        <f>IF(AND('Job Sheet'!BE18="Birch White",(OR(Bagging!D18="Dual Slimline Linked Top Blind Front Roll",Bagging!D18="Slimline Dual Top Blind Front Roll LHS Control &amp; Dual Slimline Linked Top Blind Front Roll",Bagging!D18="Slimline Dual Top Blind Front Roll RHS Control &amp; Dual Slimline Linked Top Blind Front Roll"))),1,IF(AND(Bagging!D18="Dual Slimline Linked Top Blind Front Roll(2 Sets)",'Job Sheet'!BE18="Birch White"),2,""))</f>
        <v/>
      </c>
      <c r="EX12" s="7" t="str">
        <f>IF(AND('Job Sheet'!BE18="Grey",(OR(Bagging!D18="Dual Slimline Linked Top Blind Front Roll",Bagging!D18="Slimline Dual Top Blind Front Roll LHS Control &amp; Dual Slimline Linked Top Blind Front Roll",Bagging!D18="Slimline Dual Top Blind Front Roll RHS Control &amp; Dual Slimline Linked Top Blind Front Roll"))),1,IF(AND(Bagging!D18="Dual Slimline Linked Top Blind Front Roll(2 Sets)",'Job Sheet'!BE18="Grey"),2,""))</f>
        <v/>
      </c>
      <c r="EY12" s="7" t="str">
        <f>IF(AND('Job Sheet'!BE18="Beige",(OR(Bagging!D18="Dual Slimline Linked Top Blind Front Roll",Bagging!D18="Slimline Dual Top Blind Front Roll LHS Control &amp; Dual Slimline Linked Top Blind Front Roll",Bagging!D18="Slimline Dual Top Blind Front Roll RHS Control &amp; Dual Slimline Linked Top Blind Front Roll"))),1,IF(AND(Bagging!D18="Dual Slimline Linked Top Blind Front Roll(2 Sets)",'Job Sheet'!BE18="Beige"),2,""))</f>
        <v/>
      </c>
      <c r="EZ12" s="7" t="str">
        <f>IF(AND('Job Sheet'!BE18="White",(OR(Bagging!D18="Dual Slimline Linked Top Blind Back Roll",Bagging!D18="Slimline Dual Top Blind Back Roll LHS Control &amp; Dual Slimline Linked Top Blind Back Roll",Bagging!D18="Slimline Dual Top Blind Back Roll RHS Control &amp; Dual Slimline Linked Top Blind Back Roll"))),1,IF(AND(Bagging!D18="Dual Slimline Linked Top Blind Back Roll(2 Sets)",'Job Sheet'!BE18="White"),2,""))</f>
        <v/>
      </c>
      <c r="FA12" s="7" t="str">
        <f>IF(AND('Job Sheet'!BE18="Black",(OR(Bagging!D18="Dual Slimline Linked Top Blind Back Roll",Bagging!D18="Slimline Dual Top Blind Back Roll LHS Control &amp; Dual Slimline Linked Top Blind Back Roll",Bagging!D18="Slimline Dual Top Blind Back Roll RHS Control &amp; Dual Slimline Linked Top Blind Back Roll"))),1,IF(AND(Bagging!D18="Dual Slimline Linked Top Blind Back Roll(2 Sets)",'Job Sheet'!BE18="Black"),2,""))</f>
        <v/>
      </c>
      <c r="FB12" s="7" t="str">
        <f>IF(AND('Job Sheet'!BE18="Birch White",(OR(Bagging!D18="Dual Slimline Linked Top Blind Back Roll",Bagging!D18="Slimline Dual Top Blind Back Roll LHS Control &amp; Dual Slimline Linked Top Blind Back Roll",Bagging!D18="Slimline Dual Top Blind Back Roll RHS Control &amp; Dual Slimline Linked Top Blind Back Roll"))),1,IF(AND(Bagging!D18="Dual Slimline Linked Top Blind Back Roll(2 Sets)",'Job Sheet'!BE18="Birch White"),2,""))</f>
        <v/>
      </c>
      <c r="FC12" s="7" t="str">
        <f>IF(AND('Job Sheet'!BE18="Grey",(OR(Bagging!D18="Dual Slimline Linked Top Blind Back Roll",Bagging!D18="Slimline Dual Top Blind Back Roll LHS Control &amp; Dual Slimline Linked Top Blind Back Roll",Bagging!D18="Slimline Dual Top Blind Back Roll RHS Control &amp; Dual Slimline Linked Top Blind Back Roll"))),1,IF(AND(Bagging!D18="Dual Slimline Linked Top Blind Back Roll(2 Sets)",'Job Sheet'!BE18="Grey"),2,""))</f>
        <v/>
      </c>
      <c r="FD12" s="7" t="str">
        <f>IF(AND('Job Sheet'!BE18="Beige",(OR(Bagging!D18="Dual Slimline Linked Top Blind Back Roll",Bagging!D18="Slimline Dual Top Blind Back Roll LHS Control &amp; Dual Slimline Linked Top Blind Back Roll",Bagging!D18="Slimline Dual Top Blind Back Roll RHS Control &amp; Dual Slimline Linked Top Blind Back Roll"))),1,IF(AND(Bagging!D18="Dual Slimline Linked Top Blind Back Roll(2 Sets)",'Job Sheet'!BE18="Beige"),2,""))</f>
        <v/>
      </c>
      <c r="FE12" s="7" t="str">
        <f>IF(AND(OR('Job Sheet'!BF18="Nickel Steel",'Job Sheet'!BF18="Nickel Steel Chain"),OR('Assembly(b)'!D18="500mm",'Assembly(b)'!D18="500")),1,"")</f>
        <v/>
      </c>
      <c r="FF12" s="7" t="str">
        <f>IF(AND(OR('Job Sheet'!BF18="Nickel Steel",'Job Sheet'!BF18="Nickel Steel Chain"),OR('Assembly(b)'!D18="750mm",'Assembly(b)'!D18="750")),1,"")</f>
        <v/>
      </c>
      <c r="FG12" s="7" t="str">
        <f>IF(AND(OR('Job Sheet'!BF18="Nickel Steel",'Job Sheet'!BF18="Nickel Steel Chain"),OR('Assembly(b)'!D18="1000mm",'Assembly(b)'!D18="1000")),1,"")</f>
        <v/>
      </c>
      <c r="FH12" s="7" t="str">
        <f>IF(AND(OR('Job Sheet'!BF18="Nickel Steel",'Job Sheet'!BF18="Nickel Steel Chain"),OR('Assembly(b)'!D18="1250mm",'Assembly(b)'!D18="1250")),1,"")</f>
        <v/>
      </c>
      <c r="FI12" s="7" t="str">
        <f>IF(AND(OR('Job Sheet'!BF18="Nickel Steel",'Job Sheet'!BF18="Nickel Steel Chain"),OR('Assembly(b)'!D18="1500mm",'Assembly(b)'!D18="1500")),1,"")</f>
        <v/>
      </c>
      <c r="FJ12" s="7" t="str">
        <f>IF(AND(OR('Job Sheet'!BF18="Nickel Steel",'Job Sheet'!BF18="Nickel Steel Chain"),OR('Assembly(b)'!D18="1750mm",'Assembly(b)'!D18="1750")),1,"")</f>
        <v/>
      </c>
      <c r="FK12" s="7" t="str">
        <f>IF(AND(OR('Job Sheet'!BF18="Nickel Steel",'Job Sheet'!BF18="Nickel Steel Chain"),OR('Assembly(b)'!D18="2000mm",'Assembly(b)'!D18="2000")),1,"")</f>
        <v/>
      </c>
      <c r="FL12" s="7" t="str">
        <f>IF(AND(OR('Job Sheet'!BF18="Nickel Steel",'Job Sheet'!BF18="Nickel Steel Chain"),OR('Assembly(b)'!D18="2250mm",'Assembly(b)'!D18="2250")),1,"")</f>
        <v/>
      </c>
      <c r="FM12" s="7" t="str">
        <f>IF(AND(OR('Job Sheet'!BF18="Nickel Steel",'Job Sheet'!BF18="Nickel Steel Chain"),OR('Assembly(b)'!D18="2500mm",'Assembly(b)'!D18="2500")),1,"")</f>
        <v/>
      </c>
      <c r="FN12" s="7" t="str">
        <f>IF(AND(OR('Job Sheet'!BF18="Nickel Steel",'Job Sheet'!BF18="Nickel Steel Chain"),OR('Assembly(b)'!D18="2750mm",'Assembly(b)'!D18="2750")),1,"")</f>
        <v/>
      </c>
      <c r="FO12" s="7" t="str">
        <f>IF(AND(OR('Job Sheet'!BF18="Nickel Steel",'Job Sheet'!BF18="Nickel Steel Chain"),OR('Assembly(b)'!D18="3000mm",'Assembly(b)'!D18="3000")),1,"")</f>
        <v/>
      </c>
      <c r="FP12" s="7" t="str">
        <f>IF(AND(OR('Job Sheet'!BF18="Nickel Steel",'Job Sheet'!BF18="Nickel Steel Chain"),OR('Assembly(b)'!D18="3250mm",'Assembly(b)'!D18="3250")),1,"")</f>
        <v/>
      </c>
      <c r="FQ12" s="7" t="str">
        <f>IF(AND(OR('Job Sheet'!BF18="Nickel Steel",'Job Sheet'!BF18="Nickel Steel Chain"),OR('Assembly(b)'!D18="3500mm",'Assembly(b)'!D18="3500")),1,"")</f>
        <v/>
      </c>
      <c r="FR12" s="7" t="str">
        <f>IF(AND(OR('Job Sheet'!BF18="Nickel Steel",'Job Sheet'!BF18="Nickel Steel Chain"),OR('Assembly(b)'!D18="3750mm",'Assembly(b)'!D18="3750")),1,"")</f>
        <v/>
      </c>
      <c r="FS12" s="7" t="str">
        <f>IF(AND(OR('Job Sheet'!BF18="Nickel Steel",'Job Sheet'!BF18="Nickel Steel Chain"),OR('Assembly(b)'!D18="4000mm",'Assembly(b)'!D18="4000")),1,"")</f>
        <v/>
      </c>
      <c r="FT12" s="7" t="str">
        <f>IF(AND(OR('Job Sheet'!BF18="White",'Job Sheet'!BF18="White Chain"),OR('Assembly(b)'!D18="500mm",'Assembly(b)'!D18="500")),1,"")</f>
        <v/>
      </c>
      <c r="FU12" s="7" t="str">
        <f>IF(AND(OR('Job Sheet'!BF18="White",'Job Sheet'!BF18="White Chain"),OR('Assembly(b)'!D18="750mm",'Assembly(b)'!D18="750")),1,"")</f>
        <v/>
      </c>
      <c r="FV12" s="7" t="str">
        <f>IF(AND(OR('Job Sheet'!BF18="White",'Job Sheet'!BF18="White Chain"),OR('Assembly(b)'!D18="1000mm",'Assembly(b)'!D18="1000")),1,"")</f>
        <v/>
      </c>
      <c r="FW12" s="7" t="str">
        <f>IF(AND(OR('Job Sheet'!BF18="White",'Job Sheet'!BF18="White Chain"),OR('Assembly(b)'!D18="1250mm",'Assembly(b)'!D18="1250")),1,"")</f>
        <v/>
      </c>
      <c r="FX12" s="7" t="str">
        <f>IF(AND(OR('Job Sheet'!BF18="White",'Job Sheet'!BF18="White Chain"),OR('Assembly(b)'!D18="1500mm",'Assembly(b)'!D18="1500")),1,"")</f>
        <v/>
      </c>
      <c r="FY12" s="7" t="str">
        <f>IF(AND(OR('Job Sheet'!BF18="White",'Job Sheet'!BF18="White Chain"),OR('Assembly(b)'!D18="1750mm",'Assembly(b)'!D18="1750")),1,"")</f>
        <v/>
      </c>
      <c r="FZ12" s="7" t="str">
        <f>IF(AND(OR('Job Sheet'!BF18="White",'Job Sheet'!BF18="White Chain"),OR('Assembly(b)'!D18="2000mm",'Assembly(b)'!D18="2000")),1,"")</f>
        <v/>
      </c>
      <c r="GA12" s="7" t="str">
        <f>IF(AND(OR('Job Sheet'!BF18="White",'Job Sheet'!BF18="White Chain"),OR('Assembly(b)'!D18="2250mm",'Assembly(b)'!D18="2250")),1,"")</f>
        <v/>
      </c>
      <c r="GB12" s="7" t="str">
        <f>IF(AND(OR('Job Sheet'!BF18="White",'Job Sheet'!BF18="White Chain"),OR('Assembly(b)'!D18="2500mm",'Assembly(b)'!D18="2500")),1,"")</f>
        <v/>
      </c>
      <c r="GC12" s="7" t="str">
        <f>IF(AND(OR('Job Sheet'!BF18="White",'Job Sheet'!BF18="White Chain"),OR('Assembly(b)'!D18="2750mm",'Assembly(b)'!D18="2750")),1,"")</f>
        <v/>
      </c>
      <c r="GD12" s="7" t="str">
        <f>IF(AND(OR('Job Sheet'!BF18="White",'Job Sheet'!BF18="White Chain"),OR('Assembly(b)'!D18="3000mm",'Assembly(b)'!D18="3000")),1,"")</f>
        <v/>
      </c>
      <c r="GE12" s="7" t="str">
        <f>IF(AND(OR('Job Sheet'!BF18="White",'Job Sheet'!BF18="White Chain"),OR('Assembly(b)'!D18="3250mm",'Assembly(b)'!D18="3250")),1,"")</f>
        <v/>
      </c>
      <c r="GF12" s="7" t="str">
        <f>IF(AND(OR('Job Sheet'!BF18="White",'Job Sheet'!BF18="White Chain"),OR('Assembly(b)'!D18="3500mm",'Assembly(b)'!D18="3500")),1,"")</f>
        <v/>
      </c>
      <c r="GG12" s="7" t="str">
        <f>IF(AND(OR('Job Sheet'!BF18="White",'Job Sheet'!BF18="White Chain"),OR('Assembly(b)'!D18="3750mm",'Assembly(b)'!D18="3750")),1,"")</f>
        <v/>
      </c>
      <c r="GH12" s="7" t="str">
        <f>IF(AND(OR('Job Sheet'!BF18="White",'Job Sheet'!BF18="White Chain"),OR('Assembly(b)'!D18="4000mm",'Assembly(b)'!D18="4000")),1,"")</f>
        <v/>
      </c>
      <c r="GI12" s="7" t="str">
        <f>IF(AND(OR('Job Sheet'!BF18="Black",'Job Sheet'!BF18="Black Chain"),OR('Assembly(b)'!D18="500mm",'Assembly(b)'!D18="500")),1,"")</f>
        <v/>
      </c>
      <c r="GJ12" s="7" t="str">
        <f>IF(AND(OR('Job Sheet'!BF18="Black",'Job Sheet'!BF18="Black Chain"),OR('Assembly(b)'!D18="750mm",'Assembly(b)'!D18="750")),1,"")</f>
        <v/>
      </c>
      <c r="GK12" s="7" t="str">
        <f>IF(AND(OR('Job Sheet'!BF18="Black",'Job Sheet'!BF18="Black Chain"),OR('Assembly(b)'!D18="1000mm",'Assembly(b)'!D18="1000")),1,"")</f>
        <v/>
      </c>
      <c r="GL12" s="7" t="str">
        <f>IF(AND(OR('Job Sheet'!BF18="Black",'Job Sheet'!BF18="Black Chain"),OR('Assembly(b)'!D18="1250mm",'Assembly(b)'!D18="1250")),1,"")</f>
        <v/>
      </c>
      <c r="GM12" s="7" t="str">
        <f>IF(AND(OR('Job Sheet'!BF18="Black",'Job Sheet'!BF18="Black Chain"),OR('Assembly(b)'!D18="1500mm",'Assembly(b)'!D18="1500")),1,"")</f>
        <v/>
      </c>
      <c r="GN12" s="7" t="str">
        <f>IF(AND(OR('Job Sheet'!BF18="Black",'Job Sheet'!BF18="Black Chain"),OR('Assembly(b)'!D18="1750mm",'Assembly(b)'!D18="1750")),1,"")</f>
        <v/>
      </c>
      <c r="GO12" s="7" t="str">
        <f>IF(AND(OR('Job Sheet'!BF18="Black",'Job Sheet'!BF18="Black Chain"),OR('Assembly(b)'!D18="2000mm",'Assembly(b)'!D18="2000")),1,"")</f>
        <v/>
      </c>
      <c r="GP12" s="7" t="str">
        <f>IF(AND(OR('Job Sheet'!BF18="Black",'Job Sheet'!BF18="Black Chain"),OR('Assembly(b)'!D18="2250mm",'Assembly(b)'!D18="2250")),1,"")</f>
        <v/>
      </c>
      <c r="GQ12" s="7" t="str">
        <f>IF(AND(OR('Job Sheet'!BF18="Black",'Job Sheet'!BF18="Black Chain"),OR('Assembly(b)'!D18="2500mm",'Assembly(b)'!D18="2500")),1,"")</f>
        <v/>
      </c>
      <c r="GR12" s="7" t="str">
        <f>IF(AND(OR('Job Sheet'!BF18="Black",'Job Sheet'!BF18="Black Chain"),OR('Assembly(b)'!D18="2750mm",'Assembly(b)'!D18="2750")),1,"")</f>
        <v/>
      </c>
      <c r="GS12" s="7" t="str">
        <f>IF(AND(OR('Job Sheet'!BF18="Black",'Job Sheet'!BF18="Black Chain"),OR('Assembly(b)'!D18="3000mm",'Assembly(b)'!D18="3000")),1,"")</f>
        <v/>
      </c>
      <c r="GT12" s="7" t="str">
        <f>IF(AND(OR('Job Sheet'!BF18="Black",'Job Sheet'!BF18="Black Chain"),OR('Assembly(b)'!D18="3250mm",'Assembly(b)'!D18="3250")),1,"")</f>
        <v/>
      </c>
      <c r="GU12" s="7" t="str">
        <f>IF(AND(OR('Job Sheet'!BF18="Black",'Job Sheet'!BF18="Black Chain"),OR('Assembly(b)'!D18="3500mm",'Assembly(b)'!D18="3500")),1,"")</f>
        <v/>
      </c>
      <c r="GV12" s="7" t="str">
        <f>IF(AND(OR('Job Sheet'!BF18="Black",'Job Sheet'!BF18="Black Chain"),OR('Assembly(b)'!D18="3750mm",'Assembly(b)'!D18="3750")),1,"")</f>
        <v/>
      </c>
      <c r="GW12" s="7" t="str">
        <f>IF(AND(OR('Job Sheet'!BF18="Black",'Job Sheet'!BF18="Black Chain"),OR('Assembly(b)'!D18="4000mm",'Assembly(b)'!D18="4000")),1,"")</f>
        <v/>
      </c>
      <c r="GX12" s="7" t="str">
        <f>IF(AND(OR('Job Sheet'!BF18="Birch White",'Job Sheet'!BF18="Birch White Chain"),OR('Assembly(b)'!D18="500mm",'Assembly(b)'!D18="500")),1,"")</f>
        <v/>
      </c>
      <c r="GY12" s="7" t="str">
        <f>IF(AND(OR('Job Sheet'!BF18="Birch White",'Job Sheet'!BF18="Birch White Chain"),OR('Assembly(b)'!D18="750mm",'Assembly(b)'!D18="750")),1,"")</f>
        <v/>
      </c>
      <c r="GZ12" s="7" t="str">
        <f>IF(AND(OR('Job Sheet'!BF18="Birch White",'Job Sheet'!BF18="Birch White Chain"),OR('Assembly(b)'!D18="1000mm",'Assembly(b)'!D18="1000")),1,"")</f>
        <v/>
      </c>
      <c r="HA12" s="7" t="str">
        <f>IF(AND(OR('Job Sheet'!BF18="Birch White",'Job Sheet'!BF18="Birch White Chain"),OR('Assembly(b)'!D18="1250mm",'Assembly(b)'!D18="1250")),1,"")</f>
        <v/>
      </c>
      <c r="HB12" s="7" t="str">
        <f>IF(AND(OR('Job Sheet'!BF18="Birch White",'Job Sheet'!BF18="Birch White Chain"),OR('Assembly(b)'!D18="1500mm",'Assembly(b)'!D18="1500")),1,"")</f>
        <v/>
      </c>
      <c r="HC12" s="7" t="str">
        <f>IF(AND(OR('Job Sheet'!BF18="Birch White",'Job Sheet'!BF18="Birch White Chain"),OR('Assembly(b)'!D18="1750mm",'Assembly(b)'!D18="1750")),1,"")</f>
        <v/>
      </c>
      <c r="HD12" s="7" t="str">
        <f>IF(AND(OR('Job Sheet'!BF18="Birch White",'Job Sheet'!BF18="Birch White Chain"),OR('Assembly(b)'!D18="2000mm",'Assembly(b)'!D18="2000")),1,"")</f>
        <v/>
      </c>
      <c r="HE12" s="7" t="str">
        <f>IF(AND(OR('Job Sheet'!BF18="Birch White",'Job Sheet'!BF18="Birch White Chain"),OR('Assembly(b)'!D18="2250mm",'Assembly(b)'!D18="2250")),1,"")</f>
        <v/>
      </c>
      <c r="HF12" s="7" t="str">
        <f>IF(AND(OR('Job Sheet'!BF18="Birch White",'Job Sheet'!BF18="Birch White Chain"),OR('Assembly(b)'!D18="2500mm",'Assembly(b)'!D18="2500")),1,"")</f>
        <v/>
      </c>
      <c r="HG12" s="7" t="str">
        <f>IF(AND(OR('Job Sheet'!BF18="Birch White",'Job Sheet'!BF18="Birch White Chain"),OR('Assembly(b)'!D18="2750mm",'Assembly(b)'!D18="2750")),1,"")</f>
        <v/>
      </c>
      <c r="HH12" s="7" t="str">
        <f>IF(AND(OR('Job Sheet'!BF18="Birch White",'Job Sheet'!BF18="Birch White Chain"),OR('Assembly(b)'!D18="3000mm",'Assembly(b)'!D18="3000")),1,"")</f>
        <v/>
      </c>
      <c r="HI12" s="7" t="str">
        <f>IF(AND(OR('Job Sheet'!BF18="Birch White",'Job Sheet'!BF18="Birch White Chain"),OR('Assembly(b)'!D18="3250mm",'Assembly(b)'!D18="3250")),1,"")</f>
        <v/>
      </c>
      <c r="HJ12" s="7" t="str">
        <f>IF(AND(OR('Job Sheet'!BF18="Birch White",'Job Sheet'!BF18="Birch White Chain"),OR('Assembly(b)'!D18="3500mm",'Assembly(b)'!D18="3500")),1,"")</f>
        <v/>
      </c>
      <c r="HK12" s="7" t="str">
        <f>IF(AND(OR('Job Sheet'!BF18="Birch White",'Job Sheet'!BF18="Birch White Chain"),OR('Assembly(b)'!D18="3750mm",'Assembly(b)'!D18="3750")),1,"")</f>
        <v/>
      </c>
      <c r="HL12" s="7" t="str">
        <f>IF(AND(OR('Job Sheet'!BF18="Birch White",'Job Sheet'!BF18="Birch White Chain"),OR('Assembly(b)'!D18="4000mm",'Assembly(b)'!D18="4000")),1,"")</f>
        <v/>
      </c>
      <c r="HM12" s="7" t="str">
        <f>IF(AND(OR('Job Sheet'!BF18="Grey",'Job Sheet'!BF18="Grey Chain"),OR('Assembly(b)'!D18="500mm",'Assembly(b)'!D18="500")),1,"")</f>
        <v/>
      </c>
      <c r="HN12" s="7" t="str">
        <f>IF(AND(OR('Job Sheet'!BF18="Grey",'Job Sheet'!BF18="Grey Chain"),OR('Assembly(b)'!D18="750mm",'Assembly(b)'!D18="750")),1,"")</f>
        <v/>
      </c>
      <c r="HO12" s="7" t="str">
        <f>IF(AND(OR('Job Sheet'!BF18="Grey",'Job Sheet'!BF18="Grey Chain"),OR('Assembly(b)'!D18="1000mm",'Assembly(b)'!D18="1000")),1,"")</f>
        <v/>
      </c>
      <c r="HP12" s="7" t="str">
        <f>IF(AND(OR('Job Sheet'!BF18="Grey",'Job Sheet'!BF18="Grey Chain"),OR('Assembly(b)'!D18="1250mm",'Assembly(b)'!D18="1250")),1,"")</f>
        <v/>
      </c>
      <c r="HQ12" s="7" t="str">
        <f>IF(AND(OR('Job Sheet'!BF18="Grey",'Job Sheet'!BF18="Grey Chain"),OR('Assembly(b)'!D18="1500mm",'Assembly(b)'!D18="1500")),1,"")</f>
        <v/>
      </c>
      <c r="HR12" s="7" t="str">
        <f>IF(AND(OR('Job Sheet'!BF18="Grey",'Job Sheet'!BF18="Grey Chain"),OR('Assembly(b)'!D18="1750mm",'Assembly(b)'!D18="1750")),1,"")</f>
        <v/>
      </c>
      <c r="HS12" s="7" t="str">
        <f>IF(AND(OR('Job Sheet'!BF18="Grey",'Job Sheet'!BF18="Grey Chain"),OR('Assembly(b)'!D18="2000mm",'Assembly(b)'!D18="2000")),1,"")</f>
        <v/>
      </c>
      <c r="HT12" s="7" t="str">
        <f>IF(AND(OR('Job Sheet'!BF18="Grey",'Job Sheet'!BF18="Grey Chain"),OR('Assembly(b)'!D18="2250mm",'Assembly(b)'!D18="2250")),1,"")</f>
        <v/>
      </c>
      <c r="HU12" s="7" t="str">
        <f>IF(AND(OR('Job Sheet'!BF18="Grey",'Job Sheet'!BF18="Grey Chain"),OR('Assembly(b)'!D18="2500mm",'Assembly(b)'!D18="2500")),1,"")</f>
        <v/>
      </c>
      <c r="HV12" s="7" t="str">
        <f>IF(AND(OR('Job Sheet'!BF18="Grey",'Job Sheet'!BF18="Grey Chain"),OR('Assembly(b)'!D18="2750mm",'Assembly(b)'!D18="2750")),1,"")</f>
        <v/>
      </c>
      <c r="HW12" s="7" t="str">
        <f>IF(AND(OR('Job Sheet'!BF18="Grey",'Job Sheet'!BF18="Grey Chain"),OR('Assembly(b)'!D18="3000mm",'Assembly(b)'!D18="3000")),1,"")</f>
        <v/>
      </c>
      <c r="HX12" s="7" t="str">
        <f>IF(AND(OR('Job Sheet'!BF18="Grey",'Job Sheet'!BF18="Grey Chain"),OR('Assembly(b)'!D18="3250mm",'Assembly(b)'!D18="3250")),1,"")</f>
        <v/>
      </c>
      <c r="HY12" s="7" t="str">
        <f>IF(AND(OR('Job Sheet'!BF18="Grey",'Job Sheet'!BF18="Grey Chain"),OR('Assembly(b)'!D18="3500mm",'Assembly(b)'!D18="3500")),1,"")</f>
        <v/>
      </c>
      <c r="HZ12" s="7" t="str">
        <f>IF(AND(OR('Job Sheet'!BF18="Grey",'Job Sheet'!BF18="Grey Chain"),OR('Assembly(b)'!D18="3750mm",'Assembly(b)'!D18="3750")),1,"")</f>
        <v/>
      </c>
      <c r="IA12" s="7" t="str">
        <f>IF(AND(OR('Job Sheet'!BF18="Grey",'Job Sheet'!BF18="Grey Chain"),OR('Assembly(b)'!D18="4000mm",'Assembly(b)'!D18="4000")),1,"")</f>
        <v/>
      </c>
      <c r="IB12" s="7" t="str">
        <f>IF(AND(OR('Job Sheet'!BF18="Beige",'Job Sheet'!BF18="Beige Chain"),OR('Assembly(b)'!D18="500mm",'Assembly(b)'!D18="500")),1,"")</f>
        <v/>
      </c>
      <c r="IC12" s="7" t="str">
        <f>IF(AND(OR('Job Sheet'!BF18="Beige",'Job Sheet'!BF18="Beige Chain"),OR('Assembly(b)'!D18="750mm",'Assembly(b)'!D18="750")),1,"")</f>
        <v/>
      </c>
      <c r="ID12" s="7" t="str">
        <f>IF(AND(OR('Job Sheet'!BF18="Beige",'Job Sheet'!BF18="Beige Chain"),OR('Assembly(b)'!D18="1000mm",'Assembly(b)'!D18="1000")),1,"")</f>
        <v/>
      </c>
      <c r="IE12" s="7" t="str">
        <f>IF(AND(OR('Job Sheet'!BF18="Beige",'Job Sheet'!BF18="Beige Chain"),OR('Assembly(b)'!D18="1250mm",'Assembly(b)'!D18="1250")),1,"")</f>
        <v/>
      </c>
      <c r="IF12" s="7" t="str">
        <f>IF(AND(OR('Job Sheet'!BF18="Beige",'Job Sheet'!BF18="Beige Chain"),OR('Assembly(b)'!D18="1500mm",'Assembly(b)'!D18="1500")),1,"")</f>
        <v/>
      </c>
      <c r="IG12" s="7" t="str">
        <f>IF(AND(OR('Job Sheet'!BF18="Beige",'Job Sheet'!BF18="Beige Chain"),OR('Assembly(b)'!D18="1750mm",'Assembly(b)'!D18="1750")),1,"")</f>
        <v/>
      </c>
      <c r="IH12" s="7" t="str">
        <f>IF(AND(OR('Job Sheet'!BF18="Beige",'Job Sheet'!BF18="Beige Chain"),OR('Assembly(b)'!D18="2000mm",'Assembly(b)'!D18="2000")),1,"")</f>
        <v/>
      </c>
      <c r="II12" s="7" t="str">
        <f>IF(AND(OR('Job Sheet'!BF18="Beige",'Job Sheet'!BF18="Beige Chain"),OR('Assembly(b)'!D18="2250mm",'Assembly(b)'!D18="2250")),1,"")</f>
        <v/>
      </c>
      <c r="IJ12" s="7" t="str">
        <f>IF(AND(OR('Job Sheet'!BF18="Beige",'Job Sheet'!BF18="Beige Chain"),OR('Assembly(b)'!D18="2500mm",'Assembly(b)'!D18="2500")),1,"")</f>
        <v/>
      </c>
      <c r="IK12" s="7" t="str">
        <f>IF(AND(OR('Job Sheet'!BF18="Beige",'Job Sheet'!BF18="Beige Chain"),OR('Assembly(b)'!D18="2750mm",'Assembly(b)'!D18="2750")),1,"")</f>
        <v/>
      </c>
      <c r="IL12" s="7" t="str">
        <f>IF(AND(OR('Job Sheet'!BF18="Beige",'Job Sheet'!BF18="Beige Chain"),OR('Assembly(b)'!D18="3000mm",'Assembly(b)'!D18="3000")),1,"")</f>
        <v/>
      </c>
      <c r="IM12" s="7" t="str">
        <f>IF(AND(OR('Job Sheet'!BF18="Beige",'Job Sheet'!BF18="Beige Chain"),OR('Assembly(b)'!D18="3250mm",'Assembly(b)'!D18="3250")),1,"")</f>
        <v/>
      </c>
      <c r="IN12" s="7" t="str">
        <f>IF(AND(OR('Job Sheet'!BF18="Beige",'Job Sheet'!BF18="Beige Chain"),OR('Assembly(b)'!D18="3500mm",'Assembly(b)'!D18="3500")),1,"")</f>
        <v/>
      </c>
      <c r="IO12" s="7" t="str">
        <f>IF(AND(OR('Job Sheet'!BF18="Beige",'Job Sheet'!BF18="Beige Chain"),OR('Assembly(b)'!D18="3750mm",'Assembly(b)'!D18="3750")),1,"")</f>
        <v/>
      </c>
      <c r="IP12" s="7" t="str">
        <f>IF(AND(OR('Job Sheet'!BF18="Beige",'Job Sheet'!BF18="Beige Chain"),OR('Assembly(b)'!D18="4000mm",'Assembly(b)'!D18="4000")),1,"")</f>
        <v/>
      </c>
      <c r="IQ12" s="7" t="str">
        <f>IF(AND(OR('Job Sheet'!BF18="Stainless Steel",'Job Sheet'!BF18="Stainless Steel Chain"),OR('Assembly(b)'!D18="500mm",'Assembly(b)'!D18="500")),1,"")</f>
        <v/>
      </c>
      <c r="IR12" s="7" t="str">
        <f>IF(AND(OR('Job Sheet'!BF18="Stainless Steel",'Job Sheet'!BF18="Stainless Steel Chain"),OR('Assembly(b)'!D18="750mm",'Assembly(b)'!D18="750")),1,"")</f>
        <v/>
      </c>
      <c r="IS12" s="7" t="str">
        <f>IF(AND(OR('Job Sheet'!BF18="Stainless Steel",'Job Sheet'!BF18="Stainless Steel Chain"),OR('Assembly(b)'!D18="1000mm",'Assembly(b)'!D18="1000")),1,"")</f>
        <v/>
      </c>
      <c r="IT12" s="7" t="str">
        <f>IF(AND(OR('Job Sheet'!BF18="Stainless Steel",'Job Sheet'!BF18="Stainless Steel Chain"),OR('Assembly(b)'!D18="1250mm",'Assembly(b)'!D18="1250")),1,"")</f>
        <v/>
      </c>
      <c r="IU12" s="7" t="str">
        <f>IF(AND(OR('Job Sheet'!BF18="Stainless Steel",'Job Sheet'!BF18="Stainless Steel Chain"),OR('Assembly(b)'!D18="1500mm",'Assembly(b)'!D18="1500")),1,"")</f>
        <v/>
      </c>
      <c r="IV12" s="7" t="str">
        <f>IF(AND(OR('Job Sheet'!BF18="Stainless Steel",'Job Sheet'!BF18="Stainless Steel Chain"),OR('Assembly(b)'!D18="1750mm",'Assembly(b)'!D18="1750")),1,"")</f>
        <v/>
      </c>
      <c r="IW12" s="7" t="str">
        <f>IF(AND(OR('Job Sheet'!BF18="Stainless Steel",'Job Sheet'!BF18="Stainless Steel Chain"),OR('Assembly(b)'!D18="2000mm",'Assembly(b)'!D18="2000")),1,"")</f>
        <v/>
      </c>
      <c r="IX12" s="7" t="str">
        <f>IF(AND(OR('Job Sheet'!BF18="Stainless Steel",'Job Sheet'!BF18="Stainless Steel Chain"),OR('Assembly(b)'!D18="2250mm",'Assembly(b)'!D18="2250")),1,"")</f>
        <v/>
      </c>
      <c r="IY12" s="7" t="str">
        <f>IF(AND(OR('Job Sheet'!BF18="Stainless Steel",'Job Sheet'!BF18="Stainless Steel Chain"),OR('Assembly(b)'!D18="2500mm",'Assembly(b)'!D18="2500")),1,"")</f>
        <v/>
      </c>
      <c r="IZ12" s="7" t="str">
        <f>IF(AND(OR('Job Sheet'!BF18="Stainless Steel",'Job Sheet'!BF18="Stainless Steel Chain"),OR('Assembly(b)'!D18="2750mm",'Assembly(b)'!D18="2750")),1,"")</f>
        <v/>
      </c>
      <c r="JA12" s="7" t="str">
        <f>IF(AND(OR('Job Sheet'!BF18="Stainless Steel",'Job Sheet'!BF18="Stainless Steel Chain"),OR('Assembly(b)'!D18="3000mm",'Assembly(b)'!D18="3000")),1,"")</f>
        <v/>
      </c>
      <c r="JB12" s="7" t="str">
        <f>IF(AND(OR('Job Sheet'!BF18="Stainless Steel",'Job Sheet'!BF18="Stainless Steel Chain"),OR('Assembly(b)'!D18="3250mm",'Assembly(b)'!D18="3250")),1,"")</f>
        <v/>
      </c>
      <c r="JC12" s="7" t="str">
        <f>IF(AND(OR('Job Sheet'!BF18="Stainless Steel",'Job Sheet'!BF18="Stainless Steel Chain"),OR('Assembly(b)'!D18="3500mm",'Assembly(b)'!D18="3500")),1,"")</f>
        <v/>
      </c>
      <c r="JD12" s="7" t="str">
        <f>IF(AND(OR('Job Sheet'!BF18="Stainless Steel",'Job Sheet'!BF18="Stainless Steel Chain"),OR('Assembly(b)'!D18="3750mm",'Assembly(b)'!D18="3750")),1,"")</f>
        <v/>
      </c>
      <c r="JE12" s="7" t="str">
        <f>IF(AND(OR('Job Sheet'!BF18="Stainless Steel",'Job Sheet'!BF18="Stainless Steel Chain"),OR('Assembly(b)'!D18="4000mm",'Assembly(b)'!D18="4000")),1,"")</f>
        <v/>
      </c>
      <c r="JF12" s="7" t="str">
        <f>IF(AND('Assembly(b)'!I18="Yes - L",(OR('Tube Cutting'!C18="43mm",'Tube Cutting'!C18="43mm H/D"))),1,"")</f>
        <v/>
      </c>
      <c r="JG12" s="7" t="str">
        <f>IF(AND('Assembly(b)'!I18="Yes - R",(OR('Tube Cutting'!C18="43mm",'Tube Cutting'!C18="43mm H/D"))),1,"")</f>
        <v/>
      </c>
      <c r="JH12" s="7" t="str">
        <f>IF(AND('Assembly(b)'!I18="Yes - L",'Tube Cutting'!C18="60mm"),1,"")</f>
        <v/>
      </c>
      <c r="JI12" s="7" t="str">
        <f>IF(AND('Assembly(b)'!I18="Yes - R",'Tube Cutting'!C18="60mm"),1,"")</f>
        <v/>
      </c>
      <c r="JJ12" s="7" t="str">
        <f>IF(OR('Job Sheet'!BE18="Black",'Assembly(b)'!J18="N/A"),"",IF(OR('Assembly(b)'!J18="Motor - Female",'Assembly(b)'!J18="Motor - Female with Insert",'Assembly(b)'!J18="Female - Motor",'Assembly(b)'!J18="Chain Winder - Female",'Assembly(b)'!J18="Chain Winder - Female with Insert",'Assembly(b)'!J18="Female - Chain Winder",'Assembly(b)'!J18="Male - Female",'Assembly(b)'!J18="Female - Male",'Assembly(b)'!J18="Male - Female with Insert"),1,""))</f>
        <v/>
      </c>
      <c r="JK12" s="7" t="str">
        <f>IF(OR('Job Sheet'!BE18="White",'Assembly(b)'!J18="N/A"),"",IF(OR('Assembly(b)'!J18="Motor - Female",'Assembly(b)'!J18="Motor - Female with Insert",'Assembly(b)'!J18="Female - Motor",'Assembly(b)'!J18="Chain Winder - Female",'Assembly(b)'!J18="Chain Winder - Female with Insert",'Assembly(b)'!J18="Female - Chain Winder",'Assembly(b)'!J18="Male - Female",'Assembly(b)'!J18="Female - Male",'Assembly(b)'!J18="Male - Female with Insert"),1,""))</f>
        <v/>
      </c>
      <c r="JL12" s="7" t="str">
        <f>IF(OR('Job Sheet'!BE18="White",'Assembly(b)'!J18="N/A"),"",IF(OR('Assembly(b)'!J18="Motor - Male",'Assembly(b)'!J18="Male - Motor",'Assembly(b)'!J18="Chain Winder - Male",'Assembly(b)'!J18="Male - Chain Winder",'Assembly(b)'!J18="Male - Female",'Assembly(b)'!J18="Female - Male",'Assembly(b)'!J18="Male - Idle",'Assembly(b)'!J18="Idle - Male"),1,""))</f>
        <v/>
      </c>
      <c r="JM12" s="7" t="str">
        <f>IF(OR('Job Sheet'!BE18="White",'Job Sheet'!BE18="Birch White",'Job Sheet'!BE18="Grey",'Job Sheet'!BE18="Beige",'Assembly(b)'!J18="N/A"),"",IF(OR('Assembly(b)'!J18="Motor - Male",'Assembly(b)'!J18="Male - Motor",'Assembly(b)'!J18="Chain Winder - Male",'Assembly(b)'!J18="Male - Chain Winder",'Assembly(b)'!J18="Male - Female",'Assembly(b)'!J18="Female - Male",'Assembly(b)'!J18="Male - Idle",'Assembly(b)'!J18="Idle - Male"),1,""))</f>
        <v/>
      </c>
      <c r="JN12" s="7" t="str">
        <f>IF(OR('Job Sheet'!BE18="Black",'Assembly(b)'!J18="N/A"),"",IF(OR('Assembly(b)'!J18="Motor - 60mm Female",'Assembly(b)'!J18="60mm Female - Motor",'Assembly(b)'!J18="Chain Winder - 60mm Female",'Assembly(b)'!J18="60mm Female - Chain Winder",'Assembly(b)'!J18="60mm Male - 60mm Female",'Assembly(b)'!J18="60mm Female - 60mm Male"),1,""))</f>
        <v/>
      </c>
      <c r="JO12" s="7" t="str">
        <f>IF(OR('Job Sheet'!BE18="White",'Assembly(b)'!J18="N/A"),"",IF(OR('Assembly(b)'!J18="Motor - 60mm Female",'Assembly(b)'!J18="60mm Female - Motor",'Assembly(b)'!J18="Chain Winder - 60mm Female",'Assembly(b)'!J18="60mm Female - Chain Winder",'Assembly(b)'!J18="60mm Male - 60mm Female",'Assembly(b)'!J18="60mm Female - 60mm Male"),1,""))</f>
        <v/>
      </c>
      <c r="JP12" s="7" t="str">
        <f>IF(OR('Job Sheet'!BE18="Black",'Assembly(b)'!J18="N/A"),"",IF(OR('Assembly(b)'!J18="Motor - 60mm Male",'Assembly(b)'!J18="60mm Male - Motor",'Assembly(b)'!J18="Chain Winder - 60mm Male",'Assembly(b)'!J18="60mm Male - Chain Winder",'Assembly(b)'!J18="60mm Male - 60mm Female",'Assembly(b)'!J18="60mm Female - 60mm Male"),1,""))</f>
        <v/>
      </c>
      <c r="JQ12" s="7" t="str">
        <f>IF(OR('Job Sheet'!BE18="White",'Assembly(b)'!J18="N/A"),"",IF(OR('Assembly(b)'!J18="Motor - 60mm Male",'Assembly(b)'!J18="60mm Male - Motor",'Assembly(b)'!J18="Chain Winder - 60mm Male",'Assembly(b)'!J18="60mm Male - Chain Winder",'Assembly(b)'!J18="60mm Male - 60mm Female",'Assembly(b)'!J18="60mm Female - 60mm Male"),1,""))</f>
        <v/>
      </c>
      <c r="JR12" s="7" t="str">
        <f>IF('Assembly(b)'!F18="Standard Spring",1,"")</f>
        <v/>
      </c>
      <c r="JS12" s="7" t="str">
        <f>IF('Assembly(b)'!F18="Small Spring",1,"")</f>
        <v/>
      </c>
      <c r="JT12" s="7" t="str">
        <f>IF(D12="","",IF(OR(SUM(R12:V12)=0,'Tube Cutting'!E18="Bottom Rail in Pocket"),"",SUM(R12:V12)))</f>
        <v/>
      </c>
      <c r="JU12" s="7" t="str">
        <f>IF('Job Sheet'!BE18="Silver Pull Ring",1,"")</f>
        <v/>
      </c>
      <c r="JV12" s="7" t="str">
        <f>IF('Job Sheet'!BE18="Gold Pull Ring",1,"")</f>
        <v/>
      </c>
      <c r="JW12" s="7" t="str">
        <f>IF(AND('Job Sheet'!BE18="White",'Assembly(b)'!E18="60mm"),1,"")</f>
        <v/>
      </c>
      <c r="JX12" s="7" t="str">
        <f>IF(AND('Job Sheet'!BE18="Black",'Assembly(b)'!E18="60mm"),1,"")</f>
        <v/>
      </c>
      <c r="JY12" s="7" t="str">
        <f>IF(AND(OR('Assembly(b)'!G18="White",'Assembly(b)'!J18="N/A"),(OR(AND('Assembly(b)'!F18="Chain Winder",'Assembly(b)'!E18="60mm"),'Job Sheet'!AR18="Acmeda External Motor",'Job Sheet'!AR18="Somfy External CBUS Motor",'Job Sheet'!AR18="Somfy External Remote Motor"))),1,IF(AND('Assembly(b)'!G18="White",(OR('Assembly(b)'!J18="60mm Male - 60mm Idle",'Assembly(b)'!J18="60mm Idle - 60mm Male"))),1,""))</f>
        <v/>
      </c>
      <c r="JZ12" s="7" t="str">
        <f>IF(AND(OR('Assembly(b)'!G18="Black",'Assembly(b)'!J18="N/A"),(OR(AND('Assembly(b)'!F18="Chain Winder",'Assembly(b)'!E18="60mm"),'Job Sheet'!AR18="Acmeda External Motor",'Job Sheet'!AR18="Somfy External CBUS Motor",'Job Sheet'!AR18="Somfy External Remote Motor"))),1,IF(AND('Assembly(b)'!G18="Black",(OR('Assembly(b)'!J18="60mm Male - 60mm Idle",'Assembly(b)'!J18="60mm Idle - 60mm Male"))),1,""))</f>
        <v/>
      </c>
      <c r="KA12" s="7" t="str">
        <f t="shared" si="3"/>
        <v/>
      </c>
      <c r="KB12" s="7" t="str">
        <f t="shared" si="4"/>
        <v/>
      </c>
      <c r="KC12" s="7" t="str">
        <f>IF('Tube Cutting'!J18&lt;&gt;"Zipscreen Hooding",JW12,"")</f>
        <v/>
      </c>
      <c r="KD12" s="7" t="str">
        <f>IF('Tube Cutting'!J18&lt;&gt;"Zipscreen Hooding",JX12,"")</f>
        <v/>
      </c>
      <c r="KE12" s="7" t="str">
        <f t="shared" si="5"/>
        <v/>
      </c>
      <c r="KF12" s="7" t="str">
        <f t="shared" si="6"/>
        <v/>
      </c>
      <c r="KG12" s="7" t="str">
        <f>IF(D12="","",IF(OR(Bagging!F18="Yes - Attach",Bagging!F18="Yes"),1,""))</f>
        <v/>
      </c>
      <c r="KH12" s="7" t="str">
        <f t="shared" si="7"/>
        <v/>
      </c>
      <c r="KI12" s="7" t="str">
        <f>IF('Assembly(b)'!F18="Acmeda E6 Motor",1,"")</f>
        <v/>
      </c>
      <c r="KJ12" s="7" t="str">
        <f>IF('Assembly(b)'!F18="Acmeda M6 Motor",1,"")</f>
        <v/>
      </c>
      <c r="KK12" s="7" t="str">
        <f>IF('Assembly(b)'!F18="0.7nm 12v Acmeda Motor",1,"")</f>
        <v/>
      </c>
      <c r="KL12" s="7" t="str">
        <f>IF('Assembly(b)'!F18="1.1nm 12v Acmeda Motor",1,"")</f>
        <v/>
      </c>
      <c r="KM12" s="7" t="str">
        <f>IF('Assembly(b)'!F18="2nm 12v Acmeda Motor",1,"")</f>
        <v/>
      </c>
      <c r="KN12" s="7" t="str">
        <f>IF('Assembly(b)'!F18="Acmeda 12v 6nm Motor",1,"")</f>
        <v/>
      </c>
      <c r="KO12" s="7" t="str">
        <f>IF('Assembly(b)'!F18="Acmeda 10nm 12v Motor",1,"")</f>
        <v/>
      </c>
      <c r="KP12" s="7" t="str">
        <f>IF('Assembly(b)'!F18="Acmeda FT 15Nm Motor",1,"")</f>
        <v/>
      </c>
      <c r="KQ12" s="7" t="str">
        <f>IF('Assembly(b)'!F18="1.1nm 12v Acmeda DCRF Motor",1,"")</f>
        <v/>
      </c>
      <c r="KR12" s="7" t="str">
        <f>IF('Assembly(b)'!F18="2nm 12v Acmeda DCRF Motor",1,"")</f>
        <v/>
      </c>
      <c r="KS12" s="7" t="str">
        <f>IF('Assembly(b)'!F18="Sonesse 40 RTS 3/30 with Inline Connector Motor",1,"")</f>
        <v/>
      </c>
      <c r="KT12" s="7" t="str">
        <f>IF('Assembly(b)'!F18="Sonesse 40 WT 3/30 with Inline Connector Motor",1,"")</f>
        <v/>
      </c>
      <c r="KU12" s="7" t="str">
        <f>IF('Assembly(b)'!F18="Somfy 12v Remote Sonesse Motor",1,"")</f>
        <v/>
      </c>
      <c r="KV12" s="7" t="str">
        <f>IF('Assembly(b)'!F18="Sonesse 50 RTS 6/17 RH Motor",1,"")</f>
        <v/>
      </c>
      <c r="KW12" s="7" t="str">
        <f>IF('Assembly(b)'!F18="Sonesse 50 WT 10/28 Motor",1,"")</f>
        <v/>
      </c>
      <c r="KX12" s="7" t="str">
        <f>IF('Assembly(b)'!F18="Becker P4-30-C12A Motor",1,"")</f>
        <v/>
      </c>
      <c r="KY12" s="7" t="str">
        <f>IF('Assembly(b)'!F18="Becker cBus Motor",1,"")</f>
        <v/>
      </c>
      <c r="KZ12" s="7" t="str">
        <f>IF('Assembly(b)'!F18="Becker R20-17-C12A Motor",1,"")</f>
        <v/>
      </c>
      <c r="LA12" s="7" t="str">
        <f>IF('Assembly(b)'!F18="Becker cBus Motor",1,"")</f>
        <v/>
      </c>
      <c r="LB12" s="7" t="str">
        <f t="shared" si="57"/>
        <v/>
      </c>
      <c r="LC12" s="7" t="str">
        <f t="shared" si="58"/>
        <v/>
      </c>
      <c r="LD12" s="7" t="str">
        <f t="shared" si="59"/>
        <v/>
      </c>
      <c r="LE12" s="7" t="str">
        <f t="shared" si="60"/>
        <v/>
      </c>
      <c r="LF12" s="7" t="str">
        <f t="shared" si="12"/>
        <v/>
      </c>
      <c r="LG12" s="7" t="str">
        <f t="shared" si="13"/>
        <v/>
      </c>
      <c r="LH12" s="7" t="str">
        <f>IF(KO12="","",IF(OR('Tube Cutting'!C18="60mm",'Tube Cutting'!C18="80mm"),SUM(KO12,KP12),""))</f>
        <v/>
      </c>
      <c r="LI12" s="7" t="str">
        <f t="shared" si="61"/>
        <v/>
      </c>
      <c r="LJ12" s="7" t="str">
        <f t="shared" si="62"/>
        <v/>
      </c>
      <c r="LK12" s="7" t="str">
        <f t="shared" si="16"/>
        <v/>
      </c>
      <c r="LL12" s="7" t="str">
        <f t="shared" si="17"/>
        <v/>
      </c>
      <c r="LM12" s="7" t="str">
        <f t="shared" si="18"/>
        <v/>
      </c>
      <c r="LN12" s="7" t="str">
        <f t="shared" si="19"/>
        <v/>
      </c>
      <c r="LO12" s="7" t="str">
        <f t="shared" si="63"/>
        <v/>
      </c>
      <c r="LP12" s="7" t="str">
        <f>IF(AND(KP12=1,'Job Sheet'!BE18="Black"),1,"")</f>
        <v/>
      </c>
      <c r="LQ12" s="7" t="str">
        <f>IF(AND(KP12=1,'Job Sheet'!BE18="White"),1,"")</f>
        <v/>
      </c>
      <c r="LR12" s="7" t="str">
        <f t="shared" si="21"/>
        <v/>
      </c>
      <c r="LS12" s="7" t="str">
        <f t="shared" si="64"/>
        <v/>
      </c>
      <c r="LT12" s="7" t="str">
        <f t="shared" si="65"/>
        <v/>
      </c>
      <c r="LU12" s="7" t="str">
        <f t="shared" si="66"/>
        <v/>
      </c>
      <c r="LV12" s="7" t="str">
        <f t="shared" si="67"/>
        <v/>
      </c>
      <c r="LW12" s="7" t="str">
        <f>IF(OR('Tube Cutting'!C18="60mm",'Tube Cutting'!C18="80mm"),SUM(KV12,KW12),"")</f>
        <v/>
      </c>
      <c r="LX12" s="7" t="str">
        <f t="shared" si="68"/>
        <v/>
      </c>
      <c r="LY12" s="7" t="str">
        <f t="shared" si="69"/>
        <v/>
      </c>
      <c r="LZ12" s="7" t="str">
        <f t="shared" si="70"/>
        <v/>
      </c>
      <c r="MA12" s="7" t="str">
        <f t="shared" si="71"/>
        <v/>
      </c>
      <c r="MB12" s="7" t="str">
        <f t="shared" si="72"/>
        <v/>
      </c>
      <c r="MC12" s="7" t="str">
        <f t="shared" si="73"/>
        <v/>
      </c>
      <c r="MD12" s="7" t="str">
        <f t="shared" si="74"/>
        <v/>
      </c>
      <c r="ME12" s="7" t="str">
        <f t="shared" si="75"/>
        <v/>
      </c>
      <c r="MF12" s="7" t="str">
        <f>IF('Job Sheet'!N18="Pulse Pro Automation Hub",1,"")</f>
        <v/>
      </c>
      <c r="MG12" s="7" t="str">
        <f>IF('Job Sheet'!N18="Solar Panel",1,"")</f>
        <v/>
      </c>
      <c r="MH12" s="7" t="str">
        <f>IF(AND('Job Sheet'!N18="12v Wall Charger with 4m USB Cable",KN12="",KO12=""),1,"")</f>
        <v/>
      </c>
      <c r="MI12" s="7" t="str">
        <f>IF(Bagging!I18="12v Wall Charger with Cable to suit 3nm Motor",1,"")</f>
        <v/>
      </c>
      <c r="MJ12" s="7" t="str">
        <f t="array" ref="MJ12">IF(OR('Job Sheet'!N18="210mm Extension Charging Cable",AND(bpLOOKUP(Data!$AV18,"CONTROLS",CustOrdOpt,6,FALSE)="Acmeda 12v Motor",OL12=1)),1,"")</f>
        <v/>
      </c>
      <c r="MK12" s="7" t="str">
        <f>IF('Job Sheet'!N18="1200mm Extension Charging Cable",1,"")</f>
        <v/>
      </c>
      <c r="ML12" s="7" t="str">
        <f>IF('Job Sheet'!N18="1 Channel Dry Contact Relay Module",1,"")</f>
        <v/>
      </c>
      <c r="MM12" s="7" t="str">
        <f>IF('Job Sheet'!N18="USB Repeater",1,"")</f>
        <v/>
      </c>
      <c r="MN12" s="7" t="str">
        <f>IF(OR('Assembly(b)'!F18="1.1nm 12v Acmeda DCRF Motor",'Assembly(b)'!F18="2nm 12v Acmeda DCRF Motor"),1,"")</f>
        <v/>
      </c>
      <c r="MO12" s="7" t="str">
        <f>IF('Job Sheet'!N18="DC Panel",1,"")</f>
        <v/>
      </c>
      <c r="MP12" s="7" t="str">
        <f t="array" ref="MP12">IF(AND(bpLOOKUP(Data!$AV18,"CONTROLS",CustOrdOpt,6,FALSE)="Acmeda 12v Motor",Bagging!G18="White"),1,"")</f>
        <v/>
      </c>
      <c r="MQ12" s="7" t="str">
        <f t="array" ref="MQ12">IF(AND(bpLOOKUP(Data!$AV18,"CONTROLS",CustOrdOpt,6,FALSE)="Acmeda 12v Motor",Bagging!G18="Black"),1,"")</f>
        <v/>
      </c>
      <c r="MR12" s="7" t="str">
        <f>IF('Job Sheet'!R18="Acmeda 1 Channel White Remote",1,"")</f>
        <v/>
      </c>
      <c r="MS12" s="7" t="str">
        <f>IF('Job Sheet'!R18="Acmeda 1 Channel Black Remote",1,"")</f>
        <v/>
      </c>
      <c r="MT12" s="7" t="str">
        <f>IF('Job Sheet'!R18="Acmeda 5 Channel White Remote",1,"")</f>
        <v/>
      </c>
      <c r="MU12" s="7" t="str">
        <f>IF('Job Sheet'!R18="Acmeda 5 Channel Black Remote",1,"")</f>
        <v/>
      </c>
      <c r="MV12" s="7" t="str">
        <f>IF('Job Sheet'!R18="Acmeda 15 Channel White Remote",1,"")</f>
        <v/>
      </c>
      <c r="MW12" s="7" t="str">
        <f>IF('Job Sheet'!R18="Acmeda 15 Channel Black Remote",1,"")</f>
        <v/>
      </c>
      <c r="MX12" s="7" t="str">
        <f>IF('Job Sheet'!R18="Acmeda Wall Mounted Single Channel White Remote",1,"")</f>
        <v/>
      </c>
      <c r="MY12" s="7" t="str">
        <f>IF('Job Sheet'!R18="Acmeda Wall Mounted 2 Channel White Remote",1,"")</f>
        <v/>
      </c>
      <c r="MZ12" s="7" t="str">
        <f>IF('Job Sheet'!R18="Acmeda Wall Mounted 5 Channel White Remote",1,"")</f>
        <v/>
      </c>
      <c r="NA12" s="7" t="str">
        <f>IF('Job Sheet'!R18="Acmeda Wall Mounted 15 Channel White Remote",1,"")</f>
        <v/>
      </c>
      <c r="NB12" s="7" t="str">
        <f>IF('Job Sheet'!R18="Acmeda Push Pro White Remote","1","")</f>
        <v/>
      </c>
      <c r="NC12" s="7" t="str">
        <f>IF('Job Sheet'!R18="Acmeda Push Pro Black Remote","1","")</f>
        <v/>
      </c>
      <c r="ND12" s="7" t="str">
        <f>IF(OR('Job Sheet'!R18="Acmeda Push Pro White Remote with Charger",'Job Sheet'!R18="Acmeda Push Pro Black Remote with Charger"),1,"")</f>
        <v/>
      </c>
      <c r="NE12" s="7" t="str">
        <f t="shared" si="34"/>
        <v/>
      </c>
      <c r="NF12" s="7" t="str">
        <f>IF('Job Sheet'!R18="Somfy Single Channel White Remote",1,"")</f>
        <v/>
      </c>
      <c r="NG12" s="7" t="str">
        <f>IF('Job Sheet'!R18="Somfy Single Channel Silver Remote",1,"")</f>
        <v/>
      </c>
      <c r="NH12" s="7" t="str">
        <f>IF('Job Sheet'!R18="Somfy 2 Channel White Remote",1,"")</f>
        <v/>
      </c>
      <c r="NI12" s="7" t="str">
        <f>IF('Job Sheet'!R18="Somfy 2 Channel Silver Remote",1,"")</f>
        <v/>
      </c>
      <c r="NJ12" s="7" t="str">
        <f>IF('Job Sheet'!R18="Somfy 5 Channel White Remote",1,"")</f>
        <v/>
      </c>
      <c r="NK12" s="7" t="str">
        <f>IF('Job Sheet'!R18="Somfy 5 Channel Silver Remote",1,"")</f>
        <v/>
      </c>
      <c r="NL12" s="7" t="str">
        <f>IF('Job Sheet'!R18="Somfy 15 Channel White Remote",1,"")</f>
        <v/>
      </c>
      <c r="NM12" s="7" t="str">
        <f>IF('Job Sheet'!R18="Somfy 15 Channel Black Remote",1,"")</f>
        <v/>
      </c>
      <c r="NN12" s="7" t="str">
        <f>IF(OR('Job Sheet'!R18="Somfy Single Channel Wall Mounted Smoove Remote White",'Job Sheet'!R18="Somfy Single Channel Wall Mounted Smoove Remote White with Black Cover Plate",'Job Sheet'!R18="Somfy Single Channel Wall Mounted Smoove Remote White with Silver Cover Plate"),1,"")</f>
        <v/>
      </c>
      <c r="NO12" s="7" t="str">
        <f>IF(OR('Job Sheet'!R18="Somfy 2 Channel Wall Mounted Smoove Remote White",'Job Sheet'!R18="Somfy 2 Channel Wall Mounted Smoove Remote White with Black Cover Plate",'Job Sheet'!R18="Somfy 2 Channel Wall Mounted Smoove Remote White with Silver Cover Plate"),1,"")</f>
        <v/>
      </c>
      <c r="NP12" s="7" t="str">
        <f>IF(OR('Job Sheet'!R18="Somfy 5 Channel Wall Mounted Smoove Remote White",'Job Sheet'!R18="Somfy 5 Channel Wall Mounted Smoove Remote White with Black Cover Plate",'Job Sheet'!R18="Somfy 5 Channel Wall Mounted Smoove Remote White with Silver Cover Plate"),1,"")</f>
        <v/>
      </c>
      <c r="NQ12" s="7" t="str">
        <f>IF(OR('Job Sheet'!R18="Somfy Single Channel Wall Mounted Smoove Remote White with Black Cover Plate",'Job Sheet'!R18="Somfy 2 Channel Wall Mounted Smoove Remote White with Black Cover Plate",'Job Sheet'!R18="Somfy 5 Channel Wall Mounted Smoove Remote White with Black Cover Plate"),1,"")</f>
        <v/>
      </c>
      <c r="NR12" s="7" t="str">
        <f>IF(OR('Job Sheet'!R18="Somfy Single Channel Wall Mounted Smoove Remote White with Silver Cover Plate",'Job Sheet'!R18="Somfy 2 Channel Wall Mounted Smoove Remote White with Silver Cover Plate",'Job Sheet'!R18="Somfy 5 Channel Wall Mounted Smoove Remote White with Silver Cover Plate"),1,"")</f>
        <v/>
      </c>
      <c r="NS12" s="7" t="str">
        <f>IF(Bagging!I18="Charging Cable",1,"")</f>
        <v/>
      </c>
      <c r="NT12" s="7" t="str">
        <f>IF('Job Sheet'!N18="Connexoon App Connector",1,"")</f>
        <v/>
      </c>
      <c r="NU12" s="7" t="str">
        <f>IF('Job Sheet'!R18="Becker Single Channel White Remote",1,"")</f>
        <v/>
      </c>
      <c r="NV12" s="7" t="str">
        <f>IF('Job Sheet'!R18="Becker Single Channel Black Remote",1,"")</f>
        <v/>
      </c>
      <c r="NW12" s="7" t="str">
        <f>IF('Job Sheet'!R18="Becker 5 Channel White Remote",1,"")</f>
        <v/>
      </c>
      <c r="NX12" s="7" t="str">
        <f>IF('Job Sheet'!R18="Becker 5 Channel Black Remote",1,"")</f>
        <v/>
      </c>
      <c r="NY12" s="7" t="str">
        <f>IF('Job Sheet'!R18="Becker 10 Channel White Remote",1,"")</f>
        <v/>
      </c>
      <c r="NZ12" s="7" t="str">
        <f>IF('Job Sheet'!R18="Becker 10 Channel Black Remote",1,"")</f>
        <v/>
      </c>
      <c r="OA12" s="7" t="str">
        <f>IF('Job Sheet'!R18="Becker Wall Mounted Single Channel White Remote",1,"")</f>
        <v/>
      </c>
      <c r="OB12" s="7" t="str">
        <f>IF('Job Sheet'!R18="Becker Wall Mounted 5 Channel White Remote",1,"")</f>
        <v/>
      </c>
      <c r="OC12" s="7" t="str">
        <f>IF('Job Sheet'!R18="Wall Switch",1,"")</f>
        <v/>
      </c>
      <c r="OD12" s="7" t="str">
        <f t="shared" si="76"/>
        <v/>
      </c>
      <c r="OE12" s="7" t="str">
        <f t="shared" si="77"/>
        <v/>
      </c>
      <c r="OF12" s="7" t="str">
        <f t="shared" si="78"/>
        <v/>
      </c>
      <c r="OG12" s="7" t="str">
        <f t="shared" si="79"/>
        <v/>
      </c>
      <c r="OH12" s="7" t="str">
        <f t="shared" si="80"/>
        <v/>
      </c>
      <c r="OI12" s="7" t="str">
        <f t="shared" si="81"/>
        <v/>
      </c>
      <c r="OJ12" s="7" t="str">
        <f t="shared" si="82"/>
        <v/>
      </c>
      <c r="OK12" s="7" t="str">
        <f t="shared" si="83"/>
        <v/>
      </c>
      <c r="OL12" s="7" t="str">
        <f t="shared" si="36"/>
        <v/>
      </c>
      <c r="OM12" s="7" t="str">
        <f>IF(AND(OR('Tube Cutting'!J18="Square Cassette",'Tube Cutting'!J18="Square Cassette with Side Channels",'Tube Cutting'!J18="Square Cassette with Side &amp; Bottom Channels"),'Job Sheet'!L18="Chain Winder",'Job Sheet'!M18="Left"),1,"")</f>
        <v/>
      </c>
      <c r="ON12" s="7" t="str">
        <f>IF(AND(OR('Tube Cutting'!J18="Square Cassette",'Tube Cutting'!J18="Square Cassette with Side Channels",'Tube Cutting'!J18="Square Cassette with Side &amp; Bottom Channels"),'Job Sheet'!L18="Chain Winder",'Job Sheet'!M18="Right"),1,"")</f>
        <v/>
      </c>
      <c r="OO12" s="7" t="str">
        <f>IF(AND(OR('Tube Cutting'!J18="Round Cassette",'Tube Cutting'!J18="Round Cassette with Side Channels",'Tube Cutting'!J18="Round Cassette with Side &amp; Bottom Channels"),'Job Sheet'!L18="Chain Winder",'Job Sheet'!M18="Left"),1,"")</f>
        <v/>
      </c>
      <c r="OP12" s="7" t="str">
        <f>IF(AND(OR('Tube Cutting'!J18="Round Cassette",'Tube Cutting'!J18="Round Cassette with Side Channels",'Tube Cutting'!J18="Round Cassette with Side &amp; Bottom Channels"),'Job Sheet'!L18="Chain Winder",'Job Sheet'!M18="Right"),1,"")</f>
        <v/>
      </c>
      <c r="OQ12" s="7" t="str">
        <f>IF('Tube Cutting'!E18="D30 Bottom Rail with Noise Reducing Strip &amp; Fluffy Strip",'Tube Cutting'!D18,"")</f>
        <v/>
      </c>
      <c r="OR12" s="7" t="str">
        <f>Pelmets!L18</f>
        <v/>
      </c>
      <c r="OS12" s="7" t="str">
        <f>Pelmets!M18</f>
        <v/>
      </c>
      <c r="OT12" s="7" t="str">
        <f t="shared" si="37"/>
        <v/>
      </c>
      <c r="OU12" s="7" t="str">
        <f t="shared" si="38"/>
        <v/>
      </c>
      <c r="OV12" s="7" t="str">
        <f t="shared" si="39"/>
        <v/>
      </c>
      <c r="OW12" s="7" t="str">
        <f t="shared" si="40"/>
        <v/>
      </c>
      <c r="OX12" s="7" t="str">
        <f t="shared" si="41"/>
        <v/>
      </c>
      <c r="OY12" s="7" t="str">
        <f t="shared" si="42"/>
        <v/>
      </c>
      <c r="OZ12" s="7" t="str">
        <f t="shared" si="43"/>
        <v/>
      </c>
      <c r="PA12" s="7" t="str">
        <f t="shared" si="44"/>
        <v/>
      </c>
      <c r="PB12" s="7" t="str">
        <f>IF(AND('Job Sheet'!J18="Reveal",OR('Tube Cutting'!J18="Aluminium Valance",'Tube Cutting'!J18="Aluminium Valance - Fabric Covered")),VLOOKUP('Job Sheet'!G18,PelmetBrackets,2,TRUE),"")</f>
        <v/>
      </c>
      <c r="PC12" s="7" t="str">
        <f>IF(Pelmets!F18="1 x Valance Centre Join Bracket",1,"")</f>
        <v/>
      </c>
      <c r="PD12" s="7" t="str">
        <f>IF(AND(Pelmets!H18="Black",(OR('Tube Cutting'!J18="Aluminium Valance",'Tube Cutting'!J18="Aluminium Valance - Fabric Covered"))),1,"")</f>
        <v/>
      </c>
      <c r="PE12" s="7" t="str">
        <f>IF(AND(Pelmets!H18="White",(OR('Tube Cutting'!J18="Aluminium Valance",'Tube Cutting'!J18="Aluminium Valance - Fabric Covered"))),1,"")</f>
        <v/>
      </c>
      <c r="PF12" s="7" t="str">
        <f>IF(AND(Pelmets!H18="Cream",(OR('Tube Cutting'!J18="Aluminium Valance",'Tube Cutting'!J18="Aluminium Valance - Fabric Covered"))),1,"")</f>
        <v/>
      </c>
      <c r="PG12" s="7" t="str">
        <f>IF(AND(Pelmets!H18="Grey",(OR('Tube Cutting'!J18="Aluminium Valance",'Tube Cutting'!J18="Aluminium Valance - Fabric Covered"))),1,"")</f>
        <v/>
      </c>
      <c r="PH12" s="7" t="str">
        <f>IF('Job Sheet'!AA18="Aluminium Valance - Fabric Covered",AY12,"")</f>
        <v/>
      </c>
      <c r="PI12" s="7" t="str">
        <f t="shared" si="45"/>
        <v/>
      </c>
      <c r="PJ12" s="7" t="str">
        <f t="shared" si="46"/>
        <v/>
      </c>
      <c r="PK12" s="7" t="str">
        <f t="shared" si="47"/>
        <v/>
      </c>
      <c r="PL12" s="7" t="str">
        <f t="shared" si="48"/>
        <v/>
      </c>
      <c r="PM12" s="7" t="str">
        <f>IF('Tube Cutting'!J18="Aluminium Pelmet",Pelmets!F18,"")</f>
        <v/>
      </c>
      <c r="PN12" s="7" t="str">
        <f>IF('Job Sheet'!AA18="Mounting Rail",VLOOKUP('Job Sheet'!G18,PelmetBrackets,2,TRUE),"")</f>
        <v/>
      </c>
      <c r="PO12" s="7" t="str">
        <f>IF('Job Sheet'!AA18="Mounting Rail",4,"")</f>
        <v/>
      </c>
      <c r="PP12" s="7" t="str">
        <f>IF('Tube Cutting'!J18="Zipscreen Hooding",1,"")</f>
        <v/>
      </c>
      <c r="PQ12" s="7" t="str">
        <f>IF(AND(PP12=1,'Job Sheet'!AB18="White"),1,"")</f>
        <v/>
      </c>
      <c r="PR12" s="7" t="str">
        <f>IF(AND(PP12=1,'Job Sheet'!AB18="Black"),1,"")</f>
        <v/>
      </c>
      <c r="PS12" s="7" t="str">
        <f>IF(AND(PP12=1,'Job Sheet'!AB18="Grey"),1,"")</f>
        <v/>
      </c>
      <c r="PT12" s="7" t="str">
        <f>IF(AND(PP12=1,'Job Sheet'!L18="Chain Winder",'Job Sheet'!AV18="60mm"),1,"")</f>
        <v/>
      </c>
      <c r="PU12" s="7" t="str">
        <f t="shared" si="49"/>
        <v/>
      </c>
      <c r="PV12" s="7" t="str">
        <f t="shared" si="50"/>
        <v/>
      </c>
      <c r="PW12" s="7" t="str">
        <f t="shared" si="51"/>
        <v/>
      </c>
    </row>
    <row r="13" spans="4:439" s="7" customFormat="1" ht="12" customHeight="1">
      <c r="D13" s="7" t="str">
        <f>IF('Tube Cutting'!D19="","",CONCATENATE(Data!BC$5,".",Data!BD$5))</f>
        <v/>
      </c>
      <c r="E13" s="7" t="str">
        <f>IF(D13="","",Data!AW19)</f>
        <v/>
      </c>
      <c r="F13" s="7" t="str">
        <f>IF(D13="","",Data!AV19)</f>
        <v/>
      </c>
      <c r="G13" s="7" t="str">
        <f>IF(D13="","",Data!BF$5)</f>
        <v/>
      </c>
      <c r="H13" s="7" t="str">
        <f>IF(D13="","",Data!AX$5)</f>
        <v/>
      </c>
      <c r="I13" s="7" t="str">
        <f>'Job Sheet'!I19</f>
        <v/>
      </c>
      <c r="J13" s="7" t="str">
        <f t="shared" si="52"/>
        <v/>
      </c>
      <c r="K13" s="7" t="str">
        <f>'Fabric Cutting'!F19</f>
        <v/>
      </c>
      <c r="L13" s="7" t="str">
        <f>'Job Sheet'!AZ19</f>
        <v/>
      </c>
      <c r="M13" s="7" t="str">
        <f>IF('Tube Cutting'!C19="38mm",'Tube Cutting'!D19,"")</f>
        <v/>
      </c>
      <c r="N13" s="7" t="str">
        <f>IF('Tube Cutting'!C19="43mm",'Tube Cutting'!D19,"")</f>
        <v/>
      </c>
      <c r="O13" s="7" t="str">
        <f>IF('Tube Cutting'!C19="43mm H/D",'Tube Cutting'!D19,"")</f>
        <v/>
      </c>
      <c r="P13" s="7" t="str">
        <f>IF('Tube Cutting'!C19="60mm",'Tube Cutting'!D19,"")</f>
        <v/>
      </c>
      <c r="Q13" s="7" t="str">
        <f>IF('Tube Cutting'!C19="80mm",'Tube Cutting'!D19,"")</f>
        <v/>
      </c>
      <c r="R13" s="7" t="str">
        <f>IF(AND('Job Sheet'!BD19="Anodised Silver",(OR('Tube Cutting'!E19="D30 Bottom Rail",'Tube Cutting'!E19="D30 Bottom Rail with Noise Reducing Strip",'Tube Cutting'!E19="D30 Bottom Rail with Noise Reducing Strip &amp; Fluffy Strip",'Tube Cutting'!E19="Bottom Rail in Pocket",'Tube Cutting'!E19="Bottom Rail in Pocket with Round Cut Out",'Tube Cutting'!E19="Bottom Rail in Pocket with Square Cut Out"))),'Tube Cutting'!G19,"")</f>
        <v/>
      </c>
      <c r="S13" s="7" t="str">
        <f>IF(AND('Job Sheet'!BD19="White",(OR('Tube Cutting'!E19="D30 Bottom Rail",'Tube Cutting'!E19="D30 Bottom Rail with Noise Reducing Strip",'Tube Cutting'!E19="D30 Bottom Rail with Noise Reducing Strip &amp; Fluffy Strip",'Tube Cutting'!E19="Bottom Rail in Pocket",'Tube Cutting'!E19="Bottom Rail in Pocket with Round Cut Out",'Tube Cutting'!E19="Bottom Rail in Pocket with Square Cut Out"))),'Tube Cutting'!G19,"")</f>
        <v/>
      </c>
      <c r="T13" s="7" t="str">
        <f>IF(AND('Job Sheet'!BD19="Black",(OR('Tube Cutting'!E19="D30 Bottom Rail",'Tube Cutting'!E19="D30 Bottom Rail with Noise Reducing Strip",'Tube Cutting'!E19="D30 Bottom Rail with Noise Reducing Strip &amp; Fluffy Strip",'Tube Cutting'!E19="Bottom Rail in Pocket",'Tube Cutting'!E19="Bottom Rail in Pocket with Round Cut Out",'Tube Cutting'!E19="Bottom Rail in Pocket with Square Cut Out"))),'Tube Cutting'!G19,"")</f>
        <v/>
      </c>
      <c r="U13" s="7" t="str">
        <f>IF(AND('Job Sheet'!BD19="Sandstone",(OR('Tube Cutting'!E19="D30 Bottom Rail",'Tube Cutting'!E19="D30 Bottom Rail with Noise Reducing Strip",'Tube Cutting'!E19="D30 Bottom Rail with Noise Reducing Strip &amp; Fluffy Strip",'Tube Cutting'!E19="Bottom Rail in Pocket",'Tube Cutting'!E19="Bottom Rail in Pocket with Round Cut Out",'Tube Cutting'!E19="Bottom Rail in Pocket with Square Cut Out"))),'Tube Cutting'!G19,"")</f>
        <v/>
      </c>
      <c r="V13" s="7" t="str">
        <f>IF(AND('Job Sheet'!BD19="Bone",(OR('Tube Cutting'!E19="D30 Bottom Rail",'Tube Cutting'!E19="D30 Bottom Rail with Noise Reducing Strip",'Tube Cutting'!E19="D30 Bottom Rail with Noise Reducing Strip &amp; Fluffy Strip",'Tube Cutting'!E19="Bottom Rail in Pocket",'Tube Cutting'!E19="Bottom Rail in Pocket with Round Cut Out",'Tube Cutting'!E19="Bottom Rail in Pocket with Square Cut Out"))),'Tube Cutting'!G19,"")</f>
        <v/>
      </c>
      <c r="W13" s="7" t="str">
        <f t="shared" si="1"/>
        <v/>
      </c>
      <c r="X13" s="7" t="str">
        <f t="shared" si="53"/>
        <v/>
      </c>
      <c r="Y13" s="7" t="str">
        <f t="shared" si="54"/>
        <v/>
      </c>
      <c r="Z13" s="7" t="str">
        <f t="shared" si="55"/>
        <v/>
      </c>
      <c r="AA13" s="7" t="str">
        <f t="shared" si="56"/>
        <v/>
      </c>
      <c r="AB13" s="7" t="str">
        <f>IF('Tube Cutting'!H19="Timber",'Tube Cutting'!G19,IF(AND('Tube Cutting'!E19="Double Lath",'Tube Cutting'!H19="Timber"),'Tube Cutting'!G19*2,""))</f>
        <v/>
      </c>
      <c r="AC13" s="7" t="str">
        <f>IF('Tube Cutting'!I19="","",'Tube Cutting'!I19)</f>
        <v/>
      </c>
      <c r="AD13" s="7" t="str">
        <f>IF(AND('Tube Cutting'!J19="Aluminium Pelmet",'Tube Cutting'!K19="Anodised Silver"),'Tube Cutting'!L19,"")</f>
        <v/>
      </c>
      <c r="AE13" s="7" t="str">
        <f>IF(AND('Tube Cutting'!J19="Aluminium Pelmet",'Tube Cutting'!K19="White"),'Tube Cutting'!L19,"")</f>
        <v/>
      </c>
      <c r="AF13" s="7" t="str">
        <f>IF(AND('Tube Cutting'!J19="Aluminium Pelmet",'Tube Cutting'!K19="Black"),'Tube Cutting'!L19,"")</f>
        <v/>
      </c>
      <c r="AG13" s="7" t="str">
        <f>IF(AND('Tube Cutting'!J19="Aluminium Pelmet",'Tube Cutting'!K19="Cream"),'Tube Cutting'!L19,"")</f>
        <v/>
      </c>
      <c r="AH13" s="7" t="str">
        <f>IF(AND('Tube Cutting'!K19="Black",(OR('Tube Cutting'!J19="Square Cassette",'Tube Cutting'!J19="Round Cassette",'Tube Cutting'!J19="Square Cassette with Side Channels",'Tube Cutting'!J19="Square Cassette with Side &amp; Bottom Channels",'Tube Cutting'!J19="Round Cassette with Side Channels",'Tube Cutting'!J19="Round Cassette with Side &amp; Bottom Channels"))),'Tube Cutting'!L19,"")</f>
        <v/>
      </c>
      <c r="AI13" s="7" t="str">
        <f>IF(AND('Tube Cutting'!K19="White",(OR('Tube Cutting'!J19="Square Cassette",'Tube Cutting'!J19="Round Cassette",'Tube Cutting'!J19="Square Cassette with Side Channels",'Tube Cutting'!J19="Square Cassette with Side &amp; Bottom Channels",'Tube Cutting'!J19="Round Cassette with Side Channels",'Tube Cutting'!J19="Round Cassette with Side &amp; Bottom Channels"))),'Tube Cutting'!L19,"")</f>
        <v/>
      </c>
      <c r="AJ13" s="7" t="str">
        <f>IF(AND('Tube Cutting'!K19="Cream",(OR('Tube Cutting'!J19="Square Cassette",'Tube Cutting'!J19="Round Cassette",'Tube Cutting'!J19="Square Cassette with Side Channels",'Tube Cutting'!J19="Square Cassette with Side &amp; Bottom Channels",'Tube Cutting'!J19="Round Cassette with Side Channels",'Tube Cutting'!J19="Round Cassette with Side &amp; Bottom Channels"))),'Tube Cutting'!L19,"")</f>
        <v/>
      </c>
      <c r="AK13" s="7" t="str">
        <f>IF(AND('Tube Cutting'!K19="Anodised Silver",(OR('Tube Cutting'!J19="Square Cassette",'Tube Cutting'!J19="Round Cassette",'Tube Cutting'!J19="Square Cassette with Side Channels",'Tube Cutting'!J19="Square Cassette with Side &amp; Bottom Channels",'Tube Cutting'!J19="Round Cassette with Side Channels",'Tube Cutting'!J19="Round Cassette with Side &amp; Bottom Channels"))),'Tube Cutting'!L19,"")</f>
        <v/>
      </c>
      <c r="AL13" s="7" t="str">
        <f>IF(AND('Tube Cutting'!K19="White",(OR('Tube Cutting'!J19="Square Cassette",'Tube Cutting'!J19="Square Cassette with Side Channels",'Tube Cutting'!J19="Square Cassette with Side &amp; Bottom Channels"))),'Tube Cutting'!M19,"")</f>
        <v/>
      </c>
      <c r="AM13" s="7" t="str">
        <f>IF(AND('Tube Cutting'!K19="Black",(OR('Tube Cutting'!J19="Square Cassette",'Tube Cutting'!J19="Square Cassette with Side Channels",'Tube Cutting'!J19="Square Cassette with Side &amp; Bottom Channels"))),'Tube Cutting'!M19,"")</f>
        <v/>
      </c>
      <c r="AN13" s="7" t="str">
        <f>IF(AND('Tube Cutting'!K19="Cream",(OR('Tube Cutting'!J19="Square Cassette",'Tube Cutting'!J19="Square Cassette with Side Channels",'Tube Cutting'!J19="Square Cassette with Side &amp; Bottom Channels"))),'Tube Cutting'!M19,"")</f>
        <v/>
      </c>
      <c r="AO13" s="7" t="str">
        <f>IF(AND('Tube Cutting'!K19="Anodised Silver",(OR('Tube Cutting'!J19="Square Cassette",'Tube Cutting'!J19="Square Cassette with Side Channels",'Tube Cutting'!J19="Square Cassette with Side &amp; Bottom Channels"))),'Tube Cutting'!M19,"")</f>
        <v/>
      </c>
      <c r="AP13" s="7" t="str">
        <f>IF(AND('Tube Cutting'!K19="White",(OR('Tube Cutting'!J19="Round Cassette",'Tube Cutting'!J19="Round Cassette with Side Channels",'Tube Cutting'!J19="Round Cassette with Side &amp; Bottom Channels"))),'Tube Cutting'!M19,"")</f>
        <v/>
      </c>
      <c r="AQ13" s="7" t="str">
        <f>IF(AND('Tube Cutting'!K19="Black",(OR('Tube Cutting'!J19="Round Cassette",'Tube Cutting'!J19="Round Cassette with Side Channels",'Tube Cutting'!J19="Round Cassette with Side &amp; Bottom Channels"))),'Tube Cutting'!M19,"")</f>
        <v/>
      </c>
      <c r="AR13" s="7" t="str">
        <f>IF(AND('Tube Cutting'!K19="Cream",(OR('Tube Cutting'!J19="Round Cassette",'Tube Cutting'!J19="Round Cassette with Side Channels",'Tube Cutting'!J19="Round Cassette with Side &amp; Bottom Channels"))),'Tube Cutting'!M19,"")</f>
        <v/>
      </c>
      <c r="AS13" s="7" t="str">
        <f>IF(AND('Tube Cutting'!K19="Anodised Silver",(OR('Tube Cutting'!J19="Round Cassette",'Tube Cutting'!J19="Round Cassette with Side Channels",'Tube Cutting'!J19="Round Cassette with Side &amp; Bottom Channels"))),'Tube Cutting'!M19,"")</f>
        <v/>
      </c>
      <c r="AT13" s="7" t="str">
        <f>IF(AND('Tube Cutting'!K19="White",(OR('Tube Cutting'!J19="Square Cassette with Side Channels",'Tube Cutting'!J19="Round Cassette with Side Channels",'Tube Cutting'!J19="Side Channels"))),CONCATENATE('Job Sheet'!H19-VLOOKUP(CONCATENATE('Job Sheet'!AA19,'Job Sheet'!J19,'Job Sheet'!AR19),PelmetDeduct,5,FALSE))*2,IF(AND('Tube Cutting'!K19="White",(OR('Tube Cutting'!J19="Square Cassette with Side &amp; Bottom Channels",'Tube Cutting'!J19="Round Cassette with Side &amp; Bottom Channels"))),CONCATENATE(('Job Sheet'!H19-VLOOKUP(CONCATENATE('Job Sheet'!AA19,'Job Sheet'!J19,'Job Sheet'!AR19),PelmetDeduct,5,FALSE))*2)+'Job Sheet'!BA19-110,""))</f>
        <v/>
      </c>
      <c r="AU13" s="7" t="str">
        <f>IF(AND('Tube Cutting'!K19="Black",(OR('Tube Cutting'!J19="Square Cassette with Side Channels",'Tube Cutting'!J19="Round Cassette with Side Channels",'Tube Cutting'!J19="Side Channels"))),CONCATENATE('Job Sheet'!H19-VLOOKUP(CONCATENATE('Job Sheet'!AA19,'Job Sheet'!J19,'Job Sheet'!AR19),PelmetDeduct,5,FALSE))*2,IF(AND('Tube Cutting'!K19="Black",(OR('Tube Cutting'!J19="Square Cassette with Side &amp; Bottom Channels",'Tube Cutting'!J19="Round Cassette with Side &amp; Bottom Channels"))),CONCATENATE(('Job Sheet'!H19-VLOOKUP(CONCATENATE('Job Sheet'!AA19,'Job Sheet'!J19,'Job Sheet'!AR19),PelmetDeduct,5,FALSE))*2)+'Job Sheet'!BA19-110,""))</f>
        <v/>
      </c>
      <c r="AV13" s="7" t="str">
        <f>IF(AND('Tube Cutting'!K19="Cream",(OR('Tube Cutting'!J19="Square Cassette with Side Channels",'Tube Cutting'!J19="Round Cassette with Side Channels",'Tube Cutting'!J19="Side Channels"))),CONCATENATE('Job Sheet'!H19-VLOOKUP(CONCATENATE('Job Sheet'!AA19,'Job Sheet'!J19,'Job Sheet'!AR19),PelmetDeduct,5,FALSE))*2,IF(AND('Tube Cutting'!K19="Cream",(OR('Tube Cutting'!J19="Square Cassette with Side &amp; Bottom Channels",'Tube Cutting'!J19="Round Cassette with Side &amp; Bottom Channels"))),CONCATENATE(('Job Sheet'!H19-VLOOKUP(CONCATENATE('Job Sheet'!AA19,'Job Sheet'!J19,'Job Sheet'!AR19),PelmetDeduct,5,FALSE))*2)+'Job Sheet'!BA19-110,""))</f>
        <v/>
      </c>
      <c r="AW13" s="7" t="str">
        <f>IF(AND('Tube Cutting'!K19="Anodised Silver",(OR('Tube Cutting'!J19="Square Cassette with Side Channels",'Tube Cutting'!J19="Round Cassette with Side Channels",'Tube Cutting'!J19="Side Channels"))),CONCATENATE('Job Sheet'!H19-VLOOKUP(CONCATENATE('Job Sheet'!AA19,'Job Sheet'!J19,'Job Sheet'!AR19),PelmetDeduct,5,FALSE))*2,IF(AND('Tube Cutting'!K19="Anodised Silver",(OR('Tube Cutting'!J19="Square Cassette with Side &amp; Bottom Channels",'Tube Cutting'!J19="Round Cassette with Side &amp; Bottom Channels"))),CONCATENATE(('Job Sheet'!H19-VLOOKUP(CONCATENATE('Job Sheet'!AA19,'Job Sheet'!J19,'Job Sheet'!AR19),PelmetDeduct,5,FALSE))*2)+'Job Sheet'!BA19-110,""))</f>
        <v/>
      </c>
      <c r="AX13" s="7" t="str">
        <f>IF('Tube Cutting'!J19="Aluminium Valance - Fabric Covered",'Tube Cutting'!M19,"")</f>
        <v/>
      </c>
      <c r="AY13" s="7" t="str">
        <f>IF(AND('Tube Cutting'!K19="White",'Tube Cutting'!J19="Aluminium Valance"),'Tube Cutting'!M19,"")</f>
        <v/>
      </c>
      <c r="AZ13" s="7" t="str">
        <f>IF(AND('Tube Cutting'!K19="Black",'Tube Cutting'!J19="Aluminium Valance"),'Tube Cutting'!M19,"")</f>
        <v/>
      </c>
      <c r="BA13" s="7" t="str">
        <f>IF(AND('Tube Cutting'!K19="Anodised Silver",'Tube Cutting'!J19="Aluminium Valance"),'Tube Cutting'!M19,"")</f>
        <v/>
      </c>
      <c r="BB13" s="7" t="str">
        <f>'Tube Cutting'!O19</f>
        <v/>
      </c>
      <c r="BC13" s="7" t="str">
        <f>IF('Tube Cutting'!J19="Zipscreen Hooding",'Tube Cutting'!L19,"")</f>
        <v/>
      </c>
      <c r="BD13" s="7" t="str">
        <f>IF('Tube Cutting'!J19="Zipscreen Hooding",'Tube Cutting'!M19,"")</f>
        <v/>
      </c>
      <c r="BE13" s="7" t="str">
        <f>IF(AND('Assembly(b)'!E19="38mm",'Job Sheet'!BE19="White",'Assembly(b)'!F19="Chain Winder"),1,"")</f>
        <v/>
      </c>
      <c r="BF13" s="7" t="str">
        <f>IF(AND('Assembly(b)'!E19="38mm",'Job Sheet'!BE19="Black",'Assembly(b)'!F19="Chain Winder"),1,"")</f>
        <v/>
      </c>
      <c r="BG13" s="7" t="str">
        <f>IF(AND('Assembly(b)'!E19="38mm",'Job Sheet'!BE19="Birch White",'Job Sheet'!L19="Chain Winder"),1,"")</f>
        <v/>
      </c>
      <c r="BH13" s="7" t="str">
        <f>IF(AND('Assembly(b)'!E19="38mm",'Job Sheet'!BE19="Grey",'Assembly(b)'!F19="Chain Winder"),1,"")</f>
        <v/>
      </c>
      <c r="BI13" s="7" t="str">
        <f>IF(AND('Assembly(b)'!E19="38mm",'Job Sheet'!BE19="Beige",'Assembly(b)'!F19="Chain Winder"),1,"")</f>
        <v/>
      </c>
      <c r="BJ13" s="7" t="str">
        <f>IF(AND('Assembly(b)'!E19="38mm",'Job Sheet'!BE19="White",'Assembly(b)'!F19="Chain Winder Fixed Guide"),1,"")</f>
        <v/>
      </c>
      <c r="BK13" s="7" t="str">
        <f>IF(AND('Assembly(b)'!E19="38mm",'Job Sheet'!BE19="Black",'Assembly(b)'!F19="Chain Winder Fixed Guide"),1,"")</f>
        <v/>
      </c>
      <c r="BL13" s="7" t="str">
        <f>IF(AND('Assembly(b)'!E19="38mm",'Job Sheet'!BE19="Birch White",'Assembly(b)'!F19="Chain Winder Fixed Guide"),1,"")</f>
        <v/>
      </c>
      <c r="BM13" s="7" t="str">
        <f>IF(AND('Assembly(b)'!E19="38mm",'Job Sheet'!BE19="Grey",'Assembly(b)'!F19="Chain Winder Fixed Guide"),1,"")</f>
        <v/>
      </c>
      <c r="BN13" s="7" t="str">
        <f>IF(AND('Assembly(b)'!E19="38mm",'Job Sheet'!BE19="Beige",'Assembly(b)'!F19="Chain Winder Fixed Guide"),1,"")</f>
        <v/>
      </c>
      <c r="BO13" s="7" t="str">
        <f>IF(AND('Job Sheet'!BE19="White",'Assembly(b)'!F19="Chain Winder",(OR('Assembly(b)'!E19="43mm",'Assembly(b)'!E19="43mm H/D"))),1,"")</f>
        <v/>
      </c>
      <c r="BP13" s="7" t="str">
        <f>IF(AND('Job Sheet'!BE19="Black",'Assembly(b)'!F19="Chain Winder",(OR('Assembly(b)'!E19="43mm",'Assembly(b)'!E19="43mm H/D"))),1,"")</f>
        <v/>
      </c>
      <c r="BQ13" s="7" t="str">
        <f>IF(AND('Job Sheet'!BE19="Birch White",'Assembly(b)'!F19="Chain Winder",(OR('Assembly(b)'!E19="43mm",'Assembly(b)'!E19="43mm H/D"))),1,"")</f>
        <v/>
      </c>
      <c r="BR13" s="7" t="str">
        <f>IF(AND('Job Sheet'!BE19="Grey",'Assembly(b)'!F19="Chain Winder",(OR('Assembly(b)'!E19="43mm",'Assembly(b)'!E19="43mm H/D"))),1,"")</f>
        <v/>
      </c>
      <c r="BS13" s="7" t="str">
        <f>IF(AND('Job Sheet'!BE19="Beige",'Assembly(b)'!F19="Chain Winder",(OR('Assembly(b)'!E19="43mm",'Assembly(b)'!E19="43mm H/D"))),1,"")</f>
        <v/>
      </c>
      <c r="BT13" s="7" t="str">
        <f>IF(AND('Job Sheet'!BE19="White",'Assembly(b)'!F19="Chain Winder Fixed Guide",(OR('Assembly(b)'!E19="43mm",'Assembly(b)'!E19="43mm H/D"))),1,"")</f>
        <v/>
      </c>
      <c r="BU13" s="7" t="str">
        <f>IF(AND('Job Sheet'!BE19="Black",'Assembly(b)'!F19="Chain Winder Fixed Guide",(OR('Assembly(b)'!E19="43mm",'Assembly(b)'!E19="43mm H/D"))),1,"")</f>
        <v/>
      </c>
      <c r="BV13" s="7" t="str">
        <f>IF(AND('Job Sheet'!BE19="Birch White",'Assembly(b)'!F19="Chain Winder Fixed Guide",(OR('Assembly(b)'!E19="43mm",'Assembly(b)'!E19="43mm H/D"))),1,"")</f>
        <v/>
      </c>
      <c r="BW13" s="7" t="str">
        <f>IF(AND('Job Sheet'!BE19="Grey",'Assembly(b)'!F19="Chain Winder Fixed Guide",(OR('Assembly(b)'!E19="43mm",'Assembly(b)'!E19="43mm H/D"))),1,"")</f>
        <v/>
      </c>
      <c r="BX13" s="7" t="str">
        <f>IF(AND('Job Sheet'!BE19="Beige",'Assembly(b)'!F19="Chain Winder Fixed Guide",(OR('Assembly(b)'!E19="43mm",'Assembly(b)'!E19="43mm H/D"))),1,"")</f>
        <v/>
      </c>
      <c r="BY13" s="7" t="str">
        <f>IF(Data!AV19="","",IF(AND('Job Sheet'!BE19="White",VLOOKUP('Job Sheet'!AR19,ControlDeduct,3,FALSE)="Yes"),1,""))</f>
        <v/>
      </c>
      <c r="BZ13" s="7" t="str">
        <f>IF(Data!AV19="","",IF(AND('Job Sheet'!BE19="Black",VLOOKUP('Job Sheet'!AR19,ControlDeduct,3,FALSE)="Yes"),1,""))</f>
        <v/>
      </c>
      <c r="CA13" s="7" t="str">
        <f>IF(Data!AV19="","",IF(AND('Job Sheet'!BE19="Birch White",VLOOKUP('Job Sheet'!AR19,ControlDeduct,3,FALSE)="Yes"),1,""))</f>
        <v/>
      </c>
      <c r="CB13" s="7" t="str">
        <f>IF(Data!AV19="","",IF(AND('Job Sheet'!BE19="Grey",VLOOKUP('Job Sheet'!AR19,ControlDeduct,3,FALSE)="Yes"),1,""))</f>
        <v/>
      </c>
      <c r="CC13" s="7" t="str">
        <f>IF(Data!AV19="","",IF(AND('Job Sheet'!BE19="Beige",VLOOKUP('Job Sheet'!AR19,ControlDeduct,3,FALSE)="Yes"),1,""))</f>
        <v/>
      </c>
      <c r="CD13" s="7" t="str">
        <f>IF(AND('Job Sheet'!BE19="White",(OR(Bagging!D19="Single",Bagging!D19="Single with Covers",Bagging!D19="Single &amp; Single Linked"))),1,"")</f>
        <v/>
      </c>
      <c r="CE13" s="7" t="str">
        <f>IF(AND('Job Sheet'!BE19="Black",(OR(Bagging!D19="Single",Bagging!D19="Single with Covers",Bagging!D19="Single &amp; Single Linked"))),1,"")</f>
        <v/>
      </c>
      <c r="CF13" s="7" t="str">
        <f>IF(AND('Job Sheet'!BE19="Birch White",(OR(Bagging!D19="Single",Bagging!D19="Single with Covers",Bagging!D19="Single &amp; Single Linked"))),1,"")</f>
        <v/>
      </c>
      <c r="CG13" s="7" t="str">
        <f>IF(AND('Job Sheet'!BE19="Grey",(OR(Bagging!D19="Single",Bagging!D19="Single with Covers",Bagging!D19="Single &amp; Single Linked"))),1,"")</f>
        <v/>
      </c>
      <c r="CH13" s="7" t="str">
        <f>IF(AND('Job Sheet'!BE19="Beige",(OR(Bagging!D19="Single",Bagging!D19="Single with Covers",Bagging!D19="Single &amp; Single Linked"))),1,"")</f>
        <v/>
      </c>
      <c r="CI13" s="7" t="str">
        <f>IF(AND('Job Sheet'!BE19="White",(OR(Bagging!D19="Single Extension",Bagging!D19="Single Extension with Extension Covers",Bagging!D19="Single Extension &amp; Single Extension Linked",Bagging!D19="Single Extension with Extension Covers &amp; Single Extension Linked"))),1,"")</f>
        <v/>
      </c>
      <c r="CJ13" s="7" t="str">
        <f>IF(AND('Job Sheet'!BE19="Black",(OR(Bagging!D19="Single Extension",Bagging!D19="Single Extension with Extension Covers",Bagging!D19="Single Extension &amp; Single Extension Linked",Bagging!D19="Single Extension with Extension Covers &amp; Single Extension Linked"))),1,"")</f>
        <v/>
      </c>
      <c r="CK13" s="7" t="str">
        <f>IF(AND('Job Sheet'!BE19="Birch White",(OR(Bagging!D19="Single Extension",Bagging!D19="Single Extension with Extension Covers",Bagging!D19="Single Extension &amp; Single Extension Linked",Bagging!D19="Single Extension with Extension Covers &amp; Single Extension Linked"))),1,"")</f>
        <v/>
      </c>
      <c r="CL13" s="7" t="str">
        <f>IF(AND('Job Sheet'!BE19="Grey",(OR(Bagging!D19="Single Extension",Bagging!D19="Single Extension with Extension Covers",Bagging!D19="Single Extension &amp; Single Extension Linked",Bagging!D19="Single Extension with Extension Covers &amp; Single Extension Linked"))),1,"")</f>
        <v/>
      </c>
      <c r="CM13" s="7" t="str">
        <f>IF(AND('Job Sheet'!BE19="Beige",(OR(Bagging!D19="Single Extension",Bagging!D19="Single Extension with Extension Covers",Bagging!D19="Single Extension &amp; Single Extension Linked",Bagging!D19="Single Extension with Extension Covers &amp; Single Extension Linked"))),1,"")</f>
        <v/>
      </c>
      <c r="CN13" s="7" t="str">
        <f>IF(AND('Job Sheet'!BE19="White",(OR(Bagging!D19="Single Motor Brackets",Bagging!D19="Single Motor Brackets with Covers"))),1,"")</f>
        <v/>
      </c>
      <c r="CO13" s="7" t="str">
        <f>IF(AND('Job Sheet'!BE19="Black",(OR(Bagging!D19="Single Motor Brackets",Bagging!D19="Single Motor Brackets with Covers"))),1,"")</f>
        <v/>
      </c>
      <c r="CP13" s="7" t="str">
        <f>IF(AND('Job Sheet'!BE19="White",(OR(Bagging!D19="Single Motor Extension Brackets",Bagging!D19="Single Motor Extension Brackets with Extension Covers"))),1,"")</f>
        <v/>
      </c>
      <c r="CQ13" s="7" t="str">
        <f>IF(AND('Job Sheet'!BE19="Black",(OR(Bagging!D19="Single Motor Extension Brackets",Bagging!D19="Single Motor Extension Brackets with Extension Covers"))),1,"")</f>
        <v/>
      </c>
      <c r="CR13" s="7" t="str">
        <f>IF(AND('Job Sheet'!BE19="White",OR(Bagging!D19="Single with Covers",Bagging!D19="Single Motor Brackets with Covers")),1,"")</f>
        <v/>
      </c>
      <c r="CS13" s="7" t="str">
        <f>IF(AND('Job Sheet'!BE19="Black",OR(Bagging!D19="Single with Covers",Bagging!D19="Single Motor Brackets with Covers")),1,"")</f>
        <v/>
      </c>
      <c r="CT13" s="7" t="str">
        <f>IF(AND('Job Sheet'!BE19="Birch White",OR(Bagging!D19="Single with Covers",Bagging!D19="Single Motor Brackets with Covers")),1,"")</f>
        <v/>
      </c>
      <c r="CU13" s="7" t="str">
        <f>IF(AND('Job Sheet'!BE19="Grey",OR(Bagging!D19="Single with Covers",Bagging!D19="Single Motor Brackets with Covers")),1,"")</f>
        <v/>
      </c>
      <c r="CV13" s="7" t="str">
        <f>IF(AND('Job Sheet'!BE19="Beige",OR(Bagging!D19="Single with Covers",Bagging!D19="Single Motor Brackets with Covers")),1,"")</f>
        <v/>
      </c>
      <c r="CW13" s="7" t="str">
        <f>IF(AND('Job Sheet'!BE19="White",OR(Bagging!D19="Single Extension with Extension Covers",Bagging!D19="Single Motor Extension Brackets with Extension Covers",Bagging!D19="Single Extension with Extension Covers &amp; Single Extension Linked")),1,"")</f>
        <v/>
      </c>
      <c r="CX13" s="7" t="str">
        <f>IF(AND('Job Sheet'!BE19="Black",OR(Bagging!D19="Single Extension with Extension Covers",Bagging!D19="Single Motor Extension Brackets with Extension Covers",Bagging!D19="Single Extension with Extension Covers &amp; Single Extension Linked")),1,"")</f>
        <v/>
      </c>
      <c r="CY13" s="7" t="str">
        <f>IF(AND('Job Sheet'!BE19="Birch White",OR(Bagging!D19="Single Extension with Extension Covers",Bagging!D19="Single Motor Extension Brackets with Extension Covers",Bagging!D19="Single Extension with Extension Covers &amp; Single Extension Linked")),1,"")</f>
        <v/>
      </c>
      <c r="CZ13" s="7" t="str">
        <f>IF(AND('Job Sheet'!BE19="Grey",OR(Bagging!D19="Single Extension with Extension Covers",Bagging!D19="Single Motor Extension Brackets with Extension Covers",Bagging!D19="Single Extension with Extension Covers &amp; Single Extension Linked")),1,"")</f>
        <v/>
      </c>
      <c r="DA13" s="7" t="str">
        <f>IF(AND('Job Sheet'!BE19="Beige",OR(Bagging!D19="Single Extension with Extension Covers",Bagging!D19="Single Motor Extension Brackets with Extension Covers",Bagging!D19="Single Extension with Extension Covers &amp; Single Extension Linked")),1,"")</f>
        <v/>
      </c>
      <c r="DB13" s="7" t="str">
        <f>IF(AND(Bagging!D19="Dual Opposite Side",'Job Sheet'!BE19="White"),1,"")</f>
        <v/>
      </c>
      <c r="DC13" s="7" t="str">
        <f>IF(AND(Bagging!D19="Dual Opposite Side",'Job Sheet'!BE19="Black"),1,"")</f>
        <v/>
      </c>
      <c r="DD13" s="7" t="str">
        <f>IF(AND(Bagging!D19="Dual Opposite Side",'Job Sheet'!BE19="Birch White"),1,"")</f>
        <v/>
      </c>
      <c r="DE13" s="7" t="str">
        <f>IF(AND(Bagging!D19="Dual Opposite Side",'Job Sheet'!BE19="Grey"),1,"")</f>
        <v/>
      </c>
      <c r="DF13" s="7" t="str">
        <f>IF(AND(Bagging!D19="Dual Opposite Side",'Job Sheet'!BE19="Beige"),1,"")</f>
        <v/>
      </c>
      <c r="DG13" s="7" t="str">
        <f>IF(AND('Job Sheet'!BE19="White",(OR(Bagging!D19="Dual Same Side",Bagging!D19="Dual Same Side &amp; Dual Linked"))),1,"")</f>
        <v/>
      </c>
      <c r="DH13" s="7" t="str">
        <f>IF(AND('Job Sheet'!BE19="Black",(OR(Bagging!D19="Dual Same Side",Bagging!D19="Dual Same Side &amp; Dual Linked"))),1,"")</f>
        <v/>
      </c>
      <c r="DI13" s="7" t="str">
        <f>IF(AND('Job Sheet'!BE19="Birch White",(OR(Bagging!D19="Dual Same Side",Bagging!D19="Dual Same Side &amp; Dual Linked"))),1,"")</f>
        <v/>
      </c>
      <c r="DJ13" s="7" t="str">
        <f>IF(AND('Job Sheet'!BE19="Grey",(OR(Bagging!D19="Dual Same Side",Bagging!D19="Dual Same Side &amp; Dual Linked"))),1,"")</f>
        <v/>
      </c>
      <c r="DK13" s="7" t="str">
        <f>IF(AND('Job Sheet'!BE19="Beige",(OR(Bagging!D19="Dual Same Side",Bagging!D19="Dual Same Side &amp; Dual Linked"))),1,"")</f>
        <v/>
      </c>
      <c r="DL13" s="7" t="str">
        <f>IF(AND('Job Sheet'!BE19="White",(OR(Bagging!D19="Slimline Dual Top Blind Front Roll LHS Control",Bagging!D19="Slimline Dual Top Blind Front Roll LHS Control &amp; Dual Slimline Linked Top Blind Front Roll"))),1,"")</f>
        <v/>
      </c>
      <c r="DM13" s="7" t="str">
        <f>IF(AND('Job Sheet'!BE19="White",(OR(Bagging!D19="Slimline Dual Top Blind Front Roll RHS Control",Bagging!D19="Slimline Dual Top Blind Front Roll RHS Control &amp; Dual Slimline Linked Top Blind Front Roll"))),1,"")</f>
        <v/>
      </c>
      <c r="DN13" s="7" t="str">
        <f>IF(AND('Job Sheet'!BE19="Black",(OR(Bagging!D19="Slimline Dual Top Blind Front Roll LHS Control",Bagging!D19="Slimline Dual Top Blind Front Roll LHS Control &amp; Dual Slimline Linked Top Blind Front Roll"))),1,"")</f>
        <v/>
      </c>
      <c r="DO13" s="7" t="str">
        <f>IF(AND('Job Sheet'!BE19="Black",(OR(Bagging!D19="Slimline Dual Top Blind Front Roll RHS Control",Bagging!D19="Slimline Dual Top Blind Front Roll RHS Control &amp; Dual Slimline Linked Top Blind Front Roll"))),1,"")</f>
        <v/>
      </c>
      <c r="DP13" s="7" t="str">
        <f>IF(AND('Job Sheet'!BE19="Birch White",(OR(Bagging!D19="Slimline Dual Top Blind Front Roll LHS Control",Bagging!D19="Slimline Dual Top Blind Front Roll LHS Control &amp; Dual Slimline Linked Top Blind Front Roll"))),1,"")</f>
        <v/>
      </c>
      <c r="DQ13" s="7" t="str">
        <f>IF(AND('Job Sheet'!BE19="Birch White",(OR(Bagging!D19="Slimline Dual Top Blind Front Roll RHS Control",Bagging!D19="Slimline Dual Top Blind Front Roll RHS Control &amp; Dual Slimline Linked Top Blind Front Roll"))),1,"")</f>
        <v/>
      </c>
      <c r="DR13" s="7" t="str">
        <f>IF(AND('Job Sheet'!BE19="Grey",(OR(Bagging!D19="Slimline Dual Top Blind Front Roll LHS Control",Bagging!D19="Slimline Dual Top Blind Front Roll LHS Control &amp; Dual Slimline Linked Top Blind Front Roll"))),1,"")</f>
        <v/>
      </c>
      <c r="DS13" s="7" t="str">
        <f>IF(AND('Job Sheet'!BE19="Grey",(OR(Bagging!D19="Slimline Dual Top Blind Front Roll RHS Control",Bagging!D19="Slimline Dual Top Blind Front Roll RHS Control &amp; Dual Slimline Linked Top Blind Front Roll"))),1,"")</f>
        <v/>
      </c>
      <c r="DT13" s="7" t="str">
        <f>IF(AND('Job Sheet'!BE19="Beige",(OR(Bagging!D19="Slimline Dual Top Blind Front Roll LHS Control",Bagging!D19="Slimline Dual Top Blind Front Roll LHS Control &amp; Dual Slimline Linked Top Blind Front Roll"))),1,"")</f>
        <v/>
      </c>
      <c r="DU13" s="7" t="str">
        <f>IF(AND('Job Sheet'!BE19="Beige",(OR(Bagging!D19="Slimline Dual Top Blind Front Roll RHS Control",Bagging!D19="Slimline Dual Top Blind Front Roll RHS Control &amp; Dual Slimline Linked Top Blind Front Roll"))),1,"")</f>
        <v/>
      </c>
      <c r="DV13" s="7" t="str">
        <f>IF(AND('Job Sheet'!BE19="White",(OR(Bagging!D19="Slimline Dual Top Blind Back Roll LHS Control",Bagging!D19="Slimline Dual Top Blind Back Roll LHS Control &amp; Dual Slimline Linked Top Blind Back Roll"))),1,"")</f>
        <v/>
      </c>
      <c r="DW13" s="7" t="str">
        <f>IF(AND('Job Sheet'!BE19="White",(OR(Bagging!D19="Slimline Dual Top Blind Back Roll RHS Control",Bagging!D19="Slimline Dual Top Blind Back Roll LHS Control &amp; Dual Slimline Linked Top Blind Back Roll"))),1,"")</f>
        <v/>
      </c>
      <c r="DX13" s="7" t="str">
        <f>IF(AND('Job Sheet'!BE19="Black",(OR(Bagging!D19="Slimline Dual Top Blind Back Roll LHS Control",Bagging!D19="Slimline Dual Top Blind Back Roll LHS Control &amp; Dual Slimline Linked Top Blind Back Roll"))),1,"")</f>
        <v/>
      </c>
      <c r="DY13" s="7" t="str">
        <f>IF(AND('Job Sheet'!BE19="Black",(OR(Bagging!D19="Slimline Dual Top Blind Back Roll RHS Control",Bagging!D19="Slimline Dual Top Blind Back Roll LHS Control &amp; Dual Slimline Linked Top Blind Back Roll"))),1,"")</f>
        <v/>
      </c>
      <c r="DZ13" s="7" t="str">
        <f>IF(AND('Job Sheet'!BE19="Birch White",(OR(Bagging!D19="Slimline Dual Top Blind Back Roll LHS Control",Bagging!D19="Slimline Dual Top Blind Back Roll LHS Control &amp; Dual Slimline Linked Top Blind Back Roll"))),1,"")</f>
        <v/>
      </c>
      <c r="EA13" s="7" t="str">
        <f>IF(AND('Job Sheet'!BE19="Birch White",(OR(Bagging!D19="Slimline Dual Top Blind Back Roll RHS Control",Bagging!D19="Slimline Dual Top Blind Back Roll LHS Control &amp; Dual Slimline Linked Top Blind Back Roll"))),1,"")</f>
        <v/>
      </c>
      <c r="EB13" s="7" t="str">
        <f>IF(AND('Job Sheet'!BE19="Grey",(OR(Bagging!D19="Slimline Dual Top Blind Back Roll LHS Control",Bagging!D19="Slimline Dual Top Blind Back Roll LHS Control &amp; Dual Slimline Linked Top Blind Back Roll"))),1,"")</f>
        <v/>
      </c>
      <c r="EC13" s="7" t="str">
        <f>IF(AND('Job Sheet'!BE19="Grey",(OR(Bagging!D19="Slimline Dual Top Blind Back Roll RHS Control",Bagging!D19="Slimline Dual Top Blind Back Roll LHS Control &amp; Dual Slimline Linked Top Blind Back Roll"))),1,"")</f>
        <v/>
      </c>
      <c r="ED13" s="7" t="str">
        <f>IF(AND('Job Sheet'!BE19="Beige",(OR(Bagging!D19="Slimline Dual Top Blind Back Roll LHS Control",Bagging!D19="Slimline Dual Top Blind Back Roll LHS Control &amp; Dual Slimline Linked Top Blind Back Roll"))),1,"")</f>
        <v/>
      </c>
      <c r="EE13" s="7" t="str">
        <f>IF(AND('Job Sheet'!BE19="Beige",(OR(Bagging!D19="Slimline Dual Top Blind Back Roll RHS Control",Bagging!D19="Slimline Dual Top Blind Back Roll LHS Control &amp; Dual Slimline Linked Top Blind Back Roll"))),1,"")</f>
        <v/>
      </c>
      <c r="EF13" s="7" t="str">
        <f>IF(AND('Job Sheet'!BE19="White",(OR(Bagging!D19="Linked",Bagging!D19="Single &amp; Single Linked"))),1,IF(AND(Bagging!D19="Linked(2 Sets)",'Job Sheet'!BE19="White"),2,""))</f>
        <v/>
      </c>
      <c r="EG13" s="7" t="str">
        <f>IF(AND('Job Sheet'!BE19="Black",(OR(Bagging!D19="Linked",Bagging!D19="Single &amp; Single Linked"))),1,IF(AND(Bagging!D19="Linked(2 Sets)",'Job Sheet'!BE19="Black"),2,""))</f>
        <v/>
      </c>
      <c r="EH13" s="7" t="str">
        <f>IF(AND('Job Sheet'!BE19="Birch White",(OR(Bagging!D19="Linked",Bagging!D19="Single &amp; Single Linked"))),1,IF(AND(Bagging!D19="Linked(2 Sets)",'Job Sheet'!BE19="Birch White"),2,""))</f>
        <v/>
      </c>
      <c r="EI13" s="7" t="str">
        <f>IF(AND('Job Sheet'!BE19="Grey",(OR(Bagging!D19="Linked",Bagging!D19="Single &amp; Single Linked"))),1,IF(AND(Bagging!D19="Linked(2 Sets)",'Job Sheet'!BE19="Grey"),2,""))</f>
        <v/>
      </c>
      <c r="EJ13" s="7" t="str">
        <f>IF(AND('Job Sheet'!BE19="Beige",(OR(Bagging!D19="Linked",Bagging!D19="Single &amp; Single Linked"))),1,IF(AND(Bagging!D19="Linked(2 Sets)",'Job Sheet'!BE19="Beige"),2,""))</f>
        <v/>
      </c>
      <c r="EK13" s="7" t="str">
        <f>IF(AND('Job Sheet'!BE19="White",(OR(Bagging!D19="Single Extension Linked",Bagging!D19="Single Extension &amp; Single Extension Linked",Bagging!D19="Single Extension with Extension Covers &amp; Single Extension Linked"))),1,IF(AND(Bagging!D19="Single Extension Linked(2 Sets)",'Job Sheet'!BE19="White"),2,""))</f>
        <v/>
      </c>
      <c r="EL13" s="7" t="str">
        <f>IF(AND('Job Sheet'!BE19="Black",(OR(Bagging!D19="Single Extension Linked",Bagging!D19="Single Extension &amp; Single Extension Linked",Bagging!D19="Single Extension with Extension Covers &amp; Single Extension Linked"))),1,IF(AND(Bagging!D19="Single Extension Linked(2 Sets)",'Job Sheet'!BE19="Black"),2,""))</f>
        <v/>
      </c>
      <c r="EM13" s="7" t="str">
        <f>IF(AND('Job Sheet'!BE19="Birch White",(OR(Bagging!D19="Single Extension Linked",Bagging!D19="Single Extension &amp; Single Extension Linked",Bagging!D19="Single Extension with Extension Covers &amp; Single Extension Linked"))),1,IF(AND(Bagging!D19="Single Extension Linked(2 Sets)",'Job Sheet'!BE19="Birch White"),2,""))</f>
        <v/>
      </c>
      <c r="EN13" s="7" t="str">
        <f>IF(AND('Job Sheet'!BE19="Grey",(OR(Bagging!D19="Single Extension Linked",Bagging!D19="Single Extension &amp; Single Extension Linked",Bagging!D19="Single Extension with Extension Covers &amp; Single Extension Linked"))),1,IF(AND(Bagging!D19="Single Extension Linked(2 Sets)",'Job Sheet'!BE19="Grey"),2,""))</f>
        <v/>
      </c>
      <c r="EO13" s="7" t="str">
        <f>IF(AND('Job Sheet'!BE19="Beige",(OR(Bagging!D19="Single Extension Linked",Bagging!D19="Single Extension &amp; Single Extension Linked",Bagging!D19="Single Extension with Extension Covers &amp; Single Extension Linked"))),1,IF(AND(Bagging!D19="Single Extension Linked(2 Sets)",'Job Sheet'!BE19="Beige"),2,""))</f>
        <v/>
      </c>
      <c r="EP13" s="7" t="str">
        <f>IF(AND('Job Sheet'!BE19="White",(OR(Bagging!D19="Dual Linked",Bagging!D19="Dual Same Side &amp; Dual Linked"))),1,IF(AND(Bagging!D19="Dual Linked(2 Sets)",'Job Sheet'!BE19="White"),2,""))</f>
        <v/>
      </c>
      <c r="EQ13" s="7" t="str">
        <f>IF(AND('Job Sheet'!BE19="Black",(OR(Bagging!D19="Dual Linked",Bagging!D19="Dual Same Side &amp; Dual Linked"))),1,IF(AND(Bagging!D19="Dual Linked(2 Sets)",'Job Sheet'!BE19="Black"),2,""))</f>
        <v/>
      </c>
      <c r="ER13" s="7" t="str">
        <f>IF(AND('Job Sheet'!BE19="Birch White",(OR(Bagging!D19="Dual Linked",Bagging!D19="Dual Same Side &amp; Dual Linked"))),1,IF(AND(Bagging!D19="Dual Linked(2 Sets)",'Job Sheet'!BE19="Birch White"),2,""))</f>
        <v/>
      </c>
      <c r="ES13" s="7" t="str">
        <f>IF(AND('Job Sheet'!BE19="Grey",(OR(Bagging!D19="Dual Linked",Bagging!D19="Dual Same Side &amp; Dual Linked"))),1,IF(AND(Bagging!D19="Dual Linked(2 Sets)",'Job Sheet'!BE19="Grey"),2,""))</f>
        <v/>
      </c>
      <c r="ET13" s="7" t="str">
        <f>IF(AND('Job Sheet'!BE19="Beige",(OR(Bagging!D19="Dual Linked",Bagging!D19="Dual Same Side &amp; Dual Linked"))),1,IF(AND(Bagging!D19="Dual Linked(2 Sets)",'Job Sheet'!BE19="Beige"),2,""))</f>
        <v/>
      </c>
      <c r="EU13" s="7" t="str">
        <f>IF(AND('Job Sheet'!BE19="White",(OR(Bagging!D19="Dual Slimline Linked Top Blind Front Roll",Bagging!D19="Slimline Dual Top Blind Front Roll LHS Control &amp; Dual Slimline Linked Top Blind Front Roll",Bagging!D19="Slimline Dual Top Blind Front Roll RHS Control &amp; Dual Slimline Linked Top Blind Front Roll"))),1,IF(AND(Bagging!D19="Dual Slimline Linked Top Blind Front Roll(2 Sets)",'Job Sheet'!BE19="White"),2,""))</f>
        <v/>
      </c>
      <c r="EV13" s="7" t="str">
        <f>IF(AND('Job Sheet'!BE19="Black",(OR(Bagging!D19="Dual Slimline Linked Top Blind Front Roll",Bagging!D19="Slimline Dual Top Blind Front Roll LHS Control &amp; Dual Slimline Linked Top Blind Front Roll",Bagging!D19="Slimline Dual Top Blind Front Roll RHS Control &amp; Dual Slimline Linked Top Blind Front Roll"))),1,IF(AND(Bagging!D19="Dual Slimline Linked Top Blind Front Roll(2 Sets)",'Job Sheet'!BE19="Black"),2,""))</f>
        <v/>
      </c>
      <c r="EW13" s="7" t="str">
        <f>IF(AND('Job Sheet'!BE19="Birch White",(OR(Bagging!D19="Dual Slimline Linked Top Blind Front Roll",Bagging!D19="Slimline Dual Top Blind Front Roll LHS Control &amp; Dual Slimline Linked Top Blind Front Roll",Bagging!D19="Slimline Dual Top Blind Front Roll RHS Control &amp; Dual Slimline Linked Top Blind Front Roll"))),1,IF(AND(Bagging!D19="Dual Slimline Linked Top Blind Front Roll(2 Sets)",'Job Sheet'!BE19="Birch White"),2,""))</f>
        <v/>
      </c>
      <c r="EX13" s="7" t="str">
        <f>IF(AND('Job Sheet'!BE19="Grey",(OR(Bagging!D19="Dual Slimline Linked Top Blind Front Roll",Bagging!D19="Slimline Dual Top Blind Front Roll LHS Control &amp; Dual Slimline Linked Top Blind Front Roll",Bagging!D19="Slimline Dual Top Blind Front Roll RHS Control &amp; Dual Slimline Linked Top Blind Front Roll"))),1,IF(AND(Bagging!D19="Dual Slimline Linked Top Blind Front Roll(2 Sets)",'Job Sheet'!BE19="Grey"),2,""))</f>
        <v/>
      </c>
      <c r="EY13" s="7" t="str">
        <f>IF(AND('Job Sheet'!BE19="Beige",(OR(Bagging!D19="Dual Slimline Linked Top Blind Front Roll",Bagging!D19="Slimline Dual Top Blind Front Roll LHS Control &amp; Dual Slimline Linked Top Blind Front Roll",Bagging!D19="Slimline Dual Top Blind Front Roll RHS Control &amp; Dual Slimline Linked Top Blind Front Roll"))),1,IF(AND(Bagging!D19="Dual Slimline Linked Top Blind Front Roll(2 Sets)",'Job Sheet'!BE19="Beige"),2,""))</f>
        <v/>
      </c>
      <c r="EZ13" s="7" t="str">
        <f>IF(AND('Job Sheet'!BE19="White",(OR(Bagging!D19="Dual Slimline Linked Top Blind Back Roll",Bagging!D19="Slimline Dual Top Blind Back Roll LHS Control &amp; Dual Slimline Linked Top Blind Back Roll",Bagging!D19="Slimline Dual Top Blind Back Roll RHS Control &amp; Dual Slimline Linked Top Blind Back Roll"))),1,IF(AND(Bagging!D19="Dual Slimline Linked Top Blind Back Roll(2 Sets)",'Job Sheet'!BE19="White"),2,""))</f>
        <v/>
      </c>
      <c r="FA13" s="7" t="str">
        <f>IF(AND('Job Sheet'!BE19="Black",(OR(Bagging!D19="Dual Slimline Linked Top Blind Back Roll",Bagging!D19="Slimline Dual Top Blind Back Roll LHS Control &amp; Dual Slimline Linked Top Blind Back Roll",Bagging!D19="Slimline Dual Top Blind Back Roll RHS Control &amp; Dual Slimline Linked Top Blind Back Roll"))),1,IF(AND(Bagging!D19="Dual Slimline Linked Top Blind Back Roll(2 Sets)",'Job Sheet'!BE19="Black"),2,""))</f>
        <v/>
      </c>
      <c r="FB13" s="7" t="str">
        <f>IF(AND('Job Sheet'!BE19="Birch White",(OR(Bagging!D19="Dual Slimline Linked Top Blind Back Roll",Bagging!D19="Slimline Dual Top Blind Back Roll LHS Control &amp; Dual Slimline Linked Top Blind Back Roll",Bagging!D19="Slimline Dual Top Blind Back Roll RHS Control &amp; Dual Slimline Linked Top Blind Back Roll"))),1,IF(AND(Bagging!D19="Dual Slimline Linked Top Blind Back Roll(2 Sets)",'Job Sheet'!BE19="Birch White"),2,""))</f>
        <v/>
      </c>
      <c r="FC13" s="7" t="str">
        <f>IF(AND('Job Sheet'!BE19="Grey",(OR(Bagging!D19="Dual Slimline Linked Top Blind Back Roll",Bagging!D19="Slimline Dual Top Blind Back Roll LHS Control &amp; Dual Slimline Linked Top Blind Back Roll",Bagging!D19="Slimline Dual Top Blind Back Roll RHS Control &amp; Dual Slimline Linked Top Blind Back Roll"))),1,IF(AND(Bagging!D19="Dual Slimline Linked Top Blind Back Roll(2 Sets)",'Job Sheet'!BE19="Grey"),2,""))</f>
        <v/>
      </c>
      <c r="FD13" s="7" t="str">
        <f>IF(AND('Job Sheet'!BE19="Beige",(OR(Bagging!D19="Dual Slimline Linked Top Blind Back Roll",Bagging!D19="Slimline Dual Top Blind Back Roll LHS Control &amp; Dual Slimline Linked Top Blind Back Roll",Bagging!D19="Slimline Dual Top Blind Back Roll RHS Control &amp; Dual Slimline Linked Top Blind Back Roll"))),1,IF(AND(Bagging!D19="Dual Slimline Linked Top Blind Back Roll(2 Sets)",'Job Sheet'!BE19="Beige"),2,""))</f>
        <v/>
      </c>
      <c r="FE13" s="7" t="str">
        <f>IF(AND(OR('Job Sheet'!BF19="Nickel Steel",'Job Sheet'!BF19="Nickel Steel Chain"),OR('Assembly(b)'!D19="500mm",'Assembly(b)'!D19="500")),1,"")</f>
        <v/>
      </c>
      <c r="FF13" s="7" t="str">
        <f>IF(AND(OR('Job Sheet'!BF19="Nickel Steel",'Job Sheet'!BF19="Nickel Steel Chain"),OR('Assembly(b)'!D19="750mm",'Assembly(b)'!D19="750")),1,"")</f>
        <v/>
      </c>
      <c r="FG13" s="7" t="str">
        <f>IF(AND(OR('Job Sheet'!BF19="Nickel Steel",'Job Sheet'!BF19="Nickel Steel Chain"),OR('Assembly(b)'!D19="1000mm",'Assembly(b)'!D19="1000")),1,"")</f>
        <v/>
      </c>
      <c r="FH13" s="7" t="str">
        <f>IF(AND(OR('Job Sheet'!BF19="Nickel Steel",'Job Sheet'!BF19="Nickel Steel Chain"),OR('Assembly(b)'!D19="1250mm",'Assembly(b)'!D19="1250")),1,"")</f>
        <v/>
      </c>
      <c r="FI13" s="7" t="str">
        <f>IF(AND(OR('Job Sheet'!BF19="Nickel Steel",'Job Sheet'!BF19="Nickel Steel Chain"),OR('Assembly(b)'!D19="1500mm",'Assembly(b)'!D19="1500")),1,"")</f>
        <v/>
      </c>
      <c r="FJ13" s="7" t="str">
        <f>IF(AND(OR('Job Sheet'!BF19="Nickel Steel",'Job Sheet'!BF19="Nickel Steel Chain"),OR('Assembly(b)'!D19="1750mm",'Assembly(b)'!D19="1750")),1,"")</f>
        <v/>
      </c>
      <c r="FK13" s="7" t="str">
        <f>IF(AND(OR('Job Sheet'!BF19="Nickel Steel",'Job Sheet'!BF19="Nickel Steel Chain"),OR('Assembly(b)'!D19="2000mm",'Assembly(b)'!D19="2000")),1,"")</f>
        <v/>
      </c>
      <c r="FL13" s="7" t="str">
        <f>IF(AND(OR('Job Sheet'!BF19="Nickel Steel",'Job Sheet'!BF19="Nickel Steel Chain"),OR('Assembly(b)'!D19="2250mm",'Assembly(b)'!D19="2250")),1,"")</f>
        <v/>
      </c>
      <c r="FM13" s="7" t="str">
        <f>IF(AND(OR('Job Sheet'!BF19="Nickel Steel",'Job Sheet'!BF19="Nickel Steel Chain"),OR('Assembly(b)'!D19="2500mm",'Assembly(b)'!D19="2500")),1,"")</f>
        <v/>
      </c>
      <c r="FN13" s="7" t="str">
        <f>IF(AND(OR('Job Sheet'!BF19="Nickel Steel",'Job Sheet'!BF19="Nickel Steel Chain"),OR('Assembly(b)'!D19="2750mm",'Assembly(b)'!D19="2750")),1,"")</f>
        <v/>
      </c>
      <c r="FO13" s="7" t="str">
        <f>IF(AND(OR('Job Sheet'!BF19="Nickel Steel",'Job Sheet'!BF19="Nickel Steel Chain"),OR('Assembly(b)'!D19="3000mm",'Assembly(b)'!D19="3000")),1,"")</f>
        <v/>
      </c>
      <c r="FP13" s="7" t="str">
        <f>IF(AND(OR('Job Sheet'!BF19="Nickel Steel",'Job Sheet'!BF19="Nickel Steel Chain"),OR('Assembly(b)'!D19="3250mm",'Assembly(b)'!D19="3250")),1,"")</f>
        <v/>
      </c>
      <c r="FQ13" s="7" t="str">
        <f>IF(AND(OR('Job Sheet'!BF19="Nickel Steel",'Job Sheet'!BF19="Nickel Steel Chain"),OR('Assembly(b)'!D19="3500mm",'Assembly(b)'!D19="3500")),1,"")</f>
        <v/>
      </c>
      <c r="FR13" s="7" t="str">
        <f>IF(AND(OR('Job Sheet'!BF19="Nickel Steel",'Job Sheet'!BF19="Nickel Steel Chain"),OR('Assembly(b)'!D19="3750mm",'Assembly(b)'!D19="3750")),1,"")</f>
        <v/>
      </c>
      <c r="FS13" s="7" t="str">
        <f>IF(AND(OR('Job Sheet'!BF19="Nickel Steel",'Job Sheet'!BF19="Nickel Steel Chain"),OR('Assembly(b)'!D19="4000mm",'Assembly(b)'!D19="4000")),1,"")</f>
        <v/>
      </c>
      <c r="FT13" s="7" t="str">
        <f>IF(AND(OR('Job Sheet'!BF19="White",'Job Sheet'!BF19="White Chain"),OR('Assembly(b)'!D19="500mm",'Assembly(b)'!D19="500")),1,"")</f>
        <v/>
      </c>
      <c r="FU13" s="7" t="str">
        <f>IF(AND(OR('Job Sheet'!BF19="White",'Job Sheet'!BF19="White Chain"),OR('Assembly(b)'!D19="750mm",'Assembly(b)'!D19="750")),1,"")</f>
        <v/>
      </c>
      <c r="FV13" s="7" t="str">
        <f>IF(AND(OR('Job Sheet'!BF19="White",'Job Sheet'!BF19="White Chain"),OR('Assembly(b)'!D19="1000mm",'Assembly(b)'!D19="1000")),1,"")</f>
        <v/>
      </c>
      <c r="FW13" s="7" t="str">
        <f>IF(AND(OR('Job Sheet'!BF19="White",'Job Sheet'!BF19="White Chain"),OR('Assembly(b)'!D19="1250mm",'Assembly(b)'!D19="1250")),1,"")</f>
        <v/>
      </c>
      <c r="FX13" s="7" t="str">
        <f>IF(AND(OR('Job Sheet'!BF19="White",'Job Sheet'!BF19="White Chain"),OR('Assembly(b)'!D19="1500mm",'Assembly(b)'!D19="1500")),1,"")</f>
        <v/>
      </c>
      <c r="FY13" s="7" t="str">
        <f>IF(AND(OR('Job Sheet'!BF19="White",'Job Sheet'!BF19="White Chain"),OR('Assembly(b)'!D19="1750mm",'Assembly(b)'!D19="1750")),1,"")</f>
        <v/>
      </c>
      <c r="FZ13" s="7" t="str">
        <f>IF(AND(OR('Job Sheet'!BF19="White",'Job Sheet'!BF19="White Chain"),OR('Assembly(b)'!D19="2000mm",'Assembly(b)'!D19="2000")),1,"")</f>
        <v/>
      </c>
      <c r="GA13" s="7" t="str">
        <f>IF(AND(OR('Job Sheet'!BF19="White",'Job Sheet'!BF19="White Chain"),OR('Assembly(b)'!D19="2250mm",'Assembly(b)'!D19="2250")),1,"")</f>
        <v/>
      </c>
      <c r="GB13" s="7" t="str">
        <f>IF(AND(OR('Job Sheet'!BF19="White",'Job Sheet'!BF19="White Chain"),OR('Assembly(b)'!D19="2500mm",'Assembly(b)'!D19="2500")),1,"")</f>
        <v/>
      </c>
      <c r="GC13" s="7" t="str">
        <f>IF(AND(OR('Job Sheet'!BF19="White",'Job Sheet'!BF19="White Chain"),OR('Assembly(b)'!D19="2750mm",'Assembly(b)'!D19="2750")),1,"")</f>
        <v/>
      </c>
      <c r="GD13" s="7" t="str">
        <f>IF(AND(OR('Job Sheet'!BF19="White",'Job Sheet'!BF19="White Chain"),OR('Assembly(b)'!D19="3000mm",'Assembly(b)'!D19="3000")),1,"")</f>
        <v/>
      </c>
      <c r="GE13" s="7" t="str">
        <f>IF(AND(OR('Job Sheet'!BF19="White",'Job Sheet'!BF19="White Chain"),OR('Assembly(b)'!D19="3250mm",'Assembly(b)'!D19="3250")),1,"")</f>
        <v/>
      </c>
      <c r="GF13" s="7" t="str">
        <f>IF(AND(OR('Job Sheet'!BF19="White",'Job Sheet'!BF19="White Chain"),OR('Assembly(b)'!D19="3500mm",'Assembly(b)'!D19="3500")),1,"")</f>
        <v/>
      </c>
      <c r="GG13" s="7" t="str">
        <f>IF(AND(OR('Job Sheet'!BF19="White",'Job Sheet'!BF19="White Chain"),OR('Assembly(b)'!D19="3750mm",'Assembly(b)'!D19="3750")),1,"")</f>
        <v/>
      </c>
      <c r="GH13" s="7" t="str">
        <f>IF(AND(OR('Job Sheet'!BF19="White",'Job Sheet'!BF19="White Chain"),OR('Assembly(b)'!D19="4000mm",'Assembly(b)'!D19="4000")),1,"")</f>
        <v/>
      </c>
      <c r="GI13" s="7" t="str">
        <f>IF(AND(OR('Job Sheet'!BF19="Black",'Job Sheet'!BF19="Black Chain"),OR('Assembly(b)'!D19="500mm",'Assembly(b)'!D19="500")),1,"")</f>
        <v/>
      </c>
      <c r="GJ13" s="7" t="str">
        <f>IF(AND(OR('Job Sheet'!BF19="Black",'Job Sheet'!BF19="Black Chain"),OR('Assembly(b)'!D19="750mm",'Assembly(b)'!D19="750")),1,"")</f>
        <v/>
      </c>
      <c r="GK13" s="7" t="str">
        <f>IF(AND(OR('Job Sheet'!BF19="Black",'Job Sheet'!BF19="Black Chain"),OR('Assembly(b)'!D19="1000mm",'Assembly(b)'!D19="1000")),1,"")</f>
        <v/>
      </c>
      <c r="GL13" s="7" t="str">
        <f>IF(AND(OR('Job Sheet'!BF19="Black",'Job Sheet'!BF19="Black Chain"),OR('Assembly(b)'!D19="1250mm",'Assembly(b)'!D19="1250")),1,"")</f>
        <v/>
      </c>
      <c r="GM13" s="7" t="str">
        <f>IF(AND(OR('Job Sheet'!BF19="Black",'Job Sheet'!BF19="Black Chain"),OR('Assembly(b)'!D19="1500mm",'Assembly(b)'!D19="1500")),1,"")</f>
        <v/>
      </c>
      <c r="GN13" s="7" t="str">
        <f>IF(AND(OR('Job Sheet'!BF19="Black",'Job Sheet'!BF19="Black Chain"),OR('Assembly(b)'!D19="1750mm",'Assembly(b)'!D19="1750")),1,"")</f>
        <v/>
      </c>
      <c r="GO13" s="7" t="str">
        <f>IF(AND(OR('Job Sheet'!BF19="Black",'Job Sheet'!BF19="Black Chain"),OR('Assembly(b)'!D19="2000mm",'Assembly(b)'!D19="2000")),1,"")</f>
        <v/>
      </c>
      <c r="GP13" s="7" t="str">
        <f>IF(AND(OR('Job Sheet'!BF19="Black",'Job Sheet'!BF19="Black Chain"),OR('Assembly(b)'!D19="2250mm",'Assembly(b)'!D19="2250")),1,"")</f>
        <v/>
      </c>
      <c r="GQ13" s="7" t="str">
        <f>IF(AND(OR('Job Sheet'!BF19="Black",'Job Sheet'!BF19="Black Chain"),OR('Assembly(b)'!D19="2500mm",'Assembly(b)'!D19="2500")),1,"")</f>
        <v/>
      </c>
      <c r="GR13" s="7" t="str">
        <f>IF(AND(OR('Job Sheet'!BF19="Black",'Job Sheet'!BF19="Black Chain"),OR('Assembly(b)'!D19="2750mm",'Assembly(b)'!D19="2750")),1,"")</f>
        <v/>
      </c>
      <c r="GS13" s="7" t="str">
        <f>IF(AND(OR('Job Sheet'!BF19="Black",'Job Sheet'!BF19="Black Chain"),OR('Assembly(b)'!D19="3000mm",'Assembly(b)'!D19="3000")),1,"")</f>
        <v/>
      </c>
      <c r="GT13" s="7" t="str">
        <f>IF(AND(OR('Job Sheet'!BF19="Black",'Job Sheet'!BF19="Black Chain"),OR('Assembly(b)'!D19="3250mm",'Assembly(b)'!D19="3250")),1,"")</f>
        <v/>
      </c>
      <c r="GU13" s="7" t="str">
        <f>IF(AND(OR('Job Sheet'!BF19="Black",'Job Sheet'!BF19="Black Chain"),OR('Assembly(b)'!D19="3500mm",'Assembly(b)'!D19="3500")),1,"")</f>
        <v/>
      </c>
      <c r="GV13" s="7" t="str">
        <f>IF(AND(OR('Job Sheet'!BF19="Black",'Job Sheet'!BF19="Black Chain"),OR('Assembly(b)'!D19="3750mm",'Assembly(b)'!D19="3750")),1,"")</f>
        <v/>
      </c>
      <c r="GW13" s="7" t="str">
        <f>IF(AND(OR('Job Sheet'!BF19="Black",'Job Sheet'!BF19="Black Chain"),OR('Assembly(b)'!D19="4000mm",'Assembly(b)'!D19="4000")),1,"")</f>
        <v/>
      </c>
      <c r="GX13" s="7" t="str">
        <f>IF(AND(OR('Job Sheet'!BF19="Birch White",'Job Sheet'!BF19="Birch White Chain"),OR('Assembly(b)'!D19="500mm",'Assembly(b)'!D19="500")),1,"")</f>
        <v/>
      </c>
      <c r="GY13" s="7" t="str">
        <f>IF(AND(OR('Job Sheet'!BF19="Birch White",'Job Sheet'!BF19="Birch White Chain"),OR('Assembly(b)'!D19="750mm",'Assembly(b)'!D19="750")),1,"")</f>
        <v/>
      </c>
      <c r="GZ13" s="7" t="str">
        <f>IF(AND(OR('Job Sheet'!BF19="Birch White",'Job Sheet'!BF19="Birch White Chain"),OR('Assembly(b)'!D19="1000mm",'Assembly(b)'!D19="1000")),1,"")</f>
        <v/>
      </c>
      <c r="HA13" s="7" t="str">
        <f>IF(AND(OR('Job Sheet'!BF19="Birch White",'Job Sheet'!BF19="Birch White Chain"),OR('Assembly(b)'!D19="1250mm",'Assembly(b)'!D19="1250")),1,"")</f>
        <v/>
      </c>
      <c r="HB13" s="7" t="str">
        <f>IF(AND(OR('Job Sheet'!BF19="Birch White",'Job Sheet'!BF19="Birch White Chain"),OR('Assembly(b)'!D19="1500mm",'Assembly(b)'!D19="1500")),1,"")</f>
        <v/>
      </c>
      <c r="HC13" s="7" t="str">
        <f>IF(AND(OR('Job Sheet'!BF19="Birch White",'Job Sheet'!BF19="Birch White Chain"),OR('Assembly(b)'!D19="1750mm",'Assembly(b)'!D19="1750")),1,"")</f>
        <v/>
      </c>
      <c r="HD13" s="7" t="str">
        <f>IF(AND(OR('Job Sheet'!BF19="Birch White",'Job Sheet'!BF19="Birch White Chain"),OR('Assembly(b)'!D19="2000mm",'Assembly(b)'!D19="2000")),1,"")</f>
        <v/>
      </c>
      <c r="HE13" s="7" t="str">
        <f>IF(AND(OR('Job Sheet'!BF19="Birch White",'Job Sheet'!BF19="Birch White Chain"),OR('Assembly(b)'!D19="2250mm",'Assembly(b)'!D19="2250")),1,"")</f>
        <v/>
      </c>
      <c r="HF13" s="7" t="str">
        <f>IF(AND(OR('Job Sheet'!BF19="Birch White",'Job Sheet'!BF19="Birch White Chain"),OR('Assembly(b)'!D19="2500mm",'Assembly(b)'!D19="2500")),1,"")</f>
        <v/>
      </c>
      <c r="HG13" s="7" t="str">
        <f>IF(AND(OR('Job Sheet'!BF19="Birch White",'Job Sheet'!BF19="Birch White Chain"),OR('Assembly(b)'!D19="2750mm",'Assembly(b)'!D19="2750")),1,"")</f>
        <v/>
      </c>
      <c r="HH13" s="7" t="str">
        <f>IF(AND(OR('Job Sheet'!BF19="Birch White",'Job Sheet'!BF19="Birch White Chain"),OR('Assembly(b)'!D19="3000mm",'Assembly(b)'!D19="3000")),1,"")</f>
        <v/>
      </c>
      <c r="HI13" s="7" t="str">
        <f>IF(AND(OR('Job Sheet'!BF19="Birch White",'Job Sheet'!BF19="Birch White Chain"),OR('Assembly(b)'!D19="3250mm",'Assembly(b)'!D19="3250")),1,"")</f>
        <v/>
      </c>
      <c r="HJ13" s="7" t="str">
        <f>IF(AND(OR('Job Sheet'!BF19="Birch White",'Job Sheet'!BF19="Birch White Chain"),OR('Assembly(b)'!D19="3500mm",'Assembly(b)'!D19="3500")),1,"")</f>
        <v/>
      </c>
      <c r="HK13" s="7" t="str">
        <f>IF(AND(OR('Job Sheet'!BF19="Birch White",'Job Sheet'!BF19="Birch White Chain"),OR('Assembly(b)'!D19="3750mm",'Assembly(b)'!D19="3750")),1,"")</f>
        <v/>
      </c>
      <c r="HL13" s="7" t="str">
        <f>IF(AND(OR('Job Sheet'!BF19="Birch White",'Job Sheet'!BF19="Birch White Chain"),OR('Assembly(b)'!D19="4000mm",'Assembly(b)'!D19="4000")),1,"")</f>
        <v/>
      </c>
      <c r="HM13" s="7" t="str">
        <f>IF(AND(OR('Job Sheet'!BF19="Grey",'Job Sheet'!BF19="Grey Chain"),OR('Assembly(b)'!D19="500mm",'Assembly(b)'!D19="500")),1,"")</f>
        <v/>
      </c>
      <c r="HN13" s="7" t="str">
        <f>IF(AND(OR('Job Sheet'!BF19="Grey",'Job Sheet'!BF19="Grey Chain"),OR('Assembly(b)'!D19="750mm",'Assembly(b)'!D19="750")),1,"")</f>
        <v/>
      </c>
      <c r="HO13" s="7" t="str">
        <f>IF(AND(OR('Job Sheet'!BF19="Grey",'Job Sheet'!BF19="Grey Chain"),OR('Assembly(b)'!D19="1000mm",'Assembly(b)'!D19="1000")),1,"")</f>
        <v/>
      </c>
      <c r="HP13" s="7" t="str">
        <f>IF(AND(OR('Job Sheet'!BF19="Grey",'Job Sheet'!BF19="Grey Chain"),OR('Assembly(b)'!D19="1250mm",'Assembly(b)'!D19="1250")),1,"")</f>
        <v/>
      </c>
      <c r="HQ13" s="7" t="str">
        <f>IF(AND(OR('Job Sheet'!BF19="Grey",'Job Sheet'!BF19="Grey Chain"),OR('Assembly(b)'!D19="1500mm",'Assembly(b)'!D19="1500")),1,"")</f>
        <v/>
      </c>
      <c r="HR13" s="7" t="str">
        <f>IF(AND(OR('Job Sheet'!BF19="Grey",'Job Sheet'!BF19="Grey Chain"),OR('Assembly(b)'!D19="1750mm",'Assembly(b)'!D19="1750")),1,"")</f>
        <v/>
      </c>
      <c r="HS13" s="7" t="str">
        <f>IF(AND(OR('Job Sheet'!BF19="Grey",'Job Sheet'!BF19="Grey Chain"),OR('Assembly(b)'!D19="2000mm",'Assembly(b)'!D19="2000")),1,"")</f>
        <v/>
      </c>
      <c r="HT13" s="7" t="str">
        <f>IF(AND(OR('Job Sheet'!BF19="Grey",'Job Sheet'!BF19="Grey Chain"),OR('Assembly(b)'!D19="2250mm",'Assembly(b)'!D19="2250")),1,"")</f>
        <v/>
      </c>
      <c r="HU13" s="7" t="str">
        <f>IF(AND(OR('Job Sheet'!BF19="Grey",'Job Sheet'!BF19="Grey Chain"),OR('Assembly(b)'!D19="2500mm",'Assembly(b)'!D19="2500")),1,"")</f>
        <v/>
      </c>
      <c r="HV13" s="7" t="str">
        <f>IF(AND(OR('Job Sheet'!BF19="Grey",'Job Sheet'!BF19="Grey Chain"),OR('Assembly(b)'!D19="2750mm",'Assembly(b)'!D19="2750")),1,"")</f>
        <v/>
      </c>
      <c r="HW13" s="7" t="str">
        <f>IF(AND(OR('Job Sheet'!BF19="Grey",'Job Sheet'!BF19="Grey Chain"),OR('Assembly(b)'!D19="3000mm",'Assembly(b)'!D19="3000")),1,"")</f>
        <v/>
      </c>
      <c r="HX13" s="7" t="str">
        <f>IF(AND(OR('Job Sheet'!BF19="Grey",'Job Sheet'!BF19="Grey Chain"),OR('Assembly(b)'!D19="3250mm",'Assembly(b)'!D19="3250")),1,"")</f>
        <v/>
      </c>
      <c r="HY13" s="7" t="str">
        <f>IF(AND(OR('Job Sheet'!BF19="Grey",'Job Sheet'!BF19="Grey Chain"),OR('Assembly(b)'!D19="3500mm",'Assembly(b)'!D19="3500")),1,"")</f>
        <v/>
      </c>
      <c r="HZ13" s="7" t="str">
        <f>IF(AND(OR('Job Sheet'!BF19="Grey",'Job Sheet'!BF19="Grey Chain"),OR('Assembly(b)'!D19="3750mm",'Assembly(b)'!D19="3750")),1,"")</f>
        <v/>
      </c>
      <c r="IA13" s="7" t="str">
        <f>IF(AND(OR('Job Sheet'!BF19="Grey",'Job Sheet'!BF19="Grey Chain"),OR('Assembly(b)'!D19="4000mm",'Assembly(b)'!D19="4000")),1,"")</f>
        <v/>
      </c>
      <c r="IB13" s="7" t="str">
        <f>IF(AND(OR('Job Sheet'!BF19="Beige",'Job Sheet'!BF19="Beige Chain"),OR('Assembly(b)'!D19="500mm",'Assembly(b)'!D19="500")),1,"")</f>
        <v/>
      </c>
      <c r="IC13" s="7" t="str">
        <f>IF(AND(OR('Job Sheet'!BF19="Beige",'Job Sheet'!BF19="Beige Chain"),OR('Assembly(b)'!D19="750mm",'Assembly(b)'!D19="750")),1,"")</f>
        <v/>
      </c>
      <c r="ID13" s="7" t="str">
        <f>IF(AND(OR('Job Sheet'!BF19="Beige",'Job Sheet'!BF19="Beige Chain"),OR('Assembly(b)'!D19="1000mm",'Assembly(b)'!D19="1000")),1,"")</f>
        <v/>
      </c>
      <c r="IE13" s="7" t="str">
        <f>IF(AND(OR('Job Sheet'!BF19="Beige",'Job Sheet'!BF19="Beige Chain"),OR('Assembly(b)'!D19="1250mm",'Assembly(b)'!D19="1250")),1,"")</f>
        <v/>
      </c>
      <c r="IF13" s="7" t="str">
        <f>IF(AND(OR('Job Sheet'!BF19="Beige",'Job Sheet'!BF19="Beige Chain"),OR('Assembly(b)'!D19="1500mm",'Assembly(b)'!D19="1500")),1,"")</f>
        <v/>
      </c>
      <c r="IG13" s="7" t="str">
        <f>IF(AND(OR('Job Sheet'!BF19="Beige",'Job Sheet'!BF19="Beige Chain"),OR('Assembly(b)'!D19="1750mm",'Assembly(b)'!D19="1750")),1,"")</f>
        <v/>
      </c>
      <c r="IH13" s="7" t="str">
        <f>IF(AND(OR('Job Sheet'!BF19="Beige",'Job Sheet'!BF19="Beige Chain"),OR('Assembly(b)'!D19="2000mm",'Assembly(b)'!D19="2000")),1,"")</f>
        <v/>
      </c>
      <c r="II13" s="7" t="str">
        <f>IF(AND(OR('Job Sheet'!BF19="Beige",'Job Sheet'!BF19="Beige Chain"),OR('Assembly(b)'!D19="2250mm",'Assembly(b)'!D19="2250")),1,"")</f>
        <v/>
      </c>
      <c r="IJ13" s="7" t="str">
        <f>IF(AND(OR('Job Sheet'!BF19="Beige",'Job Sheet'!BF19="Beige Chain"),OR('Assembly(b)'!D19="2500mm",'Assembly(b)'!D19="2500")),1,"")</f>
        <v/>
      </c>
      <c r="IK13" s="7" t="str">
        <f>IF(AND(OR('Job Sheet'!BF19="Beige",'Job Sheet'!BF19="Beige Chain"),OR('Assembly(b)'!D19="2750mm",'Assembly(b)'!D19="2750")),1,"")</f>
        <v/>
      </c>
      <c r="IL13" s="7" t="str">
        <f>IF(AND(OR('Job Sheet'!BF19="Beige",'Job Sheet'!BF19="Beige Chain"),OR('Assembly(b)'!D19="3000mm",'Assembly(b)'!D19="3000")),1,"")</f>
        <v/>
      </c>
      <c r="IM13" s="7" t="str">
        <f>IF(AND(OR('Job Sheet'!BF19="Beige",'Job Sheet'!BF19="Beige Chain"),OR('Assembly(b)'!D19="3250mm",'Assembly(b)'!D19="3250")),1,"")</f>
        <v/>
      </c>
      <c r="IN13" s="7" t="str">
        <f>IF(AND(OR('Job Sheet'!BF19="Beige",'Job Sheet'!BF19="Beige Chain"),OR('Assembly(b)'!D19="3500mm",'Assembly(b)'!D19="3500")),1,"")</f>
        <v/>
      </c>
      <c r="IO13" s="7" t="str">
        <f>IF(AND(OR('Job Sheet'!BF19="Beige",'Job Sheet'!BF19="Beige Chain"),OR('Assembly(b)'!D19="3750mm",'Assembly(b)'!D19="3750")),1,"")</f>
        <v/>
      </c>
      <c r="IP13" s="7" t="str">
        <f>IF(AND(OR('Job Sheet'!BF19="Beige",'Job Sheet'!BF19="Beige Chain"),OR('Assembly(b)'!D19="4000mm",'Assembly(b)'!D19="4000")),1,"")</f>
        <v/>
      </c>
      <c r="IQ13" s="7" t="str">
        <f>IF(AND(OR('Job Sheet'!BF19="Stainless Steel",'Job Sheet'!BF19="Stainless Steel Chain"),OR('Assembly(b)'!D19="500mm",'Assembly(b)'!D19="500")),1,"")</f>
        <v/>
      </c>
      <c r="IR13" s="7" t="str">
        <f>IF(AND(OR('Job Sheet'!BF19="Stainless Steel",'Job Sheet'!BF19="Stainless Steel Chain"),OR('Assembly(b)'!D19="750mm",'Assembly(b)'!D19="750")),1,"")</f>
        <v/>
      </c>
      <c r="IS13" s="7" t="str">
        <f>IF(AND(OR('Job Sheet'!BF19="Stainless Steel",'Job Sheet'!BF19="Stainless Steel Chain"),OR('Assembly(b)'!D19="1000mm",'Assembly(b)'!D19="1000")),1,"")</f>
        <v/>
      </c>
      <c r="IT13" s="7" t="str">
        <f>IF(AND(OR('Job Sheet'!BF19="Stainless Steel",'Job Sheet'!BF19="Stainless Steel Chain"),OR('Assembly(b)'!D19="1250mm",'Assembly(b)'!D19="1250")),1,"")</f>
        <v/>
      </c>
      <c r="IU13" s="7" t="str">
        <f>IF(AND(OR('Job Sheet'!BF19="Stainless Steel",'Job Sheet'!BF19="Stainless Steel Chain"),OR('Assembly(b)'!D19="1500mm",'Assembly(b)'!D19="1500")),1,"")</f>
        <v/>
      </c>
      <c r="IV13" s="7" t="str">
        <f>IF(AND(OR('Job Sheet'!BF19="Stainless Steel",'Job Sheet'!BF19="Stainless Steel Chain"),OR('Assembly(b)'!D19="1750mm",'Assembly(b)'!D19="1750")),1,"")</f>
        <v/>
      </c>
      <c r="IW13" s="7" t="str">
        <f>IF(AND(OR('Job Sheet'!BF19="Stainless Steel",'Job Sheet'!BF19="Stainless Steel Chain"),OR('Assembly(b)'!D19="2000mm",'Assembly(b)'!D19="2000")),1,"")</f>
        <v/>
      </c>
      <c r="IX13" s="7" t="str">
        <f>IF(AND(OR('Job Sheet'!BF19="Stainless Steel",'Job Sheet'!BF19="Stainless Steel Chain"),OR('Assembly(b)'!D19="2250mm",'Assembly(b)'!D19="2250")),1,"")</f>
        <v/>
      </c>
      <c r="IY13" s="7" t="str">
        <f>IF(AND(OR('Job Sheet'!BF19="Stainless Steel",'Job Sheet'!BF19="Stainless Steel Chain"),OR('Assembly(b)'!D19="2500mm",'Assembly(b)'!D19="2500")),1,"")</f>
        <v/>
      </c>
      <c r="IZ13" s="7" t="str">
        <f>IF(AND(OR('Job Sheet'!BF19="Stainless Steel",'Job Sheet'!BF19="Stainless Steel Chain"),OR('Assembly(b)'!D19="2750mm",'Assembly(b)'!D19="2750")),1,"")</f>
        <v/>
      </c>
      <c r="JA13" s="7" t="str">
        <f>IF(AND(OR('Job Sheet'!BF19="Stainless Steel",'Job Sheet'!BF19="Stainless Steel Chain"),OR('Assembly(b)'!D19="3000mm",'Assembly(b)'!D19="3000")),1,"")</f>
        <v/>
      </c>
      <c r="JB13" s="7" t="str">
        <f>IF(AND(OR('Job Sheet'!BF19="Stainless Steel",'Job Sheet'!BF19="Stainless Steel Chain"),OR('Assembly(b)'!D19="3250mm",'Assembly(b)'!D19="3250")),1,"")</f>
        <v/>
      </c>
      <c r="JC13" s="7" t="str">
        <f>IF(AND(OR('Job Sheet'!BF19="Stainless Steel",'Job Sheet'!BF19="Stainless Steel Chain"),OR('Assembly(b)'!D19="3500mm",'Assembly(b)'!D19="3500")),1,"")</f>
        <v/>
      </c>
      <c r="JD13" s="7" t="str">
        <f>IF(AND(OR('Job Sheet'!BF19="Stainless Steel",'Job Sheet'!BF19="Stainless Steel Chain"),OR('Assembly(b)'!D19="3750mm",'Assembly(b)'!D19="3750")),1,"")</f>
        <v/>
      </c>
      <c r="JE13" s="7" t="str">
        <f>IF(AND(OR('Job Sheet'!BF19="Stainless Steel",'Job Sheet'!BF19="Stainless Steel Chain"),OR('Assembly(b)'!D19="4000mm",'Assembly(b)'!D19="4000")),1,"")</f>
        <v/>
      </c>
      <c r="JF13" s="7" t="str">
        <f>IF(AND('Assembly(b)'!I19="Yes - L",(OR('Tube Cutting'!C19="43mm",'Tube Cutting'!C19="43mm H/D"))),1,"")</f>
        <v/>
      </c>
      <c r="JG13" s="7" t="str">
        <f>IF(AND('Assembly(b)'!I19="Yes - R",(OR('Tube Cutting'!C19="43mm",'Tube Cutting'!C19="43mm H/D"))),1,"")</f>
        <v/>
      </c>
      <c r="JH13" s="7" t="str">
        <f>IF(AND('Assembly(b)'!I19="Yes - L",'Tube Cutting'!C19="60mm"),1,"")</f>
        <v/>
      </c>
      <c r="JI13" s="7" t="str">
        <f>IF(AND('Assembly(b)'!I19="Yes - R",'Tube Cutting'!C19="60mm"),1,"")</f>
        <v/>
      </c>
      <c r="JJ13" s="7" t="str">
        <f>IF(OR('Job Sheet'!BE19="Black",'Assembly(b)'!J19="N/A"),"",IF(OR('Assembly(b)'!J19="Motor - Female",'Assembly(b)'!J19="Motor - Female with Insert",'Assembly(b)'!J19="Female - Motor",'Assembly(b)'!J19="Chain Winder - Female",'Assembly(b)'!J19="Chain Winder - Female with Insert",'Assembly(b)'!J19="Female - Chain Winder",'Assembly(b)'!J19="Male - Female",'Assembly(b)'!J19="Female - Male",'Assembly(b)'!J19="Male - Female with Insert"),1,""))</f>
        <v/>
      </c>
      <c r="JK13" s="7" t="str">
        <f>IF(OR('Job Sheet'!BE19="White",'Assembly(b)'!J19="N/A"),"",IF(OR('Assembly(b)'!J19="Motor - Female",'Assembly(b)'!J19="Motor - Female with Insert",'Assembly(b)'!J19="Female - Motor",'Assembly(b)'!J19="Chain Winder - Female",'Assembly(b)'!J19="Chain Winder - Female with Insert",'Assembly(b)'!J19="Female - Chain Winder",'Assembly(b)'!J19="Male - Female",'Assembly(b)'!J19="Female - Male",'Assembly(b)'!J19="Male - Female with Insert"),1,""))</f>
        <v/>
      </c>
      <c r="JL13" s="7" t="str">
        <f>IF(OR('Job Sheet'!BE19="White",'Assembly(b)'!J19="N/A"),"",IF(OR('Assembly(b)'!J19="Motor - Male",'Assembly(b)'!J19="Male - Motor",'Assembly(b)'!J19="Chain Winder - Male",'Assembly(b)'!J19="Male - Chain Winder",'Assembly(b)'!J19="Male - Female",'Assembly(b)'!J19="Female - Male",'Assembly(b)'!J19="Male - Idle",'Assembly(b)'!J19="Idle - Male"),1,""))</f>
        <v/>
      </c>
      <c r="JM13" s="7" t="str">
        <f>IF(OR('Job Sheet'!BE19="White",'Job Sheet'!BE19="Birch White",'Job Sheet'!BE19="Grey",'Job Sheet'!BE19="Beige",'Assembly(b)'!J19="N/A"),"",IF(OR('Assembly(b)'!J19="Motor - Male",'Assembly(b)'!J19="Male - Motor",'Assembly(b)'!J19="Chain Winder - Male",'Assembly(b)'!J19="Male - Chain Winder",'Assembly(b)'!J19="Male - Female",'Assembly(b)'!J19="Female - Male",'Assembly(b)'!J19="Male - Idle",'Assembly(b)'!J19="Idle - Male"),1,""))</f>
        <v/>
      </c>
      <c r="JN13" s="7" t="str">
        <f>IF(OR('Job Sheet'!BE19="Black",'Assembly(b)'!J19="N/A"),"",IF(OR('Assembly(b)'!J19="Motor - 60mm Female",'Assembly(b)'!J19="60mm Female - Motor",'Assembly(b)'!J19="Chain Winder - 60mm Female",'Assembly(b)'!J19="60mm Female - Chain Winder",'Assembly(b)'!J19="60mm Male - 60mm Female",'Assembly(b)'!J19="60mm Female - 60mm Male"),1,""))</f>
        <v/>
      </c>
      <c r="JO13" s="7" t="str">
        <f>IF(OR('Job Sheet'!BE19="White",'Assembly(b)'!J19="N/A"),"",IF(OR('Assembly(b)'!J19="Motor - 60mm Female",'Assembly(b)'!J19="60mm Female - Motor",'Assembly(b)'!J19="Chain Winder - 60mm Female",'Assembly(b)'!J19="60mm Female - Chain Winder",'Assembly(b)'!J19="60mm Male - 60mm Female",'Assembly(b)'!J19="60mm Female - 60mm Male"),1,""))</f>
        <v/>
      </c>
      <c r="JP13" s="7" t="str">
        <f>IF(OR('Job Sheet'!BE19="Black",'Assembly(b)'!J19="N/A"),"",IF(OR('Assembly(b)'!J19="Motor - 60mm Male",'Assembly(b)'!J19="60mm Male - Motor",'Assembly(b)'!J19="Chain Winder - 60mm Male",'Assembly(b)'!J19="60mm Male - Chain Winder",'Assembly(b)'!J19="60mm Male - 60mm Female",'Assembly(b)'!J19="60mm Female - 60mm Male"),1,""))</f>
        <v/>
      </c>
      <c r="JQ13" s="7" t="str">
        <f>IF(OR('Job Sheet'!BE19="White",'Assembly(b)'!J19="N/A"),"",IF(OR('Assembly(b)'!J19="Motor - 60mm Male",'Assembly(b)'!J19="60mm Male - Motor",'Assembly(b)'!J19="Chain Winder - 60mm Male",'Assembly(b)'!J19="60mm Male - Chain Winder",'Assembly(b)'!J19="60mm Male - 60mm Female",'Assembly(b)'!J19="60mm Female - 60mm Male"),1,""))</f>
        <v/>
      </c>
      <c r="JR13" s="7" t="str">
        <f>IF('Assembly(b)'!F19="Standard Spring",1,"")</f>
        <v/>
      </c>
      <c r="JS13" s="7" t="str">
        <f>IF('Assembly(b)'!F19="Small Spring",1,"")</f>
        <v/>
      </c>
      <c r="JT13" s="7" t="str">
        <f>IF(D13="","",IF(OR(SUM(R13:V13)=0,'Tube Cutting'!E19="Bottom Rail in Pocket"),"",SUM(R13:V13)))</f>
        <v/>
      </c>
      <c r="JU13" s="7" t="str">
        <f>IF('Job Sheet'!BE19="Silver Pull Ring",1,"")</f>
        <v/>
      </c>
      <c r="JV13" s="7" t="str">
        <f>IF('Job Sheet'!BE19="Gold Pull Ring",1,"")</f>
        <v/>
      </c>
      <c r="JW13" s="7" t="str">
        <f>IF(AND('Job Sheet'!BE19="White",'Assembly(b)'!E19="60mm"),1,"")</f>
        <v/>
      </c>
      <c r="JX13" s="7" t="str">
        <f>IF(AND('Job Sheet'!BE19="Black",'Assembly(b)'!E19="60mm"),1,"")</f>
        <v/>
      </c>
      <c r="JY13" s="7" t="str">
        <f>IF(AND(OR('Assembly(b)'!G19="White",'Assembly(b)'!J19="N/A"),(OR(AND('Assembly(b)'!F19="Chain Winder",'Assembly(b)'!E19="60mm"),'Job Sheet'!AR19="Acmeda External Motor",'Job Sheet'!AR19="Somfy External CBUS Motor",'Job Sheet'!AR19="Somfy External Remote Motor"))),1,IF(AND('Assembly(b)'!G19="White",(OR('Assembly(b)'!J19="60mm Male - 60mm Idle",'Assembly(b)'!J19="60mm Idle - 60mm Male"))),1,""))</f>
        <v/>
      </c>
      <c r="JZ13" s="7" t="str">
        <f>IF(AND(OR('Assembly(b)'!G19="Black",'Assembly(b)'!J19="N/A"),(OR(AND('Assembly(b)'!F19="Chain Winder",'Assembly(b)'!E19="60mm"),'Job Sheet'!AR19="Acmeda External Motor",'Job Sheet'!AR19="Somfy External CBUS Motor",'Job Sheet'!AR19="Somfy External Remote Motor"))),1,IF(AND('Assembly(b)'!G19="Black",(OR('Assembly(b)'!J19="60mm Male - 60mm Idle",'Assembly(b)'!J19="60mm Idle - 60mm Male"))),1,""))</f>
        <v/>
      </c>
      <c r="KA13" s="7" t="str">
        <f t="shared" si="3"/>
        <v/>
      </c>
      <c r="KB13" s="7" t="str">
        <f t="shared" si="4"/>
        <v/>
      </c>
      <c r="KC13" s="7" t="str">
        <f>IF('Tube Cutting'!J19&lt;&gt;"Zipscreen Hooding",JW13,"")</f>
        <v/>
      </c>
      <c r="KD13" s="7" t="str">
        <f>IF('Tube Cutting'!J19&lt;&gt;"Zipscreen Hooding",JX13,"")</f>
        <v/>
      </c>
      <c r="KE13" s="7" t="str">
        <f t="shared" si="5"/>
        <v/>
      </c>
      <c r="KF13" s="7" t="str">
        <f t="shared" si="6"/>
        <v/>
      </c>
      <c r="KG13" s="7" t="str">
        <f>IF(D13="","",IF(OR(Bagging!F19="Yes - Attach",Bagging!F19="Yes"),1,""))</f>
        <v/>
      </c>
      <c r="KH13" s="7" t="str">
        <f t="shared" si="7"/>
        <v/>
      </c>
      <c r="KI13" s="7" t="str">
        <f>IF('Assembly(b)'!F19="Acmeda E6 Motor",1,"")</f>
        <v/>
      </c>
      <c r="KJ13" s="7" t="str">
        <f>IF('Assembly(b)'!F19="Acmeda M6 Motor",1,"")</f>
        <v/>
      </c>
      <c r="KK13" s="7" t="str">
        <f>IF('Assembly(b)'!F19="0.7nm 12v Acmeda Motor",1,"")</f>
        <v/>
      </c>
      <c r="KL13" s="7" t="str">
        <f>IF('Assembly(b)'!F19="1.1nm 12v Acmeda Motor",1,"")</f>
        <v/>
      </c>
      <c r="KM13" s="7" t="str">
        <f>IF('Assembly(b)'!F19="2nm 12v Acmeda Motor",1,"")</f>
        <v/>
      </c>
      <c r="KN13" s="7" t="str">
        <f>IF('Assembly(b)'!F19="Acmeda 12v 6nm Motor",1,"")</f>
        <v/>
      </c>
      <c r="KO13" s="7" t="str">
        <f>IF('Assembly(b)'!F19="Acmeda 10nm 12v Motor",1,"")</f>
        <v/>
      </c>
      <c r="KP13" s="7" t="str">
        <f>IF('Assembly(b)'!F19="Acmeda FT 15Nm Motor",1,"")</f>
        <v/>
      </c>
      <c r="KQ13" s="7" t="str">
        <f>IF('Assembly(b)'!F19="1.1nm 12v Acmeda DCRF Motor",1,"")</f>
        <v/>
      </c>
      <c r="KR13" s="7" t="str">
        <f>IF('Assembly(b)'!F19="2nm 12v Acmeda DCRF Motor",1,"")</f>
        <v/>
      </c>
      <c r="KS13" s="7" t="str">
        <f>IF('Assembly(b)'!F19="Sonesse 40 RTS 3/30 with Inline Connector Motor",1,"")</f>
        <v/>
      </c>
      <c r="KT13" s="7" t="str">
        <f>IF('Assembly(b)'!F19="Sonesse 40 WT 3/30 with Inline Connector Motor",1,"")</f>
        <v/>
      </c>
      <c r="KU13" s="7" t="str">
        <f>IF('Assembly(b)'!F19="Somfy 12v Remote Sonesse Motor",1,"")</f>
        <v/>
      </c>
      <c r="KV13" s="7" t="str">
        <f>IF('Assembly(b)'!F19="Sonesse 50 RTS 6/17 RH Motor",1,"")</f>
        <v/>
      </c>
      <c r="KW13" s="7" t="str">
        <f>IF('Assembly(b)'!F19="Sonesse 50 WT 10/28 Motor",1,"")</f>
        <v/>
      </c>
      <c r="KX13" s="7" t="str">
        <f>IF('Assembly(b)'!F19="Becker P4-30-C12A Motor",1,"")</f>
        <v/>
      </c>
      <c r="KY13" s="7" t="str">
        <f>IF('Assembly(b)'!F19="Becker cBus Motor",1,"")</f>
        <v/>
      </c>
      <c r="KZ13" s="7" t="str">
        <f>IF('Assembly(b)'!F19="Becker R20-17-C12A Motor",1,"")</f>
        <v/>
      </c>
      <c r="LA13" s="7" t="str">
        <f>IF('Assembly(b)'!F19="Becker cBus Motor",1,"")</f>
        <v/>
      </c>
      <c r="LB13" s="7" t="str">
        <f t="shared" si="57"/>
        <v/>
      </c>
      <c r="LC13" s="7" t="str">
        <f t="shared" si="58"/>
        <v/>
      </c>
      <c r="LD13" s="7" t="str">
        <f t="shared" si="59"/>
        <v/>
      </c>
      <c r="LE13" s="7" t="str">
        <f t="shared" si="60"/>
        <v/>
      </c>
      <c r="LF13" s="7" t="str">
        <f t="shared" si="12"/>
        <v/>
      </c>
      <c r="LG13" s="7" t="str">
        <f t="shared" si="13"/>
        <v/>
      </c>
      <c r="LH13" s="7" t="str">
        <f>IF(KO13="","",IF(OR('Tube Cutting'!C19="60mm",'Tube Cutting'!C19="80mm"),SUM(KO13,KP13),""))</f>
        <v/>
      </c>
      <c r="LI13" s="7" t="str">
        <f t="shared" si="61"/>
        <v/>
      </c>
      <c r="LJ13" s="7" t="str">
        <f t="shared" si="62"/>
        <v/>
      </c>
      <c r="LK13" s="7" t="str">
        <f t="shared" si="16"/>
        <v/>
      </c>
      <c r="LL13" s="7" t="str">
        <f t="shared" si="17"/>
        <v/>
      </c>
      <c r="LM13" s="7" t="str">
        <f t="shared" si="18"/>
        <v/>
      </c>
      <c r="LN13" s="7" t="str">
        <f t="shared" si="19"/>
        <v/>
      </c>
      <c r="LO13" s="7" t="str">
        <f t="shared" si="63"/>
        <v/>
      </c>
      <c r="LP13" s="7" t="str">
        <f>IF(AND(KP13=1,'Job Sheet'!BE19="Black"),1,"")</f>
        <v/>
      </c>
      <c r="LQ13" s="7" t="str">
        <f>IF(AND(KP13=1,'Job Sheet'!BE19="White"),1,"")</f>
        <v/>
      </c>
      <c r="LR13" s="7" t="str">
        <f t="shared" si="21"/>
        <v/>
      </c>
      <c r="LS13" s="7" t="str">
        <f t="shared" si="64"/>
        <v/>
      </c>
      <c r="LT13" s="7" t="str">
        <f t="shared" si="65"/>
        <v/>
      </c>
      <c r="LU13" s="7" t="str">
        <f t="shared" si="66"/>
        <v/>
      </c>
      <c r="LV13" s="7" t="str">
        <f t="shared" si="67"/>
        <v/>
      </c>
      <c r="LW13" s="7" t="str">
        <f>IF(OR('Tube Cutting'!C19="60mm",'Tube Cutting'!C19="80mm"),SUM(KV13,KW13),"")</f>
        <v/>
      </c>
      <c r="LX13" s="7" t="str">
        <f t="shared" si="68"/>
        <v/>
      </c>
      <c r="LY13" s="7" t="str">
        <f t="shared" si="69"/>
        <v/>
      </c>
      <c r="LZ13" s="7" t="str">
        <f t="shared" si="70"/>
        <v/>
      </c>
      <c r="MA13" s="7" t="str">
        <f t="shared" si="71"/>
        <v/>
      </c>
      <c r="MB13" s="7" t="str">
        <f t="shared" si="72"/>
        <v/>
      </c>
      <c r="MC13" s="7" t="str">
        <f t="shared" si="73"/>
        <v/>
      </c>
      <c r="MD13" s="7" t="str">
        <f t="shared" si="74"/>
        <v/>
      </c>
      <c r="ME13" s="7" t="str">
        <f t="shared" si="75"/>
        <v/>
      </c>
      <c r="MF13" s="7" t="str">
        <f>IF('Job Sheet'!N19="Pulse Pro Automation Hub",1,"")</f>
        <v/>
      </c>
      <c r="MG13" s="7" t="str">
        <f>IF('Job Sheet'!N19="Solar Panel",1,"")</f>
        <v/>
      </c>
      <c r="MH13" s="7" t="str">
        <f>IF(AND('Job Sheet'!N19="12v Wall Charger with 4m USB Cable",KN13="",KO13=""),1,"")</f>
        <v/>
      </c>
      <c r="MI13" s="7" t="str">
        <f>IF(Bagging!I19="12v Wall Charger with Cable to suit 3nm Motor",1,"")</f>
        <v/>
      </c>
      <c r="MJ13" s="7" t="str">
        <f t="array" ref="MJ13">IF(OR('Job Sheet'!N19="210mm Extension Charging Cable",AND(bpLOOKUP(Data!$AV19,"CONTROLS",CustOrdOpt,6,FALSE)="Acmeda 12v Motor",OL13=1)),1,"")</f>
        <v/>
      </c>
      <c r="MK13" s="7" t="str">
        <f>IF('Job Sheet'!N19="1200mm Extension Charging Cable",1,"")</f>
        <v/>
      </c>
      <c r="ML13" s="7" t="str">
        <f>IF('Job Sheet'!N19="1 Channel Dry Contact Relay Module",1,"")</f>
        <v/>
      </c>
      <c r="MM13" s="7" t="str">
        <f>IF('Job Sheet'!N19="USB Repeater",1,"")</f>
        <v/>
      </c>
      <c r="MN13" s="7" t="str">
        <f>IF(OR('Assembly(b)'!F19="1.1nm 12v Acmeda DCRF Motor",'Assembly(b)'!F19="2nm 12v Acmeda DCRF Motor"),1,"")</f>
        <v/>
      </c>
      <c r="MO13" s="7" t="str">
        <f>IF('Job Sheet'!N19="DC Panel",1,"")</f>
        <v/>
      </c>
      <c r="MP13" s="7" t="str">
        <f t="array" ref="MP13">IF(AND(bpLOOKUP(Data!$AV19,"CONTROLS",CustOrdOpt,6,FALSE)="Acmeda 12v Motor",Bagging!G19="White"),1,"")</f>
        <v/>
      </c>
      <c r="MQ13" s="7" t="str">
        <f t="array" ref="MQ13">IF(AND(bpLOOKUP(Data!$AV19,"CONTROLS",CustOrdOpt,6,FALSE)="Acmeda 12v Motor",Bagging!G19="Black"),1,"")</f>
        <v/>
      </c>
      <c r="MR13" s="7" t="str">
        <f>IF('Job Sheet'!R19="Acmeda 1 Channel White Remote",1,"")</f>
        <v/>
      </c>
      <c r="MS13" s="7" t="str">
        <f>IF('Job Sheet'!R19="Acmeda 1 Channel Black Remote",1,"")</f>
        <v/>
      </c>
      <c r="MT13" s="7" t="str">
        <f>IF('Job Sheet'!R19="Acmeda 5 Channel White Remote",1,"")</f>
        <v/>
      </c>
      <c r="MU13" s="7" t="str">
        <f>IF('Job Sheet'!R19="Acmeda 5 Channel Black Remote",1,"")</f>
        <v/>
      </c>
      <c r="MV13" s="7" t="str">
        <f>IF('Job Sheet'!R19="Acmeda 15 Channel White Remote",1,"")</f>
        <v/>
      </c>
      <c r="MW13" s="7" t="str">
        <f>IF('Job Sheet'!R19="Acmeda 15 Channel Black Remote",1,"")</f>
        <v/>
      </c>
      <c r="MX13" s="7" t="str">
        <f>IF('Job Sheet'!R19="Acmeda Wall Mounted Single Channel White Remote",1,"")</f>
        <v/>
      </c>
      <c r="MY13" s="7" t="str">
        <f>IF('Job Sheet'!R19="Acmeda Wall Mounted 2 Channel White Remote",1,"")</f>
        <v/>
      </c>
      <c r="MZ13" s="7" t="str">
        <f>IF('Job Sheet'!R19="Acmeda Wall Mounted 5 Channel White Remote",1,"")</f>
        <v/>
      </c>
      <c r="NA13" s="7" t="str">
        <f>IF('Job Sheet'!R19="Acmeda Wall Mounted 15 Channel White Remote",1,"")</f>
        <v/>
      </c>
      <c r="NB13" s="7" t="str">
        <f>IF('Job Sheet'!R19="Acmeda Push Pro White Remote","1","")</f>
        <v/>
      </c>
      <c r="NC13" s="7" t="str">
        <f>IF('Job Sheet'!R19="Acmeda Push Pro Black Remote","1","")</f>
        <v/>
      </c>
      <c r="ND13" s="7" t="str">
        <f>IF(OR('Job Sheet'!R19="Acmeda Push Pro White Remote with Charger",'Job Sheet'!R19="Acmeda Push Pro Black Remote with Charger"),1,"")</f>
        <v/>
      </c>
      <c r="NE13" s="7" t="str">
        <f t="shared" si="34"/>
        <v/>
      </c>
      <c r="NF13" s="7" t="str">
        <f>IF('Job Sheet'!R19="Somfy Single Channel White Remote",1,"")</f>
        <v/>
      </c>
      <c r="NG13" s="7" t="str">
        <f>IF('Job Sheet'!R19="Somfy Single Channel Silver Remote",1,"")</f>
        <v/>
      </c>
      <c r="NH13" s="7" t="str">
        <f>IF('Job Sheet'!R19="Somfy 2 Channel White Remote",1,"")</f>
        <v/>
      </c>
      <c r="NI13" s="7" t="str">
        <f>IF('Job Sheet'!R19="Somfy 2 Channel Silver Remote",1,"")</f>
        <v/>
      </c>
      <c r="NJ13" s="7" t="str">
        <f>IF('Job Sheet'!R19="Somfy 5 Channel White Remote",1,"")</f>
        <v/>
      </c>
      <c r="NK13" s="7" t="str">
        <f>IF('Job Sheet'!R19="Somfy 5 Channel Silver Remote",1,"")</f>
        <v/>
      </c>
      <c r="NL13" s="7" t="str">
        <f>IF('Job Sheet'!R19="Somfy 15 Channel White Remote",1,"")</f>
        <v/>
      </c>
      <c r="NM13" s="7" t="str">
        <f>IF('Job Sheet'!R19="Somfy 15 Channel Black Remote",1,"")</f>
        <v/>
      </c>
      <c r="NN13" s="7" t="str">
        <f>IF(OR('Job Sheet'!R19="Somfy Single Channel Wall Mounted Smoove Remote White",'Job Sheet'!R19="Somfy Single Channel Wall Mounted Smoove Remote White with Black Cover Plate",'Job Sheet'!R19="Somfy Single Channel Wall Mounted Smoove Remote White with Silver Cover Plate"),1,"")</f>
        <v/>
      </c>
      <c r="NO13" s="7" t="str">
        <f>IF(OR('Job Sheet'!R19="Somfy 2 Channel Wall Mounted Smoove Remote White",'Job Sheet'!R19="Somfy 2 Channel Wall Mounted Smoove Remote White with Black Cover Plate",'Job Sheet'!R19="Somfy 2 Channel Wall Mounted Smoove Remote White with Silver Cover Plate"),1,"")</f>
        <v/>
      </c>
      <c r="NP13" s="7" t="str">
        <f>IF(OR('Job Sheet'!R19="Somfy 5 Channel Wall Mounted Smoove Remote White",'Job Sheet'!R19="Somfy 5 Channel Wall Mounted Smoove Remote White with Black Cover Plate",'Job Sheet'!R19="Somfy 5 Channel Wall Mounted Smoove Remote White with Silver Cover Plate"),1,"")</f>
        <v/>
      </c>
      <c r="NQ13" s="7" t="str">
        <f>IF(OR('Job Sheet'!R19="Somfy Single Channel Wall Mounted Smoove Remote White with Black Cover Plate",'Job Sheet'!R19="Somfy 2 Channel Wall Mounted Smoove Remote White with Black Cover Plate",'Job Sheet'!R19="Somfy 5 Channel Wall Mounted Smoove Remote White with Black Cover Plate"),1,"")</f>
        <v/>
      </c>
      <c r="NR13" s="7" t="str">
        <f>IF(OR('Job Sheet'!R19="Somfy Single Channel Wall Mounted Smoove Remote White with Silver Cover Plate",'Job Sheet'!R19="Somfy 2 Channel Wall Mounted Smoove Remote White with Silver Cover Plate",'Job Sheet'!R19="Somfy 5 Channel Wall Mounted Smoove Remote White with Silver Cover Plate"),1,"")</f>
        <v/>
      </c>
      <c r="NS13" s="7" t="str">
        <f>IF(Bagging!I19="Charging Cable",1,"")</f>
        <v/>
      </c>
      <c r="NT13" s="7" t="str">
        <f>IF('Job Sheet'!N19="Connexoon App Connector",1,"")</f>
        <v/>
      </c>
      <c r="NU13" s="7" t="str">
        <f>IF('Job Sheet'!R19="Becker Single Channel White Remote",1,"")</f>
        <v/>
      </c>
      <c r="NV13" s="7" t="str">
        <f>IF('Job Sheet'!R19="Becker Single Channel Black Remote",1,"")</f>
        <v/>
      </c>
      <c r="NW13" s="7" t="str">
        <f>IF('Job Sheet'!R19="Becker 5 Channel White Remote",1,"")</f>
        <v/>
      </c>
      <c r="NX13" s="7" t="str">
        <f>IF('Job Sheet'!R19="Becker 5 Channel Black Remote",1,"")</f>
        <v/>
      </c>
      <c r="NY13" s="7" t="str">
        <f>IF('Job Sheet'!R19="Becker 10 Channel White Remote",1,"")</f>
        <v/>
      </c>
      <c r="NZ13" s="7" t="str">
        <f>IF('Job Sheet'!R19="Becker 10 Channel Black Remote",1,"")</f>
        <v/>
      </c>
      <c r="OA13" s="7" t="str">
        <f>IF('Job Sheet'!R19="Becker Wall Mounted Single Channel White Remote",1,"")</f>
        <v/>
      </c>
      <c r="OB13" s="7" t="str">
        <f>IF('Job Sheet'!R19="Becker Wall Mounted 5 Channel White Remote",1,"")</f>
        <v/>
      </c>
      <c r="OC13" s="7" t="str">
        <f>IF('Job Sheet'!R19="Wall Switch",1,"")</f>
        <v/>
      </c>
      <c r="OD13" s="7" t="str">
        <f t="shared" si="76"/>
        <v/>
      </c>
      <c r="OE13" s="7" t="str">
        <f t="shared" si="77"/>
        <v/>
      </c>
      <c r="OF13" s="7" t="str">
        <f t="shared" si="78"/>
        <v/>
      </c>
      <c r="OG13" s="7" t="str">
        <f t="shared" si="79"/>
        <v/>
      </c>
      <c r="OH13" s="7" t="str">
        <f t="shared" si="80"/>
        <v/>
      </c>
      <c r="OI13" s="7" t="str">
        <f t="shared" si="81"/>
        <v/>
      </c>
      <c r="OJ13" s="7" t="str">
        <f t="shared" si="82"/>
        <v/>
      </c>
      <c r="OK13" s="7" t="str">
        <f t="shared" si="83"/>
        <v/>
      </c>
      <c r="OL13" s="7" t="str">
        <f t="shared" si="36"/>
        <v/>
      </c>
      <c r="OM13" s="7" t="str">
        <f>IF(AND(OR('Tube Cutting'!J19="Square Cassette",'Tube Cutting'!J19="Square Cassette with Side Channels",'Tube Cutting'!J19="Square Cassette with Side &amp; Bottom Channels"),'Job Sheet'!L19="Chain Winder",'Job Sheet'!M19="Left"),1,"")</f>
        <v/>
      </c>
      <c r="ON13" s="7" t="str">
        <f>IF(AND(OR('Tube Cutting'!J19="Square Cassette",'Tube Cutting'!J19="Square Cassette with Side Channels",'Tube Cutting'!J19="Square Cassette with Side &amp; Bottom Channels"),'Job Sheet'!L19="Chain Winder",'Job Sheet'!M19="Right"),1,"")</f>
        <v/>
      </c>
      <c r="OO13" s="7" t="str">
        <f>IF(AND(OR('Tube Cutting'!J19="Round Cassette",'Tube Cutting'!J19="Round Cassette with Side Channels",'Tube Cutting'!J19="Round Cassette with Side &amp; Bottom Channels"),'Job Sheet'!L19="Chain Winder",'Job Sheet'!M19="Left"),1,"")</f>
        <v/>
      </c>
      <c r="OP13" s="7" t="str">
        <f>IF(AND(OR('Tube Cutting'!J19="Round Cassette",'Tube Cutting'!J19="Round Cassette with Side Channels",'Tube Cutting'!J19="Round Cassette with Side &amp; Bottom Channels"),'Job Sheet'!L19="Chain Winder",'Job Sheet'!M19="Right"),1,"")</f>
        <v/>
      </c>
      <c r="OQ13" s="7" t="str">
        <f>IF('Tube Cutting'!E19="D30 Bottom Rail with Noise Reducing Strip &amp; Fluffy Strip",'Tube Cutting'!D19,"")</f>
        <v/>
      </c>
      <c r="OR13" s="7" t="str">
        <f>Pelmets!L19</f>
        <v/>
      </c>
      <c r="OS13" s="7" t="str">
        <f>Pelmets!M19</f>
        <v/>
      </c>
      <c r="OT13" s="7" t="str">
        <f t="shared" si="37"/>
        <v/>
      </c>
      <c r="OU13" s="7" t="str">
        <f t="shared" si="38"/>
        <v/>
      </c>
      <c r="OV13" s="7" t="str">
        <f t="shared" si="39"/>
        <v/>
      </c>
      <c r="OW13" s="7" t="str">
        <f t="shared" si="40"/>
        <v/>
      </c>
      <c r="OX13" s="7" t="str">
        <f t="shared" si="41"/>
        <v/>
      </c>
      <c r="OY13" s="7" t="str">
        <f t="shared" si="42"/>
        <v/>
      </c>
      <c r="OZ13" s="7" t="str">
        <f t="shared" si="43"/>
        <v/>
      </c>
      <c r="PA13" s="7" t="str">
        <f t="shared" si="44"/>
        <v/>
      </c>
      <c r="PB13" s="7" t="str">
        <f>IF(AND('Job Sheet'!J19="Reveal",OR('Tube Cutting'!J19="Aluminium Valance",'Tube Cutting'!J19="Aluminium Valance - Fabric Covered")),VLOOKUP('Job Sheet'!G19,PelmetBrackets,2,TRUE),"")</f>
        <v/>
      </c>
      <c r="PC13" s="7" t="str">
        <f>IF(Pelmets!F19="1 x Valance Centre Join Bracket",1,"")</f>
        <v/>
      </c>
      <c r="PD13" s="7" t="str">
        <f>IF(AND(Pelmets!H19="Black",(OR('Tube Cutting'!J19="Aluminium Valance",'Tube Cutting'!J19="Aluminium Valance - Fabric Covered"))),1,"")</f>
        <v/>
      </c>
      <c r="PE13" s="7" t="str">
        <f>IF(AND(Pelmets!H19="White",(OR('Tube Cutting'!J19="Aluminium Valance",'Tube Cutting'!J19="Aluminium Valance - Fabric Covered"))),1,"")</f>
        <v/>
      </c>
      <c r="PF13" s="7" t="str">
        <f>IF(AND(Pelmets!H19="Cream",(OR('Tube Cutting'!J19="Aluminium Valance",'Tube Cutting'!J19="Aluminium Valance - Fabric Covered"))),1,"")</f>
        <v/>
      </c>
      <c r="PG13" s="7" t="str">
        <f>IF(AND(Pelmets!H19="Grey",(OR('Tube Cutting'!J19="Aluminium Valance",'Tube Cutting'!J19="Aluminium Valance - Fabric Covered"))),1,"")</f>
        <v/>
      </c>
      <c r="PH13" s="7" t="str">
        <f>IF('Job Sheet'!AA19="Aluminium Valance - Fabric Covered",AY13,"")</f>
        <v/>
      </c>
      <c r="PI13" s="7" t="str">
        <f t="shared" si="45"/>
        <v/>
      </c>
      <c r="PJ13" s="7" t="str">
        <f t="shared" si="46"/>
        <v/>
      </c>
      <c r="PK13" s="7" t="str">
        <f t="shared" si="47"/>
        <v/>
      </c>
      <c r="PL13" s="7" t="str">
        <f t="shared" si="48"/>
        <v/>
      </c>
      <c r="PM13" s="7" t="str">
        <f>IF('Tube Cutting'!J19="Aluminium Pelmet",Pelmets!F19,"")</f>
        <v/>
      </c>
      <c r="PN13" s="7" t="str">
        <f>IF('Job Sheet'!AA19="Mounting Rail",VLOOKUP('Job Sheet'!G19,PelmetBrackets,2,TRUE),"")</f>
        <v/>
      </c>
      <c r="PO13" s="7" t="str">
        <f>IF('Job Sheet'!AA19="Mounting Rail",4,"")</f>
        <v/>
      </c>
      <c r="PP13" s="7" t="str">
        <f>IF('Tube Cutting'!J19="Zipscreen Hooding",1,"")</f>
        <v/>
      </c>
      <c r="PQ13" s="7" t="str">
        <f>IF(AND(PP13=1,'Job Sheet'!AB19="White"),1,"")</f>
        <v/>
      </c>
      <c r="PR13" s="7" t="str">
        <f>IF(AND(PP13=1,'Job Sheet'!AB19="Black"),1,"")</f>
        <v/>
      </c>
      <c r="PS13" s="7" t="str">
        <f>IF(AND(PP13=1,'Job Sheet'!AB19="Grey"),1,"")</f>
        <v/>
      </c>
      <c r="PT13" s="7" t="str">
        <f>IF(AND(PP13=1,'Job Sheet'!L19="Chain Winder",'Job Sheet'!AV19="60mm"),1,"")</f>
        <v/>
      </c>
      <c r="PU13" s="7" t="str">
        <f t="shared" si="49"/>
        <v/>
      </c>
      <c r="PV13" s="7" t="str">
        <f t="shared" si="50"/>
        <v/>
      </c>
      <c r="PW13" s="7" t="str">
        <f t="shared" si="51"/>
        <v/>
      </c>
    </row>
    <row r="14" spans="4:439" s="106" customFormat="1" ht="12" customHeight="1">
      <c r="D14" s="106" t="str">
        <f>IF('Tube Cutting'!D20="","",CONCATENATE(Data!BC$5,".",Data!BD$5))</f>
        <v/>
      </c>
      <c r="E14" s="106" t="str">
        <f>IF(D14="","",Data!AW20)</f>
        <v/>
      </c>
      <c r="F14" s="106" t="str">
        <f>IF(D14="","",Data!AV20)</f>
        <v/>
      </c>
      <c r="G14" s="106" t="str">
        <f>IF(D14="","",Data!BF$5)</f>
        <v/>
      </c>
      <c r="H14" s="106" t="str">
        <f>IF(D14="","",Data!AX$5)</f>
        <v/>
      </c>
      <c r="I14" s="106" t="str">
        <f>'Job Sheet'!I20</f>
        <v/>
      </c>
      <c r="J14" s="106" t="str">
        <f t="shared" si="52"/>
        <v/>
      </c>
      <c r="K14" s="106" t="str">
        <f>'Fabric Cutting'!F20</f>
        <v/>
      </c>
      <c r="L14" s="106" t="str">
        <f>'Job Sheet'!AZ20</f>
        <v/>
      </c>
      <c r="M14" s="106" t="str">
        <f>IF('Tube Cutting'!C20="38mm",'Tube Cutting'!D20,"")</f>
        <v/>
      </c>
      <c r="N14" s="106" t="str">
        <f>IF('Tube Cutting'!C20="43mm",'Tube Cutting'!D20,"")</f>
        <v/>
      </c>
      <c r="O14" s="106" t="str">
        <f>IF('Tube Cutting'!C20="43mm H/D",'Tube Cutting'!D20,"")</f>
        <v/>
      </c>
      <c r="P14" s="106" t="str">
        <f>IF('Tube Cutting'!C20="60mm",'Tube Cutting'!D20,"")</f>
        <v/>
      </c>
      <c r="Q14" s="106" t="str">
        <f>IF('Tube Cutting'!C20="80mm",'Tube Cutting'!D20,"")</f>
        <v/>
      </c>
      <c r="R14" s="106" t="str">
        <f>IF(AND('Job Sheet'!BD20="Anodised Silver",(OR('Tube Cutting'!E20="D30 Bottom Rail",'Tube Cutting'!E20="D30 Bottom Rail with Noise Reducing Strip",'Tube Cutting'!E20="D30 Bottom Rail with Noise Reducing Strip &amp; Fluffy Strip",'Tube Cutting'!E20="Bottom Rail in Pocket",'Tube Cutting'!E20="Bottom Rail in Pocket with Round Cut Out",'Tube Cutting'!E20="Bottom Rail in Pocket with Square Cut Out"))),'Tube Cutting'!G20,"")</f>
        <v/>
      </c>
      <c r="S14" s="106" t="str">
        <f>IF(AND('Job Sheet'!BD20="White",(OR('Tube Cutting'!E20="D30 Bottom Rail",'Tube Cutting'!E20="D30 Bottom Rail with Noise Reducing Strip",'Tube Cutting'!E20="D30 Bottom Rail with Noise Reducing Strip &amp; Fluffy Strip",'Tube Cutting'!E20="Bottom Rail in Pocket",'Tube Cutting'!E20="Bottom Rail in Pocket with Round Cut Out",'Tube Cutting'!E20="Bottom Rail in Pocket with Square Cut Out"))),'Tube Cutting'!G20,"")</f>
        <v/>
      </c>
      <c r="T14" s="106" t="str">
        <f>IF(AND('Job Sheet'!BD20="Black",(OR('Tube Cutting'!E20="D30 Bottom Rail",'Tube Cutting'!E20="D30 Bottom Rail with Noise Reducing Strip",'Tube Cutting'!E20="D30 Bottom Rail with Noise Reducing Strip &amp; Fluffy Strip",'Tube Cutting'!E20="Bottom Rail in Pocket",'Tube Cutting'!E20="Bottom Rail in Pocket with Round Cut Out",'Tube Cutting'!E20="Bottom Rail in Pocket with Square Cut Out"))),'Tube Cutting'!G20,"")</f>
        <v/>
      </c>
      <c r="U14" s="106" t="str">
        <f>IF(AND('Job Sheet'!BD20="Sandstone",(OR('Tube Cutting'!E20="D30 Bottom Rail",'Tube Cutting'!E20="D30 Bottom Rail with Noise Reducing Strip",'Tube Cutting'!E20="D30 Bottom Rail with Noise Reducing Strip &amp; Fluffy Strip",'Tube Cutting'!E20="Bottom Rail in Pocket",'Tube Cutting'!E20="Bottom Rail in Pocket with Round Cut Out",'Tube Cutting'!E20="Bottom Rail in Pocket with Square Cut Out"))),'Tube Cutting'!G20,"")</f>
        <v/>
      </c>
      <c r="V14" s="106" t="str">
        <f>IF(AND('Job Sheet'!BD20="Bone",(OR('Tube Cutting'!E20="D30 Bottom Rail",'Tube Cutting'!E20="D30 Bottom Rail with Noise Reducing Strip",'Tube Cutting'!E20="D30 Bottom Rail with Noise Reducing Strip &amp; Fluffy Strip",'Tube Cutting'!E20="Bottom Rail in Pocket",'Tube Cutting'!E20="Bottom Rail in Pocket with Round Cut Out",'Tube Cutting'!E20="Bottom Rail in Pocket with Square Cut Out"))),'Tube Cutting'!G20,"")</f>
        <v/>
      </c>
      <c r="W14" s="106" t="str">
        <f t="shared" si="1"/>
        <v/>
      </c>
      <c r="X14" s="106" t="str">
        <f t="shared" si="53"/>
        <v/>
      </c>
      <c r="Y14" s="106" t="str">
        <f t="shared" si="54"/>
        <v/>
      </c>
      <c r="Z14" s="106" t="str">
        <f t="shared" si="55"/>
        <v/>
      </c>
      <c r="AA14" s="106" t="str">
        <f t="shared" si="56"/>
        <v/>
      </c>
      <c r="AB14" s="106" t="str">
        <f>IF('Tube Cutting'!H20="Timber",'Tube Cutting'!G20,IF(AND('Tube Cutting'!E20="Double Lath",'Tube Cutting'!H20="Timber"),'Tube Cutting'!G20*2,""))</f>
        <v/>
      </c>
      <c r="AC14" s="106" t="str">
        <f>IF('Tube Cutting'!I20="","",'Tube Cutting'!I20)</f>
        <v/>
      </c>
      <c r="AD14" s="106" t="str">
        <f>IF(AND('Tube Cutting'!J20="Aluminium Pelmet",'Tube Cutting'!K20="Anodised Silver"),'Tube Cutting'!L20,"")</f>
        <v/>
      </c>
      <c r="AE14" s="106" t="str">
        <f>IF(AND('Tube Cutting'!J20="Aluminium Pelmet",'Tube Cutting'!K20="White"),'Tube Cutting'!L20,"")</f>
        <v/>
      </c>
      <c r="AF14" s="106" t="str">
        <f>IF(AND('Tube Cutting'!J20="Aluminium Pelmet",'Tube Cutting'!K20="Black"),'Tube Cutting'!L20,"")</f>
        <v/>
      </c>
      <c r="AG14" s="106" t="str">
        <f>IF(AND('Tube Cutting'!J20="Aluminium Pelmet",'Tube Cutting'!K20="Cream"),'Tube Cutting'!L20,"")</f>
        <v/>
      </c>
      <c r="AH14" s="106" t="str">
        <f>IF(AND('Tube Cutting'!K20="Black",(OR('Tube Cutting'!J20="Square Cassette",'Tube Cutting'!J20="Round Cassette",'Tube Cutting'!J20="Square Cassette with Side Channels",'Tube Cutting'!J20="Square Cassette with Side &amp; Bottom Channels",'Tube Cutting'!J20="Round Cassette with Side Channels",'Tube Cutting'!J20="Round Cassette with Side &amp; Bottom Channels"))),'Tube Cutting'!L20,"")</f>
        <v/>
      </c>
      <c r="AI14" s="106" t="str">
        <f>IF(AND('Tube Cutting'!K20="White",(OR('Tube Cutting'!J20="Square Cassette",'Tube Cutting'!J20="Round Cassette",'Tube Cutting'!J20="Square Cassette with Side Channels",'Tube Cutting'!J20="Square Cassette with Side &amp; Bottom Channels",'Tube Cutting'!J20="Round Cassette with Side Channels",'Tube Cutting'!J20="Round Cassette with Side &amp; Bottom Channels"))),'Tube Cutting'!L20,"")</f>
        <v/>
      </c>
      <c r="AJ14" s="106" t="str">
        <f>IF(AND('Tube Cutting'!K20="Cream",(OR('Tube Cutting'!J20="Square Cassette",'Tube Cutting'!J20="Round Cassette",'Tube Cutting'!J20="Square Cassette with Side Channels",'Tube Cutting'!J20="Square Cassette with Side &amp; Bottom Channels",'Tube Cutting'!J20="Round Cassette with Side Channels",'Tube Cutting'!J20="Round Cassette with Side &amp; Bottom Channels"))),'Tube Cutting'!L20,"")</f>
        <v/>
      </c>
      <c r="AK14" s="106" t="str">
        <f>IF(AND('Tube Cutting'!K20="Anodised Silver",(OR('Tube Cutting'!J20="Square Cassette",'Tube Cutting'!J20="Round Cassette",'Tube Cutting'!J20="Square Cassette with Side Channels",'Tube Cutting'!J20="Square Cassette with Side &amp; Bottom Channels",'Tube Cutting'!J20="Round Cassette with Side Channels",'Tube Cutting'!J20="Round Cassette with Side &amp; Bottom Channels"))),'Tube Cutting'!L20,"")</f>
        <v/>
      </c>
      <c r="AL14" s="106" t="str">
        <f>IF(AND('Tube Cutting'!K20="White",(OR('Tube Cutting'!J20="Square Cassette",'Tube Cutting'!J20="Square Cassette with Side Channels",'Tube Cutting'!J20="Square Cassette with Side &amp; Bottom Channels"))),'Tube Cutting'!M20,"")</f>
        <v/>
      </c>
      <c r="AM14" s="106" t="str">
        <f>IF(AND('Tube Cutting'!K20="Black",(OR('Tube Cutting'!J20="Square Cassette",'Tube Cutting'!J20="Square Cassette with Side Channels",'Tube Cutting'!J20="Square Cassette with Side &amp; Bottom Channels"))),'Tube Cutting'!M20,"")</f>
        <v/>
      </c>
      <c r="AN14" s="106" t="str">
        <f>IF(AND('Tube Cutting'!K20="Cream",(OR('Tube Cutting'!J20="Square Cassette",'Tube Cutting'!J20="Square Cassette with Side Channels",'Tube Cutting'!J20="Square Cassette with Side &amp; Bottom Channels"))),'Tube Cutting'!M20,"")</f>
        <v/>
      </c>
      <c r="AO14" s="106" t="str">
        <f>IF(AND('Tube Cutting'!K20="Anodised Silver",(OR('Tube Cutting'!J20="Square Cassette",'Tube Cutting'!J20="Square Cassette with Side Channels",'Tube Cutting'!J20="Square Cassette with Side &amp; Bottom Channels"))),'Tube Cutting'!M20,"")</f>
        <v/>
      </c>
      <c r="AP14" s="106" t="str">
        <f>IF(AND('Tube Cutting'!K20="White",(OR('Tube Cutting'!J20="Round Cassette",'Tube Cutting'!J20="Round Cassette with Side Channels",'Tube Cutting'!J20="Round Cassette with Side &amp; Bottom Channels"))),'Tube Cutting'!M20,"")</f>
        <v/>
      </c>
      <c r="AQ14" s="106" t="str">
        <f>IF(AND('Tube Cutting'!K20="Black",(OR('Tube Cutting'!J20="Round Cassette",'Tube Cutting'!J20="Round Cassette with Side Channels",'Tube Cutting'!J20="Round Cassette with Side &amp; Bottom Channels"))),'Tube Cutting'!M20,"")</f>
        <v/>
      </c>
      <c r="AR14" s="106" t="str">
        <f>IF(AND('Tube Cutting'!K20="Cream",(OR('Tube Cutting'!J20="Round Cassette",'Tube Cutting'!J20="Round Cassette with Side Channels",'Tube Cutting'!J20="Round Cassette with Side &amp; Bottom Channels"))),'Tube Cutting'!M20,"")</f>
        <v/>
      </c>
      <c r="AS14" s="106" t="str">
        <f>IF(AND('Tube Cutting'!K20="Anodised Silver",(OR('Tube Cutting'!J20="Round Cassette",'Tube Cutting'!J20="Round Cassette with Side Channels",'Tube Cutting'!J20="Round Cassette with Side &amp; Bottom Channels"))),'Tube Cutting'!M20,"")</f>
        <v/>
      </c>
      <c r="AT14" s="106" t="str">
        <f>IF(AND('Tube Cutting'!K20="White",(OR('Tube Cutting'!J20="Square Cassette with Side Channels",'Tube Cutting'!J20="Round Cassette with Side Channels",'Tube Cutting'!J20="Side Channels"))),CONCATENATE('Job Sheet'!H20-VLOOKUP(CONCATENATE('Job Sheet'!AA20,'Job Sheet'!J20,'Job Sheet'!AR20),PelmetDeduct,5,FALSE))*2,IF(AND('Tube Cutting'!K20="White",(OR('Tube Cutting'!J20="Square Cassette with Side &amp; Bottom Channels",'Tube Cutting'!J20="Round Cassette with Side &amp; Bottom Channels"))),CONCATENATE(('Job Sheet'!H20-VLOOKUP(CONCATENATE('Job Sheet'!AA20,'Job Sheet'!J20,'Job Sheet'!AR20),PelmetDeduct,5,FALSE))*2)+'Job Sheet'!BA20-110,""))</f>
        <v/>
      </c>
      <c r="AU14" s="106" t="str">
        <f>IF(AND('Tube Cutting'!K20="Black",(OR('Tube Cutting'!J20="Square Cassette with Side Channels",'Tube Cutting'!J20="Round Cassette with Side Channels",'Tube Cutting'!J20="Side Channels"))),CONCATENATE('Job Sheet'!H20-VLOOKUP(CONCATENATE('Job Sheet'!AA20,'Job Sheet'!J20,'Job Sheet'!AR20),PelmetDeduct,5,FALSE))*2,IF(AND('Tube Cutting'!K20="Black",(OR('Tube Cutting'!J20="Square Cassette with Side &amp; Bottom Channels",'Tube Cutting'!J20="Round Cassette with Side &amp; Bottom Channels"))),CONCATENATE(('Job Sheet'!H20-VLOOKUP(CONCATENATE('Job Sheet'!AA20,'Job Sheet'!J20,'Job Sheet'!AR20),PelmetDeduct,5,FALSE))*2)+'Job Sheet'!BA20-110,""))</f>
        <v/>
      </c>
      <c r="AV14" s="106" t="str">
        <f>IF(AND('Tube Cutting'!K20="Cream",(OR('Tube Cutting'!J20="Square Cassette with Side Channels",'Tube Cutting'!J20="Round Cassette with Side Channels",'Tube Cutting'!J20="Side Channels"))),CONCATENATE('Job Sheet'!H20-VLOOKUP(CONCATENATE('Job Sheet'!AA20,'Job Sheet'!J20,'Job Sheet'!AR20),PelmetDeduct,5,FALSE))*2,IF(AND('Tube Cutting'!K20="Cream",(OR('Tube Cutting'!J20="Square Cassette with Side &amp; Bottom Channels",'Tube Cutting'!J20="Round Cassette with Side &amp; Bottom Channels"))),CONCATENATE(('Job Sheet'!H20-VLOOKUP(CONCATENATE('Job Sheet'!AA20,'Job Sheet'!J20,'Job Sheet'!AR20),PelmetDeduct,5,FALSE))*2)+'Job Sheet'!BA20-110,""))</f>
        <v/>
      </c>
      <c r="AW14" s="106" t="str">
        <f>IF(AND('Tube Cutting'!K20="Anodised Silver",(OR('Tube Cutting'!J20="Square Cassette with Side Channels",'Tube Cutting'!J20="Round Cassette with Side Channels",'Tube Cutting'!J20="Side Channels"))),CONCATENATE('Job Sheet'!H20-VLOOKUP(CONCATENATE('Job Sheet'!AA20,'Job Sheet'!J20,'Job Sheet'!AR20),PelmetDeduct,5,FALSE))*2,IF(AND('Tube Cutting'!K20="Anodised Silver",(OR('Tube Cutting'!J20="Square Cassette with Side &amp; Bottom Channels",'Tube Cutting'!J20="Round Cassette with Side &amp; Bottom Channels"))),CONCATENATE(('Job Sheet'!H20-VLOOKUP(CONCATENATE('Job Sheet'!AA20,'Job Sheet'!J20,'Job Sheet'!AR20),PelmetDeduct,5,FALSE))*2)+'Job Sheet'!BA20-110,""))</f>
        <v/>
      </c>
      <c r="AX14" s="7" t="str">
        <f>IF('Tube Cutting'!J20="Aluminium Valance - Fabric Covered",'Tube Cutting'!M20,"")</f>
        <v/>
      </c>
      <c r="AY14" s="7" t="str">
        <f>IF(AND('Tube Cutting'!K20="White",'Tube Cutting'!J20="Aluminium Valance"),'Tube Cutting'!M20,"")</f>
        <v/>
      </c>
      <c r="AZ14" s="7" t="str">
        <f>IF(AND('Tube Cutting'!K20="Black",'Tube Cutting'!J20="Aluminium Valance"),'Tube Cutting'!M20,"")</f>
        <v/>
      </c>
      <c r="BA14" s="7" t="str">
        <f>IF(AND('Tube Cutting'!K20="Anodised Silver",'Tube Cutting'!J20="Aluminium Valance"),'Tube Cutting'!M20,"")</f>
        <v/>
      </c>
      <c r="BB14" s="106" t="str">
        <f>'Tube Cutting'!O20</f>
        <v/>
      </c>
      <c r="BC14" s="106" t="str">
        <f>IF('Tube Cutting'!J20="Zipscreen Hooding",'Tube Cutting'!L20,"")</f>
        <v/>
      </c>
      <c r="BD14" s="106" t="str">
        <f>IF('Tube Cutting'!J20="Zipscreen Hooding",'Tube Cutting'!M20,"")</f>
        <v/>
      </c>
      <c r="BE14" s="106" t="str">
        <f>IF(AND('Assembly(b)'!E20="38mm",'Job Sheet'!BE20="White",'Assembly(b)'!F20="Chain Winder"),1,"")</f>
        <v/>
      </c>
      <c r="BF14" s="106" t="str">
        <f>IF(AND('Assembly(b)'!E20="38mm",'Job Sheet'!BE20="Black",'Assembly(b)'!F20="Chain Winder"),1,"")</f>
        <v/>
      </c>
      <c r="BG14" s="106" t="str">
        <f>IF(AND('Assembly(b)'!E20="38mm",'Job Sheet'!BE20="Birch White",'Job Sheet'!L20="Chain Winder"),1,"")</f>
        <v/>
      </c>
      <c r="BH14" s="106" t="str">
        <f>IF(AND('Assembly(b)'!E20="38mm",'Job Sheet'!BE20="Grey",'Assembly(b)'!F20="Chain Winder"),1,"")</f>
        <v/>
      </c>
      <c r="BI14" s="106" t="str">
        <f>IF(AND('Assembly(b)'!E20="38mm",'Job Sheet'!BE20="Beige",'Assembly(b)'!F20="Chain Winder"),1,"")</f>
        <v/>
      </c>
      <c r="BJ14" s="106" t="str">
        <f>IF(AND('Assembly(b)'!E20="38mm",'Job Sheet'!BE20="White",'Assembly(b)'!F20="Chain Winder Fixed Guide"),1,"")</f>
        <v/>
      </c>
      <c r="BK14" s="106" t="str">
        <f>IF(AND('Assembly(b)'!E20="38mm",'Job Sheet'!BE20="Black",'Assembly(b)'!F20="Chain Winder Fixed Guide"),1,"")</f>
        <v/>
      </c>
      <c r="BL14" s="106" t="str">
        <f>IF(AND('Assembly(b)'!E20="38mm",'Job Sheet'!BE20="Birch White",'Assembly(b)'!F20="Chain Winder Fixed Guide"),1,"")</f>
        <v/>
      </c>
      <c r="BM14" s="106" t="str">
        <f>IF(AND('Assembly(b)'!E20="38mm",'Job Sheet'!BE20="Grey",'Assembly(b)'!F20="Chain Winder Fixed Guide"),1,"")</f>
        <v/>
      </c>
      <c r="BN14" s="106" t="str">
        <f>IF(AND('Assembly(b)'!E20="38mm",'Job Sheet'!BE20="Beige",'Assembly(b)'!F20="Chain Winder Fixed Guide"),1,"")</f>
        <v/>
      </c>
      <c r="BO14" s="106" t="str">
        <f>IF(AND('Job Sheet'!BE20="White",'Assembly(b)'!F20="Chain Winder",(OR('Assembly(b)'!E20="43mm",'Assembly(b)'!E20="43mm H/D"))),1,"")</f>
        <v/>
      </c>
      <c r="BP14" s="106" t="str">
        <f>IF(AND('Job Sheet'!BE20="Black",'Assembly(b)'!F20="Chain Winder",(OR('Assembly(b)'!E20="43mm",'Assembly(b)'!E20="43mm H/D"))),1,"")</f>
        <v/>
      </c>
      <c r="BQ14" s="106" t="str">
        <f>IF(AND('Job Sheet'!BE20="Birch White",'Assembly(b)'!F20="Chain Winder",(OR('Assembly(b)'!E20="43mm",'Assembly(b)'!E20="43mm H/D"))),1,"")</f>
        <v/>
      </c>
      <c r="BR14" s="106" t="str">
        <f>IF(AND('Job Sheet'!BE20="Grey",'Assembly(b)'!F20="Chain Winder",(OR('Assembly(b)'!E20="43mm",'Assembly(b)'!E20="43mm H/D"))),1,"")</f>
        <v/>
      </c>
      <c r="BS14" s="106" t="str">
        <f>IF(AND('Job Sheet'!BE20="Beige",'Assembly(b)'!F20="Chain Winder",(OR('Assembly(b)'!E20="43mm",'Assembly(b)'!E20="43mm H/D"))),1,"")</f>
        <v/>
      </c>
      <c r="BT14" s="106" t="str">
        <f>IF(AND('Job Sheet'!BE20="White",'Assembly(b)'!F20="Chain Winder Fixed Guide",(OR('Assembly(b)'!E20="43mm",'Assembly(b)'!E20="43mm H/D"))),1,"")</f>
        <v/>
      </c>
      <c r="BU14" s="106" t="str">
        <f>IF(AND('Job Sheet'!BE20="Black",'Assembly(b)'!F20="Chain Winder Fixed Guide",(OR('Assembly(b)'!E20="43mm",'Assembly(b)'!E20="43mm H/D"))),1,"")</f>
        <v/>
      </c>
      <c r="BV14" s="106" t="str">
        <f>IF(AND('Job Sheet'!BE20="Birch White",'Assembly(b)'!F20="Chain Winder Fixed Guide",(OR('Assembly(b)'!E20="43mm",'Assembly(b)'!E20="43mm H/D"))),1,"")</f>
        <v/>
      </c>
      <c r="BW14" s="106" t="str">
        <f>IF(AND('Job Sheet'!BE20="Grey",'Assembly(b)'!F20="Chain Winder Fixed Guide",(OR('Assembly(b)'!E20="43mm",'Assembly(b)'!E20="43mm H/D"))),1,"")</f>
        <v/>
      </c>
      <c r="BX14" s="106" t="str">
        <f>IF(AND('Job Sheet'!BE20="Beige",'Assembly(b)'!F20="Chain Winder Fixed Guide",(OR('Assembly(b)'!E20="43mm",'Assembly(b)'!E20="43mm H/D"))),1,"")</f>
        <v/>
      </c>
      <c r="BY14" s="106" t="str">
        <f>IF(Data!AV20="","",IF(AND('Job Sheet'!BE20="White",VLOOKUP('Job Sheet'!AR20,ControlDeduct,3,FALSE)="Yes"),1,""))</f>
        <v/>
      </c>
      <c r="BZ14" s="106" t="str">
        <f>IF(Data!AV20="","",IF(AND('Job Sheet'!BE20="Black",VLOOKUP('Job Sheet'!AR20,ControlDeduct,3,FALSE)="Yes"),1,""))</f>
        <v/>
      </c>
      <c r="CA14" s="106" t="str">
        <f>IF(Data!AV20="","",IF(AND('Job Sheet'!BE20="Birch White",VLOOKUP('Job Sheet'!AR20,ControlDeduct,3,FALSE)="Yes"),1,""))</f>
        <v/>
      </c>
      <c r="CB14" s="106" t="str">
        <f>IF(Data!AV20="","",IF(AND('Job Sheet'!BE20="Grey",VLOOKUP('Job Sheet'!AR20,ControlDeduct,3,FALSE)="Yes"),1,""))</f>
        <v/>
      </c>
      <c r="CC14" s="106" t="str">
        <f>IF(Data!AV20="","",IF(AND('Job Sheet'!BE20="Beige",VLOOKUP('Job Sheet'!AR20,ControlDeduct,3,FALSE)="Yes"),1,""))</f>
        <v/>
      </c>
      <c r="CD14" s="106" t="str">
        <f>IF(AND('Job Sheet'!BE20="White",(OR(Bagging!D20="Single",Bagging!D20="Single with Covers",Bagging!D20="Single &amp; Single Linked"))),1,"")</f>
        <v/>
      </c>
      <c r="CE14" s="106" t="str">
        <f>IF(AND('Job Sheet'!BE20="Black",(OR(Bagging!D20="Single",Bagging!D20="Single with Covers",Bagging!D20="Single &amp; Single Linked"))),1,"")</f>
        <v/>
      </c>
      <c r="CF14" s="106" t="str">
        <f>IF(AND('Job Sheet'!BE20="Birch White",(OR(Bagging!D20="Single",Bagging!D20="Single with Covers",Bagging!D20="Single &amp; Single Linked"))),1,"")</f>
        <v/>
      </c>
      <c r="CG14" s="106" t="str">
        <f>IF(AND('Job Sheet'!BE20="Grey",(OR(Bagging!D20="Single",Bagging!D20="Single with Covers",Bagging!D20="Single &amp; Single Linked"))),1,"")</f>
        <v/>
      </c>
      <c r="CH14" s="106" t="str">
        <f>IF(AND('Job Sheet'!BE20="Beige",(OR(Bagging!D20="Single",Bagging!D20="Single with Covers",Bagging!D20="Single &amp; Single Linked"))),1,"")</f>
        <v/>
      </c>
      <c r="CI14" s="106" t="str">
        <f>IF(AND('Job Sheet'!BE20="White",(OR(Bagging!D20="Single Extension",Bagging!D20="Single Extension with Extension Covers",Bagging!D20="Single Extension &amp; Single Extension Linked",Bagging!D20="Single Extension with Extension Covers &amp; Single Extension Linked"))),1,"")</f>
        <v/>
      </c>
      <c r="CJ14" s="106" t="str">
        <f>IF(AND('Job Sheet'!BE20="Black",(OR(Bagging!D20="Single Extension",Bagging!D20="Single Extension with Extension Covers",Bagging!D20="Single Extension &amp; Single Extension Linked",Bagging!D20="Single Extension with Extension Covers &amp; Single Extension Linked"))),1,"")</f>
        <v/>
      </c>
      <c r="CK14" s="106" t="str">
        <f>IF(AND('Job Sheet'!BE20="Birch White",(OR(Bagging!D20="Single Extension",Bagging!D20="Single Extension with Extension Covers",Bagging!D20="Single Extension &amp; Single Extension Linked",Bagging!D20="Single Extension with Extension Covers &amp; Single Extension Linked"))),1,"")</f>
        <v/>
      </c>
      <c r="CL14" s="106" t="str">
        <f>IF(AND('Job Sheet'!BE20="Grey",(OR(Bagging!D20="Single Extension",Bagging!D20="Single Extension with Extension Covers",Bagging!D20="Single Extension &amp; Single Extension Linked",Bagging!D20="Single Extension with Extension Covers &amp; Single Extension Linked"))),1,"")</f>
        <v/>
      </c>
      <c r="CM14" s="106" t="str">
        <f>IF(AND('Job Sheet'!BE20="Beige",(OR(Bagging!D20="Single Extension",Bagging!D20="Single Extension with Extension Covers",Bagging!D20="Single Extension &amp; Single Extension Linked",Bagging!D20="Single Extension with Extension Covers &amp; Single Extension Linked"))),1,"")</f>
        <v/>
      </c>
      <c r="CN14" s="106" t="str">
        <f>IF(AND('Job Sheet'!BE20="White",(OR(Bagging!D20="Single Motor Brackets",Bagging!D20="Single Motor Brackets with Covers"))),1,"")</f>
        <v/>
      </c>
      <c r="CO14" s="106" t="str">
        <f>IF(AND('Job Sheet'!BE20="Black",(OR(Bagging!D20="Single Motor Brackets",Bagging!D20="Single Motor Brackets with Covers"))),1,"")</f>
        <v/>
      </c>
      <c r="CP14" s="106" t="str">
        <f>IF(AND('Job Sheet'!BE20="White",(OR(Bagging!D20="Single Motor Extension Brackets",Bagging!D20="Single Motor Extension Brackets with Extension Covers"))),1,"")</f>
        <v/>
      </c>
      <c r="CQ14" s="106" t="str">
        <f>IF(AND('Job Sheet'!BE20="Black",(OR(Bagging!D20="Single Motor Extension Brackets",Bagging!D20="Single Motor Extension Brackets with Extension Covers"))),1,"")</f>
        <v/>
      </c>
      <c r="CR14" s="106" t="str">
        <f>IF(AND('Job Sheet'!BE20="White",OR(Bagging!D20="Single with Covers",Bagging!D20="Single Motor Brackets with Covers")),1,"")</f>
        <v/>
      </c>
      <c r="CS14" s="106" t="str">
        <f>IF(AND('Job Sheet'!BE20="Black",OR(Bagging!D20="Single with Covers",Bagging!D20="Single Motor Brackets with Covers")),1,"")</f>
        <v/>
      </c>
      <c r="CT14" s="106" t="str">
        <f>IF(AND('Job Sheet'!BE20="Birch White",OR(Bagging!D20="Single with Covers",Bagging!D20="Single Motor Brackets with Covers")),1,"")</f>
        <v/>
      </c>
      <c r="CU14" s="106" t="str">
        <f>IF(AND('Job Sheet'!BE20="Grey",OR(Bagging!D20="Single with Covers",Bagging!D20="Single Motor Brackets with Covers")),1,"")</f>
        <v/>
      </c>
      <c r="CV14" s="106" t="str">
        <f>IF(AND('Job Sheet'!BE20="Beige",OR(Bagging!D20="Single with Covers",Bagging!D20="Single Motor Brackets with Covers")),1,"")</f>
        <v/>
      </c>
      <c r="CW14" s="106" t="str">
        <f>IF(AND('Job Sheet'!BE20="White",OR(Bagging!D20="Single Extension with Extension Covers",Bagging!D20="Single Motor Extension Brackets with Extension Covers",Bagging!D20="Single Extension with Extension Covers &amp; Single Extension Linked")),1,"")</f>
        <v/>
      </c>
      <c r="CX14" s="106" t="str">
        <f>IF(AND('Job Sheet'!BE20="Black",OR(Bagging!D20="Single Extension with Extension Covers",Bagging!D20="Single Motor Extension Brackets with Extension Covers",Bagging!D20="Single Extension with Extension Covers &amp; Single Extension Linked")),1,"")</f>
        <v/>
      </c>
      <c r="CY14" s="106" t="str">
        <f>IF(AND('Job Sheet'!BE20="Birch White",OR(Bagging!D20="Single Extension with Extension Covers",Bagging!D20="Single Motor Extension Brackets with Extension Covers",Bagging!D20="Single Extension with Extension Covers &amp; Single Extension Linked")),1,"")</f>
        <v/>
      </c>
      <c r="CZ14" s="106" t="str">
        <f>IF(AND('Job Sheet'!BE20="Grey",OR(Bagging!D20="Single Extension with Extension Covers",Bagging!D20="Single Motor Extension Brackets with Extension Covers",Bagging!D20="Single Extension with Extension Covers &amp; Single Extension Linked")),1,"")</f>
        <v/>
      </c>
      <c r="DA14" s="106" t="str">
        <f>IF(AND('Job Sheet'!BE20="Beige",OR(Bagging!D20="Single Extension with Extension Covers",Bagging!D20="Single Motor Extension Brackets with Extension Covers",Bagging!D20="Single Extension with Extension Covers &amp; Single Extension Linked")),1,"")</f>
        <v/>
      </c>
      <c r="DB14" s="106" t="str">
        <f>IF(AND(Bagging!D20="Dual Opposite Side",'Job Sheet'!BE20="White"),1,"")</f>
        <v/>
      </c>
      <c r="DC14" s="106" t="str">
        <f>IF(AND(Bagging!D20="Dual Opposite Side",'Job Sheet'!BE20="Black"),1,"")</f>
        <v/>
      </c>
      <c r="DD14" s="106" t="str">
        <f>IF(AND(Bagging!D20="Dual Opposite Side",'Job Sheet'!BE20="Birch White"),1,"")</f>
        <v/>
      </c>
      <c r="DE14" s="106" t="str">
        <f>IF(AND(Bagging!D20="Dual Opposite Side",'Job Sheet'!BE20="Grey"),1,"")</f>
        <v/>
      </c>
      <c r="DF14" s="106" t="str">
        <f>IF(AND(Bagging!D20="Dual Opposite Side",'Job Sheet'!BE20="Beige"),1,"")</f>
        <v/>
      </c>
      <c r="DG14" s="106" t="str">
        <f>IF(AND('Job Sheet'!BE20="White",(OR(Bagging!D20="Dual Same Side",Bagging!D20="Dual Same Side &amp; Dual Linked"))),1,"")</f>
        <v/>
      </c>
      <c r="DH14" s="106" t="str">
        <f>IF(AND('Job Sheet'!BE20="Black",(OR(Bagging!D20="Dual Same Side",Bagging!D20="Dual Same Side &amp; Dual Linked"))),1,"")</f>
        <v/>
      </c>
      <c r="DI14" s="106" t="str">
        <f>IF(AND('Job Sheet'!BE20="Birch White",(OR(Bagging!D20="Dual Same Side",Bagging!D20="Dual Same Side &amp; Dual Linked"))),1,"")</f>
        <v/>
      </c>
      <c r="DJ14" s="106" t="str">
        <f>IF(AND('Job Sheet'!BE20="Grey",(OR(Bagging!D20="Dual Same Side",Bagging!D20="Dual Same Side &amp; Dual Linked"))),1,"")</f>
        <v/>
      </c>
      <c r="DK14" s="106" t="str">
        <f>IF(AND('Job Sheet'!BE20="Beige",(OR(Bagging!D20="Dual Same Side",Bagging!D20="Dual Same Side &amp; Dual Linked"))),1,"")</f>
        <v/>
      </c>
      <c r="DL14" s="106" t="str">
        <f>IF(AND('Job Sheet'!BE20="White",(OR(Bagging!D20="Slimline Dual Top Blind Front Roll LHS Control",Bagging!D20="Slimline Dual Top Blind Front Roll LHS Control &amp; Dual Slimline Linked Top Blind Front Roll"))),1,"")</f>
        <v/>
      </c>
      <c r="DM14" s="106" t="str">
        <f>IF(AND('Job Sheet'!BE20="White",(OR(Bagging!D20="Slimline Dual Top Blind Front Roll RHS Control",Bagging!D20="Slimline Dual Top Blind Front Roll RHS Control &amp; Dual Slimline Linked Top Blind Front Roll"))),1,"")</f>
        <v/>
      </c>
      <c r="DN14" s="106" t="str">
        <f>IF(AND('Job Sheet'!BE20="Black",(OR(Bagging!D20="Slimline Dual Top Blind Front Roll LHS Control",Bagging!D20="Slimline Dual Top Blind Front Roll LHS Control &amp; Dual Slimline Linked Top Blind Front Roll"))),1,"")</f>
        <v/>
      </c>
      <c r="DO14" s="106" t="str">
        <f>IF(AND('Job Sheet'!BE20="Black",(OR(Bagging!D20="Slimline Dual Top Blind Front Roll RHS Control",Bagging!D20="Slimline Dual Top Blind Front Roll RHS Control &amp; Dual Slimline Linked Top Blind Front Roll"))),1,"")</f>
        <v/>
      </c>
      <c r="DP14" s="106" t="str">
        <f>IF(AND('Job Sheet'!BE20="Birch White",(OR(Bagging!D20="Slimline Dual Top Blind Front Roll LHS Control",Bagging!D20="Slimline Dual Top Blind Front Roll LHS Control &amp; Dual Slimline Linked Top Blind Front Roll"))),1,"")</f>
        <v/>
      </c>
      <c r="DQ14" s="106" t="str">
        <f>IF(AND('Job Sheet'!BE20="Birch White",(OR(Bagging!D20="Slimline Dual Top Blind Front Roll RHS Control",Bagging!D20="Slimline Dual Top Blind Front Roll RHS Control &amp; Dual Slimline Linked Top Blind Front Roll"))),1,"")</f>
        <v/>
      </c>
      <c r="DR14" s="106" t="str">
        <f>IF(AND('Job Sheet'!BE20="Grey",(OR(Bagging!D20="Slimline Dual Top Blind Front Roll LHS Control",Bagging!D20="Slimline Dual Top Blind Front Roll LHS Control &amp; Dual Slimline Linked Top Blind Front Roll"))),1,"")</f>
        <v/>
      </c>
      <c r="DS14" s="106" t="str">
        <f>IF(AND('Job Sheet'!BE20="Grey",(OR(Bagging!D20="Slimline Dual Top Blind Front Roll RHS Control",Bagging!D20="Slimline Dual Top Blind Front Roll RHS Control &amp; Dual Slimline Linked Top Blind Front Roll"))),1,"")</f>
        <v/>
      </c>
      <c r="DT14" s="106" t="str">
        <f>IF(AND('Job Sheet'!BE20="Beige",(OR(Bagging!D20="Slimline Dual Top Blind Front Roll LHS Control",Bagging!D20="Slimline Dual Top Blind Front Roll LHS Control &amp; Dual Slimline Linked Top Blind Front Roll"))),1,"")</f>
        <v/>
      </c>
      <c r="DU14" s="106" t="str">
        <f>IF(AND('Job Sheet'!BE20="Beige",(OR(Bagging!D20="Slimline Dual Top Blind Front Roll RHS Control",Bagging!D20="Slimline Dual Top Blind Front Roll RHS Control &amp; Dual Slimline Linked Top Blind Front Roll"))),1,"")</f>
        <v/>
      </c>
      <c r="DV14" s="106" t="str">
        <f>IF(AND('Job Sheet'!BE20="White",(OR(Bagging!D20="Slimline Dual Top Blind Back Roll LHS Control",Bagging!D20="Slimline Dual Top Blind Back Roll LHS Control &amp; Dual Slimline Linked Top Blind Back Roll"))),1,"")</f>
        <v/>
      </c>
      <c r="DW14" s="106" t="str">
        <f>IF(AND('Job Sheet'!BE20="White",(OR(Bagging!D20="Slimline Dual Top Blind Back Roll RHS Control",Bagging!D20="Slimline Dual Top Blind Back Roll LHS Control &amp; Dual Slimline Linked Top Blind Back Roll"))),1,"")</f>
        <v/>
      </c>
      <c r="DX14" s="106" t="str">
        <f>IF(AND('Job Sheet'!BE20="Black",(OR(Bagging!D20="Slimline Dual Top Blind Back Roll LHS Control",Bagging!D20="Slimline Dual Top Blind Back Roll LHS Control &amp; Dual Slimline Linked Top Blind Back Roll"))),1,"")</f>
        <v/>
      </c>
      <c r="DY14" s="106" t="str">
        <f>IF(AND('Job Sheet'!BE20="Black",(OR(Bagging!D20="Slimline Dual Top Blind Back Roll RHS Control",Bagging!D20="Slimline Dual Top Blind Back Roll LHS Control &amp; Dual Slimline Linked Top Blind Back Roll"))),1,"")</f>
        <v/>
      </c>
      <c r="DZ14" s="106" t="str">
        <f>IF(AND('Job Sheet'!BE20="Birch White",(OR(Bagging!D20="Slimline Dual Top Blind Back Roll LHS Control",Bagging!D20="Slimline Dual Top Blind Back Roll LHS Control &amp; Dual Slimline Linked Top Blind Back Roll"))),1,"")</f>
        <v/>
      </c>
      <c r="EA14" s="106" t="str">
        <f>IF(AND('Job Sheet'!BE20="Birch White",(OR(Bagging!D20="Slimline Dual Top Blind Back Roll RHS Control",Bagging!D20="Slimline Dual Top Blind Back Roll LHS Control &amp; Dual Slimline Linked Top Blind Back Roll"))),1,"")</f>
        <v/>
      </c>
      <c r="EB14" s="106" t="str">
        <f>IF(AND('Job Sheet'!BE20="Grey",(OR(Bagging!D20="Slimline Dual Top Blind Back Roll LHS Control",Bagging!D20="Slimline Dual Top Blind Back Roll LHS Control &amp; Dual Slimline Linked Top Blind Back Roll"))),1,"")</f>
        <v/>
      </c>
      <c r="EC14" s="106" t="str">
        <f>IF(AND('Job Sheet'!BE20="Grey",(OR(Bagging!D20="Slimline Dual Top Blind Back Roll RHS Control",Bagging!D20="Slimline Dual Top Blind Back Roll LHS Control &amp; Dual Slimline Linked Top Blind Back Roll"))),1,"")</f>
        <v/>
      </c>
      <c r="ED14" s="106" t="str">
        <f>IF(AND('Job Sheet'!BE20="Beige",(OR(Bagging!D20="Slimline Dual Top Blind Back Roll LHS Control",Bagging!D20="Slimline Dual Top Blind Back Roll LHS Control &amp; Dual Slimline Linked Top Blind Back Roll"))),1,"")</f>
        <v/>
      </c>
      <c r="EE14" s="106" t="str">
        <f>IF(AND('Job Sheet'!BE20="Beige",(OR(Bagging!D20="Slimline Dual Top Blind Back Roll RHS Control",Bagging!D20="Slimline Dual Top Blind Back Roll LHS Control &amp; Dual Slimline Linked Top Blind Back Roll"))),1,"")</f>
        <v/>
      </c>
      <c r="EF14" s="106" t="str">
        <f>IF(AND('Job Sheet'!BE20="White",(OR(Bagging!D20="Linked",Bagging!D20="Single &amp; Single Linked"))),1,IF(AND(Bagging!D20="Linked(2 Sets)",'Job Sheet'!BE20="White"),2,""))</f>
        <v/>
      </c>
      <c r="EG14" s="106" t="str">
        <f>IF(AND('Job Sheet'!BE20="Black",(OR(Bagging!D20="Linked",Bagging!D20="Single &amp; Single Linked"))),1,IF(AND(Bagging!D20="Linked(2 Sets)",'Job Sheet'!BE20="Black"),2,""))</f>
        <v/>
      </c>
      <c r="EH14" s="106" t="str">
        <f>IF(AND('Job Sheet'!BE20="Birch White",(OR(Bagging!D20="Linked",Bagging!D20="Single &amp; Single Linked"))),1,IF(AND(Bagging!D20="Linked(2 Sets)",'Job Sheet'!BE20="Birch White"),2,""))</f>
        <v/>
      </c>
      <c r="EI14" s="106" t="str">
        <f>IF(AND('Job Sheet'!BE20="Grey",(OR(Bagging!D20="Linked",Bagging!D20="Single &amp; Single Linked"))),1,IF(AND(Bagging!D20="Linked(2 Sets)",'Job Sheet'!BE20="Grey"),2,""))</f>
        <v/>
      </c>
      <c r="EJ14" s="106" t="str">
        <f>IF(AND('Job Sheet'!BE20="Beige",(OR(Bagging!D20="Linked",Bagging!D20="Single &amp; Single Linked"))),1,IF(AND(Bagging!D20="Linked(2 Sets)",'Job Sheet'!BE20="Beige"),2,""))</f>
        <v/>
      </c>
      <c r="EK14" s="106" t="str">
        <f>IF(AND('Job Sheet'!BE20="White",(OR(Bagging!D20="Single Extension Linked",Bagging!D20="Single Extension &amp; Single Extension Linked",Bagging!D20="Single Extension with Extension Covers &amp; Single Extension Linked"))),1,IF(AND(Bagging!D20="Single Extension Linked(2 Sets)",'Job Sheet'!BE20="White"),2,""))</f>
        <v/>
      </c>
      <c r="EL14" s="106" t="str">
        <f>IF(AND('Job Sheet'!BE20="Black",(OR(Bagging!D20="Single Extension Linked",Bagging!D20="Single Extension &amp; Single Extension Linked",Bagging!D20="Single Extension with Extension Covers &amp; Single Extension Linked"))),1,IF(AND(Bagging!D20="Single Extension Linked(2 Sets)",'Job Sheet'!BE20="Black"),2,""))</f>
        <v/>
      </c>
      <c r="EM14" s="106" t="str">
        <f>IF(AND('Job Sheet'!BE20="Birch White",(OR(Bagging!D20="Single Extension Linked",Bagging!D20="Single Extension &amp; Single Extension Linked",Bagging!D20="Single Extension with Extension Covers &amp; Single Extension Linked"))),1,IF(AND(Bagging!D20="Single Extension Linked(2 Sets)",'Job Sheet'!BE20="Birch White"),2,""))</f>
        <v/>
      </c>
      <c r="EN14" s="106" t="str">
        <f>IF(AND('Job Sheet'!BE20="Grey",(OR(Bagging!D20="Single Extension Linked",Bagging!D20="Single Extension &amp; Single Extension Linked",Bagging!D20="Single Extension with Extension Covers &amp; Single Extension Linked"))),1,IF(AND(Bagging!D20="Single Extension Linked(2 Sets)",'Job Sheet'!BE20="Grey"),2,""))</f>
        <v/>
      </c>
      <c r="EO14" s="106" t="str">
        <f>IF(AND('Job Sheet'!BE20="Beige",(OR(Bagging!D20="Single Extension Linked",Bagging!D20="Single Extension &amp; Single Extension Linked",Bagging!D20="Single Extension with Extension Covers &amp; Single Extension Linked"))),1,IF(AND(Bagging!D20="Single Extension Linked(2 Sets)",'Job Sheet'!BE20="Beige"),2,""))</f>
        <v/>
      </c>
      <c r="EP14" s="106" t="str">
        <f>IF(AND('Job Sheet'!BE20="White",(OR(Bagging!D20="Dual Linked",Bagging!D20="Dual Same Side &amp; Dual Linked"))),1,IF(AND(Bagging!D20="Dual Linked(2 Sets)",'Job Sheet'!BE20="White"),2,""))</f>
        <v/>
      </c>
      <c r="EQ14" s="106" t="str">
        <f>IF(AND('Job Sheet'!BE20="Black",(OR(Bagging!D20="Dual Linked",Bagging!D20="Dual Same Side &amp; Dual Linked"))),1,IF(AND(Bagging!D20="Dual Linked(2 Sets)",'Job Sheet'!BE20="Black"),2,""))</f>
        <v/>
      </c>
      <c r="ER14" s="106" t="str">
        <f>IF(AND('Job Sheet'!BE20="Birch White",(OR(Bagging!D20="Dual Linked",Bagging!D20="Dual Same Side &amp; Dual Linked"))),1,IF(AND(Bagging!D20="Dual Linked(2 Sets)",'Job Sheet'!BE20="Birch White"),2,""))</f>
        <v/>
      </c>
      <c r="ES14" s="106" t="str">
        <f>IF(AND('Job Sheet'!BE20="Grey",(OR(Bagging!D20="Dual Linked",Bagging!D20="Dual Same Side &amp; Dual Linked"))),1,IF(AND(Bagging!D20="Dual Linked(2 Sets)",'Job Sheet'!BE20="Grey"),2,""))</f>
        <v/>
      </c>
      <c r="ET14" s="106" t="str">
        <f>IF(AND('Job Sheet'!BE20="Beige",(OR(Bagging!D20="Dual Linked",Bagging!D20="Dual Same Side &amp; Dual Linked"))),1,IF(AND(Bagging!D20="Dual Linked(2 Sets)",'Job Sheet'!BE20="Beige"),2,""))</f>
        <v/>
      </c>
      <c r="EU14" s="106" t="str">
        <f>IF(AND('Job Sheet'!BE20="White",(OR(Bagging!D20="Dual Slimline Linked Top Blind Front Roll",Bagging!D20="Slimline Dual Top Blind Front Roll LHS Control &amp; Dual Slimline Linked Top Blind Front Roll",Bagging!D20="Slimline Dual Top Blind Front Roll RHS Control &amp; Dual Slimline Linked Top Blind Front Roll"))),1,IF(AND(Bagging!D20="Dual Slimline Linked Top Blind Front Roll(2 Sets)",'Job Sheet'!BE20="White"),2,""))</f>
        <v/>
      </c>
      <c r="EV14" s="106" t="str">
        <f>IF(AND('Job Sheet'!BE20="Black",(OR(Bagging!D20="Dual Slimline Linked Top Blind Front Roll",Bagging!D20="Slimline Dual Top Blind Front Roll LHS Control &amp; Dual Slimline Linked Top Blind Front Roll",Bagging!D20="Slimline Dual Top Blind Front Roll RHS Control &amp; Dual Slimline Linked Top Blind Front Roll"))),1,IF(AND(Bagging!D20="Dual Slimline Linked Top Blind Front Roll(2 Sets)",'Job Sheet'!BE20="Black"),2,""))</f>
        <v/>
      </c>
      <c r="EW14" s="106" t="str">
        <f>IF(AND('Job Sheet'!BE20="Birch White",(OR(Bagging!D20="Dual Slimline Linked Top Blind Front Roll",Bagging!D20="Slimline Dual Top Blind Front Roll LHS Control &amp; Dual Slimline Linked Top Blind Front Roll",Bagging!D20="Slimline Dual Top Blind Front Roll RHS Control &amp; Dual Slimline Linked Top Blind Front Roll"))),1,IF(AND(Bagging!D20="Dual Slimline Linked Top Blind Front Roll(2 Sets)",'Job Sheet'!BE20="Birch White"),2,""))</f>
        <v/>
      </c>
      <c r="EX14" s="106" t="str">
        <f>IF(AND('Job Sheet'!BE20="Grey",(OR(Bagging!D20="Dual Slimline Linked Top Blind Front Roll",Bagging!D20="Slimline Dual Top Blind Front Roll LHS Control &amp; Dual Slimline Linked Top Blind Front Roll",Bagging!D20="Slimline Dual Top Blind Front Roll RHS Control &amp; Dual Slimline Linked Top Blind Front Roll"))),1,IF(AND(Bagging!D20="Dual Slimline Linked Top Blind Front Roll(2 Sets)",'Job Sheet'!BE20="Grey"),2,""))</f>
        <v/>
      </c>
      <c r="EY14" s="106" t="str">
        <f>IF(AND('Job Sheet'!BE20="Beige",(OR(Bagging!D20="Dual Slimline Linked Top Blind Front Roll",Bagging!D20="Slimline Dual Top Blind Front Roll LHS Control &amp; Dual Slimline Linked Top Blind Front Roll",Bagging!D20="Slimline Dual Top Blind Front Roll RHS Control &amp; Dual Slimline Linked Top Blind Front Roll"))),1,IF(AND(Bagging!D20="Dual Slimline Linked Top Blind Front Roll(2 Sets)",'Job Sheet'!BE20="Beige"),2,""))</f>
        <v/>
      </c>
      <c r="EZ14" s="106" t="str">
        <f>IF(AND('Job Sheet'!BE20="White",(OR(Bagging!D20="Dual Slimline Linked Top Blind Back Roll",Bagging!D20="Slimline Dual Top Blind Back Roll LHS Control &amp; Dual Slimline Linked Top Blind Back Roll",Bagging!D20="Slimline Dual Top Blind Back Roll RHS Control &amp; Dual Slimline Linked Top Blind Back Roll"))),1,IF(AND(Bagging!D20="Dual Slimline Linked Top Blind Back Roll(2 Sets)",'Job Sheet'!BE20="White"),2,""))</f>
        <v/>
      </c>
      <c r="FA14" s="106" t="str">
        <f>IF(AND('Job Sheet'!BE20="Black",(OR(Bagging!D20="Dual Slimline Linked Top Blind Back Roll",Bagging!D20="Slimline Dual Top Blind Back Roll LHS Control &amp; Dual Slimline Linked Top Blind Back Roll",Bagging!D20="Slimline Dual Top Blind Back Roll RHS Control &amp; Dual Slimline Linked Top Blind Back Roll"))),1,IF(AND(Bagging!D20="Dual Slimline Linked Top Blind Back Roll(2 Sets)",'Job Sheet'!BE20="Black"),2,""))</f>
        <v/>
      </c>
      <c r="FB14" s="106" t="str">
        <f>IF(AND('Job Sheet'!BE20="Birch White",(OR(Bagging!D20="Dual Slimline Linked Top Blind Back Roll",Bagging!D20="Slimline Dual Top Blind Back Roll LHS Control &amp; Dual Slimline Linked Top Blind Back Roll",Bagging!D20="Slimline Dual Top Blind Back Roll RHS Control &amp; Dual Slimline Linked Top Blind Back Roll"))),1,IF(AND(Bagging!D20="Dual Slimline Linked Top Blind Back Roll(2 Sets)",'Job Sheet'!BE20="Birch White"),2,""))</f>
        <v/>
      </c>
      <c r="FC14" s="106" t="str">
        <f>IF(AND('Job Sheet'!BE20="Grey",(OR(Bagging!D20="Dual Slimline Linked Top Blind Back Roll",Bagging!D20="Slimline Dual Top Blind Back Roll LHS Control &amp; Dual Slimline Linked Top Blind Back Roll",Bagging!D20="Slimline Dual Top Blind Back Roll RHS Control &amp; Dual Slimline Linked Top Blind Back Roll"))),1,IF(AND(Bagging!D20="Dual Slimline Linked Top Blind Back Roll(2 Sets)",'Job Sheet'!BE20="Grey"),2,""))</f>
        <v/>
      </c>
      <c r="FD14" s="106" t="str">
        <f>IF(AND('Job Sheet'!BE20="Beige",(OR(Bagging!D20="Dual Slimline Linked Top Blind Back Roll",Bagging!D20="Slimline Dual Top Blind Back Roll LHS Control &amp; Dual Slimline Linked Top Blind Back Roll",Bagging!D20="Slimline Dual Top Blind Back Roll RHS Control &amp; Dual Slimline Linked Top Blind Back Roll"))),1,IF(AND(Bagging!D20="Dual Slimline Linked Top Blind Back Roll(2 Sets)",'Job Sheet'!BE20="Beige"),2,""))</f>
        <v/>
      </c>
      <c r="FE14" s="106" t="str">
        <f>IF(AND(OR('Job Sheet'!BF20="Nickel Steel",'Job Sheet'!BF20="Nickel Steel Chain"),OR('Assembly(b)'!D20="500mm",'Assembly(b)'!D20="500")),1,"")</f>
        <v/>
      </c>
      <c r="FF14" s="106" t="str">
        <f>IF(AND(OR('Job Sheet'!BF20="Nickel Steel",'Job Sheet'!BF20="Nickel Steel Chain"),OR('Assembly(b)'!D20="750mm",'Assembly(b)'!D20="750")),1,"")</f>
        <v/>
      </c>
      <c r="FG14" s="106" t="str">
        <f>IF(AND(OR('Job Sheet'!BF20="Nickel Steel",'Job Sheet'!BF20="Nickel Steel Chain"),OR('Assembly(b)'!D20="1000mm",'Assembly(b)'!D20="1000")),1,"")</f>
        <v/>
      </c>
      <c r="FH14" s="106" t="str">
        <f>IF(AND(OR('Job Sheet'!BF20="Nickel Steel",'Job Sheet'!BF20="Nickel Steel Chain"),OR('Assembly(b)'!D20="1250mm",'Assembly(b)'!D20="1250")),1,"")</f>
        <v/>
      </c>
      <c r="FI14" s="106" t="str">
        <f>IF(AND(OR('Job Sheet'!BF20="Nickel Steel",'Job Sheet'!BF20="Nickel Steel Chain"),OR('Assembly(b)'!D20="1500mm",'Assembly(b)'!D20="1500")),1,"")</f>
        <v/>
      </c>
      <c r="FJ14" s="106" t="str">
        <f>IF(AND(OR('Job Sheet'!BF20="Nickel Steel",'Job Sheet'!BF20="Nickel Steel Chain"),OR('Assembly(b)'!D20="1750mm",'Assembly(b)'!D20="1750")),1,"")</f>
        <v/>
      </c>
      <c r="FK14" s="106" t="str">
        <f>IF(AND(OR('Job Sheet'!BF20="Nickel Steel",'Job Sheet'!BF20="Nickel Steel Chain"),OR('Assembly(b)'!D20="2000mm",'Assembly(b)'!D20="2000")),1,"")</f>
        <v/>
      </c>
      <c r="FL14" s="106" t="str">
        <f>IF(AND(OR('Job Sheet'!BF20="Nickel Steel",'Job Sheet'!BF20="Nickel Steel Chain"),OR('Assembly(b)'!D20="2250mm",'Assembly(b)'!D20="2250")),1,"")</f>
        <v/>
      </c>
      <c r="FM14" s="106" t="str">
        <f>IF(AND(OR('Job Sheet'!BF20="Nickel Steel",'Job Sheet'!BF20="Nickel Steel Chain"),OR('Assembly(b)'!D20="2500mm",'Assembly(b)'!D20="2500")),1,"")</f>
        <v/>
      </c>
      <c r="FN14" s="106" t="str">
        <f>IF(AND(OR('Job Sheet'!BF20="Nickel Steel",'Job Sheet'!BF20="Nickel Steel Chain"),OR('Assembly(b)'!D20="2750mm",'Assembly(b)'!D20="2750")),1,"")</f>
        <v/>
      </c>
      <c r="FO14" s="106" t="str">
        <f>IF(AND(OR('Job Sheet'!BF20="Nickel Steel",'Job Sheet'!BF20="Nickel Steel Chain"),OR('Assembly(b)'!D20="3000mm",'Assembly(b)'!D20="3000")),1,"")</f>
        <v/>
      </c>
      <c r="FP14" s="106" t="str">
        <f>IF(AND(OR('Job Sheet'!BF20="Nickel Steel",'Job Sheet'!BF20="Nickel Steel Chain"),OR('Assembly(b)'!D20="3250mm",'Assembly(b)'!D20="3250")),1,"")</f>
        <v/>
      </c>
      <c r="FQ14" s="106" t="str">
        <f>IF(AND(OR('Job Sheet'!BF20="Nickel Steel",'Job Sheet'!BF20="Nickel Steel Chain"),OR('Assembly(b)'!D20="3500mm",'Assembly(b)'!D20="3500")),1,"")</f>
        <v/>
      </c>
      <c r="FR14" s="106" t="str">
        <f>IF(AND(OR('Job Sheet'!BF20="Nickel Steel",'Job Sheet'!BF20="Nickel Steel Chain"),OR('Assembly(b)'!D20="3750mm",'Assembly(b)'!D20="3750")),1,"")</f>
        <v/>
      </c>
      <c r="FS14" s="106" t="str">
        <f>IF(AND(OR('Job Sheet'!BF20="Nickel Steel",'Job Sheet'!BF20="Nickel Steel Chain"),OR('Assembly(b)'!D20="4000mm",'Assembly(b)'!D20="4000")),1,"")</f>
        <v/>
      </c>
      <c r="FT14" s="106" t="str">
        <f>IF(AND(OR('Job Sheet'!BF20="White",'Job Sheet'!BF20="White Chain"),OR('Assembly(b)'!D20="500mm",'Assembly(b)'!D20="500")),1,"")</f>
        <v/>
      </c>
      <c r="FU14" s="106" t="str">
        <f>IF(AND(OR('Job Sheet'!BF20="White",'Job Sheet'!BF20="White Chain"),OR('Assembly(b)'!D20="750mm",'Assembly(b)'!D20="750")),1,"")</f>
        <v/>
      </c>
      <c r="FV14" s="106" t="str">
        <f>IF(AND(OR('Job Sheet'!BF20="White",'Job Sheet'!BF20="White Chain"),OR('Assembly(b)'!D20="1000mm",'Assembly(b)'!D20="1000")),1,"")</f>
        <v/>
      </c>
      <c r="FW14" s="106" t="str">
        <f>IF(AND(OR('Job Sheet'!BF20="White",'Job Sheet'!BF20="White Chain"),OR('Assembly(b)'!D20="1250mm",'Assembly(b)'!D20="1250")),1,"")</f>
        <v/>
      </c>
      <c r="FX14" s="106" t="str">
        <f>IF(AND(OR('Job Sheet'!BF20="White",'Job Sheet'!BF20="White Chain"),OR('Assembly(b)'!D20="1500mm",'Assembly(b)'!D20="1500")),1,"")</f>
        <v/>
      </c>
      <c r="FY14" s="106" t="str">
        <f>IF(AND(OR('Job Sheet'!BF20="White",'Job Sheet'!BF20="White Chain"),OR('Assembly(b)'!D20="1750mm",'Assembly(b)'!D20="1750")),1,"")</f>
        <v/>
      </c>
      <c r="FZ14" s="106" t="str">
        <f>IF(AND(OR('Job Sheet'!BF20="White",'Job Sheet'!BF20="White Chain"),OR('Assembly(b)'!D20="2000mm",'Assembly(b)'!D20="2000")),1,"")</f>
        <v/>
      </c>
      <c r="GA14" s="106" t="str">
        <f>IF(AND(OR('Job Sheet'!BF20="White",'Job Sheet'!BF20="White Chain"),OR('Assembly(b)'!D20="2250mm",'Assembly(b)'!D20="2250")),1,"")</f>
        <v/>
      </c>
      <c r="GB14" s="106" t="str">
        <f>IF(AND(OR('Job Sheet'!BF20="White",'Job Sheet'!BF20="White Chain"),OR('Assembly(b)'!D20="2500mm",'Assembly(b)'!D20="2500")),1,"")</f>
        <v/>
      </c>
      <c r="GC14" s="106" t="str">
        <f>IF(AND(OR('Job Sheet'!BF20="White",'Job Sheet'!BF20="White Chain"),OR('Assembly(b)'!D20="2750mm",'Assembly(b)'!D20="2750")),1,"")</f>
        <v/>
      </c>
      <c r="GD14" s="106" t="str">
        <f>IF(AND(OR('Job Sheet'!BF20="White",'Job Sheet'!BF20="White Chain"),OR('Assembly(b)'!D20="3000mm",'Assembly(b)'!D20="3000")),1,"")</f>
        <v/>
      </c>
      <c r="GE14" s="106" t="str">
        <f>IF(AND(OR('Job Sheet'!BF20="White",'Job Sheet'!BF20="White Chain"),OR('Assembly(b)'!D20="3250mm",'Assembly(b)'!D20="3250")),1,"")</f>
        <v/>
      </c>
      <c r="GF14" s="106" t="str">
        <f>IF(AND(OR('Job Sheet'!BF20="White",'Job Sheet'!BF20="White Chain"),OR('Assembly(b)'!D20="3500mm",'Assembly(b)'!D20="3500")),1,"")</f>
        <v/>
      </c>
      <c r="GG14" s="106" t="str">
        <f>IF(AND(OR('Job Sheet'!BF20="White",'Job Sheet'!BF20="White Chain"),OR('Assembly(b)'!D20="3750mm",'Assembly(b)'!D20="3750")),1,"")</f>
        <v/>
      </c>
      <c r="GH14" s="106" t="str">
        <f>IF(AND(OR('Job Sheet'!BF20="White",'Job Sheet'!BF20="White Chain"),OR('Assembly(b)'!D20="4000mm",'Assembly(b)'!D20="4000")),1,"")</f>
        <v/>
      </c>
      <c r="GI14" s="106" t="str">
        <f>IF(AND(OR('Job Sheet'!BF20="Black",'Job Sheet'!BF20="Black Chain"),OR('Assembly(b)'!D20="500mm",'Assembly(b)'!D20="500")),1,"")</f>
        <v/>
      </c>
      <c r="GJ14" s="106" t="str">
        <f>IF(AND(OR('Job Sheet'!BF20="Black",'Job Sheet'!BF20="Black Chain"),OR('Assembly(b)'!D20="750mm",'Assembly(b)'!D20="750")),1,"")</f>
        <v/>
      </c>
      <c r="GK14" s="106" t="str">
        <f>IF(AND(OR('Job Sheet'!BF20="Black",'Job Sheet'!BF20="Black Chain"),OR('Assembly(b)'!D20="1000mm",'Assembly(b)'!D20="1000")),1,"")</f>
        <v/>
      </c>
      <c r="GL14" s="106" t="str">
        <f>IF(AND(OR('Job Sheet'!BF20="Black",'Job Sheet'!BF20="Black Chain"),OR('Assembly(b)'!D20="1250mm",'Assembly(b)'!D20="1250")),1,"")</f>
        <v/>
      </c>
      <c r="GM14" s="106" t="str">
        <f>IF(AND(OR('Job Sheet'!BF20="Black",'Job Sheet'!BF20="Black Chain"),OR('Assembly(b)'!D20="1500mm",'Assembly(b)'!D20="1500")),1,"")</f>
        <v/>
      </c>
      <c r="GN14" s="106" t="str">
        <f>IF(AND(OR('Job Sheet'!BF20="Black",'Job Sheet'!BF20="Black Chain"),OR('Assembly(b)'!D20="1750mm",'Assembly(b)'!D20="1750")),1,"")</f>
        <v/>
      </c>
      <c r="GO14" s="106" t="str">
        <f>IF(AND(OR('Job Sheet'!BF20="Black",'Job Sheet'!BF20="Black Chain"),OR('Assembly(b)'!D20="2000mm",'Assembly(b)'!D20="2000")),1,"")</f>
        <v/>
      </c>
      <c r="GP14" s="106" t="str">
        <f>IF(AND(OR('Job Sheet'!BF20="Black",'Job Sheet'!BF20="Black Chain"),OR('Assembly(b)'!D20="2250mm",'Assembly(b)'!D20="2250")),1,"")</f>
        <v/>
      </c>
      <c r="GQ14" s="106" t="str">
        <f>IF(AND(OR('Job Sheet'!BF20="Black",'Job Sheet'!BF20="Black Chain"),OR('Assembly(b)'!D20="2500mm",'Assembly(b)'!D20="2500")),1,"")</f>
        <v/>
      </c>
      <c r="GR14" s="106" t="str">
        <f>IF(AND(OR('Job Sheet'!BF20="Black",'Job Sheet'!BF20="Black Chain"),OR('Assembly(b)'!D20="2750mm",'Assembly(b)'!D20="2750")),1,"")</f>
        <v/>
      </c>
      <c r="GS14" s="106" t="str">
        <f>IF(AND(OR('Job Sheet'!BF20="Black",'Job Sheet'!BF20="Black Chain"),OR('Assembly(b)'!D20="3000mm",'Assembly(b)'!D20="3000")),1,"")</f>
        <v/>
      </c>
      <c r="GT14" s="106" t="str">
        <f>IF(AND(OR('Job Sheet'!BF20="Black",'Job Sheet'!BF20="Black Chain"),OR('Assembly(b)'!D20="3250mm",'Assembly(b)'!D20="3250")),1,"")</f>
        <v/>
      </c>
      <c r="GU14" s="106" t="str">
        <f>IF(AND(OR('Job Sheet'!BF20="Black",'Job Sheet'!BF20="Black Chain"),OR('Assembly(b)'!D20="3500mm",'Assembly(b)'!D20="3500")),1,"")</f>
        <v/>
      </c>
      <c r="GV14" s="106" t="str">
        <f>IF(AND(OR('Job Sheet'!BF20="Black",'Job Sheet'!BF20="Black Chain"),OR('Assembly(b)'!D20="3750mm",'Assembly(b)'!D20="3750")),1,"")</f>
        <v/>
      </c>
      <c r="GW14" s="106" t="str">
        <f>IF(AND(OR('Job Sheet'!BF20="Black",'Job Sheet'!BF20="Black Chain"),OR('Assembly(b)'!D20="4000mm",'Assembly(b)'!D20="4000")),1,"")</f>
        <v/>
      </c>
      <c r="GX14" s="106" t="str">
        <f>IF(AND(OR('Job Sheet'!BF20="Birch White",'Job Sheet'!BF20="Birch White Chain"),OR('Assembly(b)'!D20="500mm",'Assembly(b)'!D20="500")),1,"")</f>
        <v/>
      </c>
      <c r="GY14" s="106" t="str">
        <f>IF(AND(OR('Job Sheet'!BF20="Birch White",'Job Sheet'!BF20="Birch White Chain"),OR('Assembly(b)'!D20="750mm",'Assembly(b)'!D20="750")),1,"")</f>
        <v/>
      </c>
      <c r="GZ14" s="106" t="str">
        <f>IF(AND(OR('Job Sheet'!BF20="Birch White",'Job Sheet'!BF20="Birch White Chain"),OR('Assembly(b)'!D20="1000mm",'Assembly(b)'!D20="1000")),1,"")</f>
        <v/>
      </c>
      <c r="HA14" s="106" t="str">
        <f>IF(AND(OR('Job Sheet'!BF20="Birch White",'Job Sheet'!BF20="Birch White Chain"),OR('Assembly(b)'!D20="1250mm",'Assembly(b)'!D20="1250")),1,"")</f>
        <v/>
      </c>
      <c r="HB14" s="106" t="str">
        <f>IF(AND(OR('Job Sheet'!BF20="Birch White",'Job Sheet'!BF20="Birch White Chain"),OR('Assembly(b)'!D20="1500mm",'Assembly(b)'!D20="1500")),1,"")</f>
        <v/>
      </c>
      <c r="HC14" s="106" t="str">
        <f>IF(AND(OR('Job Sheet'!BF20="Birch White",'Job Sheet'!BF20="Birch White Chain"),OR('Assembly(b)'!D20="1750mm",'Assembly(b)'!D20="1750")),1,"")</f>
        <v/>
      </c>
      <c r="HD14" s="106" t="str">
        <f>IF(AND(OR('Job Sheet'!BF20="Birch White",'Job Sheet'!BF20="Birch White Chain"),OR('Assembly(b)'!D20="2000mm",'Assembly(b)'!D20="2000")),1,"")</f>
        <v/>
      </c>
      <c r="HE14" s="106" t="str">
        <f>IF(AND(OR('Job Sheet'!BF20="Birch White",'Job Sheet'!BF20="Birch White Chain"),OR('Assembly(b)'!D20="2250mm",'Assembly(b)'!D20="2250")),1,"")</f>
        <v/>
      </c>
      <c r="HF14" s="106" t="str">
        <f>IF(AND(OR('Job Sheet'!BF20="Birch White",'Job Sheet'!BF20="Birch White Chain"),OR('Assembly(b)'!D20="2500mm",'Assembly(b)'!D20="2500")),1,"")</f>
        <v/>
      </c>
      <c r="HG14" s="106" t="str">
        <f>IF(AND(OR('Job Sheet'!BF20="Birch White",'Job Sheet'!BF20="Birch White Chain"),OR('Assembly(b)'!D20="2750mm",'Assembly(b)'!D20="2750")),1,"")</f>
        <v/>
      </c>
      <c r="HH14" s="106" t="str">
        <f>IF(AND(OR('Job Sheet'!BF20="Birch White",'Job Sheet'!BF20="Birch White Chain"),OR('Assembly(b)'!D20="3000mm",'Assembly(b)'!D20="3000")),1,"")</f>
        <v/>
      </c>
      <c r="HI14" s="106" t="str">
        <f>IF(AND(OR('Job Sheet'!BF20="Birch White",'Job Sheet'!BF20="Birch White Chain"),OR('Assembly(b)'!D20="3250mm",'Assembly(b)'!D20="3250")),1,"")</f>
        <v/>
      </c>
      <c r="HJ14" s="106" t="str">
        <f>IF(AND(OR('Job Sheet'!BF20="Birch White",'Job Sheet'!BF20="Birch White Chain"),OR('Assembly(b)'!D20="3500mm",'Assembly(b)'!D20="3500")),1,"")</f>
        <v/>
      </c>
      <c r="HK14" s="106" t="str">
        <f>IF(AND(OR('Job Sheet'!BF20="Birch White",'Job Sheet'!BF20="Birch White Chain"),OR('Assembly(b)'!D20="3750mm",'Assembly(b)'!D20="3750")),1,"")</f>
        <v/>
      </c>
      <c r="HL14" s="106" t="str">
        <f>IF(AND(OR('Job Sheet'!BF20="Birch White",'Job Sheet'!BF20="Birch White Chain"),OR('Assembly(b)'!D20="4000mm",'Assembly(b)'!D20="4000")),1,"")</f>
        <v/>
      </c>
      <c r="HM14" s="106" t="str">
        <f>IF(AND(OR('Job Sheet'!BF20="Grey",'Job Sheet'!BF20="Grey Chain"),OR('Assembly(b)'!D20="500mm",'Assembly(b)'!D20="500")),1,"")</f>
        <v/>
      </c>
      <c r="HN14" s="106" t="str">
        <f>IF(AND(OR('Job Sheet'!BF20="Grey",'Job Sheet'!BF20="Grey Chain"),OR('Assembly(b)'!D20="750mm",'Assembly(b)'!D20="750")),1,"")</f>
        <v/>
      </c>
      <c r="HO14" s="106" t="str">
        <f>IF(AND(OR('Job Sheet'!BF20="Grey",'Job Sheet'!BF20="Grey Chain"),OR('Assembly(b)'!D20="1000mm",'Assembly(b)'!D20="1000")),1,"")</f>
        <v/>
      </c>
      <c r="HP14" s="106" t="str">
        <f>IF(AND(OR('Job Sheet'!BF20="Grey",'Job Sheet'!BF20="Grey Chain"),OR('Assembly(b)'!D20="1250mm",'Assembly(b)'!D20="1250")),1,"")</f>
        <v/>
      </c>
      <c r="HQ14" s="106" t="str">
        <f>IF(AND(OR('Job Sheet'!BF20="Grey",'Job Sheet'!BF20="Grey Chain"),OR('Assembly(b)'!D20="1500mm",'Assembly(b)'!D20="1500")),1,"")</f>
        <v/>
      </c>
      <c r="HR14" s="106" t="str">
        <f>IF(AND(OR('Job Sheet'!BF20="Grey",'Job Sheet'!BF20="Grey Chain"),OR('Assembly(b)'!D20="1750mm",'Assembly(b)'!D20="1750")),1,"")</f>
        <v/>
      </c>
      <c r="HS14" s="106" t="str">
        <f>IF(AND(OR('Job Sheet'!BF20="Grey",'Job Sheet'!BF20="Grey Chain"),OR('Assembly(b)'!D20="2000mm",'Assembly(b)'!D20="2000")),1,"")</f>
        <v/>
      </c>
      <c r="HT14" s="106" t="str">
        <f>IF(AND(OR('Job Sheet'!BF20="Grey",'Job Sheet'!BF20="Grey Chain"),OR('Assembly(b)'!D20="2250mm",'Assembly(b)'!D20="2250")),1,"")</f>
        <v/>
      </c>
      <c r="HU14" s="106" t="str">
        <f>IF(AND(OR('Job Sheet'!BF20="Grey",'Job Sheet'!BF20="Grey Chain"),OR('Assembly(b)'!D20="2500mm",'Assembly(b)'!D20="2500")),1,"")</f>
        <v/>
      </c>
      <c r="HV14" s="106" t="str">
        <f>IF(AND(OR('Job Sheet'!BF20="Grey",'Job Sheet'!BF20="Grey Chain"),OR('Assembly(b)'!D20="2750mm",'Assembly(b)'!D20="2750")),1,"")</f>
        <v/>
      </c>
      <c r="HW14" s="106" t="str">
        <f>IF(AND(OR('Job Sheet'!BF20="Grey",'Job Sheet'!BF20="Grey Chain"),OR('Assembly(b)'!D20="3000mm",'Assembly(b)'!D20="3000")),1,"")</f>
        <v/>
      </c>
      <c r="HX14" s="106" t="str">
        <f>IF(AND(OR('Job Sheet'!BF20="Grey",'Job Sheet'!BF20="Grey Chain"),OR('Assembly(b)'!D20="3250mm",'Assembly(b)'!D20="3250")),1,"")</f>
        <v/>
      </c>
      <c r="HY14" s="106" t="str">
        <f>IF(AND(OR('Job Sheet'!BF20="Grey",'Job Sheet'!BF20="Grey Chain"),OR('Assembly(b)'!D20="3500mm",'Assembly(b)'!D20="3500")),1,"")</f>
        <v/>
      </c>
      <c r="HZ14" s="106" t="str">
        <f>IF(AND(OR('Job Sheet'!BF20="Grey",'Job Sheet'!BF20="Grey Chain"),OR('Assembly(b)'!D20="3750mm",'Assembly(b)'!D20="3750")),1,"")</f>
        <v/>
      </c>
      <c r="IA14" s="106" t="str">
        <f>IF(AND(OR('Job Sheet'!BF20="Grey",'Job Sheet'!BF20="Grey Chain"),OR('Assembly(b)'!D20="4000mm",'Assembly(b)'!D20="4000")),1,"")</f>
        <v/>
      </c>
      <c r="IB14" s="106" t="str">
        <f>IF(AND(OR('Job Sheet'!BF20="Beige",'Job Sheet'!BF20="Beige Chain"),OR('Assembly(b)'!D20="500mm",'Assembly(b)'!D20="500")),1,"")</f>
        <v/>
      </c>
      <c r="IC14" s="106" t="str">
        <f>IF(AND(OR('Job Sheet'!BF20="Beige",'Job Sheet'!BF20="Beige Chain"),OR('Assembly(b)'!D20="750mm",'Assembly(b)'!D20="750")),1,"")</f>
        <v/>
      </c>
      <c r="ID14" s="106" t="str">
        <f>IF(AND(OR('Job Sheet'!BF20="Beige",'Job Sheet'!BF20="Beige Chain"),OR('Assembly(b)'!D20="1000mm",'Assembly(b)'!D20="1000")),1,"")</f>
        <v/>
      </c>
      <c r="IE14" s="106" t="str">
        <f>IF(AND(OR('Job Sheet'!BF20="Beige",'Job Sheet'!BF20="Beige Chain"),OR('Assembly(b)'!D20="1250mm",'Assembly(b)'!D20="1250")),1,"")</f>
        <v/>
      </c>
      <c r="IF14" s="106" t="str">
        <f>IF(AND(OR('Job Sheet'!BF20="Beige",'Job Sheet'!BF20="Beige Chain"),OR('Assembly(b)'!D20="1500mm",'Assembly(b)'!D20="1500")),1,"")</f>
        <v/>
      </c>
      <c r="IG14" s="106" t="str">
        <f>IF(AND(OR('Job Sheet'!BF20="Beige",'Job Sheet'!BF20="Beige Chain"),OR('Assembly(b)'!D20="1750mm",'Assembly(b)'!D20="1750")),1,"")</f>
        <v/>
      </c>
      <c r="IH14" s="106" t="str">
        <f>IF(AND(OR('Job Sheet'!BF20="Beige",'Job Sheet'!BF20="Beige Chain"),OR('Assembly(b)'!D20="2000mm",'Assembly(b)'!D20="2000")),1,"")</f>
        <v/>
      </c>
      <c r="II14" s="106" t="str">
        <f>IF(AND(OR('Job Sheet'!BF20="Beige",'Job Sheet'!BF20="Beige Chain"),OR('Assembly(b)'!D20="2250mm",'Assembly(b)'!D20="2250")),1,"")</f>
        <v/>
      </c>
      <c r="IJ14" s="106" t="str">
        <f>IF(AND(OR('Job Sheet'!BF20="Beige",'Job Sheet'!BF20="Beige Chain"),OR('Assembly(b)'!D20="2500mm",'Assembly(b)'!D20="2500")),1,"")</f>
        <v/>
      </c>
      <c r="IK14" s="106" t="str">
        <f>IF(AND(OR('Job Sheet'!BF20="Beige",'Job Sheet'!BF20="Beige Chain"),OR('Assembly(b)'!D20="2750mm",'Assembly(b)'!D20="2750")),1,"")</f>
        <v/>
      </c>
      <c r="IL14" s="106" t="str">
        <f>IF(AND(OR('Job Sheet'!BF20="Beige",'Job Sheet'!BF20="Beige Chain"),OR('Assembly(b)'!D20="3000mm",'Assembly(b)'!D20="3000")),1,"")</f>
        <v/>
      </c>
      <c r="IM14" s="106" t="str">
        <f>IF(AND(OR('Job Sheet'!BF20="Beige",'Job Sheet'!BF20="Beige Chain"),OR('Assembly(b)'!D20="3250mm",'Assembly(b)'!D20="3250")),1,"")</f>
        <v/>
      </c>
      <c r="IN14" s="106" t="str">
        <f>IF(AND(OR('Job Sheet'!BF20="Beige",'Job Sheet'!BF20="Beige Chain"),OR('Assembly(b)'!D20="3500mm",'Assembly(b)'!D20="3500")),1,"")</f>
        <v/>
      </c>
      <c r="IO14" s="106" t="str">
        <f>IF(AND(OR('Job Sheet'!BF20="Beige",'Job Sheet'!BF20="Beige Chain"),OR('Assembly(b)'!D20="3750mm",'Assembly(b)'!D20="3750")),1,"")</f>
        <v/>
      </c>
      <c r="IP14" s="106" t="str">
        <f>IF(AND(OR('Job Sheet'!BF20="Beige",'Job Sheet'!BF20="Beige Chain"),OR('Assembly(b)'!D20="4000mm",'Assembly(b)'!D20="4000")),1,"")</f>
        <v/>
      </c>
      <c r="IQ14" s="106" t="str">
        <f>IF(AND(OR('Job Sheet'!BF20="Stainless Steel",'Job Sheet'!BF20="Stainless Steel Chain"),OR('Assembly(b)'!D20="500mm",'Assembly(b)'!D20="500")),1,"")</f>
        <v/>
      </c>
      <c r="IR14" s="106" t="str">
        <f>IF(AND(OR('Job Sheet'!BF20="Stainless Steel",'Job Sheet'!BF20="Stainless Steel Chain"),OR('Assembly(b)'!D20="750mm",'Assembly(b)'!D20="750")),1,"")</f>
        <v/>
      </c>
      <c r="IS14" s="106" t="str">
        <f>IF(AND(OR('Job Sheet'!BF20="Stainless Steel",'Job Sheet'!BF20="Stainless Steel Chain"),OR('Assembly(b)'!D20="1000mm",'Assembly(b)'!D20="1000")),1,"")</f>
        <v/>
      </c>
      <c r="IT14" s="106" t="str">
        <f>IF(AND(OR('Job Sheet'!BF20="Stainless Steel",'Job Sheet'!BF20="Stainless Steel Chain"),OR('Assembly(b)'!D20="1250mm",'Assembly(b)'!D20="1250")),1,"")</f>
        <v/>
      </c>
      <c r="IU14" s="106" t="str">
        <f>IF(AND(OR('Job Sheet'!BF20="Stainless Steel",'Job Sheet'!BF20="Stainless Steel Chain"),OR('Assembly(b)'!D20="1500mm",'Assembly(b)'!D20="1500")),1,"")</f>
        <v/>
      </c>
      <c r="IV14" s="106" t="str">
        <f>IF(AND(OR('Job Sheet'!BF20="Stainless Steel",'Job Sheet'!BF20="Stainless Steel Chain"),OR('Assembly(b)'!D20="1750mm",'Assembly(b)'!D20="1750")),1,"")</f>
        <v/>
      </c>
      <c r="IW14" s="106" t="str">
        <f>IF(AND(OR('Job Sheet'!BF20="Stainless Steel",'Job Sheet'!BF20="Stainless Steel Chain"),OR('Assembly(b)'!D20="2000mm",'Assembly(b)'!D20="2000")),1,"")</f>
        <v/>
      </c>
      <c r="IX14" s="106" t="str">
        <f>IF(AND(OR('Job Sheet'!BF20="Stainless Steel",'Job Sheet'!BF20="Stainless Steel Chain"),OR('Assembly(b)'!D20="2250mm",'Assembly(b)'!D20="2250")),1,"")</f>
        <v/>
      </c>
      <c r="IY14" s="106" t="str">
        <f>IF(AND(OR('Job Sheet'!BF20="Stainless Steel",'Job Sheet'!BF20="Stainless Steel Chain"),OR('Assembly(b)'!D20="2500mm",'Assembly(b)'!D20="2500")),1,"")</f>
        <v/>
      </c>
      <c r="IZ14" s="106" t="str">
        <f>IF(AND(OR('Job Sheet'!BF20="Stainless Steel",'Job Sheet'!BF20="Stainless Steel Chain"),OR('Assembly(b)'!D20="2750mm",'Assembly(b)'!D20="2750")),1,"")</f>
        <v/>
      </c>
      <c r="JA14" s="106" t="str">
        <f>IF(AND(OR('Job Sheet'!BF20="Stainless Steel",'Job Sheet'!BF20="Stainless Steel Chain"),OR('Assembly(b)'!D20="3000mm",'Assembly(b)'!D20="3000")),1,"")</f>
        <v/>
      </c>
      <c r="JB14" s="106" t="str">
        <f>IF(AND(OR('Job Sheet'!BF20="Stainless Steel",'Job Sheet'!BF20="Stainless Steel Chain"),OR('Assembly(b)'!D20="3250mm",'Assembly(b)'!D20="3250")),1,"")</f>
        <v/>
      </c>
      <c r="JC14" s="106" t="str">
        <f>IF(AND(OR('Job Sheet'!BF20="Stainless Steel",'Job Sheet'!BF20="Stainless Steel Chain"),OR('Assembly(b)'!D20="3500mm",'Assembly(b)'!D20="3500")),1,"")</f>
        <v/>
      </c>
      <c r="JD14" s="106" t="str">
        <f>IF(AND(OR('Job Sheet'!BF20="Stainless Steel",'Job Sheet'!BF20="Stainless Steel Chain"),OR('Assembly(b)'!D20="3750mm",'Assembly(b)'!D20="3750")),1,"")</f>
        <v/>
      </c>
      <c r="JE14" s="106" t="str">
        <f>IF(AND(OR('Job Sheet'!BF20="Stainless Steel",'Job Sheet'!BF20="Stainless Steel Chain"),OR('Assembly(b)'!D20="4000mm",'Assembly(b)'!D20="4000")),1,"")</f>
        <v/>
      </c>
      <c r="JF14" s="106" t="str">
        <f>IF(AND('Assembly(b)'!I20="Yes - L",(OR('Tube Cutting'!C20="43mm",'Tube Cutting'!C20="43mm H/D"))),1,"")</f>
        <v/>
      </c>
      <c r="JG14" s="106" t="str">
        <f>IF(AND('Assembly(b)'!I20="Yes - R",(OR('Tube Cutting'!C20="43mm",'Tube Cutting'!C20="43mm H/D"))),1,"")</f>
        <v/>
      </c>
      <c r="JH14" s="106" t="str">
        <f>IF(AND('Assembly(b)'!I20="Yes - L",'Tube Cutting'!C20="60mm"),1,"")</f>
        <v/>
      </c>
      <c r="JI14" s="106" t="str">
        <f>IF(AND('Assembly(b)'!I20="Yes - R",'Tube Cutting'!C20="60mm"),1,"")</f>
        <v/>
      </c>
      <c r="JJ14" s="106" t="str">
        <f>IF(OR('Job Sheet'!BE20="Black",'Assembly(b)'!J20="N/A"),"",IF(OR('Assembly(b)'!J20="Motor - Female",'Assembly(b)'!J20="Motor - Female with Insert",'Assembly(b)'!J20="Female - Motor",'Assembly(b)'!J20="Chain Winder - Female",'Assembly(b)'!J20="Chain Winder - Female with Insert",'Assembly(b)'!J20="Female - Chain Winder",'Assembly(b)'!J20="Male - Female",'Assembly(b)'!J20="Female - Male",'Assembly(b)'!J20="Male - Female with Insert"),1,""))</f>
        <v/>
      </c>
      <c r="JK14" s="106" t="str">
        <f>IF(OR('Job Sheet'!BE20="White",'Assembly(b)'!J20="N/A"),"",IF(OR('Assembly(b)'!J20="Motor - Female",'Assembly(b)'!J20="Motor - Female with Insert",'Assembly(b)'!J20="Female - Motor",'Assembly(b)'!J20="Chain Winder - Female",'Assembly(b)'!J20="Chain Winder - Female with Insert",'Assembly(b)'!J20="Female - Chain Winder",'Assembly(b)'!J20="Male - Female",'Assembly(b)'!J20="Female - Male",'Assembly(b)'!J20="Male - Female with Insert"),1,""))</f>
        <v/>
      </c>
      <c r="JL14" s="106" t="str">
        <f>IF(OR('Job Sheet'!BE20="White",'Assembly(b)'!J20="N/A"),"",IF(OR('Assembly(b)'!J20="Motor - Male",'Assembly(b)'!J20="Male - Motor",'Assembly(b)'!J20="Chain Winder - Male",'Assembly(b)'!J20="Male - Chain Winder",'Assembly(b)'!J20="Male - Female",'Assembly(b)'!J20="Female - Male",'Assembly(b)'!J20="Male - Idle",'Assembly(b)'!J20="Idle - Male"),1,""))</f>
        <v/>
      </c>
      <c r="JM14" s="106" t="str">
        <f>IF(OR('Job Sheet'!BE20="White",'Job Sheet'!BE20="Birch White",'Job Sheet'!BE20="Grey",'Job Sheet'!BE20="Beige",'Assembly(b)'!J20="N/A"),"",IF(OR('Assembly(b)'!J20="Motor - Male",'Assembly(b)'!J20="Male - Motor",'Assembly(b)'!J20="Chain Winder - Male",'Assembly(b)'!J20="Male - Chain Winder",'Assembly(b)'!J20="Male - Female",'Assembly(b)'!J20="Female - Male",'Assembly(b)'!J20="Male - Idle",'Assembly(b)'!J20="Idle - Male"),1,""))</f>
        <v/>
      </c>
      <c r="JN14" s="106" t="str">
        <f>IF(OR('Job Sheet'!BE20="Black",'Assembly(b)'!J20="N/A"),"",IF(OR('Assembly(b)'!J20="Motor - 60mm Female",'Assembly(b)'!J20="60mm Female - Motor",'Assembly(b)'!J20="Chain Winder - 60mm Female",'Assembly(b)'!J20="60mm Female - Chain Winder",'Assembly(b)'!J20="60mm Male - 60mm Female",'Assembly(b)'!J20="60mm Female - 60mm Male"),1,""))</f>
        <v/>
      </c>
      <c r="JO14" s="106" t="str">
        <f>IF(OR('Job Sheet'!BE20="White",'Assembly(b)'!J20="N/A"),"",IF(OR('Assembly(b)'!J20="Motor - 60mm Female",'Assembly(b)'!J20="60mm Female - Motor",'Assembly(b)'!J20="Chain Winder - 60mm Female",'Assembly(b)'!J20="60mm Female - Chain Winder",'Assembly(b)'!J20="60mm Male - 60mm Female",'Assembly(b)'!J20="60mm Female - 60mm Male"),1,""))</f>
        <v/>
      </c>
      <c r="JP14" s="106" t="str">
        <f>IF(OR('Job Sheet'!BE20="Black",'Assembly(b)'!J20="N/A"),"",IF(OR('Assembly(b)'!J20="Motor - 60mm Male",'Assembly(b)'!J20="60mm Male - Motor",'Assembly(b)'!J20="Chain Winder - 60mm Male",'Assembly(b)'!J20="60mm Male - Chain Winder",'Assembly(b)'!J20="60mm Male - 60mm Female",'Assembly(b)'!J20="60mm Female - 60mm Male"),1,""))</f>
        <v/>
      </c>
      <c r="JQ14" s="106" t="str">
        <f>IF(OR('Job Sheet'!BE20="White",'Assembly(b)'!J20="N/A"),"",IF(OR('Assembly(b)'!J20="Motor - 60mm Male",'Assembly(b)'!J20="60mm Male - Motor",'Assembly(b)'!J20="Chain Winder - 60mm Male",'Assembly(b)'!J20="60mm Male - Chain Winder",'Assembly(b)'!J20="60mm Male - 60mm Female",'Assembly(b)'!J20="60mm Female - 60mm Male"),1,""))</f>
        <v/>
      </c>
      <c r="JR14" s="106" t="str">
        <f>IF('Assembly(b)'!F20="Standard Spring",1,"")</f>
        <v/>
      </c>
      <c r="JS14" s="106" t="str">
        <f>IF('Assembly(b)'!F20="Small Spring",1,"")</f>
        <v/>
      </c>
      <c r="JT14" s="106" t="str">
        <f>IF(D14="","",IF(OR(SUM(R14:V14)=0,'Tube Cutting'!E20="Bottom Rail in Pocket"),"",SUM(R14:V14)))</f>
        <v/>
      </c>
      <c r="JU14" s="106" t="str">
        <f>IF('Job Sheet'!BE20="Silver Pull Ring",1,"")</f>
        <v/>
      </c>
      <c r="JV14" s="106" t="str">
        <f>IF('Job Sheet'!BE20="Gold Pull Ring",1,"")</f>
        <v/>
      </c>
      <c r="JW14" s="106" t="str">
        <f>IF(AND('Job Sheet'!BE20="White",'Assembly(b)'!E20="60mm"),1,"")</f>
        <v/>
      </c>
      <c r="JX14" s="106" t="str">
        <f>IF(AND('Job Sheet'!BE20="Black",'Assembly(b)'!E20="60mm"),1,"")</f>
        <v/>
      </c>
      <c r="JY14" s="106" t="str">
        <f>IF(AND(OR('Assembly(b)'!G20="White",'Assembly(b)'!J20="N/A"),(OR(AND('Assembly(b)'!F20="Chain Winder",'Assembly(b)'!E20="60mm"),'Job Sheet'!AR20="Acmeda External Motor",'Job Sheet'!AR20="Somfy External CBUS Motor",'Job Sheet'!AR20="Somfy External Remote Motor"))),1,IF(AND('Assembly(b)'!G20="White",(OR('Assembly(b)'!J20="60mm Male - 60mm Idle",'Assembly(b)'!J20="60mm Idle - 60mm Male"))),1,""))</f>
        <v/>
      </c>
      <c r="JZ14" s="106" t="str">
        <f>IF(AND(OR('Assembly(b)'!G20="Black",'Assembly(b)'!J20="N/A"),(OR(AND('Assembly(b)'!F20="Chain Winder",'Assembly(b)'!E20="60mm"),'Job Sheet'!AR20="Acmeda External Motor",'Job Sheet'!AR20="Somfy External CBUS Motor",'Job Sheet'!AR20="Somfy External Remote Motor"))),1,IF(AND('Assembly(b)'!G20="Black",(OR('Assembly(b)'!J20="60mm Male - 60mm Idle",'Assembly(b)'!J20="60mm Idle - 60mm Male"))),1,""))</f>
        <v/>
      </c>
      <c r="KA14" s="106" t="str">
        <f t="shared" si="3"/>
        <v/>
      </c>
      <c r="KB14" s="106" t="str">
        <f t="shared" si="4"/>
        <v/>
      </c>
      <c r="KC14" s="106" t="str">
        <f>IF('Tube Cutting'!J20&lt;&gt;"Zipscreen Hooding",JW14,"")</f>
        <v/>
      </c>
      <c r="KD14" s="106" t="str">
        <f>IF('Tube Cutting'!J20&lt;&gt;"Zipscreen Hooding",JX14,"")</f>
        <v/>
      </c>
      <c r="KE14" s="106" t="str">
        <f t="shared" si="5"/>
        <v/>
      </c>
      <c r="KF14" s="106" t="str">
        <f t="shared" si="6"/>
        <v/>
      </c>
      <c r="KG14" s="7" t="str">
        <f>IF(D14="","",IF(OR(Bagging!F20="Yes - Attach",Bagging!F20="Yes"),1,""))</f>
        <v/>
      </c>
      <c r="KH14" s="106" t="str">
        <f t="shared" si="7"/>
        <v/>
      </c>
      <c r="KI14" s="106" t="str">
        <f>IF('Assembly(b)'!F20="Acmeda E6 Motor",1,"")</f>
        <v/>
      </c>
      <c r="KJ14" s="106" t="str">
        <f>IF('Assembly(b)'!F20="Acmeda M6 Motor",1,"")</f>
        <v/>
      </c>
      <c r="KK14" s="106" t="str">
        <f>IF('Assembly(b)'!F20="0.7nm 12v Acmeda Motor",1,"")</f>
        <v/>
      </c>
      <c r="KL14" s="106" t="str">
        <f>IF('Assembly(b)'!F20="1.1nm 12v Acmeda Motor",1,"")</f>
        <v/>
      </c>
      <c r="KM14" s="106" t="str">
        <f>IF('Assembly(b)'!F20="2nm 12v Acmeda Motor",1,"")</f>
        <v/>
      </c>
      <c r="KN14" s="106" t="str">
        <f>IF('Assembly(b)'!F20="Acmeda 12v 6nm Motor",1,"")</f>
        <v/>
      </c>
      <c r="KO14" s="106" t="str">
        <f>IF('Assembly(b)'!F20="Acmeda 10nm 12v Motor",1,"")</f>
        <v/>
      </c>
      <c r="KP14" s="106" t="str">
        <f>IF('Assembly(b)'!F20="Acmeda FT 15Nm Motor",1,"")</f>
        <v/>
      </c>
      <c r="KQ14" s="106" t="str">
        <f>IF('Assembly(b)'!F20="1.1nm 12v Acmeda DCRF Motor",1,"")</f>
        <v/>
      </c>
      <c r="KR14" s="106" t="str">
        <f>IF('Assembly(b)'!F20="2nm 12v Acmeda DCRF Motor",1,"")</f>
        <v/>
      </c>
      <c r="KS14" s="106" t="str">
        <f>IF('Assembly(b)'!F20="Sonesse 40 RTS 3/30 with Inline Connector Motor",1,"")</f>
        <v/>
      </c>
      <c r="KT14" s="106" t="str">
        <f>IF('Assembly(b)'!F20="Sonesse 40 WT 3/30 with Inline Connector Motor",1,"")</f>
        <v/>
      </c>
      <c r="KU14" s="106" t="str">
        <f>IF('Assembly(b)'!F20="Somfy 12v Remote Sonesse Motor",1,"")</f>
        <v/>
      </c>
      <c r="KV14" s="106" t="str">
        <f>IF('Assembly(b)'!F20="Sonesse 50 RTS 6/17 RH Motor",1,"")</f>
        <v/>
      </c>
      <c r="KW14" s="106" t="str">
        <f>IF('Assembly(b)'!F20="Sonesse 50 WT 10/28 Motor",1,"")</f>
        <v/>
      </c>
      <c r="KX14" s="106" t="str">
        <f>IF('Assembly(b)'!F20="Becker P4-30-C12A Motor",1,"")</f>
        <v/>
      </c>
      <c r="KY14" s="106" t="str">
        <f>IF('Assembly(b)'!F20="Becker cBus Motor",1,"")</f>
        <v/>
      </c>
      <c r="KZ14" s="106" t="str">
        <f>IF('Assembly(b)'!F20="Becker R20-17-C12A Motor",1,"")</f>
        <v/>
      </c>
      <c r="LA14" s="106" t="str">
        <f>IF('Assembly(b)'!F20="Becker cBus Motor",1,"")</f>
        <v/>
      </c>
      <c r="LB14" s="106" t="str">
        <f t="shared" si="57"/>
        <v/>
      </c>
      <c r="LC14" s="106" t="str">
        <f t="shared" si="58"/>
        <v/>
      </c>
      <c r="LD14" s="106" t="str">
        <f t="shared" si="59"/>
        <v/>
      </c>
      <c r="LE14" s="106" t="str">
        <f t="shared" si="60"/>
        <v/>
      </c>
      <c r="LF14" s="106" t="str">
        <f t="shared" si="12"/>
        <v/>
      </c>
      <c r="LG14" s="106" t="str">
        <f t="shared" si="13"/>
        <v/>
      </c>
      <c r="LH14" s="106" t="str">
        <f>IF(KO14="","",IF(OR('Tube Cutting'!C20="60mm",'Tube Cutting'!C20="80mm"),SUM(KO14,KP14),""))</f>
        <v/>
      </c>
      <c r="LI14" s="106" t="str">
        <f t="shared" si="61"/>
        <v/>
      </c>
      <c r="LJ14" s="106" t="str">
        <f t="shared" si="62"/>
        <v/>
      </c>
      <c r="LK14" s="106" t="str">
        <f t="shared" si="16"/>
        <v/>
      </c>
      <c r="LL14" s="106" t="str">
        <f t="shared" si="17"/>
        <v/>
      </c>
      <c r="LM14" s="106" t="str">
        <f t="shared" si="18"/>
        <v/>
      </c>
      <c r="LN14" s="106" t="str">
        <f t="shared" si="19"/>
        <v/>
      </c>
      <c r="LO14" s="106" t="str">
        <f t="shared" si="63"/>
        <v/>
      </c>
      <c r="LP14" s="106" t="str">
        <f>IF(AND(KP14=1,'Job Sheet'!BE20="Black"),1,"")</f>
        <v/>
      </c>
      <c r="LQ14" s="106" t="str">
        <f>IF(AND(KP14=1,'Job Sheet'!BE20="White"),1,"")</f>
        <v/>
      </c>
      <c r="LR14" s="106" t="str">
        <f t="shared" si="21"/>
        <v/>
      </c>
      <c r="LS14" s="106" t="str">
        <f t="shared" si="64"/>
        <v/>
      </c>
      <c r="LT14" s="106" t="str">
        <f t="shared" si="65"/>
        <v/>
      </c>
      <c r="LU14" s="106" t="str">
        <f t="shared" si="66"/>
        <v/>
      </c>
      <c r="LV14" s="106" t="str">
        <f t="shared" si="67"/>
        <v/>
      </c>
      <c r="LW14" s="106" t="str">
        <f>IF(OR('Tube Cutting'!C20="60mm",'Tube Cutting'!C20="80mm"),SUM(KV14,KW14),"")</f>
        <v/>
      </c>
      <c r="LX14" s="106" t="str">
        <f t="shared" si="68"/>
        <v/>
      </c>
      <c r="LY14" s="106" t="str">
        <f t="shared" si="69"/>
        <v/>
      </c>
      <c r="LZ14" s="106" t="str">
        <f t="shared" si="70"/>
        <v/>
      </c>
      <c r="MA14" s="106" t="str">
        <f t="shared" si="71"/>
        <v/>
      </c>
      <c r="MB14" s="106" t="str">
        <f t="shared" si="72"/>
        <v/>
      </c>
      <c r="MC14" s="106" t="str">
        <f t="shared" si="73"/>
        <v/>
      </c>
      <c r="MD14" s="106" t="str">
        <f t="shared" si="74"/>
        <v/>
      </c>
      <c r="ME14" s="106" t="str">
        <f t="shared" si="75"/>
        <v/>
      </c>
      <c r="MF14" s="106" t="str">
        <f>IF('Job Sheet'!N20="Pulse Pro Automation Hub",1,"")</f>
        <v/>
      </c>
      <c r="MG14" s="106" t="str">
        <f>IF('Job Sheet'!N20="Solar Panel",1,"")</f>
        <v/>
      </c>
      <c r="MH14" s="106" t="str">
        <f>IF(AND('Job Sheet'!N20="12v Wall Charger with 4m USB Cable",KN14="",KO14=""),1,"")</f>
        <v/>
      </c>
      <c r="MI14" s="106" t="str">
        <f>IF(Bagging!I20="12v Wall Charger with Cable to suit 3nm Motor",1,"")</f>
        <v/>
      </c>
      <c r="MJ14" s="106" t="str">
        <f t="array" ref="MJ14">IF(OR('Job Sheet'!N20="210mm Extension Charging Cable",AND(bpLOOKUP(Data!$AV20,"CONTROLS",CustOrdOpt,6,FALSE)="Acmeda 12v Motor",OL14=1)),1,"")</f>
        <v/>
      </c>
      <c r="MK14" s="106" t="str">
        <f>IF('Job Sheet'!N20="1200mm Extension Charging Cable",1,"")</f>
        <v/>
      </c>
      <c r="ML14" s="106" t="str">
        <f>IF('Job Sheet'!N20="1 Channel Dry Contact Relay Module",1,"")</f>
        <v/>
      </c>
      <c r="MM14" s="106" t="str">
        <f>IF('Job Sheet'!N20="USB Repeater",1,"")</f>
        <v/>
      </c>
      <c r="MN14" s="106" t="str">
        <f>IF(OR('Assembly(b)'!F20="1.1nm 12v Acmeda DCRF Motor",'Assembly(b)'!F20="2nm 12v Acmeda DCRF Motor"),1,"")</f>
        <v/>
      </c>
      <c r="MO14" s="106" t="str">
        <f>IF('Job Sheet'!N20="DC Panel",1,"")</f>
        <v/>
      </c>
      <c r="MP14" s="106" t="str">
        <f t="array" ref="MP14">IF(AND(bpLOOKUP(Data!$AV20,"CONTROLS",CustOrdOpt,6,FALSE)="Acmeda 12v Motor",Bagging!G20="White"),1,"")</f>
        <v/>
      </c>
      <c r="MQ14" s="106" t="str">
        <f t="array" ref="MQ14">IF(AND(bpLOOKUP(Data!$AV20,"CONTROLS",CustOrdOpt,6,FALSE)="Acmeda 12v Motor",Bagging!G20="Black"),1,"")</f>
        <v/>
      </c>
      <c r="MR14" s="106" t="str">
        <f>IF('Job Sheet'!R20="Acmeda 1 Channel White Remote",1,"")</f>
        <v/>
      </c>
      <c r="MS14" s="106" t="str">
        <f>IF('Job Sheet'!R20="Acmeda 1 Channel Black Remote",1,"")</f>
        <v/>
      </c>
      <c r="MT14" s="106" t="str">
        <f>IF('Job Sheet'!R20="Acmeda 5 Channel White Remote",1,"")</f>
        <v/>
      </c>
      <c r="MU14" s="106" t="str">
        <f>IF('Job Sheet'!R20="Acmeda 5 Channel Black Remote",1,"")</f>
        <v/>
      </c>
      <c r="MV14" s="106" t="str">
        <f>IF('Job Sheet'!R20="Acmeda 15 Channel White Remote",1,"")</f>
        <v/>
      </c>
      <c r="MW14" s="106" t="str">
        <f>IF('Job Sheet'!R20="Acmeda 15 Channel Black Remote",1,"")</f>
        <v/>
      </c>
      <c r="MX14" s="106" t="str">
        <f>IF('Job Sheet'!R20="Acmeda Wall Mounted Single Channel White Remote",1,"")</f>
        <v/>
      </c>
      <c r="MY14" s="106" t="str">
        <f>IF('Job Sheet'!R20="Acmeda Wall Mounted 2 Channel White Remote",1,"")</f>
        <v/>
      </c>
      <c r="MZ14" s="106" t="str">
        <f>IF('Job Sheet'!R20="Acmeda Wall Mounted 5 Channel White Remote",1,"")</f>
        <v/>
      </c>
      <c r="NA14" s="106" t="str">
        <f>IF('Job Sheet'!R20="Acmeda Wall Mounted 15 Channel White Remote",1,"")</f>
        <v/>
      </c>
      <c r="NB14" s="106" t="str">
        <f>IF('Job Sheet'!R20="Acmeda Push Pro White Remote","1","")</f>
        <v/>
      </c>
      <c r="NC14" s="106" t="str">
        <f>IF('Job Sheet'!R20="Acmeda Push Pro Black Remote","1","")</f>
        <v/>
      </c>
      <c r="ND14" s="106" t="str">
        <f>IF(OR('Job Sheet'!R20="Acmeda Push Pro White Remote with Charger",'Job Sheet'!R20="Acmeda Push Pro Black Remote with Charger"),1,"")</f>
        <v/>
      </c>
      <c r="NE14" s="106" t="str">
        <f t="shared" si="34"/>
        <v/>
      </c>
      <c r="NF14" s="106" t="str">
        <f>IF('Job Sheet'!R20="Somfy Single Channel White Remote",1,"")</f>
        <v/>
      </c>
      <c r="NG14" s="106" t="str">
        <f>IF('Job Sheet'!R20="Somfy Single Channel Silver Remote",1,"")</f>
        <v/>
      </c>
      <c r="NH14" s="106" t="str">
        <f>IF('Job Sheet'!R20="Somfy 2 Channel White Remote",1,"")</f>
        <v/>
      </c>
      <c r="NI14" s="106" t="str">
        <f>IF('Job Sheet'!R20="Somfy 2 Channel Silver Remote",1,"")</f>
        <v/>
      </c>
      <c r="NJ14" s="106" t="str">
        <f>IF('Job Sheet'!R20="Somfy 5 Channel White Remote",1,"")</f>
        <v/>
      </c>
      <c r="NK14" s="106" t="str">
        <f>IF('Job Sheet'!R20="Somfy 5 Channel Silver Remote",1,"")</f>
        <v/>
      </c>
      <c r="NL14" s="106" t="str">
        <f>IF('Job Sheet'!R20="Somfy 15 Channel White Remote",1,"")</f>
        <v/>
      </c>
      <c r="NM14" s="106" t="str">
        <f>IF('Job Sheet'!R20="Somfy 15 Channel Black Remote",1,"")</f>
        <v/>
      </c>
      <c r="NN14" s="106" t="str">
        <f>IF(OR('Job Sheet'!R20="Somfy Single Channel Wall Mounted Smoove Remote White",'Job Sheet'!R20="Somfy Single Channel Wall Mounted Smoove Remote White with Black Cover Plate",'Job Sheet'!R20="Somfy Single Channel Wall Mounted Smoove Remote White with Silver Cover Plate"),1,"")</f>
        <v/>
      </c>
      <c r="NO14" s="106" t="str">
        <f>IF(OR('Job Sheet'!R20="Somfy 2 Channel Wall Mounted Smoove Remote White",'Job Sheet'!R20="Somfy 2 Channel Wall Mounted Smoove Remote White with Black Cover Plate",'Job Sheet'!R20="Somfy 2 Channel Wall Mounted Smoove Remote White with Silver Cover Plate"),1,"")</f>
        <v/>
      </c>
      <c r="NP14" s="106" t="str">
        <f>IF(OR('Job Sheet'!R20="Somfy 5 Channel Wall Mounted Smoove Remote White",'Job Sheet'!R20="Somfy 5 Channel Wall Mounted Smoove Remote White with Black Cover Plate",'Job Sheet'!R20="Somfy 5 Channel Wall Mounted Smoove Remote White with Silver Cover Plate"),1,"")</f>
        <v/>
      </c>
      <c r="NQ14" s="106" t="str">
        <f>IF(OR('Job Sheet'!R20="Somfy Single Channel Wall Mounted Smoove Remote White with Black Cover Plate",'Job Sheet'!R20="Somfy 2 Channel Wall Mounted Smoove Remote White with Black Cover Plate",'Job Sheet'!R20="Somfy 5 Channel Wall Mounted Smoove Remote White with Black Cover Plate"),1,"")</f>
        <v/>
      </c>
      <c r="NR14" s="106" t="str">
        <f>IF(OR('Job Sheet'!R20="Somfy Single Channel Wall Mounted Smoove Remote White with Silver Cover Plate",'Job Sheet'!R20="Somfy 2 Channel Wall Mounted Smoove Remote White with Silver Cover Plate",'Job Sheet'!R20="Somfy 5 Channel Wall Mounted Smoove Remote White with Silver Cover Plate"),1,"")</f>
        <v/>
      </c>
      <c r="NS14" s="106" t="str">
        <f>IF(Bagging!I20="Charging Cable",1,"")</f>
        <v/>
      </c>
      <c r="NT14" s="106" t="str">
        <f>IF('Job Sheet'!N20="Connexoon App Connector",1,"")</f>
        <v/>
      </c>
      <c r="NU14" s="106" t="str">
        <f>IF('Job Sheet'!R20="Becker Single Channel White Remote",1,"")</f>
        <v/>
      </c>
      <c r="NV14" s="106" t="str">
        <f>IF('Job Sheet'!R20="Becker Single Channel Black Remote",1,"")</f>
        <v/>
      </c>
      <c r="NW14" s="106" t="str">
        <f>IF('Job Sheet'!R20="Becker 5 Channel White Remote",1,"")</f>
        <v/>
      </c>
      <c r="NX14" s="106" t="str">
        <f>IF('Job Sheet'!R20="Becker 5 Channel Black Remote",1,"")</f>
        <v/>
      </c>
      <c r="NY14" s="106" t="str">
        <f>IF('Job Sheet'!R20="Becker 10 Channel White Remote",1,"")</f>
        <v/>
      </c>
      <c r="NZ14" s="106" t="str">
        <f>IF('Job Sheet'!R20="Becker 10 Channel Black Remote",1,"")</f>
        <v/>
      </c>
      <c r="OA14" s="106" t="str">
        <f>IF('Job Sheet'!R20="Becker Wall Mounted Single Channel White Remote",1,"")</f>
        <v/>
      </c>
      <c r="OB14" s="106" t="str">
        <f>IF('Job Sheet'!R20="Becker Wall Mounted 5 Channel White Remote",1,"")</f>
        <v/>
      </c>
      <c r="OC14" s="106" t="str">
        <f>IF('Job Sheet'!R20="Wall Switch",1,"")</f>
        <v/>
      </c>
      <c r="OD14" s="106" t="str">
        <f t="shared" si="76"/>
        <v/>
      </c>
      <c r="OE14" s="106" t="str">
        <f t="shared" si="77"/>
        <v/>
      </c>
      <c r="OF14" s="106" t="str">
        <f t="shared" si="78"/>
        <v/>
      </c>
      <c r="OG14" s="106" t="str">
        <f t="shared" si="79"/>
        <v/>
      </c>
      <c r="OH14" s="106" t="str">
        <f t="shared" si="80"/>
        <v/>
      </c>
      <c r="OI14" s="106" t="str">
        <f t="shared" si="81"/>
        <v/>
      </c>
      <c r="OJ14" s="106" t="str">
        <f t="shared" si="82"/>
        <v/>
      </c>
      <c r="OK14" s="106" t="str">
        <f t="shared" si="83"/>
        <v/>
      </c>
      <c r="OL14" s="106" t="str">
        <f t="shared" si="36"/>
        <v/>
      </c>
      <c r="OM14" s="106" t="str">
        <f>IF(AND(OR('Tube Cutting'!J20="Square Cassette",'Tube Cutting'!J20="Square Cassette with Side Channels",'Tube Cutting'!J20="Square Cassette with Side &amp; Bottom Channels"),'Job Sheet'!L20="Chain Winder",'Job Sheet'!M20="Left"),1,"")</f>
        <v/>
      </c>
      <c r="ON14" s="106" t="str">
        <f>IF(AND(OR('Tube Cutting'!J20="Square Cassette",'Tube Cutting'!J20="Square Cassette with Side Channels",'Tube Cutting'!J20="Square Cassette with Side &amp; Bottom Channels"),'Job Sheet'!L20="Chain Winder",'Job Sheet'!M20="Right"),1,"")</f>
        <v/>
      </c>
      <c r="OO14" s="106" t="str">
        <f>IF(AND(OR('Tube Cutting'!J20="Round Cassette",'Tube Cutting'!J20="Round Cassette with Side Channels",'Tube Cutting'!J20="Round Cassette with Side &amp; Bottom Channels"),'Job Sheet'!L20="Chain Winder",'Job Sheet'!M20="Left"),1,"")</f>
        <v/>
      </c>
      <c r="OP14" s="106" t="str">
        <f>IF(AND(OR('Tube Cutting'!J20="Round Cassette",'Tube Cutting'!J20="Round Cassette with Side Channels",'Tube Cutting'!J20="Round Cassette with Side &amp; Bottom Channels"),'Job Sheet'!L20="Chain Winder",'Job Sheet'!M20="Right"),1,"")</f>
        <v/>
      </c>
      <c r="OQ14" s="106" t="str">
        <f>IF('Tube Cutting'!E20="D30 Bottom Rail with Noise Reducing Strip &amp; Fluffy Strip",'Tube Cutting'!D20,"")</f>
        <v/>
      </c>
      <c r="OR14" s="106" t="str">
        <f>Pelmets!L20</f>
        <v/>
      </c>
      <c r="OS14" s="106" t="str">
        <f>Pelmets!M20</f>
        <v/>
      </c>
      <c r="OT14" s="106" t="str">
        <f t="shared" si="37"/>
        <v/>
      </c>
      <c r="OU14" s="106" t="str">
        <f t="shared" si="38"/>
        <v/>
      </c>
      <c r="OV14" s="106" t="str">
        <f t="shared" si="39"/>
        <v/>
      </c>
      <c r="OW14" s="106" t="str">
        <f t="shared" si="40"/>
        <v/>
      </c>
      <c r="OX14" s="106" t="str">
        <f t="shared" si="41"/>
        <v/>
      </c>
      <c r="OY14" s="106" t="str">
        <f t="shared" si="42"/>
        <v/>
      </c>
      <c r="OZ14" s="106" t="str">
        <f t="shared" si="43"/>
        <v/>
      </c>
      <c r="PA14" s="106" t="str">
        <f t="shared" si="44"/>
        <v/>
      </c>
      <c r="PB14" s="106" t="str">
        <f>IF(AND('Job Sheet'!J20="Reveal",OR('Tube Cutting'!J20="Aluminium Valance",'Tube Cutting'!J20="Aluminium Valance - Fabric Covered")),VLOOKUP('Job Sheet'!G20,PelmetBrackets,2,TRUE),"")</f>
        <v/>
      </c>
      <c r="PC14" s="106" t="str">
        <f>IF(Pelmets!F20="1 x Valance Centre Join Bracket",1,"")</f>
        <v/>
      </c>
      <c r="PD14" s="106" t="str">
        <f>IF(AND(Pelmets!H20="Black",(OR('Tube Cutting'!J20="Aluminium Valance",'Tube Cutting'!J20="Aluminium Valance - Fabric Covered"))),1,"")</f>
        <v/>
      </c>
      <c r="PE14" s="106" t="str">
        <f>IF(AND(Pelmets!H20="White",(OR('Tube Cutting'!J20="Aluminium Valance",'Tube Cutting'!J20="Aluminium Valance - Fabric Covered"))),1,"")</f>
        <v/>
      </c>
      <c r="PF14" s="7" t="str">
        <f>IF(AND(Pelmets!H20="Cream",(OR('Tube Cutting'!J20="Aluminium Valance",'Tube Cutting'!J20="Aluminium Valance - Fabric Covered"))),1,"")</f>
        <v/>
      </c>
      <c r="PG14" s="7" t="str">
        <f>IF(AND(Pelmets!H20="Grey",(OR('Tube Cutting'!J20="Aluminium Valance",'Tube Cutting'!J20="Aluminium Valance - Fabric Covered"))),1,"")</f>
        <v/>
      </c>
      <c r="PH14" s="106" t="str">
        <f>AY14</f>
        <v/>
      </c>
      <c r="PI14" s="106" t="str">
        <f t="shared" si="45"/>
        <v/>
      </c>
      <c r="PJ14" s="106" t="str">
        <f t="shared" si="46"/>
        <v/>
      </c>
      <c r="PK14" s="106" t="str">
        <f t="shared" si="47"/>
        <v/>
      </c>
      <c r="PL14" s="106" t="str">
        <f t="shared" si="48"/>
        <v/>
      </c>
      <c r="PM14" s="106" t="str">
        <f>IF('Tube Cutting'!J20="Aluminium Pelmet",Pelmets!F20,"")</f>
        <v/>
      </c>
      <c r="PN14" s="106" t="str">
        <f>IF('Job Sheet'!AA20="Mounting Rail",VLOOKUP('Job Sheet'!G20,PelmetBrackets,2,TRUE),"")</f>
        <v/>
      </c>
      <c r="PO14" s="106" t="str">
        <f>IF('Job Sheet'!AA20="Mounting Rail",4,"")</f>
        <v/>
      </c>
      <c r="PP14" s="106" t="str">
        <f>IF('Tube Cutting'!J20="Zipscreen Hooding",1,"")</f>
        <v/>
      </c>
      <c r="PQ14" s="106" t="str">
        <f>IF(AND(PP14=1,'Job Sheet'!AB20="White"),1,"")</f>
        <v/>
      </c>
      <c r="PR14" s="106" t="str">
        <f>IF(AND(PP14=1,'Job Sheet'!AB20="Black"),1,"")</f>
        <v/>
      </c>
      <c r="PS14" s="106" t="str">
        <f>IF(AND(PP14=1,'Job Sheet'!AB20="Grey"),1,"")</f>
        <v/>
      </c>
      <c r="PT14" s="106" t="str">
        <f>IF(AND(PP14=1,'Job Sheet'!L20="Chain Winder",'Job Sheet'!AV20="60mm"),1,"")</f>
        <v/>
      </c>
      <c r="PU14" s="106" t="str">
        <f t="shared" si="49"/>
        <v/>
      </c>
      <c r="PV14" s="106" t="str">
        <f t="shared" si="50"/>
        <v/>
      </c>
      <c r="PW14" s="106" t="str">
        <f t="shared" si="51"/>
        <v/>
      </c>
    </row>
    <row r="15" spans="10:427" ht="12" customHeight="1">
      <c r="J15" s="7"/>
      <c r="L15" s="7"/>
      <c r="N15" s="7"/>
      <c r="P15" s="7"/>
      <c r="Q15" s="7"/>
      <c r="R15" s="7"/>
      <c r="DN15" s="7"/>
      <c r="DO15" s="7"/>
      <c r="DP15" s="7"/>
      <c r="DQ15" s="7"/>
      <c r="DR15" s="7"/>
      <c r="DS15" s="7"/>
      <c r="DT15" s="7"/>
      <c r="DU15" s="7"/>
      <c r="DV15" s="7"/>
      <c r="DW15" s="7"/>
      <c r="DX15" s="7"/>
      <c r="DY15" s="7"/>
      <c r="DZ15" s="7"/>
      <c r="EA15" s="7"/>
      <c r="EB15" s="7"/>
      <c r="EC15" s="7"/>
      <c r="ED15" s="7"/>
      <c r="EE15" s="7"/>
      <c r="EF15" s="7"/>
      <c r="EG15" s="7"/>
      <c r="EH15" s="7"/>
      <c r="EI15" s="7"/>
      <c r="EJ15" s="7"/>
      <c r="EK15" s="7"/>
      <c r="EL15" s="7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  <c r="FH15" s="7"/>
      <c r="FI15" s="7"/>
      <c r="FJ15" s="7"/>
      <c r="FK15" s="7"/>
      <c r="FL15" s="7"/>
      <c r="FM15" s="7"/>
      <c r="FN15" s="7"/>
      <c r="FO15" s="7"/>
      <c r="FP15" s="7"/>
      <c r="FQ15" s="7"/>
      <c r="FR15" s="7"/>
      <c r="FS15" s="7"/>
      <c r="FT15" s="7"/>
      <c r="FU15" s="7"/>
      <c r="FV15" s="7"/>
      <c r="FW15" s="7"/>
      <c r="FX15" s="7"/>
      <c r="FY15" s="7"/>
      <c r="FZ15" s="7"/>
      <c r="GA15" s="7"/>
      <c r="GB15" s="7"/>
      <c r="GC15" s="7"/>
      <c r="GD15" s="7"/>
      <c r="GE15" s="7"/>
      <c r="GF15" s="7"/>
      <c r="GG15" s="7"/>
      <c r="GH15" s="7"/>
      <c r="GI15" s="7"/>
      <c r="GJ15" s="7"/>
      <c r="GK15" s="7"/>
      <c r="GL15" s="7"/>
      <c r="GM15" s="7"/>
      <c r="GN15" s="7"/>
      <c r="GO15" s="7"/>
      <c r="GP15" s="7"/>
      <c r="GQ15" s="7"/>
      <c r="GR15" s="7"/>
      <c r="GS15" s="7"/>
      <c r="GT15" s="7"/>
      <c r="GU15" s="7"/>
      <c r="GV15" s="7"/>
      <c r="GW15" s="7"/>
      <c r="GX15" s="7"/>
      <c r="GY15" s="7"/>
      <c r="GZ15" s="7"/>
      <c r="HA15" s="7"/>
      <c r="HB15" s="7"/>
      <c r="HC15" s="7"/>
      <c r="HD15" s="7"/>
      <c r="HE15" s="7"/>
      <c r="HF15" s="7"/>
      <c r="HG15" s="7"/>
      <c r="HH15" s="7"/>
      <c r="HI15" s="7"/>
      <c r="HJ15" s="7"/>
      <c r="HK15" s="7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  <c r="IG15" s="7"/>
      <c r="IH15" s="7"/>
      <c r="II15" s="7"/>
      <c r="IJ15" s="7"/>
      <c r="IK15" s="7"/>
      <c r="IL15" s="7"/>
      <c r="IM15" s="7"/>
      <c r="IN15" s="7"/>
      <c r="IO15" s="7"/>
      <c r="IP15" s="7"/>
      <c r="IQ15" s="7"/>
      <c r="IR15" s="7"/>
      <c r="IS15" s="7"/>
      <c r="IT15" s="7"/>
      <c r="IU15" s="7"/>
      <c r="IV15" s="7"/>
      <c r="IW15" s="7"/>
      <c r="IX15" s="7"/>
      <c r="IY15" s="7"/>
      <c r="IZ15" s="7"/>
      <c r="JA15" s="7"/>
      <c r="JB15" s="7"/>
      <c r="JC15" s="7"/>
      <c r="JD15" s="7"/>
      <c r="JE15" s="7"/>
      <c r="JF15" s="7"/>
      <c r="JG15" s="7"/>
      <c r="JH15" s="7"/>
      <c r="JI15" s="7"/>
      <c r="JJ15" s="7"/>
      <c r="JK15" s="7"/>
      <c r="JL15" s="7"/>
      <c r="JM15" s="7"/>
      <c r="JN15" s="7"/>
      <c r="JO15" s="7"/>
      <c r="JP15" s="7"/>
      <c r="JQ15" s="7"/>
      <c r="JR15" s="7"/>
      <c r="JS15" s="7"/>
      <c r="JT15" s="7"/>
      <c r="JU15" s="7"/>
      <c r="JV15" s="7"/>
      <c r="JW15" s="7"/>
      <c r="JX15" s="7"/>
      <c r="JY15" s="7"/>
      <c r="JZ15" s="7"/>
      <c r="KA15" s="7"/>
      <c r="KB15" s="7"/>
      <c r="KC15" s="7"/>
      <c r="KD15" s="7"/>
      <c r="KE15" s="7"/>
      <c r="KF15" s="7"/>
      <c r="KG15" s="7"/>
      <c r="KH15" s="7"/>
      <c r="KI15" s="7"/>
      <c r="KJ15" s="7"/>
      <c r="KK15" s="7"/>
      <c r="KL15" s="7"/>
      <c r="KM15" s="7"/>
      <c r="KN15" s="7"/>
      <c r="KO15" s="7"/>
      <c r="KP15" s="7"/>
      <c r="KQ15" s="7"/>
      <c r="KR15" s="7"/>
      <c r="KS15" s="7"/>
      <c r="KT15" s="7"/>
      <c r="KU15" s="7"/>
      <c r="KV15" s="7"/>
      <c r="KW15" s="7"/>
      <c r="KX15" s="7"/>
      <c r="KY15" s="7"/>
      <c r="KZ15" s="7"/>
      <c r="LA15" s="7"/>
      <c r="LB15" s="7"/>
      <c r="LC15" s="7"/>
      <c r="LD15" s="7"/>
      <c r="LE15" s="7"/>
      <c r="LF15" s="7"/>
      <c r="LG15" s="7"/>
      <c r="LH15" s="7"/>
      <c r="LI15" s="7"/>
      <c r="LJ15" s="7"/>
      <c r="LK15" s="7"/>
      <c r="LL15" s="7"/>
      <c r="LM15" s="7"/>
      <c r="LN15" s="7"/>
      <c r="LO15" s="7"/>
      <c r="LP15" s="7"/>
      <c r="LQ15" s="7"/>
      <c r="LR15" s="7"/>
      <c r="LS15" s="7"/>
      <c r="LT15" s="7"/>
      <c r="LU15" s="7"/>
      <c r="LV15" s="7"/>
      <c r="LW15" s="7"/>
      <c r="LX15" s="7"/>
      <c r="LY15" s="7"/>
      <c r="LZ15" s="7"/>
      <c r="MA15" s="7"/>
      <c r="MB15" s="7"/>
      <c r="MC15" s="7"/>
      <c r="MD15" s="7"/>
      <c r="ME15" s="7"/>
      <c r="MF15" s="7"/>
      <c r="MG15" s="7"/>
      <c r="MH15" s="7"/>
      <c r="MJ15" s="7"/>
      <c r="MK15" s="7"/>
      <c r="ML15" s="7"/>
      <c r="MM15" s="7"/>
      <c r="MN15" s="7"/>
      <c r="MO15" s="7"/>
      <c r="MP15" s="7"/>
      <c r="MQ15" s="7"/>
      <c r="MR15" s="7"/>
      <c r="MS15" s="7"/>
      <c r="MT15" s="7"/>
      <c r="MU15" s="7"/>
      <c r="MV15" s="7"/>
      <c r="MW15" s="7"/>
      <c r="MX15" s="7"/>
      <c r="MY15" s="7"/>
      <c r="MZ15" s="7"/>
      <c r="NA15" s="7"/>
      <c r="NB15" s="7"/>
      <c r="NC15" s="7"/>
      <c r="ND15" s="7"/>
      <c r="NE15" s="7"/>
      <c r="NF15" s="7"/>
      <c r="NG15" s="7"/>
      <c r="NH15" s="7"/>
      <c r="NI15" s="7"/>
      <c r="NJ15" s="7"/>
      <c r="NK15" s="7"/>
      <c r="NL15" s="7"/>
      <c r="NM15" s="7"/>
      <c r="NN15" s="7"/>
      <c r="NO15" s="7"/>
      <c r="NP15" s="7"/>
      <c r="NQ15" s="7"/>
      <c r="NR15" s="7"/>
      <c r="NS15" s="7"/>
      <c r="NT15" s="7"/>
      <c r="NU15" s="7"/>
      <c r="NV15" s="7"/>
      <c r="NW15" s="7"/>
      <c r="NX15" s="7"/>
      <c r="NY15" s="7"/>
      <c r="NZ15" s="7"/>
      <c r="OA15" s="7"/>
      <c r="OB15" s="7"/>
      <c r="OC15" s="7"/>
      <c r="OD15" s="7"/>
      <c r="OE15" s="7"/>
      <c r="OF15" s="7"/>
      <c r="OG15" s="7"/>
      <c r="OH15" s="7"/>
      <c r="OI15" s="7"/>
      <c r="OJ15" s="7"/>
      <c r="OK15" s="7"/>
      <c r="OL15" s="7"/>
      <c r="OM15" s="7"/>
      <c r="ON15" s="7"/>
      <c r="OO15" s="7"/>
      <c r="OP15" s="7"/>
      <c r="OQ15" s="7"/>
      <c r="OR15" s="7"/>
      <c r="OS15" s="7"/>
      <c r="OT15" s="7"/>
      <c r="OU15" s="7"/>
      <c r="OV15" s="7"/>
      <c r="OW15" s="7"/>
      <c r="OX15" s="7"/>
      <c r="OY15" s="7"/>
      <c r="OZ15" s="7"/>
      <c r="PA15" s="7"/>
      <c r="PB15" s="7"/>
      <c r="PC15" s="7"/>
      <c r="PD15" s="7"/>
      <c r="PE15" s="7"/>
      <c r="PF15" s="7"/>
      <c r="PG15" s="7"/>
      <c r="PH15" s="7"/>
      <c r="PI15" s="7"/>
      <c r="PJ15" s="7"/>
      <c r="PK15" s="7"/>
    </row>
    <row r="16" spans="10:427" ht="12" customHeight="1">
      <c r="J16" s="7"/>
      <c r="L16" s="7"/>
      <c r="N16" s="7"/>
      <c r="P16" s="7"/>
      <c r="Q16" s="7"/>
      <c r="R16" s="7"/>
      <c r="DN16" s="7"/>
      <c r="DO16" s="7"/>
      <c r="DP16" s="7"/>
      <c r="DQ16" s="7"/>
      <c r="DR16" s="7"/>
      <c r="DS16" s="7"/>
      <c r="DT16" s="7"/>
      <c r="DU16" s="7"/>
      <c r="DV16" s="7"/>
      <c r="DW16" s="7"/>
      <c r="DX16" s="7"/>
      <c r="DY16" s="7"/>
      <c r="DZ16" s="7"/>
      <c r="EA16" s="7"/>
      <c r="EB16" s="7"/>
      <c r="EC16" s="7"/>
      <c r="ED16" s="7"/>
      <c r="EE16" s="7"/>
      <c r="EF16" s="7"/>
      <c r="EG16" s="7"/>
      <c r="EH16" s="7"/>
      <c r="EI16" s="7"/>
      <c r="EJ16" s="7"/>
      <c r="EK16" s="7"/>
      <c r="EL16" s="7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  <c r="FH16" s="7"/>
      <c r="FI16" s="7"/>
      <c r="FJ16" s="7"/>
      <c r="FK16" s="7"/>
      <c r="FL16" s="7"/>
      <c r="FM16" s="7"/>
      <c r="FN16" s="7"/>
      <c r="FO16" s="7"/>
      <c r="FP16" s="7"/>
      <c r="FQ16" s="7"/>
      <c r="FR16" s="7"/>
      <c r="FS16" s="7"/>
      <c r="FT16" s="7"/>
      <c r="FU16" s="7"/>
      <c r="FV16" s="7"/>
      <c r="FW16" s="7"/>
      <c r="FX16" s="7"/>
      <c r="FY16" s="7"/>
      <c r="FZ16" s="7"/>
      <c r="GA16" s="7"/>
      <c r="GB16" s="7"/>
      <c r="GC16" s="7"/>
      <c r="GD16" s="7"/>
      <c r="GE16" s="7"/>
      <c r="GF16" s="7"/>
      <c r="GG16" s="7"/>
      <c r="GH16" s="7"/>
      <c r="GI16" s="7"/>
      <c r="GJ16" s="7"/>
      <c r="GK16" s="7"/>
      <c r="GL16" s="7"/>
      <c r="GM16" s="7"/>
      <c r="GN16" s="7"/>
      <c r="GO16" s="7"/>
      <c r="GP16" s="7"/>
      <c r="GQ16" s="7"/>
      <c r="GR16" s="7"/>
      <c r="GS16" s="7"/>
      <c r="GT16" s="7"/>
      <c r="GU16" s="7"/>
      <c r="GV16" s="7"/>
      <c r="GW16" s="7"/>
      <c r="GX16" s="7"/>
      <c r="GY16" s="7"/>
      <c r="GZ16" s="7"/>
      <c r="HA16" s="7"/>
      <c r="HB16" s="7"/>
      <c r="HC16" s="7"/>
      <c r="HD16" s="7"/>
      <c r="HE16" s="7"/>
      <c r="HF16" s="7"/>
      <c r="HG16" s="7"/>
      <c r="HH16" s="7"/>
      <c r="HI16" s="7"/>
      <c r="HJ16" s="7"/>
      <c r="HK16" s="7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  <c r="IG16" s="7"/>
      <c r="IH16" s="7"/>
      <c r="II16" s="7"/>
      <c r="IJ16" s="7"/>
      <c r="IK16" s="7"/>
      <c r="IL16" s="7"/>
      <c r="IM16" s="7"/>
      <c r="IN16" s="7"/>
      <c r="IO16" s="7"/>
      <c r="IP16" s="7"/>
      <c r="IQ16" s="7"/>
      <c r="IR16" s="7"/>
      <c r="IS16" s="7"/>
      <c r="IT16" s="7"/>
      <c r="IU16" s="7"/>
      <c r="IV16" s="7"/>
      <c r="IW16" s="7"/>
      <c r="IX16" s="7"/>
      <c r="IY16" s="7"/>
      <c r="IZ16" s="7"/>
      <c r="JA16" s="7"/>
      <c r="JB16" s="7"/>
      <c r="JC16" s="7"/>
      <c r="JD16" s="7"/>
      <c r="JE16" s="7"/>
      <c r="JF16" s="7"/>
      <c r="JG16" s="7"/>
      <c r="JH16" s="7"/>
      <c r="JI16" s="7"/>
      <c r="JJ16" s="7"/>
      <c r="JK16" s="7"/>
      <c r="JL16" s="7"/>
      <c r="JM16" s="7"/>
      <c r="JN16" s="7"/>
      <c r="JO16" s="7"/>
      <c r="JP16" s="7"/>
      <c r="JQ16" s="7"/>
      <c r="JR16" s="7"/>
      <c r="JS16" s="7"/>
      <c r="JT16" s="7"/>
      <c r="JU16" s="7"/>
      <c r="JV16" s="7"/>
      <c r="JW16" s="7"/>
      <c r="JX16" s="7"/>
      <c r="JY16" s="7"/>
      <c r="JZ16" s="7"/>
      <c r="KA16" s="7"/>
      <c r="KB16" s="7"/>
      <c r="KC16" s="7"/>
      <c r="KD16" s="7"/>
      <c r="KE16" s="7"/>
      <c r="KF16" s="7"/>
      <c r="KG16" s="7"/>
      <c r="KH16" s="7"/>
      <c r="KI16" s="7"/>
      <c r="KJ16" s="7"/>
      <c r="KK16" s="7"/>
      <c r="KL16" s="7"/>
      <c r="KM16" s="7"/>
      <c r="KN16" s="7"/>
      <c r="KO16" s="7"/>
      <c r="KP16" s="7"/>
      <c r="KQ16" s="7"/>
      <c r="KR16" s="7"/>
      <c r="KS16" s="7"/>
      <c r="KT16" s="7"/>
      <c r="KU16" s="7"/>
      <c r="KV16" s="7"/>
      <c r="KW16" s="7"/>
      <c r="KX16" s="7"/>
      <c r="KY16" s="7"/>
      <c r="KZ16" s="7"/>
      <c r="LA16" s="7"/>
      <c r="LB16" s="7"/>
      <c r="LC16" s="7"/>
      <c r="LD16" s="7"/>
      <c r="LE16" s="7"/>
      <c r="LF16" s="7"/>
      <c r="LG16" s="7"/>
      <c r="LH16" s="7"/>
      <c r="LI16" s="7"/>
      <c r="LJ16" s="7"/>
      <c r="LK16" s="7"/>
      <c r="LL16" s="7"/>
      <c r="LM16" s="7"/>
      <c r="LN16" s="7"/>
      <c r="LO16" s="7"/>
      <c r="LP16" s="7"/>
      <c r="LQ16" s="7"/>
      <c r="LR16" s="7"/>
      <c r="LS16" s="7"/>
      <c r="LT16" s="7"/>
      <c r="LU16" s="7"/>
      <c r="LV16" s="7"/>
      <c r="LW16" s="7"/>
      <c r="LX16" s="7"/>
      <c r="LY16" s="7"/>
      <c r="LZ16" s="7"/>
      <c r="MA16" s="7"/>
      <c r="MB16" s="7"/>
      <c r="MC16" s="7"/>
      <c r="MD16" s="7"/>
      <c r="ME16" s="7"/>
      <c r="MF16" s="7"/>
      <c r="MG16" s="7"/>
      <c r="MH16" s="7"/>
      <c r="MJ16" s="7"/>
      <c r="MK16" s="7"/>
      <c r="ML16" s="7"/>
      <c r="MM16" s="7"/>
      <c r="MN16" s="7"/>
      <c r="MO16" s="7"/>
      <c r="MP16" s="7"/>
      <c r="MQ16" s="7"/>
      <c r="MR16" s="7"/>
      <c r="MS16" s="7"/>
      <c r="MT16" s="7"/>
      <c r="MU16" s="7"/>
      <c r="MV16" s="7"/>
      <c r="MW16" s="7"/>
      <c r="MX16" s="7"/>
      <c r="MY16" s="7"/>
      <c r="MZ16" s="7"/>
      <c r="NA16" s="7"/>
      <c r="NB16" s="7"/>
      <c r="NC16" s="7"/>
      <c r="ND16" s="7"/>
      <c r="NE16" s="7"/>
      <c r="NF16" s="7"/>
      <c r="NG16" s="7"/>
      <c r="NH16" s="7"/>
      <c r="NI16" s="7"/>
      <c r="NJ16" s="7"/>
      <c r="NK16" s="7"/>
      <c r="NL16" s="7"/>
      <c r="NM16" s="7"/>
      <c r="NN16" s="7"/>
      <c r="NO16" s="7"/>
      <c r="NP16" s="7"/>
      <c r="NQ16" s="7"/>
      <c r="NR16" s="7"/>
      <c r="NS16" s="7"/>
      <c r="NT16" s="7"/>
      <c r="NU16" s="7"/>
      <c r="NV16" s="7"/>
      <c r="NW16" s="7"/>
      <c r="NX16" s="7"/>
      <c r="NY16" s="7"/>
      <c r="NZ16" s="7"/>
      <c r="OA16" s="7"/>
      <c r="OB16" s="7"/>
      <c r="OC16" s="7"/>
      <c r="OD16" s="7"/>
      <c r="OE16" s="7"/>
      <c r="OF16" s="7"/>
      <c r="OG16" s="7"/>
      <c r="OH16" s="7"/>
      <c r="OI16" s="7"/>
      <c r="OJ16" s="7"/>
      <c r="OK16" s="7"/>
      <c r="OL16" s="7"/>
      <c r="OM16" s="7"/>
      <c r="ON16" s="7"/>
      <c r="OO16" s="7"/>
      <c r="OP16" s="7"/>
      <c r="OQ16" s="7"/>
      <c r="OR16" s="7"/>
      <c r="OS16" s="7"/>
      <c r="OT16" s="7"/>
      <c r="OU16" s="7"/>
      <c r="OV16" s="7"/>
      <c r="OW16" s="7"/>
      <c r="OX16" s="7"/>
      <c r="OY16" s="7"/>
      <c r="OZ16" s="7"/>
      <c r="PA16" s="7"/>
      <c r="PB16" s="7"/>
      <c r="PC16" s="7"/>
      <c r="PD16" s="7"/>
      <c r="PE16" s="7"/>
      <c r="PF16" s="7"/>
      <c r="PG16" s="7"/>
      <c r="PH16" s="7"/>
      <c r="PI16" s="7"/>
      <c r="PJ16" s="7"/>
      <c r="PK16" s="7"/>
    </row>
    <row r="17" spans="10:427" ht="12" customHeight="1">
      <c r="J17" s="7"/>
      <c r="L17" s="7"/>
      <c r="N17" s="7"/>
      <c r="P17" s="7"/>
      <c r="Q17" s="7"/>
      <c r="R17" s="7"/>
      <c r="DN17" s="7"/>
      <c r="DO17" s="7"/>
      <c r="DP17" s="7"/>
      <c r="DQ17" s="7"/>
      <c r="DR17" s="7"/>
      <c r="DS17" s="7"/>
      <c r="DT17" s="7"/>
      <c r="DU17" s="7"/>
      <c r="DV17" s="7"/>
      <c r="DW17" s="7"/>
      <c r="DX17" s="7"/>
      <c r="DY17" s="7"/>
      <c r="DZ17" s="7"/>
      <c r="EA17" s="7"/>
      <c r="EB17" s="7"/>
      <c r="EC17" s="7"/>
      <c r="ED17" s="7"/>
      <c r="EE17" s="7"/>
      <c r="EF17" s="7"/>
      <c r="EG17" s="7"/>
      <c r="EH17" s="7"/>
      <c r="EI17" s="7"/>
      <c r="EJ17" s="7"/>
      <c r="EK17" s="7"/>
      <c r="EL17" s="7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  <c r="FH17" s="7"/>
      <c r="FI17" s="7"/>
      <c r="FJ17" s="7"/>
      <c r="FK17" s="7"/>
      <c r="FL17" s="7"/>
      <c r="FM17" s="7"/>
      <c r="FN17" s="7"/>
      <c r="FO17" s="7"/>
      <c r="FP17" s="7"/>
      <c r="FQ17" s="7"/>
      <c r="FR17" s="7"/>
      <c r="FS17" s="7"/>
      <c r="FT17" s="7"/>
      <c r="FU17" s="7"/>
      <c r="FV17" s="7"/>
      <c r="FW17" s="7"/>
      <c r="FX17" s="7"/>
      <c r="FY17" s="7"/>
      <c r="FZ17" s="7"/>
      <c r="GA17" s="7"/>
      <c r="GB17" s="7"/>
      <c r="GC17" s="7"/>
      <c r="GD17" s="7"/>
      <c r="GE17" s="7"/>
      <c r="GF17" s="7"/>
      <c r="GG17" s="7"/>
      <c r="GH17" s="7"/>
      <c r="GI17" s="7"/>
      <c r="GJ17" s="7"/>
      <c r="GK17" s="7"/>
      <c r="GL17" s="7"/>
      <c r="GM17" s="7"/>
      <c r="GN17" s="7"/>
      <c r="GO17" s="7"/>
      <c r="GP17" s="7"/>
      <c r="GQ17" s="7"/>
      <c r="GR17" s="7"/>
      <c r="GS17" s="7"/>
      <c r="GT17" s="7"/>
      <c r="GU17" s="7"/>
      <c r="GV17" s="7"/>
      <c r="GW17" s="7"/>
      <c r="GX17" s="7"/>
      <c r="GY17" s="7"/>
      <c r="GZ17" s="7"/>
      <c r="HA17" s="7"/>
      <c r="HB17" s="7"/>
      <c r="HC17" s="7"/>
      <c r="HD17" s="7"/>
      <c r="HE17" s="7"/>
      <c r="HF17" s="7"/>
      <c r="HG17" s="7"/>
      <c r="HH17" s="7"/>
      <c r="HI17" s="7"/>
      <c r="HJ17" s="7"/>
      <c r="HK17" s="7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  <c r="IG17" s="7"/>
      <c r="IH17" s="7"/>
      <c r="II17" s="7"/>
      <c r="IJ17" s="7"/>
      <c r="IK17" s="7"/>
      <c r="IL17" s="7"/>
      <c r="IM17" s="7"/>
      <c r="IN17" s="7"/>
      <c r="IO17" s="7"/>
      <c r="IP17" s="7"/>
      <c r="IQ17" s="7"/>
      <c r="IR17" s="7"/>
      <c r="IS17" s="7"/>
      <c r="IT17" s="7"/>
      <c r="IU17" s="7"/>
      <c r="IV17" s="7"/>
      <c r="IW17" s="7"/>
      <c r="IX17" s="7"/>
      <c r="IY17" s="7"/>
      <c r="IZ17" s="7"/>
      <c r="JA17" s="7"/>
      <c r="JB17" s="7"/>
      <c r="JC17" s="7"/>
      <c r="JD17" s="7"/>
      <c r="JE17" s="7"/>
      <c r="JF17" s="7"/>
      <c r="JG17" s="7"/>
      <c r="JH17" s="7"/>
      <c r="JI17" s="7"/>
      <c r="JJ17" s="7"/>
      <c r="JK17" s="7"/>
      <c r="JL17" s="7"/>
      <c r="JM17" s="7"/>
      <c r="JN17" s="7"/>
      <c r="JO17" s="7"/>
      <c r="JP17" s="7"/>
      <c r="JQ17" s="7"/>
      <c r="JR17" s="7"/>
      <c r="JS17" s="7"/>
      <c r="JT17" s="7"/>
      <c r="JU17" s="7"/>
      <c r="JV17" s="7"/>
      <c r="JW17" s="7"/>
      <c r="JX17" s="7"/>
      <c r="JY17" s="7"/>
      <c r="JZ17" s="7"/>
      <c r="KA17" s="7"/>
      <c r="KB17" s="7"/>
      <c r="KC17" s="7"/>
      <c r="KD17" s="7"/>
      <c r="KE17" s="7"/>
      <c r="KF17" s="7"/>
      <c r="KG17" s="7"/>
      <c r="KH17" s="7"/>
      <c r="KI17" s="7"/>
      <c r="KJ17" s="7"/>
      <c r="KK17" s="7"/>
      <c r="KL17" s="7"/>
      <c r="KM17" s="7"/>
      <c r="KN17" s="7"/>
      <c r="KO17" s="7"/>
      <c r="KP17" s="7"/>
      <c r="KQ17" s="7"/>
      <c r="KR17" s="7"/>
      <c r="KS17" s="7"/>
      <c r="KT17" s="7"/>
      <c r="KU17" s="7"/>
      <c r="KV17" s="7"/>
      <c r="KW17" s="7"/>
      <c r="KX17" s="7"/>
      <c r="KY17" s="7"/>
      <c r="KZ17" s="7"/>
      <c r="LA17" s="7"/>
      <c r="LB17" s="7"/>
      <c r="LC17" s="7"/>
      <c r="LD17" s="7"/>
      <c r="LE17" s="7"/>
      <c r="LF17" s="7"/>
      <c r="LG17" s="7"/>
      <c r="LH17" s="7"/>
      <c r="LI17" s="7"/>
      <c r="LJ17" s="7"/>
      <c r="LK17" s="7"/>
      <c r="LL17" s="7"/>
      <c r="LM17" s="7"/>
      <c r="LN17" s="7"/>
      <c r="LO17" s="7"/>
      <c r="LP17" s="7"/>
      <c r="LQ17" s="7"/>
      <c r="LR17" s="7"/>
      <c r="LS17" s="7"/>
      <c r="LT17" s="7"/>
      <c r="LU17" s="7"/>
      <c r="LV17" s="7"/>
      <c r="LW17" s="7"/>
      <c r="LX17" s="7"/>
      <c r="LY17" s="7"/>
      <c r="LZ17" s="7"/>
      <c r="MA17" s="7"/>
      <c r="MB17" s="7"/>
      <c r="MC17" s="7"/>
      <c r="MD17" s="7"/>
      <c r="ME17" s="7"/>
      <c r="MF17" s="7"/>
      <c r="MG17" s="7"/>
      <c r="MH17" s="7"/>
      <c r="MJ17" s="7"/>
      <c r="MK17" s="7"/>
      <c r="ML17" s="7"/>
      <c r="MM17" s="7"/>
      <c r="MN17" s="7"/>
      <c r="MO17" s="7"/>
      <c r="MP17" s="7"/>
      <c r="MQ17" s="7"/>
      <c r="MR17" s="7"/>
      <c r="MS17" s="7"/>
      <c r="MT17" s="7"/>
      <c r="MU17" s="7"/>
      <c r="MV17" s="7"/>
      <c r="MW17" s="7"/>
      <c r="MX17" s="7"/>
      <c r="MY17" s="7"/>
      <c r="MZ17" s="7"/>
      <c r="NA17" s="7"/>
      <c r="NB17" s="7"/>
      <c r="NC17" s="7"/>
      <c r="ND17" s="7"/>
      <c r="NE17" s="7"/>
      <c r="NF17" s="7"/>
      <c r="NG17" s="7"/>
      <c r="NH17" s="7"/>
      <c r="NI17" s="7"/>
      <c r="NJ17" s="7"/>
      <c r="NK17" s="7"/>
      <c r="NL17" s="7"/>
      <c r="NM17" s="7"/>
      <c r="NN17" s="7"/>
      <c r="NO17" s="7"/>
      <c r="NP17" s="7"/>
      <c r="NQ17" s="7"/>
      <c r="NR17" s="7"/>
      <c r="NS17" s="7"/>
      <c r="NT17" s="7"/>
      <c r="NU17" s="7"/>
      <c r="NV17" s="7"/>
      <c r="NW17" s="7"/>
      <c r="NX17" s="7"/>
      <c r="NY17" s="7"/>
      <c r="NZ17" s="7"/>
      <c r="OA17" s="7"/>
      <c r="OB17" s="7"/>
      <c r="OC17" s="7"/>
      <c r="OD17" s="7"/>
      <c r="OE17" s="7"/>
      <c r="OF17" s="7"/>
      <c r="OG17" s="7"/>
      <c r="OH17" s="7"/>
      <c r="OI17" s="7"/>
      <c r="OJ17" s="7"/>
      <c r="OK17" s="7"/>
      <c r="OL17" s="7"/>
      <c r="OM17" s="7"/>
      <c r="ON17" s="7"/>
      <c r="OO17" s="7"/>
      <c r="OP17" s="7"/>
      <c r="OQ17" s="7"/>
      <c r="OR17" s="7"/>
      <c r="OS17" s="7"/>
      <c r="OT17" s="7"/>
      <c r="OU17" s="7"/>
      <c r="OV17" s="7"/>
      <c r="OW17" s="7"/>
      <c r="OX17" s="7"/>
      <c r="OY17" s="7"/>
      <c r="OZ17" s="7"/>
      <c r="PA17" s="7"/>
      <c r="PB17" s="7"/>
      <c r="PC17" s="7"/>
      <c r="PD17" s="7"/>
      <c r="PE17" s="7"/>
      <c r="PF17" s="7"/>
      <c r="PG17" s="7"/>
      <c r="PH17" s="7"/>
      <c r="PI17" s="7"/>
      <c r="PJ17" s="7"/>
      <c r="PK17" s="7"/>
    </row>
    <row r="18" spans="10:427" ht="12" customHeight="1">
      <c r="J18" s="7"/>
      <c r="L18" s="7"/>
      <c r="N18" s="7"/>
      <c r="P18" s="7"/>
      <c r="Q18" s="7"/>
      <c r="R18" s="7"/>
      <c r="DN18" s="7"/>
      <c r="DO18" s="7"/>
      <c r="DP18" s="7"/>
      <c r="DQ18" s="7"/>
      <c r="DR18" s="7"/>
      <c r="DS18" s="7"/>
      <c r="DT18" s="7"/>
      <c r="DU18" s="7"/>
      <c r="DV18" s="7"/>
      <c r="DW18" s="7"/>
      <c r="DX18" s="7"/>
      <c r="DY18" s="7"/>
      <c r="DZ18" s="7"/>
      <c r="EA18" s="7"/>
      <c r="EB18" s="7"/>
      <c r="EC18" s="7"/>
      <c r="ED18" s="7"/>
      <c r="EE18" s="7"/>
      <c r="EF18" s="7"/>
      <c r="EG18" s="7"/>
      <c r="EH18" s="7"/>
      <c r="EI18" s="7"/>
      <c r="EJ18" s="7"/>
      <c r="EK18" s="7"/>
      <c r="EL18" s="7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  <c r="FH18" s="7"/>
      <c r="FI18" s="7"/>
      <c r="FJ18" s="7"/>
      <c r="FK18" s="7"/>
      <c r="FL18" s="7"/>
      <c r="FM18" s="7"/>
      <c r="FN18" s="7"/>
      <c r="FO18" s="7"/>
      <c r="FP18" s="7"/>
      <c r="FQ18" s="7"/>
      <c r="FR18" s="7"/>
      <c r="FS18" s="7"/>
      <c r="FT18" s="7"/>
      <c r="FU18" s="7"/>
      <c r="FV18" s="7"/>
      <c r="FW18" s="7"/>
      <c r="FX18" s="7"/>
      <c r="FY18" s="7"/>
      <c r="FZ18" s="7"/>
      <c r="GA18" s="7"/>
      <c r="GB18" s="7"/>
      <c r="GC18" s="7"/>
      <c r="GD18" s="7"/>
      <c r="GE18" s="7"/>
      <c r="GF18" s="7"/>
      <c r="GG18" s="7"/>
      <c r="GH18" s="7"/>
      <c r="GI18" s="7"/>
      <c r="GJ18" s="7"/>
      <c r="GK18" s="7"/>
      <c r="GL18" s="7"/>
      <c r="GM18" s="7"/>
      <c r="GN18" s="7"/>
      <c r="GO18" s="7"/>
      <c r="GP18" s="7"/>
      <c r="GQ18" s="7"/>
      <c r="GR18" s="7"/>
      <c r="GS18" s="7"/>
      <c r="GT18" s="7"/>
      <c r="GU18" s="7"/>
      <c r="GV18" s="7"/>
      <c r="GW18" s="7"/>
      <c r="GX18" s="7"/>
      <c r="GY18" s="7"/>
      <c r="GZ18" s="7"/>
      <c r="HA18" s="7"/>
      <c r="HB18" s="7"/>
      <c r="HC18" s="7"/>
      <c r="HD18" s="7"/>
      <c r="HE18" s="7"/>
      <c r="HF18" s="7"/>
      <c r="HG18" s="7"/>
      <c r="HH18" s="7"/>
      <c r="HI18" s="7"/>
      <c r="HJ18" s="7"/>
      <c r="HK18" s="7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  <c r="IG18" s="7"/>
      <c r="IH18" s="7"/>
      <c r="II18" s="7"/>
      <c r="IJ18" s="7"/>
      <c r="IK18" s="7"/>
      <c r="IL18" s="7"/>
      <c r="IM18" s="7"/>
      <c r="IN18" s="7"/>
      <c r="IO18" s="7"/>
      <c r="IP18" s="7"/>
      <c r="IQ18" s="7"/>
      <c r="IR18" s="7"/>
      <c r="IS18" s="7"/>
      <c r="IT18" s="7"/>
      <c r="IU18" s="7"/>
      <c r="IV18" s="7"/>
      <c r="IW18" s="7"/>
      <c r="IX18" s="7"/>
      <c r="IY18" s="7"/>
      <c r="IZ18" s="7"/>
      <c r="JA18" s="7"/>
      <c r="JB18" s="7"/>
      <c r="JC18" s="7"/>
      <c r="JD18" s="7"/>
      <c r="JE18" s="7"/>
      <c r="JF18" s="7"/>
      <c r="JG18" s="7"/>
      <c r="JH18" s="7"/>
      <c r="JI18" s="7"/>
      <c r="JJ18" s="7"/>
      <c r="JK18" s="7"/>
      <c r="JL18" s="7"/>
      <c r="JM18" s="7"/>
      <c r="JN18" s="7"/>
      <c r="JO18" s="7"/>
      <c r="JP18" s="7"/>
      <c r="JQ18" s="7"/>
      <c r="JR18" s="7"/>
      <c r="JS18" s="7"/>
      <c r="JT18" s="7"/>
      <c r="JU18" s="7"/>
      <c r="JV18" s="7"/>
      <c r="JW18" s="7"/>
      <c r="JX18" s="7"/>
      <c r="JY18" s="7"/>
      <c r="JZ18" s="7"/>
      <c r="KA18" s="7"/>
      <c r="KB18" s="7"/>
      <c r="KC18" s="7"/>
      <c r="KD18" s="7"/>
      <c r="KE18" s="7"/>
      <c r="KF18" s="7"/>
      <c r="KG18" s="7"/>
      <c r="KH18" s="7"/>
      <c r="KI18" s="7"/>
      <c r="KJ18" s="7"/>
      <c r="KK18" s="7"/>
      <c r="KL18" s="7"/>
      <c r="KM18" s="7"/>
      <c r="KN18" s="7"/>
      <c r="KO18" s="7"/>
      <c r="KP18" s="7"/>
      <c r="KQ18" s="7"/>
      <c r="KR18" s="7"/>
      <c r="KS18" s="7"/>
      <c r="KT18" s="7"/>
      <c r="KU18" s="7"/>
      <c r="KV18" s="7"/>
      <c r="KW18" s="7"/>
      <c r="KX18" s="7"/>
      <c r="KY18" s="7"/>
      <c r="KZ18" s="7"/>
      <c r="LA18" s="7"/>
      <c r="LB18" s="7"/>
      <c r="LC18" s="7"/>
      <c r="LD18" s="7"/>
      <c r="LE18" s="7"/>
      <c r="LF18" s="7"/>
      <c r="LG18" s="7"/>
      <c r="LH18" s="7"/>
      <c r="LI18" s="7"/>
      <c r="LJ18" s="7"/>
      <c r="LK18" s="7"/>
      <c r="LL18" s="7"/>
      <c r="LM18" s="7"/>
      <c r="LN18" s="7"/>
      <c r="LO18" s="7"/>
      <c r="LP18" s="7"/>
      <c r="LQ18" s="7"/>
      <c r="LR18" s="7"/>
      <c r="LS18" s="7"/>
      <c r="LT18" s="7"/>
      <c r="LU18" s="7"/>
      <c r="LV18" s="7"/>
      <c r="LW18" s="7"/>
      <c r="LX18" s="7"/>
      <c r="LY18" s="7"/>
      <c r="LZ18" s="7"/>
      <c r="MA18" s="7"/>
      <c r="MB18" s="7"/>
      <c r="MC18" s="7"/>
      <c r="MD18" s="7"/>
      <c r="ME18" s="7"/>
      <c r="MF18" s="7"/>
      <c r="MG18" s="7"/>
      <c r="MH18" s="7"/>
      <c r="MJ18" s="7"/>
      <c r="MK18" s="7"/>
      <c r="ML18" s="7"/>
      <c r="MM18" s="7"/>
      <c r="MN18" s="7"/>
      <c r="MO18" s="7"/>
      <c r="MP18" s="7"/>
      <c r="MQ18" s="7"/>
      <c r="MR18" s="7"/>
      <c r="MS18" s="7"/>
      <c r="MT18" s="7"/>
      <c r="MU18" s="7"/>
      <c r="MV18" s="7"/>
      <c r="MW18" s="7"/>
      <c r="MX18" s="7"/>
      <c r="MY18" s="7"/>
      <c r="MZ18" s="7"/>
      <c r="NA18" s="7"/>
      <c r="NB18" s="7"/>
      <c r="NC18" s="7"/>
      <c r="ND18" s="7"/>
      <c r="NE18" s="7"/>
      <c r="NF18" s="7"/>
      <c r="NG18" s="7"/>
      <c r="NH18" s="7"/>
      <c r="NI18" s="7"/>
      <c r="NJ18" s="7"/>
      <c r="NK18" s="7"/>
      <c r="NL18" s="7"/>
      <c r="NM18" s="7"/>
      <c r="NN18" s="7"/>
      <c r="NO18" s="7"/>
      <c r="NP18" s="7"/>
      <c r="NQ18" s="7"/>
      <c r="NR18" s="7"/>
      <c r="NS18" s="7"/>
      <c r="NT18" s="7"/>
      <c r="NU18" s="7"/>
      <c r="NV18" s="7"/>
      <c r="NW18" s="7"/>
      <c r="NX18" s="7"/>
      <c r="NY18" s="7"/>
      <c r="NZ18" s="7"/>
      <c r="OA18" s="7"/>
      <c r="OB18" s="7"/>
      <c r="OC18" s="7"/>
      <c r="OD18" s="7"/>
      <c r="OE18" s="7"/>
      <c r="OF18" s="7"/>
      <c r="OG18" s="7"/>
      <c r="OH18" s="7"/>
      <c r="OI18" s="7"/>
      <c r="OJ18" s="7"/>
      <c r="OK18" s="7"/>
      <c r="OL18" s="7"/>
      <c r="OM18" s="7"/>
      <c r="ON18" s="7"/>
      <c r="OO18" s="7"/>
      <c r="OP18" s="7"/>
      <c r="OQ18" s="7"/>
      <c r="OR18" s="7"/>
      <c r="OS18" s="7"/>
      <c r="OT18" s="7"/>
      <c r="OU18" s="7"/>
      <c r="OV18" s="7"/>
      <c r="OW18" s="7"/>
      <c r="OX18" s="7"/>
      <c r="OY18" s="7"/>
      <c r="OZ18" s="7"/>
      <c r="PA18" s="7"/>
      <c r="PB18" s="7"/>
      <c r="PC18" s="7"/>
      <c r="PD18" s="7"/>
      <c r="PE18" s="7"/>
      <c r="PF18" s="7"/>
      <c r="PG18" s="7"/>
      <c r="PH18" s="7"/>
      <c r="PI18" s="7"/>
      <c r="PJ18" s="7"/>
      <c r="PK18" s="7"/>
    </row>
    <row r="19" spans="10:427" ht="12" customHeight="1">
      <c r="J19" s="7"/>
      <c r="L19" s="7"/>
      <c r="N19" s="7"/>
      <c r="P19" s="7"/>
      <c r="Q19" s="7"/>
      <c r="R19" s="7"/>
      <c r="DN19" s="7"/>
      <c r="DO19" s="7"/>
      <c r="DP19" s="7"/>
      <c r="DQ19" s="7"/>
      <c r="DR19" s="7"/>
      <c r="DS19" s="7"/>
      <c r="DT19" s="7"/>
      <c r="DU19" s="7"/>
      <c r="DV19" s="7"/>
      <c r="DW19" s="7"/>
      <c r="DX19" s="7"/>
      <c r="DY19" s="7"/>
      <c r="DZ19" s="7"/>
      <c r="EA19" s="7"/>
      <c r="EB19" s="7"/>
      <c r="EC19" s="7"/>
      <c r="ED19" s="7"/>
      <c r="EE19" s="7"/>
      <c r="EF19" s="7"/>
      <c r="EG19" s="7"/>
      <c r="EH19" s="7"/>
      <c r="EI19" s="7"/>
      <c r="EJ19" s="7"/>
      <c r="EK19" s="7"/>
      <c r="EL19" s="7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  <c r="FH19" s="7"/>
      <c r="FI19" s="7"/>
      <c r="FJ19" s="7"/>
      <c r="FK19" s="7"/>
      <c r="FL19" s="7"/>
      <c r="FM19" s="7"/>
      <c r="FN19" s="7"/>
      <c r="FO19" s="7"/>
      <c r="FP19" s="7"/>
      <c r="FQ19" s="7"/>
      <c r="FR19" s="7"/>
      <c r="FS19" s="7"/>
      <c r="FT19" s="7"/>
      <c r="FU19" s="7"/>
      <c r="FV19" s="7"/>
      <c r="FW19" s="7"/>
      <c r="FX19" s="7"/>
      <c r="FY19" s="7"/>
      <c r="FZ19" s="7"/>
      <c r="GA19" s="7"/>
      <c r="GB19" s="7"/>
      <c r="GC19" s="7"/>
      <c r="GD19" s="7"/>
      <c r="GE19" s="7"/>
      <c r="GF19" s="7"/>
      <c r="GG19" s="7"/>
      <c r="GH19" s="7"/>
      <c r="GI19" s="7"/>
      <c r="GJ19" s="7"/>
      <c r="GK19" s="7"/>
      <c r="GL19" s="7"/>
      <c r="GM19" s="7"/>
      <c r="GN19" s="7"/>
      <c r="GO19" s="7"/>
      <c r="GP19" s="7"/>
      <c r="GQ19" s="7"/>
      <c r="GR19" s="7"/>
      <c r="GS19" s="7"/>
      <c r="GT19" s="7"/>
      <c r="GU19" s="7"/>
      <c r="GV19" s="7"/>
      <c r="GW19" s="7"/>
      <c r="GX19" s="7"/>
      <c r="GY19" s="7"/>
      <c r="GZ19" s="7"/>
      <c r="HA19" s="7"/>
      <c r="HB19" s="7"/>
      <c r="HC19" s="7"/>
      <c r="HD19" s="7"/>
      <c r="HE19" s="7"/>
      <c r="HF19" s="7"/>
      <c r="HG19" s="7"/>
      <c r="HH19" s="7"/>
      <c r="HI19" s="7"/>
      <c r="HJ19" s="7"/>
      <c r="HK19" s="7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  <c r="IG19" s="7"/>
      <c r="IH19" s="7"/>
      <c r="II19" s="7"/>
      <c r="IJ19" s="7"/>
      <c r="IK19" s="7"/>
      <c r="IL19" s="7"/>
      <c r="IM19" s="7"/>
      <c r="IN19" s="7"/>
      <c r="IO19" s="7"/>
      <c r="IP19" s="7"/>
      <c r="IQ19" s="7"/>
      <c r="IR19" s="7"/>
      <c r="IS19" s="7"/>
      <c r="IT19" s="7"/>
      <c r="IU19" s="7"/>
      <c r="IV19" s="7"/>
      <c r="IW19" s="7"/>
      <c r="IX19" s="7"/>
      <c r="IY19" s="7"/>
      <c r="IZ19" s="7"/>
      <c r="JA19" s="7"/>
      <c r="JB19" s="7"/>
      <c r="JC19" s="7"/>
      <c r="JD19" s="7"/>
      <c r="JE19" s="7"/>
      <c r="JF19" s="7"/>
      <c r="JG19" s="7"/>
      <c r="JH19" s="7"/>
      <c r="JI19" s="7"/>
      <c r="JJ19" s="7"/>
      <c r="JK19" s="7"/>
      <c r="JL19" s="7"/>
      <c r="JM19" s="7"/>
      <c r="JN19" s="7"/>
      <c r="JO19" s="7"/>
      <c r="JP19" s="7"/>
      <c r="JQ19" s="7"/>
      <c r="JR19" s="7"/>
      <c r="JS19" s="7"/>
      <c r="JT19" s="7"/>
      <c r="JU19" s="7"/>
      <c r="JV19" s="7"/>
      <c r="JW19" s="7"/>
      <c r="JX19" s="7"/>
      <c r="JY19" s="7"/>
      <c r="JZ19" s="7"/>
      <c r="KA19" s="7"/>
      <c r="KB19" s="7"/>
      <c r="KC19" s="7"/>
      <c r="KD19" s="7"/>
      <c r="KE19" s="7"/>
      <c r="KF19" s="7"/>
      <c r="KG19" s="7"/>
      <c r="KH19" s="7"/>
      <c r="KI19" s="7"/>
      <c r="KJ19" s="7"/>
      <c r="KK19" s="7"/>
      <c r="KL19" s="7"/>
      <c r="KM19" s="7"/>
      <c r="KN19" s="7"/>
      <c r="KO19" s="7"/>
      <c r="KP19" s="7"/>
      <c r="KQ19" s="7"/>
      <c r="KR19" s="7"/>
      <c r="KS19" s="7"/>
      <c r="KT19" s="7"/>
      <c r="KU19" s="7"/>
      <c r="KV19" s="7"/>
      <c r="KW19" s="7"/>
      <c r="KX19" s="7"/>
      <c r="KY19" s="7"/>
      <c r="KZ19" s="7"/>
      <c r="LA19" s="7"/>
      <c r="LB19" s="7"/>
      <c r="LC19" s="7"/>
      <c r="LD19" s="7"/>
      <c r="LE19" s="7"/>
      <c r="LF19" s="7"/>
      <c r="LG19" s="7"/>
      <c r="LH19" s="7"/>
      <c r="LI19" s="7"/>
      <c r="LJ19" s="7"/>
      <c r="LK19" s="7"/>
      <c r="LL19" s="7"/>
      <c r="LM19" s="7"/>
      <c r="LN19" s="7"/>
      <c r="LO19" s="7"/>
      <c r="LP19" s="7"/>
      <c r="LQ19" s="7"/>
      <c r="LR19" s="7"/>
      <c r="LS19" s="7"/>
      <c r="LT19" s="7"/>
      <c r="LU19" s="7"/>
      <c r="LV19" s="7"/>
      <c r="LW19" s="7"/>
      <c r="LX19" s="7"/>
      <c r="LY19" s="7"/>
      <c r="LZ19" s="7"/>
      <c r="MA19" s="7"/>
      <c r="MB19" s="7"/>
      <c r="MC19" s="7"/>
      <c r="MD19" s="7"/>
      <c r="ME19" s="7"/>
      <c r="MF19" s="7"/>
      <c r="MG19" s="7"/>
      <c r="MH19" s="7"/>
      <c r="MJ19" s="7"/>
      <c r="MK19" s="7"/>
      <c r="ML19" s="7"/>
      <c r="MM19" s="7"/>
      <c r="MN19" s="7"/>
      <c r="MO19" s="7"/>
      <c r="MP19" s="7"/>
      <c r="MQ19" s="7"/>
      <c r="MR19" s="7"/>
      <c r="MS19" s="7"/>
      <c r="MT19" s="7"/>
      <c r="MU19" s="7"/>
      <c r="MV19" s="7"/>
      <c r="MW19" s="7"/>
      <c r="MX19" s="7"/>
      <c r="MY19" s="7"/>
      <c r="MZ19" s="7"/>
      <c r="NA19" s="7"/>
      <c r="NB19" s="7"/>
      <c r="NC19" s="7"/>
      <c r="ND19" s="7"/>
      <c r="NE19" s="7"/>
      <c r="NF19" s="7"/>
      <c r="NG19" s="7"/>
      <c r="NH19" s="7"/>
      <c r="NI19" s="7"/>
      <c r="NJ19" s="7"/>
      <c r="NK19" s="7"/>
      <c r="NL19" s="7"/>
      <c r="NM19" s="7"/>
      <c r="NN19" s="7"/>
      <c r="NO19" s="7"/>
      <c r="NP19" s="7"/>
      <c r="NQ19" s="7"/>
      <c r="NR19" s="7"/>
      <c r="NS19" s="7"/>
      <c r="NT19" s="7"/>
      <c r="NU19" s="7"/>
      <c r="NV19" s="7"/>
      <c r="NW19" s="7"/>
      <c r="NX19" s="7"/>
      <c r="NY19" s="7"/>
      <c r="NZ19" s="7"/>
      <c r="OA19" s="7"/>
      <c r="OB19" s="7"/>
      <c r="OC19" s="7"/>
      <c r="OD19" s="7"/>
      <c r="OE19" s="7"/>
      <c r="OF19" s="7"/>
      <c r="OG19" s="7"/>
      <c r="OH19" s="7"/>
      <c r="OI19" s="7"/>
      <c r="OJ19" s="7"/>
      <c r="OK19" s="7"/>
      <c r="OL19" s="7"/>
      <c r="OM19" s="7"/>
      <c r="ON19" s="7"/>
      <c r="OO19" s="7"/>
      <c r="OP19" s="7"/>
      <c r="OQ19" s="7"/>
      <c r="OR19" s="7"/>
      <c r="OS19" s="7"/>
      <c r="OT19" s="7"/>
      <c r="OU19" s="7"/>
      <c r="OV19" s="7"/>
      <c r="OW19" s="7"/>
      <c r="OX19" s="7"/>
      <c r="OY19" s="7"/>
      <c r="OZ19" s="7"/>
      <c r="PA19" s="7"/>
      <c r="PB19" s="7"/>
      <c r="PC19" s="7"/>
      <c r="PD19" s="7"/>
      <c r="PE19" s="7"/>
      <c r="PF19" s="7"/>
      <c r="PG19" s="7"/>
      <c r="PH19" s="7"/>
      <c r="PI19" s="7"/>
      <c r="PJ19" s="7"/>
      <c r="PK19" s="7"/>
    </row>
    <row r="20" spans="10:427" ht="12" customHeight="1">
      <c r="J20" s="7"/>
      <c r="L20" s="7"/>
      <c r="N20" s="7"/>
      <c r="P20" s="7"/>
      <c r="Q20" s="7"/>
      <c r="R20" s="7"/>
      <c r="DN20" s="7"/>
      <c r="DO20" s="7"/>
      <c r="DP20" s="7"/>
      <c r="DQ20" s="7"/>
      <c r="DR20" s="7"/>
      <c r="DS20" s="7"/>
      <c r="DT20" s="7"/>
      <c r="DU20" s="7"/>
      <c r="DV20" s="7"/>
      <c r="DW20" s="7"/>
      <c r="DX20" s="7"/>
      <c r="DY20" s="7"/>
      <c r="DZ20" s="7"/>
      <c r="EA20" s="7"/>
      <c r="EB20" s="7"/>
      <c r="EC20" s="7"/>
      <c r="ED20" s="7"/>
      <c r="EE20" s="7"/>
      <c r="EF20" s="7"/>
      <c r="EG20" s="7"/>
      <c r="EH20" s="7"/>
      <c r="EI20" s="7"/>
      <c r="EJ20" s="7"/>
      <c r="EK20" s="7"/>
      <c r="EL20" s="7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  <c r="FH20" s="7"/>
      <c r="FI20" s="7"/>
      <c r="FJ20" s="7"/>
      <c r="FK20" s="7"/>
      <c r="FL20" s="7"/>
      <c r="FM20" s="7"/>
      <c r="FN20" s="7"/>
      <c r="FO20" s="7"/>
      <c r="FP20" s="7"/>
      <c r="FQ20" s="7"/>
      <c r="FR20" s="7"/>
      <c r="FS20" s="7"/>
      <c r="FT20" s="7"/>
      <c r="FU20" s="7"/>
      <c r="FV20" s="7"/>
      <c r="FW20" s="7"/>
      <c r="FX20" s="7"/>
      <c r="FY20" s="7"/>
      <c r="FZ20" s="7"/>
      <c r="GA20" s="7"/>
      <c r="GB20" s="7"/>
      <c r="GC20" s="7"/>
      <c r="GD20" s="7"/>
      <c r="GE20" s="7"/>
      <c r="GF20" s="7"/>
      <c r="GG20" s="7"/>
      <c r="GH20" s="7"/>
      <c r="GI20" s="7"/>
      <c r="GJ20" s="7"/>
      <c r="GK20" s="7"/>
      <c r="GL20" s="7"/>
      <c r="GM20" s="7"/>
      <c r="GN20" s="7"/>
      <c r="GO20" s="7"/>
      <c r="GP20" s="7"/>
      <c r="GQ20" s="7"/>
      <c r="GR20" s="7"/>
      <c r="GS20" s="7"/>
      <c r="GT20" s="7"/>
      <c r="GU20" s="7"/>
      <c r="GV20" s="7"/>
      <c r="GW20" s="7"/>
      <c r="GX20" s="7"/>
      <c r="GY20" s="7"/>
      <c r="GZ20" s="7"/>
      <c r="HA20" s="7"/>
      <c r="HB20" s="7"/>
      <c r="HC20" s="7"/>
      <c r="HD20" s="7"/>
      <c r="HE20" s="7"/>
      <c r="HF20" s="7"/>
      <c r="HG20" s="7"/>
      <c r="HH20" s="7"/>
      <c r="HI20" s="7"/>
      <c r="HJ20" s="7"/>
      <c r="HK20" s="7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  <c r="IG20" s="7"/>
      <c r="IH20" s="7"/>
      <c r="II20" s="7"/>
      <c r="IJ20" s="7"/>
      <c r="IK20" s="7"/>
      <c r="IL20" s="7"/>
      <c r="IM20" s="7"/>
      <c r="IN20" s="7"/>
      <c r="IO20" s="7"/>
      <c r="IP20" s="7"/>
      <c r="IQ20" s="7"/>
      <c r="IR20" s="7"/>
      <c r="IS20" s="7"/>
      <c r="IT20" s="7"/>
      <c r="IU20" s="7"/>
      <c r="IV20" s="7"/>
      <c r="IW20" s="7"/>
      <c r="IX20" s="7"/>
      <c r="IY20" s="7"/>
      <c r="IZ20" s="7"/>
      <c r="JA20" s="7"/>
      <c r="JB20" s="7"/>
      <c r="JC20" s="7"/>
      <c r="JD20" s="7"/>
      <c r="JE20" s="7"/>
      <c r="JF20" s="7"/>
      <c r="JG20" s="7"/>
      <c r="JH20" s="7"/>
      <c r="JI20" s="7"/>
      <c r="JJ20" s="7"/>
      <c r="JK20" s="7"/>
      <c r="JL20" s="7"/>
      <c r="JM20" s="7"/>
      <c r="JN20" s="7"/>
      <c r="JO20" s="7"/>
      <c r="JP20" s="7"/>
      <c r="JQ20" s="7"/>
      <c r="JR20" s="7"/>
      <c r="JS20" s="7"/>
      <c r="JT20" s="7"/>
      <c r="JU20" s="7"/>
      <c r="JV20" s="7"/>
      <c r="JW20" s="7"/>
      <c r="JX20" s="7"/>
      <c r="JY20" s="7"/>
      <c r="JZ20" s="7"/>
      <c r="KA20" s="7"/>
      <c r="KB20" s="7"/>
      <c r="KC20" s="7"/>
      <c r="KD20" s="7"/>
      <c r="KE20" s="7"/>
      <c r="KF20" s="7"/>
      <c r="KG20" s="7"/>
      <c r="KH20" s="7"/>
      <c r="KI20" s="7"/>
      <c r="KJ20" s="7"/>
      <c r="KK20" s="7"/>
      <c r="KL20" s="7"/>
      <c r="KM20" s="7"/>
      <c r="KN20" s="7"/>
      <c r="KO20" s="7"/>
      <c r="KP20" s="7"/>
      <c r="KQ20" s="7"/>
      <c r="KR20" s="7"/>
      <c r="KS20" s="7"/>
      <c r="KT20" s="7"/>
      <c r="KU20" s="7"/>
      <c r="KV20" s="7"/>
      <c r="KW20" s="7"/>
      <c r="KX20" s="7"/>
      <c r="KY20" s="7"/>
      <c r="KZ20" s="7"/>
      <c r="LA20" s="7"/>
      <c r="LB20" s="7"/>
      <c r="LC20" s="7"/>
      <c r="LD20" s="7"/>
      <c r="LE20" s="7"/>
      <c r="LF20" s="7"/>
      <c r="LG20" s="7"/>
      <c r="LH20" s="7"/>
      <c r="LI20" s="7"/>
      <c r="LJ20" s="7"/>
      <c r="LK20" s="7"/>
      <c r="LL20" s="7"/>
      <c r="LM20" s="7"/>
      <c r="LN20" s="7"/>
      <c r="LO20" s="7"/>
      <c r="LP20" s="7"/>
      <c r="LQ20" s="7"/>
      <c r="LR20" s="7"/>
      <c r="LS20" s="7"/>
      <c r="LT20" s="7"/>
      <c r="LU20" s="7"/>
      <c r="LV20" s="7"/>
      <c r="LW20" s="7"/>
      <c r="LX20" s="7"/>
      <c r="LY20" s="7"/>
      <c r="LZ20" s="7"/>
      <c r="MA20" s="7"/>
      <c r="MB20" s="7"/>
      <c r="MC20" s="7"/>
      <c r="MD20" s="7"/>
      <c r="ME20" s="7"/>
      <c r="MF20" s="7"/>
      <c r="MG20" s="7"/>
      <c r="MH20" s="7"/>
      <c r="MJ20" s="7"/>
      <c r="MK20" s="7"/>
      <c r="ML20" s="7"/>
      <c r="MM20" s="7"/>
      <c r="MN20" s="7"/>
      <c r="MO20" s="7"/>
      <c r="MP20" s="7"/>
      <c r="MQ20" s="7"/>
      <c r="MR20" s="7"/>
      <c r="MS20" s="7"/>
      <c r="MT20" s="7"/>
      <c r="MU20" s="7"/>
      <c r="MV20" s="7"/>
      <c r="MW20" s="7"/>
      <c r="MX20" s="7"/>
      <c r="MY20" s="7"/>
      <c r="MZ20" s="7"/>
      <c r="NA20" s="7"/>
      <c r="NB20" s="7"/>
      <c r="NC20" s="7"/>
      <c r="ND20" s="7"/>
      <c r="NE20" s="7"/>
      <c r="NF20" s="7"/>
      <c r="NG20" s="7"/>
      <c r="NH20" s="7"/>
      <c r="NI20" s="7"/>
      <c r="NJ20" s="7"/>
      <c r="NK20" s="7"/>
      <c r="NL20" s="7"/>
      <c r="NM20" s="7"/>
      <c r="NN20" s="7"/>
      <c r="NO20" s="7"/>
      <c r="NP20" s="7"/>
      <c r="NQ20" s="7"/>
      <c r="NR20" s="7"/>
      <c r="NS20" s="7"/>
      <c r="NT20" s="7"/>
      <c r="NU20" s="7"/>
      <c r="NV20" s="7"/>
      <c r="NW20" s="7"/>
      <c r="NX20" s="7"/>
      <c r="NY20" s="7"/>
      <c r="NZ20" s="7"/>
      <c r="OA20" s="7"/>
      <c r="OB20" s="7"/>
      <c r="OC20" s="7"/>
      <c r="OD20" s="7"/>
      <c r="OE20" s="7"/>
      <c r="OF20" s="7"/>
      <c r="OG20" s="7"/>
      <c r="OH20" s="7"/>
      <c r="OI20" s="7"/>
      <c r="OJ20" s="7"/>
      <c r="OK20" s="7"/>
      <c r="OL20" s="7"/>
      <c r="OM20" s="7"/>
      <c r="ON20" s="7"/>
      <c r="OO20" s="7"/>
      <c r="OP20" s="7"/>
      <c r="OQ20" s="7"/>
      <c r="OR20" s="7"/>
      <c r="OS20" s="7"/>
      <c r="OT20" s="7"/>
      <c r="OU20" s="7"/>
      <c r="OV20" s="7"/>
      <c r="OW20" s="7"/>
      <c r="OX20" s="7"/>
      <c r="OY20" s="7"/>
      <c r="OZ20" s="7"/>
      <c r="PA20" s="7"/>
      <c r="PB20" s="7"/>
      <c r="PC20" s="7"/>
      <c r="PD20" s="7"/>
      <c r="PE20" s="7"/>
      <c r="PF20" s="7"/>
      <c r="PG20" s="7"/>
      <c r="PH20" s="7"/>
      <c r="PI20" s="7"/>
      <c r="PJ20" s="7"/>
      <c r="PK20" s="7"/>
    </row>
    <row r="21" spans="10:427" ht="12" customHeight="1">
      <c r="J21" s="7"/>
      <c r="L21" s="7"/>
      <c r="N21" s="7"/>
      <c r="P21" s="7"/>
      <c r="Q21" s="7"/>
      <c r="R21" s="7"/>
      <c r="DN21" s="7"/>
      <c r="DO21" s="7"/>
      <c r="DP21" s="7"/>
      <c r="DQ21" s="7"/>
      <c r="DR21" s="7"/>
      <c r="DS21" s="7"/>
      <c r="DT21" s="7"/>
      <c r="DU21" s="7"/>
      <c r="DV21" s="7"/>
      <c r="DW21" s="7"/>
      <c r="DX21" s="7"/>
      <c r="DY21" s="7"/>
      <c r="DZ21" s="7"/>
      <c r="EA21" s="7"/>
      <c r="EB21" s="7"/>
      <c r="EC21" s="7"/>
      <c r="ED21" s="7"/>
      <c r="EE21" s="7"/>
      <c r="EF21" s="7"/>
      <c r="EG21" s="7"/>
      <c r="EH21" s="7"/>
      <c r="EI21" s="7"/>
      <c r="EJ21" s="7"/>
      <c r="EK21" s="7"/>
      <c r="EL21" s="7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  <c r="FH21" s="7"/>
      <c r="FI21" s="7"/>
      <c r="FJ21" s="7"/>
      <c r="FK21" s="7"/>
      <c r="FL21" s="7"/>
      <c r="FM21" s="7"/>
      <c r="FN21" s="7"/>
      <c r="FO21" s="7"/>
      <c r="FP21" s="7"/>
      <c r="FQ21" s="7"/>
      <c r="FR21" s="7"/>
      <c r="FS21" s="7"/>
      <c r="FT21" s="7"/>
      <c r="FU21" s="7"/>
      <c r="FV21" s="7"/>
      <c r="FW21" s="7"/>
      <c r="FX21" s="7"/>
      <c r="FY21" s="7"/>
      <c r="FZ21" s="7"/>
      <c r="GA21" s="7"/>
      <c r="GB21" s="7"/>
      <c r="GC21" s="7"/>
      <c r="GD21" s="7"/>
      <c r="GE21" s="7"/>
      <c r="GF21" s="7"/>
      <c r="GG21" s="7"/>
      <c r="GH21" s="7"/>
      <c r="GI21" s="7"/>
      <c r="GJ21" s="7"/>
      <c r="GK21" s="7"/>
      <c r="GL21" s="7"/>
      <c r="GM21" s="7"/>
      <c r="GN21" s="7"/>
      <c r="GO21" s="7"/>
      <c r="GP21" s="7"/>
      <c r="GQ21" s="7"/>
      <c r="GR21" s="7"/>
      <c r="GS21" s="7"/>
      <c r="GT21" s="7"/>
      <c r="GU21" s="7"/>
      <c r="GV21" s="7"/>
      <c r="GW21" s="7"/>
      <c r="GX21" s="7"/>
      <c r="GY21" s="7"/>
      <c r="GZ21" s="7"/>
      <c r="HA21" s="7"/>
      <c r="HB21" s="7"/>
      <c r="HC21" s="7"/>
      <c r="HD21" s="7"/>
      <c r="HE21" s="7"/>
      <c r="HF21" s="7"/>
      <c r="HG21" s="7"/>
      <c r="HH21" s="7"/>
      <c r="HI21" s="7"/>
      <c r="HJ21" s="7"/>
      <c r="HK21" s="7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  <c r="IG21" s="7"/>
      <c r="IH21" s="7"/>
      <c r="II21" s="7"/>
      <c r="IJ21" s="7"/>
      <c r="IK21" s="7"/>
      <c r="IL21" s="7"/>
      <c r="IM21" s="7"/>
      <c r="IN21" s="7"/>
      <c r="IO21" s="7"/>
      <c r="IP21" s="7"/>
      <c r="IQ21" s="7"/>
      <c r="IR21" s="7"/>
      <c r="IS21" s="7"/>
      <c r="IT21" s="7"/>
      <c r="IU21" s="7"/>
      <c r="IV21" s="7"/>
      <c r="IW21" s="7"/>
      <c r="IX21" s="7"/>
      <c r="IY21" s="7"/>
      <c r="IZ21" s="7"/>
      <c r="JA21" s="7"/>
      <c r="JB21" s="7"/>
      <c r="JC21" s="7"/>
      <c r="JD21" s="7"/>
      <c r="JE21" s="7"/>
      <c r="JF21" s="7"/>
      <c r="JG21" s="7"/>
      <c r="JH21" s="7"/>
      <c r="JI21" s="7"/>
      <c r="JJ21" s="7"/>
      <c r="JK21" s="7"/>
      <c r="JL21" s="7"/>
      <c r="JM21" s="7"/>
      <c r="JN21" s="7"/>
      <c r="JO21" s="7"/>
      <c r="JP21" s="7"/>
      <c r="JQ21" s="7"/>
      <c r="JR21" s="7"/>
      <c r="JS21" s="7"/>
      <c r="JT21" s="7"/>
      <c r="JU21" s="7"/>
      <c r="JV21" s="7"/>
      <c r="JW21" s="7"/>
      <c r="JX21" s="7"/>
      <c r="JY21" s="7"/>
      <c r="JZ21" s="7"/>
      <c r="KA21" s="7"/>
      <c r="KB21" s="7"/>
      <c r="KC21" s="7"/>
      <c r="KD21" s="7"/>
      <c r="KE21" s="7"/>
      <c r="KF21" s="7"/>
      <c r="KG21" s="7"/>
      <c r="KH21" s="7"/>
      <c r="KI21" s="7"/>
      <c r="KJ21" s="7"/>
      <c r="KK21" s="7"/>
      <c r="KL21" s="7"/>
      <c r="KM21" s="7"/>
      <c r="KN21" s="7"/>
      <c r="KO21" s="7"/>
      <c r="KP21" s="7"/>
      <c r="KQ21" s="7"/>
      <c r="KR21" s="7"/>
      <c r="KS21" s="7"/>
      <c r="KT21" s="7"/>
      <c r="KU21" s="7"/>
      <c r="KV21" s="7"/>
      <c r="KW21" s="7"/>
      <c r="KX21" s="7"/>
      <c r="KY21" s="7"/>
      <c r="KZ21" s="7"/>
      <c r="LA21" s="7"/>
      <c r="LB21" s="7"/>
      <c r="LC21" s="7"/>
      <c r="LD21" s="7"/>
      <c r="LE21" s="7"/>
      <c r="LF21" s="7"/>
      <c r="LG21" s="7"/>
      <c r="LH21" s="7"/>
      <c r="LI21" s="7"/>
      <c r="LJ21" s="7"/>
      <c r="LK21" s="7"/>
      <c r="LL21" s="7"/>
      <c r="LM21" s="7"/>
      <c r="LN21" s="7"/>
      <c r="LO21" s="7"/>
      <c r="LP21" s="7"/>
      <c r="LQ21" s="7"/>
      <c r="LR21" s="7"/>
      <c r="LS21" s="7"/>
      <c r="LT21" s="7"/>
      <c r="LU21" s="7"/>
      <c r="LV21" s="7"/>
      <c r="LW21" s="7"/>
      <c r="LX21" s="7"/>
      <c r="LY21" s="7"/>
      <c r="LZ21" s="7"/>
      <c r="MA21" s="7"/>
      <c r="MB21" s="7"/>
      <c r="MC21" s="7"/>
      <c r="MD21" s="7"/>
      <c r="ME21" s="7"/>
      <c r="MF21" s="7"/>
      <c r="MG21" s="7"/>
      <c r="MH21" s="7"/>
      <c r="MJ21" s="7"/>
      <c r="MK21" s="7"/>
      <c r="ML21" s="7"/>
      <c r="MM21" s="7"/>
      <c r="MN21" s="7"/>
      <c r="MO21" s="7"/>
      <c r="MP21" s="7"/>
      <c r="MQ21" s="7"/>
      <c r="MR21" s="7"/>
      <c r="MS21" s="7"/>
      <c r="MT21" s="7"/>
      <c r="MU21" s="7"/>
      <c r="MV21" s="7"/>
      <c r="MW21" s="7"/>
      <c r="MX21" s="7"/>
      <c r="MY21" s="7"/>
      <c r="MZ21" s="7"/>
      <c r="NA21" s="7"/>
      <c r="NB21" s="7"/>
      <c r="NC21" s="7"/>
      <c r="ND21" s="7"/>
      <c r="NE21" s="7"/>
      <c r="NF21" s="7"/>
      <c r="NG21" s="7"/>
      <c r="NH21" s="7"/>
      <c r="NI21" s="7"/>
      <c r="NJ21" s="7"/>
      <c r="NK21" s="7"/>
      <c r="NL21" s="7"/>
      <c r="NM21" s="7"/>
      <c r="NN21" s="7"/>
      <c r="NO21" s="7"/>
      <c r="NP21" s="7"/>
      <c r="NQ21" s="7"/>
      <c r="NR21" s="7"/>
      <c r="NS21" s="7"/>
      <c r="NT21" s="7"/>
      <c r="NU21" s="7"/>
      <c r="NV21" s="7"/>
      <c r="NW21" s="7"/>
      <c r="NX21" s="7"/>
      <c r="NY21" s="7"/>
      <c r="NZ21" s="7"/>
      <c r="OA21" s="7"/>
      <c r="OB21" s="7"/>
      <c r="OC21" s="7"/>
      <c r="OD21" s="7"/>
      <c r="OE21" s="7"/>
      <c r="OF21" s="7"/>
      <c r="OG21" s="7"/>
      <c r="OH21" s="7"/>
      <c r="OI21" s="7"/>
      <c r="OJ21" s="7"/>
      <c r="OK21" s="7"/>
      <c r="OL21" s="7"/>
      <c r="OM21" s="7"/>
      <c r="ON21" s="7"/>
      <c r="OO21" s="7"/>
      <c r="OP21" s="7"/>
      <c r="OQ21" s="7"/>
      <c r="OR21" s="7"/>
      <c r="OS21" s="7"/>
      <c r="OT21" s="7"/>
      <c r="OU21" s="7"/>
      <c r="OV21" s="7"/>
      <c r="OW21" s="7"/>
      <c r="OX21" s="7"/>
      <c r="OY21" s="7"/>
      <c r="OZ21" s="7"/>
      <c r="PA21" s="7"/>
      <c r="PB21" s="7"/>
      <c r="PC21" s="7"/>
      <c r="PD21" s="7"/>
      <c r="PE21" s="7"/>
      <c r="PF21" s="7"/>
      <c r="PG21" s="7"/>
      <c r="PH21" s="7"/>
      <c r="PI21" s="7"/>
      <c r="PJ21" s="7"/>
      <c r="PK21" s="7"/>
    </row>
    <row r="22" spans="10:427" ht="12" customHeight="1">
      <c r="J22" s="7"/>
      <c r="L22" s="7"/>
      <c r="N22" s="7"/>
      <c r="P22" s="7"/>
      <c r="Q22" s="7"/>
      <c r="R22" s="7"/>
      <c r="DN22" s="7"/>
      <c r="DO22" s="7"/>
      <c r="DP22" s="7"/>
      <c r="DQ22" s="7"/>
      <c r="DR22" s="7"/>
      <c r="DS22" s="7"/>
      <c r="DT22" s="7"/>
      <c r="DU22" s="7"/>
      <c r="DV22" s="7"/>
      <c r="DW22" s="7"/>
      <c r="DX22" s="7"/>
      <c r="DY22" s="7"/>
      <c r="DZ22" s="7"/>
      <c r="EA22" s="7"/>
      <c r="EB22" s="7"/>
      <c r="EC22" s="7"/>
      <c r="ED22" s="7"/>
      <c r="EE22" s="7"/>
      <c r="EF22" s="7"/>
      <c r="EG22" s="7"/>
      <c r="EH22" s="7"/>
      <c r="EI22" s="7"/>
      <c r="EJ22" s="7"/>
      <c r="EK22" s="7"/>
      <c r="EL22" s="7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  <c r="FH22" s="7"/>
      <c r="FI22" s="7"/>
      <c r="FJ22" s="7"/>
      <c r="FK22" s="7"/>
      <c r="FL22" s="7"/>
      <c r="FM22" s="7"/>
      <c r="FN22" s="7"/>
      <c r="FO22" s="7"/>
      <c r="FP22" s="7"/>
      <c r="FQ22" s="7"/>
      <c r="FR22" s="7"/>
      <c r="FS22" s="7"/>
      <c r="FT22" s="7"/>
      <c r="FU22" s="7"/>
      <c r="FV22" s="7"/>
      <c r="FW22" s="7"/>
      <c r="FX22" s="7"/>
      <c r="FY22" s="7"/>
      <c r="FZ22" s="7"/>
      <c r="GA22" s="7"/>
      <c r="GB22" s="7"/>
      <c r="GC22" s="7"/>
      <c r="GD22" s="7"/>
      <c r="GE22" s="7"/>
      <c r="GF22" s="7"/>
      <c r="GG22" s="7"/>
      <c r="GH22" s="7"/>
      <c r="GI22" s="7"/>
      <c r="GJ22" s="7"/>
      <c r="GK22" s="7"/>
      <c r="GL22" s="7"/>
      <c r="GM22" s="7"/>
      <c r="GN22" s="7"/>
      <c r="GO22" s="7"/>
      <c r="GP22" s="7"/>
      <c r="GQ22" s="7"/>
      <c r="GR22" s="7"/>
      <c r="GS22" s="7"/>
      <c r="GT22" s="7"/>
      <c r="GU22" s="7"/>
      <c r="GV22" s="7"/>
      <c r="GW22" s="7"/>
      <c r="GX22" s="7"/>
      <c r="GY22" s="7"/>
      <c r="GZ22" s="7"/>
      <c r="HA22" s="7"/>
      <c r="HB22" s="7"/>
      <c r="HC22" s="7"/>
      <c r="HD22" s="7"/>
      <c r="HE22" s="7"/>
      <c r="HF22" s="7"/>
      <c r="HG22" s="7"/>
      <c r="HH22" s="7"/>
      <c r="HI22" s="7"/>
      <c r="HJ22" s="7"/>
      <c r="HK22" s="7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  <c r="IG22" s="7"/>
      <c r="IH22" s="7"/>
      <c r="II22" s="7"/>
      <c r="IJ22" s="7"/>
      <c r="IK22" s="7"/>
      <c r="IL22" s="7"/>
      <c r="IM22" s="7"/>
      <c r="IN22" s="7"/>
      <c r="IO22" s="7"/>
      <c r="IP22" s="7"/>
      <c r="IQ22" s="7"/>
      <c r="IR22" s="7"/>
      <c r="IS22" s="7"/>
      <c r="IT22" s="7"/>
      <c r="IU22" s="7"/>
      <c r="IV22" s="7"/>
      <c r="IW22" s="7"/>
      <c r="IX22" s="7"/>
      <c r="IY22" s="7"/>
      <c r="IZ22" s="7"/>
      <c r="JA22" s="7"/>
      <c r="JB22" s="7"/>
      <c r="JC22" s="7"/>
      <c r="JD22" s="7"/>
      <c r="JE22" s="7"/>
      <c r="JF22" s="7"/>
      <c r="JG22" s="7"/>
      <c r="JH22" s="7"/>
      <c r="JI22" s="7"/>
      <c r="JJ22" s="7"/>
      <c r="JK22" s="7"/>
      <c r="JL22" s="7"/>
      <c r="JM22" s="7"/>
      <c r="JN22" s="7"/>
      <c r="JO22" s="7"/>
      <c r="JP22" s="7"/>
      <c r="JQ22" s="7"/>
      <c r="JR22" s="7"/>
      <c r="JS22" s="7"/>
      <c r="JT22" s="7"/>
      <c r="JU22" s="7"/>
      <c r="JV22" s="7"/>
      <c r="JW22" s="7"/>
      <c r="JX22" s="7"/>
      <c r="JY22" s="7"/>
      <c r="JZ22" s="7"/>
      <c r="KA22" s="7"/>
      <c r="KB22" s="7"/>
      <c r="KC22" s="7"/>
      <c r="KD22" s="7"/>
      <c r="KE22" s="7"/>
      <c r="KF22" s="7"/>
      <c r="KG22" s="7"/>
      <c r="KH22" s="7"/>
      <c r="KI22" s="7"/>
      <c r="KJ22" s="7"/>
      <c r="KK22" s="7"/>
      <c r="KL22" s="7"/>
      <c r="KM22" s="7"/>
      <c r="KN22" s="7"/>
      <c r="KO22" s="7"/>
      <c r="KP22" s="7"/>
      <c r="KQ22" s="7"/>
      <c r="KR22" s="7"/>
      <c r="KS22" s="7"/>
      <c r="KT22" s="7"/>
      <c r="KU22" s="7"/>
      <c r="KV22" s="7"/>
      <c r="KW22" s="7"/>
      <c r="KX22" s="7"/>
      <c r="KY22" s="7"/>
      <c r="KZ22" s="7"/>
      <c r="LA22" s="7"/>
      <c r="LB22" s="7"/>
      <c r="LC22" s="7"/>
      <c r="LD22" s="7"/>
      <c r="LE22" s="7"/>
      <c r="LF22" s="7"/>
      <c r="LG22" s="7"/>
      <c r="LH22" s="7"/>
      <c r="LI22" s="7"/>
      <c r="LJ22" s="7"/>
      <c r="LK22" s="7"/>
      <c r="LL22" s="7"/>
      <c r="LM22" s="7"/>
      <c r="LN22" s="7"/>
      <c r="LO22" s="7"/>
      <c r="LP22" s="7"/>
      <c r="LQ22" s="7"/>
      <c r="LR22" s="7"/>
      <c r="LS22" s="7"/>
      <c r="LT22" s="7"/>
      <c r="LU22" s="7"/>
      <c r="LV22" s="7"/>
      <c r="LW22" s="7"/>
      <c r="LX22" s="7"/>
      <c r="LY22" s="7"/>
      <c r="LZ22" s="7"/>
      <c r="MA22" s="7"/>
      <c r="MB22" s="7"/>
      <c r="MC22" s="7"/>
      <c r="MD22" s="7"/>
      <c r="ME22" s="7"/>
      <c r="MF22" s="7"/>
      <c r="MG22" s="7"/>
      <c r="MH22" s="7"/>
      <c r="MJ22" s="7"/>
      <c r="MK22" s="7"/>
      <c r="ML22" s="7"/>
      <c r="MM22" s="7"/>
      <c r="MN22" s="7"/>
      <c r="MO22" s="7"/>
      <c r="MP22" s="7"/>
      <c r="MQ22" s="7"/>
      <c r="MR22" s="7"/>
      <c r="MS22" s="7"/>
      <c r="MT22" s="7"/>
      <c r="MU22" s="7"/>
      <c r="MV22" s="7"/>
      <c r="MW22" s="7"/>
      <c r="MX22" s="7"/>
      <c r="MY22" s="7"/>
      <c r="MZ22" s="7"/>
      <c r="NA22" s="7"/>
      <c r="NB22" s="7"/>
      <c r="NC22" s="7"/>
      <c r="ND22" s="7"/>
      <c r="NE22" s="7"/>
      <c r="NF22" s="7"/>
      <c r="NG22" s="7"/>
      <c r="NH22" s="7"/>
      <c r="NI22" s="7"/>
      <c r="NJ22" s="7"/>
      <c r="NK22" s="7"/>
      <c r="NL22" s="7"/>
      <c r="NM22" s="7"/>
      <c r="NN22" s="7"/>
      <c r="NO22" s="7"/>
      <c r="NP22" s="7"/>
      <c r="NQ22" s="7"/>
      <c r="NR22" s="7"/>
      <c r="NS22" s="7"/>
      <c r="NT22" s="7"/>
      <c r="NU22" s="7"/>
      <c r="NV22" s="7"/>
      <c r="NW22" s="7"/>
      <c r="NX22" s="7"/>
      <c r="NY22" s="7"/>
      <c r="NZ22" s="7"/>
      <c r="OA22" s="7"/>
      <c r="OB22" s="7"/>
      <c r="OC22" s="7"/>
      <c r="OD22" s="7"/>
      <c r="OE22" s="7"/>
      <c r="OF22" s="7"/>
      <c r="OG22" s="7"/>
      <c r="OH22" s="7"/>
      <c r="OI22" s="7"/>
      <c r="OJ22" s="7"/>
      <c r="OK22" s="7"/>
      <c r="OL22" s="7"/>
      <c r="OM22" s="7"/>
      <c r="ON22" s="7"/>
      <c r="OO22" s="7"/>
      <c r="OP22" s="7"/>
      <c r="OQ22" s="7"/>
      <c r="OR22" s="7"/>
      <c r="OS22" s="7"/>
      <c r="OT22" s="7"/>
      <c r="OU22" s="7"/>
      <c r="OV22" s="7"/>
      <c r="OW22" s="7"/>
      <c r="OX22" s="7"/>
      <c r="OY22" s="7"/>
      <c r="OZ22" s="7"/>
      <c r="PA22" s="7"/>
      <c r="PB22" s="7"/>
      <c r="PC22" s="7"/>
      <c r="PD22" s="7"/>
      <c r="PE22" s="7"/>
      <c r="PF22" s="7"/>
      <c r="PG22" s="7"/>
      <c r="PH22" s="7"/>
      <c r="PI22" s="7"/>
      <c r="PJ22" s="7"/>
      <c r="PK22" s="7"/>
    </row>
    <row r="23" spans="10:427" ht="12" customHeight="1">
      <c r="J23" s="7"/>
      <c r="L23" s="7"/>
      <c r="N23" s="7"/>
      <c r="P23" s="7"/>
      <c r="Q23" s="7"/>
      <c r="R23" s="7"/>
      <c r="DN23" s="7"/>
      <c r="DO23" s="7"/>
      <c r="DP23" s="7"/>
      <c r="DQ23" s="7"/>
      <c r="DR23" s="7"/>
      <c r="DS23" s="7"/>
      <c r="DT23" s="7"/>
      <c r="DU23" s="7"/>
      <c r="DV23" s="7"/>
      <c r="DW23" s="7"/>
      <c r="DX23" s="7"/>
      <c r="DY23" s="7"/>
      <c r="DZ23" s="7"/>
      <c r="EA23" s="7"/>
      <c r="EB23" s="7"/>
      <c r="EC23" s="7"/>
      <c r="ED23" s="7"/>
      <c r="EE23" s="7"/>
      <c r="EF23" s="7"/>
      <c r="EG23" s="7"/>
      <c r="EH23" s="7"/>
      <c r="EI23" s="7"/>
      <c r="EJ23" s="7"/>
      <c r="EK23" s="7"/>
      <c r="EL23" s="7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  <c r="FH23" s="7"/>
      <c r="FI23" s="7"/>
      <c r="FJ23" s="7"/>
      <c r="FK23" s="7"/>
      <c r="FL23" s="7"/>
      <c r="FM23" s="7"/>
      <c r="FN23" s="7"/>
      <c r="FO23" s="7"/>
      <c r="FP23" s="7"/>
      <c r="FQ23" s="7"/>
      <c r="FR23" s="7"/>
      <c r="FS23" s="7"/>
      <c r="FT23" s="7"/>
      <c r="FU23" s="7"/>
      <c r="FV23" s="7"/>
      <c r="FW23" s="7"/>
      <c r="FX23" s="7"/>
      <c r="FY23" s="7"/>
      <c r="FZ23" s="7"/>
      <c r="GA23" s="7"/>
      <c r="GB23" s="7"/>
      <c r="GC23" s="7"/>
      <c r="GD23" s="7"/>
      <c r="GE23" s="7"/>
      <c r="GF23" s="7"/>
      <c r="GG23" s="7"/>
      <c r="GH23" s="7"/>
      <c r="GI23" s="7"/>
      <c r="GJ23" s="7"/>
      <c r="GK23" s="7"/>
      <c r="GL23" s="7"/>
      <c r="GM23" s="7"/>
      <c r="GN23" s="7"/>
      <c r="GO23" s="7"/>
      <c r="GP23" s="7"/>
      <c r="GQ23" s="7"/>
      <c r="GR23" s="7"/>
      <c r="GS23" s="7"/>
      <c r="GT23" s="7"/>
      <c r="GU23" s="7"/>
      <c r="GV23" s="7"/>
      <c r="GW23" s="7"/>
      <c r="GX23" s="7"/>
      <c r="GY23" s="7"/>
      <c r="GZ23" s="7"/>
      <c r="HA23" s="7"/>
      <c r="HB23" s="7"/>
      <c r="HC23" s="7"/>
      <c r="HD23" s="7"/>
      <c r="HE23" s="7"/>
      <c r="HF23" s="7"/>
      <c r="HG23" s="7"/>
      <c r="HH23" s="7"/>
      <c r="HI23" s="7"/>
      <c r="HJ23" s="7"/>
      <c r="HK23" s="7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  <c r="IG23" s="7"/>
      <c r="IH23" s="7"/>
      <c r="II23" s="7"/>
      <c r="IJ23" s="7"/>
      <c r="IK23" s="7"/>
      <c r="IL23" s="7"/>
      <c r="IM23" s="7"/>
      <c r="IN23" s="7"/>
      <c r="IO23" s="7"/>
      <c r="IP23" s="7"/>
      <c r="IQ23" s="7"/>
      <c r="IR23" s="7"/>
      <c r="IS23" s="7"/>
      <c r="IT23" s="7"/>
      <c r="IU23" s="7"/>
      <c r="IV23" s="7"/>
      <c r="IW23" s="7"/>
      <c r="IX23" s="7"/>
      <c r="IY23" s="7"/>
      <c r="IZ23" s="7"/>
      <c r="JA23" s="7"/>
      <c r="JB23" s="7"/>
      <c r="JC23" s="7"/>
      <c r="JD23" s="7"/>
      <c r="JE23" s="7"/>
      <c r="JF23" s="7"/>
      <c r="JG23" s="7"/>
      <c r="JH23" s="7"/>
      <c r="JI23" s="7"/>
      <c r="JJ23" s="7"/>
      <c r="JK23" s="7"/>
      <c r="JL23" s="7"/>
      <c r="JM23" s="7"/>
      <c r="JN23" s="7"/>
      <c r="JO23" s="7"/>
      <c r="JP23" s="7"/>
      <c r="JQ23" s="7"/>
      <c r="JR23" s="7"/>
      <c r="JS23" s="7"/>
      <c r="JT23" s="7"/>
      <c r="JU23" s="7"/>
      <c r="JV23" s="7"/>
      <c r="JW23" s="7"/>
      <c r="JX23" s="7"/>
      <c r="JY23" s="7"/>
      <c r="JZ23" s="7"/>
      <c r="KA23" s="7"/>
      <c r="KB23" s="7"/>
      <c r="KC23" s="7"/>
      <c r="KD23" s="7"/>
      <c r="KE23" s="7"/>
      <c r="KF23" s="7"/>
      <c r="KG23" s="7"/>
      <c r="KH23" s="7"/>
      <c r="KI23" s="7"/>
      <c r="KJ23" s="7"/>
      <c r="KK23" s="7"/>
      <c r="KL23" s="7"/>
      <c r="KM23" s="7"/>
      <c r="KN23" s="7"/>
      <c r="KO23" s="7"/>
      <c r="KP23" s="7"/>
      <c r="KQ23" s="7"/>
      <c r="KR23" s="7"/>
      <c r="KS23" s="7"/>
      <c r="KT23" s="7"/>
      <c r="KU23" s="7"/>
      <c r="KV23" s="7"/>
      <c r="KW23" s="7"/>
      <c r="KX23" s="7"/>
      <c r="KY23" s="7"/>
      <c r="KZ23" s="7"/>
      <c r="LA23" s="7"/>
      <c r="LB23" s="7"/>
      <c r="LC23" s="7"/>
      <c r="LD23" s="7"/>
      <c r="LE23" s="7"/>
      <c r="LF23" s="7"/>
      <c r="LG23" s="7"/>
      <c r="LH23" s="7"/>
      <c r="LI23" s="7"/>
      <c r="LJ23" s="7"/>
      <c r="LK23" s="7"/>
      <c r="LL23" s="7"/>
      <c r="LM23" s="7"/>
      <c r="LN23" s="7"/>
      <c r="LO23" s="7"/>
      <c r="LP23" s="7"/>
      <c r="LQ23" s="7"/>
      <c r="LR23" s="7"/>
      <c r="LS23" s="7"/>
      <c r="LT23" s="7"/>
      <c r="LU23" s="7"/>
      <c r="LV23" s="7"/>
      <c r="LW23" s="7"/>
      <c r="LX23" s="7"/>
      <c r="LY23" s="7"/>
      <c r="LZ23" s="7"/>
      <c r="MA23" s="7"/>
      <c r="MB23" s="7"/>
      <c r="MC23" s="7"/>
      <c r="MD23" s="7"/>
      <c r="ME23" s="7"/>
      <c r="MF23" s="7"/>
      <c r="MG23" s="7"/>
      <c r="MH23" s="7"/>
      <c r="MJ23" s="7"/>
      <c r="MK23" s="7"/>
      <c r="ML23" s="7"/>
      <c r="MM23" s="7"/>
      <c r="MN23" s="7"/>
      <c r="MO23" s="7"/>
      <c r="MP23" s="7"/>
      <c r="MQ23" s="7"/>
      <c r="MR23" s="7"/>
      <c r="MS23" s="7"/>
      <c r="MT23" s="7"/>
      <c r="MU23" s="7"/>
      <c r="MV23" s="7"/>
      <c r="MW23" s="7"/>
      <c r="MX23" s="7"/>
      <c r="MY23" s="7"/>
      <c r="MZ23" s="7"/>
      <c r="NA23" s="7"/>
      <c r="NB23" s="7"/>
      <c r="NC23" s="7"/>
      <c r="ND23" s="7"/>
      <c r="NE23" s="7"/>
      <c r="NF23" s="7"/>
      <c r="NG23" s="7"/>
      <c r="NH23" s="7"/>
      <c r="NI23" s="7"/>
      <c r="NJ23" s="7"/>
      <c r="NK23" s="7"/>
      <c r="NL23" s="7"/>
      <c r="NM23" s="7"/>
      <c r="NN23" s="7"/>
      <c r="NO23" s="7"/>
      <c r="NP23" s="7"/>
      <c r="NQ23" s="7"/>
      <c r="NR23" s="7"/>
      <c r="NS23" s="7"/>
      <c r="NT23" s="7"/>
      <c r="NU23" s="7"/>
      <c r="NV23" s="7"/>
      <c r="NW23" s="7"/>
      <c r="NX23" s="7"/>
      <c r="NY23" s="7"/>
      <c r="NZ23" s="7"/>
      <c r="OA23" s="7"/>
      <c r="OB23" s="7"/>
      <c r="OC23" s="7"/>
      <c r="OD23" s="7"/>
      <c r="OE23" s="7"/>
      <c r="OF23" s="7"/>
      <c r="OG23" s="7"/>
      <c r="OH23" s="7"/>
      <c r="OI23" s="7"/>
      <c r="OJ23" s="7"/>
      <c r="OK23" s="7"/>
      <c r="OL23" s="7"/>
      <c r="OM23" s="7"/>
      <c r="ON23" s="7"/>
      <c r="OO23" s="7"/>
      <c r="OP23" s="7"/>
      <c r="OQ23" s="7"/>
      <c r="OR23" s="7"/>
      <c r="OS23" s="7"/>
      <c r="OT23" s="7"/>
      <c r="OU23" s="7"/>
      <c r="OV23" s="7"/>
      <c r="OW23" s="7"/>
      <c r="OX23" s="7"/>
      <c r="OY23" s="7"/>
      <c r="OZ23" s="7"/>
      <c r="PA23" s="7"/>
      <c r="PB23" s="7"/>
      <c r="PC23" s="7"/>
      <c r="PD23" s="7"/>
      <c r="PE23" s="7"/>
      <c r="PF23" s="7"/>
      <c r="PG23" s="7"/>
      <c r="PH23" s="7"/>
      <c r="PI23" s="7"/>
      <c r="PJ23" s="7"/>
      <c r="PK23" s="7"/>
    </row>
    <row r="24" spans="10:427" ht="12" customHeight="1">
      <c r="J24" s="7"/>
      <c r="L24" s="7"/>
      <c r="N24" s="7"/>
      <c r="P24" s="7"/>
      <c r="Q24" s="7"/>
      <c r="R24" s="7"/>
      <c r="DN24" s="7"/>
      <c r="DO24" s="7"/>
      <c r="DP24" s="7"/>
      <c r="DQ24" s="7"/>
      <c r="DR24" s="7"/>
      <c r="DS24" s="7"/>
      <c r="DT24" s="7"/>
      <c r="DU24" s="7"/>
      <c r="DV24" s="7"/>
      <c r="DW24" s="7"/>
      <c r="DX24" s="7"/>
      <c r="DY24" s="7"/>
      <c r="DZ24" s="7"/>
      <c r="EA24" s="7"/>
      <c r="EB24" s="7"/>
      <c r="EC24" s="7"/>
      <c r="ED24" s="7"/>
      <c r="EE24" s="7"/>
      <c r="EF24" s="7"/>
      <c r="EG24" s="7"/>
      <c r="EH24" s="7"/>
      <c r="EI24" s="7"/>
      <c r="EJ24" s="7"/>
      <c r="EK24" s="7"/>
      <c r="EL24" s="7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  <c r="FH24" s="7"/>
      <c r="FI24" s="7"/>
      <c r="FJ24" s="7"/>
      <c r="FK24" s="7"/>
      <c r="FL24" s="7"/>
      <c r="FM24" s="7"/>
      <c r="FN24" s="7"/>
      <c r="FO24" s="7"/>
      <c r="FP24" s="7"/>
      <c r="FQ24" s="7"/>
      <c r="FR24" s="7"/>
      <c r="FS24" s="7"/>
      <c r="FT24" s="7"/>
      <c r="FU24" s="7"/>
      <c r="FV24" s="7"/>
      <c r="FW24" s="7"/>
      <c r="FX24" s="7"/>
      <c r="FY24" s="7"/>
      <c r="FZ24" s="7"/>
      <c r="GA24" s="7"/>
      <c r="GB24" s="7"/>
      <c r="GC24" s="7"/>
      <c r="GD24" s="7"/>
      <c r="GE24" s="7"/>
      <c r="GF24" s="7"/>
      <c r="GG24" s="7"/>
      <c r="GH24" s="7"/>
      <c r="GI24" s="7"/>
      <c r="GJ24" s="7"/>
      <c r="GK24" s="7"/>
      <c r="GL24" s="7"/>
      <c r="GM24" s="7"/>
      <c r="GN24" s="7"/>
      <c r="GO24" s="7"/>
      <c r="GP24" s="7"/>
      <c r="GQ24" s="7"/>
      <c r="GR24" s="7"/>
      <c r="GS24" s="7"/>
      <c r="GT24" s="7"/>
      <c r="GU24" s="7"/>
      <c r="GV24" s="7"/>
      <c r="GW24" s="7"/>
      <c r="GX24" s="7"/>
      <c r="GY24" s="7"/>
      <c r="GZ24" s="7"/>
      <c r="HA24" s="7"/>
      <c r="HB24" s="7"/>
      <c r="HC24" s="7"/>
      <c r="HD24" s="7"/>
      <c r="HE24" s="7"/>
      <c r="HF24" s="7"/>
      <c r="HG24" s="7"/>
      <c r="HH24" s="7"/>
      <c r="HI24" s="7"/>
      <c r="HJ24" s="7"/>
      <c r="HK24" s="7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  <c r="IG24" s="7"/>
      <c r="IH24" s="7"/>
      <c r="II24" s="7"/>
      <c r="IJ24" s="7"/>
      <c r="IK24" s="7"/>
      <c r="IL24" s="7"/>
      <c r="IM24" s="7"/>
      <c r="IN24" s="7"/>
      <c r="IO24" s="7"/>
      <c r="IP24" s="7"/>
      <c r="IQ24" s="7"/>
      <c r="IR24" s="7"/>
      <c r="IS24" s="7"/>
      <c r="IT24" s="7"/>
      <c r="IU24" s="7"/>
      <c r="IV24" s="7"/>
      <c r="IW24" s="7"/>
      <c r="IX24" s="7"/>
      <c r="IY24" s="7"/>
      <c r="IZ24" s="7"/>
      <c r="JA24" s="7"/>
      <c r="JB24" s="7"/>
      <c r="JC24" s="7"/>
      <c r="JD24" s="7"/>
      <c r="JE24" s="7"/>
      <c r="JF24" s="7"/>
      <c r="JG24" s="7"/>
      <c r="JH24" s="7"/>
      <c r="JI24" s="7"/>
      <c r="JJ24" s="7"/>
      <c r="JK24" s="7"/>
      <c r="JL24" s="7"/>
      <c r="JM24" s="7"/>
      <c r="JN24" s="7"/>
      <c r="JO24" s="7"/>
      <c r="JP24" s="7"/>
      <c r="JQ24" s="7"/>
      <c r="JR24" s="7"/>
      <c r="JS24" s="7"/>
      <c r="JT24" s="7"/>
      <c r="JU24" s="7"/>
      <c r="JV24" s="7"/>
      <c r="JW24" s="7"/>
      <c r="JX24" s="7"/>
      <c r="JY24" s="7"/>
      <c r="JZ24" s="7"/>
      <c r="KA24" s="7"/>
      <c r="KB24" s="7"/>
      <c r="KC24" s="7"/>
      <c r="KD24" s="7"/>
      <c r="KE24" s="7"/>
      <c r="KF24" s="7"/>
      <c r="KG24" s="7"/>
      <c r="KH24" s="7"/>
      <c r="KI24" s="7"/>
      <c r="KJ24" s="7"/>
      <c r="KK24" s="7"/>
      <c r="KL24" s="7"/>
      <c r="KM24" s="7"/>
      <c r="KN24" s="7"/>
      <c r="KO24" s="7"/>
      <c r="KP24" s="7"/>
      <c r="KQ24" s="7"/>
      <c r="KR24" s="7"/>
      <c r="KS24" s="7"/>
      <c r="KT24" s="7"/>
      <c r="KU24" s="7"/>
      <c r="KV24" s="7"/>
      <c r="KW24" s="7"/>
      <c r="KX24" s="7"/>
      <c r="KY24" s="7"/>
      <c r="KZ24" s="7"/>
      <c r="LA24" s="7"/>
      <c r="LB24" s="7"/>
      <c r="LC24" s="7"/>
      <c r="LD24" s="7"/>
      <c r="LE24" s="7"/>
      <c r="LF24" s="7"/>
      <c r="LG24" s="7"/>
      <c r="LH24" s="7"/>
      <c r="LI24" s="7"/>
      <c r="LJ24" s="7"/>
      <c r="LK24" s="7"/>
      <c r="LL24" s="7"/>
      <c r="LM24" s="7"/>
      <c r="LN24" s="7"/>
      <c r="LO24" s="7"/>
      <c r="LP24" s="7"/>
      <c r="LQ24" s="7"/>
      <c r="LR24" s="7"/>
      <c r="LS24" s="7"/>
      <c r="LT24" s="7"/>
      <c r="LU24" s="7"/>
      <c r="LV24" s="7"/>
      <c r="LW24" s="7"/>
      <c r="LX24" s="7"/>
      <c r="LY24" s="7"/>
      <c r="LZ24" s="7"/>
      <c r="MA24" s="7"/>
      <c r="MB24" s="7"/>
      <c r="MC24" s="7"/>
      <c r="MD24" s="7"/>
      <c r="ME24" s="7"/>
      <c r="MF24" s="7"/>
      <c r="MG24" s="7"/>
      <c r="MH24" s="7"/>
      <c r="MJ24" s="7"/>
      <c r="MK24" s="7"/>
      <c r="ML24" s="7"/>
      <c r="MM24" s="7"/>
      <c r="MN24" s="7"/>
      <c r="MO24" s="7"/>
      <c r="MP24" s="7"/>
      <c r="MQ24" s="7"/>
      <c r="MR24" s="7"/>
      <c r="MS24" s="7"/>
      <c r="MT24" s="7"/>
      <c r="MU24" s="7"/>
      <c r="MV24" s="7"/>
      <c r="MW24" s="7"/>
      <c r="MX24" s="7"/>
      <c r="MY24" s="7"/>
      <c r="MZ24" s="7"/>
      <c r="NA24" s="7"/>
      <c r="NB24" s="7"/>
      <c r="NC24" s="7"/>
      <c r="ND24" s="7"/>
      <c r="NE24" s="7"/>
      <c r="NF24" s="7"/>
      <c r="NG24" s="7"/>
      <c r="NH24" s="7"/>
      <c r="NI24" s="7"/>
      <c r="NJ24" s="7"/>
      <c r="NK24" s="7"/>
      <c r="NL24" s="7"/>
      <c r="NM24" s="7"/>
      <c r="NN24" s="7"/>
      <c r="NO24" s="7"/>
      <c r="NP24" s="7"/>
      <c r="NQ24" s="7"/>
      <c r="NR24" s="7"/>
      <c r="NS24" s="7"/>
      <c r="NT24" s="7"/>
      <c r="NU24" s="7"/>
      <c r="NV24" s="7"/>
      <c r="NW24" s="7"/>
      <c r="NX24" s="7"/>
      <c r="NY24" s="7"/>
      <c r="NZ24" s="7"/>
      <c r="OA24" s="7"/>
      <c r="OB24" s="7"/>
      <c r="OC24" s="7"/>
      <c r="OD24" s="7"/>
      <c r="OE24" s="7"/>
      <c r="OF24" s="7"/>
      <c r="OG24" s="7"/>
      <c r="OH24" s="7"/>
      <c r="OI24" s="7"/>
      <c r="OJ24" s="7"/>
      <c r="OK24" s="7"/>
      <c r="OL24" s="7"/>
      <c r="OM24" s="7"/>
      <c r="ON24" s="7"/>
      <c r="OO24" s="7"/>
      <c r="OP24" s="7"/>
      <c r="OQ24" s="7"/>
      <c r="OR24" s="7"/>
      <c r="OS24" s="7"/>
      <c r="OT24" s="7"/>
      <c r="OU24" s="7"/>
      <c r="OV24" s="7"/>
      <c r="OW24" s="7"/>
      <c r="OX24" s="7"/>
      <c r="OY24" s="7"/>
      <c r="OZ24" s="7"/>
      <c r="PA24" s="7"/>
      <c r="PB24" s="7"/>
      <c r="PC24" s="7"/>
      <c r="PD24" s="7"/>
      <c r="PE24" s="7"/>
      <c r="PF24" s="7"/>
      <c r="PG24" s="7"/>
      <c r="PH24" s="7"/>
      <c r="PI24" s="7"/>
      <c r="PJ24" s="7"/>
      <c r="PK24" s="7"/>
    </row>
    <row r="25" spans="10:427" ht="12" customHeight="1">
      <c r="J25" s="7"/>
      <c r="L25" s="7"/>
      <c r="N25" s="7"/>
      <c r="P25" s="7"/>
      <c r="Q25" s="7"/>
      <c r="R25" s="7"/>
      <c r="DN25" s="7"/>
      <c r="DO25" s="7"/>
      <c r="DP25" s="7"/>
      <c r="DQ25" s="7"/>
      <c r="DR25" s="7"/>
      <c r="DS25" s="7"/>
      <c r="DT25" s="7"/>
      <c r="DU25" s="7"/>
      <c r="DV25" s="7"/>
      <c r="DW25" s="7"/>
      <c r="DX25" s="7"/>
      <c r="DY25" s="7"/>
      <c r="DZ25" s="7"/>
      <c r="EA25" s="7"/>
      <c r="EB25" s="7"/>
      <c r="EC25" s="7"/>
      <c r="ED25" s="7"/>
      <c r="EE25" s="7"/>
      <c r="EF25" s="7"/>
      <c r="EG25" s="7"/>
      <c r="EH25" s="7"/>
      <c r="EI25" s="7"/>
      <c r="EJ25" s="7"/>
      <c r="EK25" s="7"/>
      <c r="EL25" s="7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  <c r="FH25" s="7"/>
      <c r="FI25" s="7"/>
      <c r="FJ25" s="7"/>
      <c r="FK25" s="7"/>
      <c r="FL25" s="7"/>
      <c r="FM25" s="7"/>
      <c r="FN25" s="7"/>
      <c r="FO25" s="7"/>
      <c r="FP25" s="7"/>
      <c r="FQ25" s="7"/>
      <c r="FR25" s="7"/>
      <c r="FS25" s="7"/>
      <c r="FT25" s="7"/>
      <c r="FU25" s="7"/>
      <c r="FV25" s="7"/>
      <c r="FW25" s="7"/>
      <c r="FX25" s="7"/>
      <c r="FY25" s="7"/>
      <c r="FZ25" s="7"/>
      <c r="GA25" s="7"/>
      <c r="GB25" s="7"/>
      <c r="GC25" s="7"/>
      <c r="GD25" s="7"/>
      <c r="GE25" s="7"/>
      <c r="GF25" s="7"/>
      <c r="GG25" s="7"/>
      <c r="GH25" s="7"/>
      <c r="GI25" s="7"/>
      <c r="GJ25" s="7"/>
      <c r="GK25" s="7"/>
      <c r="GL25" s="7"/>
      <c r="GM25" s="7"/>
      <c r="GN25" s="7"/>
      <c r="GO25" s="7"/>
      <c r="GP25" s="7"/>
      <c r="GQ25" s="7"/>
      <c r="GR25" s="7"/>
      <c r="GS25" s="7"/>
      <c r="GT25" s="7"/>
      <c r="GU25" s="7"/>
      <c r="GV25" s="7"/>
      <c r="GW25" s="7"/>
      <c r="GX25" s="7"/>
      <c r="GY25" s="7"/>
      <c r="GZ25" s="7"/>
      <c r="HA25" s="7"/>
      <c r="HB25" s="7"/>
      <c r="HC25" s="7"/>
      <c r="HD25" s="7"/>
      <c r="HE25" s="7"/>
      <c r="HF25" s="7"/>
      <c r="HG25" s="7"/>
      <c r="HH25" s="7"/>
      <c r="HI25" s="7"/>
      <c r="HJ25" s="7"/>
      <c r="HK25" s="7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  <c r="IG25" s="7"/>
      <c r="IH25" s="7"/>
      <c r="II25" s="7"/>
      <c r="IJ25" s="7"/>
      <c r="IK25" s="7"/>
      <c r="IL25" s="7"/>
      <c r="IM25" s="7"/>
      <c r="IN25" s="7"/>
      <c r="IO25" s="7"/>
      <c r="IP25" s="7"/>
      <c r="IQ25" s="7"/>
      <c r="IR25" s="7"/>
      <c r="IS25" s="7"/>
      <c r="IT25" s="7"/>
      <c r="IU25" s="7"/>
      <c r="IV25" s="7"/>
      <c r="IW25" s="7"/>
      <c r="IX25" s="7"/>
      <c r="IY25" s="7"/>
      <c r="IZ25" s="7"/>
      <c r="JA25" s="7"/>
      <c r="JB25" s="7"/>
      <c r="JC25" s="7"/>
      <c r="JD25" s="7"/>
      <c r="JE25" s="7"/>
      <c r="JF25" s="7"/>
      <c r="JG25" s="7"/>
      <c r="JH25" s="7"/>
      <c r="JI25" s="7"/>
      <c r="JJ25" s="7"/>
      <c r="JK25" s="7"/>
      <c r="JL25" s="7"/>
      <c r="JM25" s="7"/>
      <c r="JN25" s="7"/>
      <c r="JO25" s="7"/>
      <c r="JP25" s="7"/>
      <c r="JQ25" s="7"/>
      <c r="JR25" s="7"/>
      <c r="JS25" s="7"/>
      <c r="JT25" s="7"/>
      <c r="JU25" s="7"/>
      <c r="JV25" s="7"/>
      <c r="JW25" s="7"/>
      <c r="JX25" s="7"/>
      <c r="JY25" s="7"/>
      <c r="JZ25" s="7"/>
      <c r="KA25" s="7"/>
      <c r="KB25" s="7"/>
      <c r="KC25" s="7"/>
      <c r="KD25" s="7"/>
      <c r="KE25" s="7"/>
      <c r="KF25" s="7"/>
      <c r="KG25" s="7"/>
      <c r="KH25" s="7"/>
      <c r="KI25" s="7"/>
      <c r="KJ25" s="7"/>
      <c r="KK25" s="7"/>
      <c r="KL25" s="7"/>
      <c r="KM25" s="7"/>
      <c r="KN25" s="7"/>
      <c r="KO25" s="7"/>
      <c r="KP25" s="7"/>
      <c r="KQ25" s="7"/>
      <c r="KR25" s="7"/>
      <c r="KS25" s="7"/>
      <c r="KT25" s="7"/>
      <c r="KU25" s="7"/>
      <c r="KV25" s="7"/>
      <c r="KW25" s="7"/>
      <c r="KX25" s="7"/>
      <c r="KY25" s="7"/>
      <c r="KZ25" s="7"/>
      <c r="LA25" s="7"/>
      <c r="LB25" s="7"/>
      <c r="LC25" s="7"/>
      <c r="LD25" s="7"/>
      <c r="LE25" s="7"/>
      <c r="LF25" s="7"/>
      <c r="LG25" s="7"/>
      <c r="LH25" s="7"/>
      <c r="LI25" s="7"/>
      <c r="LJ25" s="7"/>
      <c r="LK25" s="7"/>
      <c r="LL25" s="7"/>
      <c r="LM25" s="7"/>
      <c r="LN25" s="7"/>
      <c r="LO25" s="7"/>
      <c r="LP25" s="7"/>
      <c r="LQ25" s="7"/>
      <c r="LR25" s="7"/>
      <c r="LS25" s="7"/>
      <c r="LT25" s="7"/>
      <c r="LU25" s="7"/>
      <c r="LV25" s="7"/>
      <c r="LW25" s="7"/>
      <c r="LX25" s="7"/>
      <c r="LY25" s="7"/>
      <c r="LZ25" s="7"/>
      <c r="MA25" s="7"/>
      <c r="MB25" s="7"/>
      <c r="MC25" s="7"/>
      <c r="MD25" s="7"/>
      <c r="ME25" s="7"/>
      <c r="MF25" s="7"/>
      <c r="MG25" s="7"/>
      <c r="MH25" s="7"/>
      <c r="MJ25" s="7"/>
      <c r="MK25" s="7"/>
      <c r="ML25" s="7"/>
      <c r="MM25" s="7"/>
      <c r="MN25" s="7"/>
      <c r="MO25" s="7"/>
      <c r="MP25" s="7"/>
      <c r="MQ25" s="7"/>
      <c r="MR25" s="7"/>
      <c r="MS25" s="7"/>
      <c r="MT25" s="7"/>
      <c r="MU25" s="7"/>
      <c r="MV25" s="7"/>
      <c r="MW25" s="7"/>
      <c r="MX25" s="7"/>
      <c r="MY25" s="7"/>
      <c r="MZ25" s="7"/>
      <c r="NA25" s="7"/>
      <c r="NB25" s="7"/>
      <c r="NC25" s="7"/>
      <c r="ND25" s="7"/>
      <c r="NE25" s="7"/>
      <c r="NF25" s="7"/>
      <c r="NG25" s="7"/>
      <c r="NH25" s="7"/>
      <c r="NI25" s="7"/>
      <c r="NJ25" s="7"/>
      <c r="NK25" s="7"/>
      <c r="NL25" s="7"/>
      <c r="NM25" s="7"/>
      <c r="NN25" s="7"/>
      <c r="NO25" s="7"/>
      <c r="NP25" s="7"/>
      <c r="NQ25" s="7"/>
      <c r="NR25" s="7"/>
      <c r="NS25" s="7"/>
      <c r="NT25" s="7"/>
      <c r="NU25" s="7"/>
      <c r="NV25" s="7"/>
      <c r="NW25" s="7"/>
      <c r="NX25" s="7"/>
      <c r="NY25" s="7"/>
      <c r="NZ25" s="7"/>
      <c r="OA25" s="7"/>
      <c r="OB25" s="7"/>
      <c r="OC25" s="7"/>
      <c r="OD25" s="7"/>
      <c r="OE25" s="7"/>
      <c r="OF25" s="7"/>
      <c r="OG25" s="7"/>
      <c r="OH25" s="7"/>
      <c r="OI25" s="7"/>
      <c r="OJ25" s="7"/>
      <c r="OK25" s="7"/>
      <c r="OL25" s="7"/>
      <c r="OM25" s="7"/>
      <c r="ON25" s="7"/>
      <c r="OO25" s="7"/>
      <c r="OP25" s="7"/>
      <c r="OQ25" s="7"/>
      <c r="OR25" s="7"/>
      <c r="OS25" s="7"/>
      <c r="OT25" s="7"/>
      <c r="OU25" s="7"/>
      <c r="OV25" s="7"/>
      <c r="OW25" s="7"/>
      <c r="OX25" s="7"/>
      <c r="OY25" s="7"/>
      <c r="OZ25" s="7"/>
      <c r="PA25" s="7"/>
      <c r="PB25" s="7"/>
      <c r="PC25" s="7"/>
      <c r="PD25" s="7"/>
      <c r="PE25" s="7"/>
      <c r="PF25" s="7"/>
      <c r="PG25" s="7"/>
      <c r="PH25" s="7"/>
      <c r="PI25" s="7"/>
      <c r="PJ25" s="7"/>
      <c r="PK25" s="7"/>
    </row>
    <row r="26" spans="10:427" ht="12" customHeight="1">
      <c r="J26" s="7"/>
      <c r="L26" s="7"/>
      <c r="N26" s="7"/>
      <c r="P26" s="7"/>
      <c r="Q26" s="7"/>
      <c r="R26" s="7"/>
      <c r="DN26" s="7"/>
      <c r="DO26" s="7"/>
      <c r="DP26" s="7"/>
      <c r="DQ26" s="7"/>
      <c r="DR26" s="7"/>
      <c r="DS26" s="7"/>
      <c r="DT26" s="7"/>
      <c r="DU26" s="7"/>
      <c r="DV26" s="7"/>
      <c r="DW26" s="7"/>
      <c r="DX26" s="7"/>
      <c r="DY26" s="7"/>
      <c r="DZ26" s="7"/>
      <c r="EA26" s="7"/>
      <c r="EB26" s="7"/>
      <c r="EC26" s="7"/>
      <c r="ED26" s="7"/>
      <c r="EE26" s="7"/>
      <c r="EF26" s="7"/>
      <c r="EG26" s="7"/>
      <c r="EH26" s="7"/>
      <c r="EI26" s="7"/>
      <c r="EJ26" s="7"/>
      <c r="EK26" s="7"/>
      <c r="EL26" s="7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  <c r="FH26" s="7"/>
      <c r="FI26" s="7"/>
      <c r="FJ26" s="7"/>
      <c r="FK26" s="7"/>
      <c r="FL26" s="7"/>
      <c r="FM26" s="7"/>
      <c r="FN26" s="7"/>
      <c r="FO26" s="7"/>
      <c r="FP26" s="7"/>
      <c r="FQ26" s="7"/>
      <c r="FR26" s="7"/>
      <c r="FS26" s="7"/>
      <c r="FT26" s="7"/>
      <c r="FU26" s="7"/>
      <c r="FV26" s="7"/>
      <c r="FW26" s="7"/>
      <c r="FX26" s="7"/>
      <c r="FY26" s="7"/>
      <c r="FZ26" s="7"/>
      <c r="GA26" s="7"/>
      <c r="GB26" s="7"/>
      <c r="GC26" s="7"/>
      <c r="GD26" s="7"/>
      <c r="GE26" s="7"/>
      <c r="GF26" s="7"/>
      <c r="GG26" s="7"/>
      <c r="GH26" s="7"/>
      <c r="GI26" s="7"/>
      <c r="GJ26" s="7"/>
      <c r="GK26" s="7"/>
      <c r="GL26" s="7"/>
      <c r="GM26" s="7"/>
      <c r="GN26" s="7"/>
      <c r="GO26" s="7"/>
      <c r="GP26" s="7"/>
      <c r="GQ26" s="7"/>
      <c r="GR26" s="7"/>
      <c r="GS26" s="7"/>
      <c r="GT26" s="7"/>
      <c r="GU26" s="7"/>
      <c r="GV26" s="7"/>
      <c r="GW26" s="7"/>
      <c r="GX26" s="7"/>
      <c r="GY26" s="7"/>
      <c r="GZ26" s="7"/>
      <c r="HA26" s="7"/>
      <c r="HB26" s="7"/>
      <c r="HC26" s="7"/>
      <c r="HD26" s="7"/>
      <c r="HE26" s="7"/>
      <c r="HF26" s="7"/>
      <c r="HG26" s="7"/>
      <c r="HH26" s="7"/>
      <c r="HI26" s="7"/>
      <c r="HJ26" s="7"/>
      <c r="HK26" s="7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  <c r="IG26" s="7"/>
      <c r="IH26" s="7"/>
      <c r="II26" s="7"/>
      <c r="IJ26" s="7"/>
      <c r="IK26" s="7"/>
      <c r="IL26" s="7"/>
      <c r="IM26" s="7"/>
      <c r="IN26" s="7"/>
      <c r="IO26" s="7"/>
      <c r="IP26" s="7"/>
      <c r="IQ26" s="7"/>
      <c r="IR26" s="7"/>
      <c r="IS26" s="7"/>
      <c r="IT26" s="7"/>
      <c r="IU26" s="7"/>
      <c r="IV26" s="7"/>
      <c r="IW26" s="7"/>
      <c r="IX26" s="7"/>
      <c r="IY26" s="7"/>
      <c r="IZ26" s="7"/>
      <c r="JA26" s="7"/>
      <c r="JB26" s="7"/>
      <c r="JC26" s="7"/>
      <c r="JD26" s="7"/>
      <c r="JE26" s="7"/>
      <c r="JF26" s="7"/>
      <c r="JG26" s="7"/>
      <c r="JH26" s="7"/>
      <c r="JI26" s="7"/>
      <c r="JJ26" s="7"/>
      <c r="JK26" s="7"/>
      <c r="JL26" s="7"/>
      <c r="JM26" s="7"/>
      <c r="JN26" s="7"/>
      <c r="JO26" s="7"/>
      <c r="JP26" s="7"/>
      <c r="JQ26" s="7"/>
      <c r="JR26" s="7"/>
      <c r="JS26" s="7"/>
      <c r="JT26" s="7"/>
      <c r="JU26" s="7"/>
      <c r="JV26" s="7"/>
      <c r="JW26" s="7"/>
      <c r="JX26" s="7"/>
      <c r="JY26" s="7"/>
      <c r="JZ26" s="7"/>
      <c r="KA26" s="7"/>
      <c r="KB26" s="7"/>
      <c r="KC26" s="7"/>
      <c r="KD26" s="7"/>
      <c r="KE26" s="7"/>
      <c r="KF26" s="7"/>
      <c r="KG26" s="7"/>
      <c r="KH26" s="7"/>
      <c r="KI26" s="7"/>
      <c r="KJ26" s="7"/>
      <c r="KK26" s="7"/>
      <c r="KL26" s="7"/>
      <c r="KM26" s="7"/>
      <c r="KN26" s="7"/>
      <c r="KO26" s="7"/>
      <c r="KP26" s="7"/>
      <c r="KQ26" s="7"/>
      <c r="KR26" s="7"/>
      <c r="KS26" s="7"/>
      <c r="KT26" s="7"/>
      <c r="KU26" s="7"/>
      <c r="KV26" s="7"/>
      <c r="KW26" s="7"/>
      <c r="KX26" s="7"/>
      <c r="KY26" s="7"/>
      <c r="KZ26" s="7"/>
      <c r="LA26" s="7"/>
      <c r="LB26" s="7"/>
      <c r="LC26" s="7"/>
      <c r="LD26" s="7"/>
      <c r="LE26" s="7"/>
      <c r="LF26" s="7"/>
      <c r="LG26" s="7"/>
      <c r="LH26" s="7"/>
      <c r="LI26" s="7"/>
      <c r="LJ26" s="7"/>
      <c r="LK26" s="7"/>
      <c r="LL26" s="7"/>
      <c r="LM26" s="7"/>
      <c r="LN26" s="7"/>
      <c r="LO26" s="7"/>
      <c r="LP26" s="7"/>
      <c r="LQ26" s="7"/>
      <c r="LR26" s="7"/>
      <c r="LS26" s="7"/>
      <c r="LT26" s="7"/>
      <c r="LU26" s="7"/>
      <c r="LV26" s="7"/>
      <c r="LW26" s="7"/>
      <c r="LX26" s="7"/>
      <c r="LY26" s="7"/>
      <c r="LZ26" s="7"/>
      <c r="MA26" s="7"/>
      <c r="MB26" s="7"/>
      <c r="MC26" s="7"/>
      <c r="MD26" s="7"/>
      <c r="ME26" s="7"/>
      <c r="MF26" s="7"/>
      <c r="MG26" s="7"/>
      <c r="MH26" s="7"/>
      <c r="MJ26" s="7"/>
      <c r="MK26" s="7"/>
      <c r="ML26" s="7"/>
      <c r="MM26" s="7"/>
      <c r="MN26" s="7"/>
      <c r="MO26" s="7"/>
      <c r="MP26" s="7"/>
      <c r="MQ26" s="7"/>
      <c r="MR26" s="7"/>
      <c r="MS26" s="7"/>
      <c r="MT26" s="7"/>
      <c r="MU26" s="7"/>
      <c r="MV26" s="7"/>
      <c r="MW26" s="7"/>
      <c r="MX26" s="7"/>
      <c r="MY26" s="7"/>
      <c r="MZ26" s="7"/>
      <c r="NA26" s="7"/>
      <c r="NB26" s="7"/>
      <c r="NC26" s="7"/>
      <c r="ND26" s="7"/>
      <c r="NE26" s="7"/>
      <c r="NF26" s="7"/>
      <c r="NG26" s="7"/>
      <c r="NH26" s="7"/>
      <c r="NI26" s="7"/>
      <c r="NJ26" s="7"/>
      <c r="NK26" s="7"/>
      <c r="NL26" s="7"/>
      <c r="NM26" s="7"/>
      <c r="NN26" s="7"/>
      <c r="NO26" s="7"/>
      <c r="NP26" s="7"/>
      <c r="NQ26" s="7"/>
      <c r="NR26" s="7"/>
      <c r="NS26" s="7"/>
      <c r="NT26" s="7"/>
      <c r="NU26" s="7"/>
      <c r="NV26" s="7"/>
      <c r="NW26" s="7"/>
      <c r="NX26" s="7"/>
      <c r="NY26" s="7"/>
      <c r="NZ26" s="7"/>
      <c r="OA26" s="7"/>
      <c r="OB26" s="7"/>
      <c r="OC26" s="7"/>
      <c r="OD26" s="7"/>
      <c r="OE26" s="7"/>
      <c r="OF26" s="7"/>
      <c r="OG26" s="7"/>
      <c r="OH26" s="7"/>
      <c r="OI26" s="7"/>
      <c r="OJ26" s="7"/>
      <c r="OK26" s="7"/>
      <c r="OL26" s="7"/>
      <c r="OM26" s="7"/>
      <c r="ON26" s="7"/>
      <c r="OO26" s="7"/>
      <c r="OP26" s="7"/>
      <c r="OQ26" s="7"/>
      <c r="OR26" s="7"/>
      <c r="OS26" s="7"/>
      <c r="OT26" s="7"/>
      <c r="OU26" s="7"/>
      <c r="OV26" s="7"/>
      <c r="OW26" s="7"/>
      <c r="OX26" s="7"/>
      <c r="OY26" s="7"/>
      <c r="OZ26" s="7"/>
      <c r="PA26" s="7"/>
      <c r="PB26" s="7"/>
      <c r="PC26" s="7"/>
      <c r="PD26" s="7"/>
      <c r="PE26" s="7"/>
      <c r="PF26" s="7"/>
      <c r="PG26" s="7"/>
      <c r="PH26" s="7"/>
      <c r="PI26" s="7"/>
      <c r="PJ26" s="7"/>
      <c r="PK26" s="7"/>
    </row>
    <row r="27" spans="10:427" ht="12" customHeight="1">
      <c r="J27" s="7"/>
      <c r="L27" s="7"/>
      <c r="N27" s="7"/>
      <c r="P27" s="7"/>
      <c r="Q27" s="7"/>
      <c r="R27" s="7"/>
      <c r="DN27" s="7"/>
      <c r="DO27" s="7"/>
      <c r="DP27" s="7"/>
      <c r="DQ27" s="7"/>
      <c r="DR27" s="7"/>
      <c r="DS27" s="7"/>
      <c r="DT27" s="7"/>
      <c r="DU27" s="7"/>
      <c r="DV27" s="7"/>
      <c r="DW27" s="7"/>
      <c r="DX27" s="7"/>
      <c r="DY27" s="7"/>
      <c r="DZ27" s="7"/>
      <c r="EA27" s="7"/>
      <c r="EB27" s="7"/>
      <c r="EC27" s="7"/>
      <c r="ED27" s="7"/>
      <c r="EE27" s="7"/>
      <c r="EF27" s="7"/>
      <c r="EG27" s="7"/>
      <c r="EH27" s="7"/>
      <c r="EI27" s="7"/>
      <c r="EJ27" s="7"/>
      <c r="EK27" s="7"/>
      <c r="EL27" s="7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  <c r="FH27" s="7"/>
      <c r="FI27" s="7"/>
      <c r="FJ27" s="7"/>
      <c r="FK27" s="7"/>
      <c r="FL27" s="7"/>
      <c r="FM27" s="7"/>
      <c r="FN27" s="7"/>
      <c r="FO27" s="7"/>
      <c r="FP27" s="7"/>
      <c r="FQ27" s="7"/>
      <c r="FR27" s="7"/>
      <c r="FS27" s="7"/>
      <c r="FT27" s="7"/>
      <c r="FU27" s="7"/>
      <c r="FV27" s="7"/>
      <c r="FW27" s="7"/>
      <c r="FX27" s="7"/>
      <c r="FY27" s="7"/>
      <c r="FZ27" s="7"/>
      <c r="GA27" s="7"/>
      <c r="GB27" s="7"/>
      <c r="GC27" s="7"/>
      <c r="GD27" s="7"/>
      <c r="GE27" s="7"/>
      <c r="GF27" s="7"/>
      <c r="GG27" s="7"/>
      <c r="GH27" s="7"/>
      <c r="GI27" s="7"/>
      <c r="GJ27" s="7"/>
      <c r="GK27" s="7"/>
      <c r="GL27" s="7"/>
      <c r="GM27" s="7"/>
      <c r="GN27" s="7"/>
      <c r="GO27" s="7"/>
      <c r="GP27" s="7"/>
      <c r="GQ27" s="7"/>
      <c r="GR27" s="7"/>
      <c r="GS27" s="7"/>
      <c r="GT27" s="7"/>
      <c r="GU27" s="7"/>
      <c r="GV27" s="7"/>
      <c r="GW27" s="7"/>
      <c r="GX27" s="7"/>
      <c r="GY27" s="7"/>
      <c r="GZ27" s="7"/>
      <c r="HA27" s="7"/>
      <c r="HB27" s="7"/>
      <c r="HC27" s="7"/>
      <c r="HD27" s="7"/>
      <c r="HE27" s="7"/>
      <c r="HF27" s="7"/>
      <c r="HG27" s="7"/>
      <c r="HH27" s="7"/>
      <c r="HI27" s="7"/>
      <c r="HJ27" s="7"/>
      <c r="HK27" s="7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  <c r="IG27" s="7"/>
      <c r="IH27" s="7"/>
      <c r="II27" s="7"/>
      <c r="IJ27" s="7"/>
      <c r="IK27" s="7"/>
      <c r="IL27" s="7"/>
      <c r="IM27" s="7"/>
      <c r="IN27" s="7"/>
      <c r="IO27" s="7"/>
      <c r="IP27" s="7"/>
      <c r="IQ27" s="7"/>
      <c r="IR27" s="7"/>
      <c r="IS27" s="7"/>
      <c r="IT27" s="7"/>
      <c r="IU27" s="7"/>
      <c r="IV27" s="7"/>
      <c r="IW27" s="7"/>
      <c r="IX27" s="7"/>
      <c r="IY27" s="7"/>
      <c r="IZ27" s="7"/>
      <c r="JA27" s="7"/>
      <c r="JB27" s="7"/>
      <c r="JC27" s="7"/>
      <c r="JD27" s="7"/>
      <c r="JE27" s="7"/>
      <c r="JF27" s="7"/>
      <c r="JG27" s="7"/>
      <c r="JH27" s="7"/>
      <c r="JI27" s="7"/>
      <c r="JJ27" s="7"/>
      <c r="JK27" s="7"/>
      <c r="JL27" s="7"/>
      <c r="JM27" s="7"/>
      <c r="JN27" s="7"/>
      <c r="JO27" s="7"/>
      <c r="JP27" s="7"/>
      <c r="JQ27" s="7"/>
      <c r="JR27" s="7"/>
      <c r="JS27" s="7"/>
      <c r="JT27" s="7"/>
      <c r="JU27" s="7"/>
      <c r="JV27" s="7"/>
      <c r="JW27" s="7"/>
      <c r="JX27" s="7"/>
      <c r="JY27" s="7"/>
      <c r="JZ27" s="7"/>
      <c r="KA27" s="7"/>
      <c r="KB27" s="7"/>
      <c r="KC27" s="7"/>
      <c r="KD27" s="7"/>
      <c r="KE27" s="7"/>
      <c r="KF27" s="7"/>
      <c r="KG27" s="7"/>
      <c r="KH27" s="7"/>
      <c r="KI27" s="7"/>
      <c r="KJ27" s="7"/>
      <c r="KK27" s="7"/>
      <c r="KL27" s="7"/>
      <c r="KM27" s="7"/>
      <c r="KN27" s="7"/>
      <c r="KO27" s="7"/>
      <c r="KP27" s="7"/>
      <c r="KQ27" s="7"/>
      <c r="KR27" s="7"/>
      <c r="KS27" s="7"/>
      <c r="KT27" s="7"/>
      <c r="KU27" s="7"/>
      <c r="KV27" s="7"/>
      <c r="KW27" s="7"/>
      <c r="KX27" s="7"/>
      <c r="KY27" s="7"/>
      <c r="KZ27" s="7"/>
      <c r="LA27" s="7"/>
      <c r="LB27" s="7"/>
      <c r="LC27" s="7"/>
      <c r="LD27" s="7"/>
      <c r="LE27" s="7"/>
      <c r="LF27" s="7"/>
      <c r="LG27" s="7"/>
      <c r="LH27" s="7"/>
      <c r="LI27" s="7"/>
      <c r="LJ27" s="7"/>
      <c r="LK27" s="7"/>
      <c r="LL27" s="7"/>
      <c r="LM27" s="7"/>
      <c r="LN27" s="7"/>
      <c r="LO27" s="7"/>
      <c r="LP27" s="7"/>
      <c r="LQ27" s="7"/>
      <c r="LR27" s="7"/>
      <c r="LS27" s="7"/>
      <c r="LT27" s="7"/>
      <c r="LU27" s="7"/>
      <c r="LV27" s="7"/>
      <c r="LW27" s="7"/>
      <c r="LX27" s="7"/>
      <c r="LY27" s="7"/>
      <c r="LZ27" s="7"/>
      <c r="MA27" s="7"/>
      <c r="MB27" s="7"/>
      <c r="MC27" s="7"/>
      <c r="MD27" s="7"/>
      <c r="ME27" s="7"/>
      <c r="MF27" s="7"/>
      <c r="MG27" s="7"/>
      <c r="MH27" s="7"/>
      <c r="MJ27" s="7"/>
      <c r="MK27" s="7"/>
      <c r="ML27" s="7"/>
      <c r="MM27" s="7"/>
      <c r="MN27" s="7"/>
      <c r="MO27" s="7"/>
      <c r="MP27" s="7"/>
      <c r="MQ27" s="7"/>
      <c r="MR27" s="7"/>
      <c r="MS27" s="7"/>
      <c r="MT27" s="7"/>
      <c r="MU27" s="7"/>
      <c r="MV27" s="7"/>
      <c r="MW27" s="7"/>
      <c r="MX27" s="7"/>
      <c r="MY27" s="7"/>
      <c r="MZ27" s="7"/>
      <c r="NA27" s="7"/>
      <c r="NB27" s="7"/>
      <c r="NC27" s="7"/>
      <c r="ND27" s="7"/>
      <c r="NE27" s="7"/>
      <c r="NF27" s="7"/>
      <c r="NG27" s="7"/>
      <c r="NH27" s="7"/>
      <c r="NI27" s="7"/>
      <c r="NJ27" s="7"/>
      <c r="NK27" s="7"/>
      <c r="NL27" s="7"/>
      <c r="NM27" s="7"/>
      <c r="NN27" s="7"/>
      <c r="NO27" s="7"/>
      <c r="NP27" s="7"/>
      <c r="NQ27" s="7"/>
      <c r="NR27" s="7"/>
      <c r="NS27" s="7"/>
      <c r="NT27" s="7"/>
      <c r="NU27" s="7"/>
      <c r="NV27" s="7"/>
      <c r="NW27" s="7"/>
      <c r="NX27" s="7"/>
      <c r="NY27" s="7"/>
      <c r="NZ27" s="7"/>
      <c r="OA27" s="7"/>
      <c r="OB27" s="7"/>
      <c r="OC27" s="7"/>
      <c r="OD27" s="7"/>
      <c r="OE27" s="7"/>
      <c r="OF27" s="7"/>
      <c r="OG27" s="7"/>
      <c r="OH27" s="7"/>
      <c r="OI27" s="7"/>
      <c r="OJ27" s="7"/>
      <c r="OK27" s="7"/>
      <c r="OL27" s="7"/>
      <c r="OM27" s="7"/>
      <c r="ON27" s="7"/>
      <c r="OO27" s="7"/>
      <c r="OP27" s="7"/>
      <c r="OQ27" s="7"/>
      <c r="OR27" s="7"/>
      <c r="OS27" s="7"/>
      <c r="OT27" s="7"/>
      <c r="OU27" s="7"/>
      <c r="OV27" s="7"/>
      <c r="OW27" s="7"/>
      <c r="OX27" s="7"/>
      <c r="OY27" s="7"/>
      <c r="OZ27" s="7"/>
      <c r="PA27" s="7"/>
      <c r="PB27" s="7"/>
      <c r="PC27" s="7"/>
      <c r="PD27" s="7"/>
      <c r="PE27" s="7"/>
      <c r="PF27" s="7"/>
      <c r="PG27" s="7"/>
      <c r="PH27" s="7"/>
      <c r="PI27" s="7"/>
      <c r="PJ27" s="7"/>
      <c r="PK27" s="7"/>
    </row>
    <row r="28" spans="10:427" ht="12" customHeight="1">
      <c r="J28" s="7"/>
      <c r="L28" s="7"/>
      <c r="N28" s="7"/>
      <c r="P28" s="7"/>
      <c r="Q28" s="7"/>
      <c r="R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  <c r="IV28" s="7"/>
      <c r="IW28" s="7"/>
      <c r="IX28" s="7"/>
      <c r="IY28" s="7"/>
      <c r="IZ28" s="7"/>
      <c r="JA28" s="7"/>
      <c r="JB28" s="7"/>
      <c r="JC28" s="7"/>
      <c r="JD28" s="7"/>
      <c r="JE28" s="7"/>
      <c r="JF28" s="7"/>
      <c r="JG28" s="7"/>
      <c r="JH28" s="7"/>
      <c r="JI28" s="7"/>
      <c r="JJ28" s="7"/>
      <c r="JK28" s="7"/>
      <c r="JL28" s="7"/>
      <c r="JM28" s="7"/>
      <c r="JN28" s="7"/>
      <c r="JO28" s="7"/>
      <c r="JP28" s="7"/>
      <c r="JQ28" s="7"/>
      <c r="JR28" s="7"/>
      <c r="JS28" s="7"/>
      <c r="JT28" s="7"/>
      <c r="JU28" s="7"/>
      <c r="JV28" s="7"/>
      <c r="JW28" s="7"/>
      <c r="JX28" s="7"/>
      <c r="JY28" s="7"/>
      <c r="JZ28" s="7"/>
      <c r="KA28" s="7"/>
      <c r="KB28" s="7"/>
      <c r="KC28" s="7"/>
      <c r="KD28" s="7"/>
      <c r="KE28" s="7"/>
      <c r="KF28" s="7"/>
      <c r="KG28" s="7"/>
      <c r="KH28" s="7"/>
      <c r="KI28" s="7"/>
      <c r="KJ28" s="7"/>
      <c r="KK28" s="7"/>
      <c r="KL28" s="7"/>
      <c r="KM28" s="7"/>
      <c r="KN28" s="7"/>
      <c r="KO28" s="7"/>
      <c r="KP28" s="7"/>
      <c r="KQ28" s="7"/>
      <c r="KR28" s="7"/>
      <c r="KS28" s="7"/>
      <c r="KT28" s="7"/>
      <c r="KU28" s="7"/>
      <c r="KV28" s="7"/>
      <c r="KW28" s="7"/>
      <c r="KX28" s="7"/>
      <c r="KY28" s="7"/>
      <c r="KZ28" s="7"/>
      <c r="LA28" s="7"/>
      <c r="LB28" s="7"/>
      <c r="LC28" s="7"/>
      <c r="LD28" s="7"/>
      <c r="LE28" s="7"/>
      <c r="LF28" s="7"/>
      <c r="LG28" s="7"/>
      <c r="LH28" s="7"/>
      <c r="LI28" s="7"/>
      <c r="LJ28" s="7"/>
      <c r="LK28" s="7"/>
      <c r="LL28" s="7"/>
      <c r="LM28" s="7"/>
      <c r="LN28" s="7"/>
      <c r="LO28" s="7"/>
      <c r="LP28" s="7"/>
      <c r="LQ28" s="7"/>
      <c r="LR28" s="7"/>
      <c r="LS28" s="7"/>
      <c r="LT28" s="7"/>
      <c r="LU28" s="7"/>
      <c r="LV28" s="7"/>
      <c r="LW28" s="7"/>
      <c r="LX28" s="7"/>
      <c r="LY28" s="7"/>
      <c r="LZ28" s="7"/>
      <c r="MA28" s="7"/>
      <c r="MB28" s="7"/>
      <c r="MC28" s="7"/>
      <c r="MD28" s="7"/>
      <c r="ME28" s="7"/>
      <c r="MF28" s="7"/>
      <c r="MG28" s="7"/>
      <c r="MH28" s="7"/>
      <c r="MJ28" s="7"/>
      <c r="MK28" s="7"/>
      <c r="ML28" s="7"/>
      <c r="MM28" s="7"/>
      <c r="MN28" s="7"/>
      <c r="MO28" s="7"/>
      <c r="MP28" s="7"/>
      <c r="MQ28" s="7"/>
      <c r="MR28" s="7"/>
      <c r="MS28" s="7"/>
      <c r="MT28" s="7"/>
      <c r="MU28" s="7"/>
      <c r="MV28" s="7"/>
      <c r="MW28" s="7"/>
      <c r="MX28" s="7"/>
      <c r="MY28" s="7"/>
      <c r="MZ28" s="7"/>
      <c r="NA28" s="7"/>
      <c r="NB28" s="7"/>
      <c r="NC28" s="7"/>
      <c r="ND28" s="7"/>
      <c r="NE28" s="7"/>
      <c r="NF28" s="7"/>
      <c r="NG28" s="7"/>
      <c r="NH28" s="7"/>
      <c r="NI28" s="7"/>
      <c r="NJ28" s="7"/>
      <c r="NK28" s="7"/>
      <c r="NL28" s="7"/>
      <c r="NM28" s="7"/>
      <c r="NN28" s="7"/>
      <c r="NO28" s="7"/>
      <c r="NP28" s="7"/>
      <c r="NQ28" s="7"/>
      <c r="NR28" s="7"/>
      <c r="NS28" s="7"/>
      <c r="NT28" s="7"/>
      <c r="NU28" s="7"/>
      <c r="NV28" s="7"/>
      <c r="NW28" s="7"/>
      <c r="NX28" s="7"/>
      <c r="NY28" s="7"/>
      <c r="NZ28" s="7"/>
      <c r="OA28" s="7"/>
      <c r="OB28" s="7"/>
      <c r="OC28" s="7"/>
      <c r="OD28" s="7"/>
      <c r="OE28" s="7"/>
      <c r="OF28" s="7"/>
      <c r="OG28" s="7"/>
      <c r="OH28" s="7"/>
      <c r="OI28" s="7"/>
      <c r="OJ28" s="7"/>
      <c r="OK28" s="7"/>
      <c r="OL28" s="7"/>
      <c r="OM28" s="7"/>
      <c r="ON28" s="7"/>
      <c r="OO28" s="7"/>
      <c r="OP28" s="7"/>
      <c r="OQ28" s="7"/>
      <c r="OR28" s="7"/>
      <c r="OS28" s="7"/>
      <c r="OT28" s="7"/>
      <c r="OU28" s="7"/>
      <c r="OV28" s="7"/>
      <c r="OW28" s="7"/>
      <c r="OX28" s="7"/>
      <c r="OY28" s="7"/>
      <c r="OZ28" s="7"/>
      <c r="PA28" s="7"/>
      <c r="PB28" s="7"/>
      <c r="PC28" s="7"/>
      <c r="PD28" s="7"/>
      <c r="PE28" s="7"/>
      <c r="PF28" s="7"/>
      <c r="PG28" s="7"/>
      <c r="PH28" s="7"/>
      <c r="PI28" s="7"/>
      <c r="PJ28" s="7"/>
      <c r="PK28" s="7"/>
    </row>
    <row r="29" spans="10:427" ht="12" customHeight="1">
      <c r="J29" s="7"/>
      <c r="L29" s="7"/>
      <c r="N29" s="7"/>
      <c r="P29" s="7"/>
      <c r="Q29" s="7"/>
      <c r="R29" s="7"/>
      <c r="DN29" s="7"/>
      <c r="DO29" s="7"/>
      <c r="DP29" s="7"/>
      <c r="DQ29" s="7"/>
      <c r="DR29" s="7"/>
      <c r="DS29" s="7"/>
      <c r="DT29" s="7"/>
      <c r="DU29" s="7"/>
      <c r="DV29" s="7"/>
      <c r="DW29" s="7"/>
      <c r="DX29" s="7"/>
      <c r="DY29" s="7"/>
      <c r="DZ29" s="7"/>
      <c r="EA29" s="7"/>
      <c r="EB29" s="7"/>
      <c r="EC29" s="7"/>
      <c r="ED29" s="7"/>
      <c r="EE29" s="7"/>
      <c r="EF29" s="7"/>
      <c r="EG29" s="7"/>
      <c r="EH29" s="7"/>
      <c r="EI29" s="7"/>
      <c r="EJ29" s="7"/>
      <c r="EK29" s="7"/>
      <c r="EL29" s="7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  <c r="FH29" s="7"/>
      <c r="FI29" s="7"/>
      <c r="FJ29" s="7"/>
      <c r="FK29" s="7"/>
      <c r="FL29" s="7"/>
      <c r="FM29" s="7"/>
      <c r="FN29" s="7"/>
      <c r="FO29" s="7"/>
      <c r="FP29" s="7"/>
      <c r="FQ29" s="7"/>
      <c r="FR29" s="7"/>
      <c r="FS29" s="7"/>
      <c r="FT29" s="7"/>
      <c r="FU29" s="7"/>
      <c r="FV29" s="7"/>
      <c r="FW29" s="7"/>
      <c r="FX29" s="7"/>
      <c r="FY29" s="7"/>
      <c r="FZ29" s="7"/>
      <c r="GA29" s="7"/>
      <c r="GB29" s="7"/>
      <c r="GC29" s="7"/>
      <c r="GD29" s="7"/>
      <c r="GE29" s="7"/>
      <c r="GF29" s="7"/>
      <c r="GG29" s="7"/>
      <c r="GH29" s="7"/>
      <c r="GI29" s="7"/>
      <c r="GJ29" s="7"/>
      <c r="GK29" s="7"/>
      <c r="GL29" s="7"/>
      <c r="GM29" s="7"/>
      <c r="GN29" s="7"/>
      <c r="GO29" s="7"/>
      <c r="GP29" s="7"/>
      <c r="GQ29" s="7"/>
      <c r="GR29" s="7"/>
      <c r="GS29" s="7"/>
      <c r="GT29" s="7"/>
      <c r="GU29" s="7"/>
      <c r="GV29" s="7"/>
      <c r="GW29" s="7"/>
      <c r="GX29" s="7"/>
      <c r="GY29" s="7"/>
      <c r="GZ29" s="7"/>
      <c r="HA29" s="7"/>
      <c r="HB29" s="7"/>
      <c r="HC29" s="7"/>
      <c r="HD29" s="7"/>
      <c r="HE29" s="7"/>
      <c r="HF29" s="7"/>
      <c r="HG29" s="7"/>
      <c r="HH29" s="7"/>
      <c r="HI29" s="7"/>
      <c r="HJ29" s="7"/>
      <c r="HK29" s="7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  <c r="IG29" s="7"/>
      <c r="IH29" s="7"/>
      <c r="II29" s="7"/>
      <c r="IJ29" s="7"/>
      <c r="IK29" s="7"/>
      <c r="IL29" s="7"/>
      <c r="IM29" s="7"/>
      <c r="IN29" s="7"/>
      <c r="IO29" s="7"/>
      <c r="IP29" s="7"/>
      <c r="IQ29" s="7"/>
      <c r="IR29" s="7"/>
      <c r="IS29" s="7"/>
      <c r="IT29" s="7"/>
      <c r="IU29" s="7"/>
      <c r="IV29" s="7"/>
      <c r="IW29" s="7"/>
      <c r="IX29" s="7"/>
      <c r="IY29" s="7"/>
      <c r="IZ29" s="7"/>
      <c r="JA29" s="7"/>
      <c r="JB29" s="7"/>
      <c r="JC29" s="7"/>
      <c r="JD29" s="7"/>
      <c r="JE29" s="7"/>
      <c r="JF29" s="7"/>
      <c r="JG29" s="7"/>
      <c r="JH29" s="7"/>
      <c r="JI29" s="7"/>
      <c r="JJ29" s="7"/>
      <c r="JK29" s="7"/>
      <c r="JL29" s="7"/>
      <c r="JM29" s="7"/>
      <c r="JN29" s="7"/>
      <c r="JO29" s="7"/>
      <c r="JP29" s="7"/>
      <c r="JQ29" s="7"/>
      <c r="JR29" s="7"/>
      <c r="JS29" s="7"/>
      <c r="JT29" s="7"/>
      <c r="JU29" s="7"/>
      <c r="JV29" s="7"/>
      <c r="JW29" s="7"/>
      <c r="JX29" s="7"/>
      <c r="JY29" s="7"/>
      <c r="JZ29" s="7"/>
      <c r="KA29" s="7"/>
      <c r="KB29" s="7"/>
      <c r="KC29" s="7"/>
      <c r="KD29" s="7"/>
      <c r="KE29" s="7"/>
      <c r="KF29" s="7"/>
      <c r="KG29" s="7"/>
      <c r="KH29" s="7"/>
      <c r="KI29" s="7"/>
      <c r="KJ29" s="7"/>
      <c r="KK29" s="7"/>
      <c r="KL29" s="7"/>
      <c r="KM29" s="7"/>
      <c r="KN29" s="7"/>
      <c r="KO29" s="7"/>
      <c r="KP29" s="7"/>
      <c r="KQ29" s="7"/>
      <c r="KR29" s="7"/>
      <c r="KS29" s="7"/>
      <c r="KT29" s="7"/>
      <c r="KU29" s="7"/>
      <c r="KV29" s="7"/>
      <c r="KW29" s="7"/>
      <c r="KX29" s="7"/>
      <c r="KY29" s="7"/>
      <c r="KZ29" s="7"/>
      <c r="LA29" s="7"/>
      <c r="LB29" s="7"/>
      <c r="LC29" s="7"/>
      <c r="LD29" s="7"/>
      <c r="LE29" s="7"/>
      <c r="LF29" s="7"/>
      <c r="LG29" s="7"/>
      <c r="LH29" s="7"/>
      <c r="LI29" s="7"/>
      <c r="LJ29" s="7"/>
      <c r="LK29" s="7"/>
      <c r="LL29" s="7"/>
      <c r="LM29" s="7"/>
      <c r="LN29" s="7"/>
      <c r="LO29" s="7"/>
      <c r="LP29" s="7"/>
      <c r="LQ29" s="7"/>
      <c r="LR29" s="7"/>
      <c r="LS29" s="7"/>
      <c r="LT29" s="7"/>
      <c r="LU29" s="7"/>
      <c r="LV29" s="7"/>
      <c r="LW29" s="7"/>
      <c r="LX29" s="7"/>
      <c r="LY29" s="7"/>
      <c r="LZ29" s="7"/>
      <c r="MA29" s="7"/>
      <c r="MB29" s="7"/>
      <c r="MC29" s="7"/>
      <c r="MD29" s="7"/>
      <c r="ME29" s="7"/>
      <c r="MF29" s="7"/>
      <c r="MG29" s="7"/>
      <c r="MH29" s="7"/>
      <c r="MJ29" s="7"/>
      <c r="MK29" s="7"/>
      <c r="ML29" s="7"/>
      <c r="MM29" s="7"/>
      <c r="MN29" s="7"/>
      <c r="MO29" s="7"/>
      <c r="MP29" s="7"/>
      <c r="MQ29" s="7"/>
      <c r="MR29" s="7"/>
      <c r="MS29" s="7"/>
      <c r="MT29" s="7"/>
      <c r="MU29" s="7"/>
      <c r="MV29" s="7"/>
      <c r="MW29" s="7"/>
      <c r="MX29" s="7"/>
      <c r="MY29" s="7"/>
      <c r="MZ29" s="7"/>
      <c r="NA29" s="7"/>
      <c r="NB29" s="7"/>
      <c r="NC29" s="7"/>
      <c r="ND29" s="7"/>
      <c r="NE29" s="7"/>
      <c r="NF29" s="7"/>
      <c r="NG29" s="7"/>
      <c r="NH29" s="7"/>
      <c r="NI29" s="7"/>
      <c r="NJ29" s="7"/>
      <c r="NK29" s="7"/>
      <c r="NL29" s="7"/>
      <c r="NM29" s="7"/>
      <c r="NN29" s="7"/>
      <c r="NO29" s="7"/>
      <c r="NP29" s="7"/>
      <c r="NQ29" s="7"/>
      <c r="NR29" s="7"/>
      <c r="NS29" s="7"/>
      <c r="NT29" s="7"/>
      <c r="NU29" s="7"/>
      <c r="NV29" s="7"/>
      <c r="NW29" s="7"/>
      <c r="NX29" s="7"/>
      <c r="NY29" s="7"/>
      <c r="NZ29" s="7"/>
      <c r="OA29" s="7"/>
      <c r="OB29" s="7"/>
      <c r="OC29" s="7"/>
      <c r="OD29" s="7"/>
      <c r="OE29" s="7"/>
      <c r="OF29" s="7"/>
      <c r="OG29" s="7"/>
      <c r="OH29" s="7"/>
      <c r="OI29" s="7"/>
      <c r="OJ29" s="7"/>
      <c r="OK29" s="7"/>
      <c r="OL29" s="7"/>
      <c r="OM29" s="7"/>
      <c r="ON29" s="7"/>
      <c r="OO29" s="7"/>
      <c r="OP29" s="7"/>
      <c r="OQ29" s="7"/>
      <c r="OR29" s="7"/>
      <c r="OS29" s="7"/>
      <c r="OT29" s="7"/>
      <c r="OU29" s="7"/>
      <c r="OV29" s="7"/>
      <c r="OW29" s="7"/>
      <c r="OX29" s="7"/>
      <c r="OY29" s="7"/>
      <c r="OZ29" s="7"/>
      <c r="PA29" s="7"/>
      <c r="PB29" s="7"/>
      <c r="PC29" s="7"/>
      <c r="PD29" s="7"/>
      <c r="PE29" s="7"/>
      <c r="PF29" s="7"/>
      <c r="PG29" s="7"/>
      <c r="PH29" s="7"/>
      <c r="PI29" s="7"/>
      <c r="PJ29" s="7"/>
      <c r="PK29" s="7"/>
    </row>
    <row r="30" spans="10:427" ht="12" customHeight="1">
      <c r="J30" s="7"/>
      <c r="L30" s="7"/>
      <c r="N30" s="7"/>
      <c r="P30" s="7"/>
      <c r="Q30" s="7"/>
      <c r="R30" s="7"/>
      <c r="DN30" s="7"/>
      <c r="DO30" s="7"/>
      <c r="DP30" s="7"/>
      <c r="DQ30" s="7"/>
      <c r="DR30" s="7"/>
      <c r="DS30" s="7"/>
      <c r="DT30" s="7"/>
      <c r="DU30" s="7"/>
      <c r="DV30" s="7"/>
      <c r="DW30" s="7"/>
      <c r="DX30" s="7"/>
      <c r="DY30" s="7"/>
      <c r="DZ30" s="7"/>
      <c r="EA30" s="7"/>
      <c r="EB30" s="7"/>
      <c r="EC30" s="7"/>
      <c r="ED30" s="7"/>
      <c r="EE30" s="7"/>
      <c r="EF30" s="7"/>
      <c r="EG30" s="7"/>
      <c r="EH30" s="7"/>
      <c r="EI30" s="7"/>
      <c r="EJ30" s="7"/>
      <c r="EK30" s="7"/>
      <c r="EL30" s="7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  <c r="FH30" s="7"/>
      <c r="FI30" s="7"/>
      <c r="FJ30" s="7"/>
      <c r="FK30" s="7"/>
      <c r="FL30" s="7"/>
      <c r="FM30" s="7"/>
      <c r="FN30" s="7"/>
      <c r="FO30" s="7"/>
      <c r="FP30" s="7"/>
      <c r="FQ30" s="7"/>
      <c r="FR30" s="7"/>
      <c r="FS30" s="7"/>
      <c r="FT30" s="7"/>
      <c r="FU30" s="7"/>
      <c r="FV30" s="7"/>
      <c r="FW30" s="7"/>
      <c r="FX30" s="7"/>
      <c r="FY30" s="7"/>
      <c r="FZ30" s="7"/>
      <c r="GA30" s="7"/>
      <c r="GB30" s="7"/>
      <c r="GC30" s="7"/>
      <c r="GD30" s="7"/>
      <c r="GE30" s="7"/>
      <c r="GF30" s="7"/>
      <c r="GG30" s="7"/>
      <c r="GH30" s="7"/>
      <c r="GI30" s="7"/>
      <c r="GJ30" s="7"/>
      <c r="GK30" s="7"/>
      <c r="GL30" s="7"/>
      <c r="GM30" s="7"/>
      <c r="GN30" s="7"/>
      <c r="GO30" s="7"/>
      <c r="GP30" s="7"/>
      <c r="GQ30" s="7"/>
      <c r="GR30" s="7"/>
      <c r="GS30" s="7"/>
      <c r="GT30" s="7"/>
      <c r="GU30" s="7"/>
      <c r="GV30" s="7"/>
      <c r="GW30" s="7"/>
      <c r="GX30" s="7"/>
      <c r="GY30" s="7"/>
      <c r="GZ30" s="7"/>
      <c r="HA30" s="7"/>
      <c r="HB30" s="7"/>
      <c r="HC30" s="7"/>
      <c r="HD30" s="7"/>
      <c r="HE30" s="7"/>
      <c r="HF30" s="7"/>
      <c r="HG30" s="7"/>
      <c r="HH30" s="7"/>
      <c r="HI30" s="7"/>
      <c r="HJ30" s="7"/>
      <c r="HK30" s="7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  <c r="IG30" s="7"/>
      <c r="IH30" s="7"/>
      <c r="II30" s="7"/>
      <c r="IJ30" s="7"/>
      <c r="IK30" s="7"/>
      <c r="IL30" s="7"/>
      <c r="IM30" s="7"/>
      <c r="IN30" s="7"/>
      <c r="IO30" s="7"/>
      <c r="IP30" s="7"/>
      <c r="IQ30" s="7"/>
      <c r="IR30" s="7"/>
      <c r="IS30" s="7"/>
      <c r="IT30" s="7"/>
      <c r="IU30" s="7"/>
      <c r="IV30" s="7"/>
      <c r="IW30" s="7"/>
      <c r="IX30" s="7"/>
      <c r="IY30" s="7"/>
      <c r="IZ30" s="7"/>
      <c r="JA30" s="7"/>
      <c r="JB30" s="7"/>
      <c r="JC30" s="7"/>
      <c r="JD30" s="7"/>
      <c r="JE30" s="7"/>
      <c r="JF30" s="7"/>
      <c r="JG30" s="7"/>
      <c r="JH30" s="7"/>
      <c r="JI30" s="7"/>
      <c r="JJ30" s="7"/>
      <c r="JK30" s="7"/>
      <c r="JL30" s="7"/>
      <c r="JM30" s="7"/>
      <c r="JN30" s="7"/>
      <c r="JO30" s="7"/>
      <c r="JP30" s="7"/>
      <c r="JQ30" s="7"/>
      <c r="JR30" s="7"/>
      <c r="JS30" s="7"/>
      <c r="JT30" s="7"/>
      <c r="JU30" s="7"/>
      <c r="JV30" s="7"/>
      <c r="JW30" s="7"/>
      <c r="JX30" s="7"/>
      <c r="JY30" s="7"/>
      <c r="JZ30" s="7"/>
      <c r="KA30" s="7"/>
      <c r="KB30" s="7"/>
      <c r="KC30" s="7"/>
      <c r="KD30" s="7"/>
      <c r="KE30" s="7"/>
      <c r="KF30" s="7"/>
      <c r="KG30" s="7"/>
      <c r="KH30" s="7"/>
      <c r="KI30" s="7"/>
      <c r="KJ30" s="7"/>
      <c r="KK30" s="7"/>
      <c r="KL30" s="7"/>
      <c r="KM30" s="7"/>
      <c r="KN30" s="7"/>
      <c r="KO30" s="7"/>
      <c r="KP30" s="7"/>
      <c r="KQ30" s="7"/>
      <c r="KR30" s="7"/>
      <c r="KS30" s="7"/>
      <c r="KT30" s="7"/>
      <c r="KU30" s="7"/>
      <c r="KV30" s="7"/>
      <c r="KW30" s="7"/>
      <c r="KX30" s="7"/>
      <c r="KY30" s="7"/>
      <c r="KZ30" s="7"/>
      <c r="LA30" s="7"/>
      <c r="LB30" s="7"/>
      <c r="LC30" s="7"/>
      <c r="LD30" s="7"/>
      <c r="LE30" s="7"/>
      <c r="LF30" s="7"/>
      <c r="LG30" s="7"/>
      <c r="LH30" s="7"/>
      <c r="LI30" s="7"/>
      <c r="LJ30" s="7"/>
      <c r="LK30" s="7"/>
      <c r="LL30" s="7"/>
      <c r="LM30" s="7"/>
      <c r="LN30" s="7"/>
      <c r="LO30" s="7"/>
      <c r="LP30" s="7"/>
      <c r="LQ30" s="7"/>
      <c r="LR30" s="7"/>
      <c r="LS30" s="7"/>
      <c r="LT30" s="7"/>
      <c r="LU30" s="7"/>
      <c r="LV30" s="7"/>
      <c r="LW30" s="7"/>
      <c r="LX30" s="7"/>
      <c r="LY30" s="7"/>
      <c r="LZ30" s="7"/>
      <c r="MA30" s="7"/>
      <c r="MB30" s="7"/>
      <c r="MC30" s="7"/>
      <c r="MD30" s="7"/>
      <c r="ME30" s="7"/>
      <c r="MF30" s="7"/>
      <c r="MG30" s="7"/>
      <c r="MH30" s="7"/>
      <c r="MJ30" s="7"/>
      <c r="MK30" s="7"/>
      <c r="ML30" s="7"/>
      <c r="MM30" s="7"/>
      <c r="MN30" s="7"/>
      <c r="MO30" s="7"/>
      <c r="MP30" s="7"/>
      <c r="MQ30" s="7"/>
      <c r="MR30" s="7"/>
      <c r="MS30" s="7"/>
      <c r="MT30" s="7"/>
      <c r="MU30" s="7"/>
      <c r="MV30" s="7"/>
      <c r="MW30" s="7"/>
      <c r="MX30" s="7"/>
      <c r="MY30" s="7"/>
      <c r="MZ30" s="7"/>
      <c r="NA30" s="7"/>
      <c r="NB30" s="7"/>
      <c r="NC30" s="7"/>
      <c r="ND30" s="7"/>
      <c r="NE30" s="7"/>
      <c r="NF30" s="7"/>
      <c r="NG30" s="7"/>
      <c r="NH30" s="7"/>
      <c r="NI30" s="7"/>
      <c r="NJ30" s="7"/>
      <c r="NK30" s="7"/>
      <c r="NL30" s="7"/>
      <c r="NM30" s="7"/>
      <c r="NN30" s="7"/>
      <c r="NO30" s="7"/>
      <c r="NP30" s="7"/>
      <c r="NQ30" s="7"/>
      <c r="NR30" s="7"/>
      <c r="NS30" s="7"/>
      <c r="NT30" s="7"/>
      <c r="NU30" s="7"/>
      <c r="NV30" s="7"/>
      <c r="NW30" s="7"/>
      <c r="NX30" s="7"/>
      <c r="NY30" s="7"/>
      <c r="NZ30" s="7"/>
      <c r="OA30" s="7"/>
      <c r="OB30" s="7"/>
      <c r="OC30" s="7"/>
      <c r="OD30" s="7"/>
      <c r="OE30" s="7"/>
      <c r="OF30" s="7"/>
      <c r="OG30" s="7"/>
      <c r="OH30" s="7"/>
      <c r="OI30" s="7"/>
      <c r="OJ30" s="7"/>
      <c r="OK30" s="7"/>
      <c r="OL30" s="7"/>
      <c r="OM30" s="7"/>
      <c r="ON30" s="7"/>
      <c r="OO30" s="7"/>
      <c r="OP30" s="7"/>
      <c r="OQ30" s="7"/>
      <c r="OR30" s="7"/>
      <c r="OS30" s="7"/>
      <c r="OT30" s="7"/>
      <c r="OU30" s="7"/>
      <c r="OV30" s="7"/>
      <c r="OW30" s="7"/>
      <c r="OX30" s="7"/>
      <c r="OY30" s="7"/>
      <c r="OZ30" s="7"/>
      <c r="PA30" s="7"/>
      <c r="PB30" s="7"/>
      <c r="PC30" s="7"/>
      <c r="PD30" s="7"/>
      <c r="PE30" s="7"/>
      <c r="PF30" s="7"/>
      <c r="PG30" s="7"/>
      <c r="PH30" s="7"/>
      <c r="PI30" s="7"/>
      <c r="PJ30" s="7"/>
      <c r="PK30" s="7"/>
    </row>
    <row r="31" spans="10:427" ht="12" customHeight="1">
      <c r="J31" s="7"/>
      <c r="L31" s="7"/>
      <c r="N31" s="7"/>
      <c r="P31" s="7"/>
      <c r="Q31" s="7"/>
      <c r="R31" s="7"/>
      <c r="DN31" s="7"/>
      <c r="DO31" s="7"/>
      <c r="DP31" s="7"/>
      <c r="DQ31" s="7"/>
      <c r="DR31" s="7"/>
      <c r="DS31" s="7"/>
      <c r="DT31" s="7"/>
      <c r="DU31" s="7"/>
      <c r="DV31" s="7"/>
      <c r="DW31" s="7"/>
      <c r="DX31" s="7"/>
      <c r="DY31" s="7"/>
      <c r="DZ31" s="7"/>
      <c r="EA31" s="7"/>
      <c r="EB31" s="7"/>
      <c r="EC31" s="7"/>
      <c r="ED31" s="7"/>
      <c r="EE31" s="7"/>
      <c r="EF31" s="7"/>
      <c r="EG31" s="7"/>
      <c r="EH31" s="7"/>
      <c r="EI31" s="7"/>
      <c r="EJ31" s="7"/>
      <c r="EK31" s="7"/>
      <c r="EL31" s="7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  <c r="FH31" s="7"/>
      <c r="FI31" s="7"/>
      <c r="FJ31" s="7"/>
      <c r="FK31" s="7"/>
      <c r="FL31" s="7"/>
      <c r="FM31" s="7"/>
      <c r="FN31" s="7"/>
      <c r="FO31" s="7"/>
      <c r="FP31" s="7"/>
      <c r="FQ31" s="7"/>
      <c r="FR31" s="7"/>
      <c r="FS31" s="7"/>
      <c r="FT31" s="7"/>
      <c r="FU31" s="7"/>
      <c r="FV31" s="7"/>
      <c r="FW31" s="7"/>
      <c r="FX31" s="7"/>
      <c r="FY31" s="7"/>
      <c r="FZ31" s="7"/>
      <c r="GA31" s="7"/>
      <c r="GB31" s="7"/>
      <c r="GC31" s="7"/>
      <c r="GD31" s="7"/>
      <c r="GE31" s="7"/>
      <c r="GF31" s="7"/>
      <c r="GG31" s="7"/>
      <c r="GH31" s="7"/>
      <c r="GI31" s="7"/>
      <c r="GJ31" s="7"/>
      <c r="GK31" s="7"/>
      <c r="GL31" s="7"/>
      <c r="GM31" s="7"/>
      <c r="GN31" s="7"/>
      <c r="GO31" s="7"/>
      <c r="GP31" s="7"/>
      <c r="GQ31" s="7"/>
      <c r="GR31" s="7"/>
      <c r="GS31" s="7"/>
      <c r="GT31" s="7"/>
      <c r="GU31" s="7"/>
      <c r="GV31" s="7"/>
      <c r="GW31" s="7"/>
      <c r="GX31" s="7"/>
      <c r="GY31" s="7"/>
      <c r="GZ31" s="7"/>
      <c r="HA31" s="7"/>
      <c r="HB31" s="7"/>
      <c r="HC31" s="7"/>
      <c r="HD31" s="7"/>
      <c r="HE31" s="7"/>
      <c r="HF31" s="7"/>
      <c r="HG31" s="7"/>
      <c r="HH31" s="7"/>
      <c r="HI31" s="7"/>
      <c r="HJ31" s="7"/>
      <c r="HK31" s="7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  <c r="IG31" s="7"/>
      <c r="IH31" s="7"/>
      <c r="II31" s="7"/>
      <c r="IJ31" s="7"/>
      <c r="IK31" s="7"/>
      <c r="IL31" s="7"/>
      <c r="IM31" s="7"/>
      <c r="IN31" s="7"/>
      <c r="IO31" s="7"/>
      <c r="IP31" s="7"/>
      <c r="IQ31" s="7"/>
      <c r="IR31" s="7"/>
      <c r="IS31" s="7"/>
      <c r="IT31" s="7"/>
      <c r="IU31" s="7"/>
      <c r="IV31" s="7"/>
      <c r="IW31" s="7"/>
      <c r="IX31" s="7"/>
      <c r="IY31" s="7"/>
      <c r="IZ31" s="7"/>
      <c r="JA31" s="7"/>
      <c r="JB31" s="7"/>
      <c r="JC31" s="7"/>
      <c r="JD31" s="7"/>
      <c r="JE31" s="7"/>
      <c r="JF31" s="7"/>
      <c r="JG31" s="7"/>
      <c r="JH31" s="7"/>
      <c r="JI31" s="7"/>
      <c r="JJ31" s="7"/>
      <c r="JK31" s="7"/>
      <c r="JL31" s="7"/>
      <c r="JM31" s="7"/>
      <c r="JN31" s="7"/>
      <c r="JO31" s="7"/>
      <c r="JP31" s="7"/>
      <c r="JQ31" s="7"/>
      <c r="JR31" s="7"/>
      <c r="JS31" s="7"/>
      <c r="JT31" s="7"/>
      <c r="JU31" s="7"/>
      <c r="JV31" s="7"/>
      <c r="JW31" s="7"/>
      <c r="JX31" s="7"/>
      <c r="JY31" s="7"/>
      <c r="JZ31" s="7"/>
      <c r="KA31" s="7"/>
      <c r="KB31" s="7"/>
      <c r="KC31" s="7"/>
      <c r="KD31" s="7"/>
      <c r="KE31" s="7"/>
      <c r="KF31" s="7"/>
      <c r="KG31" s="7"/>
      <c r="KH31" s="7"/>
      <c r="KI31" s="7"/>
      <c r="KJ31" s="7"/>
      <c r="KK31" s="7"/>
      <c r="KL31" s="7"/>
      <c r="KM31" s="7"/>
      <c r="KN31" s="7"/>
      <c r="KO31" s="7"/>
      <c r="KP31" s="7"/>
      <c r="KQ31" s="7"/>
      <c r="KR31" s="7"/>
      <c r="KS31" s="7"/>
      <c r="KT31" s="7"/>
      <c r="KU31" s="7"/>
      <c r="KV31" s="7"/>
      <c r="KW31" s="7"/>
      <c r="KX31" s="7"/>
      <c r="KY31" s="7"/>
      <c r="KZ31" s="7"/>
      <c r="LA31" s="7"/>
      <c r="LB31" s="7"/>
      <c r="LC31" s="7"/>
      <c r="LD31" s="7"/>
      <c r="LE31" s="7"/>
      <c r="LF31" s="7"/>
      <c r="LG31" s="7"/>
      <c r="LH31" s="7"/>
      <c r="LI31" s="7"/>
      <c r="LJ31" s="7"/>
      <c r="LK31" s="7"/>
      <c r="LL31" s="7"/>
      <c r="LM31" s="7"/>
      <c r="LN31" s="7"/>
      <c r="LO31" s="7"/>
      <c r="LP31" s="7"/>
      <c r="LQ31" s="7"/>
      <c r="LR31" s="7"/>
      <c r="LS31" s="7"/>
      <c r="LT31" s="7"/>
      <c r="LU31" s="7"/>
      <c r="LV31" s="7"/>
      <c r="LW31" s="7"/>
      <c r="LX31" s="7"/>
      <c r="LY31" s="7"/>
      <c r="LZ31" s="7"/>
      <c r="MA31" s="7"/>
      <c r="MB31" s="7"/>
      <c r="MC31" s="7"/>
      <c r="MD31" s="7"/>
      <c r="ME31" s="7"/>
      <c r="MF31" s="7"/>
      <c r="MG31" s="7"/>
      <c r="MH31" s="7"/>
      <c r="MJ31" s="7"/>
      <c r="MK31" s="7"/>
      <c r="ML31" s="7"/>
      <c r="MM31" s="7"/>
      <c r="MN31" s="7"/>
      <c r="MO31" s="7"/>
      <c r="MP31" s="7"/>
      <c r="MQ31" s="7"/>
      <c r="MR31" s="7"/>
      <c r="MS31" s="7"/>
      <c r="MT31" s="7"/>
      <c r="MU31" s="7"/>
      <c r="MV31" s="7"/>
      <c r="MW31" s="7"/>
      <c r="MX31" s="7"/>
      <c r="MY31" s="7"/>
      <c r="MZ31" s="7"/>
      <c r="NA31" s="7"/>
      <c r="NB31" s="7"/>
      <c r="NC31" s="7"/>
      <c r="ND31" s="7"/>
      <c r="NE31" s="7"/>
      <c r="NF31" s="7"/>
      <c r="NG31" s="7"/>
      <c r="NH31" s="7"/>
      <c r="NI31" s="7"/>
      <c r="NJ31" s="7"/>
      <c r="NK31" s="7"/>
      <c r="NL31" s="7"/>
      <c r="NM31" s="7"/>
      <c r="NN31" s="7"/>
      <c r="NO31" s="7"/>
      <c r="NP31" s="7"/>
      <c r="NQ31" s="7"/>
      <c r="NR31" s="7"/>
      <c r="NS31" s="7"/>
      <c r="NT31" s="7"/>
      <c r="NU31" s="7"/>
      <c r="NV31" s="7"/>
      <c r="NW31" s="7"/>
      <c r="NX31" s="7"/>
      <c r="NY31" s="7"/>
      <c r="NZ31" s="7"/>
      <c r="OA31" s="7"/>
      <c r="OB31" s="7"/>
      <c r="OC31" s="7"/>
      <c r="OD31" s="7"/>
      <c r="OE31" s="7"/>
      <c r="OF31" s="7"/>
      <c r="OG31" s="7"/>
      <c r="OH31" s="7"/>
      <c r="OI31" s="7"/>
      <c r="OJ31" s="7"/>
      <c r="OK31" s="7"/>
      <c r="OL31" s="7"/>
      <c r="OM31" s="7"/>
      <c r="ON31" s="7"/>
      <c r="OO31" s="7"/>
      <c r="OP31" s="7"/>
      <c r="OQ31" s="7"/>
      <c r="OR31" s="7"/>
      <c r="OS31" s="7"/>
      <c r="OT31" s="7"/>
      <c r="OU31" s="7"/>
      <c r="OV31" s="7"/>
      <c r="OW31" s="7"/>
      <c r="OX31" s="7"/>
      <c r="OY31" s="7"/>
      <c r="OZ31" s="7"/>
      <c r="PA31" s="7"/>
      <c r="PB31" s="7"/>
      <c r="PC31" s="7"/>
      <c r="PD31" s="7"/>
      <c r="PE31" s="7"/>
      <c r="PF31" s="7"/>
      <c r="PG31" s="7"/>
      <c r="PH31" s="7"/>
      <c r="PI31" s="7"/>
      <c r="PJ31" s="7"/>
      <c r="PK31" s="7"/>
    </row>
    <row r="32" spans="10:427" ht="12" customHeight="1">
      <c r="J32" s="7"/>
      <c r="L32" s="7"/>
      <c r="N32" s="7"/>
      <c r="P32" s="7"/>
      <c r="Q32" s="7"/>
      <c r="R32" s="7"/>
      <c r="DN32" s="7"/>
      <c r="DO32" s="7"/>
      <c r="DP32" s="7"/>
      <c r="DQ32" s="7"/>
      <c r="DR32" s="7"/>
      <c r="DS32" s="7"/>
      <c r="DT32" s="7"/>
      <c r="DU32" s="7"/>
      <c r="DV32" s="7"/>
      <c r="DW32" s="7"/>
      <c r="DX32" s="7"/>
      <c r="DY32" s="7"/>
      <c r="DZ32" s="7"/>
      <c r="EA32" s="7"/>
      <c r="EB32" s="7"/>
      <c r="EC32" s="7"/>
      <c r="ED32" s="7"/>
      <c r="EE32" s="7"/>
      <c r="EF32" s="7"/>
      <c r="EG32" s="7"/>
      <c r="EH32" s="7"/>
      <c r="EI32" s="7"/>
      <c r="EJ32" s="7"/>
      <c r="EK32" s="7"/>
      <c r="EL32" s="7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  <c r="FH32" s="7"/>
      <c r="FI32" s="7"/>
      <c r="FJ32" s="7"/>
      <c r="FK32" s="7"/>
      <c r="FL32" s="7"/>
      <c r="FM32" s="7"/>
      <c r="FN32" s="7"/>
      <c r="FO32" s="7"/>
      <c r="FP32" s="7"/>
      <c r="FQ32" s="7"/>
      <c r="FR32" s="7"/>
      <c r="FS32" s="7"/>
      <c r="FT32" s="7"/>
      <c r="FU32" s="7"/>
      <c r="FV32" s="7"/>
      <c r="FW32" s="7"/>
      <c r="FX32" s="7"/>
      <c r="FY32" s="7"/>
      <c r="FZ32" s="7"/>
      <c r="GA32" s="7"/>
      <c r="GB32" s="7"/>
      <c r="GC32" s="7"/>
      <c r="GD32" s="7"/>
      <c r="GE32" s="7"/>
      <c r="GF32" s="7"/>
      <c r="GG32" s="7"/>
      <c r="GH32" s="7"/>
      <c r="GI32" s="7"/>
      <c r="GJ32" s="7"/>
      <c r="GK32" s="7"/>
      <c r="GL32" s="7"/>
      <c r="GM32" s="7"/>
      <c r="GN32" s="7"/>
      <c r="GO32" s="7"/>
      <c r="GP32" s="7"/>
      <c r="GQ32" s="7"/>
      <c r="GR32" s="7"/>
      <c r="GS32" s="7"/>
      <c r="GT32" s="7"/>
      <c r="GU32" s="7"/>
      <c r="GV32" s="7"/>
      <c r="GW32" s="7"/>
      <c r="GX32" s="7"/>
      <c r="GY32" s="7"/>
      <c r="GZ32" s="7"/>
      <c r="HA32" s="7"/>
      <c r="HB32" s="7"/>
      <c r="HC32" s="7"/>
      <c r="HD32" s="7"/>
      <c r="HE32" s="7"/>
      <c r="HF32" s="7"/>
      <c r="HG32" s="7"/>
      <c r="HH32" s="7"/>
      <c r="HI32" s="7"/>
      <c r="HJ32" s="7"/>
      <c r="HK32" s="7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  <c r="IG32" s="7"/>
      <c r="IH32" s="7"/>
      <c r="II32" s="7"/>
      <c r="IJ32" s="7"/>
      <c r="IK32" s="7"/>
      <c r="IL32" s="7"/>
      <c r="IM32" s="7"/>
      <c r="IN32" s="7"/>
      <c r="IO32" s="7"/>
      <c r="IP32" s="7"/>
      <c r="IQ32" s="7"/>
      <c r="IR32" s="7"/>
      <c r="IS32" s="7"/>
      <c r="IT32" s="7"/>
      <c r="IU32" s="7"/>
      <c r="IV32" s="7"/>
      <c r="IW32" s="7"/>
      <c r="IX32" s="7"/>
      <c r="IY32" s="7"/>
      <c r="IZ32" s="7"/>
      <c r="JA32" s="7"/>
      <c r="JB32" s="7"/>
      <c r="JC32" s="7"/>
      <c r="JD32" s="7"/>
      <c r="JE32" s="7"/>
      <c r="JF32" s="7"/>
      <c r="JG32" s="7"/>
      <c r="JH32" s="7"/>
      <c r="JI32" s="7"/>
      <c r="JJ32" s="7"/>
      <c r="JK32" s="7"/>
      <c r="JL32" s="7"/>
      <c r="JM32" s="7"/>
      <c r="JN32" s="7"/>
      <c r="JO32" s="7"/>
      <c r="JP32" s="7"/>
      <c r="JQ32" s="7"/>
      <c r="JR32" s="7"/>
      <c r="JS32" s="7"/>
      <c r="JT32" s="7"/>
      <c r="JU32" s="7"/>
      <c r="JV32" s="7"/>
      <c r="JW32" s="7"/>
      <c r="JX32" s="7"/>
      <c r="JY32" s="7"/>
      <c r="JZ32" s="7"/>
      <c r="KA32" s="7"/>
      <c r="KB32" s="7"/>
      <c r="KC32" s="7"/>
      <c r="KD32" s="7"/>
      <c r="KE32" s="7"/>
      <c r="KF32" s="7"/>
      <c r="KG32" s="7"/>
      <c r="KH32" s="7"/>
      <c r="KI32" s="7"/>
      <c r="KJ32" s="7"/>
      <c r="KK32" s="7"/>
      <c r="KL32" s="7"/>
      <c r="KM32" s="7"/>
      <c r="KN32" s="7"/>
      <c r="KO32" s="7"/>
      <c r="KP32" s="7"/>
      <c r="KQ32" s="7"/>
      <c r="KR32" s="7"/>
      <c r="KS32" s="7"/>
      <c r="KT32" s="7"/>
      <c r="KU32" s="7"/>
      <c r="KV32" s="7"/>
      <c r="KW32" s="7"/>
      <c r="KX32" s="7"/>
      <c r="KY32" s="7"/>
      <c r="KZ32" s="7"/>
      <c r="LA32" s="7"/>
      <c r="LB32" s="7"/>
      <c r="LC32" s="7"/>
      <c r="LD32" s="7"/>
      <c r="LE32" s="7"/>
      <c r="LF32" s="7"/>
      <c r="LG32" s="7"/>
      <c r="LH32" s="7"/>
      <c r="LI32" s="7"/>
      <c r="LJ32" s="7"/>
      <c r="LK32" s="7"/>
      <c r="LL32" s="7"/>
      <c r="LM32" s="7"/>
      <c r="LN32" s="7"/>
      <c r="LO32" s="7"/>
      <c r="LP32" s="7"/>
      <c r="LQ32" s="7"/>
      <c r="LR32" s="7"/>
      <c r="LS32" s="7"/>
      <c r="LT32" s="7"/>
      <c r="LU32" s="7"/>
      <c r="LV32" s="7"/>
      <c r="LW32" s="7"/>
      <c r="LX32" s="7"/>
      <c r="LY32" s="7"/>
      <c r="LZ32" s="7"/>
      <c r="MA32" s="7"/>
      <c r="MB32" s="7"/>
      <c r="MC32" s="7"/>
      <c r="MD32" s="7"/>
      <c r="ME32" s="7"/>
      <c r="MF32" s="7"/>
      <c r="MG32" s="7"/>
      <c r="MH32" s="7"/>
      <c r="MJ32" s="7"/>
      <c r="MK32" s="7"/>
      <c r="ML32" s="7"/>
      <c r="MM32" s="7"/>
      <c r="MN32" s="7"/>
      <c r="MO32" s="7"/>
      <c r="MP32" s="7"/>
      <c r="MQ32" s="7"/>
      <c r="MR32" s="7"/>
      <c r="MS32" s="7"/>
      <c r="MT32" s="7"/>
      <c r="MU32" s="7"/>
      <c r="MV32" s="7"/>
      <c r="MW32" s="7"/>
      <c r="MX32" s="7"/>
      <c r="MY32" s="7"/>
      <c r="MZ32" s="7"/>
      <c r="NA32" s="7"/>
      <c r="NB32" s="7"/>
      <c r="NC32" s="7"/>
      <c r="ND32" s="7"/>
      <c r="NE32" s="7"/>
      <c r="NF32" s="7"/>
      <c r="NG32" s="7"/>
      <c r="NH32" s="7"/>
      <c r="NI32" s="7"/>
      <c r="NJ32" s="7"/>
      <c r="NK32" s="7"/>
      <c r="NL32" s="7"/>
      <c r="NM32" s="7"/>
      <c r="NN32" s="7"/>
      <c r="NO32" s="7"/>
      <c r="NP32" s="7"/>
      <c r="NQ32" s="7"/>
      <c r="NR32" s="7"/>
      <c r="NS32" s="7"/>
      <c r="NT32" s="7"/>
      <c r="NU32" s="7"/>
      <c r="NV32" s="7"/>
      <c r="NW32" s="7"/>
      <c r="NX32" s="7"/>
      <c r="NY32" s="7"/>
      <c r="NZ32" s="7"/>
      <c r="OA32" s="7"/>
      <c r="OB32" s="7"/>
      <c r="OC32" s="7"/>
      <c r="OD32" s="7"/>
      <c r="OE32" s="7"/>
      <c r="OF32" s="7"/>
      <c r="OG32" s="7"/>
      <c r="OH32" s="7"/>
      <c r="OI32" s="7"/>
      <c r="OJ32" s="7"/>
      <c r="OK32" s="7"/>
      <c r="OL32" s="7"/>
      <c r="OM32" s="7"/>
      <c r="ON32" s="7"/>
      <c r="OO32" s="7"/>
      <c r="OP32" s="7"/>
      <c r="OQ32" s="7"/>
      <c r="OR32" s="7"/>
      <c r="OS32" s="7"/>
      <c r="OT32" s="7"/>
      <c r="OU32" s="7"/>
      <c r="OV32" s="7"/>
      <c r="OW32" s="7"/>
      <c r="OX32" s="7"/>
      <c r="OY32" s="7"/>
      <c r="OZ32" s="7"/>
      <c r="PA32" s="7"/>
      <c r="PB32" s="7"/>
      <c r="PC32" s="7"/>
      <c r="PD32" s="7"/>
      <c r="PE32" s="7"/>
      <c r="PF32" s="7"/>
      <c r="PG32" s="7"/>
      <c r="PH32" s="7"/>
      <c r="PI32" s="7"/>
      <c r="PJ32" s="7"/>
      <c r="PK32" s="7"/>
    </row>
    <row r="33" spans="10:427" ht="12" customHeight="1">
      <c r="J33" s="7"/>
      <c r="L33" s="7"/>
      <c r="N33" s="7"/>
      <c r="P33" s="7"/>
      <c r="Q33" s="7"/>
      <c r="R33" s="7"/>
      <c r="DN33" s="7"/>
      <c r="DO33" s="7"/>
      <c r="DP33" s="7"/>
      <c r="DQ33" s="7"/>
      <c r="DR33" s="7"/>
      <c r="DS33" s="7"/>
      <c r="DT33" s="7"/>
      <c r="DU33" s="7"/>
      <c r="DV33" s="7"/>
      <c r="DW33" s="7"/>
      <c r="DX33" s="7"/>
      <c r="DY33" s="7"/>
      <c r="DZ33" s="7"/>
      <c r="EA33" s="7"/>
      <c r="EB33" s="7"/>
      <c r="EC33" s="7"/>
      <c r="ED33" s="7"/>
      <c r="EE33" s="7"/>
      <c r="EF33" s="7"/>
      <c r="EG33" s="7"/>
      <c r="EH33" s="7"/>
      <c r="EI33" s="7"/>
      <c r="EJ33" s="7"/>
      <c r="EK33" s="7"/>
      <c r="EL33" s="7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  <c r="FH33" s="7"/>
      <c r="FI33" s="7"/>
      <c r="FJ33" s="7"/>
      <c r="FK33" s="7"/>
      <c r="FL33" s="7"/>
      <c r="FM33" s="7"/>
      <c r="FN33" s="7"/>
      <c r="FO33" s="7"/>
      <c r="FP33" s="7"/>
      <c r="FQ33" s="7"/>
      <c r="FR33" s="7"/>
      <c r="FS33" s="7"/>
      <c r="FT33" s="7"/>
      <c r="FU33" s="7"/>
      <c r="FV33" s="7"/>
      <c r="FW33" s="7"/>
      <c r="FX33" s="7"/>
      <c r="FY33" s="7"/>
      <c r="FZ33" s="7"/>
      <c r="GA33" s="7"/>
      <c r="GB33" s="7"/>
      <c r="GC33" s="7"/>
      <c r="GD33" s="7"/>
      <c r="GE33" s="7"/>
      <c r="GF33" s="7"/>
      <c r="GG33" s="7"/>
      <c r="GH33" s="7"/>
      <c r="GI33" s="7"/>
      <c r="GJ33" s="7"/>
      <c r="GK33" s="7"/>
      <c r="GL33" s="7"/>
      <c r="GM33" s="7"/>
      <c r="GN33" s="7"/>
      <c r="GO33" s="7"/>
      <c r="GP33" s="7"/>
      <c r="GQ33" s="7"/>
      <c r="GR33" s="7"/>
      <c r="GS33" s="7"/>
      <c r="GT33" s="7"/>
      <c r="GU33" s="7"/>
      <c r="GV33" s="7"/>
      <c r="GW33" s="7"/>
      <c r="GX33" s="7"/>
      <c r="GY33" s="7"/>
      <c r="GZ33" s="7"/>
      <c r="HA33" s="7"/>
      <c r="HB33" s="7"/>
      <c r="HC33" s="7"/>
      <c r="HD33" s="7"/>
      <c r="HE33" s="7"/>
      <c r="HF33" s="7"/>
      <c r="HG33" s="7"/>
      <c r="HH33" s="7"/>
      <c r="HI33" s="7"/>
      <c r="HJ33" s="7"/>
      <c r="HK33" s="7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  <c r="IG33" s="7"/>
      <c r="IH33" s="7"/>
      <c r="II33" s="7"/>
      <c r="IJ33" s="7"/>
      <c r="IK33" s="7"/>
      <c r="IL33" s="7"/>
      <c r="IM33" s="7"/>
      <c r="IN33" s="7"/>
      <c r="IO33" s="7"/>
      <c r="IP33" s="7"/>
      <c r="IQ33" s="7"/>
      <c r="IR33" s="7"/>
      <c r="IS33" s="7"/>
      <c r="IT33" s="7"/>
      <c r="IU33" s="7"/>
      <c r="IV33" s="7"/>
      <c r="IW33" s="7"/>
      <c r="IX33" s="7"/>
      <c r="IY33" s="7"/>
      <c r="IZ33" s="7"/>
      <c r="JA33" s="7"/>
      <c r="JB33" s="7"/>
      <c r="JC33" s="7"/>
      <c r="JD33" s="7"/>
      <c r="JE33" s="7"/>
      <c r="JF33" s="7"/>
      <c r="JG33" s="7"/>
      <c r="JH33" s="7"/>
      <c r="JI33" s="7"/>
      <c r="JJ33" s="7"/>
      <c r="JK33" s="7"/>
      <c r="JL33" s="7"/>
      <c r="JM33" s="7"/>
      <c r="JN33" s="7"/>
      <c r="JO33" s="7"/>
      <c r="JP33" s="7"/>
      <c r="JQ33" s="7"/>
      <c r="JR33" s="7"/>
      <c r="JS33" s="7"/>
      <c r="JT33" s="7"/>
      <c r="JU33" s="7"/>
      <c r="JV33" s="7"/>
      <c r="JW33" s="7"/>
      <c r="JX33" s="7"/>
      <c r="JY33" s="7"/>
      <c r="JZ33" s="7"/>
      <c r="KA33" s="7"/>
      <c r="KB33" s="7"/>
      <c r="KC33" s="7"/>
      <c r="KD33" s="7"/>
      <c r="KE33" s="7"/>
      <c r="KF33" s="7"/>
      <c r="KG33" s="7"/>
      <c r="KH33" s="7"/>
      <c r="KI33" s="7"/>
      <c r="KJ33" s="7"/>
      <c r="KK33" s="7"/>
      <c r="KL33" s="7"/>
      <c r="KM33" s="7"/>
      <c r="KN33" s="7"/>
      <c r="KO33" s="7"/>
      <c r="KP33" s="7"/>
      <c r="KQ33" s="7"/>
      <c r="KR33" s="7"/>
      <c r="KS33" s="7"/>
      <c r="KT33" s="7"/>
      <c r="KU33" s="7"/>
      <c r="KV33" s="7"/>
      <c r="KW33" s="7"/>
      <c r="KX33" s="7"/>
      <c r="KY33" s="7"/>
      <c r="KZ33" s="7"/>
      <c r="LA33" s="7"/>
      <c r="LB33" s="7"/>
      <c r="LC33" s="7"/>
      <c r="LD33" s="7"/>
      <c r="LE33" s="7"/>
      <c r="LF33" s="7"/>
      <c r="LG33" s="7"/>
      <c r="LH33" s="7"/>
      <c r="LI33" s="7"/>
      <c r="LJ33" s="7"/>
      <c r="LK33" s="7"/>
      <c r="LL33" s="7"/>
      <c r="LM33" s="7"/>
      <c r="LN33" s="7"/>
      <c r="LO33" s="7"/>
      <c r="LP33" s="7"/>
      <c r="LQ33" s="7"/>
      <c r="LR33" s="7"/>
      <c r="LS33" s="7"/>
      <c r="LT33" s="7"/>
      <c r="LU33" s="7"/>
      <c r="LV33" s="7"/>
      <c r="LW33" s="7"/>
      <c r="LX33" s="7"/>
      <c r="LY33" s="7"/>
      <c r="LZ33" s="7"/>
      <c r="MA33" s="7"/>
      <c r="MB33" s="7"/>
      <c r="MC33" s="7"/>
      <c r="MD33" s="7"/>
      <c r="ME33" s="7"/>
      <c r="MF33" s="7"/>
      <c r="MG33" s="7"/>
      <c r="MH33" s="7"/>
      <c r="MJ33" s="7"/>
      <c r="MK33" s="7"/>
      <c r="ML33" s="7"/>
      <c r="MM33" s="7"/>
      <c r="MN33" s="7"/>
      <c r="MO33" s="7"/>
      <c r="MP33" s="7"/>
      <c r="MQ33" s="7"/>
      <c r="MR33" s="7"/>
      <c r="MS33" s="7"/>
      <c r="MT33" s="7"/>
      <c r="MU33" s="7"/>
      <c r="MV33" s="7"/>
      <c r="MW33" s="7"/>
      <c r="MX33" s="7"/>
      <c r="MY33" s="7"/>
      <c r="MZ33" s="7"/>
      <c r="NA33" s="7"/>
      <c r="NB33" s="7"/>
      <c r="NC33" s="7"/>
      <c r="ND33" s="7"/>
      <c r="NE33" s="7"/>
      <c r="NF33" s="7"/>
      <c r="NG33" s="7"/>
      <c r="NH33" s="7"/>
      <c r="NI33" s="7"/>
      <c r="NJ33" s="7"/>
      <c r="NK33" s="7"/>
      <c r="NL33" s="7"/>
      <c r="NM33" s="7"/>
      <c r="NN33" s="7"/>
      <c r="NO33" s="7"/>
      <c r="NP33" s="7"/>
      <c r="NQ33" s="7"/>
      <c r="NR33" s="7"/>
      <c r="NS33" s="7"/>
      <c r="NT33" s="7"/>
      <c r="NU33" s="7"/>
      <c r="NV33" s="7"/>
      <c r="NW33" s="7"/>
      <c r="NX33" s="7"/>
      <c r="NY33" s="7"/>
      <c r="NZ33" s="7"/>
      <c r="OA33" s="7"/>
      <c r="OB33" s="7"/>
      <c r="OC33" s="7"/>
      <c r="OD33" s="7"/>
      <c r="OE33" s="7"/>
      <c r="OF33" s="7"/>
      <c r="OG33" s="7"/>
      <c r="OH33" s="7"/>
      <c r="OI33" s="7"/>
      <c r="OJ33" s="7"/>
      <c r="OK33" s="7"/>
      <c r="OL33" s="7"/>
      <c r="OM33" s="7"/>
      <c r="ON33" s="7"/>
      <c r="OO33" s="7"/>
      <c r="OP33" s="7"/>
      <c r="OQ33" s="7"/>
      <c r="OR33" s="7"/>
      <c r="OS33" s="7"/>
      <c r="OT33" s="7"/>
      <c r="OU33" s="7"/>
      <c r="OV33" s="7"/>
      <c r="OW33" s="7"/>
      <c r="OX33" s="7"/>
      <c r="OY33" s="7"/>
      <c r="OZ33" s="7"/>
      <c r="PA33" s="7"/>
      <c r="PB33" s="7"/>
      <c r="PC33" s="7"/>
      <c r="PD33" s="7"/>
      <c r="PE33" s="7"/>
      <c r="PF33" s="7"/>
      <c r="PG33" s="7"/>
      <c r="PH33" s="7"/>
      <c r="PI33" s="7"/>
      <c r="PJ33" s="7"/>
      <c r="PK33" s="7"/>
    </row>
    <row r="34" spans="10:427" ht="12" customHeight="1">
      <c r="J34" s="7"/>
      <c r="L34" s="7"/>
      <c r="N34" s="7"/>
      <c r="P34" s="7"/>
      <c r="Q34" s="7"/>
      <c r="R34" s="7"/>
      <c r="DN34" s="7"/>
      <c r="DO34" s="7"/>
      <c r="DP34" s="7"/>
      <c r="DQ34" s="7"/>
      <c r="DR34" s="7"/>
      <c r="DS34" s="7"/>
      <c r="DT34" s="7"/>
      <c r="DU34" s="7"/>
      <c r="DV34" s="7"/>
      <c r="DW34" s="7"/>
      <c r="DX34" s="7"/>
      <c r="DY34" s="7"/>
      <c r="DZ34" s="7"/>
      <c r="EA34" s="7"/>
      <c r="EB34" s="7"/>
      <c r="EC34" s="7"/>
      <c r="ED34" s="7"/>
      <c r="EE34" s="7"/>
      <c r="EF34" s="7"/>
      <c r="EG34" s="7"/>
      <c r="EH34" s="7"/>
      <c r="EI34" s="7"/>
      <c r="EJ34" s="7"/>
      <c r="EK34" s="7"/>
      <c r="EL34" s="7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  <c r="FH34" s="7"/>
      <c r="FI34" s="7"/>
      <c r="FJ34" s="7"/>
      <c r="FK34" s="7"/>
      <c r="FL34" s="7"/>
      <c r="FM34" s="7"/>
      <c r="FN34" s="7"/>
      <c r="FO34" s="7"/>
      <c r="FP34" s="7"/>
      <c r="FQ34" s="7"/>
      <c r="FR34" s="7"/>
      <c r="FS34" s="7"/>
      <c r="FT34" s="7"/>
      <c r="FU34" s="7"/>
      <c r="FV34" s="7"/>
      <c r="FW34" s="7"/>
      <c r="FX34" s="7"/>
      <c r="FY34" s="7"/>
      <c r="FZ34" s="7"/>
      <c r="GA34" s="7"/>
      <c r="GB34" s="7"/>
      <c r="GC34" s="7"/>
      <c r="GD34" s="7"/>
      <c r="GE34" s="7"/>
      <c r="GF34" s="7"/>
      <c r="GG34" s="7"/>
      <c r="GH34" s="7"/>
      <c r="GI34" s="7"/>
      <c r="GJ34" s="7"/>
      <c r="GK34" s="7"/>
      <c r="GL34" s="7"/>
      <c r="GM34" s="7"/>
      <c r="GN34" s="7"/>
      <c r="GO34" s="7"/>
      <c r="GP34" s="7"/>
      <c r="GQ34" s="7"/>
      <c r="GR34" s="7"/>
      <c r="GS34" s="7"/>
      <c r="GT34" s="7"/>
      <c r="GU34" s="7"/>
      <c r="GV34" s="7"/>
      <c r="GW34" s="7"/>
      <c r="GX34" s="7"/>
      <c r="GY34" s="7"/>
      <c r="GZ34" s="7"/>
      <c r="HA34" s="7"/>
      <c r="HB34" s="7"/>
      <c r="HC34" s="7"/>
      <c r="HD34" s="7"/>
      <c r="HE34" s="7"/>
      <c r="HF34" s="7"/>
      <c r="HG34" s="7"/>
      <c r="HH34" s="7"/>
      <c r="HI34" s="7"/>
      <c r="HJ34" s="7"/>
      <c r="HK34" s="7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  <c r="IG34" s="7"/>
      <c r="IH34" s="7"/>
      <c r="II34" s="7"/>
      <c r="IJ34" s="7"/>
      <c r="IK34" s="7"/>
      <c r="IL34" s="7"/>
      <c r="IM34" s="7"/>
      <c r="IN34" s="7"/>
      <c r="IO34" s="7"/>
      <c r="IP34" s="7"/>
      <c r="IQ34" s="7"/>
      <c r="IR34" s="7"/>
      <c r="IS34" s="7"/>
      <c r="IT34" s="7"/>
      <c r="IU34" s="7"/>
      <c r="IV34" s="7"/>
      <c r="IW34" s="7"/>
      <c r="IX34" s="7"/>
      <c r="IY34" s="7"/>
      <c r="IZ34" s="7"/>
      <c r="JA34" s="7"/>
      <c r="JB34" s="7"/>
      <c r="JC34" s="7"/>
      <c r="JD34" s="7"/>
      <c r="JE34" s="7"/>
      <c r="JF34" s="7"/>
      <c r="JG34" s="7"/>
      <c r="JH34" s="7"/>
      <c r="JI34" s="7"/>
      <c r="JJ34" s="7"/>
      <c r="JK34" s="7"/>
      <c r="JL34" s="7"/>
      <c r="JM34" s="7"/>
      <c r="JN34" s="7"/>
      <c r="JO34" s="7"/>
      <c r="JP34" s="7"/>
      <c r="JQ34" s="7"/>
      <c r="JR34" s="7"/>
      <c r="JS34" s="7"/>
      <c r="JT34" s="7"/>
      <c r="JU34" s="7"/>
      <c r="JV34" s="7"/>
      <c r="JW34" s="7"/>
      <c r="JX34" s="7"/>
      <c r="JY34" s="7"/>
      <c r="JZ34" s="7"/>
      <c r="KA34" s="7"/>
      <c r="KB34" s="7"/>
      <c r="KC34" s="7"/>
      <c r="KD34" s="7"/>
      <c r="KE34" s="7"/>
      <c r="KF34" s="7"/>
      <c r="KG34" s="7"/>
      <c r="KH34" s="7"/>
      <c r="KI34" s="7"/>
      <c r="KJ34" s="7"/>
      <c r="KK34" s="7"/>
      <c r="KL34" s="7"/>
      <c r="KM34" s="7"/>
      <c r="KN34" s="7"/>
      <c r="KO34" s="7"/>
      <c r="KP34" s="7"/>
      <c r="KQ34" s="7"/>
      <c r="KR34" s="7"/>
      <c r="KS34" s="7"/>
      <c r="KT34" s="7"/>
      <c r="KU34" s="7"/>
      <c r="KV34" s="7"/>
      <c r="KW34" s="7"/>
      <c r="KX34" s="7"/>
      <c r="KY34" s="7"/>
      <c r="KZ34" s="7"/>
      <c r="LA34" s="7"/>
      <c r="LB34" s="7"/>
      <c r="LC34" s="7"/>
      <c r="LD34" s="7"/>
      <c r="LE34" s="7"/>
      <c r="LF34" s="7"/>
      <c r="LG34" s="7"/>
      <c r="LH34" s="7"/>
      <c r="LI34" s="7"/>
      <c r="LJ34" s="7"/>
      <c r="LK34" s="7"/>
      <c r="LL34" s="7"/>
      <c r="LM34" s="7"/>
      <c r="LN34" s="7"/>
      <c r="LO34" s="7"/>
      <c r="LP34" s="7"/>
      <c r="LQ34" s="7"/>
      <c r="LR34" s="7"/>
      <c r="LS34" s="7"/>
      <c r="LT34" s="7"/>
      <c r="LU34" s="7"/>
      <c r="LV34" s="7"/>
      <c r="LW34" s="7"/>
      <c r="LX34" s="7"/>
      <c r="LY34" s="7"/>
      <c r="LZ34" s="7"/>
      <c r="MA34" s="7"/>
      <c r="MB34" s="7"/>
      <c r="MC34" s="7"/>
      <c r="MD34" s="7"/>
      <c r="ME34" s="7"/>
      <c r="MF34" s="7"/>
      <c r="MG34" s="7"/>
      <c r="MH34" s="7"/>
      <c r="MJ34" s="7"/>
      <c r="MK34" s="7"/>
      <c r="ML34" s="7"/>
      <c r="MM34" s="7"/>
      <c r="MN34" s="7"/>
      <c r="MO34" s="7"/>
      <c r="MP34" s="7"/>
      <c r="MQ34" s="7"/>
      <c r="MR34" s="7"/>
      <c r="MS34" s="7"/>
      <c r="MT34" s="7"/>
      <c r="MU34" s="7"/>
      <c r="MV34" s="7"/>
      <c r="MW34" s="7"/>
      <c r="MX34" s="7"/>
      <c r="MY34" s="7"/>
      <c r="MZ34" s="7"/>
      <c r="NA34" s="7"/>
      <c r="NB34" s="7"/>
      <c r="NC34" s="7"/>
      <c r="ND34" s="7"/>
      <c r="NE34" s="7"/>
      <c r="NF34" s="7"/>
      <c r="NG34" s="7"/>
      <c r="NH34" s="7"/>
      <c r="NI34" s="7"/>
      <c r="NJ34" s="7"/>
      <c r="NK34" s="7"/>
      <c r="NL34" s="7"/>
      <c r="NM34" s="7"/>
      <c r="NN34" s="7"/>
      <c r="NO34" s="7"/>
      <c r="NP34" s="7"/>
      <c r="NQ34" s="7"/>
      <c r="NR34" s="7"/>
      <c r="NS34" s="7"/>
      <c r="NT34" s="7"/>
      <c r="NU34" s="7"/>
      <c r="NV34" s="7"/>
      <c r="NW34" s="7"/>
      <c r="NX34" s="7"/>
      <c r="NY34" s="7"/>
      <c r="NZ34" s="7"/>
      <c r="OA34" s="7"/>
      <c r="OB34" s="7"/>
      <c r="OC34" s="7"/>
      <c r="OD34" s="7"/>
      <c r="OE34" s="7"/>
      <c r="OF34" s="7"/>
      <c r="OG34" s="7"/>
      <c r="OH34" s="7"/>
      <c r="OI34" s="7"/>
      <c r="OJ34" s="7"/>
      <c r="OK34" s="7"/>
      <c r="OL34" s="7"/>
      <c r="OM34" s="7"/>
      <c r="ON34" s="7"/>
      <c r="OO34" s="7"/>
      <c r="OP34" s="7"/>
      <c r="OQ34" s="7"/>
      <c r="OR34" s="7"/>
      <c r="OS34" s="7"/>
      <c r="OT34" s="7"/>
      <c r="OU34" s="7"/>
      <c r="OV34" s="7"/>
      <c r="OW34" s="7"/>
      <c r="OX34" s="7"/>
      <c r="OY34" s="7"/>
      <c r="OZ34" s="7"/>
      <c r="PA34" s="7"/>
      <c r="PB34" s="7"/>
      <c r="PC34" s="7"/>
      <c r="PD34" s="7"/>
      <c r="PE34" s="7"/>
      <c r="PF34" s="7"/>
      <c r="PG34" s="7"/>
      <c r="PH34" s="7"/>
      <c r="PI34" s="7"/>
      <c r="PJ34" s="7"/>
      <c r="PK34" s="7"/>
    </row>
    <row r="35" spans="10:427" ht="12" customHeight="1">
      <c r="J35" s="7"/>
      <c r="L35" s="7"/>
      <c r="N35" s="7"/>
      <c r="P35" s="7"/>
      <c r="Q35" s="7"/>
      <c r="R35" s="7"/>
      <c r="DN35" s="7"/>
      <c r="DO35" s="7"/>
      <c r="DP35" s="7"/>
      <c r="DQ35" s="7"/>
      <c r="DR35" s="7"/>
      <c r="DS35" s="7"/>
      <c r="DT35" s="7"/>
      <c r="DU35" s="7"/>
      <c r="DV35" s="7"/>
      <c r="DW35" s="7"/>
      <c r="DX35" s="7"/>
      <c r="DY35" s="7"/>
      <c r="DZ35" s="7"/>
      <c r="EA35" s="7"/>
      <c r="EB35" s="7"/>
      <c r="EC35" s="7"/>
      <c r="ED35" s="7"/>
      <c r="EE35" s="7"/>
      <c r="EF35" s="7"/>
      <c r="EG35" s="7"/>
      <c r="EH35" s="7"/>
      <c r="EI35" s="7"/>
      <c r="EJ35" s="7"/>
      <c r="EK35" s="7"/>
      <c r="EL35" s="7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  <c r="FH35" s="7"/>
      <c r="FI35" s="7"/>
      <c r="FJ35" s="7"/>
      <c r="FK35" s="7"/>
      <c r="FL35" s="7"/>
      <c r="FM35" s="7"/>
      <c r="FN35" s="7"/>
      <c r="FO35" s="7"/>
      <c r="FP35" s="7"/>
      <c r="FQ35" s="7"/>
      <c r="FR35" s="7"/>
      <c r="FS35" s="7"/>
      <c r="FT35" s="7"/>
      <c r="FU35" s="7"/>
      <c r="FV35" s="7"/>
      <c r="FW35" s="7"/>
      <c r="FX35" s="7"/>
      <c r="FY35" s="7"/>
      <c r="FZ35" s="7"/>
      <c r="GA35" s="7"/>
      <c r="GB35" s="7"/>
      <c r="GC35" s="7"/>
      <c r="GD35" s="7"/>
      <c r="GE35" s="7"/>
      <c r="GF35" s="7"/>
      <c r="GG35" s="7"/>
      <c r="GH35" s="7"/>
      <c r="GI35" s="7"/>
      <c r="GJ35" s="7"/>
      <c r="GK35" s="7"/>
      <c r="GL35" s="7"/>
      <c r="GM35" s="7"/>
      <c r="GN35" s="7"/>
      <c r="GO35" s="7"/>
      <c r="GP35" s="7"/>
      <c r="GQ35" s="7"/>
      <c r="GR35" s="7"/>
      <c r="GS35" s="7"/>
      <c r="GT35" s="7"/>
      <c r="GU35" s="7"/>
      <c r="GV35" s="7"/>
      <c r="GW35" s="7"/>
      <c r="GX35" s="7"/>
      <c r="GY35" s="7"/>
      <c r="GZ35" s="7"/>
      <c r="HA35" s="7"/>
      <c r="HB35" s="7"/>
      <c r="HC35" s="7"/>
      <c r="HD35" s="7"/>
      <c r="HE35" s="7"/>
      <c r="HF35" s="7"/>
      <c r="HG35" s="7"/>
      <c r="HH35" s="7"/>
      <c r="HI35" s="7"/>
      <c r="HJ35" s="7"/>
      <c r="HK35" s="7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  <c r="IG35" s="7"/>
      <c r="IH35" s="7"/>
      <c r="II35" s="7"/>
      <c r="IJ35" s="7"/>
      <c r="IK35" s="7"/>
      <c r="IL35" s="7"/>
      <c r="IM35" s="7"/>
      <c r="IN35" s="7"/>
      <c r="IO35" s="7"/>
      <c r="IP35" s="7"/>
      <c r="IQ35" s="7"/>
      <c r="IR35" s="7"/>
      <c r="IS35" s="7"/>
      <c r="IT35" s="7"/>
      <c r="IU35" s="7"/>
      <c r="IV35" s="7"/>
      <c r="IW35" s="7"/>
      <c r="IX35" s="7"/>
      <c r="IY35" s="7"/>
      <c r="IZ35" s="7"/>
      <c r="JA35" s="7"/>
      <c r="JB35" s="7"/>
      <c r="JC35" s="7"/>
      <c r="JD35" s="7"/>
      <c r="JE35" s="7"/>
      <c r="JF35" s="7"/>
      <c r="JG35" s="7"/>
      <c r="JH35" s="7"/>
      <c r="JI35" s="7"/>
      <c r="JJ35" s="7"/>
      <c r="JK35" s="7"/>
      <c r="JL35" s="7"/>
      <c r="JM35" s="7"/>
      <c r="JN35" s="7"/>
      <c r="JO35" s="7"/>
      <c r="JP35" s="7"/>
      <c r="JQ35" s="7"/>
      <c r="JR35" s="7"/>
      <c r="JS35" s="7"/>
      <c r="JT35" s="7"/>
      <c r="JU35" s="7"/>
      <c r="JV35" s="7"/>
      <c r="JW35" s="7"/>
      <c r="JX35" s="7"/>
      <c r="JY35" s="7"/>
      <c r="JZ35" s="7"/>
      <c r="KA35" s="7"/>
      <c r="KB35" s="7"/>
      <c r="KC35" s="7"/>
      <c r="KD35" s="7"/>
      <c r="KE35" s="7"/>
      <c r="KF35" s="7"/>
      <c r="KG35" s="7"/>
      <c r="KH35" s="7"/>
      <c r="KI35" s="7"/>
      <c r="KJ35" s="7"/>
      <c r="KK35" s="7"/>
      <c r="KL35" s="7"/>
      <c r="KM35" s="7"/>
      <c r="KN35" s="7"/>
      <c r="KO35" s="7"/>
      <c r="KP35" s="7"/>
      <c r="KQ35" s="7"/>
      <c r="KR35" s="7"/>
      <c r="KS35" s="7"/>
      <c r="KT35" s="7"/>
      <c r="KU35" s="7"/>
      <c r="KV35" s="7"/>
      <c r="KW35" s="7"/>
      <c r="KX35" s="7"/>
      <c r="KY35" s="7"/>
      <c r="KZ35" s="7"/>
      <c r="LA35" s="7"/>
      <c r="LB35" s="7"/>
      <c r="LC35" s="7"/>
      <c r="LD35" s="7"/>
      <c r="LE35" s="7"/>
      <c r="LF35" s="7"/>
      <c r="LG35" s="7"/>
      <c r="LH35" s="7"/>
      <c r="LI35" s="7"/>
      <c r="LJ35" s="7"/>
      <c r="LK35" s="7"/>
      <c r="LL35" s="7"/>
      <c r="LM35" s="7"/>
      <c r="LN35" s="7"/>
      <c r="LO35" s="7"/>
      <c r="LP35" s="7"/>
      <c r="LQ35" s="7"/>
      <c r="LR35" s="7"/>
      <c r="LS35" s="7"/>
      <c r="LT35" s="7"/>
      <c r="LU35" s="7"/>
      <c r="LV35" s="7"/>
      <c r="LW35" s="7"/>
      <c r="LX35" s="7"/>
      <c r="LY35" s="7"/>
      <c r="LZ35" s="7"/>
      <c r="MA35" s="7"/>
      <c r="MB35" s="7"/>
      <c r="MC35" s="7"/>
      <c r="MD35" s="7"/>
      <c r="ME35" s="7"/>
      <c r="MF35" s="7"/>
      <c r="MG35" s="7"/>
      <c r="MH35" s="7"/>
      <c r="MJ35" s="7"/>
      <c r="MK35" s="7"/>
      <c r="ML35" s="7"/>
      <c r="MM35" s="7"/>
      <c r="MN35" s="7"/>
      <c r="MO35" s="7"/>
      <c r="MP35" s="7"/>
      <c r="MQ35" s="7"/>
      <c r="MR35" s="7"/>
      <c r="MS35" s="7"/>
      <c r="MT35" s="7"/>
      <c r="MU35" s="7"/>
      <c r="MV35" s="7"/>
      <c r="MW35" s="7"/>
      <c r="MX35" s="7"/>
      <c r="MY35" s="7"/>
      <c r="MZ35" s="7"/>
      <c r="NA35" s="7"/>
      <c r="NB35" s="7"/>
      <c r="NC35" s="7"/>
      <c r="ND35" s="7"/>
      <c r="NE35" s="7"/>
      <c r="NF35" s="7"/>
      <c r="NG35" s="7"/>
      <c r="NH35" s="7"/>
      <c r="NI35" s="7"/>
      <c r="NJ35" s="7"/>
      <c r="NK35" s="7"/>
      <c r="NL35" s="7"/>
      <c r="NM35" s="7"/>
      <c r="NN35" s="7"/>
      <c r="NO35" s="7"/>
      <c r="NP35" s="7"/>
      <c r="NQ35" s="7"/>
      <c r="NR35" s="7"/>
      <c r="NS35" s="7"/>
      <c r="NT35" s="7"/>
      <c r="NU35" s="7"/>
      <c r="NV35" s="7"/>
      <c r="NW35" s="7"/>
      <c r="NX35" s="7"/>
      <c r="NY35" s="7"/>
      <c r="NZ35" s="7"/>
      <c r="OA35" s="7"/>
      <c r="OB35" s="7"/>
      <c r="OC35" s="7"/>
      <c r="OD35" s="7"/>
      <c r="OE35" s="7"/>
      <c r="OF35" s="7"/>
      <c r="OG35" s="7"/>
      <c r="OH35" s="7"/>
      <c r="OI35" s="7"/>
      <c r="OJ35" s="7"/>
      <c r="OK35" s="7"/>
      <c r="OL35" s="7"/>
      <c r="OM35" s="7"/>
      <c r="ON35" s="7"/>
      <c r="OO35" s="7"/>
      <c r="OP35" s="7"/>
      <c r="OQ35" s="7"/>
      <c r="OR35" s="7"/>
      <c r="OS35" s="7"/>
      <c r="OT35" s="7"/>
      <c r="OU35" s="7"/>
      <c r="OV35" s="7"/>
      <c r="OW35" s="7"/>
      <c r="OX35" s="7"/>
      <c r="OY35" s="7"/>
      <c r="OZ35" s="7"/>
      <c r="PA35" s="7"/>
      <c r="PB35" s="7"/>
      <c r="PC35" s="7"/>
      <c r="PD35" s="7"/>
      <c r="PE35" s="7"/>
      <c r="PF35" s="7"/>
      <c r="PG35" s="7"/>
      <c r="PH35" s="7"/>
      <c r="PI35" s="7"/>
      <c r="PJ35" s="7"/>
      <c r="PK35" s="7"/>
    </row>
    <row r="36" spans="10:427" ht="12" customHeight="1">
      <c r="J36" s="7"/>
      <c r="L36" s="7"/>
      <c r="N36" s="7"/>
      <c r="P36" s="7"/>
      <c r="Q36" s="7"/>
      <c r="R36" s="7"/>
      <c r="DN36" s="7"/>
      <c r="DO36" s="7"/>
      <c r="DP36" s="7"/>
      <c r="DQ36" s="7"/>
      <c r="DR36" s="7"/>
      <c r="DS36" s="7"/>
      <c r="DT36" s="7"/>
      <c r="DU36" s="7"/>
      <c r="DV36" s="7"/>
      <c r="DW36" s="7"/>
      <c r="DX36" s="7"/>
      <c r="DY36" s="7"/>
      <c r="DZ36" s="7"/>
      <c r="EA36" s="7"/>
      <c r="EB36" s="7"/>
      <c r="EC36" s="7"/>
      <c r="ED36" s="7"/>
      <c r="EE36" s="7"/>
      <c r="EF36" s="7"/>
      <c r="EG36" s="7"/>
      <c r="EH36" s="7"/>
      <c r="EI36" s="7"/>
      <c r="EJ36" s="7"/>
      <c r="EK36" s="7"/>
      <c r="EL36" s="7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  <c r="FH36" s="7"/>
      <c r="FI36" s="7"/>
      <c r="FJ36" s="7"/>
      <c r="FK36" s="7"/>
      <c r="FL36" s="7"/>
      <c r="FM36" s="7"/>
      <c r="FN36" s="7"/>
      <c r="FO36" s="7"/>
      <c r="FP36" s="7"/>
      <c r="FQ36" s="7"/>
      <c r="FR36" s="7"/>
      <c r="FS36" s="7"/>
      <c r="FT36" s="7"/>
      <c r="FU36" s="7"/>
      <c r="FV36" s="7"/>
      <c r="FW36" s="7"/>
      <c r="FX36" s="7"/>
      <c r="FY36" s="7"/>
      <c r="FZ36" s="7"/>
      <c r="GA36" s="7"/>
      <c r="GB36" s="7"/>
      <c r="GC36" s="7"/>
      <c r="GD36" s="7"/>
      <c r="GE36" s="7"/>
      <c r="GF36" s="7"/>
      <c r="GG36" s="7"/>
      <c r="GH36" s="7"/>
      <c r="GI36" s="7"/>
      <c r="GJ36" s="7"/>
      <c r="GK36" s="7"/>
      <c r="GL36" s="7"/>
      <c r="GM36" s="7"/>
      <c r="GN36" s="7"/>
      <c r="GO36" s="7"/>
      <c r="GP36" s="7"/>
      <c r="GQ36" s="7"/>
      <c r="GR36" s="7"/>
      <c r="GS36" s="7"/>
      <c r="GT36" s="7"/>
      <c r="GU36" s="7"/>
      <c r="GV36" s="7"/>
      <c r="GW36" s="7"/>
      <c r="GX36" s="7"/>
      <c r="GY36" s="7"/>
      <c r="GZ36" s="7"/>
      <c r="HA36" s="7"/>
      <c r="HB36" s="7"/>
      <c r="HC36" s="7"/>
      <c r="HD36" s="7"/>
      <c r="HE36" s="7"/>
      <c r="HF36" s="7"/>
      <c r="HG36" s="7"/>
      <c r="HH36" s="7"/>
      <c r="HI36" s="7"/>
      <c r="HJ36" s="7"/>
      <c r="HK36" s="7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  <c r="IG36" s="7"/>
      <c r="IH36" s="7"/>
      <c r="II36" s="7"/>
      <c r="IJ36" s="7"/>
      <c r="IK36" s="7"/>
      <c r="IL36" s="7"/>
      <c r="IM36" s="7"/>
      <c r="IN36" s="7"/>
      <c r="IO36" s="7"/>
      <c r="IP36" s="7"/>
      <c r="IQ36" s="7"/>
      <c r="IR36" s="7"/>
      <c r="IS36" s="7"/>
      <c r="IT36" s="7"/>
      <c r="IU36" s="7"/>
      <c r="IV36" s="7"/>
      <c r="IW36" s="7"/>
      <c r="IX36" s="7"/>
      <c r="IY36" s="7"/>
      <c r="IZ36" s="7"/>
      <c r="JA36" s="7"/>
      <c r="JB36" s="7"/>
      <c r="JC36" s="7"/>
      <c r="JD36" s="7"/>
      <c r="JE36" s="7"/>
      <c r="JF36" s="7"/>
      <c r="JG36" s="7"/>
      <c r="JH36" s="7"/>
      <c r="JI36" s="7"/>
      <c r="JJ36" s="7"/>
      <c r="JK36" s="7"/>
      <c r="JL36" s="7"/>
      <c r="JM36" s="7"/>
      <c r="JN36" s="7"/>
      <c r="JO36" s="7"/>
      <c r="JP36" s="7"/>
      <c r="JQ36" s="7"/>
      <c r="JR36" s="7"/>
      <c r="JS36" s="7"/>
      <c r="JT36" s="7"/>
      <c r="JU36" s="7"/>
      <c r="JV36" s="7"/>
      <c r="JW36" s="7"/>
      <c r="JX36" s="7"/>
      <c r="JY36" s="7"/>
      <c r="JZ36" s="7"/>
      <c r="KA36" s="7"/>
      <c r="KB36" s="7"/>
      <c r="KC36" s="7"/>
      <c r="KD36" s="7"/>
      <c r="KE36" s="7"/>
      <c r="KF36" s="7"/>
      <c r="KG36" s="7"/>
      <c r="KH36" s="7"/>
      <c r="KI36" s="7"/>
      <c r="KJ36" s="7"/>
      <c r="KK36" s="7"/>
      <c r="KL36" s="7"/>
      <c r="KM36" s="7"/>
      <c r="KN36" s="7"/>
      <c r="KO36" s="7"/>
      <c r="KP36" s="7"/>
      <c r="KQ36" s="7"/>
      <c r="KR36" s="7"/>
      <c r="KS36" s="7"/>
      <c r="KT36" s="7"/>
      <c r="KU36" s="7"/>
      <c r="KV36" s="7"/>
      <c r="KW36" s="7"/>
      <c r="KX36" s="7"/>
      <c r="KY36" s="7"/>
      <c r="KZ36" s="7"/>
      <c r="LA36" s="7"/>
      <c r="LB36" s="7"/>
      <c r="LC36" s="7"/>
      <c r="LD36" s="7"/>
      <c r="LE36" s="7"/>
      <c r="LF36" s="7"/>
      <c r="LG36" s="7"/>
      <c r="LH36" s="7"/>
      <c r="LI36" s="7"/>
      <c r="LJ36" s="7"/>
      <c r="LK36" s="7"/>
      <c r="LL36" s="7"/>
      <c r="LM36" s="7"/>
      <c r="LN36" s="7"/>
      <c r="LO36" s="7"/>
      <c r="LP36" s="7"/>
      <c r="LQ36" s="7"/>
      <c r="LR36" s="7"/>
      <c r="LS36" s="7"/>
      <c r="LT36" s="7"/>
      <c r="LU36" s="7"/>
      <c r="LV36" s="7"/>
      <c r="LW36" s="7"/>
      <c r="LX36" s="7"/>
      <c r="LY36" s="7"/>
      <c r="LZ36" s="7"/>
      <c r="MA36" s="7"/>
      <c r="MB36" s="7"/>
      <c r="MC36" s="7"/>
      <c r="MD36" s="7"/>
      <c r="ME36" s="7"/>
      <c r="MF36" s="7"/>
      <c r="MG36" s="7"/>
      <c r="MH36" s="7"/>
      <c r="MJ36" s="7"/>
      <c r="MK36" s="7"/>
      <c r="ML36" s="7"/>
      <c r="MM36" s="7"/>
      <c r="MN36" s="7"/>
      <c r="MO36" s="7"/>
      <c r="MP36" s="7"/>
      <c r="MQ36" s="7"/>
      <c r="MR36" s="7"/>
      <c r="MS36" s="7"/>
      <c r="MT36" s="7"/>
      <c r="MU36" s="7"/>
      <c r="MV36" s="7"/>
      <c r="MW36" s="7"/>
      <c r="MX36" s="7"/>
      <c r="MY36" s="7"/>
      <c r="MZ36" s="7"/>
      <c r="NA36" s="7"/>
      <c r="NB36" s="7"/>
      <c r="NC36" s="7"/>
      <c r="ND36" s="7"/>
      <c r="NE36" s="7"/>
      <c r="NF36" s="7"/>
      <c r="NG36" s="7"/>
      <c r="NH36" s="7"/>
      <c r="NI36" s="7"/>
      <c r="NJ36" s="7"/>
      <c r="NK36" s="7"/>
      <c r="NL36" s="7"/>
      <c r="NM36" s="7"/>
      <c r="NN36" s="7"/>
      <c r="NO36" s="7"/>
      <c r="NP36" s="7"/>
      <c r="NQ36" s="7"/>
      <c r="NR36" s="7"/>
      <c r="NS36" s="7"/>
      <c r="NT36" s="7"/>
      <c r="NU36" s="7"/>
      <c r="NV36" s="7"/>
      <c r="NW36" s="7"/>
      <c r="NX36" s="7"/>
      <c r="NY36" s="7"/>
      <c r="NZ36" s="7"/>
      <c r="OA36" s="7"/>
      <c r="OB36" s="7"/>
      <c r="OC36" s="7"/>
      <c r="OD36" s="7"/>
      <c r="OE36" s="7"/>
      <c r="OF36" s="7"/>
      <c r="OG36" s="7"/>
      <c r="OH36" s="7"/>
      <c r="OI36" s="7"/>
      <c r="OJ36" s="7"/>
      <c r="OK36" s="7"/>
      <c r="OL36" s="7"/>
      <c r="OM36" s="7"/>
      <c r="ON36" s="7"/>
      <c r="OO36" s="7"/>
      <c r="OP36" s="7"/>
      <c r="OQ36" s="7"/>
      <c r="OR36" s="7"/>
      <c r="OS36" s="7"/>
      <c r="OT36" s="7"/>
      <c r="OU36" s="7"/>
      <c r="OV36" s="7"/>
      <c r="OW36" s="7"/>
      <c r="OX36" s="7"/>
      <c r="OY36" s="7"/>
      <c r="OZ36" s="7"/>
      <c r="PA36" s="7"/>
      <c r="PB36" s="7"/>
      <c r="PC36" s="7"/>
      <c r="PD36" s="7"/>
      <c r="PE36" s="7"/>
      <c r="PF36" s="7"/>
      <c r="PG36" s="7"/>
      <c r="PH36" s="7"/>
      <c r="PI36" s="7"/>
      <c r="PJ36" s="7"/>
      <c r="PK36" s="7"/>
    </row>
    <row r="37" spans="10:427" ht="12" customHeight="1">
      <c r="J37" s="7"/>
      <c r="L37" s="7"/>
      <c r="N37" s="7"/>
      <c r="P37" s="7"/>
      <c r="Q37" s="7"/>
      <c r="R37" s="7"/>
      <c r="DN37" s="7"/>
      <c r="DO37" s="7"/>
      <c r="DP37" s="7"/>
      <c r="DQ37" s="7"/>
      <c r="DR37" s="7"/>
      <c r="DS37" s="7"/>
      <c r="DT37" s="7"/>
      <c r="DU37" s="7"/>
      <c r="DV37" s="7"/>
      <c r="DW37" s="7"/>
      <c r="DX37" s="7"/>
      <c r="DY37" s="7"/>
      <c r="DZ37" s="7"/>
      <c r="EA37" s="7"/>
      <c r="EB37" s="7"/>
      <c r="EC37" s="7"/>
      <c r="ED37" s="7"/>
      <c r="EE37" s="7"/>
      <c r="EF37" s="7"/>
      <c r="EG37" s="7"/>
      <c r="EH37" s="7"/>
      <c r="EI37" s="7"/>
      <c r="EJ37" s="7"/>
      <c r="EK37" s="7"/>
      <c r="EL37" s="7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  <c r="FH37" s="7"/>
      <c r="FI37" s="7"/>
      <c r="FJ37" s="7"/>
      <c r="FK37" s="7"/>
      <c r="FL37" s="7"/>
      <c r="FM37" s="7"/>
      <c r="FN37" s="7"/>
      <c r="FO37" s="7"/>
      <c r="FP37" s="7"/>
      <c r="FQ37" s="7"/>
      <c r="FR37" s="7"/>
      <c r="FS37" s="7"/>
      <c r="FT37" s="7"/>
      <c r="FU37" s="7"/>
      <c r="FV37" s="7"/>
      <c r="FW37" s="7"/>
      <c r="FX37" s="7"/>
      <c r="FY37" s="7"/>
      <c r="FZ37" s="7"/>
      <c r="GA37" s="7"/>
      <c r="GB37" s="7"/>
      <c r="GC37" s="7"/>
      <c r="GD37" s="7"/>
      <c r="GE37" s="7"/>
      <c r="GF37" s="7"/>
      <c r="GG37" s="7"/>
      <c r="GH37" s="7"/>
      <c r="GI37" s="7"/>
      <c r="GJ37" s="7"/>
      <c r="GK37" s="7"/>
      <c r="GL37" s="7"/>
      <c r="GM37" s="7"/>
      <c r="GN37" s="7"/>
      <c r="GO37" s="7"/>
      <c r="GP37" s="7"/>
      <c r="GQ37" s="7"/>
      <c r="GR37" s="7"/>
      <c r="GS37" s="7"/>
      <c r="GT37" s="7"/>
      <c r="GU37" s="7"/>
      <c r="GV37" s="7"/>
      <c r="GW37" s="7"/>
      <c r="GX37" s="7"/>
      <c r="GY37" s="7"/>
      <c r="GZ37" s="7"/>
      <c r="HA37" s="7"/>
      <c r="HB37" s="7"/>
      <c r="HC37" s="7"/>
      <c r="HD37" s="7"/>
      <c r="HE37" s="7"/>
      <c r="HF37" s="7"/>
      <c r="HG37" s="7"/>
      <c r="HH37" s="7"/>
      <c r="HI37" s="7"/>
      <c r="HJ37" s="7"/>
      <c r="HK37" s="7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  <c r="IG37" s="7"/>
      <c r="IH37" s="7"/>
      <c r="II37" s="7"/>
      <c r="IJ37" s="7"/>
      <c r="IK37" s="7"/>
      <c r="IL37" s="7"/>
      <c r="IM37" s="7"/>
      <c r="IN37" s="7"/>
      <c r="IO37" s="7"/>
      <c r="IP37" s="7"/>
      <c r="IQ37" s="7"/>
      <c r="IR37" s="7"/>
      <c r="IS37" s="7"/>
      <c r="IT37" s="7"/>
      <c r="IU37" s="7"/>
      <c r="IV37" s="7"/>
      <c r="IW37" s="7"/>
      <c r="IX37" s="7"/>
      <c r="IY37" s="7"/>
      <c r="IZ37" s="7"/>
      <c r="JA37" s="7"/>
      <c r="JB37" s="7"/>
      <c r="JC37" s="7"/>
      <c r="JD37" s="7"/>
      <c r="JE37" s="7"/>
      <c r="JF37" s="7"/>
      <c r="JG37" s="7"/>
      <c r="JH37" s="7"/>
      <c r="JI37" s="7"/>
      <c r="JJ37" s="7"/>
      <c r="JK37" s="7"/>
      <c r="JL37" s="7"/>
      <c r="JM37" s="7"/>
      <c r="JN37" s="7"/>
      <c r="JO37" s="7"/>
      <c r="JP37" s="7"/>
      <c r="JQ37" s="7"/>
      <c r="JR37" s="7"/>
      <c r="JS37" s="7"/>
      <c r="JT37" s="7"/>
      <c r="JU37" s="7"/>
      <c r="JV37" s="7"/>
      <c r="JW37" s="7"/>
      <c r="JX37" s="7"/>
      <c r="JY37" s="7"/>
      <c r="JZ37" s="7"/>
      <c r="KA37" s="7"/>
      <c r="KB37" s="7"/>
      <c r="KC37" s="7"/>
      <c r="KD37" s="7"/>
      <c r="KE37" s="7"/>
      <c r="KF37" s="7"/>
      <c r="KG37" s="7"/>
      <c r="KH37" s="7"/>
      <c r="KI37" s="7"/>
      <c r="KJ37" s="7"/>
      <c r="KK37" s="7"/>
      <c r="KL37" s="7"/>
      <c r="KM37" s="7"/>
      <c r="KN37" s="7"/>
      <c r="KO37" s="7"/>
      <c r="KP37" s="7"/>
      <c r="KQ37" s="7"/>
      <c r="KR37" s="7"/>
      <c r="KS37" s="7"/>
      <c r="KT37" s="7"/>
      <c r="KU37" s="7"/>
      <c r="KV37" s="7"/>
      <c r="KW37" s="7"/>
      <c r="KX37" s="7"/>
      <c r="KY37" s="7"/>
      <c r="KZ37" s="7"/>
      <c r="LA37" s="7"/>
      <c r="LB37" s="7"/>
      <c r="LC37" s="7"/>
      <c r="LD37" s="7"/>
      <c r="LE37" s="7"/>
      <c r="LF37" s="7"/>
      <c r="LG37" s="7"/>
      <c r="LH37" s="7"/>
      <c r="LI37" s="7"/>
      <c r="LJ37" s="7"/>
      <c r="LK37" s="7"/>
      <c r="LL37" s="7"/>
      <c r="LM37" s="7"/>
      <c r="LN37" s="7"/>
      <c r="LO37" s="7"/>
      <c r="LP37" s="7"/>
      <c r="LQ37" s="7"/>
      <c r="LR37" s="7"/>
      <c r="LS37" s="7"/>
      <c r="LT37" s="7"/>
      <c r="LU37" s="7"/>
      <c r="LV37" s="7"/>
      <c r="LW37" s="7"/>
      <c r="LX37" s="7"/>
      <c r="LY37" s="7"/>
      <c r="LZ37" s="7"/>
      <c r="MA37" s="7"/>
      <c r="MB37" s="7"/>
      <c r="MC37" s="7"/>
      <c r="MD37" s="7"/>
      <c r="ME37" s="7"/>
      <c r="MF37" s="7"/>
      <c r="MG37" s="7"/>
      <c r="MH37" s="7"/>
      <c r="MJ37" s="7"/>
      <c r="MK37" s="7"/>
      <c r="ML37" s="7"/>
      <c r="MM37" s="7"/>
      <c r="MN37" s="7"/>
      <c r="MO37" s="7"/>
      <c r="MP37" s="7"/>
      <c r="MQ37" s="7"/>
      <c r="MR37" s="7"/>
      <c r="MS37" s="7"/>
      <c r="MT37" s="7"/>
      <c r="MU37" s="7"/>
      <c r="MV37" s="7"/>
      <c r="MW37" s="7"/>
      <c r="MX37" s="7"/>
      <c r="MY37" s="7"/>
      <c r="MZ37" s="7"/>
      <c r="NA37" s="7"/>
      <c r="NB37" s="7"/>
      <c r="NC37" s="7"/>
      <c r="ND37" s="7"/>
      <c r="NE37" s="7"/>
      <c r="NF37" s="7"/>
      <c r="NG37" s="7"/>
      <c r="NH37" s="7"/>
      <c r="NI37" s="7"/>
      <c r="NJ37" s="7"/>
      <c r="NK37" s="7"/>
      <c r="NL37" s="7"/>
      <c r="NM37" s="7"/>
      <c r="NN37" s="7"/>
      <c r="NO37" s="7"/>
      <c r="NP37" s="7"/>
      <c r="NQ37" s="7"/>
      <c r="NR37" s="7"/>
      <c r="NS37" s="7"/>
      <c r="NT37" s="7"/>
      <c r="NU37" s="7"/>
      <c r="NV37" s="7"/>
      <c r="NW37" s="7"/>
      <c r="NX37" s="7"/>
      <c r="NY37" s="7"/>
      <c r="NZ37" s="7"/>
      <c r="OA37" s="7"/>
      <c r="OB37" s="7"/>
      <c r="OC37" s="7"/>
      <c r="OD37" s="7"/>
      <c r="OE37" s="7"/>
      <c r="OF37" s="7"/>
      <c r="OG37" s="7"/>
      <c r="OH37" s="7"/>
      <c r="OI37" s="7"/>
      <c r="OJ37" s="7"/>
      <c r="OK37" s="7"/>
      <c r="OL37" s="7"/>
      <c r="OM37" s="7"/>
      <c r="ON37" s="7"/>
      <c r="OO37" s="7"/>
      <c r="OP37" s="7"/>
      <c r="OQ37" s="7"/>
      <c r="OR37" s="7"/>
      <c r="OS37" s="7"/>
      <c r="OT37" s="7"/>
      <c r="OU37" s="7"/>
      <c r="OV37" s="7"/>
      <c r="OW37" s="7"/>
      <c r="OX37" s="7"/>
      <c r="OY37" s="7"/>
      <c r="OZ37" s="7"/>
      <c r="PA37" s="7"/>
      <c r="PB37" s="7"/>
      <c r="PC37" s="7"/>
      <c r="PD37" s="7"/>
      <c r="PE37" s="7"/>
      <c r="PF37" s="7"/>
      <c r="PG37" s="7"/>
      <c r="PH37" s="7"/>
      <c r="PI37" s="7"/>
      <c r="PJ37" s="7"/>
      <c r="PK37" s="7"/>
    </row>
    <row r="38" spans="10:427" ht="12" customHeight="1">
      <c r="J38" s="7"/>
      <c r="L38" s="7"/>
      <c r="N38" s="7"/>
      <c r="P38" s="7"/>
      <c r="Q38" s="7"/>
      <c r="R38" s="7"/>
      <c r="DN38" s="7"/>
      <c r="DO38" s="7"/>
      <c r="DP38" s="7"/>
      <c r="DQ38" s="7"/>
      <c r="DR38" s="7"/>
      <c r="DS38" s="7"/>
      <c r="DT38" s="7"/>
      <c r="DU38" s="7"/>
      <c r="DV38" s="7"/>
      <c r="DW38" s="7"/>
      <c r="DX38" s="7"/>
      <c r="DY38" s="7"/>
      <c r="DZ38" s="7"/>
      <c r="EA38" s="7"/>
      <c r="EB38" s="7"/>
      <c r="EC38" s="7"/>
      <c r="ED38" s="7"/>
      <c r="EE38" s="7"/>
      <c r="EF38" s="7"/>
      <c r="EG38" s="7"/>
      <c r="EH38" s="7"/>
      <c r="EI38" s="7"/>
      <c r="EJ38" s="7"/>
      <c r="EK38" s="7"/>
      <c r="EL38" s="7"/>
      <c r="EM38" s="7"/>
      <c r="EN38" s="7"/>
      <c r="EO38" s="7"/>
      <c r="EP38" s="7"/>
      <c r="EQ38" s="7"/>
      <c r="ER38" s="7"/>
      <c r="ES38" s="7"/>
      <c r="ET38" s="7"/>
      <c r="EU38" s="7"/>
      <c r="EV38" s="7"/>
      <c r="EW38" s="7"/>
      <c r="EX38" s="7"/>
      <c r="EY38" s="7"/>
      <c r="EZ38" s="7"/>
      <c r="FA38" s="7"/>
      <c r="FB38" s="7"/>
      <c r="FC38" s="7"/>
      <c r="FD38" s="7"/>
      <c r="FE38" s="7"/>
      <c r="FF38" s="7"/>
      <c r="FG38" s="7"/>
      <c r="FH38" s="7"/>
      <c r="FI38" s="7"/>
      <c r="FJ38" s="7"/>
      <c r="FK38" s="7"/>
      <c r="FL38" s="7"/>
      <c r="FM38" s="7"/>
      <c r="FN38" s="7"/>
      <c r="FO38" s="7"/>
      <c r="FP38" s="7"/>
      <c r="FQ38" s="7"/>
      <c r="FR38" s="7"/>
      <c r="FS38" s="7"/>
      <c r="FT38" s="7"/>
      <c r="FU38" s="7"/>
      <c r="FV38" s="7"/>
      <c r="FW38" s="7"/>
      <c r="FX38" s="7"/>
      <c r="FY38" s="7"/>
      <c r="FZ38" s="7"/>
      <c r="GA38" s="7"/>
      <c r="GB38" s="7"/>
      <c r="GC38" s="7"/>
      <c r="GD38" s="7"/>
      <c r="GE38" s="7"/>
      <c r="GF38" s="7"/>
      <c r="GG38" s="7"/>
      <c r="GH38" s="7"/>
      <c r="GI38" s="7"/>
      <c r="GJ38" s="7"/>
      <c r="GK38" s="7"/>
      <c r="GL38" s="7"/>
      <c r="GM38" s="7"/>
      <c r="GN38" s="7"/>
      <c r="GO38" s="7"/>
      <c r="GP38" s="7"/>
      <c r="GQ38" s="7"/>
      <c r="GR38" s="7"/>
      <c r="GS38" s="7"/>
      <c r="GT38" s="7"/>
      <c r="GU38" s="7"/>
      <c r="GV38" s="7"/>
      <c r="GW38" s="7"/>
      <c r="GX38" s="7"/>
      <c r="GY38" s="7"/>
      <c r="GZ38" s="7"/>
      <c r="HA38" s="7"/>
      <c r="HB38" s="7"/>
      <c r="HC38" s="7"/>
      <c r="HD38" s="7"/>
      <c r="HE38" s="7"/>
      <c r="HF38" s="7"/>
      <c r="HG38" s="7"/>
      <c r="HH38" s="7"/>
      <c r="HI38" s="7"/>
      <c r="HJ38" s="7"/>
      <c r="HK38" s="7"/>
      <c r="HL38" s="7"/>
      <c r="HM38" s="7"/>
      <c r="HN38" s="7"/>
      <c r="HO38" s="7"/>
      <c r="HP38" s="7"/>
      <c r="HQ38" s="7"/>
      <c r="HR38" s="7"/>
      <c r="HS38" s="7"/>
      <c r="HT38" s="7"/>
      <c r="HU38" s="7"/>
      <c r="HV38" s="7"/>
      <c r="HW38" s="7"/>
      <c r="HX38" s="7"/>
      <c r="HY38" s="7"/>
      <c r="HZ38" s="7"/>
      <c r="IA38" s="7"/>
      <c r="IB38" s="7"/>
      <c r="IC38" s="7"/>
      <c r="ID38" s="7"/>
      <c r="IE38" s="7"/>
      <c r="IF38" s="7"/>
      <c r="IG38" s="7"/>
      <c r="IH38" s="7"/>
      <c r="II38" s="7"/>
      <c r="IJ38" s="7"/>
      <c r="IK38" s="7"/>
      <c r="IL38" s="7"/>
      <c r="IM38" s="7"/>
      <c r="IN38" s="7"/>
      <c r="IO38" s="7"/>
      <c r="IP38" s="7"/>
      <c r="IQ38" s="7"/>
      <c r="IR38" s="7"/>
      <c r="IS38" s="7"/>
      <c r="IT38" s="7"/>
      <c r="IU38" s="7"/>
      <c r="IV38" s="7"/>
      <c r="IW38" s="7"/>
      <c r="IX38" s="7"/>
      <c r="IY38" s="7"/>
      <c r="IZ38" s="7"/>
      <c r="JA38" s="7"/>
      <c r="JB38" s="7"/>
      <c r="JC38" s="7"/>
      <c r="JD38" s="7"/>
      <c r="JE38" s="7"/>
      <c r="JF38" s="7"/>
      <c r="JG38" s="7"/>
      <c r="JH38" s="7"/>
      <c r="JI38" s="7"/>
      <c r="JJ38" s="7"/>
      <c r="JK38" s="7"/>
      <c r="JL38" s="7"/>
      <c r="JM38" s="7"/>
      <c r="JN38" s="7"/>
      <c r="JO38" s="7"/>
      <c r="JP38" s="7"/>
      <c r="JQ38" s="7"/>
      <c r="JR38" s="7"/>
      <c r="JS38" s="7"/>
      <c r="JT38" s="7"/>
      <c r="JU38" s="7"/>
      <c r="JV38" s="7"/>
      <c r="JW38" s="7"/>
      <c r="JX38" s="7"/>
      <c r="JY38" s="7"/>
      <c r="JZ38" s="7"/>
      <c r="KA38" s="7"/>
      <c r="KB38" s="7"/>
      <c r="KC38" s="7"/>
      <c r="KD38" s="7"/>
      <c r="KE38" s="7"/>
      <c r="KF38" s="7"/>
      <c r="KG38" s="7"/>
      <c r="KH38" s="7"/>
      <c r="KI38" s="7"/>
      <c r="KJ38" s="7"/>
      <c r="KK38" s="7"/>
      <c r="KL38" s="7"/>
      <c r="KM38" s="7"/>
      <c r="KN38" s="7"/>
      <c r="KO38" s="7"/>
      <c r="KP38" s="7"/>
      <c r="KQ38" s="7"/>
      <c r="KR38" s="7"/>
      <c r="KS38" s="7"/>
      <c r="KT38" s="7"/>
      <c r="KU38" s="7"/>
      <c r="KV38" s="7"/>
      <c r="KW38" s="7"/>
      <c r="KX38" s="7"/>
      <c r="KY38" s="7"/>
      <c r="KZ38" s="7"/>
      <c r="LA38" s="7"/>
      <c r="LB38" s="7"/>
      <c r="LC38" s="7"/>
      <c r="LD38" s="7"/>
      <c r="LE38" s="7"/>
      <c r="LF38" s="7"/>
      <c r="LG38" s="7"/>
      <c r="LH38" s="7"/>
      <c r="LI38" s="7"/>
      <c r="LJ38" s="7"/>
      <c r="LK38" s="7"/>
      <c r="LL38" s="7"/>
      <c r="LM38" s="7"/>
      <c r="LN38" s="7"/>
      <c r="LO38" s="7"/>
      <c r="LP38" s="7"/>
      <c r="LQ38" s="7"/>
      <c r="LR38" s="7"/>
      <c r="LS38" s="7"/>
      <c r="LT38" s="7"/>
      <c r="LU38" s="7"/>
      <c r="LV38" s="7"/>
      <c r="LW38" s="7"/>
      <c r="LX38" s="7"/>
      <c r="LY38" s="7"/>
      <c r="LZ38" s="7"/>
      <c r="MA38" s="7"/>
      <c r="MB38" s="7"/>
      <c r="MC38" s="7"/>
      <c r="MD38" s="7"/>
      <c r="ME38" s="7"/>
      <c r="MF38" s="7"/>
      <c r="MG38" s="7"/>
      <c r="MH38" s="7"/>
      <c r="MJ38" s="7"/>
      <c r="MK38" s="7"/>
      <c r="ML38" s="7"/>
      <c r="MM38" s="7"/>
      <c r="MN38" s="7"/>
      <c r="MO38" s="7"/>
      <c r="MP38" s="7"/>
      <c r="MQ38" s="7"/>
      <c r="MR38" s="7"/>
      <c r="MS38" s="7"/>
      <c r="MT38" s="7"/>
      <c r="MU38" s="7"/>
      <c r="MV38" s="7"/>
      <c r="MW38" s="7"/>
      <c r="MX38" s="7"/>
      <c r="MY38" s="7"/>
      <c r="MZ38" s="7"/>
      <c r="NA38" s="7"/>
      <c r="NB38" s="7"/>
      <c r="NC38" s="7"/>
      <c r="ND38" s="7"/>
      <c r="NE38" s="7"/>
      <c r="NF38" s="7"/>
      <c r="NG38" s="7"/>
      <c r="NH38" s="7"/>
      <c r="NI38" s="7"/>
      <c r="NJ38" s="7"/>
      <c r="NK38" s="7"/>
      <c r="NL38" s="7"/>
      <c r="NM38" s="7"/>
      <c r="NN38" s="7"/>
      <c r="NO38" s="7"/>
      <c r="NP38" s="7"/>
      <c r="NQ38" s="7"/>
      <c r="NR38" s="7"/>
      <c r="NS38" s="7"/>
      <c r="NT38" s="7"/>
      <c r="NU38" s="7"/>
      <c r="NV38" s="7"/>
      <c r="NW38" s="7"/>
      <c r="NX38" s="7"/>
      <c r="NY38" s="7"/>
      <c r="NZ38" s="7"/>
      <c r="OA38" s="7"/>
      <c r="OB38" s="7"/>
      <c r="OC38" s="7"/>
      <c r="OD38" s="7"/>
      <c r="OE38" s="7"/>
      <c r="OF38" s="7"/>
      <c r="OG38" s="7"/>
      <c r="OH38" s="7"/>
      <c r="OI38" s="7"/>
      <c r="OJ38" s="7"/>
      <c r="OK38" s="7"/>
      <c r="OL38" s="7"/>
      <c r="OM38" s="7"/>
      <c r="ON38" s="7"/>
      <c r="OO38" s="7"/>
      <c r="OP38" s="7"/>
      <c r="OQ38" s="7"/>
      <c r="OR38" s="7"/>
      <c r="OS38" s="7"/>
      <c r="OT38" s="7"/>
      <c r="OU38" s="7"/>
      <c r="OV38" s="7"/>
      <c r="OW38" s="7"/>
      <c r="OX38" s="7"/>
      <c r="OY38" s="7"/>
      <c r="OZ38" s="7"/>
      <c r="PA38" s="7"/>
      <c r="PB38" s="7"/>
      <c r="PC38" s="7"/>
      <c r="PD38" s="7"/>
      <c r="PE38" s="7"/>
      <c r="PF38" s="7"/>
      <c r="PG38" s="7"/>
      <c r="PH38" s="7"/>
      <c r="PI38" s="7"/>
      <c r="PJ38" s="7"/>
      <c r="PK38" s="7"/>
    </row>
    <row r="39" spans="10:427" ht="12" customHeight="1">
      <c r="J39" s="7"/>
      <c r="L39" s="7"/>
      <c r="N39" s="7"/>
      <c r="P39" s="7"/>
      <c r="Q39" s="7"/>
      <c r="R39" s="7"/>
      <c r="DN39" s="7"/>
      <c r="DO39" s="7"/>
      <c r="DP39" s="7"/>
      <c r="DQ39" s="7"/>
      <c r="DR39" s="7"/>
      <c r="DS39" s="7"/>
      <c r="DT39" s="7"/>
      <c r="DU39" s="7"/>
      <c r="DV39" s="7"/>
      <c r="DW39" s="7"/>
      <c r="DX39" s="7"/>
      <c r="DY39" s="7"/>
      <c r="DZ39" s="7"/>
      <c r="EA39" s="7"/>
      <c r="EB39" s="7"/>
      <c r="EC39" s="7"/>
      <c r="ED39" s="7"/>
      <c r="EE39" s="7"/>
      <c r="EF39" s="7"/>
      <c r="EG39" s="7"/>
      <c r="EH39" s="7"/>
      <c r="EI39" s="7"/>
      <c r="EJ39" s="7"/>
      <c r="EK39" s="7"/>
      <c r="EL39" s="7"/>
      <c r="EM39" s="7"/>
      <c r="EN39" s="7"/>
      <c r="EO39" s="7"/>
      <c r="EP39" s="7"/>
      <c r="EQ39" s="7"/>
      <c r="ER39" s="7"/>
      <c r="ES39" s="7"/>
      <c r="ET39" s="7"/>
      <c r="EU39" s="7"/>
      <c r="EV39" s="7"/>
      <c r="EW39" s="7"/>
      <c r="EX39" s="7"/>
      <c r="EY39" s="7"/>
      <c r="EZ39" s="7"/>
      <c r="FA39" s="7"/>
      <c r="FB39" s="7"/>
      <c r="FC39" s="7"/>
      <c r="FD39" s="7"/>
      <c r="FE39" s="7"/>
      <c r="FF39" s="7"/>
      <c r="FG39" s="7"/>
      <c r="FH39" s="7"/>
      <c r="FI39" s="7"/>
      <c r="FJ39" s="7"/>
      <c r="FK39" s="7"/>
      <c r="FL39" s="7"/>
      <c r="FM39" s="7"/>
      <c r="FN39" s="7"/>
      <c r="FO39" s="7"/>
      <c r="FP39" s="7"/>
      <c r="FQ39" s="7"/>
      <c r="FR39" s="7"/>
      <c r="FS39" s="7"/>
      <c r="FT39" s="7"/>
      <c r="FU39" s="7"/>
      <c r="FV39" s="7"/>
      <c r="FW39" s="7"/>
      <c r="FX39" s="7"/>
      <c r="FY39" s="7"/>
      <c r="FZ39" s="7"/>
      <c r="GA39" s="7"/>
      <c r="GB39" s="7"/>
      <c r="GC39" s="7"/>
      <c r="GD39" s="7"/>
      <c r="GE39" s="7"/>
      <c r="GF39" s="7"/>
      <c r="GG39" s="7"/>
      <c r="GH39" s="7"/>
      <c r="GI39" s="7"/>
      <c r="GJ39" s="7"/>
      <c r="GK39" s="7"/>
      <c r="GL39" s="7"/>
      <c r="GM39" s="7"/>
      <c r="GN39" s="7"/>
      <c r="GO39" s="7"/>
      <c r="GP39" s="7"/>
      <c r="GQ39" s="7"/>
      <c r="GR39" s="7"/>
      <c r="GS39" s="7"/>
      <c r="GT39" s="7"/>
      <c r="GU39" s="7"/>
      <c r="GV39" s="7"/>
      <c r="GW39" s="7"/>
      <c r="GX39" s="7"/>
      <c r="GY39" s="7"/>
      <c r="GZ39" s="7"/>
      <c r="HA39" s="7"/>
      <c r="HB39" s="7"/>
      <c r="HC39" s="7"/>
      <c r="HD39" s="7"/>
      <c r="HE39" s="7"/>
      <c r="HF39" s="7"/>
      <c r="HG39" s="7"/>
      <c r="HH39" s="7"/>
      <c r="HI39" s="7"/>
      <c r="HJ39" s="7"/>
      <c r="HK39" s="7"/>
      <c r="HL39" s="7"/>
      <c r="HM39" s="7"/>
      <c r="HN39" s="7"/>
      <c r="HO39" s="7"/>
      <c r="HP39" s="7"/>
      <c r="HQ39" s="7"/>
      <c r="HR39" s="7"/>
      <c r="HS39" s="7"/>
      <c r="HT39" s="7"/>
      <c r="HU39" s="7"/>
      <c r="HV39" s="7"/>
      <c r="HW39" s="7"/>
      <c r="HX39" s="7"/>
      <c r="HY39" s="7"/>
      <c r="HZ39" s="7"/>
      <c r="IA39" s="7"/>
      <c r="IB39" s="7"/>
      <c r="IC39" s="7"/>
      <c r="ID39" s="7"/>
      <c r="IE39" s="7"/>
      <c r="IF39" s="7"/>
      <c r="IG39" s="7"/>
      <c r="IH39" s="7"/>
      <c r="II39" s="7"/>
      <c r="IJ39" s="7"/>
      <c r="IK39" s="7"/>
      <c r="IL39" s="7"/>
      <c r="IM39" s="7"/>
      <c r="IN39" s="7"/>
      <c r="IO39" s="7"/>
      <c r="IP39" s="7"/>
      <c r="IQ39" s="7"/>
      <c r="IR39" s="7"/>
      <c r="IS39" s="7"/>
      <c r="IT39" s="7"/>
      <c r="IU39" s="7"/>
      <c r="IV39" s="7"/>
      <c r="IW39" s="7"/>
      <c r="IX39" s="7"/>
      <c r="IY39" s="7"/>
      <c r="IZ39" s="7"/>
      <c r="JA39" s="7"/>
      <c r="JB39" s="7"/>
      <c r="JC39" s="7"/>
      <c r="JD39" s="7"/>
      <c r="JE39" s="7"/>
      <c r="JF39" s="7"/>
      <c r="JG39" s="7"/>
      <c r="JH39" s="7"/>
      <c r="JI39" s="7"/>
      <c r="JJ39" s="7"/>
      <c r="JK39" s="7"/>
      <c r="JL39" s="7"/>
      <c r="JM39" s="7"/>
      <c r="JN39" s="7"/>
      <c r="JO39" s="7"/>
      <c r="JP39" s="7"/>
      <c r="JQ39" s="7"/>
      <c r="JR39" s="7"/>
      <c r="JS39" s="7"/>
      <c r="JT39" s="7"/>
      <c r="JU39" s="7"/>
      <c r="JV39" s="7"/>
      <c r="JW39" s="7"/>
      <c r="JX39" s="7"/>
      <c r="JY39" s="7"/>
      <c r="JZ39" s="7"/>
      <c r="KA39" s="7"/>
      <c r="KB39" s="7"/>
      <c r="KC39" s="7"/>
      <c r="KD39" s="7"/>
      <c r="KE39" s="7"/>
      <c r="KF39" s="7"/>
      <c r="KG39" s="7"/>
      <c r="KH39" s="7"/>
      <c r="KI39" s="7"/>
      <c r="KJ39" s="7"/>
      <c r="KK39" s="7"/>
      <c r="KL39" s="7"/>
      <c r="KM39" s="7"/>
      <c r="KN39" s="7"/>
      <c r="KO39" s="7"/>
      <c r="KP39" s="7"/>
      <c r="KQ39" s="7"/>
      <c r="KR39" s="7"/>
      <c r="KS39" s="7"/>
      <c r="KT39" s="7"/>
      <c r="KU39" s="7"/>
      <c r="KV39" s="7"/>
      <c r="KW39" s="7"/>
      <c r="KX39" s="7"/>
      <c r="KY39" s="7"/>
      <c r="KZ39" s="7"/>
      <c r="LA39" s="7"/>
      <c r="LB39" s="7"/>
      <c r="LC39" s="7"/>
      <c r="LD39" s="7"/>
      <c r="LE39" s="7"/>
      <c r="LF39" s="7"/>
      <c r="LG39" s="7"/>
      <c r="LH39" s="7"/>
      <c r="LI39" s="7"/>
      <c r="LJ39" s="7"/>
      <c r="LK39" s="7"/>
      <c r="LL39" s="7"/>
      <c r="LM39" s="7"/>
      <c r="LN39" s="7"/>
      <c r="LO39" s="7"/>
      <c r="LP39" s="7"/>
      <c r="LQ39" s="7"/>
      <c r="LR39" s="7"/>
      <c r="LS39" s="7"/>
      <c r="LT39" s="7"/>
      <c r="LU39" s="7"/>
      <c r="LV39" s="7"/>
      <c r="LW39" s="7"/>
      <c r="LX39" s="7"/>
      <c r="LY39" s="7"/>
      <c r="LZ39" s="7"/>
      <c r="MA39" s="7"/>
      <c r="MB39" s="7"/>
      <c r="MC39" s="7"/>
      <c r="MD39" s="7"/>
      <c r="ME39" s="7"/>
      <c r="MF39" s="7"/>
      <c r="MG39" s="7"/>
      <c r="MH39" s="7"/>
      <c r="MJ39" s="7"/>
      <c r="MK39" s="7"/>
      <c r="ML39" s="7"/>
      <c r="MM39" s="7"/>
      <c r="MN39" s="7"/>
      <c r="MO39" s="7"/>
      <c r="MP39" s="7"/>
      <c r="MQ39" s="7"/>
      <c r="MR39" s="7"/>
      <c r="MS39" s="7"/>
      <c r="MT39" s="7"/>
      <c r="MU39" s="7"/>
      <c r="MV39" s="7"/>
      <c r="MW39" s="7"/>
      <c r="MX39" s="7"/>
      <c r="MY39" s="7"/>
      <c r="MZ39" s="7"/>
      <c r="NA39" s="7"/>
      <c r="NB39" s="7"/>
      <c r="NC39" s="7"/>
      <c r="ND39" s="7"/>
      <c r="NE39" s="7"/>
      <c r="NF39" s="7"/>
      <c r="NG39" s="7"/>
      <c r="NH39" s="7"/>
      <c r="NI39" s="7"/>
      <c r="NJ39" s="7"/>
      <c r="NK39" s="7"/>
      <c r="NL39" s="7"/>
      <c r="NM39" s="7"/>
      <c r="NN39" s="7"/>
      <c r="NO39" s="7"/>
      <c r="NP39" s="7"/>
      <c r="NQ39" s="7"/>
      <c r="NR39" s="7"/>
      <c r="NS39" s="7"/>
      <c r="NT39" s="7"/>
      <c r="NU39" s="7"/>
      <c r="NV39" s="7"/>
      <c r="NW39" s="7"/>
      <c r="NX39" s="7"/>
      <c r="NY39" s="7"/>
      <c r="NZ39" s="7"/>
      <c r="OA39" s="7"/>
      <c r="OB39" s="7"/>
      <c r="OC39" s="7"/>
      <c r="OD39" s="7"/>
      <c r="OE39" s="7"/>
      <c r="OF39" s="7"/>
      <c r="OG39" s="7"/>
      <c r="OH39" s="7"/>
      <c r="OI39" s="7"/>
      <c r="OJ39" s="7"/>
      <c r="OK39" s="7"/>
      <c r="OL39" s="7"/>
      <c r="OM39" s="7"/>
      <c r="ON39" s="7"/>
      <c r="OO39" s="7"/>
      <c r="OP39" s="7"/>
      <c r="OQ39" s="7"/>
      <c r="OR39" s="7"/>
      <c r="OS39" s="7"/>
      <c r="OT39" s="7"/>
      <c r="OU39" s="7"/>
      <c r="OV39" s="7"/>
      <c r="OW39" s="7"/>
      <c r="OX39" s="7"/>
      <c r="OY39" s="7"/>
      <c r="OZ39" s="7"/>
      <c r="PA39" s="7"/>
      <c r="PB39" s="7"/>
      <c r="PC39" s="7"/>
      <c r="PD39" s="7"/>
      <c r="PE39" s="7"/>
      <c r="PF39" s="7"/>
      <c r="PG39" s="7"/>
      <c r="PH39" s="7"/>
      <c r="PI39" s="7"/>
      <c r="PJ39" s="7"/>
      <c r="PK39" s="7"/>
    </row>
    <row r="40" spans="10:427" ht="12" customHeight="1">
      <c r="J40" s="7"/>
      <c r="L40" s="7"/>
      <c r="N40" s="7"/>
      <c r="P40" s="7"/>
      <c r="Q40" s="7"/>
      <c r="R40" s="7"/>
      <c r="DN40" s="7"/>
      <c r="DO40" s="7"/>
      <c r="DP40" s="7"/>
      <c r="DQ40" s="7"/>
      <c r="DR40" s="7"/>
      <c r="DS40" s="7"/>
      <c r="DT40" s="7"/>
      <c r="DU40" s="7"/>
      <c r="DV40" s="7"/>
      <c r="DW40" s="7"/>
      <c r="DX40" s="7"/>
      <c r="DY40" s="7"/>
      <c r="DZ40" s="7"/>
      <c r="EA40" s="7"/>
      <c r="EB40" s="7"/>
      <c r="EC40" s="7"/>
      <c r="ED40" s="7"/>
      <c r="EE40" s="7"/>
      <c r="EF40" s="7"/>
      <c r="EG40" s="7"/>
      <c r="EH40" s="7"/>
      <c r="EI40" s="7"/>
      <c r="EJ40" s="7"/>
      <c r="EK40" s="7"/>
      <c r="EL40" s="7"/>
      <c r="EM40" s="7"/>
      <c r="EN40" s="7"/>
      <c r="EO40" s="7"/>
      <c r="EP40" s="7"/>
      <c r="EQ40" s="7"/>
      <c r="ER40" s="7"/>
      <c r="ES40" s="7"/>
      <c r="ET40" s="7"/>
      <c r="EU40" s="7"/>
      <c r="EV40" s="7"/>
      <c r="EW40" s="7"/>
      <c r="EX40" s="7"/>
      <c r="EY40" s="7"/>
      <c r="EZ40" s="7"/>
      <c r="FA40" s="7"/>
      <c r="FB40" s="7"/>
      <c r="FC40" s="7"/>
      <c r="FD40" s="7"/>
      <c r="FE40" s="7"/>
      <c r="FF40" s="7"/>
      <c r="FG40" s="7"/>
      <c r="FH40" s="7"/>
      <c r="FI40" s="7"/>
      <c r="FJ40" s="7"/>
      <c r="FK40" s="7"/>
      <c r="FL40" s="7"/>
      <c r="FM40" s="7"/>
      <c r="FN40" s="7"/>
      <c r="FO40" s="7"/>
      <c r="FP40" s="7"/>
      <c r="FQ40" s="7"/>
      <c r="FR40" s="7"/>
      <c r="FS40" s="7"/>
      <c r="FT40" s="7"/>
      <c r="FU40" s="7"/>
      <c r="FV40" s="7"/>
      <c r="FW40" s="7"/>
      <c r="FX40" s="7"/>
      <c r="FY40" s="7"/>
      <c r="FZ40" s="7"/>
      <c r="GA40" s="7"/>
      <c r="GB40" s="7"/>
      <c r="GC40" s="7"/>
      <c r="GD40" s="7"/>
      <c r="GE40" s="7"/>
      <c r="GF40" s="7"/>
      <c r="GG40" s="7"/>
      <c r="GH40" s="7"/>
      <c r="GI40" s="7"/>
      <c r="GJ40" s="7"/>
      <c r="GK40" s="7"/>
      <c r="GL40" s="7"/>
      <c r="GM40" s="7"/>
      <c r="GN40" s="7"/>
      <c r="GO40" s="7"/>
      <c r="GP40" s="7"/>
      <c r="GQ40" s="7"/>
      <c r="GR40" s="7"/>
      <c r="GS40" s="7"/>
      <c r="GT40" s="7"/>
      <c r="GU40" s="7"/>
      <c r="GV40" s="7"/>
      <c r="GW40" s="7"/>
      <c r="GX40" s="7"/>
      <c r="GY40" s="7"/>
      <c r="GZ40" s="7"/>
      <c r="HA40" s="7"/>
      <c r="HB40" s="7"/>
      <c r="HC40" s="7"/>
      <c r="HD40" s="7"/>
      <c r="HE40" s="7"/>
      <c r="HF40" s="7"/>
      <c r="HG40" s="7"/>
      <c r="HH40" s="7"/>
      <c r="HI40" s="7"/>
      <c r="HJ40" s="7"/>
      <c r="HK40" s="7"/>
      <c r="HL40" s="7"/>
      <c r="HM40" s="7"/>
      <c r="HN40" s="7"/>
      <c r="HO40" s="7"/>
      <c r="HP40" s="7"/>
      <c r="HQ40" s="7"/>
      <c r="HR40" s="7"/>
      <c r="HS40" s="7"/>
      <c r="HT40" s="7"/>
      <c r="HU40" s="7"/>
      <c r="HV40" s="7"/>
      <c r="HW40" s="7"/>
      <c r="HX40" s="7"/>
      <c r="HY40" s="7"/>
      <c r="HZ40" s="7"/>
      <c r="IA40" s="7"/>
      <c r="IB40" s="7"/>
      <c r="IC40" s="7"/>
      <c r="ID40" s="7"/>
      <c r="IE40" s="7"/>
      <c r="IF40" s="7"/>
      <c r="IG40" s="7"/>
      <c r="IH40" s="7"/>
      <c r="II40" s="7"/>
      <c r="IJ40" s="7"/>
      <c r="IK40" s="7"/>
      <c r="IL40" s="7"/>
      <c r="IM40" s="7"/>
      <c r="IN40" s="7"/>
      <c r="IO40" s="7"/>
      <c r="IP40" s="7"/>
      <c r="IQ40" s="7"/>
      <c r="IR40" s="7"/>
      <c r="IS40" s="7"/>
      <c r="IT40" s="7"/>
      <c r="IU40" s="7"/>
      <c r="IV40" s="7"/>
      <c r="IW40" s="7"/>
      <c r="IX40" s="7"/>
      <c r="IY40" s="7"/>
      <c r="IZ40" s="7"/>
      <c r="JA40" s="7"/>
      <c r="JB40" s="7"/>
      <c r="JC40" s="7"/>
      <c r="JD40" s="7"/>
      <c r="JE40" s="7"/>
      <c r="JF40" s="7"/>
      <c r="JG40" s="7"/>
      <c r="JH40" s="7"/>
      <c r="JI40" s="7"/>
      <c r="JJ40" s="7"/>
      <c r="JK40" s="7"/>
      <c r="JL40" s="7"/>
      <c r="JM40" s="7"/>
      <c r="JN40" s="7"/>
      <c r="JO40" s="7"/>
      <c r="JP40" s="7"/>
      <c r="JQ40" s="7"/>
      <c r="JR40" s="7"/>
      <c r="JS40" s="7"/>
      <c r="JT40" s="7"/>
      <c r="JU40" s="7"/>
      <c r="JV40" s="7"/>
      <c r="JW40" s="7"/>
      <c r="JX40" s="7"/>
      <c r="JY40" s="7"/>
      <c r="JZ40" s="7"/>
      <c r="KA40" s="7"/>
      <c r="KB40" s="7"/>
      <c r="KC40" s="7"/>
      <c r="KD40" s="7"/>
      <c r="KE40" s="7"/>
      <c r="KF40" s="7"/>
      <c r="KG40" s="7"/>
      <c r="KH40" s="7"/>
      <c r="KI40" s="7"/>
      <c r="KJ40" s="7"/>
      <c r="KK40" s="7"/>
      <c r="KL40" s="7"/>
      <c r="KM40" s="7"/>
      <c r="KN40" s="7"/>
      <c r="KO40" s="7"/>
      <c r="KP40" s="7"/>
      <c r="KQ40" s="7"/>
      <c r="KR40" s="7"/>
      <c r="KS40" s="7"/>
      <c r="KT40" s="7"/>
      <c r="KU40" s="7"/>
      <c r="KV40" s="7"/>
      <c r="KW40" s="7"/>
      <c r="KX40" s="7"/>
      <c r="KY40" s="7"/>
      <c r="KZ40" s="7"/>
      <c r="LA40" s="7"/>
      <c r="LB40" s="7"/>
      <c r="LC40" s="7"/>
      <c r="LD40" s="7"/>
      <c r="LE40" s="7"/>
      <c r="LF40" s="7"/>
      <c r="LG40" s="7"/>
      <c r="LH40" s="7"/>
      <c r="LI40" s="7"/>
      <c r="LJ40" s="7"/>
      <c r="LK40" s="7"/>
      <c r="LL40" s="7"/>
      <c r="LM40" s="7"/>
      <c r="LN40" s="7"/>
      <c r="LO40" s="7"/>
      <c r="LP40" s="7"/>
      <c r="LQ40" s="7"/>
      <c r="LR40" s="7"/>
      <c r="LS40" s="7"/>
      <c r="LT40" s="7"/>
      <c r="LU40" s="7"/>
      <c r="LV40" s="7"/>
      <c r="LW40" s="7"/>
      <c r="LX40" s="7"/>
      <c r="LY40" s="7"/>
      <c r="LZ40" s="7"/>
      <c r="MA40" s="7"/>
      <c r="MB40" s="7"/>
      <c r="MC40" s="7"/>
      <c r="MD40" s="7"/>
      <c r="ME40" s="7"/>
      <c r="MF40" s="7"/>
      <c r="MG40" s="7"/>
      <c r="MH40" s="7"/>
      <c r="MJ40" s="7"/>
      <c r="MK40" s="7"/>
      <c r="ML40" s="7"/>
      <c r="MM40" s="7"/>
      <c r="MN40" s="7"/>
      <c r="MO40" s="7"/>
      <c r="MP40" s="7"/>
      <c r="MQ40" s="7"/>
      <c r="MR40" s="7"/>
      <c r="MS40" s="7"/>
      <c r="MT40" s="7"/>
      <c r="MU40" s="7"/>
      <c r="MV40" s="7"/>
      <c r="MW40" s="7"/>
      <c r="MX40" s="7"/>
      <c r="MY40" s="7"/>
      <c r="MZ40" s="7"/>
      <c r="NA40" s="7"/>
      <c r="NB40" s="7"/>
      <c r="NC40" s="7"/>
      <c r="ND40" s="7"/>
      <c r="NE40" s="7"/>
      <c r="NF40" s="7"/>
      <c r="NG40" s="7"/>
      <c r="NH40" s="7"/>
      <c r="NI40" s="7"/>
      <c r="NJ40" s="7"/>
      <c r="NK40" s="7"/>
      <c r="NL40" s="7"/>
      <c r="NM40" s="7"/>
      <c r="NN40" s="7"/>
      <c r="NO40" s="7"/>
      <c r="NP40" s="7"/>
      <c r="NQ40" s="7"/>
      <c r="NR40" s="7"/>
      <c r="NS40" s="7"/>
      <c r="NT40" s="7"/>
      <c r="NU40" s="7"/>
      <c r="NV40" s="7"/>
      <c r="NW40" s="7"/>
      <c r="NX40" s="7"/>
      <c r="NY40" s="7"/>
      <c r="NZ40" s="7"/>
      <c r="OA40" s="7"/>
      <c r="OB40" s="7"/>
      <c r="OC40" s="7"/>
      <c r="OD40" s="7"/>
      <c r="OE40" s="7"/>
      <c r="OF40" s="7"/>
      <c r="OG40" s="7"/>
      <c r="OH40" s="7"/>
      <c r="OI40" s="7"/>
      <c r="OJ40" s="7"/>
      <c r="OK40" s="7"/>
      <c r="OL40" s="7"/>
      <c r="OM40" s="7"/>
      <c r="ON40" s="7"/>
      <c r="OO40" s="7"/>
      <c r="OP40" s="7"/>
      <c r="OQ40" s="7"/>
      <c r="OR40" s="7"/>
      <c r="OS40" s="7"/>
      <c r="OT40" s="7"/>
      <c r="OU40" s="7"/>
      <c r="OV40" s="7"/>
      <c r="OW40" s="7"/>
      <c r="OX40" s="7"/>
      <c r="OY40" s="7"/>
      <c r="OZ40" s="7"/>
      <c r="PA40" s="7"/>
      <c r="PB40" s="7"/>
      <c r="PC40" s="7"/>
      <c r="PD40" s="7"/>
      <c r="PE40" s="7"/>
      <c r="PF40" s="7"/>
      <c r="PG40" s="7"/>
      <c r="PH40" s="7"/>
      <c r="PI40" s="7"/>
      <c r="PJ40" s="7"/>
      <c r="PK40" s="7"/>
    </row>
    <row r="41" spans="10:427" ht="12" customHeight="1">
      <c r="J41" s="7"/>
      <c r="L41" s="7"/>
      <c r="N41" s="7"/>
      <c r="P41" s="7"/>
      <c r="Q41" s="7"/>
      <c r="R41" s="7"/>
      <c r="DN41" s="7"/>
      <c r="DO41" s="7"/>
      <c r="DP41" s="7"/>
      <c r="DQ41" s="7"/>
      <c r="DR41" s="7"/>
      <c r="DS41" s="7"/>
      <c r="DT41" s="7"/>
      <c r="DU41" s="7"/>
      <c r="DV41" s="7"/>
      <c r="DW41" s="7"/>
      <c r="DX41" s="7"/>
      <c r="DY41" s="7"/>
      <c r="DZ41" s="7"/>
      <c r="EA41" s="7"/>
      <c r="EB41" s="7"/>
      <c r="EC41" s="7"/>
      <c r="ED41" s="7"/>
      <c r="EE41" s="7"/>
      <c r="EF41" s="7"/>
      <c r="EG41" s="7"/>
      <c r="EH41" s="7"/>
      <c r="EI41" s="7"/>
      <c r="EJ41" s="7"/>
      <c r="EK41" s="7"/>
      <c r="EL41" s="7"/>
      <c r="EM41" s="7"/>
      <c r="EN41" s="7"/>
      <c r="EO41" s="7"/>
      <c r="EP41" s="7"/>
      <c r="EQ41" s="7"/>
      <c r="ER41" s="7"/>
      <c r="ES41" s="7"/>
      <c r="ET41" s="7"/>
      <c r="EU41" s="7"/>
      <c r="EV41" s="7"/>
      <c r="EW41" s="7"/>
      <c r="EX41" s="7"/>
      <c r="EY41" s="7"/>
      <c r="EZ41" s="7"/>
      <c r="FA41" s="7"/>
      <c r="FB41" s="7"/>
      <c r="FC41" s="7"/>
      <c r="FD41" s="7"/>
      <c r="FE41" s="7"/>
      <c r="FF41" s="7"/>
      <c r="FG41" s="7"/>
      <c r="FH41" s="7"/>
      <c r="FI41" s="7"/>
      <c r="FJ41" s="7"/>
      <c r="FK41" s="7"/>
      <c r="FL41" s="7"/>
      <c r="FM41" s="7"/>
      <c r="FN41" s="7"/>
      <c r="FO41" s="7"/>
      <c r="FP41" s="7"/>
      <c r="FQ41" s="7"/>
      <c r="FR41" s="7"/>
      <c r="FS41" s="7"/>
      <c r="FT41" s="7"/>
      <c r="FU41" s="7"/>
      <c r="FV41" s="7"/>
      <c r="FW41" s="7"/>
      <c r="FX41" s="7"/>
      <c r="FY41" s="7"/>
      <c r="FZ41" s="7"/>
      <c r="GA41" s="7"/>
      <c r="GB41" s="7"/>
      <c r="GC41" s="7"/>
      <c r="GD41" s="7"/>
      <c r="GE41" s="7"/>
      <c r="GF41" s="7"/>
      <c r="GG41" s="7"/>
      <c r="GH41" s="7"/>
      <c r="GI41" s="7"/>
      <c r="GJ41" s="7"/>
      <c r="GK41" s="7"/>
      <c r="GL41" s="7"/>
      <c r="GM41" s="7"/>
      <c r="GN41" s="7"/>
      <c r="GO41" s="7"/>
      <c r="GP41" s="7"/>
      <c r="GQ41" s="7"/>
      <c r="GR41" s="7"/>
      <c r="GS41" s="7"/>
      <c r="GT41" s="7"/>
      <c r="GU41" s="7"/>
      <c r="GV41" s="7"/>
      <c r="GW41" s="7"/>
      <c r="GX41" s="7"/>
      <c r="GY41" s="7"/>
      <c r="GZ41" s="7"/>
      <c r="HA41" s="7"/>
      <c r="HB41" s="7"/>
      <c r="HC41" s="7"/>
      <c r="HD41" s="7"/>
      <c r="HE41" s="7"/>
      <c r="HF41" s="7"/>
      <c r="HG41" s="7"/>
      <c r="HH41" s="7"/>
      <c r="HI41" s="7"/>
      <c r="HJ41" s="7"/>
      <c r="HK41" s="7"/>
      <c r="HL41" s="7"/>
      <c r="HM41" s="7"/>
      <c r="HN41" s="7"/>
      <c r="HO41" s="7"/>
      <c r="HP41" s="7"/>
      <c r="HQ41" s="7"/>
      <c r="HR41" s="7"/>
      <c r="HS41" s="7"/>
      <c r="HT41" s="7"/>
      <c r="HU41" s="7"/>
      <c r="HV41" s="7"/>
      <c r="HW41" s="7"/>
      <c r="HX41" s="7"/>
      <c r="HY41" s="7"/>
      <c r="HZ41" s="7"/>
      <c r="IA41" s="7"/>
      <c r="IB41" s="7"/>
      <c r="IC41" s="7"/>
      <c r="ID41" s="7"/>
      <c r="IE41" s="7"/>
      <c r="IF41" s="7"/>
      <c r="IG41" s="7"/>
      <c r="IH41" s="7"/>
      <c r="II41" s="7"/>
      <c r="IJ41" s="7"/>
      <c r="IK41" s="7"/>
      <c r="IL41" s="7"/>
      <c r="IM41" s="7"/>
      <c r="IN41" s="7"/>
      <c r="IO41" s="7"/>
      <c r="IP41" s="7"/>
      <c r="IQ41" s="7"/>
      <c r="IR41" s="7"/>
      <c r="IS41" s="7"/>
      <c r="IT41" s="7"/>
      <c r="IU41" s="7"/>
      <c r="IV41" s="7"/>
      <c r="IW41" s="7"/>
      <c r="IX41" s="7"/>
      <c r="IY41" s="7"/>
      <c r="IZ41" s="7"/>
      <c r="JA41" s="7"/>
      <c r="JB41" s="7"/>
      <c r="JC41" s="7"/>
      <c r="JD41" s="7"/>
      <c r="JE41" s="7"/>
      <c r="JF41" s="7"/>
      <c r="JG41" s="7"/>
      <c r="JH41" s="7"/>
      <c r="JI41" s="7"/>
      <c r="JJ41" s="7"/>
      <c r="JK41" s="7"/>
      <c r="JL41" s="7"/>
      <c r="JM41" s="7"/>
      <c r="JN41" s="7"/>
      <c r="JO41" s="7"/>
      <c r="JP41" s="7"/>
      <c r="JQ41" s="7"/>
      <c r="JR41" s="7"/>
      <c r="JS41" s="7"/>
      <c r="JT41" s="7"/>
      <c r="JU41" s="7"/>
      <c r="JV41" s="7"/>
      <c r="JW41" s="7"/>
      <c r="JX41" s="7"/>
      <c r="JY41" s="7"/>
      <c r="JZ41" s="7"/>
      <c r="KA41" s="7"/>
      <c r="KB41" s="7"/>
      <c r="KC41" s="7"/>
      <c r="KD41" s="7"/>
      <c r="KE41" s="7"/>
      <c r="KF41" s="7"/>
      <c r="KG41" s="7"/>
      <c r="KH41" s="7"/>
      <c r="KI41" s="7"/>
      <c r="KJ41" s="7"/>
      <c r="KK41" s="7"/>
      <c r="KL41" s="7"/>
      <c r="KM41" s="7"/>
      <c r="KN41" s="7"/>
      <c r="KO41" s="7"/>
      <c r="KP41" s="7"/>
      <c r="KQ41" s="7"/>
      <c r="KR41" s="7"/>
      <c r="KS41" s="7"/>
      <c r="KT41" s="7"/>
      <c r="KU41" s="7"/>
      <c r="KV41" s="7"/>
      <c r="KW41" s="7"/>
      <c r="KX41" s="7"/>
      <c r="KY41" s="7"/>
      <c r="KZ41" s="7"/>
      <c r="LA41" s="7"/>
      <c r="LB41" s="7"/>
      <c r="LC41" s="7"/>
      <c r="LD41" s="7"/>
      <c r="LE41" s="7"/>
      <c r="LF41" s="7"/>
      <c r="LG41" s="7"/>
      <c r="LH41" s="7"/>
      <c r="LI41" s="7"/>
      <c r="LJ41" s="7"/>
      <c r="LK41" s="7"/>
      <c r="LL41" s="7"/>
      <c r="LM41" s="7"/>
      <c r="LN41" s="7"/>
      <c r="LO41" s="7"/>
      <c r="LP41" s="7"/>
      <c r="LQ41" s="7"/>
      <c r="LR41" s="7"/>
      <c r="LS41" s="7"/>
      <c r="LT41" s="7"/>
      <c r="LU41" s="7"/>
      <c r="LV41" s="7"/>
      <c r="LW41" s="7"/>
      <c r="LX41" s="7"/>
      <c r="LY41" s="7"/>
      <c r="LZ41" s="7"/>
      <c r="MA41" s="7"/>
      <c r="MB41" s="7"/>
      <c r="MC41" s="7"/>
      <c r="MD41" s="7"/>
      <c r="ME41" s="7"/>
      <c r="MF41" s="7"/>
      <c r="MG41" s="7"/>
      <c r="MH41" s="7"/>
      <c r="MJ41" s="7"/>
      <c r="MK41" s="7"/>
      <c r="ML41" s="7"/>
      <c r="MM41" s="7"/>
      <c r="MN41" s="7"/>
      <c r="MO41" s="7"/>
      <c r="MP41" s="7"/>
      <c r="MQ41" s="7"/>
      <c r="MR41" s="7"/>
      <c r="MS41" s="7"/>
      <c r="MT41" s="7"/>
      <c r="MU41" s="7"/>
      <c r="MV41" s="7"/>
      <c r="MW41" s="7"/>
      <c r="MX41" s="7"/>
      <c r="MY41" s="7"/>
      <c r="MZ41" s="7"/>
      <c r="NA41" s="7"/>
      <c r="NB41" s="7"/>
      <c r="NC41" s="7"/>
      <c r="ND41" s="7"/>
      <c r="NE41" s="7"/>
      <c r="NF41" s="7"/>
      <c r="NG41" s="7"/>
      <c r="NH41" s="7"/>
      <c r="NI41" s="7"/>
      <c r="NJ41" s="7"/>
      <c r="NK41" s="7"/>
      <c r="NL41" s="7"/>
      <c r="NM41" s="7"/>
      <c r="NN41" s="7"/>
      <c r="NO41" s="7"/>
      <c r="NP41" s="7"/>
      <c r="NQ41" s="7"/>
      <c r="NR41" s="7"/>
      <c r="NS41" s="7"/>
      <c r="NT41" s="7"/>
      <c r="NU41" s="7"/>
      <c r="NV41" s="7"/>
      <c r="NW41" s="7"/>
      <c r="NX41" s="7"/>
      <c r="NY41" s="7"/>
      <c r="NZ41" s="7"/>
      <c r="OA41" s="7"/>
      <c r="OB41" s="7"/>
      <c r="OC41" s="7"/>
      <c r="OD41" s="7"/>
      <c r="OE41" s="7"/>
      <c r="OF41" s="7"/>
      <c r="OG41" s="7"/>
      <c r="OH41" s="7"/>
      <c r="OI41" s="7"/>
      <c r="OJ41" s="7"/>
      <c r="OK41" s="7"/>
      <c r="OL41" s="7"/>
      <c r="OM41" s="7"/>
      <c r="ON41" s="7"/>
      <c r="OO41" s="7"/>
      <c r="OP41" s="7"/>
      <c r="OQ41" s="7"/>
      <c r="OR41" s="7"/>
      <c r="OS41" s="7"/>
      <c r="OT41" s="7"/>
      <c r="OU41" s="7"/>
      <c r="OV41" s="7"/>
      <c r="OW41" s="7"/>
      <c r="OX41" s="7"/>
      <c r="OY41" s="7"/>
      <c r="OZ41" s="7"/>
      <c r="PA41" s="7"/>
      <c r="PB41" s="7"/>
      <c r="PC41" s="7"/>
      <c r="PD41" s="7"/>
      <c r="PE41" s="7"/>
      <c r="PF41" s="7"/>
      <c r="PG41" s="7"/>
      <c r="PH41" s="7"/>
      <c r="PI41" s="7"/>
      <c r="PJ41" s="7"/>
      <c r="PK41" s="7"/>
    </row>
    <row r="42" spans="10:427" ht="12" customHeight="1">
      <c r="J42" s="7"/>
      <c r="L42" s="7"/>
      <c r="N42" s="7"/>
      <c r="P42" s="7"/>
      <c r="Q42" s="7"/>
      <c r="R42" s="7"/>
      <c r="DN42" s="7"/>
      <c r="DO42" s="7"/>
      <c r="DP42" s="7"/>
      <c r="DQ42" s="7"/>
      <c r="DR42" s="7"/>
      <c r="DS42" s="7"/>
      <c r="DT42" s="7"/>
      <c r="DU42" s="7"/>
      <c r="DV42" s="7"/>
      <c r="DW42" s="7"/>
      <c r="DX42" s="7"/>
      <c r="DY42" s="7"/>
      <c r="DZ42" s="7"/>
      <c r="EA42" s="7"/>
      <c r="EB42" s="7"/>
      <c r="EC42" s="7"/>
      <c r="ED42" s="7"/>
      <c r="EE42" s="7"/>
      <c r="EF42" s="7"/>
      <c r="EG42" s="7"/>
      <c r="EH42" s="7"/>
      <c r="EI42" s="7"/>
      <c r="EJ42" s="7"/>
      <c r="EK42" s="7"/>
      <c r="EL42" s="7"/>
      <c r="EM42" s="7"/>
      <c r="EN42" s="7"/>
      <c r="EO42" s="7"/>
      <c r="EP42" s="7"/>
      <c r="EQ42" s="7"/>
      <c r="ER42" s="7"/>
      <c r="ES42" s="7"/>
      <c r="ET42" s="7"/>
      <c r="EU42" s="7"/>
      <c r="EV42" s="7"/>
      <c r="EW42" s="7"/>
      <c r="EX42" s="7"/>
      <c r="EY42" s="7"/>
      <c r="EZ42" s="7"/>
      <c r="FA42" s="7"/>
      <c r="FB42" s="7"/>
      <c r="FC42" s="7"/>
      <c r="FD42" s="7"/>
      <c r="FE42" s="7"/>
      <c r="FF42" s="7"/>
      <c r="FG42" s="7"/>
      <c r="FH42" s="7"/>
      <c r="FI42" s="7"/>
      <c r="FJ42" s="7"/>
      <c r="FK42" s="7"/>
      <c r="FL42" s="7"/>
      <c r="FM42" s="7"/>
      <c r="FN42" s="7"/>
      <c r="FO42" s="7"/>
      <c r="FP42" s="7"/>
      <c r="FQ42" s="7"/>
      <c r="FR42" s="7"/>
      <c r="FS42" s="7"/>
      <c r="FT42" s="7"/>
      <c r="FU42" s="7"/>
      <c r="FV42" s="7"/>
      <c r="FW42" s="7"/>
      <c r="FX42" s="7"/>
      <c r="FY42" s="7"/>
      <c r="FZ42" s="7"/>
      <c r="GA42" s="7"/>
      <c r="GB42" s="7"/>
      <c r="GC42" s="7"/>
      <c r="GD42" s="7"/>
      <c r="GE42" s="7"/>
      <c r="GF42" s="7"/>
      <c r="GG42" s="7"/>
      <c r="GH42" s="7"/>
      <c r="GI42" s="7"/>
      <c r="GJ42" s="7"/>
      <c r="GK42" s="7"/>
      <c r="GL42" s="7"/>
      <c r="GM42" s="7"/>
      <c r="GN42" s="7"/>
      <c r="GO42" s="7"/>
      <c r="GP42" s="7"/>
      <c r="GQ42" s="7"/>
      <c r="GR42" s="7"/>
      <c r="GS42" s="7"/>
      <c r="GT42" s="7"/>
      <c r="GU42" s="7"/>
      <c r="GV42" s="7"/>
      <c r="GW42" s="7"/>
      <c r="GX42" s="7"/>
      <c r="GY42" s="7"/>
      <c r="GZ42" s="7"/>
      <c r="HA42" s="7"/>
      <c r="HB42" s="7"/>
      <c r="HC42" s="7"/>
      <c r="HD42" s="7"/>
      <c r="HE42" s="7"/>
      <c r="HF42" s="7"/>
      <c r="HG42" s="7"/>
      <c r="HH42" s="7"/>
      <c r="HI42" s="7"/>
      <c r="HJ42" s="7"/>
      <c r="HK42" s="7"/>
      <c r="HL42" s="7"/>
      <c r="HM42" s="7"/>
      <c r="HN42" s="7"/>
      <c r="HO42" s="7"/>
      <c r="HP42" s="7"/>
      <c r="HQ42" s="7"/>
      <c r="HR42" s="7"/>
      <c r="HS42" s="7"/>
      <c r="HT42" s="7"/>
      <c r="HU42" s="7"/>
      <c r="HV42" s="7"/>
      <c r="HW42" s="7"/>
      <c r="HX42" s="7"/>
      <c r="HY42" s="7"/>
      <c r="HZ42" s="7"/>
      <c r="IA42" s="7"/>
      <c r="IB42" s="7"/>
      <c r="IC42" s="7"/>
      <c r="ID42" s="7"/>
      <c r="IE42" s="7"/>
      <c r="IF42" s="7"/>
      <c r="IG42" s="7"/>
      <c r="IH42" s="7"/>
      <c r="II42" s="7"/>
      <c r="IJ42" s="7"/>
      <c r="IK42" s="7"/>
      <c r="IL42" s="7"/>
      <c r="IM42" s="7"/>
      <c r="IN42" s="7"/>
      <c r="IO42" s="7"/>
      <c r="IP42" s="7"/>
      <c r="IQ42" s="7"/>
      <c r="IR42" s="7"/>
      <c r="IS42" s="7"/>
      <c r="IT42" s="7"/>
      <c r="IU42" s="7"/>
      <c r="IV42" s="7"/>
      <c r="IW42" s="7"/>
      <c r="IX42" s="7"/>
      <c r="IY42" s="7"/>
      <c r="IZ42" s="7"/>
      <c r="JA42" s="7"/>
      <c r="JB42" s="7"/>
      <c r="JC42" s="7"/>
      <c r="JD42" s="7"/>
      <c r="JE42" s="7"/>
      <c r="JF42" s="7"/>
      <c r="JG42" s="7"/>
      <c r="JH42" s="7"/>
      <c r="JI42" s="7"/>
      <c r="JJ42" s="7"/>
      <c r="JK42" s="7"/>
      <c r="JL42" s="7"/>
      <c r="JM42" s="7"/>
      <c r="JN42" s="7"/>
      <c r="JO42" s="7"/>
      <c r="JP42" s="7"/>
      <c r="JQ42" s="7"/>
      <c r="JR42" s="7"/>
      <c r="JS42" s="7"/>
      <c r="JT42" s="7"/>
      <c r="JU42" s="7"/>
      <c r="JV42" s="7"/>
      <c r="JW42" s="7"/>
      <c r="JX42" s="7"/>
      <c r="JY42" s="7"/>
      <c r="JZ42" s="7"/>
      <c r="KA42" s="7"/>
      <c r="KB42" s="7"/>
      <c r="KC42" s="7"/>
      <c r="KD42" s="7"/>
      <c r="KE42" s="7"/>
      <c r="KF42" s="7"/>
      <c r="KG42" s="7"/>
      <c r="KH42" s="7"/>
      <c r="KI42" s="7"/>
      <c r="KJ42" s="7"/>
      <c r="KK42" s="7"/>
      <c r="KL42" s="7"/>
      <c r="KM42" s="7"/>
      <c r="KN42" s="7"/>
      <c r="KO42" s="7"/>
      <c r="KP42" s="7"/>
      <c r="KQ42" s="7"/>
      <c r="KR42" s="7"/>
      <c r="KS42" s="7"/>
      <c r="KT42" s="7"/>
      <c r="KU42" s="7"/>
      <c r="KV42" s="7"/>
      <c r="KW42" s="7"/>
      <c r="KX42" s="7"/>
      <c r="KY42" s="7"/>
      <c r="KZ42" s="7"/>
      <c r="LA42" s="7"/>
      <c r="LB42" s="7"/>
      <c r="LC42" s="7"/>
      <c r="LD42" s="7"/>
      <c r="LE42" s="7"/>
      <c r="LF42" s="7"/>
      <c r="LG42" s="7"/>
      <c r="LH42" s="7"/>
      <c r="LI42" s="7"/>
      <c r="LJ42" s="7"/>
      <c r="LK42" s="7"/>
      <c r="LL42" s="7"/>
      <c r="LM42" s="7"/>
      <c r="LN42" s="7"/>
      <c r="LO42" s="7"/>
      <c r="LP42" s="7"/>
      <c r="LQ42" s="7"/>
      <c r="LR42" s="7"/>
      <c r="LS42" s="7"/>
      <c r="LT42" s="7"/>
      <c r="LU42" s="7"/>
      <c r="LV42" s="7"/>
      <c r="LW42" s="7"/>
      <c r="LX42" s="7"/>
      <c r="LY42" s="7"/>
      <c r="LZ42" s="7"/>
      <c r="MA42" s="7"/>
      <c r="MB42" s="7"/>
      <c r="MC42" s="7"/>
      <c r="MD42" s="7"/>
      <c r="ME42" s="7"/>
      <c r="MF42" s="7"/>
      <c r="MG42" s="7"/>
      <c r="MH42" s="7"/>
      <c r="MJ42" s="7"/>
      <c r="MK42" s="7"/>
      <c r="ML42" s="7"/>
      <c r="MM42" s="7"/>
      <c r="MN42" s="7"/>
      <c r="MO42" s="7"/>
      <c r="MP42" s="7"/>
      <c r="MQ42" s="7"/>
      <c r="MR42" s="7"/>
      <c r="MS42" s="7"/>
      <c r="MT42" s="7"/>
      <c r="MU42" s="7"/>
      <c r="MV42" s="7"/>
      <c r="MW42" s="7"/>
      <c r="MX42" s="7"/>
      <c r="MY42" s="7"/>
      <c r="MZ42" s="7"/>
      <c r="NA42" s="7"/>
      <c r="NB42" s="7"/>
      <c r="NC42" s="7"/>
      <c r="ND42" s="7"/>
      <c r="NE42" s="7"/>
      <c r="NF42" s="7"/>
      <c r="NG42" s="7"/>
      <c r="NH42" s="7"/>
      <c r="NI42" s="7"/>
      <c r="NJ42" s="7"/>
      <c r="NK42" s="7"/>
      <c r="NL42" s="7"/>
      <c r="NM42" s="7"/>
      <c r="NN42" s="7"/>
      <c r="NO42" s="7"/>
      <c r="NP42" s="7"/>
      <c r="NQ42" s="7"/>
      <c r="NR42" s="7"/>
      <c r="NS42" s="7"/>
      <c r="NT42" s="7"/>
      <c r="NU42" s="7"/>
      <c r="NV42" s="7"/>
      <c r="NW42" s="7"/>
      <c r="NX42" s="7"/>
      <c r="NY42" s="7"/>
      <c r="NZ42" s="7"/>
      <c r="OA42" s="7"/>
      <c r="OB42" s="7"/>
      <c r="OC42" s="7"/>
      <c r="OD42" s="7"/>
      <c r="OE42" s="7"/>
      <c r="OF42" s="7"/>
      <c r="OG42" s="7"/>
      <c r="OH42" s="7"/>
      <c r="OI42" s="7"/>
      <c r="OJ42" s="7"/>
      <c r="OK42" s="7"/>
      <c r="OL42" s="7"/>
      <c r="OM42" s="7"/>
      <c r="ON42" s="7"/>
      <c r="OO42" s="7"/>
      <c r="OP42" s="7"/>
      <c r="OQ42" s="7"/>
      <c r="OR42" s="7"/>
      <c r="OS42" s="7"/>
      <c r="OT42" s="7"/>
      <c r="OU42" s="7"/>
      <c r="OV42" s="7"/>
      <c r="OW42" s="7"/>
      <c r="OX42" s="7"/>
      <c r="OY42" s="7"/>
      <c r="OZ42" s="7"/>
      <c r="PA42" s="7"/>
      <c r="PB42" s="7"/>
      <c r="PC42" s="7"/>
      <c r="PD42" s="7"/>
      <c r="PE42" s="7"/>
      <c r="PF42" s="7"/>
      <c r="PG42" s="7"/>
      <c r="PH42" s="7"/>
      <c r="PI42" s="7"/>
      <c r="PJ42" s="7"/>
      <c r="PK42" s="7"/>
    </row>
    <row r="43" spans="10:427" ht="12" customHeight="1">
      <c r="J43" s="7"/>
      <c r="L43" s="7"/>
      <c r="N43" s="7"/>
      <c r="P43" s="7"/>
      <c r="Q43" s="7"/>
      <c r="R43" s="7"/>
      <c r="DN43" s="7"/>
      <c r="DO43" s="7"/>
      <c r="DP43" s="7"/>
      <c r="DQ43" s="7"/>
      <c r="DR43" s="7"/>
      <c r="DS43" s="7"/>
      <c r="DT43" s="7"/>
      <c r="DU43" s="7"/>
      <c r="DV43" s="7"/>
      <c r="DW43" s="7"/>
      <c r="DX43" s="7"/>
      <c r="DY43" s="7"/>
      <c r="DZ43" s="7"/>
      <c r="EA43" s="7"/>
      <c r="EB43" s="7"/>
      <c r="EC43" s="7"/>
      <c r="ED43" s="7"/>
      <c r="EE43" s="7"/>
      <c r="EF43" s="7"/>
      <c r="EG43" s="7"/>
      <c r="EH43" s="7"/>
      <c r="EI43" s="7"/>
      <c r="EJ43" s="7"/>
      <c r="EK43" s="7"/>
      <c r="EL43" s="7"/>
      <c r="EM43" s="7"/>
      <c r="EN43" s="7"/>
      <c r="EO43" s="7"/>
      <c r="EP43" s="7"/>
      <c r="EQ43" s="7"/>
      <c r="ER43" s="7"/>
      <c r="ES43" s="7"/>
      <c r="ET43" s="7"/>
      <c r="EU43" s="7"/>
      <c r="EV43" s="7"/>
      <c r="EW43" s="7"/>
      <c r="EX43" s="7"/>
      <c r="EY43" s="7"/>
      <c r="EZ43" s="7"/>
      <c r="FA43" s="7"/>
      <c r="FB43" s="7"/>
      <c r="FC43" s="7"/>
      <c r="FD43" s="7"/>
      <c r="FE43" s="7"/>
      <c r="FF43" s="7"/>
      <c r="FG43" s="7"/>
      <c r="FH43" s="7"/>
      <c r="FI43" s="7"/>
      <c r="FJ43" s="7"/>
      <c r="FK43" s="7"/>
      <c r="FL43" s="7"/>
      <c r="FM43" s="7"/>
      <c r="FN43" s="7"/>
      <c r="FO43" s="7"/>
      <c r="FP43" s="7"/>
      <c r="FQ43" s="7"/>
      <c r="FR43" s="7"/>
      <c r="FS43" s="7"/>
      <c r="FT43" s="7"/>
      <c r="FU43" s="7"/>
      <c r="FV43" s="7"/>
      <c r="FW43" s="7"/>
      <c r="FX43" s="7"/>
      <c r="FY43" s="7"/>
      <c r="FZ43" s="7"/>
      <c r="GA43" s="7"/>
      <c r="GB43" s="7"/>
      <c r="GC43" s="7"/>
      <c r="GD43" s="7"/>
      <c r="GE43" s="7"/>
      <c r="GF43" s="7"/>
      <c r="GG43" s="7"/>
      <c r="GH43" s="7"/>
      <c r="GI43" s="7"/>
      <c r="GJ43" s="7"/>
      <c r="GK43" s="7"/>
      <c r="GL43" s="7"/>
      <c r="GM43" s="7"/>
      <c r="GN43" s="7"/>
      <c r="GO43" s="7"/>
      <c r="GP43" s="7"/>
      <c r="GQ43" s="7"/>
      <c r="GR43" s="7"/>
      <c r="GS43" s="7"/>
      <c r="GT43" s="7"/>
      <c r="GU43" s="7"/>
      <c r="GV43" s="7"/>
      <c r="GW43" s="7"/>
      <c r="GX43" s="7"/>
      <c r="GY43" s="7"/>
      <c r="GZ43" s="7"/>
      <c r="HA43" s="7"/>
      <c r="HB43" s="7"/>
      <c r="HC43" s="7"/>
      <c r="HD43" s="7"/>
      <c r="HE43" s="7"/>
      <c r="HF43" s="7"/>
      <c r="HG43" s="7"/>
      <c r="HH43" s="7"/>
      <c r="HI43" s="7"/>
      <c r="HJ43" s="7"/>
      <c r="HK43" s="7"/>
      <c r="HL43" s="7"/>
      <c r="HM43" s="7"/>
      <c r="HN43" s="7"/>
      <c r="HO43" s="7"/>
      <c r="HP43" s="7"/>
      <c r="HQ43" s="7"/>
      <c r="HR43" s="7"/>
      <c r="HS43" s="7"/>
      <c r="HT43" s="7"/>
      <c r="HU43" s="7"/>
      <c r="HV43" s="7"/>
      <c r="HW43" s="7"/>
      <c r="HX43" s="7"/>
      <c r="HY43" s="7"/>
      <c r="HZ43" s="7"/>
      <c r="IA43" s="7"/>
      <c r="IB43" s="7"/>
      <c r="IC43" s="7"/>
      <c r="ID43" s="7"/>
      <c r="IE43" s="7"/>
      <c r="IF43" s="7"/>
      <c r="IG43" s="7"/>
      <c r="IH43" s="7"/>
      <c r="II43" s="7"/>
      <c r="IJ43" s="7"/>
      <c r="IK43" s="7"/>
      <c r="IL43" s="7"/>
      <c r="IM43" s="7"/>
      <c r="IN43" s="7"/>
      <c r="IO43" s="7"/>
      <c r="IP43" s="7"/>
      <c r="IQ43" s="7"/>
      <c r="IR43" s="7"/>
      <c r="IS43" s="7"/>
      <c r="IT43" s="7"/>
      <c r="IU43" s="7"/>
      <c r="IV43" s="7"/>
      <c r="IW43" s="7"/>
      <c r="IX43" s="7"/>
      <c r="IY43" s="7"/>
      <c r="IZ43" s="7"/>
      <c r="JA43" s="7"/>
      <c r="JB43" s="7"/>
      <c r="JC43" s="7"/>
      <c r="JD43" s="7"/>
      <c r="JE43" s="7"/>
      <c r="JF43" s="7"/>
      <c r="JG43" s="7"/>
      <c r="JH43" s="7"/>
      <c r="JI43" s="7"/>
      <c r="JJ43" s="7"/>
      <c r="JK43" s="7"/>
      <c r="JL43" s="7"/>
      <c r="JM43" s="7"/>
      <c r="JN43" s="7"/>
      <c r="JO43" s="7"/>
      <c r="JP43" s="7"/>
      <c r="JQ43" s="7"/>
      <c r="JR43" s="7"/>
      <c r="JS43" s="7"/>
      <c r="JT43" s="7"/>
      <c r="JU43" s="7"/>
      <c r="JV43" s="7"/>
      <c r="JW43" s="7"/>
      <c r="JX43" s="7"/>
      <c r="JY43" s="7"/>
      <c r="JZ43" s="7"/>
      <c r="KA43" s="7"/>
      <c r="KB43" s="7"/>
      <c r="KC43" s="7"/>
      <c r="KD43" s="7"/>
      <c r="KE43" s="7"/>
      <c r="KF43" s="7"/>
      <c r="KG43" s="7"/>
      <c r="KH43" s="7"/>
      <c r="KI43" s="7"/>
      <c r="KJ43" s="7"/>
      <c r="KK43" s="7"/>
      <c r="KL43" s="7"/>
      <c r="KM43" s="7"/>
      <c r="KN43" s="7"/>
      <c r="KO43" s="7"/>
      <c r="KP43" s="7"/>
      <c r="KQ43" s="7"/>
      <c r="KR43" s="7"/>
      <c r="KS43" s="7"/>
      <c r="KT43" s="7"/>
      <c r="KU43" s="7"/>
      <c r="KV43" s="7"/>
      <c r="KW43" s="7"/>
      <c r="KX43" s="7"/>
      <c r="KY43" s="7"/>
      <c r="KZ43" s="7"/>
      <c r="LA43" s="7"/>
      <c r="LB43" s="7"/>
      <c r="LC43" s="7"/>
      <c r="LD43" s="7"/>
      <c r="LE43" s="7"/>
      <c r="LF43" s="7"/>
      <c r="LG43" s="7"/>
      <c r="LH43" s="7"/>
      <c r="LI43" s="7"/>
      <c r="LJ43" s="7"/>
      <c r="LK43" s="7"/>
      <c r="LL43" s="7"/>
      <c r="LM43" s="7"/>
      <c r="LN43" s="7"/>
      <c r="LO43" s="7"/>
      <c r="LP43" s="7"/>
      <c r="LQ43" s="7"/>
      <c r="LR43" s="7"/>
      <c r="LS43" s="7"/>
      <c r="LT43" s="7"/>
      <c r="LU43" s="7"/>
      <c r="LV43" s="7"/>
      <c r="LW43" s="7"/>
      <c r="LX43" s="7"/>
      <c r="LY43" s="7"/>
      <c r="LZ43" s="7"/>
      <c r="MA43" s="7"/>
      <c r="MB43" s="7"/>
      <c r="MC43" s="7"/>
      <c r="MD43" s="7"/>
      <c r="ME43" s="7"/>
      <c r="MF43" s="7"/>
      <c r="MG43" s="7"/>
      <c r="MH43" s="7"/>
      <c r="MJ43" s="7"/>
      <c r="MK43" s="7"/>
      <c r="ML43" s="7"/>
      <c r="MM43" s="7"/>
      <c r="MN43" s="7"/>
      <c r="MO43" s="7"/>
      <c r="MP43" s="7"/>
      <c r="MQ43" s="7"/>
      <c r="MR43" s="7"/>
      <c r="MS43" s="7"/>
      <c r="MT43" s="7"/>
      <c r="MU43" s="7"/>
      <c r="MV43" s="7"/>
      <c r="MW43" s="7"/>
      <c r="MX43" s="7"/>
      <c r="MY43" s="7"/>
      <c r="MZ43" s="7"/>
      <c r="NA43" s="7"/>
      <c r="NB43" s="7"/>
      <c r="NC43" s="7"/>
      <c r="ND43" s="7"/>
      <c r="NE43" s="7"/>
      <c r="NF43" s="7"/>
      <c r="NG43" s="7"/>
      <c r="NH43" s="7"/>
      <c r="NI43" s="7"/>
      <c r="NJ43" s="7"/>
      <c r="NK43" s="7"/>
      <c r="NL43" s="7"/>
      <c r="NM43" s="7"/>
      <c r="NN43" s="7"/>
      <c r="NO43" s="7"/>
      <c r="NP43" s="7"/>
      <c r="NQ43" s="7"/>
      <c r="NR43" s="7"/>
      <c r="NS43" s="7"/>
      <c r="NT43" s="7"/>
      <c r="NU43" s="7"/>
      <c r="NV43" s="7"/>
      <c r="NW43" s="7"/>
      <c r="NX43" s="7"/>
      <c r="NY43" s="7"/>
      <c r="NZ43" s="7"/>
      <c r="OA43" s="7"/>
      <c r="OB43" s="7"/>
      <c r="OC43" s="7"/>
      <c r="OD43" s="7"/>
      <c r="OE43" s="7"/>
      <c r="OF43" s="7"/>
      <c r="OG43" s="7"/>
      <c r="OH43" s="7"/>
      <c r="OI43" s="7"/>
      <c r="OJ43" s="7"/>
      <c r="OK43" s="7"/>
      <c r="OL43" s="7"/>
      <c r="OM43" s="7"/>
      <c r="ON43" s="7"/>
      <c r="OO43" s="7"/>
      <c r="OP43" s="7"/>
      <c r="OQ43" s="7"/>
      <c r="OR43" s="7"/>
      <c r="OS43" s="7"/>
      <c r="OT43" s="7"/>
      <c r="OU43" s="7"/>
      <c r="OV43" s="7"/>
      <c r="OW43" s="7"/>
      <c r="OX43" s="7"/>
      <c r="OY43" s="7"/>
      <c r="OZ43" s="7"/>
      <c r="PA43" s="7"/>
      <c r="PB43" s="7"/>
      <c r="PC43" s="7"/>
      <c r="PD43" s="7"/>
      <c r="PE43" s="7"/>
      <c r="PF43" s="7"/>
      <c r="PG43" s="7"/>
      <c r="PH43" s="7"/>
      <c r="PI43" s="7"/>
      <c r="PJ43" s="7"/>
      <c r="PK43" s="7"/>
    </row>
    <row r="44" spans="10:427" ht="12" customHeight="1">
      <c r="J44" s="7"/>
      <c r="L44" s="7"/>
      <c r="N44" s="7"/>
      <c r="P44" s="7"/>
      <c r="Q44" s="7"/>
      <c r="R44" s="7"/>
      <c r="DN44" s="7"/>
      <c r="DO44" s="7"/>
      <c r="DP44" s="7"/>
      <c r="DQ44" s="7"/>
      <c r="DR44" s="7"/>
      <c r="DS44" s="7"/>
      <c r="DT44" s="7"/>
      <c r="DU44" s="7"/>
      <c r="DV44" s="7"/>
      <c r="DW44" s="7"/>
      <c r="DX44" s="7"/>
      <c r="DY44" s="7"/>
      <c r="DZ44" s="7"/>
      <c r="EA44" s="7"/>
      <c r="EB44" s="7"/>
      <c r="EC44" s="7"/>
      <c r="ED44" s="7"/>
      <c r="EE44" s="7"/>
      <c r="EF44" s="7"/>
      <c r="EG44" s="7"/>
      <c r="EH44" s="7"/>
      <c r="EI44" s="7"/>
      <c r="EJ44" s="7"/>
      <c r="EK44" s="7"/>
      <c r="EL44" s="7"/>
      <c r="EM44" s="7"/>
      <c r="EN44" s="7"/>
      <c r="EO44" s="7"/>
      <c r="EP44" s="7"/>
      <c r="EQ44" s="7"/>
      <c r="ER44" s="7"/>
      <c r="ES44" s="7"/>
      <c r="ET44" s="7"/>
      <c r="EU44" s="7"/>
      <c r="EV44" s="7"/>
      <c r="EW44" s="7"/>
      <c r="EX44" s="7"/>
      <c r="EY44" s="7"/>
      <c r="EZ44" s="7"/>
      <c r="FA44" s="7"/>
      <c r="FB44" s="7"/>
      <c r="FC44" s="7"/>
      <c r="FD44" s="7"/>
      <c r="FE44" s="7"/>
      <c r="FF44" s="7"/>
      <c r="FG44" s="7"/>
      <c r="FH44" s="7"/>
      <c r="FI44" s="7"/>
      <c r="FJ44" s="7"/>
      <c r="FK44" s="7"/>
      <c r="FL44" s="7"/>
      <c r="FM44" s="7"/>
      <c r="FN44" s="7"/>
      <c r="FO44" s="7"/>
      <c r="FP44" s="7"/>
      <c r="FQ44" s="7"/>
      <c r="FR44" s="7"/>
      <c r="FS44" s="7"/>
      <c r="FT44" s="7"/>
      <c r="FU44" s="7"/>
      <c r="FV44" s="7"/>
      <c r="FW44" s="7"/>
      <c r="FX44" s="7"/>
      <c r="FY44" s="7"/>
      <c r="FZ44" s="7"/>
      <c r="GA44" s="7"/>
      <c r="GB44" s="7"/>
      <c r="GC44" s="7"/>
      <c r="GD44" s="7"/>
      <c r="GE44" s="7"/>
      <c r="GF44" s="7"/>
      <c r="GG44" s="7"/>
      <c r="GH44" s="7"/>
      <c r="GI44" s="7"/>
      <c r="GJ44" s="7"/>
      <c r="GK44" s="7"/>
      <c r="GL44" s="7"/>
      <c r="GM44" s="7"/>
      <c r="GN44" s="7"/>
      <c r="GO44" s="7"/>
      <c r="GP44" s="7"/>
      <c r="GQ44" s="7"/>
      <c r="GR44" s="7"/>
      <c r="GS44" s="7"/>
      <c r="GT44" s="7"/>
      <c r="GU44" s="7"/>
      <c r="GV44" s="7"/>
      <c r="GW44" s="7"/>
      <c r="GX44" s="7"/>
      <c r="GY44" s="7"/>
      <c r="GZ44" s="7"/>
      <c r="HA44" s="7"/>
      <c r="HB44" s="7"/>
      <c r="HC44" s="7"/>
      <c r="HD44" s="7"/>
      <c r="HE44" s="7"/>
      <c r="HF44" s="7"/>
      <c r="HG44" s="7"/>
      <c r="HH44" s="7"/>
      <c r="HI44" s="7"/>
      <c r="HJ44" s="7"/>
      <c r="HK44" s="7"/>
      <c r="HL44" s="7"/>
      <c r="HM44" s="7"/>
      <c r="HN44" s="7"/>
      <c r="HO44" s="7"/>
      <c r="HP44" s="7"/>
      <c r="HQ44" s="7"/>
      <c r="HR44" s="7"/>
      <c r="HS44" s="7"/>
      <c r="HT44" s="7"/>
      <c r="HU44" s="7"/>
      <c r="HV44" s="7"/>
      <c r="HW44" s="7"/>
      <c r="HX44" s="7"/>
      <c r="HY44" s="7"/>
      <c r="HZ44" s="7"/>
      <c r="IA44" s="7"/>
      <c r="IB44" s="7"/>
      <c r="IC44" s="7"/>
      <c r="ID44" s="7"/>
      <c r="IE44" s="7"/>
      <c r="IF44" s="7"/>
      <c r="IG44" s="7"/>
      <c r="IH44" s="7"/>
      <c r="II44" s="7"/>
      <c r="IJ44" s="7"/>
      <c r="IK44" s="7"/>
      <c r="IL44" s="7"/>
      <c r="IM44" s="7"/>
      <c r="IN44" s="7"/>
      <c r="IO44" s="7"/>
      <c r="IP44" s="7"/>
      <c r="IQ44" s="7"/>
      <c r="IR44" s="7"/>
      <c r="IS44" s="7"/>
      <c r="IT44" s="7"/>
      <c r="IU44" s="7"/>
      <c r="IV44" s="7"/>
      <c r="IW44" s="7"/>
      <c r="IX44" s="7"/>
      <c r="IY44" s="7"/>
      <c r="IZ44" s="7"/>
      <c r="JA44" s="7"/>
      <c r="JB44" s="7"/>
      <c r="JC44" s="7"/>
      <c r="JD44" s="7"/>
      <c r="JE44" s="7"/>
      <c r="JF44" s="7"/>
      <c r="JG44" s="7"/>
      <c r="JH44" s="7"/>
      <c r="JI44" s="7"/>
      <c r="JJ44" s="7"/>
      <c r="JK44" s="7"/>
      <c r="JL44" s="7"/>
      <c r="JM44" s="7"/>
      <c r="JN44" s="7"/>
      <c r="JO44" s="7"/>
      <c r="JP44" s="7"/>
      <c r="JQ44" s="7"/>
      <c r="JR44" s="7"/>
      <c r="JS44" s="7"/>
      <c r="JT44" s="7"/>
      <c r="JU44" s="7"/>
      <c r="JV44" s="7"/>
      <c r="JW44" s="7"/>
      <c r="JX44" s="7"/>
      <c r="JY44" s="7"/>
      <c r="JZ44" s="7"/>
      <c r="KA44" s="7"/>
      <c r="KB44" s="7"/>
      <c r="KC44" s="7"/>
      <c r="KD44" s="7"/>
      <c r="KE44" s="7"/>
      <c r="KF44" s="7"/>
      <c r="KG44" s="7"/>
      <c r="KH44" s="7"/>
      <c r="KI44" s="7"/>
      <c r="KJ44" s="7"/>
      <c r="KK44" s="7"/>
      <c r="KL44" s="7"/>
      <c r="KM44" s="7"/>
      <c r="KN44" s="7"/>
      <c r="KO44" s="7"/>
      <c r="KP44" s="7"/>
      <c r="KQ44" s="7"/>
      <c r="KR44" s="7"/>
      <c r="KS44" s="7"/>
      <c r="KT44" s="7"/>
      <c r="KU44" s="7"/>
      <c r="KV44" s="7"/>
      <c r="KW44" s="7"/>
      <c r="KX44" s="7"/>
      <c r="KY44" s="7"/>
      <c r="KZ44" s="7"/>
      <c r="LA44" s="7"/>
      <c r="LB44" s="7"/>
      <c r="LC44" s="7"/>
      <c r="LD44" s="7"/>
      <c r="LE44" s="7"/>
      <c r="LF44" s="7"/>
      <c r="LG44" s="7"/>
      <c r="LH44" s="7"/>
      <c r="LI44" s="7"/>
      <c r="LJ44" s="7"/>
      <c r="LK44" s="7"/>
      <c r="LL44" s="7"/>
      <c r="LM44" s="7"/>
      <c r="LN44" s="7"/>
      <c r="LO44" s="7"/>
      <c r="LP44" s="7"/>
      <c r="LQ44" s="7"/>
      <c r="LR44" s="7"/>
      <c r="LS44" s="7"/>
      <c r="LT44" s="7"/>
      <c r="LU44" s="7"/>
      <c r="LV44" s="7"/>
      <c r="LW44" s="7"/>
      <c r="LX44" s="7"/>
      <c r="LY44" s="7"/>
      <c r="LZ44" s="7"/>
      <c r="MA44" s="7"/>
      <c r="MB44" s="7"/>
      <c r="MC44" s="7"/>
      <c r="MD44" s="7"/>
      <c r="ME44" s="7"/>
      <c r="MF44" s="7"/>
      <c r="MG44" s="7"/>
      <c r="MH44" s="7"/>
      <c r="MJ44" s="7"/>
      <c r="MK44" s="7"/>
      <c r="ML44" s="7"/>
      <c r="MM44" s="7"/>
      <c r="MN44" s="7"/>
      <c r="MO44" s="7"/>
      <c r="MP44" s="7"/>
      <c r="MQ44" s="7"/>
      <c r="MR44" s="7"/>
      <c r="MS44" s="7"/>
      <c r="MT44" s="7"/>
      <c r="MU44" s="7"/>
      <c r="MV44" s="7"/>
      <c r="MW44" s="7"/>
      <c r="MX44" s="7"/>
      <c r="MY44" s="7"/>
      <c r="MZ44" s="7"/>
      <c r="NA44" s="7"/>
      <c r="NB44" s="7"/>
      <c r="NC44" s="7"/>
      <c r="ND44" s="7"/>
      <c r="NE44" s="7"/>
      <c r="NF44" s="7"/>
      <c r="NG44" s="7"/>
      <c r="NH44" s="7"/>
      <c r="NI44" s="7"/>
      <c r="NJ44" s="7"/>
      <c r="NK44" s="7"/>
      <c r="NL44" s="7"/>
      <c r="NM44" s="7"/>
      <c r="NN44" s="7"/>
      <c r="NO44" s="7"/>
      <c r="NP44" s="7"/>
      <c r="NQ44" s="7"/>
      <c r="NR44" s="7"/>
      <c r="NS44" s="7"/>
      <c r="NT44" s="7"/>
      <c r="NU44" s="7"/>
      <c r="NV44" s="7"/>
      <c r="NW44" s="7"/>
      <c r="NX44" s="7"/>
      <c r="NY44" s="7"/>
      <c r="NZ44" s="7"/>
      <c r="OA44" s="7"/>
      <c r="OB44" s="7"/>
      <c r="OC44" s="7"/>
      <c r="OD44" s="7"/>
      <c r="OE44" s="7"/>
      <c r="OF44" s="7"/>
      <c r="OG44" s="7"/>
      <c r="OH44" s="7"/>
      <c r="OI44" s="7"/>
      <c r="OJ44" s="7"/>
      <c r="OK44" s="7"/>
      <c r="OL44" s="7"/>
      <c r="OM44" s="7"/>
      <c r="ON44" s="7"/>
      <c r="OO44" s="7"/>
      <c r="OP44" s="7"/>
      <c r="OQ44" s="7"/>
      <c r="OR44" s="7"/>
      <c r="OS44" s="7"/>
      <c r="OT44" s="7"/>
      <c r="OU44" s="7"/>
      <c r="OV44" s="7"/>
      <c r="OW44" s="7"/>
      <c r="OX44" s="7"/>
      <c r="OY44" s="7"/>
      <c r="OZ44" s="7"/>
      <c r="PA44" s="7"/>
      <c r="PB44" s="7"/>
      <c r="PC44" s="7"/>
      <c r="PD44" s="7"/>
      <c r="PE44" s="7"/>
      <c r="PF44" s="7"/>
      <c r="PG44" s="7"/>
      <c r="PH44" s="7"/>
      <c r="PI44" s="7"/>
      <c r="PJ44" s="7"/>
      <c r="PK44" s="7"/>
    </row>
    <row r="45" spans="10:427" ht="12" customHeight="1">
      <c r="J45" s="7"/>
      <c r="L45" s="7"/>
      <c r="N45" s="7"/>
      <c r="P45" s="7"/>
      <c r="Q45" s="7"/>
      <c r="R45" s="7"/>
      <c r="DN45" s="7"/>
      <c r="DO45" s="7"/>
      <c r="DP45" s="7"/>
      <c r="DQ45" s="7"/>
      <c r="DR45" s="7"/>
      <c r="DS45" s="7"/>
      <c r="DT45" s="7"/>
      <c r="DU45" s="7"/>
      <c r="DV45" s="7"/>
      <c r="DW45" s="7"/>
      <c r="DX45" s="7"/>
      <c r="DY45" s="7"/>
      <c r="DZ45" s="7"/>
      <c r="EA45" s="7"/>
      <c r="EB45" s="7"/>
      <c r="EC45" s="7"/>
      <c r="ED45" s="7"/>
      <c r="EE45" s="7"/>
      <c r="EF45" s="7"/>
      <c r="EG45" s="7"/>
      <c r="EH45" s="7"/>
      <c r="EI45" s="7"/>
      <c r="EJ45" s="7"/>
      <c r="EK45" s="7"/>
      <c r="EL45" s="7"/>
      <c r="EM45" s="7"/>
      <c r="EN45" s="7"/>
      <c r="EO45" s="7"/>
      <c r="EP45" s="7"/>
      <c r="EQ45" s="7"/>
      <c r="ER45" s="7"/>
      <c r="ES45" s="7"/>
      <c r="ET45" s="7"/>
      <c r="EU45" s="7"/>
      <c r="EV45" s="7"/>
      <c r="EW45" s="7"/>
      <c r="EX45" s="7"/>
      <c r="EY45" s="7"/>
      <c r="EZ45" s="7"/>
      <c r="FA45" s="7"/>
      <c r="FB45" s="7"/>
      <c r="FC45" s="7"/>
      <c r="FD45" s="7"/>
      <c r="FE45" s="7"/>
      <c r="FF45" s="7"/>
      <c r="FG45" s="7"/>
      <c r="FH45" s="7"/>
      <c r="FI45" s="7"/>
      <c r="FJ45" s="7"/>
      <c r="FK45" s="7"/>
      <c r="FL45" s="7"/>
      <c r="FM45" s="7"/>
      <c r="FN45" s="7"/>
      <c r="FO45" s="7"/>
      <c r="FP45" s="7"/>
      <c r="FQ45" s="7"/>
      <c r="FR45" s="7"/>
      <c r="FS45" s="7"/>
      <c r="FT45" s="7"/>
      <c r="FU45" s="7"/>
      <c r="FV45" s="7"/>
      <c r="FW45" s="7"/>
      <c r="FX45" s="7"/>
      <c r="FY45" s="7"/>
      <c r="FZ45" s="7"/>
      <c r="GA45" s="7"/>
      <c r="GB45" s="7"/>
      <c r="GC45" s="7"/>
      <c r="GD45" s="7"/>
      <c r="GE45" s="7"/>
      <c r="GF45" s="7"/>
      <c r="GG45" s="7"/>
      <c r="GH45" s="7"/>
      <c r="GI45" s="7"/>
      <c r="GJ45" s="7"/>
      <c r="GK45" s="7"/>
      <c r="GL45" s="7"/>
      <c r="GM45" s="7"/>
      <c r="GN45" s="7"/>
      <c r="GO45" s="7"/>
      <c r="GP45" s="7"/>
      <c r="GQ45" s="7"/>
      <c r="GR45" s="7"/>
      <c r="GS45" s="7"/>
      <c r="GT45" s="7"/>
      <c r="GU45" s="7"/>
      <c r="GV45" s="7"/>
      <c r="GW45" s="7"/>
      <c r="GX45" s="7"/>
      <c r="GY45" s="7"/>
      <c r="GZ45" s="7"/>
      <c r="HA45" s="7"/>
      <c r="HB45" s="7"/>
      <c r="HC45" s="7"/>
      <c r="HD45" s="7"/>
      <c r="HE45" s="7"/>
      <c r="HF45" s="7"/>
      <c r="HG45" s="7"/>
      <c r="HH45" s="7"/>
      <c r="HI45" s="7"/>
      <c r="HJ45" s="7"/>
      <c r="HK45" s="7"/>
      <c r="HL45" s="7"/>
      <c r="HM45" s="7"/>
      <c r="HN45" s="7"/>
      <c r="HO45" s="7"/>
      <c r="HP45" s="7"/>
      <c r="HQ45" s="7"/>
      <c r="HR45" s="7"/>
      <c r="HS45" s="7"/>
      <c r="HT45" s="7"/>
      <c r="HU45" s="7"/>
      <c r="HV45" s="7"/>
      <c r="HW45" s="7"/>
      <c r="HX45" s="7"/>
      <c r="HY45" s="7"/>
      <c r="HZ45" s="7"/>
      <c r="IA45" s="7"/>
      <c r="IB45" s="7"/>
      <c r="IC45" s="7"/>
      <c r="ID45" s="7"/>
      <c r="IE45" s="7"/>
      <c r="IF45" s="7"/>
      <c r="IG45" s="7"/>
      <c r="IH45" s="7"/>
      <c r="II45" s="7"/>
      <c r="IJ45" s="7"/>
      <c r="IK45" s="7"/>
      <c r="IL45" s="7"/>
      <c r="IM45" s="7"/>
      <c r="IN45" s="7"/>
      <c r="IO45" s="7"/>
      <c r="IP45" s="7"/>
      <c r="IQ45" s="7"/>
      <c r="IR45" s="7"/>
      <c r="IS45" s="7"/>
      <c r="IT45" s="7"/>
      <c r="IU45" s="7"/>
      <c r="IV45" s="7"/>
      <c r="IW45" s="7"/>
      <c r="IX45" s="7"/>
      <c r="IY45" s="7"/>
      <c r="IZ45" s="7"/>
      <c r="JA45" s="7"/>
      <c r="JB45" s="7"/>
      <c r="JC45" s="7"/>
      <c r="JD45" s="7"/>
      <c r="JE45" s="7"/>
      <c r="JF45" s="7"/>
      <c r="JG45" s="7"/>
      <c r="JH45" s="7"/>
      <c r="JI45" s="7"/>
      <c r="JJ45" s="7"/>
      <c r="JK45" s="7"/>
      <c r="JL45" s="7"/>
      <c r="JM45" s="7"/>
      <c r="JN45" s="7"/>
      <c r="JO45" s="7"/>
      <c r="JP45" s="7"/>
      <c r="JQ45" s="7"/>
      <c r="JR45" s="7"/>
      <c r="JS45" s="7"/>
      <c r="JT45" s="7"/>
      <c r="JU45" s="7"/>
      <c r="JV45" s="7"/>
      <c r="JW45" s="7"/>
      <c r="JX45" s="7"/>
      <c r="JY45" s="7"/>
      <c r="JZ45" s="7"/>
      <c r="KA45" s="7"/>
      <c r="KB45" s="7"/>
      <c r="KC45" s="7"/>
      <c r="KD45" s="7"/>
      <c r="KE45" s="7"/>
      <c r="KF45" s="7"/>
      <c r="KG45" s="7"/>
      <c r="KH45" s="7"/>
      <c r="KI45" s="7"/>
      <c r="KJ45" s="7"/>
      <c r="KK45" s="7"/>
      <c r="KL45" s="7"/>
      <c r="KM45" s="7"/>
      <c r="KN45" s="7"/>
      <c r="KO45" s="7"/>
      <c r="KP45" s="7"/>
      <c r="KQ45" s="7"/>
      <c r="KR45" s="7"/>
      <c r="KS45" s="7"/>
      <c r="KT45" s="7"/>
      <c r="KU45" s="7"/>
      <c r="KV45" s="7"/>
      <c r="KW45" s="7"/>
      <c r="KX45" s="7"/>
      <c r="KY45" s="7"/>
      <c r="KZ45" s="7"/>
      <c r="LA45" s="7"/>
      <c r="LB45" s="7"/>
      <c r="LC45" s="7"/>
      <c r="LD45" s="7"/>
      <c r="LE45" s="7"/>
      <c r="LF45" s="7"/>
      <c r="LG45" s="7"/>
      <c r="LH45" s="7"/>
      <c r="LI45" s="7"/>
      <c r="LJ45" s="7"/>
      <c r="LK45" s="7"/>
      <c r="LL45" s="7"/>
      <c r="LM45" s="7"/>
      <c r="LN45" s="7"/>
      <c r="LO45" s="7"/>
      <c r="LP45" s="7"/>
      <c r="LQ45" s="7"/>
      <c r="LR45" s="7"/>
      <c r="LS45" s="7"/>
      <c r="LT45" s="7"/>
      <c r="LU45" s="7"/>
      <c r="LV45" s="7"/>
      <c r="LW45" s="7"/>
      <c r="LX45" s="7"/>
      <c r="LY45" s="7"/>
      <c r="LZ45" s="7"/>
      <c r="MA45" s="7"/>
      <c r="MB45" s="7"/>
      <c r="MC45" s="7"/>
      <c r="MD45" s="7"/>
      <c r="ME45" s="7"/>
      <c r="MF45" s="7"/>
      <c r="MG45" s="7"/>
      <c r="MH45" s="7"/>
      <c r="MJ45" s="7"/>
      <c r="MK45" s="7"/>
      <c r="ML45" s="7"/>
      <c r="MM45" s="7"/>
      <c r="MN45" s="7"/>
      <c r="MO45" s="7"/>
      <c r="MP45" s="7"/>
      <c r="MQ45" s="7"/>
      <c r="MR45" s="7"/>
      <c r="MS45" s="7"/>
      <c r="MT45" s="7"/>
      <c r="MU45" s="7"/>
      <c r="MV45" s="7"/>
      <c r="MW45" s="7"/>
      <c r="MX45" s="7"/>
      <c r="MY45" s="7"/>
      <c r="MZ45" s="7"/>
      <c r="NA45" s="7"/>
      <c r="NB45" s="7"/>
      <c r="NC45" s="7"/>
      <c r="ND45" s="7"/>
      <c r="NE45" s="7"/>
      <c r="NF45" s="7"/>
      <c r="NG45" s="7"/>
      <c r="NH45" s="7"/>
      <c r="NI45" s="7"/>
      <c r="NJ45" s="7"/>
      <c r="NK45" s="7"/>
      <c r="NL45" s="7"/>
      <c r="NM45" s="7"/>
      <c r="NN45" s="7"/>
      <c r="NO45" s="7"/>
      <c r="NP45" s="7"/>
      <c r="NQ45" s="7"/>
      <c r="NR45" s="7"/>
      <c r="NS45" s="7"/>
      <c r="NT45" s="7"/>
      <c r="NU45" s="7"/>
      <c r="NV45" s="7"/>
      <c r="NW45" s="7"/>
      <c r="NX45" s="7"/>
      <c r="NY45" s="7"/>
      <c r="NZ45" s="7"/>
      <c r="OA45" s="7"/>
      <c r="OB45" s="7"/>
      <c r="OC45" s="7"/>
      <c r="OD45" s="7"/>
      <c r="OE45" s="7"/>
      <c r="OF45" s="7"/>
      <c r="OG45" s="7"/>
      <c r="OH45" s="7"/>
      <c r="OI45" s="7"/>
      <c r="OJ45" s="7"/>
      <c r="OK45" s="7"/>
      <c r="OL45" s="7"/>
      <c r="OM45" s="7"/>
      <c r="ON45" s="7"/>
      <c r="OO45" s="7"/>
      <c r="OP45" s="7"/>
      <c r="OQ45" s="7"/>
      <c r="OR45" s="7"/>
      <c r="OS45" s="7"/>
      <c r="OT45" s="7"/>
      <c r="OU45" s="7"/>
      <c r="OV45" s="7"/>
      <c r="OW45" s="7"/>
      <c r="OX45" s="7"/>
      <c r="OY45" s="7"/>
      <c r="OZ45" s="7"/>
      <c r="PA45" s="7"/>
      <c r="PB45" s="7"/>
      <c r="PC45" s="7"/>
      <c r="PD45" s="7"/>
      <c r="PE45" s="7"/>
      <c r="PF45" s="7"/>
      <c r="PG45" s="7"/>
      <c r="PH45" s="7"/>
      <c r="PI45" s="7"/>
      <c r="PJ45" s="7"/>
      <c r="PK45" s="7"/>
    </row>
    <row r="46" spans="10:427" ht="12" customHeight="1">
      <c r="J46" s="7"/>
      <c r="L46" s="7"/>
      <c r="N46" s="7"/>
      <c r="P46" s="7"/>
      <c r="Q46" s="7"/>
      <c r="R46" s="7"/>
      <c r="DN46" s="7"/>
      <c r="DO46" s="7"/>
      <c r="DP46" s="7"/>
      <c r="DQ46" s="7"/>
      <c r="DR46" s="7"/>
      <c r="DS46" s="7"/>
      <c r="DT46" s="7"/>
      <c r="DU46" s="7"/>
      <c r="DV46" s="7"/>
      <c r="DW46" s="7"/>
      <c r="DX46" s="7"/>
      <c r="DY46" s="7"/>
      <c r="DZ46" s="7"/>
      <c r="EA46" s="7"/>
      <c r="EB46" s="7"/>
      <c r="EC46" s="7"/>
      <c r="ED46" s="7"/>
      <c r="EE46" s="7"/>
      <c r="EF46" s="7"/>
      <c r="EG46" s="7"/>
      <c r="EH46" s="7"/>
      <c r="EI46" s="7"/>
      <c r="EJ46" s="7"/>
      <c r="EK46" s="7"/>
      <c r="EL46" s="7"/>
      <c r="EM46" s="7"/>
      <c r="EN46" s="7"/>
      <c r="EO46" s="7"/>
      <c r="EP46" s="7"/>
      <c r="EQ46" s="7"/>
      <c r="ER46" s="7"/>
      <c r="ES46" s="7"/>
      <c r="ET46" s="7"/>
      <c r="EU46" s="7"/>
      <c r="EV46" s="7"/>
      <c r="EW46" s="7"/>
      <c r="EX46" s="7"/>
      <c r="EY46" s="7"/>
      <c r="EZ46" s="7"/>
      <c r="FA46" s="7"/>
      <c r="FB46" s="7"/>
      <c r="FC46" s="7"/>
      <c r="FD46" s="7"/>
      <c r="FE46" s="7"/>
      <c r="FF46" s="7"/>
      <c r="FG46" s="7"/>
      <c r="FH46" s="7"/>
      <c r="FI46" s="7"/>
      <c r="FJ46" s="7"/>
      <c r="FK46" s="7"/>
      <c r="FL46" s="7"/>
      <c r="FM46" s="7"/>
      <c r="FN46" s="7"/>
      <c r="FO46" s="7"/>
      <c r="FP46" s="7"/>
      <c r="FQ46" s="7"/>
      <c r="FR46" s="7"/>
      <c r="FS46" s="7"/>
      <c r="FT46" s="7"/>
      <c r="FU46" s="7"/>
      <c r="FV46" s="7"/>
      <c r="FW46" s="7"/>
      <c r="FX46" s="7"/>
      <c r="FY46" s="7"/>
      <c r="FZ46" s="7"/>
      <c r="GA46" s="7"/>
      <c r="GB46" s="7"/>
      <c r="GC46" s="7"/>
      <c r="GD46" s="7"/>
      <c r="GE46" s="7"/>
      <c r="GF46" s="7"/>
      <c r="GG46" s="7"/>
      <c r="GH46" s="7"/>
      <c r="GI46" s="7"/>
      <c r="GJ46" s="7"/>
      <c r="GK46" s="7"/>
      <c r="GL46" s="7"/>
      <c r="GM46" s="7"/>
      <c r="GN46" s="7"/>
      <c r="GO46" s="7"/>
      <c r="GP46" s="7"/>
      <c r="GQ46" s="7"/>
      <c r="GR46" s="7"/>
      <c r="GS46" s="7"/>
      <c r="GT46" s="7"/>
      <c r="GU46" s="7"/>
      <c r="GV46" s="7"/>
      <c r="GW46" s="7"/>
      <c r="GX46" s="7"/>
      <c r="GY46" s="7"/>
      <c r="GZ46" s="7"/>
      <c r="HA46" s="7"/>
      <c r="HB46" s="7"/>
      <c r="HC46" s="7"/>
      <c r="HD46" s="7"/>
      <c r="HE46" s="7"/>
      <c r="HF46" s="7"/>
      <c r="HG46" s="7"/>
      <c r="HH46" s="7"/>
      <c r="HI46" s="7"/>
      <c r="HJ46" s="7"/>
      <c r="HK46" s="7"/>
      <c r="HL46" s="7"/>
      <c r="HM46" s="7"/>
      <c r="HN46" s="7"/>
      <c r="HO46" s="7"/>
      <c r="HP46" s="7"/>
      <c r="HQ46" s="7"/>
      <c r="HR46" s="7"/>
      <c r="HS46" s="7"/>
      <c r="HT46" s="7"/>
      <c r="HU46" s="7"/>
      <c r="HV46" s="7"/>
      <c r="HW46" s="7"/>
      <c r="HX46" s="7"/>
      <c r="HY46" s="7"/>
      <c r="HZ46" s="7"/>
      <c r="IA46" s="7"/>
      <c r="IB46" s="7"/>
      <c r="IC46" s="7"/>
      <c r="ID46" s="7"/>
      <c r="IE46" s="7"/>
      <c r="IF46" s="7"/>
      <c r="IG46" s="7"/>
      <c r="IH46" s="7"/>
      <c r="II46" s="7"/>
      <c r="IJ46" s="7"/>
      <c r="IK46" s="7"/>
      <c r="IL46" s="7"/>
      <c r="IM46" s="7"/>
      <c r="IN46" s="7"/>
      <c r="IO46" s="7"/>
      <c r="IP46" s="7"/>
      <c r="IQ46" s="7"/>
      <c r="IR46" s="7"/>
      <c r="IS46" s="7"/>
      <c r="IT46" s="7"/>
      <c r="IU46" s="7"/>
      <c r="IV46" s="7"/>
      <c r="IW46" s="7"/>
      <c r="IX46" s="7"/>
      <c r="IY46" s="7"/>
      <c r="IZ46" s="7"/>
      <c r="JA46" s="7"/>
      <c r="JB46" s="7"/>
      <c r="JC46" s="7"/>
      <c r="JD46" s="7"/>
      <c r="JE46" s="7"/>
      <c r="JF46" s="7"/>
      <c r="JG46" s="7"/>
      <c r="JH46" s="7"/>
      <c r="JI46" s="7"/>
      <c r="JJ46" s="7"/>
      <c r="JK46" s="7"/>
      <c r="JL46" s="7"/>
      <c r="JM46" s="7"/>
      <c r="JN46" s="7"/>
      <c r="JO46" s="7"/>
      <c r="JP46" s="7"/>
      <c r="JQ46" s="7"/>
      <c r="JR46" s="7"/>
      <c r="JS46" s="7"/>
      <c r="JT46" s="7"/>
      <c r="JU46" s="7"/>
      <c r="JV46" s="7"/>
      <c r="JW46" s="7"/>
      <c r="JX46" s="7"/>
      <c r="JY46" s="7"/>
      <c r="JZ46" s="7"/>
      <c r="KA46" s="7"/>
      <c r="KB46" s="7"/>
      <c r="KC46" s="7"/>
      <c r="KD46" s="7"/>
      <c r="KE46" s="7"/>
      <c r="KF46" s="7"/>
      <c r="KG46" s="7"/>
      <c r="KH46" s="7"/>
      <c r="KI46" s="7"/>
      <c r="KJ46" s="7"/>
      <c r="KK46" s="7"/>
      <c r="KL46" s="7"/>
      <c r="KM46" s="7"/>
      <c r="KN46" s="7"/>
      <c r="KO46" s="7"/>
      <c r="KP46" s="7"/>
      <c r="KQ46" s="7"/>
      <c r="KR46" s="7"/>
      <c r="KS46" s="7"/>
      <c r="KT46" s="7"/>
      <c r="KU46" s="7"/>
      <c r="KV46" s="7"/>
      <c r="KW46" s="7"/>
      <c r="KX46" s="7"/>
      <c r="KY46" s="7"/>
      <c r="KZ46" s="7"/>
      <c r="LA46" s="7"/>
      <c r="LB46" s="7"/>
      <c r="LC46" s="7"/>
      <c r="LD46" s="7"/>
      <c r="LE46" s="7"/>
      <c r="LF46" s="7"/>
      <c r="LG46" s="7"/>
      <c r="LH46" s="7"/>
      <c r="LI46" s="7"/>
      <c r="LJ46" s="7"/>
      <c r="LK46" s="7"/>
      <c r="LL46" s="7"/>
      <c r="LM46" s="7"/>
      <c r="LN46" s="7"/>
      <c r="LO46" s="7"/>
      <c r="LP46" s="7"/>
      <c r="LQ46" s="7"/>
      <c r="LR46" s="7"/>
      <c r="LS46" s="7"/>
      <c r="LT46" s="7"/>
      <c r="LU46" s="7"/>
      <c r="LV46" s="7"/>
      <c r="LW46" s="7"/>
      <c r="LX46" s="7"/>
      <c r="LY46" s="7"/>
      <c r="LZ46" s="7"/>
      <c r="MA46" s="7"/>
      <c r="MB46" s="7"/>
      <c r="MC46" s="7"/>
      <c r="MD46" s="7"/>
      <c r="ME46" s="7"/>
      <c r="MF46" s="7"/>
      <c r="MG46" s="7"/>
      <c r="MH46" s="7"/>
      <c r="MJ46" s="7"/>
      <c r="MK46" s="7"/>
      <c r="ML46" s="7"/>
      <c r="MM46" s="7"/>
      <c r="MN46" s="7"/>
      <c r="MO46" s="7"/>
      <c r="MP46" s="7"/>
      <c r="MQ46" s="7"/>
      <c r="MR46" s="7"/>
      <c r="MS46" s="7"/>
      <c r="MT46" s="7"/>
      <c r="MU46" s="7"/>
      <c r="MV46" s="7"/>
      <c r="MW46" s="7"/>
      <c r="MX46" s="7"/>
      <c r="MY46" s="7"/>
      <c r="MZ46" s="7"/>
      <c r="NA46" s="7"/>
      <c r="NB46" s="7"/>
      <c r="NC46" s="7"/>
      <c r="ND46" s="7"/>
      <c r="NE46" s="7"/>
      <c r="NF46" s="7"/>
      <c r="NG46" s="7"/>
      <c r="NH46" s="7"/>
      <c r="NI46" s="7"/>
      <c r="NJ46" s="7"/>
      <c r="NK46" s="7"/>
      <c r="NL46" s="7"/>
      <c r="NM46" s="7"/>
      <c r="NN46" s="7"/>
      <c r="NO46" s="7"/>
      <c r="NP46" s="7"/>
      <c r="NQ46" s="7"/>
      <c r="NR46" s="7"/>
      <c r="NS46" s="7"/>
      <c r="NT46" s="7"/>
      <c r="NU46" s="7"/>
      <c r="NV46" s="7"/>
      <c r="NW46" s="7"/>
      <c r="NX46" s="7"/>
      <c r="NY46" s="7"/>
      <c r="NZ46" s="7"/>
      <c r="OA46" s="7"/>
      <c r="OB46" s="7"/>
      <c r="OC46" s="7"/>
      <c r="OD46" s="7"/>
      <c r="OE46" s="7"/>
      <c r="OF46" s="7"/>
      <c r="OG46" s="7"/>
      <c r="OH46" s="7"/>
      <c r="OI46" s="7"/>
      <c r="OJ46" s="7"/>
      <c r="OK46" s="7"/>
      <c r="OL46" s="7"/>
      <c r="OM46" s="7"/>
      <c r="ON46" s="7"/>
      <c r="OO46" s="7"/>
      <c r="OP46" s="7"/>
      <c r="OQ46" s="7"/>
      <c r="OR46" s="7"/>
      <c r="OS46" s="7"/>
      <c r="OT46" s="7"/>
      <c r="OU46" s="7"/>
      <c r="OV46" s="7"/>
      <c r="OW46" s="7"/>
      <c r="OX46" s="7"/>
      <c r="OY46" s="7"/>
      <c r="OZ46" s="7"/>
      <c r="PA46" s="7"/>
      <c r="PB46" s="7"/>
      <c r="PC46" s="7"/>
      <c r="PD46" s="7"/>
      <c r="PE46" s="7"/>
      <c r="PF46" s="7"/>
      <c r="PG46" s="7"/>
      <c r="PH46" s="7"/>
      <c r="PI46" s="7"/>
      <c r="PJ46" s="7"/>
      <c r="PK46" s="7"/>
    </row>
    <row r="47" spans="10:427" ht="12" customHeight="1">
      <c r="J47" s="7"/>
      <c r="L47" s="7"/>
      <c r="N47" s="7"/>
      <c r="P47" s="7"/>
      <c r="Q47" s="7"/>
      <c r="R47" s="7"/>
      <c r="DN47" s="7"/>
      <c r="DO47" s="7"/>
      <c r="DP47" s="7"/>
      <c r="DQ47" s="7"/>
      <c r="DR47" s="7"/>
      <c r="DS47" s="7"/>
      <c r="DT47" s="7"/>
      <c r="DU47" s="7"/>
      <c r="DV47" s="7"/>
      <c r="DW47" s="7"/>
      <c r="DX47" s="7"/>
      <c r="DY47" s="7"/>
      <c r="DZ47" s="7"/>
      <c r="EA47" s="7"/>
      <c r="EB47" s="7"/>
      <c r="EC47" s="7"/>
      <c r="ED47" s="7"/>
      <c r="EE47" s="7"/>
      <c r="EF47" s="7"/>
      <c r="EG47" s="7"/>
      <c r="EH47" s="7"/>
      <c r="EI47" s="7"/>
      <c r="EJ47" s="7"/>
      <c r="EK47" s="7"/>
      <c r="EL47" s="7"/>
      <c r="EM47" s="7"/>
      <c r="EN47" s="7"/>
      <c r="EO47" s="7"/>
      <c r="EP47" s="7"/>
      <c r="EQ47" s="7"/>
      <c r="ER47" s="7"/>
      <c r="ES47" s="7"/>
      <c r="ET47" s="7"/>
      <c r="EU47" s="7"/>
      <c r="EV47" s="7"/>
      <c r="EW47" s="7"/>
      <c r="EX47" s="7"/>
      <c r="EY47" s="7"/>
      <c r="EZ47" s="7"/>
      <c r="FA47" s="7"/>
      <c r="FB47" s="7"/>
      <c r="FC47" s="7"/>
      <c r="FD47" s="7"/>
      <c r="FE47" s="7"/>
      <c r="FF47" s="7"/>
      <c r="FG47" s="7"/>
      <c r="FH47" s="7"/>
      <c r="FI47" s="7"/>
      <c r="FJ47" s="7"/>
      <c r="FK47" s="7"/>
      <c r="FL47" s="7"/>
      <c r="FM47" s="7"/>
      <c r="FN47" s="7"/>
      <c r="FO47" s="7"/>
      <c r="FP47" s="7"/>
      <c r="FQ47" s="7"/>
      <c r="FR47" s="7"/>
      <c r="FS47" s="7"/>
      <c r="FT47" s="7"/>
      <c r="FU47" s="7"/>
      <c r="FV47" s="7"/>
      <c r="FW47" s="7"/>
      <c r="FX47" s="7"/>
      <c r="FY47" s="7"/>
      <c r="FZ47" s="7"/>
      <c r="GA47" s="7"/>
      <c r="GB47" s="7"/>
      <c r="GC47" s="7"/>
      <c r="GD47" s="7"/>
      <c r="GE47" s="7"/>
      <c r="GF47" s="7"/>
      <c r="GG47" s="7"/>
      <c r="GH47" s="7"/>
      <c r="GI47" s="7"/>
      <c r="GJ47" s="7"/>
      <c r="GK47" s="7"/>
      <c r="GL47" s="7"/>
      <c r="GM47" s="7"/>
      <c r="GN47" s="7"/>
      <c r="GO47" s="7"/>
      <c r="GP47" s="7"/>
      <c r="GQ47" s="7"/>
      <c r="GR47" s="7"/>
      <c r="GS47" s="7"/>
      <c r="GT47" s="7"/>
      <c r="GU47" s="7"/>
      <c r="GV47" s="7"/>
      <c r="GW47" s="7"/>
      <c r="GX47" s="7"/>
      <c r="GY47" s="7"/>
      <c r="GZ47" s="7"/>
      <c r="HA47" s="7"/>
      <c r="HB47" s="7"/>
      <c r="HC47" s="7"/>
      <c r="HD47" s="7"/>
      <c r="HE47" s="7"/>
      <c r="HF47" s="7"/>
      <c r="HG47" s="7"/>
      <c r="HH47" s="7"/>
      <c r="HI47" s="7"/>
      <c r="HJ47" s="7"/>
      <c r="HK47" s="7"/>
      <c r="HL47" s="7"/>
      <c r="HM47" s="7"/>
      <c r="HN47" s="7"/>
      <c r="HO47" s="7"/>
      <c r="HP47" s="7"/>
      <c r="HQ47" s="7"/>
      <c r="HR47" s="7"/>
      <c r="HS47" s="7"/>
      <c r="HT47" s="7"/>
      <c r="HU47" s="7"/>
      <c r="HV47" s="7"/>
      <c r="HW47" s="7"/>
      <c r="HX47" s="7"/>
      <c r="HY47" s="7"/>
      <c r="HZ47" s="7"/>
      <c r="IA47" s="7"/>
      <c r="IB47" s="7"/>
      <c r="IC47" s="7"/>
      <c r="ID47" s="7"/>
      <c r="IE47" s="7"/>
      <c r="IF47" s="7"/>
      <c r="IG47" s="7"/>
      <c r="IH47" s="7"/>
      <c r="II47" s="7"/>
      <c r="IJ47" s="7"/>
      <c r="IK47" s="7"/>
      <c r="IL47" s="7"/>
      <c r="IM47" s="7"/>
      <c r="IN47" s="7"/>
      <c r="IO47" s="7"/>
      <c r="IP47" s="7"/>
      <c r="IQ47" s="7"/>
      <c r="IR47" s="7"/>
      <c r="IS47" s="7"/>
      <c r="IT47" s="7"/>
      <c r="IU47" s="7"/>
      <c r="IV47" s="7"/>
      <c r="IW47" s="7"/>
      <c r="IX47" s="7"/>
      <c r="IY47" s="7"/>
      <c r="IZ47" s="7"/>
      <c r="JA47" s="7"/>
      <c r="JB47" s="7"/>
      <c r="JC47" s="7"/>
      <c r="JD47" s="7"/>
      <c r="JE47" s="7"/>
      <c r="JF47" s="7"/>
      <c r="JG47" s="7"/>
      <c r="JH47" s="7"/>
      <c r="JI47" s="7"/>
      <c r="JJ47" s="7"/>
      <c r="JK47" s="7"/>
      <c r="JL47" s="7"/>
      <c r="JM47" s="7"/>
      <c r="JN47" s="7"/>
      <c r="JO47" s="7"/>
      <c r="JP47" s="7"/>
      <c r="JQ47" s="7"/>
      <c r="JR47" s="7"/>
      <c r="JS47" s="7"/>
      <c r="JT47" s="7"/>
      <c r="JU47" s="7"/>
      <c r="JV47" s="7"/>
      <c r="JW47" s="7"/>
      <c r="JX47" s="7"/>
      <c r="JY47" s="7"/>
      <c r="JZ47" s="7"/>
      <c r="KA47" s="7"/>
      <c r="KB47" s="7"/>
      <c r="KC47" s="7"/>
      <c r="KD47" s="7"/>
      <c r="KE47" s="7"/>
      <c r="KF47" s="7"/>
      <c r="KG47" s="7"/>
      <c r="KH47" s="7"/>
      <c r="KI47" s="7"/>
      <c r="KJ47" s="7"/>
      <c r="KK47" s="7"/>
      <c r="KL47" s="7"/>
      <c r="KM47" s="7"/>
      <c r="KN47" s="7"/>
      <c r="KO47" s="7"/>
      <c r="KP47" s="7"/>
      <c r="KQ47" s="7"/>
      <c r="KR47" s="7"/>
      <c r="KS47" s="7"/>
      <c r="KT47" s="7"/>
      <c r="KU47" s="7"/>
      <c r="KV47" s="7"/>
      <c r="KW47" s="7"/>
      <c r="KX47" s="7"/>
      <c r="KY47" s="7"/>
      <c r="KZ47" s="7"/>
      <c r="LA47" s="7"/>
      <c r="LB47" s="7"/>
      <c r="LC47" s="7"/>
      <c r="LD47" s="7"/>
      <c r="LE47" s="7"/>
      <c r="LF47" s="7"/>
      <c r="LG47" s="7"/>
      <c r="LH47" s="7"/>
      <c r="LI47" s="7"/>
      <c r="LJ47" s="7"/>
      <c r="LK47" s="7"/>
      <c r="LL47" s="7"/>
      <c r="LM47" s="7"/>
      <c r="LN47" s="7"/>
      <c r="LO47" s="7"/>
      <c r="LP47" s="7"/>
      <c r="LQ47" s="7"/>
      <c r="LR47" s="7"/>
      <c r="LS47" s="7"/>
      <c r="LT47" s="7"/>
      <c r="LU47" s="7"/>
      <c r="LV47" s="7"/>
      <c r="LW47" s="7"/>
      <c r="LX47" s="7"/>
      <c r="LY47" s="7"/>
      <c r="LZ47" s="7"/>
      <c r="MA47" s="7"/>
      <c r="MB47" s="7"/>
      <c r="MC47" s="7"/>
      <c r="MD47" s="7"/>
      <c r="ME47" s="7"/>
      <c r="MF47" s="7"/>
      <c r="MG47" s="7"/>
      <c r="MH47" s="7"/>
      <c r="MJ47" s="7"/>
      <c r="MK47" s="7"/>
      <c r="ML47" s="7"/>
      <c r="MM47" s="7"/>
      <c r="MN47" s="7"/>
      <c r="MO47" s="7"/>
      <c r="MP47" s="7"/>
      <c r="MQ47" s="7"/>
      <c r="MR47" s="7"/>
      <c r="MS47" s="7"/>
      <c r="MT47" s="7"/>
      <c r="MU47" s="7"/>
      <c r="MV47" s="7"/>
      <c r="MW47" s="7"/>
      <c r="MX47" s="7"/>
      <c r="MY47" s="7"/>
      <c r="MZ47" s="7"/>
      <c r="NA47" s="7"/>
      <c r="NB47" s="7"/>
      <c r="NC47" s="7"/>
      <c r="ND47" s="7"/>
      <c r="NE47" s="7"/>
      <c r="NF47" s="7"/>
      <c r="NG47" s="7"/>
      <c r="NH47" s="7"/>
      <c r="NI47" s="7"/>
      <c r="NJ47" s="7"/>
      <c r="NK47" s="7"/>
      <c r="NL47" s="7"/>
      <c r="NM47" s="7"/>
      <c r="NN47" s="7"/>
      <c r="NO47" s="7"/>
      <c r="NP47" s="7"/>
      <c r="NQ47" s="7"/>
      <c r="NR47" s="7"/>
      <c r="NS47" s="7"/>
      <c r="NT47" s="7"/>
      <c r="NU47" s="7"/>
      <c r="NV47" s="7"/>
      <c r="NW47" s="7"/>
      <c r="NX47" s="7"/>
      <c r="NY47" s="7"/>
      <c r="NZ47" s="7"/>
      <c r="OA47" s="7"/>
      <c r="OB47" s="7"/>
      <c r="OC47" s="7"/>
      <c r="OD47" s="7"/>
      <c r="OE47" s="7"/>
      <c r="OF47" s="7"/>
      <c r="OG47" s="7"/>
      <c r="OH47" s="7"/>
      <c r="OI47" s="7"/>
      <c r="OJ47" s="7"/>
      <c r="OK47" s="7"/>
      <c r="OL47" s="7"/>
      <c r="OM47" s="7"/>
      <c r="ON47" s="7"/>
      <c r="OO47" s="7"/>
      <c r="OP47" s="7"/>
      <c r="OQ47" s="7"/>
      <c r="OR47" s="7"/>
      <c r="OS47" s="7"/>
      <c r="OT47" s="7"/>
      <c r="OU47" s="7"/>
      <c r="OV47" s="7"/>
      <c r="OW47" s="7"/>
      <c r="OX47" s="7"/>
      <c r="OY47" s="7"/>
      <c r="OZ47" s="7"/>
      <c r="PA47" s="7"/>
      <c r="PB47" s="7"/>
      <c r="PC47" s="7"/>
      <c r="PD47" s="7"/>
      <c r="PE47" s="7"/>
      <c r="PF47" s="7"/>
      <c r="PG47" s="7"/>
      <c r="PH47" s="7"/>
      <c r="PI47" s="7"/>
      <c r="PJ47" s="7"/>
      <c r="PK47" s="7"/>
    </row>
    <row r="48" spans="10:427" ht="12" customHeight="1">
      <c r="J48" s="7"/>
      <c r="L48" s="7"/>
      <c r="N48" s="7"/>
      <c r="P48" s="7"/>
      <c r="Q48" s="7"/>
      <c r="R48" s="7"/>
      <c r="DN48" s="7"/>
      <c r="DO48" s="7"/>
      <c r="DP48" s="7"/>
      <c r="DQ48" s="7"/>
      <c r="DR48" s="7"/>
      <c r="DS48" s="7"/>
      <c r="DT48" s="7"/>
      <c r="DU48" s="7"/>
      <c r="DV48" s="7"/>
      <c r="DW48" s="7"/>
      <c r="DX48" s="7"/>
      <c r="DY48" s="7"/>
      <c r="DZ48" s="7"/>
      <c r="EA48" s="7"/>
      <c r="EB48" s="7"/>
      <c r="EC48" s="7"/>
      <c r="ED48" s="7"/>
      <c r="EE48" s="7"/>
      <c r="EF48" s="7"/>
      <c r="EG48" s="7"/>
      <c r="EH48" s="7"/>
      <c r="EI48" s="7"/>
      <c r="EJ48" s="7"/>
      <c r="EK48" s="7"/>
      <c r="EL48" s="7"/>
      <c r="EM48" s="7"/>
      <c r="EN48" s="7"/>
      <c r="EO48" s="7"/>
      <c r="EP48" s="7"/>
      <c r="EQ48" s="7"/>
      <c r="ER48" s="7"/>
      <c r="ES48" s="7"/>
      <c r="ET48" s="7"/>
      <c r="EU48" s="7"/>
      <c r="EV48" s="7"/>
      <c r="EW48" s="7"/>
      <c r="EX48" s="7"/>
      <c r="EY48" s="7"/>
      <c r="EZ48" s="7"/>
      <c r="FA48" s="7"/>
      <c r="FB48" s="7"/>
      <c r="FC48" s="7"/>
      <c r="FD48" s="7"/>
      <c r="FE48" s="7"/>
      <c r="FF48" s="7"/>
      <c r="FG48" s="7"/>
      <c r="FH48" s="7"/>
      <c r="FI48" s="7"/>
      <c r="FJ48" s="7"/>
      <c r="FK48" s="7"/>
      <c r="FL48" s="7"/>
      <c r="FM48" s="7"/>
      <c r="FN48" s="7"/>
      <c r="FO48" s="7"/>
      <c r="FP48" s="7"/>
      <c r="FQ48" s="7"/>
      <c r="FR48" s="7"/>
      <c r="FS48" s="7"/>
      <c r="FT48" s="7"/>
      <c r="FU48" s="7"/>
      <c r="FV48" s="7"/>
      <c r="FW48" s="7"/>
      <c r="FX48" s="7"/>
      <c r="FY48" s="7"/>
      <c r="FZ48" s="7"/>
      <c r="GA48" s="7"/>
      <c r="GB48" s="7"/>
      <c r="GC48" s="7"/>
      <c r="GD48" s="7"/>
      <c r="GE48" s="7"/>
      <c r="GF48" s="7"/>
      <c r="GG48" s="7"/>
      <c r="GH48" s="7"/>
      <c r="GI48" s="7"/>
      <c r="GJ48" s="7"/>
      <c r="GK48" s="7"/>
      <c r="GL48" s="7"/>
      <c r="GM48" s="7"/>
      <c r="GN48" s="7"/>
      <c r="GO48" s="7"/>
      <c r="GP48" s="7"/>
      <c r="GQ48" s="7"/>
      <c r="GR48" s="7"/>
      <c r="GS48" s="7"/>
      <c r="GT48" s="7"/>
      <c r="GU48" s="7"/>
      <c r="GV48" s="7"/>
      <c r="GW48" s="7"/>
      <c r="GX48" s="7"/>
      <c r="GY48" s="7"/>
      <c r="GZ48" s="7"/>
      <c r="HA48" s="7"/>
      <c r="HB48" s="7"/>
      <c r="HC48" s="7"/>
      <c r="HD48" s="7"/>
      <c r="HE48" s="7"/>
      <c r="HF48" s="7"/>
      <c r="HG48" s="7"/>
      <c r="HH48" s="7"/>
      <c r="HI48" s="7"/>
      <c r="HJ48" s="7"/>
      <c r="HK48" s="7"/>
      <c r="HL48" s="7"/>
      <c r="HM48" s="7"/>
      <c r="HN48" s="7"/>
      <c r="HO48" s="7"/>
      <c r="HP48" s="7"/>
      <c r="HQ48" s="7"/>
      <c r="HR48" s="7"/>
      <c r="HS48" s="7"/>
      <c r="HT48" s="7"/>
      <c r="HU48" s="7"/>
      <c r="HV48" s="7"/>
      <c r="HW48" s="7"/>
      <c r="HX48" s="7"/>
      <c r="HY48" s="7"/>
      <c r="HZ48" s="7"/>
      <c r="IA48" s="7"/>
      <c r="IB48" s="7"/>
      <c r="IC48" s="7"/>
      <c r="ID48" s="7"/>
      <c r="IE48" s="7"/>
      <c r="IF48" s="7"/>
      <c r="IG48" s="7"/>
      <c r="IH48" s="7"/>
      <c r="II48" s="7"/>
      <c r="IJ48" s="7"/>
      <c r="IK48" s="7"/>
      <c r="IL48" s="7"/>
      <c r="IM48" s="7"/>
      <c r="IN48" s="7"/>
      <c r="IO48" s="7"/>
      <c r="IP48" s="7"/>
      <c r="IQ48" s="7"/>
      <c r="IR48" s="7"/>
      <c r="IS48" s="7"/>
      <c r="IT48" s="7"/>
      <c r="IU48" s="7"/>
      <c r="IV48" s="7"/>
      <c r="IW48" s="7"/>
      <c r="IX48" s="7"/>
      <c r="IY48" s="7"/>
      <c r="IZ48" s="7"/>
      <c r="JA48" s="7"/>
      <c r="JB48" s="7"/>
      <c r="JC48" s="7"/>
      <c r="JD48" s="7"/>
      <c r="JE48" s="7"/>
      <c r="JF48" s="7"/>
      <c r="JG48" s="7"/>
      <c r="JH48" s="7"/>
      <c r="JI48" s="7"/>
      <c r="JJ48" s="7"/>
      <c r="JK48" s="7"/>
      <c r="JL48" s="7"/>
      <c r="JM48" s="7"/>
      <c r="JN48" s="7"/>
      <c r="JO48" s="7"/>
      <c r="JP48" s="7"/>
      <c r="JQ48" s="7"/>
      <c r="JR48" s="7"/>
      <c r="JS48" s="7"/>
      <c r="JT48" s="7"/>
      <c r="JU48" s="7"/>
      <c r="JV48" s="7"/>
      <c r="JW48" s="7"/>
      <c r="JX48" s="7"/>
      <c r="JY48" s="7"/>
      <c r="JZ48" s="7"/>
      <c r="KA48" s="7"/>
      <c r="KB48" s="7"/>
      <c r="KC48" s="7"/>
      <c r="KD48" s="7"/>
      <c r="KE48" s="7"/>
      <c r="KF48" s="7"/>
      <c r="KG48" s="7"/>
      <c r="KH48" s="7"/>
      <c r="KI48" s="7"/>
      <c r="KJ48" s="7"/>
      <c r="KK48" s="7"/>
      <c r="KL48" s="7"/>
      <c r="KM48" s="7"/>
      <c r="KN48" s="7"/>
      <c r="KO48" s="7"/>
      <c r="KP48" s="7"/>
      <c r="KQ48" s="7"/>
      <c r="KR48" s="7"/>
      <c r="KS48" s="7"/>
      <c r="KT48" s="7"/>
      <c r="KU48" s="7"/>
      <c r="KV48" s="7"/>
      <c r="KW48" s="7"/>
      <c r="KX48" s="7"/>
      <c r="KY48" s="7"/>
      <c r="KZ48" s="7"/>
      <c r="LA48" s="7"/>
      <c r="LB48" s="7"/>
      <c r="LC48" s="7"/>
      <c r="LD48" s="7"/>
      <c r="LE48" s="7"/>
      <c r="LF48" s="7"/>
      <c r="LG48" s="7"/>
      <c r="LH48" s="7"/>
      <c r="LI48" s="7"/>
      <c r="LJ48" s="7"/>
      <c r="LK48" s="7"/>
      <c r="LL48" s="7"/>
      <c r="LM48" s="7"/>
      <c r="LN48" s="7"/>
      <c r="LO48" s="7"/>
      <c r="LP48" s="7"/>
      <c r="LQ48" s="7"/>
      <c r="LR48" s="7"/>
      <c r="LS48" s="7"/>
      <c r="LT48" s="7"/>
      <c r="LU48" s="7"/>
      <c r="LV48" s="7"/>
      <c r="LW48" s="7"/>
      <c r="LX48" s="7"/>
      <c r="LY48" s="7"/>
      <c r="LZ48" s="7"/>
      <c r="MA48" s="7"/>
      <c r="MB48" s="7"/>
      <c r="MC48" s="7"/>
      <c r="MD48" s="7"/>
      <c r="ME48" s="7"/>
      <c r="MF48" s="7"/>
      <c r="MG48" s="7"/>
      <c r="MH48" s="7"/>
      <c r="MJ48" s="7"/>
      <c r="MK48" s="7"/>
      <c r="ML48" s="7"/>
      <c r="MM48" s="7"/>
      <c r="MN48" s="7"/>
      <c r="MO48" s="7"/>
      <c r="MP48" s="7"/>
      <c r="MQ48" s="7"/>
      <c r="MR48" s="7"/>
      <c r="MS48" s="7"/>
      <c r="MT48" s="7"/>
      <c r="MU48" s="7"/>
      <c r="MV48" s="7"/>
      <c r="MW48" s="7"/>
      <c r="MX48" s="7"/>
      <c r="MY48" s="7"/>
      <c r="MZ48" s="7"/>
      <c r="NA48" s="7"/>
      <c r="NB48" s="7"/>
      <c r="NC48" s="7"/>
      <c r="ND48" s="7"/>
      <c r="NE48" s="7"/>
      <c r="NF48" s="7"/>
      <c r="NG48" s="7"/>
      <c r="NH48" s="7"/>
      <c r="NI48" s="7"/>
      <c r="NJ48" s="7"/>
      <c r="NK48" s="7"/>
      <c r="NL48" s="7"/>
      <c r="NM48" s="7"/>
      <c r="NN48" s="7"/>
      <c r="NO48" s="7"/>
      <c r="NP48" s="7"/>
      <c r="NQ48" s="7"/>
      <c r="NR48" s="7"/>
      <c r="NS48" s="7"/>
      <c r="NT48" s="7"/>
      <c r="NU48" s="7"/>
      <c r="NV48" s="7"/>
      <c r="NW48" s="7"/>
      <c r="NX48" s="7"/>
      <c r="NY48" s="7"/>
      <c r="NZ48" s="7"/>
      <c r="OA48" s="7"/>
      <c r="OB48" s="7"/>
      <c r="OC48" s="7"/>
      <c r="OD48" s="7"/>
      <c r="OE48" s="7"/>
      <c r="OF48" s="7"/>
      <c r="OG48" s="7"/>
      <c r="OH48" s="7"/>
      <c r="OI48" s="7"/>
      <c r="OJ48" s="7"/>
      <c r="OK48" s="7"/>
      <c r="OL48" s="7"/>
      <c r="OM48" s="7"/>
      <c r="ON48" s="7"/>
      <c r="OO48" s="7"/>
      <c r="OP48" s="7"/>
      <c r="OQ48" s="7"/>
      <c r="OR48" s="7"/>
      <c r="OS48" s="7"/>
      <c r="OT48" s="7"/>
      <c r="OU48" s="7"/>
      <c r="OV48" s="7"/>
      <c r="OW48" s="7"/>
      <c r="OX48" s="7"/>
      <c r="OY48" s="7"/>
      <c r="OZ48" s="7"/>
      <c r="PA48" s="7"/>
      <c r="PB48" s="7"/>
      <c r="PC48" s="7"/>
      <c r="PD48" s="7"/>
      <c r="PE48" s="7"/>
      <c r="PF48" s="7"/>
      <c r="PG48" s="7"/>
      <c r="PH48" s="7"/>
      <c r="PI48" s="7"/>
      <c r="PJ48" s="7"/>
      <c r="PK48" s="7"/>
    </row>
    <row r="49" spans="10:427" ht="12" customHeight="1">
      <c r="J49" s="7"/>
      <c r="L49" s="7"/>
      <c r="N49" s="7"/>
      <c r="P49" s="7"/>
      <c r="Q49" s="7"/>
      <c r="R49" s="7"/>
      <c r="DN49" s="7"/>
      <c r="DO49" s="7"/>
      <c r="DP49" s="7"/>
      <c r="DQ49" s="7"/>
      <c r="DR49" s="7"/>
      <c r="DS49" s="7"/>
      <c r="DT49" s="7"/>
      <c r="DU49" s="7"/>
      <c r="DV49" s="7"/>
      <c r="DW49" s="7"/>
      <c r="DX49" s="7"/>
      <c r="DY49" s="7"/>
      <c r="DZ49" s="7"/>
      <c r="EA49" s="7"/>
      <c r="EB49" s="7"/>
      <c r="EC49" s="7"/>
      <c r="ED49" s="7"/>
      <c r="EE49" s="7"/>
      <c r="EF49" s="7"/>
      <c r="EG49" s="7"/>
      <c r="EH49" s="7"/>
      <c r="EI49" s="7"/>
      <c r="EJ49" s="7"/>
      <c r="EK49" s="7"/>
      <c r="EL49" s="7"/>
      <c r="EM49" s="7"/>
      <c r="EN49" s="7"/>
      <c r="EO49" s="7"/>
      <c r="EP49" s="7"/>
      <c r="EQ49" s="7"/>
      <c r="ER49" s="7"/>
      <c r="ES49" s="7"/>
      <c r="ET49" s="7"/>
      <c r="EU49" s="7"/>
      <c r="EV49" s="7"/>
      <c r="EW49" s="7"/>
      <c r="EX49" s="7"/>
      <c r="EY49" s="7"/>
      <c r="EZ49" s="7"/>
      <c r="FA49" s="7"/>
      <c r="FB49" s="7"/>
      <c r="FC49" s="7"/>
      <c r="FD49" s="7"/>
      <c r="FE49" s="7"/>
      <c r="FF49" s="7"/>
      <c r="FG49" s="7"/>
      <c r="FH49" s="7"/>
      <c r="FI49" s="7"/>
      <c r="FJ49" s="7"/>
      <c r="FK49" s="7"/>
      <c r="FL49" s="7"/>
      <c r="FM49" s="7"/>
      <c r="FN49" s="7"/>
      <c r="FO49" s="7"/>
      <c r="FP49" s="7"/>
      <c r="FQ49" s="7"/>
      <c r="FR49" s="7"/>
      <c r="FS49" s="7"/>
      <c r="FT49" s="7"/>
      <c r="FU49" s="7"/>
      <c r="FV49" s="7"/>
      <c r="FW49" s="7"/>
      <c r="FX49" s="7"/>
      <c r="FY49" s="7"/>
      <c r="FZ49" s="7"/>
      <c r="GA49" s="7"/>
      <c r="GB49" s="7"/>
      <c r="GC49" s="7"/>
      <c r="GD49" s="7"/>
      <c r="GE49" s="7"/>
      <c r="GF49" s="7"/>
      <c r="GG49" s="7"/>
      <c r="GH49" s="7"/>
      <c r="GI49" s="7"/>
      <c r="GJ49" s="7"/>
      <c r="GK49" s="7"/>
      <c r="GL49" s="7"/>
      <c r="GM49" s="7"/>
      <c r="GN49" s="7"/>
      <c r="GO49" s="7"/>
      <c r="GP49" s="7"/>
      <c r="GQ49" s="7"/>
      <c r="GR49" s="7"/>
      <c r="GS49" s="7"/>
      <c r="GT49" s="7"/>
      <c r="GU49" s="7"/>
      <c r="GV49" s="7"/>
      <c r="GW49" s="7"/>
      <c r="GX49" s="7"/>
      <c r="GY49" s="7"/>
      <c r="GZ49" s="7"/>
      <c r="HA49" s="7"/>
      <c r="HB49" s="7"/>
      <c r="HC49" s="7"/>
      <c r="HD49" s="7"/>
      <c r="HE49" s="7"/>
      <c r="HF49" s="7"/>
      <c r="HG49" s="7"/>
      <c r="HH49" s="7"/>
      <c r="HI49" s="7"/>
      <c r="HJ49" s="7"/>
      <c r="HK49" s="7"/>
      <c r="HL49" s="7"/>
      <c r="HM49" s="7"/>
      <c r="HN49" s="7"/>
      <c r="HO49" s="7"/>
      <c r="HP49" s="7"/>
      <c r="HQ49" s="7"/>
      <c r="HR49" s="7"/>
      <c r="HS49" s="7"/>
      <c r="HT49" s="7"/>
      <c r="HU49" s="7"/>
      <c r="HV49" s="7"/>
      <c r="HW49" s="7"/>
      <c r="HX49" s="7"/>
      <c r="HY49" s="7"/>
      <c r="HZ49" s="7"/>
      <c r="IA49" s="7"/>
      <c r="IB49" s="7"/>
      <c r="IC49" s="7"/>
      <c r="ID49" s="7"/>
      <c r="IE49" s="7"/>
      <c r="IF49" s="7"/>
      <c r="IG49" s="7"/>
      <c r="IH49" s="7"/>
      <c r="II49" s="7"/>
      <c r="IJ49" s="7"/>
      <c r="IK49" s="7"/>
      <c r="IL49" s="7"/>
      <c r="IM49" s="7"/>
      <c r="IN49" s="7"/>
      <c r="IO49" s="7"/>
      <c r="IP49" s="7"/>
      <c r="IQ49" s="7"/>
      <c r="IR49" s="7"/>
      <c r="IS49" s="7"/>
      <c r="IT49" s="7"/>
      <c r="IU49" s="7"/>
      <c r="IV49" s="7"/>
      <c r="IW49" s="7"/>
      <c r="IX49" s="7"/>
      <c r="IY49" s="7"/>
      <c r="IZ49" s="7"/>
      <c r="JA49" s="7"/>
      <c r="JB49" s="7"/>
      <c r="JC49" s="7"/>
      <c r="JD49" s="7"/>
      <c r="JE49" s="7"/>
      <c r="JF49" s="7"/>
      <c r="JG49" s="7"/>
      <c r="JH49" s="7"/>
      <c r="JI49" s="7"/>
      <c r="JJ49" s="7"/>
      <c r="JK49" s="7"/>
      <c r="JL49" s="7"/>
      <c r="JM49" s="7"/>
      <c r="JN49" s="7"/>
      <c r="JO49" s="7"/>
      <c r="JP49" s="7"/>
      <c r="JQ49" s="7"/>
      <c r="JR49" s="7"/>
      <c r="JS49" s="7"/>
      <c r="JT49" s="7"/>
      <c r="JU49" s="7"/>
      <c r="JV49" s="7"/>
      <c r="JW49" s="7"/>
      <c r="JX49" s="7"/>
      <c r="JY49" s="7"/>
      <c r="JZ49" s="7"/>
      <c r="KA49" s="7"/>
      <c r="KB49" s="7"/>
      <c r="KC49" s="7"/>
      <c r="KD49" s="7"/>
      <c r="KE49" s="7"/>
      <c r="KF49" s="7"/>
      <c r="KG49" s="7"/>
      <c r="KH49" s="7"/>
      <c r="KI49" s="7"/>
      <c r="KJ49" s="7"/>
      <c r="KK49" s="7"/>
      <c r="KL49" s="7"/>
      <c r="KM49" s="7"/>
      <c r="KN49" s="7"/>
      <c r="KO49" s="7"/>
      <c r="KP49" s="7"/>
      <c r="KQ49" s="7"/>
      <c r="KR49" s="7"/>
      <c r="KS49" s="7"/>
      <c r="KT49" s="7"/>
      <c r="KU49" s="7"/>
      <c r="KV49" s="7"/>
      <c r="KW49" s="7"/>
      <c r="KX49" s="7"/>
      <c r="KY49" s="7"/>
      <c r="KZ49" s="7"/>
      <c r="LA49" s="7"/>
      <c r="LB49" s="7"/>
      <c r="LC49" s="7"/>
      <c r="LD49" s="7"/>
      <c r="LE49" s="7"/>
      <c r="LF49" s="7"/>
      <c r="LG49" s="7"/>
      <c r="LH49" s="7"/>
      <c r="LI49" s="7"/>
      <c r="LJ49" s="7"/>
      <c r="LK49" s="7"/>
      <c r="LL49" s="7"/>
      <c r="LM49" s="7"/>
      <c r="LN49" s="7"/>
      <c r="LO49" s="7"/>
      <c r="LP49" s="7"/>
      <c r="LQ49" s="7"/>
      <c r="LR49" s="7"/>
      <c r="LS49" s="7"/>
      <c r="LT49" s="7"/>
      <c r="LU49" s="7"/>
      <c r="LV49" s="7"/>
      <c r="LW49" s="7"/>
      <c r="LX49" s="7"/>
      <c r="LY49" s="7"/>
      <c r="LZ49" s="7"/>
      <c r="MA49" s="7"/>
      <c r="MB49" s="7"/>
      <c r="MC49" s="7"/>
      <c r="MD49" s="7"/>
      <c r="ME49" s="7"/>
      <c r="MF49" s="7"/>
      <c r="MG49" s="7"/>
      <c r="MH49" s="7"/>
      <c r="MJ49" s="7"/>
      <c r="MK49" s="7"/>
      <c r="ML49" s="7"/>
      <c r="MM49" s="7"/>
      <c r="MN49" s="7"/>
      <c r="MO49" s="7"/>
      <c r="MP49" s="7"/>
      <c r="MQ49" s="7"/>
      <c r="MR49" s="7"/>
      <c r="MS49" s="7"/>
      <c r="MT49" s="7"/>
      <c r="MU49" s="7"/>
      <c r="MV49" s="7"/>
      <c r="MW49" s="7"/>
      <c r="MX49" s="7"/>
      <c r="MY49" s="7"/>
      <c r="MZ49" s="7"/>
      <c r="NA49" s="7"/>
      <c r="NB49" s="7"/>
      <c r="NC49" s="7"/>
      <c r="ND49" s="7"/>
      <c r="NE49" s="7"/>
      <c r="NF49" s="7"/>
      <c r="NG49" s="7"/>
      <c r="NH49" s="7"/>
      <c r="NI49" s="7"/>
      <c r="NJ49" s="7"/>
      <c r="NK49" s="7"/>
      <c r="NL49" s="7"/>
      <c r="NM49" s="7"/>
      <c r="NN49" s="7"/>
      <c r="NO49" s="7"/>
      <c r="NP49" s="7"/>
      <c r="NQ49" s="7"/>
      <c r="NR49" s="7"/>
      <c r="NS49" s="7"/>
      <c r="NT49" s="7"/>
      <c r="NU49" s="7"/>
      <c r="NV49" s="7"/>
      <c r="NW49" s="7"/>
      <c r="NX49" s="7"/>
      <c r="NY49" s="7"/>
      <c r="NZ49" s="7"/>
      <c r="OA49" s="7"/>
      <c r="OB49" s="7"/>
      <c r="OC49" s="7"/>
      <c r="OD49" s="7"/>
      <c r="OE49" s="7"/>
      <c r="OF49" s="7"/>
      <c r="OG49" s="7"/>
      <c r="OH49" s="7"/>
      <c r="OI49" s="7"/>
      <c r="OJ49" s="7"/>
      <c r="OK49" s="7"/>
      <c r="OL49" s="7"/>
      <c r="OM49" s="7"/>
      <c r="ON49" s="7"/>
      <c r="OO49" s="7"/>
      <c r="OP49" s="7"/>
      <c r="OQ49" s="7"/>
      <c r="OR49" s="7"/>
      <c r="OS49" s="7"/>
      <c r="OT49" s="7"/>
      <c r="OU49" s="7"/>
      <c r="OV49" s="7"/>
      <c r="OW49" s="7"/>
      <c r="OX49" s="7"/>
      <c r="OY49" s="7"/>
      <c r="OZ49" s="7"/>
      <c r="PA49" s="7"/>
      <c r="PB49" s="7"/>
      <c r="PC49" s="7"/>
      <c r="PD49" s="7"/>
      <c r="PE49" s="7"/>
      <c r="PF49" s="7"/>
      <c r="PG49" s="7"/>
      <c r="PH49" s="7"/>
      <c r="PI49" s="7"/>
      <c r="PJ49" s="7"/>
      <c r="PK49" s="7"/>
    </row>
    <row r="50" spans="10:427" ht="13.2">
      <c r="J50" s="7"/>
      <c r="L50" s="7"/>
      <c r="N50" s="7"/>
      <c r="P50" s="7"/>
      <c r="Q50" s="7"/>
      <c r="R50" s="7"/>
      <c r="DN50" s="7"/>
      <c r="DO50" s="7"/>
      <c r="DP50" s="7"/>
      <c r="DQ50" s="7"/>
      <c r="DR50" s="7"/>
      <c r="DS50" s="7"/>
      <c r="DT50" s="7"/>
      <c r="DU50" s="7"/>
      <c r="DV50" s="7"/>
      <c r="DW50" s="7"/>
      <c r="DX50" s="7"/>
      <c r="DY50" s="7"/>
      <c r="DZ50" s="7"/>
      <c r="EA50" s="7"/>
      <c r="EB50" s="7"/>
      <c r="EC50" s="7"/>
      <c r="ED50" s="7"/>
      <c r="EE50" s="7"/>
      <c r="EF50" s="7"/>
      <c r="EG50" s="7"/>
      <c r="EH50" s="7"/>
      <c r="EI50" s="7"/>
      <c r="EJ50" s="7"/>
      <c r="EK50" s="7"/>
      <c r="EL50" s="7"/>
      <c r="EM50" s="7"/>
      <c r="EN50" s="7"/>
      <c r="EO50" s="7"/>
      <c r="EP50" s="7"/>
      <c r="EQ50" s="7"/>
      <c r="ER50" s="7"/>
      <c r="ES50" s="7"/>
      <c r="ET50" s="7"/>
      <c r="EU50" s="7"/>
      <c r="EV50" s="7"/>
      <c r="EW50" s="7"/>
      <c r="EX50" s="7"/>
      <c r="EY50" s="7"/>
      <c r="EZ50" s="7"/>
      <c r="FA50" s="7"/>
      <c r="FB50" s="7"/>
      <c r="FC50" s="7"/>
      <c r="FD50" s="7"/>
      <c r="FE50" s="7"/>
      <c r="FF50" s="7"/>
      <c r="FG50" s="7"/>
      <c r="FH50" s="7"/>
      <c r="FI50" s="7"/>
      <c r="FJ50" s="7"/>
      <c r="FK50" s="7"/>
      <c r="FL50" s="7"/>
      <c r="FM50" s="7"/>
      <c r="FN50" s="7"/>
      <c r="FO50" s="7"/>
      <c r="FP50" s="7"/>
      <c r="FQ50" s="7"/>
      <c r="FR50" s="7"/>
      <c r="FS50" s="7"/>
      <c r="FT50" s="7"/>
      <c r="FU50" s="7"/>
      <c r="FV50" s="7"/>
      <c r="FW50" s="7"/>
      <c r="FX50" s="7"/>
      <c r="FY50" s="7"/>
      <c r="FZ50" s="7"/>
      <c r="GA50" s="7"/>
      <c r="GB50" s="7"/>
      <c r="GC50" s="7"/>
      <c r="GD50" s="7"/>
      <c r="GE50" s="7"/>
      <c r="GF50" s="7"/>
      <c r="GG50" s="7"/>
      <c r="GH50" s="7"/>
      <c r="GI50" s="7"/>
      <c r="GJ50" s="7"/>
      <c r="GK50" s="7"/>
      <c r="GL50" s="7"/>
      <c r="GM50" s="7"/>
      <c r="GN50" s="7"/>
      <c r="GO50" s="7"/>
      <c r="GP50" s="7"/>
      <c r="GQ50" s="7"/>
      <c r="GR50" s="7"/>
      <c r="GS50" s="7"/>
      <c r="GT50" s="7"/>
      <c r="GU50" s="7"/>
      <c r="GV50" s="7"/>
      <c r="GW50" s="7"/>
      <c r="GX50" s="7"/>
      <c r="GY50" s="7"/>
      <c r="GZ50" s="7"/>
      <c r="HA50" s="7"/>
      <c r="HB50" s="7"/>
      <c r="HC50" s="7"/>
      <c r="HD50" s="7"/>
      <c r="HE50" s="7"/>
      <c r="HF50" s="7"/>
      <c r="HG50" s="7"/>
      <c r="HH50" s="7"/>
      <c r="HI50" s="7"/>
      <c r="HJ50" s="7"/>
      <c r="HK50" s="7"/>
      <c r="HL50" s="7"/>
      <c r="HM50" s="7"/>
      <c r="HN50" s="7"/>
      <c r="HO50" s="7"/>
      <c r="HP50" s="7"/>
      <c r="HQ50" s="7"/>
      <c r="HR50" s="7"/>
      <c r="HS50" s="7"/>
      <c r="HT50" s="7"/>
      <c r="HU50" s="7"/>
      <c r="HV50" s="7"/>
      <c r="HW50" s="7"/>
      <c r="HX50" s="7"/>
      <c r="HY50" s="7"/>
      <c r="HZ50" s="7"/>
      <c r="IA50" s="7"/>
      <c r="IB50" s="7"/>
      <c r="IC50" s="7"/>
      <c r="ID50" s="7"/>
      <c r="IE50" s="7"/>
      <c r="IF50" s="7"/>
      <c r="IG50" s="7"/>
      <c r="IH50" s="7"/>
      <c r="II50" s="7"/>
      <c r="IJ50" s="7"/>
      <c r="IK50" s="7"/>
      <c r="IL50" s="7"/>
      <c r="IM50" s="7"/>
      <c r="IN50" s="7"/>
      <c r="IO50" s="7"/>
      <c r="IP50" s="7"/>
      <c r="IQ50" s="7"/>
      <c r="IR50" s="7"/>
      <c r="IS50" s="7"/>
      <c r="IT50" s="7"/>
      <c r="IU50" s="7"/>
      <c r="IV50" s="7"/>
      <c r="IW50" s="7"/>
      <c r="IX50" s="7"/>
      <c r="IY50" s="7"/>
      <c r="IZ50" s="7"/>
      <c r="JA50" s="7"/>
      <c r="JB50" s="7"/>
      <c r="JC50" s="7"/>
      <c r="JD50" s="7"/>
      <c r="JE50" s="7"/>
      <c r="JF50" s="7"/>
      <c r="JG50" s="7"/>
      <c r="JH50" s="7"/>
      <c r="JI50" s="7"/>
      <c r="JJ50" s="7"/>
      <c r="JK50" s="7"/>
      <c r="JL50" s="7"/>
      <c r="JM50" s="7"/>
      <c r="JN50" s="7"/>
      <c r="JO50" s="7"/>
      <c r="JP50" s="7"/>
      <c r="JQ50" s="7"/>
      <c r="JR50" s="7"/>
      <c r="JS50" s="7"/>
      <c r="JT50" s="7"/>
      <c r="JU50" s="7"/>
      <c r="JV50" s="7"/>
      <c r="JW50" s="7"/>
      <c r="JX50" s="7"/>
      <c r="JY50" s="7"/>
      <c r="JZ50" s="7"/>
      <c r="KA50" s="7"/>
      <c r="KB50" s="7"/>
      <c r="KC50" s="7"/>
      <c r="KD50" s="7"/>
      <c r="KE50" s="7"/>
      <c r="KF50" s="7"/>
      <c r="KG50" s="7"/>
      <c r="KH50" s="7"/>
      <c r="KI50" s="7"/>
      <c r="KJ50" s="7"/>
      <c r="KK50" s="7"/>
      <c r="KL50" s="7"/>
      <c r="KM50" s="7"/>
      <c r="KN50" s="7"/>
      <c r="KO50" s="7"/>
      <c r="KP50" s="7"/>
      <c r="KQ50" s="7"/>
      <c r="KR50" s="7"/>
      <c r="KS50" s="7"/>
      <c r="KT50" s="7"/>
      <c r="KU50" s="7"/>
      <c r="KV50" s="7"/>
      <c r="KW50" s="7"/>
      <c r="KX50" s="7"/>
      <c r="KY50" s="7"/>
      <c r="KZ50" s="7"/>
      <c r="LA50" s="7"/>
      <c r="LB50" s="7"/>
      <c r="LC50" s="7"/>
      <c r="LD50" s="7"/>
      <c r="LE50" s="7"/>
      <c r="LF50" s="7"/>
      <c r="LG50" s="7"/>
      <c r="LH50" s="7"/>
      <c r="LI50" s="7"/>
      <c r="LJ50" s="7"/>
      <c r="LK50" s="7"/>
      <c r="LL50" s="7"/>
      <c r="LM50" s="7"/>
      <c r="LN50" s="7"/>
      <c r="LO50" s="7"/>
      <c r="LP50" s="7"/>
      <c r="LQ50" s="7"/>
      <c r="LR50" s="7"/>
      <c r="LS50" s="7"/>
      <c r="LT50" s="7"/>
      <c r="LU50" s="7"/>
      <c r="LV50" s="7"/>
      <c r="LW50" s="7"/>
      <c r="LX50" s="7"/>
      <c r="LY50" s="7"/>
      <c r="LZ50" s="7"/>
      <c r="MA50" s="7"/>
      <c r="MB50" s="7"/>
      <c r="MC50" s="7"/>
      <c r="MD50" s="7"/>
      <c r="ME50" s="7"/>
      <c r="MF50" s="7"/>
      <c r="MG50" s="7"/>
      <c r="MH50" s="7"/>
      <c r="MJ50" s="7"/>
      <c r="MK50" s="7"/>
      <c r="ML50" s="7"/>
      <c r="MM50" s="7"/>
      <c r="MN50" s="7"/>
      <c r="MO50" s="7"/>
      <c r="MP50" s="7"/>
      <c r="MQ50" s="7"/>
      <c r="MR50" s="7"/>
      <c r="MS50" s="7"/>
      <c r="MT50" s="7"/>
      <c r="MU50" s="7"/>
      <c r="MV50" s="7"/>
      <c r="MW50" s="7"/>
      <c r="MX50" s="7"/>
      <c r="MY50" s="7"/>
      <c r="MZ50" s="7"/>
      <c r="NA50" s="7"/>
      <c r="NB50" s="7"/>
      <c r="NC50" s="7"/>
      <c r="ND50" s="7"/>
      <c r="NE50" s="7"/>
      <c r="NF50" s="7"/>
      <c r="NG50" s="7"/>
      <c r="NH50" s="7"/>
      <c r="NI50" s="7"/>
      <c r="NJ50" s="7"/>
      <c r="NK50" s="7"/>
      <c r="NL50" s="7"/>
      <c r="NM50" s="7"/>
      <c r="NN50" s="7"/>
      <c r="NO50" s="7"/>
      <c r="NP50" s="7"/>
      <c r="NQ50" s="7"/>
      <c r="NR50" s="7"/>
      <c r="NS50" s="7"/>
      <c r="NT50" s="7"/>
      <c r="NU50" s="7"/>
      <c r="NV50" s="7"/>
      <c r="NW50" s="7"/>
      <c r="NX50" s="7"/>
      <c r="NY50" s="7"/>
      <c r="NZ50" s="7"/>
      <c r="OA50" s="7"/>
      <c r="OB50" s="7"/>
      <c r="OC50" s="7"/>
      <c r="OD50" s="7"/>
      <c r="OE50" s="7"/>
      <c r="OF50" s="7"/>
      <c r="OG50" s="7"/>
      <c r="OH50" s="7"/>
      <c r="OI50" s="7"/>
      <c r="OJ50" s="7"/>
      <c r="OK50" s="7"/>
      <c r="OL50" s="7"/>
      <c r="OM50" s="7"/>
      <c r="ON50" s="7"/>
      <c r="OO50" s="7"/>
      <c r="OP50" s="7"/>
      <c r="OQ50" s="7"/>
      <c r="OR50" s="7"/>
      <c r="OS50" s="7"/>
      <c r="OT50" s="7"/>
      <c r="OU50" s="7"/>
      <c r="OV50" s="7"/>
      <c r="OW50" s="7"/>
      <c r="OX50" s="7"/>
      <c r="OY50" s="7"/>
      <c r="OZ50" s="7"/>
      <c r="PA50" s="7"/>
      <c r="PB50" s="7"/>
      <c r="PC50" s="7"/>
      <c r="PD50" s="7"/>
      <c r="PE50" s="7"/>
      <c r="PF50" s="7"/>
      <c r="PG50" s="7"/>
      <c r="PH50" s="7"/>
      <c r="PI50" s="7"/>
      <c r="PJ50" s="7"/>
      <c r="PK50" s="7"/>
    </row>
    <row r="51" spans="10:427" ht="13.2">
      <c r="J51" s="7"/>
      <c r="L51" s="7"/>
      <c r="N51" s="7"/>
      <c r="P51" s="7"/>
      <c r="Q51" s="7"/>
      <c r="R51" s="7"/>
      <c r="DN51" s="7"/>
      <c r="DO51" s="7"/>
      <c r="DP51" s="7"/>
      <c r="DQ51" s="7"/>
      <c r="DR51" s="7"/>
      <c r="DS51" s="7"/>
      <c r="DT51" s="7"/>
      <c r="DU51" s="7"/>
      <c r="DV51" s="7"/>
      <c r="DW51" s="7"/>
      <c r="DX51" s="7"/>
      <c r="DY51" s="7"/>
      <c r="DZ51" s="7"/>
      <c r="EA51" s="7"/>
      <c r="EB51" s="7"/>
      <c r="EC51" s="7"/>
      <c r="ED51" s="7"/>
      <c r="EE51" s="7"/>
      <c r="EF51" s="7"/>
      <c r="EG51" s="7"/>
      <c r="EH51" s="7"/>
      <c r="EI51" s="7"/>
      <c r="EJ51" s="7"/>
      <c r="EK51" s="7"/>
      <c r="EL51" s="7"/>
      <c r="EM51" s="7"/>
      <c r="EN51" s="7"/>
      <c r="EO51" s="7"/>
      <c r="EP51" s="7"/>
      <c r="EQ51" s="7"/>
      <c r="ER51" s="7"/>
      <c r="ES51" s="7"/>
      <c r="ET51" s="7"/>
      <c r="EU51" s="7"/>
      <c r="EV51" s="7"/>
      <c r="EW51" s="7"/>
      <c r="EX51" s="7"/>
      <c r="EY51" s="7"/>
      <c r="EZ51" s="7"/>
      <c r="FA51" s="7"/>
      <c r="FB51" s="7"/>
      <c r="FC51" s="7"/>
      <c r="FD51" s="7"/>
      <c r="FE51" s="7"/>
      <c r="FF51" s="7"/>
      <c r="FG51" s="7"/>
      <c r="FH51" s="7"/>
      <c r="FI51" s="7"/>
      <c r="FJ51" s="7"/>
      <c r="FK51" s="7"/>
      <c r="FL51" s="7"/>
      <c r="FM51" s="7"/>
      <c r="FN51" s="7"/>
      <c r="FO51" s="7"/>
      <c r="FP51" s="7"/>
      <c r="FQ51" s="7"/>
      <c r="FR51" s="7"/>
      <c r="FS51" s="7"/>
      <c r="FT51" s="7"/>
      <c r="FU51" s="7"/>
      <c r="FV51" s="7"/>
      <c r="FW51" s="7"/>
      <c r="FX51" s="7"/>
      <c r="FY51" s="7"/>
      <c r="FZ51" s="7"/>
      <c r="GA51" s="7"/>
      <c r="GB51" s="7"/>
      <c r="GC51" s="7"/>
      <c r="GD51" s="7"/>
      <c r="GE51" s="7"/>
      <c r="GF51" s="7"/>
      <c r="GG51" s="7"/>
      <c r="GH51" s="7"/>
      <c r="GI51" s="7"/>
      <c r="GJ51" s="7"/>
      <c r="GK51" s="7"/>
      <c r="GL51" s="7"/>
      <c r="GM51" s="7"/>
      <c r="GN51" s="7"/>
      <c r="GO51" s="7"/>
      <c r="GP51" s="7"/>
      <c r="GQ51" s="7"/>
      <c r="GR51" s="7"/>
      <c r="GS51" s="7"/>
      <c r="GT51" s="7"/>
      <c r="GU51" s="7"/>
      <c r="GV51" s="7"/>
      <c r="GW51" s="7"/>
      <c r="GX51" s="7"/>
      <c r="GY51" s="7"/>
      <c r="GZ51" s="7"/>
      <c r="HA51" s="7"/>
      <c r="HB51" s="7"/>
      <c r="HC51" s="7"/>
      <c r="HD51" s="7"/>
      <c r="HE51" s="7"/>
      <c r="HF51" s="7"/>
      <c r="HG51" s="7"/>
      <c r="HH51" s="7"/>
      <c r="HI51" s="7"/>
      <c r="HJ51" s="7"/>
      <c r="HK51" s="7"/>
      <c r="HL51" s="7"/>
      <c r="HM51" s="7"/>
      <c r="HN51" s="7"/>
      <c r="HO51" s="7"/>
      <c r="HP51" s="7"/>
      <c r="HQ51" s="7"/>
      <c r="HR51" s="7"/>
      <c r="HS51" s="7"/>
      <c r="HT51" s="7"/>
      <c r="HU51" s="7"/>
      <c r="HV51" s="7"/>
      <c r="HW51" s="7"/>
      <c r="HX51" s="7"/>
      <c r="HY51" s="7"/>
      <c r="HZ51" s="7"/>
      <c r="IA51" s="7"/>
      <c r="IB51" s="7"/>
      <c r="IC51" s="7"/>
      <c r="ID51" s="7"/>
      <c r="IE51" s="7"/>
      <c r="IF51" s="7"/>
      <c r="IG51" s="7"/>
      <c r="IH51" s="7"/>
      <c r="II51" s="7"/>
      <c r="IJ51" s="7"/>
      <c r="IK51" s="7"/>
      <c r="IL51" s="7"/>
      <c r="IM51" s="7"/>
      <c r="IN51" s="7"/>
      <c r="IO51" s="7"/>
      <c r="IP51" s="7"/>
      <c r="IQ51" s="7"/>
      <c r="IR51" s="7"/>
      <c r="IS51" s="7"/>
      <c r="IT51" s="7"/>
      <c r="IU51" s="7"/>
      <c r="IV51" s="7"/>
      <c r="IW51" s="7"/>
      <c r="IX51" s="7"/>
      <c r="IY51" s="7"/>
      <c r="IZ51" s="7"/>
      <c r="JA51" s="7"/>
      <c r="JB51" s="7"/>
      <c r="JC51" s="7"/>
      <c r="JD51" s="7"/>
      <c r="JE51" s="7"/>
      <c r="JF51" s="7"/>
      <c r="JG51" s="7"/>
      <c r="JH51" s="7"/>
      <c r="JI51" s="7"/>
      <c r="JJ51" s="7"/>
      <c r="JK51" s="7"/>
      <c r="JL51" s="7"/>
      <c r="JM51" s="7"/>
      <c r="JN51" s="7"/>
      <c r="JO51" s="7"/>
      <c r="JP51" s="7"/>
      <c r="JQ51" s="7"/>
      <c r="JR51" s="7"/>
      <c r="JS51" s="7"/>
      <c r="JT51" s="7"/>
      <c r="JU51" s="7"/>
      <c r="JV51" s="7"/>
      <c r="JW51" s="7"/>
      <c r="JX51" s="7"/>
      <c r="JY51" s="7"/>
      <c r="JZ51" s="7"/>
      <c r="KA51" s="7"/>
      <c r="KB51" s="7"/>
      <c r="KC51" s="7"/>
      <c r="KD51" s="7"/>
      <c r="KE51" s="7"/>
      <c r="KF51" s="7"/>
      <c r="KG51" s="7"/>
      <c r="KH51" s="7"/>
      <c r="KI51" s="7"/>
      <c r="KJ51" s="7"/>
      <c r="KK51" s="7"/>
      <c r="KL51" s="7"/>
      <c r="KM51" s="7"/>
      <c r="KN51" s="7"/>
      <c r="KO51" s="7"/>
      <c r="KP51" s="7"/>
      <c r="KQ51" s="7"/>
      <c r="KR51" s="7"/>
      <c r="KS51" s="7"/>
      <c r="KT51" s="7"/>
      <c r="KU51" s="7"/>
      <c r="KV51" s="7"/>
      <c r="KW51" s="7"/>
      <c r="KX51" s="7"/>
      <c r="KY51" s="7"/>
      <c r="KZ51" s="7"/>
      <c r="LA51" s="7"/>
      <c r="LB51" s="7"/>
      <c r="LC51" s="7"/>
      <c r="LD51" s="7"/>
      <c r="LE51" s="7"/>
      <c r="LF51" s="7"/>
      <c r="LG51" s="7"/>
      <c r="LH51" s="7"/>
      <c r="LI51" s="7"/>
      <c r="LJ51" s="7"/>
      <c r="LK51" s="7"/>
      <c r="LL51" s="7"/>
      <c r="LM51" s="7"/>
      <c r="LN51" s="7"/>
      <c r="LO51" s="7"/>
      <c r="LP51" s="7"/>
      <c r="LQ51" s="7"/>
      <c r="LR51" s="7"/>
      <c r="LS51" s="7"/>
      <c r="LT51" s="7"/>
      <c r="LU51" s="7"/>
      <c r="LV51" s="7"/>
      <c r="LW51" s="7"/>
      <c r="LX51" s="7"/>
      <c r="LY51" s="7"/>
      <c r="LZ51" s="7"/>
      <c r="MA51" s="7"/>
      <c r="MB51" s="7"/>
      <c r="MC51" s="7"/>
      <c r="MD51" s="7"/>
      <c r="ME51" s="7"/>
      <c r="MF51" s="7"/>
      <c r="MG51" s="7"/>
      <c r="MH51" s="7"/>
      <c r="MJ51" s="7"/>
      <c r="MK51" s="7"/>
      <c r="ML51" s="7"/>
      <c r="MM51" s="7"/>
      <c r="MN51" s="7"/>
      <c r="MO51" s="7"/>
      <c r="MP51" s="7"/>
      <c r="MQ51" s="7"/>
      <c r="MR51" s="7"/>
      <c r="MS51" s="7"/>
      <c r="MT51" s="7"/>
      <c r="MU51" s="7"/>
      <c r="MV51" s="7"/>
      <c r="MW51" s="7"/>
      <c r="MX51" s="7"/>
      <c r="MY51" s="7"/>
      <c r="MZ51" s="7"/>
      <c r="NA51" s="7"/>
      <c r="NB51" s="7"/>
      <c r="NC51" s="7"/>
      <c r="ND51" s="7"/>
      <c r="NE51" s="7"/>
      <c r="NF51" s="7"/>
      <c r="NG51" s="7"/>
      <c r="NH51" s="7"/>
      <c r="NI51" s="7"/>
      <c r="NJ51" s="7"/>
      <c r="NK51" s="7"/>
      <c r="NL51" s="7"/>
      <c r="NM51" s="7"/>
      <c r="NN51" s="7"/>
      <c r="NO51" s="7"/>
      <c r="NP51" s="7"/>
      <c r="NQ51" s="7"/>
      <c r="NR51" s="7"/>
      <c r="NS51" s="7"/>
      <c r="NT51" s="7"/>
      <c r="NU51" s="7"/>
      <c r="NV51" s="7"/>
      <c r="NW51" s="7"/>
      <c r="NX51" s="7"/>
      <c r="NY51" s="7"/>
      <c r="NZ51" s="7"/>
      <c r="OA51" s="7"/>
      <c r="OB51" s="7"/>
      <c r="OC51" s="7"/>
      <c r="OD51" s="7"/>
      <c r="OE51" s="7"/>
      <c r="OF51" s="7"/>
      <c r="OG51" s="7"/>
      <c r="OH51" s="7"/>
      <c r="OI51" s="7"/>
      <c r="OJ51" s="7"/>
      <c r="OK51" s="7"/>
      <c r="OL51" s="7"/>
      <c r="OM51" s="7"/>
      <c r="ON51" s="7"/>
      <c r="OO51" s="7"/>
      <c r="OP51" s="7"/>
      <c r="OQ51" s="7"/>
      <c r="OR51" s="7"/>
      <c r="OS51" s="7"/>
      <c r="OT51" s="7"/>
      <c r="OU51" s="7"/>
      <c r="OV51" s="7"/>
      <c r="OW51" s="7"/>
      <c r="OX51" s="7"/>
      <c r="OY51" s="7"/>
      <c r="OZ51" s="7"/>
      <c r="PA51" s="7"/>
      <c r="PB51" s="7"/>
      <c r="PC51" s="7"/>
      <c r="PD51" s="7"/>
      <c r="PE51" s="7"/>
      <c r="PF51" s="7"/>
      <c r="PG51" s="7"/>
      <c r="PH51" s="7"/>
      <c r="PI51" s="7"/>
      <c r="PJ51" s="7"/>
      <c r="PK51" s="7"/>
    </row>
    <row r="52" spans="10:427" ht="13.2">
      <c r="J52" s="7"/>
      <c r="L52" s="7"/>
      <c r="N52" s="7"/>
      <c r="P52" s="7"/>
      <c r="Q52" s="7"/>
      <c r="R52" s="7"/>
      <c r="DN52" s="7"/>
      <c r="DO52" s="7"/>
      <c r="DP52" s="7"/>
      <c r="DQ52" s="7"/>
      <c r="DR52" s="7"/>
      <c r="DS52" s="7"/>
      <c r="DT52" s="7"/>
      <c r="DU52" s="7"/>
      <c r="DV52" s="7"/>
      <c r="DW52" s="7"/>
      <c r="DX52" s="7"/>
      <c r="DY52" s="7"/>
      <c r="DZ52" s="7"/>
      <c r="EA52" s="7"/>
      <c r="EB52" s="7"/>
      <c r="EC52" s="7"/>
      <c r="ED52" s="7"/>
      <c r="EE52" s="7"/>
      <c r="EF52" s="7"/>
      <c r="EG52" s="7"/>
      <c r="EH52" s="7"/>
      <c r="EI52" s="7"/>
      <c r="EJ52" s="7"/>
      <c r="EK52" s="7"/>
      <c r="EL52" s="7"/>
      <c r="EM52" s="7"/>
      <c r="EN52" s="7"/>
      <c r="EO52" s="7"/>
      <c r="EP52" s="7"/>
      <c r="EQ52" s="7"/>
      <c r="ER52" s="7"/>
      <c r="ES52" s="7"/>
      <c r="ET52" s="7"/>
      <c r="EU52" s="7"/>
      <c r="EV52" s="7"/>
      <c r="EW52" s="7"/>
      <c r="EX52" s="7"/>
      <c r="EY52" s="7"/>
      <c r="EZ52" s="7"/>
      <c r="FA52" s="7"/>
      <c r="FB52" s="7"/>
      <c r="FC52" s="7"/>
      <c r="FD52" s="7"/>
      <c r="FE52" s="7"/>
      <c r="FF52" s="7"/>
      <c r="FG52" s="7"/>
      <c r="FH52" s="7"/>
      <c r="FI52" s="7"/>
      <c r="FJ52" s="7"/>
      <c r="FK52" s="7"/>
      <c r="FL52" s="7"/>
      <c r="FM52" s="7"/>
      <c r="FN52" s="7"/>
      <c r="FO52" s="7"/>
      <c r="FP52" s="7"/>
      <c r="FQ52" s="7"/>
      <c r="FR52" s="7"/>
      <c r="FS52" s="7"/>
      <c r="FT52" s="7"/>
      <c r="FU52" s="7"/>
      <c r="FV52" s="7"/>
      <c r="FW52" s="7"/>
      <c r="FX52" s="7"/>
      <c r="FY52" s="7"/>
      <c r="FZ52" s="7"/>
      <c r="GA52" s="7"/>
      <c r="GB52" s="7"/>
      <c r="GC52" s="7"/>
      <c r="GD52" s="7"/>
      <c r="GE52" s="7"/>
      <c r="GF52" s="7"/>
      <c r="GG52" s="7"/>
      <c r="GH52" s="7"/>
      <c r="GI52" s="7"/>
      <c r="GJ52" s="7"/>
      <c r="GK52" s="7"/>
      <c r="GL52" s="7"/>
      <c r="GM52" s="7"/>
      <c r="GN52" s="7"/>
      <c r="GO52" s="7"/>
      <c r="GP52" s="7"/>
      <c r="GQ52" s="7"/>
      <c r="GR52" s="7"/>
      <c r="GS52" s="7"/>
      <c r="GT52" s="7"/>
      <c r="GU52" s="7"/>
      <c r="GV52" s="7"/>
      <c r="GW52" s="7"/>
      <c r="GX52" s="7"/>
      <c r="GY52" s="7"/>
      <c r="GZ52" s="7"/>
      <c r="HA52" s="7"/>
      <c r="HB52" s="7"/>
      <c r="HC52" s="7"/>
      <c r="HD52" s="7"/>
      <c r="HE52" s="7"/>
      <c r="HF52" s="7"/>
      <c r="HG52" s="7"/>
      <c r="HH52" s="7"/>
      <c r="HI52" s="7"/>
      <c r="HJ52" s="7"/>
      <c r="HK52" s="7"/>
      <c r="HL52" s="7"/>
      <c r="HM52" s="7"/>
      <c r="HN52" s="7"/>
      <c r="HO52" s="7"/>
      <c r="HP52" s="7"/>
      <c r="HQ52" s="7"/>
      <c r="HR52" s="7"/>
      <c r="HS52" s="7"/>
      <c r="HT52" s="7"/>
      <c r="HU52" s="7"/>
      <c r="HV52" s="7"/>
      <c r="HW52" s="7"/>
      <c r="HX52" s="7"/>
      <c r="HY52" s="7"/>
      <c r="HZ52" s="7"/>
      <c r="IA52" s="7"/>
      <c r="IB52" s="7"/>
      <c r="IC52" s="7"/>
      <c r="ID52" s="7"/>
      <c r="IE52" s="7"/>
      <c r="IF52" s="7"/>
      <c r="IG52" s="7"/>
      <c r="IH52" s="7"/>
      <c r="II52" s="7"/>
      <c r="IJ52" s="7"/>
      <c r="IK52" s="7"/>
      <c r="IL52" s="7"/>
      <c r="IM52" s="7"/>
      <c r="IN52" s="7"/>
      <c r="IO52" s="7"/>
      <c r="IP52" s="7"/>
      <c r="IQ52" s="7"/>
      <c r="IR52" s="7"/>
      <c r="IS52" s="7"/>
      <c r="IT52" s="7"/>
      <c r="IU52" s="7"/>
      <c r="IV52" s="7"/>
      <c r="IW52" s="7"/>
      <c r="IX52" s="7"/>
      <c r="IY52" s="7"/>
      <c r="IZ52" s="7"/>
      <c r="JA52" s="7"/>
      <c r="JB52" s="7"/>
      <c r="JC52" s="7"/>
      <c r="JD52" s="7"/>
      <c r="JE52" s="7"/>
      <c r="JF52" s="7"/>
      <c r="JG52" s="7"/>
      <c r="JH52" s="7"/>
      <c r="JI52" s="7"/>
      <c r="JJ52" s="7"/>
      <c r="JK52" s="7"/>
      <c r="JL52" s="7"/>
      <c r="JM52" s="7"/>
      <c r="JN52" s="7"/>
      <c r="JO52" s="7"/>
      <c r="JP52" s="7"/>
      <c r="JQ52" s="7"/>
      <c r="JR52" s="7"/>
      <c r="JS52" s="7"/>
      <c r="JT52" s="7"/>
      <c r="JU52" s="7"/>
      <c r="JV52" s="7"/>
      <c r="JW52" s="7"/>
      <c r="JX52" s="7"/>
      <c r="JY52" s="7"/>
      <c r="JZ52" s="7"/>
      <c r="KA52" s="7"/>
      <c r="KB52" s="7"/>
      <c r="KC52" s="7"/>
      <c r="KD52" s="7"/>
      <c r="KE52" s="7"/>
      <c r="KF52" s="7"/>
      <c r="KG52" s="7"/>
      <c r="KH52" s="7"/>
      <c r="KI52" s="7"/>
      <c r="KJ52" s="7"/>
      <c r="KK52" s="7"/>
      <c r="KL52" s="7"/>
      <c r="KM52" s="7"/>
      <c r="KN52" s="7"/>
      <c r="KO52" s="7"/>
      <c r="KP52" s="7"/>
      <c r="KQ52" s="7"/>
      <c r="KR52" s="7"/>
      <c r="KS52" s="7"/>
      <c r="KT52" s="7"/>
      <c r="KU52" s="7"/>
      <c r="KV52" s="7"/>
      <c r="KW52" s="7"/>
      <c r="KX52" s="7"/>
      <c r="KY52" s="7"/>
      <c r="KZ52" s="7"/>
      <c r="LA52" s="7"/>
      <c r="LB52" s="7"/>
      <c r="LC52" s="7"/>
      <c r="LD52" s="7"/>
      <c r="LE52" s="7"/>
      <c r="LF52" s="7"/>
      <c r="LG52" s="7"/>
      <c r="LH52" s="7"/>
      <c r="LI52" s="7"/>
      <c r="LJ52" s="7"/>
      <c r="LK52" s="7"/>
      <c r="LL52" s="7"/>
      <c r="LM52" s="7"/>
      <c r="LN52" s="7"/>
      <c r="LO52" s="7"/>
      <c r="LP52" s="7"/>
      <c r="LQ52" s="7"/>
      <c r="LR52" s="7"/>
      <c r="LS52" s="7"/>
      <c r="LT52" s="7"/>
      <c r="LU52" s="7"/>
      <c r="LV52" s="7"/>
      <c r="LW52" s="7"/>
      <c r="LX52" s="7"/>
      <c r="LY52" s="7"/>
      <c r="LZ52" s="7"/>
      <c r="MA52" s="7"/>
      <c r="MB52" s="7"/>
      <c r="MC52" s="7"/>
      <c r="MD52" s="7"/>
      <c r="ME52" s="7"/>
      <c r="MF52" s="7"/>
      <c r="MG52" s="7"/>
      <c r="MH52" s="7"/>
      <c r="MJ52" s="7"/>
      <c r="MK52" s="7"/>
      <c r="ML52" s="7"/>
      <c r="MM52" s="7"/>
      <c r="MN52" s="7"/>
      <c r="MO52" s="7"/>
      <c r="MP52" s="7"/>
      <c r="MQ52" s="7"/>
      <c r="MR52" s="7"/>
      <c r="MS52" s="7"/>
      <c r="MT52" s="7"/>
      <c r="MU52" s="7"/>
      <c r="MV52" s="7"/>
      <c r="MW52" s="7"/>
      <c r="MX52" s="7"/>
      <c r="MY52" s="7"/>
      <c r="MZ52" s="7"/>
      <c r="NA52" s="7"/>
      <c r="NB52" s="7"/>
      <c r="NC52" s="7"/>
      <c r="ND52" s="7"/>
      <c r="NE52" s="7"/>
      <c r="NF52" s="7"/>
      <c r="NG52" s="7"/>
      <c r="NH52" s="7"/>
      <c r="NI52" s="7"/>
      <c r="NJ52" s="7"/>
      <c r="NK52" s="7"/>
      <c r="NL52" s="7"/>
      <c r="NM52" s="7"/>
      <c r="NN52" s="7"/>
      <c r="NO52" s="7"/>
      <c r="NP52" s="7"/>
      <c r="NQ52" s="7"/>
      <c r="NR52" s="7"/>
      <c r="NS52" s="7"/>
      <c r="NT52" s="7"/>
      <c r="NU52" s="7"/>
      <c r="NV52" s="7"/>
      <c r="NW52" s="7"/>
      <c r="NX52" s="7"/>
      <c r="NY52" s="7"/>
      <c r="NZ52" s="7"/>
      <c r="OA52" s="7"/>
      <c r="OB52" s="7"/>
      <c r="OC52" s="7"/>
      <c r="OD52" s="7"/>
      <c r="OE52" s="7"/>
      <c r="OF52" s="7"/>
      <c r="OG52" s="7"/>
      <c r="OH52" s="7"/>
      <c r="OI52" s="7"/>
      <c r="OJ52" s="7"/>
      <c r="OK52" s="7"/>
      <c r="OL52" s="7"/>
      <c r="OM52" s="7"/>
      <c r="ON52" s="7"/>
      <c r="OO52" s="7"/>
      <c r="OP52" s="7"/>
      <c r="OQ52" s="7"/>
      <c r="OR52" s="7"/>
      <c r="OS52" s="7"/>
      <c r="OT52" s="7"/>
      <c r="OU52" s="7"/>
      <c r="OV52" s="7"/>
      <c r="OW52" s="7"/>
      <c r="OX52" s="7"/>
      <c r="OY52" s="7"/>
      <c r="OZ52" s="7"/>
      <c r="PA52" s="7"/>
      <c r="PB52" s="7"/>
      <c r="PC52" s="7"/>
      <c r="PD52" s="7"/>
      <c r="PE52" s="7"/>
      <c r="PF52" s="7"/>
      <c r="PG52" s="7"/>
      <c r="PH52" s="7"/>
      <c r="PI52" s="7"/>
      <c r="PJ52" s="7"/>
      <c r="PK52" s="7"/>
    </row>
    <row r="53" spans="10:422" ht="13.2">
      <c r="J53" s="7"/>
      <c r="L53" s="7"/>
      <c r="N53" s="7"/>
      <c r="P53" s="7"/>
      <c r="Q53" s="7"/>
      <c r="R53" s="7"/>
      <c r="DN53" s="7"/>
      <c r="DO53" s="7"/>
      <c r="DP53" s="7"/>
      <c r="DQ53" s="7"/>
      <c r="DR53" s="7"/>
      <c r="DS53" s="7"/>
      <c r="DT53" s="7"/>
      <c r="DU53" s="7"/>
      <c r="DV53" s="7"/>
      <c r="DW53" s="7"/>
      <c r="DX53" s="7"/>
      <c r="DY53" s="7"/>
      <c r="DZ53" s="7"/>
      <c r="EA53" s="7"/>
      <c r="EB53" s="7"/>
      <c r="EC53" s="7"/>
      <c r="ED53" s="7"/>
      <c r="EE53" s="7"/>
      <c r="EF53" s="7"/>
      <c r="EG53" s="7"/>
      <c r="EH53" s="7"/>
      <c r="EI53" s="7"/>
      <c r="EJ53" s="7"/>
      <c r="EK53" s="7"/>
      <c r="EL53" s="7"/>
      <c r="EM53" s="7"/>
      <c r="EN53" s="7"/>
      <c r="EO53" s="7"/>
      <c r="EP53" s="7"/>
      <c r="EQ53" s="7"/>
      <c r="ER53" s="7"/>
      <c r="ES53" s="7"/>
      <c r="ET53" s="7"/>
      <c r="EU53" s="7"/>
      <c r="EV53" s="7"/>
      <c r="EW53" s="7"/>
      <c r="EX53" s="7"/>
      <c r="EY53" s="7"/>
      <c r="EZ53" s="7"/>
      <c r="FA53" s="7"/>
      <c r="FB53" s="7"/>
      <c r="FC53" s="7"/>
      <c r="FD53" s="7"/>
      <c r="FE53" s="7"/>
      <c r="FF53" s="7"/>
      <c r="FG53" s="7"/>
      <c r="FH53" s="7"/>
      <c r="FI53" s="7"/>
      <c r="FJ53" s="7"/>
      <c r="FK53" s="7"/>
      <c r="FL53" s="7"/>
      <c r="FM53" s="7"/>
      <c r="FN53" s="7"/>
      <c r="FO53" s="7"/>
      <c r="FP53" s="7"/>
      <c r="FQ53" s="7"/>
      <c r="FR53" s="7"/>
      <c r="FS53" s="7"/>
      <c r="FT53" s="7"/>
      <c r="FU53" s="7"/>
      <c r="FV53" s="7"/>
      <c r="FW53" s="7"/>
      <c r="FX53" s="7"/>
      <c r="FY53" s="7"/>
      <c r="FZ53" s="7"/>
      <c r="GA53" s="7"/>
      <c r="GB53" s="7"/>
      <c r="GC53" s="7"/>
      <c r="GD53" s="7"/>
      <c r="GE53" s="7"/>
      <c r="GF53" s="7"/>
      <c r="GG53" s="7"/>
      <c r="GH53" s="7"/>
      <c r="GI53" s="7"/>
      <c r="GJ53" s="7"/>
      <c r="GK53" s="7"/>
      <c r="GL53" s="7"/>
      <c r="GM53" s="7"/>
      <c r="GN53" s="7"/>
      <c r="GO53" s="7"/>
      <c r="GP53" s="7"/>
      <c r="GQ53" s="7"/>
      <c r="GR53" s="7"/>
      <c r="GS53" s="7"/>
      <c r="GT53" s="7"/>
      <c r="GU53" s="7"/>
      <c r="GV53" s="7"/>
      <c r="GW53" s="7"/>
      <c r="GX53" s="7"/>
      <c r="GY53" s="7"/>
      <c r="GZ53" s="7"/>
      <c r="HA53" s="7"/>
      <c r="HB53" s="7"/>
      <c r="HC53" s="7"/>
      <c r="HD53" s="7"/>
      <c r="HE53" s="7"/>
      <c r="HF53" s="7"/>
      <c r="HG53" s="7"/>
      <c r="HH53" s="7"/>
      <c r="HI53" s="7"/>
      <c r="HJ53" s="7"/>
      <c r="HK53" s="7"/>
      <c r="HL53" s="7"/>
      <c r="HM53" s="7"/>
      <c r="HN53" s="7"/>
      <c r="HO53" s="7"/>
      <c r="HP53" s="7"/>
      <c r="HQ53" s="7"/>
      <c r="HR53" s="7"/>
      <c r="HS53" s="7"/>
      <c r="HT53" s="7"/>
      <c r="HU53" s="7"/>
      <c r="HV53" s="7"/>
      <c r="HW53" s="7"/>
      <c r="HX53" s="7"/>
      <c r="HY53" s="7"/>
      <c r="HZ53" s="7"/>
      <c r="IA53" s="7"/>
      <c r="IB53" s="7"/>
      <c r="IC53" s="7"/>
      <c r="ID53" s="7"/>
      <c r="IE53" s="7"/>
      <c r="IF53" s="7"/>
      <c r="IG53" s="7"/>
      <c r="IH53" s="7"/>
      <c r="II53" s="7"/>
      <c r="IJ53" s="7"/>
      <c r="IK53" s="7"/>
      <c r="IL53" s="7"/>
      <c r="IM53" s="7"/>
      <c r="IN53" s="7"/>
      <c r="IO53" s="7"/>
      <c r="IP53" s="7"/>
      <c r="IQ53" s="7"/>
      <c r="IR53" s="7"/>
      <c r="IS53" s="7"/>
      <c r="IT53" s="7"/>
      <c r="IU53" s="7"/>
      <c r="IV53" s="7"/>
      <c r="IW53" s="7"/>
      <c r="IX53" s="7"/>
      <c r="IY53" s="7"/>
      <c r="IZ53" s="7"/>
      <c r="JA53" s="7"/>
      <c r="JB53" s="7"/>
      <c r="JC53" s="7"/>
      <c r="JD53" s="7"/>
      <c r="JE53" s="7"/>
      <c r="JF53" s="7"/>
      <c r="JG53" s="7"/>
      <c r="JH53" s="7"/>
      <c r="JI53" s="7"/>
      <c r="JJ53" s="7"/>
      <c r="JK53" s="7"/>
      <c r="JL53" s="7"/>
      <c r="JM53" s="7"/>
      <c r="JN53" s="7"/>
      <c r="JO53" s="7"/>
      <c r="JP53" s="7"/>
      <c r="JQ53" s="7"/>
      <c r="JR53" s="7"/>
      <c r="JS53" s="7"/>
      <c r="JT53" s="7"/>
      <c r="JU53" s="7"/>
      <c r="JV53" s="7"/>
      <c r="JW53" s="7"/>
      <c r="JX53" s="7"/>
      <c r="JY53" s="7"/>
      <c r="JZ53" s="7"/>
      <c r="KA53" s="7"/>
      <c r="KB53" s="7"/>
      <c r="KC53" s="7"/>
      <c r="KD53" s="7"/>
      <c r="KE53" s="7"/>
      <c r="KF53" s="7"/>
      <c r="KG53" s="7"/>
      <c r="KH53" s="7"/>
      <c r="KI53" s="7"/>
      <c r="KJ53" s="7"/>
      <c r="KK53" s="7"/>
      <c r="KL53" s="7"/>
      <c r="KM53" s="7"/>
      <c r="KN53" s="7"/>
      <c r="KO53" s="7"/>
      <c r="KP53" s="7"/>
      <c r="KQ53" s="7"/>
      <c r="KR53" s="7"/>
      <c r="KS53" s="7"/>
      <c r="KT53" s="7"/>
      <c r="KU53" s="7"/>
      <c r="KV53" s="7"/>
      <c r="KW53" s="7"/>
      <c r="KX53" s="7"/>
      <c r="KY53" s="7"/>
      <c r="KZ53" s="7"/>
      <c r="LA53" s="7"/>
      <c r="LB53" s="7"/>
      <c r="LC53" s="7"/>
      <c r="LD53" s="7"/>
      <c r="LE53" s="7"/>
      <c r="LF53" s="7"/>
      <c r="LG53" s="7"/>
      <c r="LH53" s="7"/>
      <c r="LI53" s="7"/>
      <c r="LJ53" s="7"/>
      <c r="LK53" s="7"/>
      <c r="LL53" s="7"/>
      <c r="LM53" s="7"/>
      <c r="LN53" s="7"/>
      <c r="LO53" s="7"/>
      <c r="LP53" s="7"/>
      <c r="LQ53" s="7"/>
      <c r="LR53" s="7"/>
      <c r="LS53" s="7"/>
      <c r="LT53" s="7"/>
      <c r="LU53" s="7"/>
      <c r="LV53" s="7"/>
      <c r="LW53" s="7"/>
      <c r="LX53" s="7"/>
      <c r="LY53" s="7"/>
      <c r="LZ53" s="7"/>
      <c r="MA53" s="7"/>
      <c r="MB53" s="7"/>
      <c r="MC53" s="7"/>
      <c r="MD53" s="7"/>
      <c r="ME53" s="7"/>
      <c r="MF53" s="7"/>
      <c r="MG53" s="7"/>
      <c r="MH53" s="7"/>
      <c r="MJ53" s="7"/>
      <c r="MK53" s="7"/>
      <c r="ML53" s="7"/>
      <c r="MM53" s="7"/>
      <c r="MN53" s="7"/>
      <c r="MO53" s="7"/>
      <c r="MP53" s="7"/>
      <c r="MQ53" s="7"/>
      <c r="MR53" s="7"/>
      <c r="MS53" s="7"/>
      <c r="MT53" s="7"/>
      <c r="MU53" s="7"/>
      <c r="MV53" s="7"/>
      <c r="MW53" s="7"/>
      <c r="MX53" s="7"/>
      <c r="MY53" s="7"/>
      <c r="MZ53" s="7"/>
      <c r="NA53" s="7"/>
      <c r="NB53" s="7"/>
      <c r="NC53" s="7"/>
      <c r="ND53" s="7"/>
      <c r="NE53" s="7"/>
      <c r="NF53" s="7"/>
      <c r="NG53" s="7"/>
      <c r="NH53" s="7"/>
      <c r="NI53" s="7"/>
      <c r="NJ53" s="7"/>
      <c r="NK53" s="7"/>
      <c r="NL53" s="7"/>
      <c r="NM53" s="7"/>
      <c r="NN53" s="7"/>
      <c r="NO53" s="7"/>
      <c r="NP53" s="7"/>
      <c r="NQ53" s="7"/>
      <c r="NR53" s="7"/>
      <c r="NS53" s="7"/>
      <c r="NT53" s="7"/>
      <c r="NU53" s="7"/>
      <c r="NV53" s="7"/>
      <c r="NW53" s="7"/>
      <c r="NX53" s="7"/>
      <c r="NY53" s="7"/>
      <c r="NZ53" s="7"/>
      <c r="OA53" s="7"/>
      <c r="OB53" s="7"/>
      <c r="OC53" s="7"/>
      <c r="OD53" s="7"/>
      <c r="OE53" s="7"/>
      <c r="OF53" s="7"/>
      <c r="OG53" s="7"/>
      <c r="OH53" s="7"/>
      <c r="OI53" s="7"/>
      <c r="OJ53" s="7"/>
      <c r="OK53" s="7"/>
      <c r="OL53" s="7"/>
      <c r="OM53" s="7"/>
      <c r="ON53" s="7"/>
      <c r="OO53" s="7"/>
      <c r="OP53" s="7"/>
      <c r="OQ53" s="7"/>
      <c r="OR53" s="7"/>
      <c r="OS53" s="7"/>
      <c r="OT53" s="7"/>
      <c r="OU53" s="7"/>
      <c r="OV53" s="7"/>
      <c r="OW53" s="7"/>
      <c r="OX53" s="7"/>
      <c r="OY53" s="7"/>
      <c r="OZ53" s="7"/>
      <c r="PA53" s="7"/>
      <c r="PB53" s="7"/>
      <c r="PC53" s="7"/>
      <c r="PD53" s="7"/>
      <c r="PE53" s="7"/>
      <c r="PF53" s="7"/>
    </row>
    <row r="54" spans="10:422" ht="13.2">
      <c r="J54" s="7"/>
      <c r="L54" s="7"/>
      <c r="N54" s="7"/>
      <c r="P54" s="7"/>
      <c r="Q54" s="7"/>
      <c r="R54" s="7"/>
      <c r="DN54" s="7"/>
      <c r="DO54" s="7"/>
      <c r="DP54" s="7"/>
      <c r="DQ54" s="7"/>
      <c r="DR54" s="7"/>
      <c r="DS54" s="7"/>
      <c r="DT54" s="7"/>
      <c r="DU54" s="7"/>
      <c r="DV54" s="7"/>
      <c r="DW54" s="7"/>
      <c r="DX54" s="7"/>
      <c r="DY54" s="7"/>
      <c r="DZ54" s="7"/>
      <c r="EA54" s="7"/>
      <c r="EB54" s="7"/>
      <c r="EC54" s="7"/>
      <c r="ED54" s="7"/>
      <c r="EE54" s="7"/>
      <c r="EF54" s="7"/>
      <c r="EG54" s="7"/>
      <c r="EH54" s="7"/>
      <c r="EI54" s="7"/>
      <c r="EJ54" s="7"/>
      <c r="EK54" s="7"/>
      <c r="EL54" s="7"/>
      <c r="EM54" s="7"/>
      <c r="EN54" s="7"/>
      <c r="EO54" s="7"/>
      <c r="EP54" s="7"/>
      <c r="EQ54" s="7"/>
      <c r="ER54" s="7"/>
      <c r="ES54" s="7"/>
      <c r="ET54" s="7"/>
      <c r="EU54" s="7"/>
      <c r="EV54" s="7"/>
      <c r="EW54" s="7"/>
      <c r="EX54" s="7"/>
      <c r="EY54" s="7"/>
      <c r="EZ54" s="7"/>
      <c r="FA54" s="7"/>
      <c r="FB54" s="7"/>
      <c r="FC54" s="7"/>
      <c r="FD54" s="7"/>
      <c r="FE54" s="7"/>
      <c r="FF54" s="7"/>
      <c r="FG54" s="7"/>
      <c r="FH54" s="7"/>
      <c r="FI54" s="7"/>
      <c r="FJ54" s="7"/>
      <c r="FK54" s="7"/>
      <c r="FL54" s="7"/>
      <c r="FM54" s="7"/>
      <c r="FN54" s="7"/>
      <c r="FO54" s="7"/>
      <c r="FP54" s="7"/>
      <c r="FQ54" s="7"/>
      <c r="FR54" s="7"/>
      <c r="FS54" s="7"/>
      <c r="FT54" s="7"/>
      <c r="FU54" s="7"/>
      <c r="FV54" s="7"/>
      <c r="FW54" s="7"/>
      <c r="FX54" s="7"/>
      <c r="FY54" s="7"/>
      <c r="FZ54" s="7"/>
      <c r="GA54" s="7"/>
      <c r="GB54" s="7"/>
      <c r="GC54" s="7"/>
      <c r="GD54" s="7"/>
      <c r="GE54" s="7"/>
      <c r="GF54" s="7"/>
      <c r="GG54" s="7"/>
      <c r="GH54" s="7"/>
      <c r="GI54" s="7"/>
      <c r="GJ54" s="7"/>
      <c r="GK54" s="7"/>
      <c r="GL54" s="7"/>
      <c r="GM54" s="7"/>
      <c r="GN54" s="7"/>
      <c r="GO54" s="7"/>
      <c r="GP54" s="7"/>
      <c r="GQ54" s="7"/>
      <c r="GR54" s="7"/>
      <c r="GS54" s="7"/>
      <c r="GT54" s="7"/>
      <c r="GU54" s="7"/>
      <c r="GV54" s="7"/>
      <c r="GW54" s="7"/>
      <c r="GX54" s="7"/>
      <c r="GY54" s="7"/>
      <c r="GZ54" s="7"/>
      <c r="HA54" s="7"/>
      <c r="HB54" s="7"/>
      <c r="HC54" s="7"/>
      <c r="HD54" s="7"/>
      <c r="HE54" s="7"/>
      <c r="HF54" s="7"/>
      <c r="HG54" s="7"/>
      <c r="HH54" s="7"/>
      <c r="HI54" s="7"/>
      <c r="HJ54" s="7"/>
      <c r="HK54" s="7"/>
      <c r="HL54" s="7"/>
      <c r="HM54" s="7"/>
      <c r="HN54" s="7"/>
      <c r="HO54" s="7"/>
      <c r="HP54" s="7"/>
      <c r="HQ54" s="7"/>
      <c r="HR54" s="7"/>
      <c r="HS54" s="7"/>
      <c r="HT54" s="7"/>
      <c r="HU54" s="7"/>
      <c r="HV54" s="7"/>
      <c r="HW54" s="7"/>
      <c r="HX54" s="7"/>
      <c r="HY54" s="7"/>
      <c r="HZ54" s="7"/>
      <c r="IA54" s="7"/>
      <c r="IB54" s="7"/>
      <c r="IC54" s="7"/>
      <c r="ID54" s="7"/>
      <c r="IE54" s="7"/>
      <c r="IF54" s="7"/>
      <c r="IG54" s="7"/>
      <c r="IH54" s="7"/>
      <c r="II54" s="7"/>
      <c r="IJ54" s="7"/>
      <c r="IK54" s="7"/>
      <c r="IL54" s="7"/>
      <c r="IM54" s="7"/>
      <c r="IN54" s="7"/>
      <c r="IO54" s="7"/>
      <c r="IP54" s="7"/>
      <c r="IQ54" s="7"/>
      <c r="IR54" s="7"/>
      <c r="IS54" s="7"/>
      <c r="IT54" s="7"/>
      <c r="IU54" s="7"/>
      <c r="IV54" s="7"/>
      <c r="IW54" s="7"/>
      <c r="IX54" s="7"/>
      <c r="IY54" s="7"/>
      <c r="IZ54" s="7"/>
      <c r="JA54" s="7"/>
      <c r="JB54" s="7"/>
      <c r="JC54" s="7"/>
      <c r="JD54" s="7"/>
      <c r="JE54" s="7"/>
      <c r="JF54" s="7"/>
      <c r="JG54" s="7"/>
      <c r="JH54" s="7"/>
      <c r="JI54" s="7"/>
      <c r="JJ54" s="7"/>
      <c r="JK54" s="7"/>
      <c r="JL54" s="7"/>
      <c r="JM54" s="7"/>
      <c r="JN54" s="7"/>
      <c r="JO54" s="7"/>
      <c r="JP54" s="7"/>
      <c r="JQ54" s="7"/>
      <c r="JR54" s="7"/>
      <c r="JS54" s="7"/>
      <c r="JT54" s="7"/>
      <c r="JU54" s="7"/>
      <c r="JV54" s="7"/>
      <c r="JW54" s="7"/>
      <c r="JX54" s="7"/>
      <c r="JY54" s="7"/>
      <c r="JZ54" s="7"/>
      <c r="KA54" s="7"/>
      <c r="KB54" s="7"/>
      <c r="KC54" s="7"/>
      <c r="KD54" s="7"/>
      <c r="KE54" s="7"/>
      <c r="KF54" s="7"/>
      <c r="KG54" s="7"/>
      <c r="KH54" s="7"/>
      <c r="KI54" s="7"/>
      <c r="KJ54" s="7"/>
      <c r="KK54" s="7"/>
      <c r="KL54" s="7"/>
      <c r="KM54" s="7"/>
      <c r="KN54" s="7"/>
      <c r="KO54" s="7"/>
      <c r="KP54" s="7"/>
      <c r="KQ54" s="7"/>
      <c r="KR54" s="7"/>
      <c r="KS54" s="7"/>
      <c r="KT54" s="7"/>
      <c r="KU54" s="7"/>
      <c r="KV54" s="7"/>
      <c r="KW54" s="7"/>
      <c r="KX54" s="7"/>
      <c r="KY54" s="7"/>
      <c r="KZ54" s="7"/>
      <c r="LA54" s="7"/>
      <c r="LB54" s="7"/>
      <c r="LC54" s="7"/>
      <c r="LD54" s="7"/>
      <c r="LE54" s="7"/>
      <c r="LF54" s="7"/>
      <c r="LG54" s="7"/>
      <c r="LH54" s="7"/>
      <c r="LI54" s="7"/>
      <c r="LJ54" s="7"/>
      <c r="LK54" s="7"/>
      <c r="LL54" s="7"/>
      <c r="LM54" s="7"/>
      <c r="LN54" s="7"/>
      <c r="LO54" s="7"/>
      <c r="LP54" s="7"/>
      <c r="LQ54" s="7"/>
      <c r="LR54" s="7"/>
      <c r="LS54" s="7"/>
      <c r="LT54" s="7"/>
      <c r="LU54" s="7"/>
      <c r="LV54" s="7"/>
      <c r="LW54" s="7"/>
      <c r="LX54" s="7"/>
      <c r="LY54" s="7"/>
      <c r="LZ54" s="7"/>
      <c r="MA54" s="7"/>
      <c r="MB54" s="7"/>
      <c r="MC54" s="7"/>
      <c r="MD54" s="7"/>
      <c r="ME54" s="7"/>
      <c r="MF54" s="7"/>
      <c r="MG54" s="7"/>
      <c r="MH54" s="7"/>
      <c r="MJ54" s="7"/>
      <c r="MK54" s="7"/>
      <c r="ML54" s="7"/>
      <c r="MM54" s="7"/>
      <c r="MN54" s="7"/>
      <c r="MO54" s="7"/>
      <c r="MP54" s="7"/>
      <c r="MQ54" s="7"/>
      <c r="MR54" s="7"/>
      <c r="MS54" s="7"/>
      <c r="MT54" s="7"/>
      <c r="MU54" s="7"/>
      <c r="MV54" s="7"/>
      <c r="MW54" s="7"/>
      <c r="MX54" s="7"/>
      <c r="MY54" s="7"/>
      <c r="MZ54" s="7"/>
      <c r="NA54" s="7"/>
      <c r="NB54" s="7"/>
      <c r="NC54" s="7"/>
      <c r="ND54" s="7"/>
      <c r="NE54" s="7"/>
      <c r="NF54" s="7"/>
      <c r="NG54" s="7"/>
      <c r="NH54" s="7"/>
      <c r="NI54" s="7"/>
      <c r="NJ54" s="7"/>
      <c r="NK54" s="7"/>
      <c r="NL54" s="7"/>
      <c r="NM54" s="7"/>
      <c r="NN54" s="7"/>
      <c r="NO54" s="7"/>
      <c r="NP54" s="7"/>
      <c r="NQ54" s="7"/>
      <c r="NR54" s="7"/>
      <c r="NS54" s="7"/>
      <c r="NT54" s="7"/>
      <c r="NU54" s="7"/>
      <c r="NV54" s="7"/>
      <c r="NW54" s="7"/>
      <c r="NX54" s="7"/>
      <c r="NY54" s="7"/>
      <c r="NZ54" s="7"/>
      <c r="OA54" s="7"/>
      <c r="OB54" s="7"/>
      <c r="OC54" s="7"/>
      <c r="OD54" s="7"/>
      <c r="OE54" s="7"/>
      <c r="OF54" s="7"/>
      <c r="OG54" s="7"/>
      <c r="OH54" s="7"/>
      <c r="OI54" s="7"/>
      <c r="OJ54" s="7"/>
      <c r="OK54" s="7"/>
      <c r="OL54" s="7"/>
      <c r="OM54" s="7"/>
      <c r="ON54" s="7"/>
      <c r="OO54" s="7"/>
      <c r="OP54" s="7"/>
      <c r="OQ54" s="7"/>
      <c r="OR54" s="7"/>
      <c r="OS54" s="7"/>
      <c r="OT54" s="7"/>
      <c r="OU54" s="7"/>
      <c r="OV54" s="7"/>
      <c r="OW54" s="7"/>
      <c r="OX54" s="7"/>
      <c r="OY54" s="7"/>
      <c r="OZ54" s="7"/>
      <c r="PA54" s="7"/>
      <c r="PB54" s="7"/>
      <c r="PC54" s="7"/>
      <c r="PD54" s="7"/>
      <c r="PE54" s="7"/>
      <c r="PF54" s="7"/>
    </row>
    <row r="55" spans="10:422" ht="13.2">
      <c r="J55" s="7"/>
      <c r="L55" s="7"/>
      <c r="N55" s="7"/>
      <c r="P55" s="7"/>
      <c r="Q55" s="7"/>
      <c r="R55" s="7"/>
      <c r="DN55" s="7"/>
      <c r="DO55" s="7"/>
      <c r="DP55" s="7"/>
      <c r="DQ55" s="7"/>
      <c r="DR55" s="7"/>
      <c r="DS55" s="7"/>
      <c r="DT55" s="7"/>
      <c r="DU55" s="7"/>
      <c r="DV55" s="7"/>
      <c r="DW55" s="7"/>
      <c r="DX55" s="7"/>
      <c r="DY55" s="7"/>
      <c r="DZ55" s="7"/>
      <c r="EA55" s="7"/>
      <c r="EB55" s="7"/>
      <c r="EC55" s="7"/>
      <c r="ED55" s="7"/>
      <c r="EE55" s="7"/>
      <c r="EF55" s="7"/>
      <c r="EG55" s="7"/>
      <c r="EH55" s="7"/>
      <c r="EI55" s="7"/>
      <c r="EJ55" s="7"/>
      <c r="EK55" s="7"/>
      <c r="EL55" s="7"/>
      <c r="EM55" s="7"/>
      <c r="EN55" s="7"/>
      <c r="EO55" s="7"/>
      <c r="EP55" s="7"/>
      <c r="EQ55" s="7"/>
      <c r="ER55" s="7"/>
      <c r="ES55" s="7"/>
      <c r="ET55" s="7"/>
      <c r="EU55" s="7"/>
      <c r="EV55" s="7"/>
      <c r="EW55" s="7"/>
      <c r="EX55" s="7"/>
      <c r="EY55" s="7"/>
      <c r="EZ55" s="7"/>
      <c r="FA55" s="7"/>
      <c r="FB55" s="7"/>
      <c r="FC55" s="7"/>
      <c r="FD55" s="7"/>
      <c r="FE55" s="7"/>
      <c r="FF55" s="7"/>
      <c r="FG55" s="7"/>
      <c r="FH55" s="7"/>
      <c r="FI55" s="7"/>
      <c r="FJ55" s="7"/>
      <c r="FK55" s="7"/>
      <c r="FL55" s="7"/>
      <c r="FM55" s="7"/>
      <c r="FN55" s="7"/>
      <c r="FO55" s="7"/>
      <c r="FP55" s="7"/>
      <c r="FQ55" s="7"/>
      <c r="FR55" s="7"/>
      <c r="FS55" s="7"/>
      <c r="FT55" s="7"/>
      <c r="FU55" s="7"/>
      <c r="FV55" s="7"/>
      <c r="FW55" s="7"/>
      <c r="FX55" s="7"/>
      <c r="FY55" s="7"/>
      <c r="FZ55" s="7"/>
      <c r="GA55" s="7"/>
      <c r="GB55" s="7"/>
      <c r="GC55" s="7"/>
      <c r="GD55" s="7"/>
      <c r="GE55" s="7"/>
      <c r="GF55" s="7"/>
      <c r="GG55" s="7"/>
      <c r="GH55" s="7"/>
      <c r="GI55" s="7"/>
      <c r="GJ55" s="7"/>
      <c r="GK55" s="7"/>
      <c r="GL55" s="7"/>
      <c r="GM55" s="7"/>
      <c r="GN55" s="7"/>
      <c r="GO55" s="7"/>
      <c r="GP55" s="7"/>
      <c r="GQ55" s="7"/>
      <c r="GR55" s="7"/>
      <c r="GS55" s="7"/>
      <c r="GT55" s="7"/>
      <c r="GU55" s="7"/>
      <c r="GV55" s="7"/>
      <c r="GW55" s="7"/>
      <c r="GX55" s="7"/>
      <c r="GY55" s="7"/>
      <c r="GZ55" s="7"/>
      <c r="HA55" s="7"/>
      <c r="HB55" s="7"/>
      <c r="HC55" s="7"/>
      <c r="HD55" s="7"/>
      <c r="HE55" s="7"/>
      <c r="HF55" s="7"/>
      <c r="HG55" s="7"/>
      <c r="HH55" s="7"/>
      <c r="HI55" s="7"/>
      <c r="HJ55" s="7"/>
      <c r="HK55" s="7"/>
      <c r="HL55" s="7"/>
      <c r="HM55" s="7"/>
      <c r="HN55" s="7"/>
      <c r="HO55" s="7"/>
      <c r="HP55" s="7"/>
      <c r="HQ55" s="7"/>
      <c r="HR55" s="7"/>
      <c r="HS55" s="7"/>
      <c r="HT55" s="7"/>
      <c r="HU55" s="7"/>
      <c r="HV55" s="7"/>
      <c r="HW55" s="7"/>
      <c r="HX55" s="7"/>
      <c r="HY55" s="7"/>
      <c r="HZ55" s="7"/>
      <c r="IA55" s="7"/>
      <c r="IB55" s="7"/>
      <c r="IC55" s="7"/>
      <c r="ID55" s="7"/>
      <c r="IE55" s="7"/>
      <c r="IF55" s="7"/>
      <c r="IG55" s="7"/>
      <c r="IH55" s="7"/>
      <c r="II55" s="7"/>
      <c r="IJ55" s="7"/>
      <c r="IK55" s="7"/>
      <c r="IL55" s="7"/>
      <c r="IM55" s="7"/>
      <c r="IN55" s="7"/>
      <c r="IO55" s="7"/>
      <c r="IP55" s="7"/>
      <c r="IQ55" s="7"/>
      <c r="IR55" s="7"/>
      <c r="IS55" s="7"/>
      <c r="IT55" s="7"/>
      <c r="IU55" s="7"/>
      <c r="IV55" s="7"/>
      <c r="IW55" s="7"/>
      <c r="IX55" s="7"/>
      <c r="IY55" s="7"/>
      <c r="IZ55" s="7"/>
      <c r="JA55" s="7"/>
      <c r="JB55" s="7"/>
      <c r="JC55" s="7"/>
      <c r="JD55" s="7"/>
      <c r="JE55" s="7"/>
      <c r="JF55" s="7"/>
      <c r="JG55" s="7"/>
      <c r="JH55" s="7"/>
      <c r="JI55" s="7"/>
      <c r="JJ55" s="7"/>
      <c r="JK55" s="7"/>
      <c r="JL55" s="7"/>
      <c r="JM55" s="7"/>
      <c r="JN55" s="7"/>
      <c r="JO55" s="7"/>
      <c r="JP55" s="7"/>
      <c r="JQ55" s="7"/>
      <c r="JR55" s="7"/>
      <c r="JS55" s="7"/>
      <c r="JT55" s="7"/>
      <c r="JU55" s="7"/>
      <c r="JV55" s="7"/>
      <c r="JW55" s="7"/>
      <c r="JX55" s="7"/>
      <c r="JY55" s="7"/>
      <c r="JZ55" s="7"/>
      <c r="KA55" s="7"/>
      <c r="KB55" s="7"/>
      <c r="KC55" s="7"/>
      <c r="KD55" s="7"/>
      <c r="KE55" s="7"/>
      <c r="KF55" s="7"/>
      <c r="KG55" s="7"/>
      <c r="KH55" s="7"/>
      <c r="KI55" s="7"/>
      <c r="KJ55" s="7"/>
      <c r="KK55" s="7"/>
      <c r="KL55" s="7"/>
      <c r="KM55" s="7"/>
      <c r="KN55" s="7"/>
      <c r="KO55" s="7"/>
      <c r="KP55" s="7"/>
      <c r="KQ55" s="7"/>
      <c r="KR55" s="7"/>
      <c r="KS55" s="7"/>
      <c r="KT55" s="7"/>
      <c r="KU55" s="7"/>
      <c r="KV55" s="7"/>
      <c r="KW55" s="7"/>
      <c r="KX55" s="7"/>
      <c r="KY55" s="7"/>
      <c r="KZ55" s="7"/>
      <c r="LA55" s="7"/>
      <c r="LB55" s="7"/>
      <c r="LC55" s="7"/>
      <c r="LD55" s="7"/>
      <c r="LE55" s="7"/>
      <c r="LF55" s="7"/>
      <c r="LG55" s="7"/>
      <c r="LH55" s="7"/>
      <c r="LI55" s="7"/>
      <c r="LJ55" s="7"/>
      <c r="LK55" s="7"/>
      <c r="LL55" s="7"/>
      <c r="LM55" s="7"/>
      <c r="LN55" s="7"/>
      <c r="LO55" s="7"/>
      <c r="LP55" s="7"/>
      <c r="LQ55" s="7"/>
      <c r="LR55" s="7"/>
      <c r="LS55" s="7"/>
      <c r="LT55" s="7"/>
      <c r="LU55" s="7"/>
      <c r="LV55" s="7"/>
      <c r="LW55" s="7"/>
      <c r="LX55" s="7"/>
      <c r="LY55" s="7"/>
      <c r="LZ55" s="7"/>
      <c r="MA55" s="7"/>
      <c r="MB55" s="7"/>
      <c r="MC55" s="7"/>
      <c r="MD55" s="7"/>
      <c r="ME55" s="7"/>
      <c r="MF55" s="7"/>
      <c r="MG55" s="7"/>
      <c r="MH55" s="7"/>
      <c r="MJ55" s="7"/>
      <c r="MK55" s="7"/>
      <c r="ML55" s="7"/>
      <c r="MM55" s="7"/>
      <c r="MN55" s="7"/>
      <c r="MO55" s="7"/>
      <c r="MP55" s="7"/>
      <c r="MQ55" s="7"/>
      <c r="MR55" s="7"/>
      <c r="MS55" s="7"/>
      <c r="MT55" s="7"/>
      <c r="MU55" s="7"/>
      <c r="MV55" s="7"/>
      <c r="MW55" s="7"/>
      <c r="MX55" s="7"/>
      <c r="MY55" s="7"/>
      <c r="MZ55" s="7"/>
      <c r="NA55" s="7"/>
      <c r="NB55" s="7"/>
      <c r="NC55" s="7"/>
      <c r="ND55" s="7"/>
      <c r="NE55" s="7"/>
      <c r="NF55" s="7"/>
      <c r="NG55" s="7"/>
      <c r="NH55" s="7"/>
      <c r="NI55" s="7"/>
      <c r="NJ55" s="7"/>
      <c r="NK55" s="7"/>
      <c r="NL55" s="7"/>
      <c r="NM55" s="7"/>
      <c r="NN55" s="7"/>
      <c r="NO55" s="7"/>
      <c r="NP55" s="7"/>
      <c r="NQ55" s="7"/>
      <c r="NR55" s="7"/>
      <c r="NS55" s="7"/>
      <c r="NT55" s="7"/>
      <c r="NU55" s="7"/>
      <c r="NV55" s="7"/>
      <c r="NW55" s="7"/>
      <c r="NX55" s="7"/>
      <c r="NY55" s="7"/>
      <c r="NZ55" s="7"/>
      <c r="OA55" s="7"/>
      <c r="OB55" s="7"/>
      <c r="OC55" s="7"/>
      <c r="OD55" s="7"/>
      <c r="OE55" s="7"/>
      <c r="OF55" s="7"/>
      <c r="OG55" s="7"/>
      <c r="OH55" s="7"/>
      <c r="OI55" s="7"/>
      <c r="OJ55" s="7"/>
      <c r="OK55" s="7"/>
      <c r="OL55" s="7"/>
      <c r="OM55" s="7"/>
      <c r="ON55" s="7"/>
      <c r="OO55" s="7"/>
      <c r="OP55" s="7"/>
      <c r="OQ55" s="7"/>
      <c r="OR55" s="7"/>
      <c r="OS55" s="7"/>
      <c r="OT55" s="7"/>
      <c r="OU55" s="7"/>
      <c r="OV55" s="7"/>
      <c r="OW55" s="7"/>
      <c r="OX55" s="7"/>
      <c r="OY55" s="7"/>
      <c r="OZ55" s="7"/>
      <c r="PA55" s="7"/>
      <c r="PB55" s="7"/>
      <c r="PC55" s="7"/>
      <c r="PD55" s="7"/>
      <c r="PE55" s="7"/>
      <c r="PF55" s="7"/>
    </row>
    <row r="56" spans="10:422" ht="13.2">
      <c r="J56" s="7"/>
      <c r="L56" s="7"/>
      <c r="N56" s="7"/>
      <c r="P56" s="7"/>
      <c r="Q56" s="7"/>
      <c r="R56" s="7"/>
      <c r="DN56" s="7"/>
      <c r="DO56" s="7"/>
      <c r="DP56" s="7"/>
      <c r="DQ56" s="7"/>
      <c r="DR56" s="7"/>
      <c r="DS56" s="7"/>
      <c r="DT56" s="7"/>
      <c r="DU56" s="7"/>
      <c r="DV56" s="7"/>
      <c r="DW56" s="7"/>
      <c r="DX56" s="7"/>
      <c r="DY56" s="7"/>
      <c r="DZ56" s="7"/>
      <c r="EA56" s="7"/>
      <c r="EB56" s="7"/>
      <c r="EC56" s="7"/>
      <c r="ED56" s="7"/>
      <c r="EE56" s="7"/>
      <c r="EF56" s="7"/>
      <c r="EG56" s="7"/>
      <c r="EH56" s="7"/>
      <c r="EI56" s="7"/>
      <c r="EJ56" s="7"/>
      <c r="EK56" s="7"/>
      <c r="EL56" s="7"/>
      <c r="EM56" s="7"/>
      <c r="EN56" s="7"/>
      <c r="EO56" s="7"/>
      <c r="EP56" s="7"/>
      <c r="EQ56" s="7"/>
      <c r="ER56" s="7"/>
      <c r="ES56" s="7"/>
      <c r="ET56" s="7"/>
      <c r="EU56" s="7"/>
      <c r="EV56" s="7"/>
      <c r="EW56" s="7"/>
      <c r="EX56" s="7"/>
      <c r="EY56" s="7"/>
      <c r="EZ56" s="7"/>
      <c r="FA56" s="7"/>
      <c r="FB56" s="7"/>
      <c r="FC56" s="7"/>
      <c r="FD56" s="7"/>
      <c r="FE56" s="7"/>
      <c r="FF56" s="7"/>
      <c r="FG56" s="7"/>
      <c r="FH56" s="7"/>
      <c r="FI56" s="7"/>
      <c r="FJ56" s="7"/>
      <c r="FK56" s="7"/>
      <c r="FL56" s="7"/>
      <c r="FM56" s="7"/>
      <c r="FN56" s="7"/>
      <c r="FO56" s="7"/>
      <c r="FP56" s="7"/>
      <c r="FQ56" s="7"/>
      <c r="FR56" s="7"/>
      <c r="FS56" s="7"/>
      <c r="FT56" s="7"/>
      <c r="FU56" s="7"/>
      <c r="FV56" s="7"/>
      <c r="FW56" s="7"/>
      <c r="FX56" s="7"/>
      <c r="FY56" s="7"/>
      <c r="FZ56" s="7"/>
      <c r="GA56" s="7"/>
      <c r="GB56" s="7"/>
      <c r="GC56" s="7"/>
      <c r="GD56" s="7"/>
      <c r="GE56" s="7"/>
      <c r="GF56" s="7"/>
      <c r="GG56" s="7"/>
      <c r="GH56" s="7"/>
      <c r="GI56" s="7"/>
      <c r="GJ56" s="7"/>
      <c r="GK56" s="7"/>
      <c r="GL56" s="7"/>
      <c r="GM56" s="7"/>
      <c r="GN56" s="7"/>
      <c r="GO56" s="7"/>
      <c r="GP56" s="7"/>
      <c r="GQ56" s="7"/>
      <c r="GR56" s="7"/>
      <c r="GS56" s="7"/>
      <c r="GT56" s="7"/>
      <c r="GU56" s="7"/>
      <c r="GV56" s="7"/>
      <c r="GW56" s="7"/>
      <c r="GX56" s="7"/>
      <c r="GY56" s="7"/>
      <c r="GZ56" s="7"/>
      <c r="HA56" s="7"/>
      <c r="HB56" s="7"/>
      <c r="HC56" s="7"/>
      <c r="HD56" s="7"/>
      <c r="HE56" s="7"/>
      <c r="HF56" s="7"/>
      <c r="HG56" s="7"/>
      <c r="HH56" s="7"/>
      <c r="HI56" s="7"/>
      <c r="HJ56" s="7"/>
      <c r="HK56" s="7"/>
      <c r="HL56" s="7"/>
      <c r="HM56" s="7"/>
      <c r="HN56" s="7"/>
      <c r="HO56" s="7"/>
      <c r="HP56" s="7"/>
      <c r="HQ56" s="7"/>
      <c r="HR56" s="7"/>
      <c r="HS56" s="7"/>
      <c r="HT56" s="7"/>
      <c r="HU56" s="7"/>
      <c r="HV56" s="7"/>
      <c r="HW56" s="7"/>
      <c r="HX56" s="7"/>
      <c r="HY56" s="7"/>
      <c r="HZ56" s="7"/>
      <c r="IA56" s="7"/>
      <c r="IB56" s="7"/>
      <c r="IC56" s="7"/>
      <c r="ID56" s="7"/>
      <c r="IE56" s="7"/>
      <c r="IF56" s="7"/>
      <c r="IG56" s="7"/>
      <c r="IH56" s="7"/>
      <c r="II56" s="7"/>
      <c r="IJ56" s="7"/>
      <c r="IK56" s="7"/>
      <c r="IL56" s="7"/>
      <c r="IM56" s="7"/>
      <c r="IN56" s="7"/>
      <c r="IO56" s="7"/>
      <c r="IP56" s="7"/>
      <c r="IQ56" s="7"/>
      <c r="IR56" s="7"/>
      <c r="IS56" s="7"/>
      <c r="IT56" s="7"/>
      <c r="IU56" s="7"/>
      <c r="IV56" s="7"/>
      <c r="IW56" s="7"/>
      <c r="IX56" s="7"/>
      <c r="IY56" s="7"/>
      <c r="IZ56" s="7"/>
      <c r="JA56" s="7"/>
      <c r="JB56" s="7"/>
      <c r="JC56" s="7"/>
      <c r="JD56" s="7"/>
      <c r="JE56" s="7"/>
      <c r="JF56" s="7"/>
      <c r="JG56" s="7"/>
      <c r="JH56" s="7"/>
      <c r="JI56" s="7"/>
      <c r="JJ56" s="7"/>
      <c r="JK56" s="7"/>
      <c r="JL56" s="7"/>
      <c r="JM56" s="7"/>
      <c r="JN56" s="7"/>
      <c r="JO56" s="7"/>
      <c r="JP56" s="7"/>
      <c r="JQ56" s="7"/>
      <c r="JR56" s="7"/>
      <c r="JS56" s="7"/>
      <c r="JT56" s="7"/>
      <c r="JU56" s="7"/>
      <c r="JV56" s="7"/>
      <c r="JW56" s="7"/>
      <c r="JX56" s="7"/>
      <c r="JY56" s="7"/>
      <c r="JZ56" s="7"/>
      <c r="KA56" s="7"/>
      <c r="KB56" s="7"/>
      <c r="KC56" s="7"/>
      <c r="KD56" s="7"/>
      <c r="KE56" s="7"/>
      <c r="KF56" s="7"/>
      <c r="KG56" s="7"/>
      <c r="KH56" s="7"/>
      <c r="KI56" s="7"/>
      <c r="KJ56" s="7"/>
      <c r="KK56" s="7"/>
      <c r="KL56" s="7"/>
      <c r="KM56" s="7"/>
      <c r="KN56" s="7"/>
      <c r="KO56" s="7"/>
      <c r="KP56" s="7"/>
      <c r="KQ56" s="7"/>
      <c r="KR56" s="7"/>
      <c r="KS56" s="7"/>
      <c r="KT56" s="7"/>
      <c r="KU56" s="7"/>
      <c r="KV56" s="7"/>
      <c r="KW56" s="7"/>
      <c r="KX56" s="7"/>
      <c r="KY56" s="7"/>
      <c r="KZ56" s="7"/>
      <c r="LA56" s="7"/>
      <c r="LB56" s="7"/>
      <c r="LC56" s="7"/>
      <c r="LD56" s="7"/>
      <c r="LE56" s="7"/>
      <c r="LF56" s="7"/>
      <c r="LG56" s="7"/>
      <c r="LH56" s="7"/>
      <c r="LI56" s="7"/>
      <c r="LJ56" s="7"/>
      <c r="LK56" s="7"/>
      <c r="LL56" s="7"/>
      <c r="LM56" s="7"/>
      <c r="LN56" s="7"/>
      <c r="LO56" s="7"/>
      <c r="LP56" s="7"/>
      <c r="LQ56" s="7"/>
      <c r="LR56" s="7"/>
      <c r="LS56" s="7"/>
      <c r="LT56" s="7"/>
      <c r="LU56" s="7"/>
      <c r="LV56" s="7"/>
      <c r="LW56" s="7"/>
      <c r="LX56" s="7"/>
      <c r="LY56" s="7"/>
      <c r="LZ56" s="7"/>
      <c r="MA56" s="7"/>
      <c r="MB56" s="7"/>
      <c r="MC56" s="7"/>
      <c r="MD56" s="7"/>
      <c r="ME56" s="7"/>
      <c r="MF56" s="7"/>
      <c r="MG56" s="7"/>
      <c r="MH56" s="7"/>
      <c r="MJ56" s="7"/>
      <c r="MK56" s="7"/>
      <c r="ML56" s="7"/>
      <c r="MM56" s="7"/>
      <c r="MN56" s="7"/>
      <c r="MO56" s="7"/>
      <c r="MP56" s="7"/>
      <c r="MQ56" s="7"/>
      <c r="MR56" s="7"/>
      <c r="MS56" s="7"/>
      <c r="MT56" s="7"/>
      <c r="MU56" s="7"/>
      <c r="MV56" s="7"/>
      <c r="MW56" s="7"/>
      <c r="MX56" s="7"/>
      <c r="MY56" s="7"/>
      <c r="MZ56" s="7"/>
      <c r="NA56" s="7"/>
      <c r="NB56" s="7"/>
      <c r="NC56" s="7"/>
      <c r="ND56" s="7"/>
      <c r="NE56" s="7"/>
      <c r="NF56" s="7"/>
      <c r="NG56" s="7"/>
      <c r="NH56" s="7"/>
      <c r="NI56" s="7"/>
      <c r="NJ56" s="7"/>
      <c r="NK56" s="7"/>
      <c r="NL56" s="7"/>
      <c r="NM56" s="7"/>
      <c r="NN56" s="7"/>
      <c r="NO56" s="7"/>
      <c r="NP56" s="7"/>
      <c r="NQ56" s="7"/>
      <c r="NR56" s="7"/>
      <c r="NS56" s="7"/>
      <c r="NT56" s="7"/>
      <c r="NU56" s="7"/>
      <c r="NV56" s="7"/>
      <c r="NW56" s="7"/>
      <c r="NX56" s="7"/>
      <c r="NY56" s="7"/>
      <c r="NZ56" s="7"/>
      <c r="OA56" s="7"/>
      <c r="OB56" s="7"/>
      <c r="OC56" s="7"/>
      <c r="OD56" s="7"/>
      <c r="OE56" s="7"/>
      <c r="OF56" s="7"/>
      <c r="OG56" s="7"/>
      <c r="OH56" s="7"/>
      <c r="OI56" s="7"/>
      <c r="OJ56" s="7"/>
      <c r="OK56" s="7"/>
      <c r="OL56" s="7"/>
      <c r="OM56" s="7"/>
      <c r="ON56" s="7"/>
      <c r="OO56" s="7"/>
      <c r="OP56" s="7"/>
      <c r="OQ56" s="7"/>
      <c r="OR56" s="7"/>
      <c r="OS56" s="7"/>
      <c r="OT56" s="7"/>
      <c r="OU56" s="7"/>
      <c r="OV56" s="7"/>
      <c r="OW56" s="7"/>
      <c r="OX56" s="7"/>
      <c r="OY56" s="7"/>
      <c r="OZ56" s="7"/>
      <c r="PA56" s="7"/>
      <c r="PB56" s="7"/>
      <c r="PC56" s="7"/>
      <c r="PD56" s="7"/>
      <c r="PE56" s="7"/>
      <c r="PF56" s="7"/>
    </row>
    <row r="57" spans="10:422" ht="13.2">
      <c r="J57" s="7"/>
      <c r="L57" s="7"/>
      <c r="N57" s="7"/>
      <c r="P57" s="7"/>
      <c r="Q57" s="7"/>
      <c r="R57" s="7"/>
      <c r="DN57" s="7"/>
      <c r="DO57" s="7"/>
      <c r="DP57" s="7"/>
      <c r="DQ57" s="7"/>
      <c r="DR57" s="7"/>
      <c r="DS57" s="7"/>
      <c r="DT57" s="7"/>
      <c r="DU57" s="7"/>
      <c r="DV57" s="7"/>
      <c r="DW57" s="7"/>
      <c r="DX57" s="7"/>
      <c r="DY57" s="7"/>
      <c r="DZ57" s="7"/>
      <c r="EA57" s="7"/>
      <c r="EB57" s="7"/>
      <c r="EC57" s="7"/>
      <c r="ED57" s="7"/>
      <c r="EE57" s="7"/>
      <c r="EF57" s="7"/>
      <c r="EG57" s="7"/>
      <c r="EH57" s="7"/>
      <c r="EI57" s="7"/>
      <c r="EJ57" s="7"/>
      <c r="EK57" s="7"/>
      <c r="EL57" s="7"/>
      <c r="EM57" s="7"/>
      <c r="EN57" s="7"/>
      <c r="EO57" s="7"/>
      <c r="EP57" s="7"/>
      <c r="EQ57" s="7"/>
      <c r="ER57" s="7"/>
      <c r="ES57" s="7"/>
      <c r="ET57" s="7"/>
      <c r="EU57" s="7"/>
      <c r="EV57" s="7"/>
      <c r="EW57" s="7"/>
      <c r="EX57" s="7"/>
      <c r="EY57" s="7"/>
      <c r="EZ57" s="7"/>
      <c r="FA57" s="7"/>
      <c r="FB57" s="7"/>
      <c r="FC57" s="7"/>
      <c r="FD57" s="7"/>
      <c r="FE57" s="7"/>
      <c r="FF57" s="7"/>
      <c r="FG57" s="7"/>
      <c r="FH57" s="7"/>
      <c r="FI57" s="7"/>
      <c r="FJ57" s="7"/>
      <c r="FK57" s="7"/>
      <c r="FL57" s="7"/>
      <c r="FM57" s="7"/>
      <c r="FN57" s="7"/>
      <c r="FO57" s="7"/>
      <c r="FP57" s="7"/>
      <c r="FQ57" s="7"/>
      <c r="FR57" s="7"/>
      <c r="FS57" s="7"/>
      <c r="FT57" s="7"/>
      <c r="FU57" s="7"/>
      <c r="FV57" s="7"/>
      <c r="FW57" s="7"/>
      <c r="FX57" s="7"/>
      <c r="FY57" s="7"/>
      <c r="FZ57" s="7"/>
      <c r="GA57" s="7"/>
      <c r="GB57" s="7"/>
      <c r="GC57" s="7"/>
      <c r="GD57" s="7"/>
      <c r="GE57" s="7"/>
      <c r="GF57" s="7"/>
      <c r="GG57" s="7"/>
      <c r="GH57" s="7"/>
      <c r="GI57" s="7"/>
      <c r="GJ57" s="7"/>
      <c r="GK57" s="7"/>
      <c r="GL57" s="7"/>
      <c r="GM57" s="7"/>
      <c r="GN57" s="7"/>
      <c r="GO57" s="7"/>
      <c r="GP57" s="7"/>
      <c r="GQ57" s="7"/>
      <c r="GR57" s="7"/>
      <c r="GS57" s="7"/>
      <c r="GT57" s="7"/>
      <c r="GU57" s="7"/>
      <c r="GV57" s="7"/>
      <c r="GW57" s="7"/>
      <c r="GX57" s="7"/>
      <c r="GY57" s="7"/>
      <c r="GZ57" s="7"/>
      <c r="HA57" s="7"/>
      <c r="HB57" s="7"/>
      <c r="HC57" s="7"/>
      <c r="HD57" s="7"/>
      <c r="HE57" s="7"/>
      <c r="HF57" s="7"/>
      <c r="HG57" s="7"/>
      <c r="HH57" s="7"/>
      <c r="HI57" s="7"/>
      <c r="HJ57" s="7"/>
      <c r="HK57" s="7"/>
      <c r="HL57" s="7"/>
      <c r="HM57" s="7"/>
      <c r="HN57" s="7"/>
      <c r="HO57" s="7"/>
      <c r="HP57" s="7"/>
      <c r="HQ57" s="7"/>
      <c r="HR57" s="7"/>
      <c r="HS57" s="7"/>
      <c r="HT57" s="7"/>
      <c r="HU57" s="7"/>
      <c r="HV57" s="7"/>
      <c r="HW57" s="7"/>
      <c r="HX57" s="7"/>
      <c r="HY57" s="7"/>
      <c r="HZ57" s="7"/>
      <c r="IA57" s="7"/>
      <c r="IB57" s="7"/>
      <c r="IC57" s="7"/>
      <c r="ID57" s="7"/>
      <c r="IE57" s="7"/>
      <c r="IF57" s="7"/>
      <c r="IG57" s="7"/>
      <c r="IH57" s="7"/>
      <c r="II57" s="7"/>
      <c r="IJ57" s="7"/>
      <c r="IK57" s="7"/>
      <c r="IL57" s="7"/>
      <c r="IM57" s="7"/>
      <c r="IN57" s="7"/>
      <c r="IO57" s="7"/>
      <c r="IP57" s="7"/>
      <c r="IQ57" s="7"/>
      <c r="IR57" s="7"/>
      <c r="IS57" s="7"/>
      <c r="IT57" s="7"/>
      <c r="IU57" s="7"/>
      <c r="IV57" s="7"/>
      <c r="IW57" s="7"/>
      <c r="IX57" s="7"/>
      <c r="IY57" s="7"/>
      <c r="IZ57" s="7"/>
      <c r="JA57" s="7"/>
      <c r="JB57" s="7"/>
      <c r="JC57" s="7"/>
      <c r="JD57" s="7"/>
      <c r="JE57" s="7"/>
      <c r="JF57" s="7"/>
      <c r="JG57" s="7"/>
      <c r="JH57" s="7"/>
      <c r="JI57" s="7"/>
      <c r="JJ57" s="7"/>
      <c r="JK57" s="7"/>
      <c r="JL57" s="7"/>
      <c r="JM57" s="7"/>
      <c r="JN57" s="7"/>
      <c r="JO57" s="7"/>
      <c r="JP57" s="7"/>
      <c r="JQ57" s="7"/>
      <c r="JR57" s="7"/>
      <c r="JS57" s="7"/>
      <c r="JT57" s="7"/>
      <c r="JU57" s="7"/>
      <c r="JV57" s="7"/>
      <c r="JW57" s="7"/>
      <c r="JX57" s="7"/>
      <c r="JY57" s="7"/>
      <c r="JZ57" s="7"/>
      <c r="KA57" s="7"/>
      <c r="KB57" s="7"/>
      <c r="KC57" s="7"/>
      <c r="KD57" s="7"/>
      <c r="KE57" s="7"/>
      <c r="KF57" s="7"/>
      <c r="KG57" s="7"/>
      <c r="KH57" s="7"/>
      <c r="KI57" s="7"/>
      <c r="KJ57" s="7"/>
      <c r="KK57" s="7"/>
      <c r="KL57" s="7"/>
      <c r="KM57" s="7"/>
      <c r="KN57" s="7"/>
      <c r="KO57" s="7"/>
      <c r="KP57" s="7"/>
      <c r="KQ57" s="7"/>
      <c r="KR57" s="7"/>
      <c r="KS57" s="7"/>
      <c r="KT57" s="7"/>
      <c r="KU57" s="7"/>
      <c r="KV57" s="7"/>
      <c r="KW57" s="7"/>
      <c r="KX57" s="7"/>
      <c r="KY57" s="7"/>
      <c r="KZ57" s="7"/>
      <c r="LA57" s="7"/>
      <c r="LB57" s="7"/>
      <c r="LC57" s="7"/>
      <c r="LD57" s="7"/>
      <c r="LE57" s="7"/>
      <c r="LF57" s="7"/>
      <c r="LG57" s="7"/>
      <c r="LH57" s="7"/>
      <c r="LI57" s="7"/>
      <c r="LJ57" s="7"/>
      <c r="LK57" s="7"/>
      <c r="LL57" s="7"/>
      <c r="LM57" s="7"/>
      <c r="LN57" s="7"/>
      <c r="LO57" s="7"/>
      <c r="LP57" s="7"/>
      <c r="LQ57" s="7"/>
      <c r="LR57" s="7"/>
      <c r="LS57" s="7"/>
      <c r="LT57" s="7"/>
      <c r="LU57" s="7"/>
      <c r="LV57" s="7"/>
      <c r="LW57" s="7"/>
      <c r="LX57" s="7"/>
      <c r="LY57" s="7"/>
      <c r="LZ57" s="7"/>
      <c r="MA57" s="7"/>
      <c r="MB57" s="7"/>
      <c r="MC57" s="7"/>
      <c r="MD57" s="7"/>
      <c r="ME57" s="7"/>
      <c r="MF57" s="7"/>
      <c r="MG57" s="7"/>
      <c r="MH57" s="7"/>
      <c r="MJ57" s="7"/>
      <c r="MK57" s="7"/>
      <c r="ML57" s="7"/>
      <c r="MM57" s="7"/>
      <c r="MN57" s="7"/>
      <c r="MO57" s="7"/>
      <c r="MP57" s="7"/>
      <c r="MQ57" s="7"/>
      <c r="MR57" s="7"/>
      <c r="MS57" s="7"/>
      <c r="MT57" s="7"/>
      <c r="MU57" s="7"/>
      <c r="MV57" s="7"/>
      <c r="MW57" s="7"/>
      <c r="MX57" s="7"/>
      <c r="MY57" s="7"/>
      <c r="MZ57" s="7"/>
      <c r="NA57" s="7"/>
      <c r="NB57" s="7"/>
      <c r="NC57" s="7"/>
      <c r="ND57" s="7"/>
      <c r="NE57" s="7"/>
      <c r="NF57" s="7"/>
      <c r="NG57" s="7"/>
      <c r="NH57" s="7"/>
      <c r="NI57" s="7"/>
      <c r="NJ57" s="7"/>
      <c r="NK57" s="7"/>
      <c r="NL57" s="7"/>
      <c r="NM57" s="7"/>
      <c r="NN57" s="7"/>
      <c r="NO57" s="7"/>
      <c r="NP57" s="7"/>
      <c r="NQ57" s="7"/>
      <c r="NR57" s="7"/>
      <c r="NS57" s="7"/>
      <c r="NT57" s="7"/>
      <c r="NU57" s="7"/>
      <c r="NV57" s="7"/>
      <c r="NW57" s="7"/>
      <c r="NX57" s="7"/>
      <c r="NY57" s="7"/>
      <c r="NZ57" s="7"/>
      <c r="OA57" s="7"/>
      <c r="OB57" s="7"/>
      <c r="OC57" s="7"/>
      <c r="OD57" s="7"/>
      <c r="OE57" s="7"/>
      <c r="OF57" s="7"/>
      <c r="OG57" s="7"/>
      <c r="OH57" s="7"/>
      <c r="OI57" s="7"/>
      <c r="OJ57" s="7"/>
      <c r="OK57" s="7"/>
      <c r="OL57" s="7"/>
      <c r="OM57" s="7"/>
      <c r="ON57" s="7"/>
      <c r="OO57" s="7"/>
      <c r="OP57" s="7"/>
      <c r="OQ57" s="7"/>
      <c r="OR57" s="7"/>
      <c r="OS57" s="7"/>
      <c r="OT57" s="7"/>
      <c r="OU57" s="7"/>
      <c r="OV57" s="7"/>
      <c r="OW57" s="7"/>
      <c r="OX57" s="7"/>
      <c r="OY57" s="7"/>
      <c r="OZ57" s="7"/>
      <c r="PA57" s="7"/>
      <c r="PB57" s="7"/>
      <c r="PC57" s="7"/>
      <c r="PD57" s="7"/>
      <c r="PE57" s="7"/>
      <c r="PF57" s="7"/>
    </row>
    <row r="58" spans="10:422" ht="13.2">
      <c r="J58" s="7"/>
      <c r="L58" s="7"/>
      <c r="N58" s="7"/>
      <c r="P58" s="7"/>
      <c r="Q58" s="7"/>
      <c r="R58" s="7"/>
      <c r="DN58" s="7"/>
      <c r="DO58" s="7"/>
      <c r="DP58" s="7"/>
      <c r="DQ58" s="7"/>
      <c r="DR58" s="7"/>
      <c r="DS58" s="7"/>
      <c r="DT58" s="7"/>
      <c r="DU58" s="7"/>
      <c r="DV58" s="7"/>
      <c r="DW58" s="7"/>
      <c r="DX58" s="7"/>
      <c r="DY58" s="7"/>
      <c r="DZ58" s="7"/>
      <c r="EA58" s="7"/>
      <c r="EB58" s="7"/>
      <c r="EC58" s="7"/>
      <c r="ED58" s="7"/>
      <c r="EE58" s="7"/>
      <c r="EF58" s="7"/>
      <c r="EG58" s="7"/>
      <c r="EH58" s="7"/>
      <c r="EI58" s="7"/>
      <c r="EJ58" s="7"/>
      <c r="EK58" s="7"/>
      <c r="EL58" s="7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7"/>
      <c r="FA58" s="7"/>
      <c r="FB58" s="7"/>
      <c r="FC58" s="7"/>
      <c r="FD58" s="7"/>
      <c r="FE58" s="7"/>
      <c r="FF58" s="7"/>
      <c r="FG58" s="7"/>
      <c r="FH58" s="7"/>
      <c r="FI58" s="7"/>
      <c r="FJ58" s="7"/>
      <c r="FK58" s="7"/>
      <c r="FL58" s="7"/>
      <c r="FM58" s="7"/>
      <c r="FN58" s="7"/>
      <c r="FO58" s="7"/>
      <c r="FP58" s="7"/>
      <c r="FQ58" s="7"/>
      <c r="FR58" s="7"/>
      <c r="FS58" s="7"/>
      <c r="FT58" s="7"/>
      <c r="FU58" s="7"/>
      <c r="FV58" s="7"/>
      <c r="FW58" s="7"/>
      <c r="FX58" s="7"/>
      <c r="FY58" s="7"/>
      <c r="FZ58" s="7"/>
      <c r="GA58" s="7"/>
      <c r="GB58" s="7"/>
      <c r="GC58" s="7"/>
      <c r="GD58" s="7"/>
      <c r="GE58" s="7"/>
      <c r="GF58" s="7"/>
      <c r="GG58" s="7"/>
      <c r="GH58" s="7"/>
      <c r="GI58" s="7"/>
      <c r="GJ58" s="7"/>
      <c r="GK58" s="7"/>
      <c r="GL58" s="7"/>
      <c r="GM58" s="7"/>
      <c r="GN58" s="7"/>
      <c r="GO58" s="7"/>
      <c r="GP58" s="7"/>
      <c r="GQ58" s="7"/>
      <c r="GR58" s="7"/>
      <c r="GS58" s="7"/>
      <c r="GT58" s="7"/>
      <c r="GU58" s="7"/>
      <c r="GV58" s="7"/>
      <c r="GW58" s="7"/>
      <c r="GX58" s="7"/>
      <c r="GY58" s="7"/>
      <c r="GZ58" s="7"/>
      <c r="HA58" s="7"/>
      <c r="HB58" s="7"/>
      <c r="HC58" s="7"/>
      <c r="HD58" s="7"/>
      <c r="HE58" s="7"/>
      <c r="HF58" s="7"/>
      <c r="HG58" s="7"/>
      <c r="HH58" s="7"/>
      <c r="HI58" s="7"/>
      <c r="HJ58" s="7"/>
      <c r="HK58" s="7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7"/>
      <c r="HZ58" s="7"/>
      <c r="IA58" s="7"/>
      <c r="IB58" s="7"/>
      <c r="IC58" s="7"/>
      <c r="ID58" s="7"/>
      <c r="IE58" s="7"/>
      <c r="IF58" s="7"/>
      <c r="IG58" s="7"/>
      <c r="IH58" s="7"/>
      <c r="II58" s="7"/>
      <c r="IJ58" s="7"/>
      <c r="IK58" s="7"/>
      <c r="IL58" s="7"/>
      <c r="IM58" s="7"/>
      <c r="IN58" s="7"/>
      <c r="IO58" s="7"/>
      <c r="IP58" s="7"/>
      <c r="IQ58" s="7"/>
      <c r="IR58" s="7"/>
      <c r="IS58" s="7"/>
      <c r="IT58" s="7"/>
      <c r="IU58" s="7"/>
      <c r="IV58" s="7"/>
      <c r="IW58" s="7"/>
      <c r="IX58" s="7"/>
      <c r="IY58" s="7"/>
      <c r="IZ58" s="7"/>
      <c r="JA58" s="7"/>
      <c r="JB58" s="7"/>
      <c r="JC58" s="7"/>
      <c r="JD58" s="7"/>
      <c r="JE58" s="7"/>
      <c r="JF58" s="7"/>
      <c r="JG58" s="7"/>
      <c r="JH58" s="7"/>
      <c r="JI58" s="7"/>
      <c r="JJ58" s="7"/>
      <c r="JK58" s="7"/>
      <c r="JL58" s="7"/>
      <c r="JM58" s="7"/>
      <c r="JN58" s="7"/>
      <c r="JO58" s="7"/>
      <c r="JP58" s="7"/>
      <c r="JQ58" s="7"/>
      <c r="JR58" s="7"/>
      <c r="JS58" s="7"/>
      <c r="JT58" s="7"/>
      <c r="JU58" s="7"/>
      <c r="JV58" s="7"/>
      <c r="JW58" s="7"/>
      <c r="JX58" s="7"/>
      <c r="JY58" s="7"/>
      <c r="JZ58" s="7"/>
      <c r="KA58" s="7"/>
      <c r="KB58" s="7"/>
      <c r="KC58" s="7"/>
      <c r="KD58" s="7"/>
      <c r="KE58" s="7"/>
      <c r="KF58" s="7"/>
      <c r="KG58" s="7"/>
      <c r="KH58" s="7"/>
      <c r="KI58" s="7"/>
      <c r="KJ58" s="7"/>
      <c r="KK58" s="7"/>
      <c r="KL58" s="7"/>
      <c r="KM58" s="7"/>
      <c r="KN58" s="7"/>
      <c r="KO58" s="7"/>
      <c r="KP58" s="7"/>
      <c r="KQ58" s="7"/>
      <c r="KR58" s="7"/>
      <c r="KS58" s="7"/>
      <c r="KT58" s="7"/>
      <c r="KU58" s="7"/>
      <c r="KV58" s="7"/>
      <c r="KW58" s="7"/>
      <c r="KX58" s="7"/>
      <c r="KY58" s="7"/>
      <c r="KZ58" s="7"/>
      <c r="LA58" s="7"/>
      <c r="LB58" s="7"/>
      <c r="LC58" s="7"/>
      <c r="LD58" s="7"/>
      <c r="LE58" s="7"/>
      <c r="LF58" s="7"/>
      <c r="LG58" s="7"/>
      <c r="LH58" s="7"/>
      <c r="LI58" s="7"/>
      <c r="LJ58" s="7"/>
      <c r="LK58" s="7"/>
      <c r="LL58" s="7"/>
      <c r="LM58" s="7"/>
      <c r="LN58" s="7"/>
      <c r="LO58" s="7"/>
      <c r="LP58" s="7"/>
      <c r="LQ58" s="7"/>
      <c r="LR58" s="7"/>
      <c r="LS58" s="7"/>
      <c r="LT58" s="7"/>
      <c r="LU58" s="7"/>
      <c r="LV58" s="7"/>
      <c r="LW58" s="7"/>
      <c r="LX58" s="7"/>
      <c r="LY58" s="7"/>
      <c r="LZ58" s="7"/>
      <c r="MA58" s="7"/>
      <c r="MB58" s="7"/>
      <c r="MC58" s="7"/>
      <c r="MD58" s="7"/>
      <c r="ME58" s="7"/>
      <c r="MF58" s="7"/>
      <c r="MG58" s="7"/>
      <c r="MH58" s="7"/>
      <c r="MJ58" s="7"/>
      <c r="MK58" s="7"/>
      <c r="ML58" s="7"/>
      <c r="MM58" s="7"/>
      <c r="MN58" s="7"/>
      <c r="MO58" s="7"/>
      <c r="MP58" s="7"/>
      <c r="MQ58" s="7"/>
      <c r="MR58" s="7"/>
      <c r="MS58" s="7"/>
      <c r="MT58" s="7"/>
      <c r="MU58" s="7"/>
      <c r="MV58" s="7"/>
      <c r="MW58" s="7"/>
      <c r="MX58" s="7"/>
      <c r="MY58" s="7"/>
      <c r="MZ58" s="7"/>
      <c r="NA58" s="7"/>
      <c r="NB58" s="7"/>
      <c r="NC58" s="7"/>
      <c r="ND58" s="7"/>
      <c r="NE58" s="7"/>
      <c r="NF58" s="7"/>
      <c r="NG58" s="7"/>
      <c r="NH58" s="7"/>
      <c r="NI58" s="7"/>
      <c r="NJ58" s="7"/>
      <c r="NK58" s="7"/>
      <c r="NL58" s="7"/>
      <c r="NM58" s="7"/>
      <c r="NN58" s="7"/>
      <c r="NO58" s="7"/>
      <c r="NP58" s="7"/>
      <c r="NQ58" s="7"/>
      <c r="NR58" s="7"/>
      <c r="NS58" s="7"/>
      <c r="NT58" s="7"/>
      <c r="NU58" s="7"/>
      <c r="NV58" s="7"/>
      <c r="NW58" s="7"/>
      <c r="NX58" s="7"/>
      <c r="NY58" s="7"/>
      <c r="NZ58" s="7"/>
      <c r="OA58" s="7"/>
      <c r="OB58" s="7"/>
      <c r="OC58" s="7"/>
      <c r="OD58" s="7"/>
      <c r="OE58" s="7"/>
      <c r="OF58" s="7"/>
      <c r="OG58" s="7"/>
      <c r="OH58" s="7"/>
      <c r="OI58" s="7"/>
      <c r="OJ58" s="7"/>
      <c r="OK58" s="7"/>
      <c r="OL58" s="7"/>
      <c r="OM58" s="7"/>
      <c r="ON58" s="7"/>
      <c r="OO58" s="7"/>
      <c r="OP58" s="7"/>
      <c r="OQ58" s="7"/>
      <c r="OR58" s="7"/>
      <c r="OS58" s="7"/>
      <c r="OT58" s="7"/>
      <c r="OU58" s="7"/>
      <c r="OV58" s="7"/>
      <c r="OW58" s="7"/>
      <c r="OX58" s="7"/>
      <c r="OY58" s="7"/>
      <c r="OZ58" s="7"/>
      <c r="PA58" s="7"/>
      <c r="PB58" s="7"/>
      <c r="PC58" s="7"/>
      <c r="PD58" s="7"/>
      <c r="PE58" s="7"/>
      <c r="PF58" s="7"/>
    </row>
    <row r="59" spans="10:422" ht="13.2">
      <c r="J59" s="7"/>
      <c r="L59" s="7"/>
      <c r="N59" s="7"/>
      <c r="P59" s="7"/>
      <c r="Q59" s="7"/>
      <c r="R59" s="7"/>
      <c r="DN59" s="7"/>
      <c r="DO59" s="7"/>
      <c r="DP59" s="7"/>
      <c r="DQ59" s="7"/>
      <c r="DR59" s="7"/>
      <c r="DS59" s="7"/>
      <c r="DT59" s="7"/>
      <c r="DU59" s="7"/>
      <c r="DV59" s="7"/>
      <c r="DW59" s="7"/>
      <c r="DX59" s="7"/>
      <c r="DY59" s="7"/>
      <c r="DZ59" s="7"/>
      <c r="EA59" s="7"/>
      <c r="EB59" s="7"/>
      <c r="EC59" s="7"/>
      <c r="ED59" s="7"/>
      <c r="EE59" s="7"/>
      <c r="EF59" s="7"/>
      <c r="EG59" s="7"/>
      <c r="EH59" s="7"/>
      <c r="EI59" s="7"/>
      <c r="EJ59" s="7"/>
      <c r="EK59" s="7"/>
      <c r="EL59" s="7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  <c r="FH59" s="7"/>
      <c r="FI59" s="7"/>
      <c r="FJ59" s="7"/>
      <c r="FK59" s="7"/>
      <c r="FL59" s="7"/>
      <c r="FM59" s="7"/>
      <c r="FN59" s="7"/>
      <c r="FO59" s="7"/>
      <c r="FP59" s="7"/>
      <c r="FQ59" s="7"/>
      <c r="FR59" s="7"/>
      <c r="FS59" s="7"/>
      <c r="FT59" s="7"/>
      <c r="FU59" s="7"/>
      <c r="FV59" s="7"/>
      <c r="FW59" s="7"/>
      <c r="FX59" s="7"/>
      <c r="FY59" s="7"/>
      <c r="FZ59" s="7"/>
      <c r="GA59" s="7"/>
      <c r="GB59" s="7"/>
      <c r="GC59" s="7"/>
      <c r="GD59" s="7"/>
      <c r="GE59" s="7"/>
      <c r="GF59" s="7"/>
      <c r="GG59" s="7"/>
      <c r="GH59" s="7"/>
      <c r="GI59" s="7"/>
      <c r="GJ59" s="7"/>
      <c r="GK59" s="7"/>
      <c r="GL59" s="7"/>
      <c r="GM59" s="7"/>
      <c r="GN59" s="7"/>
      <c r="GO59" s="7"/>
      <c r="GP59" s="7"/>
      <c r="GQ59" s="7"/>
      <c r="GR59" s="7"/>
      <c r="GS59" s="7"/>
      <c r="GT59" s="7"/>
      <c r="GU59" s="7"/>
      <c r="GV59" s="7"/>
      <c r="GW59" s="7"/>
      <c r="GX59" s="7"/>
      <c r="GY59" s="7"/>
      <c r="GZ59" s="7"/>
      <c r="HA59" s="7"/>
      <c r="HB59" s="7"/>
      <c r="HC59" s="7"/>
      <c r="HD59" s="7"/>
      <c r="HE59" s="7"/>
      <c r="HF59" s="7"/>
      <c r="HG59" s="7"/>
      <c r="HH59" s="7"/>
      <c r="HI59" s="7"/>
      <c r="HJ59" s="7"/>
      <c r="HK59" s="7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  <c r="IG59" s="7"/>
      <c r="IH59" s="7"/>
      <c r="II59" s="7"/>
      <c r="IJ59" s="7"/>
      <c r="IK59" s="7"/>
      <c r="IL59" s="7"/>
      <c r="IM59" s="7"/>
      <c r="IN59" s="7"/>
      <c r="IO59" s="7"/>
      <c r="IP59" s="7"/>
      <c r="IQ59" s="7"/>
      <c r="IR59" s="7"/>
      <c r="IS59" s="7"/>
      <c r="IT59" s="7"/>
      <c r="IU59" s="7"/>
      <c r="IV59" s="7"/>
      <c r="IW59" s="7"/>
      <c r="IX59" s="7"/>
      <c r="IY59" s="7"/>
      <c r="IZ59" s="7"/>
      <c r="JA59" s="7"/>
      <c r="JB59" s="7"/>
      <c r="JC59" s="7"/>
      <c r="JD59" s="7"/>
      <c r="JE59" s="7"/>
      <c r="JF59" s="7"/>
      <c r="JG59" s="7"/>
      <c r="JH59" s="7"/>
      <c r="JI59" s="7"/>
      <c r="JJ59" s="7"/>
      <c r="JK59" s="7"/>
      <c r="JL59" s="7"/>
      <c r="JM59" s="7"/>
      <c r="JN59" s="7"/>
      <c r="JO59" s="7"/>
      <c r="JP59" s="7"/>
      <c r="JQ59" s="7"/>
      <c r="JR59" s="7"/>
      <c r="JS59" s="7"/>
      <c r="JT59" s="7"/>
      <c r="JU59" s="7"/>
      <c r="JV59" s="7"/>
      <c r="JW59" s="7"/>
      <c r="JX59" s="7"/>
      <c r="JY59" s="7"/>
      <c r="JZ59" s="7"/>
      <c r="KA59" s="7"/>
      <c r="KB59" s="7"/>
      <c r="KC59" s="7"/>
      <c r="KD59" s="7"/>
      <c r="KE59" s="7"/>
      <c r="KF59" s="7"/>
      <c r="KG59" s="7"/>
      <c r="KH59" s="7"/>
      <c r="KI59" s="7"/>
      <c r="KJ59" s="7"/>
      <c r="KK59" s="7"/>
      <c r="KL59" s="7"/>
      <c r="KM59" s="7"/>
      <c r="KN59" s="7"/>
      <c r="KO59" s="7"/>
      <c r="KP59" s="7"/>
      <c r="KQ59" s="7"/>
      <c r="KR59" s="7"/>
      <c r="KS59" s="7"/>
      <c r="KT59" s="7"/>
      <c r="KU59" s="7"/>
      <c r="KV59" s="7"/>
      <c r="KW59" s="7"/>
      <c r="KX59" s="7"/>
      <c r="KY59" s="7"/>
      <c r="KZ59" s="7"/>
      <c r="LA59" s="7"/>
      <c r="LB59" s="7"/>
      <c r="LC59" s="7"/>
      <c r="LD59" s="7"/>
      <c r="LE59" s="7"/>
      <c r="LF59" s="7"/>
      <c r="LG59" s="7"/>
      <c r="LH59" s="7"/>
      <c r="LI59" s="7"/>
      <c r="LJ59" s="7"/>
      <c r="LK59" s="7"/>
      <c r="LL59" s="7"/>
      <c r="LM59" s="7"/>
      <c r="LN59" s="7"/>
      <c r="LO59" s="7"/>
      <c r="LP59" s="7"/>
      <c r="LQ59" s="7"/>
      <c r="LR59" s="7"/>
      <c r="LS59" s="7"/>
      <c r="LT59" s="7"/>
      <c r="LU59" s="7"/>
      <c r="LV59" s="7"/>
      <c r="LW59" s="7"/>
      <c r="LX59" s="7"/>
      <c r="LY59" s="7"/>
      <c r="LZ59" s="7"/>
      <c r="MA59" s="7"/>
      <c r="MB59" s="7"/>
      <c r="MC59" s="7"/>
      <c r="MD59" s="7"/>
      <c r="ME59" s="7"/>
      <c r="MF59" s="7"/>
      <c r="MG59" s="7"/>
      <c r="MH59" s="7"/>
      <c r="MJ59" s="7"/>
      <c r="MK59" s="7"/>
      <c r="ML59" s="7"/>
      <c r="MM59" s="7"/>
      <c r="MN59" s="7"/>
      <c r="MO59" s="7"/>
      <c r="MP59" s="7"/>
      <c r="MQ59" s="7"/>
      <c r="MR59" s="7"/>
      <c r="MS59" s="7"/>
      <c r="MT59" s="7"/>
      <c r="MU59" s="7"/>
      <c r="MV59" s="7"/>
      <c r="MW59" s="7"/>
      <c r="MX59" s="7"/>
      <c r="MY59" s="7"/>
      <c r="MZ59" s="7"/>
      <c r="NA59" s="7"/>
      <c r="NB59" s="7"/>
      <c r="NC59" s="7"/>
      <c r="ND59" s="7"/>
      <c r="NE59" s="7"/>
      <c r="NF59" s="7"/>
      <c r="NG59" s="7"/>
      <c r="NH59" s="7"/>
      <c r="NI59" s="7"/>
      <c r="NJ59" s="7"/>
      <c r="NK59" s="7"/>
      <c r="NL59" s="7"/>
      <c r="NM59" s="7"/>
      <c r="NN59" s="7"/>
      <c r="NO59" s="7"/>
      <c r="NP59" s="7"/>
      <c r="NQ59" s="7"/>
      <c r="NR59" s="7"/>
      <c r="NS59" s="7"/>
      <c r="NT59" s="7"/>
      <c r="NU59" s="7"/>
      <c r="NV59" s="7"/>
      <c r="NW59" s="7"/>
      <c r="NX59" s="7"/>
      <c r="NY59" s="7"/>
      <c r="NZ59" s="7"/>
      <c r="OA59" s="7"/>
      <c r="OB59" s="7"/>
      <c r="OC59" s="7"/>
      <c r="OD59" s="7"/>
      <c r="OE59" s="7"/>
      <c r="OF59" s="7"/>
      <c r="OG59" s="7"/>
      <c r="OH59" s="7"/>
      <c r="OI59" s="7"/>
      <c r="OJ59" s="7"/>
      <c r="OK59" s="7"/>
      <c r="OL59" s="7"/>
      <c r="OM59" s="7"/>
      <c r="ON59" s="7"/>
      <c r="OO59" s="7"/>
      <c r="OP59" s="7"/>
      <c r="OQ59" s="7"/>
      <c r="OR59" s="7"/>
      <c r="OS59" s="7"/>
      <c r="OT59" s="7"/>
      <c r="OU59" s="7"/>
      <c r="OV59" s="7"/>
      <c r="OW59" s="7"/>
      <c r="OX59" s="7"/>
      <c r="OY59" s="7"/>
      <c r="OZ59" s="7"/>
      <c r="PA59" s="7"/>
      <c r="PB59" s="7"/>
      <c r="PC59" s="7"/>
      <c r="PD59" s="7"/>
      <c r="PE59" s="7"/>
      <c r="PF59" s="7"/>
    </row>
    <row r="60" spans="10:422" ht="13.2">
      <c r="J60" s="7"/>
      <c r="L60" s="7"/>
      <c r="N60" s="7"/>
      <c r="P60" s="7"/>
      <c r="Q60" s="7"/>
      <c r="R60" s="7"/>
      <c r="DN60" s="7"/>
      <c r="DO60" s="7"/>
      <c r="DP60" s="7"/>
      <c r="DQ60" s="7"/>
      <c r="DR60" s="7"/>
      <c r="DS60" s="7"/>
      <c r="DT60" s="7"/>
      <c r="DU60" s="7"/>
      <c r="DV60" s="7"/>
      <c r="DW60" s="7"/>
      <c r="DX60" s="7"/>
      <c r="DY60" s="7"/>
      <c r="DZ60" s="7"/>
      <c r="EA60" s="7"/>
      <c r="EB60" s="7"/>
      <c r="EC60" s="7"/>
      <c r="ED60" s="7"/>
      <c r="EE60" s="7"/>
      <c r="EF60" s="7"/>
      <c r="EG60" s="7"/>
      <c r="EH60" s="7"/>
      <c r="EI60" s="7"/>
      <c r="EJ60" s="7"/>
      <c r="EK60" s="7"/>
      <c r="EL60" s="7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  <c r="FH60" s="7"/>
      <c r="FI60" s="7"/>
      <c r="FJ60" s="7"/>
      <c r="FK60" s="7"/>
      <c r="FL60" s="7"/>
      <c r="FM60" s="7"/>
      <c r="FN60" s="7"/>
      <c r="FO60" s="7"/>
      <c r="FP60" s="7"/>
      <c r="FQ60" s="7"/>
      <c r="FR60" s="7"/>
      <c r="FS60" s="7"/>
      <c r="FT60" s="7"/>
      <c r="FU60" s="7"/>
      <c r="FV60" s="7"/>
      <c r="FW60" s="7"/>
      <c r="FX60" s="7"/>
      <c r="FY60" s="7"/>
      <c r="FZ60" s="7"/>
      <c r="GA60" s="7"/>
      <c r="GB60" s="7"/>
      <c r="GC60" s="7"/>
      <c r="GD60" s="7"/>
      <c r="GE60" s="7"/>
      <c r="GF60" s="7"/>
      <c r="GG60" s="7"/>
      <c r="GH60" s="7"/>
      <c r="GI60" s="7"/>
      <c r="GJ60" s="7"/>
      <c r="GK60" s="7"/>
      <c r="GL60" s="7"/>
      <c r="GM60" s="7"/>
      <c r="GN60" s="7"/>
      <c r="GO60" s="7"/>
      <c r="GP60" s="7"/>
      <c r="GQ60" s="7"/>
      <c r="GR60" s="7"/>
      <c r="GS60" s="7"/>
      <c r="GT60" s="7"/>
      <c r="GU60" s="7"/>
      <c r="GV60" s="7"/>
      <c r="GW60" s="7"/>
      <c r="GX60" s="7"/>
      <c r="GY60" s="7"/>
      <c r="GZ60" s="7"/>
      <c r="HA60" s="7"/>
      <c r="HB60" s="7"/>
      <c r="HC60" s="7"/>
      <c r="HD60" s="7"/>
      <c r="HE60" s="7"/>
      <c r="HF60" s="7"/>
      <c r="HG60" s="7"/>
      <c r="HH60" s="7"/>
      <c r="HI60" s="7"/>
      <c r="HJ60" s="7"/>
      <c r="HK60" s="7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  <c r="IG60" s="7"/>
      <c r="IH60" s="7"/>
      <c r="II60" s="7"/>
      <c r="IJ60" s="7"/>
      <c r="IK60" s="7"/>
      <c r="IL60" s="7"/>
      <c r="IM60" s="7"/>
      <c r="IN60" s="7"/>
      <c r="IO60" s="7"/>
      <c r="IP60" s="7"/>
      <c r="IQ60" s="7"/>
      <c r="IR60" s="7"/>
      <c r="IS60" s="7"/>
      <c r="IT60" s="7"/>
      <c r="IU60" s="7"/>
      <c r="IV60" s="7"/>
      <c r="IW60" s="7"/>
      <c r="IX60" s="7"/>
      <c r="IY60" s="7"/>
      <c r="IZ60" s="7"/>
      <c r="JA60" s="7"/>
      <c r="JB60" s="7"/>
      <c r="JC60" s="7"/>
      <c r="JD60" s="7"/>
      <c r="JE60" s="7"/>
      <c r="JF60" s="7"/>
      <c r="JG60" s="7"/>
      <c r="JH60" s="7"/>
      <c r="JI60" s="7"/>
      <c r="JJ60" s="7"/>
      <c r="JK60" s="7"/>
      <c r="JL60" s="7"/>
      <c r="JM60" s="7"/>
      <c r="JN60" s="7"/>
      <c r="JO60" s="7"/>
      <c r="JP60" s="7"/>
      <c r="JQ60" s="7"/>
      <c r="JR60" s="7"/>
      <c r="JS60" s="7"/>
      <c r="JT60" s="7"/>
      <c r="JU60" s="7"/>
      <c r="JV60" s="7"/>
      <c r="JW60" s="7"/>
      <c r="JX60" s="7"/>
      <c r="JY60" s="7"/>
      <c r="JZ60" s="7"/>
      <c r="KA60" s="7"/>
      <c r="KB60" s="7"/>
      <c r="KC60" s="7"/>
      <c r="KD60" s="7"/>
      <c r="KE60" s="7"/>
      <c r="KF60" s="7"/>
      <c r="KG60" s="7"/>
      <c r="KH60" s="7"/>
      <c r="KI60" s="7"/>
      <c r="KJ60" s="7"/>
      <c r="KK60" s="7"/>
      <c r="KL60" s="7"/>
      <c r="KM60" s="7"/>
      <c r="KN60" s="7"/>
      <c r="KO60" s="7"/>
      <c r="KP60" s="7"/>
      <c r="KQ60" s="7"/>
      <c r="KR60" s="7"/>
      <c r="KS60" s="7"/>
      <c r="KT60" s="7"/>
      <c r="KU60" s="7"/>
      <c r="KV60" s="7"/>
      <c r="KW60" s="7"/>
      <c r="KX60" s="7"/>
      <c r="KY60" s="7"/>
      <c r="KZ60" s="7"/>
      <c r="LA60" s="7"/>
      <c r="LB60" s="7"/>
      <c r="LC60" s="7"/>
      <c r="LD60" s="7"/>
      <c r="LE60" s="7"/>
      <c r="LF60" s="7"/>
      <c r="LG60" s="7"/>
      <c r="LH60" s="7"/>
      <c r="LI60" s="7"/>
      <c r="LJ60" s="7"/>
      <c r="LK60" s="7"/>
      <c r="LL60" s="7"/>
      <c r="LM60" s="7"/>
      <c r="LN60" s="7"/>
      <c r="LO60" s="7"/>
      <c r="LP60" s="7"/>
      <c r="LQ60" s="7"/>
      <c r="LR60" s="7"/>
      <c r="LS60" s="7"/>
      <c r="LT60" s="7"/>
      <c r="LU60" s="7"/>
      <c r="LV60" s="7"/>
      <c r="LW60" s="7"/>
      <c r="LX60" s="7"/>
      <c r="LY60" s="7"/>
      <c r="LZ60" s="7"/>
      <c r="MA60" s="7"/>
      <c r="MB60" s="7"/>
      <c r="MC60" s="7"/>
      <c r="MD60" s="7"/>
      <c r="ME60" s="7"/>
      <c r="MF60" s="7"/>
      <c r="MG60" s="7"/>
      <c r="MH60" s="7"/>
      <c r="MJ60" s="7"/>
      <c r="MK60" s="7"/>
      <c r="ML60" s="7"/>
      <c r="MM60" s="7"/>
      <c r="MN60" s="7"/>
      <c r="MO60" s="7"/>
      <c r="MP60" s="7"/>
      <c r="MQ60" s="7"/>
      <c r="MR60" s="7"/>
      <c r="MS60" s="7"/>
      <c r="MT60" s="7"/>
      <c r="MU60" s="7"/>
      <c r="MV60" s="7"/>
      <c r="MW60" s="7"/>
      <c r="MX60" s="7"/>
      <c r="MY60" s="7"/>
      <c r="MZ60" s="7"/>
      <c r="NA60" s="7"/>
      <c r="NB60" s="7"/>
      <c r="NC60" s="7"/>
      <c r="ND60" s="7"/>
      <c r="NE60" s="7"/>
      <c r="NF60" s="7"/>
      <c r="NG60" s="7"/>
      <c r="NH60" s="7"/>
      <c r="NI60" s="7"/>
      <c r="NJ60" s="7"/>
      <c r="NK60" s="7"/>
      <c r="NL60" s="7"/>
      <c r="NM60" s="7"/>
      <c r="NN60" s="7"/>
      <c r="NO60" s="7"/>
      <c r="NP60" s="7"/>
      <c r="NQ60" s="7"/>
      <c r="NR60" s="7"/>
      <c r="NS60" s="7"/>
      <c r="NT60" s="7"/>
      <c r="NU60" s="7"/>
      <c r="NV60" s="7"/>
      <c r="NW60" s="7"/>
      <c r="NX60" s="7"/>
      <c r="NY60" s="7"/>
      <c r="NZ60" s="7"/>
      <c r="OA60" s="7"/>
      <c r="OB60" s="7"/>
      <c r="OC60" s="7"/>
      <c r="OD60" s="7"/>
      <c r="OE60" s="7"/>
      <c r="OF60" s="7"/>
      <c r="OG60" s="7"/>
      <c r="OH60" s="7"/>
      <c r="OI60" s="7"/>
      <c r="OJ60" s="7"/>
      <c r="OK60" s="7"/>
      <c r="OL60" s="7"/>
      <c r="OM60" s="7"/>
      <c r="ON60" s="7"/>
      <c r="OO60" s="7"/>
      <c r="OP60" s="7"/>
      <c r="OQ60" s="7"/>
      <c r="OR60" s="7"/>
      <c r="OS60" s="7"/>
      <c r="OT60" s="7"/>
      <c r="OU60" s="7"/>
      <c r="OV60" s="7"/>
      <c r="OW60" s="7"/>
      <c r="OX60" s="7"/>
      <c r="OY60" s="7"/>
      <c r="OZ60" s="7"/>
      <c r="PA60" s="7"/>
      <c r="PB60" s="7"/>
      <c r="PC60" s="7"/>
      <c r="PD60" s="7"/>
      <c r="PE60" s="7"/>
      <c r="PF60" s="7"/>
    </row>
    <row r="61" spans="10:422" ht="13.2">
      <c r="J61" s="7"/>
      <c r="L61" s="7"/>
      <c r="N61" s="7"/>
      <c r="P61" s="7"/>
      <c r="Q61" s="7"/>
      <c r="R61" s="7"/>
      <c r="DN61" s="7"/>
      <c r="DO61" s="7"/>
      <c r="DP61" s="7"/>
      <c r="DQ61" s="7"/>
      <c r="DR61" s="7"/>
      <c r="DS61" s="7"/>
      <c r="DT61" s="7"/>
      <c r="DU61" s="7"/>
      <c r="DV61" s="7"/>
      <c r="DW61" s="7"/>
      <c r="DX61" s="7"/>
      <c r="DY61" s="7"/>
      <c r="DZ61" s="7"/>
      <c r="EA61" s="7"/>
      <c r="EB61" s="7"/>
      <c r="EC61" s="7"/>
      <c r="ED61" s="7"/>
      <c r="EE61" s="7"/>
      <c r="EF61" s="7"/>
      <c r="EG61" s="7"/>
      <c r="EH61" s="7"/>
      <c r="EI61" s="7"/>
      <c r="EJ61" s="7"/>
      <c r="EK61" s="7"/>
      <c r="EL61" s="7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  <c r="FH61" s="7"/>
      <c r="FI61" s="7"/>
      <c r="FJ61" s="7"/>
      <c r="FK61" s="7"/>
      <c r="FL61" s="7"/>
      <c r="FM61" s="7"/>
      <c r="FN61" s="7"/>
      <c r="FO61" s="7"/>
      <c r="FP61" s="7"/>
      <c r="FQ61" s="7"/>
      <c r="FR61" s="7"/>
      <c r="FS61" s="7"/>
      <c r="FT61" s="7"/>
      <c r="FU61" s="7"/>
      <c r="FV61" s="7"/>
      <c r="FW61" s="7"/>
      <c r="FX61" s="7"/>
      <c r="FY61" s="7"/>
      <c r="FZ61" s="7"/>
      <c r="GA61" s="7"/>
      <c r="GB61" s="7"/>
      <c r="GC61" s="7"/>
      <c r="GD61" s="7"/>
      <c r="GE61" s="7"/>
      <c r="GF61" s="7"/>
      <c r="GG61" s="7"/>
      <c r="GH61" s="7"/>
      <c r="GI61" s="7"/>
      <c r="GJ61" s="7"/>
      <c r="GK61" s="7"/>
      <c r="GL61" s="7"/>
      <c r="GM61" s="7"/>
      <c r="GN61" s="7"/>
      <c r="GO61" s="7"/>
      <c r="GP61" s="7"/>
      <c r="GQ61" s="7"/>
      <c r="GR61" s="7"/>
      <c r="GS61" s="7"/>
      <c r="GT61" s="7"/>
      <c r="GU61" s="7"/>
      <c r="GV61" s="7"/>
      <c r="GW61" s="7"/>
      <c r="GX61" s="7"/>
      <c r="GY61" s="7"/>
      <c r="GZ61" s="7"/>
      <c r="HA61" s="7"/>
      <c r="HB61" s="7"/>
      <c r="HC61" s="7"/>
      <c r="HD61" s="7"/>
      <c r="HE61" s="7"/>
      <c r="HF61" s="7"/>
      <c r="HG61" s="7"/>
      <c r="HH61" s="7"/>
      <c r="HI61" s="7"/>
      <c r="HJ61" s="7"/>
      <c r="HK61" s="7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  <c r="IG61" s="7"/>
      <c r="IH61" s="7"/>
      <c r="II61" s="7"/>
      <c r="IJ61" s="7"/>
      <c r="IK61" s="7"/>
      <c r="IL61" s="7"/>
      <c r="IM61" s="7"/>
      <c r="IN61" s="7"/>
      <c r="IO61" s="7"/>
      <c r="IP61" s="7"/>
      <c r="IQ61" s="7"/>
      <c r="IR61" s="7"/>
      <c r="IS61" s="7"/>
      <c r="IT61" s="7"/>
      <c r="IU61" s="7"/>
      <c r="IV61" s="7"/>
      <c r="IW61" s="7"/>
      <c r="IX61" s="7"/>
      <c r="IY61" s="7"/>
      <c r="IZ61" s="7"/>
      <c r="JA61" s="7"/>
      <c r="JB61" s="7"/>
      <c r="JC61" s="7"/>
      <c r="JD61" s="7"/>
      <c r="JE61" s="7"/>
      <c r="JF61" s="7"/>
      <c r="JG61" s="7"/>
      <c r="JH61" s="7"/>
      <c r="JI61" s="7"/>
      <c r="JJ61" s="7"/>
      <c r="JK61" s="7"/>
      <c r="JL61" s="7"/>
      <c r="JM61" s="7"/>
      <c r="JN61" s="7"/>
      <c r="JO61" s="7"/>
      <c r="JP61" s="7"/>
      <c r="JQ61" s="7"/>
      <c r="JR61" s="7"/>
      <c r="JS61" s="7"/>
      <c r="JT61" s="7"/>
      <c r="JU61" s="7"/>
      <c r="JV61" s="7"/>
      <c r="JW61" s="7"/>
      <c r="JX61" s="7"/>
      <c r="JY61" s="7"/>
      <c r="JZ61" s="7"/>
      <c r="KA61" s="7"/>
      <c r="KB61" s="7"/>
      <c r="KC61" s="7"/>
      <c r="KD61" s="7"/>
      <c r="KE61" s="7"/>
      <c r="KF61" s="7"/>
      <c r="KG61" s="7"/>
      <c r="KH61" s="7"/>
      <c r="KI61" s="7"/>
      <c r="KJ61" s="7"/>
      <c r="KK61" s="7"/>
      <c r="KL61" s="7"/>
      <c r="KM61" s="7"/>
      <c r="KN61" s="7"/>
      <c r="KO61" s="7"/>
      <c r="KP61" s="7"/>
      <c r="KQ61" s="7"/>
      <c r="KR61" s="7"/>
      <c r="KS61" s="7"/>
      <c r="KT61" s="7"/>
      <c r="KU61" s="7"/>
      <c r="KV61" s="7"/>
      <c r="KW61" s="7"/>
      <c r="KX61" s="7"/>
      <c r="KY61" s="7"/>
      <c r="KZ61" s="7"/>
      <c r="LA61" s="7"/>
      <c r="LB61" s="7"/>
      <c r="LC61" s="7"/>
      <c r="LD61" s="7"/>
      <c r="LE61" s="7"/>
      <c r="LF61" s="7"/>
      <c r="LG61" s="7"/>
      <c r="LH61" s="7"/>
      <c r="LI61" s="7"/>
      <c r="LJ61" s="7"/>
      <c r="LK61" s="7"/>
      <c r="LL61" s="7"/>
      <c r="LM61" s="7"/>
      <c r="LN61" s="7"/>
      <c r="LO61" s="7"/>
      <c r="LP61" s="7"/>
      <c r="LQ61" s="7"/>
      <c r="LR61" s="7"/>
      <c r="LS61" s="7"/>
      <c r="LT61" s="7"/>
      <c r="LU61" s="7"/>
      <c r="LV61" s="7"/>
      <c r="LW61" s="7"/>
      <c r="LX61" s="7"/>
      <c r="LY61" s="7"/>
      <c r="LZ61" s="7"/>
      <c r="MA61" s="7"/>
      <c r="MB61" s="7"/>
      <c r="MC61" s="7"/>
      <c r="MD61" s="7"/>
      <c r="ME61" s="7"/>
      <c r="MF61" s="7"/>
      <c r="MG61" s="7"/>
      <c r="MH61" s="7"/>
      <c r="MJ61" s="7"/>
      <c r="MK61" s="7"/>
      <c r="ML61" s="7"/>
      <c r="MM61" s="7"/>
      <c r="MN61" s="7"/>
      <c r="MO61" s="7"/>
      <c r="MP61" s="7"/>
      <c r="MQ61" s="7"/>
      <c r="MR61" s="7"/>
      <c r="MS61" s="7"/>
      <c r="MT61" s="7"/>
      <c r="MU61" s="7"/>
      <c r="MV61" s="7"/>
      <c r="MW61" s="7"/>
      <c r="MX61" s="7"/>
      <c r="MY61" s="7"/>
      <c r="MZ61" s="7"/>
      <c r="NA61" s="7"/>
      <c r="NB61" s="7"/>
      <c r="NC61" s="7"/>
      <c r="ND61" s="7"/>
      <c r="NE61" s="7"/>
      <c r="NF61" s="7"/>
      <c r="NG61" s="7"/>
      <c r="NH61" s="7"/>
      <c r="NI61" s="7"/>
      <c r="NJ61" s="7"/>
      <c r="NK61" s="7"/>
      <c r="NL61" s="7"/>
      <c r="NM61" s="7"/>
      <c r="NN61" s="7"/>
      <c r="NO61" s="7"/>
      <c r="NP61" s="7"/>
      <c r="NQ61" s="7"/>
      <c r="NR61" s="7"/>
      <c r="NS61" s="7"/>
      <c r="NT61" s="7"/>
      <c r="NU61" s="7"/>
      <c r="NV61" s="7"/>
      <c r="NW61" s="7"/>
      <c r="NX61" s="7"/>
      <c r="NY61" s="7"/>
      <c r="NZ61" s="7"/>
      <c r="OA61" s="7"/>
      <c r="OB61" s="7"/>
      <c r="OC61" s="7"/>
      <c r="OD61" s="7"/>
      <c r="OE61" s="7"/>
      <c r="OF61" s="7"/>
      <c r="OG61" s="7"/>
      <c r="OH61" s="7"/>
      <c r="OI61" s="7"/>
      <c r="OJ61" s="7"/>
      <c r="OK61" s="7"/>
      <c r="OL61" s="7"/>
      <c r="OM61" s="7"/>
      <c r="ON61" s="7"/>
      <c r="OO61" s="7"/>
      <c r="OP61" s="7"/>
      <c r="OQ61" s="7"/>
      <c r="OR61" s="7"/>
      <c r="OS61" s="7"/>
      <c r="OT61" s="7"/>
      <c r="OU61" s="7"/>
      <c r="OV61" s="7"/>
      <c r="OW61" s="7"/>
      <c r="OX61" s="7"/>
      <c r="OY61" s="7"/>
      <c r="OZ61" s="7"/>
      <c r="PA61" s="7"/>
      <c r="PB61" s="7"/>
      <c r="PC61" s="7"/>
      <c r="PD61" s="7"/>
      <c r="PE61" s="7"/>
      <c r="PF61" s="7"/>
    </row>
    <row r="62" spans="10:422" ht="13.2">
      <c r="J62" s="7"/>
      <c r="L62" s="7"/>
      <c r="N62" s="7"/>
      <c r="P62" s="7"/>
      <c r="Q62" s="7"/>
      <c r="R62" s="7"/>
      <c r="DN62" s="7"/>
      <c r="DO62" s="7"/>
      <c r="DP62" s="7"/>
      <c r="DQ62" s="7"/>
      <c r="DR62" s="7"/>
      <c r="DS62" s="7"/>
      <c r="DT62" s="7"/>
      <c r="DU62" s="7"/>
      <c r="DV62" s="7"/>
      <c r="DW62" s="7"/>
      <c r="DX62" s="7"/>
      <c r="DY62" s="7"/>
      <c r="DZ62" s="7"/>
      <c r="EA62" s="7"/>
      <c r="EB62" s="7"/>
      <c r="EC62" s="7"/>
      <c r="ED62" s="7"/>
      <c r="EE62" s="7"/>
      <c r="EF62" s="7"/>
      <c r="EG62" s="7"/>
      <c r="EH62" s="7"/>
      <c r="EI62" s="7"/>
      <c r="EJ62" s="7"/>
      <c r="EK62" s="7"/>
      <c r="EL62" s="7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  <c r="FH62" s="7"/>
      <c r="FI62" s="7"/>
      <c r="FJ62" s="7"/>
      <c r="FK62" s="7"/>
      <c r="FL62" s="7"/>
      <c r="FM62" s="7"/>
      <c r="FN62" s="7"/>
      <c r="FO62" s="7"/>
      <c r="FP62" s="7"/>
      <c r="FQ62" s="7"/>
      <c r="FR62" s="7"/>
      <c r="FS62" s="7"/>
      <c r="FT62" s="7"/>
      <c r="FU62" s="7"/>
      <c r="FV62" s="7"/>
      <c r="FW62" s="7"/>
      <c r="FX62" s="7"/>
      <c r="FY62" s="7"/>
      <c r="FZ62" s="7"/>
      <c r="GA62" s="7"/>
      <c r="GB62" s="7"/>
      <c r="GC62" s="7"/>
      <c r="GD62" s="7"/>
      <c r="GE62" s="7"/>
      <c r="GF62" s="7"/>
      <c r="GG62" s="7"/>
      <c r="GH62" s="7"/>
      <c r="GI62" s="7"/>
      <c r="GJ62" s="7"/>
      <c r="GK62" s="7"/>
      <c r="GL62" s="7"/>
      <c r="GM62" s="7"/>
      <c r="GN62" s="7"/>
      <c r="GO62" s="7"/>
      <c r="GP62" s="7"/>
      <c r="GQ62" s="7"/>
      <c r="GR62" s="7"/>
      <c r="GS62" s="7"/>
      <c r="GT62" s="7"/>
      <c r="GU62" s="7"/>
      <c r="GV62" s="7"/>
      <c r="GW62" s="7"/>
      <c r="GX62" s="7"/>
      <c r="GY62" s="7"/>
      <c r="GZ62" s="7"/>
      <c r="HA62" s="7"/>
      <c r="HB62" s="7"/>
      <c r="HC62" s="7"/>
      <c r="HD62" s="7"/>
      <c r="HE62" s="7"/>
      <c r="HF62" s="7"/>
      <c r="HG62" s="7"/>
      <c r="HH62" s="7"/>
      <c r="HI62" s="7"/>
      <c r="HJ62" s="7"/>
      <c r="HK62" s="7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  <c r="IG62" s="7"/>
      <c r="IH62" s="7"/>
      <c r="II62" s="7"/>
      <c r="IJ62" s="7"/>
      <c r="IK62" s="7"/>
      <c r="IL62" s="7"/>
      <c r="IM62" s="7"/>
      <c r="IN62" s="7"/>
      <c r="IO62" s="7"/>
      <c r="IP62" s="7"/>
      <c r="IQ62" s="7"/>
      <c r="IR62" s="7"/>
      <c r="IS62" s="7"/>
      <c r="IT62" s="7"/>
      <c r="IU62" s="7"/>
      <c r="IV62" s="7"/>
      <c r="IW62" s="7"/>
      <c r="IX62" s="7"/>
      <c r="IY62" s="7"/>
      <c r="IZ62" s="7"/>
      <c r="JA62" s="7"/>
      <c r="JB62" s="7"/>
      <c r="JC62" s="7"/>
      <c r="JD62" s="7"/>
      <c r="JE62" s="7"/>
      <c r="JF62" s="7"/>
      <c r="JG62" s="7"/>
      <c r="JH62" s="7"/>
      <c r="JI62" s="7"/>
      <c r="JJ62" s="7"/>
      <c r="JK62" s="7"/>
      <c r="JL62" s="7"/>
      <c r="JM62" s="7"/>
      <c r="JN62" s="7"/>
      <c r="JO62" s="7"/>
      <c r="JP62" s="7"/>
      <c r="JQ62" s="7"/>
      <c r="JR62" s="7"/>
      <c r="JS62" s="7"/>
      <c r="JT62" s="7"/>
      <c r="JU62" s="7"/>
      <c r="JV62" s="7"/>
      <c r="JW62" s="7"/>
      <c r="JX62" s="7"/>
      <c r="JY62" s="7"/>
      <c r="JZ62" s="7"/>
      <c r="KA62" s="7"/>
      <c r="KB62" s="7"/>
      <c r="KC62" s="7"/>
      <c r="KD62" s="7"/>
      <c r="KE62" s="7"/>
      <c r="KF62" s="7"/>
      <c r="KG62" s="7"/>
      <c r="KH62" s="7"/>
      <c r="KI62" s="7"/>
      <c r="KJ62" s="7"/>
      <c r="KK62" s="7"/>
      <c r="KL62" s="7"/>
      <c r="KM62" s="7"/>
      <c r="KN62" s="7"/>
      <c r="KO62" s="7"/>
      <c r="KP62" s="7"/>
      <c r="KQ62" s="7"/>
      <c r="KR62" s="7"/>
      <c r="KS62" s="7"/>
      <c r="KT62" s="7"/>
      <c r="KU62" s="7"/>
      <c r="KV62" s="7"/>
      <c r="KW62" s="7"/>
      <c r="KX62" s="7"/>
      <c r="KY62" s="7"/>
      <c r="KZ62" s="7"/>
      <c r="LA62" s="7"/>
      <c r="LB62" s="7"/>
      <c r="LC62" s="7"/>
      <c r="LD62" s="7"/>
      <c r="LE62" s="7"/>
      <c r="LF62" s="7"/>
      <c r="LG62" s="7"/>
      <c r="LH62" s="7"/>
      <c r="LI62" s="7"/>
      <c r="LJ62" s="7"/>
      <c r="LK62" s="7"/>
      <c r="LL62" s="7"/>
      <c r="LM62" s="7"/>
      <c r="LN62" s="7"/>
      <c r="LO62" s="7"/>
      <c r="LP62" s="7"/>
      <c r="LQ62" s="7"/>
      <c r="LR62" s="7"/>
      <c r="LS62" s="7"/>
      <c r="LT62" s="7"/>
      <c r="LU62" s="7"/>
      <c r="LV62" s="7"/>
      <c r="LW62" s="7"/>
      <c r="LX62" s="7"/>
      <c r="LY62" s="7"/>
      <c r="LZ62" s="7"/>
      <c r="MA62" s="7"/>
      <c r="MB62" s="7"/>
      <c r="MC62" s="7"/>
      <c r="MD62" s="7"/>
      <c r="ME62" s="7"/>
      <c r="MF62" s="7"/>
      <c r="MG62" s="7"/>
      <c r="MH62" s="7"/>
      <c r="MJ62" s="7"/>
      <c r="MK62" s="7"/>
      <c r="ML62" s="7"/>
      <c r="MM62" s="7"/>
      <c r="MN62" s="7"/>
      <c r="MO62" s="7"/>
      <c r="MP62" s="7"/>
      <c r="MQ62" s="7"/>
      <c r="MR62" s="7"/>
      <c r="MS62" s="7"/>
      <c r="MT62" s="7"/>
      <c r="MU62" s="7"/>
      <c r="MV62" s="7"/>
      <c r="MW62" s="7"/>
      <c r="MX62" s="7"/>
      <c r="MY62" s="7"/>
      <c r="MZ62" s="7"/>
      <c r="NA62" s="7"/>
      <c r="NB62" s="7"/>
      <c r="NC62" s="7"/>
      <c r="ND62" s="7"/>
      <c r="NE62" s="7"/>
      <c r="NF62" s="7"/>
      <c r="NG62" s="7"/>
      <c r="NH62" s="7"/>
      <c r="NI62" s="7"/>
      <c r="NJ62" s="7"/>
      <c r="NK62" s="7"/>
      <c r="NL62" s="7"/>
      <c r="NM62" s="7"/>
      <c r="NN62" s="7"/>
      <c r="NO62" s="7"/>
      <c r="NP62" s="7"/>
      <c r="NQ62" s="7"/>
      <c r="NR62" s="7"/>
      <c r="NS62" s="7"/>
      <c r="NT62" s="7"/>
      <c r="NU62" s="7"/>
      <c r="NV62" s="7"/>
      <c r="NW62" s="7"/>
      <c r="NX62" s="7"/>
      <c r="NY62" s="7"/>
      <c r="NZ62" s="7"/>
      <c r="OA62" s="7"/>
      <c r="OB62" s="7"/>
      <c r="OC62" s="7"/>
      <c r="OD62" s="7"/>
      <c r="OE62" s="7"/>
      <c r="OF62" s="7"/>
      <c r="OG62" s="7"/>
      <c r="OH62" s="7"/>
      <c r="OI62" s="7"/>
      <c r="OJ62" s="7"/>
      <c r="OK62" s="7"/>
      <c r="OL62" s="7"/>
      <c r="OM62" s="7"/>
      <c r="ON62" s="7"/>
      <c r="OO62" s="7"/>
      <c r="OP62" s="7"/>
      <c r="OQ62" s="7"/>
      <c r="OR62" s="7"/>
      <c r="OS62" s="7"/>
      <c r="OT62" s="7"/>
      <c r="OU62" s="7"/>
      <c r="OV62" s="7"/>
      <c r="OW62" s="7"/>
      <c r="OX62" s="7"/>
      <c r="OY62" s="7"/>
      <c r="OZ62" s="7"/>
      <c r="PA62" s="7"/>
      <c r="PB62" s="7"/>
      <c r="PC62" s="7"/>
      <c r="PD62" s="7"/>
      <c r="PE62" s="7"/>
      <c r="PF62" s="7"/>
    </row>
    <row r="63" spans="10:422" ht="13.2">
      <c r="J63" s="7"/>
      <c r="L63" s="7"/>
      <c r="N63" s="7"/>
      <c r="P63" s="7"/>
      <c r="Q63" s="7"/>
      <c r="R63" s="7"/>
      <c r="DN63" s="7"/>
      <c r="DO63" s="7"/>
      <c r="DP63" s="7"/>
      <c r="DQ63" s="7"/>
      <c r="DR63" s="7"/>
      <c r="DS63" s="7"/>
      <c r="DT63" s="7"/>
      <c r="DU63" s="7"/>
      <c r="DV63" s="7"/>
      <c r="DW63" s="7"/>
      <c r="DX63" s="7"/>
      <c r="DY63" s="7"/>
      <c r="DZ63" s="7"/>
      <c r="EA63" s="7"/>
      <c r="EB63" s="7"/>
      <c r="EC63" s="7"/>
      <c r="ED63" s="7"/>
      <c r="EE63" s="7"/>
      <c r="EF63" s="7"/>
      <c r="EG63" s="7"/>
      <c r="EH63" s="7"/>
      <c r="EI63" s="7"/>
      <c r="EJ63" s="7"/>
      <c r="EK63" s="7"/>
      <c r="EL63" s="7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  <c r="FH63" s="7"/>
      <c r="FI63" s="7"/>
      <c r="FJ63" s="7"/>
      <c r="FK63" s="7"/>
      <c r="FL63" s="7"/>
      <c r="FM63" s="7"/>
      <c r="FN63" s="7"/>
      <c r="FO63" s="7"/>
      <c r="FP63" s="7"/>
      <c r="FQ63" s="7"/>
      <c r="FR63" s="7"/>
      <c r="FS63" s="7"/>
      <c r="FT63" s="7"/>
      <c r="FU63" s="7"/>
      <c r="FV63" s="7"/>
      <c r="FW63" s="7"/>
      <c r="FX63" s="7"/>
      <c r="FY63" s="7"/>
      <c r="FZ63" s="7"/>
      <c r="GA63" s="7"/>
      <c r="GB63" s="7"/>
      <c r="GC63" s="7"/>
      <c r="GD63" s="7"/>
      <c r="GE63" s="7"/>
      <c r="GF63" s="7"/>
      <c r="GG63" s="7"/>
      <c r="GH63" s="7"/>
      <c r="GI63" s="7"/>
      <c r="GJ63" s="7"/>
      <c r="GK63" s="7"/>
      <c r="GL63" s="7"/>
      <c r="GM63" s="7"/>
      <c r="GN63" s="7"/>
      <c r="GO63" s="7"/>
      <c r="GP63" s="7"/>
      <c r="GQ63" s="7"/>
      <c r="GR63" s="7"/>
      <c r="GS63" s="7"/>
      <c r="GT63" s="7"/>
      <c r="GU63" s="7"/>
      <c r="GV63" s="7"/>
      <c r="GW63" s="7"/>
      <c r="GX63" s="7"/>
      <c r="GY63" s="7"/>
      <c r="GZ63" s="7"/>
      <c r="HA63" s="7"/>
      <c r="HB63" s="7"/>
      <c r="HC63" s="7"/>
      <c r="HD63" s="7"/>
      <c r="HE63" s="7"/>
      <c r="HF63" s="7"/>
      <c r="HG63" s="7"/>
      <c r="HH63" s="7"/>
      <c r="HI63" s="7"/>
      <c r="HJ63" s="7"/>
      <c r="HK63" s="7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  <c r="IG63" s="7"/>
      <c r="IH63" s="7"/>
      <c r="II63" s="7"/>
      <c r="IJ63" s="7"/>
      <c r="IK63" s="7"/>
      <c r="IL63" s="7"/>
      <c r="IM63" s="7"/>
      <c r="IN63" s="7"/>
      <c r="IO63" s="7"/>
      <c r="IP63" s="7"/>
      <c r="IQ63" s="7"/>
      <c r="IR63" s="7"/>
      <c r="IS63" s="7"/>
      <c r="IT63" s="7"/>
      <c r="IU63" s="7"/>
      <c r="IV63" s="7"/>
      <c r="IW63" s="7"/>
      <c r="IX63" s="7"/>
      <c r="IY63" s="7"/>
      <c r="IZ63" s="7"/>
      <c r="JA63" s="7"/>
      <c r="JB63" s="7"/>
      <c r="JC63" s="7"/>
      <c r="JD63" s="7"/>
      <c r="JE63" s="7"/>
      <c r="JF63" s="7"/>
      <c r="JG63" s="7"/>
      <c r="JH63" s="7"/>
      <c r="JI63" s="7"/>
      <c r="JJ63" s="7"/>
      <c r="JK63" s="7"/>
      <c r="JL63" s="7"/>
      <c r="JM63" s="7"/>
      <c r="JN63" s="7"/>
      <c r="JO63" s="7"/>
      <c r="JP63" s="7"/>
      <c r="JQ63" s="7"/>
      <c r="JR63" s="7"/>
      <c r="JS63" s="7"/>
      <c r="JT63" s="7"/>
      <c r="JU63" s="7"/>
      <c r="JV63" s="7"/>
      <c r="JW63" s="7"/>
      <c r="JX63" s="7"/>
      <c r="JY63" s="7"/>
      <c r="JZ63" s="7"/>
      <c r="KA63" s="7"/>
      <c r="KB63" s="7"/>
      <c r="KC63" s="7"/>
      <c r="KD63" s="7"/>
      <c r="KE63" s="7"/>
      <c r="KF63" s="7"/>
      <c r="KG63" s="7"/>
      <c r="KH63" s="7"/>
      <c r="KI63" s="7"/>
      <c r="KJ63" s="7"/>
      <c r="KK63" s="7"/>
      <c r="KL63" s="7"/>
      <c r="KM63" s="7"/>
      <c r="KN63" s="7"/>
      <c r="KO63" s="7"/>
      <c r="KP63" s="7"/>
      <c r="KQ63" s="7"/>
      <c r="KR63" s="7"/>
      <c r="KS63" s="7"/>
      <c r="KT63" s="7"/>
      <c r="KU63" s="7"/>
      <c r="KV63" s="7"/>
      <c r="KW63" s="7"/>
      <c r="KX63" s="7"/>
      <c r="KY63" s="7"/>
      <c r="KZ63" s="7"/>
      <c r="LA63" s="7"/>
      <c r="LB63" s="7"/>
      <c r="LC63" s="7"/>
      <c r="LD63" s="7"/>
      <c r="LE63" s="7"/>
      <c r="LF63" s="7"/>
      <c r="LG63" s="7"/>
      <c r="LH63" s="7"/>
      <c r="LI63" s="7"/>
      <c r="LJ63" s="7"/>
      <c r="LK63" s="7"/>
      <c r="LL63" s="7"/>
      <c r="LM63" s="7"/>
      <c r="LN63" s="7"/>
      <c r="LO63" s="7"/>
      <c r="LP63" s="7"/>
      <c r="LQ63" s="7"/>
      <c r="LR63" s="7"/>
      <c r="LS63" s="7"/>
      <c r="LT63" s="7"/>
      <c r="LU63" s="7"/>
      <c r="LV63" s="7"/>
      <c r="LW63" s="7"/>
      <c r="LX63" s="7"/>
      <c r="LY63" s="7"/>
      <c r="LZ63" s="7"/>
      <c r="MA63" s="7"/>
      <c r="MB63" s="7"/>
      <c r="MC63" s="7"/>
      <c r="MD63" s="7"/>
      <c r="ME63" s="7"/>
      <c r="MF63" s="7"/>
      <c r="MG63" s="7"/>
      <c r="MH63" s="7"/>
      <c r="MJ63" s="7"/>
      <c r="MK63" s="7"/>
      <c r="ML63" s="7"/>
      <c r="MM63" s="7"/>
      <c r="MN63" s="7"/>
      <c r="MO63" s="7"/>
      <c r="MP63" s="7"/>
      <c r="MQ63" s="7"/>
      <c r="MR63" s="7"/>
      <c r="MS63" s="7"/>
      <c r="MT63" s="7"/>
      <c r="MU63" s="7"/>
      <c r="MV63" s="7"/>
      <c r="MW63" s="7"/>
      <c r="MX63" s="7"/>
      <c r="MY63" s="7"/>
      <c r="MZ63" s="7"/>
      <c r="NA63" s="7"/>
      <c r="NB63" s="7"/>
      <c r="NC63" s="7"/>
      <c r="ND63" s="7"/>
      <c r="NE63" s="7"/>
      <c r="NF63" s="7"/>
      <c r="NG63" s="7"/>
      <c r="NH63" s="7"/>
      <c r="NI63" s="7"/>
      <c r="NJ63" s="7"/>
      <c r="NK63" s="7"/>
      <c r="NL63" s="7"/>
      <c r="NM63" s="7"/>
      <c r="NN63" s="7"/>
      <c r="NO63" s="7"/>
      <c r="NP63" s="7"/>
      <c r="NQ63" s="7"/>
      <c r="NR63" s="7"/>
      <c r="NS63" s="7"/>
      <c r="NT63" s="7"/>
      <c r="NU63" s="7"/>
      <c r="NV63" s="7"/>
      <c r="NW63" s="7"/>
      <c r="NX63" s="7"/>
      <c r="NY63" s="7"/>
      <c r="NZ63" s="7"/>
      <c r="OA63" s="7"/>
      <c r="OB63" s="7"/>
      <c r="OC63" s="7"/>
      <c r="OD63" s="7"/>
      <c r="OE63" s="7"/>
      <c r="OF63" s="7"/>
      <c r="OG63" s="7"/>
      <c r="OH63" s="7"/>
      <c r="OI63" s="7"/>
      <c r="OJ63" s="7"/>
      <c r="OK63" s="7"/>
      <c r="OL63" s="7"/>
      <c r="OM63" s="7"/>
      <c r="ON63" s="7"/>
      <c r="OO63" s="7"/>
      <c r="OP63" s="7"/>
      <c r="OQ63" s="7"/>
      <c r="OR63" s="7"/>
      <c r="OS63" s="7"/>
      <c r="OT63" s="7"/>
      <c r="OU63" s="7"/>
      <c r="OV63" s="7"/>
      <c r="OW63" s="7"/>
      <c r="OX63" s="7"/>
      <c r="OY63" s="7"/>
      <c r="OZ63" s="7"/>
      <c r="PA63" s="7"/>
      <c r="PB63" s="7"/>
      <c r="PC63" s="7"/>
      <c r="PD63" s="7"/>
      <c r="PE63" s="7"/>
      <c r="PF63" s="7"/>
    </row>
    <row r="64" spans="10:422" ht="13.2">
      <c r="J64" s="7"/>
      <c r="L64" s="7"/>
      <c r="N64" s="7"/>
      <c r="P64" s="7"/>
      <c r="Q64" s="7"/>
      <c r="R64" s="7"/>
      <c r="DN64" s="7"/>
      <c r="DO64" s="7"/>
      <c r="DP64" s="7"/>
      <c r="DQ64" s="7"/>
      <c r="DR64" s="7"/>
      <c r="DS64" s="7"/>
      <c r="DT64" s="7"/>
      <c r="DU64" s="7"/>
      <c r="DV64" s="7"/>
      <c r="DW64" s="7"/>
      <c r="DX64" s="7"/>
      <c r="DY64" s="7"/>
      <c r="DZ64" s="7"/>
      <c r="EA64" s="7"/>
      <c r="EB64" s="7"/>
      <c r="EC64" s="7"/>
      <c r="ED64" s="7"/>
      <c r="EE64" s="7"/>
      <c r="EF64" s="7"/>
      <c r="EG64" s="7"/>
      <c r="EH64" s="7"/>
      <c r="EI64" s="7"/>
      <c r="EJ64" s="7"/>
      <c r="EK64" s="7"/>
      <c r="EL64" s="7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  <c r="FH64" s="7"/>
      <c r="FI64" s="7"/>
      <c r="FJ64" s="7"/>
      <c r="FK64" s="7"/>
      <c r="FL64" s="7"/>
      <c r="FM64" s="7"/>
      <c r="FN64" s="7"/>
      <c r="FO64" s="7"/>
      <c r="FP64" s="7"/>
      <c r="FQ64" s="7"/>
      <c r="FR64" s="7"/>
      <c r="FS64" s="7"/>
      <c r="FT64" s="7"/>
      <c r="FU64" s="7"/>
      <c r="FV64" s="7"/>
      <c r="FW64" s="7"/>
      <c r="FX64" s="7"/>
      <c r="FY64" s="7"/>
      <c r="FZ64" s="7"/>
      <c r="GA64" s="7"/>
      <c r="GB64" s="7"/>
      <c r="GC64" s="7"/>
      <c r="GD64" s="7"/>
      <c r="GE64" s="7"/>
      <c r="GF64" s="7"/>
      <c r="GG64" s="7"/>
      <c r="GH64" s="7"/>
      <c r="GI64" s="7"/>
      <c r="GJ64" s="7"/>
      <c r="GK64" s="7"/>
      <c r="GL64" s="7"/>
      <c r="GM64" s="7"/>
      <c r="GN64" s="7"/>
      <c r="GO64" s="7"/>
      <c r="GP64" s="7"/>
      <c r="GQ64" s="7"/>
      <c r="GR64" s="7"/>
      <c r="GS64" s="7"/>
      <c r="GT64" s="7"/>
      <c r="GU64" s="7"/>
      <c r="GV64" s="7"/>
      <c r="GW64" s="7"/>
      <c r="GX64" s="7"/>
      <c r="GY64" s="7"/>
      <c r="GZ64" s="7"/>
      <c r="HA64" s="7"/>
      <c r="HB64" s="7"/>
      <c r="HC64" s="7"/>
      <c r="HD64" s="7"/>
      <c r="HE64" s="7"/>
      <c r="HF64" s="7"/>
      <c r="HG64" s="7"/>
      <c r="HH64" s="7"/>
      <c r="HI64" s="7"/>
      <c r="HJ64" s="7"/>
      <c r="HK64" s="7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  <c r="IG64" s="7"/>
      <c r="IH64" s="7"/>
      <c r="II64" s="7"/>
      <c r="IJ64" s="7"/>
      <c r="IK64" s="7"/>
      <c r="IL64" s="7"/>
      <c r="IM64" s="7"/>
      <c r="IN64" s="7"/>
      <c r="IO64" s="7"/>
      <c r="IP64" s="7"/>
      <c r="IQ64" s="7"/>
      <c r="IR64" s="7"/>
      <c r="IS64" s="7"/>
      <c r="IT64" s="7"/>
      <c r="IU64" s="7"/>
      <c r="IV64" s="7"/>
      <c r="IW64" s="7"/>
      <c r="IX64" s="7"/>
      <c r="IY64" s="7"/>
      <c r="IZ64" s="7"/>
      <c r="JA64" s="7"/>
      <c r="JB64" s="7"/>
      <c r="JC64" s="7"/>
      <c r="JD64" s="7"/>
      <c r="JE64" s="7"/>
      <c r="JF64" s="7"/>
      <c r="JG64" s="7"/>
      <c r="JH64" s="7"/>
      <c r="JI64" s="7"/>
      <c r="JJ64" s="7"/>
      <c r="JK64" s="7"/>
      <c r="JL64" s="7"/>
      <c r="JM64" s="7"/>
      <c r="JN64" s="7"/>
      <c r="JO64" s="7"/>
      <c r="JP64" s="7"/>
      <c r="JQ64" s="7"/>
      <c r="JR64" s="7"/>
      <c r="JS64" s="7"/>
      <c r="JT64" s="7"/>
      <c r="JU64" s="7"/>
      <c r="JV64" s="7"/>
      <c r="JW64" s="7"/>
      <c r="JX64" s="7"/>
      <c r="JY64" s="7"/>
      <c r="JZ64" s="7"/>
      <c r="KA64" s="7"/>
      <c r="KB64" s="7"/>
      <c r="KC64" s="7"/>
      <c r="KD64" s="7"/>
      <c r="KE64" s="7"/>
      <c r="KF64" s="7"/>
      <c r="KG64" s="7"/>
      <c r="KH64" s="7"/>
      <c r="KI64" s="7"/>
      <c r="KJ64" s="7"/>
      <c r="KK64" s="7"/>
      <c r="KL64" s="7"/>
      <c r="KM64" s="7"/>
      <c r="KN64" s="7"/>
      <c r="KO64" s="7"/>
      <c r="KP64" s="7"/>
      <c r="KQ64" s="7"/>
      <c r="KR64" s="7"/>
      <c r="KS64" s="7"/>
      <c r="KT64" s="7"/>
      <c r="KU64" s="7"/>
      <c r="KV64" s="7"/>
      <c r="KW64" s="7"/>
      <c r="KX64" s="7"/>
      <c r="KY64" s="7"/>
      <c r="KZ64" s="7"/>
      <c r="LA64" s="7"/>
      <c r="LB64" s="7"/>
      <c r="LC64" s="7"/>
      <c r="LD64" s="7"/>
      <c r="LE64" s="7"/>
      <c r="LF64" s="7"/>
      <c r="LG64" s="7"/>
      <c r="LH64" s="7"/>
      <c r="LI64" s="7"/>
      <c r="LJ64" s="7"/>
      <c r="LK64" s="7"/>
      <c r="LL64" s="7"/>
      <c r="LM64" s="7"/>
      <c r="LN64" s="7"/>
      <c r="LO64" s="7"/>
      <c r="LP64" s="7"/>
      <c r="LQ64" s="7"/>
      <c r="LR64" s="7"/>
      <c r="LS64" s="7"/>
      <c r="LT64" s="7"/>
      <c r="LU64" s="7"/>
      <c r="LV64" s="7"/>
      <c r="LW64" s="7"/>
      <c r="LX64" s="7"/>
      <c r="LY64" s="7"/>
      <c r="LZ64" s="7"/>
      <c r="MA64" s="7"/>
      <c r="MB64" s="7"/>
      <c r="MC64" s="7"/>
      <c r="MD64" s="7"/>
      <c r="ME64" s="7"/>
      <c r="MF64" s="7"/>
      <c r="MG64" s="7"/>
      <c r="MH64" s="7"/>
      <c r="MJ64" s="7"/>
      <c r="MK64" s="7"/>
      <c r="ML64" s="7"/>
      <c r="MM64" s="7"/>
      <c r="MN64" s="7"/>
      <c r="MO64" s="7"/>
      <c r="MP64" s="7"/>
      <c r="MQ64" s="7"/>
      <c r="MR64" s="7"/>
      <c r="MS64" s="7"/>
      <c r="MT64" s="7"/>
      <c r="MU64" s="7"/>
      <c r="MV64" s="7"/>
      <c r="MW64" s="7"/>
      <c r="MX64" s="7"/>
      <c r="MY64" s="7"/>
      <c r="MZ64" s="7"/>
      <c r="NA64" s="7"/>
      <c r="NB64" s="7"/>
      <c r="NC64" s="7"/>
      <c r="ND64" s="7"/>
      <c r="NE64" s="7"/>
      <c r="NF64" s="7"/>
      <c r="NG64" s="7"/>
      <c r="NH64" s="7"/>
      <c r="NI64" s="7"/>
      <c r="NJ64" s="7"/>
      <c r="NK64" s="7"/>
      <c r="NL64" s="7"/>
      <c r="NM64" s="7"/>
      <c r="NN64" s="7"/>
      <c r="NO64" s="7"/>
      <c r="NP64" s="7"/>
      <c r="NQ64" s="7"/>
      <c r="NR64" s="7"/>
      <c r="NS64" s="7"/>
      <c r="NT64" s="7"/>
      <c r="NU64" s="7"/>
      <c r="NV64" s="7"/>
      <c r="NW64" s="7"/>
      <c r="NX64" s="7"/>
      <c r="NY64" s="7"/>
      <c r="NZ64" s="7"/>
      <c r="OA64" s="7"/>
      <c r="OB64" s="7"/>
      <c r="OC64" s="7"/>
      <c r="OD64" s="7"/>
      <c r="OE64" s="7"/>
      <c r="OF64" s="7"/>
      <c r="OG64" s="7"/>
      <c r="OH64" s="7"/>
      <c r="OI64" s="7"/>
      <c r="OJ64" s="7"/>
      <c r="OK64" s="7"/>
      <c r="OL64" s="7"/>
      <c r="OM64" s="7"/>
      <c r="ON64" s="7"/>
      <c r="OO64" s="7"/>
      <c r="OP64" s="7"/>
      <c r="OQ64" s="7"/>
      <c r="OR64" s="7"/>
      <c r="OS64" s="7"/>
      <c r="OT64" s="7"/>
      <c r="OU64" s="7"/>
      <c r="OV64" s="7"/>
      <c r="OW64" s="7"/>
      <c r="OX64" s="7"/>
      <c r="OY64" s="7"/>
      <c r="OZ64" s="7"/>
      <c r="PA64" s="7"/>
      <c r="PB64" s="7"/>
      <c r="PC64" s="7"/>
      <c r="PD64" s="7"/>
      <c r="PE64" s="7"/>
      <c r="PF64" s="7"/>
    </row>
    <row r="65" spans="10:422" ht="13.2">
      <c r="J65" s="7"/>
      <c r="L65" s="7"/>
      <c r="N65" s="7"/>
      <c r="P65" s="7"/>
      <c r="Q65" s="7"/>
      <c r="R65" s="7"/>
      <c r="DN65" s="7"/>
      <c r="DO65" s="7"/>
      <c r="DP65" s="7"/>
      <c r="DQ65" s="7"/>
      <c r="DR65" s="7"/>
      <c r="DS65" s="7"/>
      <c r="DT65" s="7"/>
      <c r="DU65" s="7"/>
      <c r="DV65" s="7"/>
      <c r="DW65" s="7"/>
      <c r="DX65" s="7"/>
      <c r="DY65" s="7"/>
      <c r="DZ65" s="7"/>
      <c r="EA65" s="7"/>
      <c r="EB65" s="7"/>
      <c r="EC65" s="7"/>
      <c r="ED65" s="7"/>
      <c r="EE65" s="7"/>
      <c r="EF65" s="7"/>
      <c r="EG65" s="7"/>
      <c r="EH65" s="7"/>
      <c r="EI65" s="7"/>
      <c r="EJ65" s="7"/>
      <c r="EK65" s="7"/>
      <c r="EL65" s="7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  <c r="FH65" s="7"/>
      <c r="FI65" s="7"/>
      <c r="FJ65" s="7"/>
      <c r="FK65" s="7"/>
      <c r="FL65" s="7"/>
      <c r="FM65" s="7"/>
      <c r="FN65" s="7"/>
      <c r="FO65" s="7"/>
      <c r="FP65" s="7"/>
      <c r="FQ65" s="7"/>
      <c r="FR65" s="7"/>
      <c r="FS65" s="7"/>
      <c r="FT65" s="7"/>
      <c r="FU65" s="7"/>
      <c r="FV65" s="7"/>
      <c r="FW65" s="7"/>
      <c r="FX65" s="7"/>
      <c r="FY65" s="7"/>
      <c r="FZ65" s="7"/>
      <c r="GA65" s="7"/>
      <c r="GB65" s="7"/>
      <c r="GC65" s="7"/>
      <c r="GD65" s="7"/>
      <c r="GE65" s="7"/>
      <c r="GF65" s="7"/>
      <c r="GG65" s="7"/>
      <c r="GH65" s="7"/>
      <c r="GI65" s="7"/>
      <c r="GJ65" s="7"/>
      <c r="GK65" s="7"/>
      <c r="GL65" s="7"/>
      <c r="GM65" s="7"/>
      <c r="GN65" s="7"/>
      <c r="GO65" s="7"/>
      <c r="GP65" s="7"/>
      <c r="GQ65" s="7"/>
      <c r="GR65" s="7"/>
      <c r="GS65" s="7"/>
      <c r="GT65" s="7"/>
      <c r="GU65" s="7"/>
      <c r="GV65" s="7"/>
      <c r="GW65" s="7"/>
      <c r="GX65" s="7"/>
      <c r="GY65" s="7"/>
      <c r="GZ65" s="7"/>
      <c r="HA65" s="7"/>
      <c r="HB65" s="7"/>
      <c r="HC65" s="7"/>
      <c r="HD65" s="7"/>
      <c r="HE65" s="7"/>
      <c r="HF65" s="7"/>
      <c r="HG65" s="7"/>
      <c r="HH65" s="7"/>
      <c r="HI65" s="7"/>
      <c r="HJ65" s="7"/>
      <c r="HK65" s="7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  <c r="IG65" s="7"/>
      <c r="IH65" s="7"/>
      <c r="II65" s="7"/>
      <c r="IJ65" s="7"/>
      <c r="IK65" s="7"/>
      <c r="IL65" s="7"/>
      <c r="IM65" s="7"/>
      <c r="IN65" s="7"/>
      <c r="IO65" s="7"/>
      <c r="IP65" s="7"/>
      <c r="IQ65" s="7"/>
      <c r="IR65" s="7"/>
      <c r="IS65" s="7"/>
      <c r="IT65" s="7"/>
      <c r="IU65" s="7"/>
      <c r="IV65" s="7"/>
      <c r="IW65" s="7"/>
      <c r="IX65" s="7"/>
      <c r="IY65" s="7"/>
      <c r="IZ65" s="7"/>
      <c r="JA65" s="7"/>
      <c r="JB65" s="7"/>
      <c r="JC65" s="7"/>
      <c r="JD65" s="7"/>
      <c r="JE65" s="7"/>
      <c r="JF65" s="7"/>
      <c r="JG65" s="7"/>
      <c r="JH65" s="7"/>
      <c r="JI65" s="7"/>
      <c r="JJ65" s="7"/>
      <c r="JK65" s="7"/>
      <c r="JL65" s="7"/>
      <c r="JM65" s="7"/>
      <c r="JN65" s="7"/>
      <c r="JO65" s="7"/>
      <c r="JP65" s="7"/>
      <c r="JQ65" s="7"/>
      <c r="JR65" s="7"/>
      <c r="JS65" s="7"/>
      <c r="JT65" s="7"/>
      <c r="JU65" s="7"/>
      <c r="JV65" s="7"/>
      <c r="JW65" s="7"/>
      <c r="JX65" s="7"/>
      <c r="JY65" s="7"/>
      <c r="JZ65" s="7"/>
      <c r="KA65" s="7"/>
      <c r="KB65" s="7"/>
      <c r="KC65" s="7"/>
      <c r="KD65" s="7"/>
      <c r="KE65" s="7"/>
      <c r="KF65" s="7"/>
      <c r="KG65" s="7"/>
      <c r="KH65" s="7"/>
      <c r="KI65" s="7"/>
      <c r="KJ65" s="7"/>
      <c r="KK65" s="7"/>
      <c r="KL65" s="7"/>
      <c r="KM65" s="7"/>
      <c r="KN65" s="7"/>
      <c r="KO65" s="7"/>
      <c r="KP65" s="7"/>
      <c r="KQ65" s="7"/>
      <c r="KR65" s="7"/>
      <c r="KS65" s="7"/>
      <c r="KT65" s="7"/>
      <c r="KU65" s="7"/>
      <c r="KV65" s="7"/>
      <c r="KW65" s="7"/>
      <c r="KX65" s="7"/>
      <c r="KY65" s="7"/>
      <c r="KZ65" s="7"/>
      <c r="LA65" s="7"/>
      <c r="LB65" s="7"/>
      <c r="LC65" s="7"/>
      <c r="LD65" s="7"/>
      <c r="LE65" s="7"/>
      <c r="LF65" s="7"/>
      <c r="LG65" s="7"/>
      <c r="LH65" s="7"/>
      <c r="LI65" s="7"/>
      <c r="LJ65" s="7"/>
      <c r="LK65" s="7"/>
      <c r="LL65" s="7"/>
      <c r="LM65" s="7"/>
      <c r="LN65" s="7"/>
      <c r="LO65" s="7"/>
      <c r="LP65" s="7"/>
      <c r="LQ65" s="7"/>
      <c r="LR65" s="7"/>
      <c r="LS65" s="7"/>
      <c r="LT65" s="7"/>
      <c r="LU65" s="7"/>
      <c r="LV65" s="7"/>
      <c r="LW65" s="7"/>
      <c r="LX65" s="7"/>
      <c r="LY65" s="7"/>
      <c r="LZ65" s="7"/>
      <c r="MA65" s="7"/>
      <c r="MB65" s="7"/>
      <c r="MC65" s="7"/>
      <c r="MD65" s="7"/>
      <c r="ME65" s="7"/>
      <c r="MF65" s="7"/>
      <c r="MG65" s="7"/>
      <c r="MH65" s="7"/>
      <c r="MJ65" s="7"/>
      <c r="MK65" s="7"/>
      <c r="ML65" s="7"/>
      <c r="MM65" s="7"/>
      <c r="MN65" s="7"/>
      <c r="MO65" s="7"/>
      <c r="MP65" s="7"/>
      <c r="MQ65" s="7"/>
      <c r="MR65" s="7"/>
      <c r="MS65" s="7"/>
      <c r="MT65" s="7"/>
      <c r="MU65" s="7"/>
      <c r="MV65" s="7"/>
      <c r="MW65" s="7"/>
      <c r="MX65" s="7"/>
      <c r="MY65" s="7"/>
      <c r="MZ65" s="7"/>
      <c r="NA65" s="7"/>
      <c r="NB65" s="7"/>
      <c r="NC65" s="7"/>
      <c r="ND65" s="7"/>
      <c r="NE65" s="7"/>
      <c r="NF65" s="7"/>
      <c r="NG65" s="7"/>
      <c r="NH65" s="7"/>
      <c r="NI65" s="7"/>
      <c r="NJ65" s="7"/>
      <c r="NK65" s="7"/>
      <c r="NL65" s="7"/>
      <c r="NM65" s="7"/>
      <c r="NN65" s="7"/>
      <c r="NO65" s="7"/>
      <c r="NP65" s="7"/>
      <c r="NQ65" s="7"/>
      <c r="NR65" s="7"/>
      <c r="NS65" s="7"/>
      <c r="NT65" s="7"/>
      <c r="NU65" s="7"/>
      <c r="NV65" s="7"/>
      <c r="NW65" s="7"/>
      <c r="NX65" s="7"/>
      <c r="NY65" s="7"/>
      <c r="NZ65" s="7"/>
      <c r="OA65" s="7"/>
      <c r="OB65" s="7"/>
      <c r="OC65" s="7"/>
      <c r="OD65" s="7"/>
      <c r="OE65" s="7"/>
      <c r="OF65" s="7"/>
      <c r="OG65" s="7"/>
      <c r="OH65" s="7"/>
      <c r="OI65" s="7"/>
      <c r="OJ65" s="7"/>
      <c r="OK65" s="7"/>
      <c r="OL65" s="7"/>
      <c r="OM65" s="7"/>
      <c r="ON65" s="7"/>
      <c r="OO65" s="7"/>
      <c r="OP65" s="7"/>
      <c r="OQ65" s="7"/>
      <c r="OR65" s="7"/>
      <c r="OS65" s="7"/>
      <c r="OT65" s="7"/>
      <c r="OU65" s="7"/>
      <c r="OV65" s="7"/>
      <c r="OW65" s="7"/>
      <c r="OX65" s="7"/>
      <c r="OY65" s="7"/>
      <c r="OZ65" s="7"/>
      <c r="PA65" s="7"/>
      <c r="PB65" s="7"/>
      <c r="PC65" s="7"/>
      <c r="PD65" s="7"/>
      <c r="PE65" s="7"/>
      <c r="PF65" s="7"/>
    </row>
    <row r="66" spans="10:422" ht="13.2">
      <c r="J66" s="7"/>
      <c r="L66" s="7"/>
      <c r="N66" s="7"/>
      <c r="P66" s="7"/>
      <c r="Q66" s="7"/>
      <c r="R66" s="7"/>
      <c r="DN66" s="7"/>
      <c r="DO66" s="7"/>
      <c r="DP66" s="7"/>
      <c r="DQ66" s="7"/>
      <c r="DR66" s="7"/>
      <c r="DS66" s="7"/>
      <c r="DT66" s="7"/>
      <c r="DU66" s="7"/>
      <c r="DV66" s="7"/>
      <c r="DW66" s="7"/>
      <c r="DX66" s="7"/>
      <c r="DY66" s="7"/>
      <c r="DZ66" s="7"/>
      <c r="EA66" s="7"/>
      <c r="EB66" s="7"/>
      <c r="EC66" s="7"/>
      <c r="ED66" s="7"/>
      <c r="EE66" s="7"/>
      <c r="EF66" s="7"/>
      <c r="EG66" s="7"/>
      <c r="EH66" s="7"/>
      <c r="EI66" s="7"/>
      <c r="EJ66" s="7"/>
      <c r="EK66" s="7"/>
      <c r="EL66" s="7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  <c r="FH66" s="7"/>
      <c r="FI66" s="7"/>
      <c r="FJ66" s="7"/>
      <c r="FK66" s="7"/>
      <c r="FL66" s="7"/>
      <c r="FM66" s="7"/>
      <c r="FN66" s="7"/>
      <c r="FO66" s="7"/>
      <c r="FP66" s="7"/>
      <c r="FQ66" s="7"/>
      <c r="FR66" s="7"/>
      <c r="FS66" s="7"/>
      <c r="FT66" s="7"/>
      <c r="FU66" s="7"/>
      <c r="FV66" s="7"/>
      <c r="FW66" s="7"/>
      <c r="FX66" s="7"/>
      <c r="FY66" s="7"/>
      <c r="FZ66" s="7"/>
      <c r="GA66" s="7"/>
      <c r="GB66" s="7"/>
      <c r="GC66" s="7"/>
      <c r="GD66" s="7"/>
      <c r="GE66" s="7"/>
      <c r="GF66" s="7"/>
      <c r="GG66" s="7"/>
      <c r="GH66" s="7"/>
      <c r="GI66" s="7"/>
      <c r="GJ66" s="7"/>
      <c r="GK66" s="7"/>
      <c r="GL66" s="7"/>
      <c r="GM66" s="7"/>
      <c r="GN66" s="7"/>
      <c r="GO66" s="7"/>
      <c r="GP66" s="7"/>
      <c r="GQ66" s="7"/>
      <c r="GR66" s="7"/>
      <c r="GS66" s="7"/>
      <c r="GT66" s="7"/>
      <c r="GU66" s="7"/>
      <c r="GV66" s="7"/>
      <c r="GW66" s="7"/>
      <c r="GX66" s="7"/>
      <c r="GY66" s="7"/>
      <c r="GZ66" s="7"/>
      <c r="HA66" s="7"/>
      <c r="HB66" s="7"/>
      <c r="HC66" s="7"/>
      <c r="HD66" s="7"/>
      <c r="HE66" s="7"/>
      <c r="HF66" s="7"/>
      <c r="HG66" s="7"/>
      <c r="HH66" s="7"/>
      <c r="HI66" s="7"/>
      <c r="HJ66" s="7"/>
      <c r="HK66" s="7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  <c r="IG66" s="7"/>
      <c r="IH66" s="7"/>
      <c r="II66" s="7"/>
      <c r="IJ66" s="7"/>
      <c r="IK66" s="7"/>
      <c r="IL66" s="7"/>
      <c r="IM66" s="7"/>
      <c r="IN66" s="7"/>
      <c r="IO66" s="7"/>
      <c r="IP66" s="7"/>
      <c r="IQ66" s="7"/>
      <c r="IR66" s="7"/>
      <c r="IS66" s="7"/>
      <c r="IT66" s="7"/>
      <c r="IU66" s="7"/>
      <c r="IV66" s="7"/>
      <c r="IW66" s="7"/>
      <c r="IX66" s="7"/>
      <c r="IY66" s="7"/>
      <c r="IZ66" s="7"/>
      <c r="JA66" s="7"/>
      <c r="JB66" s="7"/>
      <c r="JC66" s="7"/>
      <c r="JD66" s="7"/>
      <c r="JE66" s="7"/>
      <c r="JF66" s="7"/>
      <c r="JG66" s="7"/>
      <c r="JH66" s="7"/>
      <c r="JI66" s="7"/>
      <c r="JJ66" s="7"/>
      <c r="JK66" s="7"/>
      <c r="JL66" s="7"/>
      <c r="JM66" s="7"/>
      <c r="JN66" s="7"/>
      <c r="JO66" s="7"/>
      <c r="JP66" s="7"/>
      <c r="JQ66" s="7"/>
      <c r="JR66" s="7"/>
      <c r="JS66" s="7"/>
      <c r="JT66" s="7"/>
      <c r="JU66" s="7"/>
      <c r="JV66" s="7"/>
      <c r="JW66" s="7"/>
      <c r="JX66" s="7"/>
      <c r="JY66" s="7"/>
      <c r="JZ66" s="7"/>
      <c r="KA66" s="7"/>
      <c r="KB66" s="7"/>
      <c r="KC66" s="7"/>
      <c r="KD66" s="7"/>
      <c r="KE66" s="7"/>
      <c r="KF66" s="7"/>
      <c r="KG66" s="7"/>
      <c r="KH66" s="7"/>
      <c r="KI66" s="7"/>
      <c r="KJ66" s="7"/>
      <c r="KK66" s="7"/>
      <c r="KL66" s="7"/>
      <c r="KM66" s="7"/>
      <c r="KN66" s="7"/>
      <c r="KO66" s="7"/>
      <c r="KP66" s="7"/>
      <c r="KQ66" s="7"/>
      <c r="KR66" s="7"/>
      <c r="KS66" s="7"/>
      <c r="KT66" s="7"/>
      <c r="KU66" s="7"/>
      <c r="KV66" s="7"/>
      <c r="KW66" s="7"/>
      <c r="KX66" s="7"/>
      <c r="KY66" s="7"/>
      <c r="KZ66" s="7"/>
      <c r="LA66" s="7"/>
      <c r="LB66" s="7"/>
      <c r="LC66" s="7"/>
      <c r="LD66" s="7"/>
      <c r="LE66" s="7"/>
      <c r="LF66" s="7"/>
      <c r="LG66" s="7"/>
      <c r="LH66" s="7"/>
      <c r="LI66" s="7"/>
      <c r="LJ66" s="7"/>
      <c r="LK66" s="7"/>
      <c r="LL66" s="7"/>
      <c r="LM66" s="7"/>
      <c r="LN66" s="7"/>
      <c r="LO66" s="7"/>
      <c r="LP66" s="7"/>
      <c r="LQ66" s="7"/>
      <c r="LR66" s="7"/>
      <c r="LS66" s="7"/>
      <c r="LT66" s="7"/>
      <c r="LU66" s="7"/>
      <c r="LV66" s="7"/>
      <c r="LW66" s="7"/>
      <c r="LX66" s="7"/>
      <c r="LY66" s="7"/>
      <c r="LZ66" s="7"/>
      <c r="MA66" s="7"/>
      <c r="MB66" s="7"/>
      <c r="MC66" s="7"/>
      <c r="MD66" s="7"/>
      <c r="ME66" s="7"/>
      <c r="MF66" s="7"/>
      <c r="MG66" s="7"/>
      <c r="MH66" s="7"/>
      <c r="MJ66" s="7"/>
      <c r="MK66" s="7"/>
      <c r="ML66" s="7"/>
      <c r="MM66" s="7"/>
      <c r="MN66" s="7"/>
      <c r="MO66" s="7"/>
      <c r="MP66" s="7"/>
      <c r="MQ66" s="7"/>
      <c r="MR66" s="7"/>
      <c r="MS66" s="7"/>
      <c r="MT66" s="7"/>
      <c r="MU66" s="7"/>
      <c r="MV66" s="7"/>
      <c r="MW66" s="7"/>
      <c r="MX66" s="7"/>
      <c r="MY66" s="7"/>
      <c r="MZ66" s="7"/>
      <c r="NA66" s="7"/>
      <c r="NB66" s="7"/>
      <c r="NC66" s="7"/>
      <c r="ND66" s="7"/>
      <c r="NE66" s="7"/>
      <c r="NF66" s="7"/>
      <c r="NG66" s="7"/>
      <c r="NH66" s="7"/>
      <c r="NI66" s="7"/>
      <c r="NJ66" s="7"/>
      <c r="NK66" s="7"/>
      <c r="NL66" s="7"/>
      <c r="NM66" s="7"/>
      <c r="NN66" s="7"/>
      <c r="NO66" s="7"/>
      <c r="NP66" s="7"/>
      <c r="NQ66" s="7"/>
      <c r="NR66" s="7"/>
      <c r="NS66" s="7"/>
      <c r="NT66" s="7"/>
      <c r="NU66" s="7"/>
      <c r="NV66" s="7"/>
      <c r="NW66" s="7"/>
      <c r="NX66" s="7"/>
      <c r="NY66" s="7"/>
      <c r="NZ66" s="7"/>
      <c r="OA66" s="7"/>
      <c r="OB66" s="7"/>
      <c r="OC66" s="7"/>
      <c r="OD66" s="7"/>
      <c r="OE66" s="7"/>
      <c r="OF66" s="7"/>
      <c r="OG66" s="7"/>
      <c r="OH66" s="7"/>
      <c r="OI66" s="7"/>
      <c r="OJ66" s="7"/>
      <c r="OK66" s="7"/>
      <c r="OL66" s="7"/>
      <c r="OM66" s="7"/>
      <c r="ON66" s="7"/>
      <c r="OO66" s="7"/>
      <c r="OP66" s="7"/>
      <c r="OQ66" s="7"/>
      <c r="OR66" s="7"/>
      <c r="OS66" s="7"/>
      <c r="OT66" s="7"/>
      <c r="OU66" s="7"/>
      <c r="OV66" s="7"/>
      <c r="OW66" s="7"/>
      <c r="OX66" s="7"/>
      <c r="OY66" s="7"/>
      <c r="OZ66" s="7"/>
      <c r="PA66" s="7"/>
      <c r="PB66" s="7"/>
      <c r="PC66" s="7"/>
      <c r="PD66" s="7"/>
      <c r="PE66" s="7"/>
      <c r="PF66" s="7"/>
    </row>
    <row r="67" spans="10:422" ht="13.2">
      <c r="J67" s="7"/>
      <c r="L67" s="7"/>
      <c r="N67" s="7"/>
      <c r="P67" s="7"/>
      <c r="Q67" s="7"/>
      <c r="R67" s="7"/>
      <c r="DN67" s="7"/>
      <c r="DO67" s="7"/>
      <c r="DP67" s="7"/>
      <c r="DQ67" s="7"/>
      <c r="DR67" s="7"/>
      <c r="DS67" s="7"/>
      <c r="DT67" s="7"/>
      <c r="DU67" s="7"/>
      <c r="DV67" s="7"/>
      <c r="DW67" s="7"/>
      <c r="DX67" s="7"/>
      <c r="DY67" s="7"/>
      <c r="DZ67" s="7"/>
      <c r="EA67" s="7"/>
      <c r="EB67" s="7"/>
      <c r="EC67" s="7"/>
      <c r="ED67" s="7"/>
      <c r="EE67" s="7"/>
      <c r="EF67" s="7"/>
      <c r="EG67" s="7"/>
      <c r="EH67" s="7"/>
      <c r="EI67" s="7"/>
      <c r="EJ67" s="7"/>
      <c r="EK67" s="7"/>
      <c r="EL67" s="7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  <c r="FH67" s="7"/>
      <c r="FI67" s="7"/>
      <c r="FJ67" s="7"/>
      <c r="FK67" s="7"/>
      <c r="FL67" s="7"/>
      <c r="FM67" s="7"/>
      <c r="FN67" s="7"/>
      <c r="FO67" s="7"/>
      <c r="FP67" s="7"/>
      <c r="FQ67" s="7"/>
      <c r="FR67" s="7"/>
      <c r="FS67" s="7"/>
      <c r="FT67" s="7"/>
      <c r="FU67" s="7"/>
      <c r="FV67" s="7"/>
      <c r="FW67" s="7"/>
      <c r="FX67" s="7"/>
      <c r="FY67" s="7"/>
      <c r="FZ67" s="7"/>
      <c r="GA67" s="7"/>
      <c r="GB67" s="7"/>
      <c r="GC67" s="7"/>
      <c r="GD67" s="7"/>
      <c r="GE67" s="7"/>
      <c r="GF67" s="7"/>
      <c r="GG67" s="7"/>
      <c r="GH67" s="7"/>
      <c r="GI67" s="7"/>
      <c r="GJ67" s="7"/>
      <c r="GK67" s="7"/>
      <c r="GL67" s="7"/>
      <c r="GM67" s="7"/>
      <c r="GN67" s="7"/>
      <c r="GO67" s="7"/>
      <c r="GP67" s="7"/>
      <c r="GQ67" s="7"/>
      <c r="GR67" s="7"/>
      <c r="GS67" s="7"/>
      <c r="GT67" s="7"/>
      <c r="GU67" s="7"/>
      <c r="GV67" s="7"/>
      <c r="GW67" s="7"/>
      <c r="GX67" s="7"/>
      <c r="GY67" s="7"/>
      <c r="GZ67" s="7"/>
      <c r="HA67" s="7"/>
      <c r="HB67" s="7"/>
      <c r="HC67" s="7"/>
      <c r="HD67" s="7"/>
      <c r="HE67" s="7"/>
      <c r="HF67" s="7"/>
      <c r="HG67" s="7"/>
      <c r="HH67" s="7"/>
      <c r="HI67" s="7"/>
      <c r="HJ67" s="7"/>
      <c r="HK67" s="7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  <c r="IG67" s="7"/>
      <c r="IH67" s="7"/>
      <c r="II67" s="7"/>
      <c r="IJ67" s="7"/>
      <c r="IK67" s="7"/>
      <c r="IL67" s="7"/>
      <c r="IM67" s="7"/>
      <c r="IN67" s="7"/>
      <c r="IO67" s="7"/>
      <c r="IP67" s="7"/>
      <c r="IQ67" s="7"/>
      <c r="IR67" s="7"/>
      <c r="IS67" s="7"/>
      <c r="IT67" s="7"/>
      <c r="IU67" s="7"/>
      <c r="IV67" s="7"/>
      <c r="IW67" s="7"/>
      <c r="IX67" s="7"/>
      <c r="IY67" s="7"/>
      <c r="IZ67" s="7"/>
      <c r="JA67" s="7"/>
      <c r="JB67" s="7"/>
      <c r="JC67" s="7"/>
      <c r="JD67" s="7"/>
      <c r="JE67" s="7"/>
      <c r="JF67" s="7"/>
      <c r="JG67" s="7"/>
      <c r="JH67" s="7"/>
      <c r="JI67" s="7"/>
      <c r="JJ67" s="7"/>
      <c r="JK67" s="7"/>
      <c r="JL67" s="7"/>
      <c r="JM67" s="7"/>
      <c r="JN67" s="7"/>
      <c r="JO67" s="7"/>
      <c r="JP67" s="7"/>
      <c r="JQ67" s="7"/>
      <c r="JR67" s="7"/>
      <c r="JS67" s="7"/>
      <c r="JT67" s="7"/>
      <c r="JU67" s="7"/>
      <c r="JV67" s="7"/>
      <c r="JW67" s="7"/>
      <c r="JX67" s="7"/>
      <c r="JY67" s="7"/>
      <c r="JZ67" s="7"/>
      <c r="KA67" s="7"/>
      <c r="KB67" s="7"/>
      <c r="KC67" s="7"/>
      <c r="KD67" s="7"/>
      <c r="KE67" s="7"/>
      <c r="KF67" s="7"/>
      <c r="KG67" s="7"/>
      <c r="KH67" s="7"/>
      <c r="KI67" s="7"/>
      <c r="KJ67" s="7"/>
      <c r="KK67" s="7"/>
      <c r="KL67" s="7"/>
      <c r="KM67" s="7"/>
      <c r="KN67" s="7"/>
      <c r="KO67" s="7"/>
      <c r="KP67" s="7"/>
      <c r="KQ67" s="7"/>
      <c r="KR67" s="7"/>
      <c r="KS67" s="7"/>
      <c r="KT67" s="7"/>
      <c r="KU67" s="7"/>
      <c r="KV67" s="7"/>
      <c r="KW67" s="7"/>
      <c r="KX67" s="7"/>
      <c r="KY67" s="7"/>
      <c r="KZ67" s="7"/>
      <c r="LA67" s="7"/>
      <c r="LB67" s="7"/>
      <c r="LC67" s="7"/>
      <c r="LD67" s="7"/>
      <c r="LE67" s="7"/>
      <c r="LF67" s="7"/>
      <c r="LG67" s="7"/>
      <c r="LH67" s="7"/>
      <c r="LI67" s="7"/>
      <c r="LJ67" s="7"/>
      <c r="LK67" s="7"/>
      <c r="LL67" s="7"/>
      <c r="LM67" s="7"/>
      <c r="LN67" s="7"/>
      <c r="LO67" s="7"/>
      <c r="LP67" s="7"/>
      <c r="LQ67" s="7"/>
      <c r="LR67" s="7"/>
      <c r="LS67" s="7"/>
      <c r="LT67" s="7"/>
      <c r="LU67" s="7"/>
      <c r="LV67" s="7"/>
      <c r="LW67" s="7"/>
      <c r="LX67" s="7"/>
      <c r="LY67" s="7"/>
      <c r="LZ67" s="7"/>
      <c r="MA67" s="7"/>
      <c r="MB67" s="7"/>
      <c r="MC67" s="7"/>
      <c r="MD67" s="7"/>
      <c r="ME67" s="7"/>
      <c r="MF67" s="7"/>
      <c r="MG67" s="7"/>
      <c r="MH67" s="7"/>
      <c r="MJ67" s="7"/>
      <c r="MK67" s="7"/>
      <c r="ML67" s="7"/>
      <c r="MM67" s="7"/>
      <c r="MN67" s="7"/>
      <c r="MO67" s="7"/>
      <c r="MP67" s="7"/>
      <c r="MQ67" s="7"/>
      <c r="MR67" s="7"/>
      <c r="MS67" s="7"/>
      <c r="MT67" s="7"/>
      <c r="MU67" s="7"/>
      <c r="MV67" s="7"/>
      <c r="MW67" s="7"/>
      <c r="MX67" s="7"/>
      <c r="MY67" s="7"/>
      <c r="MZ67" s="7"/>
      <c r="NA67" s="7"/>
      <c r="NB67" s="7"/>
      <c r="NC67" s="7"/>
      <c r="ND67" s="7"/>
      <c r="NE67" s="7"/>
      <c r="NF67" s="7"/>
      <c r="NG67" s="7"/>
      <c r="NH67" s="7"/>
      <c r="NI67" s="7"/>
      <c r="NJ67" s="7"/>
      <c r="NK67" s="7"/>
      <c r="NL67" s="7"/>
      <c r="NM67" s="7"/>
      <c r="NN67" s="7"/>
      <c r="NO67" s="7"/>
      <c r="NP67" s="7"/>
      <c r="NQ67" s="7"/>
      <c r="NR67" s="7"/>
      <c r="NS67" s="7"/>
      <c r="NT67" s="7"/>
      <c r="NU67" s="7"/>
      <c r="NV67" s="7"/>
      <c r="NW67" s="7"/>
      <c r="NX67" s="7"/>
      <c r="NY67" s="7"/>
      <c r="NZ67" s="7"/>
      <c r="OA67" s="7"/>
      <c r="OB67" s="7"/>
      <c r="OC67" s="7"/>
      <c r="OD67" s="7"/>
      <c r="OE67" s="7"/>
      <c r="OF67" s="7"/>
      <c r="OG67" s="7"/>
      <c r="OH67" s="7"/>
      <c r="OI67" s="7"/>
      <c r="OJ67" s="7"/>
      <c r="OK67" s="7"/>
      <c r="OL67" s="7"/>
      <c r="OM67" s="7"/>
      <c r="ON67" s="7"/>
      <c r="OO67" s="7"/>
      <c r="OP67" s="7"/>
      <c r="OQ67" s="7"/>
      <c r="OR67" s="7"/>
      <c r="OS67" s="7"/>
      <c r="OT67" s="7"/>
      <c r="OU67" s="7"/>
      <c r="OV67" s="7"/>
      <c r="OW67" s="7"/>
      <c r="OX67" s="7"/>
      <c r="OY67" s="7"/>
      <c r="OZ67" s="7"/>
      <c r="PA67" s="7"/>
      <c r="PB67" s="7"/>
      <c r="PC67" s="7"/>
      <c r="PD67" s="7"/>
      <c r="PE67" s="7"/>
      <c r="PF67" s="7"/>
    </row>
    <row r="68" spans="10:422" ht="13.2">
      <c r="J68" s="7"/>
      <c r="L68" s="7"/>
      <c r="N68" s="7"/>
      <c r="P68" s="7"/>
      <c r="Q68" s="7"/>
      <c r="R68" s="7"/>
      <c r="DN68" s="7"/>
      <c r="DO68" s="7"/>
      <c r="DP68" s="7"/>
      <c r="DQ68" s="7"/>
      <c r="DR68" s="7"/>
      <c r="DS68" s="7"/>
      <c r="DT68" s="7"/>
      <c r="DU68" s="7"/>
      <c r="DV68" s="7"/>
      <c r="DW68" s="7"/>
      <c r="DX68" s="7"/>
      <c r="DY68" s="7"/>
      <c r="DZ68" s="7"/>
      <c r="EA68" s="7"/>
      <c r="EB68" s="7"/>
      <c r="EC68" s="7"/>
      <c r="ED68" s="7"/>
      <c r="EE68" s="7"/>
      <c r="EF68" s="7"/>
      <c r="EG68" s="7"/>
      <c r="EH68" s="7"/>
      <c r="EI68" s="7"/>
      <c r="EJ68" s="7"/>
      <c r="EK68" s="7"/>
      <c r="EL68" s="7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  <c r="FH68" s="7"/>
      <c r="FI68" s="7"/>
      <c r="FJ68" s="7"/>
      <c r="FK68" s="7"/>
      <c r="FL68" s="7"/>
      <c r="FM68" s="7"/>
      <c r="FN68" s="7"/>
      <c r="FO68" s="7"/>
      <c r="FP68" s="7"/>
      <c r="FQ68" s="7"/>
      <c r="FR68" s="7"/>
      <c r="FS68" s="7"/>
      <c r="FT68" s="7"/>
      <c r="FU68" s="7"/>
      <c r="FV68" s="7"/>
      <c r="FW68" s="7"/>
      <c r="FX68" s="7"/>
      <c r="FY68" s="7"/>
      <c r="FZ68" s="7"/>
      <c r="GA68" s="7"/>
      <c r="GB68" s="7"/>
      <c r="GC68" s="7"/>
      <c r="GD68" s="7"/>
      <c r="GE68" s="7"/>
      <c r="GF68" s="7"/>
      <c r="GG68" s="7"/>
      <c r="GH68" s="7"/>
      <c r="GI68" s="7"/>
      <c r="GJ68" s="7"/>
      <c r="GK68" s="7"/>
      <c r="GL68" s="7"/>
      <c r="GM68" s="7"/>
      <c r="GN68" s="7"/>
      <c r="GO68" s="7"/>
      <c r="GP68" s="7"/>
      <c r="GQ68" s="7"/>
      <c r="GR68" s="7"/>
      <c r="GS68" s="7"/>
      <c r="GT68" s="7"/>
      <c r="GU68" s="7"/>
      <c r="GV68" s="7"/>
      <c r="GW68" s="7"/>
      <c r="GX68" s="7"/>
      <c r="GY68" s="7"/>
      <c r="GZ68" s="7"/>
      <c r="HA68" s="7"/>
      <c r="HB68" s="7"/>
      <c r="HC68" s="7"/>
      <c r="HD68" s="7"/>
      <c r="HE68" s="7"/>
      <c r="HF68" s="7"/>
      <c r="HG68" s="7"/>
      <c r="HH68" s="7"/>
      <c r="HI68" s="7"/>
      <c r="HJ68" s="7"/>
      <c r="HK68" s="7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  <c r="IG68" s="7"/>
      <c r="IH68" s="7"/>
      <c r="II68" s="7"/>
      <c r="IJ68" s="7"/>
      <c r="IK68" s="7"/>
      <c r="IL68" s="7"/>
      <c r="IM68" s="7"/>
      <c r="IN68" s="7"/>
      <c r="IO68" s="7"/>
      <c r="IP68" s="7"/>
      <c r="IQ68" s="7"/>
      <c r="IR68" s="7"/>
      <c r="IS68" s="7"/>
      <c r="IT68" s="7"/>
      <c r="IU68" s="7"/>
      <c r="IV68" s="7"/>
      <c r="IW68" s="7"/>
      <c r="IX68" s="7"/>
      <c r="IY68" s="7"/>
      <c r="IZ68" s="7"/>
      <c r="JA68" s="7"/>
      <c r="JB68" s="7"/>
      <c r="JC68" s="7"/>
      <c r="JD68" s="7"/>
      <c r="JE68" s="7"/>
      <c r="JF68" s="7"/>
      <c r="JG68" s="7"/>
      <c r="JH68" s="7"/>
      <c r="JI68" s="7"/>
      <c r="JJ68" s="7"/>
      <c r="JK68" s="7"/>
      <c r="JL68" s="7"/>
      <c r="JM68" s="7"/>
      <c r="JN68" s="7"/>
      <c r="JO68" s="7"/>
      <c r="JP68" s="7"/>
      <c r="JQ68" s="7"/>
      <c r="JR68" s="7"/>
      <c r="JS68" s="7"/>
      <c r="JT68" s="7"/>
      <c r="JU68" s="7"/>
      <c r="JV68" s="7"/>
      <c r="JW68" s="7"/>
      <c r="JX68" s="7"/>
      <c r="JY68" s="7"/>
      <c r="JZ68" s="7"/>
      <c r="KA68" s="7"/>
      <c r="KB68" s="7"/>
      <c r="KC68" s="7"/>
      <c r="KD68" s="7"/>
      <c r="KE68" s="7"/>
      <c r="KF68" s="7"/>
      <c r="KG68" s="7"/>
      <c r="KH68" s="7"/>
      <c r="KI68" s="7"/>
      <c r="KJ68" s="7"/>
      <c r="KK68" s="7"/>
      <c r="KL68" s="7"/>
      <c r="KM68" s="7"/>
      <c r="KN68" s="7"/>
      <c r="KO68" s="7"/>
      <c r="KP68" s="7"/>
      <c r="KQ68" s="7"/>
      <c r="KR68" s="7"/>
      <c r="KS68" s="7"/>
      <c r="KT68" s="7"/>
      <c r="KU68" s="7"/>
      <c r="KV68" s="7"/>
      <c r="KW68" s="7"/>
      <c r="KX68" s="7"/>
      <c r="KY68" s="7"/>
      <c r="KZ68" s="7"/>
      <c r="LA68" s="7"/>
      <c r="LB68" s="7"/>
      <c r="LC68" s="7"/>
      <c r="LD68" s="7"/>
      <c r="LE68" s="7"/>
      <c r="LF68" s="7"/>
      <c r="LG68" s="7"/>
      <c r="LH68" s="7"/>
      <c r="LI68" s="7"/>
      <c r="LJ68" s="7"/>
      <c r="LK68" s="7"/>
      <c r="LL68" s="7"/>
      <c r="LM68" s="7"/>
      <c r="LN68" s="7"/>
      <c r="LO68" s="7"/>
      <c r="LP68" s="7"/>
      <c r="LQ68" s="7"/>
      <c r="LR68" s="7"/>
      <c r="LS68" s="7"/>
      <c r="LT68" s="7"/>
      <c r="LU68" s="7"/>
      <c r="LV68" s="7"/>
      <c r="LW68" s="7"/>
      <c r="LX68" s="7"/>
      <c r="LY68" s="7"/>
      <c r="LZ68" s="7"/>
      <c r="MA68" s="7"/>
      <c r="MB68" s="7"/>
      <c r="MC68" s="7"/>
      <c r="MD68" s="7"/>
      <c r="ME68" s="7"/>
      <c r="MF68" s="7"/>
      <c r="MG68" s="7"/>
      <c r="MH68" s="7"/>
      <c r="MJ68" s="7"/>
      <c r="MK68" s="7"/>
      <c r="ML68" s="7"/>
      <c r="MM68" s="7"/>
      <c r="MN68" s="7"/>
      <c r="MO68" s="7"/>
      <c r="MP68" s="7"/>
      <c r="MQ68" s="7"/>
      <c r="MR68" s="7"/>
      <c r="MS68" s="7"/>
      <c r="MT68" s="7"/>
      <c r="MU68" s="7"/>
      <c r="MV68" s="7"/>
      <c r="MW68" s="7"/>
      <c r="MX68" s="7"/>
      <c r="MY68" s="7"/>
      <c r="MZ68" s="7"/>
      <c r="NA68" s="7"/>
      <c r="NB68" s="7"/>
      <c r="NC68" s="7"/>
      <c r="ND68" s="7"/>
      <c r="NE68" s="7"/>
      <c r="NF68" s="7"/>
      <c r="NG68" s="7"/>
      <c r="NH68" s="7"/>
      <c r="NI68" s="7"/>
      <c r="NJ68" s="7"/>
      <c r="NK68" s="7"/>
      <c r="NL68" s="7"/>
      <c r="NM68" s="7"/>
      <c r="NN68" s="7"/>
      <c r="NO68" s="7"/>
      <c r="NP68" s="7"/>
      <c r="NQ68" s="7"/>
      <c r="NR68" s="7"/>
      <c r="NS68" s="7"/>
      <c r="NT68" s="7"/>
      <c r="NU68" s="7"/>
      <c r="NV68" s="7"/>
      <c r="NW68" s="7"/>
      <c r="NX68" s="7"/>
      <c r="NY68" s="7"/>
      <c r="NZ68" s="7"/>
      <c r="OA68" s="7"/>
      <c r="OB68" s="7"/>
      <c r="OC68" s="7"/>
      <c r="OD68" s="7"/>
      <c r="OE68" s="7"/>
      <c r="OF68" s="7"/>
      <c r="OG68" s="7"/>
      <c r="OH68" s="7"/>
      <c r="OI68" s="7"/>
      <c r="OJ68" s="7"/>
      <c r="OK68" s="7"/>
      <c r="OL68" s="7"/>
      <c r="OM68" s="7"/>
      <c r="ON68" s="7"/>
      <c r="OO68" s="7"/>
      <c r="OP68" s="7"/>
      <c r="OQ68" s="7"/>
      <c r="OR68" s="7"/>
      <c r="OS68" s="7"/>
      <c r="OT68" s="7"/>
      <c r="OU68" s="7"/>
      <c r="OV68" s="7"/>
      <c r="OW68" s="7"/>
      <c r="OX68" s="7"/>
      <c r="OY68" s="7"/>
      <c r="OZ68" s="7"/>
      <c r="PA68" s="7"/>
      <c r="PB68" s="7"/>
      <c r="PC68" s="7"/>
      <c r="PD68" s="7"/>
      <c r="PE68" s="7"/>
      <c r="PF68" s="7"/>
    </row>
    <row r="69" spans="10:421" ht="13.2">
      <c r="J69" s="7"/>
      <c r="L69" s="7"/>
      <c r="N69" s="7"/>
      <c r="P69" s="7"/>
      <c r="Q69" s="7"/>
      <c r="R69" s="7"/>
      <c r="DN69" s="7"/>
      <c r="DO69" s="7"/>
      <c r="DP69" s="7"/>
      <c r="DQ69" s="7"/>
      <c r="DR69" s="7"/>
      <c r="DS69" s="7"/>
      <c r="DT69" s="7"/>
      <c r="DU69" s="7"/>
      <c r="DV69" s="7"/>
      <c r="DW69" s="7"/>
      <c r="DX69" s="7"/>
      <c r="DY69" s="7"/>
      <c r="DZ69" s="7"/>
      <c r="EA69" s="7"/>
      <c r="EB69" s="7"/>
      <c r="EC69" s="7"/>
      <c r="ED69" s="7"/>
      <c r="EE69" s="7"/>
      <c r="EF69" s="7"/>
      <c r="EG69" s="7"/>
      <c r="EH69" s="7"/>
      <c r="EI69" s="7"/>
      <c r="EJ69" s="7"/>
      <c r="EK69" s="7"/>
      <c r="EL69" s="7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  <c r="FH69" s="7"/>
      <c r="FI69" s="7"/>
      <c r="FJ69" s="7"/>
      <c r="FK69" s="7"/>
      <c r="FL69" s="7"/>
      <c r="FM69" s="7"/>
      <c r="FN69" s="7"/>
      <c r="FO69" s="7"/>
      <c r="FP69" s="7"/>
      <c r="FQ69" s="7"/>
      <c r="FR69" s="7"/>
      <c r="FS69" s="7"/>
      <c r="FT69" s="7"/>
      <c r="FU69" s="7"/>
      <c r="FV69" s="7"/>
      <c r="FW69" s="7"/>
      <c r="FX69" s="7"/>
      <c r="FY69" s="7"/>
      <c r="FZ69" s="7"/>
      <c r="GA69" s="7"/>
      <c r="GB69" s="7"/>
      <c r="GC69" s="7"/>
      <c r="GD69" s="7"/>
      <c r="GE69" s="7"/>
      <c r="GF69" s="7"/>
      <c r="GG69" s="7"/>
      <c r="GH69" s="7"/>
      <c r="GI69" s="7"/>
      <c r="GJ69" s="7"/>
      <c r="GK69" s="7"/>
      <c r="GL69" s="7"/>
      <c r="GM69" s="7"/>
      <c r="GN69" s="7"/>
      <c r="GO69" s="7"/>
      <c r="GP69" s="7"/>
      <c r="GQ69" s="7"/>
      <c r="GR69" s="7"/>
      <c r="GS69" s="7"/>
      <c r="GT69" s="7"/>
      <c r="GU69" s="7"/>
      <c r="GV69" s="7"/>
      <c r="GW69" s="7"/>
      <c r="GX69" s="7"/>
      <c r="GY69" s="7"/>
      <c r="GZ69" s="7"/>
      <c r="HA69" s="7"/>
      <c r="HB69" s="7"/>
      <c r="HC69" s="7"/>
      <c r="HD69" s="7"/>
      <c r="HE69" s="7"/>
      <c r="HF69" s="7"/>
      <c r="HG69" s="7"/>
      <c r="HH69" s="7"/>
      <c r="HI69" s="7"/>
      <c r="HJ69" s="7"/>
      <c r="HK69" s="7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  <c r="IG69" s="7"/>
      <c r="IH69" s="7"/>
      <c r="II69" s="7"/>
      <c r="IJ69" s="7"/>
      <c r="IK69" s="7"/>
      <c r="IL69" s="7"/>
      <c r="IM69" s="7"/>
      <c r="IN69" s="7"/>
      <c r="IO69" s="7"/>
      <c r="IP69" s="7"/>
      <c r="IQ69" s="7"/>
      <c r="IR69" s="7"/>
      <c r="IS69" s="7"/>
      <c r="IT69" s="7"/>
      <c r="IU69" s="7"/>
      <c r="IV69" s="7"/>
      <c r="IW69" s="7"/>
      <c r="IX69" s="7"/>
      <c r="IY69" s="7"/>
      <c r="IZ69" s="7"/>
      <c r="JA69" s="7"/>
      <c r="JB69" s="7"/>
      <c r="JC69" s="7"/>
      <c r="JD69" s="7"/>
      <c r="JE69" s="7"/>
      <c r="JF69" s="7"/>
      <c r="JG69" s="7"/>
      <c r="JH69" s="7"/>
      <c r="JI69" s="7"/>
      <c r="JJ69" s="7"/>
      <c r="JK69" s="7"/>
      <c r="JL69" s="7"/>
      <c r="JM69" s="7"/>
      <c r="JN69" s="7"/>
      <c r="JO69" s="7"/>
      <c r="JP69" s="7"/>
      <c r="JQ69" s="7"/>
      <c r="JR69" s="7"/>
      <c r="JS69" s="7"/>
      <c r="JT69" s="7"/>
      <c r="JU69" s="7"/>
      <c r="JV69" s="7"/>
      <c r="JW69" s="7"/>
      <c r="JX69" s="7"/>
      <c r="JY69" s="7"/>
      <c r="JZ69" s="7"/>
      <c r="KA69" s="7"/>
      <c r="KB69" s="7"/>
      <c r="KC69" s="7"/>
      <c r="KD69" s="7"/>
      <c r="KE69" s="7"/>
      <c r="KF69" s="7"/>
      <c r="KG69" s="7"/>
      <c r="KH69" s="7"/>
      <c r="KI69" s="7"/>
      <c r="KJ69" s="7"/>
      <c r="KK69" s="7"/>
      <c r="KL69" s="7"/>
      <c r="KM69" s="7"/>
      <c r="KN69" s="7"/>
      <c r="KO69" s="7"/>
      <c r="KP69" s="7"/>
      <c r="KQ69" s="7"/>
      <c r="KR69" s="7"/>
      <c r="KS69" s="7"/>
      <c r="KT69" s="7"/>
      <c r="KU69" s="7"/>
      <c r="KV69" s="7"/>
      <c r="KW69" s="7"/>
      <c r="KX69" s="7"/>
      <c r="KY69" s="7"/>
      <c r="KZ69" s="7"/>
      <c r="LA69" s="7"/>
      <c r="LB69" s="7"/>
      <c r="LC69" s="7"/>
      <c r="LD69" s="7"/>
      <c r="LE69" s="7"/>
      <c r="LF69" s="7"/>
      <c r="LG69" s="7"/>
      <c r="LH69" s="7"/>
      <c r="LI69" s="7"/>
      <c r="LJ69" s="7"/>
      <c r="LK69" s="7"/>
      <c r="LL69" s="7"/>
      <c r="LM69" s="7"/>
      <c r="LN69" s="7"/>
      <c r="LO69" s="7"/>
      <c r="LP69" s="7"/>
      <c r="LQ69" s="7"/>
      <c r="LR69" s="7"/>
      <c r="LS69" s="7"/>
      <c r="LT69" s="7"/>
      <c r="LU69" s="7"/>
      <c r="LV69" s="7"/>
      <c r="LW69" s="7"/>
      <c r="LX69" s="7"/>
      <c r="LY69" s="7"/>
      <c r="LZ69" s="7"/>
      <c r="MA69" s="7"/>
      <c r="MB69" s="7"/>
      <c r="MC69" s="7"/>
      <c r="MD69" s="7"/>
      <c r="ME69" s="7"/>
      <c r="MF69" s="7"/>
      <c r="MG69" s="7"/>
      <c r="MH69" s="7"/>
      <c r="MJ69" s="7"/>
      <c r="MK69" s="7"/>
      <c r="ML69" s="7"/>
      <c r="MM69" s="7"/>
      <c r="MN69" s="7"/>
      <c r="MO69" s="7"/>
      <c r="MP69" s="7"/>
      <c r="MQ69" s="7"/>
      <c r="MR69" s="7"/>
      <c r="MS69" s="7"/>
      <c r="MT69" s="7"/>
      <c r="MU69" s="7"/>
      <c r="MV69" s="7"/>
      <c r="MW69" s="7"/>
      <c r="MX69" s="7"/>
      <c r="MY69" s="7"/>
      <c r="MZ69" s="7"/>
      <c r="NA69" s="7"/>
      <c r="NB69" s="7"/>
      <c r="NC69" s="7"/>
      <c r="ND69" s="7"/>
      <c r="NE69" s="7"/>
      <c r="NF69" s="7"/>
      <c r="NG69" s="7"/>
      <c r="NH69" s="7"/>
      <c r="NI69" s="7"/>
      <c r="NJ69" s="7"/>
      <c r="NK69" s="7"/>
      <c r="NL69" s="7"/>
      <c r="NM69" s="7"/>
      <c r="NN69" s="7"/>
      <c r="NO69" s="7"/>
      <c r="NP69" s="7"/>
      <c r="NQ69" s="7"/>
      <c r="NR69" s="7"/>
      <c r="NS69" s="7"/>
      <c r="NT69" s="7"/>
      <c r="NU69" s="7"/>
      <c r="NV69" s="7"/>
      <c r="NW69" s="7"/>
      <c r="NX69" s="7"/>
      <c r="NY69" s="7"/>
      <c r="NZ69" s="7"/>
      <c r="OA69" s="7"/>
      <c r="OB69" s="7"/>
      <c r="OC69" s="7"/>
      <c r="OD69" s="7"/>
      <c r="OE69" s="7"/>
      <c r="OF69" s="7"/>
      <c r="OG69" s="7"/>
      <c r="OH69" s="7"/>
      <c r="OI69" s="7"/>
      <c r="OJ69" s="7"/>
      <c r="OK69" s="7"/>
      <c r="OL69" s="7"/>
      <c r="OM69" s="7"/>
      <c r="ON69" s="7"/>
      <c r="OO69" s="7"/>
      <c r="OP69" s="7"/>
      <c r="OQ69" s="7"/>
      <c r="OR69" s="7"/>
      <c r="OS69" s="7"/>
      <c r="OT69" s="7"/>
      <c r="OU69" s="7"/>
      <c r="OV69" s="7"/>
      <c r="OW69" s="7"/>
      <c r="OX69" s="7"/>
      <c r="OY69" s="7"/>
      <c r="OZ69" s="7"/>
      <c r="PA69" s="7"/>
      <c r="PB69" s="7"/>
      <c r="PC69" s="7"/>
      <c r="PD69" s="7"/>
      <c r="PE69" s="7"/>
    </row>
    <row r="70" spans="206:265" ht="13.2">
      <c r="GX70" s="7"/>
      <c r="GY70" s="7"/>
      <c r="GZ70" s="7"/>
      <c r="HA70" s="7"/>
      <c r="HB70" s="7"/>
      <c r="HC70" s="7"/>
      <c r="HD70" s="7"/>
      <c r="HE70" s="7"/>
      <c r="HF70" s="7"/>
      <c r="HG70" s="7"/>
      <c r="HH70" s="7"/>
      <c r="HI70" s="7"/>
      <c r="HJ70" s="7"/>
      <c r="HK70" s="7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  <c r="IG70" s="7"/>
      <c r="IH70" s="7"/>
      <c r="II70" s="7"/>
      <c r="IJ70" s="7"/>
      <c r="IK70" s="7"/>
      <c r="IL70" s="7"/>
      <c r="IM70" s="7"/>
      <c r="IN70" s="7"/>
      <c r="IO70" s="7"/>
      <c r="IP70" s="7"/>
      <c r="IQ70" s="7"/>
      <c r="IR70" s="7"/>
      <c r="IS70" s="7"/>
      <c r="IT70" s="7"/>
      <c r="IU70" s="7"/>
      <c r="IV70" s="7"/>
      <c r="IW70" s="7"/>
      <c r="IX70" s="7"/>
      <c r="IY70" s="7"/>
      <c r="IZ70" s="7"/>
      <c r="JA70" s="7"/>
      <c r="JB70" s="7"/>
      <c r="JC70" s="7"/>
      <c r="JD70" s="7"/>
      <c r="JE70" s="7"/>
    </row>
    <row r="71" spans="206:265" ht="13.2">
      <c r="GX71" s="7"/>
      <c r="GY71" s="7"/>
      <c r="GZ71" s="7"/>
      <c r="HA71" s="7"/>
      <c r="HB71" s="7"/>
      <c r="HC71" s="7"/>
      <c r="HD71" s="7"/>
      <c r="HE71" s="7"/>
      <c r="HF71" s="7"/>
      <c r="HG71" s="7"/>
      <c r="HH71" s="7"/>
      <c r="HI71" s="7"/>
      <c r="HJ71" s="7"/>
      <c r="HK71" s="7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  <c r="IG71" s="7"/>
      <c r="IH71" s="7"/>
      <c r="II71" s="7"/>
      <c r="IJ71" s="7"/>
      <c r="IK71" s="7"/>
      <c r="IL71" s="7"/>
      <c r="IM71" s="7"/>
      <c r="IN71" s="7"/>
      <c r="IO71" s="7"/>
      <c r="IP71" s="7"/>
      <c r="IQ71" s="7"/>
      <c r="IR71" s="7"/>
      <c r="IS71" s="7"/>
      <c r="IT71" s="7"/>
      <c r="IU71" s="7"/>
      <c r="IV71" s="7"/>
      <c r="IW71" s="7"/>
      <c r="IX71" s="7"/>
      <c r="IY71" s="7"/>
      <c r="IZ71" s="7"/>
      <c r="JA71" s="7"/>
      <c r="JB71" s="7"/>
      <c r="JC71" s="7"/>
      <c r="JD71" s="7"/>
      <c r="JE71" s="7"/>
    </row>
    <row r="72" spans="206:265" ht="13.2">
      <c r="GX72" s="7"/>
      <c r="GY72" s="7"/>
      <c r="GZ72" s="7"/>
      <c r="HA72" s="7"/>
      <c r="HB72" s="7"/>
      <c r="HC72" s="7"/>
      <c r="HD72" s="7"/>
      <c r="HE72" s="7"/>
      <c r="HF72" s="7"/>
      <c r="HG72" s="7"/>
      <c r="HH72" s="7"/>
      <c r="HI72" s="7"/>
      <c r="HJ72" s="7"/>
      <c r="HK72" s="7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  <c r="IG72" s="7"/>
      <c r="IH72" s="7"/>
      <c r="II72" s="7"/>
      <c r="IJ72" s="7"/>
      <c r="IK72" s="7"/>
      <c r="IL72" s="7"/>
      <c r="IM72" s="7"/>
      <c r="IN72" s="7"/>
      <c r="IO72" s="7"/>
      <c r="IP72" s="7"/>
      <c r="IQ72" s="7"/>
      <c r="IR72" s="7"/>
      <c r="IS72" s="7"/>
      <c r="IT72" s="7"/>
      <c r="IU72" s="7"/>
      <c r="IV72" s="7"/>
      <c r="IW72" s="7"/>
      <c r="IX72" s="7"/>
      <c r="IY72" s="7"/>
      <c r="IZ72" s="7"/>
      <c r="JA72" s="7"/>
      <c r="JB72" s="7"/>
      <c r="JC72" s="7"/>
      <c r="JD72" s="7"/>
      <c r="JE72" s="7"/>
    </row>
    <row r="73" spans="206:265" ht="13.2">
      <c r="GX73" s="7"/>
      <c r="GY73" s="7"/>
      <c r="GZ73" s="7"/>
      <c r="HA73" s="7"/>
      <c r="HB73" s="7"/>
      <c r="HC73" s="7"/>
      <c r="HD73" s="7"/>
      <c r="HE73" s="7"/>
      <c r="HF73" s="7"/>
      <c r="HG73" s="7"/>
      <c r="HH73" s="7"/>
      <c r="HI73" s="7"/>
      <c r="HJ73" s="7"/>
      <c r="HK73" s="7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  <c r="IG73" s="7"/>
      <c r="IH73" s="7"/>
      <c r="II73" s="7"/>
      <c r="IJ73" s="7"/>
      <c r="IK73" s="7"/>
      <c r="IL73" s="7"/>
      <c r="IM73" s="7"/>
      <c r="IN73" s="7"/>
      <c r="IO73" s="7"/>
      <c r="IP73" s="7"/>
      <c r="IQ73" s="7"/>
      <c r="IR73" s="7"/>
      <c r="IS73" s="7"/>
      <c r="IT73" s="7"/>
      <c r="IU73" s="7"/>
      <c r="IV73" s="7"/>
      <c r="IW73" s="7"/>
      <c r="IX73" s="7"/>
      <c r="IY73" s="7"/>
      <c r="IZ73" s="7"/>
      <c r="JA73" s="7"/>
      <c r="JB73" s="7"/>
      <c r="JC73" s="7"/>
      <c r="JD73" s="7"/>
      <c r="JE73" s="7"/>
    </row>
    <row r="74" spans="206:265" ht="13.2">
      <c r="GX74" s="7"/>
      <c r="GY74" s="7"/>
      <c r="GZ74" s="7"/>
      <c r="HA74" s="7"/>
      <c r="HB74" s="7"/>
      <c r="HC74" s="7"/>
      <c r="HD74" s="7"/>
      <c r="HE74" s="7"/>
      <c r="HF74" s="7"/>
      <c r="HG74" s="7"/>
      <c r="HH74" s="7"/>
      <c r="HI74" s="7"/>
      <c r="HJ74" s="7"/>
      <c r="HK74" s="7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  <c r="IG74" s="7"/>
      <c r="IH74" s="7"/>
      <c r="II74" s="7"/>
      <c r="IJ74" s="7"/>
      <c r="IK74" s="7"/>
      <c r="IL74" s="7"/>
      <c r="IM74" s="7"/>
      <c r="IN74" s="7"/>
      <c r="IO74" s="7"/>
      <c r="IP74" s="7"/>
      <c r="IQ74" s="7"/>
      <c r="IR74" s="7"/>
      <c r="IS74" s="7"/>
      <c r="IT74" s="7"/>
      <c r="IU74" s="7"/>
      <c r="IV74" s="7"/>
      <c r="IW74" s="7"/>
      <c r="IX74" s="7"/>
      <c r="IY74" s="7"/>
      <c r="IZ74" s="7"/>
      <c r="JA74" s="7"/>
      <c r="JB74" s="7"/>
      <c r="JC74" s="7"/>
      <c r="JD74" s="7"/>
      <c r="JE74" s="7"/>
    </row>
    <row r="75" spans="206:265" ht="13.2">
      <c r="GX75" s="7"/>
      <c r="GY75" s="7"/>
      <c r="GZ75" s="7"/>
      <c r="HA75" s="7"/>
      <c r="HB75" s="7"/>
      <c r="HC75" s="7"/>
      <c r="HD75" s="7"/>
      <c r="HE75" s="7"/>
      <c r="HF75" s="7"/>
      <c r="HG75" s="7"/>
      <c r="HH75" s="7"/>
      <c r="HI75" s="7"/>
      <c r="HJ75" s="7"/>
      <c r="HK75" s="7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  <c r="IG75" s="7"/>
      <c r="IH75" s="7"/>
      <c r="II75" s="7"/>
      <c r="IJ75" s="7"/>
      <c r="IK75" s="7"/>
      <c r="IL75" s="7"/>
      <c r="IM75" s="7"/>
      <c r="IN75" s="7"/>
      <c r="IO75" s="7"/>
      <c r="IP75" s="7"/>
      <c r="IQ75" s="7"/>
      <c r="IR75" s="7"/>
      <c r="IS75" s="7"/>
      <c r="IT75" s="7"/>
      <c r="IU75" s="7"/>
      <c r="IV75" s="7"/>
      <c r="IW75" s="7"/>
      <c r="IX75" s="7"/>
      <c r="IY75" s="7"/>
      <c r="IZ75" s="7"/>
      <c r="JA75" s="7"/>
      <c r="JB75" s="7"/>
      <c r="JC75" s="7"/>
      <c r="JD75" s="7"/>
      <c r="JE75" s="7"/>
    </row>
    <row r="76" spans="206:265" ht="13.2">
      <c r="GX76" s="7"/>
      <c r="GY76" s="7"/>
      <c r="GZ76" s="7"/>
      <c r="HA76" s="7"/>
      <c r="HB76" s="7"/>
      <c r="HC76" s="7"/>
      <c r="HD76" s="7"/>
      <c r="HE76" s="7"/>
      <c r="HF76" s="7"/>
      <c r="HG76" s="7"/>
      <c r="HH76" s="7"/>
      <c r="HI76" s="7"/>
      <c r="HJ76" s="7"/>
      <c r="HK76" s="7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  <c r="IG76" s="7"/>
      <c r="IH76" s="7"/>
      <c r="II76" s="7"/>
      <c r="IJ76" s="7"/>
      <c r="IK76" s="7"/>
      <c r="IL76" s="7"/>
      <c r="IM76" s="7"/>
      <c r="IN76" s="7"/>
      <c r="IO76" s="7"/>
      <c r="IP76" s="7"/>
      <c r="IQ76" s="7"/>
      <c r="IR76" s="7"/>
      <c r="IS76" s="7"/>
      <c r="IT76" s="7"/>
      <c r="IU76" s="7"/>
      <c r="IV76" s="7"/>
      <c r="IW76" s="7"/>
      <c r="IX76" s="7"/>
      <c r="IY76" s="7"/>
      <c r="IZ76" s="7"/>
      <c r="JA76" s="7"/>
      <c r="JB76" s="7"/>
      <c r="JC76" s="7"/>
      <c r="JD76" s="7"/>
      <c r="JE76" s="7"/>
    </row>
    <row r="77" spans="206:265" ht="13.2">
      <c r="GX77" s="7"/>
      <c r="GY77" s="7"/>
      <c r="GZ77" s="7"/>
      <c r="HA77" s="7"/>
      <c r="HB77" s="7"/>
      <c r="HC77" s="7"/>
      <c r="HD77" s="7"/>
      <c r="HE77" s="7"/>
      <c r="HF77" s="7"/>
      <c r="HG77" s="7"/>
      <c r="HH77" s="7"/>
      <c r="HI77" s="7"/>
      <c r="HJ77" s="7"/>
      <c r="HK77" s="7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  <c r="IG77" s="7"/>
      <c r="IH77" s="7"/>
      <c r="II77" s="7"/>
      <c r="IJ77" s="7"/>
      <c r="IK77" s="7"/>
      <c r="IL77" s="7"/>
      <c r="IM77" s="7"/>
      <c r="IN77" s="7"/>
      <c r="IO77" s="7"/>
      <c r="IP77" s="7"/>
      <c r="IQ77" s="7"/>
      <c r="IR77" s="7"/>
      <c r="IS77" s="7"/>
      <c r="IT77" s="7"/>
      <c r="IU77" s="7"/>
      <c r="IV77" s="7"/>
      <c r="IW77" s="7"/>
      <c r="IX77" s="7"/>
      <c r="IY77" s="7"/>
      <c r="IZ77" s="7"/>
      <c r="JA77" s="7"/>
      <c r="JB77" s="7"/>
      <c r="JC77" s="7"/>
      <c r="JD77" s="7"/>
      <c r="JE77" s="7"/>
    </row>
  </sheetData>
  <pageMargins left="1.24724409448847" right="1.24724409448847" top="0.75" bottom="0.75" header="0.3" footer="0.3"/>
  <pageSetup horizontalDpi="300" verticalDpi="300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3EB5D4-F846-4E86-9736-0135DA71AA8C}">
  <sheetPr codeName="Sheet2">
    <pageSetUpPr fitToPage="1"/>
  </sheetPr>
  <dimension ref="A1:O17"/>
  <sheetViews>
    <sheetView view="pageBreakPreview" zoomScale="60" zoomScaleNormal="50" workbookViewId="0" topLeftCell="A9">
      <selection pane="topLeft" activeCell="E16" sqref="E16"/>
    </sheetView>
  </sheetViews>
  <sheetFormatPr defaultColWidth="9.109375" defaultRowHeight="13.5"/>
  <cols>
    <col min="1" max="1" width="10.4285714285714" style="61" customWidth="1"/>
    <col min="2" max="2" width="30.5714285714286" style="61" customWidth="1"/>
    <col min="3" max="3" width="34" style="61" customWidth="1"/>
    <col min="4" max="4" width="27.4285714285714" style="61" customWidth="1"/>
    <col min="5" max="5" width="39.4285714285714" style="61" customWidth="1"/>
    <col min="6" max="6" width="25.7142857142857" style="61" customWidth="1"/>
    <col min="7" max="7" width="16.2857142857143" style="61" customWidth="1"/>
    <col min="8" max="8" width="16.4285714285714" style="61" customWidth="1"/>
    <col min="9" max="9" width="11.5714285714286" style="61" customWidth="1"/>
    <col min="10" max="10" width="17.5714285714286" style="62" customWidth="1"/>
    <col min="11" max="11" width="17.4285714285714" style="62" customWidth="1"/>
    <col min="12" max="12" width="18" style="61" customWidth="1"/>
    <col min="13" max="13" width="19.7142857142857" customWidth="1"/>
    <col min="14" max="14" width="20.4285714285714" customWidth="1"/>
    <col min="15" max="15" width="58.5714285714286" customWidth="1"/>
  </cols>
  <sheetData>
    <row r="1" spans="1:15" ht="100.5" customHeight="1">
      <c r="A1" s="288" t="s">
        <v>136</v>
      </c>
      <c r="B1" s="289"/>
      <c r="C1" s="289"/>
      <c r="D1" s="289"/>
      <c r="E1" s="289"/>
      <c r="F1" s="289"/>
      <c r="G1" s="289"/>
      <c r="H1" s="289"/>
      <c r="I1" s="289"/>
      <c r="J1" s="289"/>
      <c r="K1" s="289"/>
      <c r="L1" s="289"/>
      <c r="M1" s="289"/>
      <c r="N1" s="289"/>
      <c r="O1" s="290"/>
    </row>
    <row r="2" spans="1:15" ht="39.9" customHeight="1">
      <c r="A2" s="190" t="s">
        <v>146</v>
      </c>
      <c r="B2" s="190"/>
      <c r="C2" s="192"/>
      <c r="D2" s="192"/>
      <c r="E2" s="192" t="s">
        <v>147</v>
      </c>
      <c r="F2" s="192"/>
      <c r="G2" s="194" t="str">
        <f>TRIM(Data!BF5)</f>
        <v>Evans, Belinda</v>
      </c>
      <c r="H2" s="194"/>
      <c r="I2" s="194"/>
      <c r="J2" s="194"/>
      <c r="K2" s="194"/>
      <c r="L2" s="172" t="s">
        <v>148</v>
      </c>
      <c r="M2" s="173"/>
      <c r="N2" s="173"/>
      <c r="O2" s="174"/>
    </row>
    <row r="3" spans="1:15" ht="39.9" customHeight="1">
      <c r="A3" s="287" t="s">
        <v>149</v>
      </c>
      <c r="B3" s="287"/>
      <c r="C3" s="191" t="str">
        <f>TRIM(Data!BC5)</f>
        <v>40426</v>
      </c>
      <c r="D3" s="191"/>
      <c r="E3" s="193" t="s">
        <v>150</v>
      </c>
      <c r="F3" s="193"/>
      <c r="G3" s="194" t="str">
        <f>TRIM(Data!AX5)</f>
        <v>Sheers and Rollers</v>
      </c>
      <c r="H3" s="194"/>
      <c r="I3" s="194"/>
      <c r="J3" s="194"/>
      <c r="K3" s="194"/>
      <c r="L3" s="175" t="str">
        <f>TRIM(Data!BG5)</f>
        <v/>
      </c>
      <c r="M3" s="176"/>
      <c r="N3" s="176"/>
      <c r="O3" s="177"/>
    </row>
    <row r="4" spans="1:15" ht="39.9" customHeight="1">
      <c r="A4" s="190" t="s">
        <v>151</v>
      </c>
      <c r="B4" s="190"/>
      <c r="C4" s="191" t="str">
        <f>TRIM(Data!BD5)</f>
        <v>A</v>
      </c>
      <c r="D4" s="191"/>
      <c r="E4" s="193" t="s">
        <v>152</v>
      </c>
      <c r="F4" s="193"/>
      <c r="G4" s="194" t="str">
        <f>LEFT(Data!BA5,10)</f>
        <v>4/09/2026 </v>
      </c>
      <c r="H4" s="194"/>
      <c r="I4" s="194"/>
      <c r="J4" s="194"/>
      <c r="K4" s="194"/>
      <c r="L4" s="178"/>
      <c r="M4" s="179"/>
      <c r="N4" s="179"/>
      <c r="O4" s="180"/>
    </row>
    <row r="5" spans="1:15" ht="12.75" customHeight="1">
      <c r="A5" s="202" t="s">
        <v>159</v>
      </c>
      <c r="B5" s="164" t="s">
        <v>160</v>
      </c>
      <c r="C5" s="163" t="s">
        <v>760</v>
      </c>
      <c r="D5" s="163" t="s">
        <v>761</v>
      </c>
      <c r="E5" s="163" t="s">
        <v>188</v>
      </c>
      <c r="F5" s="163" t="s">
        <v>349</v>
      </c>
      <c r="G5" s="163" t="s">
        <v>168</v>
      </c>
      <c r="H5" s="163" t="s">
        <v>762</v>
      </c>
      <c r="I5" s="163" t="s">
        <v>763</v>
      </c>
      <c r="J5" s="163" t="s">
        <v>764</v>
      </c>
      <c r="K5" s="163" t="s">
        <v>765</v>
      </c>
      <c r="L5" s="163" t="s">
        <v>766</v>
      </c>
      <c r="M5" s="163" t="s">
        <v>192</v>
      </c>
      <c r="N5" s="163" t="s">
        <v>767</v>
      </c>
      <c r="O5" s="163" t="s">
        <v>199</v>
      </c>
    </row>
    <row r="6" spans="1:15" ht="12.75" customHeight="1">
      <c r="A6" s="202"/>
      <c r="B6" s="164"/>
      <c r="C6" s="163"/>
      <c r="D6" s="163"/>
      <c r="E6" s="163"/>
      <c r="F6" s="163"/>
      <c r="G6" s="163"/>
      <c r="H6" s="163"/>
      <c r="I6" s="163"/>
      <c r="J6" s="163"/>
      <c r="K6" s="163"/>
      <c r="L6" s="163"/>
      <c r="M6" s="163"/>
      <c r="N6" s="163"/>
      <c r="O6" s="163"/>
    </row>
    <row r="7" spans="1:15" ht="69" customHeight="1">
      <c r="A7" s="202"/>
      <c r="B7" s="164"/>
      <c r="C7" s="163"/>
      <c r="D7" s="163"/>
      <c r="E7" s="163"/>
      <c r="F7" s="163"/>
      <c r="G7" s="163"/>
      <c r="H7" s="163"/>
      <c r="I7" s="163"/>
      <c r="J7" s="163"/>
      <c r="K7" s="163"/>
      <c r="L7" s="163"/>
      <c r="M7" s="163"/>
      <c r="N7" s="163"/>
      <c r="O7" s="163"/>
    </row>
    <row r="8" spans="1:15" ht="60" customHeight="1">
      <c r="A8" s="69" t="str">
        <f>IF(Data!AW11="","",'Job Sheet'!A11)</f>
        <v>9</v>
      </c>
      <c r="B8" s="69" t="str">
        <f>IF(OR(Data!AW11="",C8=""),"",'Job Sheet'!B11)</f>
        <v/>
      </c>
      <c r="C8" s="69" t="str">
        <f>IF(OR('Job Sheet'!AA11="Straight Upholstered Pelmet",'Job Sheet'!AA11="Shaped Upholstered Pelmet",'Job Sheet'!AA11="Straight Bonded Pelmet"),'Job Sheet'!AA11,"")</f>
        <v/>
      </c>
      <c r="D8" s="69" t="str">
        <f>IF(C8="","",IF(OR('Job Sheet'!A$6="Brax Retail",'Job Sheet'!A$6="Brax Wholesale"),'Job Sheet'!I11,IF(OR('Job Sheet'!BH11="Philip Batch",'Job Sheet'!BH11="DBS to Make",'Job Sheet'!AA11="None"),"",'Job Sheet'!I11)))</f>
        <v/>
      </c>
      <c r="E8" s="69" t="str">
        <f>'Job Sheet'!AD11</f>
        <v/>
      </c>
      <c r="F8" s="69" t="str">
        <f>IF(OR(C8="",'Job Sheet'!BH11="DBS to Make",'Job Sheet'!AA11="None"),"",'Job Sheet'!I11)</f>
        <v/>
      </c>
      <c r="G8" s="69" t="str">
        <f>IF(OR(Data!AW11="",C8="",'Job Sheet'!AA11="None"),"",'Job Sheet'!J11)</f>
        <v/>
      </c>
      <c r="H8" s="69" t="str">
        <f>IF(OR(Data!AW11="",C8=""),"",'Job Sheet'!BA11)</f>
        <v/>
      </c>
      <c r="I8" s="69" t="str">
        <f t="shared" si="0" ref="I8:I11">IF(OR(C8="Straight Upholstered Pelmet",C8="Shaped Upholstered Pelmet",C8="Straight Bonded Pelmet"),"IBM","")</f>
        <v/>
      </c>
      <c r="J8" s="69" t="str">
        <f>IF(OR(Data!AW11="",C8=""),"",'Job Sheet'!AE11)</f>
        <v/>
      </c>
      <c r="K8" s="30" t="str">
        <f>'Job Sheet'!AG11</f>
        <v/>
      </c>
      <c r="L8" s="69" t="str">
        <f>IF(OR(Data!AW11="",'Job Sheet'!BH11="DBS to Make",'Job Sheet'!AA11="None"),"",'Job Sheet'!AF11)</f>
        <v/>
      </c>
      <c r="M8" s="30" t="str">
        <f>'Job Sheet'!AH11</f>
        <v/>
      </c>
      <c r="N8" s="30" t="str">
        <f>'Job Sheet'!AI11</f>
        <v/>
      </c>
      <c r="O8" s="30" t="str">
        <f>IF(OR(Data!AW11="",C8=""),"",'Job Sheet'!AO11)</f>
        <v/>
      </c>
    </row>
    <row r="9" spans="1:15" ht="60" customHeight="1">
      <c r="A9" s="69" t="str">
        <f>IF(Data!AW12="","",'Job Sheet'!A12)</f>
        <v>10</v>
      </c>
      <c r="B9" s="69" t="str">
        <f>IF(OR(Data!AW12="",C9=""),"",'Job Sheet'!B12)</f>
        <v/>
      </c>
      <c r="C9" s="69" t="str">
        <f>IF(OR('Job Sheet'!AA12="Straight Upholstered Pelmet",'Job Sheet'!AA12="Shaped Upholstered Pelmet",'Job Sheet'!AA12="Straight Bonded Pelmet"),'Job Sheet'!AA12,"")</f>
        <v/>
      </c>
      <c r="D9" s="69" t="str">
        <f>IF(C9="","",IF(OR('Job Sheet'!A$6="Brax Retail",'Job Sheet'!A$6="Brax Wholesale"),'Job Sheet'!I12,IF(OR('Job Sheet'!BH12="Philip Batch",'Job Sheet'!BH12="DBS to Make",'Job Sheet'!AA12="None"),"",'Job Sheet'!I12)))</f>
        <v/>
      </c>
      <c r="E9" s="69" t="str">
        <f>'Job Sheet'!AD12</f>
        <v/>
      </c>
      <c r="F9" s="69" t="str">
        <f>IF(OR(C9="",'Job Sheet'!BH12="DBS to Make",'Job Sheet'!AA12="None"),"",'Job Sheet'!I12)</f>
        <v/>
      </c>
      <c r="G9" s="69" t="str">
        <f>IF(OR(Data!AW12="",C9="",'Job Sheet'!AA12="None"),"",'Job Sheet'!J12)</f>
        <v/>
      </c>
      <c r="H9" s="69" t="str">
        <f>IF(OR(Data!AW12="",C9=""),"",'Job Sheet'!BA12)</f>
        <v/>
      </c>
      <c r="I9" s="69" t="str">
        <f t="shared" si="0"/>
        <v/>
      </c>
      <c r="J9" s="69" t="str">
        <f>IF(OR(Data!AW12="",C9=""),"",'Job Sheet'!AE12)</f>
        <v/>
      </c>
      <c r="K9" s="30" t="str">
        <f>'Job Sheet'!AG12</f>
        <v/>
      </c>
      <c r="L9" s="69" t="str">
        <f>IF(OR(Data!AW12="",'Job Sheet'!BH12="DBS to Make",'Job Sheet'!AA12="None"),"",'Job Sheet'!AF12)</f>
        <v/>
      </c>
      <c r="M9" s="30" t="str">
        <f>'Job Sheet'!AH12</f>
        <v/>
      </c>
      <c r="N9" s="30" t="str">
        <f>'Job Sheet'!AI12</f>
        <v/>
      </c>
      <c r="O9" s="30" t="str">
        <f>IF(OR(Data!AW12="",C9=""),"",'Job Sheet'!AO12)</f>
        <v/>
      </c>
    </row>
    <row r="10" spans="1:15" ht="60" customHeight="1">
      <c r="A10" s="69" t="str">
        <f>IF(Data!AW13="","",'Job Sheet'!A13)</f>
        <v>11</v>
      </c>
      <c r="B10" s="69" t="str">
        <f>IF(OR(Data!AW13="",C10=""),"",'Job Sheet'!B13)</f>
        <v/>
      </c>
      <c r="C10" s="69" t="str">
        <f>IF(OR('Job Sheet'!AA13="Straight Upholstered Pelmet",'Job Sheet'!AA13="Shaped Upholstered Pelmet",'Job Sheet'!AA13="Straight Bonded Pelmet"),'Job Sheet'!AA13,"")</f>
        <v/>
      </c>
      <c r="D10" s="69" t="str">
        <f>IF(C10="","",IF(OR('Job Sheet'!A$6="Brax Retail",'Job Sheet'!A$6="Brax Wholesale"),'Job Sheet'!I13,IF(OR('Job Sheet'!BH13="Philip Batch",'Job Sheet'!BH13="DBS to Make",'Job Sheet'!AA13="None"),"",'Job Sheet'!I13)))</f>
        <v/>
      </c>
      <c r="E10" s="69" t="str">
        <f>'Job Sheet'!AD13</f>
        <v/>
      </c>
      <c r="F10" s="69" t="str">
        <f>IF(OR(C10="",'Job Sheet'!BH13="DBS to Make",'Job Sheet'!AA13="None"),"",'Job Sheet'!I13)</f>
        <v/>
      </c>
      <c r="G10" s="69" t="str">
        <f>IF(OR(Data!AW13="",C10="",'Job Sheet'!AA13="None"),"",'Job Sheet'!J13)</f>
        <v/>
      </c>
      <c r="H10" s="69" t="str">
        <f>IF(OR(Data!AW13="",C10=""),"",'Job Sheet'!BA13)</f>
        <v/>
      </c>
      <c r="I10" s="69" t="str">
        <f t="shared" si="0"/>
        <v/>
      </c>
      <c r="J10" s="69" t="str">
        <f>IF(OR(Data!AW13="",C10=""),"",'Job Sheet'!AE13)</f>
        <v/>
      </c>
      <c r="K10" s="30" t="str">
        <f>'Job Sheet'!AG13</f>
        <v/>
      </c>
      <c r="L10" s="69" t="str">
        <f>IF(OR(Data!AW13="",'Job Sheet'!BH13="DBS to Make",'Job Sheet'!AA13="None"),"",'Job Sheet'!AF13)</f>
        <v/>
      </c>
      <c r="M10" s="30" t="str">
        <f>'Job Sheet'!AH13</f>
        <v/>
      </c>
      <c r="N10" s="30" t="str">
        <f>'Job Sheet'!AI13</f>
        <v/>
      </c>
      <c r="O10" s="30" t="str">
        <f>IF(OR(Data!AW13="",C10=""),"",'Job Sheet'!AO13)</f>
        <v/>
      </c>
    </row>
    <row r="11" spans="1:15" ht="60" customHeight="1">
      <c r="A11" s="69" t="str">
        <f>IF(Data!AW14="","",'Job Sheet'!A14)</f>
        <v>12</v>
      </c>
      <c r="B11" s="69" t="str">
        <f>IF(OR(Data!AW14="",C11=""),"",'Job Sheet'!B14)</f>
        <v/>
      </c>
      <c r="C11" s="69" t="str">
        <f>IF(OR('Job Sheet'!AA14="Straight Upholstered Pelmet",'Job Sheet'!AA14="Shaped Upholstered Pelmet",'Job Sheet'!AA14="Straight Bonded Pelmet"),'Job Sheet'!AA14,"")</f>
        <v/>
      </c>
      <c r="D11" s="69" t="str">
        <f>IF(C11="","",IF(OR('Job Sheet'!A$6="Brax Retail",'Job Sheet'!A$6="Brax Wholesale"),'Job Sheet'!I14,IF(OR('Job Sheet'!BH14="Philip Batch",'Job Sheet'!BH14="DBS to Make",'Job Sheet'!AA14="None"),"",'Job Sheet'!I14)))</f>
        <v/>
      </c>
      <c r="E11" s="69" t="str">
        <f>'Job Sheet'!AD14</f>
        <v/>
      </c>
      <c r="F11" s="69" t="str">
        <f>IF(OR(C11="",'Job Sheet'!BH14="DBS to Make",'Job Sheet'!AA14="None"),"",'Job Sheet'!I14)</f>
        <v/>
      </c>
      <c r="G11" s="69" t="str">
        <f>IF(OR(Data!AW14="",C11="",'Job Sheet'!AA14="None"),"",'Job Sheet'!J14)</f>
        <v/>
      </c>
      <c r="H11" s="69" t="str">
        <f>IF(OR(Data!AW14="",C11=""),"",'Job Sheet'!BA14)</f>
        <v/>
      </c>
      <c r="I11" s="69" t="str">
        <f t="shared" si="0"/>
        <v/>
      </c>
      <c r="J11" s="69" t="str">
        <f>IF(OR(Data!AW14="",C11=""),"",'Job Sheet'!AE14)</f>
        <v/>
      </c>
      <c r="K11" s="30" t="str">
        <f>'Job Sheet'!AG14</f>
        <v/>
      </c>
      <c r="L11" s="69" t="str">
        <f>IF(OR(Data!AW14="",'Job Sheet'!BH14="DBS to Make",'Job Sheet'!AA14="None"),"",'Job Sheet'!AF14)</f>
        <v/>
      </c>
      <c r="M11" s="30" t="str">
        <f>'Job Sheet'!AH14</f>
        <v/>
      </c>
      <c r="N11" s="30" t="str">
        <f>'Job Sheet'!AI14</f>
        <v/>
      </c>
      <c r="O11" s="30" t="str">
        <f>IF(OR(Data!AW14="",C11=""),"",'Job Sheet'!AO14)</f>
        <v/>
      </c>
    </row>
    <row r="12" spans="1:15" ht="60" customHeight="1">
      <c r="A12" s="69" t="str">
        <f>IF(Data!AW15="","",'Job Sheet'!A15)</f>
        <v/>
      </c>
      <c r="B12" s="69" t="str">
        <f>IF(OR(Data!AW15="",C12=""),"",'Job Sheet'!B15)</f>
        <v/>
      </c>
      <c r="C12" s="69" t="str">
        <f>IF(OR('Job Sheet'!AA15="Straight Upholstered Pelmet",'Job Sheet'!AA15="Shaped Upholstered Pelmet",'Job Sheet'!AA15="Straight Bonded Pelmet"),'Job Sheet'!AA15,"")</f>
        <v/>
      </c>
      <c r="D12" s="69" t="str">
        <f>IF(C12="","",IF(OR('Job Sheet'!A$6="Brax Retail",'Job Sheet'!A$6="Brax Wholesale"),'Job Sheet'!I15,IF(OR('Job Sheet'!BH15="Philip Batch",'Job Sheet'!BH15="DBS to Make",'Job Sheet'!AA15="None"),"",'Job Sheet'!I15)))</f>
        <v/>
      </c>
      <c r="E12" s="69" t="str">
        <f>'Job Sheet'!AD15</f>
        <v/>
      </c>
      <c r="F12" s="69" t="str">
        <f>IF(OR(C12="",'Job Sheet'!BH15="DBS to Make",'Job Sheet'!AA15="None"),"",'Job Sheet'!I15)</f>
        <v/>
      </c>
      <c r="G12" s="69" t="str">
        <f>IF(OR(Data!AW15="",C12="",'Job Sheet'!AA15="None"),"",'Job Sheet'!J15)</f>
        <v/>
      </c>
      <c r="H12" s="69" t="str">
        <f>IF(OR(Data!AW15="",C12=""),"",'Job Sheet'!BA15)</f>
        <v/>
      </c>
      <c r="I12" s="69" t="str">
        <f t="shared" si="1" ref="I12:I17">IF(OR(C12="Straight Upholstered Pelmet",C12="Shaped Upholstered Pelmet",C12="Straight Bonded Pelmet"),"IBM","")</f>
        <v/>
      </c>
      <c r="J12" s="69" t="str">
        <f>IF(OR(Data!AW15="",C12=""),"",'Job Sheet'!AE15)</f>
        <v/>
      </c>
      <c r="K12" s="30" t="str">
        <f>'Job Sheet'!AG15</f>
        <v/>
      </c>
      <c r="L12" s="69" t="str">
        <f>IF(OR(Data!AW15="",'Job Sheet'!BH15="DBS to Make",'Job Sheet'!AA15="None"),"",'Job Sheet'!AF15)</f>
        <v/>
      </c>
      <c r="M12" s="30" t="str">
        <f>'Job Sheet'!AH15</f>
        <v/>
      </c>
      <c r="N12" s="30" t="str">
        <f>'Job Sheet'!AI15</f>
        <v/>
      </c>
      <c r="O12" s="30" t="str">
        <f>IF(OR(Data!AW15="",C12=""),"",'Job Sheet'!AO15)</f>
        <v/>
      </c>
    </row>
    <row r="13" spans="1:15" ht="60" customHeight="1">
      <c r="A13" s="69" t="str">
        <f>IF(Data!AW16="","",'Job Sheet'!A16)</f>
        <v/>
      </c>
      <c r="B13" s="69" t="str">
        <f>IF(OR(Data!AW16="",C13=""),"",'Job Sheet'!B16)</f>
        <v/>
      </c>
      <c r="C13" s="69" t="str">
        <f>IF(OR('Job Sheet'!AA16="Straight Upholstered Pelmet",'Job Sheet'!AA16="Shaped Upholstered Pelmet",'Job Sheet'!AA16="Straight Bonded Pelmet"),'Job Sheet'!AA16,"")</f>
        <v/>
      </c>
      <c r="D13" s="69" t="str">
        <f>IF(C13="","",IF(OR('Job Sheet'!A$6="Brax Retail",'Job Sheet'!A$6="Brax Wholesale"),'Job Sheet'!I16,IF(OR('Job Sheet'!BH16="Philip Batch",'Job Sheet'!BH16="DBS to Make",'Job Sheet'!AA16="None"),"",'Job Sheet'!I16)))</f>
        <v/>
      </c>
      <c r="E13" s="69" t="str">
        <f>'Job Sheet'!AD16</f>
        <v/>
      </c>
      <c r="F13" s="69" t="str">
        <f>IF(OR(C13="",'Job Sheet'!BH16="DBS to Make",'Job Sheet'!AA16="None"),"",'Job Sheet'!I16)</f>
        <v/>
      </c>
      <c r="G13" s="69" t="str">
        <f>IF(OR(Data!AW16="",C13="",'Job Sheet'!AA16="None"),"",'Job Sheet'!J16)</f>
        <v/>
      </c>
      <c r="H13" s="69" t="str">
        <f>IF(OR(Data!AW16="",C13=""),"",'Job Sheet'!BA16)</f>
        <v/>
      </c>
      <c r="I13" s="69" t="str">
        <f t="shared" si="1"/>
        <v/>
      </c>
      <c r="J13" s="69" t="str">
        <f>IF(OR(Data!AW16="",C13=""),"",'Job Sheet'!AE16)</f>
        <v/>
      </c>
      <c r="K13" s="30" t="str">
        <f>'Job Sheet'!AG16</f>
        <v/>
      </c>
      <c r="L13" s="69" t="str">
        <f>IF(OR(Data!AW16="",'Job Sheet'!BH16="DBS to Make",'Job Sheet'!AA16="None"),"",'Job Sheet'!AF16)</f>
        <v/>
      </c>
      <c r="M13" s="30" t="str">
        <f>'Job Sheet'!AH16</f>
        <v/>
      </c>
      <c r="N13" s="30" t="str">
        <f>'Job Sheet'!AI16</f>
        <v/>
      </c>
      <c r="O13" s="30" t="str">
        <f>IF(OR(Data!AW16="",C13=""),"",'Job Sheet'!AO16)</f>
        <v/>
      </c>
    </row>
    <row r="14" spans="1:15" ht="60" customHeight="1">
      <c r="A14" s="69" t="str">
        <f>IF(Data!AW17="","",'Job Sheet'!A17)</f>
        <v/>
      </c>
      <c r="B14" s="69" t="str">
        <f>IF(OR(Data!AW17="",C14=""),"",'Job Sheet'!B17)</f>
        <v/>
      </c>
      <c r="C14" s="69" t="str">
        <f>IF(OR('Job Sheet'!AA17="Straight Upholstered Pelmet",'Job Sheet'!AA17="Shaped Upholstered Pelmet",'Job Sheet'!AA17="Straight Bonded Pelmet"),'Job Sheet'!AA17,"")</f>
        <v/>
      </c>
      <c r="D14" s="69" t="str">
        <f>IF(C14="","",IF(OR('Job Sheet'!A$6="Brax Retail",'Job Sheet'!A$6="Brax Wholesale"),'Job Sheet'!I17,IF(OR('Job Sheet'!BH17="Philip Batch",'Job Sheet'!BH17="DBS to Make",'Job Sheet'!AA17="None"),"",'Job Sheet'!I17)))</f>
        <v/>
      </c>
      <c r="E14" s="69" t="str">
        <f>'Job Sheet'!AD17</f>
        <v/>
      </c>
      <c r="F14" s="69" t="str">
        <f>IF(OR(C14="",'Job Sheet'!BH17="DBS to Make",'Job Sheet'!AA17="None"),"",'Job Sheet'!I17)</f>
        <v/>
      </c>
      <c r="G14" s="69" t="str">
        <f>IF(OR(Data!AW17="",C14="",'Job Sheet'!AA17="None"),"",'Job Sheet'!J17)</f>
        <v/>
      </c>
      <c r="H14" s="69" t="str">
        <f>IF(OR(Data!AW17="",C14=""),"",'Job Sheet'!BA17)</f>
        <v/>
      </c>
      <c r="I14" s="69" t="str">
        <f t="shared" si="1"/>
        <v/>
      </c>
      <c r="J14" s="69" t="str">
        <f>IF(OR(Data!AW17="",C14=""),"",'Job Sheet'!AE17)</f>
        <v/>
      </c>
      <c r="K14" s="30" t="str">
        <f>'Job Sheet'!AG17</f>
        <v/>
      </c>
      <c r="L14" s="69" t="str">
        <f>IF(OR(Data!AW17="",'Job Sheet'!BH17="DBS to Make",'Job Sheet'!AA17="None"),"",'Job Sheet'!AF17)</f>
        <v/>
      </c>
      <c r="M14" s="30" t="str">
        <f>'Job Sheet'!AH17</f>
        <v/>
      </c>
      <c r="N14" s="30" t="str">
        <f>'Job Sheet'!AI17</f>
        <v/>
      </c>
      <c r="O14" s="30" t="str">
        <f>IF(OR(Data!AW17="",C14=""),"",'Job Sheet'!AO17)</f>
        <v/>
      </c>
    </row>
    <row r="15" spans="1:15" ht="60" customHeight="1">
      <c r="A15" s="69" t="str">
        <f>IF(Data!AW18="","",'Job Sheet'!A18)</f>
        <v/>
      </c>
      <c r="B15" s="69" t="str">
        <f>IF(OR(Data!AW18="",C15=""),"",'Job Sheet'!B18)</f>
        <v/>
      </c>
      <c r="C15" s="69" t="str">
        <f>IF(OR('Job Sheet'!AA18="Straight Upholstered Pelmet",'Job Sheet'!AA18="Shaped Upholstered Pelmet",'Job Sheet'!AA18="Straight Bonded Pelmet"),'Job Sheet'!AA18,"")</f>
        <v/>
      </c>
      <c r="D15" s="69" t="str">
        <f>IF(C15="","",IF(OR('Job Sheet'!A$6="Brax Retail",'Job Sheet'!A$6="Brax Wholesale"),'Job Sheet'!I18,IF(OR('Job Sheet'!BH18="Philip Batch",'Job Sheet'!BH18="DBS to Make",'Job Sheet'!AA18="None"),"",'Job Sheet'!I18)))</f>
        <v/>
      </c>
      <c r="E15" s="69" t="str">
        <f>'Job Sheet'!AD18</f>
        <v/>
      </c>
      <c r="F15" s="69" t="str">
        <f>IF(OR(C15="",'Job Sheet'!BH18="DBS to Make",'Job Sheet'!AA18="None"),"",'Job Sheet'!I18)</f>
        <v/>
      </c>
      <c r="G15" s="69" t="str">
        <f>IF(OR(Data!AW18="",C15="",'Job Sheet'!AA18="None"),"",'Job Sheet'!J18)</f>
        <v/>
      </c>
      <c r="H15" s="69" t="str">
        <f>IF(OR(Data!AW18="",C15=""),"",'Job Sheet'!BA18)</f>
        <v/>
      </c>
      <c r="I15" s="69" t="str">
        <f t="shared" si="1"/>
        <v/>
      </c>
      <c r="J15" s="69" t="str">
        <f>IF(OR(Data!AW18="",C15=""),"",'Job Sheet'!AE18)</f>
        <v/>
      </c>
      <c r="K15" s="30" t="str">
        <f>'Job Sheet'!AG18</f>
        <v/>
      </c>
      <c r="L15" s="69" t="str">
        <f>IF(OR(Data!AW18="",'Job Sheet'!BH18="DBS to Make",'Job Sheet'!AA18="None"),"",'Job Sheet'!AF18)</f>
        <v/>
      </c>
      <c r="M15" s="30" t="str">
        <f>'Job Sheet'!AH18</f>
        <v/>
      </c>
      <c r="N15" s="30" t="str">
        <f>'Job Sheet'!AI18</f>
        <v/>
      </c>
      <c r="O15" s="30" t="str">
        <f>IF(OR(Data!AW18="",C15=""),"",'Job Sheet'!AO18)</f>
        <v/>
      </c>
    </row>
    <row r="16" spans="1:15" ht="60" customHeight="1">
      <c r="A16" s="69" t="str">
        <f>IF(Data!AW19="","",'Job Sheet'!A19)</f>
        <v/>
      </c>
      <c r="B16" s="69" t="str">
        <f>IF(OR(Data!AW19="",C16=""),"",'Job Sheet'!B19)</f>
        <v/>
      </c>
      <c r="C16" s="69" t="str">
        <f>IF(OR('Job Sheet'!AA19="Straight Upholstered Pelmet",'Job Sheet'!AA19="Shaped Upholstered Pelmet",'Job Sheet'!AA19="Straight Bonded Pelmet"),'Job Sheet'!AA19,"")</f>
        <v/>
      </c>
      <c r="D16" s="69" t="str">
        <f>IF(C16="","",IF(OR('Job Sheet'!A$6="Brax Retail",'Job Sheet'!A$6="Brax Wholesale"),'Job Sheet'!I19,IF(OR('Job Sheet'!BH19="Philip Batch",'Job Sheet'!BH19="DBS to Make",'Job Sheet'!AA19="None"),"",'Job Sheet'!I19)))</f>
        <v/>
      </c>
      <c r="E16" s="69" t="str">
        <f>'Job Sheet'!AD19</f>
        <v/>
      </c>
      <c r="F16" s="69" t="str">
        <f>IF(OR(C16="",'Job Sheet'!BH19="DBS to Make",'Job Sheet'!AA19="None"),"",'Job Sheet'!I19)</f>
        <v/>
      </c>
      <c r="G16" s="69" t="str">
        <f>IF(OR(Data!AW19="",C16="",'Job Sheet'!AA19="None"),"",'Job Sheet'!J19)</f>
        <v/>
      </c>
      <c r="H16" s="69" t="str">
        <f>IF(OR(Data!AW19="",C16=""),"",'Job Sheet'!BA19)</f>
        <v/>
      </c>
      <c r="I16" s="69" t="str">
        <f t="shared" si="1"/>
        <v/>
      </c>
      <c r="J16" s="69" t="str">
        <f>IF(OR(Data!AW19="",C16=""),"",'Job Sheet'!AE19)</f>
        <v/>
      </c>
      <c r="K16" s="30" t="str">
        <f>'Job Sheet'!AG19</f>
        <v/>
      </c>
      <c r="L16" s="69" t="str">
        <f>IF(OR(Data!AW19="",'Job Sheet'!BH19="DBS to Make",'Job Sheet'!AA19="None"),"",'Job Sheet'!AF19)</f>
        <v/>
      </c>
      <c r="M16" s="30" t="str">
        <f>'Job Sheet'!AH19</f>
        <v/>
      </c>
      <c r="N16" s="30" t="str">
        <f>'Job Sheet'!AI19</f>
        <v/>
      </c>
      <c r="O16" s="30" t="str">
        <f>IF(OR(Data!AW19="",C16=""),"",'Job Sheet'!AO19)</f>
        <v/>
      </c>
    </row>
    <row r="17" spans="1:15" ht="60" customHeight="1">
      <c r="A17" s="69" t="str">
        <f>IF(Data!AW20="","",'Job Sheet'!A20)</f>
        <v/>
      </c>
      <c r="B17" s="69" t="str">
        <f>IF(OR(Data!AW20="",C17=""),"",'Job Sheet'!B20)</f>
        <v/>
      </c>
      <c r="C17" s="69" t="str">
        <f>IF(OR('Job Sheet'!AA20="Straight Upholstered Pelmet",'Job Sheet'!AA20="Shaped Upholstered Pelmet",'Job Sheet'!AA20="Straight Bonded Pelmet"),'Job Sheet'!AA20,"")</f>
        <v/>
      </c>
      <c r="D17" s="69" t="str">
        <f>IF(C17="","",IF(OR('Job Sheet'!A$6="Brax Retail",'Job Sheet'!A$6="Brax Wholesale"),'Job Sheet'!I20,IF(OR('Job Sheet'!BH20="Philip Batch",'Job Sheet'!BH20="DBS to Make",'Job Sheet'!AA20="None"),"",'Job Sheet'!I20)))</f>
        <v/>
      </c>
      <c r="E17" s="69" t="str">
        <f>'Job Sheet'!AD20</f>
        <v/>
      </c>
      <c r="F17" s="69" t="str">
        <f>IF(OR(C17="",'Job Sheet'!BH20="DBS to Make",'Job Sheet'!AA20="None"),"",'Job Sheet'!I20)</f>
        <v/>
      </c>
      <c r="G17" s="69" t="str">
        <f>IF(OR(Data!AW20="",C17="",'Job Sheet'!AA20="None"),"",'Job Sheet'!J20)</f>
        <v/>
      </c>
      <c r="H17" s="69" t="str">
        <f>IF(OR(Data!AW20="",C17=""),"",'Job Sheet'!BA20)</f>
        <v/>
      </c>
      <c r="I17" s="69" t="str">
        <f t="shared" si="1"/>
        <v/>
      </c>
      <c r="J17" s="69" t="str">
        <f>IF(OR(Data!AW20="",C17=""),"",'Job Sheet'!AE20)</f>
        <v/>
      </c>
      <c r="K17" s="30" t="str">
        <f>'Job Sheet'!AG20</f>
        <v/>
      </c>
      <c r="L17" s="69" t="str">
        <f>IF(OR(Data!AW20="",'Job Sheet'!BH20="DBS to Make",'Job Sheet'!AA20="None"),"",'Job Sheet'!AF20)</f>
        <v/>
      </c>
      <c r="M17" s="30" t="str">
        <f>'Job Sheet'!AH20</f>
        <v/>
      </c>
      <c r="N17" s="30" t="str">
        <f>'Job Sheet'!AI20</f>
        <v/>
      </c>
      <c r="O17" s="30" t="str">
        <f>IF(OR(Data!AW20="",C17=""),"",'Job Sheet'!AO20)</f>
        <v/>
      </c>
    </row>
    <row r="18" ht="60" customHeight="1"/>
    <row r="19" ht="60" customHeight="1"/>
    <row r="20" ht="60" customHeight="1"/>
    <row r="21" ht="60" customHeight="1"/>
    <row r="22" ht="60" customHeight="1"/>
    <row r="23" ht="60" customHeight="1"/>
    <row r="24" ht="60" customHeight="1"/>
    <row r="25" ht="60" customHeight="1"/>
    <row r="26" ht="60" customHeight="1"/>
    <row r="27" ht="60" customHeight="1"/>
    <row r="28" ht="60" customHeight="1"/>
    <row r="29" ht="60" customHeight="1"/>
    <row r="30" ht="60" customHeight="1"/>
    <row r="31" ht="60" customHeight="1"/>
    <row r="32" ht="60" customHeight="1"/>
    <row r="33" ht="60" customHeight="1"/>
    <row r="34" ht="60" customHeight="1"/>
    <row r="35" ht="60" customHeight="1"/>
    <row r="36" ht="60" customHeight="1"/>
    <row r="37" ht="60" customHeight="1"/>
    <row r="38" ht="60" customHeight="1"/>
    <row r="39" ht="60" customHeight="1"/>
    <row r="40" ht="60" customHeight="1"/>
    <row r="41" ht="60" customHeight="1"/>
    <row r="42" ht="60" customHeight="1"/>
    <row r="43" ht="60" customHeight="1"/>
    <row r="44" ht="60" customHeight="1"/>
    <row r="45" ht="60" customHeight="1"/>
    <row r="46" ht="60" customHeight="1"/>
    <row r="47" ht="60" customHeight="1"/>
    <row r="48" ht="60" customHeight="1"/>
    <row r="49" ht="60" customHeight="1"/>
    <row r="50" ht="60" customHeight="1"/>
    <row r="51" ht="60" customHeight="1"/>
    <row r="52" ht="60" customHeight="1"/>
    <row r="53" ht="60" customHeight="1"/>
    <row r="54" ht="60" customHeight="1"/>
    <row r="55" ht="60" customHeight="1"/>
    <row r="56" ht="60" customHeight="1"/>
    <row r="57" ht="60" customHeight="1"/>
    <row r="58" ht="60" customHeight="1"/>
    <row r="59" ht="60" customHeight="1"/>
    <row r="60" ht="60" customHeight="1"/>
    <row r="61" ht="60" customHeight="1"/>
    <row r="62" ht="60" customHeight="1"/>
    <row r="63" ht="60" customHeight="1"/>
    <row r="64" ht="60" customHeight="1"/>
    <row r="65" ht="60" customHeight="1"/>
    <row r="66" ht="60" customHeight="1"/>
    <row r="67" ht="60" customHeight="1"/>
    <row r="68" ht="60" customHeight="1"/>
    <row r="69" ht="60" customHeight="1"/>
    <row r="70" ht="60" customHeight="1"/>
    <row r="71" ht="60" customHeight="1"/>
    <row r="72" ht="60" customHeight="1"/>
    <row r="73" ht="60" customHeight="1"/>
    <row r="74" ht="60" customHeight="1"/>
    <row r="75" ht="60" customHeight="1"/>
    <row r="76" ht="60" customHeight="1"/>
    <row r="77" ht="60" customHeight="1"/>
    <row r="78" ht="60" customHeight="1"/>
    <row r="79" ht="60" customHeight="1"/>
    <row r="80" ht="60" customHeight="1"/>
    <row r="81" ht="60" customHeight="1"/>
    <row r="82" ht="60" customHeight="1"/>
    <row r="83" ht="60" customHeight="1"/>
    <row r="84" ht="60" customHeight="1"/>
    <row r="85" ht="60" customHeight="1"/>
    <row r="86" ht="60" customHeight="1"/>
    <row r="87" ht="60" customHeight="1"/>
    <row r="88" ht="60" customHeight="1"/>
    <row r="89" ht="60" customHeight="1"/>
    <row r="90" ht="60" customHeight="1"/>
    <row r="91" ht="60" customHeight="1"/>
  </sheetData>
  <mergeCells count="30">
    <mergeCell ref="A1:O1"/>
    <mergeCell ref="L2:O2"/>
    <mergeCell ref="L3:O4"/>
    <mergeCell ref="D5:D7"/>
    <mergeCell ref="E4:F4"/>
    <mergeCell ref="O5:O7"/>
    <mergeCell ref="L5:L7"/>
    <mergeCell ref="K5:K7"/>
    <mergeCell ref="N5:N7"/>
    <mergeCell ref="M5:M7"/>
    <mergeCell ref="A2:B2"/>
    <mergeCell ref="C2:D2"/>
    <mergeCell ref="E2:F2"/>
    <mergeCell ref="G2:K2"/>
    <mergeCell ref="E3:F3"/>
    <mergeCell ref="G3:K3"/>
    <mergeCell ref="A4:B4"/>
    <mergeCell ref="C4:D4"/>
    <mergeCell ref="A3:B3"/>
    <mergeCell ref="C3:D3"/>
    <mergeCell ref="G4:K4"/>
    <mergeCell ref="A5:A7"/>
    <mergeCell ref="B5:B7"/>
    <mergeCell ref="H5:H7"/>
    <mergeCell ref="J5:J7"/>
    <mergeCell ref="G5:G7"/>
    <mergeCell ref="F5:F7"/>
    <mergeCell ref="C5:C7"/>
    <mergeCell ref="E5:E7"/>
    <mergeCell ref="I5:I7"/>
  </mergeCells>
  <printOptions horizontalCentered="1"/>
  <pageMargins left="0.996062992126028" right="0.996062992126028" top="0.31496062992126" bottom="0.31496062992126" header="0.31496062992126" footer="0.31496062992126"/>
  <pageSetup fitToHeight="0" orientation="landscape" paperSize="9" scale="1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Labels"/>
  <dimension ref="A1:K24"/>
  <sheetViews>
    <sheetView zoomScale="90" zoomScaleNormal="90" zoomScaleSheetLayoutView="100" workbookViewId="0" topLeftCell="A1">
      <selection pane="topLeft" activeCell="D11" sqref="D11"/>
    </sheetView>
  </sheetViews>
  <sheetFormatPr defaultColWidth="9.44140625" defaultRowHeight="13.5"/>
  <cols>
    <col min="1" max="1" width="30.5714285714286" bestFit="1" customWidth="1"/>
    <col min="2" max="2" width="64.4285714285714" bestFit="1" customWidth="1"/>
    <col min="3" max="3" width="41" bestFit="1" customWidth="1"/>
    <col min="4" max="4" width="45.5714285714286" bestFit="1" customWidth="1"/>
    <col min="5" max="5" width="42.5714285714286" bestFit="1" customWidth="1"/>
    <col min="6" max="6" width="34.5714285714286" bestFit="1" customWidth="1"/>
    <col min="7" max="7" width="34" bestFit="1" customWidth="1"/>
    <col min="8" max="8" width="33.5714285714286" bestFit="1" customWidth="1"/>
    <col min="9" max="9" width="41.5714285714286" bestFit="1" customWidth="1"/>
    <col min="10" max="10" width="10.4285714285714" bestFit="1" customWidth="1"/>
    <col min="11" max="11" width="11.4285714285714" bestFit="1" customWidth="1"/>
  </cols>
  <sheetData>
    <row r="1" spans="1:6" ht="13.2">
      <c r="A1">
        <v>1</v>
      </c>
      <c r="C1" s="16"/>
      <c r="D1" s="20"/>
      <c r="E1" s="16"/>
      <c r="F1" s="16"/>
    </row>
    <row r="2" spans="1:4" ht="13.2">
      <c r="A2">
        <v>2</v>
      </c>
      <c r="B2" s="21"/>
      <c r="C2" s="16"/>
      <c r="D2" s="20"/>
    </row>
    <row r="3" spans="1:4" ht="13.2">
      <c r="A3">
        <v>3</v>
      </c>
      <c r="C3" s="16"/>
      <c r="D3" s="16"/>
    </row>
    <row r="4" ht="13.2">
      <c r="A4">
        <v>4</v>
      </c>
    </row>
    <row r="5" ht="13.2">
      <c r="A5">
        <v>5</v>
      </c>
    </row>
    <row r="6" ht="13.2">
      <c r="A6">
        <v>6</v>
      </c>
    </row>
    <row r="7" ht="13.2">
      <c r="A7">
        <v>7</v>
      </c>
    </row>
    <row r="8" ht="13.2">
      <c r="A8">
        <v>8</v>
      </c>
    </row>
    <row r="9" ht="13.2">
      <c r="A9" t="s">
        <v>768</v>
      </c>
    </row>
    <row r="10" spans="1:11" ht="13.2">
      <c r="A10" t="s">
        <v>769</v>
      </c>
      <c r="B10" t="s">
        <v>770</v>
      </c>
      <c r="C10" t="s">
        <v>771</v>
      </c>
      <c r="D10" t="s">
        <v>772</v>
      </c>
      <c r="E10" t="s">
        <v>147</v>
      </c>
      <c r="F10" t="s">
        <v>773</v>
      </c>
      <c r="G10" t="s">
        <v>280</v>
      </c>
      <c r="H10" t="s">
        <v>160</v>
      </c>
      <c r="I10" t="s">
        <v>774</v>
      </c>
      <c r="J10" t="s">
        <v>775</v>
      </c>
      <c r="K10" t="s">
        <v>776</v>
      </c>
    </row>
    <row r="11" spans="1:11" ht="13.5" customHeight="1">
      <c r="A11" t="str">
        <f>IF(OR(Data!$AV11="",Data!$AW11&gt;999),"","^XA^LH0,0^PRB,D^MD20^JMA^FS")</f>
        <v>^XA^LH0,0^PRB,D^MD20^JMA^FS</v>
      </c>
      <c r="B11" t="str">
        <f t="array" ref="B11">IF(A11&lt;&gt;"","^BY2,2.7,13^FO506,20^B2N,132,Y,N,N^SN"&amp;BarcodeValue(Data!BC$5,Data!BD$5,Data!AW11,0)&amp;",N,Y^FS","")</f>
        <v>^BY2,2.7,13^FO506,20^B2N,132,Y,N,N^SN0040426650090006,N,Y^FS</v>
      </c>
      <c r="C11" t="str">
        <f>IF(A11&lt;&gt;"","^FO20,20^A0N,28,37^CI13^FD"&amp;TEXT(Data!AY$5,"d/m/yyyy")&amp;"^FS","")</f>
        <v>^FO20,20^A0N,28,37^CI13^FD12/6/2026^FS</v>
      </c>
      <c r="D11" t="str">
        <f>IF(A11&lt;&gt;"","^FO220,20^A0N,41,48^CI13^FD"&amp;Data!$BC$5&amp;Data!$BD$5&amp;"/"&amp;RIGHT("000"&amp;Data!AW11,3)&amp;"^FS","")</f>
        <v>^FO220,20^A0N,41,48^CI13^FD40426A/009^FS</v>
      </c>
      <c r="E11" t="str">
        <f>IF(A11&lt;&gt;"","^FO20,55^A0N,30,30^CI13^FD"&amp;Data!$BF$5&amp;"^FS","")</f>
        <v>^FO20,55^A0N,30,30^CI13^FDEvans, Belinda ^FS</v>
      </c>
      <c r="F11" t="str">
        <f>IF(A11&lt;&gt;"","^FO20,95^A0N,30,30^CI13^FD"&amp;Data!AX$5&amp;"^FS","")</f>
        <v>^FO20,95^A0N,30,30^CI13^FDSheers and Rollers^FS</v>
      </c>
      <c r="G11" t="str">
        <f>IF(A11&lt;&gt;"","^FO20,135^A0N,30,30^CI13^FD"&amp;Data!BE11&amp;"^FS","")</f>
        <v>^FO20,135^A0N,30,30^CI13^FDROLL Texstyle Focus Blockout Polar^FS</v>
      </c>
      <c r="H11" t="str">
        <f>IF(A11&lt;&gt;"","^FO20,175^A0N,30,30^CI13^FD"&amp;Data!AY11&amp;"^FS","")</f>
        <v>^FO20,175^A0N,30,30^CI13^FDLiving Door 1^FS</v>
      </c>
      <c r="I11" t="str">
        <f>IF(A11&lt;&gt;"","^FO300,175^A0N,30,30^CI13^FD"&amp;"W:"&amp;Data!BA11&amp;" H:"&amp;Data!BB11,"")</f>
        <v>^FO300,175^A0N,30,30^CI13^FDW:876 H:2110</v>
      </c>
      <c r="J11" t="str">
        <f>IF(A11&lt;&gt;"","^PQ"&amp;Data!$F$20&amp;",0,"&amp;Data!$F$20&amp;",Y","")</f>
        <v>^PQ0,0,0,Y</v>
      </c>
      <c r="K11" t="str">
        <f t="shared" si="0" ref="K11:K24">IF(A11&lt;&gt;"","^XZ","")</f>
        <v>^XZ</v>
      </c>
    </row>
    <row r="12" spans="1:11" ht="13.5" customHeight="1">
      <c r="A12" t="str">
        <f>IF(OR(Data!$AV12="",Data!$AW12&gt;999),"","^XA^LH0,0^PRB,D^MD20^JMA^FS")</f>
        <v>^XA^LH0,0^PRB,D^MD20^JMA^FS</v>
      </c>
      <c r="B12" t="str">
        <f t="array" ref="B12">IF(A12&lt;&gt;"","^BY2,2.7,13^FO506,20^B2N,132,Y,N,N^SN"&amp;BarcodeValue(Data!BC$5,Data!BD$5,Data!AW12,0)&amp;",N,Y^FS","")</f>
        <v>^BY2,2.7,13^FO506,20^B2N,132,Y,N,N^SN0040426650100002,N,Y^FS</v>
      </c>
      <c r="C12" t="str">
        <f>IF(A12&lt;&gt;"","^FO20,20^A0N,28,37^CI13^FD"&amp;TEXT(Data!AY$5,"d/m/yyyy")&amp;"^FS","")</f>
        <v>^FO20,20^A0N,28,37^CI13^FD12/6/2026^FS</v>
      </c>
      <c r="D12" t="str">
        <f>IF(A12&lt;&gt;"","^FO220,20^A0N,41,48^CI13^FD"&amp;Data!$BC$5&amp;Data!$BD$5&amp;"/"&amp;RIGHT("000"&amp;Data!AW12,3)&amp;"^FS","")</f>
        <v>^FO220,20^A0N,41,48^CI13^FD40426A/010^FS</v>
      </c>
      <c r="E12" t="str">
        <f>IF(A12&lt;&gt;"","^FO20,55^A0N,30,30^CI13^FD"&amp;Data!$BF$5&amp;"^FS","")</f>
        <v>^FO20,55^A0N,30,30^CI13^FDEvans, Belinda ^FS</v>
      </c>
      <c r="F12" t="str">
        <f>IF(A12&lt;&gt;"","^FO20,95^A0N,30,30^CI13^FD"&amp;Data!AX$5&amp;"^FS","")</f>
        <v>^FO20,95^A0N,30,30^CI13^FDSheers and Rollers^FS</v>
      </c>
      <c r="G12" t="str">
        <f>IF(A12&lt;&gt;"","^FO20,135^A0N,30,30^CI13^FD"&amp;Data!BE12&amp;"^FS","")</f>
        <v>^FO20,135^A0N,30,30^CI13^FDROLL Texstyle Focus Blockout Polar^FS</v>
      </c>
      <c r="H12" t="str">
        <f>IF(A12&lt;&gt;"","^FO20,175^A0N,30,30^CI13^FD"&amp;Data!AY12&amp;"^FS","")</f>
        <v>^FO20,175^A0N,30,30^CI13^FDLiving Door 2^FS</v>
      </c>
      <c r="I12" t="str">
        <f>IF(A12&lt;&gt;"","^FO300,175^A0N,30,30^CI13^FD"&amp;"W:"&amp;Data!BA12&amp;" H:"&amp;Data!BB12,"")</f>
        <v>^FO300,175^A0N,30,30^CI13^FDW:950 H:2110</v>
      </c>
      <c r="J12" t="str">
        <f>IF(A12&lt;&gt;"","^PQ"&amp;Data!$F$20&amp;",0,"&amp;Data!$F$20&amp;",Y","")</f>
        <v>^PQ0,0,0,Y</v>
      </c>
      <c r="K12" t="str">
        <f t="shared" si="0"/>
        <v>^XZ</v>
      </c>
    </row>
    <row r="13" spans="1:11" ht="13.5" customHeight="1">
      <c r="A13" t="str">
        <f>IF(OR(Data!$AV13="",Data!$AW13&gt;999),"","^XA^LH0,0^PRB,D^MD20^JMA^FS")</f>
        <v>^XA^LH0,0^PRB,D^MD20^JMA^FS</v>
      </c>
      <c r="B13" t="str">
        <f t="array" ref="B13">IF(A13&lt;&gt;"","^BY2,2.7,13^FO506,20^B2N,132,Y,N,N^SN"&amp;BarcodeValue(Data!BC$5,Data!BD$5,Data!AW13,0)&amp;",N,Y^FS","")</f>
        <v>^BY2,2.7,13^FO506,20^B2N,132,Y,N,N^SN0040426650110001,N,Y^FS</v>
      </c>
      <c r="C13" t="str">
        <f>IF(A13&lt;&gt;"","^FO20,20^A0N,28,37^CI13^FD"&amp;TEXT(Data!AY$5,"d/m/yyyy")&amp;"^FS","")</f>
        <v>^FO20,20^A0N,28,37^CI13^FD12/6/2026^FS</v>
      </c>
      <c r="D13" t="str">
        <f>IF(A13&lt;&gt;"","^FO220,20^A0N,41,48^CI13^FD"&amp;Data!$BC$5&amp;Data!$BD$5&amp;"/"&amp;RIGHT("000"&amp;Data!AW13,3)&amp;"^FS","")</f>
        <v>^FO220,20^A0N,41,48^CI13^FD40426A/011^FS</v>
      </c>
      <c r="E13" t="str">
        <f>IF(A13&lt;&gt;"","^FO20,55^A0N,30,30^CI13^FD"&amp;Data!$BF$5&amp;"^FS","")</f>
        <v>^FO20,55^A0N,30,30^CI13^FDEvans, Belinda ^FS</v>
      </c>
      <c r="F13" t="str">
        <f>IF(A13&lt;&gt;"","^FO20,95^A0N,30,30^CI13^FD"&amp;Data!AX$5&amp;"^FS","")</f>
        <v>^FO20,95^A0N,30,30^CI13^FDSheers and Rollers^FS</v>
      </c>
      <c r="G13" t="str">
        <f>IF(A13&lt;&gt;"","^FO20,135^A0N,30,30^CI13^FD"&amp;Data!BE13&amp;"^FS","")</f>
        <v>^FO20,135^A0N,30,30^CI13^FDROLL Texstyle Focus Blockout Polar^FS</v>
      </c>
      <c r="H13" t="str">
        <f>IF(A13&lt;&gt;"","^FO20,175^A0N,30,30^CI13^FD"&amp;Data!AY13&amp;"^FS","")</f>
        <v>^FO20,175^A0N,30,30^CI13^FDLiving Door 3^FS</v>
      </c>
      <c r="I13" t="str">
        <f>IF(A13&lt;&gt;"","^FO300,175^A0N,30,30^CI13^FD"&amp;"W:"&amp;Data!BA13&amp;" H:"&amp;Data!BB13,"")</f>
        <v>^FO300,175^A0N,30,30^CI13^FDW:874 H:2110</v>
      </c>
      <c r="J13" t="str">
        <f>IF(A13&lt;&gt;"","^PQ"&amp;Data!$F$20&amp;",0,"&amp;Data!$F$20&amp;",Y","")</f>
        <v>^PQ0,0,0,Y</v>
      </c>
      <c r="K13" t="str">
        <f t="shared" si="0"/>
        <v>^XZ</v>
      </c>
    </row>
    <row r="14" spans="1:11" ht="13.5" customHeight="1">
      <c r="A14" t="str">
        <f>IF(OR(Data!$AV14="",Data!$AW14&gt;999),"","^XA^LH0,0^PRB,D^MD20^JMA^FS")</f>
        <v>^XA^LH0,0^PRB,D^MD20^JMA^FS</v>
      </c>
      <c r="B14" t="str">
        <f t="array" ref="B14">IF(A14&lt;&gt;"","^BY2,2.7,13^FO506,20^B2N,132,Y,N,N^SN"&amp;BarcodeValue(Data!BC$5,Data!BD$5,Data!AW14,0)&amp;",N,Y^FS","")</f>
        <v>^BY2,2.7,13^FO506,20^B2N,132,Y,N,N^SN0040426650120000,N,Y^FS</v>
      </c>
      <c r="C14" t="str">
        <f>IF(A14&lt;&gt;"","^FO20,20^A0N,28,37^CI13^FD"&amp;TEXT(Data!AY$5,"d/m/yyyy")&amp;"^FS","")</f>
        <v>^FO20,20^A0N,28,37^CI13^FD12/6/2026^FS</v>
      </c>
      <c r="D14" t="str">
        <f>IF(A14&lt;&gt;"","^FO220,20^A0N,41,48^CI13^FD"&amp;Data!$BC$5&amp;Data!$BD$5&amp;"/"&amp;RIGHT("000"&amp;Data!AW14,3)&amp;"^FS","")</f>
        <v>^FO220,20^A0N,41,48^CI13^FD40426A/012^FS</v>
      </c>
      <c r="E14" t="str">
        <f>IF(A14&lt;&gt;"","^FO20,55^A0N,30,30^CI13^FD"&amp;Data!$BF$5&amp;"^FS","")</f>
        <v>^FO20,55^A0N,30,30^CI13^FDEvans, Belinda ^FS</v>
      </c>
      <c r="F14" t="str">
        <f>IF(A14&lt;&gt;"","^FO20,95^A0N,30,30^CI13^FD"&amp;Data!AX$5&amp;"^FS","")</f>
        <v>^FO20,95^A0N,30,30^CI13^FDSheers and Rollers^FS</v>
      </c>
      <c r="G14" t="str">
        <f>IF(A14&lt;&gt;"","^FO20,135^A0N,30,30^CI13^FD"&amp;Data!BE14&amp;"^FS","")</f>
        <v>^FO20,135^A0N,30,30^CI13^FDROLL Texstyle Focus Blockout Polar^FS</v>
      </c>
      <c r="H14" t="str">
        <f>IF(A14&lt;&gt;"","^FO20,175^A0N,30,30^CI13^FD"&amp;Data!AY14&amp;"^FS","")</f>
        <v>^FO20,175^A0N,30,30^CI13^FDStudy^FS</v>
      </c>
      <c r="I14" t="str">
        <f>IF(A14&lt;&gt;"","^FO300,175^A0N,30,30^CI13^FD"&amp;"W:"&amp;Data!BA14&amp;" H:"&amp;Data!BB14,"")</f>
        <v>^FO300,175^A0N,30,30^CI13^FDW:2051 H:1460</v>
      </c>
      <c r="J14" t="str">
        <f>IF(A14&lt;&gt;"","^PQ"&amp;Data!$F$20&amp;",0,"&amp;Data!$F$20&amp;",Y","")</f>
        <v>^PQ0,0,0,Y</v>
      </c>
      <c r="K14" t="str">
        <f t="shared" si="0"/>
        <v>^XZ</v>
      </c>
    </row>
    <row r="15" spans="1:11" ht="13.5" customHeight="1">
      <c r="A15" t="str">
        <f>IF(OR(Data!$AV15="",Data!$AW15&gt;999),"","^XA^LH0,0^PRB,D^MD20^JMA^FS")</f>
        <v/>
      </c>
      <c r="B15" t="str">
        <f t="array" ref="B15">IF(A15&lt;&gt;"","^BY2,2.7,13^FO506,20^B2N,132,Y,N,N^SN"&amp;BarcodeValue(Data!BC$5,Data!BD$5,Data!AW15,0)&amp;",N,Y^FS","")</f>
        <v/>
      </c>
      <c r="C15" t="str">
        <f>IF(A15&lt;&gt;"","^FO20,20^A0N,28,37^CI13^FD"&amp;TEXT(Data!AY$5,"d/m/yyyy")&amp;"^FS","")</f>
        <v/>
      </c>
      <c r="D15" t="str">
        <f>IF(A15&lt;&gt;"","^FO220,20^A0N,41,48^CI13^FD"&amp;Data!$BC$5&amp;Data!$BD$5&amp;"/"&amp;RIGHT("000"&amp;Data!AW15,3)&amp;"^FS","")</f>
        <v/>
      </c>
      <c r="E15" t="str">
        <f>IF(A15&lt;&gt;"","^FO20,55^A0N,30,30^CI13^FD"&amp;Data!$BF$5&amp;"^FS","")</f>
        <v/>
      </c>
      <c r="F15" t="str">
        <f>IF(A15&lt;&gt;"","^FO20,95^A0N,30,30^CI13^FD"&amp;Data!AX$5&amp;"^FS","")</f>
        <v/>
      </c>
      <c r="G15" t="str">
        <f>IF(A15&lt;&gt;"","^FO20,135^A0N,30,30^CI13^FD"&amp;Data!BE15&amp;"^FS","")</f>
        <v/>
      </c>
      <c r="H15" t="str">
        <f>IF(A15&lt;&gt;"","^FO20,175^A0N,30,30^CI13^FD"&amp;Data!AY15&amp;"^FS","")</f>
        <v/>
      </c>
      <c r="I15" t="str">
        <f>IF(A15&lt;&gt;"","^FO300,175^A0N,30,30^CI13^FD"&amp;"W:"&amp;Data!BA15&amp;" H:"&amp;Data!BB15,"")</f>
        <v/>
      </c>
      <c r="J15" t="str">
        <f>IF(A15&lt;&gt;"","^PQ"&amp;Data!$F$20&amp;",0,"&amp;Data!$F$20&amp;",Y","")</f>
        <v/>
      </c>
      <c r="K15" t="str">
        <f t="shared" si="0"/>
        <v/>
      </c>
    </row>
    <row r="16" spans="1:11" ht="13.5" customHeight="1">
      <c r="A16" t="str">
        <f>IF(OR(Data!$AV16="",Data!$AW16&gt;999),"","^XA^LH0,0^PRB,D^MD20^JMA^FS")</f>
        <v/>
      </c>
      <c r="B16" t="str">
        <f t="array" ref="B16">IF(A16&lt;&gt;"","^BY2,2.7,13^FO506,20^B2N,132,Y,N,N^SN"&amp;BarcodeValue(Data!BC$5,Data!BD$5,Data!AW16,0)&amp;",N,Y^FS","")</f>
        <v/>
      </c>
      <c r="C16" t="str">
        <f>IF(A16&lt;&gt;"","^FO20,20^A0N,28,37^CI13^FD"&amp;TEXT(Data!AY$5,"d/m/yyyy")&amp;"^FS","")</f>
        <v/>
      </c>
      <c r="D16" t="str">
        <f>IF(A16&lt;&gt;"","^FO220,20^A0N,41,48^CI13^FD"&amp;Data!$BC$5&amp;Data!$BD$5&amp;"/"&amp;RIGHT("000"&amp;Data!AW16,3)&amp;"^FS","")</f>
        <v/>
      </c>
      <c r="E16" t="str">
        <f>IF(A16&lt;&gt;"","^FO20,55^A0N,30,30^CI13^FD"&amp;Data!$BF$5&amp;"^FS","")</f>
        <v/>
      </c>
      <c r="F16" t="str">
        <f>IF(A16&lt;&gt;"","^FO20,95^A0N,30,30^CI13^FD"&amp;Data!AX$5&amp;"^FS","")</f>
        <v/>
      </c>
      <c r="G16" t="str">
        <f>IF(A16&lt;&gt;"","^FO20,135^A0N,30,30^CI13^FD"&amp;Data!BE16&amp;"^FS","")</f>
        <v/>
      </c>
      <c r="H16" t="str">
        <f>IF(A16&lt;&gt;"","^FO20,175^A0N,30,30^CI13^FD"&amp;Data!AY16&amp;"^FS","")</f>
        <v/>
      </c>
      <c r="I16" t="str">
        <f>IF(A16&lt;&gt;"","^FO300,175^A0N,30,30^CI13^FD"&amp;"W:"&amp;Data!BA16&amp;" H:"&amp;Data!BB16,"")</f>
        <v/>
      </c>
      <c r="J16" t="str">
        <f>IF(A16&lt;&gt;"","^PQ"&amp;Data!$F$20&amp;",0,"&amp;Data!$F$20&amp;",Y","")</f>
        <v/>
      </c>
      <c r="K16" t="str">
        <f t="shared" si="0"/>
        <v/>
      </c>
    </row>
    <row r="17" spans="1:11" ht="13.5" customHeight="1">
      <c r="A17" t="str">
        <f>IF(OR(Data!$AV17="",Data!$AW17&gt;999),"","^XA^LH0,0^PRB,D^MD20^JMA^FS")</f>
        <v/>
      </c>
      <c r="B17" t="str">
        <f t="array" ref="B17">IF(A17&lt;&gt;"","^BY2,2.7,13^FO506,20^B2N,132,Y,N,N^SN"&amp;BarcodeValue(Data!BC$5,Data!BD$5,Data!AW17,0)&amp;",N,Y^FS","")</f>
        <v/>
      </c>
      <c r="C17" t="str">
        <f>IF(A17&lt;&gt;"","^FO20,20^A0N,28,37^CI13^FD"&amp;TEXT(Data!AY$5,"d/m/yyyy")&amp;"^FS","")</f>
        <v/>
      </c>
      <c r="D17" t="str">
        <f>IF(A17&lt;&gt;"","^FO220,20^A0N,41,48^CI13^FD"&amp;Data!$BC$5&amp;Data!$BD$5&amp;"/"&amp;RIGHT("000"&amp;Data!AW17,3)&amp;"^FS","")</f>
        <v/>
      </c>
      <c r="E17" t="str">
        <f>IF(A17&lt;&gt;"","^FO20,55^A0N,30,30^CI13^FD"&amp;Data!$BF$5&amp;"^FS","")</f>
        <v/>
      </c>
      <c r="F17" t="str">
        <f>IF(A17&lt;&gt;"","^FO20,95^A0N,30,30^CI13^FD"&amp;Data!AX$5&amp;"^FS","")</f>
        <v/>
      </c>
      <c r="G17" t="str">
        <f>IF(A17&lt;&gt;"","^FO20,135^A0N,30,30^CI13^FD"&amp;Data!BE17&amp;"^FS","")</f>
        <v/>
      </c>
      <c r="H17" t="str">
        <f>IF(A17&lt;&gt;"","^FO20,175^A0N,30,30^CI13^FD"&amp;Data!AY17&amp;"^FS","")</f>
        <v/>
      </c>
      <c r="I17" t="str">
        <f>IF(A17&lt;&gt;"","^FO300,175^A0N,30,30^CI13^FD"&amp;"W:"&amp;Data!BA17&amp;" H:"&amp;Data!BB17,"")</f>
        <v/>
      </c>
      <c r="J17" t="str">
        <f>IF(A17&lt;&gt;"","^PQ"&amp;Data!$F$20&amp;",0,"&amp;Data!$F$20&amp;",Y","")</f>
        <v/>
      </c>
      <c r="K17" t="str">
        <f t="shared" si="0"/>
        <v/>
      </c>
    </row>
    <row r="18" spans="1:11" ht="13.5" customHeight="1">
      <c r="A18" t="str">
        <f>IF(OR(Data!$AV18="",Data!$AW18&gt;999),"","^XA^LH0,0^PRB,D^MD20^JMA^FS")</f>
        <v/>
      </c>
      <c r="B18" t="str">
        <f t="array" ref="B18">IF(A18&lt;&gt;"","^BY2,2.7,13^FO506,20^B2N,132,Y,N,N^SN"&amp;BarcodeValue(Data!BC$5,Data!BD$5,Data!AW18,0)&amp;",N,Y^FS","")</f>
        <v/>
      </c>
      <c r="C18" t="str">
        <f>IF(A18&lt;&gt;"","^FO20,20^A0N,28,37^CI13^FD"&amp;TEXT(Data!AY$5,"d/m/yyyy")&amp;"^FS","")</f>
        <v/>
      </c>
      <c r="D18" t="str">
        <f>IF(A18&lt;&gt;"","^FO220,20^A0N,41,48^CI13^FD"&amp;Data!$BC$5&amp;Data!$BD$5&amp;"/"&amp;RIGHT("000"&amp;Data!AW18,3)&amp;"^FS","")</f>
        <v/>
      </c>
      <c r="E18" t="str">
        <f>IF(A18&lt;&gt;"","^FO20,55^A0N,30,30^CI13^FD"&amp;Data!$BF$5&amp;"^FS","")</f>
        <v/>
      </c>
      <c r="F18" t="str">
        <f>IF(A18&lt;&gt;"","^FO20,95^A0N,30,30^CI13^FD"&amp;Data!AX$5&amp;"^FS","")</f>
        <v/>
      </c>
      <c r="G18" t="str">
        <f>IF(A18&lt;&gt;"","^FO20,135^A0N,30,30^CI13^FD"&amp;Data!BE18&amp;"^FS","")</f>
        <v/>
      </c>
      <c r="H18" t="str">
        <f>IF(A18&lt;&gt;"","^FO20,175^A0N,30,30^CI13^FD"&amp;Data!AY18&amp;"^FS","")</f>
        <v/>
      </c>
      <c r="I18" t="str">
        <f>IF(A18&lt;&gt;"","^FO300,175^A0N,30,30^CI13^FD"&amp;"W:"&amp;Data!BA18&amp;" H:"&amp;Data!BB18,"")</f>
        <v/>
      </c>
      <c r="J18" t="str">
        <f>IF(A18&lt;&gt;"","^PQ"&amp;Data!$F$20&amp;",0,"&amp;Data!$F$20&amp;",Y","")</f>
        <v/>
      </c>
      <c r="K18" t="str">
        <f t="shared" si="0"/>
        <v/>
      </c>
    </row>
    <row r="19" spans="1:11" ht="13.5" customHeight="1">
      <c r="A19" t="str">
        <f>IF(OR(Data!$AV19="",Data!$AW19&gt;999),"","^XA^LH0,0^PRB,D^MD20^JMA^FS")</f>
        <v/>
      </c>
      <c r="B19" t="str">
        <f t="array" ref="B19">IF(A19&lt;&gt;"","^BY2,2.7,13^FO506,20^B2N,132,Y,N,N^SN"&amp;BarcodeValue(Data!BC$5,Data!BD$5,Data!AW19,0)&amp;",N,Y^FS","")</f>
        <v/>
      </c>
      <c r="C19" t="str">
        <f>IF(A19&lt;&gt;"","^FO20,20^A0N,28,37^CI13^FD"&amp;TEXT(Data!AY$5,"d/m/yyyy")&amp;"^FS","")</f>
        <v/>
      </c>
      <c r="D19" t="str">
        <f>IF(A19&lt;&gt;"","^FO220,20^A0N,41,48^CI13^FD"&amp;Data!$BC$5&amp;Data!$BD$5&amp;"/"&amp;RIGHT("000"&amp;Data!AW19,3)&amp;"^FS","")</f>
        <v/>
      </c>
      <c r="E19" t="str">
        <f>IF(A19&lt;&gt;"","^FO20,55^A0N,30,30^CI13^FD"&amp;Data!$BF$5&amp;"^FS","")</f>
        <v/>
      </c>
      <c r="F19" t="str">
        <f>IF(A19&lt;&gt;"","^FO20,95^A0N,30,30^CI13^FD"&amp;Data!AX$5&amp;"^FS","")</f>
        <v/>
      </c>
      <c r="G19" t="str">
        <f>IF(A19&lt;&gt;"","^FO20,135^A0N,30,30^CI13^FD"&amp;Data!BE19&amp;"^FS","")</f>
        <v/>
      </c>
      <c r="H19" t="str">
        <f>IF(A19&lt;&gt;"","^FO20,175^A0N,30,30^CI13^FD"&amp;Data!AY19&amp;"^FS","")</f>
        <v/>
      </c>
      <c r="I19" t="str">
        <f>IF(A19&lt;&gt;"","^FO300,175^A0N,30,30^CI13^FD"&amp;"W:"&amp;Data!BA19&amp;" H:"&amp;Data!BB19,"")</f>
        <v/>
      </c>
      <c r="J19" t="str">
        <f>IF(A19&lt;&gt;"","^PQ"&amp;Data!$F$20&amp;",0,"&amp;Data!$F$20&amp;",Y","")</f>
        <v/>
      </c>
      <c r="K19" t="str">
        <f t="shared" si="0"/>
        <v/>
      </c>
    </row>
    <row r="20" spans="1:11" ht="13.5" customHeight="1">
      <c r="A20" t="str">
        <f>IF(OR(Data!$AV20="",Data!$AW20&gt;999),"","^XA^LH0,0^PRB,D^MD20^JMA^FS")</f>
        <v/>
      </c>
      <c r="B20" t="str">
        <f t="array" ref="B20">IF(A20&lt;&gt;"","^BY2,2.7,13^FO506,20^B2N,132,Y,N,N^SN"&amp;BarcodeValue(Data!BC$5,Data!BD$5,Data!AW20,0)&amp;",N,Y^FS","")</f>
        <v/>
      </c>
      <c r="C20" t="str">
        <f>IF(A20&lt;&gt;"","^FO20,20^A0N,28,37^CI13^FD"&amp;TEXT(Data!AY$5,"d/m/yyyy")&amp;"^FS","")</f>
        <v/>
      </c>
      <c r="D20" t="str">
        <f>IF(A20&lt;&gt;"","^FO220,20^A0N,41,48^CI13^FD"&amp;Data!$BC$5&amp;Data!$BD$5&amp;"/"&amp;RIGHT("000"&amp;Data!AW20,3)&amp;"^FS","")</f>
        <v/>
      </c>
      <c r="E20" t="str">
        <f>IF(A20&lt;&gt;"","^FO20,55^A0N,30,30^CI13^FD"&amp;Data!$BF$5&amp;"^FS","")</f>
        <v/>
      </c>
      <c r="F20" t="str">
        <f>IF(A20&lt;&gt;"","^FO20,95^A0N,30,30^CI13^FD"&amp;Data!AX$5&amp;"^FS","")</f>
        <v/>
      </c>
      <c r="G20" t="str">
        <f>IF(A20&lt;&gt;"","^FO20,135^A0N,30,30^CI13^FD"&amp;Data!BE20&amp;"^FS","")</f>
        <v/>
      </c>
      <c r="H20" t="str">
        <f>IF(A20&lt;&gt;"","^FO20,175^A0N,30,30^CI13^FD"&amp;Data!AY20&amp;"^FS","")</f>
        <v/>
      </c>
      <c r="I20" t="str">
        <f>IF(A20&lt;&gt;"","^FO300,175^A0N,30,30^CI13^FD"&amp;"W:"&amp;Data!BA20&amp;" H:"&amp;Data!BB20,"")</f>
        <v/>
      </c>
      <c r="J20" t="str">
        <f>IF(A20&lt;&gt;"","^PQ"&amp;Data!$F$20&amp;",0,"&amp;Data!$F$20&amp;",Y","")</f>
        <v/>
      </c>
      <c r="K20" t="str">
        <f t="shared" si="0"/>
        <v/>
      </c>
    </row>
    <row r="21" spans="1:11" ht="13.5" customHeight="1">
      <c r="A21" t="str">
        <f>IF(OR(Data!$AV21="",Data!$AW21&gt;999),"","^XA^LH0,0^PRB,D^MD20^JMA^FS")</f>
        <v/>
      </c>
      <c r="B21" t="str">
        <f t="array" ref="B21">IF(A21&lt;&gt;"","^BY2,2.7,13^FO506,20^B2N,132,Y,N,N^SN"&amp;BarcodeValue(Data!BC$5,Data!BD$5,Data!AW21,0)&amp;",N,Y^FS","")</f>
        <v/>
      </c>
      <c r="C21" t="str">
        <f>IF(A21&lt;&gt;"","^FO20,20^A0N,28,37^CI13^FD"&amp;TEXT(Data!AY$5,"d/m/yyyy")&amp;"^FS","")</f>
        <v/>
      </c>
      <c r="D21" t="str">
        <f>IF(A21&lt;&gt;"","^FO220,20^A0N,41,48^CI13^FD"&amp;Data!$BC$5&amp;Data!$BD$5&amp;"/"&amp;RIGHT("000"&amp;Data!AW21,3)&amp;"^FS","")</f>
        <v/>
      </c>
      <c r="E21" t="str">
        <f>IF(A21&lt;&gt;"","^FO20,55^A0N,30,30^CI13^FD"&amp;Data!$BF$5&amp;"^FS","")</f>
        <v/>
      </c>
      <c r="F21" t="str">
        <f>IF(A21&lt;&gt;"","^FO20,95^A0N,30,30^CI13^FD"&amp;Data!AX$5&amp;"^FS","")</f>
        <v/>
      </c>
      <c r="G21" t="str">
        <f>IF(A21&lt;&gt;"","^FO20,135^A0N,30,30^CI13^FD"&amp;Data!BE21&amp;"^FS","")</f>
        <v/>
      </c>
      <c r="H21" t="str">
        <f>IF(A21&lt;&gt;"","^FO20,175^A0N,30,30^CI13^FD"&amp;Data!AY21&amp;"^FS","")</f>
        <v/>
      </c>
      <c r="I21" t="str">
        <f>IF(A21&lt;&gt;"","^FO300,175^A0N,30,30^CI13^FD"&amp;"W:"&amp;Data!BA21&amp;" H:"&amp;Data!BB21,"")</f>
        <v/>
      </c>
      <c r="J21" t="str">
        <f>IF(A21&lt;&gt;"","^PQ"&amp;Data!$F$20&amp;",0,"&amp;Data!$F$20&amp;",Y","")</f>
        <v/>
      </c>
      <c r="K21" t="str">
        <f t="shared" si="0"/>
        <v/>
      </c>
    </row>
    <row r="22" spans="1:11" ht="13.5" customHeight="1">
      <c r="A22" t="str">
        <f>IF(OR(Data!$AV22="",Data!$AW22&gt;999),"","^XA^LH0,0^PRB,D^MD20^JMA^FS")</f>
        <v/>
      </c>
      <c r="B22" t="str">
        <f t="array" ref="B22">IF(A22&lt;&gt;"","^BY2,2.7,13^FO506,20^B2N,132,Y,N,N^SN"&amp;BarcodeValue(Data!BC$5,Data!BD$5,Data!AW22,0)&amp;",N,Y^FS","")</f>
        <v/>
      </c>
      <c r="C22" t="str">
        <f>IF(A22&lt;&gt;"","^FO20,20^A0N,28,37^CI13^FD"&amp;TEXT(Data!AY$5,"d/m/yyyy")&amp;"^FS","")</f>
        <v/>
      </c>
      <c r="D22" t="str">
        <f>IF(A22&lt;&gt;"","^FO220,20^A0N,41,48^CI13^FD"&amp;Data!$BC$5&amp;Data!$BD$5&amp;"/"&amp;RIGHT("000"&amp;Data!AW22,3)&amp;"^FS","")</f>
        <v/>
      </c>
      <c r="E22" t="str">
        <f>IF(A22&lt;&gt;"","^FO20,55^A0N,30,30^CI13^FD"&amp;Data!$BF$5&amp;"^FS","")</f>
        <v/>
      </c>
      <c r="F22" t="str">
        <f>IF(A22&lt;&gt;"","^FO20,95^A0N,30,30^CI13^FD"&amp;Data!AX$5&amp;"^FS","")</f>
        <v/>
      </c>
      <c r="G22" t="str">
        <f>IF(A22&lt;&gt;"","^FO20,135^A0N,30,30^CI13^FD"&amp;Data!BE22&amp;"^FS","")</f>
        <v/>
      </c>
      <c r="H22" t="str">
        <f>IF(A22&lt;&gt;"","^FO20,175^A0N,30,30^CI13^FD"&amp;Data!AY22&amp;"^FS","")</f>
        <v/>
      </c>
      <c r="I22" t="str">
        <f>IF(A22&lt;&gt;"","^FO300,175^A0N,30,30^CI13^FD"&amp;"W:"&amp;Data!BA22&amp;" H:"&amp;Data!BB22,"")</f>
        <v/>
      </c>
      <c r="J22" t="str">
        <f>IF(A22&lt;&gt;"","^PQ"&amp;Data!$F$20&amp;",0,"&amp;Data!$F$20&amp;",Y","")</f>
        <v/>
      </c>
      <c r="K22" t="str">
        <f t="shared" si="0"/>
        <v/>
      </c>
    </row>
    <row r="23" spans="1:11" ht="13.5" customHeight="1">
      <c r="A23" t="str">
        <f>IF(OR(Data!$AV23="",Data!$AW23&gt;999),"","^XA^LH0,0^PRB,D^MD20^JMA^FS")</f>
        <v/>
      </c>
      <c r="B23" t="str">
        <f t="array" ref="B23">IF(A23&lt;&gt;"","^BY2,2.7,13^FO506,20^B2N,132,Y,N,N^SN"&amp;BarcodeValue(Data!BC$5,Data!BD$5,Data!AW23,0)&amp;",N,Y^FS","")</f>
        <v/>
      </c>
      <c r="C23" t="str">
        <f>IF(A23&lt;&gt;"","^FO20,20^A0N,28,37^CI13^FD"&amp;TEXT(Data!AY$5,"d/m/yyyy")&amp;"^FS","")</f>
        <v/>
      </c>
      <c r="D23" t="str">
        <f>IF(A23&lt;&gt;"","^FO220,20^A0N,41,48^CI13^FD"&amp;Data!$BC$5&amp;Data!$BD$5&amp;"/"&amp;RIGHT("000"&amp;Data!AW23,3)&amp;"^FS","")</f>
        <v/>
      </c>
      <c r="E23" t="str">
        <f>IF(A23&lt;&gt;"","^FO20,55^A0N,30,30^CI13^FD"&amp;Data!$BF$5&amp;"^FS","")</f>
        <v/>
      </c>
      <c r="F23" t="str">
        <f>IF(A23&lt;&gt;"","^FO20,95^A0N,30,30^CI13^FD"&amp;Data!AX$5&amp;"^FS","")</f>
        <v/>
      </c>
      <c r="G23" t="str">
        <f>IF(A23&lt;&gt;"","^FO20,135^A0N,30,30^CI13^FD"&amp;Data!BE23&amp;"^FS","")</f>
        <v/>
      </c>
      <c r="H23" t="str">
        <f>IF(A23&lt;&gt;"","^FO20,175^A0N,30,30^CI13^FD"&amp;Data!AY23&amp;"^FS","")</f>
        <v/>
      </c>
      <c r="I23" t="str">
        <f>IF(A23&lt;&gt;"","^FO300,175^A0N,30,30^CI13^FD"&amp;"W:"&amp;Data!BA23&amp;" H:"&amp;Data!BB23,"")</f>
        <v/>
      </c>
      <c r="J23" t="str">
        <f>IF(A23&lt;&gt;"","^PQ"&amp;Data!$F$20&amp;",0,"&amp;Data!$F$20&amp;",Y","")</f>
        <v/>
      </c>
      <c r="K23" t="str">
        <f t="shared" si="0"/>
        <v/>
      </c>
    </row>
    <row r="24" spans="1:11" ht="13.5" customHeight="1">
      <c r="A24" t="str">
        <f>IF(OR(Data!$AV24="",Data!$AW24&gt;999),"","^XA^LH0,0^PRB,D^MD20^JMA^FS")</f>
        <v/>
      </c>
      <c r="B24" t="str">
        <f t="array" ref="B24">IF(A24&lt;&gt;"","^BY2,2.7,13^FO506,20^B2N,132,Y,N,N^SN"&amp;BarcodeValue(Data!BC$5,Data!BD$5,Data!AW24,0)&amp;",N,Y^FS","")</f>
        <v/>
      </c>
      <c r="C24" t="str">
        <f>IF(A24&lt;&gt;"","^FO20,20^A0N,28,37^CI13^FD"&amp;TEXT(Data!AY$5,"d/m/yyyy")&amp;"^FS","")</f>
        <v/>
      </c>
      <c r="D24" t="str">
        <f>IF(A24&lt;&gt;"","^FO220,20^A0N,41,48^CI13^FD"&amp;Data!$BC$5&amp;Data!$BD$5&amp;"/"&amp;RIGHT("000"&amp;Data!AW24,3)&amp;"^FS","")</f>
        <v/>
      </c>
      <c r="E24" t="str">
        <f>IF(A24&lt;&gt;"","^FO20,55^A0N,30,30^CI13^FD"&amp;Data!$BF$5&amp;"^FS","")</f>
        <v/>
      </c>
      <c r="F24" t="str">
        <f>IF(A24&lt;&gt;"","^FO20,95^A0N,30,30^CI13^FD"&amp;Data!AX$5&amp;"^FS","")</f>
        <v/>
      </c>
      <c r="G24" t="str">
        <f>IF(A24&lt;&gt;"","^FO20,135^A0N,30,30^CI13^FD"&amp;Data!BE24&amp;"^FS","")</f>
        <v/>
      </c>
      <c r="H24" t="str">
        <f>IF(A24&lt;&gt;"","^FO20,175^A0N,30,30^CI13^FD"&amp;Data!AY24&amp;"^FS","")</f>
        <v/>
      </c>
      <c r="I24" t="str">
        <f>IF(A24&lt;&gt;"","^FO300,175^A0N,30,30^CI13^FD"&amp;"W:"&amp;Data!BA24&amp;" H:"&amp;Data!BB24,"")</f>
        <v/>
      </c>
      <c r="J24" t="str">
        <f>IF(A24&lt;&gt;"","^PQ"&amp;Data!$F$20&amp;",0,"&amp;Data!$F$20&amp;",Y","")</f>
        <v/>
      </c>
      <c r="K24" t="str">
        <f t="shared" si="0"/>
        <v/>
      </c>
    </row>
  </sheetData>
  <pageMargins left="1.84173228346549" right="1.84173228346549" top="0.75" bottom="0.75" header="0.3" footer="0.3"/>
  <pageSetup orientation="portrait" paperSize="9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Deductions"/>
  <dimension ref="A1:CB3182"/>
  <sheetViews>
    <sheetView zoomScale="80" zoomScaleNormal="80" workbookViewId="0" topLeftCell="I1">
      <selection pane="topLeft" activeCell="R38" sqref="R38"/>
    </sheetView>
  </sheetViews>
  <sheetFormatPr defaultColWidth="8.6640625" defaultRowHeight="15"/>
  <cols>
    <col min="1" max="1" width="23.4285714285714" style="25" bestFit="1" customWidth="1"/>
    <col min="2" max="2" width="11.2857142857143" style="25" bestFit="1" customWidth="1"/>
    <col min="3" max="3" width="3" style="25" customWidth="1"/>
    <col min="4" max="4" width="47.2857142857143" style="25" bestFit="1" customWidth="1"/>
    <col min="5" max="6" width="10.7142857142857" style="25" customWidth="1"/>
    <col min="7" max="7" width="17.5714285714286" style="25" customWidth="1"/>
    <col min="8" max="8" width="3.14285714285714" style="25" customWidth="1"/>
    <col min="9" max="9" width="45.5714285714286" style="25" bestFit="1" customWidth="1"/>
    <col min="10" max="10" width="11.4285714285714" style="25" customWidth="1"/>
    <col min="11" max="11" width="3.28571428571429" style="25" customWidth="1"/>
    <col min="12" max="12" width="43.5714285714286" style="25" bestFit="1" customWidth="1"/>
    <col min="13" max="13" width="11.5714285714286" style="25" customWidth="1"/>
    <col min="14" max="14" width="3.85714285714286" style="25" customWidth="1"/>
    <col min="15" max="15" width="46" style="25" bestFit="1" customWidth="1"/>
    <col min="16" max="16" width="24.1428571428571" style="25" bestFit="1" customWidth="1"/>
    <col min="17" max="17" width="69.5714285714286" style="25" bestFit="1" customWidth="1"/>
    <col min="18" max="18" width="9.85714285714286" style="25" bestFit="1" customWidth="1"/>
    <col min="19" max="19" width="3.42857142857143" style="25" customWidth="1"/>
    <col min="20" max="20" width="45.7142857142857" style="25" bestFit="1" customWidth="1"/>
    <col min="21" max="21" width="24.1428571428571" style="25" customWidth="1"/>
    <col min="22" max="22" width="51" style="25" bestFit="1" customWidth="1"/>
    <col min="23" max="23" width="119.428571428571" style="25" bestFit="1" customWidth="1"/>
    <col min="24" max="24" width="10.2857142857143" style="25" customWidth="1"/>
    <col min="25" max="25" width="11.4285714285714" style="25" customWidth="1"/>
    <col min="26" max="26" width="11.8571428571429" style="25" customWidth="1"/>
    <col min="27" max="27" width="11.4285714285714" style="25" customWidth="1"/>
    <col min="28" max="29" width="7.28571428571429" style="25" customWidth="1"/>
    <col min="30" max="30" width="10" style="25" customWidth="1"/>
    <col min="31" max="31" width="10.5714285714286" style="25" customWidth="1"/>
    <col min="32" max="32" width="2.57142857142857" style="25" customWidth="1"/>
    <col min="33" max="33" width="49.2857142857143" style="25" bestFit="1" customWidth="1"/>
    <col min="34" max="34" width="11.7142857142857" style="25" bestFit="1" customWidth="1"/>
    <col min="35" max="35" width="1.42857142857143" style="25" customWidth="1"/>
    <col min="36" max="36" width="12.4285714285714" style="25" customWidth="1"/>
    <col min="37" max="37" width="11.7142857142857" style="25" bestFit="1" customWidth="1"/>
    <col min="38" max="38" width="2.57142857142857" style="25" customWidth="1"/>
    <col min="39" max="39" width="47.2857142857143" style="25" bestFit="1" customWidth="1"/>
    <col min="40" max="40" width="12.7142857142857" style="25" bestFit="1" customWidth="1"/>
    <col min="41" max="41" width="45.5714285714286" style="25" bestFit="1" customWidth="1"/>
    <col min="42" max="42" width="66.5714285714286" style="25" bestFit="1" customWidth="1"/>
    <col min="43" max="43" width="10.2857142857143" style="25" customWidth="1"/>
    <col min="44" max="46" width="8.42857142857143" style="25" customWidth="1"/>
    <col min="47" max="47" width="17" style="25" bestFit="1" customWidth="1"/>
    <col min="48" max="48" width="33.4285714285714" style="25" bestFit="1" customWidth="1"/>
    <col min="49" max="49" width="13.2857142857143" style="25" bestFit="1" customWidth="1"/>
    <col min="50" max="50" width="2.28571428571429" style="25" customWidth="1"/>
    <col min="51" max="51" width="18.7142857142857" style="25" bestFit="1" customWidth="1"/>
    <col min="52" max="52" width="8.71428571428571" style="25"/>
    <col min="53" max="53" width="2" style="25" customWidth="1"/>
    <col min="54" max="54" width="47.1428571428571" style="25" bestFit="1" customWidth="1"/>
    <col min="55" max="55" width="21.4285714285714" style="25" bestFit="1" customWidth="1"/>
    <col min="56" max="56" width="55.4285714285714" style="25" bestFit="1" customWidth="1"/>
    <col min="57" max="57" width="14.5714285714286" style="25" bestFit="1" customWidth="1"/>
    <col min="58" max="58" width="8.71428571428571" style="25"/>
    <col min="59" max="59" width="47.4285714285714" style="25" bestFit="1" customWidth="1"/>
    <col min="60" max="60" width="51.4285714285714" style="25" bestFit="1" customWidth="1"/>
    <col min="61" max="61" width="51.4285714285714" style="25" customWidth="1"/>
    <col min="62" max="62" width="3.57142857142857" style="25" customWidth="1"/>
    <col min="63" max="63" width="14.2857142857143" style="25" customWidth="1"/>
    <col min="64" max="64" width="11.4285714285714" style="25" bestFit="1" customWidth="1"/>
    <col min="65" max="65" width="35.7142857142857" style="25" customWidth="1"/>
    <col min="66" max="66" width="11.4285714285714" style="25" bestFit="1" customWidth="1"/>
    <col min="67" max="67" width="9.57142857142857" style="25" customWidth="1"/>
    <col min="68" max="68" width="11.4285714285714" style="25" bestFit="1" customWidth="1"/>
    <col min="69" max="69" width="11.7142857142857" style="25" customWidth="1"/>
    <col min="70" max="70" width="11.4285714285714" style="25" customWidth="1"/>
    <col min="71" max="71" width="25.4285714285714" style="25" bestFit="1" customWidth="1"/>
    <col min="72" max="72" width="11.5714285714286" style="25" customWidth="1"/>
    <col min="73" max="73" width="53.5714285714286" style="25" bestFit="1" customWidth="1"/>
    <col min="74" max="74" width="10.5714285714286" style="25" customWidth="1"/>
    <col min="75" max="75" width="89.5714285714286" style="25" bestFit="1" customWidth="1"/>
    <col min="76" max="76" width="8.71428571428571" style="25"/>
    <col min="77" max="77" width="33.5714285714286" style="25" bestFit="1" customWidth="1"/>
    <col min="78" max="78" width="8.71428571428571" style="25"/>
    <col min="79" max="79" width="43.7142857142857" style="25" bestFit="1" customWidth="1"/>
    <col min="80" max="16384" width="8.71428571428571" style="25"/>
  </cols>
  <sheetData>
    <row r="1" spans="1:80" s="102" customFormat="1" ht="24" customHeight="1">
      <c r="A1" s="291" t="s">
        <v>168</v>
      </c>
      <c r="B1" s="291" t="s">
        <v>777</v>
      </c>
      <c r="C1" s="131"/>
      <c r="D1" s="291" t="s">
        <v>778</v>
      </c>
      <c r="E1" s="291" t="s">
        <v>777</v>
      </c>
      <c r="F1" s="291" t="s">
        <v>779</v>
      </c>
      <c r="G1" s="291" t="s">
        <v>259</v>
      </c>
      <c r="H1" s="131"/>
      <c r="I1" s="291" t="s">
        <v>780</v>
      </c>
      <c r="J1" s="291" t="s">
        <v>777</v>
      </c>
      <c r="K1" s="131"/>
      <c r="L1" s="291" t="s">
        <v>781</v>
      </c>
      <c r="M1" s="291" t="s">
        <v>777</v>
      </c>
      <c r="N1" s="131"/>
      <c r="O1" s="293" t="s">
        <v>2932</v>
      </c>
      <c r="P1" s="293"/>
      <c r="Q1" s="293"/>
      <c r="R1" s="293"/>
      <c r="S1" s="131"/>
      <c r="T1" s="100"/>
      <c r="U1" s="100"/>
      <c r="V1" s="100"/>
      <c r="W1" s="291" t="s">
        <v>782</v>
      </c>
      <c r="X1" s="291" t="s">
        <v>783</v>
      </c>
      <c r="Y1" s="291" t="s">
        <v>784</v>
      </c>
      <c r="Z1" s="291" t="s">
        <v>785</v>
      </c>
      <c r="AA1" s="291" t="s">
        <v>786</v>
      </c>
      <c r="AB1" s="291" t="s">
        <v>787</v>
      </c>
      <c r="AC1" s="291" t="s">
        <v>229</v>
      </c>
      <c r="AD1" s="291" t="s">
        <v>788</v>
      </c>
      <c r="AE1" s="291" t="s">
        <v>789</v>
      </c>
      <c r="AF1" s="101"/>
      <c r="AG1" s="291" t="s">
        <v>790</v>
      </c>
      <c r="AH1" s="291" t="s">
        <v>791</v>
      </c>
      <c r="AI1" s="101"/>
      <c r="AJ1" s="291" t="s">
        <v>792</v>
      </c>
      <c r="AK1" s="291" t="s">
        <v>791</v>
      </c>
      <c r="AM1" s="291" t="s">
        <v>793</v>
      </c>
      <c r="AN1" s="291" t="s">
        <v>171</v>
      </c>
      <c r="AO1" s="291" t="s">
        <v>794</v>
      </c>
      <c r="AP1" s="291" t="s">
        <v>795</v>
      </c>
      <c r="AQ1" s="291" t="s">
        <v>796</v>
      </c>
      <c r="AR1" s="291" t="s">
        <v>797</v>
      </c>
      <c r="AS1" s="291" t="s">
        <v>798</v>
      </c>
      <c r="AT1" s="291" t="s">
        <v>799</v>
      </c>
      <c r="AU1" s="291" t="s">
        <v>800</v>
      </c>
      <c r="AV1" s="291" t="s">
        <v>183</v>
      </c>
      <c r="AW1" s="291" t="s">
        <v>202</v>
      </c>
      <c r="AY1" s="292" t="s">
        <v>801</v>
      </c>
      <c r="AZ1" s="292" t="s">
        <v>802</v>
      </c>
      <c r="BB1" s="292" t="s">
        <v>803</v>
      </c>
      <c r="BC1" s="292" t="s">
        <v>761</v>
      </c>
      <c r="BD1" s="292"/>
      <c r="BE1" s="292" t="s">
        <v>804</v>
      </c>
      <c r="BG1" s="292" t="s">
        <v>805</v>
      </c>
      <c r="BH1" s="292" t="s">
        <v>806</v>
      </c>
      <c r="BI1" s="99"/>
      <c r="BK1" s="294" t="s">
        <v>807</v>
      </c>
      <c r="BL1" s="294"/>
      <c r="BM1" s="294"/>
      <c r="BN1" s="294"/>
      <c r="BO1" s="294"/>
      <c r="BP1" s="294"/>
      <c r="BQ1" s="294"/>
      <c r="BR1" s="294"/>
      <c r="BS1" s="294"/>
      <c r="BT1" s="294"/>
      <c r="BU1" s="294"/>
      <c r="BV1" s="294"/>
      <c r="BW1" s="294"/>
      <c r="BX1" s="294"/>
      <c r="BY1" s="294"/>
      <c r="BZ1" s="294"/>
      <c r="CA1" s="294"/>
      <c r="CB1" s="294"/>
    </row>
    <row r="2" spans="1:80" s="102" customFormat="1" ht="43.2" customHeight="1">
      <c r="A2" s="291"/>
      <c r="B2" s="291"/>
      <c r="C2" s="131"/>
      <c r="D2" s="291"/>
      <c r="E2" s="291"/>
      <c r="F2" s="291"/>
      <c r="G2" s="291"/>
      <c r="H2" s="131"/>
      <c r="I2" s="291"/>
      <c r="J2" s="291"/>
      <c r="K2" s="131"/>
      <c r="L2" s="291"/>
      <c r="M2" s="291"/>
      <c r="N2" s="131"/>
      <c r="O2" s="100" t="s">
        <v>179</v>
      </c>
      <c r="P2" s="100" t="s">
        <v>169</v>
      </c>
      <c r="Q2" s="100"/>
      <c r="R2" s="100" t="s">
        <v>777</v>
      </c>
      <c r="S2" s="131"/>
      <c r="T2" s="100"/>
      <c r="U2" s="100" t="s">
        <v>808</v>
      </c>
      <c r="V2" s="100" t="s">
        <v>809</v>
      </c>
      <c r="W2" s="291"/>
      <c r="X2" s="291"/>
      <c r="Y2" s="291"/>
      <c r="Z2" s="291"/>
      <c r="AA2" s="291"/>
      <c r="AB2" s="291"/>
      <c r="AC2" s="291"/>
      <c r="AD2" s="291"/>
      <c r="AE2" s="291"/>
      <c r="AF2" s="101"/>
      <c r="AG2" s="291"/>
      <c r="AH2" s="291"/>
      <c r="AI2" s="101"/>
      <c r="AJ2" s="291"/>
      <c r="AK2" s="291"/>
      <c r="AM2" s="291"/>
      <c r="AN2" s="291"/>
      <c r="AO2" s="291"/>
      <c r="AP2" s="291"/>
      <c r="AQ2" s="291"/>
      <c r="AR2" s="291"/>
      <c r="AS2" s="291"/>
      <c r="AT2" s="291"/>
      <c r="AU2" s="291"/>
      <c r="AV2" s="291"/>
      <c r="AW2" s="291"/>
      <c r="AY2" s="292"/>
      <c r="AZ2" s="292"/>
      <c r="BB2" s="292"/>
      <c r="BC2" s="292"/>
      <c r="BD2" s="292"/>
      <c r="BE2" s="292"/>
      <c r="BG2" s="292"/>
      <c r="BH2" s="292"/>
      <c r="BI2" s="99"/>
      <c r="BK2" s="90" t="s">
        <v>810</v>
      </c>
      <c r="BL2" s="90" t="s">
        <v>216</v>
      </c>
      <c r="BM2" s="90" t="s">
        <v>811</v>
      </c>
      <c r="BN2" s="90" t="s">
        <v>216</v>
      </c>
      <c r="BO2" s="90" t="s">
        <v>197</v>
      </c>
      <c r="BP2" s="90" t="s">
        <v>216</v>
      </c>
      <c r="BQ2" s="90" t="s">
        <v>812</v>
      </c>
      <c r="BR2" s="90" t="s">
        <v>216</v>
      </c>
      <c r="BS2" s="90" t="s">
        <v>813</v>
      </c>
      <c r="BT2" s="90" t="s">
        <v>216</v>
      </c>
      <c r="BU2" s="90" t="s">
        <v>170</v>
      </c>
      <c r="BV2" s="90" t="s">
        <v>216</v>
      </c>
      <c r="BW2" s="90" t="s">
        <v>814</v>
      </c>
      <c r="BX2" s="90" t="s">
        <v>815</v>
      </c>
      <c r="BY2" s="90" t="s">
        <v>170</v>
      </c>
      <c r="BZ2" s="90" t="s">
        <v>216</v>
      </c>
      <c r="CA2" s="90" t="s">
        <v>164</v>
      </c>
      <c r="CB2" s="90" t="s">
        <v>216</v>
      </c>
    </row>
    <row r="3" spans="1:80" ht="14.4" customHeight="1">
      <c r="A3" s="25" t="s">
        <v>816</v>
      </c>
      <c r="B3" s="25">
        <v>0</v>
      </c>
      <c r="D3" t="s">
        <v>817</v>
      </c>
      <c r="E3" s="25">
        <v>27</v>
      </c>
      <c r="F3" s="25" t="s">
        <v>818</v>
      </c>
      <c r="G3" s="25" t="s">
        <v>819</v>
      </c>
      <c r="I3" s="25" t="s">
        <v>820</v>
      </c>
      <c r="J3" s="25">
        <v>0</v>
      </c>
      <c r="L3" t="s">
        <v>821</v>
      </c>
      <c r="M3" s="25">
        <v>0</v>
      </c>
      <c r="O3" s="25" t="s">
        <v>836</v>
      </c>
      <c r="P3" s="25" t="s">
        <v>816</v>
      </c>
      <c r="Q3" s="25" t="str">
        <f>CONCATENATE(O3,P3)</f>
        <v>SingleFace</v>
      </c>
      <c r="R3" s="25">
        <v>75</v>
      </c>
      <c r="T3" s="25" t="s">
        <v>822</v>
      </c>
      <c r="U3" s="25" t="s">
        <v>816</v>
      </c>
      <c r="V3" s="25" t="s">
        <v>823</v>
      </c>
      <c r="W3" s="25" t="str">
        <f t="shared" si="0" ref="W3:W66">CONCATENATE(T3,U3,V3)</f>
        <v>Aluminium PelmetFaceChain Winder</v>
      </c>
      <c r="X3" s="25">
        <v>6</v>
      </c>
      <c r="Y3" s="25">
        <v>6</v>
      </c>
      <c r="Z3" s="25" t="s">
        <v>824</v>
      </c>
      <c r="AA3" s="25" t="s">
        <v>824</v>
      </c>
      <c r="AB3" s="25" t="s">
        <v>818</v>
      </c>
      <c r="AC3" s="25" t="s">
        <v>821</v>
      </c>
      <c r="AD3" s="25" t="s">
        <v>818</v>
      </c>
      <c r="AE3" s="25" t="s">
        <v>824</v>
      </c>
      <c r="AG3" s="111" t="s">
        <v>825</v>
      </c>
      <c r="AH3" s="112">
        <v>250</v>
      </c>
      <c r="AJ3" t="s">
        <v>826</v>
      </c>
      <c r="AK3" s="85">
        <v>0</v>
      </c>
      <c r="AM3" s="25" t="s">
        <v>817</v>
      </c>
      <c r="AN3" s="25" t="s">
        <v>827</v>
      </c>
      <c r="AO3" s="25" t="s">
        <v>170</v>
      </c>
      <c r="AP3" s="25" t="str">
        <f t="shared" si="1" ref="AP3:AP34">CONCATENATE(AM3,AN3,AO3)</f>
        <v>1.1nm 12v Acmeda DCRF MotorLeftControl</v>
      </c>
      <c r="AQ3" s="25" t="s">
        <v>828</v>
      </c>
      <c r="AR3" s="25" t="s">
        <v>828</v>
      </c>
      <c r="AS3" s="25" t="s">
        <v>828</v>
      </c>
      <c r="AT3" s="25" t="s">
        <v>828</v>
      </c>
      <c r="AU3" s="25" t="s">
        <v>829</v>
      </c>
      <c r="AV3" s="25" t="s">
        <v>830</v>
      </c>
      <c r="AW3" s="25" t="s">
        <v>821</v>
      </c>
      <c r="AY3" t="s">
        <v>831</v>
      </c>
      <c r="AZ3" s="25">
        <v>40</v>
      </c>
      <c r="BB3" s="25" t="s">
        <v>832</v>
      </c>
      <c r="BD3" s="25" t="str">
        <f>CONCATENATE(BB3,BC3)</f>
        <v>None</v>
      </c>
      <c r="BG3" s="25" t="s">
        <v>817</v>
      </c>
      <c r="BH3" s="25" t="s">
        <v>817</v>
      </c>
      <c r="BK3" t="s">
        <v>833</v>
      </c>
      <c r="BL3">
        <v>0</v>
      </c>
      <c r="BM3" t="s">
        <v>834</v>
      </c>
      <c r="BN3">
        <v>0</v>
      </c>
      <c r="BO3" s="25" t="s">
        <v>818</v>
      </c>
      <c r="BP3" s="25">
        <v>3</v>
      </c>
      <c r="BQ3" t="s">
        <v>835</v>
      </c>
      <c r="BR3" s="25">
        <v>0</v>
      </c>
      <c r="BS3" s="25" t="s">
        <v>816</v>
      </c>
      <c r="BT3" s="25">
        <v>2</v>
      </c>
      <c r="BU3" s="25" t="s">
        <v>823</v>
      </c>
      <c r="BV3" s="25">
        <v>0</v>
      </c>
      <c r="BW3" s="25" t="s">
        <v>836</v>
      </c>
      <c r="BX3" s="25" t="s">
        <v>821</v>
      </c>
      <c r="BY3" t="s">
        <v>832</v>
      </c>
      <c r="BZ3" s="25">
        <v>0</v>
      </c>
      <c r="CA3" t="s">
        <v>821</v>
      </c>
      <c r="CB3" s="25">
        <v>0</v>
      </c>
    </row>
    <row r="4" spans="1:80" ht="14.4" customHeight="1">
      <c r="A4" s="25" t="s">
        <v>837</v>
      </c>
      <c r="B4" s="25">
        <v>3</v>
      </c>
      <c r="D4" s="25" t="s">
        <v>838</v>
      </c>
      <c r="E4" s="25">
        <v>27</v>
      </c>
      <c r="F4" s="25" t="s">
        <v>818</v>
      </c>
      <c r="G4" s="25" t="s">
        <v>821</v>
      </c>
      <c r="I4" s="25" t="s">
        <v>839</v>
      </c>
      <c r="J4" s="25">
        <v>0</v>
      </c>
      <c r="L4" t="s">
        <v>840</v>
      </c>
      <c r="M4" s="25">
        <v>1</v>
      </c>
      <c r="O4" s="25" t="s">
        <v>836</v>
      </c>
      <c r="P4" s="25" t="s">
        <v>867</v>
      </c>
      <c r="Q4" s="25" t="str">
        <f t="shared" si="2" ref="Q4:Q57">CONCATENATE(O4,P4)</f>
        <v>SingleOutside Window Mount</v>
      </c>
      <c r="R4" s="25">
        <v>75</v>
      </c>
      <c r="T4" s="25" t="s">
        <v>822</v>
      </c>
      <c r="U4" s="25" t="s">
        <v>816</v>
      </c>
      <c r="V4" s="25" t="s">
        <v>841</v>
      </c>
      <c r="W4" s="25" t="str">
        <f t="shared" si="0"/>
        <v>Aluminium PelmetFaceHD Chain Winder</v>
      </c>
      <c r="X4" s="25">
        <v>6</v>
      </c>
      <c r="Y4" s="25">
        <v>6</v>
      </c>
      <c r="Z4" s="25" t="s">
        <v>824</v>
      </c>
      <c r="AA4" s="25" t="s">
        <v>824</v>
      </c>
      <c r="AB4" s="25" t="s">
        <v>818</v>
      </c>
      <c r="AC4" s="25" t="s">
        <v>821</v>
      </c>
      <c r="AD4" s="25" t="s">
        <v>818</v>
      </c>
      <c r="AE4" s="25" t="s">
        <v>824</v>
      </c>
      <c r="AG4" s="111" t="s">
        <v>842</v>
      </c>
      <c r="AH4" s="112">
        <v>250</v>
      </c>
      <c r="AJ4" t="s">
        <v>843</v>
      </c>
      <c r="AK4" s="25">
        <v>0</v>
      </c>
      <c r="AM4" s="25" t="s">
        <v>817</v>
      </c>
      <c r="AN4" s="25" t="s">
        <v>827</v>
      </c>
      <c r="AO4" s="25" t="s">
        <v>844</v>
      </c>
      <c r="AP4" s="25" t="str">
        <f t="shared" si="1"/>
        <v>1.1nm 12v Acmeda DCRF MotorLeftLHS Blind Independent Link</v>
      </c>
      <c r="AQ4" s="25" t="s">
        <v>828</v>
      </c>
      <c r="AR4" s="25" t="s">
        <v>828</v>
      </c>
      <c r="AS4" s="25" t="s">
        <v>828</v>
      </c>
      <c r="AT4" s="25" t="s">
        <v>828</v>
      </c>
      <c r="AU4" s="25" t="s">
        <v>829</v>
      </c>
      <c r="AV4" s="25" t="s">
        <v>845</v>
      </c>
      <c r="AW4" s="25" t="s">
        <v>821</v>
      </c>
      <c r="AY4" t="s">
        <v>846</v>
      </c>
      <c r="AZ4" s="25">
        <v>20</v>
      </c>
      <c r="BB4" s="25" t="s">
        <v>847</v>
      </c>
      <c r="BD4" s="25" t="str">
        <f t="shared" si="3" ref="BD4:BD50">CONCATENATE(BB4,BC4)</f>
        <v>Straight Upholstered Pelmet</v>
      </c>
      <c r="BE4" s="25" t="s">
        <v>848</v>
      </c>
      <c r="BG4" t="s">
        <v>849</v>
      </c>
      <c r="BH4" t="s">
        <v>849</v>
      </c>
      <c r="BI4"/>
      <c r="BK4" t="s">
        <v>850</v>
      </c>
      <c r="BL4">
        <v>2</v>
      </c>
      <c r="BM4" t="s">
        <v>851</v>
      </c>
      <c r="BN4">
        <v>2</v>
      </c>
      <c r="BO4" s="25" t="s">
        <v>821</v>
      </c>
      <c r="BP4" s="25">
        <v>0</v>
      </c>
      <c r="BQ4" t="s">
        <v>852</v>
      </c>
      <c r="BR4" s="25">
        <v>10</v>
      </c>
      <c r="BS4" s="25" t="s">
        <v>837</v>
      </c>
      <c r="BT4" s="25">
        <v>0</v>
      </c>
      <c r="BU4" s="25" t="s">
        <v>841</v>
      </c>
      <c r="BV4" s="25">
        <v>0</v>
      </c>
      <c r="BW4" s="25" t="s">
        <v>853</v>
      </c>
      <c r="BX4" s="25" t="s">
        <v>821</v>
      </c>
      <c r="BY4" t="s">
        <v>847</v>
      </c>
      <c r="BZ4" s="25">
        <v>5</v>
      </c>
      <c r="CA4" t="s">
        <v>840</v>
      </c>
      <c r="CB4" s="25">
        <v>2</v>
      </c>
    </row>
    <row r="5" spans="1:80" ht="14.4">
      <c r="A5" s="25" t="s">
        <v>854</v>
      </c>
      <c r="B5" s="25">
        <v>0</v>
      </c>
      <c r="D5" t="s">
        <v>855</v>
      </c>
      <c r="E5" s="25">
        <v>27</v>
      </c>
      <c r="F5" s="25" t="s">
        <v>818</v>
      </c>
      <c r="G5" s="25" t="s">
        <v>821</v>
      </c>
      <c r="I5" s="25" t="s">
        <v>856</v>
      </c>
      <c r="J5" s="25">
        <v>-5</v>
      </c>
      <c r="L5" t="s">
        <v>857</v>
      </c>
      <c r="M5" s="25">
        <v>-1</v>
      </c>
      <c r="O5" s="25" t="s">
        <v>836</v>
      </c>
      <c r="P5" s="25" t="s">
        <v>837</v>
      </c>
      <c r="Q5" s="25" t="str">
        <f t="shared" si="2"/>
        <v>SingleReveal</v>
      </c>
      <c r="R5" s="25">
        <v>60</v>
      </c>
      <c r="T5" s="25" t="s">
        <v>822</v>
      </c>
      <c r="U5" s="25" t="s">
        <v>816</v>
      </c>
      <c r="V5" s="25" t="s">
        <v>858</v>
      </c>
      <c r="W5" s="25" t="str">
        <f t="shared" si="0"/>
        <v>Aluminium PelmetFaceChain Winder 60mm</v>
      </c>
      <c r="X5" s="25">
        <v>6</v>
      </c>
      <c r="Y5" s="25">
        <v>6</v>
      </c>
      <c r="Z5" s="25" t="s">
        <v>824</v>
      </c>
      <c r="AA5" s="25" t="s">
        <v>824</v>
      </c>
      <c r="AB5" s="25" t="s">
        <v>818</v>
      </c>
      <c r="AC5" s="25" t="s">
        <v>821</v>
      </c>
      <c r="AD5" s="25" t="s">
        <v>818</v>
      </c>
      <c r="AE5" s="25" t="s">
        <v>824</v>
      </c>
      <c r="AG5" s="111" t="s">
        <v>859</v>
      </c>
      <c r="AH5" s="112">
        <v>250</v>
      </c>
      <c r="AJ5" t="s">
        <v>828</v>
      </c>
      <c r="AK5" s="25">
        <v>0</v>
      </c>
      <c r="AM5" s="25" t="s">
        <v>817</v>
      </c>
      <c r="AN5" s="25" t="s">
        <v>827</v>
      </c>
      <c r="AO5" s="25" t="s">
        <v>824</v>
      </c>
      <c r="AP5" s="25" t="str">
        <f t="shared" si="1"/>
        <v>1.1nm 12v Acmeda DCRF MotorLeftN/A</v>
      </c>
      <c r="AQ5" s="25" t="s">
        <v>828</v>
      </c>
      <c r="AR5" s="25" t="s">
        <v>828</v>
      </c>
      <c r="AS5" s="25" t="s">
        <v>828</v>
      </c>
      <c r="AT5" s="25" t="s">
        <v>828</v>
      </c>
      <c r="AU5" s="25" t="s">
        <v>829</v>
      </c>
      <c r="AV5" s="25" t="s">
        <v>824</v>
      </c>
      <c r="AW5" s="25" t="s">
        <v>821</v>
      </c>
      <c r="AY5" t="s">
        <v>860</v>
      </c>
      <c r="AZ5" s="25">
        <v>100</v>
      </c>
      <c r="BB5" s="25" t="s">
        <v>861</v>
      </c>
      <c r="BD5" s="25" t="str">
        <f t="shared" si="3"/>
        <v>Shaped Upholstered Pelmet</v>
      </c>
      <c r="BE5" s="25" t="s">
        <v>848</v>
      </c>
      <c r="BG5" s="25" t="s">
        <v>838</v>
      </c>
      <c r="BH5" s="25" t="s">
        <v>838</v>
      </c>
      <c r="BK5" t="s">
        <v>862</v>
      </c>
      <c r="BL5">
        <v>5</v>
      </c>
      <c r="BM5" t="s">
        <v>863</v>
      </c>
      <c r="BN5">
        <v>5</v>
      </c>
      <c r="BQ5" t="s">
        <v>864</v>
      </c>
      <c r="BR5" s="25">
        <v>10</v>
      </c>
      <c r="BS5" s="25" t="s">
        <v>854</v>
      </c>
      <c r="BT5" s="25">
        <v>2</v>
      </c>
      <c r="BU5" s="25" t="s">
        <v>865</v>
      </c>
      <c r="BV5" s="25">
        <v>0</v>
      </c>
      <c r="BW5" s="25" t="s">
        <v>866</v>
      </c>
      <c r="BX5" s="25" t="s">
        <v>821</v>
      </c>
      <c r="BY5" t="s">
        <v>861</v>
      </c>
      <c r="BZ5" s="25">
        <v>5</v>
      </c>
      <c r="CA5" t="s">
        <v>857</v>
      </c>
      <c r="CB5" s="25">
        <v>2</v>
      </c>
    </row>
    <row r="6" spans="1:80" ht="14.4">
      <c r="A6" s="25" t="s">
        <v>867</v>
      </c>
      <c r="B6" s="25">
        <v>0</v>
      </c>
      <c r="D6" t="s">
        <v>868</v>
      </c>
      <c r="E6" s="25">
        <v>27</v>
      </c>
      <c r="F6" s="25" t="s">
        <v>818</v>
      </c>
      <c r="G6" s="25" t="s">
        <v>819</v>
      </c>
      <c r="I6" s="25" t="s">
        <v>869</v>
      </c>
      <c r="J6" s="25">
        <v>-5</v>
      </c>
      <c r="L6" t="s">
        <v>870</v>
      </c>
      <c r="M6" s="25">
        <v>0</v>
      </c>
      <c r="O6" s="25" t="s">
        <v>836</v>
      </c>
      <c r="P6" s="25" t="s">
        <v>880</v>
      </c>
      <c r="Q6" s="25" t="str">
        <f t="shared" si="2"/>
        <v>SingleInside Window Mount</v>
      </c>
      <c r="R6" s="25">
        <v>60</v>
      </c>
      <c r="T6" s="25" t="s">
        <v>822</v>
      </c>
      <c r="U6" s="25" t="s">
        <v>816</v>
      </c>
      <c r="V6" s="25" t="s">
        <v>865</v>
      </c>
      <c r="W6" s="25" t="str">
        <f t="shared" si="0"/>
        <v>Aluminium PelmetFaceChain Winder Fixed Guide</v>
      </c>
      <c r="X6" s="25">
        <v>6</v>
      </c>
      <c r="Y6" s="25">
        <v>6</v>
      </c>
      <c r="Z6" s="25" t="s">
        <v>824</v>
      </c>
      <c r="AA6" s="25" t="s">
        <v>824</v>
      </c>
      <c r="AB6" s="25" t="s">
        <v>818</v>
      </c>
      <c r="AC6" s="25" t="s">
        <v>821</v>
      </c>
      <c r="AD6" s="25" t="s">
        <v>818</v>
      </c>
      <c r="AE6" s="25" t="s">
        <v>824</v>
      </c>
      <c r="AG6" t="s">
        <v>871</v>
      </c>
      <c r="AH6" s="25">
        <v>300</v>
      </c>
      <c r="AJ6" t="s">
        <v>829</v>
      </c>
      <c r="AK6" s="25">
        <v>50</v>
      </c>
      <c r="AM6" s="25" t="s">
        <v>817</v>
      </c>
      <c r="AN6" s="25" t="s">
        <v>872</v>
      </c>
      <c r="AO6" s="25" t="s">
        <v>170</v>
      </c>
      <c r="AP6" s="25" t="str">
        <f t="shared" si="1"/>
        <v>1.1nm 12v Acmeda DCRF MotorRightControl</v>
      </c>
      <c r="AQ6" s="25" t="s">
        <v>828</v>
      </c>
      <c r="AR6" s="25" t="s">
        <v>828</v>
      </c>
      <c r="AS6" s="25" t="s">
        <v>828</v>
      </c>
      <c r="AT6" s="25" t="s">
        <v>828</v>
      </c>
      <c r="AU6" s="25" t="s">
        <v>829</v>
      </c>
      <c r="AV6" s="25" t="s">
        <v>873</v>
      </c>
      <c r="AW6" s="25" t="s">
        <v>821</v>
      </c>
      <c r="AY6" t="s">
        <v>874</v>
      </c>
      <c r="AZ6" s="25">
        <v>50</v>
      </c>
      <c r="BB6" s="25" t="s">
        <v>875</v>
      </c>
      <c r="BD6" s="25" t="str">
        <f t="shared" si="3"/>
        <v>Straight Bonded Pelmet</v>
      </c>
      <c r="BE6" s="25" t="s">
        <v>876</v>
      </c>
      <c r="BG6" t="s">
        <v>855</v>
      </c>
      <c r="BH6" t="s">
        <v>855</v>
      </c>
      <c r="BI6"/>
      <c r="BK6" t="s">
        <v>877</v>
      </c>
      <c r="BL6">
        <v>10</v>
      </c>
      <c r="BM6" t="s">
        <v>878</v>
      </c>
      <c r="BN6">
        <v>20</v>
      </c>
      <c r="BQ6" t="s">
        <v>879</v>
      </c>
      <c r="BR6" s="25">
        <v>2</v>
      </c>
      <c r="BS6" s="25" t="s">
        <v>880</v>
      </c>
      <c r="BT6" s="25">
        <v>0</v>
      </c>
      <c r="BU6" s="25" t="s">
        <v>858</v>
      </c>
      <c r="BV6" s="25">
        <v>5</v>
      </c>
      <c r="BW6" s="25" t="s">
        <v>881</v>
      </c>
      <c r="BX6" s="25" t="s">
        <v>818</v>
      </c>
      <c r="BY6" t="s">
        <v>875</v>
      </c>
      <c r="BZ6" s="25">
        <v>5</v>
      </c>
      <c r="CA6" t="s">
        <v>870</v>
      </c>
      <c r="CB6" s="25">
        <v>0</v>
      </c>
    </row>
    <row r="7" spans="1:80" ht="14.4">
      <c r="A7" s="25" t="s">
        <v>880</v>
      </c>
      <c r="B7" s="25">
        <v>3</v>
      </c>
      <c r="D7" s="25" t="s">
        <v>882</v>
      </c>
      <c r="E7" s="25">
        <v>27</v>
      </c>
      <c r="F7" s="25" t="s">
        <v>818</v>
      </c>
      <c r="G7" s="25" t="s">
        <v>821</v>
      </c>
      <c r="I7" s="25" t="s">
        <v>883</v>
      </c>
      <c r="J7" s="25">
        <v>-5</v>
      </c>
      <c r="L7" t="s">
        <v>919</v>
      </c>
      <c r="M7" s="25">
        <v>25</v>
      </c>
      <c r="O7" s="25" t="s">
        <v>836</v>
      </c>
      <c r="P7" s="25" t="s">
        <v>854</v>
      </c>
      <c r="Q7" s="25" t="str">
        <f t="shared" si="2"/>
        <v>SingleTop Fix</v>
      </c>
      <c r="R7" s="25">
        <v>60</v>
      </c>
      <c r="T7" s="25" t="s">
        <v>822</v>
      </c>
      <c r="U7" s="25" t="s">
        <v>816</v>
      </c>
      <c r="V7" s="25" t="s">
        <v>181</v>
      </c>
      <c r="W7" s="25" t="str">
        <f t="shared" si="0"/>
        <v>Aluminium PelmetFaceLinked</v>
      </c>
      <c r="X7" s="25">
        <v>6</v>
      </c>
      <c r="Y7" s="25">
        <v>6</v>
      </c>
      <c r="Z7" s="25" t="s">
        <v>824</v>
      </c>
      <c r="AA7" s="25" t="s">
        <v>824</v>
      </c>
      <c r="AB7" s="25" t="s">
        <v>818</v>
      </c>
      <c r="AC7" s="25" t="s">
        <v>821</v>
      </c>
      <c r="AD7" s="25" t="s">
        <v>818</v>
      </c>
      <c r="AE7" s="25" t="s">
        <v>824</v>
      </c>
      <c r="AG7" t="s">
        <v>885</v>
      </c>
      <c r="AH7" s="25">
        <v>300</v>
      </c>
      <c r="AJ7" t="s">
        <v>886</v>
      </c>
      <c r="AK7" s="25">
        <v>50</v>
      </c>
      <c r="AM7" s="25" t="s">
        <v>817</v>
      </c>
      <c r="AN7" s="25" t="s">
        <v>872</v>
      </c>
      <c r="AO7" s="25" t="s">
        <v>824</v>
      </c>
      <c r="AP7" s="25" t="str">
        <f t="shared" si="1"/>
        <v>1.1nm 12v Acmeda DCRF MotorRightN/A</v>
      </c>
      <c r="AQ7" s="25" t="s">
        <v>828</v>
      </c>
      <c r="AR7" s="25" t="s">
        <v>828</v>
      </c>
      <c r="AS7" s="25" t="s">
        <v>828</v>
      </c>
      <c r="AT7" s="25" t="s">
        <v>828</v>
      </c>
      <c r="AU7" s="25" t="s">
        <v>829</v>
      </c>
      <c r="AV7" s="25" t="s">
        <v>824</v>
      </c>
      <c r="AW7" s="25" t="s">
        <v>821</v>
      </c>
      <c r="AY7" t="s">
        <v>832</v>
      </c>
      <c r="AZ7" s="25">
        <v>0</v>
      </c>
      <c r="BB7" s="25" t="s">
        <v>887</v>
      </c>
      <c r="BC7" s="25" t="s">
        <v>888</v>
      </c>
      <c r="BD7" s="25" t="str">
        <f t="shared" si="3"/>
        <v>Zipscreen HoodingCustom Powdercoat</v>
      </c>
      <c r="BE7" s="25" t="s">
        <v>889</v>
      </c>
      <c r="BG7" s="25" t="s">
        <v>868</v>
      </c>
      <c r="BH7" s="25" t="s">
        <v>868</v>
      </c>
      <c r="BK7" t="s">
        <v>890</v>
      </c>
      <c r="BL7">
        <v>15</v>
      </c>
      <c r="BM7" t="s">
        <v>891</v>
      </c>
      <c r="BN7"/>
      <c r="BQ7" t="s">
        <v>892</v>
      </c>
      <c r="BR7" s="25">
        <v>10</v>
      </c>
      <c r="BS7" s="25" t="s">
        <v>867</v>
      </c>
      <c r="BT7" s="25">
        <v>2</v>
      </c>
      <c r="BU7" s="25" t="s">
        <v>893</v>
      </c>
      <c r="BV7" s="25">
        <v>0</v>
      </c>
      <c r="BW7" s="25" t="s">
        <v>894</v>
      </c>
      <c r="BX7" s="25" t="s">
        <v>818</v>
      </c>
      <c r="BY7" t="s">
        <v>895</v>
      </c>
      <c r="BZ7" s="25">
        <v>5</v>
      </c>
      <c r="CA7" t="s">
        <v>884</v>
      </c>
      <c r="CB7" s="25">
        <v>2</v>
      </c>
    </row>
    <row r="8" spans="4:80" ht="14.4">
      <c r="D8" s="25" t="s">
        <v>896</v>
      </c>
      <c r="E8" s="25">
        <v>29</v>
      </c>
      <c r="F8" s="25" t="s">
        <v>818</v>
      </c>
      <c r="G8" s="25" t="s">
        <v>821</v>
      </c>
      <c r="I8" s="25" t="s">
        <v>897</v>
      </c>
      <c r="J8" s="25">
        <v>-5</v>
      </c>
      <c r="L8" t="s">
        <v>928</v>
      </c>
      <c r="M8" s="25">
        <v>50</v>
      </c>
      <c r="O8" s="25" t="s">
        <v>853</v>
      </c>
      <c r="P8" s="25" t="s">
        <v>816</v>
      </c>
      <c r="Q8" s="25" t="str">
        <f t="shared" si="2"/>
        <v>Single with CoversFace</v>
      </c>
      <c r="R8" s="25">
        <v>75</v>
      </c>
      <c r="T8" s="25" t="s">
        <v>822</v>
      </c>
      <c r="U8" s="25" t="s">
        <v>816</v>
      </c>
      <c r="V8" s="25" t="s">
        <v>898</v>
      </c>
      <c r="W8" s="25" t="str">
        <f t="shared" si="0"/>
        <v>Aluminium PelmetFaceLinked - HD</v>
      </c>
      <c r="X8" s="25">
        <v>6</v>
      </c>
      <c r="Y8" s="25">
        <v>6</v>
      </c>
      <c r="Z8" s="25" t="s">
        <v>824</v>
      </c>
      <c r="AA8" s="25" t="s">
        <v>824</v>
      </c>
      <c r="AB8" s="25" t="s">
        <v>818</v>
      </c>
      <c r="AC8" s="25" t="s">
        <v>821</v>
      </c>
      <c r="AD8" s="25" t="s">
        <v>818</v>
      </c>
      <c r="AE8" s="25" t="s">
        <v>824</v>
      </c>
      <c r="AG8" t="s">
        <v>899</v>
      </c>
      <c r="AH8" s="25">
        <v>300</v>
      </c>
      <c r="AJ8" t="s">
        <v>900</v>
      </c>
      <c r="AK8" s="25">
        <v>100</v>
      </c>
      <c r="AM8" s="25" t="s">
        <v>817</v>
      </c>
      <c r="AN8" s="25" t="s">
        <v>872</v>
      </c>
      <c r="AO8" s="25" t="s">
        <v>901</v>
      </c>
      <c r="AP8" s="25" t="str">
        <f t="shared" si="1"/>
        <v>1.1nm 12v Acmeda DCRF MotorRightRHS Blind Independent Link</v>
      </c>
      <c r="AQ8" s="25" t="s">
        <v>828</v>
      </c>
      <c r="AR8" s="25" t="s">
        <v>828</v>
      </c>
      <c r="AS8" s="25" t="s">
        <v>828</v>
      </c>
      <c r="AT8" s="25" t="s">
        <v>828</v>
      </c>
      <c r="AU8" s="25" t="s">
        <v>829</v>
      </c>
      <c r="AV8" s="25" t="s">
        <v>902</v>
      </c>
      <c r="AW8" s="25" t="s">
        <v>821</v>
      </c>
      <c r="BB8" s="25" t="s">
        <v>822</v>
      </c>
      <c r="BC8" s="25" t="s">
        <v>903</v>
      </c>
      <c r="BD8" s="25" t="str">
        <f t="shared" si="3"/>
        <v>Aluminium PelmetWhite</v>
      </c>
      <c r="BE8" s="25" t="s">
        <v>889</v>
      </c>
      <c r="BG8" s="25" t="s">
        <v>882</v>
      </c>
      <c r="BH8" s="25" t="s">
        <v>882</v>
      </c>
      <c r="BK8" t="s">
        <v>904</v>
      </c>
      <c r="BL8">
        <v>20</v>
      </c>
      <c r="BM8" s="25" t="s">
        <v>905</v>
      </c>
      <c r="BN8">
        <v>0</v>
      </c>
      <c r="BQ8" t="s">
        <v>906</v>
      </c>
      <c r="BR8" s="25">
        <v>5</v>
      </c>
      <c r="BU8" s="25" t="s">
        <v>181</v>
      </c>
      <c r="BV8" s="25">
        <v>5</v>
      </c>
      <c r="BW8" s="25" t="s">
        <v>907</v>
      </c>
      <c r="BX8" s="25" t="s">
        <v>818</v>
      </c>
      <c r="BY8" t="s">
        <v>908</v>
      </c>
      <c r="BZ8" s="25">
        <v>5</v>
      </c>
      <c r="CA8" t="s">
        <v>909</v>
      </c>
      <c r="CB8" s="25">
        <v>2</v>
      </c>
    </row>
    <row r="9" spans="4:80" ht="14.4">
      <c r="D9" s="25" t="s">
        <v>625</v>
      </c>
      <c r="E9" s="25">
        <v>30</v>
      </c>
      <c r="F9" s="25" t="s">
        <v>818</v>
      </c>
      <c r="G9" s="25" t="s">
        <v>818</v>
      </c>
      <c r="I9" s="25" t="s">
        <v>883</v>
      </c>
      <c r="J9" s="25">
        <v>-5</v>
      </c>
      <c r="L9" t="s">
        <v>934</v>
      </c>
      <c r="M9" s="25">
        <v>3</v>
      </c>
      <c r="O9" s="25" t="s">
        <v>853</v>
      </c>
      <c r="P9" s="25" t="s">
        <v>867</v>
      </c>
      <c r="Q9" s="25" t="str">
        <f t="shared" si="2"/>
        <v>Single with CoversOutside Window Mount</v>
      </c>
      <c r="R9" s="25">
        <v>75</v>
      </c>
      <c r="T9" s="25" t="s">
        <v>822</v>
      </c>
      <c r="U9" s="25" t="s">
        <v>816</v>
      </c>
      <c r="V9" s="25" t="s">
        <v>910</v>
      </c>
      <c r="W9" s="25" t="str">
        <f t="shared" si="0"/>
        <v>Aluminium PelmetFaceStandard Spring</v>
      </c>
      <c r="X9" s="25">
        <v>6</v>
      </c>
      <c r="Y9" s="25">
        <v>6</v>
      </c>
      <c r="Z9" s="25" t="s">
        <v>824</v>
      </c>
      <c r="AA9" s="25" t="s">
        <v>824</v>
      </c>
      <c r="AB9" s="25" t="s">
        <v>818</v>
      </c>
      <c r="AC9" s="25" t="s">
        <v>821</v>
      </c>
      <c r="AD9" s="25" t="s">
        <v>818</v>
      </c>
      <c r="AE9" s="25" t="s">
        <v>824</v>
      </c>
      <c r="AG9" t="s">
        <v>911</v>
      </c>
      <c r="AH9" s="25">
        <v>300</v>
      </c>
      <c r="AJ9" s="25" t="s">
        <v>912</v>
      </c>
      <c r="AK9" s="25">
        <v>100</v>
      </c>
      <c r="AM9" t="s">
        <v>849</v>
      </c>
      <c r="AN9" s="25" t="s">
        <v>827</v>
      </c>
      <c r="AO9" s="25" t="s">
        <v>170</v>
      </c>
      <c r="AP9" s="25" t="str">
        <f t="shared" si="1"/>
        <v>1.1nm 12v Acmeda DCRF Motor with External BatteryLeftControl</v>
      </c>
      <c r="AQ9" s="25" t="s">
        <v>828</v>
      </c>
      <c r="AR9" s="25" t="s">
        <v>828</v>
      </c>
      <c r="AS9" s="25" t="s">
        <v>828</v>
      </c>
      <c r="AT9" s="25" t="s">
        <v>828</v>
      </c>
      <c r="AU9" s="25" t="s">
        <v>829</v>
      </c>
      <c r="AV9" s="25" t="s">
        <v>830</v>
      </c>
      <c r="AW9" s="25" t="s">
        <v>821</v>
      </c>
      <c r="BB9" s="25" t="s">
        <v>822</v>
      </c>
      <c r="BC9" s="25" t="s">
        <v>903</v>
      </c>
      <c r="BD9" s="25" t="str">
        <f t="shared" si="3"/>
        <v>Aluminium PelmetWhite</v>
      </c>
      <c r="BE9" s="25" t="s">
        <v>889</v>
      </c>
      <c r="BG9" s="25" t="s">
        <v>896</v>
      </c>
      <c r="BH9" s="25" t="s">
        <v>896</v>
      </c>
      <c r="BK9" t="s">
        <v>913</v>
      </c>
      <c r="BL9">
        <v>30</v>
      </c>
      <c r="BM9" s="25" t="s">
        <v>914</v>
      </c>
      <c r="BN9">
        <v>2</v>
      </c>
      <c r="BQ9" t="s">
        <v>915</v>
      </c>
      <c r="BR9" s="25">
        <v>10</v>
      </c>
      <c r="BU9" s="25" t="s">
        <v>898</v>
      </c>
      <c r="BV9" s="25">
        <v>5</v>
      </c>
      <c r="BW9" s="25" t="s">
        <v>916</v>
      </c>
      <c r="BX9" s="25" t="s">
        <v>818</v>
      </c>
      <c r="BY9" t="s">
        <v>822</v>
      </c>
      <c r="BZ9" s="25">
        <v>5</v>
      </c>
      <c r="CA9" t="s">
        <v>917</v>
      </c>
      <c r="CB9" s="25">
        <v>2</v>
      </c>
    </row>
    <row r="10" spans="4:80" ht="14.4">
      <c r="D10" t="s">
        <v>918</v>
      </c>
      <c r="E10">
        <v>39</v>
      </c>
      <c r="F10" s="25" t="s">
        <v>818</v>
      </c>
      <c r="G10" t="s">
        <v>821</v>
      </c>
      <c r="H10"/>
      <c r="I10" s="25" t="s">
        <v>897</v>
      </c>
      <c r="J10" s="25">
        <v>-5</v>
      </c>
      <c r="L10" t="s">
        <v>940</v>
      </c>
      <c r="M10" s="25">
        <v>2</v>
      </c>
      <c r="O10" s="25" t="s">
        <v>853</v>
      </c>
      <c r="P10" s="25" t="s">
        <v>837</v>
      </c>
      <c r="Q10" s="25" t="str">
        <f t="shared" si="2"/>
        <v>Single with CoversReveal</v>
      </c>
      <c r="R10" s="25">
        <v>60</v>
      </c>
      <c r="T10" s="25" t="s">
        <v>822</v>
      </c>
      <c r="U10" s="25" t="s">
        <v>816</v>
      </c>
      <c r="V10" s="25" t="s">
        <v>920</v>
      </c>
      <c r="W10" s="25" t="str">
        <f t="shared" si="0"/>
        <v>Aluminium PelmetFaceSmall Spring</v>
      </c>
      <c r="X10" s="25">
        <v>6</v>
      </c>
      <c r="Y10" s="25">
        <v>6</v>
      </c>
      <c r="Z10" s="25" t="s">
        <v>824</v>
      </c>
      <c r="AA10" s="25" t="s">
        <v>824</v>
      </c>
      <c r="AB10" s="25" t="s">
        <v>821</v>
      </c>
      <c r="AC10" s="25" t="s">
        <v>821</v>
      </c>
      <c r="AD10" s="25" t="s">
        <v>818</v>
      </c>
      <c r="AE10" s="25" t="s">
        <v>824</v>
      </c>
      <c r="AG10" t="s">
        <v>921</v>
      </c>
      <c r="AH10" s="25">
        <v>350</v>
      </c>
      <c r="AJ10"/>
      <c r="AM10" t="s">
        <v>849</v>
      </c>
      <c r="AN10" s="25" t="s">
        <v>872</v>
      </c>
      <c r="AO10" s="25" t="s">
        <v>170</v>
      </c>
      <c r="AP10" s="25" t="str">
        <f t="shared" si="1"/>
        <v>1.1nm 12v Acmeda DCRF Motor with External BatteryRightControl</v>
      </c>
      <c r="AQ10" s="25" t="s">
        <v>828</v>
      </c>
      <c r="AR10" s="25" t="s">
        <v>828</v>
      </c>
      <c r="AS10" s="25" t="s">
        <v>828</v>
      </c>
      <c r="AT10" s="25" t="s">
        <v>828</v>
      </c>
      <c r="AU10" s="25" t="s">
        <v>829</v>
      </c>
      <c r="AV10" s="25" t="s">
        <v>873</v>
      </c>
      <c r="AW10" s="25" t="s">
        <v>821</v>
      </c>
      <c r="BB10" s="25" t="s">
        <v>922</v>
      </c>
      <c r="BC10" s="25" t="s">
        <v>903</v>
      </c>
      <c r="BD10" s="25" t="str">
        <f t="shared" si="3"/>
        <v>Square CassetteWhite</v>
      </c>
      <c r="BE10" s="25" t="s">
        <v>889</v>
      </c>
      <c r="BG10" s="25" t="s">
        <v>625</v>
      </c>
      <c r="BH10" s="25" t="s">
        <v>625</v>
      </c>
      <c r="BM10" s="25" t="s">
        <v>923</v>
      </c>
      <c r="BN10" s="25">
        <v>5</v>
      </c>
      <c r="BQ10" t="s">
        <v>924</v>
      </c>
      <c r="BR10" s="25">
        <v>0</v>
      </c>
      <c r="BU10" s="25" t="s">
        <v>925</v>
      </c>
      <c r="BV10" s="25">
        <v>10</v>
      </c>
      <c r="BW10" s="25" t="s">
        <v>926</v>
      </c>
      <c r="BX10" s="25" t="s">
        <v>818</v>
      </c>
      <c r="BY10" t="s">
        <v>922</v>
      </c>
      <c r="BZ10" s="25">
        <v>5</v>
      </c>
      <c r="CA10" t="s">
        <v>919</v>
      </c>
      <c r="CB10" s="25">
        <v>0</v>
      </c>
    </row>
    <row r="11" spans="4:80" ht="14.4">
      <c r="D11" s="25" t="s">
        <v>927</v>
      </c>
      <c r="E11" s="25">
        <v>46</v>
      </c>
      <c r="F11" s="25" t="s">
        <v>818</v>
      </c>
      <c r="G11" s="25" t="s">
        <v>818</v>
      </c>
      <c r="I11" s="25" t="s">
        <v>883</v>
      </c>
      <c r="J11" s="25">
        <v>-5</v>
      </c>
      <c r="L11" t="s">
        <v>945</v>
      </c>
      <c r="M11" s="25">
        <v>5</v>
      </c>
      <c r="O11" s="25" t="s">
        <v>853</v>
      </c>
      <c r="P11" s="25" t="s">
        <v>880</v>
      </c>
      <c r="Q11" s="25" t="str">
        <f t="shared" si="2"/>
        <v>Single with CoversInside Window Mount</v>
      </c>
      <c r="R11" s="25">
        <v>60</v>
      </c>
      <c r="T11" s="25" t="s">
        <v>822</v>
      </c>
      <c r="U11" s="25" t="s">
        <v>816</v>
      </c>
      <c r="V11" s="25" t="s">
        <v>929</v>
      </c>
      <c r="W11" s="25" t="str">
        <f t="shared" si="0"/>
        <v>Aluminium PelmetFaceUniline Spring (Old Style)</v>
      </c>
      <c r="X11" s="25">
        <v>6</v>
      </c>
      <c r="Y11" s="25">
        <v>6</v>
      </c>
      <c r="Z11" s="25" t="s">
        <v>824</v>
      </c>
      <c r="AA11" s="25" t="s">
        <v>824</v>
      </c>
      <c r="AB11" s="25" t="s">
        <v>818</v>
      </c>
      <c r="AC11" s="25" t="s">
        <v>821</v>
      </c>
      <c r="AD11" s="25" t="s">
        <v>818</v>
      </c>
      <c r="AE11" s="25" t="s">
        <v>824</v>
      </c>
      <c r="AG11" t="s">
        <v>930</v>
      </c>
      <c r="AH11" s="25">
        <v>300</v>
      </c>
      <c r="AJ11"/>
      <c r="AM11" t="s">
        <v>849</v>
      </c>
      <c r="AN11" s="25" t="s">
        <v>872</v>
      </c>
      <c r="AO11" s="25" t="s">
        <v>824</v>
      </c>
      <c r="AP11" s="25" t="str">
        <f t="shared" si="1"/>
        <v>1.1nm 12v Acmeda DCRF Motor with External BatteryRightN/A</v>
      </c>
      <c r="AQ11" s="25" t="s">
        <v>828</v>
      </c>
      <c r="AR11" s="25" t="s">
        <v>828</v>
      </c>
      <c r="AS11" s="25" t="s">
        <v>828</v>
      </c>
      <c r="AT11" s="25" t="s">
        <v>828</v>
      </c>
      <c r="AU11" s="25" t="s">
        <v>829</v>
      </c>
      <c r="AV11" s="25" t="s">
        <v>824</v>
      </c>
      <c r="AW11" s="25" t="s">
        <v>821</v>
      </c>
      <c r="BB11" s="25" t="s">
        <v>931</v>
      </c>
      <c r="BC11" s="25" t="s">
        <v>903</v>
      </c>
      <c r="BD11" s="25" t="str">
        <f t="shared" si="4" ref="BD11">CONCATENATE(BB11,BC11)</f>
        <v>Square Cassette with Side ChannelsWhite</v>
      </c>
      <c r="BE11" s="25" t="s">
        <v>889</v>
      </c>
      <c r="BG11" s="25" t="s">
        <v>918</v>
      </c>
      <c r="BH11" s="25" t="s">
        <v>631</v>
      </c>
      <c r="BU11" s="25" t="s">
        <v>932</v>
      </c>
      <c r="BV11" s="25">
        <v>5</v>
      </c>
      <c r="BW11" s="25" t="s">
        <v>933</v>
      </c>
      <c r="BX11" s="25" t="s">
        <v>818</v>
      </c>
      <c r="BY11" t="s">
        <v>931</v>
      </c>
      <c r="BZ11" s="25">
        <v>15</v>
      </c>
      <c r="CA11" t="s">
        <v>928</v>
      </c>
      <c r="CB11" s="25">
        <v>0</v>
      </c>
    </row>
    <row r="12" spans="4:80" ht="14.4">
      <c r="D12" s="25" t="s">
        <v>626</v>
      </c>
      <c r="E12" s="25">
        <v>30</v>
      </c>
      <c r="F12" s="25" t="s">
        <v>818</v>
      </c>
      <c r="G12" s="25" t="s">
        <v>818</v>
      </c>
      <c r="I12" s="25" t="s">
        <v>897</v>
      </c>
      <c r="J12" s="25">
        <v>-5</v>
      </c>
      <c r="L12" t="s">
        <v>950</v>
      </c>
      <c r="M12" s="25">
        <v>10</v>
      </c>
      <c r="O12" s="25" t="s">
        <v>853</v>
      </c>
      <c r="P12" s="25" t="s">
        <v>854</v>
      </c>
      <c r="Q12" s="25" t="str">
        <f t="shared" si="2"/>
        <v>Single with CoversTop Fix</v>
      </c>
      <c r="R12" s="25">
        <v>60</v>
      </c>
      <c r="T12" s="25" t="s">
        <v>822</v>
      </c>
      <c r="U12" s="25" t="s">
        <v>816</v>
      </c>
      <c r="V12" s="25" t="s">
        <v>935</v>
      </c>
      <c r="W12" s="25" t="str">
        <f t="shared" si="0"/>
        <v>Aluminium PelmetFaceBecker Remote Motor</v>
      </c>
      <c r="X12" s="25">
        <v>6</v>
      </c>
      <c r="Y12" s="25">
        <v>6</v>
      </c>
      <c r="Z12" s="25" t="s">
        <v>824</v>
      </c>
      <c r="AA12" s="25" t="s">
        <v>824</v>
      </c>
      <c r="AB12" s="25" t="s">
        <v>818</v>
      </c>
      <c r="AC12" s="25" t="s">
        <v>821</v>
      </c>
      <c r="AD12" s="25" t="s">
        <v>818</v>
      </c>
      <c r="AE12" s="25" t="s">
        <v>824</v>
      </c>
      <c r="AG12" t="s">
        <v>936</v>
      </c>
      <c r="AH12" s="25">
        <v>250</v>
      </c>
      <c r="AJ12"/>
      <c r="AM12" t="s">
        <v>849</v>
      </c>
      <c r="AN12" s="25" t="s">
        <v>827</v>
      </c>
      <c r="AO12" s="25" t="s">
        <v>824</v>
      </c>
      <c r="AP12" s="25" t="str">
        <f t="shared" si="1"/>
        <v>1.1nm 12v Acmeda DCRF Motor with External BatteryLeftN/A</v>
      </c>
      <c r="AQ12" s="25" t="s">
        <v>828</v>
      </c>
      <c r="AR12" s="25" t="s">
        <v>828</v>
      </c>
      <c r="AS12" s="25" t="s">
        <v>828</v>
      </c>
      <c r="AT12" s="25" t="s">
        <v>828</v>
      </c>
      <c r="AU12" s="25" t="s">
        <v>829</v>
      </c>
      <c r="AV12" s="25" t="s">
        <v>824</v>
      </c>
      <c r="AW12" s="25" t="s">
        <v>821</v>
      </c>
      <c r="BB12" s="25" t="s">
        <v>937</v>
      </c>
      <c r="BC12" s="25" t="s">
        <v>903</v>
      </c>
      <c r="BD12" s="25" t="str">
        <f t="shared" si="3"/>
        <v>Square Cassette with Side &amp; Bottom ChannelsWhite</v>
      </c>
      <c r="BE12" s="25" t="s">
        <v>889</v>
      </c>
      <c r="BG12" s="25" t="s">
        <v>927</v>
      </c>
      <c r="BH12" s="25" t="s">
        <v>632</v>
      </c>
      <c r="BU12" s="25" t="s">
        <v>896</v>
      </c>
      <c r="BV12" s="25">
        <v>5</v>
      </c>
      <c r="BW12" s="25" t="s">
        <v>938</v>
      </c>
      <c r="BX12" s="25" t="s">
        <v>821</v>
      </c>
      <c r="BY12" t="s">
        <v>931</v>
      </c>
      <c r="BZ12" s="25">
        <v>20</v>
      </c>
      <c r="CA12" t="s">
        <v>934</v>
      </c>
      <c r="CB12" s="25">
        <v>0</v>
      </c>
    </row>
    <row r="13" spans="4:80" ht="14.4">
      <c r="D13" s="25" t="s">
        <v>939</v>
      </c>
      <c r="E13" s="25">
        <v>35</v>
      </c>
      <c r="F13" s="25" t="s">
        <v>818</v>
      </c>
      <c r="G13" s="25" t="s">
        <v>818</v>
      </c>
      <c r="I13" s="25" t="s">
        <v>883</v>
      </c>
      <c r="J13" s="25">
        <v>-5</v>
      </c>
      <c r="L13" t="s">
        <v>953</v>
      </c>
      <c r="M13" s="25">
        <v>-3</v>
      </c>
      <c r="O13" s="25" t="s">
        <v>938</v>
      </c>
      <c r="P13" s="25" t="s">
        <v>816</v>
      </c>
      <c r="Q13" s="25" t="str">
        <f t="shared" si="2"/>
        <v>Single ExtensionFace</v>
      </c>
      <c r="R13" s="25">
        <v>90</v>
      </c>
      <c r="T13" s="25" t="s">
        <v>822</v>
      </c>
      <c r="U13" s="25" t="s">
        <v>816</v>
      </c>
      <c r="V13" s="25" t="s">
        <v>939</v>
      </c>
      <c r="W13" s="25" t="str">
        <f t="shared" si="0"/>
        <v>Aluminium PelmetFaceBecker CBUS Motor</v>
      </c>
      <c r="X13" s="25">
        <v>6</v>
      </c>
      <c r="Y13" s="25">
        <v>6</v>
      </c>
      <c r="Z13" s="25" t="s">
        <v>824</v>
      </c>
      <c r="AA13" s="25" t="s">
        <v>824</v>
      </c>
      <c r="AB13" s="25" t="s">
        <v>818</v>
      </c>
      <c r="AC13" s="25" t="s">
        <v>821</v>
      </c>
      <c r="AD13" s="25" t="s">
        <v>818</v>
      </c>
      <c r="AE13" s="25" t="s">
        <v>824</v>
      </c>
      <c r="AG13" t="s">
        <v>941</v>
      </c>
      <c r="AH13" s="25">
        <v>250</v>
      </c>
      <c r="AJ13"/>
      <c r="AM13" s="25" t="s">
        <v>838</v>
      </c>
      <c r="AN13" s="25" t="s">
        <v>827</v>
      </c>
      <c r="AO13" s="25" t="s">
        <v>170</v>
      </c>
      <c r="AP13" s="25" t="str">
        <f t="shared" si="1"/>
        <v>1.1nm 12v Acmeda MotorLeftControl</v>
      </c>
      <c r="AQ13" s="25" t="s">
        <v>828</v>
      </c>
      <c r="AR13" s="25" t="s">
        <v>828</v>
      </c>
      <c r="AS13" s="25" t="s">
        <v>828</v>
      </c>
      <c r="AT13" s="25" t="s">
        <v>828</v>
      </c>
      <c r="AU13" s="25" t="s">
        <v>829</v>
      </c>
      <c r="AV13" s="25" t="s">
        <v>830</v>
      </c>
      <c r="AW13" s="25" t="s">
        <v>821</v>
      </c>
      <c r="BB13" s="25" t="s">
        <v>942</v>
      </c>
      <c r="BC13" s="25" t="s">
        <v>903</v>
      </c>
      <c r="BD13" s="25" t="str">
        <f t="shared" si="3"/>
        <v>Round CassetteWhite</v>
      </c>
      <c r="BE13" s="25" t="s">
        <v>889</v>
      </c>
      <c r="BG13" s="25" t="s">
        <v>626</v>
      </c>
      <c r="BH13" s="25" t="s">
        <v>626</v>
      </c>
      <c r="BU13" s="25" t="s">
        <v>943</v>
      </c>
      <c r="BV13" s="25">
        <v>5</v>
      </c>
      <c r="BW13" s="25" t="s">
        <v>944</v>
      </c>
      <c r="BX13" s="25" t="s">
        <v>821</v>
      </c>
      <c r="BY13" t="s">
        <v>942</v>
      </c>
      <c r="BZ13" s="25">
        <v>5</v>
      </c>
      <c r="CA13" t="s">
        <v>940</v>
      </c>
      <c r="CB13" s="25">
        <v>0</v>
      </c>
    </row>
    <row r="14" spans="4:80" ht="14.4">
      <c r="D14" s="25" t="s">
        <v>643</v>
      </c>
      <c r="E14" s="25">
        <v>50</v>
      </c>
      <c r="F14" s="25" t="s">
        <v>818</v>
      </c>
      <c r="G14" s="25" t="s">
        <v>818</v>
      </c>
      <c r="I14" s="25" t="s">
        <v>897</v>
      </c>
      <c r="J14" s="25">
        <v>-5</v>
      </c>
      <c r="L14" t="s">
        <v>956</v>
      </c>
      <c r="M14" s="25">
        <v>2</v>
      </c>
      <c r="O14" s="25" t="s">
        <v>938</v>
      </c>
      <c r="P14" s="25" t="s">
        <v>867</v>
      </c>
      <c r="Q14" s="25" t="str">
        <f t="shared" si="2"/>
        <v>Single ExtensionOutside Window Mount</v>
      </c>
      <c r="R14" s="25">
        <v>90</v>
      </c>
      <c r="T14" s="25" t="s">
        <v>822</v>
      </c>
      <c r="U14" s="25" t="s">
        <v>816</v>
      </c>
      <c r="V14" s="25" t="s">
        <v>946</v>
      </c>
      <c r="W14" s="25" t="str">
        <f t="shared" si="0"/>
        <v>Aluminium PelmetFaceBecker External Remote Motor</v>
      </c>
      <c r="X14" s="25">
        <v>0</v>
      </c>
      <c r="Y14" s="25">
        <v>0</v>
      </c>
      <c r="Z14" s="25" t="s">
        <v>824</v>
      </c>
      <c r="AA14" s="25" t="s">
        <v>824</v>
      </c>
      <c r="AB14" s="25" t="s">
        <v>821</v>
      </c>
      <c r="AC14" s="25" t="s">
        <v>821</v>
      </c>
      <c r="AD14" s="25" t="s">
        <v>818</v>
      </c>
      <c r="AE14" s="25" t="s">
        <v>824</v>
      </c>
      <c r="AG14"/>
      <c r="AJ14"/>
      <c r="AM14" s="25" t="s">
        <v>838</v>
      </c>
      <c r="AN14" s="25" t="s">
        <v>827</v>
      </c>
      <c r="AO14" s="25" t="s">
        <v>844</v>
      </c>
      <c r="AP14" s="25" t="str">
        <f t="shared" si="1"/>
        <v>1.1nm 12v Acmeda MotorLeftLHS Blind Independent Link</v>
      </c>
      <c r="AQ14" s="25" t="s">
        <v>828</v>
      </c>
      <c r="AR14" s="25" t="s">
        <v>828</v>
      </c>
      <c r="AS14" s="25" t="s">
        <v>828</v>
      </c>
      <c r="AT14" s="25" t="s">
        <v>828</v>
      </c>
      <c r="AU14" s="25" t="s">
        <v>829</v>
      </c>
      <c r="AV14" s="25" t="s">
        <v>845</v>
      </c>
      <c r="AW14" s="25" t="s">
        <v>821</v>
      </c>
      <c r="BB14" s="25" t="s">
        <v>947</v>
      </c>
      <c r="BC14" s="25" t="s">
        <v>903</v>
      </c>
      <c r="BD14" s="25" t="str">
        <f t="shared" si="5" ref="BD14">CONCATENATE(BB14,BC14)</f>
        <v>Round Cassette with Side ChannelsWhite</v>
      </c>
      <c r="BE14" s="25" t="s">
        <v>889</v>
      </c>
      <c r="BG14" s="25" t="s">
        <v>939</v>
      </c>
      <c r="BH14" s="25" t="s">
        <v>939</v>
      </c>
      <c r="BU14" s="25" t="s">
        <v>948</v>
      </c>
      <c r="BV14" s="25">
        <v>5</v>
      </c>
      <c r="BW14" s="25" t="s">
        <v>949</v>
      </c>
      <c r="BX14" s="25" t="s">
        <v>821</v>
      </c>
      <c r="BY14" t="s">
        <v>947</v>
      </c>
      <c r="BZ14" s="25">
        <v>15</v>
      </c>
      <c r="CA14" t="s">
        <v>945</v>
      </c>
      <c r="CB14" s="25">
        <v>0</v>
      </c>
    </row>
    <row r="15" spans="4:80" ht="14.4">
      <c r="D15" s="25" t="s">
        <v>946</v>
      </c>
      <c r="E15" s="25">
        <v>50</v>
      </c>
      <c r="F15" s="25" t="s">
        <v>818</v>
      </c>
      <c r="G15" s="25" t="s">
        <v>818</v>
      </c>
      <c r="I15" s="25" t="s">
        <v>883</v>
      </c>
      <c r="J15" s="25">
        <v>-5</v>
      </c>
      <c r="L15" t="s">
        <v>958</v>
      </c>
      <c r="M15" s="25">
        <v>4</v>
      </c>
      <c r="O15" s="25" t="s">
        <v>938</v>
      </c>
      <c r="P15" s="25" t="s">
        <v>837</v>
      </c>
      <c r="Q15" s="25" t="str">
        <f t="shared" si="2"/>
        <v>Single ExtensionReveal</v>
      </c>
      <c r="R15" s="25">
        <v>60</v>
      </c>
      <c r="T15" s="25" t="s">
        <v>822</v>
      </c>
      <c r="U15" s="25" t="s">
        <v>816</v>
      </c>
      <c r="V15" s="25" t="s">
        <v>951</v>
      </c>
      <c r="W15" s="25" t="str">
        <f t="shared" si="0"/>
        <v>Aluminium PelmetFaceBecker External CBUS Motor</v>
      </c>
      <c r="X15" s="25">
        <v>0</v>
      </c>
      <c r="Y15" s="25">
        <v>0</v>
      </c>
      <c r="Z15" s="25" t="s">
        <v>824</v>
      </c>
      <c r="AA15" s="25" t="s">
        <v>824</v>
      </c>
      <c r="AB15" s="25" t="s">
        <v>821</v>
      </c>
      <c r="AC15" s="25" t="s">
        <v>821</v>
      </c>
      <c r="AD15" s="25" t="s">
        <v>818</v>
      </c>
      <c r="AE15" s="25" t="s">
        <v>824</v>
      </c>
      <c r="AG15"/>
      <c r="AJ15"/>
      <c r="AM15" s="25" t="s">
        <v>838</v>
      </c>
      <c r="AN15" s="25" t="s">
        <v>827</v>
      </c>
      <c r="AO15" s="25" t="s">
        <v>824</v>
      </c>
      <c r="AP15" s="25" t="str">
        <f t="shared" si="1"/>
        <v>1.1nm 12v Acmeda MotorLeftN/A</v>
      </c>
      <c r="AQ15" s="25" t="s">
        <v>828</v>
      </c>
      <c r="AR15" s="25" t="s">
        <v>828</v>
      </c>
      <c r="AS15" s="25" t="s">
        <v>828</v>
      </c>
      <c r="AT15" s="25" t="s">
        <v>828</v>
      </c>
      <c r="AU15" s="25" t="s">
        <v>829</v>
      </c>
      <c r="AV15" s="25" t="s">
        <v>824</v>
      </c>
      <c r="AW15" s="25" t="s">
        <v>821</v>
      </c>
      <c r="BB15" s="25" t="s">
        <v>952</v>
      </c>
      <c r="BC15" s="25" t="s">
        <v>903</v>
      </c>
      <c r="BD15" s="25" t="str">
        <f t="shared" si="3"/>
        <v>Round Cassette with Side &amp; Bottom ChannelsWhite</v>
      </c>
      <c r="BE15" s="25" t="s">
        <v>889</v>
      </c>
      <c r="BG15" s="25" t="s">
        <v>643</v>
      </c>
      <c r="BH15" s="25" t="s">
        <v>643</v>
      </c>
      <c r="BU15" s="25" t="s">
        <v>918</v>
      </c>
      <c r="BV15" s="25">
        <v>5</v>
      </c>
      <c r="BW15" s="25" t="s">
        <v>181</v>
      </c>
      <c r="BX15" s="25" t="s">
        <v>821</v>
      </c>
      <c r="BY15" t="s">
        <v>947</v>
      </c>
      <c r="BZ15" s="25">
        <v>20</v>
      </c>
      <c r="CA15" t="s">
        <v>950</v>
      </c>
      <c r="CB15" s="25">
        <v>0</v>
      </c>
    </row>
    <row r="16" spans="4:80" ht="14.4">
      <c r="D16" s="25" t="s">
        <v>935</v>
      </c>
      <c r="E16" s="25">
        <v>35</v>
      </c>
      <c r="F16" s="25" t="s">
        <v>818</v>
      </c>
      <c r="G16" s="25" t="s">
        <v>818</v>
      </c>
      <c r="I16" s="25" t="s">
        <v>897</v>
      </c>
      <c r="J16" s="25">
        <v>-5</v>
      </c>
      <c r="L16" t="s">
        <v>960</v>
      </c>
      <c r="M16" s="25">
        <v>7</v>
      </c>
      <c r="O16" s="25" t="s">
        <v>938</v>
      </c>
      <c r="P16" s="25" t="s">
        <v>880</v>
      </c>
      <c r="Q16" s="25" t="str">
        <f t="shared" si="2"/>
        <v>Single ExtensionInside Window Mount</v>
      </c>
      <c r="R16" s="25">
        <v>60</v>
      </c>
      <c r="T16" s="25" t="s">
        <v>822</v>
      </c>
      <c r="U16" s="25" t="s">
        <v>816</v>
      </c>
      <c r="V16" s="25" t="s">
        <v>838</v>
      </c>
      <c r="W16" s="25" t="str">
        <f t="shared" si="0"/>
        <v>Aluminium PelmetFace1.1nm 12v Acmeda Motor</v>
      </c>
      <c r="X16" s="25">
        <v>6</v>
      </c>
      <c r="Y16" s="25">
        <v>6</v>
      </c>
      <c r="Z16" s="25" t="s">
        <v>824</v>
      </c>
      <c r="AA16" s="25" t="s">
        <v>824</v>
      </c>
      <c r="AB16" s="25" t="s">
        <v>818</v>
      </c>
      <c r="AC16" s="25" t="s">
        <v>821</v>
      </c>
      <c r="AD16" s="25" t="s">
        <v>818</v>
      </c>
      <c r="AE16" s="25" t="s">
        <v>824</v>
      </c>
      <c r="AG16"/>
      <c r="AJ16"/>
      <c r="AM16" s="25" t="s">
        <v>838</v>
      </c>
      <c r="AN16" s="25" t="s">
        <v>872</v>
      </c>
      <c r="AO16" s="25" t="s">
        <v>170</v>
      </c>
      <c r="AP16" s="25" t="str">
        <f t="shared" si="1"/>
        <v>1.1nm 12v Acmeda MotorRightControl</v>
      </c>
      <c r="AQ16" s="25" t="s">
        <v>828</v>
      </c>
      <c r="AR16" s="25" t="s">
        <v>828</v>
      </c>
      <c r="AS16" s="25" t="s">
        <v>828</v>
      </c>
      <c r="AT16" s="25" t="s">
        <v>828</v>
      </c>
      <c r="AU16" s="25" t="s">
        <v>829</v>
      </c>
      <c r="AV16" s="25" t="s">
        <v>873</v>
      </c>
      <c r="AW16" s="25" t="s">
        <v>821</v>
      </c>
      <c r="BB16" t="s">
        <v>895</v>
      </c>
      <c r="BC16" s="25" t="s">
        <v>903</v>
      </c>
      <c r="BD16" s="25" t="str">
        <f t="shared" si="3"/>
        <v>Aluminium ValanceWhite</v>
      </c>
      <c r="BE16" s="25" t="s">
        <v>889</v>
      </c>
      <c r="BG16" s="25" t="s">
        <v>946</v>
      </c>
      <c r="BH16" s="25" t="s">
        <v>642</v>
      </c>
      <c r="BU16" s="25" t="s">
        <v>927</v>
      </c>
      <c r="BV16" s="25">
        <v>5</v>
      </c>
      <c r="BW16" s="25" t="s">
        <v>954</v>
      </c>
      <c r="BX16" s="25" t="s">
        <v>821</v>
      </c>
      <c r="BY16" t="s">
        <v>955</v>
      </c>
      <c r="BZ16" s="25">
        <v>5</v>
      </c>
      <c r="CA16" t="s">
        <v>953</v>
      </c>
      <c r="CB16" s="25">
        <v>0</v>
      </c>
    </row>
    <row r="17" spans="4:80" ht="14.4">
      <c r="D17" s="25" t="s">
        <v>823</v>
      </c>
      <c r="E17" s="25">
        <v>29</v>
      </c>
      <c r="F17" s="25" t="s">
        <v>821</v>
      </c>
      <c r="G17" s="25" t="s">
        <v>821</v>
      </c>
      <c r="I17" s="25" t="s">
        <v>170</v>
      </c>
      <c r="J17" s="25">
        <v>-5</v>
      </c>
      <c r="L17" t="s">
        <v>962</v>
      </c>
      <c r="M17" s="25">
        <v>12</v>
      </c>
      <c r="O17" s="25" t="s">
        <v>938</v>
      </c>
      <c r="P17" s="25" t="s">
        <v>854</v>
      </c>
      <c r="Q17" s="25" t="str">
        <f t="shared" si="2"/>
        <v>Single ExtensionTop Fix</v>
      </c>
      <c r="R17" s="25">
        <v>60</v>
      </c>
      <c r="T17" s="25" t="s">
        <v>822</v>
      </c>
      <c r="U17" s="25" t="s">
        <v>816</v>
      </c>
      <c r="V17" t="s">
        <v>882</v>
      </c>
      <c r="W17" s="25" t="str">
        <f t="shared" si="0"/>
        <v>Aluminium PelmetFace2nm 12v Acmeda Motor</v>
      </c>
      <c r="X17" s="25">
        <v>6</v>
      </c>
      <c r="Y17" s="25">
        <v>6</v>
      </c>
      <c r="Z17" s="25" t="s">
        <v>824</v>
      </c>
      <c r="AA17" s="25" t="s">
        <v>824</v>
      </c>
      <c r="AB17" s="25" t="s">
        <v>818</v>
      </c>
      <c r="AC17" s="25" t="s">
        <v>821</v>
      </c>
      <c r="AD17" s="25" t="s">
        <v>818</v>
      </c>
      <c r="AE17" s="25" t="s">
        <v>824</v>
      </c>
      <c r="AJ17"/>
      <c r="AM17" s="25" t="s">
        <v>838</v>
      </c>
      <c r="AN17" s="25" t="s">
        <v>872</v>
      </c>
      <c r="AO17" s="25" t="s">
        <v>824</v>
      </c>
      <c r="AP17" s="25" t="str">
        <f t="shared" si="1"/>
        <v>1.1nm 12v Acmeda MotorRightN/A</v>
      </c>
      <c r="AQ17" s="25" t="s">
        <v>828</v>
      </c>
      <c r="AR17" s="25" t="s">
        <v>828</v>
      </c>
      <c r="AS17" s="25" t="s">
        <v>828</v>
      </c>
      <c r="AT17" s="25" t="s">
        <v>828</v>
      </c>
      <c r="AU17" s="25" t="s">
        <v>829</v>
      </c>
      <c r="AV17" s="25" t="s">
        <v>824</v>
      </c>
      <c r="AW17" s="25" t="s">
        <v>821</v>
      </c>
      <c r="BB17" t="s">
        <v>908</v>
      </c>
      <c r="BC17" s="25" t="s">
        <v>903</v>
      </c>
      <c r="BD17" s="25" t="str">
        <f t="shared" si="3"/>
        <v>Aluminium Valance - Fabric CoveredWhite</v>
      </c>
      <c r="BE17" s="25" t="s">
        <v>889</v>
      </c>
      <c r="BG17" s="25" t="s">
        <v>935</v>
      </c>
      <c r="BH17" s="25" t="s">
        <v>640</v>
      </c>
      <c r="BU17" s="25" t="s">
        <v>957</v>
      </c>
      <c r="BV17" s="25">
        <v>5</v>
      </c>
      <c r="BW17" s="25" t="s">
        <v>925</v>
      </c>
      <c r="BX17" s="25" t="s">
        <v>821</v>
      </c>
      <c r="BY17" t="s">
        <v>887</v>
      </c>
      <c r="BZ17" s="25">
        <v>20</v>
      </c>
      <c r="CA17" t="s">
        <v>956</v>
      </c>
      <c r="CB17" s="25">
        <v>0</v>
      </c>
    </row>
    <row r="18" spans="4:80" ht="14.4">
      <c r="D18" s="25" t="s">
        <v>858</v>
      </c>
      <c r="E18" s="25">
        <v>29</v>
      </c>
      <c r="F18" s="25" t="s">
        <v>821</v>
      </c>
      <c r="G18" s="25" t="s">
        <v>821</v>
      </c>
      <c r="I18" s="25" t="s">
        <v>824</v>
      </c>
      <c r="J18" s="25">
        <v>0</v>
      </c>
      <c r="L18" t="s">
        <v>966</v>
      </c>
      <c r="M18" s="25">
        <v>17</v>
      </c>
      <c r="O18" s="25" t="s">
        <v>2933</v>
      </c>
      <c r="P18" s="25" t="s">
        <v>816</v>
      </c>
      <c r="Q18" s="25" t="str">
        <f t="shared" si="2"/>
        <v>Single Extension with CoversFace</v>
      </c>
      <c r="R18" s="25">
        <v>90</v>
      </c>
      <c r="T18" s="25" t="s">
        <v>822</v>
      </c>
      <c r="U18" s="25" t="s">
        <v>816</v>
      </c>
      <c r="V18" t="s">
        <v>896</v>
      </c>
      <c r="W18" s="25" t="str">
        <f t="shared" si="0"/>
        <v>Aluminium PelmetFaceAcmeda 12v 6nm Motor</v>
      </c>
      <c r="X18" s="25">
        <v>6</v>
      </c>
      <c r="Y18" s="25">
        <v>6</v>
      </c>
      <c r="Z18" s="25" t="s">
        <v>824</v>
      </c>
      <c r="AA18" s="25" t="s">
        <v>824</v>
      </c>
      <c r="AB18" s="25" t="s">
        <v>818</v>
      </c>
      <c r="AC18" s="25" t="s">
        <v>821</v>
      </c>
      <c r="AD18" s="25" t="s">
        <v>818</v>
      </c>
      <c r="AE18" s="25" t="s">
        <v>824</v>
      </c>
      <c r="AJ18"/>
      <c r="AM18" s="25" t="s">
        <v>838</v>
      </c>
      <c r="AN18" s="25" t="s">
        <v>872</v>
      </c>
      <c r="AO18" s="25" t="s">
        <v>901</v>
      </c>
      <c r="AP18" s="25" t="str">
        <f t="shared" si="1"/>
        <v>1.1nm 12v Acmeda MotorRightRHS Blind Independent Link</v>
      </c>
      <c r="AQ18" s="25" t="s">
        <v>828</v>
      </c>
      <c r="AR18" s="25" t="s">
        <v>828</v>
      </c>
      <c r="AS18" s="25" t="s">
        <v>828</v>
      </c>
      <c r="AT18" s="25" t="s">
        <v>828</v>
      </c>
      <c r="AU18" s="25" t="s">
        <v>829</v>
      </c>
      <c r="AV18" s="25" t="s">
        <v>902</v>
      </c>
      <c r="AW18" s="25" t="s">
        <v>821</v>
      </c>
      <c r="BB18" t="s">
        <v>908</v>
      </c>
      <c r="BD18" s="25" t="str">
        <f t="shared" si="3"/>
        <v>Aluminium Valance - Fabric Covered</v>
      </c>
      <c r="BE18" s="25" t="s">
        <v>889</v>
      </c>
      <c r="BG18" s="25" t="s">
        <v>823</v>
      </c>
      <c r="BH18" s="25" t="s">
        <v>823</v>
      </c>
      <c r="BU18" s="25" t="s">
        <v>939</v>
      </c>
      <c r="BV18" s="25">
        <v>5</v>
      </c>
      <c r="BW18" s="25" t="s">
        <v>959</v>
      </c>
      <c r="BX18" s="25" t="s">
        <v>821</v>
      </c>
      <c r="CA18" t="s">
        <v>958</v>
      </c>
      <c r="CB18" s="25">
        <v>0</v>
      </c>
    </row>
    <row r="19" spans="4:80" ht="14.4">
      <c r="D19" s="25" t="s">
        <v>865</v>
      </c>
      <c r="E19" s="25">
        <v>29</v>
      </c>
      <c r="F19" s="25" t="s">
        <v>821</v>
      </c>
      <c r="G19" s="25" t="s">
        <v>821</v>
      </c>
      <c r="I19" t="s">
        <v>901</v>
      </c>
      <c r="J19" s="25">
        <v>-3</v>
      </c>
      <c r="L19" t="s">
        <v>969</v>
      </c>
      <c r="M19" s="25">
        <v>6</v>
      </c>
      <c r="O19" s="25" t="s">
        <v>2933</v>
      </c>
      <c r="P19" s="25" t="s">
        <v>867</v>
      </c>
      <c r="Q19" s="25" t="str">
        <f t="shared" si="2"/>
        <v>Single Extension with CoversOutside Window Mount</v>
      </c>
      <c r="R19" s="25">
        <v>90</v>
      </c>
      <c r="T19" s="25" t="s">
        <v>822</v>
      </c>
      <c r="U19" s="25" t="s">
        <v>816</v>
      </c>
      <c r="V19" t="s">
        <v>855</v>
      </c>
      <c r="W19" s="25" t="str">
        <f t="shared" si="0"/>
        <v>Aluminium PelmetFace0.7nm 12v Acmeda Motor</v>
      </c>
      <c r="X19" s="25">
        <v>6</v>
      </c>
      <c r="Y19" s="25">
        <v>6</v>
      </c>
      <c r="Z19" s="25" t="s">
        <v>824</v>
      </c>
      <c r="AA19" s="25" t="s">
        <v>824</v>
      </c>
      <c r="AB19" s="25" t="s">
        <v>818</v>
      </c>
      <c r="AC19" s="25" t="s">
        <v>821</v>
      </c>
      <c r="AD19" s="25" t="s">
        <v>818</v>
      </c>
      <c r="AE19" s="25" t="s">
        <v>824</v>
      </c>
      <c r="AJ19"/>
      <c r="AM19" t="s">
        <v>855</v>
      </c>
      <c r="AN19" s="25" t="s">
        <v>827</v>
      </c>
      <c r="AO19" s="25" t="s">
        <v>170</v>
      </c>
      <c r="AP19" s="25" t="str">
        <f t="shared" si="1"/>
        <v>0.7nm 12v Acmeda MotorLeftControl</v>
      </c>
      <c r="AQ19" s="25" t="s">
        <v>828</v>
      </c>
      <c r="AR19" s="25" t="s">
        <v>828</v>
      </c>
      <c r="AS19" s="25" t="s">
        <v>828</v>
      </c>
      <c r="AT19" s="25" t="s">
        <v>828</v>
      </c>
      <c r="AU19" s="25" t="s">
        <v>829</v>
      </c>
      <c r="AV19" s="25" t="s">
        <v>830</v>
      </c>
      <c r="AW19" s="25" t="s">
        <v>821</v>
      </c>
      <c r="BB19" s="25" t="s">
        <v>955</v>
      </c>
      <c r="BC19" s="25" t="s">
        <v>903</v>
      </c>
      <c r="BD19" s="25" t="str">
        <f t="shared" si="3"/>
        <v>Side ChannelsWhite</v>
      </c>
      <c r="BE19" s="25" t="s">
        <v>889</v>
      </c>
      <c r="BG19" s="25" t="s">
        <v>858</v>
      </c>
      <c r="BH19" s="25" t="s">
        <v>858</v>
      </c>
      <c r="BU19" s="25" t="s">
        <v>951</v>
      </c>
      <c r="BV19" s="25">
        <v>5</v>
      </c>
      <c r="BW19" s="25" t="s">
        <v>961</v>
      </c>
      <c r="BX19" s="25" t="s">
        <v>818</v>
      </c>
      <c r="CA19" t="s">
        <v>960</v>
      </c>
      <c r="CB19" s="25">
        <v>0</v>
      </c>
    </row>
    <row r="20" spans="4:80" ht="14.4">
      <c r="D20" s="25" t="s">
        <v>841</v>
      </c>
      <c r="E20" s="25">
        <v>30</v>
      </c>
      <c r="F20" s="25" t="s">
        <v>821</v>
      </c>
      <c r="G20" s="25" t="s">
        <v>821</v>
      </c>
      <c r="I20" t="s">
        <v>844</v>
      </c>
      <c r="J20" s="25">
        <v>-3</v>
      </c>
      <c r="L20" t="s">
        <v>972</v>
      </c>
      <c r="M20" s="25">
        <v>3</v>
      </c>
      <c r="O20" s="25" t="s">
        <v>2933</v>
      </c>
      <c r="P20" s="25" t="s">
        <v>837</v>
      </c>
      <c r="Q20" s="25" t="str">
        <f t="shared" si="2"/>
        <v>Single Extension with CoversReveal</v>
      </c>
      <c r="R20" s="25">
        <v>60</v>
      </c>
      <c r="T20" s="25" t="s">
        <v>822</v>
      </c>
      <c r="U20" s="25" t="s">
        <v>816</v>
      </c>
      <c r="V20" s="25" t="s">
        <v>849</v>
      </c>
      <c r="W20" s="25" t="str">
        <f t="shared" si="0"/>
        <v>Aluminium PelmetFace1.1nm 12v Acmeda DCRF Motor with External Battery</v>
      </c>
      <c r="X20" s="25">
        <v>6</v>
      </c>
      <c r="Y20" s="25">
        <v>6</v>
      </c>
      <c r="Z20" s="25" t="s">
        <v>824</v>
      </c>
      <c r="AA20" s="25" t="s">
        <v>824</v>
      </c>
      <c r="AB20" s="25" t="s">
        <v>818</v>
      </c>
      <c r="AC20" s="25" t="s">
        <v>821</v>
      </c>
      <c r="AD20" s="25" t="s">
        <v>818</v>
      </c>
      <c r="AE20" s="25" t="s">
        <v>824</v>
      </c>
      <c r="AJ20"/>
      <c r="AM20" t="s">
        <v>855</v>
      </c>
      <c r="AN20" s="25" t="s">
        <v>827</v>
      </c>
      <c r="AO20" s="25" t="s">
        <v>844</v>
      </c>
      <c r="AP20" s="25" t="str">
        <f t="shared" si="1"/>
        <v>0.7nm 12v Acmeda MotorLeftLHS Blind Independent Link</v>
      </c>
      <c r="AQ20" s="25" t="s">
        <v>828</v>
      </c>
      <c r="AR20" s="25" t="s">
        <v>828</v>
      </c>
      <c r="AS20" s="25" t="s">
        <v>828</v>
      </c>
      <c r="AT20" s="25" t="s">
        <v>828</v>
      </c>
      <c r="AU20" s="25" t="s">
        <v>829</v>
      </c>
      <c r="AV20" s="25" t="s">
        <v>845</v>
      </c>
      <c r="AW20" s="25" t="s">
        <v>821</v>
      </c>
      <c r="BB20" s="25" t="s">
        <v>822</v>
      </c>
      <c r="BC20" s="25" t="s">
        <v>963</v>
      </c>
      <c r="BD20" s="25" t="str">
        <f t="shared" si="3"/>
        <v>Aluminium PelmetBlack</v>
      </c>
      <c r="BE20" s="25" t="s">
        <v>889</v>
      </c>
      <c r="BG20" s="25" t="s">
        <v>865</v>
      </c>
      <c r="BH20" s="25" t="s">
        <v>865</v>
      </c>
      <c r="BU20" s="25" t="s">
        <v>946</v>
      </c>
      <c r="BV20" s="25">
        <v>5</v>
      </c>
      <c r="BW20" s="25" t="s">
        <v>964</v>
      </c>
      <c r="BX20" s="25" t="s">
        <v>818</v>
      </c>
      <c r="CA20" t="s">
        <v>962</v>
      </c>
      <c r="CB20" s="25">
        <v>0</v>
      </c>
    </row>
    <row r="21" spans="4:80" ht="14.4">
      <c r="D21" s="25" t="s">
        <v>181</v>
      </c>
      <c r="E21" s="25">
        <v>24</v>
      </c>
      <c r="F21" s="25" t="s">
        <v>821</v>
      </c>
      <c r="G21" s="25" t="s">
        <v>821</v>
      </c>
      <c r="I21" s="25" t="s">
        <v>965</v>
      </c>
      <c r="J21" s="25">
        <v>0</v>
      </c>
      <c r="L21" t="s">
        <v>978</v>
      </c>
      <c r="M21" s="25">
        <v>2</v>
      </c>
      <c r="O21" s="25" t="s">
        <v>2933</v>
      </c>
      <c r="P21" s="25" t="s">
        <v>880</v>
      </c>
      <c r="Q21" s="25" t="str">
        <f t="shared" si="2"/>
        <v>Single Extension with CoversInside Window Mount</v>
      </c>
      <c r="R21" s="25">
        <v>60</v>
      </c>
      <c r="T21" s="25" t="s">
        <v>822</v>
      </c>
      <c r="U21" s="25" t="s">
        <v>816</v>
      </c>
      <c r="V21" s="25" t="s">
        <v>817</v>
      </c>
      <c r="W21" s="25" t="str">
        <f t="shared" si="0"/>
        <v>Aluminium PelmetFace1.1nm 12v Acmeda DCRF Motor</v>
      </c>
      <c r="X21" s="25">
        <v>6</v>
      </c>
      <c r="Y21" s="25">
        <v>6</v>
      </c>
      <c r="Z21" s="25" t="s">
        <v>824</v>
      </c>
      <c r="AA21" s="25" t="s">
        <v>824</v>
      </c>
      <c r="AB21" s="25" t="s">
        <v>818</v>
      </c>
      <c r="AC21" s="25" t="s">
        <v>821</v>
      </c>
      <c r="AD21" s="25" t="s">
        <v>818</v>
      </c>
      <c r="AE21" s="25" t="s">
        <v>824</v>
      </c>
      <c r="AM21" t="s">
        <v>855</v>
      </c>
      <c r="AN21" s="25" t="s">
        <v>827</v>
      </c>
      <c r="AO21" s="25" t="s">
        <v>824</v>
      </c>
      <c r="AP21" s="25" t="str">
        <f t="shared" si="1"/>
        <v>0.7nm 12v Acmeda MotorLeftN/A</v>
      </c>
      <c r="AQ21" s="25" t="s">
        <v>828</v>
      </c>
      <c r="AR21" s="25" t="s">
        <v>828</v>
      </c>
      <c r="AS21" s="25" t="s">
        <v>828</v>
      </c>
      <c r="AT21" s="25" t="s">
        <v>828</v>
      </c>
      <c r="AU21" s="25" t="s">
        <v>829</v>
      </c>
      <c r="AV21" s="25" t="s">
        <v>824</v>
      </c>
      <c r="AW21" s="25" t="s">
        <v>821</v>
      </c>
      <c r="BB21" s="25" t="s">
        <v>822</v>
      </c>
      <c r="BC21" s="25" t="s">
        <v>963</v>
      </c>
      <c r="BD21" s="25" t="str">
        <f t="shared" si="3"/>
        <v>Aluminium PelmetBlack</v>
      </c>
      <c r="BE21" s="25" t="s">
        <v>889</v>
      </c>
      <c r="BG21" s="25" t="s">
        <v>841</v>
      </c>
      <c r="BH21" s="25" t="s">
        <v>841</v>
      </c>
      <c r="BU21" s="25" t="s">
        <v>935</v>
      </c>
      <c r="BV21" s="25">
        <v>5</v>
      </c>
      <c r="BW21" s="25" t="s">
        <v>967</v>
      </c>
      <c r="BX21" s="25" t="s">
        <v>818</v>
      </c>
      <c r="CA21" t="s">
        <v>966</v>
      </c>
      <c r="CB21" s="25">
        <v>0</v>
      </c>
    </row>
    <row r="22" spans="4:80" ht="14.4">
      <c r="D22" s="25" t="s">
        <v>898</v>
      </c>
      <c r="E22" s="25">
        <v>32</v>
      </c>
      <c r="F22" s="25" t="s">
        <v>821</v>
      </c>
      <c r="G22" s="25" t="s">
        <v>821</v>
      </c>
      <c r="I22" s="25" t="s">
        <v>968</v>
      </c>
      <c r="J22" s="25">
        <v>-3</v>
      </c>
      <c r="L22" t="s">
        <v>982</v>
      </c>
      <c r="M22" s="25">
        <v>10</v>
      </c>
      <c r="O22" s="25" t="s">
        <v>2933</v>
      </c>
      <c r="P22" s="25" t="s">
        <v>854</v>
      </c>
      <c r="Q22" s="25" t="str">
        <f t="shared" si="2"/>
        <v>Single Extension with CoversTop Fix</v>
      </c>
      <c r="R22" s="25">
        <v>60</v>
      </c>
      <c r="T22" s="25" t="s">
        <v>822</v>
      </c>
      <c r="U22" s="25" t="s">
        <v>816</v>
      </c>
      <c r="V22" s="25" t="s">
        <v>868</v>
      </c>
      <c r="W22" s="25" t="str">
        <f t="shared" si="0"/>
        <v>Aluminium PelmetFace2nm 12v Acmeda DCRF Motor</v>
      </c>
      <c r="X22" s="25">
        <v>6</v>
      </c>
      <c r="Y22" s="25">
        <v>6</v>
      </c>
      <c r="Z22" s="25" t="s">
        <v>824</v>
      </c>
      <c r="AA22" s="25" t="s">
        <v>824</v>
      </c>
      <c r="AB22" s="25" t="s">
        <v>818</v>
      </c>
      <c r="AC22" s="25" t="s">
        <v>821</v>
      </c>
      <c r="AD22" s="25" t="s">
        <v>818</v>
      </c>
      <c r="AE22" s="25" t="s">
        <v>824</v>
      </c>
      <c r="AM22" t="s">
        <v>855</v>
      </c>
      <c r="AN22" s="25" t="s">
        <v>872</v>
      </c>
      <c r="AO22" s="25" t="s">
        <v>170</v>
      </c>
      <c r="AP22" s="25" t="str">
        <f t="shared" si="1"/>
        <v>0.7nm 12v Acmeda MotorRightControl</v>
      </c>
      <c r="AQ22" s="25" t="s">
        <v>828</v>
      </c>
      <c r="AR22" s="25" t="s">
        <v>828</v>
      </c>
      <c r="AS22" s="25" t="s">
        <v>828</v>
      </c>
      <c r="AT22" s="25" t="s">
        <v>828</v>
      </c>
      <c r="AU22" s="25" t="s">
        <v>829</v>
      </c>
      <c r="AV22" s="25" t="s">
        <v>873</v>
      </c>
      <c r="AW22" s="25" t="s">
        <v>821</v>
      </c>
      <c r="BB22" s="25" t="s">
        <v>922</v>
      </c>
      <c r="BC22" s="25" t="s">
        <v>963</v>
      </c>
      <c r="BD22" s="25" t="str">
        <f t="shared" si="3"/>
        <v>Square CassetteBlack</v>
      </c>
      <c r="BE22" s="25" t="s">
        <v>889</v>
      </c>
      <c r="BG22" s="25" t="s">
        <v>898</v>
      </c>
      <c r="BH22" s="25" t="s">
        <v>898</v>
      </c>
      <c r="BU22" s="25" t="s">
        <v>637</v>
      </c>
      <c r="BV22" s="25">
        <v>5</v>
      </c>
      <c r="BW22" s="25" t="s">
        <v>970</v>
      </c>
      <c r="BX22" s="25" t="s">
        <v>821</v>
      </c>
      <c r="CA22" t="s">
        <v>969</v>
      </c>
      <c r="CB22" s="25">
        <v>5</v>
      </c>
    </row>
    <row r="23" spans="4:80" ht="14.4">
      <c r="D23" s="25" t="s">
        <v>925</v>
      </c>
      <c r="E23" s="25">
        <v>24</v>
      </c>
      <c r="F23" s="25" t="s">
        <v>821</v>
      </c>
      <c r="G23" s="25" t="s">
        <v>821</v>
      </c>
      <c r="I23" s="25" t="s">
        <v>971</v>
      </c>
      <c r="J23" s="25">
        <v>-3</v>
      </c>
      <c r="L23" t="s">
        <v>985</v>
      </c>
      <c r="M23" s="25">
        <v>5</v>
      </c>
      <c r="O23" s="25" t="s">
        <v>881</v>
      </c>
      <c r="P23" s="25" t="s">
        <v>816</v>
      </c>
      <c r="Q23" s="25" t="str">
        <f t="shared" si="2"/>
        <v>Dual Opposite SideFace</v>
      </c>
      <c r="R23" s="25">
        <v>110</v>
      </c>
      <c r="T23" s="25" t="s">
        <v>822</v>
      </c>
      <c r="U23" s="25" t="s">
        <v>816</v>
      </c>
      <c r="V23" t="s">
        <v>973</v>
      </c>
      <c r="W23" s="25" t="str">
        <f t="shared" si="0"/>
        <v>Aluminium PelmetFaceSomfy Remote Sonesse Motor</v>
      </c>
      <c r="X23" s="25">
        <v>6</v>
      </c>
      <c r="Y23" s="25">
        <v>6</v>
      </c>
      <c r="Z23" s="25" t="s">
        <v>824</v>
      </c>
      <c r="AA23" s="25" t="s">
        <v>824</v>
      </c>
      <c r="AB23" s="25" t="s">
        <v>818</v>
      </c>
      <c r="AC23" s="25" t="s">
        <v>821</v>
      </c>
      <c r="AD23" s="25" t="s">
        <v>818</v>
      </c>
      <c r="AE23" s="25" t="s">
        <v>824</v>
      </c>
      <c r="AM23" t="s">
        <v>855</v>
      </c>
      <c r="AN23" s="25" t="s">
        <v>872</v>
      </c>
      <c r="AO23" s="25" t="s">
        <v>824</v>
      </c>
      <c r="AP23" s="25" t="str">
        <f t="shared" si="1"/>
        <v>0.7nm 12v Acmeda MotorRightN/A</v>
      </c>
      <c r="AQ23" s="25" t="s">
        <v>828</v>
      </c>
      <c r="AR23" s="25" t="s">
        <v>828</v>
      </c>
      <c r="AS23" s="25" t="s">
        <v>828</v>
      </c>
      <c r="AT23" s="25" t="s">
        <v>828</v>
      </c>
      <c r="AU23" s="25" t="s">
        <v>829</v>
      </c>
      <c r="AV23" s="25" t="s">
        <v>824</v>
      </c>
      <c r="AW23" s="25" t="s">
        <v>821</v>
      </c>
      <c r="BB23" s="25" t="s">
        <v>931</v>
      </c>
      <c r="BC23" s="25" t="s">
        <v>963</v>
      </c>
      <c r="BD23" s="25" t="str">
        <f t="shared" si="6" ref="BD23">CONCATENATE(BB23,BC23)</f>
        <v>Square Cassette with Side ChannelsBlack</v>
      </c>
      <c r="BE23" s="25" t="s">
        <v>889</v>
      </c>
      <c r="BG23" s="25" t="s">
        <v>181</v>
      </c>
      <c r="BH23" s="25" t="s">
        <v>181</v>
      </c>
      <c r="BU23" s="25" t="s">
        <v>974</v>
      </c>
      <c r="BV23" s="25">
        <v>5</v>
      </c>
      <c r="BW23" s="25" t="s">
        <v>975</v>
      </c>
      <c r="BX23" s="25" t="s">
        <v>821</v>
      </c>
      <c r="CA23" t="s">
        <v>972</v>
      </c>
      <c r="CB23" s="25">
        <v>5</v>
      </c>
    </row>
    <row r="24" spans="4:80" ht="14.4">
      <c r="D24" s="25" t="s">
        <v>976</v>
      </c>
      <c r="E24" s="25">
        <v>32</v>
      </c>
      <c r="F24" s="25" t="s">
        <v>818</v>
      </c>
      <c r="G24" s="25" t="s">
        <v>818</v>
      </c>
      <c r="I24" s="25" t="s">
        <v>977</v>
      </c>
      <c r="J24" s="25">
        <v>0</v>
      </c>
      <c r="L24" t="s">
        <v>988</v>
      </c>
      <c r="M24" s="25">
        <v>3</v>
      </c>
      <c r="O24" s="25" t="s">
        <v>881</v>
      </c>
      <c r="P24" s="25" t="s">
        <v>867</v>
      </c>
      <c r="Q24" s="25" t="str">
        <f t="shared" si="2"/>
        <v>Dual Opposite SideOutside Window Mount</v>
      </c>
      <c r="R24" s="25">
        <v>110</v>
      </c>
      <c r="T24" s="25" t="s">
        <v>822</v>
      </c>
      <c r="U24" s="25" t="s">
        <v>816</v>
      </c>
      <c r="V24" t="s">
        <v>637</v>
      </c>
      <c r="W24" s="25" t="str">
        <f t="shared" si="0"/>
        <v>Aluminium PelmetFaceSomfy 12v Remote Sonesse Motor</v>
      </c>
      <c r="X24" s="25">
        <v>0</v>
      </c>
      <c r="Y24" s="25">
        <v>0</v>
      </c>
      <c r="Z24" s="25" t="s">
        <v>824</v>
      </c>
      <c r="AA24" s="25" t="s">
        <v>824</v>
      </c>
      <c r="AB24" s="25" t="s">
        <v>821</v>
      </c>
      <c r="AC24" s="25" t="s">
        <v>821</v>
      </c>
      <c r="AD24" s="25" t="s">
        <v>818</v>
      </c>
      <c r="AE24" s="25" t="s">
        <v>824</v>
      </c>
      <c r="AM24" t="s">
        <v>855</v>
      </c>
      <c r="AN24" s="25" t="s">
        <v>872</v>
      </c>
      <c r="AO24" s="25" t="s">
        <v>901</v>
      </c>
      <c r="AP24" s="25" t="str">
        <f t="shared" si="1"/>
        <v>0.7nm 12v Acmeda MotorRightRHS Blind Independent Link</v>
      </c>
      <c r="AQ24" s="25" t="s">
        <v>828</v>
      </c>
      <c r="AR24" s="25" t="s">
        <v>828</v>
      </c>
      <c r="AS24" s="25" t="s">
        <v>828</v>
      </c>
      <c r="AT24" s="25" t="s">
        <v>828</v>
      </c>
      <c r="AU24" s="25" t="s">
        <v>829</v>
      </c>
      <c r="AV24" s="25" t="s">
        <v>902</v>
      </c>
      <c r="AW24" s="25" t="s">
        <v>821</v>
      </c>
      <c r="BB24" s="25" t="s">
        <v>937</v>
      </c>
      <c r="BC24" s="25" t="s">
        <v>963</v>
      </c>
      <c r="BD24" s="25" t="str">
        <f t="shared" si="3"/>
        <v>Square Cassette with Side &amp; Bottom ChannelsBlack</v>
      </c>
      <c r="BE24" s="25" t="s">
        <v>889</v>
      </c>
      <c r="BG24" s="25" t="s">
        <v>925</v>
      </c>
      <c r="BH24" s="25" t="s">
        <v>925</v>
      </c>
      <c r="BU24" s="25" t="s">
        <v>979</v>
      </c>
      <c r="BV24" s="25">
        <v>5</v>
      </c>
      <c r="BW24" s="25" t="s">
        <v>980</v>
      </c>
      <c r="BX24" s="25" t="s">
        <v>818</v>
      </c>
      <c r="CA24" t="s">
        <v>978</v>
      </c>
      <c r="CB24" s="25">
        <v>5</v>
      </c>
    </row>
    <row r="25" spans="4:80" ht="14.4">
      <c r="D25" s="25" t="s">
        <v>981</v>
      </c>
      <c r="E25" s="25">
        <v>32</v>
      </c>
      <c r="F25" s="25" t="s">
        <v>818</v>
      </c>
      <c r="G25" s="25" t="s">
        <v>818</v>
      </c>
      <c r="L25" s="25" t="s">
        <v>991</v>
      </c>
      <c r="M25" s="25">
        <v>4</v>
      </c>
      <c r="O25" s="25" t="s">
        <v>881</v>
      </c>
      <c r="P25" s="25" t="s">
        <v>837</v>
      </c>
      <c r="Q25" s="25" t="str">
        <f t="shared" si="2"/>
        <v>Dual Opposite SideReveal</v>
      </c>
      <c r="R25" s="25">
        <v>110</v>
      </c>
      <c r="T25" s="25" t="s">
        <v>822</v>
      </c>
      <c r="U25" s="25" t="s">
        <v>816</v>
      </c>
      <c r="V25" s="25" t="s">
        <v>974</v>
      </c>
      <c r="W25" s="25" t="str">
        <f t="shared" si="0"/>
        <v>Aluminium PelmetFaceSomfy CBUS Motor</v>
      </c>
      <c r="X25" s="25">
        <v>6</v>
      </c>
      <c r="Y25" s="25">
        <v>6</v>
      </c>
      <c r="Z25" s="25" t="s">
        <v>824</v>
      </c>
      <c r="AA25" s="25" t="s">
        <v>824</v>
      </c>
      <c r="AB25" s="25" t="s">
        <v>818</v>
      </c>
      <c r="AC25" s="25" t="s">
        <v>821</v>
      </c>
      <c r="AD25" s="25" t="s">
        <v>818</v>
      </c>
      <c r="AE25" s="25" t="s">
        <v>824</v>
      </c>
      <c r="AM25" s="25" t="s">
        <v>868</v>
      </c>
      <c r="AN25" s="25" t="s">
        <v>827</v>
      </c>
      <c r="AO25" s="25" t="s">
        <v>170</v>
      </c>
      <c r="AP25" s="25" t="str">
        <f t="shared" si="1"/>
        <v>2nm 12v Acmeda DCRF MotorLeftControl</v>
      </c>
      <c r="AQ25" s="25" t="s">
        <v>828</v>
      </c>
      <c r="AR25" s="25" t="s">
        <v>828</v>
      </c>
      <c r="AS25" s="25" t="s">
        <v>828</v>
      </c>
      <c r="AT25" s="25" t="s">
        <v>828</v>
      </c>
      <c r="AU25" s="25" t="s">
        <v>829</v>
      </c>
      <c r="AV25" s="25" t="s">
        <v>830</v>
      </c>
      <c r="AW25" s="25" t="s">
        <v>821</v>
      </c>
      <c r="BB25" s="25" t="s">
        <v>942</v>
      </c>
      <c r="BC25" s="25" t="s">
        <v>963</v>
      </c>
      <c r="BD25" s="25" t="str">
        <f t="shared" si="3"/>
        <v>Round CassetteBlack</v>
      </c>
      <c r="BE25" s="25" t="s">
        <v>889</v>
      </c>
      <c r="BG25" t="s">
        <v>976</v>
      </c>
      <c r="BH25" t="s">
        <v>976</v>
      </c>
      <c r="BI25"/>
      <c r="BU25" s="25" t="s">
        <v>983</v>
      </c>
      <c r="BV25" s="25">
        <v>5</v>
      </c>
      <c r="BW25" s="25" t="s">
        <v>984</v>
      </c>
      <c r="BX25" s="25" t="s">
        <v>818</v>
      </c>
      <c r="CA25" t="s">
        <v>982</v>
      </c>
      <c r="CB25" s="25">
        <v>10</v>
      </c>
    </row>
    <row r="26" spans="4:80" ht="14.4">
      <c r="D26" s="25" t="s">
        <v>920</v>
      </c>
      <c r="E26" s="25">
        <v>29</v>
      </c>
      <c r="F26" s="25" t="s">
        <v>821</v>
      </c>
      <c r="G26" s="25" t="s">
        <v>821</v>
      </c>
      <c r="L26" t="s">
        <v>994</v>
      </c>
      <c r="M26" s="25">
        <v>8</v>
      </c>
      <c r="O26" s="25" t="s">
        <v>881</v>
      </c>
      <c r="P26" s="25" t="s">
        <v>880</v>
      </c>
      <c r="Q26" s="25" t="str">
        <f t="shared" si="2"/>
        <v>Dual Opposite SideInside Window Mount</v>
      </c>
      <c r="R26" s="25">
        <v>110</v>
      </c>
      <c r="T26" s="25" t="s">
        <v>822</v>
      </c>
      <c r="U26" s="25" t="s">
        <v>816</v>
      </c>
      <c r="V26" t="s">
        <v>986</v>
      </c>
      <c r="W26" s="25" t="str">
        <f t="shared" si="0"/>
        <v>Aluminium PelmetFaceHD Somfy Remote Sonesse Motor</v>
      </c>
      <c r="X26" s="25">
        <v>6</v>
      </c>
      <c r="Y26" s="25">
        <v>6</v>
      </c>
      <c r="Z26" s="25" t="s">
        <v>824</v>
      </c>
      <c r="AA26" s="25" t="s">
        <v>824</v>
      </c>
      <c r="AB26" s="25" t="s">
        <v>818</v>
      </c>
      <c r="AC26" s="25" t="s">
        <v>821</v>
      </c>
      <c r="AD26" s="25" t="s">
        <v>818</v>
      </c>
      <c r="AE26" s="25" t="s">
        <v>824</v>
      </c>
      <c r="AM26" s="25" t="s">
        <v>868</v>
      </c>
      <c r="AN26" s="25" t="s">
        <v>827</v>
      </c>
      <c r="AO26" s="25" t="s">
        <v>844</v>
      </c>
      <c r="AP26" s="25" t="str">
        <f t="shared" si="1"/>
        <v>2nm 12v Acmeda DCRF MotorLeftLHS Blind Independent Link</v>
      </c>
      <c r="AQ26" s="25" t="s">
        <v>828</v>
      </c>
      <c r="AR26" s="25" t="s">
        <v>828</v>
      </c>
      <c r="AS26" s="25" t="s">
        <v>828</v>
      </c>
      <c r="AT26" s="25" t="s">
        <v>828</v>
      </c>
      <c r="AU26" s="25" t="s">
        <v>829</v>
      </c>
      <c r="AV26" s="25" t="s">
        <v>845</v>
      </c>
      <c r="AW26" s="25" t="s">
        <v>821</v>
      </c>
      <c r="BB26" s="25" t="s">
        <v>947</v>
      </c>
      <c r="BC26" s="25" t="s">
        <v>963</v>
      </c>
      <c r="BD26" s="25" t="str">
        <f t="shared" si="7" ref="BD26">CONCATENATE(BB26,BC26)</f>
        <v>Round Cassette with Side ChannelsBlack</v>
      </c>
      <c r="BE26" s="25" t="s">
        <v>889</v>
      </c>
      <c r="BG26" t="s">
        <v>981</v>
      </c>
      <c r="BH26" t="s">
        <v>981</v>
      </c>
      <c r="BI26"/>
      <c r="BU26" s="25" t="s">
        <v>973</v>
      </c>
      <c r="BV26" s="25">
        <v>5</v>
      </c>
      <c r="BW26" s="25" t="s">
        <v>987</v>
      </c>
      <c r="BX26" s="25" t="s">
        <v>818</v>
      </c>
      <c r="CA26" t="s">
        <v>985</v>
      </c>
      <c r="CB26" s="25">
        <v>10</v>
      </c>
    </row>
    <row r="27" spans="4:80" ht="14.4">
      <c r="D27" s="10" t="s">
        <v>637</v>
      </c>
      <c r="E27" s="25">
        <v>30</v>
      </c>
      <c r="F27" s="25" t="s">
        <v>818</v>
      </c>
      <c r="G27" s="25" t="s">
        <v>821</v>
      </c>
      <c r="L27" t="s">
        <v>997</v>
      </c>
      <c r="M27" s="25">
        <v>0</v>
      </c>
      <c r="O27" s="25" t="s">
        <v>881</v>
      </c>
      <c r="P27" s="25" t="s">
        <v>854</v>
      </c>
      <c r="Q27" s="25" t="str">
        <f t="shared" si="2"/>
        <v>Dual Opposite SideTop Fix</v>
      </c>
      <c r="R27" s="25">
        <v>110</v>
      </c>
      <c r="T27" s="25" t="s">
        <v>822</v>
      </c>
      <c r="U27" s="25" t="s">
        <v>816</v>
      </c>
      <c r="V27" t="s">
        <v>989</v>
      </c>
      <c r="W27" s="25" t="str">
        <f t="shared" si="0"/>
        <v>Aluminium PelmetFaceHD Somfy 12v Remote Sonesse Motor</v>
      </c>
      <c r="X27" s="25">
        <v>0</v>
      </c>
      <c r="Y27" s="25">
        <v>0</v>
      </c>
      <c r="Z27" s="25" t="s">
        <v>824</v>
      </c>
      <c r="AA27" s="25" t="s">
        <v>824</v>
      </c>
      <c r="AB27" s="25" t="s">
        <v>821</v>
      </c>
      <c r="AC27" s="25" t="s">
        <v>821</v>
      </c>
      <c r="AD27" s="25" t="s">
        <v>818</v>
      </c>
      <c r="AE27" s="25" t="s">
        <v>824</v>
      </c>
      <c r="AM27" s="25" t="s">
        <v>868</v>
      </c>
      <c r="AN27" s="25" t="s">
        <v>827</v>
      </c>
      <c r="AO27" s="25" t="s">
        <v>824</v>
      </c>
      <c r="AP27" s="25" t="str">
        <f t="shared" si="1"/>
        <v>2nm 12v Acmeda DCRF MotorLeftN/A</v>
      </c>
      <c r="AQ27" s="25" t="s">
        <v>828</v>
      </c>
      <c r="AR27" s="25" t="s">
        <v>828</v>
      </c>
      <c r="AS27" s="25" t="s">
        <v>828</v>
      </c>
      <c r="AT27" s="25" t="s">
        <v>828</v>
      </c>
      <c r="AU27" s="25" t="s">
        <v>829</v>
      </c>
      <c r="AV27" s="25" t="s">
        <v>824</v>
      </c>
      <c r="AW27" s="25" t="s">
        <v>821</v>
      </c>
      <c r="BB27" s="25" t="s">
        <v>952</v>
      </c>
      <c r="BC27" s="25" t="s">
        <v>963</v>
      </c>
      <c r="BD27" s="25" t="str">
        <f t="shared" si="3"/>
        <v>Round Cassette with Side &amp; Bottom ChannelsBlack</v>
      </c>
      <c r="BE27" s="25" t="s">
        <v>889</v>
      </c>
      <c r="BG27" s="25" t="s">
        <v>920</v>
      </c>
      <c r="BH27" s="25" t="s">
        <v>920</v>
      </c>
      <c r="BU27" s="25" t="s">
        <v>989</v>
      </c>
      <c r="BV27" s="25">
        <v>5</v>
      </c>
      <c r="BW27" s="25" t="s">
        <v>990</v>
      </c>
      <c r="BX27" s="25" t="s">
        <v>818</v>
      </c>
      <c r="CA27" t="s">
        <v>988</v>
      </c>
      <c r="CB27" s="25">
        <v>10</v>
      </c>
    </row>
    <row r="28" spans="4:80" ht="14.4">
      <c r="D28" s="25" t="s">
        <v>974</v>
      </c>
      <c r="E28" s="25">
        <v>33</v>
      </c>
      <c r="F28" s="25" t="s">
        <v>818</v>
      </c>
      <c r="G28" s="25" t="s">
        <v>818</v>
      </c>
      <c r="L28" t="s">
        <v>1001</v>
      </c>
      <c r="M28" s="25">
        <v>4</v>
      </c>
      <c r="O28" s="25" t="s">
        <v>894</v>
      </c>
      <c r="P28" s="25" t="s">
        <v>816</v>
      </c>
      <c r="Q28" s="25" t="str">
        <f t="shared" si="2"/>
        <v>Dual Same SideFace</v>
      </c>
      <c r="R28" s="25">
        <v>130</v>
      </c>
      <c r="T28" s="25" t="s">
        <v>822</v>
      </c>
      <c r="U28" s="25" t="s">
        <v>816</v>
      </c>
      <c r="V28" s="25" t="s">
        <v>992</v>
      </c>
      <c r="W28" s="25" t="str">
        <f t="shared" si="0"/>
        <v>Aluminium PelmetFaceHD Somfy CBUS Motor</v>
      </c>
      <c r="X28" s="25">
        <v>6</v>
      </c>
      <c r="Y28" s="25">
        <v>6</v>
      </c>
      <c r="Z28" s="25" t="s">
        <v>824</v>
      </c>
      <c r="AA28" s="25" t="s">
        <v>824</v>
      </c>
      <c r="AB28" s="25" t="s">
        <v>818</v>
      </c>
      <c r="AC28" s="25" t="s">
        <v>821</v>
      </c>
      <c r="AD28" s="25" t="s">
        <v>818</v>
      </c>
      <c r="AE28" s="25" t="s">
        <v>824</v>
      </c>
      <c r="AM28" s="25" t="s">
        <v>868</v>
      </c>
      <c r="AN28" s="25" t="s">
        <v>872</v>
      </c>
      <c r="AO28" s="25" t="s">
        <v>170</v>
      </c>
      <c r="AP28" s="25" t="str">
        <f t="shared" si="1"/>
        <v>2nm 12v Acmeda DCRF MotorRightControl</v>
      </c>
      <c r="AQ28" s="25" t="s">
        <v>828</v>
      </c>
      <c r="AR28" s="25" t="s">
        <v>828</v>
      </c>
      <c r="AS28" s="25" t="s">
        <v>828</v>
      </c>
      <c r="AT28" s="25" t="s">
        <v>828</v>
      </c>
      <c r="AU28" s="25" t="s">
        <v>829</v>
      </c>
      <c r="AV28" s="25" t="s">
        <v>873</v>
      </c>
      <c r="AW28" s="25" t="s">
        <v>821</v>
      </c>
      <c r="BB28" t="s">
        <v>895</v>
      </c>
      <c r="BC28" s="25" t="s">
        <v>963</v>
      </c>
      <c r="BD28" s="25" t="str">
        <f t="shared" si="3"/>
        <v>Aluminium ValanceBlack</v>
      </c>
      <c r="BE28" s="25" t="s">
        <v>889</v>
      </c>
      <c r="BG28" s="25" t="s">
        <v>637</v>
      </c>
      <c r="BH28" s="25" t="s">
        <v>637</v>
      </c>
      <c r="BU28" s="25" t="s">
        <v>992</v>
      </c>
      <c r="BV28" s="25">
        <v>5</v>
      </c>
      <c r="BW28" s="25" t="s">
        <v>993</v>
      </c>
      <c r="BX28" s="25" t="s">
        <v>818</v>
      </c>
      <c r="CA28" t="s">
        <v>991</v>
      </c>
      <c r="CB28" s="25">
        <v>0</v>
      </c>
    </row>
    <row r="29" spans="4:80" ht="14.4">
      <c r="D29" s="25" t="s">
        <v>979</v>
      </c>
      <c r="E29" s="25">
        <v>55</v>
      </c>
      <c r="F29" s="25" t="s">
        <v>818</v>
      </c>
      <c r="G29" s="25" t="s">
        <v>821</v>
      </c>
      <c r="L29" s="25" t="s">
        <v>1004</v>
      </c>
      <c r="M29" s="25">
        <v>-4</v>
      </c>
      <c r="O29" s="25" t="s">
        <v>894</v>
      </c>
      <c r="P29" s="25" t="s">
        <v>867</v>
      </c>
      <c r="Q29" s="25" t="str">
        <f t="shared" si="2"/>
        <v>Dual Same SideOutside Window Mount</v>
      </c>
      <c r="R29" s="25">
        <v>130</v>
      </c>
      <c r="T29" s="25" t="s">
        <v>822</v>
      </c>
      <c r="U29" s="25" t="s">
        <v>816</v>
      </c>
      <c r="V29" s="25" t="s">
        <v>625</v>
      </c>
      <c r="W29" s="25" t="str">
        <f t="shared" si="0"/>
        <v>Aluminium PelmetFaceAcmeda E6 Motor</v>
      </c>
      <c r="X29" s="25">
        <v>6</v>
      </c>
      <c r="Y29" s="25">
        <v>6</v>
      </c>
      <c r="Z29" s="25" t="s">
        <v>824</v>
      </c>
      <c r="AA29" s="25" t="s">
        <v>824</v>
      </c>
      <c r="AB29" s="25" t="s">
        <v>818</v>
      </c>
      <c r="AC29" s="25" t="s">
        <v>821</v>
      </c>
      <c r="AD29" s="25" t="s">
        <v>818</v>
      </c>
      <c r="AE29" s="25" t="s">
        <v>824</v>
      </c>
      <c r="AM29" s="25" t="s">
        <v>868</v>
      </c>
      <c r="AN29" s="25" t="s">
        <v>872</v>
      </c>
      <c r="AO29" s="25" t="s">
        <v>824</v>
      </c>
      <c r="AP29" s="25" t="str">
        <f t="shared" si="1"/>
        <v>2nm 12v Acmeda DCRF MotorRightN/A</v>
      </c>
      <c r="AQ29" s="25" t="s">
        <v>828</v>
      </c>
      <c r="AR29" s="25" t="s">
        <v>828</v>
      </c>
      <c r="AS29" s="25" t="s">
        <v>828</v>
      </c>
      <c r="AT29" s="25" t="s">
        <v>828</v>
      </c>
      <c r="AU29" s="25" t="s">
        <v>829</v>
      </c>
      <c r="AV29" s="25" t="s">
        <v>824</v>
      </c>
      <c r="AW29" s="25" t="s">
        <v>821</v>
      </c>
      <c r="BB29" t="s">
        <v>955</v>
      </c>
      <c r="BC29" s="25" t="s">
        <v>963</v>
      </c>
      <c r="BD29" s="25" t="str">
        <f t="shared" si="3"/>
        <v>Side ChannelsBlack</v>
      </c>
      <c r="BE29" s="25" t="s">
        <v>889</v>
      </c>
      <c r="BG29" s="25" t="s">
        <v>974</v>
      </c>
      <c r="BH29" s="25" t="s">
        <v>636</v>
      </c>
      <c r="BU29" s="25" t="s">
        <v>995</v>
      </c>
      <c r="BV29" s="25">
        <v>5</v>
      </c>
      <c r="BW29" s="25" t="s">
        <v>996</v>
      </c>
      <c r="BX29" s="25" t="s">
        <v>818</v>
      </c>
      <c r="CA29" t="s">
        <v>994</v>
      </c>
      <c r="CB29" s="25">
        <v>0</v>
      </c>
    </row>
    <row r="30" spans="4:80" ht="14.4">
      <c r="D30" s="25" t="s">
        <v>983</v>
      </c>
      <c r="E30" s="25">
        <v>55</v>
      </c>
      <c r="F30" s="25" t="s">
        <v>818</v>
      </c>
      <c r="G30" s="25" t="s">
        <v>821</v>
      </c>
      <c r="L30" t="s">
        <v>1008</v>
      </c>
      <c r="M30" s="25">
        <v>-8</v>
      </c>
      <c r="O30" s="25" t="s">
        <v>894</v>
      </c>
      <c r="P30" s="25" t="s">
        <v>837</v>
      </c>
      <c r="Q30" s="25" t="str">
        <f t="shared" si="2"/>
        <v>Dual Same SideReveal</v>
      </c>
      <c r="R30" s="25">
        <v>130</v>
      </c>
      <c r="T30" s="25" t="s">
        <v>822</v>
      </c>
      <c r="U30" s="25" t="s">
        <v>816</v>
      </c>
      <c r="V30" s="25" t="s">
        <v>626</v>
      </c>
      <c r="W30" s="25" t="str">
        <f t="shared" si="0"/>
        <v>Aluminium PelmetFaceAcmeda M6 Motor</v>
      </c>
      <c r="X30" s="25">
        <v>6</v>
      </c>
      <c r="Y30" s="25">
        <v>6</v>
      </c>
      <c r="Z30" s="25" t="s">
        <v>824</v>
      </c>
      <c r="AA30" s="25" t="s">
        <v>824</v>
      </c>
      <c r="AB30" s="25" t="s">
        <v>818</v>
      </c>
      <c r="AC30" s="25" t="s">
        <v>821</v>
      </c>
      <c r="AD30" s="25" t="s">
        <v>818</v>
      </c>
      <c r="AE30" s="25" t="s">
        <v>824</v>
      </c>
      <c r="AM30" s="25" t="s">
        <v>868</v>
      </c>
      <c r="AN30" s="25" t="s">
        <v>872</v>
      </c>
      <c r="AO30" s="25" t="s">
        <v>901</v>
      </c>
      <c r="AP30" s="25" t="str">
        <f t="shared" si="1"/>
        <v>2nm 12v Acmeda DCRF MotorRightRHS Blind Independent Link</v>
      </c>
      <c r="AQ30" s="25" t="s">
        <v>828</v>
      </c>
      <c r="AR30" s="25" t="s">
        <v>828</v>
      </c>
      <c r="AS30" s="25" t="s">
        <v>828</v>
      </c>
      <c r="AT30" s="25" t="s">
        <v>828</v>
      </c>
      <c r="AU30" s="25" t="s">
        <v>829</v>
      </c>
      <c r="AV30" s="25" t="s">
        <v>902</v>
      </c>
      <c r="AW30" s="25" t="s">
        <v>821</v>
      </c>
      <c r="BB30" s="25" t="s">
        <v>822</v>
      </c>
      <c r="BC30" s="25" t="s">
        <v>998</v>
      </c>
      <c r="BD30" s="25" t="str">
        <f t="shared" si="3"/>
        <v>Aluminium PelmetAnodised Silver</v>
      </c>
      <c r="BE30" s="25" t="s">
        <v>889</v>
      </c>
      <c r="BG30" s="25" t="s">
        <v>979</v>
      </c>
      <c r="BH30" s="25" t="s">
        <v>639</v>
      </c>
      <c r="BU30" s="25" t="s">
        <v>999</v>
      </c>
      <c r="BV30" s="25">
        <v>5</v>
      </c>
      <c r="BW30" s="25" t="s">
        <v>1000</v>
      </c>
      <c r="BX30" s="25" t="s">
        <v>818</v>
      </c>
      <c r="CA30" t="s">
        <v>997</v>
      </c>
      <c r="CB30" s="25">
        <v>0</v>
      </c>
    </row>
    <row r="31" spans="4:80" ht="14.4">
      <c r="D31" s="10" t="s">
        <v>973</v>
      </c>
      <c r="E31" s="25">
        <v>33</v>
      </c>
      <c r="F31" s="25" t="s">
        <v>818</v>
      </c>
      <c r="G31" s="25" t="s">
        <v>818</v>
      </c>
      <c r="L31" t="s">
        <v>1021</v>
      </c>
      <c r="M31" s="25">
        <v>-70</v>
      </c>
      <c r="O31" s="25" t="s">
        <v>894</v>
      </c>
      <c r="P31" s="25" t="s">
        <v>880</v>
      </c>
      <c r="Q31" s="25" t="str">
        <f t="shared" si="2"/>
        <v>Dual Same SideInside Window Mount</v>
      </c>
      <c r="R31" s="25">
        <v>130</v>
      </c>
      <c r="T31" s="25" t="s">
        <v>822</v>
      </c>
      <c r="U31" s="25" t="s">
        <v>816</v>
      </c>
      <c r="V31" s="25" t="s">
        <v>1002</v>
      </c>
      <c r="W31" s="25" t="str">
        <f t="shared" si="0"/>
        <v>Aluminium PelmetFaceUniline Remote Motor</v>
      </c>
      <c r="X31" s="25">
        <v>6</v>
      </c>
      <c r="Y31" s="25">
        <v>6</v>
      </c>
      <c r="Z31" s="25" t="s">
        <v>824</v>
      </c>
      <c r="AA31" s="25" t="s">
        <v>824</v>
      </c>
      <c r="AB31" s="25" t="s">
        <v>818</v>
      </c>
      <c r="AC31" s="25" t="s">
        <v>821</v>
      </c>
      <c r="AD31" s="25" t="s">
        <v>818</v>
      </c>
      <c r="AE31" s="25" t="s">
        <v>824</v>
      </c>
      <c r="AM31" s="25" t="s">
        <v>882</v>
      </c>
      <c r="AN31" s="25" t="s">
        <v>827</v>
      </c>
      <c r="AO31" s="25" t="s">
        <v>170</v>
      </c>
      <c r="AP31" s="25" t="str">
        <f t="shared" si="1"/>
        <v>2nm 12v Acmeda MotorLeftControl</v>
      </c>
      <c r="AQ31" s="25" t="s">
        <v>828</v>
      </c>
      <c r="AR31" s="25" t="s">
        <v>828</v>
      </c>
      <c r="AS31" s="25" t="s">
        <v>828</v>
      </c>
      <c r="AT31" s="25" t="s">
        <v>828</v>
      </c>
      <c r="AU31" s="25" t="s">
        <v>829</v>
      </c>
      <c r="AV31" s="25" t="s">
        <v>830</v>
      </c>
      <c r="AW31" s="25" t="s">
        <v>821</v>
      </c>
      <c r="BB31" s="25" t="s">
        <v>822</v>
      </c>
      <c r="BC31" s="25" t="s">
        <v>998</v>
      </c>
      <c r="BD31" s="25" t="str">
        <f t="shared" si="3"/>
        <v>Aluminium PelmetAnodised Silver</v>
      </c>
      <c r="BE31" s="25" t="s">
        <v>889</v>
      </c>
      <c r="BG31" s="25" t="s">
        <v>983</v>
      </c>
      <c r="BH31" s="25" t="s">
        <v>638</v>
      </c>
      <c r="BU31" s="25" t="s">
        <v>986</v>
      </c>
      <c r="BV31" s="25">
        <v>5</v>
      </c>
      <c r="BW31" s="25" t="s">
        <v>1003</v>
      </c>
      <c r="BX31" s="25" t="s">
        <v>818</v>
      </c>
      <c r="CA31" t="s">
        <v>1001</v>
      </c>
      <c r="CB31" s="25">
        <v>0</v>
      </c>
    </row>
    <row r="32" spans="4:80" ht="14.4">
      <c r="D32" s="25" t="s">
        <v>992</v>
      </c>
      <c r="E32" s="25">
        <v>33</v>
      </c>
      <c r="F32" s="25" t="s">
        <v>818</v>
      </c>
      <c r="G32" s="25" t="s">
        <v>818</v>
      </c>
      <c r="L32" t="s">
        <v>1023</v>
      </c>
      <c r="M32" s="25">
        <v>0</v>
      </c>
      <c r="O32" s="25" t="s">
        <v>894</v>
      </c>
      <c r="P32" s="25" t="s">
        <v>854</v>
      </c>
      <c r="Q32" s="25" t="str">
        <f t="shared" si="2"/>
        <v>Dual Same SideTop Fix</v>
      </c>
      <c r="R32" s="25">
        <v>130</v>
      </c>
      <c r="T32" s="25" t="s">
        <v>822</v>
      </c>
      <c r="U32" s="25" t="s">
        <v>816</v>
      </c>
      <c r="V32" s="25" t="s">
        <v>1005</v>
      </c>
      <c r="W32" s="25" t="str">
        <f t="shared" si="0"/>
        <v>Aluminium PelmetFaceUniline Cbus Motor</v>
      </c>
      <c r="X32" s="25">
        <v>6</v>
      </c>
      <c r="Y32" s="25">
        <v>6</v>
      </c>
      <c r="Z32" s="25" t="s">
        <v>824</v>
      </c>
      <c r="AA32" s="25" t="s">
        <v>824</v>
      </c>
      <c r="AB32" s="25" t="s">
        <v>818</v>
      </c>
      <c r="AC32" s="25" t="s">
        <v>821</v>
      </c>
      <c r="AD32" s="25" t="s">
        <v>818</v>
      </c>
      <c r="AE32" s="25" t="s">
        <v>824</v>
      </c>
      <c r="AM32" s="25" t="s">
        <v>882</v>
      </c>
      <c r="AN32" s="25" t="s">
        <v>827</v>
      </c>
      <c r="AO32" s="25" t="s">
        <v>844</v>
      </c>
      <c r="AP32" s="25" t="str">
        <f t="shared" si="1"/>
        <v>2nm 12v Acmeda MotorLeftLHS Blind Independent Link</v>
      </c>
      <c r="AQ32" s="25" t="s">
        <v>828</v>
      </c>
      <c r="AR32" s="25" t="s">
        <v>828</v>
      </c>
      <c r="AS32" s="25" t="s">
        <v>828</v>
      </c>
      <c r="AT32" s="25" t="s">
        <v>828</v>
      </c>
      <c r="AU32" s="25" t="s">
        <v>829</v>
      </c>
      <c r="AV32" s="25" t="s">
        <v>845</v>
      </c>
      <c r="AW32" s="25" t="s">
        <v>821</v>
      </c>
      <c r="BB32" s="25" t="s">
        <v>922</v>
      </c>
      <c r="BC32" s="25" t="s">
        <v>998</v>
      </c>
      <c r="BD32" s="25" t="str">
        <f t="shared" si="3"/>
        <v>Square CassetteAnodised Silver</v>
      </c>
      <c r="BE32" s="25" t="s">
        <v>889</v>
      </c>
      <c r="BG32" s="25" t="s">
        <v>973</v>
      </c>
      <c r="BH32" s="25" t="s">
        <v>635</v>
      </c>
      <c r="BU32" s="25" t="s">
        <v>1006</v>
      </c>
      <c r="BV32" s="25">
        <v>0</v>
      </c>
      <c r="BW32" s="25" t="s">
        <v>1007</v>
      </c>
      <c r="BX32" s="25" t="s">
        <v>821</v>
      </c>
      <c r="CA32" t="s">
        <v>1004</v>
      </c>
      <c r="CB32" s="25">
        <v>0</v>
      </c>
    </row>
    <row r="33" spans="4:80" ht="14.4">
      <c r="D33" s="25" t="s">
        <v>995</v>
      </c>
      <c r="E33" s="25">
        <v>55</v>
      </c>
      <c r="F33" s="25" t="s">
        <v>818</v>
      </c>
      <c r="G33" s="25" t="s">
        <v>821</v>
      </c>
      <c r="L33" s="25" t="s">
        <v>1025</v>
      </c>
      <c r="M33" s="25">
        <v>-9</v>
      </c>
      <c r="O33" s="25" t="s">
        <v>949</v>
      </c>
      <c r="P33" s="25" t="s">
        <v>816</v>
      </c>
      <c r="Q33" s="25" t="str">
        <f t="shared" si="2"/>
        <v>60mm Tube SingleFace</v>
      </c>
      <c r="R33" s="25">
        <v>100</v>
      </c>
      <c r="T33" s="25" t="s">
        <v>822</v>
      </c>
      <c r="U33" s="25" t="s">
        <v>816</v>
      </c>
      <c r="V33" s="25" t="s">
        <v>981</v>
      </c>
      <c r="W33" s="25" t="str">
        <f t="shared" si="0"/>
        <v>Aluminium PelmetFaceNice Remote Motor</v>
      </c>
      <c r="X33" s="25">
        <v>6</v>
      </c>
      <c r="Y33" s="25">
        <v>6</v>
      </c>
      <c r="Z33" s="25" t="s">
        <v>824</v>
      </c>
      <c r="AA33" s="25" t="s">
        <v>824</v>
      </c>
      <c r="AB33" s="25" t="s">
        <v>818</v>
      </c>
      <c r="AC33" s="25" t="s">
        <v>821</v>
      </c>
      <c r="AD33" s="25" t="s">
        <v>818</v>
      </c>
      <c r="AE33" s="25" t="s">
        <v>824</v>
      </c>
      <c r="AM33" s="25" t="s">
        <v>882</v>
      </c>
      <c r="AN33" s="25" t="s">
        <v>827</v>
      </c>
      <c r="AO33" s="25" t="s">
        <v>824</v>
      </c>
      <c r="AP33" s="25" t="str">
        <f t="shared" si="1"/>
        <v>2nm 12v Acmeda MotorLeftN/A</v>
      </c>
      <c r="AQ33" s="25" t="s">
        <v>828</v>
      </c>
      <c r="AR33" s="25" t="s">
        <v>828</v>
      </c>
      <c r="AS33" s="25" t="s">
        <v>828</v>
      </c>
      <c r="AT33" s="25" t="s">
        <v>828</v>
      </c>
      <c r="AU33" s="25" t="s">
        <v>829</v>
      </c>
      <c r="AV33" s="25" t="s">
        <v>824</v>
      </c>
      <c r="AW33" s="25" t="s">
        <v>821</v>
      </c>
      <c r="BB33" s="25" t="s">
        <v>931</v>
      </c>
      <c r="BC33" s="25" t="s">
        <v>998</v>
      </c>
      <c r="BD33" s="25" t="str">
        <f t="shared" si="8" ref="BD33">CONCATENATE(BB33,BC33)</f>
        <v>Square Cassette with Side ChannelsAnodised Silver</v>
      </c>
      <c r="BE33" s="25" t="s">
        <v>889</v>
      </c>
      <c r="BG33" s="25" t="s">
        <v>989</v>
      </c>
      <c r="BH33" s="25" t="s">
        <v>637</v>
      </c>
      <c r="BU33" s="25" t="s">
        <v>1009</v>
      </c>
      <c r="BV33" s="25">
        <v>5</v>
      </c>
      <c r="BW33" s="25" t="s">
        <v>1010</v>
      </c>
      <c r="BX33" s="25" t="s">
        <v>821</v>
      </c>
      <c r="CA33" t="s">
        <v>1008</v>
      </c>
      <c r="CB33" s="25">
        <v>0</v>
      </c>
    </row>
    <row r="34" spans="4:80" ht="14.4">
      <c r="D34" s="25" t="s">
        <v>999</v>
      </c>
      <c r="E34" s="25">
        <v>55</v>
      </c>
      <c r="F34" s="25" t="s">
        <v>818</v>
      </c>
      <c r="G34" s="25" t="s">
        <v>821</v>
      </c>
      <c r="L34" t="s">
        <v>1032</v>
      </c>
      <c r="M34" s="25">
        <v>16</v>
      </c>
      <c r="O34" s="25" t="s">
        <v>949</v>
      </c>
      <c r="P34" s="25" t="s">
        <v>867</v>
      </c>
      <c r="Q34" s="25" t="str">
        <f t="shared" si="2"/>
        <v>60mm Tube SingleOutside Window Mount</v>
      </c>
      <c r="R34" s="25">
        <v>100</v>
      </c>
      <c r="T34" s="25" t="s">
        <v>822</v>
      </c>
      <c r="U34" s="25" t="s">
        <v>816</v>
      </c>
      <c r="V34" s="25" t="s">
        <v>976</v>
      </c>
      <c r="W34" s="25" t="str">
        <f t="shared" si="0"/>
        <v>Aluminium PelmetFaceNice CBus Motor</v>
      </c>
      <c r="X34" s="25">
        <v>6</v>
      </c>
      <c r="Y34" s="25">
        <v>6</v>
      </c>
      <c r="Z34" s="25" t="s">
        <v>824</v>
      </c>
      <c r="AA34" s="25" t="s">
        <v>824</v>
      </c>
      <c r="AB34" s="25" t="s">
        <v>818</v>
      </c>
      <c r="AC34" s="25" t="s">
        <v>821</v>
      </c>
      <c r="AD34" s="25" t="s">
        <v>818</v>
      </c>
      <c r="AE34" s="25" t="s">
        <v>824</v>
      </c>
      <c r="AM34" s="25" t="s">
        <v>882</v>
      </c>
      <c r="AN34" s="25" t="s">
        <v>872</v>
      </c>
      <c r="AO34" s="25" t="s">
        <v>170</v>
      </c>
      <c r="AP34" s="25" t="str">
        <f t="shared" si="1"/>
        <v>2nm 12v Acmeda MotorRightControl</v>
      </c>
      <c r="AQ34" s="25" t="s">
        <v>828</v>
      </c>
      <c r="AR34" s="25" t="s">
        <v>828</v>
      </c>
      <c r="AS34" s="25" t="s">
        <v>828</v>
      </c>
      <c r="AT34" s="25" t="s">
        <v>828</v>
      </c>
      <c r="AU34" s="25" t="s">
        <v>829</v>
      </c>
      <c r="AV34" s="25" t="s">
        <v>873</v>
      </c>
      <c r="AW34" s="25" t="s">
        <v>821</v>
      </c>
      <c r="BB34" s="25" t="s">
        <v>937</v>
      </c>
      <c r="BC34" s="25" t="s">
        <v>998</v>
      </c>
      <c r="BD34" s="25" t="str">
        <f t="shared" si="3"/>
        <v>Square Cassette with Side &amp; Bottom ChannelsAnodised Silver</v>
      </c>
      <c r="BE34" s="25" t="s">
        <v>889</v>
      </c>
      <c r="BG34" s="25" t="s">
        <v>992</v>
      </c>
      <c r="BH34" s="25" t="s">
        <v>636</v>
      </c>
      <c r="BU34" s="25" t="s">
        <v>1012</v>
      </c>
      <c r="BV34" s="25">
        <v>5</v>
      </c>
      <c r="BW34" s="25" t="s">
        <v>1013</v>
      </c>
      <c r="BX34" s="25" t="s">
        <v>821</v>
      </c>
      <c r="CA34" t="s">
        <v>1011</v>
      </c>
      <c r="CB34" s="25">
        <v>0</v>
      </c>
    </row>
    <row r="35" spans="4:80" ht="14.4">
      <c r="D35" s="10" t="s">
        <v>989</v>
      </c>
      <c r="E35" s="25">
        <v>33</v>
      </c>
      <c r="F35" s="25" t="s">
        <v>818</v>
      </c>
      <c r="G35" s="25" t="s">
        <v>818</v>
      </c>
      <c r="L35" t="s">
        <v>1035</v>
      </c>
      <c r="M35" s="25">
        <v>8</v>
      </c>
      <c r="O35" s="25" t="s">
        <v>949</v>
      </c>
      <c r="P35" s="25" t="s">
        <v>837</v>
      </c>
      <c r="Q35" s="25" t="str">
        <f t="shared" si="2"/>
        <v>60mm Tube SingleReveal</v>
      </c>
      <c r="R35" s="25">
        <v>90</v>
      </c>
      <c r="T35" s="25" t="s">
        <v>822</v>
      </c>
      <c r="U35" s="25" t="s">
        <v>816</v>
      </c>
      <c r="V35" t="s">
        <v>1006</v>
      </c>
      <c r="W35" s="25" t="str">
        <f t="shared" si="0"/>
        <v>Aluminium PelmetFaceSunboss Chain Winder 38mm Tube</v>
      </c>
      <c r="X35" s="25">
        <v>6</v>
      </c>
      <c r="Y35" s="25">
        <v>6</v>
      </c>
      <c r="Z35" s="25" t="s">
        <v>824</v>
      </c>
      <c r="AA35" s="25" t="s">
        <v>824</v>
      </c>
      <c r="AB35" s="25" t="s">
        <v>818</v>
      </c>
      <c r="AC35" s="25" t="s">
        <v>821</v>
      </c>
      <c r="AD35" s="25" t="s">
        <v>818</v>
      </c>
      <c r="AE35" s="25" t="s">
        <v>824</v>
      </c>
      <c r="AM35" s="25" t="s">
        <v>882</v>
      </c>
      <c r="AN35" s="25" t="s">
        <v>872</v>
      </c>
      <c r="AO35" s="25" t="s">
        <v>824</v>
      </c>
      <c r="AP35" s="25" t="str">
        <f t="shared" si="9" ref="AP35:AP72">CONCATENATE(AM35,AN35,AO35)</f>
        <v>2nm 12v Acmeda MotorRightN/A</v>
      </c>
      <c r="AQ35" s="25" t="s">
        <v>828</v>
      </c>
      <c r="AR35" s="25" t="s">
        <v>828</v>
      </c>
      <c r="AS35" s="25" t="s">
        <v>828</v>
      </c>
      <c r="AT35" s="25" t="s">
        <v>828</v>
      </c>
      <c r="AU35" s="25" t="s">
        <v>829</v>
      </c>
      <c r="AV35" s="25" t="s">
        <v>824</v>
      </c>
      <c r="AW35" s="25" t="s">
        <v>821</v>
      </c>
      <c r="BB35" s="25" t="s">
        <v>942</v>
      </c>
      <c r="BC35" s="25" t="s">
        <v>998</v>
      </c>
      <c r="BD35" s="25" t="str">
        <f t="shared" si="3"/>
        <v>Round CassetteAnodised Silver</v>
      </c>
      <c r="BE35" s="25" t="s">
        <v>889</v>
      </c>
      <c r="BG35" s="25" t="s">
        <v>995</v>
      </c>
      <c r="BH35" s="25" t="s">
        <v>639</v>
      </c>
      <c r="BU35" s="25" t="s">
        <v>929</v>
      </c>
      <c r="BV35" s="25">
        <v>0</v>
      </c>
      <c r="BW35" s="25" t="s">
        <v>1015</v>
      </c>
      <c r="BX35" s="25" t="s">
        <v>818</v>
      </c>
      <c r="CA35" t="s">
        <v>1014</v>
      </c>
      <c r="CB35" s="25">
        <v>2</v>
      </c>
    </row>
    <row r="36" spans="4:80" ht="14.4">
      <c r="D36" s="25" t="s">
        <v>910</v>
      </c>
      <c r="E36" s="25">
        <v>29</v>
      </c>
      <c r="F36" s="25" t="s">
        <v>821</v>
      </c>
      <c r="G36" s="25" t="s">
        <v>821</v>
      </c>
      <c r="O36" s="25" t="s">
        <v>949</v>
      </c>
      <c r="P36" s="25" t="s">
        <v>880</v>
      </c>
      <c r="Q36" s="25" t="str">
        <f t="shared" si="2"/>
        <v>60mm Tube SingleInside Window Mount</v>
      </c>
      <c r="R36" s="25">
        <v>90</v>
      </c>
      <c r="T36" s="25" t="s">
        <v>822</v>
      </c>
      <c r="U36" s="25" t="s">
        <v>816</v>
      </c>
      <c r="V36" t="s">
        <v>1017</v>
      </c>
      <c r="W36" s="25" t="str">
        <f t="shared" si="0"/>
        <v>Aluminium PelmetFaceSunboss Chain Winder 43mm Tube</v>
      </c>
      <c r="X36" s="25">
        <v>6</v>
      </c>
      <c r="Y36" s="25">
        <v>6</v>
      </c>
      <c r="Z36" s="25" t="s">
        <v>824</v>
      </c>
      <c r="AA36" s="25" t="s">
        <v>824</v>
      </c>
      <c r="AB36" s="25" t="s">
        <v>818</v>
      </c>
      <c r="AC36" s="25" t="s">
        <v>821</v>
      </c>
      <c r="AD36" s="25" t="s">
        <v>818</v>
      </c>
      <c r="AE36" s="25" t="s">
        <v>824</v>
      </c>
      <c r="AM36" s="25" t="s">
        <v>882</v>
      </c>
      <c r="AN36" s="25" t="s">
        <v>872</v>
      </c>
      <c r="AO36" s="25" t="s">
        <v>901</v>
      </c>
      <c r="AP36" s="25" t="str">
        <f t="shared" si="9"/>
        <v>2nm 12v Acmeda MotorRightRHS Blind Independent Link</v>
      </c>
      <c r="AQ36" s="25" t="s">
        <v>828</v>
      </c>
      <c r="AR36" s="25" t="s">
        <v>828</v>
      </c>
      <c r="AS36" s="25" t="s">
        <v>828</v>
      </c>
      <c r="AT36" s="25" t="s">
        <v>828</v>
      </c>
      <c r="AU36" s="25" t="s">
        <v>829</v>
      </c>
      <c r="AV36" s="25" t="s">
        <v>902</v>
      </c>
      <c r="AW36" s="25" t="s">
        <v>821</v>
      </c>
      <c r="BB36" s="25" t="s">
        <v>947</v>
      </c>
      <c r="BC36" s="25" t="s">
        <v>998</v>
      </c>
      <c r="BD36" s="25" t="str">
        <f t="shared" si="10" ref="BD36">CONCATENATE(BB36,BC36)</f>
        <v>Round Cassette with Side ChannelsAnodised Silver</v>
      </c>
      <c r="BE36" s="25" t="s">
        <v>889</v>
      </c>
      <c r="BG36" s="25" t="s">
        <v>999</v>
      </c>
      <c r="BH36" s="25" t="s">
        <v>638</v>
      </c>
      <c r="BW36" s="25" t="s">
        <v>1018</v>
      </c>
      <c r="BX36" s="25" t="s">
        <v>821</v>
      </c>
      <c r="CA36" t="s">
        <v>1016</v>
      </c>
      <c r="CB36" s="25">
        <v>0</v>
      </c>
    </row>
    <row r="37" spans="4:80" ht="14.4">
      <c r="D37" t="s">
        <v>1006</v>
      </c>
      <c r="E37" s="25">
        <v>30</v>
      </c>
      <c r="F37" s="25" t="s">
        <v>821</v>
      </c>
      <c r="G37" s="25" t="s">
        <v>821</v>
      </c>
      <c r="O37" s="25" t="s">
        <v>949</v>
      </c>
      <c r="P37" s="25" t="s">
        <v>854</v>
      </c>
      <c r="Q37" s="25" t="str">
        <f t="shared" si="2"/>
        <v>60mm Tube SingleTop Fix</v>
      </c>
      <c r="R37" s="25">
        <v>90</v>
      </c>
      <c r="T37" s="25" t="s">
        <v>822</v>
      </c>
      <c r="U37" s="25" t="s">
        <v>816</v>
      </c>
      <c r="V37" s="25" t="s">
        <v>1012</v>
      </c>
      <c r="W37" s="25" t="str">
        <f t="shared" si="0"/>
        <v>Aluminium PelmetFaceTBS Remote Motor</v>
      </c>
      <c r="X37" s="25">
        <v>6</v>
      </c>
      <c r="Y37" s="25">
        <v>6</v>
      </c>
      <c r="Z37" s="25" t="s">
        <v>824</v>
      </c>
      <c r="AA37" s="25" t="s">
        <v>824</v>
      </c>
      <c r="AB37" s="25" t="s">
        <v>818</v>
      </c>
      <c r="AC37" s="25" t="s">
        <v>821</v>
      </c>
      <c r="AD37" s="25" t="s">
        <v>818</v>
      </c>
      <c r="AE37" s="25" t="s">
        <v>824</v>
      </c>
      <c r="AM37" s="25" t="s">
        <v>896</v>
      </c>
      <c r="AN37" s="25" t="s">
        <v>827</v>
      </c>
      <c r="AO37" s="25" t="s">
        <v>170</v>
      </c>
      <c r="AP37" s="25" t="str">
        <f t="shared" si="9"/>
        <v>Acmeda 12v 6nm MotorLeftControl</v>
      </c>
      <c r="AQ37" s="25" t="s">
        <v>828</v>
      </c>
      <c r="AR37" s="25" t="s">
        <v>828</v>
      </c>
      <c r="AS37" s="25" t="s">
        <v>828</v>
      </c>
      <c r="AT37" s="25" t="s">
        <v>828</v>
      </c>
      <c r="AU37" s="25" t="s">
        <v>829</v>
      </c>
      <c r="AV37" s="25" t="s">
        <v>830</v>
      </c>
      <c r="AW37" s="25" t="s">
        <v>821</v>
      </c>
      <c r="BB37" s="25" t="s">
        <v>952</v>
      </c>
      <c r="BC37" s="25" t="s">
        <v>998</v>
      </c>
      <c r="BD37" s="25" t="str">
        <f t="shared" si="3"/>
        <v>Round Cassette with Side &amp; Bottom ChannelsAnodised Silver</v>
      </c>
      <c r="BE37" s="25" t="s">
        <v>889</v>
      </c>
      <c r="BG37" s="25" t="s">
        <v>986</v>
      </c>
      <c r="BH37" s="25" t="s">
        <v>635</v>
      </c>
      <c r="BW37" s="25" t="s">
        <v>1020</v>
      </c>
      <c r="BX37" s="25" t="s">
        <v>821</v>
      </c>
      <c r="CA37" t="s">
        <v>1019</v>
      </c>
      <c r="CB37" s="25">
        <v>2</v>
      </c>
    </row>
    <row r="38" spans="4:80" ht="14.4">
      <c r="D38" t="s">
        <v>1017</v>
      </c>
      <c r="E38" s="25">
        <v>34</v>
      </c>
      <c r="F38" s="25" t="s">
        <v>821</v>
      </c>
      <c r="G38" s="25" t="s">
        <v>821</v>
      </c>
      <c r="O38" s="25" t="s">
        <v>907</v>
      </c>
      <c r="P38" s="25" t="s">
        <v>816</v>
      </c>
      <c r="Q38" s="25" t="str">
        <f t="shared" si="2"/>
        <v>Slimline Dual Top Blind Front Roll LHS ControlFace</v>
      </c>
      <c r="R38" s="25">
        <v>95</v>
      </c>
      <c r="T38" s="25" t="s">
        <v>822</v>
      </c>
      <c r="U38" s="25" t="s">
        <v>816</v>
      </c>
      <c r="V38" t="s">
        <v>1009</v>
      </c>
      <c r="W38" s="25" t="str">
        <f t="shared" si="0"/>
        <v>Aluminium PelmetFaceTBS Cbus Motor</v>
      </c>
      <c r="X38" s="25">
        <v>6</v>
      </c>
      <c r="Y38" s="25">
        <v>6</v>
      </c>
      <c r="Z38" s="25" t="s">
        <v>824</v>
      </c>
      <c r="AA38" s="25" t="s">
        <v>824</v>
      </c>
      <c r="AB38" s="25" t="s">
        <v>818</v>
      </c>
      <c r="AC38" s="25" t="s">
        <v>821</v>
      </c>
      <c r="AD38" s="25" t="s">
        <v>818</v>
      </c>
      <c r="AE38" s="25" t="s">
        <v>824</v>
      </c>
      <c r="AM38" s="25" t="s">
        <v>896</v>
      </c>
      <c r="AN38" s="25" t="s">
        <v>827</v>
      </c>
      <c r="AO38" s="25" t="s">
        <v>844</v>
      </c>
      <c r="AP38" s="25" t="str">
        <f t="shared" si="9"/>
        <v>Acmeda 12v 6nm MotorLeftLHS Blind Independent Link</v>
      </c>
      <c r="AQ38" s="25" t="s">
        <v>828</v>
      </c>
      <c r="AR38" s="25" t="s">
        <v>828</v>
      </c>
      <c r="AS38" s="25" t="s">
        <v>828</v>
      </c>
      <c r="AT38" s="25" t="s">
        <v>828</v>
      </c>
      <c r="AU38" s="25" t="s">
        <v>829</v>
      </c>
      <c r="AV38" s="25" t="s">
        <v>845</v>
      </c>
      <c r="AW38" s="25" t="s">
        <v>821</v>
      </c>
      <c r="BB38" s="25" t="s">
        <v>895</v>
      </c>
      <c r="BC38" s="25" t="s">
        <v>998</v>
      </c>
      <c r="BD38" s="25" t="str">
        <f t="shared" si="3"/>
        <v>Aluminium ValanceAnodised Silver</v>
      </c>
      <c r="BE38" s="25" t="s">
        <v>889</v>
      </c>
      <c r="BG38" s="25" t="s">
        <v>910</v>
      </c>
      <c r="BH38" s="25" t="s">
        <v>910</v>
      </c>
      <c r="BW38" s="25" t="s">
        <v>1022</v>
      </c>
      <c r="BX38" s="25" t="s">
        <v>821</v>
      </c>
      <c r="CA38" t="s">
        <v>1021</v>
      </c>
      <c r="CB38" s="25">
        <v>0</v>
      </c>
    </row>
    <row r="39" spans="4:80" ht="14.4">
      <c r="D39" t="s">
        <v>1009</v>
      </c>
      <c r="E39" s="25">
        <v>34</v>
      </c>
      <c r="F39" s="25" t="s">
        <v>818</v>
      </c>
      <c r="G39" s="25" t="s">
        <v>821</v>
      </c>
      <c r="O39" s="25" t="s">
        <v>907</v>
      </c>
      <c r="P39" s="25" t="s">
        <v>867</v>
      </c>
      <c r="Q39" s="25" t="str">
        <f t="shared" si="2"/>
        <v>Slimline Dual Top Blind Front Roll LHS ControlOutside Window Mount</v>
      </c>
      <c r="R39" s="25">
        <v>95</v>
      </c>
      <c r="T39" s="25" t="s">
        <v>822</v>
      </c>
      <c r="U39" s="25" t="s">
        <v>816</v>
      </c>
      <c r="V39" t="s">
        <v>927</v>
      </c>
      <c r="W39" s="25" t="str">
        <f t="shared" si="0"/>
        <v>Aluminium PelmetFaceAcmeda External Motor</v>
      </c>
      <c r="X39" s="25">
        <v>6</v>
      </c>
      <c r="Y39" s="25">
        <v>6</v>
      </c>
      <c r="Z39" s="25" t="s">
        <v>824</v>
      </c>
      <c r="AA39" s="25" t="s">
        <v>824</v>
      </c>
      <c r="AB39" s="25" t="s">
        <v>818</v>
      </c>
      <c r="AC39" s="25" t="s">
        <v>821</v>
      </c>
      <c r="AD39" s="25" t="s">
        <v>818</v>
      </c>
      <c r="AE39" s="25" t="s">
        <v>824</v>
      </c>
      <c r="AM39" s="25" t="s">
        <v>896</v>
      </c>
      <c r="AN39" s="25" t="s">
        <v>827</v>
      </c>
      <c r="AO39" s="25" t="s">
        <v>824</v>
      </c>
      <c r="AP39" s="25" t="str">
        <f t="shared" si="9"/>
        <v>Acmeda 12v 6nm MotorLeftN/A</v>
      </c>
      <c r="AQ39" s="25" t="s">
        <v>828</v>
      </c>
      <c r="AR39" s="25" t="s">
        <v>828</v>
      </c>
      <c r="AS39" s="25" t="s">
        <v>828</v>
      </c>
      <c r="AT39" s="25" t="s">
        <v>828</v>
      </c>
      <c r="AU39" s="25" t="s">
        <v>829</v>
      </c>
      <c r="AV39" s="25" t="s">
        <v>824</v>
      </c>
      <c r="AW39" s="25" t="s">
        <v>821</v>
      </c>
      <c r="BB39" t="s">
        <v>955</v>
      </c>
      <c r="BC39" s="25" t="s">
        <v>998</v>
      </c>
      <c r="BD39" s="25" t="str">
        <f t="shared" si="3"/>
        <v>Side ChannelsAnodised Silver</v>
      </c>
      <c r="BE39" s="25" t="s">
        <v>889</v>
      </c>
      <c r="BG39" t="s">
        <v>1006</v>
      </c>
      <c r="BH39" t="s">
        <v>1006</v>
      </c>
      <c r="BI39"/>
      <c r="BW39" s="25" t="s">
        <v>1024</v>
      </c>
      <c r="BX39" s="25" t="s">
        <v>821</v>
      </c>
      <c r="CA39" t="s">
        <v>1023</v>
      </c>
      <c r="CB39" s="25">
        <v>2</v>
      </c>
    </row>
    <row r="40" spans="4:80" ht="14.4">
      <c r="D40" t="s">
        <v>1012</v>
      </c>
      <c r="E40" s="25">
        <v>34</v>
      </c>
      <c r="F40" s="25" t="s">
        <v>818</v>
      </c>
      <c r="G40" s="25" t="s">
        <v>821</v>
      </c>
      <c r="O40" s="25" t="s">
        <v>907</v>
      </c>
      <c r="P40" s="25" t="s">
        <v>837</v>
      </c>
      <c r="Q40" s="25" t="str">
        <f t="shared" si="2"/>
        <v>Slimline Dual Top Blind Front Roll LHS ControlReveal</v>
      </c>
      <c r="R40" s="25">
        <v>95</v>
      </c>
      <c r="T40" s="25" t="s">
        <v>822</v>
      </c>
      <c r="U40" s="25" t="s">
        <v>816</v>
      </c>
      <c r="V40" t="s">
        <v>918</v>
      </c>
      <c r="W40" s="25" t="str">
        <f t="shared" si="0"/>
        <v>Aluminium PelmetFaceAcmeda External 12v Motor</v>
      </c>
      <c r="X40" s="25">
        <v>0</v>
      </c>
      <c r="Y40" s="25">
        <v>0</v>
      </c>
      <c r="Z40" s="25" t="s">
        <v>824</v>
      </c>
      <c r="AA40" s="25" t="s">
        <v>824</v>
      </c>
      <c r="AB40" s="25" t="s">
        <v>821</v>
      </c>
      <c r="AC40" s="25" t="s">
        <v>821</v>
      </c>
      <c r="AD40" s="25" t="s">
        <v>818</v>
      </c>
      <c r="AE40" s="25" t="s">
        <v>824</v>
      </c>
      <c r="AM40" s="25" t="s">
        <v>896</v>
      </c>
      <c r="AN40" s="25" t="s">
        <v>827</v>
      </c>
      <c r="AO40" s="25" t="s">
        <v>824</v>
      </c>
      <c r="AP40" s="25" t="str">
        <f t="shared" si="9"/>
        <v>Acmeda 12v 6nm MotorLeftN/A</v>
      </c>
      <c r="AQ40" s="25" t="s">
        <v>828</v>
      </c>
      <c r="AR40" s="25" t="s">
        <v>828</v>
      </c>
      <c r="AS40" s="25" t="s">
        <v>828</v>
      </c>
      <c r="AT40" s="25" t="s">
        <v>828</v>
      </c>
      <c r="AU40" s="25" t="s">
        <v>829</v>
      </c>
      <c r="AV40" s="25" t="s">
        <v>824</v>
      </c>
      <c r="AW40" s="25" t="s">
        <v>821</v>
      </c>
      <c r="BB40" t="s">
        <v>822</v>
      </c>
      <c r="BC40" s="25" t="s">
        <v>1026</v>
      </c>
      <c r="BD40" s="25" t="str">
        <f t="shared" si="3"/>
        <v>Aluminium PelmetCream</v>
      </c>
      <c r="BE40" s="25" t="s">
        <v>889</v>
      </c>
      <c r="BG40" t="s">
        <v>1017</v>
      </c>
      <c r="BH40" t="s">
        <v>1017</v>
      </c>
      <c r="BI40"/>
      <c r="BW40" s="25" t="s">
        <v>1027</v>
      </c>
      <c r="BX40" s="25" t="s">
        <v>818</v>
      </c>
      <c r="CA40" t="s">
        <v>1025</v>
      </c>
      <c r="CB40" s="25">
        <v>0</v>
      </c>
    </row>
    <row r="41" spans="4:80" ht="14.4">
      <c r="D41" s="25" t="s">
        <v>1005</v>
      </c>
      <c r="E41" s="25">
        <v>36</v>
      </c>
      <c r="F41" s="25" t="s">
        <v>818</v>
      </c>
      <c r="G41" s="25" t="s">
        <v>818</v>
      </c>
      <c r="O41" s="25" t="s">
        <v>907</v>
      </c>
      <c r="P41" s="25" t="s">
        <v>880</v>
      </c>
      <c r="Q41" s="25" t="str">
        <f t="shared" si="2"/>
        <v>Slimline Dual Top Blind Front Roll LHS ControlInside Window Mount</v>
      </c>
      <c r="R41" s="25">
        <v>95</v>
      </c>
      <c r="T41" s="25" t="s">
        <v>822</v>
      </c>
      <c r="U41" s="25" t="s">
        <v>816</v>
      </c>
      <c r="V41" t="s">
        <v>979</v>
      </c>
      <c r="W41" s="25" t="str">
        <f t="shared" si="0"/>
        <v>Aluminium PelmetFaceSomfy External CBUS Motor</v>
      </c>
      <c r="X41" s="25">
        <v>0</v>
      </c>
      <c r="Y41" s="25">
        <v>0</v>
      </c>
      <c r="Z41" s="25" t="s">
        <v>824</v>
      </c>
      <c r="AA41" s="25" t="s">
        <v>824</v>
      </c>
      <c r="AB41" s="25" t="s">
        <v>821</v>
      </c>
      <c r="AC41" s="25" t="s">
        <v>821</v>
      </c>
      <c r="AD41" s="25" t="s">
        <v>818</v>
      </c>
      <c r="AE41" s="25" t="s">
        <v>824</v>
      </c>
      <c r="AM41" s="25" t="s">
        <v>896</v>
      </c>
      <c r="AN41" s="25" t="s">
        <v>872</v>
      </c>
      <c r="AO41" s="25" t="s">
        <v>170</v>
      </c>
      <c r="AP41" s="25" t="str">
        <f t="shared" si="9"/>
        <v>Acmeda 12v 6nm MotorRightControl</v>
      </c>
      <c r="AQ41" s="25" t="s">
        <v>828</v>
      </c>
      <c r="AR41" s="25" t="s">
        <v>828</v>
      </c>
      <c r="AS41" s="25" t="s">
        <v>828</v>
      </c>
      <c r="AT41" s="25" t="s">
        <v>828</v>
      </c>
      <c r="AU41" s="25" t="s">
        <v>829</v>
      </c>
      <c r="AV41" s="25" t="s">
        <v>873</v>
      </c>
      <c r="AW41" s="25" t="s">
        <v>821</v>
      </c>
      <c r="BB41" s="25" t="s">
        <v>822</v>
      </c>
      <c r="BC41" s="25" t="s">
        <v>1026</v>
      </c>
      <c r="BD41" s="25" t="str">
        <f t="shared" si="3"/>
        <v>Aluminium PelmetCream</v>
      </c>
      <c r="BE41" s="25" t="s">
        <v>889</v>
      </c>
      <c r="BG41" s="25" t="s">
        <v>1028</v>
      </c>
      <c r="BH41" s="25" t="s">
        <v>1009</v>
      </c>
      <c r="BW41" s="25" t="s">
        <v>1029</v>
      </c>
      <c r="BX41" s="25" t="s">
        <v>818</v>
      </c>
      <c r="CA41" t="s">
        <v>1030</v>
      </c>
      <c r="CB41" s="25">
        <v>2</v>
      </c>
    </row>
    <row r="42" spans="4:80" ht="14.4">
      <c r="D42" s="25" t="s">
        <v>1002</v>
      </c>
      <c r="E42" s="25">
        <v>36</v>
      </c>
      <c r="F42" s="25" t="s">
        <v>818</v>
      </c>
      <c r="G42" s="25" t="s">
        <v>818</v>
      </c>
      <c r="O42" s="25" t="s">
        <v>907</v>
      </c>
      <c r="P42" s="25" t="s">
        <v>854</v>
      </c>
      <c r="Q42" s="25" t="str">
        <f t="shared" si="2"/>
        <v>Slimline Dual Top Blind Front Roll LHS ControlTop Fix</v>
      </c>
      <c r="R42" s="25">
        <v>95</v>
      </c>
      <c r="T42" s="25" t="s">
        <v>822</v>
      </c>
      <c r="U42" s="25" t="s">
        <v>816</v>
      </c>
      <c r="V42" t="s">
        <v>983</v>
      </c>
      <c r="W42" s="25" t="str">
        <f t="shared" si="0"/>
        <v>Aluminium PelmetFaceSomfy External Remote Motor</v>
      </c>
      <c r="X42" s="25">
        <v>0</v>
      </c>
      <c r="Y42" s="25">
        <v>0</v>
      </c>
      <c r="Z42" s="25" t="s">
        <v>824</v>
      </c>
      <c r="AA42" s="25" t="s">
        <v>824</v>
      </c>
      <c r="AB42" s="25" t="s">
        <v>821</v>
      </c>
      <c r="AC42" s="25" t="s">
        <v>821</v>
      </c>
      <c r="AD42" s="25" t="s">
        <v>818</v>
      </c>
      <c r="AE42" s="25" t="s">
        <v>824</v>
      </c>
      <c r="AM42" s="25" t="s">
        <v>896</v>
      </c>
      <c r="AN42" s="25" t="s">
        <v>872</v>
      </c>
      <c r="AO42" s="25" t="s">
        <v>824</v>
      </c>
      <c r="AP42" s="25" t="str">
        <f t="shared" si="9"/>
        <v>Acmeda 12v 6nm MotorRightN/A</v>
      </c>
      <c r="AQ42" s="25" t="s">
        <v>828</v>
      </c>
      <c r="AR42" s="25" t="s">
        <v>828</v>
      </c>
      <c r="AS42" s="25" t="s">
        <v>828</v>
      </c>
      <c r="AT42" s="25" t="s">
        <v>828</v>
      </c>
      <c r="AU42" s="25" t="s">
        <v>829</v>
      </c>
      <c r="AV42" s="25" t="s">
        <v>824</v>
      </c>
      <c r="AW42" s="25" t="s">
        <v>821</v>
      </c>
      <c r="BB42" s="25" t="s">
        <v>922</v>
      </c>
      <c r="BC42" s="25" t="s">
        <v>1026</v>
      </c>
      <c r="BD42" s="25" t="str">
        <f t="shared" si="3"/>
        <v>Square CassetteCream</v>
      </c>
      <c r="BE42" s="25" t="s">
        <v>889</v>
      </c>
      <c r="BG42" s="25" t="s">
        <v>1012</v>
      </c>
      <c r="BH42" s="25" t="s">
        <v>1012</v>
      </c>
      <c r="BW42" s="25" t="s">
        <v>1031</v>
      </c>
      <c r="BX42" s="25" t="s">
        <v>818</v>
      </c>
      <c r="CA42" t="s">
        <v>1032</v>
      </c>
      <c r="CB42" s="25">
        <v>2</v>
      </c>
    </row>
    <row r="43" spans="4:80" ht="14.4">
      <c r="D43" s="25" t="s">
        <v>929</v>
      </c>
      <c r="E43" s="25">
        <v>36</v>
      </c>
      <c r="F43" s="25" t="s">
        <v>818</v>
      </c>
      <c r="G43" s="25" t="s">
        <v>821</v>
      </c>
      <c r="O43" s="25" t="s">
        <v>916</v>
      </c>
      <c r="P43" s="25" t="s">
        <v>816</v>
      </c>
      <c r="Q43" s="25" t="str">
        <f t="shared" si="2"/>
        <v>Slimline Dual Top Blind Front Roll RHS ControlFace</v>
      </c>
      <c r="R43" s="25">
        <v>95</v>
      </c>
      <c r="T43" s="25" t="s">
        <v>822</v>
      </c>
      <c r="U43" s="25" t="s">
        <v>816</v>
      </c>
      <c r="V43" t="s">
        <v>995</v>
      </c>
      <c r="W43" s="25" t="str">
        <f t="shared" si="0"/>
        <v>Aluminium PelmetFaceHD Somfy External CBUS Motor</v>
      </c>
      <c r="X43" s="25">
        <v>0</v>
      </c>
      <c r="Y43" s="25">
        <v>0</v>
      </c>
      <c r="Z43" s="25" t="s">
        <v>824</v>
      </c>
      <c r="AA43" s="25" t="s">
        <v>824</v>
      </c>
      <c r="AB43" s="25" t="s">
        <v>821</v>
      </c>
      <c r="AC43" s="25" t="s">
        <v>821</v>
      </c>
      <c r="AD43" s="25" t="s">
        <v>818</v>
      </c>
      <c r="AE43" s="25" t="s">
        <v>824</v>
      </c>
      <c r="AM43" s="25" t="s">
        <v>896</v>
      </c>
      <c r="AN43" s="25" t="s">
        <v>872</v>
      </c>
      <c r="AO43" s="25" t="s">
        <v>824</v>
      </c>
      <c r="AP43" s="25" t="str">
        <f t="shared" si="9"/>
        <v>Acmeda 12v 6nm MotorRightN/A</v>
      </c>
      <c r="AQ43" s="25" t="s">
        <v>828</v>
      </c>
      <c r="AR43" s="25" t="s">
        <v>828</v>
      </c>
      <c r="AS43" s="25" t="s">
        <v>828</v>
      </c>
      <c r="AT43" s="25" t="s">
        <v>828</v>
      </c>
      <c r="AU43" s="25" t="s">
        <v>829</v>
      </c>
      <c r="AV43" s="25" t="s">
        <v>824</v>
      </c>
      <c r="AW43" s="25" t="s">
        <v>821</v>
      </c>
      <c r="BB43" s="25" t="s">
        <v>931</v>
      </c>
      <c r="BC43" s="25" t="s">
        <v>1026</v>
      </c>
      <c r="BD43" s="25" t="str">
        <f t="shared" si="11" ref="BD43">CONCATENATE(BB43,BC43)</f>
        <v>Square Cassette with Side ChannelsCream</v>
      </c>
      <c r="BE43" s="25" t="s">
        <v>889</v>
      </c>
      <c r="BG43" s="25" t="s">
        <v>1033</v>
      </c>
      <c r="BH43" s="25" t="s">
        <v>1033</v>
      </c>
      <c r="BW43" s="25" t="s">
        <v>1034</v>
      </c>
      <c r="BX43" s="25" t="s">
        <v>818</v>
      </c>
      <c r="CA43" t="s">
        <v>1035</v>
      </c>
      <c r="CB43" s="25">
        <v>2</v>
      </c>
    </row>
    <row r="44" spans="15:76" ht="14.4">
      <c r="O44" s="25" t="s">
        <v>916</v>
      </c>
      <c r="P44" s="25" t="s">
        <v>867</v>
      </c>
      <c r="Q44" s="25" t="str">
        <f t="shared" si="2"/>
        <v>Slimline Dual Top Blind Front Roll RHS ControlOutside Window Mount</v>
      </c>
      <c r="R44" s="25">
        <v>95</v>
      </c>
      <c r="T44" s="25" t="s">
        <v>822</v>
      </c>
      <c r="U44" s="25" t="s">
        <v>816</v>
      </c>
      <c r="V44" t="s">
        <v>999</v>
      </c>
      <c r="W44" s="25" t="str">
        <f t="shared" si="0"/>
        <v>Aluminium PelmetFaceHD Somfy External Remote Motor</v>
      </c>
      <c r="X44" s="25">
        <v>0</v>
      </c>
      <c r="Y44" s="25">
        <v>0</v>
      </c>
      <c r="Z44" s="25" t="s">
        <v>824</v>
      </c>
      <c r="AA44" s="25" t="s">
        <v>824</v>
      </c>
      <c r="AB44" s="25" t="s">
        <v>821</v>
      </c>
      <c r="AC44" s="25" t="s">
        <v>821</v>
      </c>
      <c r="AD44" s="25" t="s">
        <v>818</v>
      </c>
      <c r="AE44" s="25" t="s">
        <v>824</v>
      </c>
      <c r="AM44" s="25" t="s">
        <v>896</v>
      </c>
      <c r="AN44" s="25" t="s">
        <v>872</v>
      </c>
      <c r="AO44" s="25" t="s">
        <v>901</v>
      </c>
      <c r="AP44" s="25" t="str">
        <f t="shared" si="9"/>
        <v>Acmeda 12v 6nm MotorRightRHS Blind Independent Link</v>
      </c>
      <c r="AQ44" s="25" t="s">
        <v>828</v>
      </c>
      <c r="AR44" s="25" t="s">
        <v>828</v>
      </c>
      <c r="AS44" s="25" t="s">
        <v>828</v>
      </c>
      <c r="AT44" s="25" t="s">
        <v>828</v>
      </c>
      <c r="AU44" s="25" t="s">
        <v>829</v>
      </c>
      <c r="AV44" s="25" t="s">
        <v>902</v>
      </c>
      <c r="AW44" s="25" t="s">
        <v>821</v>
      </c>
      <c r="BB44" s="25" t="s">
        <v>937</v>
      </c>
      <c r="BC44" s="25" t="s">
        <v>1026</v>
      </c>
      <c r="BD44" s="25" t="str">
        <f t="shared" si="3"/>
        <v>Square Cassette with Side &amp; Bottom ChannelsCream</v>
      </c>
      <c r="BE44" s="25" t="s">
        <v>889</v>
      </c>
      <c r="BG44" s="25" t="s">
        <v>1002</v>
      </c>
      <c r="BH44" s="25" t="s">
        <v>1002</v>
      </c>
      <c r="BW44" s="25" t="s">
        <v>1036</v>
      </c>
      <c r="BX44" s="25" t="s">
        <v>818</v>
      </c>
    </row>
    <row r="45" spans="15:60" ht="14.4">
      <c r="O45" s="25" t="s">
        <v>916</v>
      </c>
      <c r="P45" s="25" t="s">
        <v>837</v>
      </c>
      <c r="Q45" s="25" t="str">
        <f t="shared" si="2"/>
        <v>Slimline Dual Top Blind Front Roll RHS ControlReveal</v>
      </c>
      <c r="R45" s="25">
        <v>95</v>
      </c>
      <c r="T45" s="25" t="s">
        <v>822</v>
      </c>
      <c r="U45" s="25" t="s">
        <v>854</v>
      </c>
      <c r="V45" s="25" t="s">
        <v>823</v>
      </c>
      <c r="W45" s="25" t="str">
        <f t="shared" si="0"/>
        <v>Aluminium PelmetTop FixChain Winder</v>
      </c>
      <c r="X45" s="25">
        <v>6</v>
      </c>
      <c r="Y45" s="25">
        <v>6</v>
      </c>
      <c r="Z45" s="25" t="s">
        <v>824</v>
      </c>
      <c r="AA45" s="25" t="s">
        <v>824</v>
      </c>
      <c r="AB45" s="25" t="s">
        <v>818</v>
      </c>
      <c r="AC45" s="25" t="s">
        <v>821</v>
      </c>
      <c r="AD45" s="25" t="s">
        <v>818</v>
      </c>
      <c r="AE45" s="25" t="s">
        <v>824</v>
      </c>
      <c r="AM45" s="25" t="s">
        <v>625</v>
      </c>
      <c r="AN45" s="25" t="s">
        <v>827</v>
      </c>
      <c r="AO45" s="25" t="s">
        <v>170</v>
      </c>
      <c r="AP45" s="25" t="str">
        <f t="shared" si="9"/>
        <v>Acmeda E6 MotorLeftControl</v>
      </c>
      <c r="AQ45" s="25" t="s">
        <v>828</v>
      </c>
      <c r="AR45" s="25" t="s">
        <v>828</v>
      </c>
      <c r="AS45" s="25" t="s">
        <v>828</v>
      </c>
      <c r="AT45" s="25" t="s">
        <v>828</v>
      </c>
      <c r="AU45" s="25" t="s">
        <v>829</v>
      </c>
      <c r="AV45" s="25" t="s">
        <v>830</v>
      </c>
      <c r="AW45" s="25" t="s">
        <v>821</v>
      </c>
      <c r="BB45" s="25" t="s">
        <v>942</v>
      </c>
      <c r="BC45" s="25" t="s">
        <v>1026</v>
      </c>
      <c r="BD45" s="25" t="str">
        <f t="shared" si="3"/>
        <v>Round CassetteCream</v>
      </c>
      <c r="BE45" s="25" t="s">
        <v>889</v>
      </c>
      <c r="BG45" s="25" t="s">
        <v>929</v>
      </c>
      <c r="BH45" s="25" t="s">
        <v>929</v>
      </c>
    </row>
    <row r="46" spans="15:57" ht="14.4">
      <c r="O46" s="25" t="s">
        <v>916</v>
      </c>
      <c r="P46" s="25" t="s">
        <v>880</v>
      </c>
      <c r="Q46" s="25" t="str">
        <f t="shared" si="2"/>
        <v>Slimline Dual Top Blind Front Roll RHS ControlInside Window Mount</v>
      </c>
      <c r="R46" s="25">
        <v>95</v>
      </c>
      <c r="T46" s="25" t="s">
        <v>822</v>
      </c>
      <c r="U46" s="25" t="s">
        <v>854</v>
      </c>
      <c r="V46" s="25" t="s">
        <v>841</v>
      </c>
      <c r="W46" s="25" t="str">
        <f t="shared" si="0"/>
        <v>Aluminium PelmetTop FixHD Chain Winder</v>
      </c>
      <c r="X46" s="25">
        <v>6</v>
      </c>
      <c r="Y46" s="25">
        <v>6</v>
      </c>
      <c r="Z46" s="25" t="s">
        <v>824</v>
      </c>
      <c r="AA46" s="25" t="s">
        <v>824</v>
      </c>
      <c r="AB46" s="25" t="s">
        <v>818</v>
      </c>
      <c r="AC46" s="25" t="s">
        <v>821</v>
      </c>
      <c r="AD46" s="25" t="s">
        <v>818</v>
      </c>
      <c r="AE46" s="25" t="s">
        <v>824</v>
      </c>
      <c r="AM46" s="25" t="s">
        <v>625</v>
      </c>
      <c r="AN46" s="25" t="s">
        <v>827</v>
      </c>
      <c r="AO46" s="25" t="s">
        <v>844</v>
      </c>
      <c r="AP46" s="25" t="str">
        <f t="shared" si="9"/>
        <v>Acmeda E6 MotorLeftLHS Blind Independent Link</v>
      </c>
      <c r="AQ46" s="25" t="s">
        <v>828</v>
      </c>
      <c r="AR46" s="25" t="s">
        <v>828</v>
      </c>
      <c r="AS46" s="25" t="s">
        <v>828</v>
      </c>
      <c r="AT46" s="25" t="s">
        <v>828</v>
      </c>
      <c r="AU46" s="25" t="s">
        <v>829</v>
      </c>
      <c r="AV46" s="25" t="s">
        <v>845</v>
      </c>
      <c r="AW46" s="25" t="s">
        <v>821</v>
      </c>
      <c r="BB46" s="25" t="s">
        <v>947</v>
      </c>
      <c r="BC46" s="25" t="s">
        <v>1026</v>
      </c>
      <c r="BD46" s="25" t="str">
        <f t="shared" si="12" ref="BD46">CONCATENATE(BB46,BC46)</f>
        <v>Round Cassette with Side ChannelsCream</v>
      </c>
      <c r="BE46" s="25" t="s">
        <v>889</v>
      </c>
    </row>
    <row r="47" spans="15:57" ht="14.4">
      <c r="O47" s="25" t="s">
        <v>916</v>
      </c>
      <c r="P47" s="25" t="s">
        <v>854</v>
      </c>
      <c r="Q47" s="25" t="str">
        <f t="shared" si="2"/>
        <v>Slimline Dual Top Blind Front Roll RHS ControlTop Fix</v>
      </c>
      <c r="R47" s="25">
        <v>95</v>
      </c>
      <c r="T47" s="25" t="s">
        <v>822</v>
      </c>
      <c r="U47" s="25" t="s">
        <v>854</v>
      </c>
      <c r="V47" s="25" t="s">
        <v>858</v>
      </c>
      <c r="W47" s="25" t="str">
        <f t="shared" si="0"/>
        <v>Aluminium PelmetTop FixChain Winder 60mm</v>
      </c>
      <c r="X47" s="25">
        <v>6</v>
      </c>
      <c r="Y47" s="25">
        <v>6</v>
      </c>
      <c r="Z47" s="25" t="s">
        <v>824</v>
      </c>
      <c r="AA47" s="25" t="s">
        <v>824</v>
      </c>
      <c r="AB47" s="25" t="s">
        <v>818</v>
      </c>
      <c r="AC47" s="25" t="s">
        <v>821</v>
      </c>
      <c r="AD47" s="25" t="s">
        <v>818</v>
      </c>
      <c r="AE47" s="25" t="s">
        <v>824</v>
      </c>
      <c r="AM47" s="25" t="s">
        <v>625</v>
      </c>
      <c r="AN47" s="25" t="s">
        <v>827</v>
      </c>
      <c r="AO47" s="25" t="s">
        <v>824</v>
      </c>
      <c r="AP47" s="25" t="str">
        <f t="shared" si="9"/>
        <v>Acmeda E6 MotorLeftN/A</v>
      </c>
      <c r="AQ47" s="25" t="s">
        <v>828</v>
      </c>
      <c r="AR47" s="25" t="s">
        <v>828</v>
      </c>
      <c r="AS47" s="25" t="s">
        <v>828</v>
      </c>
      <c r="AT47" s="25" t="s">
        <v>828</v>
      </c>
      <c r="AU47" s="25" t="s">
        <v>829</v>
      </c>
      <c r="AV47" s="25" t="s">
        <v>824</v>
      </c>
      <c r="AW47" s="25" t="s">
        <v>821</v>
      </c>
      <c r="BB47" s="25" t="s">
        <v>952</v>
      </c>
      <c r="BC47" s="25" t="s">
        <v>1026</v>
      </c>
      <c r="BD47" s="25" t="str">
        <f t="shared" si="3"/>
        <v>Round Cassette with Side &amp; Bottom ChannelsCream</v>
      </c>
      <c r="BE47" s="25" t="s">
        <v>889</v>
      </c>
    </row>
    <row r="48" spans="15:57" ht="14.4">
      <c r="O48" s="25" t="s">
        <v>926</v>
      </c>
      <c r="P48" s="25" t="s">
        <v>816</v>
      </c>
      <c r="Q48" s="25" t="str">
        <f t="shared" si="2"/>
        <v>Slimline Dual Top Blind Back Roll LHS ControlFace</v>
      </c>
      <c r="R48" s="25">
        <v>95</v>
      </c>
      <c r="T48" s="25" t="s">
        <v>822</v>
      </c>
      <c r="U48" s="25" t="s">
        <v>854</v>
      </c>
      <c r="V48" s="25" t="s">
        <v>865</v>
      </c>
      <c r="W48" s="25" t="str">
        <f t="shared" si="0"/>
        <v>Aluminium PelmetTop FixChain Winder Fixed Guide</v>
      </c>
      <c r="X48" s="25">
        <v>6</v>
      </c>
      <c r="Y48" s="25">
        <v>6</v>
      </c>
      <c r="Z48" s="25" t="s">
        <v>824</v>
      </c>
      <c r="AA48" s="25" t="s">
        <v>824</v>
      </c>
      <c r="AB48" s="25" t="s">
        <v>818</v>
      </c>
      <c r="AC48" s="25" t="s">
        <v>821</v>
      </c>
      <c r="AD48" s="25" t="s">
        <v>818</v>
      </c>
      <c r="AE48" s="25" t="s">
        <v>824</v>
      </c>
      <c r="AM48" s="25" t="s">
        <v>625</v>
      </c>
      <c r="AN48" s="25" t="s">
        <v>872</v>
      </c>
      <c r="AO48" s="25" t="s">
        <v>170</v>
      </c>
      <c r="AP48" s="25" t="str">
        <f t="shared" si="9"/>
        <v>Acmeda E6 MotorRightControl</v>
      </c>
      <c r="AQ48" s="25" t="s">
        <v>828</v>
      </c>
      <c r="AR48" s="25" t="s">
        <v>828</v>
      </c>
      <c r="AS48" s="25" t="s">
        <v>828</v>
      </c>
      <c r="AT48" s="25" t="s">
        <v>828</v>
      </c>
      <c r="AU48" s="25" t="s">
        <v>829</v>
      </c>
      <c r="AV48" s="25" t="s">
        <v>873</v>
      </c>
      <c r="AW48" s="25" t="s">
        <v>821</v>
      </c>
      <c r="BB48" s="25" t="s">
        <v>895</v>
      </c>
      <c r="BC48" s="25" t="s">
        <v>1026</v>
      </c>
      <c r="BD48" s="25" t="str">
        <f t="shared" si="3"/>
        <v>Aluminium ValanceCream</v>
      </c>
      <c r="BE48" s="25" t="s">
        <v>889</v>
      </c>
    </row>
    <row r="49" spans="15:57" ht="14.4">
      <c r="O49" s="25" t="s">
        <v>926</v>
      </c>
      <c r="P49" s="25" t="s">
        <v>867</v>
      </c>
      <c r="Q49" s="25" t="str">
        <f t="shared" si="2"/>
        <v>Slimline Dual Top Blind Back Roll LHS ControlOutside Window Mount</v>
      </c>
      <c r="R49" s="25">
        <v>95</v>
      </c>
      <c r="T49" s="25" t="s">
        <v>822</v>
      </c>
      <c r="U49" s="25" t="s">
        <v>854</v>
      </c>
      <c r="V49" s="25" t="s">
        <v>181</v>
      </c>
      <c r="W49" s="25" t="str">
        <f t="shared" si="0"/>
        <v>Aluminium PelmetTop FixLinked</v>
      </c>
      <c r="X49" s="25">
        <v>6</v>
      </c>
      <c r="Y49" s="25">
        <v>6</v>
      </c>
      <c r="Z49" s="25" t="s">
        <v>824</v>
      </c>
      <c r="AA49" s="25" t="s">
        <v>824</v>
      </c>
      <c r="AB49" s="25" t="s">
        <v>818</v>
      </c>
      <c r="AC49" s="25" t="s">
        <v>821</v>
      </c>
      <c r="AD49" s="25" t="s">
        <v>818</v>
      </c>
      <c r="AE49" s="25" t="s">
        <v>824</v>
      </c>
      <c r="AM49" s="25" t="s">
        <v>625</v>
      </c>
      <c r="AN49" s="25" t="s">
        <v>872</v>
      </c>
      <c r="AO49" s="25" t="s">
        <v>824</v>
      </c>
      <c r="AP49" s="25" t="str">
        <f t="shared" si="9"/>
        <v>Acmeda E6 MotorRightN/A</v>
      </c>
      <c r="AQ49" s="25" t="s">
        <v>828</v>
      </c>
      <c r="AR49" s="25" t="s">
        <v>828</v>
      </c>
      <c r="AS49" s="25" t="s">
        <v>828</v>
      </c>
      <c r="AT49" s="25" t="s">
        <v>828</v>
      </c>
      <c r="AU49" s="25" t="s">
        <v>829</v>
      </c>
      <c r="AV49" s="25" t="s">
        <v>824</v>
      </c>
      <c r="AW49" s="25" t="s">
        <v>821</v>
      </c>
      <c r="BB49" s="25" t="s">
        <v>955</v>
      </c>
      <c r="BC49" s="25" t="s">
        <v>1026</v>
      </c>
      <c r="BD49" s="25" t="str">
        <f t="shared" si="3"/>
        <v>Side ChannelsCream</v>
      </c>
      <c r="BE49" s="25" t="s">
        <v>889</v>
      </c>
    </row>
    <row r="50" spans="15:57" ht="14.4">
      <c r="O50" s="25" t="s">
        <v>926</v>
      </c>
      <c r="P50" s="25" t="s">
        <v>837</v>
      </c>
      <c r="Q50" s="25" t="str">
        <f t="shared" si="2"/>
        <v>Slimline Dual Top Blind Back Roll LHS ControlReveal</v>
      </c>
      <c r="R50" s="25">
        <v>95</v>
      </c>
      <c r="T50" s="25" t="s">
        <v>822</v>
      </c>
      <c r="U50" s="25" t="s">
        <v>854</v>
      </c>
      <c r="V50" s="25" t="s">
        <v>898</v>
      </c>
      <c r="W50" s="25" t="str">
        <f t="shared" si="0"/>
        <v>Aluminium PelmetTop FixLinked - HD</v>
      </c>
      <c r="X50" s="25">
        <v>6</v>
      </c>
      <c r="Y50" s="25">
        <v>6</v>
      </c>
      <c r="Z50" s="25" t="s">
        <v>824</v>
      </c>
      <c r="AA50" s="25" t="s">
        <v>824</v>
      </c>
      <c r="AB50" s="25" t="s">
        <v>818</v>
      </c>
      <c r="AC50" s="25" t="s">
        <v>821</v>
      </c>
      <c r="AD50" s="25" t="s">
        <v>818</v>
      </c>
      <c r="AE50" s="25" t="s">
        <v>824</v>
      </c>
      <c r="AM50" s="25" t="s">
        <v>625</v>
      </c>
      <c r="AN50" s="25" t="s">
        <v>872</v>
      </c>
      <c r="AO50" s="25" t="s">
        <v>901</v>
      </c>
      <c r="AP50" s="25" t="str">
        <f t="shared" si="9"/>
        <v>Acmeda E6 MotorRightRHS Blind Independent Link</v>
      </c>
      <c r="AQ50" s="25" t="s">
        <v>828</v>
      </c>
      <c r="AR50" s="25" t="s">
        <v>828</v>
      </c>
      <c r="AS50" s="25" t="s">
        <v>828</v>
      </c>
      <c r="AT50" s="25" t="s">
        <v>828</v>
      </c>
      <c r="AU50" s="25" t="s">
        <v>829</v>
      </c>
      <c r="AV50" s="25" t="s">
        <v>902</v>
      </c>
      <c r="AW50" s="25" t="s">
        <v>821</v>
      </c>
      <c r="BB50" s="25" t="s">
        <v>248</v>
      </c>
      <c r="BC50" s="25" t="s">
        <v>903</v>
      </c>
      <c r="BD50" s="25" t="str">
        <f t="shared" si="3"/>
        <v>Mounting RailWhite</v>
      </c>
      <c r="BE50" s="25" t="s">
        <v>889</v>
      </c>
    </row>
    <row r="51" spans="15:54" ht="14.4">
      <c r="O51" s="25" t="s">
        <v>926</v>
      </c>
      <c r="P51" s="25" t="s">
        <v>880</v>
      </c>
      <c r="Q51" s="25" t="str">
        <f t="shared" si="2"/>
        <v>Slimline Dual Top Blind Back Roll LHS ControlInside Window Mount</v>
      </c>
      <c r="R51" s="25">
        <v>95</v>
      </c>
      <c r="T51" s="25" t="s">
        <v>822</v>
      </c>
      <c r="U51" s="25" t="s">
        <v>854</v>
      </c>
      <c r="V51" s="25" t="s">
        <v>910</v>
      </c>
      <c r="W51" s="25" t="str">
        <f t="shared" si="0"/>
        <v>Aluminium PelmetTop FixStandard Spring</v>
      </c>
      <c r="X51" s="25">
        <v>6</v>
      </c>
      <c r="Y51" s="25">
        <v>6</v>
      </c>
      <c r="Z51" s="25" t="s">
        <v>824</v>
      </c>
      <c r="AA51" s="25" t="s">
        <v>824</v>
      </c>
      <c r="AB51" s="25" t="s">
        <v>818</v>
      </c>
      <c r="AC51" s="25" t="s">
        <v>821</v>
      </c>
      <c r="AD51" s="25" t="s">
        <v>818</v>
      </c>
      <c r="AE51" s="25" t="s">
        <v>824</v>
      </c>
      <c r="AM51" s="25" t="s">
        <v>927</v>
      </c>
      <c r="AN51" s="25" t="s">
        <v>827</v>
      </c>
      <c r="AO51" s="25" t="s">
        <v>824</v>
      </c>
      <c r="AP51" s="25" t="str">
        <f t="shared" si="9"/>
        <v>Acmeda External MotorLeftN/A</v>
      </c>
      <c r="AQ51" s="25" t="s">
        <v>900</v>
      </c>
      <c r="AR51" s="25" t="s">
        <v>900</v>
      </c>
      <c r="AS51" s="25" t="s">
        <v>900</v>
      </c>
      <c r="AT51" s="25" t="s">
        <v>900</v>
      </c>
      <c r="AU51" s="25" t="s">
        <v>900</v>
      </c>
      <c r="AV51" s="25" t="s">
        <v>977</v>
      </c>
      <c r="AW51" s="25" t="s">
        <v>821</v>
      </c>
      <c r="BB51"/>
    </row>
    <row r="52" spans="15:49" ht="14.4">
      <c r="O52" s="25" t="s">
        <v>926</v>
      </c>
      <c r="P52" s="25" t="s">
        <v>854</v>
      </c>
      <c r="Q52" s="25" t="str">
        <f t="shared" si="2"/>
        <v>Slimline Dual Top Blind Back Roll LHS ControlTop Fix</v>
      </c>
      <c r="R52" s="25">
        <v>95</v>
      </c>
      <c r="T52" s="25" t="s">
        <v>822</v>
      </c>
      <c r="U52" s="25" t="s">
        <v>854</v>
      </c>
      <c r="V52" s="25" t="s">
        <v>920</v>
      </c>
      <c r="W52" s="25" t="str">
        <f t="shared" si="0"/>
        <v>Aluminium PelmetTop FixSmall Spring</v>
      </c>
      <c r="X52" s="25">
        <v>6</v>
      </c>
      <c r="Y52" s="25">
        <v>6</v>
      </c>
      <c r="Z52" s="25" t="s">
        <v>824</v>
      </c>
      <c r="AA52" s="25" t="s">
        <v>824</v>
      </c>
      <c r="AB52" s="25" t="s">
        <v>821</v>
      </c>
      <c r="AC52" s="25" t="s">
        <v>821</v>
      </c>
      <c r="AD52" s="25" t="s">
        <v>818</v>
      </c>
      <c r="AE52" s="25" t="s">
        <v>824</v>
      </c>
      <c r="AM52" s="25" t="s">
        <v>927</v>
      </c>
      <c r="AN52" s="25" t="s">
        <v>872</v>
      </c>
      <c r="AO52" s="25" t="s">
        <v>824</v>
      </c>
      <c r="AP52" s="25" t="str">
        <f t="shared" si="9"/>
        <v>Acmeda External MotorRightN/A</v>
      </c>
      <c r="AQ52" s="25" t="s">
        <v>900</v>
      </c>
      <c r="AR52" s="25" t="s">
        <v>900</v>
      </c>
      <c r="AS52" s="25" t="s">
        <v>900</v>
      </c>
      <c r="AT52" s="25" t="s">
        <v>900</v>
      </c>
      <c r="AU52" s="25" t="s">
        <v>900</v>
      </c>
      <c r="AV52" s="25" t="s">
        <v>977</v>
      </c>
      <c r="AW52" s="25" t="s">
        <v>821</v>
      </c>
    </row>
    <row r="53" spans="15:49" ht="14.4">
      <c r="O53" s="25" t="s">
        <v>933</v>
      </c>
      <c r="P53" s="25" t="s">
        <v>816</v>
      </c>
      <c r="Q53" s="25" t="str">
        <f t="shared" si="2"/>
        <v>Slimline Dual Top Blind Back Roll RHS ControlFace</v>
      </c>
      <c r="R53" s="25">
        <v>95</v>
      </c>
      <c r="T53" s="25" t="s">
        <v>822</v>
      </c>
      <c r="U53" s="25" t="s">
        <v>854</v>
      </c>
      <c r="V53" s="25" t="s">
        <v>929</v>
      </c>
      <c r="W53" s="25" t="str">
        <f t="shared" si="0"/>
        <v>Aluminium PelmetTop FixUniline Spring (Old Style)</v>
      </c>
      <c r="X53" s="25">
        <v>6</v>
      </c>
      <c r="Y53" s="25">
        <v>6</v>
      </c>
      <c r="Z53" s="25" t="s">
        <v>824</v>
      </c>
      <c r="AA53" s="25" t="s">
        <v>824</v>
      </c>
      <c r="AB53" s="25" t="s">
        <v>818</v>
      </c>
      <c r="AC53" s="25" t="s">
        <v>821</v>
      </c>
      <c r="AD53" s="25" t="s">
        <v>818</v>
      </c>
      <c r="AE53" s="25" t="s">
        <v>824</v>
      </c>
      <c r="AM53" s="25" t="s">
        <v>927</v>
      </c>
      <c r="AN53" s="25" t="s">
        <v>827</v>
      </c>
      <c r="AO53" s="25" t="s">
        <v>170</v>
      </c>
      <c r="AP53" s="25" t="str">
        <f t="shared" si="9"/>
        <v>Acmeda External MotorLeftControl</v>
      </c>
      <c r="AQ53" s="25" t="s">
        <v>900</v>
      </c>
      <c r="AR53" s="25" t="s">
        <v>900</v>
      </c>
      <c r="AS53" s="25" t="s">
        <v>900</v>
      </c>
      <c r="AT53" s="25" t="s">
        <v>900</v>
      </c>
      <c r="AU53" s="25" t="s">
        <v>900</v>
      </c>
      <c r="AV53" s="25" t="s">
        <v>1037</v>
      </c>
      <c r="AW53" s="25" t="s">
        <v>821</v>
      </c>
    </row>
    <row r="54" spans="15:49" ht="14.4">
      <c r="O54" s="25" t="s">
        <v>933</v>
      </c>
      <c r="P54" s="25" t="s">
        <v>867</v>
      </c>
      <c r="Q54" s="25" t="str">
        <f t="shared" si="2"/>
        <v>Slimline Dual Top Blind Back Roll RHS ControlOutside Window Mount</v>
      </c>
      <c r="R54" s="25">
        <v>95</v>
      </c>
      <c r="T54" s="25" t="s">
        <v>822</v>
      </c>
      <c r="U54" s="25" t="s">
        <v>854</v>
      </c>
      <c r="V54" s="25" t="s">
        <v>935</v>
      </c>
      <c r="W54" s="25" t="str">
        <f t="shared" si="0"/>
        <v>Aluminium PelmetTop FixBecker Remote Motor</v>
      </c>
      <c r="X54" s="25">
        <v>6</v>
      </c>
      <c r="Y54" s="25">
        <v>6</v>
      </c>
      <c r="Z54" s="25" t="s">
        <v>824</v>
      </c>
      <c r="AA54" s="25" t="s">
        <v>824</v>
      </c>
      <c r="AB54" s="25" t="s">
        <v>818</v>
      </c>
      <c r="AC54" s="25" t="s">
        <v>821</v>
      </c>
      <c r="AD54" s="25" t="s">
        <v>818</v>
      </c>
      <c r="AE54" s="25" t="s">
        <v>824</v>
      </c>
      <c r="AM54" s="25" t="s">
        <v>927</v>
      </c>
      <c r="AN54" s="25" t="s">
        <v>872</v>
      </c>
      <c r="AO54" s="25" t="s">
        <v>170</v>
      </c>
      <c r="AP54" s="25" t="str">
        <f t="shared" si="9"/>
        <v>Acmeda External MotorRightControl</v>
      </c>
      <c r="AQ54" s="25" t="s">
        <v>900</v>
      </c>
      <c r="AR54" s="25" t="s">
        <v>900</v>
      </c>
      <c r="AS54" s="25" t="s">
        <v>900</v>
      </c>
      <c r="AT54" s="25" t="s">
        <v>900</v>
      </c>
      <c r="AU54" s="25" t="s">
        <v>900</v>
      </c>
      <c r="AV54" s="25" t="s">
        <v>1038</v>
      </c>
      <c r="AW54" s="25" t="s">
        <v>821</v>
      </c>
    </row>
    <row r="55" spans="15:49" ht="14.4">
      <c r="O55" s="25" t="s">
        <v>933</v>
      </c>
      <c r="P55" s="25" t="s">
        <v>837</v>
      </c>
      <c r="Q55" s="25" t="str">
        <f t="shared" si="2"/>
        <v>Slimline Dual Top Blind Back Roll RHS ControlReveal</v>
      </c>
      <c r="R55" s="25">
        <v>95</v>
      </c>
      <c r="T55" s="25" t="s">
        <v>822</v>
      </c>
      <c r="U55" s="25" t="s">
        <v>854</v>
      </c>
      <c r="V55" s="25" t="s">
        <v>939</v>
      </c>
      <c r="W55" s="25" t="str">
        <f t="shared" si="0"/>
        <v>Aluminium PelmetTop FixBecker CBUS Motor</v>
      </c>
      <c r="X55" s="25">
        <v>6</v>
      </c>
      <c r="Y55" s="25">
        <v>6</v>
      </c>
      <c r="Z55" s="25" t="s">
        <v>824</v>
      </c>
      <c r="AA55" s="25" t="s">
        <v>824</v>
      </c>
      <c r="AB55" s="25" t="s">
        <v>818</v>
      </c>
      <c r="AC55" s="25" t="s">
        <v>821</v>
      </c>
      <c r="AD55" s="25" t="s">
        <v>818</v>
      </c>
      <c r="AE55" s="25" t="s">
        <v>824</v>
      </c>
      <c r="AM55" s="25" t="s">
        <v>918</v>
      </c>
      <c r="AN55" s="25" t="s">
        <v>827</v>
      </c>
      <c r="AO55" s="25" t="s">
        <v>824</v>
      </c>
      <c r="AP55" s="25" t="str">
        <f t="shared" si="13" ref="AP55:AP58">CONCATENATE(AM55,AN55,AO55)</f>
        <v>Acmeda External 12v MotorLeftN/A</v>
      </c>
      <c r="AQ55" s="25" t="s">
        <v>900</v>
      </c>
      <c r="AR55" s="25" t="s">
        <v>900</v>
      </c>
      <c r="AS55" s="25" t="s">
        <v>900</v>
      </c>
      <c r="AT55" s="25" t="s">
        <v>900</v>
      </c>
      <c r="AU55" s="25" t="s">
        <v>900</v>
      </c>
      <c r="AV55" s="25" t="s">
        <v>977</v>
      </c>
      <c r="AW55" s="25" t="s">
        <v>821</v>
      </c>
    </row>
    <row r="56" spans="15:49" ht="14.4">
      <c r="O56" s="25" t="s">
        <v>933</v>
      </c>
      <c r="P56" s="25" t="s">
        <v>880</v>
      </c>
      <c r="Q56" s="25" t="str">
        <f t="shared" si="2"/>
        <v>Slimline Dual Top Blind Back Roll RHS ControlInside Window Mount</v>
      </c>
      <c r="R56" s="25">
        <v>95</v>
      </c>
      <c r="T56" s="25" t="s">
        <v>822</v>
      </c>
      <c r="U56" s="25" t="s">
        <v>854</v>
      </c>
      <c r="V56" s="25" t="s">
        <v>946</v>
      </c>
      <c r="W56" s="25" t="str">
        <f t="shared" si="0"/>
        <v>Aluminium PelmetTop FixBecker External Remote Motor</v>
      </c>
      <c r="X56" s="25">
        <v>0</v>
      </c>
      <c r="Y56" s="25">
        <v>0</v>
      </c>
      <c r="Z56" s="25" t="s">
        <v>824</v>
      </c>
      <c r="AA56" s="25" t="s">
        <v>824</v>
      </c>
      <c r="AB56" s="25" t="s">
        <v>821</v>
      </c>
      <c r="AC56" s="25" t="s">
        <v>821</v>
      </c>
      <c r="AD56" s="25" t="s">
        <v>818</v>
      </c>
      <c r="AE56" s="25" t="s">
        <v>824</v>
      </c>
      <c r="AM56" s="25" t="s">
        <v>918</v>
      </c>
      <c r="AN56" s="25" t="s">
        <v>872</v>
      </c>
      <c r="AO56" s="25" t="s">
        <v>824</v>
      </c>
      <c r="AP56" s="25" t="str">
        <f t="shared" si="13"/>
        <v>Acmeda External 12v MotorRightN/A</v>
      </c>
      <c r="AQ56" s="25" t="s">
        <v>900</v>
      </c>
      <c r="AR56" s="25" t="s">
        <v>900</v>
      </c>
      <c r="AS56" s="25" t="s">
        <v>900</v>
      </c>
      <c r="AT56" s="25" t="s">
        <v>900</v>
      </c>
      <c r="AU56" s="25" t="s">
        <v>900</v>
      </c>
      <c r="AV56" s="25" t="s">
        <v>977</v>
      </c>
      <c r="AW56" s="25" t="s">
        <v>821</v>
      </c>
    </row>
    <row r="57" spans="15:49" ht="14.4">
      <c r="O57" s="25" t="s">
        <v>933</v>
      </c>
      <c r="P57" s="25" t="s">
        <v>854</v>
      </c>
      <c r="Q57" s="25" t="str">
        <f t="shared" si="2"/>
        <v>Slimline Dual Top Blind Back Roll RHS ControlTop Fix</v>
      </c>
      <c r="R57" s="25">
        <v>95</v>
      </c>
      <c r="T57" s="25" t="s">
        <v>822</v>
      </c>
      <c r="U57" s="25" t="s">
        <v>854</v>
      </c>
      <c r="V57" s="25" t="s">
        <v>951</v>
      </c>
      <c r="W57" s="25" t="str">
        <f t="shared" si="0"/>
        <v>Aluminium PelmetTop FixBecker External CBUS Motor</v>
      </c>
      <c r="X57" s="25">
        <v>0</v>
      </c>
      <c r="Y57" s="25">
        <v>0</v>
      </c>
      <c r="Z57" s="25" t="s">
        <v>824</v>
      </c>
      <c r="AA57" s="25" t="s">
        <v>824</v>
      </c>
      <c r="AB57" s="25" t="s">
        <v>821</v>
      </c>
      <c r="AC57" s="25" t="s">
        <v>821</v>
      </c>
      <c r="AD57" s="25" t="s">
        <v>818</v>
      </c>
      <c r="AE57" s="25" t="s">
        <v>824</v>
      </c>
      <c r="AM57" s="25" t="s">
        <v>918</v>
      </c>
      <c r="AN57" s="25" t="s">
        <v>827</v>
      </c>
      <c r="AO57" s="25" t="s">
        <v>170</v>
      </c>
      <c r="AP57" s="25" t="str">
        <f t="shared" si="13"/>
        <v>Acmeda External 12v MotorLeftControl</v>
      </c>
      <c r="AQ57" s="25" t="s">
        <v>900</v>
      </c>
      <c r="AR57" s="25" t="s">
        <v>900</v>
      </c>
      <c r="AS57" s="25" t="s">
        <v>900</v>
      </c>
      <c r="AT57" s="25" t="s">
        <v>900</v>
      </c>
      <c r="AU57" s="25" t="s">
        <v>900</v>
      </c>
      <c r="AV57" s="25" t="s">
        <v>1037</v>
      </c>
      <c r="AW57" s="25" t="s">
        <v>821</v>
      </c>
    </row>
    <row r="58" spans="20:49" ht="14.4">
      <c r="T58" s="25" t="s">
        <v>822</v>
      </c>
      <c r="U58" s="25" t="s">
        <v>854</v>
      </c>
      <c r="V58" s="25" t="s">
        <v>838</v>
      </c>
      <c r="W58" s="25" t="str">
        <f t="shared" si="0"/>
        <v>Aluminium PelmetTop Fix1.1nm 12v Acmeda Motor</v>
      </c>
      <c r="X58" s="25">
        <v>6</v>
      </c>
      <c r="Y58" s="25">
        <v>6</v>
      </c>
      <c r="Z58" s="25" t="s">
        <v>824</v>
      </c>
      <c r="AA58" s="25" t="s">
        <v>824</v>
      </c>
      <c r="AB58" s="25" t="s">
        <v>818</v>
      </c>
      <c r="AC58" s="25" t="s">
        <v>821</v>
      </c>
      <c r="AD58" s="25" t="s">
        <v>818</v>
      </c>
      <c r="AE58" s="25" t="s">
        <v>824</v>
      </c>
      <c r="AM58" s="25" t="s">
        <v>918</v>
      </c>
      <c r="AN58" s="25" t="s">
        <v>872</v>
      </c>
      <c r="AO58" s="25" t="s">
        <v>170</v>
      </c>
      <c r="AP58" s="25" t="str">
        <f t="shared" si="13"/>
        <v>Acmeda External 12v MotorRightControl</v>
      </c>
      <c r="AQ58" s="25" t="s">
        <v>900</v>
      </c>
      <c r="AR58" s="25" t="s">
        <v>900</v>
      </c>
      <c r="AS58" s="25" t="s">
        <v>900</v>
      </c>
      <c r="AT58" s="25" t="s">
        <v>900</v>
      </c>
      <c r="AU58" s="25" t="s">
        <v>900</v>
      </c>
      <c r="AV58" s="25" t="s">
        <v>1038</v>
      </c>
      <c r="AW58" s="25" t="s">
        <v>821</v>
      </c>
    </row>
    <row r="59" spans="20:49" ht="14.4">
      <c r="T59" s="25" t="s">
        <v>822</v>
      </c>
      <c r="U59" s="25" t="s">
        <v>854</v>
      </c>
      <c r="V59" t="s">
        <v>882</v>
      </c>
      <c r="W59" s="25" t="str">
        <f t="shared" si="0"/>
        <v>Aluminium PelmetTop Fix2nm 12v Acmeda Motor</v>
      </c>
      <c r="X59" s="25">
        <v>6</v>
      </c>
      <c r="Y59" s="25">
        <v>6</v>
      </c>
      <c r="Z59" s="25" t="s">
        <v>824</v>
      </c>
      <c r="AA59" s="25" t="s">
        <v>824</v>
      </c>
      <c r="AB59" s="25" t="s">
        <v>818</v>
      </c>
      <c r="AC59" s="25" t="s">
        <v>821</v>
      </c>
      <c r="AD59" s="25" t="s">
        <v>818</v>
      </c>
      <c r="AE59" s="25" t="s">
        <v>824</v>
      </c>
      <c r="AM59" s="25" t="s">
        <v>626</v>
      </c>
      <c r="AN59" s="25" t="s">
        <v>827</v>
      </c>
      <c r="AO59" s="25" t="s">
        <v>170</v>
      </c>
      <c r="AP59" s="25" t="str">
        <f t="shared" si="9"/>
        <v>Acmeda M6 MotorLeftControl</v>
      </c>
      <c r="AQ59" s="25" t="s">
        <v>900</v>
      </c>
      <c r="AR59" s="25" t="s">
        <v>900</v>
      </c>
      <c r="AS59" s="25" t="s">
        <v>900</v>
      </c>
      <c r="AT59" s="25" t="s">
        <v>900</v>
      </c>
      <c r="AU59" s="25" t="s">
        <v>900</v>
      </c>
      <c r="AV59" s="25" t="s">
        <v>830</v>
      </c>
      <c r="AW59" s="25" t="s">
        <v>821</v>
      </c>
    </row>
    <row r="60" spans="20:49" ht="14.4">
      <c r="T60" s="25" t="s">
        <v>822</v>
      </c>
      <c r="U60" s="25" t="s">
        <v>854</v>
      </c>
      <c r="V60" t="s">
        <v>896</v>
      </c>
      <c r="W60" s="25" t="str">
        <f t="shared" si="0"/>
        <v>Aluminium PelmetTop FixAcmeda 12v 6nm Motor</v>
      </c>
      <c r="X60" s="25">
        <v>6</v>
      </c>
      <c r="Y60" s="25">
        <v>6</v>
      </c>
      <c r="Z60" s="25" t="s">
        <v>824</v>
      </c>
      <c r="AA60" s="25" t="s">
        <v>824</v>
      </c>
      <c r="AB60" s="25" t="s">
        <v>818</v>
      </c>
      <c r="AC60" s="25" t="s">
        <v>821</v>
      </c>
      <c r="AD60" s="25" t="s">
        <v>818</v>
      </c>
      <c r="AE60" s="25" t="s">
        <v>824</v>
      </c>
      <c r="AM60" s="25" t="s">
        <v>626</v>
      </c>
      <c r="AN60" s="25" t="s">
        <v>827</v>
      </c>
      <c r="AO60" s="25" t="s">
        <v>844</v>
      </c>
      <c r="AP60" s="25" t="str">
        <f t="shared" si="9"/>
        <v>Acmeda M6 MotorLeftLHS Blind Independent Link</v>
      </c>
      <c r="AQ60" s="25" t="s">
        <v>828</v>
      </c>
      <c r="AR60" s="25" t="s">
        <v>828</v>
      </c>
      <c r="AS60" s="25" t="s">
        <v>828</v>
      </c>
      <c r="AT60" s="25" t="s">
        <v>828</v>
      </c>
      <c r="AU60" s="25" t="s">
        <v>829</v>
      </c>
      <c r="AV60" s="25" t="s">
        <v>845</v>
      </c>
      <c r="AW60" s="25" t="s">
        <v>821</v>
      </c>
    </row>
    <row r="61" spans="20:49" ht="14.4">
      <c r="T61" s="25" t="s">
        <v>822</v>
      </c>
      <c r="U61" s="25" t="s">
        <v>854</v>
      </c>
      <c r="V61" t="s">
        <v>855</v>
      </c>
      <c r="W61" s="25" t="str">
        <f t="shared" si="0"/>
        <v>Aluminium PelmetTop Fix0.7nm 12v Acmeda Motor</v>
      </c>
      <c r="X61" s="25">
        <v>6</v>
      </c>
      <c r="Y61" s="25">
        <v>6</v>
      </c>
      <c r="Z61" s="25" t="s">
        <v>824</v>
      </c>
      <c r="AA61" s="25" t="s">
        <v>824</v>
      </c>
      <c r="AB61" s="25" t="s">
        <v>818</v>
      </c>
      <c r="AC61" s="25" t="s">
        <v>821</v>
      </c>
      <c r="AD61" s="25" t="s">
        <v>818</v>
      </c>
      <c r="AE61" s="25" t="s">
        <v>824</v>
      </c>
      <c r="AM61" s="25" t="s">
        <v>626</v>
      </c>
      <c r="AN61" s="25" t="s">
        <v>827</v>
      </c>
      <c r="AO61" s="25" t="s">
        <v>824</v>
      </c>
      <c r="AP61" s="25" t="str">
        <f t="shared" si="9"/>
        <v>Acmeda M6 MotorLeftN/A</v>
      </c>
      <c r="AQ61" s="25" t="s">
        <v>828</v>
      </c>
      <c r="AR61" s="25" t="s">
        <v>828</v>
      </c>
      <c r="AS61" s="25" t="s">
        <v>828</v>
      </c>
      <c r="AT61" s="25" t="s">
        <v>828</v>
      </c>
      <c r="AU61" s="25" t="s">
        <v>829</v>
      </c>
      <c r="AV61" s="25" t="s">
        <v>824</v>
      </c>
      <c r="AW61" s="25" t="s">
        <v>821</v>
      </c>
    </row>
    <row r="62" spans="20:49" ht="14.4">
      <c r="T62" s="25" t="s">
        <v>822</v>
      </c>
      <c r="U62" s="25" t="s">
        <v>854</v>
      </c>
      <c r="V62" s="25" t="s">
        <v>849</v>
      </c>
      <c r="W62" s="25" t="str">
        <f t="shared" si="0"/>
        <v>Aluminium PelmetTop Fix1.1nm 12v Acmeda DCRF Motor with External Battery</v>
      </c>
      <c r="X62" s="25">
        <v>6</v>
      </c>
      <c r="Y62" s="25">
        <v>6</v>
      </c>
      <c r="Z62" s="25" t="s">
        <v>824</v>
      </c>
      <c r="AA62" s="25" t="s">
        <v>824</v>
      </c>
      <c r="AB62" s="25" t="s">
        <v>818</v>
      </c>
      <c r="AC62" s="25" t="s">
        <v>821</v>
      </c>
      <c r="AD62" s="25" t="s">
        <v>818</v>
      </c>
      <c r="AE62" s="25" t="s">
        <v>824</v>
      </c>
      <c r="AM62" s="25" t="s">
        <v>626</v>
      </c>
      <c r="AN62" s="25" t="s">
        <v>872</v>
      </c>
      <c r="AO62" s="25" t="s">
        <v>170</v>
      </c>
      <c r="AP62" s="25" t="str">
        <f t="shared" si="9"/>
        <v>Acmeda M6 MotorRightControl</v>
      </c>
      <c r="AQ62" s="25" t="s">
        <v>828</v>
      </c>
      <c r="AR62" s="25" t="s">
        <v>828</v>
      </c>
      <c r="AS62" s="25" t="s">
        <v>828</v>
      </c>
      <c r="AT62" s="25" t="s">
        <v>828</v>
      </c>
      <c r="AU62" s="25" t="s">
        <v>829</v>
      </c>
      <c r="AV62" s="25" t="s">
        <v>873</v>
      </c>
      <c r="AW62" s="25" t="s">
        <v>821</v>
      </c>
    </row>
    <row r="63" spans="20:49" ht="14.4">
      <c r="T63" s="25" t="s">
        <v>822</v>
      </c>
      <c r="U63" s="25" t="s">
        <v>854</v>
      </c>
      <c r="V63" s="25" t="s">
        <v>817</v>
      </c>
      <c r="W63" s="25" t="str">
        <f t="shared" si="0"/>
        <v>Aluminium PelmetTop Fix1.1nm 12v Acmeda DCRF Motor</v>
      </c>
      <c r="X63" s="25">
        <v>6</v>
      </c>
      <c r="Y63" s="25">
        <v>6</v>
      </c>
      <c r="Z63" s="25" t="s">
        <v>824</v>
      </c>
      <c r="AA63" s="25" t="s">
        <v>824</v>
      </c>
      <c r="AB63" s="25" t="s">
        <v>818</v>
      </c>
      <c r="AC63" s="25" t="s">
        <v>821</v>
      </c>
      <c r="AD63" s="25" t="s">
        <v>818</v>
      </c>
      <c r="AE63" s="25" t="s">
        <v>824</v>
      </c>
      <c r="AM63" s="25" t="s">
        <v>626</v>
      </c>
      <c r="AN63" s="25" t="s">
        <v>872</v>
      </c>
      <c r="AO63" s="25" t="s">
        <v>824</v>
      </c>
      <c r="AP63" s="25" t="str">
        <f t="shared" si="9"/>
        <v>Acmeda M6 MotorRightN/A</v>
      </c>
      <c r="AQ63" s="25" t="s">
        <v>828</v>
      </c>
      <c r="AR63" s="25" t="s">
        <v>828</v>
      </c>
      <c r="AS63" s="25" t="s">
        <v>828</v>
      </c>
      <c r="AT63" s="25" t="s">
        <v>828</v>
      </c>
      <c r="AU63" s="25" t="s">
        <v>829</v>
      </c>
      <c r="AV63" s="25" t="s">
        <v>824</v>
      </c>
      <c r="AW63" s="25" t="s">
        <v>821</v>
      </c>
    </row>
    <row r="64" spans="20:49" ht="14.4">
      <c r="T64" s="25" t="s">
        <v>822</v>
      </c>
      <c r="U64" s="25" t="s">
        <v>854</v>
      </c>
      <c r="V64" s="25" t="s">
        <v>868</v>
      </c>
      <c r="W64" s="25" t="str">
        <f t="shared" si="0"/>
        <v>Aluminium PelmetTop Fix2nm 12v Acmeda DCRF Motor</v>
      </c>
      <c r="X64" s="25">
        <v>6</v>
      </c>
      <c r="Y64" s="25">
        <v>6</v>
      </c>
      <c r="Z64" s="25" t="s">
        <v>824</v>
      </c>
      <c r="AA64" s="25" t="s">
        <v>824</v>
      </c>
      <c r="AB64" s="25" t="s">
        <v>818</v>
      </c>
      <c r="AC64" s="25" t="s">
        <v>821</v>
      </c>
      <c r="AD64" s="25" t="s">
        <v>818</v>
      </c>
      <c r="AE64" s="25" t="s">
        <v>824</v>
      </c>
      <c r="AM64" s="25" t="s">
        <v>626</v>
      </c>
      <c r="AN64" s="25" t="s">
        <v>872</v>
      </c>
      <c r="AO64" s="25" t="s">
        <v>901</v>
      </c>
      <c r="AP64" s="25" t="str">
        <f t="shared" si="9"/>
        <v>Acmeda M6 MotorRightRHS Blind Independent Link</v>
      </c>
      <c r="AQ64" s="25" t="s">
        <v>828</v>
      </c>
      <c r="AR64" s="25" t="s">
        <v>828</v>
      </c>
      <c r="AS64" s="25" t="s">
        <v>828</v>
      </c>
      <c r="AT64" s="25" t="s">
        <v>828</v>
      </c>
      <c r="AU64" s="25" t="s">
        <v>829</v>
      </c>
      <c r="AV64" s="25" t="s">
        <v>902</v>
      </c>
      <c r="AW64" s="25" t="s">
        <v>821</v>
      </c>
    </row>
    <row r="65" spans="20:49" ht="14.4">
      <c r="T65" s="25" t="s">
        <v>822</v>
      </c>
      <c r="U65" s="25" t="s">
        <v>854</v>
      </c>
      <c r="V65" t="s">
        <v>973</v>
      </c>
      <c r="W65" s="25" t="str">
        <f t="shared" si="0"/>
        <v>Aluminium PelmetTop FixSomfy Remote Sonesse Motor</v>
      </c>
      <c r="X65" s="25">
        <v>6</v>
      </c>
      <c r="Y65" s="25">
        <v>6</v>
      </c>
      <c r="Z65" s="25" t="s">
        <v>824</v>
      </c>
      <c r="AA65" s="25" t="s">
        <v>824</v>
      </c>
      <c r="AB65" s="25" t="s">
        <v>818</v>
      </c>
      <c r="AC65" s="25" t="s">
        <v>821</v>
      </c>
      <c r="AD65" s="25" t="s">
        <v>818</v>
      </c>
      <c r="AE65" s="25" t="s">
        <v>824</v>
      </c>
      <c r="AM65" s="25" t="s">
        <v>939</v>
      </c>
      <c r="AN65" s="25" t="s">
        <v>827</v>
      </c>
      <c r="AO65" s="25" t="s">
        <v>170</v>
      </c>
      <c r="AP65" s="25" t="str">
        <f t="shared" si="9"/>
        <v>Becker CBUS MotorLeftControl</v>
      </c>
      <c r="AQ65" s="25" t="s">
        <v>828</v>
      </c>
      <c r="AR65" s="25" t="s">
        <v>828</v>
      </c>
      <c r="AS65" s="25" t="s">
        <v>828</v>
      </c>
      <c r="AT65" s="25" t="s">
        <v>828</v>
      </c>
      <c r="AU65" s="25" t="s">
        <v>829</v>
      </c>
      <c r="AV65" s="25" t="s">
        <v>830</v>
      </c>
      <c r="AW65" s="25" t="s">
        <v>821</v>
      </c>
    </row>
    <row r="66" spans="20:49" ht="14.4">
      <c r="T66" s="25" t="s">
        <v>822</v>
      </c>
      <c r="U66" s="25" t="s">
        <v>854</v>
      </c>
      <c r="V66" t="s">
        <v>637</v>
      </c>
      <c r="W66" s="25" t="str">
        <f t="shared" si="0"/>
        <v>Aluminium PelmetTop FixSomfy 12v Remote Sonesse Motor</v>
      </c>
      <c r="X66" s="25">
        <v>0</v>
      </c>
      <c r="Y66" s="25">
        <v>0</v>
      </c>
      <c r="Z66" s="25" t="s">
        <v>824</v>
      </c>
      <c r="AA66" s="25" t="s">
        <v>824</v>
      </c>
      <c r="AB66" s="25" t="s">
        <v>821</v>
      </c>
      <c r="AC66" s="25" t="s">
        <v>821</v>
      </c>
      <c r="AD66" s="25" t="s">
        <v>818</v>
      </c>
      <c r="AE66" s="25" t="s">
        <v>824</v>
      </c>
      <c r="AM66" s="25" t="s">
        <v>939</v>
      </c>
      <c r="AN66" s="25" t="s">
        <v>827</v>
      </c>
      <c r="AO66" s="25" t="s">
        <v>844</v>
      </c>
      <c r="AP66" s="25" t="str">
        <f t="shared" si="9"/>
        <v>Becker CBUS MotorLeftLHS Blind Independent Link</v>
      </c>
      <c r="AQ66" s="25" t="s">
        <v>828</v>
      </c>
      <c r="AR66" s="25" t="s">
        <v>828</v>
      </c>
      <c r="AS66" s="25" t="s">
        <v>828</v>
      </c>
      <c r="AT66" s="25" t="s">
        <v>828</v>
      </c>
      <c r="AU66" s="25" t="s">
        <v>829</v>
      </c>
      <c r="AV66" s="25" t="s">
        <v>845</v>
      </c>
      <c r="AW66" s="25" t="s">
        <v>821</v>
      </c>
    </row>
    <row r="67" spans="20:49" ht="14.4">
      <c r="T67" s="25" t="s">
        <v>822</v>
      </c>
      <c r="U67" s="25" t="s">
        <v>854</v>
      </c>
      <c r="V67" s="25" t="s">
        <v>974</v>
      </c>
      <c r="W67" s="25" t="str">
        <f t="shared" si="14" ref="W67:W130">CONCATENATE(T67,U67,V67)</f>
        <v>Aluminium PelmetTop FixSomfy CBUS Motor</v>
      </c>
      <c r="X67" s="25">
        <v>6</v>
      </c>
      <c r="Y67" s="25">
        <v>6</v>
      </c>
      <c r="Z67" s="25" t="s">
        <v>824</v>
      </c>
      <c r="AA67" s="25" t="s">
        <v>824</v>
      </c>
      <c r="AB67" s="25" t="s">
        <v>818</v>
      </c>
      <c r="AC67" s="25" t="s">
        <v>821</v>
      </c>
      <c r="AD67" s="25" t="s">
        <v>818</v>
      </c>
      <c r="AE67" s="25" t="s">
        <v>824</v>
      </c>
      <c r="AM67" s="25" t="s">
        <v>939</v>
      </c>
      <c r="AN67" s="25" t="s">
        <v>827</v>
      </c>
      <c r="AO67" s="25" t="s">
        <v>824</v>
      </c>
      <c r="AP67" s="25" t="str">
        <f t="shared" si="9"/>
        <v>Becker CBUS MotorLeftN/A</v>
      </c>
      <c r="AQ67" s="25" t="s">
        <v>828</v>
      </c>
      <c r="AR67" s="25" t="s">
        <v>828</v>
      </c>
      <c r="AS67" s="25" t="s">
        <v>828</v>
      </c>
      <c r="AT67" s="25" t="s">
        <v>828</v>
      </c>
      <c r="AU67" s="25" t="s">
        <v>829</v>
      </c>
      <c r="AV67" s="25" t="s">
        <v>824</v>
      </c>
      <c r="AW67" s="25" t="s">
        <v>821</v>
      </c>
    </row>
    <row r="68" spans="20:49" ht="14.4">
      <c r="T68" s="25" t="s">
        <v>822</v>
      </c>
      <c r="U68" s="25" t="s">
        <v>854</v>
      </c>
      <c r="V68" t="s">
        <v>986</v>
      </c>
      <c r="W68" s="25" t="str">
        <f t="shared" si="14"/>
        <v>Aluminium PelmetTop FixHD Somfy Remote Sonesse Motor</v>
      </c>
      <c r="X68" s="25">
        <v>6</v>
      </c>
      <c r="Y68" s="25">
        <v>6</v>
      </c>
      <c r="Z68" s="25" t="s">
        <v>824</v>
      </c>
      <c r="AA68" s="25" t="s">
        <v>824</v>
      </c>
      <c r="AB68" s="25" t="s">
        <v>818</v>
      </c>
      <c r="AC68" s="25" t="s">
        <v>821</v>
      </c>
      <c r="AD68" s="25" t="s">
        <v>818</v>
      </c>
      <c r="AE68" s="25" t="s">
        <v>824</v>
      </c>
      <c r="AM68" s="25" t="s">
        <v>939</v>
      </c>
      <c r="AN68" s="25" t="s">
        <v>872</v>
      </c>
      <c r="AO68" s="25" t="s">
        <v>170</v>
      </c>
      <c r="AP68" s="25" t="str">
        <f t="shared" si="9"/>
        <v>Becker CBUS MotorRightControl</v>
      </c>
      <c r="AQ68" s="25" t="s">
        <v>828</v>
      </c>
      <c r="AR68" s="25" t="s">
        <v>828</v>
      </c>
      <c r="AS68" s="25" t="s">
        <v>828</v>
      </c>
      <c r="AT68" s="25" t="s">
        <v>828</v>
      </c>
      <c r="AU68" s="25" t="s">
        <v>829</v>
      </c>
      <c r="AV68" s="25" t="s">
        <v>873</v>
      </c>
      <c r="AW68" s="25" t="s">
        <v>821</v>
      </c>
    </row>
    <row r="69" spans="20:49" ht="14.4">
      <c r="T69" s="25" t="s">
        <v>822</v>
      </c>
      <c r="U69" s="25" t="s">
        <v>854</v>
      </c>
      <c r="V69" t="s">
        <v>989</v>
      </c>
      <c r="W69" s="25" t="str">
        <f t="shared" si="14"/>
        <v>Aluminium PelmetTop FixHD Somfy 12v Remote Sonesse Motor</v>
      </c>
      <c r="X69" s="25">
        <v>0</v>
      </c>
      <c r="Y69" s="25">
        <v>0</v>
      </c>
      <c r="Z69" s="25" t="s">
        <v>824</v>
      </c>
      <c r="AA69" s="25" t="s">
        <v>824</v>
      </c>
      <c r="AB69" s="25" t="s">
        <v>821</v>
      </c>
      <c r="AC69" s="25" t="s">
        <v>821</v>
      </c>
      <c r="AD69" s="25" t="s">
        <v>818</v>
      </c>
      <c r="AE69" s="25" t="s">
        <v>824</v>
      </c>
      <c r="AM69" s="25" t="s">
        <v>939</v>
      </c>
      <c r="AN69" s="25" t="s">
        <v>872</v>
      </c>
      <c r="AO69" s="25" t="s">
        <v>824</v>
      </c>
      <c r="AP69" s="25" t="str">
        <f t="shared" si="9"/>
        <v>Becker CBUS MotorRightN/A</v>
      </c>
      <c r="AQ69" s="25" t="s">
        <v>828</v>
      </c>
      <c r="AR69" s="25" t="s">
        <v>828</v>
      </c>
      <c r="AS69" s="25" t="s">
        <v>828</v>
      </c>
      <c r="AT69" s="25" t="s">
        <v>828</v>
      </c>
      <c r="AU69" s="25" t="s">
        <v>829</v>
      </c>
      <c r="AV69" s="25" t="s">
        <v>824</v>
      </c>
      <c r="AW69" s="25" t="s">
        <v>821</v>
      </c>
    </row>
    <row r="70" spans="20:49" ht="14.4">
      <c r="T70" s="25" t="s">
        <v>822</v>
      </c>
      <c r="U70" s="25" t="s">
        <v>854</v>
      </c>
      <c r="V70" s="25" t="s">
        <v>992</v>
      </c>
      <c r="W70" s="25" t="str">
        <f t="shared" si="14"/>
        <v>Aluminium PelmetTop FixHD Somfy CBUS Motor</v>
      </c>
      <c r="X70" s="25">
        <v>6</v>
      </c>
      <c r="Y70" s="25">
        <v>6</v>
      </c>
      <c r="Z70" s="25" t="s">
        <v>824</v>
      </c>
      <c r="AA70" s="25" t="s">
        <v>824</v>
      </c>
      <c r="AB70" s="25" t="s">
        <v>818</v>
      </c>
      <c r="AC70" s="25" t="s">
        <v>821</v>
      </c>
      <c r="AD70" s="25" t="s">
        <v>818</v>
      </c>
      <c r="AE70" s="25" t="s">
        <v>824</v>
      </c>
      <c r="AM70" s="25" t="s">
        <v>939</v>
      </c>
      <c r="AN70" s="25" t="s">
        <v>872</v>
      </c>
      <c r="AO70" s="25" t="s">
        <v>901</v>
      </c>
      <c r="AP70" s="25" t="str">
        <f t="shared" si="9"/>
        <v>Becker CBUS MotorRightRHS Blind Independent Link</v>
      </c>
      <c r="AQ70" s="25" t="s">
        <v>828</v>
      </c>
      <c r="AR70" s="25" t="s">
        <v>828</v>
      </c>
      <c r="AS70" s="25" t="s">
        <v>828</v>
      </c>
      <c r="AT70" s="25" t="s">
        <v>828</v>
      </c>
      <c r="AU70" s="25" t="s">
        <v>829</v>
      </c>
      <c r="AV70" s="25" t="s">
        <v>902</v>
      </c>
      <c r="AW70" s="25" t="s">
        <v>821</v>
      </c>
    </row>
    <row r="71" spans="20:49" ht="14.4">
      <c r="T71" s="25" t="s">
        <v>822</v>
      </c>
      <c r="U71" s="25" t="s">
        <v>854</v>
      </c>
      <c r="V71" s="25" t="s">
        <v>625</v>
      </c>
      <c r="W71" s="25" t="str">
        <f t="shared" si="14"/>
        <v>Aluminium PelmetTop FixAcmeda E6 Motor</v>
      </c>
      <c r="X71" s="25">
        <v>6</v>
      </c>
      <c r="Y71" s="25">
        <v>6</v>
      </c>
      <c r="Z71" s="25" t="s">
        <v>824</v>
      </c>
      <c r="AA71" s="25" t="s">
        <v>824</v>
      </c>
      <c r="AB71" s="25" t="s">
        <v>818</v>
      </c>
      <c r="AC71" s="25" t="s">
        <v>821</v>
      </c>
      <c r="AD71" s="25" t="s">
        <v>818</v>
      </c>
      <c r="AE71" s="25" t="s">
        <v>824</v>
      </c>
      <c r="AM71" s="25" t="s">
        <v>935</v>
      </c>
      <c r="AN71" s="25" t="s">
        <v>827</v>
      </c>
      <c r="AO71" s="25" t="s">
        <v>170</v>
      </c>
      <c r="AP71" s="25" t="str">
        <f t="shared" si="9"/>
        <v>Becker Remote MotorLeftControl</v>
      </c>
      <c r="AQ71" s="25" t="s">
        <v>828</v>
      </c>
      <c r="AR71" s="25" t="s">
        <v>828</v>
      </c>
      <c r="AS71" s="25" t="s">
        <v>828</v>
      </c>
      <c r="AT71" s="25" t="s">
        <v>828</v>
      </c>
      <c r="AU71" s="25" t="s">
        <v>829</v>
      </c>
      <c r="AV71" s="25" t="s">
        <v>830</v>
      </c>
      <c r="AW71" s="25" t="s">
        <v>821</v>
      </c>
    </row>
    <row r="72" spans="20:49" ht="14.4">
      <c r="T72" s="25" t="s">
        <v>822</v>
      </c>
      <c r="U72" s="25" t="s">
        <v>854</v>
      </c>
      <c r="V72" s="25" t="s">
        <v>626</v>
      </c>
      <c r="W72" s="25" t="str">
        <f t="shared" si="14"/>
        <v>Aluminium PelmetTop FixAcmeda M6 Motor</v>
      </c>
      <c r="X72" s="25">
        <v>6</v>
      </c>
      <c r="Y72" s="25">
        <v>6</v>
      </c>
      <c r="Z72" s="25" t="s">
        <v>824</v>
      </c>
      <c r="AA72" s="25" t="s">
        <v>824</v>
      </c>
      <c r="AB72" s="25" t="s">
        <v>818</v>
      </c>
      <c r="AC72" s="25" t="s">
        <v>821</v>
      </c>
      <c r="AD72" s="25" t="s">
        <v>818</v>
      </c>
      <c r="AE72" s="25" t="s">
        <v>824</v>
      </c>
      <c r="AM72" s="25" t="s">
        <v>935</v>
      </c>
      <c r="AN72" s="25" t="s">
        <v>827</v>
      </c>
      <c r="AO72" s="25" t="s">
        <v>844</v>
      </c>
      <c r="AP72" s="25" t="str">
        <f t="shared" si="9"/>
        <v>Becker Remote MotorLeftLHS Blind Independent Link</v>
      </c>
      <c r="AQ72" s="25" t="s">
        <v>828</v>
      </c>
      <c r="AR72" s="25" t="s">
        <v>828</v>
      </c>
      <c r="AS72" s="25" t="s">
        <v>828</v>
      </c>
      <c r="AT72" s="25" t="s">
        <v>828</v>
      </c>
      <c r="AU72" s="25" t="s">
        <v>829</v>
      </c>
      <c r="AV72" s="25" t="s">
        <v>845</v>
      </c>
      <c r="AW72" s="25" t="s">
        <v>821</v>
      </c>
    </row>
    <row r="73" spans="20:49" ht="14.4">
      <c r="T73" s="25" t="s">
        <v>822</v>
      </c>
      <c r="U73" s="25" t="s">
        <v>854</v>
      </c>
      <c r="V73" s="25" t="s">
        <v>1002</v>
      </c>
      <c r="W73" s="25" t="str">
        <f t="shared" si="14"/>
        <v>Aluminium PelmetTop FixUniline Remote Motor</v>
      </c>
      <c r="X73" s="25">
        <v>6</v>
      </c>
      <c r="Y73" s="25">
        <v>6</v>
      </c>
      <c r="Z73" s="25" t="s">
        <v>824</v>
      </c>
      <c r="AA73" s="25" t="s">
        <v>824</v>
      </c>
      <c r="AB73" s="25" t="s">
        <v>818</v>
      </c>
      <c r="AC73" s="25" t="s">
        <v>821</v>
      </c>
      <c r="AD73" s="25" t="s">
        <v>818</v>
      </c>
      <c r="AE73" s="25" t="s">
        <v>824</v>
      </c>
      <c r="AM73" s="25" t="s">
        <v>935</v>
      </c>
      <c r="AN73" s="25" t="s">
        <v>827</v>
      </c>
      <c r="AO73" s="25" t="s">
        <v>824</v>
      </c>
      <c r="AP73" s="25" t="str">
        <f t="shared" si="15" ref="AP73:AP124">CONCATENATE(AM73,AN73,AO73)</f>
        <v>Becker Remote MotorLeftN/A</v>
      </c>
      <c r="AQ73" s="25" t="s">
        <v>828</v>
      </c>
      <c r="AR73" s="25" t="s">
        <v>828</v>
      </c>
      <c r="AS73" s="25" t="s">
        <v>828</v>
      </c>
      <c r="AT73" s="25" t="s">
        <v>828</v>
      </c>
      <c r="AU73" s="25" t="s">
        <v>829</v>
      </c>
      <c r="AV73" s="25" t="s">
        <v>824</v>
      </c>
      <c r="AW73" s="25" t="s">
        <v>821</v>
      </c>
    </row>
    <row r="74" spans="20:49" ht="14.4">
      <c r="T74" s="25" t="s">
        <v>822</v>
      </c>
      <c r="U74" s="25" t="s">
        <v>854</v>
      </c>
      <c r="V74" s="25" t="s">
        <v>1005</v>
      </c>
      <c r="W74" s="25" t="str">
        <f t="shared" si="14"/>
        <v>Aluminium PelmetTop FixUniline Cbus Motor</v>
      </c>
      <c r="X74" s="25">
        <v>6</v>
      </c>
      <c r="Y74" s="25">
        <v>6</v>
      </c>
      <c r="Z74" s="25" t="s">
        <v>824</v>
      </c>
      <c r="AA74" s="25" t="s">
        <v>824</v>
      </c>
      <c r="AB74" s="25" t="s">
        <v>818</v>
      </c>
      <c r="AC74" s="25" t="s">
        <v>821</v>
      </c>
      <c r="AD74" s="25" t="s">
        <v>818</v>
      </c>
      <c r="AE74" s="25" t="s">
        <v>824</v>
      </c>
      <c r="AM74" s="25" t="s">
        <v>935</v>
      </c>
      <c r="AN74" s="25" t="s">
        <v>872</v>
      </c>
      <c r="AO74" s="25" t="s">
        <v>170</v>
      </c>
      <c r="AP74" s="25" t="str">
        <f t="shared" si="15"/>
        <v>Becker Remote MotorRightControl</v>
      </c>
      <c r="AQ74" s="25" t="s">
        <v>828</v>
      </c>
      <c r="AR74" s="25" t="s">
        <v>828</v>
      </c>
      <c r="AS74" s="25" t="s">
        <v>828</v>
      </c>
      <c r="AT74" s="25" t="s">
        <v>828</v>
      </c>
      <c r="AU74" s="25" t="s">
        <v>829</v>
      </c>
      <c r="AV74" s="25" t="s">
        <v>873</v>
      </c>
      <c r="AW74" s="25" t="s">
        <v>821</v>
      </c>
    </row>
    <row r="75" spans="20:49" ht="14.4">
      <c r="T75" s="25" t="s">
        <v>822</v>
      </c>
      <c r="U75" s="25" t="s">
        <v>854</v>
      </c>
      <c r="V75" s="25" t="s">
        <v>981</v>
      </c>
      <c r="W75" s="25" t="str">
        <f t="shared" si="14"/>
        <v>Aluminium PelmetTop FixNice Remote Motor</v>
      </c>
      <c r="X75" s="25">
        <v>6</v>
      </c>
      <c r="Y75" s="25">
        <v>6</v>
      </c>
      <c r="Z75" s="25" t="s">
        <v>824</v>
      </c>
      <c r="AA75" s="25" t="s">
        <v>824</v>
      </c>
      <c r="AB75" s="25" t="s">
        <v>818</v>
      </c>
      <c r="AC75" s="25" t="s">
        <v>821</v>
      </c>
      <c r="AD75" s="25" t="s">
        <v>818</v>
      </c>
      <c r="AE75" s="25" t="s">
        <v>824</v>
      </c>
      <c r="AM75" s="25" t="s">
        <v>935</v>
      </c>
      <c r="AN75" s="25" t="s">
        <v>872</v>
      </c>
      <c r="AO75" s="25" t="s">
        <v>824</v>
      </c>
      <c r="AP75" s="25" t="str">
        <f t="shared" si="15"/>
        <v>Becker Remote MotorRightN/A</v>
      </c>
      <c r="AQ75" s="25" t="s">
        <v>828</v>
      </c>
      <c r="AR75" s="25" t="s">
        <v>828</v>
      </c>
      <c r="AS75" s="25" t="s">
        <v>828</v>
      </c>
      <c r="AT75" s="25" t="s">
        <v>828</v>
      </c>
      <c r="AU75" s="25" t="s">
        <v>829</v>
      </c>
      <c r="AV75" s="25" t="s">
        <v>824</v>
      </c>
      <c r="AW75" s="25" t="s">
        <v>821</v>
      </c>
    </row>
    <row r="76" spans="20:49" ht="14.4">
      <c r="T76" s="25" t="s">
        <v>822</v>
      </c>
      <c r="U76" s="25" t="s">
        <v>854</v>
      </c>
      <c r="V76" s="25" t="s">
        <v>976</v>
      </c>
      <c r="W76" s="25" t="str">
        <f t="shared" si="14"/>
        <v>Aluminium PelmetTop FixNice CBus Motor</v>
      </c>
      <c r="X76" s="25">
        <v>6</v>
      </c>
      <c r="Y76" s="25">
        <v>6</v>
      </c>
      <c r="Z76" s="25" t="s">
        <v>824</v>
      </c>
      <c r="AA76" s="25" t="s">
        <v>824</v>
      </c>
      <c r="AB76" s="25" t="s">
        <v>818</v>
      </c>
      <c r="AC76" s="25" t="s">
        <v>821</v>
      </c>
      <c r="AD76" s="25" t="s">
        <v>818</v>
      </c>
      <c r="AE76" s="25" t="s">
        <v>824</v>
      </c>
      <c r="AM76" s="25" t="s">
        <v>935</v>
      </c>
      <c r="AN76" s="25" t="s">
        <v>872</v>
      </c>
      <c r="AO76" s="25" t="s">
        <v>901</v>
      </c>
      <c r="AP76" s="25" t="str">
        <f t="shared" si="15"/>
        <v>Becker Remote MotorRightRHS Blind Independent Link</v>
      </c>
      <c r="AQ76" s="25" t="s">
        <v>828</v>
      </c>
      <c r="AR76" s="25" t="s">
        <v>828</v>
      </c>
      <c r="AS76" s="25" t="s">
        <v>828</v>
      </c>
      <c r="AT76" s="25" t="s">
        <v>828</v>
      </c>
      <c r="AU76" s="25" t="s">
        <v>829</v>
      </c>
      <c r="AV76" s="25" t="s">
        <v>902</v>
      </c>
      <c r="AW76" s="25" t="s">
        <v>821</v>
      </c>
    </row>
    <row r="77" spans="20:49" ht="14.4">
      <c r="T77" s="25" t="s">
        <v>822</v>
      </c>
      <c r="U77" s="25" t="s">
        <v>854</v>
      </c>
      <c r="V77" t="s">
        <v>1006</v>
      </c>
      <c r="W77" s="25" t="str">
        <f t="shared" si="14"/>
        <v>Aluminium PelmetTop FixSunboss Chain Winder 38mm Tube</v>
      </c>
      <c r="X77" s="25">
        <v>6</v>
      </c>
      <c r="Y77" s="25">
        <v>6</v>
      </c>
      <c r="Z77" s="25" t="s">
        <v>824</v>
      </c>
      <c r="AA77" s="25" t="s">
        <v>824</v>
      </c>
      <c r="AB77" s="25" t="s">
        <v>818</v>
      </c>
      <c r="AC77" s="25" t="s">
        <v>821</v>
      </c>
      <c r="AD77" s="25" t="s">
        <v>818</v>
      </c>
      <c r="AE77" s="25" t="s">
        <v>824</v>
      </c>
      <c r="AM77" s="25" t="s">
        <v>951</v>
      </c>
      <c r="AN77" s="25" t="s">
        <v>827</v>
      </c>
      <c r="AO77" s="25" t="s">
        <v>170</v>
      </c>
      <c r="AP77" s="25" t="str">
        <f t="shared" si="15"/>
        <v>Becker External CBUS MotorLeftControl</v>
      </c>
      <c r="AQ77" s="25" t="s">
        <v>900</v>
      </c>
      <c r="AR77" s="25" t="s">
        <v>900</v>
      </c>
      <c r="AS77" s="25" t="s">
        <v>900</v>
      </c>
      <c r="AT77" s="25" t="s">
        <v>900</v>
      </c>
      <c r="AU77" s="25" t="s">
        <v>900</v>
      </c>
      <c r="AV77" s="25" t="s">
        <v>1037</v>
      </c>
      <c r="AW77" s="25" t="s">
        <v>821</v>
      </c>
    </row>
    <row r="78" spans="20:49" ht="14.4">
      <c r="T78" s="25" t="s">
        <v>822</v>
      </c>
      <c r="U78" s="25" t="s">
        <v>854</v>
      </c>
      <c r="V78" t="s">
        <v>1017</v>
      </c>
      <c r="W78" s="25" t="str">
        <f t="shared" si="14"/>
        <v>Aluminium PelmetTop FixSunboss Chain Winder 43mm Tube</v>
      </c>
      <c r="X78" s="25">
        <v>6</v>
      </c>
      <c r="Y78" s="25">
        <v>6</v>
      </c>
      <c r="Z78" s="25" t="s">
        <v>824</v>
      </c>
      <c r="AA78" s="25" t="s">
        <v>824</v>
      </c>
      <c r="AB78" s="25" t="s">
        <v>818</v>
      </c>
      <c r="AC78" s="25" t="s">
        <v>821</v>
      </c>
      <c r="AD78" s="25" t="s">
        <v>818</v>
      </c>
      <c r="AE78" s="25" t="s">
        <v>824</v>
      </c>
      <c r="AM78" s="25" t="s">
        <v>951</v>
      </c>
      <c r="AN78" s="25" t="s">
        <v>827</v>
      </c>
      <c r="AO78" s="25" t="s">
        <v>824</v>
      </c>
      <c r="AP78" s="25" t="str">
        <f t="shared" si="15"/>
        <v>Becker External CBUS MotorLeftN/A</v>
      </c>
      <c r="AQ78" s="25" t="s">
        <v>900</v>
      </c>
      <c r="AR78" s="25" t="s">
        <v>900</v>
      </c>
      <c r="AS78" s="25" t="s">
        <v>900</v>
      </c>
      <c r="AT78" s="25" t="s">
        <v>900</v>
      </c>
      <c r="AU78" s="25" t="s">
        <v>900</v>
      </c>
      <c r="AV78" s="25" t="s">
        <v>824</v>
      </c>
      <c r="AW78" s="25" t="s">
        <v>821</v>
      </c>
    </row>
    <row r="79" spans="20:49" ht="14.4">
      <c r="T79" s="25" t="s">
        <v>822</v>
      </c>
      <c r="U79" s="25" t="s">
        <v>854</v>
      </c>
      <c r="V79" s="25" t="s">
        <v>1012</v>
      </c>
      <c r="W79" s="25" t="str">
        <f t="shared" si="14"/>
        <v>Aluminium PelmetTop FixTBS Remote Motor</v>
      </c>
      <c r="X79" s="25">
        <v>6</v>
      </c>
      <c r="Y79" s="25">
        <v>6</v>
      </c>
      <c r="Z79" s="25" t="s">
        <v>824</v>
      </c>
      <c r="AA79" s="25" t="s">
        <v>824</v>
      </c>
      <c r="AB79" s="25" t="s">
        <v>818</v>
      </c>
      <c r="AC79" s="25" t="s">
        <v>821</v>
      </c>
      <c r="AD79" s="25" t="s">
        <v>818</v>
      </c>
      <c r="AE79" s="25" t="s">
        <v>824</v>
      </c>
      <c r="AM79" s="25" t="s">
        <v>951</v>
      </c>
      <c r="AN79" s="25" t="s">
        <v>872</v>
      </c>
      <c r="AO79" s="25" t="s">
        <v>170</v>
      </c>
      <c r="AP79" s="25" t="str">
        <f t="shared" si="15"/>
        <v>Becker External CBUS MotorRightControl</v>
      </c>
      <c r="AQ79" s="25" t="s">
        <v>900</v>
      </c>
      <c r="AR79" s="25" t="s">
        <v>900</v>
      </c>
      <c r="AS79" s="25" t="s">
        <v>900</v>
      </c>
      <c r="AT79" s="25" t="s">
        <v>900</v>
      </c>
      <c r="AU79" s="25" t="s">
        <v>900</v>
      </c>
      <c r="AV79" s="25" t="s">
        <v>1038</v>
      </c>
      <c r="AW79" s="25" t="s">
        <v>821</v>
      </c>
    </row>
    <row r="80" spans="20:49" ht="14.4">
      <c r="T80" s="25" t="s">
        <v>822</v>
      </c>
      <c r="U80" s="25" t="s">
        <v>854</v>
      </c>
      <c r="V80" t="s">
        <v>1009</v>
      </c>
      <c r="W80" s="25" t="str">
        <f t="shared" si="14"/>
        <v>Aluminium PelmetTop FixTBS Cbus Motor</v>
      </c>
      <c r="X80" s="25">
        <v>6</v>
      </c>
      <c r="Y80" s="25">
        <v>6</v>
      </c>
      <c r="Z80" s="25" t="s">
        <v>824</v>
      </c>
      <c r="AA80" s="25" t="s">
        <v>824</v>
      </c>
      <c r="AB80" s="25" t="s">
        <v>818</v>
      </c>
      <c r="AC80" s="25" t="s">
        <v>821</v>
      </c>
      <c r="AD80" s="25" t="s">
        <v>818</v>
      </c>
      <c r="AE80" s="25" t="s">
        <v>824</v>
      </c>
      <c r="AM80" s="25" t="s">
        <v>951</v>
      </c>
      <c r="AN80" s="25" t="s">
        <v>872</v>
      </c>
      <c r="AO80" s="25" t="s">
        <v>824</v>
      </c>
      <c r="AP80" s="25" t="str">
        <f t="shared" si="15"/>
        <v>Becker External CBUS MotorRightN/A</v>
      </c>
      <c r="AQ80" s="25" t="s">
        <v>900</v>
      </c>
      <c r="AR80" s="25" t="s">
        <v>900</v>
      </c>
      <c r="AS80" s="25" t="s">
        <v>900</v>
      </c>
      <c r="AT80" s="25" t="s">
        <v>900</v>
      </c>
      <c r="AU80" s="25" t="s">
        <v>900</v>
      </c>
      <c r="AV80" s="25" t="s">
        <v>824</v>
      </c>
      <c r="AW80" s="25" t="s">
        <v>821</v>
      </c>
    </row>
    <row r="81" spans="20:49" ht="14.4">
      <c r="T81" s="25" t="s">
        <v>822</v>
      </c>
      <c r="U81" s="25" t="s">
        <v>854</v>
      </c>
      <c r="V81" t="s">
        <v>927</v>
      </c>
      <c r="W81" s="25" t="str">
        <f t="shared" si="14"/>
        <v>Aluminium PelmetTop FixAcmeda External Motor</v>
      </c>
      <c r="X81" s="25">
        <v>6</v>
      </c>
      <c r="Y81" s="25">
        <v>6</v>
      </c>
      <c r="Z81" s="25" t="s">
        <v>824</v>
      </c>
      <c r="AA81" s="25" t="s">
        <v>824</v>
      </c>
      <c r="AB81" s="25" t="s">
        <v>818</v>
      </c>
      <c r="AC81" s="25" t="s">
        <v>821</v>
      </c>
      <c r="AD81" s="25" t="s">
        <v>818</v>
      </c>
      <c r="AE81" s="25" t="s">
        <v>824</v>
      </c>
      <c r="AM81" s="25" t="s">
        <v>946</v>
      </c>
      <c r="AN81" s="25" t="s">
        <v>827</v>
      </c>
      <c r="AO81" s="25" t="s">
        <v>170</v>
      </c>
      <c r="AP81" s="25" t="str">
        <f t="shared" si="15"/>
        <v>Becker External Remote MotorLeftControl</v>
      </c>
      <c r="AQ81" s="25" t="s">
        <v>900</v>
      </c>
      <c r="AR81" s="25" t="s">
        <v>900</v>
      </c>
      <c r="AS81" s="25" t="s">
        <v>900</v>
      </c>
      <c r="AT81" s="25" t="s">
        <v>900</v>
      </c>
      <c r="AU81" s="25" t="s">
        <v>900</v>
      </c>
      <c r="AV81" s="25" t="s">
        <v>1037</v>
      </c>
      <c r="AW81" s="25" t="s">
        <v>821</v>
      </c>
    </row>
    <row r="82" spans="20:49" ht="14.4">
      <c r="T82" s="25" t="s">
        <v>822</v>
      </c>
      <c r="U82" s="25" t="s">
        <v>854</v>
      </c>
      <c r="V82" t="s">
        <v>918</v>
      </c>
      <c r="W82" s="25" t="str">
        <f t="shared" si="14"/>
        <v>Aluminium PelmetTop FixAcmeda External 12v Motor</v>
      </c>
      <c r="X82" s="25">
        <v>0</v>
      </c>
      <c r="Y82" s="25">
        <v>0</v>
      </c>
      <c r="Z82" s="25" t="s">
        <v>824</v>
      </c>
      <c r="AA82" s="25" t="s">
        <v>824</v>
      </c>
      <c r="AB82" s="25" t="s">
        <v>821</v>
      </c>
      <c r="AC82" s="25" t="s">
        <v>821</v>
      </c>
      <c r="AD82" s="25" t="s">
        <v>818</v>
      </c>
      <c r="AE82" s="25" t="s">
        <v>824</v>
      </c>
      <c r="AM82" s="25" t="s">
        <v>946</v>
      </c>
      <c r="AN82" s="25" t="s">
        <v>827</v>
      </c>
      <c r="AO82" s="25" t="s">
        <v>824</v>
      </c>
      <c r="AP82" s="25" t="str">
        <f t="shared" si="15"/>
        <v>Becker External Remote MotorLeftN/A</v>
      </c>
      <c r="AQ82" s="25" t="s">
        <v>900</v>
      </c>
      <c r="AR82" s="25" t="s">
        <v>900</v>
      </c>
      <c r="AS82" s="25" t="s">
        <v>900</v>
      </c>
      <c r="AT82" s="25" t="s">
        <v>900</v>
      </c>
      <c r="AU82" s="25" t="s">
        <v>900</v>
      </c>
      <c r="AV82" s="25" t="s">
        <v>824</v>
      </c>
      <c r="AW82" s="25" t="s">
        <v>821</v>
      </c>
    </row>
    <row r="83" spans="20:49" ht="14.4">
      <c r="T83" s="25" t="s">
        <v>822</v>
      </c>
      <c r="U83" s="25" t="s">
        <v>854</v>
      </c>
      <c r="V83" t="s">
        <v>979</v>
      </c>
      <c r="W83" s="25" t="str">
        <f t="shared" si="14"/>
        <v>Aluminium PelmetTop FixSomfy External CBUS Motor</v>
      </c>
      <c r="X83" s="25">
        <v>0</v>
      </c>
      <c r="Y83" s="25">
        <v>0</v>
      </c>
      <c r="Z83" s="25" t="s">
        <v>824</v>
      </c>
      <c r="AA83" s="25" t="s">
        <v>824</v>
      </c>
      <c r="AB83" s="25" t="s">
        <v>821</v>
      </c>
      <c r="AC83" s="25" t="s">
        <v>821</v>
      </c>
      <c r="AD83" s="25" t="s">
        <v>818</v>
      </c>
      <c r="AE83" s="25" t="s">
        <v>824</v>
      </c>
      <c r="AM83" s="25" t="s">
        <v>946</v>
      </c>
      <c r="AN83" s="25" t="s">
        <v>872</v>
      </c>
      <c r="AO83" s="25" t="s">
        <v>170</v>
      </c>
      <c r="AP83" s="25" t="str">
        <f t="shared" si="15"/>
        <v>Becker External Remote MotorRightControl</v>
      </c>
      <c r="AQ83" s="25" t="s">
        <v>900</v>
      </c>
      <c r="AR83" s="25" t="s">
        <v>900</v>
      </c>
      <c r="AS83" s="25" t="s">
        <v>900</v>
      </c>
      <c r="AT83" s="25" t="s">
        <v>900</v>
      </c>
      <c r="AU83" s="25" t="s">
        <v>900</v>
      </c>
      <c r="AV83" s="25" t="s">
        <v>1038</v>
      </c>
      <c r="AW83" s="25" t="s">
        <v>821</v>
      </c>
    </row>
    <row r="84" spans="20:49" ht="14.4">
      <c r="T84" s="25" t="s">
        <v>822</v>
      </c>
      <c r="U84" s="25" t="s">
        <v>854</v>
      </c>
      <c r="V84" t="s">
        <v>983</v>
      </c>
      <c r="W84" s="25" t="str">
        <f t="shared" si="14"/>
        <v>Aluminium PelmetTop FixSomfy External Remote Motor</v>
      </c>
      <c r="X84" s="25">
        <v>0</v>
      </c>
      <c r="Y84" s="25">
        <v>0</v>
      </c>
      <c r="Z84" s="25" t="s">
        <v>824</v>
      </c>
      <c r="AA84" s="25" t="s">
        <v>824</v>
      </c>
      <c r="AB84" s="25" t="s">
        <v>821</v>
      </c>
      <c r="AC84" s="25" t="s">
        <v>821</v>
      </c>
      <c r="AD84" s="25" t="s">
        <v>818</v>
      </c>
      <c r="AE84" s="25" t="s">
        <v>824</v>
      </c>
      <c r="AM84" s="25" t="s">
        <v>946</v>
      </c>
      <c r="AN84" s="25" t="s">
        <v>872</v>
      </c>
      <c r="AO84" s="25" t="s">
        <v>824</v>
      </c>
      <c r="AP84" s="25" t="str">
        <f t="shared" si="15"/>
        <v>Becker External Remote MotorRightN/A</v>
      </c>
      <c r="AQ84" s="25" t="s">
        <v>900</v>
      </c>
      <c r="AR84" s="25" t="s">
        <v>900</v>
      </c>
      <c r="AS84" s="25" t="s">
        <v>900</v>
      </c>
      <c r="AT84" s="25" t="s">
        <v>900</v>
      </c>
      <c r="AU84" s="25" t="s">
        <v>900</v>
      </c>
      <c r="AV84" s="25" t="s">
        <v>824</v>
      </c>
      <c r="AW84" s="25" t="s">
        <v>821</v>
      </c>
    </row>
    <row r="85" spans="20:49" ht="14.4">
      <c r="T85" s="25" t="s">
        <v>822</v>
      </c>
      <c r="U85" s="25" t="s">
        <v>854</v>
      </c>
      <c r="V85" t="s">
        <v>979</v>
      </c>
      <c r="W85" s="25" t="str">
        <f t="shared" si="14"/>
        <v>Aluminium PelmetTop FixSomfy External CBUS Motor</v>
      </c>
      <c r="X85" s="25">
        <v>0</v>
      </c>
      <c r="Y85" s="25">
        <v>0</v>
      </c>
      <c r="Z85" s="25" t="s">
        <v>824</v>
      </c>
      <c r="AA85" s="25" t="s">
        <v>824</v>
      </c>
      <c r="AB85" s="25" t="s">
        <v>821</v>
      </c>
      <c r="AC85" s="25" t="s">
        <v>821</v>
      </c>
      <c r="AD85" s="25" t="s">
        <v>818</v>
      </c>
      <c r="AE85" s="25" t="s">
        <v>824</v>
      </c>
      <c r="AM85" s="25" t="s">
        <v>823</v>
      </c>
      <c r="AN85" s="25" t="s">
        <v>827</v>
      </c>
      <c r="AO85" s="25" t="s">
        <v>170</v>
      </c>
      <c r="AP85" s="25" t="str">
        <f t="shared" si="15"/>
        <v>Chain WinderLeftControl</v>
      </c>
      <c r="AQ85" s="25" t="s">
        <v>828</v>
      </c>
      <c r="AR85" s="25" t="s">
        <v>828</v>
      </c>
      <c r="AS85" s="25" t="s">
        <v>828</v>
      </c>
      <c r="AT85" s="25" t="s">
        <v>828</v>
      </c>
      <c r="AU85" s="25" t="s">
        <v>829</v>
      </c>
      <c r="AV85" s="25" t="s">
        <v>1039</v>
      </c>
      <c r="AW85" s="25" t="s">
        <v>818</v>
      </c>
    </row>
    <row r="86" spans="20:49" ht="14.4">
      <c r="T86" s="25" t="s">
        <v>822</v>
      </c>
      <c r="U86" s="25" t="s">
        <v>854</v>
      </c>
      <c r="V86" t="s">
        <v>999</v>
      </c>
      <c r="W86" s="25" t="str">
        <f t="shared" si="14"/>
        <v>Aluminium PelmetTop FixHD Somfy External Remote Motor</v>
      </c>
      <c r="X86" s="25">
        <v>0</v>
      </c>
      <c r="Y86" s="25">
        <v>0</v>
      </c>
      <c r="Z86" s="25" t="s">
        <v>824</v>
      </c>
      <c r="AA86" s="25" t="s">
        <v>824</v>
      </c>
      <c r="AB86" s="25" t="s">
        <v>821</v>
      </c>
      <c r="AC86" s="25" t="s">
        <v>821</v>
      </c>
      <c r="AD86" s="25" t="s">
        <v>818</v>
      </c>
      <c r="AE86" s="25" t="s">
        <v>824</v>
      </c>
      <c r="AM86" s="25" t="s">
        <v>823</v>
      </c>
      <c r="AN86" s="25" t="s">
        <v>827</v>
      </c>
      <c r="AO86" s="25" t="s">
        <v>844</v>
      </c>
      <c r="AP86" s="25" t="str">
        <f t="shared" si="15"/>
        <v>Chain WinderLeftLHS Blind Independent Link</v>
      </c>
      <c r="AQ86" s="25" t="s">
        <v>828</v>
      </c>
      <c r="AR86" s="25" t="s">
        <v>828</v>
      </c>
      <c r="AS86" s="25" t="s">
        <v>828</v>
      </c>
      <c r="AT86" s="25" t="s">
        <v>828</v>
      </c>
      <c r="AU86" s="25" t="s">
        <v>829</v>
      </c>
      <c r="AV86" s="25" t="s">
        <v>1040</v>
      </c>
      <c r="AW86" s="25" t="s">
        <v>1041</v>
      </c>
    </row>
    <row r="87" spans="20:49" ht="14.4">
      <c r="T87" s="25" t="s">
        <v>822</v>
      </c>
      <c r="U87" s="25" t="s">
        <v>880</v>
      </c>
      <c r="V87" s="25" t="s">
        <v>823</v>
      </c>
      <c r="W87" s="25" t="str">
        <f t="shared" si="14"/>
        <v>Aluminium PelmetInside Window MountChain Winder</v>
      </c>
      <c r="X87" s="25">
        <v>0</v>
      </c>
      <c r="Y87" s="25">
        <v>0</v>
      </c>
      <c r="Z87" s="25" t="s">
        <v>824</v>
      </c>
      <c r="AA87" s="25" t="s">
        <v>824</v>
      </c>
      <c r="AB87" s="25" t="s">
        <v>821</v>
      </c>
      <c r="AC87" s="25" t="s">
        <v>821</v>
      </c>
      <c r="AD87" s="25" t="s">
        <v>818</v>
      </c>
      <c r="AE87" s="25" t="s">
        <v>824</v>
      </c>
      <c r="AM87" s="25" t="s">
        <v>823</v>
      </c>
      <c r="AN87" s="25" t="s">
        <v>827</v>
      </c>
      <c r="AO87" s="25" t="s">
        <v>824</v>
      </c>
      <c r="AP87" s="25" t="str">
        <f t="shared" si="15"/>
        <v>Chain WinderLeftN/A</v>
      </c>
      <c r="AQ87" s="25" t="s">
        <v>828</v>
      </c>
      <c r="AR87" s="25" t="s">
        <v>843</v>
      </c>
      <c r="AS87" s="25" t="s">
        <v>828</v>
      </c>
      <c r="AT87" s="25" t="s">
        <v>828</v>
      </c>
      <c r="AU87" s="25" t="s">
        <v>829</v>
      </c>
      <c r="AV87" s="25" t="s">
        <v>824</v>
      </c>
      <c r="AW87" s="25" t="s">
        <v>1041</v>
      </c>
    </row>
    <row r="88" spans="20:49" ht="14.4">
      <c r="T88" s="25" t="s">
        <v>822</v>
      </c>
      <c r="U88" s="25" t="s">
        <v>880</v>
      </c>
      <c r="V88" s="25" t="s">
        <v>823</v>
      </c>
      <c r="W88" s="25" t="str">
        <f t="shared" si="14"/>
        <v>Aluminium PelmetInside Window MountChain Winder</v>
      </c>
      <c r="X88" s="25">
        <v>0</v>
      </c>
      <c r="Y88" s="25">
        <v>0</v>
      </c>
      <c r="Z88" s="25" t="s">
        <v>824</v>
      </c>
      <c r="AA88" s="25" t="s">
        <v>824</v>
      </c>
      <c r="AB88" s="25" t="s">
        <v>821</v>
      </c>
      <c r="AC88" s="25" t="s">
        <v>821</v>
      </c>
      <c r="AD88" s="25" t="s">
        <v>818</v>
      </c>
      <c r="AE88" s="25" t="s">
        <v>824</v>
      </c>
      <c r="AM88" s="25" t="s">
        <v>823</v>
      </c>
      <c r="AN88" s="25" t="s">
        <v>872</v>
      </c>
      <c r="AO88" s="25" t="s">
        <v>170</v>
      </c>
      <c r="AP88" s="25" t="str">
        <f t="shared" si="15"/>
        <v>Chain WinderRightControl</v>
      </c>
      <c r="AQ88" s="25" t="s">
        <v>828</v>
      </c>
      <c r="AR88" s="25" t="s">
        <v>828</v>
      </c>
      <c r="AS88" s="25" t="s">
        <v>828</v>
      </c>
      <c r="AT88" s="25" t="s">
        <v>828</v>
      </c>
      <c r="AU88" s="25" t="s">
        <v>829</v>
      </c>
      <c r="AV88" s="25" t="s">
        <v>1042</v>
      </c>
      <c r="AW88" s="25" t="s">
        <v>818</v>
      </c>
    </row>
    <row r="89" spans="20:49" ht="14.4">
      <c r="T89" s="25" t="s">
        <v>822</v>
      </c>
      <c r="U89" s="25" t="s">
        <v>880</v>
      </c>
      <c r="V89" s="25" t="s">
        <v>841</v>
      </c>
      <c r="W89" s="25" t="str">
        <f t="shared" si="14"/>
        <v>Aluminium PelmetInside Window MountHD Chain Winder</v>
      </c>
      <c r="X89" s="25">
        <v>0</v>
      </c>
      <c r="Y89" s="25">
        <v>0</v>
      </c>
      <c r="Z89" s="25" t="s">
        <v>824</v>
      </c>
      <c r="AA89" s="25" t="s">
        <v>824</v>
      </c>
      <c r="AB89" s="25" t="s">
        <v>821</v>
      </c>
      <c r="AC89" s="25" t="s">
        <v>821</v>
      </c>
      <c r="AD89" s="25" t="s">
        <v>818</v>
      </c>
      <c r="AE89" s="25" t="s">
        <v>824</v>
      </c>
      <c r="AM89" s="25" t="s">
        <v>823</v>
      </c>
      <c r="AN89" s="25" t="s">
        <v>872</v>
      </c>
      <c r="AO89" s="25" t="s">
        <v>824</v>
      </c>
      <c r="AP89" s="25" t="str">
        <f t="shared" si="15"/>
        <v>Chain WinderRightN/A</v>
      </c>
      <c r="AQ89" s="25" t="s">
        <v>828</v>
      </c>
      <c r="AR89" s="25" t="s">
        <v>843</v>
      </c>
      <c r="AS89" s="25" t="s">
        <v>828</v>
      </c>
      <c r="AT89" s="25" t="s">
        <v>828</v>
      </c>
      <c r="AU89" s="25" t="s">
        <v>829</v>
      </c>
      <c r="AV89" s="25" t="s">
        <v>824</v>
      </c>
      <c r="AW89" s="25" t="s">
        <v>1041</v>
      </c>
    </row>
    <row r="90" spans="20:49" ht="14.4">
      <c r="T90" s="25" t="s">
        <v>822</v>
      </c>
      <c r="U90" s="25" t="s">
        <v>880</v>
      </c>
      <c r="V90" s="25" t="s">
        <v>841</v>
      </c>
      <c r="W90" s="25" t="str">
        <f t="shared" si="14"/>
        <v>Aluminium PelmetInside Window MountHD Chain Winder</v>
      </c>
      <c r="X90" s="25">
        <v>0</v>
      </c>
      <c r="Y90" s="25">
        <v>0</v>
      </c>
      <c r="Z90" s="25" t="s">
        <v>824</v>
      </c>
      <c r="AA90" s="25" t="s">
        <v>824</v>
      </c>
      <c r="AB90" s="25" t="s">
        <v>821</v>
      </c>
      <c r="AC90" s="25" t="s">
        <v>821</v>
      </c>
      <c r="AD90" s="25" t="s">
        <v>818</v>
      </c>
      <c r="AE90" s="25" t="s">
        <v>824</v>
      </c>
      <c r="AM90" s="25" t="s">
        <v>823</v>
      </c>
      <c r="AN90" s="25" t="s">
        <v>872</v>
      </c>
      <c r="AO90" s="25" t="s">
        <v>901</v>
      </c>
      <c r="AP90" s="25" t="str">
        <f t="shared" si="15"/>
        <v>Chain WinderRightRHS Blind Independent Link</v>
      </c>
      <c r="AQ90" s="25" t="s">
        <v>828</v>
      </c>
      <c r="AR90" s="25" t="s">
        <v>828</v>
      </c>
      <c r="AS90" s="25" t="s">
        <v>828</v>
      </c>
      <c r="AT90" s="25" t="s">
        <v>828</v>
      </c>
      <c r="AU90" s="25" t="s">
        <v>829</v>
      </c>
      <c r="AV90" s="25" t="s">
        <v>1043</v>
      </c>
      <c r="AW90" s="25" t="s">
        <v>1041</v>
      </c>
    </row>
    <row r="91" spans="20:49" ht="14.4">
      <c r="T91" s="25" t="s">
        <v>822</v>
      </c>
      <c r="U91" s="25" t="s">
        <v>880</v>
      </c>
      <c r="V91" s="25" t="s">
        <v>858</v>
      </c>
      <c r="W91" s="25" t="str">
        <f t="shared" si="14"/>
        <v>Aluminium PelmetInside Window MountChain Winder 60mm</v>
      </c>
      <c r="X91" s="25">
        <v>0</v>
      </c>
      <c r="Y91" s="25">
        <v>0</v>
      </c>
      <c r="Z91" s="25" t="s">
        <v>824</v>
      </c>
      <c r="AA91" s="25" t="s">
        <v>824</v>
      </c>
      <c r="AB91" s="25" t="s">
        <v>821</v>
      </c>
      <c r="AC91" s="25" t="s">
        <v>821</v>
      </c>
      <c r="AD91" s="25" t="s">
        <v>818</v>
      </c>
      <c r="AE91" s="25" t="s">
        <v>824</v>
      </c>
      <c r="AM91" s="25" t="s">
        <v>841</v>
      </c>
      <c r="AN91" s="25" t="s">
        <v>827</v>
      </c>
      <c r="AO91" s="25" t="s">
        <v>170</v>
      </c>
      <c r="AP91" s="25" t="str">
        <f t="shared" si="16" ref="AP91:AP96">CONCATENATE(AM91,AN91,AO91)</f>
        <v>HD Chain WinderLeftControl</v>
      </c>
      <c r="AQ91" s="25" t="s">
        <v>826</v>
      </c>
      <c r="AR91" s="25" t="s">
        <v>826</v>
      </c>
      <c r="AS91" s="25" t="s">
        <v>826</v>
      </c>
      <c r="AT91" s="25" t="s">
        <v>886</v>
      </c>
      <c r="AU91" s="25" t="s">
        <v>886</v>
      </c>
      <c r="AV91" s="25" t="s">
        <v>1039</v>
      </c>
      <c r="AW91" s="25" t="s">
        <v>818</v>
      </c>
    </row>
    <row r="92" spans="20:49" ht="14.4">
      <c r="T92" s="25" t="s">
        <v>822</v>
      </c>
      <c r="U92" s="25" t="s">
        <v>880</v>
      </c>
      <c r="V92" s="25" t="s">
        <v>865</v>
      </c>
      <c r="W92" s="25" t="str">
        <f t="shared" si="14"/>
        <v>Aluminium PelmetInside Window MountChain Winder Fixed Guide</v>
      </c>
      <c r="X92" s="25">
        <v>0</v>
      </c>
      <c r="Y92" s="25">
        <v>0</v>
      </c>
      <c r="Z92" s="25" t="s">
        <v>824</v>
      </c>
      <c r="AA92" s="25" t="s">
        <v>824</v>
      </c>
      <c r="AB92" s="25" t="s">
        <v>821</v>
      </c>
      <c r="AC92" s="25" t="s">
        <v>821</v>
      </c>
      <c r="AD92" s="25" t="s">
        <v>818</v>
      </c>
      <c r="AE92" s="25" t="s">
        <v>824</v>
      </c>
      <c r="AM92" s="25" t="s">
        <v>841</v>
      </c>
      <c r="AN92" s="25" t="s">
        <v>827</v>
      </c>
      <c r="AO92" s="25" t="s">
        <v>844</v>
      </c>
      <c r="AP92" s="25" t="str">
        <f t="shared" si="16"/>
        <v>HD Chain WinderLeftLHS Blind Independent Link</v>
      </c>
      <c r="AQ92" s="25" t="s">
        <v>826</v>
      </c>
      <c r="AR92" s="25" t="s">
        <v>826</v>
      </c>
      <c r="AS92" s="25" t="s">
        <v>826</v>
      </c>
      <c r="AT92" s="25" t="s">
        <v>886</v>
      </c>
      <c r="AU92" s="25" t="s">
        <v>886</v>
      </c>
      <c r="AV92" s="25" t="s">
        <v>1040</v>
      </c>
      <c r="AW92" s="25" t="s">
        <v>1041</v>
      </c>
    </row>
    <row r="93" spans="20:49" ht="14.4">
      <c r="T93" s="25" t="s">
        <v>822</v>
      </c>
      <c r="U93" s="25" t="s">
        <v>880</v>
      </c>
      <c r="V93" s="25" t="s">
        <v>181</v>
      </c>
      <c r="W93" s="25" t="str">
        <f t="shared" si="14"/>
        <v>Aluminium PelmetInside Window MountLinked</v>
      </c>
      <c r="X93" s="25">
        <v>0</v>
      </c>
      <c r="Y93" s="25">
        <v>0</v>
      </c>
      <c r="Z93" s="25" t="s">
        <v>824</v>
      </c>
      <c r="AA93" s="25" t="s">
        <v>824</v>
      </c>
      <c r="AB93" s="25" t="s">
        <v>821</v>
      </c>
      <c r="AC93" s="25" t="s">
        <v>821</v>
      </c>
      <c r="AD93" s="25" t="s">
        <v>818</v>
      </c>
      <c r="AE93" s="25" t="s">
        <v>824</v>
      </c>
      <c r="AM93" s="25" t="s">
        <v>841</v>
      </c>
      <c r="AN93" s="25" t="s">
        <v>827</v>
      </c>
      <c r="AO93" s="25" t="s">
        <v>824</v>
      </c>
      <c r="AP93" s="25" t="str">
        <f t="shared" si="16"/>
        <v>HD Chain WinderLeftN/A</v>
      </c>
      <c r="AQ93" s="25" t="s">
        <v>826</v>
      </c>
      <c r="AR93" s="25" t="s">
        <v>826</v>
      </c>
      <c r="AS93" s="25" t="s">
        <v>826</v>
      </c>
      <c r="AT93" s="25" t="s">
        <v>886</v>
      </c>
      <c r="AU93" s="25" t="s">
        <v>886</v>
      </c>
      <c r="AV93" s="25" t="s">
        <v>824</v>
      </c>
      <c r="AW93" s="25" t="s">
        <v>1041</v>
      </c>
    </row>
    <row r="94" spans="20:49" ht="14.4">
      <c r="T94" s="25" t="s">
        <v>822</v>
      </c>
      <c r="U94" s="25" t="s">
        <v>880</v>
      </c>
      <c r="V94" s="25" t="s">
        <v>898</v>
      </c>
      <c r="W94" s="25" t="str">
        <f t="shared" si="14"/>
        <v>Aluminium PelmetInside Window MountLinked - HD</v>
      </c>
      <c r="X94" s="25">
        <v>0</v>
      </c>
      <c r="Y94" s="25">
        <v>0</v>
      </c>
      <c r="Z94" s="25" t="s">
        <v>824</v>
      </c>
      <c r="AA94" s="25" t="s">
        <v>824</v>
      </c>
      <c r="AB94" s="25" t="s">
        <v>821</v>
      </c>
      <c r="AC94" s="25" t="s">
        <v>821</v>
      </c>
      <c r="AD94" s="25" t="s">
        <v>818</v>
      </c>
      <c r="AE94" s="25" t="s">
        <v>824</v>
      </c>
      <c r="AM94" s="25" t="s">
        <v>841</v>
      </c>
      <c r="AN94" s="25" t="s">
        <v>872</v>
      </c>
      <c r="AO94" s="25" t="s">
        <v>170</v>
      </c>
      <c r="AP94" s="25" t="str">
        <f t="shared" si="16"/>
        <v>HD Chain WinderRightControl</v>
      </c>
      <c r="AQ94" s="25" t="s">
        <v>826</v>
      </c>
      <c r="AR94" s="25" t="s">
        <v>826</v>
      </c>
      <c r="AS94" s="25" t="s">
        <v>826</v>
      </c>
      <c r="AT94" s="25" t="s">
        <v>886</v>
      </c>
      <c r="AU94" s="25" t="s">
        <v>886</v>
      </c>
      <c r="AV94" s="25" t="s">
        <v>1042</v>
      </c>
      <c r="AW94" s="25" t="s">
        <v>818</v>
      </c>
    </row>
    <row r="95" spans="20:49" ht="14.4">
      <c r="T95" s="25" t="s">
        <v>822</v>
      </c>
      <c r="U95" s="25" t="s">
        <v>880</v>
      </c>
      <c r="V95" s="25" t="s">
        <v>910</v>
      </c>
      <c r="W95" s="25" t="str">
        <f t="shared" si="14"/>
        <v>Aluminium PelmetInside Window MountStandard Spring</v>
      </c>
      <c r="X95" s="25">
        <v>0</v>
      </c>
      <c r="Y95" s="25">
        <v>0</v>
      </c>
      <c r="Z95" s="25" t="s">
        <v>824</v>
      </c>
      <c r="AA95" s="25" t="s">
        <v>824</v>
      </c>
      <c r="AB95" s="25" t="s">
        <v>821</v>
      </c>
      <c r="AC95" s="25" t="s">
        <v>821</v>
      </c>
      <c r="AD95" s="25" t="s">
        <v>818</v>
      </c>
      <c r="AE95" s="25" t="s">
        <v>824</v>
      </c>
      <c r="AM95" s="25" t="s">
        <v>841</v>
      </c>
      <c r="AN95" s="25" t="s">
        <v>872</v>
      </c>
      <c r="AO95" s="25" t="s">
        <v>824</v>
      </c>
      <c r="AP95" s="25" t="str">
        <f t="shared" si="16"/>
        <v>HD Chain WinderRightN/A</v>
      </c>
      <c r="AQ95" s="25" t="s">
        <v>826</v>
      </c>
      <c r="AR95" s="25" t="s">
        <v>826</v>
      </c>
      <c r="AS95" s="25" t="s">
        <v>826</v>
      </c>
      <c r="AT95" s="25" t="s">
        <v>886</v>
      </c>
      <c r="AU95" s="25" t="s">
        <v>886</v>
      </c>
      <c r="AV95" s="25" t="s">
        <v>824</v>
      </c>
      <c r="AW95" s="25" t="s">
        <v>1041</v>
      </c>
    </row>
    <row r="96" spans="20:49" ht="14.4">
      <c r="T96" s="25" t="s">
        <v>822</v>
      </c>
      <c r="U96" s="25" t="s">
        <v>880</v>
      </c>
      <c r="V96" s="25" t="s">
        <v>920</v>
      </c>
      <c r="W96" s="25" t="str">
        <f t="shared" si="14"/>
        <v>Aluminium PelmetInside Window MountSmall Spring</v>
      </c>
      <c r="X96" s="25">
        <v>0</v>
      </c>
      <c r="Y96" s="25">
        <v>0</v>
      </c>
      <c r="Z96" s="25" t="s">
        <v>824</v>
      </c>
      <c r="AA96" s="25" t="s">
        <v>824</v>
      </c>
      <c r="AB96" s="25" t="s">
        <v>821</v>
      </c>
      <c r="AC96" s="25" t="s">
        <v>821</v>
      </c>
      <c r="AD96" s="25" t="s">
        <v>818</v>
      </c>
      <c r="AE96" s="25" t="s">
        <v>824</v>
      </c>
      <c r="AM96" s="25" t="s">
        <v>841</v>
      </c>
      <c r="AN96" s="25" t="s">
        <v>872</v>
      </c>
      <c r="AO96" s="25" t="s">
        <v>901</v>
      </c>
      <c r="AP96" s="25" t="str">
        <f t="shared" si="16"/>
        <v>HD Chain WinderRightRHS Blind Independent Link</v>
      </c>
      <c r="AQ96" s="25" t="s">
        <v>826</v>
      </c>
      <c r="AR96" s="25" t="s">
        <v>826</v>
      </c>
      <c r="AS96" s="25" t="s">
        <v>826</v>
      </c>
      <c r="AT96" s="25" t="s">
        <v>886</v>
      </c>
      <c r="AU96" s="25" t="s">
        <v>886</v>
      </c>
      <c r="AV96" s="25" t="s">
        <v>1043</v>
      </c>
      <c r="AW96" s="25" t="s">
        <v>1041</v>
      </c>
    </row>
    <row r="97" spans="20:49" ht="14.4">
      <c r="T97" s="25" t="s">
        <v>822</v>
      </c>
      <c r="U97" s="25" t="s">
        <v>880</v>
      </c>
      <c r="V97" s="25" t="s">
        <v>929</v>
      </c>
      <c r="W97" s="25" t="str">
        <f t="shared" si="14"/>
        <v>Aluminium PelmetInside Window MountUniline Spring (Old Style)</v>
      </c>
      <c r="X97" s="25">
        <v>0</v>
      </c>
      <c r="Y97" s="25">
        <v>0</v>
      </c>
      <c r="Z97" s="25" t="s">
        <v>824</v>
      </c>
      <c r="AA97" s="25" t="s">
        <v>824</v>
      </c>
      <c r="AB97" s="25" t="s">
        <v>821</v>
      </c>
      <c r="AC97" s="25" t="s">
        <v>821</v>
      </c>
      <c r="AD97" s="25" t="s">
        <v>818</v>
      </c>
      <c r="AE97" s="25" t="s">
        <v>824</v>
      </c>
      <c r="AM97" s="25" t="s">
        <v>858</v>
      </c>
      <c r="AN97" s="25" t="s">
        <v>827</v>
      </c>
      <c r="AO97" s="25" t="s">
        <v>170</v>
      </c>
      <c r="AP97" s="25" t="str">
        <f t="shared" si="15"/>
        <v>Chain Winder 60mmLeftControl</v>
      </c>
      <c r="AQ97" s="25" t="s">
        <v>900</v>
      </c>
      <c r="AR97" s="25" t="s">
        <v>900</v>
      </c>
      <c r="AS97" s="25" t="s">
        <v>900</v>
      </c>
      <c r="AT97" s="25" t="s">
        <v>900</v>
      </c>
      <c r="AU97" s="25" t="s">
        <v>900</v>
      </c>
      <c r="AV97" s="25" t="s">
        <v>1044</v>
      </c>
      <c r="AW97" s="25" t="s">
        <v>818</v>
      </c>
    </row>
    <row r="98" spans="20:49" ht="14.4">
      <c r="T98" s="25" t="s">
        <v>822</v>
      </c>
      <c r="U98" s="25" t="s">
        <v>880</v>
      </c>
      <c r="V98" s="25" t="s">
        <v>935</v>
      </c>
      <c r="W98" s="25" t="str">
        <f t="shared" si="14"/>
        <v>Aluminium PelmetInside Window MountBecker Remote Motor</v>
      </c>
      <c r="X98" s="25">
        <v>0</v>
      </c>
      <c r="Y98" s="25">
        <v>0</v>
      </c>
      <c r="Z98" s="25" t="s">
        <v>824</v>
      </c>
      <c r="AA98" s="25" t="s">
        <v>824</v>
      </c>
      <c r="AB98" s="25" t="s">
        <v>821</v>
      </c>
      <c r="AC98" s="25" t="s">
        <v>821</v>
      </c>
      <c r="AD98" s="25" t="s">
        <v>818</v>
      </c>
      <c r="AE98" s="25" t="s">
        <v>824</v>
      </c>
      <c r="AM98" s="25" t="s">
        <v>858</v>
      </c>
      <c r="AN98" s="25" t="s">
        <v>827</v>
      </c>
      <c r="AO98" s="25" t="s">
        <v>824</v>
      </c>
      <c r="AP98" s="25" t="str">
        <f t="shared" si="15"/>
        <v>Chain Winder 60mmLeftN/A</v>
      </c>
      <c r="AQ98" s="25" t="s">
        <v>900</v>
      </c>
      <c r="AR98" s="25" t="s">
        <v>900</v>
      </c>
      <c r="AS98" s="25" t="s">
        <v>900</v>
      </c>
      <c r="AT98" s="25" t="s">
        <v>900</v>
      </c>
      <c r="AU98" s="25" t="s">
        <v>900</v>
      </c>
      <c r="AV98" s="25" t="s">
        <v>824</v>
      </c>
      <c r="AW98" s="25" t="s">
        <v>1041</v>
      </c>
    </row>
    <row r="99" spans="20:49" ht="14.4">
      <c r="T99" s="25" t="s">
        <v>822</v>
      </c>
      <c r="U99" s="25" t="s">
        <v>880</v>
      </c>
      <c r="V99" s="25" t="s">
        <v>939</v>
      </c>
      <c r="W99" s="25" t="str">
        <f t="shared" si="14"/>
        <v>Aluminium PelmetInside Window MountBecker CBUS Motor</v>
      </c>
      <c r="X99" s="25">
        <v>0</v>
      </c>
      <c r="Y99" s="25">
        <v>0</v>
      </c>
      <c r="Z99" s="25" t="s">
        <v>824</v>
      </c>
      <c r="AA99" s="25" t="s">
        <v>824</v>
      </c>
      <c r="AB99" s="25" t="s">
        <v>821</v>
      </c>
      <c r="AC99" s="25" t="s">
        <v>821</v>
      </c>
      <c r="AD99" s="25" t="s">
        <v>818</v>
      </c>
      <c r="AE99" s="25" t="s">
        <v>824</v>
      </c>
      <c r="AM99" s="25" t="s">
        <v>858</v>
      </c>
      <c r="AN99" s="25" t="s">
        <v>872</v>
      </c>
      <c r="AO99" s="25" t="s">
        <v>170</v>
      </c>
      <c r="AP99" s="25" t="str">
        <f t="shared" si="15"/>
        <v>Chain Winder 60mmRightControl</v>
      </c>
      <c r="AQ99" s="25" t="s">
        <v>900</v>
      </c>
      <c r="AR99" s="25" t="s">
        <v>900</v>
      </c>
      <c r="AS99" s="25" t="s">
        <v>900</v>
      </c>
      <c r="AT99" s="25" t="s">
        <v>900</v>
      </c>
      <c r="AU99" s="25" t="s">
        <v>900</v>
      </c>
      <c r="AV99" s="25" t="s">
        <v>1045</v>
      </c>
      <c r="AW99" s="25" t="s">
        <v>818</v>
      </c>
    </row>
    <row r="100" spans="20:49" ht="14.4">
      <c r="T100" s="25" t="s">
        <v>822</v>
      </c>
      <c r="U100" s="25" t="s">
        <v>880</v>
      </c>
      <c r="V100" s="25" t="s">
        <v>946</v>
      </c>
      <c r="W100" s="25" t="str">
        <f t="shared" si="14"/>
        <v>Aluminium PelmetInside Window MountBecker External Remote Motor</v>
      </c>
      <c r="X100" s="25">
        <v>0</v>
      </c>
      <c r="Y100" s="25">
        <v>0</v>
      </c>
      <c r="Z100" s="25" t="s">
        <v>824</v>
      </c>
      <c r="AA100" s="25" t="s">
        <v>824</v>
      </c>
      <c r="AB100" s="25" t="s">
        <v>821</v>
      </c>
      <c r="AC100" s="25" t="s">
        <v>821</v>
      </c>
      <c r="AD100" s="25" t="s">
        <v>818</v>
      </c>
      <c r="AE100" s="25" t="s">
        <v>824</v>
      </c>
      <c r="AM100" s="25" t="s">
        <v>858</v>
      </c>
      <c r="AN100" s="25" t="s">
        <v>872</v>
      </c>
      <c r="AO100" s="25" t="s">
        <v>824</v>
      </c>
      <c r="AP100" s="25" t="str">
        <f t="shared" si="15"/>
        <v>Chain Winder 60mmRightN/A</v>
      </c>
      <c r="AQ100" s="25" t="s">
        <v>828</v>
      </c>
      <c r="AR100" s="25" t="s">
        <v>900</v>
      </c>
      <c r="AS100" s="25" t="s">
        <v>900</v>
      </c>
      <c r="AT100" s="25" t="s">
        <v>900</v>
      </c>
      <c r="AU100" s="25" t="s">
        <v>900</v>
      </c>
      <c r="AV100" s="25" t="s">
        <v>824</v>
      </c>
      <c r="AW100" s="25" t="s">
        <v>1041</v>
      </c>
    </row>
    <row r="101" spans="20:49" ht="14.4">
      <c r="T101" s="25" t="s">
        <v>822</v>
      </c>
      <c r="U101" s="25" t="s">
        <v>880</v>
      </c>
      <c r="V101" s="25" t="s">
        <v>951</v>
      </c>
      <c r="W101" s="25" t="str">
        <f t="shared" si="14"/>
        <v>Aluminium PelmetInside Window MountBecker External CBUS Motor</v>
      </c>
      <c r="X101" s="25">
        <v>0</v>
      </c>
      <c r="Y101" s="25">
        <v>0</v>
      </c>
      <c r="Z101" s="25" t="s">
        <v>824</v>
      </c>
      <c r="AA101" s="25" t="s">
        <v>824</v>
      </c>
      <c r="AB101" s="25" t="s">
        <v>821</v>
      </c>
      <c r="AC101" s="25" t="s">
        <v>821</v>
      </c>
      <c r="AD101" s="25" t="s">
        <v>818</v>
      </c>
      <c r="AE101" s="25" t="s">
        <v>824</v>
      </c>
      <c r="AM101" s="25" t="s">
        <v>865</v>
      </c>
      <c r="AN101" s="25" t="s">
        <v>827</v>
      </c>
      <c r="AO101" s="25" t="s">
        <v>170</v>
      </c>
      <c r="AP101" s="25" t="str">
        <f t="shared" si="15"/>
        <v>Chain Winder Fixed GuideLeftControl</v>
      </c>
      <c r="AQ101" s="25" t="s">
        <v>828</v>
      </c>
      <c r="AR101" s="25" t="s">
        <v>828</v>
      </c>
      <c r="AS101" s="25" t="s">
        <v>828</v>
      </c>
      <c r="AT101" s="25" t="s">
        <v>828</v>
      </c>
      <c r="AU101" s="25" t="s">
        <v>829</v>
      </c>
      <c r="AV101" s="25" t="s">
        <v>1039</v>
      </c>
      <c r="AW101" s="25" t="s">
        <v>818</v>
      </c>
    </row>
    <row r="102" spans="20:49" ht="14.4">
      <c r="T102" s="25" t="s">
        <v>822</v>
      </c>
      <c r="U102" s="25" t="s">
        <v>880</v>
      </c>
      <c r="V102" s="25" t="s">
        <v>838</v>
      </c>
      <c r="W102" s="25" t="str">
        <f t="shared" si="14"/>
        <v>Aluminium PelmetInside Window Mount1.1nm 12v Acmeda Motor</v>
      </c>
      <c r="X102" s="25">
        <v>0</v>
      </c>
      <c r="Y102" s="25">
        <v>0</v>
      </c>
      <c r="Z102" s="25" t="s">
        <v>824</v>
      </c>
      <c r="AA102" s="25" t="s">
        <v>824</v>
      </c>
      <c r="AB102" s="25" t="s">
        <v>821</v>
      </c>
      <c r="AC102" s="25" t="s">
        <v>821</v>
      </c>
      <c r="AD102" s="25" t="s">
        <v>818</v>
      </c>
      <c r="AE102" s="25" t="s">
        <v>824</v>
      </c>
      <c r="AM102" s="25" t="s">
        <v>865</v>
      </c>
      <c r="AN102" s="25" t="s">
        <v>827</v>
      </c>
      <c r="AO102" s="25" t="s">
        <v>844</v>
      </c>
      <c r="AP102" s="25" t="str">
        <f t="shared" si="15"/>
        <v>Chain Winder Fixed GuideLeftLHS Blind Independent Link</v>
      </c>
      <c r="AQ102" s="25" t="s">
        <v>828</v>
      </c>
      <c r="AR102" s="25" t="s">
        <v>828</v>
      </c>
      <c r="AS102" s="25" t="s">
        <v>828</v>
      </c>
      <c r="AT102" s="25" t="s">
        <v>828</v>
      </c>
      <c r="AU102" s="25" t="s">
        <v>829</v>
      </c>
      <c r="AV102" s="25" t="s">
        <v>1040</v>
      </c>
      <c r="AW102" s="25" t="s">
        <v>1041</v>
      </c>
    </row>
    <row r="103" spans="20:49" ht="14.4">
      <c r="T103" s="25" t="s">
        <v>822</v>
      </c>
      <c r="U103" s="25" t="s">
        <v>880</v>
      </c>
      <c r="V103" t="s">
        <v>882</v>
      </c>
      <c r="W103" s="25" t="str">
        <f t="shared" si="14"/>
        <v>Aluminium PelmetInside Window Mount2nm 12v Acmeda Motor</v>
      </c>
      <c r="X103" s="25">
        <v>0</v>
      </c>
      <c r="Y103" s="25">
        <v>0</v>
      </c>
      <c r="Z103" s="25" t="s">
        <v>824</v>
      </c>
      <c r="AA103" s="25" t="s">
        <v>824</v>
      </c>
      <c r="AB103" s="25" t="s">
        <v>821</v>
      </c>
      <c r="AC103" s="25" t="s">
        <v>821</v>
      </c>
      <c r="AD103" s="25" t="s">
        <v>818</v>
      </c>
      <c r="AE103" s="25" t="s">
        <v>824</v>
      </c>
      <c r="AM103" s="25" t="s">
        <v>865</v>
      </c>
      <c r="AN103" s="25" t="s">
        <v>827</v>
      </c>
      <c r="AO103" s="25" t="s">
        <v>824</v>
      </c>
      <c r="AP103" s="25" t="str">
        <f t="shared" si="15"/>
        <v>Chain Winder Fixed GuideLeftN/A</v>
      </c>
      <c r="AQ103" s="25" t="s">
        <v>828</v>
      </c>
      <c r="AR103" s="25" t="s">
        <v>843</v>
      </c>
      <c r="AS103" s="25" t="s">
        <v>828</v>
      </c>
      <c r="AT103" s="25" t="s">
        <v>828</v>
      </c>
      <c r="AU103" s="25" t="s">
        <v>829</v>
      </c>
      <c r="AV103" s="25" t="s">
        <v>824</v>
      </c>
      <c r="AW103" s="25" t="s">
        <v>1041</v>
      </c>
    </row>
    <row r="104" spans="20:49" ht="14.4">
      <c r="T104" s="25" t="s">
        <v>822</v>
      </c>
      <c r="U104" s="25" t="s">
        <v>880</v>
      </c>
      <c r="V104" t="s">
        <v>896</v>
      </c>
      <c r="W104" s="25" t="str">
        <f t="shared" si="14"/>
        <v>Aluminium PelmetInside Window MountAcmeda 12v 6nm Motor</v>
      </c>
      <c r="X104" s="25">
        <v>0</v>
      </c>
      <c r="Y104" s="25">
        <v>0</v>
      </c>
      <c r="Z104" s="25" t="s">
        <v>824</v>
      </c>
      <c r="AA104" s="25" t="s">
        <v>824</v>
      </c>
      <c r="AB104" s="25" t="s">
        <v>821</v>
      </c>
      <c r="AC104" s="25" t="s">
        <v>821</v>
      </c>
      <c r="AD104" s="25" t="s">
        <v>818</v>
      </c>
      <c r="AE104" s="25" t="s">
        <v>824</v>
      </c>
      <c r="AM104" s="25" t="s">
        <v>865</v>
      </c>
      <c r="AN104" s="25" t="s">
        <v>872</v>
      </c>
      <c r="AO104" s="25" t="s">
        <v>170</v>
      </c>
      <c r="AP104" s="25" t="str">
        <f t="shared" si="15"/>
        <v>Chain Winder Fixed GuideRightControl</v>
      </c>
      <c r="AQ104" s="25" t="s">
        <v>828</v>
      </c>
      <c r="AR104" s="25" t="s">
        <v>828</v>
      </c>
      <c r="AS104" s="25" t="s">
        <v>828</v>
      </c>
      <c r="AT104" s="25" t="s">
        <v>828</v>
      </c>
      <c r="AU104" s="25" t="s">
        <v>829</v>
      </c>
      <c r="AV104" s="25" t="s">
        <v>1042</v>
      </c>
      <c r="AW104" s="25" t="s">
        <v>818</v>
      </c>
    </row>
    <row r="105" spans="20:49" ht="14.4">
      <c r="T105" s="25" t="s">
        <v>822</v>
      </c>
      <c r="U105" s="25" t="s">
        <v>880</v>
      </c>
      <c r="V105" t="s">
        <v>855</v>
      </c>
      <c r="W105" s="25" t="str">
        <f t="shared" si="14"/>
        <v>Aluminium PelmetInside Window Mount0.7nm 12v Acmeda Motor</v>
      </c>
      <c r="X105" s="25">
        <v>0</v>
      </c>
      <c r="Y105" s="25">
        <v>0</v>
      </c>
      <c r="Z105" s="25" t="s">
        <v>824</v>
      </c>
      <c r="AA105" s="25" t="s">
        <v>824</v>
      </c>
      <c r="AB105" s="25" t="s">
        <v>821</v>
      </c>
      <c r="AC105" s="25" t="s">
        <v>821</v>
      </c>
      <c r="AD105" s="25" t="s">
        <v>818</v>
      </c>
      <c r="AE105" s="25" t="s">
        <v>824</v>
      </c>
      <c r="AM105" s="25" t="s">
        <v>865</v>
      </c>
      <c r="AN105" s="25" t="s">
        <v>872</v>
      </c>
      <c r="AO105" s="25" t="s">
        <v>824</v>
      </c>
      <c r="AP105" s="25" t="str">
        <f t="shared" si="15"/>
        <v>Chain Winder Fixed GuideRightN/A</v>
      </c>
      <c r="AQ105" s="25" t="s">
        <v>828</v>
      </c>
      <c r="AR105" s="25" t="s">
        <v>843</v>
      </c>
      <c r="AS105" s="25" t="s">
        <v>828</v>
      </c>
      <c r="AT105" s="25" t="s">
        <v>828</v>
      </c>
      <c r="AU105" s="25" t="s">
        <v>829</v>
      </c>
      <c r="AV105" s="25" t="s">
        <v>824</v>
      </c>
      <c r="AW105" s="25" t="s">
        <v>1041</v>
      </c>
    </row>
    <row r="106" spans="20:49" ht="14.4">
      <c r="T106" s="25" t="s">
        <v>822</v>
      </c>
      <c r="U106" s="25" t="s">
        <v>880</v>
      </c>
      <c r="V106" s="25" t="s">
        <v>849</v>
      </c>
      <c r="W106" s="25" t="str">
        <f t="shared" si="14"/>
        <v>Aluminium PelmetInside Window Mount1.1nm 12v Acmeda DCRF Motor with External Battery</v>
      </c>
      <c r="X106" s="25">
        <v>0</v>
      </c>
      <c r="Y106" s="25">
        <v>0</v>
      </c>
      <c r="Z106" s="25" t="s">
        <v>824</v>
      </c>
      <c r="AA106" s="25" t="s">
        <v>824</v>
      </c>
      <c r="AB106" s="25" t="s">
        <v>821</v>
      </c>
      <c r="AC106" s="25" t="s">
        <v>821</v>
      </c>
      <c r="AD106" s="25" t="s">
        <v>818</v>
      </c>
      <c r="AE106" s="25" t="s">
        <v>824</v>
      </c>
      <c r="AM106" s="25" t="s">
        <v>865</v>
      </c>
      <c r="AN106" s="25" t="s">
        <v>872</v>
      </c>
      <c r="AO106" s="25" t="s">
        <v>901</v>
      </c>
      <c r="AP106" s="25" t="str">
        <f t="shared" si="15"/>
        <v>Chain Winder Fixed GuideRightRHS Blind Independent Link</v>
      </c>
      <c r="AQ106" s="25" t="s">
        <v>828</v>
      </c>
      <c r="AR106" s="25" t="s">
        <v>828</v>
      </c>
      <c r="AS106" s="25" t="s">
        <v>828</v>
      </c>
      <c r="AT106" s="25" t="s">
        <v>828</v>
      </c>
      <c r="AU106" s="25" t="s">
        <v>829</v>
      </c>
      <c r="AV106" s="25" t="s">
        <v>1043</v>
      </c>
      <c r="AW106" s="25" t="s">
        <v>1041</v>
      </c>
    </row>
    <row r="107" spans="20:49" ht="14.4">
      <c r="T107" s="25" t="s">
        <v>822</v>
      </c>
      <c r="U107" s="25" t="s">
        <v>880</v>
      </c>
      <c r="V107" s="25" t="s">
        <v>817</v>
      </c>
      <c r="W107" s="25" t="str">
        <f t="shared" si="14"/>
        <v>Aluminium PelmetInside Window Mount1.1nm 12v Acmeda DCRF Motor</v>
      </c>
      <c r="X107" s="25">
        <v>0</v>
      </c>
      <c r="Y107" s="25">
        <v>0</v>
      </c>
      <c r="Z107" s="25" t="s">
        <v>824</v>
      </c>
      <c r="AA107" s="25" t="s">
        <v>824</v>
      </c>
      <c r="AB107" s="25" t="s">
        <v>821</v>
      </c>
      <c r="AC107" s="25" t="s">
        <v>821</v>
      </c>
      <c r="AD107" s="25" t="s">
        <v>818</v>
      </c>
      <c r="AE107" s="25" t="s">
        <v>824</v>
      </c>
      <c r="AM107" s="25" t="s">
        <v>181</v>
      </c>
      <c r="AN107" s="25" t="s">
        <v>824</v>
      </c>
      <c r="AO107" s="25" t="s">
        <v>839</v>
      </c>
      <c r="AP107" s="25" t="str">
        <f t="shared" si="15"/>
        <v>LinkedN/ALHS Blind</v>
      </c>
      <c r="AQ107" s="25" t="s">
        <v>828</v>
      </c>
      <c r="AR107" s="25" t="s">
        <v>828</v>
      </c>
      <c r="AS107" s="25" t="s">
        <v>828</v>
      </c>
      <c r="AT107" s="25" t="s">
        <v>828</v>
      </c>
      <c r="AU107" s="25" t="s">
        <v>829</v>
      </c>
      <c r="AV107" s="25" t="s">
        <v>1046</v>
      </c>
      <c r="AW107" s="25" t="s">
        <v>821</v>
      </c>
    </row>
    <row r="108" spans="20:49" ht="14.4">
      <c r="T108" s="25" t="s">
        <v>822</v>
      </c>
      <c r="U108" s="25" t="s">
        <v>880</v>
      </c>
      <c r="V108" s="25" t="s">
        <v>868</v>
      </c>
      <c r="W108" s="25" t="str">
        <f t="shared" si="14"/>
        <v>Aluminium PelmetInside Window Mount2nm 12v Acmeda DCRF Motor</v>
      </c>
      <c r="X108" s="25">
        <v>0</v>
      </c>
      <c r="Y108" s="25">
        <v>0</v>
      </c>
      <c r="Z108" s="25" t="s">
        <v>824</v>
      </c>
      <c r="AA108" s="25" t="s">
        <v>824</v>
      </c>
      <c r="AB108" s="25" t="s">
        <v>821</v>
      </c>
      <c r="AC108" s="25" t="s">
        <v>821</v>
      </c>
      <c r="AD108" s="25" t="s">
        <v>818</v>
      </c>
      <c r="AE108" s="25" t="s">
        <v>824</v>
      </c>
      <c r="AM108" s="25" t="s">
        <v>181</v>
      </c>
      <c r="AN108" s="25" t="s">
        <v>824</v>
      </c>
      <c r="AO108" s="25" t="s">
        <v>856</v>
      </c>
      <c r="AP108" s="25" t="str">
        <f t="shared" si="15"/>
        <v>LinkedN/AMiddle Blind Control on LHS</v>
      </c>
      <c r="AQ108" s="25" t="s">
        <v>828</v>
      </c>
      <c r="AR108" s="25" t="s">
        <v>828</v>
      </c>
      <c r="AS108" s="25" t="s">
        <v>828</v>
      </c>
      <c r="AT108" s="25" t="s">
        <v>828</v>
      </c>
      <c r="AU108" s="25" t="s">
        <v>829</v>
      </c>
      <c r="AV108" s="25" t="s">
        <v>1047</v>
      </c>
      <c r="AW108" s="25" t="s">
        <v>821</v>
      </c>
    </row>
    <row r="109" spans="20:49" ht="14.4">
      <c r="T109" s="25" t="s">
        <v>822</v>
      </c>
      <c r="U109" s="25" t="s">
        <v>880</v>
      </c>
      <c r="V109" t="s">
        <v>973</v>
      </c>
      <c r="W109" s="25" t="str">
        <f t="shared" si="14"/>
        <v>Aluminium PelmetInside Window MountSomfy Remote Sonesse Motor</v>
      </c>
      <c r="X109" s="25">
        <v>0</v>
      </c>
      <c r="Y109" s="25">
        <v>0</v>
      </c>
      <c r="Z109" s="25" t="s">
        <v>824</v>
      </c>
      <c r="AA109" s="25" t="s">
        <v>824</v>
      </c>
      <c r="AB109" s="25" t="s">
        <v>821</v>
      </c>
      <c r="AC109" s="25" t="s">
        <v>821</v>
      </c>
      <c r="AD109" s="25" t="s">
        <v>818</v>
      </c>
      <c r="AE109" s="25" t="s">
        <v>824</v>
      </c>
      <c r="AM109" s="25" t="s">
        <v>181</v>
      </c>
      <c r="AN109" s="25" t="s">
        <v>824</v>
      </c>
      <c r="AO109" s="25" t="s">
        <v>968</v>
      </c>
      <c r="AP109" s="25" t="str">
        <f t="shared" si="15"/>
        <v>LinkedN/AMiddle Blind Control on LHS Independent Link</v>
      </c>
      <c r="AQ109" s="25" t="s">
        <v>828</v>
      </c>
      <c r="AR109" s="25" t="s">
        <v>828</v>
      </c>
      <c r="AS109" s="25" t="s">
        <v>828</v>
      </c>
      <c r="AT109" s="25" t="s">
        <v>828</v>
      </c>
      <c r="AU109" s="25" t="s">
        <v>829</v>
      </c>
      <c r="AV109" s="25" t="s">
        <v>1048</v>
      </c>
      <c r="AW109" s="25" t="s">
        <v>821</v>
      </c>
    </row>
    <row r="110" spans="20:49" ht="14.4">
      <c r="T110" s="25" t="s">
        <v>822</v>
      </c>
      <c r="U110" s="25" t="s">
        <v>880</v>
      </c>
      <c r="V110" t="s">
        <v>637</v>
      </c>
      <c r="W110" s="25" t="str">
        <f t="shared" si="14"/>
        <v>Aluminium PelmetInside Window MountSomfy 12v Remote Sonesse Motor</v>
      </c>
      <c r="X110" s="25">
        <v>0</v>
      </c>
      <c r="Y110" s="25">
        <v>0</v>
      </c>
      <c r="Z110" s="25" t="s">
        <v>824</v>
      </c>
      <c r="AA110" s="25" t="s">
        <v>824</v>
      </c>
      <c r="AB110" s="25" t="s">
        <v>821</v>
      </c>
      <c r="AC110" s="25" t="s">
        <v>821</v>
      </c>
      <c r="AD110" s="25" t="s">
        <v>818</v>
      </c>
      <c r="AE110" s="25" t="s">
        <v>824</v>
      </c>
      <c r="AM110" s="25" t="s">
        <v>181</v>
      </c>
      <c r="AN110" s="25" t="s">
        <v>824</v>
      </c>
      <c r="AO110" s="25" t="s">
        <v>869</v>
      </c>
      <c r="AP110" s="25" t="str">
        <f t="shared" si="15"/>
        <v>LinkedN/AMiddle Blind Control on RHS</v>
      </c>
      <c r="AQ110" s="25" t="s">
        <v>828</v>
      </c>
      <c r="AR110" s="25" t="s">
        <v>828</v>
      </c>
      <c r="AS110" s="25" t="s">
        <v>828</v>
      </c>
      <c r="AT110" s="25" t="s">
        <v>828</v>
      </c>
      <c r="AU110" s="25" t="s">
        <v>829</v>
      </c>
      <c r="AV110" s="25" t="s">
        <v>1049</v>
      </c>
      <c r="AW110" s="25" t="s">
        <v>821</v>
      </c>
    </row>
    <row r="111" spans="20:49" ht="14.4">
      <c r="T111" s="25" t="s">
        <v>822</v>
      </c>
      <c r="U111" s="25" t="s">
        <v>880</v>
      </c>
      <c r="V111" s="25" t="s">
        <v>974</v>
      </c>
      <c r="W111" s="25" t="str">
        <f t="shared" si="14"/>
        <v>Aluminium PelmetInside Window MountSomfy CBUS Motor</v>
      </c>
      <c r="X111" s="25">
        <v>0</v>
      </c>
      <c r="Y111" s="25">
        <v>0</v>
      </c>
      <c r="Z111" s="25" t="s">
        <v>824</v>
      </c>
      <c r="AA111" s="25" t="s">
        <v>824</v>
      </c>
      <c r="AB111" s="25" t="s">
        <v>821</v>
      </c>
      <c r="AC111" s="25" t="s">
        <v>821</v>
      </c>
      <c r="AD111" s="25" t="s">
        <v>818</v>
      </c>
      <c r="AE111" s="25" t="s">
        <v>824</v>
      </c>
      <c r="AM111" s="25" t="s">
        <v>181</v>
      </c>
      <c r="AN111" s="25" t="s">
        <v>824</v>
      </c>
      <c r="AO111" s="25" t="s">
        <v>971</v>
      </c>
      <c r="AP111" s="25" t="str">
        <f t="shared" si="15"/>
        <v>LinkedN/AMiddle Blind Control on RHS Independent Link</v>
      </c>
      <c r="AQ111" s="25" t="s">
        <v>828</v>
      </c>
      <c r="AR111" s="25" t="s">
        <v>828</v>
      </c>
      <c r="AS111" s="25" t="s">
        <v>828</v>
      </c>
      <c r="AT111" s="25" t="s">
        <v>828</v>
      </c>
      <c r="AU111" s="25" t="s">
        <v>829</v>
      </c>
      <c r="AV111" s="25" t="s">
        <v>1046</v>
      </c>
      <c r="AW111" s="25" t="s">
        <v>821</v>
      </c>
    </row>
    <row r="112" spans="20:49" ht="14.4">
      <c r="T112" s="25" t="s">
        <v>822</v>
      </c>
      <c r="U112" s="25" t="s">
        <v>880</v>
      </c>
      <c r="V112" t="s">
        <v>986</v>
      </c>
      <c r="W112" s="25" t="str">
        <f t="shared" si="14"/>
        <v>Aluminium PelmetInside Window MountHD Somfy Remote Sonesse Motor</v>
      </c>
      <c r="X112" s="25">
        <v>0</v>
      </c>
      <c r="Y112" s="25">
        <v>0</v>
      </c>
      <c r="Z112" s="25" t="s">
        <v>824</v>
      </c>
      <c r="AA112" s="25" t="s">
        <v>824</v>
      </c>
      <c r="AB112" s="25" t="s">
        <v>821</v>
      </c>
      <c r="AC112" s="25" t="s">
        <v>821</v>
      </c>
      <c r="AD112" s="25" t="s">
        <v>818</v>
      </c>
      <c r="AE112" s="25" t="s">
        <v>824</v>
      </c>
      <c r="AM112" s="25" t="s">
        <v>181</v>
      </c>
      <c r="AN112" s="25" t="s">
        <v>824</v>
      </c>
      <c r="AO112" s="25" t="s">
        <v>820</v>
      </c>
      <c r="AP112" s="25" t="str">
        <f t="shared" si="15"/>
        <v>LinkedN/ARHS Blind</v>
      </c>
      <c r="AQ112" s="25" t="s">
        <v>828</v>
      </c>
      <c r="AR112" s="25" t="s">
        <v>828</v>
      </c>
      <c r="AS112" s="25" t="s">
        <v>828</v>
      </c>
      <c r="AT112" s="25" t="s">
        <v>828</v>
      </c>
      <c r="AU112" s="25" t="s">
        <v>829</v>
      </c>
      <c r="AV112" s="25" t="s">
        <v>1050</v>
      </c>
      <c r="AW112" s="25" t="s">
        <v>821</v>
      </c>
    </row>
    <row r="113" spans="20:49" ht="14.4">
      <c r="T113" s="25" t="s">
        <v>822</v>
      </c>
      <c r="U113" s="25" t="s">
        <v>880</v>
      </c>
      <c r="V113" t="s">
        <v>989</v>
      </c>
      <c r="W113" s="25" t="str">
        <f t="shared" si="14"/>
        <v>Aluminium PelmetInside Window MountHD Somfy 12v Remote Sonesse Motor</v>
      </c>
      <c r="X113" s="25">
        <v>0</v>
      </c>
      <c r="Y113" s="25">
        <v>0</v>
      </c>
      <c r="Z113" s="25" t="s">
        <v>824</v>
      </c>
      <c r="AA113" s="25" t="s">
        <v>824</v>
      </c>
      <c r="AB113" s="25" t="s">
        <v>821</v>
      </c>
      <c r="AC113" s="25" t="s">
        <v>821</v>
      </c>
      <c r="AD113" s="25" t="s">
        <v>818</v>
      </c>
      <c r="AE113" s="25" t="s">
        <v>824</v>
      </c>
      <c r="AM113" s="25" t="s">
        <v>898</v>
      </c>
      <c r="AN113" s="25" t="s">
        <v>824</v>
      </c>
      <c r="AO113" s="25" t="s">
        <v>839</v>
      </c>
      <c r="AP113" s="25" t="str">
        <f t="shared" si="17" ref="AP113:AP118">CONCATENATE(AM113,AN113,AO113)</f>
        <v>Linked - HDN/ALHS Blind</v>
      </c>
      <c r="AQ113" s="25" t="s">
        <v>886</v>
      </c>
      <c r="AR113" s="25" t="s">
        <v>886</v>
      </c>
      <c r="AS113" s="25" t="s">
        <v>886</v>
      </c>
      <c r="AT113" s="25" t="s">
        <v>886</v>
      </c>
      <c r="AU113" s="25" t="s">
        <v>886</v>
      </c>
      <c r="AV113" s="25" t="s">
        <v>1046</v>
      </c>
      <c r="AW113" s="25" t="s">
        <v>821</v>
      </c>
    </row>
    <row r="114" spans="20:49" ht="14.4">
      <c r="T114" s="25" t="s">
        <v>822</v>
      </c>
      <c r="U114" s="25" t="s">
        <v>880</v>
      </c>
      <c r="V114" s="25" t="s">
        <v>992</v>
      </c>
      <c r="W114" s="25" t="str">
        <f t="shared" si="14"/>
        <v>Aluminium PelmetInside Window MountHD Somfy CBUS Motor</v>
      </c>
      <c r="X114" s="25">
        <v>0</v>
      </c>
      <c r="Y114" s="25">
        <v>0</v>
      </c>
      <c r="Z114" s="25" t="s">
        <v>824</v>
      </c>
      <c r="AA114" s="25" t="s">
        <v>824</v>
      </c>
      <c r="AB114" s="25" t="s">
        <v>821</v>
      </c>
      <c r="AC114" s="25" t="s">
        <v>821</v>
      </c>
      <c r="AD114" s="25" t="s">
        <v>818</v>
      </c>
      <c r="AE114" s="25" t="s">
        <v>824</v>
      </c>
      <c r="AM114" s="25" t="s">
        <v>898</v>
      </c>
      <c r="AN114" s="25" t="s">
        <v>824</v>
      </c>
      <c r="AO114" s="25" t="s">
        <v>856</v>
      </c>
      <c r="AP114" s="25" t="str">
        <f t="shared" si="17"/>
        <v>Linked - HDN/AMiddle Blind Control on LHS</v>
      </c>
      <c r="AQ114" s="25" t="s">
        <v>886</v>
      </c>
      <c r="AR114" s="25" t="s">
        <v>886</v>
      </c>
      <c r="AS114" s="25" t="s">
        <v>886</v>
      </c>
      <c r="AT114" s="25" t="s">
        <v>886</v>
      </c>
      <c r="AU114" s="25" t="s">
        <v>886</v>
      </c>
      <c r="AV114" s="25" t="s">
        <v>1047</v>
      </c>
      <c r="AW114" s="25" t="s">
        <v>821</v>
      </c>
    </row>
    <row r="115" spans="20:49" ht="14.4">
      <c r="T115" s="25" t="s">
        <v>822</v>
      </c>
      <c r="U115" s="25" t="s">
        <v>880</v>
      </c>
      <c r="V115" s="25" t="s">
        <v>625</v>
      </c>
      <c r="W115" s="25" t="str">
        <f t="shared" si="14"/>
        <v>Aluminium PelmetInside Window MountAcmeda E6 Motor</v>
      </c>
      <c r="X115" s="25">
        <v>0</v>
      </c>
      <c r="Y115" s="25">
        <v>0</v>
      </c>
      <c r="Z115" s="25" t="s">
        <v>824</v>
      </c>
      <c r="AA115" s="25" t="s">
        <v>824</v>
      </c>
      <c r="AB115" s="25" t="s">
        <v>821</v>
      </c>
      <c r="AC115" s="25" t="s">
        <v>821</v>
      </c>
      <c r="AD115" s="25" t="s">
        <v>818</v>
      </c>
      <c r="AE115" s="25" t="s">
        <v>824</v>
      </c>
      <c r="AM115" s="25" t="s">
        <v>898</v>
      </c>
      <c r="AN115" s="25" t="s">
        <v>824</v>
      </c>
      <c r="AO115" s="25" t="s">
        <v>968</v>
      </c>
      <c r="AP115" s="25" t="str">
        <f t="shared" si="17"/>
        <v>Linked - HDN/AMiddle Blind Control on LHS Independent Link</v>
      </c>
      <c r="AQ115" s="25" t="s">
        <v>886</v>
      </c>
      <c r="AR115" s="25" t="s">
        <v>886</v>
      </c>
      <c r="AS115" s="25" t="s">
        <v>886</v>
      </c>
      <c r="AT115" s="25" t="s">
        <v>886</v>
      </c>
      <c r="AU115" s="25" t="s">
        <v>886</v>
      </c>
      <c r="AV115" s="25" t="s">
        <v>1048</v>
      </c>
      <c r="AW115" s="25" t="s">
        <v>821</v>
      </c>
    </row>
    <row r="116" spans="20:49" ht="14.4">
      <c r="T116" s="25" t="s">
        <v>822</v>
      </c>
      <c r="U116" s="25" t="s">
        <v>880</v>
      </c>
      <c r="V116" s="25" t="s">
        <v>626</v>
      </c>
      <c r="W116" s="25" t="str">
        <f t="shared" si="14"/>
        <v>Aluminium PelmetInside Window MountAcmeda M6 Motor</v>
      </c>
      <c r="X116" s="25">
        <v>0</v>
      </c>
      <c r="Y116" s="25">
        <v>0</v>
      </c>
      <c r="Z116" s="25" t="s">
        <v>824</v>
      </c>
      <c r="AA116" s="25" t="s">
        <v>824</v>
      </c>
      <c r="AB116" s="25" t="s">
        <v>821</v>
      </c>
      <c r="AC116" s="25" t="s">
        <v>821</v>
      </c>
      <c r="AD116" s="25" t="s">
        <v>818</v>
      </c>
      <c r="AE116" s="25" t="s">
        <v>824</v>
      </c>
      <c r="AM116" s="25" t="s">
        <v>898</v>
      </c>
      <c r="AN116" s="25" t="s">
        <v>824</v>
      </c>
      <c r="AO116" s="25" t="s">
        <v>869</v>
      </c>
      <c r="AP116" s="25" t="str">
        <f t="shared" si="17"/>
        <v>Linked - HDN/AMiddle Blind Control on RHS</v>
      </c>
      <c r="AQ116" s="25" t="s">
        <v>886</v>
      </c>
      <c r="AR116" s="25" t="s">
        <v>886</v>
      </c>
      <c r="AS116" s="25" t="s">
        <v>886</v>
      </c>
      <c r="AT116" s="25" t="s">
        <v>886</v>
      </c>
      <c r="AU116" s="25" t="s">
        <v>886</v>
      </c>
      <c r="AV116" s="25" t="s">
        <v>1049</v>
      </c>
      <c r="AW116" s="25" t="s">
        <v>821</v>
      </c>
    </row>
    <row r="117" spans="20:49" ht="14.4">
      <c r="T117" s="25" t="s">
        <v>822</v>
      </c>
      <c r="U117" s="25" t="s">
        <v>880</v>
      </c>
      <c r="V117" s="25" t="s">
        <v>1002</v>
      </c>
      <c r="W117" s="25" t="str">
        <f t="shared" si="14"/>
        <v>Aluminium PelmetInside Window MountUniline Remote Motor</v>
      </c>
      <c r="X117" s="25">
        <v>0</v>
      </c>
      <c r="Y117" s="25">
        <v>0</v>
      </c>
      <c r="Z117" s="25" t="s">
        <v>824</v>
      </c>
      <c r="AA117" s="25" t="s">
        <v>824</v>
      </c>
      <c r="AB117" s="25" t="s">
        <v>821</v>
      </c>
      <c r="AC117" s="25" t="s">
        <v>821</v>
      </c>
      <c r="AD117" s="25" t="s">
        <v>818</v>
      </c>
      <c r="AE117" s="25" t="s">
        <v>824</v>
      </c>
      <c r="AM117" s="25" t="s">
        <v>898</v>
      </c>
      <c r="AN117" s="25" t="s">
        <v>824</v>
      </c>
      <c r="AO117" s="25" t="s">
        <v>971</v>
      </c>
      <c r="AP117" s="25" t="str">
        <f t="shared" si="17"/>
        <v>Linked - HDN/AMiddle Blind Control on RHS Independent Link</v>
      </c>
      <c r="AQ117" s="25" t="s">
        <v>886</v>
      </c>
      <c r="AR117" s="25" t="s">
        <v>886</v>
      </c>
      <c r="AS117" s="25" t="s">
        <v>886</v>
      </c>
      <c r="AT117" s="25" t="s">
        <v>886</v>
      </c>
      <c r="AU117" s="25" t="s">
        <v>886</v>
      </c>
      <c r="AV117" s="25" t="s">
        <v>1046</v>
      </c>
      <c r="AW117" s="25" t="s">
        <v>821</v>
      </c>
    </row>
    <row r="118" spans="20:49" ht="14.4">
      <c r="T118" s="25" t="s">
        <v>822</v>
      </c>
      <c r="U118" s="25" t="s">
        <v>880</v>
      </c>
      <c r="V118" s="25" t="s">
        <v>1005</v>
      </c>
      <c r="W118" s="25" t="str">
        <f t="shared" si="14"/>
        <v>Aluminium PelmetInside Window MountUniline Cbus Motor</v>
      </c>
      <c r="X118" s="25">
        <v>0</v>
      </c>
      <c r="Y118" s="25">
        <v>0</v>
      </c>
      <c r="Z118" s="25" t="s">
        <v>824</v>
      </c>
      <c r="AA118" s="25" t="s">
        <v>824</v>
      </c>
      <c r="AB118" s="25" t="s">
        <v>821</v>
      </c>
      <c r="AC118" s="25" t="s">
        <v>821</v>
      </c>
      <c r="AD118" s="25" t="s">
        <v>818</v>
      </c>
      <c r="AE118" s="25" t="s">
        <v>824</v>
      </c>
      <c r="AM118" s="25" t="s">
        <v>898</v>
      </c>
      <c r="AN118" s="25" t="s">
        <v>824</v>
      </c>
      <c r="AO118" s="25" t="s">
        <v>820</v>
      </c>
      <c r="AP118" s="25" t="str">
        <f t="shared" si="17"/>
        <v>Linked - HDN/ARHS Blind</v>
      </c>
      <c r="AQ118" s="25" t="s">
        <v>886</v>
      </c>
      <c r="AR118" s="25" t="s">
        <v>886</v>
      </c>
      <c r="AS118" s="25" t="s">
        <v>886</v>
      </c>
      <c r="AT118" s="25" t="s">
        <v>886</v>
      </c>
      <c r="AU118" s="25" t="s">
        <v>886</v>
      </c>
      <c r="AV118" s="25" t="s">
        <v>1050</v>
      </c>
      <c r="AW118" s="25" t="s">
        <v>821</v>
      </c>
    </row>
    <row r="119" spans="20:49" ht="14.4">
      <c r="T119" s="25" t="s">
        <v>822</v>
      </c>
      <c r="U119" s="25" t="s">
        <v>880</v>
      </c>
      <c r="V119" s="25" t="s">
        <v>981</v>
      </c>
      <c r="W119" s="25" t="str">
        <f t="shared" si="14"/>
        <v>Aluminium PelmetInside Window MountNice Remote Motor</v>
      </c>
      <c r="X119" s="25">
        <v>0</v>
      </c>
      <c r="Y119" s="25">
        <v>0</v>
      </c>
      <c r="Z119" s="25" t="s">
        <v>824</v>
      </c>
      <c r="AA119" s="25" t="s">
        <v>824</v>
      </c>
      <c r="AB119" s="25" t="s">
        <v>821</v>
      </c>
      <c r="AC119" s="25" t="s">
        <v>821</v>
      </c>
      <c r="AD119" s="25" t="s">
        <v>818</v>
      </c>
      <c r="AE119" s="25" t="s">
        <v>824</v>
      </c>
      <c r="AM119" s="25" t="s">
        <v>925</v>
      </c>
      <c r="AN119" s="25" t="s">
        <v>824</v>
      </c>
      <c r="AO119" s="25" t="s">
        <v>839</v>
      </c>
      <c r="AP119" s="25" t="str">
        <f t="shared" si="15"/>
        <v>Linked 60mmN/ALHS Blind</v>
      </c>
      <c r="AQ119" s="25" t="s">
        <v>900</v>
      </c>
      <c r="AR119" s="25" t="s">
        <v>900</v>
      </c>
      <c r="AS119" s="25" t="s">
        <v>900</v>
      </c>
      <c r="AT119" s="25" t="s">
        <v>900</v>
      </c>
      <c r="AU119" s="25" t="s">
        <v>900</v>
      </c>
      <c r="AV119" s="25" t="s">
        <v>1051</v>
      </c>
      <c r="AW119" s="25" t="s">
        <v>821</v>
      </c>
    </row>
    <row r="120" spans="20:49" ht="14.4">
      <c r="T120" s="25" t="s">
        <v>822</v>
      </c>
      <c r="U120" s="25" t="s">
        <v>880</v>
      </c>
      <c r="V120" s="25" t="s">
        <v>976</v>
      </c>
      <c r="W120" s="25" t="str">
        <f t="shared" si="14"/>
        <v>Aluminium PelmetInside Window MountNice CBus Motor</v>
      </c>
      <c r="X120" s="25">
        <v>0</v>
      </c>
      <c r="Y120" s="25">
        <v>0</v>
      </c>
      <c r="Z120" s="25" t="s">
        <v>824</v>
      </c>
      <c r="AA120" s="25" t="s">
        <v>824</v>
      </c>
      <c r="AB120" s="25" t="s">
        <v>821</v>
      </c>
      <c r="AC120" s="25" t="s">
        <v>821</v>
      </c>
      <c r="AD120" s="25" t="s">
        <v>818</v>
      </c>
      <c r="AE120" s="25" t="s">
        <v>824</v>
      </c>
      <c r="AM120" s="25" t="s">
        <v>925</v>
      </c>
      <c r="AN120" s="25" t="s">
        <v>824</v>
      </c>
      <c r="AO120" s="25" t="s">
        <v>856</v>
      </c>
      <c r="AP120" s="25" t="str">
        <f t="shared" si="15"/>
        <v>Linked 60mmN/AMiddle Blind Control on LHS</v>
      </c>
      <c r="AQ120" s="25" t="s">
        <v>900</v>
      </c>
      <c r="AR120" s="25" t="s">
        <v>900</v>
      </c>
      <c r="AS120" s="25" t="s">
        <v>900</v>
      </c>
      <c r="AT120" s="25" t="s">
        <v>900</v>
      </c>
      <c r="AU120" s="25" t="s">
        <v>900</v>
      </c>
      <c r="AV120" s="25" t="s">
        <v>1052</v>
      </c>
      <c r="AW120" s="25" t="s">
        <v>821</v>
      </c>
    </row>
    <row r="121" spans="20:49" ht="14.4">
      <c r="T121" s="25" t="s">
        <v>822</v>
      </c>
      <c r="U121" s="25" t="s">
        <v>880</v>
      </c>
      <c r="V121" t="s">
        <v>1006</v>
      </c>
      <c r="W121" s="25" t="str">
        <f t="shared" si="14"/>
        <v>Aluminium PelmetInside Window MountSunboss Chain Winder 38mm Tube</v>
      </c>
      <c r="X121" s="25">
        <v>0</v>
      </c>
      <c r="Y121" s="25">
        <v>0</v>
      </c>
      <c r="Z121" s="25" t="s">
        <v>824</v>
      </c>
      <c r="AA121" s="25" t="s">
        <v>824</v>
      </c>
      <c r="AB121" s="25" t="s">
        <v>821</v>
      </c>
      <c r="AC121" s="25" t="s">
        <v>821</v>
      </c>
      <c r="AD121" s="25" t="s">
        <v>818</v>
      </c>
      <c r="AE121" s="25" t="s">
        <v>824</v>
      </c>
      <c r="AM121" s="25" t="s">
        <v>925</v>
      </c>
      <c r="AN121" s="25" t="s">
        <v>824</v>
      </c>
      <c r="AO121" s="25" t="s">
        <v>869</v>
      </c>
      <c r="AP121" s="25" t="str">
        <f t="shared" si="15"/>
        <v>Linked 60mmN/AMiddle Blind Control on RHS</v>
      </c>
      <c r="AQ121" s="25" t="s">
        <v>900</v>
      </c>
      <c r="AR121" s="25" t="s">
        <v>900</v>
      </c>
      <c r="AS121" s="25" t="s">
        <v>900</v>
      </c>
      <c r="AT121" s="25" t="s">
        <v>900</v>
      </c>
      <c r="AU121" s="25" t="s">
        <v>900</v>
      </c>
      <c r="AV121" s="25" t="s">
        <v>1053</v>
      </c>
      <c r="AW121" s="25" t="s">
        <v>821</v>
      </c>
    </row>
    <row r="122" spans="20:49" ht="14.4">
      <c r="T122" s="25" t="s">
        <v>822</v>
      </c>
      <c r="U122" s="25" t="s">
        <v>880</v>
      </c>
      <c r="V122" t="s">
        <v>1017</v>
      </c>
      <c r="W122" s="25" t="str">
        <f t="shared" si="14"/>
        <v>Aluminium PelmetInside Window MountSunboss Chain Winder 43mm Tube</v>
      </c>
      <c r="X122" s="25">
        <v>0</v>
      </c>
      <c r="Y122" s="25">
        <v>0</v>
      </c>
      <c r="Z122" s="25" t="s">
        <v>824</v>
      </c>
      <c r="AA122" s="25" t="s">
        <v>824</v>
      </c>
      <c r="AB122" s="25" t="s">
        <v>821</v>
      </c>
      <c r="AC122" s="25" t="s">
        <v>821</v>
      </c>
      <c r="AD122" s="25" t="s">
        <v>818</v>
      </c>
      <c r="AE122" s="25" t="s">
        <v>824</v>
      </c>
      <c r="AM122" s="25" t="s">
        <v>925</v>
      </c>
      <c r="AN122" s="25" t="s">
        <v>824</v>
      </c>
      <c r="AO122" s="25" t="s">
        <v>820</v>
      </c>
      <c r="AP122" s="25" t="str">
        <f t="shared" si="15"/>
        <v>Linked 60mmN/ARHS Blind</v>
      </c>
      <c r="AQ122" s="25" t="s">
        <v>900</v>
      </c>
      <c r="AR122" s="25" t="s">
        <v>900</v>
      </c>
      <c r="AS122" s="25" t="s">
        <v>900</v>
      </c>
      <c r="AT122" s="25" t="s">
        <v>900</v>
      </c>
      <c r="AU122" s="25" t="s">
        <v>900</v>
      </c>
      <c r="AV122" s="25" t="s">
        <v>1054</v>
      </c>
      <c r="AW122" s="25" t="s">
        <v>821</v>
      </c>
    </row>
    <row r="123" spans="20:49" ht="14.4">
      <c r="T123" s="25" t="s">
        <v>822</v>
      </c>
      <c r="U123" s="25" t="s">
        <v>880</v>
      </c>
      <c r="V123" s="25" t="s">
        <v>1012</v>
      </c>
      <c r="W123" s="25" t="str">
        <f t="shared" si="14"/>
        <v>Aluminium PelmetInside Window MountTBS Remote Motor</v>
      </c>
      <c r="X123" s="25">
        <v>0</v>
      </c>
      <c r="Y123" s="25">
        <v>0</v>
      </c>
      <c r="Z123" s="25" t="s">
        <v>824</v>
      </c>
      <c r="AA123" s="25" t="s">
        <v>824</v>
      </c>
      <c r="AB123" s="25" t="s">
        <v>821</v>
      </c>
      <c r="AC123" s="25" t="s">
        <v>821</v>
      </c>
      <c r="AD123" s="25" t="s">
        <v>818</v>
      </c>
      <c r="AE123" s="25" t="s">
        <v>824</v>
      </c>
      <c r="AM123" t="s">
        <v>976</v>
      </c>
      <c r="AN123" s="25" t="s">
        <v>827</v>
      </c>
      <c r="AO123" s="25" t="s">
        <v>824</v>
      </c>
      <c r="AP123" s="25" t="str">
        <f t="shared" si="15"/>
        <v>Nice CBus MotorLeftN/A</v>
      </c>
      <c r="AQ123" s="25" t="s">
        <v>828</v>
      </c>
      <c r="AR123" s="25" t="s">
        <v>828</v>
      </c>
      <c r="AS123" s="25" t="s">
        <v>828</v>
      </c>
      <c r="AT123" s="25" t="s">
        <v>828</v>
      </c>
      <c r="AU123" s="25" t="s">
        <v>829</v>
      </c>
      <c r="AV123" s="25" t="s">
        <v>824</v>
      </c>
      <c r="AW123" s="25" t="s">
        <v>821</v>
      </c>
    </row>
    <row r="124" spans="20:49" ht="14.4">
      <c r="T124" s="25" t="s">
        <v>822</v>
      </c>
      <c r="U124" s="25" t="s">
        <v>880</v>
      </c>
      <c r="V124" t="s">
        <v>1009</v>
      </c>
      <c r="W124" s="25" t="str">
        <f t="shared" si="14"/>
        <v>Aluminium PelmetInside Window MountTBS Cbus Motor</v>
      </c>
      <c r="X124" s="25">
        <v>0</v>
      </c>
      <c r="Y124" s="25">
        <v>0</v>
      </c>
      <c r="Z124" s="25" t="s">
        <v>824</v>
      </c>
      <c r="AA124" s="25" t="s">
        <v>824</v>
      </c>
      <c r="AB124" s="25" t="s">
        <v>821</v>
      </c>
      <c r="AC124" s="25" t="s">
        <v>821</v>
      </c>
      <c r="AD124" s="25" t="s">
        <v>818</v>
      </c>
      <c r="AE124" s="25" t="s">
        <v>824</v>
      </c>
      <c r="AM124" t="s">
        <v>976</v>
      </c>
      <c r="AN124" s="25" t="s">
        <v>872</v>
      </c>
      <c r="AO124" s="25" t="s">
        <v>824</v>
      </c>
      <c r="AP124" s="25" t="str">
        <f t="shared" si="15"/>
        <v>Nice CBus MotorRightN/A</v>
      </c>
      <c r="AQ124" s="25" t="s">
        <v>828</v>
      </c>
      <c r="AR124" s="25" t="s">
        <v>828</v>
      </c>
      <c r="AS124" s="25" t="s">
        <v>828</v>
      </c>
      <c r="AT124" s="25" t="s">
        <v>828</v>
      </c>
      <c r="AU124" s="25" t="s">
        <v>829</v>
      </c>
      <c r="AV124" s="25" t="s">
        <v>824</v>
      </c>
      <c r="AW124" s="25" t="s">
        <v>821</v>
      </c>
    </row>
    <row r="125" spans="20:49" ht="14.4">
      <c r="T125" s="25" t="s">
        <v>822</v>
      </c>
      <c r="U125" s="25" t="s">
        <v>880</v>
      </c>
      <c r="V125" t="s">
        <v>927</v>
      </c>
      <c r="W125" s="25" t="str">
        <f t="shared" si="14"/>
        <v>Aluminium PelmetInside Window MountAcmeda External Motor</v>
      </c>
      <c r="X125" s="25">
        <v>0</v>
      </c>
      <c r="Y125" s="25">
        <v>0</v>
      </c>
      <c r="Z125" s="25" t="s">
        <v>824</v>
      </c>
      <c r="AA125" s="25" t="s">
        <v>824</v>
      </c>
      <c r="AB125" s="25" t="s">
        <v>821</v>
      </c>
      <c r="AC125" s="25" t="s">
        <v>821</v>
      </c>
      <c r="AD125" s="25" t="s">
        <v>818</v>
      </c>
      <c r="AE125" s="25" t="s">
        <v>824</v>
      </c>
      <c r="AM125" t="s">
        <v>981</v>
      </c>
      <c r="AN125" s="25" t="s">
        <v>827</v>
      </c>
      <c r="AO125" s="25" t="s">
        <v>824</v>
      </c>
      <c r="AP125" s="25" t="str">
        <f t="shared" si="18" ref="AP125:AP182">CONCATENATE(AM125,AN125,AO125)</f>
        <v>Nice Remote MotorLeftN/A</v>
      </c>
      <c r="AQ125" s="25" t="s">
        <v>828</v>
      </c>
      <c r="AR125" s="25" t="s">
        <v>828</v>
      </c>
      <c r="AS125" s="25" t="s">
        <v>828</v>
      </c>
      <c r="AT125" s="25" t="s">
        <v>828</v>
      </c>
      <c r="AU125" s="25" t="s">
        <v>829</v>
      </c>
      <c r="AV125" s="25" t="s">
        <v>824</v>
      </c>
      <c r="AW125" s="25" t="s">
        <v>821</v>
      </c>
    </row>
    <row r="126" spans="20:49" ht="14.4">
      <c r="T126" s="25" t="s">
        <v>822</v>
      </c>
      <c r="U126" s="25" t="s">
        <v>880</v>
      </c>
      <c r="V126" t="s">
        <v>918</v>
      </c>
      <c r="W126" s="25" t="str">
        <f t="shared" si="14"/>
        <v>Aluminium PelmetInside Window MountAcmeda External 12v Motor</v>
      </c>
      <c r="X126" s="25">
        <v>0</v>
      </c>
      <c r="Y126" s="25">
        <v>0</v>
      </c>
      <c r="Z126" s="25" t="s">
        <v>824</v>
      </c>
      <c r="AA126" s="25" t="s">
        <v>824</v>
      </c>
      <c r="AB126" s="25" t="s">
        <v>821</v>
      </c>
      <c r="AC126" s="25" t="s">
        <v>821</v>
      </c>
      <c r="AD126" s="25" t="s">
        <v>818</v>
      </c>
      <c r="AE126" s="25" t="s">
        <v>824</v>
      </c>
      <c r="AM126" t="s">
        <v>981</v>
      </c>
      <c r="AN126" s="25" t="s">
        <v>872</v>
      </c>
      <c r="AO126" s="25" t="s">
        <v>824</v>
      </c>
      <c r="AP126" s="25" t="str">
        <f t="shared" si="18"/>
        <v>Nice Remote MotorRightN/A</v>
      </c>
      <c r="AQ126" s="25" t="s">
        <v>828</v>
      </c>
      <c r="AR126" s="25" t="s">
        <v>828</v>
      </c>
      <c r="AS126" s="25" t="s">
        <v>828</v>
      </c>
      <c r="AT126" s="25" t="s">
        <v>828</v>
      </c>
      <c r="AU126" s="25" t="s">
        <v>829</v>
      </c>
      <c r="AV126" s="25" t="s">
        <v>824</v>
      </c>
      <c r="AW126" s="25" t="s">
        <v>821</v>
      </c>
    </row>
    <row r="127" spans="20:49" ht="14.4">
      <c r="T127" s="25" t="s">
        <v>822</v>
      </c>
      <c r="U127" s="25" t="s">
        <v>880</v>
      </c>
      <c r="V127" t="s">
        <v>979</v>
      </c>
      <c r="W127" s="25" t="str">
        <f t="shared" si="14"/>
        <v>Aluminium PelmetInside Window MountSomfy External CBUS Motor</v>
      </c>
      <c r="X127" s="25">
        <v>0</v>
      </c>
      <c r="Y127" s="25">
        <v>0</v>
      </c>
      <c r="Z127" s="25" t="s">
        <v>824</v>
      </c>
      <c r="AA127" s="25" t="s">
        <v>824</v>
      </c>
      <c r="AB127" s="25" t="s">
        <v>821</v>
      </c>
      <c r="AC127" s="25" t="s">
        <v>821</v>
      </c>
      <c r="AD127" s="25" t="s">
        <v>818</v>
      </c>
      <c r="AE127" s="25" t="s">
        <v>824</v>
      </c>
      <c r="AM127" s="25" t="s">
        <v>920</v>
      </c>
      <c r="AN127" s="25" t="s">
        <v>824</v>
      </c>
      <c r="AO127" s="25" t="s">
        <v>965</v>
      </c>
      <c r="AP127" s="25" t="str">
        <f t="shared" si="18"/>
        <v>Small SpringN/ASpring N/A</v>
      </c>
      <c r="AQ127" s="25" t="s">
        <v>828</v>
      </c>
      <c r="AR127" s="25" t="s">
        <v>843</v>
      </c>
      <c r="AS127" s="25" t="s">
        <v>1055</v>
      </c>
      <c r="AT127" s="25" t="s">
        <v>1055</v>
      </c>
      <c r="AU127" s="25" t="s">
        <v>1055</v>
      </c>
      <c r="AV127" s="25" t="s">
        <v>824</v>
      </c>
      <c r="AW127" s="25" t="s">
        <v>821</v>
      </c>
    </row>
    <row r="128" spans="20:49" ht="14.4">
      <c r="T128" s="25" t="s">
        <v>822</v>
      </c>
      <c r="U128" s="25" t="s">
        <v>880</v>
      </c>
      <c r="V128" t="s">
        <v>983</v>
      </c>
      <c r="W128" s="25" t="str">
        <f t="shared" si="14"/>
        <v>Aluminium PelmetInside Window MountSomfy External Remote Motor</v>
      </c>
      <c r="X128" s="25">
        <v>0</v>
      </c>
      <c r="Y128" s="25">
        <v>0</v>
      </c>
      <c r="Z128" s="25" t="s">
        <v>824</v>
      </c>
      <c r="AA128" s="25" t="s">
        <v>824</v>
      </c>
      <c r="AB128" s="25" t="s">
        <v>821</v>
      </c>
      <c r="AC128" s="25" t="s">
        <v>821</v>
      </c>
      <c r="AD128" s="25" t="s">
        <v>818</v>
      </c>
      <c r="AE128" s="25" t="s">
        <v>824</v>
      </c>
      <c r="AM128" s="25" t="s">
        <v>637</v>
      </c>
      <c r="AN128" s="25" t="s">
        <v>827</v>
      </c>
      <c r="AO128" s="25" t="s">
        <v>170</v>
      </c>
      <c r="AP128" s="25" t="str">
        <f t="shared" si="18"/>
        <v>Somfy 12v Remote Sonesse MotorLeftControl</v>
      </c>
      <c r="AQ128" s="25" t="s">
        <v>828</v>
      </c>
      <c r="AR128" s="25" t="s">
        <v>828</v>
      </c>
      <c r="AS128" s="25" t="s">
        <v>828</v>
      </c>
      <c r="AT128" s="25" t="s">
        <v>828</v>
      </c>
      <c r="AU128" s="25" t="s">
        <v>829</v>
      </c>
      <c r="AV128" s="25" t="s">
        <v>830</v>
      </c>
      <c r="AW128" s="25" t="s">
        <v>821</v>
      </c>
    </row>
    <row r="129" spans="20:49" ht="14.4">
      <c r="T129" s="25" t="s">
        <v>822</v>
      </c>
      <c r="U129" s="25" t="s">
        <v>880</v>
      </c>
      <c r="V129" t="s">
        <v>995</v>
      </c>
      <c r="W129" s="25" t="str">
        <f t="shared" si="14"/>
        <v>Aluminium PelmetInside Window MountHD Somfy External CBUS Motor</v>
      </c>
      <c r="X129" s="25">
        <v>0</v>
      </c>
      <c r="Y129" s="25">
        <v>0</v>
      </c>
      <c r="Z129" s="25" t="s">
        <v>824</v>
      </c>
      <c r="AA129" s="25" t="s">
        <v>824</v>
      </c>
      <c r="AB129" s="25" t="s">
        <v>821</v>
      </c>
      <c r="AC129" s="25" t="s">
        <v>821</v>
      </c>
      <c r="AD129" s="25" t="s">
        <v>818</v>
      </c>
      <c r="AE129" s="25" t="s">
        <v>824</v>
      </c>
      <c r="AM129" s="25" t="s">
        <v>637</v>
      </c>
      <c r="AN129" s="25" t="s">
        <v>827</v>
      </c>
      <c r="AO129" s="25" t="s">
        <v>844</v>
      </c>
      <c r="AP129" s="25" t="str">
        <f t="shared" si="18"/>
        <v>Somfy 12v Remote Sonesse MotorLeftLHS Blind Independent Link</v>
      </c>
      <c r="AQ129" s="25" t="s">
        <v>828</v>
      </c>
      <c r="AR129" s="25" t="s">
        <v>828</v>
      </c>
      <c r="AS129" s="25" t="s">
        <v>828</v>
      </c>
      <c r="AT129" s="25" t="s">
        <v>828</v>
      </c>
      <c r="AU129" s="25" t="s">
        <v>829</v>
      </c>
      <c r="AV129" s="25" t="s">
        <v>845</v>
      </c>
      <c r="AW129" s="25" t="s">
        <v>821</v>
      </c>
    </row>
    <row r="130" spans="20:49" ht="14.4">
      <c r="T130" s="25" t="s">
        <v>822</v>
      </c>
      <c r="U130" s="25" t="s">
        <v>880</v>
      </c>
      <c r="V130" t="s">
        <v>999</v>
      </c>
      <c r="W130" s="25" t="str">
        <f t="shared" si="14"/>
        <v>Aluminium PelmetInside Window MountHD Somfy External Remote Motor</v>
      </c>
      <c r="X130" s="25">
        <v>0</v>
      </c>
      <c r="Y130" s="25">
        <v>0</v>
      </c>
      <c r="Z130" s="25" t="s">
        <v>824</v>
      </c>
      <c r="AA130" s="25" t="s">
        <v>824</v>
      </c>
      <c r="AB130" s="25" t="s">
        <v>821</v>
      </c>
      <c r="AC130" s="25" t="s">
        <v>821</v>
      </c>
      <c r="AD130" s="25" t="s">
        <v>818</v>
      </c>
      <c r="AE130" s="25" t="s">
        <v>824</v>
      </c>
      <c r="AM130" s="25" t="s">
        <v>637</v>
      </c>
      <c r="AN130" s="25" t="s">
        <v>827</v>
      </c>
      <c r="AO130" s="25" t="s">
        <v>824</v>
      </c>
      <c r="AP130" s="25" t="str">
        <f t="shared" si="18"/>
        <v>Somfy 12v Remote Sonesse MotorLeftN/A</v>
      </c>
      <c r="AQ130" s="25" t="s">
        <v>828</v>
      </c>
      <c r="AR130" s="25" t="s">
        <v>828</v>
      </c>
      <c r="AS130" s="25" t="s">
        <v>828</v>
      </c>
      <c r="AT130" s="25" t="s">
        <v>828</v>
      </c>
      <c r="AU130" s="25" t="s">
        <v>829</v>
      </c>
      <c r="AV130" s="25" t="s">
        <v>824</v>
      </c>
      <c r="AW130" s="25" t="s">
        <v>821</v>
      </c>
    </row>
    <row r="131" spans="20:49" ht="14.4">
      <c r="T131" s="25" t="s">
        <v>822</v>
      </c>
      <c r="U131" s="25" t="s">
        <v>867</v>
      </c>
      <c r="V131" s="25" t="s">
        <v>823</v>
      </c>
      <c r="W131" s="25" t="str">
        <f t="shared" si="19" ref="W131:W194">CONCATENATE(T131,U131,V131)</f>
        <v>Aluminium PelmetOutside Window MountChain Winder</v>
      </c>
      <c r="X131" s="25">
        <v>6</v>
      </c>
      <c r="Y131" s="25">
        <v>6</v>
      </c>
      <c r="Z131" s="25" t="s">
        <v>824</v>
      </c>
      <c r="AA131" s="25" t="s">
        <v>824</v>
      </c>
      <c r="AB131" s="25" t="s">
        <v>818</v>
      </c>
      <c r="AC131" s="25" t="s">
        <v>821</v>
      </c>
      <c r="AD131" s="25" t="s">
        <v>818</v>
      </c>
      <c r="AE131" s="25" t="s">
        <v>824</v>
      </c>
      <c r="AM131" s="25" t="s">
        <v>637</v>
      </c>
      <c r="AN131" s="25" t="s">
        <v>872</v>
      </c>
      <c r="AO131" s="25" t="s">
        <v>170</v>
      </c>
      <c r="AP131" s="25" t="str">
        <f t="shared" si="18"/>
        <v>Somfy 12v Remote Sonesse MotorRightControl</v>
      </c>
      <c r="AQ131" s="25" t="s">
        <v>828</v>
      </c>
      <c r="AR131" s="25" t="s">
        <v>828</v>
      </c>
      <c r="AS131" s="25" t="s">
        <v>828</v>
      </c>
      <c r="AT131" s="25" t="s">
        <v>828</v>
      </c>
      <c r="AU131" s="25" t="s">
        <v>829</v>
      </c>
      <c r="AV131" s="25" t="s">
        <v>873</v>
      </c>
      <c r="AW131" s="25" t="s">
        <v>821</v>
      </c>
    </row>
    <row r="132" spans="20:49" ht="14.4">
      <c r="T132" s="25" t="s">
        <v>822</v>
      </c>
      <c r="U132" s="25" t="s">
        <v>867</v>
      </c>
      <c r="V132" s="25" t="s">
        <v>841</v>
      </c>
      <c r="W132" s="25" t="str">
        <f t="shared" si="19"/>
        <v>Aluminium PelmetOutside Window MountHD Chain Winder</v>
      </c>
      <c r="X132" s="25">
        <v>0</v>
      </c>
      <c r="Y132" s="25">
        <v>0</v>
      </c>
      <c r="Z132" s="25" t="s">
        <v>824</v>
      </c>
      <c r="AA132" s="25" t="s">
        <v>824</v>
      </c>
      <c r="AB132" s="25" t="s">
        <v>818</v>
      </c>
      <c r="AC132" s="25" t="s">
        <v>821</v>
      </c>
      <c r="AD132" s="25" t="s">
        <v>818</v>
      </c>
      <c r="AE132" s="25" t="s">
        <v>824</v>
      </c>
      <c r="AM132" s="25" t="s">
        <v>637</v>
      </c>
      <c r="AN132" s="25" t="s">
        <v>872</v>
      </c>
      <c r="AO132" s="25" t="s">
        <v>824</v>
      </c>
      <c r="AP132" s="25" t="str">
        <f t="shared" si="18"/>
        <v>Somfy 12v Remote Sonesse MotorRightN/A</v>
      </c>
      <c r="AQ132" s="25" t="s">
        <v>828</v>
      </c>
      <c r="AR132" s="25" t="s">
        <v>828</v>
      </c>
      <c r="AS132" s="25" t="s">
        <v>828</v>
      </c>
      <c r="AT132" s="25" t="s">
        <v>828</v>
      </c>
      <c r="AU132" s="25" t="s">
        <v>829</v>
      </c>
      <c r="AV132" s="25" t="s">
        <v>824</v>
      </c>
      <c r="AW132" s="25" t="s">
        <v>821</v>
      </c>
    </row>
    <row r="133" spans="20:49" ht="14.4">
      <c r="T133" s="25" t="s">
        <v>822</v>
      </c>
      <c r="U133" s="25" t="s">
        <v>867</v>
      </c>
      <c r="V133" s="25" t="s">
        <v>858</v>
      </c>
      <c r="W133" s="25" t="str">
        <f t="shared" si="19"/>
        <v>Aluminium PelmetOutside Window MountChain Winder 60mm</v>
      </c>
      <c r="X133" s="25">
        <v>0</v>
      </c>
      <c r="Y133" s="25">
        <v>0</v>
      </c>
      <c r="Z133" s="25" t="s">
        <v>824</v>
      </c>
      <c r="AA133" s="25" t="s">
        <v>824</v>
      </c>
      <c r="AB133" s="25" t="s">
        <v>818</v>
      </c>
      <c r="AC133" s="25" t="s">
        <v>821</v>
      </c>
      <c r="AD133" s="25" t="s">
        <v>818</v>
      </c>
      <c r="AE133" s="25" t="s">
        <v>824</v>
      </c>
      <c r="AM133" s="25" t="s">
        <v>637</v>
      </c>
      <c r="AN133" s="25" t="s">
        <v>872</v>
      </c>
      <c r="AO133" s="25" t="s">
        <v>901</v>
      </c>
      <c r="AP133" s="25" t="str">
        <f t="shared" si="18"/>
        <v>Somfy 12v Remote Sonesse MotorRightRHS Blind Independent Link</v>
      </c>
      <c r="AQ133" s="25" t="s">
        <v>828</v>
      </c>
      <c r="AR133" s="25" t="s">
        <v>828</v>
      </c>
      <c r="AS133" s="25" t="s">
        <v>828</v>
      </c>
      <c r="AT133" s="25" t="s">
        <v>828</v>
      </c>
      <c r="AU133" s="25" t="s">
        <v>829</v>
      </c>
      <c r="AV133" s="25" t="s">
        <v>1043</v>
      </c>
      <c r="AW133" s="25" t="s">
        <v>821</v>
      </c>
    </row>
    <row r="134" spans="20:49" ht="14.4">
      <c r="T134" s="25" t="s">
        <v>822</v>
      </c>
      <c r="U134" s="25" t="s">
        <v>867</v>
      </c>
      <c r="V134" s="25" t="s">
        <v>865</v>
      </c>
      <c r="W134" s="25" t="str">
        <f t="shared" si="19"/>
        <v>Aluminium PelmetOutside Window MountChain Winder Fixed Guide</v>
      </c>
      <c r="X134" s="25">
        <v>0</v>
      </c>
      <c r="Y134" s="25">
        <v>0</v>
      </c>
      <c r="Z134" s="25" t="s">
        <v>824</v>
      </c>
      <c r="AA134" s="25" t="s">
        <v>824</v>
      </c>
      <c r="AB134" s="25" t="s">
        <v>818</v>
      </c>
      <c r="AC134" s="25" t="s">
        <v>821</v>
      </c>
      <c r="AD134" s="25" t="s">
        <v>818</v>
      </c>
      <c r="AE134" s="25" t="s">
        <v>824</v>
      </c>
      <c r="AM134" s="25" t="s">
        <v>974</v>
      </c>
      <c r="AN134" s="25" t="s">
        <v>827</v>
      </c>
      <c r="AO134" s="25" t="s">
        <v>170</v>
      </c>
      <c r="AP134" s="25" t="str">
        <f t="shared" si="18"/>
        <v>Somfy CBUS MotorLeftControl</v>
      </c>
      <c r="AQ134" s="25" t="s">
        <v>828</v>
      </c>
      <c r="AR134" s="25" t="s">
        <v>828</v>
      </c>
      <c r="AS134" s="25" t="s">
        <v>828</v>
      </c>
      <c r="AT134" s="25" t="s">
        <v>828</v>
      </c>
      <c r="AU134" s="25" t="s">
        <v>829</v>
      </c>
      <c r="AV134" s="25" t="s">
        <v>830</v>
      </c>
      <c r="AW134" s="25" t="s">
        <v>821</v>
      </c>
    </row>
    <row r="135" spans="20:49" ht="14.4">
      <c r="T135" s="25" t="s">
        <v>822</v>
      </c>
      <c r="U135" s="25" t="s">
        <v>867</v>
      </c>
      <c r="V135" s="25" t="s">
        <v>181</v>
      </c>
      <c r="W135" s="25" t="str">
        <f t="shared" si="19"/>
        <v>Aluminium PelmetOutside Window MountLinked</v>
      </c>
      <c r="X135" s="25">
        <v>0</v>
      </c>
      <c r="Y135" s="25">
        <v>0</v>
      </c>
      <c r="Z135" s="25" t="s">
        <v>824</v>
      </c>
      <c r="AA135" s="25" t="s">
        <v>824</v>
      </c>
      <c r="AB135" s="25" t="s">
        <v>818</v>
      </c>
      <c r="AC135" s="25" t="s">
        <v>821</v>
      </c>
      <c r="AD135" s="25" t="s">
        <v>818</v>
      </c>
      <c r="AE135" s="25" t="s">
        <v>824</v>
      </c>
      <c r="AM135" s="25" t="s">
        <v>974</v>
      </c>
      <c r="AN135" s="25" t="s">
        <v>827</v>
      </c>
      <c r="AO135" s="25" t="s">
        <v>844</v>
      </c>
      <c r="AP135" s="25" t="str">
        <f t="shared" si="18"/>
        <v>Somfy CBUS MotorLeftLHS Blind Independent Link</v>
      </c>
      <c r="AQ135" s="25" t="s">
        <v>828</v>
      </c>
      <c r="AR135" s="25" t="s">
        <v>828</v>
      </c>
      <c r="AS135" s="25" t="s">
        <v>828</v>
      </c>
      <c r="AT135" s="25" t="s">
        <v>828</v>
      </c>
      <c r="AU135" s="25" t="s">
        <v>829</v>
      </c>
      <c r="AV135" s="25" t="s">
        <v>845</v>
      </c>
      <c r="AW135" s="25" t="s">
        <v>821</v>
      </c>
    </row>
    <row r="136" spans="20:49" ht="14.4">
      <c r="T136" s="25" t="s">
        <v>822</v>
      </c>
      <c r="U136" s="25" t="s">
        <v>867</v>
      </c>
      <c r="V136" s="25" t="s">
        <v>898</v>
      </c>
      <c r="W136" s="25" t="str">
        <f t="shared" si="19"/>
        <v>Aluminium PelmetOutside Window MountLinked - HD</v>
      </c>
      <c r="X136" s="25">
        <v>0</v>
      </c>
      <c r="Y136" s="25">
        <v>0</v>
      </c>
      <c r="Z136" s="25" t="s">
        <v>824</v>
      </c>
      <c r="AA136" s="25" t="s">
        <v>824</v>
      </c>
      <c r="AB136" s="25" t="s">
        <v>818</v>
      </c>
      <c r="AC136" s="25" t="s">
        <v>821</v>
      </c>
      <c r="AD136" s="25" t="s">
        <v>818</v>
      </c>
      <c r="AE136" s="25" t="s">
        <v>824</v>
      </c>
      <c r="AM136" s="25" t="s">
        <v>974</v>
      </c>
      <c r="AN136" s="25" t="s">
        <v>827</v>
      </c>
      <c r="AO136" s="25" t="s">
        <v>824</v>
      </c>
      <c r="AP136" s="25" t="str">
        <f t="shared" si="18"/>
        <v>Somfy CBUS MotorLeftN/A</v>
      </c>
      <c r="AQ136" s="25" t="s">
        <v>828</v>
      </c>
      <c r="AR136" s="25" t="s">
        <v>828</v>
      </c>
      <c r="AS136" s="25" t="s">
        <v>828</v>
      </c>
      <c r="AT136" s="25" t="s">
        <v>828</v>
      </c>
      <c r="AU136" s="25" t="s">
        <v>829</v>
      </c>
      <c r="AV136" s="25" t="s">
        <v>824</v>
      </c>
      <c r="AW136" s="25" t="s">
        <v>821</v>
      </c>
    </row>
    <row r="137" spans="20:49" ht="14.4">
      <c r="T137" s="25" t="s">
        <v>822</v>
      </c>
      <c r="U137" s="25" t="s">
        <v>867</v>
      </c>
      <c r="V137" s="25" t="s">
        <v>910</v>
      </c>
      <c r="W137" s="25" t="str">
        <f t="shared" si="19"/>
        <v>Aluminium PelmetOutside Window MountStandard Spring</v>
      </c>
      <c r="X137" s="25">
        <v>0</v>
      </c>
      <c r="Y137" s="25">
        <v>0</v>
      </c>
      <c r="Z137" s="25" t="s">
        <v>824</v>
      </c>
      <c r="AA137" s="25" t="s">
        <v>824</v>
      </c>
      <c r="AB137" s="25" t="s">
        <v>818</v>
      </c>
      <c r="AC137" s="25" t="s">
        <v>821</v>
      </c>
      <c r="AD137" s="25" t="s">
        <v>818</v>
      </c>
      <c r="AE137" s="25" t="s">
        <v>824</v>
      </c>
      <c r="AM137" s="25" t="s">
        <v>974</v>
      </c>
      <c r="AN137" s="25" t="s">
        <v>872</v>
      </c>
      <c r="AO137" s="25" t="s">
        <v>170</v>
      </c>
      <c r="AP137" s="25" t="str">
        <f t="shared" si="18"/>
        <v>Somfy CBUS MotorRightControl</v>
      </c>
      <c r="AQ137" s="25" t="s">
        <v>828</v>
      </c>
      <c r="AR137" s="25" t="s">
        <v>828</v>
      </c>
      <c r="AS137" s="25" t="s">
        <v>828</v>
      </c>
      <c r="AT137" s="25" t="s">
        <v>828</v>
      </c>
      <c r="AU137" s="25" t="s">
        <v>829</v>
      </c>
      <c r="AV137" s="25" t="s">
        <v>830</v>
      </c>
      <c r="AW137" s="25" t="s">
        <v>821</v>
      </c>
    </row>
    <row r="138" spans="20:49" ht="14.4">
      <c r="T138" s="25" t="s">
        <v>822</v>
      </c>
      <c r="U138" s="25" t="s">
        <v>867</v>
      </c>
      <c r="V138" s="25" t="s">
        <v>920</v>
      </c>
      <c r="W138" s="25" t="str">
        <f t="shared" si="19"/>
        <v>Aluminium PelmetOutside Window MountSmall Spring</v>
      </c>
      <c r="X138" s="25">
        <v>0</v>
      </c>
      <c r="Y138" s="25">
        <v>0</v>
      </c>
      <c r="Z138" s="25" t="s">
        <v>824</v>
      </c>
      <c r="AA138" s="25" t="s">
        <v>824</v>
      </c>
      <c r="AB138" s="25" t="s">
        <v>818</v>
      </c>
      <c r="AC138" s="25" t="s">
        <v>821</v>
      </c>
      <c r="AD138" s="25" t="s">
        <v>818</v>
      </c>
      <c r="AE138" s="25" t="s">
        <v>824</v>
      </c>
      <c r="AM138" s="25" t="s">
        <v>974</v>
      </c>
      <c r="AN138" s="25" t="s">
        <v>872</v>
      </c>
      <c r="AO138" s="25" t="s">
        <v>824</v>
      </c>
      <c r="AP138" s="25" t="str">
        <f t="shared" si="18"/>
        <v>Somfy CBUS MotorRightN/A</v>
      </c>
      <c r="AQ138" s="25" t="s">
        <v>828</v>
      </c>
      <c r="AR138" s="25" t="s">
        <v>828</v>
      </c>
      <c r="AS138" s="25" t="s">
        <v>828</v>
      </c>
      <c r="AT138" s="25" t="s">
        <v>828</v>
      </c>
      <c r="AU138" s="25" t="s">
        <v>829</v>
      </c>
      <c r="AV138" s="25" t="s">
        <v>824</v>
      </c>
      <c r="AW138" s="25" t="s">
        <v>821</v>
      </c>
    </row>
    <row r="139" spans="20:49" ht="14.4">
      <c r="T139" s="25" t="s">
        <v>822</v>
      </c>
      <c r="U139" s="25" t="s">
        <v>867</v>
      </c>
      <c r="V139" s="25" t="s">
        <v>929</v>
      </c>
      <c r="W139" s="25" t="str">
        <f t="shared" si="19"/>
        <v>Aluminium PelmetOutside Window MountUniline Spring (Old Style)</v>
      </c>
      <c r="X139" s="25">
        <v>0</v>
      </c>
      <c r="Y139" s="25">
        <v>0</v>
      </c>
      <c r="Z139" s="25" t="s">
        <v>824</v>
      </c>
      <c r="AA139" s="25" t="s">
        <v>824</v>
      </c>
      <c r="AB139" s="25" t="s">
        <v>818</v>
      </c>
      <c r="AC139" s="25" t="s">
        <v>821</v>
      </c>
      <c r="AD139" s="25" t="s">
        <v>818</v>
      </c>
      <c r="AE139" s="25" t="s">
        <v>824</v>
      </c>
      <c r="AM139" s="25" t="s">
        <v>974</v>
      </c>
      <c r="AN139" s="25" t="s">
        <v>872</v>
      </c>
      <c r="AO139" s="25" t="s">
        <v>901</v>
      </c>
      <c r="AP139" s="25" t="str">
        <f t="shared" si="18"/>
        <v>Somfy CBUS MotorRightRHS Blind Independent Link</v>
      </c>
      <c r="AQ139" s="25" t="s">
        <v>828</v>
      </c>
      <c r="AR139" s="25" t="s">
        <v>828</v>
      </c>
      <c r="AS139" s="25" t="s">
        <v>828</v>
      </c>
      <c r="AT139" s="25" t="s">
        <v>828</v>
      </c>
      <c r="AU139" s="25" t="s">
        <v>829</v>
      </c>
      <c r="AV139" s="25" t="s">
        <v>1043</v>
      </c>
      <c r="AW139" s="25" t="s">
        <v>821</v>
      </c>
    </row>
    <row r="140" spans="20:49" ht="14.4">
      <c r="T140" s="25" t="s">
        <v>822</v>
      </c>
      <c r="U140" s="25" t="s">
        <v>867</v>
      </c>
      <c r="V140" s="25" t="s">
        <v>935</v>
      </c>
      <c r="W140" s="25" t="str">
        <f t="shared" si="19"/>
        <v>Aluminium PelmetOutside Window MountBecker Remote Motor</v>
      </c>
      <c r="X140" s="25">
        <v>0</v>
      </c>
      <c r="Y140" s="25">
        <v>0</v>
      </c>
      <c r="Z140" s="25" t="s">
        <v>824</v>
      </c>
      <c r="AA140" s="25" t="s">
        <v>824</v>
      </c>
      <c r="AB140" s="25" t="s">
        <v>818</v>
      </c>
      <c r="AC140" s="25" t="s">
        <v>821</v>
      </c>
      <c r="AD140" s="25" t="s">
        <v>818</v>
      </c>
      <c r="AE140" s="25" t="s">
        <v>824</v>
      </c>
      <c r="AM140" s="25" t="s">
        <v>979</v>
      </c>
      <c r="AN140" s="25" t="s">
        <v>827</v>
      </c>
      <c r="AO140" s="25" t="s">
        <v>170</v>
      </c>
      <c r="AP140" s="25" t="str">
        <f t="shared" si="18"/>
        <v>Somfy External CBUS MotorLeftControl</v>
      </c>
      <c r="AQ140" s="25" t="s">
        <v>900</v>
      </c>
      <c r="AR140" s="25" t="s">
        <v>900</v>
      </c>
      <c r="AS140" s="25" t="s">
        <v>900</v>
      </c>
      <c r="AT140" s="25" t="s">
        <v>900</v>
      </c>
      <c r="AU140" s="25" t="s">
        <v>900</v>
      </c>
      <c r="AV140" s="25" t="s">
        <v>1037</v>
      </c>
      <c r="AW140" s="25" t="s">
        <v>821</v>
      </c>
    </row>
    <row r="141" spans="20:49" ht="14.4">
      <c r="T141" s="25" t="s">
        <v>822</v>
      </c>
      <c r="U141" s="25" t="s">
        <v>867</v>
      </c>
      <c r="V141" s="25" t="s">
        <v>939</v>
      </c>
      <c r="W141" s="25" t="str">
        <f t="shared" si="19"/>
        <v>Aluminium PelmetOutside Window MountBecker CBUS Motor</v>
      </c>
      <c r="X141" s="25">
        <v>0</v>
      </c>
      <c r="Y141" s="25">
        <v>0</v>
      </c>
      <c r="Z141" s="25" t="s">
        <v>824</v>
      </c>
      <c r="AA141" s="25" t="s">
        <v>824</v>
      </c>
      <c r="AB141" s="25" t="s">
        <v>818</v>
      </c>
      <c r="AC141" s="25" t="s">
        <v>821</v>
      </c>
      <c r="AD141" s="25" t="s">
        <v>818</v>
      </c>
      <c r="AE141" s="25" t="s">
        <v>824</v>
      </c>
      <c r="AM141" s="25" t="s">
        <v>979</v>
      </c>
      <c r="AN141" s="25" t="s">
        <v>827</v>
      </c>
      <c r="AO141" s="25" t="s">
        <v>824</v>
      </c>
      <c r="AP141" s="25" t="str">
        <f t="shared" si="18"/>
        <v>Somfy External CBUS MotorLeftN/A</v>
      </c>
      <c r="AQ141" s="25" t="s">
        <v>900</v>
      </c>
      <c r="AR141" s="25" t="s">
        <v>900</v>
      </c>
      <c r="AS141" s="25" t="s">
        <v>900</v>
      </c>
      <c r="AT141" s="25" t="s">
        <v>900</v>
      </c>
      <c r="AU141" s="25" t="s">
        <v>900</v>
      </c>
      <c r="AV141" s="25" t="s">
        <v>824</v>
      </c>
      <c r="AW141" s="25" t="s">
        <v>821</v>
      </c>
    </row>
    <row r="142" spans="20:49" ht="14.4">
      <c r="T142" s="25" t="s">
        <v>822</v>
      </c>
      <c r="U142" s="25" t="s">
        <v>867</v>
      </c>
      <c r="V142" s="25" t="s">
        <v>946</v>
      </c>
      <c r="W142" s="25" t="str">
        <f t="shared" si="19"/>
        <v>Aluminium PelmetOutside Window MountBecker External Remote Motor</v>
      </c>
      <c r="X142" s="25">
        <v>0</v>
      </c>
      <c r="Y142" s="25">
        <v>0</v>
      </c>
      <c r="Z142" s="25" t="s">
        <v>824</v>
      </c>
      <c r="AA142" s="25" t="s">
        <v>824</v>
      </c>
      <c r="AB142" s="25" t="s">
        <v>821</v>
      </c>
      <c r="AC142" s="25" t="s">
        <v>821</v>
      </c>
      <c r="AD142" s="25" t="s">
        <v>818</v>
      </c>
      <c r="AE142" s="25" t="s">
        <v>824</v>
      </c>
      <c r="AM142" s="25" t="s">
        <v>979</v>
      </c>
      <c r="AN142" s="25" t="s">
        <v>872</v>
      </c>
      <c r="AO142" s="25" t="s">
        <v>170</v>
      </c>
      <c r="AP142" s="25" t="str">
        <f t="shared" si="18"/>
        <v>Somfy External CBUS MotorRightControl</v>
      </c>
      <c r="AQ142" s="25" t="s">
        <v>900</v>
      </c>
      <c r="AR142" s="25" t="s">
        <v>900</v>
      </c>
      <c r="AS142" s="25" t="s">
        <v>900</v>
      </c>
      <c r="AT142" s="25" t="s">
        <v>900</v>
      </c>
      <c r="AU142" s="25" t="s">
        <v>900</v>
      </c>
      <c r="AV142" s="25" t="s">
        <v>1038</v>
      </c>
      <c r="AW142" s="25" t="s">
        <v>821</v>
      </c>
    </row>
    <row r="143" spans="20:49" ht="14.4">
      <c r="T143" s="25" t="s">
        <v>822</v>
      </c>
      <c r="U143" s="25" t="s">
        <v>867</v>
      </c>
      <c r="V143" s="25" t="s">
        <v>951</v>
      </c>
      <c r="W143" s="25" t="str">
        <f t="shared" si="19"/>
        <v>Aluminium PelmetOutside Window MountBecker External CBUS Motor</v>
      </c>
      <c r="X143" s="25">
        <v>0</v>
      </c>
      <c r="Y143" s="25">
        <v>0</v>
      </c>
      <c r="Z143" s="25" t="s">
        <v>824</v>
      </c>
      <c r="AA143" s="25" t="s">
        <v>824</v>
      </c>
      <c r="AB143" s="25" t="s">
        <v>821</v>
      </c>
      <c r="AC143" s="25" t="s">
        <v>821</v>
      </c>
      <c r="AD143" s="25" t="s">
        <v>818</v>
      </c>
      <c r="AE143" s="25" t="s">
        <v>824</v>
      </c>
      <c r="AM143" s="25" t="s">
        <v>979</v>
      </c>
      <c r="AN143" s="25" t="s">
        <v>872</v>
      </c>
      <c r="AO143" s="25" t="s">
        <v>824</v>
      </c>
      <c r="AP143" s="25" t="str">
        <f t="shared" si="18"/>
        <v>Somfy External CBUS MotorRightN/A</v>
      </c>
      <c r="AQ143" s="25" t="s">
        <v>900</v>
      </c>
      <c r="AR143" s="25" t="s">
        <v>900</v>
      </c>
      <c r="AS143" s="25" t="s">
        <v>900</v>
      </c>
      <c r="AT143" s="25" t="s">
        <v>900</v>
      </c>
      <c r="AU143" s="25" t="s">
        <v>900</v>
      </c>
      <c r="AV143" s="25" t="s">
        <v>824</v>
      </c>
      <c r="AW143" s="25" t="s">
        <v>821</v>
      </c>
    </row>
    <row r="144" spans="20:49" ht="14.4">
      <c r="T144" s="25" t="s">
        <v>822</v>
      </c>
      <c r="U144" s="25" t="s">
        <v>867</v>
      </c>
      <c r="V144" s="25" t="s">
        <v>838</v>
      </c>
      <c r="W144" s="25" t="str">
        <f t="shared" si="19"/>
        <v>Aluminium PelmetOutside Window Mount1.1nm 12v Acmeda Motor</v>
      </c>
      <c r="X144" s="25">
        <v>0</v>
      </c>
      <c r="Y144" s="25">
        <v>0</v>
      </c>
      <c r="Z144" s="25" t="s">
        <v>824</v>
      </c>
      <c r="AA144" s="25" t="s">
        <v>824</v>
      </c>
      <c r="AB144" s="25" t="s">
        <v>818</v>
      </c>
      <c r="AC144" s="25" t="s">
        <v>821</v>
      </c>
      <c r="AD144" s="25" t="s">
        <v>818</v>
      </c>
      <c r="AE144" s="25" t="s">
        <v>824</v>
      </c>
      <c r="AM144" s="25" t="s">
        <v>983</v>
      </c>
      <c r="AN144" s="25" t="s">
        <v>827</v>
      </c>
      <c r="AO144" s="25" t="s">
        <v>170</v>
      </c>
      <c r="AP144" s="25" t="str">
        <f t="shared" si="18"/>
        <v>Somfy External Remote MotorLeftControl</v>
      </c>
      <c r="AQ144" s="25" t="s">
        <v>900</v>
      </c>
      <c r="AR144" s="25" t="s">
        <v>900</v>
      </c>
      <c r="AS144" s="25" t="s">
        <v>900</v>
      </c>
      <c r="AT144" s="25" t="s">
        <v>900</v>
      </c>
      <c r="AU144" s="25" t="s">
        <v>900</v>
      </c>
      <c r="AV144" s="25" t="s">
        <v>1037</v>
      </c>
      <c r="AW144" s="25" t="s">
        <v>821</v>
      </c>
    </row>
    <row r="145" spans="20:49" ht="14.4">
      <c r="T145" s="25" t="s">
        <v>822</v>
      </c>
      <c r="U145" s="25" t="s">
        <v>867</v>
      </c>
      <c r="V145" t="s">
        <v>882</v>
      </c>
      <c r="W145" s="25" t="str">
        <f t="shared" si="19"/>
        <v>Aluminium PelmetOutside Window Mount2nm 12v Acmeda Motor</v>
      </c>
      <c r="X145" s="25">
        <v>0</v>
      </c>
      <c r="Y145" s="25">
        <v>0</v>
      </c>
      <c r="Z145" s="25" t="s">
        <v>824</v>
      </c>
      <c r="AA145" s="25" t="s">
        <v>824</v>
      </c>
      <c r="AB145" s="25" t="s">
        <v>818</v>
      </c>
      <c r="AC145" s="25" t="s">
        <v>821</v>
      </c>
      <c r="AD145" s="25" t="s">
        <v>818</v>
      </c>
      <c r="AE145" s="25" t="s">
        <v>824</v>
      </c>
      <c r="AM145" s="25" t="s">
        <v>983</v>
      </c>
      <c r="AN145" s="25" t="s">
        <v>827</v>
      </c>
      <c r="AO145" s="25" t="s">
        <v>824</v>
      </c>
      <c r="AP145" s="25" t="str">
        <f t="shared" si="18"/>
        <v>Somfy External Remote MotorLeftN/A</v>
      </c>
      <c r="AQ145" s="25" t="s">
        <v>900</v>
      </c>
      <c r="AR145" s="25" t="s">
        <v>900</v>
      </c>
      <c r="AS145" s="25" t="s">
        <v>900</v>
      </c>
      <c r="AT145" s="25" t="s">
        <v>900</v>
      </c>
      <c r="AU145" s="25" t="s">
        <v>900</v>
      </c>
      <c r="AV145" s="25" t="s">
        <v>824</v>
      </c>
      <c r="AW145" s="25" t="s">
        <v>821</v>
      </c>
    </row>
    <row r="146" spans="20:49" ht="14.4">
      <c r="T146" s="25" t="s">
        <v>822</v>
      </c>
      <c r="U146" s="25" t="s">
        <v>867</v>
      </c>
      <c r="V146" t="s">
        <v>896</v>
      </c>
      <c r="W146" s="25" t="str">
        <f t="shared" si="19"/>
        <v>Aluminium PelmetOutside Window MountAcmeda 12v 6nm Motor</v>
      </c>
      <c r="X146" s="25">
        <v>0</v>
      </c>
      <c r="Y146" s="25">
        <v>0</v>
      </c>
      <c r="Z146" s="25" t="s">
        <v>824</v>
      </c>
      <c r="AA146" s="25" t="s">
        <v>824</v>
      </c>
      <c r="AB146" s="25" t="s">
        <v>818</v>
      </c>
      <c r="AC146" s="25" t="s">
        <v>821</v>
      </c>
      <c r="AD146" s="25" t="s">
        <v>818</v>
      </c>
      <c r="AE146" s="25" t="s">
        <v>824</v>
      </c>
      <c r="AM146" s="25" t="s">
        <v>983</v>
      </c>
      <c r="AN146" s="25" t="s">
        <v>872</v>
      </c>
      <c r="AO146" s="25" t="s">
        <v>170</v>
      </c>
      <c r="AP146" s="25" t="str">
        <f t="shared" si="18"/>
        <v>Somfy External Remote MotorRightControl</v>
      </c>
      <c r="AQ146" s="25" t="s">
        <v>900</v>
      </c>
      <c r="AR146" s="25" t="s">
        <v>900</v>
      </c>
      <c r="AS146" s="25" t="s">
        <v>900</v>
      </c>
      <c r="AT146" s="25" t="s">
        <v>900</v>
      </c>
      <c r="AU146" s="25" t="s">
        <v>900</v>
      </c>
      <c r="AV146" s="25" t="s">
        <v>1038</v>
      </c>
      <c r="AW146" s="25" t="s">
        <v>821</v>
      </c>
    </row>
    <row r="147" spans="20:49" ht="14.4">
      <c r="T147" s="25" t="s">
        <v>822</v>
      </c>
      <c r="U147" s="25" t="s">
        <v>867</v>
      </c>
      <c r="V147" t="s">
        <v>855</v>
      </c>
      <c r="W147" s="25" t="str">
        <f t="shared" si="19"/>
        <v>Aluminium PelmetOutside Window Mount0.7nm 12v Acmeda Motor</v>
      </c>
      <c r="X147" s="25">
        <v>0</v>
      </c>
      <c r="Y147" s="25">
        <v>0</v>
      </c>
      <c r="Z147" s="25" t="s">
        <v>824</v>
      </c>
      <c r="AA147" s="25" t="s">
        <v>824</v>
      </c>
      <c r="AB147" s="25" t="s">
        <v>818</v>
      </c>
      <c r="AC147" s="25" t="s">
        <v>821</v>
      </c>
      <c r="AD147" s="25" t="s">
        <v>818</v>
      </c>
      <c r="AE147" s="25" t="s">
        <v>824</v>
      </c>
      <c r="AM147" s="25" t="s">
        <v>983</v>
      </c>
      <c r="AN147" s="25" t="s">
        <v>872</v>
      </c>
      <c r="AO147" s="25" t="s">
        <v>824</v>
      </c>
      <c r="AP147" s="25" t="str">
        <f t="shared" si="18"/>
        <v>Somfy External Remote MotorRightN/A</v>
      </c>
      <c r="AQ147" s="25" t="s">
        <v>900</v>
      </c>
      <c r="AR147" s="25" t="s">
        <v>900</v>
      </c>
      <c r="AS147" s="25" t="s">
        <v>900</v>
      </c>
      <c r="AT147" s="25" t="s">
        <v>900</v>
      </c>
      <c r="AU147" s="25" t="s">
        <v>900</v>
      </c>
      <c r="AV147" s="25" t="s">
        <v>824</v>
      </c>
      <c r="AW147" s="25" t="s">
        <v>821</v>
      </c>
    </row>
    <row r="148" spans="20:49" ht="14.4">
      <c r="T148" s="25" t="s">
        <v>822</v>
      </c>
      <c r="U148" s="25" t="s">
        <v>867</v>
      </c>
      <c r="V148" s="25" t="s">
        <v>849</v>
      </c>
      <c r="W148" s="25" t="str">
        <f t="shared" si="19"/>
        <v>Aluminium PelmetOutside Window Mount1.1nm 12v Acmeda DCRF Motor with External Battery</v>
      </c>
      <c r="X148" s="25">
        <v>0</v>
      </c>
      <c r="Y148" s="25">
        <v>0</v>
      </c>
      <c r="Z148" s="25" t="s">
        <v>824</v>
      </c>
      <c r="AA148" s="25" t="s">
        <v>824</v>
      </c>
      <c r="AB148" s="25" t="s">
        <v>818</v>
      </c>
      <c r="AC148" s="25" t="s">
        <v>821</v>
      </c>
      <c r="AD148" s="25" t="s">
        <v>818</v>
      </c>
      <c r="AE148" s="25" t="s">
        <v>824</v>
      </c>
      <c r="AM148" s="25" t="s">
        <v>973</v>
      </c>
      <c r="AN148" s="25" t="s">
        <v>827</v>
      </c>
      <c r="AO148" s="25" t="s">
        <v>170</v>
      </c>
      <c r="AP148" s="25" t="str">
        <f t="shared" si="18"/>
        <v>Somfy Remote Sonesse MotorLeftControl</v>
      </c>
      <c r="AQ148" s="25" t="s">
        <v>828</v>
      </c>
      <c r="AR148" s="25" t="s">
        <v>828</v>
      </c>
      <c r="AS148" s="25" t="s">
        <v>828</v>
      </c>
      <c r="AT148" s="25" t="s">
        <v>828</v>
      </c>
      <c r="AU148" s="25" t="s">
        <v>829</v>
      </c>
      <c r="AV148" s="25" t="s">
        <v>830</v>
      </c>
      <c r="AW148" s="25" t="s">
        <v>821</v>
      </c>
    </row>
    <row r="149" spans="20:49" ht="14.4">
      <c r="T149" s="25" t="s">
        <v>822</v>
      </c>
      <c r="U149" s="25" t="s">
        <v>867</v>
      </c>
      <c r="V149" s="25" t="s">
        <v>817</v>
      </c>
      <c r="W149" s="25" t="str">
        <f t="shared" si="19"/>
        <v>Aluminium PelmetOutside Window Mount1.1nm 12v Acmeda DCRF Motor</v>
      </c>
      <c r="X149" s="25">
        <v>0</v>
      </c>
      <c r="Y149" s="25">
        <v>0</v>
      </c>
      <c r="Z149" s="25" t="s">
        <v>824</v>
      </c>
      <c r="AA149" s="25" t="s">
        <v>824</v>
      </c>
      <c r="AB149" s="25" t="s">
        <v>818</v>
      </c>
      <c r="AC149" s="25" t="s">
        <v>821</v>
      </c>
      <c r="AD149" s="25" t="s">
        <v>818</v>
      </c>
      <c r="AE149" s="25" t="s">
        <v>824</v>
      </c>
      <c r="AM149" s="25" t="s">
        <v>973</v>
      </c>
      <c r="AN149" s="25" t="s">
        <v>827</v>
      </c>
      <c r="AO149" s="25" t="s">
        <v>844</v>
      </c>
      <c r="AP149" s="25" t="str">
        <f t="shared" si="18"/>
        <v>Somfy Remote Sonesse MotorLeftLHS Blind Independent Link</v>
      </c>
      <c r="AQ149" s="25" t="s">
        <v>828</v>
      </c>
      <c r="AR149" s="25" t="s">
        <v>828</v>
      </c>
      <c r="AS149" s="25" t="s">
        <v>828</v>
      </c>
      <c r="AT149" s="25" t="s">
        <v>828</v>
      </c>
      <c r="AU149" s="25" t="s">
        <v>829</v>
      </c>
      <c r="AV149" s="25" t="s">
        <v>845</v>
      </c>
      <c r="AW149" s="25" t="s">
        <v>821</v>
      </c>
    </row>
    <row r="150" spans="20:49" ht="14.4">
      <c r="T150" s="25" t="s">
        <v>822</v>
      </c>
      <c r="U150" s="25" t="s">
        <v>867</v>
      </c>
      <c r="V150" s="25" t="s">
        <v>868</v>
      </c>
      <c r="W150" s="25" t="str">
        <f t="shared" si="19"/>
        <v>Aluminium PelmetOutside Window Mount2nm 12v Acmeda DCRF Motor</v>
      </c>
      <c r="X150" s="25">
        <v>0</v>
      </c>
      <c r="Y150" s="25">
        <v>0</v>
      </c>
      <c r="Z150" s="25" t="s">
        <v>824</v>
      </c>
      <c r="AA150" s="25" t="s">
        <v>824</v>
      </c>
      <c r="AB150" s="25" t="s">
        <v>818</v>
      </c>
      <c r="AC150" s="25" t="s">
        <v>821</v>
      </c>
      <c r="AD150" s="25" t="s">
        <v>818</v>
      </c>
      <c r="AE150" s="25" t="s">
        <v>824</v>
      </c>
      <c r="AM150" s="25" t="s">
        <v>973</v>
      </c>
      <c r="AN150" s="25" t="s">
        <v>827</v>
      </c>
      <c r="AO150" s="25" t="s">
        <v>824</v>
      </c>
      <c r="AP150" s="25" t="str">
        <f t="shared" si="18"/>
        <v>Somfy Remote Sonesse MotorLeftN/A</v>
      </c>
      <c r="AQ150" s="25" t="s">
        <v>828</v>
      </c>
      <c r="AR150" s="25" t="s">
        <v>828</v>
      </c>
      <c r="AS150" s="25" t="s">
        <v>828</v>
      </c>
      <c r="AT150" s="25" t="s">
        <v>828</v>
      </c>
      <c r="AU150" s="25" t="s">
        <v>829</v>
      </c>
      <c r="AV150" s="25" t="s">
        <v>824</v>
      </c>
      <c r="AW150" s="25" t="s">
        <v>821</v>
      </c>
    </row>
    <row r="151" spans="20:49" ht="14.4">
      <c r="T151" s="25" t="s">
        <v>822</v>
      </c>
      <c r="U151" s="25" t="s">
        <v>867</v>
      </c>
      <c r="V151" t="s">
        <v>973</v>
      </c>
      <c r="W151" s="25" t="str">
        <f t="shared" si="19"/>
        <v>Aluminium PelmetOutside Window MountSomfy Remote Sonesse Motor</v>
      </c>
      <c r="X151" s="25">
        <v>0</v>
      </c>
      <c r="Y151" s="25">
        <v>0</v>
      </c>
      <c r="Z151" s="25" t="s">
        <v>824</v>
      </c>
      <c r="AA151" s="25" t="s">
        <v>824</v>
      </c>
      <c r="AB151" s="25" t="s">
        <v>818</v>
      </c>
      <c r="AC151" s="25" t="s">
        <v>821</v>
      </c>
      <c r="AD151" s="25" t="s">
        <v>818</v>
      </c>
      <c r="AE151" s="25" t="s">
        <v>824</v>
      </c>
      <c r="AM151" s="25" t="s">
        <v>973</v>
      </c>
      <c r="AN151" s="25" t="s">
        <v>872</v>
      </c>
      <c r="AO151" s="25" t="s">
        <v>170</v>
      </c>
      <c r="AP151" s="25" t="str">
        <f t="shared" si="18"/>
        <v>Somfy Remote Sonesse MotorRightControl</v>
      </c>
      <c r="AQ151" s="25" t="s">
        <v>828</v>
      </c>
      <c r="AR151" s="25" t="s">
        <v>828</v>
      </c>
      <c r="AS151" s="25" t="s">
        <v>828</v>
      </c>
      <c r="AT151" s="25" t="s">
        <v>828</v>
      </c>
      <c r="AU151" s="25" t="s">
        <v>829</v>
      </c>
      <c r="AV151" s="25" t="s">
        <v>873</v>
      </c>
      <c r="AW151" s="25" t="s">
        <v>821</v>
      </c>
    </row>
    <row r="152" spans="20:49" ht="14.4">
      <c r="T152" s="25" t="s">
        <v>822</v>
      </c>
      <c r="U152" s="25" t="s">
        <v>867</v>
      </c>
      <c r="V152" t="s">
        <v>637</v>
      </c>
      <c r="W152" s="25" t="str">
        <f t="shared" si="19"/>
        <v>Aluminium PelmetOutside Window MountSomfy 12v Remote Sonesse Motor</v>
      </c>
      <c r="X152" s="25">
        <v>0</v>
      </c>
      <c r="Y152" s="25">
        <v>0</v>
      </c>
      <c r="Z152" s="25" t="s">
        <v>824</v>
      </c>
      <c r="AA152" s="25" t="s">
        <v>824</v>
      </c>
      <c r="AB152" s="25" t="s">
        <v>818</v>
      </c>
      <c r="AC152" s="25" t="s">
        <v>821</v>
      </c>
      <c r="AD152" s="25" t="s">
        <v>818</v>
      </c>
      <c r="AE152" s="25" t="s">
        <v>824</v>
      </c>
      <c r="AM152" s="25" t="s">
        <v>973</v>
      </c>
      <c r="AN152" s="25" t="s">
        <v>872</v>
      </c>
      <c r="AO152" s="25" t="s">
        <v>824</v>
      </c>
      <c r="AP152" s="25" t="str">
        <f t="shared" si="18"/>
        <v>Somfy Remote Sonesse MotorRightN/A</v>
      </c>
      <c r="AQ152" s="25" t="s">
        <v>828</v>
      </c>
      <c r="AR152" s="25" t="s">
        <v>828</v>
      </c>
      <c r="AS152" s="25" t="s">
        <v>828</v>
      </c>
      <c r="AT152" s="25" t="s">
        <v>828</v>
      </c>
      <c r="AU152" s="25" t="s">
        <v>829</v>
      </c>
      <c r="AV152" s="25" t="s">
        <v>824</v>
      </c>
      <c r="AW152" s="25" t="s">
        <v>821</v>
      </c>
    </row>
    <row r="153" spans="20:49" ht="14.4">
      <c r="T153" s="25" t="s">
        <v>822</v>
      </c>
      <c r="U153" s="25" t="s">
        <v>867</v>
      </c>
      <c r="V153" s="25" t="s">
        <v>974</v>
      </c>
      <c r="W153" s="25" t="str">
        <f t="shared" si="19"/>
        <v>Aluminium PelmetOutside Window MountSomfy CBUS Motor</v>
      </c>
      <c r="X153" s="25">
        <v>0</v>
      </c>
      <c r="Y153" s="25">
        <v>0</v>
      </c>
      <c r="Z153" s="25" t="s">
        <v>824</v>
      </c>
      <c r="AA153" s="25" t="s">
        <v>824</v>
      </c>
      <c r="AB153" s="25" t="s">
        <v>818</v>
      </c>
      <c r="AC153" s="25" t="s">
        <v>821</v>
      </c>
      <c r="AD153" s="25" t="s">
        <v>818</v>
      </c>
      <c r="AE153" s="25" t="s">
        <v>824</v>
      </c>
      <c r="AM153" s="25" t="s">
        <v>973</v>
      </c>
      <c r="AN153" s="25" t="s">
        <v>872</v>
      </c>
      <c r="AO153" s="25" t="s">
        <v>901</v>
      </c>
      <c r="AP153" s="25" t="str">
        <f t="shared" si="18"/>
        <v>Somfy Remote Sonesse MotorRightRHS Blind Independent Link</v>
      </c>
      <c r="AQ153" s="25" t="s">
        <v>828</v>
      </c>
      <c r="AR153" s="25" t="s">
        <v>828</v>
      </c>
      <c r="AS153" s="25" t="s">
        <v>828</v>
      </c>
      <c r="AT153" s="25" t="s">
        <v>828</v>
      </c>
      <c r="AU153" s="25" t="s">
        <v>829</v>
      </c>
      <c r="AV153" s="25" t="s">
        <v>1043</v>
      </c>
      <c r="AW153" s="25" t="s">
        <v>821</v>
      </c>
    </row>
    <row r="154" spans="20:49" ht="14.4">
      <c r="T154" s="25" t="s">
        <v>822</v>
      </c>
      <c r="U154" s="25" t="s">
        <v>867</v>
      </c>
      <c r="V154" t="s">
        <v>986</v>
      </c>
      <c r="W154" s="25" t="str">
        <f t="shared" si="19"/>
        <v>Aluminium PelmetOutside Window MountHD Somfy Remote Sonesse Motor</v>
      </c>
      <c r="X154" s="25">
        <v>0</v>
      </c>
      <c r="Y154" s="25">
        <v>0</v>
      </c>
      <c r="Z154" s="25" t="s">
        <v>824</v>
      </c>
      <c r="AA154" s="25" t="s">
        <v>824</v>
      </c>
      <c r="AB154" s="25" t="s">
        <v>818</v>
      </c>
      <c r="AC154" s="25" t="s">
        <v>821</v>
      </c>
      <c r="AD154" s="25" t="s">
        <v>818</v>
      </c>
      <c r="AE154" s="25" t="s">
        <v>824</v>
      </c>
      <c r="AM154" s="25" t="s">
        <v>989</v>
      </c>
      <c r="AN154" s="25" t="s">
        <v>827</v>
      </c>
      <c r="AO154" s="25" t="s">
        <v>170</v>
      </c>
      <c r="AP154" s="25" t="str">
        <f t="shared" si="20" ref="AP154:AP179">CONCATENATE(AM154,AN154,AO154)</f>
        <v>HD Somfy 12v Remote Sonesse MotorLeftControl</v>
      </c>
      <c r="AQ154" s="25" t="s">
        <v>886</v>
      </c>
      <c r="AR154" s="25" t="s">
        <v>886</v>
      </c>
      <c r="AS154" s="25" t="s">
        <v>886</v>
      </c>
      <c r="AT154" s="25" t="s">
        <v>886</v>
      </c>
      <c r="AU154" s="25" t="s">
        <v>886</v>
      </c>
      <c r="AV154" s="25" t="s">
        <v>830</v>
      </c>
      <c r="AW154" s="25" t="s">
        <v>821</v>
      </c>
    </row>
    <row r="155" spans="20:49" ht="14.4">
      <c r="T155" s="25" t="s">
        <v>822</v>
      </c>
      <c r="U155" s="25" t="s">
        <v>867</v>
      </c>
      <c r="V155" t="s">
        <v>989</v>
      </c>
      <c r="W155" s="25" t="str">
        <f t="shared" si="19"/>
        <v>Aluminium PelmetOutside Window MountHD Somfy 12v Remote Sonesse Motor</v>
      </c>
      <c r="X155" s="25">
        <v>0</v>
      </c>
      <c r="Y155" s="25">
        <v>0</v>
      </c>
      <c r="Z155" s="25" t="s">
        <v>824</v>
      </c>
      <c r="AA155" s="25" t="s">
        <v>824</v>
      </c>
      <c r="AB155" s="25" t="s">
        <v>818</v>
      </c>
      <c r="AC155" s="25" t="s">
        <v>821</v>
      </c>
      <c r="AD155" s="25" t="s">
        <v>818</v>
      </c>
      <c r="AE155" s="25" t="s">
        <v>824</v>
      </c>
      <c r="AM155" s="25" t="s">
        <v>989</v>
      </c>
      <c r="AN155" s="25" t="s">
        <v>827</v>
      </c>
      <c r="AO155" s="25" t="s">
        <v>844</v>
      </c>
      <c r="AP155" s="25" t="str">
        <f t="shared" si="20"/>
        <v>HD Somfy 12v Remote Sonesse MotorLeftLHS Blind Independent Link</v>
      </c>
      <c r="AQ155" s="25" t="s">
        <v>886</v>
      </c>
      <c r="AR155" s="25" t="s">
        <v>886</v>
      </c>
      <c r="AS155" s="25" t="s">
        <v>886</v>
      </c>
      <c r="AT155" s="25" t="s">
        <v>886</v>
      </c>
      <c r="AU155" s="25" t="s">
        <v>886</v>
      </c>
      <c r="AV155" s="25" t="s">
        <v>845</v>
      </c>
      <c r="AW155" s="25" t="s">
        <v>821</v>
      </c>
    </row>
    <row r="156" spans="20:49" ht="14.4">
      <c r="T156" s="25" t="s">
        <v>822</v>
      </c>
      <c r="U156" s="25" t="s">
        <v>867</v>
      </c>
      <c r="V156" s="25" t="s">
        <v>992</v>
      </c>
      <c r="W156" s="25" t="str">
        <f t="shared" si="19"/>
        <v>Aluminium PelmetOutside Window MountHD Somfy CBUS Motor</v>
      </c>
      <c r="X156" s="25">
        <v>0</v>
      </c>
      <c r="Y156" s="25">
        <v>0</v>
      </c>
      <c r="Z156" s="25" t="s">
        <v>824</v>
      </c>
      <c r="AA156" s="25" t="s">
        <v>824</v>
      </c>
      <c r="AB156" s="25" t="s">
        <v>818</v>
      </c>
      <c r="AC156" s="25" t="s">
        <v>821</v>
      </c>
      <c r="AD156" s="25" t="s">
        <v>818</v>
      </c>
      <c r="AE156" s="25" t="s">
        <v>824</v>
      </c>
      <c r="AM156" s="25" t="s">
        <v>989</v>
      </c>
      <c r="AN156" s="25" t="s">
        <v>827</v>
      </c>
      <c r="AO156" s="25" t="s">
        <v>824</v>
      </c>
      <c r="AP156" s="25" t="str">
        <f t="shared" si="20"/>
        <v>HD Somfy 12v Remote Sonesse MotorLeftN/A</v>
      </c>
      <c r="AQ156" s="25" t="s">
        <v>886</v>
      </c>
      <c r="AR156" s="25" t="s">
        <v>886</v>
      </c>
      <c r="AS156" s="25" t="s">
        <v>886</v>
      </c>
      <c r="AT156" s="25" t="s">
        <v>886</v>
      </c>
      <c r="AU156" s="25" t="s">
        <v>886</v>
      </c>
      <c r="AV156" s="25" t="s">
        <v>824</v>
      </c>
      <c r="AW156" s="25" t="s">
        <v>821</v>
      </c>
    </row>
    <row r="157" spans="20:49" ht="14.4">
      <c r="T157" s="25" t="s">
        <v>822</v>
      </c>
      <c r="U157" s="25" t="s">
        <v>867</v>
      </c>
      <c r="V157" s="25" t="s">
        <v>625</v>
      </c>
      <c r="W157" s="25" t="str">
        <f t="shared" si="19"/>
        <v>Aluminium PelmetOutside Window MountAcmeda E6 Motor</v>
      </c>
      <c r="X157" s="25">
        <v>0</v>
      </c>
      <c r="Y157" s="25">
        <v>0</v>
      </c>
      <c r="Z157" s="25" t="s">
        <v>824</v>
      </c>
      <c r="AA157" s="25" t="s">
        <v>824</v>
      </c>
      <c r="AB157" s="25" t="s">
        <v>818</v>
      </c>
      <c r="AC157" s="25" t="s">
        <v>821</v>
      </c>
      <c r="AD157" s="25" t="s">
        <v>818</v>
      </c>
      <c r="AE157" s="25" t="s">
        <v>824</v>
      </c>
      <c r="AM157" s="25" t="s">
        <v>989</v>
      </c>
      <c r="AN157" s="25" t="s">
        <v>872</v>
      </c>
      <c r="AO157" s="25" t="s">
        <v>170</v>
      </c>
      <c r="AP157" s="25" t="str">
        <f t="shared" si="20"/>
        <v>HD Somfy 12v Remote Sonesse MotorRightControl</v>
      </c>
      <c r="AQ157" s="25" t="s">
        <v>886</v>
      </c>
      <c r="AR157" s="25" t="s">
        <v>886</v>
      </c>
      <c r="AS157" s="25" t="s">
        <v>886</v>
      </c>
      <c r="AT157" s="25" t="s">
        <v>886</v>
      </c>
      <c r="AU157" s="25" t="s">
        <v>886</v>
      </c>
      <c r="AV157" s="25" t="s">
        <v>873</v>
      </c>
      <c r="AW157" s="25" t="s">
        <v>821</v>
      </c>
    </row>
    <row r="158" spans="20:49" ht="14.4">
      <c r="T158" s="25" t="s">
        <v>822</v>
      </c>
      <c r="U158" s="25" t="s">
        <v>867</v>
      </c>
      <c r="V158" s="25" t="s">
        <v>626</v>
      </c>
      <c r="W158" s="25" t="str">
        <f t="shared" si="19"/>
        <v>Aluminium PelmetOutside Window MountAcmeda M6 Motor</v>
      </c>
      <c r="X158" s="25">
        <v>0</v>
      </c>
      <c r="Y158" s="25">
        <v>0</v>
      </c>
      <c r="Z158" s="25" t="s">
        <v>824</v>
      </c>
      <c r="AA158" s="25" t="s">
        <v>824</v>
      </c>
      <c r="AB158" s="25" t="s">
        <v>818</v>
      </c>
      <c r="AC158" s="25" t="s">
        <v>821</v>
      </c>
      <c r="AD158" s="25" t="s">
        <v>818</v>
      </c>
      <c r="AE158" s="25" t="s">
        <v>824</v>
      </c>
      <c r="AM158" s="25" t="s">
        <v>989</v>
      </c>
      <c r="AN158" s="25" t="s">
        <v>872</v>
      </c>
      <c r="AO158" s="25" t="s">
        <v>824</v>
      </c>
      <c r="AP158" s="25" t="str">
        <f t="shared" si="20"/>
        <v>HD Somfy 12v Remote Sonesse MotorRightN/A</v>
      </c>
      <c r="AQ158" s="25" t="s">
        <v>886</v>
      </c>
      <c r="AR158" s="25" t="s">
        <v>886</v>
      </c>
      <c r="AS158" s="25" t="s">
        <v>886</v>
      </c>
      <c r="AT158" s="25" t="s">
        <v>886</v>
      </c>
      <c r="AU158" s="25" t="s">
        <v>886</v>
      </c>
      <c r="AV158" s="25" t="s">
        <v>824</v>
      </c>
      <c r="AW158" s="25" t="s">
        <v>821</v>
      </c>
    </row>
    <row r="159" spans="20:49" ht="14.4">
      <c r="T159" s="25" t="s">
        <v>822</v>
      </c>
      <c r="U159" s="25" t="s">
        <v>867</v>
      </c>
      <c r="V159" s="25" t="s">
        <v>1002</v>
      </c>
      <c r="W159" s="25" t="str">
        <f t="shared" si="19"/>
        <v>Aluminium PelmetOutside Window MountUniline Remote Motor</v>
      </c>
      <c r="X159" s="25">
        <v>0</v>
      </c>
      <c r="Y159" s="25">
        <v>0</v>
      </c>
      <c r="Z159" s="25" t="s">
        <v>824</v>
      </c>
      <c r="AA159" s="25" t="s">
        <v>824</v>
      </c>
      <c r="AB159" s="25" t="s">
        <v>818</v>
      </c>
      <c r="AC159" s="25" t="s">
        <v>821</v>
      </c>
      <c r="AD159" s="25" t="s">
        <v>818</v>
      </c>
      <c r="AE159" s="25" t="s">
        <v>824</v>
      </c>
      <c r="AM159" s="25" t="s">
        <v>989</v>
      </c>
      <c r="AN159" s="25" t="s">
        <v>872</v>
      </c>
      <c r="AO159" s="25" t="s">
        <v>901</v>
      </c>
      <c r="AP159" s="25" t="str">
        <f t="shared" si="20"/>
        <v>HD Somfy 12v Remote Sonesse MotorRightRHS Blind Independent Link</v>
      </c>
      <c r="AQ159" s="25" t="s">
        <v>886</v>
      </c>
      <c r="AR159" s="25" t="s">
        <v>886</v>
      </c>
      <c r="AS159" s="25" t="s">
        <v>886</v>
      </c>
      <c r="AT159" s="25" t="s">
        <v>886</v>
      </c>
      <c r="AU159" s="25" t="s">
        <v>886</v>
      </c>
      <c r="AV159" s="25" t="s">
        <v>1043</v>
      </c>
      <c r="AW159" s="25" t="s">
        <v>821</v>
      </c>
    </row>
    <row r="160" spans="20:49" ht="14.4">
      <c r="T160" s="25" t="s">
        <v>822</v>
      </c>
      <c r="U160" s="25" t="s">
        <v>867</v>
      </c>
      <c r="V160" s="25" t="s">
        <v>1005</v>
      </c>
      <c r="W160" s="25" t="str">
        <f t="shared" si="19"/>
        <v>Aluminium PelmetOutside Window MountUniline Cbus Motor</v>
      </c>
      <c r="X160" s="25">
        <v>0</v>
      </c>
      <c r="Y160" s="25">
        <v>0</v>
      </c>
      <c r="Z160" s="25" t="s">
        <v>824</v>
      </c>
      <c r="AA160" s="25" t="s">
        <v>824</v>
      </c>
      <c r="AB160" s="25" t="s">
        <v>818</v>
      </c>
      <c r="AC160" s="25" t="s">
        <v>821</v>
      </c>
      <c r="AD160" s="25" t="s">
        <v>818</v>
      </c>
      <c r="AE160" s="25" t="s">
        <v>824</v>
      </c>
      <c r="AM160" s="25" t="s">
        <v>992</v>
      </c>
      <c r="AN160" s="25" t="s">
        <v>827</v>
      </c>
      <c r="AO160" s="25" t="s">
        <v>170</v>
      </c>
      <c r="AP160" s="25" t="str">
        <f t="shared" si="20"/>
        <v>HD Somfy CBUS MotorLeftControl</v>
      </c>
      <c r="AQ160" s="25" t="s">
        <v>886</v>
      </c>
      <c r="AR160" s="25" t="s">
        <v>886</v>
      </c>
      <c r="AS160" s="25" t="s">
        <v>886</v>
      </c>
      <c r="AT160" s="25" t="s">
        <v>886</v>
      </c>
      <c r="AU160" s="25" t="s">
        <v>886</v>
      </c>
      <c r="AV160" s="25" t="s">
        <v>830</v>
      </c>
      <c r="AW160" s="25" t="s">
        <v>821</v>
      </c>
    </row>
    <row r="161" spans="20:49" ht="14.4">
      <c r="T161" s="25" t="s">
        <v>822</v>
      </c>
      <c r="U161" s="25" t="s">
        <v>867</v>
      </c>
      <c r="V161" s="25" t="s">
        <v>981</v>
      </c>
      <c r="W161" s="25" t="str">
        <f t="shared" si="19"/>
        <v>Aluminium PelmetOutside Window MountNice Remote Motor</v>
      </c>
      <c r="X161" s="25">
        <v>0</v>
      </c>
      <c r="Y161" s="25">
        <v>0</v>
      </c>
      <c r="Z161" s="25" t="s">
        <v>824</v>
      </c>
      <c r="AA161" s="25" t="s">
        <v>824</v>
      </c>
      <c r="AB161" s="25" t="s">
        <v>818</v>
      </c>
      <c r="AC161" s="25" t="s">
        <v>821</v>
      </c>
      <c r="AD161" s="25" t="s">
        <v>818</v>
      </c>
      <c r="AE161" s="25" t="s">
        <v>824</v>
      </c>
      <c r="AM161" s="25" t="s">
        <v>992</v>
      </c>
      <c r="AN161" s="25" t="s">
        <v>827</v>
      </c>
      <c r="AO161" s="25" t="s">
        <v>844</v>
      </c>
      <c r="AP161" s="25" t="str">
        <f t="shared" si="20"/>
        <v>HD Somfy CBUS MotorLeftLHS Blind Independent Link</v>
      </c>
      <c r="AQ161" s="25" t="s">
        <v>886</v>
      </c>
      <c r="AR161" s="25" t="s">
        <v>886</v>
      </c>
      <c r="AS161" s="25" t="s">
        <v>886</v>
      </c>
      <c r="AT161" s="25" t="s">
        <v>886</v>
      </c>
      <c r="AU161" s="25" t="s">
        <v>886</v>
      </c>
      <c r="AV161" s="25" t="s">
        <v>845</v>
      </c>
      <c r="AW161" s="25" t="s">
        <v>821</v>
      </c>
    </row>
    <row r="162" spans="20:49" ht="14.4">
      <c r="T162" s="25" t="s">
        <v>822</v>
      </c>
      <c r="U162" s="25" t="s">
        <v>867</v>
      </c>
      <c r="V162" s="25" t="s">
        <v>976</v>
      </c>
      <c r="W162" s="25" t="str">
        <f t="shared" si="19"/>
        <v>Aluminium PelmetOutside Window MountNice CBus Motor</v>
      </c>
      <c r="X162" s="25">
        <v>0</v>
      </c>
      <c r="Y162" s="25">
        <v>0</v>
      </c>
      <c r="Z162" s="25" t="s">
        <v>824</v>
      </c>
      <c r="AA162" s="25" t="s">
        <v>824</v>
      </c>
      <c r="AB162" s="25" t="s">
        <v>818</v>
      </c>
      <c r="AC162" s="25" t="s">
        <v>821</v>
      </c>
      <c r="AD162" s="25" t="s">
        <v>818</v>
      </c>
      <c r="AE162" s="25" t="s">
        <v>824</v>
      </c>
      <c r="AM162" s="25" t="s">
        <v>992</v>
      </c>
      <c r="AN162" s="25" t="s">
        <v>827</v>
      </c>
      <c r="AO162" s="25" t="s">
        <v>824</v>
      </c>
      <c r="AP162" s="25" t="str">
        <f t="shared" si="20"/>
        <v>HD Somfy CBUS MotorLeftN/A</v>
      </c>
      <c r="AQ162" s="25" t="s">
        <v>886</v>
      </c>
      <c r="AR162" s="25" t="s">
        <v>886</v>
      </c>
      <c r="AS162" s="25" t="s">
        <v>886</v>
      </c>
      <c r="AT162" s="25" t="s">
        <v>886</v>
      </c>
      <c r="AU162" s="25" t="s">
        <v>886</v>
      </c>
      <c r="AV162" s="25" t="s">
        <v>824</v>
      </c>
      <c r="AW162" s="25" t="s">
        <v>821</v>
      </c>
    </row>
    <row r="163" spans="20:49" ht="14.4">
      <c r="T163" s="25" t="s">
        <v>822</v>
      </c>
      <c r="U163" s="25" t="s">
        <v>867</v>
      </c>
      <c r="V163" t="s">
        <v>1006</v>
      </c>
      <c r="W163" s="25" t="str">
        <f t="shared" si="19"/>
        <v>Aluminium PelmetOutside Window MountSunboss Chain Winder 38mm Tube</v>
      </c>
      <c r="X163" s="25">
        <v>0</v>
      </c>
      <c r="Y163" s="25">
        <v>0</v>
      </c>
      <c r="Z163" s="25" t="s">
        <v>824</v>
      </c>
      <c r="AA163" s="25" t="s">
        <v>824</v>
      </c>
      <c r="AB163" s="25" t="s">
        <v>818</v>
      </c>
      <c r="AC163" s="25" t="s">
        <v>821</v>
      </c>
      <c r="AD163" s="25" t="s">
        <v>818</v>
      </c>
      <c r="AE163" s="25" t="s">
        <v>824</v>
      </c>
      <c r="AM163" s="25" t="s">
        <v>992</v>
      </c>
      <c r="AN163" s="25" t="s">
        <v>872</v>
      </c>
      <c r="AO163" s="25" t="s">
        <v>170</v>
      </c>
      <c r="AP163" s="25" t="str">
        <f t="shared" si="20"/>
        <v>HD Somfy CBUS MotorRightControl</v>
      </c>
      <c r="AQ163" s="25" t="s">
        <v>886</v>
      </c>
      <c r="AR163" s="25" t="s">
        <v>886</v>
      </c>
      <c r="AS163" s="25" t="s">
        <v>886</v>
      </c>
      <c r="AT163" s="25" t="s">
        <v>886</v>
      </c>
      <c r="AU163" s="25" t="s">
        <v>886</v>
      </c>
      <c r="AV163" s="25" t="s">
        <v>830</v>
      </c>
      <c r="AW163" s="25" t="s">
        <v>821</v>
      </c>
    </row>
    <row r="164" spans="20:49" ht="14.4">
      <c r="T164" s="25" t="s">
        <v>822</v>
      </c>
      <c r="U164" s="25" t="s">
        <v>867</v>
      </c>
      <c r="V164" t="s">
        <v>1017</v>
      </c>
      <c r="W164" s="25" t="str">
        <f t="shared" si="19"/>
        <v>Aluminium PelmetOutside Window MountSunboss Chain Winder 43mm Tube</v>
      </c>
      <c r="X164" s="25">
        <v>0</v>
      </c>
      <c r="Y164" s="25">
        <v>0</v>
      </c>
      <c r="Z164" s="25" t="s">
        <v>824</v>
      </c>
      <c r="AA164" s="25" t="s">
        <v>824</v>
      </c>
      <c r="AB164" s="25" t="s">
        <v>818</v>
      </c>
      <c r="AC164" s="25" t="s">
        <v>821</v>
      </c>
      <c r="AD164" s="25" t="s">
        <v>818</v>
      </c>
      <c r="AE164" s="25" t="s">
        <v>824</v>
      </c>
      <c r="AM164" s="25" t="s">
        <v>992</v>
      </c>
      <c r="AN164" s="25" t="s">
        <v>872</v>
      </c>
      <c r="AO164" s="25" t="s">
        <v>824</v>
      </c>
      <c r="AP164" s="25" t="str">
        <f t="shared" si="20"/>
        <v>HD Somfy CBUS MotorRightN/A</v>
      </c>
      <c r="AQ164" s="25" t="s">
        <v>886</v>
      </c>
      <c r="AR164" s="25" t="s">
        <v>886</v>
      </c>
      <c r="AS164" s="25" t="s">
        <v>886</v>
      </c>
      <c r="AT164" s="25" t="s">
        <v>886</v>
      </c>
      <c r="AU164" s="25" t="s">
        <v>886</v>
      </c>
      <c r="AV164" s="25" t="s">
        <v>824</v>
      </c>
      <c r="AW164" s="25" t="s">
        <v>821</v>
      </c>
    </row>
    <row r="165" spans="20:49" ht="14.4">
      <c r="T165" s="25" t="s">
        <v>822</v>
      </c>
      <c r="U165" s="25" t="s">
        <v>867</v>
      </c>
      <c r="V165" s="25" t="s">
        <v>1012</v>
      </c>
      <c r="W165" s="25" t="str">
        <f t="shared" si="19"/>
        <v>Aluminium PelmetOutside Window MountTBS Remote Motor</v>
      </c>
      <c r="X165" s="25">
        <v>0</v>
      </c>
      <c r="Y165" s="25">
        <v>0</v>
      </c>
      <c r="Z165" s="25" t="s">
        <v>824</v>
      </c>
      <c r="AA165" s="25" t="s">
        <v>824</v>
      </c>
      <c r="AB165" s="25" t="s">
        <v>818</v>
      </c>
      <c r="AC165" s="25" t="s">
        <v>821</v>
      </c>
      <c r="AD165" s="25" t="s">
        <v>818</v>
      </c>
      <c r="AE165" s="25" t="s">
        <v>824</v>
      </c>
      <c r="AM165" s="25" t="s">
        <v>992</v>
      </c>
      <c r="AN165" s="25" t="s">
        <v>872</v>
      </c>
      <c r="AO165" s="25" t="s">
        <v>901</v>
      </c>
      <c r="AP165" s="25" t="str">
        <f t="shared" si="20"/>
        <v>HD Somfy CBUS MotorRightRHS Blind Independent Link</v>
      </c>
      <c r="AQ165" s="25" t="s">
        <v>886</v>
      </c>
      <c r="AR165" s="25" t="s">
        <v>886</v>
      </c>
      <c r="AS165" s="25" t="s">
        <v>886</v>
      </c>
      <c r="AT165" s="25" t="s">
        <v>886</v>
      </c>
      <c r="AU165" s="25" t="s">
        <v>886</v>
      </c>
      <c r="AV165" s="25" t="s">
        <v>1043</v>
      </c>
      <c r="AW165" s="25" t="s">
        <v>821</v>
      </c>
    </row>
    <row r="166" spans="20:49" ht="14.4">
      <c r="T166" s="25" t="s">
        <v>822</v>
      </c>
      <c r="U166" s="25" t="s">
        <v>867</v>
      </c>
      <c r="V166" t="s">
        <v>1009</v>
      </c>
      <c r="W166" s="25" t="str">
        <f t="shared" si="19"/>
        <v>Aluminium PelmetOutside Window MountTBS Cbus Motor</v>
      </c>
      <c r="X166" s="25">
        <v>0</v>
      </c>
      <c r="Y166" s="25">
        <v>0</v>
      </c>
      <c r="Z166" s="25" t="s">
        <v>824</v>
      </c>
      <c r="AA166" s="25" t="s">
        <v>824</v>
      </c>
      <c r="AB166" s="25" t="s">
        <v>821</v>
      </c>
      <c r="AC166" s="25" t="s">
        <v>821</v>
      </c>
      <c r="AE166" s="25" t="s">
        <v>824</v>
      </c>
      <c r="AM166" s="25" t="s">
        <v>995</v>
      </c>
      <c r="AN166" s="25" t="s">
        <v>827</v>
      </c>
      <c r="AO166" s="25" t="s">
        <v>170</v>
      </c>
      <c r="AP166" s="25" t="str">
        <f t="shared" si="20"/>
        <v>HD Somfy External CBUS MotorLeftControl</v>
      </c>
      <c r="AQ166" s="25" t="s">
        <v>900</v>
      </c>
      <c r="AR166" s="25" t="s">
        <v>900</v>
      </c>
      <c r="AS166" s="25" t="s">
        <v>900</v>
      </c>
      <c r="AT166" s="25" t="s">
        <v>900</v>
      </c>
      <c r="AU166" s="25" t="s">
        <v>900</v>
      </c>
      <c r="AV166" s="25" t="s">
        <v>1037</v>
      </c>
      <c r="AW166" s="25" t="s">
        <v>821</v>
      </c>
    </row>
    <row r="167" spans="20:49" ht="14.4">
      <c r="T167" s="25" t="s">
        <v>822</v>
      </c>
      <c r="U167" s="25" t="s">
        <v>867</v>
      </c>
      <c r="V167" t="s">
        <v>927</v>
      </c>
      <c r="W167" s="25" t="str">
        <f t="shared" si="19"/>
        <v>Aluminium PelmetOutside Window MountAcmeda External Motor</v>
      </c>
      <c r="X167" s="25">
        <v>0</v>
      </c>
      <c r="Y167" s="25">
        <v>0</v>
      </c>
      <c r="Z167" s="25" t="s">
        <v>824</v>
      </c>
      <c r="AA167" s="25" t="s">
        <v>824</v>
      </c>
      <c r="AB167" s="25" t="s">
        <v>818</v>
      </c>
      <c r="AC167" s="25" t="s">
        <v>821</v>
      </c>
      <c r="AE167" s="25" t="s">
        <v>824</v>
      </c>
      <c r="AM167" s="25" t="s">
        <v>995</v>
      </c>
      <c r="AN167" s="25" t="s">
        <v>827</v>
      </c>
      <c r="AO167" s="25" t="s">
        <v>824</v>
      </c>
      <c r="AP167" s="25" t="str">
        <f t="shared" si="20"/>
        <v>HD Somfy External CBUS MotorLeftN/A</v>
      </c>
      <c r="AQ167" s="25" t="s">
        <v>900</v>
      </c>
      <c r="AR167" s="25" t="s">
        <v>900</v>
      </c>
      <c r="AS167" s="25" t="s">
        <v>900</v>
      </c>
      <c r="AT167" s="25" t="s">
        <v>900</v>
      </c>
      <c r="AU167" s="25" t="s">
        <v>900</v>
      </c>
      <c r="AV167" s="25" t="s">
        <v>824</v>
      </c>
      <c r="AW167" s="25" t="s">
        <v>821</v>
      </c>
    </row>
    <row r="168" spans="20:49" ht="14.4">
      <c r="T168" s="25" t="s">
        <v>822</v>
      </c>
      <c r="U168" s="25" t="s">
        <v>867</v>
      </c>
      <c r="V168" t="s">
        <v>918</v>
      </c>
      <c r="W168" s="25" t="str">
        <f t="shared" si="19"/>
        <v>Aluminium PelmetOutside Window MountAcmeda External 12v Motor</v>
      </c>
      <c r="X168" s="25">
        <v>0</v>
      </c>
      <c r="Y168" s="25">
        <v>0</v>
      </c>
      <c r="Z168" s="25" t="s">
        <v>824</v>
      </c>
      <c r="AA168" s="25" t="s">
        <v>824</v>
      </c>
      <c r="AB168" s="25" t="s">
        <v>821</v>
      </c>
      <c r="AC168" s="25" t="s">
        <v>821</v>
      </c>
      <c r="AD168" s="25" t="s">
        <v>818</v>
      </c>
      <c r="AE168" s="25" t="s">
        <v>824</v>
      </c>
      <c r="AM168" s="25" t="s">
        <v>995</v>
      </c>
      <c r="AN168" s="25" t="s">
        <v>872</v>
      </c>
      <c r="AO168" s="25" t="s">
        <v>170</v>
      </c>
      <c r="AP168" s="25" t="str">
        <f t="shared" si="20"/>
        <v>HD Somfy External CBUS MotorRightControl</v>
      </c>
      <c r="AQ168" s="25" t="s">
        <v>900</v>
      </c>
      <c r="AR168" s="25" t="s">
        <v>900</v>
      </c>
      <c r="AS168" s="25" t="s">
        <v>900</v>
      </c>
      <c r="AT168" s="25" t="s">
        <v>900</v>
      </c>
      <c r="AU168" s="25" t="s">
        <v>900</v>
      </c>
      <c r="AV168" s="25" t="s">
        <v>1038</v>
      </c>
      <c r="AW168" s="25" t="s">
        <v>821</v>
      </c>
    </row>
    <row r="169" spans="20:49" ht="14.4">
      <c r="T169" s="25" t="s">
        <v>822</v>
      </c>
      <c r="U169" s="25" t="s">
        <v>867</v>
      </c>
      <c r="V169" t="s">
        <v>979</v>
      </c>
      <c r="W169" s="25" t="str">
        <f t="shared" si="19"/>
        <v>Aluminium PelmetOutside Window MountSomfy External CBUS Motor</v>
      </c>
      <c r="X169" s="25">
        <v>0</v>
      </c>
      <c r="Y169" s="25">
        <v>0</v>
      </c>
      <c r="Z169" s="25" t="s">
        <v>824</v>
      </c>
      <c r="AA169" s="25" t="s">
        <v>824</v>
      </c>
      <c r="AB169" s="25" t="s">
        <v>821</v>
      </c>
      <c r="AC169" s="25" t="s">
        <v>821</v>
      </c>
      <c r="AD169" s="25" t="s">
        <v>818</v>
      </c>
      <c r="AE169" s="25" t="s">
        <v>824</v>
      </c>
      <c r="AM169" s="25" t="s">
        <v>995</v>
      </c>
      <c r="AN169" s="25" t="s">
        <v>872</v>
      </c>
      <c r="AO169" s="25" t="s">
        <v>824</v>
      </c>
      <c r="AP169" s="25" t="str">
        <f t="shared" si="20"/>
        <v>HD Somfy External CBUS MotorRightN/A</v>
      </c>
      <c r="AQ169" s="25" t="s">
        <v>900</v>
      </c>
      <c r="AR169" s="25" t="s">
        <v>900</v>
      </c>
      <c r="AS169" s="25" t="s">
        <v>900</v>
      </c>
      <c r="AT169" s="25" t="s">
        <v>900</v>
      </c>
      <c r="AU169" s="25" t="s">
        <v>900</v>
      </c>
      <c r="AV169" s="25" t="s">
        <v>824</v>
      </c>
      <c r="AW169" s="25" t="s">
        <v>821</v>
      </c>
    </row>
    <row r="170" spans="20:49" ht="14.4">
      <c r="T170" s="25" t="s">
        <v>822</v>
      </c>
      <c r="U170" s="25" t="s">
        <v>867</v>
      </c>
      <c r="V170" t="s">
        <v>983</v>
      </c>
      <c r="W170" s="25" t="str">
        <f t="shared" si="19"/>
        <v>Aluminium PelmetOutside Window MountSomfy External Remote Motor</v>
      </c>
      <c r="X170" s="25">
        <v>0</v>
      </c>
      <c r="Y170" s="25">
        <v>0</v>
      </c>
      <c r="Z170" s="25" t="s">
        <v>824</v>
      </c>
      <c r="AA170" s="25" t="s">
        <v>824</v>
      </c>
      <c r="AB170" s="25" t="s">
        <v>821</v>
      </c>
      <c r="AC170" s="25" t="s">
        <v>821</v>
      </c>
      <c r="AD170" s="25" t="s">
        <v>818</v>
      </c>
      <c r="AE170" s="25" t="s">
        <v>824</v>
      </c>
      <c r="AM170" s="25" t="s">
        <v>999</v>
      </c>
      <c r="AN170" s="25" t="s">
        <v>827</v>
      </c>
      <c r="AO170" s="25" t="s">
        <v>170</v>
      </c>
      <c r="AP170" s="25" t="str">
        <f t="shared" si="20"/>
        <v>HD Somfy External Remote MotorLeftControl</v>
      </c>
      <c r="AQ170" s="25" t="s">
        <v>900</v>
      </c>
      <c r="AR170" s="25" t="s">
        <v>900</v>
      </c>
      <c r="AS170" s="25" t="s">
        <v>900</v>
      </c>
      <c r="AT170" s="25" t="s">
        <v>900</v>
      </c>
      <c r="AU170" s="25" t="s">
        <v>900</v>
      </c>
      <c r="AV170" s="25" t="s">
        <v>1037</v>
      </c>
      <c r="AW170" s="25" t="s">
        <v>821</v>
      </c>
    </row>
    <row r="171" spans="20:49" ht="14.4">
      <c r="T171" s="25" t="s">
        <v>822</v>
      </c>
      <c r="U171" s="25" t="s">
        <v>867</v>
      </c>
      <c r="V171" t="s">
        <v>995</v>
      </c>
      <c r="W171" s="25" t="str">
        <f t="shared" si="19"/>
        <v>Aluminium PelmetOutside Window MountHD Somfy External CBUS Motor</v>
      </c>
      <c r="X171" s="25">
        <v>0</v>
      </c>
      <c r="Y171" s="25">
        <v>0</v>
      </c>
      <c r="Z171" s="25" t="s">
        <v>824</v>
      </c>
      <c r="AA171" s="25" t="s">
        <v>824</v>
      </c>
      <c r="AB171" s="25" t="s">
        <v>821</v>
      </c>
      <c r="AC171" s="25" t="s">
        <v>821</v>
      </c>
      <c r="AD171" s="25" t="s">
        <v>818</v>
      </c>
      <c r="AE171" s="25" t="s">
        <v>824</v>
      </c>
      <c r="AM171" s="25" t="s">
        <v>999</v>
      </c>
      <c r="AN171" s="25" t="s">
        <v>827</v>
      </c>
      <c r="AO171" s="25" t="s">
        <v>824</v>
      </c>
      <c r="AP171" s="25" t="str">
        <f t="shared" si="20"/>
        <v>HD Somfy External Remote MotorLeftN/A</v>
      </c>
      <c r="AQ171" s="25" t="s">
        <v>900</v>
      </c>
      <c r="AR171" s="25" t="s">
        <v>900</v>
      </c>
      <c r="AS171" s="25" t="s">
        <v>900</v>
      </c>
      <c r="AT171" s="25" t="s">
        <v>900</v>
      </c>
      <c r="AU171" s="25" t="s">
        <v>900</v>
      </c>
      <c r="AV171" s="25" t="s">
        <v>824</v>
      </c>
      <c r="AW171" s="25" t="s">
        <v>821</v>
      </c>
    </row>
    <row r="172" spans="20:49" ht="14.4">
      <c r="T172" s="25" t="s">
        <v>822</v>
      </c>
      <c r="U172" s="25" t="s">
        <v>867</v>
      </c>
      <c r="V172" t="s">
        <v>999</v>
      </c>
      <c r="W172" s="25" t="str">
        <f t="shared" si="19"/>
        <v>Aluminium PelmetOutside Window MountHD Somfy External Remote Motor</v>
      </c>
      <c r="X172" s="25">
        <v>0</v>
      </c>
      <c r="Y172" s="25">
        <v>0</v>
      </c>
      <c r="Z172" s="25" t="s">
        <v>824</v>
      </c>
      <c r="AA172" s="25" t="s">
        <v>824</v>
      </c>
      <c r="AB172" s="25" t="s">
        <v>821</v>
      </c>
      <c r="AC172" s="25" t="s">
        <v>821</v>
      </c>
      <c r="AD172" s="25" t="s">
        <v>818</v>
      </c>
      <c r="AE172" s="25" t="s">
        <v>824</v>
      </c>
      <c r="AM172" s="25" t="s">
        <v>999</v>
      </c>
      <c r="AN172" s="25" t="s">
        <v>872</v>
      </c>
      <c r="AO172" s="25" t="s">
        <v>170</v>
      </c>
      <c r="AP172" s="25" t="str">
        <f t="shared" si="20"/>
        <v>HD Somfy External Remote MotorRightControl</v>
      </c>
      <c r="AQ172" s="25" t="s">
        <v>900</v>
      </c>
      <c r="AR172" s="25" t="s">
        <v>900</v>
      </c>
      <c r="AS172" s="25" t="s">
        <v>900</v>
      </c>
      <c r="AT172" s="25" t="s">
        <v>900</v>
      </c>
      <c r="AU172" s="25" t="s">
        <v>900</v>
      </c>
      <c r="AV172" s="25" t="s">
        <v>1038</v>
      </c>
      <c r="AW172" s="25" t="s">
        <v>821</v>
      </c>
    </row>
    <row r="173" spans="20:49" ht="14.4">
      <c r="T173" s="25" t="s">
        <v>822</v>
      </c>
      <c r="U173" s="25" t="s">
        <v>837</v>
      </c>
      <c r="V173" s="25" t="s">
        <v>823</v>
      </c>
      <c r="W173" s="25" t="str">
        <f t="shared" si="19"/>
        <v>Aluminium PelmetRevealChain Winder</v>
      </c>
      <c r="X173" s="25">
        <v>0</v>
      </c>
      <c r="Y173" s="25">
        <v>0</v>
      </c>
      <c r="Z173" s="25" t="s">
        <v>824</v>
      </c>
      <c r="AA173" s="25" t="s">
        <v>824</v>
      </c>
      <c r="AB173" s="25" t="s">
        <v>821</v>
      </c>
      <c r="AC173" s="25" t="s">
        <v>821</v>
      </c>
      <c r="AD173" s="25" t="s">
        <v>818</v>
      </c>
      <c r="AE173" s="25" t="s">
        <v>824</v>
      </c>
      <c r="AM173" s="25" t="s">
        <v>999</v>
      </c>
      <c r="AN173" s="25" t="s">
        <v>872</v>
      </c>
      <c r="AO173" s="25" t="s">
        <v>824</v>
      </c>
      <c r="AP173" s="25" t="str">
        <f t="shared" si="20"/>
        <v>HD Somfy External Remote MotorRightN/A</v>
      </c>
      <c r="AQ173" s="25" t="s">
        <v>900</v>
      </c>
      <c r="AR173" s="25" t="s">
        <v>900</v>
      </c>
      <c r="AS173" s="25" t="s">
        <v>900</v>
      </c>
      <c r="AT173" s="25" t="s">
        <v>900</v>
      </c>
      <c r="AU173" s="25" t="s">
        <v>900</v>
      </c>
      <c r="AV173" s="25" t="s">
        <v>824</v>
      </c>
      <c r="AW173" s="25" t="s">
        <v>821</v>
      </c>
    </row>
    <row r="174" spans="20:49" ht="14.4">
      <c r="T174" s="25" t="s">
        <v>822</v>
      </c>
      <c r="U174" s="25" t="s">
        <v>837</v>
      </c>
      <c r="V174" s="25" t="s">
        <v>841</v>
      </c>
      <c r="W174" s="25" t="str">
        <f t="shared" si="19"/>
        <v>Aluminium PelmetRevealHD Chain Winder</v>
      </c>
      <c r="X174" s="25">
        <v>0</v>
      </c>
      <c r="Y174" s="25">
        <v>0</v>
      </c>
      <c r="Z174" s="25" t="s">
        <v>824</v>
      </c>
      <c r="AA174" s="25" t="s">
        <v>824</v>
      </c>
      <c r="AB174" s="25" t="s">
        <v>821</v>
      </c>
      <c r="AC174" s="25" t="s">
        <v>821</v>
      </c>
      <c r="AD174" s="25" t="s">
        <v>818</v>
      </c>
      <c r="AE174" s="25" t="s">
        <v>824</v>
      </c>
      <c r="AM174" s="25" t="s">
        <v>986</v>
      </c>
      <c r="AN174" s="25" t="s">
        <v>827</v>
      </c>
      <c r="AO174" s="25" t="s">
        <v>170</v>
      </c>
      <c r="AP174" s="25" t="str">
        <f t="shared" si="20"/>
        <v>HD Somfy Remote Sonesse MotorLeftControl</v>
      </c>
      <c r="AQ174" s="25" t="s">
        <v>886</v>
      </c>
      <c r="AR174" s="25" t="s">
        <v>886</v>
      </c>
      <c r="AS174" s="25" t="s">
        <v>886</v>
      </c>
      <c r="AT174" s="25" t="s">
        <v>886</v>
      </c>
      <c r="AU174" s="25" t="s">
        <v>886</v>
      </c>
      <c r="AV174" s="25" t="s">
        <v>830</v>
      </c>
      <c r="AW174" s="25" t="s">
        <v>821</v>
      </c>
    </row>
    <row r="175" spans="20:49" ht="14.4">
      <c r="T175" s="25" t="s">
        <v>822</v>
      </c>
      <c r="U175" s="25" t="s">
        <v>837</v>
      </c>
      <c r="V175" s="25" t="s">
        <v>858</v>
      </c>
      <c r="W175" s="25" t="str">
        <f t="shared" si="19"/>
        <v>Aluminium PelmetRevealChain Winder 60mm</v>
      </c>
      <c r="X175" s="25">
        <v>0</v>
      </c>
      <c r="Y175" s="25">
        <v>0</v>
      </c>
      <c r="Z175" s="25" t="s">
        <v>824</v>
      </c>
      <c r="AA175" s="25" t="s">
        <v>824</v>
      </c>
      <c r="AB175" s="25" t="s">
        <v>821</v>
      </c>
      <c r="AC175" s="25" t="s">
        <v>821</v>
      </c>
      <c r="AD175" s="25" t="s">
        <v>818</v>
      </c>
      <c r="AE175" s="25" t="s">
        <v>824</v>
      </c>
      <c r="AM175" s="25" t="s">
        <v>986</v>
      </c>
      <c r="AN175" s="25" t="s">
        <v>827</v>
      </c>
      <c r="AO175" s="25" t="s">
        <v>844</v>
      </c>
      <c r="AP175" s="25" t="str">
        <f t="shared" si="20"/>
        <v>HD Somfy Remote Sonesse MotorLeftLHS Blind Independent Link</v>
      </c>
      <c r="AQ175" s="25" t="s">
        <v>886</v>
      </c>
      <c r="AR175" s="25" t="s">
        <v>886</v>
      </c>
      <c r="AS175" s="25" t="s">
        <v>886</v>
      </c>
      <c r="AT175" s="25" t="s">
        <v>886</v>
      </c>
      <c r="AU175" s="25" t="s">
        <v>886</v>
      </c>
      <c r="AV175" s="25" t="s">
        <v>845</v>
      </c>
      <c r="AW175" s="25" t="s">
        <v>821</v>
      </c>
    </row>
    <row r="176" spans="20:49" ht="14.4">
      <c r="T176" s="25" t="s">
        <v>822</v>
      </c>
      <c r="U176" s="25" t="s">
        <v>837</v>
      </c>
      <c r="V176" s="25" t="s">
        <v>865</v>
      </c>
      <c r="W176" s="25" t="str">
        <f t="shared" si="19"/>
        <v>Aluminium PelmetRevealChain Winder Fixed Guide</v>
      </c>
      <c r="X176" s="25">
        <v>0</v>
      </c>
      <c r="Y176" s="25">
        <v>0</v>
      </c>
      <c r="Z176" s="25" t="s">
        <v>824</v>
      </c>
      <c r="AA176" s="25" t="s">
        <v>824</v>
      </c>
      <c r="AB176" s="25" t="s">
        <v>821</v>
      </c>
      <c r="AC176" s="25" t="s">
        <v>821</v>
      </c>
      <c r="AD176" s="25" t="s">
        <v>818</v>
      </c>
      <c r="AE176" s="25" t="s">
        <v>824</v>
      </c>
      <c r="AM176" s="25" t="s">
        <v>986</v>
      </c>
      <c r="AN176" s="25" t="s">
        <v>827</v>
      </c>
      <c r="AO176" s="25" t="s">
        <v>824</v>
      </c>
      <c r="AP176" s="25" t="str">
        <f t="shared" si="20"/>
        <v>HD Somfy Remote Sonesse MotorLeftN/A</v>
      </c>
      <c r="AQ176" s="25" t="s">
        <v>886</v>
      </c>
      <c r="AR176" s="25" t="s">
        <v>886</v>
      </c>
      <c r="AS176" s="25" t="s">
        <v>886</v>
      </c>
      <c r="AT176" s="25" t="s">
        <v>886</v>
      </c>
      <c r="AU176" s="25" t="s">
        <v>886</v>
      </c>
      <c r="AV176" s="25" t="s">
        <v>824</v>
      </c>
      <c r="AW176" s="25" t="s">
        <v>821</v>
      </c>
    </row>
    <row r="177" spans="20:49" ht="14.4">
      <c r="T177" s="25" t="s">
        <v>822</v>
      </c>
      <c r="U177" s="25" t="s">
        <v>837</v>
      </c>
      <c r="V177" s="25" t="s">
        <v>181</v>
      </c>
      <c r="W177" s="25" t="str">
        <f t="shared" si="19"/>
        <v>Aluminium PelmetRevealLinked</v>
      </c>
      <c r="X177" s="25">
        <v>0</v>
      </c>
      <c r="Y177" s="25">
        <v>0</v>
      </c>
      <c r="Z177" s="25" t="s">
        <v>824</v>
      </c>
      <c r="AA177" s="25" t="s">
        <v>824</v>
      </c>
      <c r="AB177" s="25" t="s">
        <v>821</v>
      </c>
      <c r="AC177" s="25" t="s">
        <v>821</v>
      </c>
      <c r="AD177" s="25" t="s">
        <v>818</v>
      </c>
      <c r="AE177" s="25" t="s">
        <v>824</v>
      </c>
      <c r="AM177" s="25" t="s">
        <v>986</v>
      </c>
      <c r="AN177" s="25" t="s">
        <v>872</v>
      </c>
      <c r="AO177" s="25" t="s">
        <v>170</v>
      </c>
      <c r="AP177" s="25" t="str">
        <f t="shared" si="20"/>
        <v>HD Somfy Remote Sonesse MotorRightControl</v>
      </c>
      <c r="AQ177" s="25" t="s">
        <v>886</v>
      </c>
      <c r="AR177" s="25" t="s">
        <v>886</v>
      </c>
      <c r="AS177" s="25" t="s">
        <v>886</v>
      </c>
      <c r="AT177" s="25" t="s">
        <v>886</v>
      </c>
      <c r="AU177" s="25" t="s">
        <v>886</v>
      </c>
      <c r="AV177" s="25" t="s">
        <v>873</v>
      </c>
      <c r="AW177" s="25" t="s">
        <v>821</v>
      </c>
    </row>
    <row r="178" spans="20:49" ht="14.4">
      <c r="T178" s="25" t="s">
        <v>822</v>
      </c>
      <c r="U178" s="25" t="s">
        <v>837</v>
      </c>
      <c r="V178" s="25" t="s">
        <v>898</v>
      </c>
      <c r="W178" s="25" t="str">
        <f t="shared" si="19"/>
        <v>Aluminium PelmetRevealLinked - HD</v>
      </c>
      <c r="X178" s="25">
        <v>0</v>
      </c>
      <c r="Y178" s="25">
        <v>0</v>
      </c>
      <c r="Z178" s="25" t="s">
        <v>824</v>
      </c>
      <c r="AA178" s="25" t="s">
        <v>824</v>
      </c>
      <c r="AB178" s="25" t="s">
        <v>821</v>
      </c>
      <c r="AC178" s="25" t="s">
        <v>821</v>
      </c>
      <c r="AD178" s="25" t="s">
        <v>818</v>
      </c>
      <c r="AE178" s="25" t="s">
        <v>824</v>
      </c>
      <c r="AM178" s="25" t="s">
        <v>986</v>
      </c>
      <c r="AN178" s="25" t="s">
        <v>872</v>
      </c>
      <c r="AO178" s="25" t="s">
        <v>824</v>
      </c>
      <c r="AP178" s="25" t="str">
        <f t="shared" si="20"/>
        <v>HD Somfy Remote Sonesse MotorRightN/A</v>
      </c>
      <c r="AQ178" s="25" t="s">
        <v>886</v>
      </c>
      <c r="AR178" s="25" t="s">
        <v>886</v>
      </c>
      <c r="AS178" s="25" t="s">
        <v>886</v>
      </c>
      <c r="AT178" s="25" t="s">
        <v>886</v>
      </c>
      <c r="AU178" s="25" t="s">
        <v>886</v>
      </c>
      <c r="AV178" s="25" t="s">
        <v>824</v>
      </c>
      <c r="AW178" s="25" t="s">
        <v>821</v>
      </c>
    </row>
    <row r="179" spans="20:49" ht="14.4">
      <c r="T179" s="25" t="s">
        <v>822</v>
      </c>
      <c r="U179" s="25" t="s">
        <v>837</v>
      </c>
      <c r="V179" s="25" t="s">
        <v>910</v>
      </c>
      <c r="W179" s="25" t="str">
        <f t="shared" si="19"/>
        <v>Aluminium PelmetRevealStandard Spring</v>
      </c>
      <c r="X179" s="25">
        <v>0</v>
      </c>
      <c r="Y179" s="25">
        <v>0</v>
      </c>
      <c r="Z179" s="25" t="s">
        <v>824</v>
      </c>
      <c r="AA179" s="25" t="s">
        <v>824</v>
      </c>
      <c r="AB179" s="25" t="s">
        <v>821</v>
      </c>
      <c r="AC179" s="25" t="s">
        <v>821</v>
      </c>
      <c r="AD179" s="25" t="s">
        <v>818</v>
      </c>
      <c r="AE179" s="25" t="s">
        <v>824</v>
      </c>
      <c r="AM179" s="25" t="s">
        <v>986</v>
      </c>
      <c r="AN179" s="25" t="s">
        <v>872</v>
      </c>
      <c r="AO179" s="25" t="s">
        <v>901</v>
      </c>
      <c r="AP179" s="25" t="str">
        <f t="shared" si="20"/>
        <v>HD Somfy Remote Sonesse MotorRightRHS Blind Independent Link</v>
      </c>
      <c r="AQ179" s="25" t="s">
        <v>886</v>
      </c>
      <c r="AR179" s="25" t="s">
        <v>886</v>
      </c>
      <c r="AS179" s="25" t="s">
        <v>886</v>
      </c>
      <c r="AT179" s="25" t="s">
        <v>886</v>
      </c>
      <c r="AU179" s="25" t="s">
        <v>886</v>
      </c>
      <c r="AV179" s="25" t="s">
        <v>1043</v>
      </c>
      <c r="AW179" s="25" t="s">
        <v>821</v>
      </c>
    </row>
    <row r="180" spans="20:49" ht="14.4">
      <c r="T180" s="25" t="s">
        <v>822</v>
      </c>
      <c r="U180" s="25" t="s">
        <v>837</v>
      </c>
      <c r="V180" s="25" t="s">
        <v>920</v>
      </c>
      <c r="W180" s="25" t="str">
        <f t="shared" si="19"/>
        <v>Aluminium PelmetRevealSmall Spring</v>
      </c>
      <c r="X180" s="25">
        <v>0</v>
      </c>
      <c r="Y180" s="25">
        <v>0</v>
      </c>
      <c r="Z180" s="25" t="s">
        <v>824</v>
      </c>
      <c r="AA180" s="25" t="s">
        <v>824</v>
      </c>
      <c r="AB180" s="25" t="s">
        <v>821</v>
      </c>
      <c r="AC180" s="25" t="s">
        <v>821</v>
      </c>
      <c r="AD180" s="25" t="s">
        <v>818</v>
      </c>
      <c r="AE180" s="25" t="s">
        <v>824</v>
      </c>
      <c r="AM180" s="25" t="s">
        <v>910</v>
      </c>
      <c r="AN180" s="25" t="s">
        <v>824</v>
      </c>
      <c r="AO180" s="25" t="s">
        <v>965</v>
      </c>
      <c r="AP180" s="25" t="str">
        <f t="shared" si="18"/>
        <v>Standard SpringN/ASpring N/A</v>
      </c>
      <c r="AQ180" s="25" t="s">
        <v>828</v>
      </c>
      <c r="AR180" s="25" t="s">
        <v>843</v>
      </c>
      <c r="AS180" s="25" t="s">
        <v>1055</v>
      </c>
      <c r="AT180" s="25" t="s">
        <v>1055</v>
      </c>
      <c r="AU180" s="25" t="s">
        <v>1055</v>
      </c>
      <c r="AV180" s="25" t="s">
        <v>824</v>
      </c>
      <c r="AW180" s="25" t="s">
        <v>821</v>
      </c>
    </row>
    <row r="181" spans="20:49" ht="14.4">
      <c r="T181" s="25" t="s">
        <v>822</v>
      </c>
      <c r="U181" s="25" t="s">
        <v>837</v>
      </c>
      <c r="V181" s="25" t="s">
        <v>929</v>
      </c>
      <c r="W181" s="25" t="str">
        <f t="shared" si="19"/>
        <v>Aluminium PelmetRevealUniline Spring (Old Style)</v>
      </c>
      <c r="X181" s="25">
        <v>0</v>
      </c>
      <c r="Y181" s="25">
        <v>0</v>
      </c>
      <c r="Z181" s="25" t="s">
        <v>824</v>
      </c>
      <c r="AA181" s="25" t="s">
        <v>824</v>
      </c>
      <c r="AB181" s="25" t="s">
        <v>821</v>
      </c>
      <c r="AC181" s="25" t="s">
        <v>821</v>
      </c>
      <c r="AD181" s="25" t="s">
        <v>818</v>
      </c>
      <c r="AE181" s="25" t="s">
        <v>824</v>
      </c>
      <c r="AM181" t="s">
        <v>1006</v>
      </c>
      <c r="AN181" s="25" t="s">
        <v>827</v>
      </c>
      <c r="AO181" s="25" t="s">
        <v>824</v>
      </c>
      <c r="AP181" s="25" t="str">
        <f t="shared" si="18"/>
        <v>Sunboss Chain Winder 38mm TubeLeftN/A</v>
      </c>
      <c r="AQ181" s="25" t="s">
        <v>843</v>
      </c>
      <c r="AR181" s="25" t="s">
        <v>843</v>
      </c>
      <c r="AS181" s="25" t="s">
        <v>843</v>
      </c>
      <c r="AT181" s="25" t="s">
        <v>843</v>
      </c>
      <c r="AU181" s="25" t="s">
        <v>843</v>
      </c>
      <c r="AV181" s="25" t="s">
        <v>824</v>
      </c>
      <c r="AW181" s="25" t="s">
        <v>821</v>
      </c>
    </row>
    <row r="182" spans="20:49" ht="14.4">
      <c r="T182" s="25" t="s">
        <v>822</v>
      </c>
      <c r="U182" s="25" t="s">
        <v>837</v>
      </c>
      <c r="V182" s="25" t="s">
        <v>935</v>
      </c>
      <c r="W182" s="25" t="str">
        <f t="shared" si="19"/>
        <v>Aluminium PelmetRevealBecker Remote Motor</v>
      </c>
      <c r="X182" s="25">
        <v>0</v>
      </c>
      <c r="Y182" s="25">
        <v>0</v>
      </c>
      <c r="Z182" s="25" t="s">
        <v>824</v>
      </c>
      <c r="AA182" s="25" t="s">
        <v>824</v>
      </c>
      <c r="AB182" s="25" t="s">
        <v>821</v>
      </c>
      <c r="AC182" s="25" t="s">
        <v>821</v>
      </c>
      <c r="AD182" s="25" t="s">
        <v>818</v>
      </c>
      <c r="AE182" s="25" t="s">
        <v>824</v>
      </c>
      <c r="AM182" t="s">
        <v>1006</v>
      </c>
      <c r="AN182" s="25" t="s">
        <v>872</v>
      </c>
      <c r="AO182" s="25" t="s">
        <v>824</v>
      </c>
      <c r="AP182" s="25" t="str">
        <f t="shared" si="18"/>
        <v>Sunboss Chain Winder 38mm TubeRightN/A</v>
      </c>
      <c r="AQ182" s="25" t="s">
        <v>843</v>
      </c>
      <c r="AR182" s="25" t="s">
        <v>843</v>
      </c>
      <c r="AS182" s="25" t="s">
        <v>843</v>
      </c>
      <c r="AT182" s="25" t="s">
        <v>843</v>
      </c>
      <c r="AU182" s="25" t="s">
        <v>843</v>
      </c>
      <c r="AV182" s="25" t="s">
        <v>824</v>
      </c>
      <c r="AW182" s="25" t="s">
        <v>821</v>
      </c>
    </row>
    <row r="183" spans="20:49" ht="14.4">
      <c r="T183" s="25" t="s">
        <v>822</v>
      </c>
      <c r="U183" s="25" t="s">
        <v>837</v>
      </c>
      <c r="V183" s="25" t="s">
        <v>939</v>
      </c>
      <c r="W183" s="25" t="str">
        <f t="shared" si="19"/>
        <v>Aluminium PelmetRevealBecker CBUS Motor</v>
      </c>
      <c r="X183" s="25">
        <v>0</v>
      </c>
      <c r="Y183" s="25">
        <v>0</v>
      </c>
      <c r="Z183" s="25" t="s">
        <v>824</v>
      </c>
      <c r="AA183" s="25" t="s">
        <v>824</v>
      </c>
      <c r="AB183" s="25" t="s">
        <v>821</v>
      </c>
      <c r="AC183" s="25" t="s">
        <v>821</v>
      </c>
      <c r="AD183" s="25" t="s">
        <v>818</v>
      </c>
      <c r="AE183" s="25" t="s">
        <v>824</v>
      </c>
      <c r="AM183" t="s">
        <v>1017</v>
      </c>
      <c r="AN183" s="25" t="s">
        <v>827</v>
      </c>
      <c r="AO183" s="25" t="s">
        <v>824</v>
      </c>
      <c r="AP183" s="25" t="str">
        <f t="shared" si="21" ref="AP183:AP201">CONCATENATE(AM183,AN183,AO183)</f>
        <v>Sunboss Chain Winder 43mm TubeLeftN/A</v>
      </c>
      <c r="AQ183" s="25" t="s">
        <v>828</v>
      </c>
      <c r="AR183" s="25" t="s">
        <v>828</v>
      </c>
      <c r="AS183" s="25" t="s">
        <v>828</v>
      </c>
      <c r="AT183" s="25" t="s">
        <v>828</v>
      </c>
      <c r="AU183" s="25" t="s">
        <v>828</v>
      </c>
      <c r="AV183" s="25" t="s">
        <v>824</v>
      </c>
      <c r="AW183" s="25" t="s">
        <v>821</v>
      </c>
    </row>
    <row r="184" spans="20:49" ht="14.4">
      <c r="T184" s="25" t="s">
        <v>822</v>
      </c>
      <c r="U184" s="25" t="s">
        <v>837</v>
      </c>
      <c r="V184" s="25" t="s">
        <v>946</v>
      </c>
      <c r="W184" s="25" t="str">
        <f t="shared" si="19"/>
        <v>Aluminium PelmetRevealBecker External Remote Motor</v>
      </c>
      <c r="X184" s="25">
        <v>0</v>
      </c>
      <c r="Y184" s="25">
        <v>0</v>
      </c>
      <c r="Z184" s="25" t="s">
        <v>824</v>
      </c>
      <c r="AA184" s="25" t="s">
        <v>824</v>
      </c>
      <c r="AB184" s="25" t="s">
        <v>821</v>
      </c>
      <c r="AC184" s="25" t="s">
        <v>821</v>
      </c>
      <c r="AD184" s="25" t="s">
        <v>818</v>
      </c>
      <c r="AE184" s="25" t="s">
        <v>824</v>
      </c>
      <c r="AM184" t="s">
        <v>1017</v>
      </c>
      <c r="AN184" s="25" t="s">
        <v>872</v>
      </c>
      <c r="AO184" s="25" t="s">
        <v>824</v>
      </c>
      <c r="AP184" s="25" t="str">
        <f t="shared" si="21"/>
        <v>Sunboss Chain Winder 43mm TubeRightN/A</v>
      </c>
      <c r="AQ184" s="25" t="s">
        <v>828</v>
      </c>
      <c r="AR184" s="25" t="s">
        <v>828</v>
      </c>
      <c r="AS184" s="25" t="s">
        <v>828</v>
      </c>
      <c r="AT184" s="25" t="s">
        <v>828</v>
      </c>
      <c r="AU184" s="25" t="s">
        <v>828</v>
      </c>
      <c r="AV184" s="25" t="s">
        <v>824</v>
      </c>
      <c r="AW184" s="25" t="s">
        <v>821</v>
      </c>
    </row>
    <row r="185" spans="20:49" ht="14.4">
      <c r="T185" s="25" t="s">
        <v>822</v>
      </c>
      <c r="U185" s="25" t="s">
        <v>837</v>
      </c>
      <c r="V185" s="25" t="s">
        <v>951</v>
      </c>
      <c r="W185" s="25" t="str">
        <f t="shared" si="19"/>
        <v>Aluminium PelmetRevealBecker External CBUS Motor</v>
      </c>
      <c r="X185" s="25">
        <v>0</v>
      </c>
      <c r="Y185" s="25">
        <v>0</v>
      </c>
      <c r="Z185" s="25" t="s">
        <v>824</v>
      </c>
      <c r="AA185" s="25" t="s">
        <v>824</v>
      </c>
      <c r="AB185" s="25" t="s">
        <v>821</v>
      </c>
      <c r="AC185" s="25" t="s">
        <v>821</v>
      </c>
      <c r="AD185" s="25" t="s">
        <v>818</v>
      </c>
      <c r="AE185" s="25" t="s">
        <v>824</v>
      </c>
      <c r="AM185" s="25" t="s">
        <v>1028</v>
      </c>
      <c r="AN185" s="25" t="s">
        <v>827</v>
      </c>
      <c r="AO185" s="25" t="s">
        <v>170</v>
      </c>
      <c r="AP185" s="25" t="str">
        <f t="shared" si="21"/>
        <v>TBS CbusLeftControl</v>
      </c>
      <c r="AQ185" s="25" t="s">
        <v>828</v>
      </c>
      <c r="AR185" s="25" t="s">
        <v>828</v>
      </c>
      <c r="AS185" s="25" t="s">
        <v>828</v>
      </c>
      <c r="AT185" s="25" t="s">
        <v>828</v>
      </c>
      <c r="AU185" s="25" t="s">
        <v>829</v>
      </c>
      <c r="AV185" s="25" t="s">
        <v>830</v>
      </c>
      <c r="AW185" s="25" t="s">
        <v>821</v>
      </c>
    </row>
    <row r="186" spans="20:49" ht="14.4">
      <c r="T186" s="25" t="s">
        <v>822</v>
      </c>
      <c r="U186" s="25" t="s">
        <v>837</v>
      </c>
      <c r="V186" s="25" t="s">
        <v>838</v>
      </c>
      <c r="W186" s="25" t="str">
        <f t="shared" si="19"/>
        <v>Aluminium PelmetReveal1.1nm 12v Acmeda Motor</v>
      </c>
      <c r="X186" s="25">
        <v>0</v>
      </c>
      <c r="Y186" s="25">
        <v>0</v>
      </c>
      <c r="Z186" s="25" t="s">
        <v>824</v>
      </c>
      <c r="AA186" s="25" t="s">
        <v>824</v>
      </c>
      <c r="AB186" s="25" t="s">
        <v>821</v>
      </c>
      <c r="AC186" s="25" t="s">
        <v>821</v>
      </c>
      <c r="AD186" s="25" t="s">
        <v>818</v>
      </c>
      <c r="AE186" s="25" t="s">
        <v>824</v>
      </c>
      <c r="AM186" s="25" t="s">
        <v>1028</v>
      </c>
      <c r="AN186" s="25" t="s">
        <v>827</v>
      </c>
      <c r="AO186" s="25" t="s">
        <v>824</v>
      </c>
      <c r="AP186" s="25" t="str">
        <f t="shared" si="21"/>
        <v>TBS CbusLeftN/A</v>
      </c>
      <c r="AQ186" s="25" t="s">
        <v>828</v>
      </c>
      <c r="AR186" s="25" t="s">
        <v>828</v>
      </c>
      <c r="AS186" s="25" t="s">
        <v>828</v>
      </c>
      <c r="AT186" s="25" t="s">
        <v>828</v>
      </c>
      <c r="AU186" s="25" t="s">
        <v>829</v>
      </c>
      <c r="AV186" s="25" t="s">
        <v>824</v>
      </c>
      <c r="AW186" s="25" t="s">
        <v>821</v>
      </c>
    </row>
    <row r="187" spans="20:49" ht="14.4">
      <c r="T187" s="25" t="s">
        <v>822</v>
      </c>
      <c r="U187" s="25" t="s">
        <v>837</v>
      </c>
      <c r="V187" t="s">
        <v>882</v>
      </c>
      <c r="W187" s="25" t="str">
        <f t="shared" si="19"/>
        <v>Aluminium PelmetReveal2nm 12v Acmeda Motor</v>
      </c>
      <c r="X187" s="25">
        <v>0</v>
      </c>
      <c r="Y187" s="25">
        <v>0</v>
      </c>
      <c r="Z187" s="25" t="s">
        <v>824</v>
      </c>
      <c r="AA187" s="25" t="s">
        <v>824</v>
      </c>
      <c r="AB187" s="25" t="s">
        <v>821</v>
      </c>
      <c r="AC187" s="25" t="s">
        <v>821</v>
      </c>
      <c r="AD187" s="25" t="s">
        <v>818</v>
      </c>
      <c r="AE187" s="25" t="s">
        <v>824</v>
      </c>
      <c r="AM187" s="25" t="s">
        <v>1028</v>
      </c>
      <c r="AN187" s="25" t="s">
        <v>872</v>
      </c>
      <c r="AO187" s="25" t="s">
        <v>170</v>
      </c>
      <c r="AP187" s="25" t="str">
        <f t="shared" si="21"/>
        <v>TBS CbusRightControl</v>
      </c>
      <c r="AQ187" s="25" t="s">
        <v>828</v>
      </c>
      <c r="AR187" s="25" t="s">
        <v>828</v>
      </c>
      <c r="AS187" s="25" t="s">
        <v>828</v>
      </c>
      <c r="AT187" s="25" t="s">
        <v>828</v>
      </c>
      <c r="AU187" s="25" t="s">
        <v>829</v>
      </c>
      <c r="AV187" s="25" t="s">
        <v>873</v>
      </c>
      <c r="AW187" s="25" t="s">
        <v>821</v>
      </c>
    </row>
    <row r="188" spans="20:49" ht="14.4">
      <c r="T188" s="25" t="s">
        <v>822</v>
      </c>
      <c r="U188" s="25" t="s">
        <v>837</v>
      </c>
      <c r="V188" t="s">
        <v>896</v>
      </c>
      <c r="W188" s="25" t="str">
        <f t="shared" si="19"/>
        <v>Aluminium PelmetRevealAcmeda 12v 6nm Motor</v>
      </c>
      <c r="X188" s="25">
        <v>0</v>
      </c>
      <c r="Y188" s="25">
        <v>0</v>
      </c>
      <c r="Z188" s="25" t="s">
        <v>824</v>
      </c>
      <c r="AA188" s="25" t="s">
        <v>824</v>
      </c>
      <c r="AB188" s="25" t="s">
        <v>821</v>
      </c>
      <c r="AC188" s="25" t="s">
        <v>821</v>
      </c>
      <c r="AD188" s="25" t="s">
        <v>818</v>
      </c>
      <c r="AE188" s="25" t="s">
        <v>824</v>
      </c>
      <c r="AM188" s="25" t="s">
        <v>1028</v>
      </c>
      <c r="AN188" s="25" t="s">
        <v>872</v>
      </c>
      <c r="AO188" s="25" t="s">
        <v>824</v>
      </c>
      <c r="AP188" s="25" t="str">
        <f t="shared" si="21"/>
        <v>TBS CbusRightN/A</v>
      </c>
      <c r="AQ188" s="25" t="s">
        <v>828</v>
      </c>
      <c r="AR188" s="25" t="s">
        <v>828</v>
      </c>
      <c r="AS188" s="25" t="s">
        <v>828</v>
      </c>
      <c r="AT188" s="25" t="s">
        <v>828</v>
      </c>
      <c r="AU188" s="25" t="s">
        <v>829</v>
      </c>
      <c r="AV188" s="25" t="s">
        <v>824</v>
      </c>
      <c r="AW188" s="25" t="s">
        <v>821</v>
      </c>
    </row>
    <row r="189" spans="20:49" ht="14.4">
      <c r="T189" s="25" t="s">
        <v>822</v>
      </c>
      <c r="U189" s="25" t="s">
        <v>837</v>
      </c>
      <c r="V189" t="s">
        <v>855</v>
      </c>
      <c r="W189" s="25" t="str">
        <f t="shared" si="19"/>
        <v>Aluminium PelmetReveal0.7nm 12v Acmeda Motor</v>
      </c>
      <c r="X189" s="25">
        <v>0</v>
      </c>
      <c r="Y189" s="25">
        <v>0</v>
      </c>
      <c r="Z189" s="25" t="s">
        <v>824</v>
      </c>
      <c r="AA189" s="25" t="s">
        <v>824</v>
      </c>
      <c r="AB189" s="25" t="s">
        <v>821</v>
      </c>
      <c r="AC189" s="25" t="s">
        <v>821</v>
      </c>
      <c r="AD189" s="25" t="s">
        <v>818</v>
      </c>
      <c r="AE189" s="25" t="s">
        <v>824</v>
      </c>
      <c r="AM189" s="25" t="s">
        <v>1012</v>
      </c>
      <c r="AN189" s="25" t="s">
        <v>827</v>
      </c>
      <c r="AO189" s="25" t="s">
        <v>170</v>
      </c>
      <c r="AP189" s="25" t="str">
        <f t="shared" si="21"/>
        <v>TBS Remote MotorLeftControl</v>
      </c>
      <c r="AQ189" s="25" t="s">
        <v>828</v>
      </c>
      <c r="AR189" s="25" t="s">
        <v>828</v>
      </c>
      <c r="AS189" s="25" t="s">
        <v>828</v>
      </c>
      <c r="AT189" s="25" t="s">
        <v>828</v>
      </c>
      <c r="AU189" s="25" t="s">
        <v>829</v>
      </c>
      <c r="AV189" s="25" t="s">
        <v>830</v>
      </c>
      <c r="AW189" s="25" t="s">
        <v>821</v>
      </c>
    </row>
    <row r="190" spans="20:49" ht="14.4">
      <c r="T190" s="25" t="s">
        <v>822</v>
      </c>
      <c r="U190" s="25" t="s">
        <v>837</v>
      </c>
      <c r="V190" s="25" t="s">
        <v>849</v>
      </c>
      <c r="W190" s="25" t="str">
        <f t="shared" si="19"/>
        <v>Aluminium PelmetReveal1.1nm 12v Acmeda DCRF Motor with External Battery</v>
      </c>
      <c r="X190" s="25">
        <v>0</v>
      </c>
      <c r="Y190" s="25">
        <v>0</v>
      </c>
      <c r="Z190" s="25" t="s">
        <v>824</v>
      </c>
      <c r="AA190" s="25" t="s">
        <v>824</v>
      </c>
      <c r="AB190" s="25" t="s">
        <v>821</v>
      </c>
      <c r="AC190" s="25" t="s">
        <v>821</v>
      </c>
      <c r="AD190" s="25" t="s">
        <v>818</v>
      </c>
      <c r="AE190" s="25" t="s">
        <v>824</v>
      </c>
      <c r="AM190" s="25" t="s">
        <v>1012</v>
      </c>
      <c r="AN190" s="25" t="s">
        <v>827</v>
      </c>
      <c r="AO190" s="25" t="s">
        <v>824</v>
      </c>
      <c r="AP190" s="25" t="str">
        <f t="shared" si="21"/>
        <v>TBS Remote MotorLeftN/A</v>
      </c>
      <c r="AQ190" s="25" t="s">
        <v>828</v>
      </c>
      <c r="AR190" s="25" t="s">
        <v>828</v>
      </c>
      <c r="AS190" s="25" t="s">
        <v>828</v>
      </c>
      <c r="AT190" s="25" t="s">
        <v>828</v>
      </c>
      <c r="AU190" s="25" t="s">
        <v>829</v>
      </c>
      <c r="AV190" s="25" t="s">
        <v>824</v>
      </c>
      <c r="AW190" s="25" t="s">
        <v>821</v>
      </c>
    </row>
    <row r="191" spans="20:49" ht="14.4">
      <c r="T191" s="25" t="s">
        <v>822</v>
      </c>
      <c r="U191" s="25" t="s">
        <v>837</v>
      </c>
      <c r="V191" s="25" t="s">
        <v>817</v>
      </c>
      <c r="W191" s="25" t="str">
        <f t="shared" si="19"/>
        <v>Aluminium PelmetReveal1.1nm 12v Acmeda DCRF Motor</v>
      </c>
      <c r="X191" s="25">
        <v>0</v>
      </c>
      <c r="Y191" s="25">
        <v>0</v>
      </c>
      <c r="Z191" s="25" t="s">
        <v>824</v>
      </c>
      <c r="AA191" s="25" t="s">
        <v>824</v>
      </c>
      <c r="AB191" s="25" t="s">
        <v>821</v>
      </c>
      <c r="AC191" s="25" t="s">
        <v>821</v>
      </c>
      <c r="AD191" s="25" t="s">
        <v>818</v>
      </c>
      <c r="AE191" s="25" t="s">
        <v>824</v>
      </c>
      <c r="AM191" s="25" t="s">
        <v>1012</v>
      </c>
      <c r="AN191" s="25" t="s">
        <v>872</v>
      </c>
      <c r="AO191" s="25" t="s">
        <v>170</v>
      </c>
      <c r="AP191" s="25" t="str">
        <f t="shared" si="21"/>
        <v>TBS Remote MotorRightControl</v>
      </c>
      <c r="AQ191" s="25" t="s">
        <v>828</v>
      </c>
      <c r="AR191" s="25" t="s">
        <v>828</v>
      </c>
      <c r="AS191" s="25" t="s">
        <v>828</v>
      </c>
      <c r="AT191" s="25" t="s">
        <v>828</v>
      </c>
      <c r="AU191" s="25" t="s">
        <v>829</v>
      </c>
      <c r="AV191" s="25" t="s">
        <v>873</v>
      </c>
      <c r="AW191" s="25" t="s">
        <v>821</v>
      </c>
    </row>
    <row r="192" spans="20:49" ht="14.4">
      <c r="T192" s="25" t="s">
        <v>822</v>
      </c>
      <c r="U192" s="25" t="s">
        <v>837</v>
      </c>
      <c r="V192" s="25" t="s">
        <v>868</v>
      </c>
      <c r="W192" s="25" t="str">
        <f t="shared" si="19"/>
        <v>Aluminium PelmetReveal2nm 12v Acmeda DCRF Motor</v>
      </c>
      <c r="X192" s="25">
        <v>0</v>
      </c>
      <c r="Y192" s="25">
        <v>0</v>
      </c>
      <c r="Z192" s="25" t="s">
        <v>824</v>
      </c>
      <c r="AA192" s="25" t="s">
        <v>824</v>
      </c>
      <c r="AB192" s="25" t="s">
        <v>821</v>
      </c>
      <c r="AC192" s="25" t="s">
        <v>821</v>
      </c>
      <c r="AD192" s="25" t="s">
        <v>818</v>
      </c>
      <c r="AE192" s="25" t="s">
        <v>824</v>
      </c>
      <c r="AM192" s="25" t="s">
        <v>1012</v>
      </c>
      <c r="AN192" s="25" t="s">
        <v>872</v>
      </c>
      <c r="AO192" s="25" t="s">
        <v>824</v>
      </c>
      <c r="AP192" s="25" t="str">
        <f t="shared" si="21"/>
        <v>TBS Remote MotorRightN/A</v>
      </c>
      <c r="AQ192" s="25" t="s">
        <v>828</v>
      </c>
      <c r="AR192" s="25" t="s">
        <v>828</v>
      </c>
      <c r="AS192" s="25" t="s">
        <v>828</v>
      </c>
      <c r="AT192" s="25" t="s">
        <v>828</v>
      </c>
      <c r="AU192" s="25" t="s">
        <v>829</v>
      </c>
      <c r="AV192" s="25" t="s">
        <v>824</v>
      </c>
      <c r="AW192" s="25" t="s">
        <v>821</v>
      </c>
    </row>
    <row r="193" spans="20:49" ht="14.4">
      <c r="T193" s="25" t="s">
        <v>822</v>
      </c>
      <c r="U193" s="25" t="s">
        <v>837</v>
      </c>
      <c r="V193" t="s">
        <v>973</v>
      </c>
      <c r="W193" s="25" t="str">
        <f t="shared" si="19"/>
        <v>Aluminium PelmetRevealSomfy Remote Sonesse Motor</v>
      </c>
      <c r="X193" s="25">
        <v>0</v>
      </c>
      <c r="Y193" s="25">
        <v>0</v>
      </c>
      <c r="Z193" s="25" t="s">
        <v>824</v>
      </c>
      <c r="AA193" s="25" t="s">
        <v>824</v>
      </c>
      <c r="AB193" s="25" t="s">
        <v>821</v>
      </c>
      <c r="AC193" s="25" t="s">
        <v>821</v>
      </c>
      <c r="AD193" s="25" t="s">
        <v>818</v>
      </c>
      <c r="AE193" s="25" t="s">
        <v>824</v>
      </c>
      <c r="AM193" s="25" t="s">
        <v>1033</v>
      </c>
      <c r="AN193" s="25" t="s">
        <v>827</v>
      </c>
      <c r="AO193" s="25" t="s">
        <v>170</v>
      </c>
      <c r="AP193" s="25" t="str">
        <f t="shared" si="21"/>
        <v>Uniline CBus MotorLeftControl</v>
      </c>
      <c r="AQ193" s="25" t="s">
        <v>828</v>
      </c>
      <c r="AR193" s="25" t="s">
        <v>828</v>
      </c>
      <c r="AS193" s="25" t="s">
        <v>828</v>
      </c>
      <c r="AT193" s="25" t="s">
        <v>828</v>
      </c>
      <c r="AU193" s="25" t="s">
        <v>829</v>
      </c>
      <c r="AV193" s="25" t="s">
        <v>830</v>
      </c>
      <c r="AW193" s="25" t="s">
        <v>821</v>
      </c>
    </row>
    <row r="194" spans="20:49" ht="14.4">
      <c r="T194" s="25" t="s">
        <v>822</v>
      </c>
      <c r="U194" s="25" t="s">
        <v>837</v>
      </c>
      <c r="V194" t="s">
        <v>637</v>
      </c>
      <c r="W194" s="25" t="str">
        <f t="shared" si="19"/>
        <v>Aluminium PelmetRevealSomfy 12v Remote Sonesse Motor</v>
      </c>
      <c r="X194" s="25">
        <v>0</v>
      </c>
      <c r="Y194" s="25">
        <v>0</v>
      </c>
      <c r="Z194" s="25" t="s">
        <v>824</v>
      </c>
      <c r="AA194" s="25" t="s">
        <v>824</v>
      </c>
      <c r="AB194" s="25" t="s">
        <v>821</v>
      </c>
      <c r="AC194" s="25" t="s">
        <v>821</v>
      </c>
      <c r="AD194" s="25" t="s">
        <v>818</v>
      </c>
      <c r="AE194" s="25" t="s">
        <v>824</v>
      </c>
      <c r="AM194" s="25" t="s">
        <v>1033</v>
      </c>
      <c r="AN194" s="25" t="s">
        <v>827</v>
      </c>
      <c r="AO194" s="25" t="s">
        <v>824</v>
      </c>
      <c r="AP194" s="25" t="str">
        <f t="shared" si="21"/>
        <v>Uniline CBus MotorLeftN/A</v>
      </c>
      <c r="AQ194" s="25" t="s">
        <v>828</v>
      </c>
      <c r="AR194" s="25" t="s">
        <v>828</v>
      </c>
      <c r="AS194" s="25" t="s">
        <v>828</v>
      </c>
      <c r="AT194" s="25" t="s">
        <v>828</v>
      </c>
      <c r="AU194" s="25" t="s">
        <v>829</v>
      </c>
      <c r="AV194" s="25" t="s">
        <v>824</v>
      </c>
      <c r="AW194" s="25" t="s">
        <v>821</v>
      </c>
    </row>
    <row r="195" spans="20:49" ht="14.4">
      <c r="T195" s="25" t="s">
        <v>822</v>
      </c>
      <c r="U195" s="25" t="s">
        <v>837</v>
      </c>
      <c r="V195" s="25" t="s">
        <v>974</v>
      </c>
      <c r="W195" s="25" t="str">
        <f t="shared" si="22" ref="W195:W258">CONCATENATE(T195,U195,V195)</f>
        <v>Aluminium PelmetRevealSomfy CBUS Motor</v>
      </c>
      <c r="X195" s="25">
        <v>0</v>
      </c>
      <c r="Y195" s="25">
        <v>0</v>
      </c>
      <c r="Z195" s="25" t="s">
        <v>824</v>
      </c>
      <c r="AA195" s="25" t="s">
        <v>824</v>
      </c>
      <c r="AB195" s="25" t="s">
        <v>821</v>
      </c>
      <c r="AC195" s="25" t="s">
        <v>821</v>
      </c>
      <c r="AD195" s="25" t="s">
        <v>818</v>
      </c>
      <c r="AE195" s="25" t="s">
        <v>824</v>
      </c>
      <c r="AM195" s="25" t="s">
        <v>1033</v>
      </c>
      <c r="AN195" s="25" t="s">
        <v>872</v>
      </c>
      <c r="AO195" s="25" t="s">
        <v>170</v>
      </c>
      <c r="AP195" s="25" t="str">
        <f t="shared" si="21"/>
        <v>Uniline CBus MotorRightControl</v>
      </c>
      <c r="AQ195" s="25" t="s">
        <v>828</v>
      </c>
      <c r="AR195" s="25" t="s">
        <v>828</v>
      </c>
      <c r="AS195" s="25" t="s">
        <v>828</v>
      </c>
      <c r="AT195" s="25" t="s">
        <v>828</v>
      </c>
      <c r="AU195" s="25" t="s">
        <v>829</v>
      </c>
      <c r="AV195" s="25" t="s">
        <v>873</v>
      </c>
      <c r="AW195" s="25" t="s">
        <v>821</v>
      </c>
    </row>
    <row r="196" spans="20:49" ht="14.4">
      <c r="T196" s="25" t="s">
        <v>822</v>
      </c>
      <c r="U196" s="25" t="s">
        <v>837</v>
      </c>
      <c r="V196" t="s">
        <v>986</v>
      </c>
      <c r="W196" s="25" t="str">
        <f t="shared" si="22"/>
        <v>Aluminium PelmetRevealHD Somfy Remote Sonesse Motor</v>
      </c>
      <c r="X196" s="25">
        <v>0</v>
      </c>
      <c r="Y196" s="25">
        <v>0</v>
      </c>
      <c r="Z196" s="25" t="s">
        <v>824</v>
      </c>
      <c r="AA196" s="25" t="s">
        <v>824</v>
      </c>
      <c r="AB196" s="25" t="s">
        <v>821</v>
      </c>
      <c r="AC196" s="25" t="s">
        <v>821</v>
      </c>
      <c r="AD196" s="25" t="s">
        <v>818</v>
      </c>
      <c r="AE196" s="25" t="s">
        <v>824</v>
      </c>
      <c r="AM196" s="25" t="s">
        <v>1033</v>
      </c>
      <c r="AN196" s="25" t="s">
        <v>872</v>
      </c>
      <c r="AO196" s="25" t="s">
        <v>824</v>
      </c>
      <c r="AP196" s="25" t="str">
        <f t="shared" si="21"/>
        <v>Uniline CBus MotorRightN/A</v>
      </c>
      <c r="AQ196" s="25" t="s">
        <v>828</v>
      </c>
      <c r="AR196" s="25" t="s">
        <v>828</v>
      </c>
      <c r="AS196" s="25" t="s">
        <v>828</v>
      </c>
      <c r="AT196" s="25" t="s">
        <v>828</v>
      </c>
      <c r="AU196" s="25" t="s">
        <v>829</v>
      </c>
      <c r="AV196" s="25" t="s">
        <v>824</v>
      </c>
      <c r="AW196" s="25" t="s">
        <v>821</v>
      </c>
    </row>
    <row r="197" spans="20:49" ht="14.4">
      <c r="T197" s="25" t="s">
        <v>822</v>
      </c>
      <c r="U197" s="25" t="s">
        <v>837</v>
      </c>
      <c r="V197" t="s">
        <v>989</v>
      </c>
      <c r="W197" s="25" t="str">
        <f t="shared" si="22"/>
        <v>Aluminium PelmetRevealHD Somfy 12v Remote Sonesse Motor</v>
      </c>
      <c r="X197" s="25">
        <v>0</v>
      </c>
      <c r="Y197" s="25">
        <v>0</v>
      </c>
      <c r="Z197" s="25" t="s">
        <v>824</v>
      </c>
      <c r="AA197" s="25" t="s">
        <v>824</v>
      </c>
      <c r="AB197" s="25" t="s">
        <v>821</v>
      </c>
      <c r="AC197" s="25" t="s">
        <v>821</v>
      </c>
      <c r="AD197" s="25" t="s">
        <v>818</v>
      </c>
      <c r="AE197" s="25" t="s">
        <v>824</v>
      </c>
      <c r="AM197" s="25" t="s">
        <v>1002</v>
      </c>
      <c r="AN197" s="25" t="s">
        <v>827</v>
      </c>
      <c r="AO197" s="25" t="s">
        <v>170</v>
      </c>
      <c r="AP197" s="25" t="str">
        <f t="shared" si="21"/>
        <v>Uniline Remote MotorLeftControl</v>
      </c>
      <c r="AQ197" s="25" t="s">
        <v>828</v>
      </c>
      <c r="AR197" s="25" t="s">
        <v>828</v>
      </c>
      <c r="AS197" s="25" t="s">
        <v>828</v>
      </c>
      <c r="AT197" s="25" t="s">
        <v>828</v>
      </c>
      <c r="AU197" s="25" t="s">
        <v>829</v>
      </c>
      <c r="AV197" s="25" t="s">
        <v>830</v>
      </c>
      <c r="AW197" s="25" t="s">
        <v>821</v>
      </c>
    </row>
    <row r="198" spans="20:49" ht="14.4">
      <c r="T198" s="25" t="s">
        <v>822</v>
      </c>
      <c r="U198" s="25" t="s">
        <v>837</v>
      </c>
      <c r="V198" s="25" t="s">
        <v>992</v>
      </c>
      <c r="W198" s="25" t="str">
        <f t="shared" si="22"/>
        <v>Aluminium PelmetRevealHD Somfy CBUS Motor</v>
      </c>
      <c r="X198" s="25">
        <v>0</v>
      </c>
      <c r="Y198" s="25">
        <v>0</v>
      </c>
      <c r="Z198" s="25" t="s">
        <v>824</v>
      </c>
      <c r="AA198" s="25" t="s">
        <v>824</v>
      </c>
      <c r="AB198" s="25" t="s">
        <v>821</v>
      </c>
      <c r="AC198" s="25" t="s">
        <v>821</v>
      </c>
      <c r="AD198" s="25" t="s">
        <v>818</v>
      </c>
      <c r="AE198" s="25" t="s">
        <v>824</v>
      </c>
      <c r="AM198" s="25" t="s">
        <v>1002</v>
      </c>
      <c r="AN198" s="25" t="s">
        <v>827</v>
      </c>
      <c r="AO198" s="25" t="s">
        <v>824</v>
      </c>
      <c r="AP198" s="25" t="str">
        <f t="shared" si="21"/>
        <v>Uniline Remote MotorLeftN/A</v>
      </c>
      <c r="AQ198" s="25" t="s">
        <v>828</v>
      </c>
      <c r="AR198" s="25" t="s">
        <v>828</v>
      </c>
      <c r="AS198" s="25" t="s">
        <v>828</v>
      </c>
      <c r="AT198" s="25" t="s">
        <v>828</v>
      </c>
      <c r="AU198" s="25" t="s">
        <v>829</v>
      </c>
      <c r="AV198" s="25" t="s">
        <v>824</v>
      </c>
      <c r="AW198" s="25" t="s">
        <v>821</v>
      </c>
    </row>
    <row r="199" spans="20:49" ht="14.4">
      <c r="T199" s="25" t="s">
        <v>822</v>
      </c>
      <c r="U199" s="25" t="s">
        <v>837</v>
      </c>
      <c r="V199" s="25" t="s">
        <v>625</v>
      </c>
      <c r="W199" s="25" t="str">
        <f t="shared" si="22"/>
        <v>Aluminium PelmetRevealAcmeda E6 Motor</v>
      </c>
      <c r="X199" s="25">
        <v>0</v>
      </c>
      <c r="Y199" s="25">
        <v>0</v>
      </c>
      <c r="Z199" s="25" t="s">
        <v>824</v>
      </c>
      <c r="AA199" s="25" t="s">
        <v>824</v>
      </c>
      <c r="AB199" s="25" t="s">
        <v>821</v>
      </c>
      <c r="AC199" s="25" t="s">
        <v>821</v>
      </c>
      <c r="AD199" s="25" t="s">
        <v>818</v>
      </c>
      <c r="AE199" s="25" t="s">
        <v>824</v>
      </c>
      <c r="AM199" s="25" t="s">
        <v>1002</v>
      </c>
      <c r="AN199" s="25" t="s">
        <v>872</v>
      </c>
      <c r="AO199" s="25" t="s">
        <v>170</v>
      </c>
      <c r="AP199" s="25" t="str">
        <f t="shared" si="21"/>
        <v>Uniline Remote MotorRightControl</v>
      </c>
      <c r="AQ199" s="25" t="s">
        <v>828</v>
      </c>
      <c r="AR199" s="25" t="s">
        <v>828</v>
      </c>
      <c r="AS199" s="25" t="s">
        <v>828</v>
      </c>
      <c r="AT199" s="25" t="s">
        <v>828</v>
      </c>
      <c r="AU199" s="25" t="s">
        <v>829</v>
      </c>
      <c r="AV199" s="25" t="s">
        <v>873</v>
      </c>
      <c r="AW199" s="25" t="s">
        <v>821</v>
      </c>
    </row>
    <row r="200" spans="20:49" ht="14.4">
      <c r="T200" s="25" t="s">
        <v>822</v>
      </c>
      <c r="U200" s="25" t="s">
        <v>837</v>
      </c>
      <c r="V200" s="25" t="s">
        <v>626</v>
      </c>
      <c r="W200" s="25" t="str">
        <f t="shared" si="22"/>
        <v>Aluminium PelmetRevealAcmeda M6 Motor</v>
      </c>
      <c r="X200" s="25">
        <v>0</v>
      </c>
      <c r="Y200" s="25">
        <v>0</v>
      </c>
      <c r="Z200" s="25" t="s">
        <v>824</v>
      </c>
      <c r="AA200" s="25" t="s">
        <v>824</v>
      </c>
      <c r="AB200" s="25" t="s">
        <v>821</v>
      </c>
      <c r="AC200" s="25" t="s">
        <v>821</v>
      </c>
      <c r="AD200" s="25" t="s">
        <v>818</v>
      </c>
      <c r="AE200" s="25" t="s">
        <v>824</v>
      </c>
      <c r="AM200" s="25" t="s">
        <v>1002</v>
      </c>
      <c r="AN200" s="25" t="s">
        <v>872</v>
      </c>
      <c r="AO200" s="25" t="s">
        <v>824</v>
      </c>
      <c r="AP200" s="25" t="str">
        <f t="shared" si="21"/>
        <v>Uniline Remote MotorRightN/A</v>
      </c>
      <c r="AQ200" s="25" t="s">
        <v>828</v>
      </c>
      <c r="AR200" s="25" t="s">
        <v>828</v>
      </c>
      <c r="AS200" s="25" t="s">
        <v>828</v>
      </c>
      <c r="AT200" s="25" t="s">
        <v>828</v>
      </c>
      <c r="AU200" s="25" t="s">
        <v>829</v>
      </c>
      <c r="AV200" s="25" t="s">
        <v>824</v>
      </c>
      <c r="AW200" s="25" t="s">
        <v>821</v>
      </c>
    </row>
    <row r="201" spans="20:49" ht="14.4">
      <c r="T201" s="25" t="s">
        <v>822</v>
      </c>
      <c r="U201" s="25" t="s">
        <v>837</v>
      </c>
      <c r="V201" s="25" t="s">
        <v>1002</v>
      </c>
      <c r="W201" s="25" t="str">
        <f t="shared" si="22"/>
        <v>Aluminium PelmetRevealUniline Remote Motor</v>
      </c>
      <c r="X201" s="25">
        <v>0</v>
      </c>
      <c r="Y201" s="25">
        <v>0</v>
      </c>
      <c r="Z201" s="25" t="s">
        <v>824</v>
      </c>
      <c r="AA201" s="25" t="s">
        <v>824</v>
      </c>
      <c r="AB201" s="25" t="s">
        <v>821</v>
      </c>
      <c r="AC201" s="25" t="s">
        <v>821</v>
      </c>
      <c r="AD201" s="25" t="s">
        <v>818</v>
      </c>
      <c r="AE201" s="25" t="s">
        <v>824</v>
      </c>
      <c r="AM201" s="25" t="s">
        <v>929</v>
      </c>
      <c r="AN201" s="25" t="s">
        <v>824</v>
      </c>
      <c r="AO201" s="25" t="s">
        <v>824</v>
      </c>
      <c r="AP201" s="25" t="str">
        <f t="shared" si="21"/>
        <v>Uniline Spring (Old Style)N/AN/A</v>
      </c>
      <c r="AQ201" s="25" t="s">
        <v>828</v>
      </c>
      <c r="AR201" s="25" t="s">
        <v>843</v>
      </c>
      <c r="AS201" s="25" t="s">
        <v>843</v>
      </c>
      <c r="AT201" s="25" t="s">
        <v>843</v>
      </c>
      <c r="AU201" s="25" t="s">
        <v>843</v>
      </c>
      <c r="AV201" s="25" t="s">
        <v>824</v>
      </c>
      <c r="AW201" s="25" t="s">
        <v>821</v>
      </c>
    </row>
    <row r="202" spans="20:31" ht="14.4">
      <c r="T202" s="25" t="s">
        <v>822</v>
      </c>
      <c r="U202" s="25" t="s">
        <v>837</v>
      </c>
      <c r="V202" s="25" t="s">
        <v>1005</v>
      </c>
      <c r="W202" s="25" t="str">
        <f t="shared" si="22"/>
        <v>Aluminium PelmetRevealUniline Cbus Motor</v>
      </c>
      <c r="X202" s="25">
        <v>0</v>
      </c>
      <c r="Y202" s="25">
        <v>0</v>
      </c>
      <c r="Z202" s="25" t="s">
        <v>824</v>
      </c>
      <c r="AA202" s="25" t="s">
        <v>824</v>
      </c>
      <c r="AB202" s="25" t="s">
        <v>821</v>
      </c>
      <c r="AC202" s="25" t="s">
        <v>821</v>
      </c>
      <c r="AD202" s="25" t="s">
        <v>818</v>
      </c>
      <c r="AE202" s="25" t="s">
        <v>824</v>
      </c>
    </row>
    <row r="203" spans="20:31" ht="14.4">
      <c r="T203" s="25" t="s">
        <v>822</v>
      </c>
      <c r="U203" s="25" t="s">
        <v>837</v>
      </c>
      <c r="V203" s="25" t="s">
        <v>981</v>
      </c>
      <c r="W203" s="25" t="str">
        <f t="shared" si="22"/>
        <v>Aluminium PelmetRevealNice Remote Motor</v>
      </c>
      <c r="X203" s="25">
        <v>0</v>
      </c>
      <c r="Y203" s="25">
        <v>0</v>
      </c>
      <c r="Z203" s="25" t="s">
        <v>824</v>
      </c>
      <c r="AA203" s="25" t="s">
        <v>824</v>
      </c>
      <c r="AB203" s="25" t="s">
        <v>821</v>
      </c>
      <c r="AC203" s="25" t="s">
        <v>821</v>
      </c>
      <c r="AD203" s="25" t="s">
        <v>818</v>
      </c>
      <c r="AE203" s="25" t="s">
        <v>824</v>
      </c>
    </row>
    <row r="204" spans="20:31" ht="14.4">
      <c r="T204" s="25" t="s">
        <v>822</v>
      </c>
      <c r="U204" s="25" t="s">
        <v>837</v>
      </c>
      <c r="V204" s="25" t="s">
        <v>976</v>
      </c>
      <c r="W204" s="25" t="str">
        <f t="shared" si="22"/>
        <v>Aluminium PelmetRevealNice CBus Motor</v>
      </c>
      <c r="X204" s="25">
        <v>0</v>
      </c>
      <c r="Y204" s="25">
        <v>0</v>
      </c>
      <c r="Z204" s="25" t="s">
        <v>824</v>
      </c>
      <c r="AA204" s="25" t="s">
        <v>824</v>
      </c>
      <c r="AB204" s="25" t="s">
        <v>821</v>
      </c>
      <c r="AC204" s="25" t="s">
        <v>821</v>
      </c>
      <c r="AD204" s="25" t="s">
        <v>818</v>
      </c>
      <c r="AE204" s="25" t="s">
        <v>824</v>
      </c>
    </row>
    <row r="205" spans="20:31" ht="14.4">
      <c r="T205" s="25" t="s">
        <v>822</v>
      </c>
      <c r="U205" s="25" t="s">
        <v>837</v>
      </c>
      <c r="V205" t="s">
        <v>1006</v>
      </c>
      <c r="W205" s="25" t="str">
        <f t="shared" si="22"/>
        <v>Aluminium PelmetRevealSunboss Chain Winder 38mm Tube</v>
      </c>
      <c r="X205" s="25">
        <v>0</v>
      </c>
      <c r="Y205" s="25">
        <v>0</v>
      </c>
      <c r="Z205" s="25" t="s">
        <v>824</v>
      </c>
      <c r="AA205" s="25" t="s">
        <v>824</v>
      </c>
      <c r="AB205" s="25" t="s">
        <v>821</v>
      </c>
      <c r="AC205" s="25" t="s">
        <v>821</v>
      </c>
      <c r="AD205" s="25" t="s">
        <v>818</v>
      </c>
      <c r="AE205" s="25" t="s">
        <v>824</v>
      </c>
    </row>
    <row r="206" spans="20:31" ht="14.4">
      <c r="T206" s="25" t="s">
        <v>822</v>
      </c>
      <c r="U206" s="25" t="s">
        <v>837</v>
      </c>
      <c r="V206" t="s">
        <v>1017</v>
      </c>
      <c r="W206" s="25" t="str">
        <f t="shared" si="22"/>
        <v>Aluminium PelmetRevealSunboss Chain Winder 43mm Tube</v>
      </c>
      <c r="X206" s="25">
        <v>0</v>
      </c>
      <c r="Y206" s="25">
        <v>0</v>
      </c>
      <c r="Z206" s="25" t="s">
        <v>824</v>
      </c>
      <c r="AA206" s="25" t="s">
        <v>824</v>
      </c>
      <c r="AB206" s="25" t="s">
        <v>821</v>
      </c>
      <c r="AC206" s="25" t="s">
        <v>821</v>
      </c>
      <c r="AD206" s="25" t="s">
        <v>818</v>
      </c>
      <c r="AE206" s="25" t="s">
        <v>824</v>
      </c>
    </row>
    <row r="207" spans="20:31" ht="14.4">
      <c r="T207" s="25" t="s">
        <v>822</v>
      </c>
      <c r="U207" s="25" t="s">
        <v>837</v>
      </c>
      <c r="V207" s="25" t="s">
        <v>1012</v>
      </c>
      <c r="W207" s="25" t="str">
        <f t="shared" si="22"/>
        <v>Aluminium PelmetRevealTBS Remote Motor</v>
      </c>
      <c r="X207" s="25">
        <v>0</v>
      </c>
      <c r="Y207" s="25">
        <v>0</v>
      </c>
      <c r="Z207" s="25" t="s">
        <v>824</v>
      </c>
      <c r="AA207" s="25" t="s">
        <v>824</v>
      </c>
      <c r="AB207" s="25" t="s">
        <v>821</v>
      </c>
      <c r="AC207" s="25" t="s">
        <v>821</v>
      </c>
      <c r="AD207" s="25" t="s">
        <v>818</v>
      </c>
      <c r="AE207" s="25" t="s">
        <v>824</v>
      </c>
    </row>
    <row r="208" spans="20:31" ht="14.4">
      <c r="T208" s="25" t="s">
        <v>822</v>
      </c>
      <c r="U208" s="25" t="s">
        <v>837</v>
      </c>
      <c r="V208" t="s">
        <v>1009</v>
      </c>
      <c r="W208" s="25" t="str">
        <f t="shared" si="22"/>
        <v>Aluminium PelmetRevealTBS Cbus Motor</v>
      </c>
      <c r="X208" s="25">
        <v>0</v>
      </c>
      <c r="Y208" s="25">
        <v>0</v>
      </c>
      <c r="Z208" s="25" t="s">
        <v>824</v>
      </c>
      <c r="AA208" s="25" t="s">
        <v>824</v>
      </c>
      <c r="AB208" s="25" t="s">
        <v>821</v>
      </c>
      <c r="AC208" s="25" t="s">
        <v>821</v>
      </c>
      <c r="AD208" s="25" t="s">
        <v>818</v>
      </c>
      <c r="AE208" s="25" t="s">
        <v>824</v>
      </c>
    </row>
    <row r="209" spans="20:31" ht="14.4">
      <c r="T209" s="25" t="s">
        <v>822</v>
      </c>
      <c r="U209" s="25" t="s">
        <v>837</v>
      </c>
      <c r="V209" t="s">
        <v>927</v>
      </c>
      <c r="W209" s="25" t="str">
        <f t="shared" si="22"/>
        <v>Aluminium PelmetRevealAcmeda External Motor</v>
      </c>
      <c r="X209" s="25">
        <v>0</v>
      </c>
      <c r="Y209" s="25">
        <v>0</v>
      </c>
      <c r="Z209" s="25" t="s">
        <v>824</v>
      </c>
      <c r="AA209" s="25" t="s">
        <v>824</v>
      </c>
      <c r="AB209" s="25" t="s">
        <v>821</v>
      </c>
      <c r="AC209" s="25" t="s">
        <v>821</v>
      </c>
      <c r="AD209" s="25" t="s">
        <v>818</v>
      </c>
      <c r="AE209" s="25" t="s">
        <v>824</v>
      </c>
    </row>
    <row r="210" spans="20:31" ht="14.4">
      <c r="T210" s="25" t="s">
        <v>822</v>
      </c>
      <c r="U210" s="25" t="s">
        <v>837</v>
      </c>
      <c r="V210" t="s">
        <v>918</v>
      </c>
      <c r="W210" s="25" t="str">
        <f t="shared" si="22"/>
        <v>Aluminium PelmetRevealAcmeda External 12v Motor</v>
      </c>
      <c r="X210" s="25">
        <v>0</v>
      </c>
      <c r="Y210" s="25">
        <v>0</v>
      </c>
      <c r="Z210" s="25" t="s">
        <v>824</v>
      </c>
      <c r="AA210" s="25" t="s">
        <v>824</v>
      </c>
      <c r="AB210" s="25" t="s">
        <v>821</v>
      </c>
      <c r="AC210" s="25" t="s">
        <v>821</v>
      </c>
      <c r="AD210" s="25" t="s">
        <v>818</v>
      </c>
      <c r="AE210" s="25" t="s">
        <v>824</v>
      </c>
    </row>
    <row r="211" spans="20:31" ht="14.4">
      <c r="T211" s="25" t="s">
        <v>822</v>
      </c>
      <c r="U211" s="25" t="s">
        <v>837</v>
      </c>
      <c r="V211" t="s">
        <v>979</v>
      </c>
      <c r="W211" s="25" t="str">
        <f t="shared" si="22"/>
        <v>Aluminium PelmetRevealSomfy External CBUS Motor</v>
      </c>
      <c r="X211" s="25">
        <v>0</v>
      </c>
      <c r="Y211" s="25">
        <v>0</v>
      </c>
      <c r="Z211" s="25" t="s">
        <v>824</v>
      </c>
      <c r="AA211" s="25" t="s">
        <v>824</v>
      </c>
      <c r="AB211" s="25" t="s">
        <v>821</v>
      </c>
      <c r="AC211" s="25" t="s">
        <v>821</v>
      </c>
      <c r="AD211" s="25" t="s">
        <v>818</v>
      </c>
      <c r="AE211" s="25" t="s">
        <v>824</v>
      </c>
    </row>
    <row r="212" spans="20:31" ht="14.4">
      <c r="T212" s="25" t="s">
        <v>822</v>
      </c>
      <c r="U212" s="25" t="s">
        <v>837</v>
      </c>
      <c r="V212" t="s">
        <v>983</v>
      </c>
      <c r="W212" s="25" t="str">
        <f t="shared" si="22"/>
        <v>Aluminium PelmetRevealSomfy External Remote Motor</v>
      </c>
      <c r="X212" s="25">
        <v>0</v>
      </c>
      <c r="Y212" s="25">
        <v>0</v>
      </c>
      <c r="Z212" s="25" t="s">
        <v>824</v>
      </c>
      <c r="AA212" s="25" t="s">
        <v>824</v>
      </c>
      <c r="AB212" s="25" t="s">
        <v>821</v>
      </c>
      <c r="AC212" s="25" t="s">
        <v>821</v>
      </c>
      <c r="AD212" s="25" t="s">
        <v>818</v>
      </c>
      <c r="AE212" s="25" t="s">
        <v>824</v>
      </c>
    </row>
    <row r="213" spans="20:31" ht="14.4">
      <c r="T213" s="25" t="s">
        <v>822</v>
      </c>
      <c r="U213" s="25" t="s">
        <v>837</v>
      </c>
      <c r="V213" t="s">
        <v>995</v>
      </c>
      <c r="W213" s="25" t="str">
        <f t="shared" si="22"/>
        <v>Aluminium PelmetRevealHD Somfy External CBUS Motor</v>
      </c>
      <c r="X213" s="25">
        <v>0</v>
      </c>
      <c r="Y213" s="25">
        <v>0</v>
      </c>
      <c r="Z213" s="25" t="s">
        <v>824</v>
      </c>
      <c r="AA213" s="25" t="s">
        <v>824</v>
      </c>
      <c r="AB213" s="25" t="s">
        <v>821</v>
      </c>
      <c r="AC213" s="25" t="s">
        <v>821</v>
      </c>
      <c r="AD213" s="25" t="s">
        <v>818</v>
      </c>
      <c r="AE213" s="25" t="s">
        <v>824</v>
      </c>
    </row>
    <row r="214" spans="20:31" ht="14.4">
      <c r="T214" s="25" t="s">
        <v>822</v>
      </c>
      <c r="U214" s="25" t="s">
        <v>837</v>
      </c>
      <c r="V214" t="s">
        <v>999</v>
      </c>
      <c r="W214" s="25" t="str">
        <f t="shared" si="22"/>
        <v>Aluminium PelmetRevealHD Somfy External Remote Motor</v>
      </c>
      <c r="X214" s="25">
        <v>0</v>
      </c>
      <c r="Y214" s="25">
        <v>0</v>
      </c>
      <c r="Z214" s="25" t="s">
        <v>824</v>
      </c>
      <c r="AA214" s="25" t="s">
        <v>824</v>
      </c>
      <c r="AB214" s="25" t="s">
        <v>821</v>
      </c>
      <c r="AC214" s="25" t="s">
        <v>821</v>
      </c>
      <c r="AD214" s="25" t="s">
        <v>818</v>
      </c>
      <c r="AE214" s="25" t="s">
        <v>824</v>
      </c>
    </row>
    <row r="215" spans="20:31" ht="14.4">
      <c r="T215" t="s">
        <v>895</v>
      </c>
      <c r="U215" s="25" t="s">
        <v>816</v>
      </c>
      <c r="V215" s="25" t="s">
        <v>823</v>
      </c>
      <c r="W215" s="25" t="str">
        <f t="shared" si="22"/>
        <v>Aluminium ValanceFaceChain Winder</v>
      </c>
      <c r="X215" s="25">
        <v>6</v>
      </c>
      <c r="Y215" s="25" t="s">
        <v>824</v>
      </c>
      <c r="Z215" s="25">
        <v>0</v>
      </c>
      <c r="AA215" s="25" t="s">
        <v>824</v>
      </c>
      <c r="AB215" s="25" t="s">
        <v>818</v>
      </c>
      <c r="AC215" s="25" t="s">
        <v>821</v>
      </c>
      <c r="AD215" s="25" t="s">
        <v>821</v>
      </c>
      <c r="AE215" s="25" t="s">
        <v>824</v>
      </c>
    </row>
    <row r="216" spans="20:31" ht="14.4">
      <c r="T216" t="s">
        <v>895</v>
      </c>
      <c r="U216" s="25" t="s">
        <v>816</v>
      </c>
      <c r="V216" s="25" t="s">
        <v>841</v>
      </c>
      <c r="W216" s="25" t="str">
        <f t="shared" si="22"/>
        <v>Aluminium ValanceFaceHD Chain Winder</v>
      </c>
      <c r="X216" s="25">
        <v>6</v>
      </c>
      <c r="Y216" s="25" t="s">
        <v>824</v>
      </c>
      <c r="Z216" s="25">
        <v>0</v>
      </c>
      <c r="AA216" s="25" t="s">
        <v>824</v>
      </c>
      <c r="AB216" s="25" t="s">
        <v>818</v>
      </c>
      <c r="AC216" s="25" t="s">
        <v>821</v>
      </c>
      <c r="AD216" s="25" t="s">
        <v>821</v>
      </c>
      <c r="AE216" s="25" t="s">
        <v>824</v>
      </c>
    </row>
    <row r="217" spans="20:31" ht="14.4">
      <c r="T217" t="s">
        <v>895</v>
      </c>
      <c r="U217" s="25" t="s">
        <v>816</v>
      </c>
      <c r="V217" s="25" t="s">
        <v>858</v>
      </c>
      <c r="W217" s="25" t="str">
        <f t="shared" si="22"/>
        <v>Aluminium ValanceFaceChain Winder 60mm</v>
      </c>
      <c r="X217" s="25">
        <v>6</v>
      </c>
      <c r="Y217" s="25" t="s">
        <v>824</v>
      </c>
      <c r="Z217" s="25">
        <v>0</v>
      </c>
      <c r="AA217" s="25" t="s">
        <v>824</v>
      </c>
      <c r="AB217" s="25" t="s">
        <v>818</v>
      </c>
      <c r="AC217" s="25" t="s">
        <v>821</v>
      </c>
      <c r="AD217" s="25" t="s">
        <v>821</v>
      </c>
      <c r="AE217" s="25" t="s">
        <v>824</v>
      </c>
    </row>
    <row r="218" spans="20:31" ht="14.4">
      <c r="T218" t="s">
        <v>895</v>
      </c>
      <c r="U218" s="25" t="s">
        <v>816</v>
      </c>
      <c r="V218" s="25" t="s">
        <v>865</v>
      </c>
      <c r="W218" s="25" t="str">
        <f t="shared" si="22"/>
        <v>Aluminium ValanceFaceChain Winder Fixed Guide</v>
      </c>
      <c r="X218" s="25">
        <v>6</v>
      </c>
      <c r="Y218" s="25" t="s">
        <v>824</v>
      </c>
      <c r="Z218" s="25">
        <v>0</v>
      </c>
      <c r="AA218" s="25" t="s">
        <v>824</v>
      </c>
      <c r="AB218" s="25" t="s">
        <v>818</v>
      </c>
      <c r="AC218" s="25" t="s">
        <v>821</v>
      </c>
      <c r="AD218" s="25" t="s">
        <v>821</v>
      </c>
      <c r="AE218" s="25" t="s">
        <v>824</v>
      </c>
    </row>
    <row r="219" spans="20:31" ht="14.4">
      <c r="T219" t="s">
        <v>895</v>
      </c>
      <c r="U219" s="25" t="s">
        <v>816</v>
      </c>
      <c r="V219" s="25" t="s">
        <v>181</v>
      </c>
      <c r="W219" s="25" t="str">
        <f t="shared" si="22"/>
        <v>Aluminium ValanceFaceLinked</v>
      </c>
      <c r="X219" s="25">
        <v>6</v>
      </c>
      <c r="Y219" s="25" t="s">
        <v>824</v>
      </c>
      <c r="Z219" s="25">
        <v>0</v>
      </c>
      <c r="AA219" s="25" t="s">
        <v>824</v>
      </c>
      <c r="AB219" s="25" t="s">
        <v>818</v>
      </c>
      <c r="AC219" s="25" t="s">
        <v>821</v>
      </c>
      <c r="AD219" s="25" t="s">
        <v>821</v>
      </c>
      <c r="AE219" s="25" t="s">
        <v>824</v>
      </c>
    </row>
    <row r="220" spans="20:31" ht="14.4">
      <c r="T220" t="s">
        <v>895</v>
      </c>
      <c r="U220" s="25" t="s">
        <v>816</v>
      </c>
      <c r="V220" s="25" t="s">
        <v>898</v>
      </c>
      <c r="W220" s="25" t="str">
        <f t="shared" si="22"/>
        <v>Aluminium ValanceFaceLinked - HD</v>
      </c>
      <c r="X220" s="25">
        <v>6</v>
      </c>
      <c r="Y220" s="25" t="s">
        <v>824</v>
      </c>
      <c r="Z220" s="25">
        <v>0</v>
      </c>
      <c r="AA220" s="25" t="s">
        <v>824</v>
      </c>
      <c r="AB220" s="25" t="s">
        <v>818</v>
      </c>
      <c r="AC220" s="25" t="s">
        <v>821</v>
      </c>
      <c r="AD220" s="25" t="s">
        <v>821</v>
      </c>
      <c r="AE220" s="25" t="s">
        <v>824</v>
      </c>
    </row>
    <row r="221" spans="20:31" ht="14.4">
      <c r="T221" t="s">
        <v>895</v>
      </c>
      <c r="U221" s="25" t="s">
        <v>816</v>
      </c>
      <c r="V221" s="25" t="s">
        <v>910</v>
      </c>
      <c r="W221" s="25" t="str">
        <f t="shared" si="22"/>
        <v>Aluminium ValanceFaceStandard Spring</v>
      </c>
      <c r="X221" s="25">
        <v>6</v>
      </c>
      <c r="Y221" s="25" t="s">
        <v>824</v>
      </c>
      <c r="Z221" s="25">
        <v>0</v>
      </c>
      <c r="AA221" s="25" t="s">
        <v>824</v>
      </c>
      <c r="AB221" s="25" t="s">
        <v>818</v>
      </c>
      <c r="AC221" s="25" t="s">
        <v>821</v>
      </c>
      <c r="AD221" s="25" t="s">
        <v>821</v>
      </c>
      <c r="AE221" s="25" t="s">
        <v>824</v>
      </c>
    </row>
    <row r="222" spans="20:31" ht="14.4">
      <c r="T222" t="s">
        <v>895</v>
      </c>
      <c r="U222" s="25" t="s">
        <v>816</v>
      </c>
      <c r="V222" s="25" t="s">
        <v>920</v>
      </c>
      <c r="W222" s="25" t="str">
        <f t="shared" si="22"/>
        <v>Aluminium ValanceFaceSmall Spring</v>
      </c>
      <c r="X222" s="25">
        <v>0</v>
      </c>
      <c r="Y222" s="25" t="s">
        <v>824</v>
      </c>
      <c r="Z222" s="25">
        <v>0</v>
      </c>
      <c r="AA222" s="25" t="s">
        <v>824</v>
      </c>
      <c r="AB222" s="25" t="s">
        <v>821</v>
      </c>
      <c r="AC222" s="25" t="s">
        <v>821</v>
      </c>
      <c r="AD222" s="25" t="s">
        <v>818</v>
      </c>
      <c r="AE222" s="25" t="s">
        <v>824</v>
      </c>
    </row>
    <row r="223" spans="20:31" ht="14.4">
      <c r="T223" t="s">
        <v>895</v>
      </c>
      <c r="U223" s="25" t="s">
        <v>816</v>
      </c>
      <c r="V223" s="25" t="s">
        <v>929</v>
      </c>
      <c r="W223" s="25" t="str">
        <f t="shared" si="22"/>
        <v>Aluminium ValanceFaceUniline Spring (Old Style)</v>
      </c>
      <c r="X223" s="25">
        <v>6</v>
      </c>
      <c r="Y223" s="25" t="s">
        <v>824</v>
      </c>
      <c r="Z223" s="25">
        <v>0</v>
      </c>
      <c r="AA223" s="25" t="s">
        <v>824</v>
      </c>
      <c r="AB223" s="25" t="s">
        <v>818</v>
      </c>
      <c r="AC223" s="25" t="s">
        <v>821</v>
      </c>
      <c r="AD223" s="25" t="s">
        <v>821</v>
      </c>
      <c r="AE223" s="25" t="s">
        <v>824</v>
      </c>
    </row>
    <row r="224" spans="20:31" ht="14.4">
      <c r="T224" t="s">
        <v>895</v>
      </c>
      <c r="U224" s="25" t="s">
        <v>816</v>
      </c>
      <c r="V224" s="25" t="s">
        <v>935</v>
      </c>
      <c r="W224" s="25" t="str">
        <f t="shared" si="22"/>
        <v>Aluminium ValanceFaceBecker Remote Motor</v>
      </c>
      <c r="X224" s="25">
        <v>6</v>
      </c>
      <c r="Y224" s="25" t="s">
        <v>824</v>
      </c>
      <c r="Z224" s="25">
        <v>0</v>
      </c>
      <c r="AA224" s="25" t="s">
        <v>824</v>
      </c>
      <c r="AB224" s="25" t="s">
        <v>818</v>
      </c>
      <c r="AC224" s="25" t="s">
        <v>821</v>
      </c>
      <c r="AD224" s="25" t="s">
        <v>821</v>
      </c>
      <c r="AE224" s="25" t="s">
        <v>824</v>
      </c>
    </row>
    <row r="225" spans="20:31" ht="14.4">
      <c r="T225" t="s">
        <v>895</v>
      </c>
      <c r="U225" s="25" t="s">
        <v>816</v>
      </c>
      <c r="V225" s="25" t="s">
        <v>939</v>
      </c>
      <c r="W225" s="25" t="str">
        <f t="shared" si="22"/>
        <v>Aluminium ValanceFaceBecker CBUS Motor</v>
      </c>
      <c r="X225" s="25">
        <v>6</v>
      </c>
      <c r="Y225" s="25" t="s">
        <v>824</v>
      </c>
      <c r="Z225" s="25">
        <v>0</v>
      </c>
      <c r="AA225" s="25" t="s">
        <v>824</v>
      </c>
      <c r="AB225" s="25" t="s">
        <v>818</v>
      </c>
      <c r="AC225" s="25" t="s">
        <v>821</v>
      </c>
      <c r="AD225" s="25" t="s">
        <v>821</v>
      </c>
      <c r="AE225" s="25" t="s">
        <v>824</v>
      </c>
    </row>
    <row r="226" spans="20:31" ht="14.4">
      <c r="T226" t="s">
        <v>895</v>
      </c>
      <c r="U226" s="25" t="s">
        <v>816</v>
      </c>
      <c r="V226" s="25" t="s">
        <v>946</v>
      </c>
      <c r="W226" s="25" t="str">
        <f t="shared" si="22"/>
        <v>Aluminium ValanceFaceBecker External Remote Motor</v>
      </c>
      <c r="X226" s="25">
        <v>0</v>
      </c>
      <c r="Y226" s="25" t="s">
        <v>824</v>
      </c>
      <c r="Z226" s="25">
        <v>0</v>
      </c>
      <c r="AA226" s="25" t="s">
        <v>824</v>
      </c>
      <c r="AB226" s="25" t="s">
        <v>821</v>
      </c>
      <c r="AC226" s="25" t="s">
        <v>821</v>
      </c>
      <c r="AD226" s="25" t="s">
        <v>818</v>
      </c>
      <c r="AE226" s="25" t="s">
        <v>824</v>
      </c>
    </row>
    <row r="227" spans="20:31" ht="14.4">
      <c r="T227" t="s">
        <v>895</v>
      </c>
      <c r="U227" s="25" t="s">
        <v>816</v>
      </c>
      <c r="V227" s="25" t="s">
        <v>951</v>
      </c>
      <c r="W227" s="25" t="str">
        <f t="shared" si="22"/>
        <v>Aluminium ValanceFaceBecker External CBUS Motor</v>
      </c>
      <c r="X227" s="25">
        <v>0</v>
      </c>
      <c r="Y227" s="25" t="s">
        <v>824</v>
      </c>
      <c r="Z227" s="25">
        <v>0</v>
      </c>
      <c r="AA227" s="25" t="s">
        <v>824</v>
      </c>
      <c r="AB227" s="25" t="s">
        <v>821</v>
      </c>
      <c r="AC227" s="25" t="s">
        <v>821</v>
      </c>
      <c r="AD227" s="25" t="s">
        <v>818</v>
      </c>
      <c r="AE227" s="25" t="s">
        <v>824</v>
      </c>
    </row>
    <row r="228" spans="20:31" ht="14.4">
      <c r="T228" t="s">
        <v>895</v>
      </c>
      <c r="U228" s="25" t="s">
        <v>816</v>
      </c>
      <c r="V228" s="25" t="s">
        <v>838</v>
      </c>
      <c r="W228" s="25" t="str">
        <f t="shared" si="22"/>
        <v>Aluminium ValanceFace1.1nm 12v Acmeda Motor</v>
      </c>
      <c r="X228" s="25">
        <v>6</v>
      </c>
      <c r="Y228" s="25" t="s">
        <v>824</v>
      </c>
      <c r="Z228" s="25">
        <v>0</v>
      </c>
      <c r="AA228" s="25" t="s">
        <v>824</v>
      </c>
      <c r="AB228" s="25" t="s">
        <v>818</v>
      </c>
      <c r="AC228" s="25" t="s">
        <v>821</v>
      </c>
      <c r="AD228" s="25" t="s">
        <v>821</v>
      </c>
      <c r="AE228" s="25" t="s">
        <v>824</v>
      </c>
    </row>
    <row r="229" spans="20:31" ht="14.4">
      <c r="T229" t="s">
        <v>895</v>
      </c>
      <c r="U229" s="25" t="s">
        <v>816</v>
      </c>
      <c r="V229" t="s">
        <v>882</v>
      </c>
      <c r="W229" s="25" t="str">
        <f t="shared" si="22"/>
        <v>Aluminium ValanceFace2nm 12v Acmeda Motor</v>
      </c>
      <c r="X229" s="25">
        <v>6</v>
      </c>
      <c r="Y229" s="25" t="s">
        <v>824</v>
      </c>
      <c r="Z229" s="25">
        <v>0</v>
      </c>
      <c r="AA229" s="25" t="s">
        <v>824</v>
      </c>
      <c r="AB229" s="25" t="s">
        <v>818</v>
      </c>
      <c r="AC229" s="25" t="s">
        <v>821</v>
      </c>
      <c r="AD229" s="25" t="s">
        <v>821</v>
      </c>
      <c r="AE229" s="25" t="s">
        <v>824</v>
      </c>
    </row>
    <row r="230" spans="20:31" ht="14.4">
      <c r="T230" t="s">
        <v>895</v>
      </c>
      <c r="U230" s="25" t="s">
        <v>816</v>
      </c>
      <c r="V230" t="s">
        <v>896</v>
      </c>
      <c r="W230" s="25" t="str">
        <f t="shared" si="22"/>
        <v>Aluminium ValanceFaceAcmeda 12v 6nm Motor</v>
      </c>
      <c r="X230" s="25">
        <v>6</v>
      </c>
      <c r="Y230" s="25" t="s">
        <v>824</v>
      </c>
      <c r="Z230" s="25">
        <v>0</v>
      </c>
      <c r="AA230" s="25" t="s">
        <v>824</v>
      </c>
      <c r="AB230" s="25" t="s">
        <v>818</v>
      </c>
      <c r="AC230" s="25" t="s">
        <v>821</v>
      </c>
      <c r="AD230" s="25" t="s">
        <v>821</v>
      </c>
      <c r="AE230" s="25" t="s">
        <v>824</v>
      </c>
    </row>
    <row r="231" spans="20:31" ht="14.4">
      <c r="T231" t="s">
        <v>895</v>
      </c>
      <c r="U231" s="25" t="s">
        <v>816</v>
      </c>
      <c r="V231" t="s">
        <v>855</v>
      </c>
      <c r="W231" s="25" t="str">
        <f t="shared" si="22"/>
        <v>Aluminium ValanceFace0.7nm 12v Acmeda Motor</v>
      </c>
      <c r="X231" s="25">
        <v>6</v>
      </c>
      <c r="Y231" s="25" t="s">
        <v>824</v>
      </c>
      <c r="Z231" s="25">
        <v>0</v>
      </c>
      <c r="AA231" s="25" t="s">
        <v>824</v>
      </c>
      <c r="AB231" s="25" t="s">
        <v>818</v>
      </c>
      <c r="AC231" s="25" t="s">
        <v>821</v>
      </c>
      <c r="AD231" s="25" t="s">
        <v>821</v>
      </c>
      <c r="AE231" s="25" t="s">
        <v>824</v>
      </c>
    </row>
    <row r="232" spans="20:31" ht="14.4">
      <c r="T232" t="s">
        <v>895</v>
      </c>
      <c r="U232" s="25" t="s">
        <v>816</v>
      </c>
      <c r="V232" s="25" t="s">
        <v>849</v>
      </c>
      <c r="W232" s="25" t="str">
        <f t="shared" si="22"/>
        <v>Aluminium ValanceFace1.1nm 12v Acmeda DCRF Motor with External Battery</v>
      </c>
      <c r="X232" s="25">
        <v>6</v>
      </c>
      <c r="Y232" s="25" t="s">
        <v>824</v>
      </c>
      <c r="Z232" s="25">
        <v>0</v>
      </c>
      <c r="AA232" s="25" t="s">
        <v>824</v>
      </c>
      <c r="AB232" s="25" t="s">
        <v>818</v>
      </c>
      <c r="AC232" s="25" t="s">
        <v>821</v>
      </c>
      <c r="AD232" s="25" t="s">
        <v>821</v>
      </c>
      <c r="AE232" s="25" t="s">
        <v>824</v>
      </c>
    </row>
    <row r="233" spans="20:31" ht="14.4">
      <c r="T233" t="s">
        <v>895</v>
      </c>
      <c r="U233" s="25" t="s">
        <v>816</v>
      </c>
      <c r="V233" s="25" t="s">
        <v>817</v>
      </c>
      <c r="W233" s="25" t="str">
        <f t="shared" si="22"/>
        <v>Aluminium ValanceFace1.1nm 12v Acmeda DCRF Motor</v>
      </c>
      <c r="X233" s="25">
        <v>6</v>
      </c>
      <c r="Y233" s="25" t="s">
        <v>824</v>
      </c>
      <c r="Z233" s="25">
        <v>0</v>
      </c>
      <c r="AA233" s="25" t="s">
        <v>824</v>
      </c>
      <c r="AB233" s="25" t="s">
        <v>818</v>
      </c>
      <c r="AC233" s="25" t="s">
        <v>821</v>
      </c>
      <c r="AD233" s="25" t="s">
        <v>821</v>
      </c>
      <c r="AE233" s="25" t="s">
        <v>824</v>
      </c>
    </row>
    <row r="234" spans="20:31" ht="14.4">
      <c r="T234" t="s">
        <v>895</v>
      </c>
      <c r="U234" s="25" t="s">
        <v>816</v>
      </c>
      <c r="V234" s="25" t="s">
        <v>868</v>
      </c>
      <c r="W234" s="25" t="str">
        <f t="shared" si="22"/>
        <v>Aluminium ValanceFace2nm 12v Acmeda DCRF Motor</v>
      </c>
      <c r="X234" s="25">
        <v>6</v>
      </c>
      <c r="Y234" s="25" t="s">
        <v>824</v>
      </c>
      <c r="Z234" s="25">
        <v>0</v>
      </c>
      <c r="AA234" s="25" t="s">
        <v>824</v>
      </c>
      <c r="AB234" s="25" t="s">
        <v>818</v>
      </c>
      <c r="AC234" s="25" t="s">
        <v>821</v>
      </c>
      <c r="AD234" s="25" t="s">
        <v>821</v>
      </c>
      <c r="AE234" s="25" t="s">
        <v>824</v>
      </c>
    </row>
    <row r="235" spans="20:31" ht="14.4">
      <c r="T235" t="s">
        <v>895</v>
      </c>
      <c r="U235" s="25" t="s">
        <v>816</v>
      </c>
      <c r="V235" t="s">
        <v>973</v>
      </c>
      <c r="W235" s="25" t="str">
        <f t="shared" si="22"/>
        <v>Aluminium ValanceFaceSomfy Remote Sonesse Motor</v>
      </c>
      <c r="X235" s="25">
        <v>6</v>
      </c>
      <c r="Y235" s="25" t="s">
        <v>824</v>
      </c>
      <c r="Z235" s="25">
        <v>0</v>
      </c>
      <c r="AA235" s="25" t="s">
        <v>824</v>
      </c>
      <c r="AB235" s="25" t="s">
        <v>818</v>
      </c>
      <c r="AC235" s="25" t="s">
        <v>821</v>
      </c>
      <c r="AD235" s="25" t="s">
        <v>821</v>
      </c>
      <c r="AE235" s="25" t="s">
        <v>824</v>
      </c>
    </row>
    <row r="236" spans="20:31" ht="14.4">
      <c r="T236" t="s">
        <v>895</v>
      </c>
      <c r="U236" s="25" t="s">
        <v>816</v>
      </c>
      <c r="V236" t="s">
        <v>637</v>
      </c>
      <c r="W236" s="25" t="str">
        <f t="shared" si="22"/>
        <v>Aluminium ValanceFaceSomfy 12v Remote Sonesse Motor</v>
      </c>
      <c r="X236" s="25">
        <v>0</v>
      </c>
      <c r="Y236" s="25" t="s">
        <v>824</v>
      </c>
      <c r="Z236" s="25">
        <v>0</v>
      </c>
      <c r="AA236" s="25" t="s">
        <v>824</v>
      </c>
      <c r="AB236" s="25" t="s">
        <v>821</v>
      </c>
      <c r="AC236" s="25" t="s">
        <v>821</v>
      </c>
      <c r="AD236" s="25" t="s">
        <v>818</v>
      </c>
      <c r="AE236" s="25" t="s">
        <v>824</v>
      </c>
    </row>
    <row r="237" spans="20:31" ht="14.4">
      <c r="T237" t="s">
        <v>895</v>
      </c>
      <c r="U237" s="25" t="s">
        <v>816</v>
      </c>
      <c r="V237" s="25" t="s">
        <v>974</v>
      </c>
      <c r="W237" s="25" t="str">
        <f t="shared" si="22"/>
        <v>Aluminium ValanceFaceSomfy CBUS Motor</v>
      </c>
      <c r="X237" s="25">
        <v>6</v>
      </c>
      <c r="Y237" s="25" t="s">
        <v>824</v>
      </c>
      <c r="Z237" s="25">
        <v>0</v>
      </c>
      <c r="AA237" s="25" t="s">
        <v>824</v>
      </c>
      <c r="AB237" s="25" t="s">
        <v>818</v>
      </c>
      <c r="AC237" s="25" t="s">
        <v>821</v>
      </c>
      <c r="AD237" s="25" t="s">
        <v>821</v>
      </c>
      <c r="AE237" s="25" t="s">
        <v>824</v>
      </c>
    </row>
    <row r="238" spans="20:31" ht="14.4">
      <c r="T238" t="s">
        <v>895</v>
      </c>
      <c r="U238" s="25" t="s">
        <v>816</v>
      </c>
      <c r="V238" t="s">
        <v>986</v>
      </c>
      <c r="W238" s="25" t="str">
        <f t="shared" si="22"/>
        <v>Aluminium ValanceFaceHD Somfy Remote Sonesse Motor</v>
      </c>
      <c r="X238" s="25">
        <v>6</v>
      </c>
      <c r="Y238" s="25" t="s">
        <v>824</v>
      </c>
      <c r="Z238" s="25">
        <v>0</v>
      </c>
      <c r="AA238" s="25" t="s">
        <v>824</v>
      </c>
      <c r="AB238" s="25" t="s">
        <v>818</v>
      </c>
      <c r="AC238" s="25" t="s">
        <v>821</v>
      </c>
      <c r="AD238" s="25" t="s">
        <v>821</v>
      </c>
      <c r="AE238" s="25" t="s">
        <v>824</v>
      </c>
    </row>
    <row r="239" spans="20:31" ht="14.4">
      <c r="T239" t="s">
        <v>895</v>
      </c>
      <c r="U239" s="25" t="s">
        <v>816</v>
      </c>
      <c r="V239" t="s">
        <v>989</v>
      </c>
      <c r="W239" s="25" t="str">
        <f t="shared" si="22"/>
        <v>Aluminium ValanceFaceHD Somfy 12v Remote Sonesse Motor</v>
      </c>
      <c r="X239" s="25">
        <v>0</v>
      </c>
      <c r="Y239" s="25" t="s">
        <v>824</v>
      </c>
      <c r="Z239" s="25">
        <v>0</v>
      </c>
      <c r="AA239" s="25" t="s">
        <v>824</v>
      </c>
      <c r="AB239" s="25" t="s">
        <v>821</v>
      </c>
      <c r="AC239" s="25" t="s">
        <v>821</v>
      </c>
      <c r="AD239" s="25" t="s">
        <v>818</v>
      </c>
      <c r="AE239" s="25" t="s">
        <v>824</v>
      </c>
    </row>
    <row r="240" spans="20:31" ht="14.4">
      <c r="T240" t="s">
        <v>895</v>
      </c>
      <c r="U240" s="25" t="s">
        <v>816</v>
      </c>
      <c r="V240" s="25" t="s">
        <v>992</v>
      </c>
      <c r="W240" s="25" t="str">
        <f t="shared" si="22"/>
        <v>Aluminium ValanceFaceHD Somfy CBUS Motor</v>
      </c>
      <c r="X240" s="25">
        <v>6</v>
      </c>
      <c r="Y240" s="25" t="s">
        <v>824</v>
      </c>
      <c r="Z240" s="25">
        <v>0</v>
      </c>
      <c r="AA240" s="25" t="s">
        <v>824</v>
      </c>
      <c r="AB240" s="25" t="s">
        <v>818</v>
      </c>
      <c r="AC240" s="25" t="s">
        <v>821</v>
      </c>
      <c r="AD240" s="25" t="s">
        <v>821</v>
      </c>
      <c r="AE240" s="25" t="s">
        <v>824</v>
      </c>
    </row>
    <row r="241" spans="20:31" ht="14.4">
      <c r="T241" t="s">
        <v>895</v>
      </c>
      <c r="U241" s="25" t="s">
        <v>816</v>
      </c>
      <c r="V241" s="25" t="s">
        <v>625</v>
      </c>
      <c r="W241" s="25" t="str">
        <f t="shared" si="22"/>
        <v>Aluminium ValanceFaceAcmeda E6 Motor</v>
      </c>
      <c r="X241" s="25">
        <v>6</v>
      </c>
      <c r="Y241" s="25" t="s">
        <v>824</v>
      </c>
      <c r="Z241" s="25">
        <v>0</v>
      </c>
      <c r="AA241" s="25" t="s">
        <v>824</v>
      </c>
      <c r="AB241" s="25" t="s">
        <v>818</v>
      </c>
      <c r="AC241" s="25" t="s">
        <v>821</v>
      </c>
      <c r="AD241" s="25" t="s">
        <v>821</v>
      </c>
      <c r="AE241" s="25" t="s">
        <v>824</v>
      </c>
    </row>
    <row r="242" spans="20:31" ht="14.4">
      <c r="T242" t="s">
        <v>895</v>
      </c>
      <c r="U242" s="25" t="s">
        <v>816</v>
      </c>
      <c r="V242" s="25" t="s">
        <v>626</v>
      </c>
      <c r="W242" s="25" t="str">
        <f t="shared" si="22"/>
        <v>Aluminium ValanceFaceAcmeda M6 Motor</v>
      </c>
      <c r="X242" s="25">
        <v>6</v>
      </c>
      <c r="Y242" s="25" t="s">
        <v>824</v>
      </c>
      <c r="Z242" s="25">
        <v>0</v>
      </c>
      <c r="AA242" s="25" t="s">
        <v>824</v>
      </c>
      <c r="AB242" s="25" t="s">
        <v>818</v>
      </c>
      <c r="AC242" s="25" t="s">
        <v>821</v>
      </c>
      <c r="AD242" s="25" t="s">
        <v>821</v>
      </c>
      <c r="AE242" s="25" t="s">
        <v>824</v>
      </c>
    </row>
    <row r="243" spans="20:31" ht="14.4">
      <c r="T243" t="s">
        <v>895</v>
      </c>
      <c r="U243" s="25" t="s">
        <v>816</v>
      </c>
      <c r="V243" s="25" t="s">
        <v>1002</v>
      </c>
      <c r="W243" s="25" t="str">
        <f t="shared" si="22"/>
        <v>Aluminium ValanceFaceUniline Remote Motor</v>
      </c>
      <c r="X243" s="25">
        <v>6</v>
      </c>
      <c r="Y243" s="25" t="s">
        <v>824</v>
      </c>
      <c r="Z243" s="25">
        <v>0</v>
      </c>
      <c r="AA243" s="25" t="s">
        <v>824</v>
      </c>
      <c r="AB243" s="25" t="s">
        <v>818</v>
      </c>
      <c r="AC243" s="25" t="s">
        <v>821</v>
      </c>
      <c r="AD243" s="25" t="s">
        <v>821</v>
      </c>
      <c r="AE243" s="25" t="s">
        <v>824</v>
      </c>
    </row>
    <row r="244" spans="20:31" ht="14.4">
      <c r="T244" t="s">
        <v>895</v>
      </c>
      <c r="U244" s="25" t="s">
        <v>816</v>
      </c>
      <c r="V244" s="25" t="s">
        <v>1005</v>
      </c>
      <c r="W244" s="25" t="str">
        <f t="shared" si="22"/>
        <v>Aluminium ValanceFaceUniline Cbus Motor</v>
      </c>
      <c r="X244" s="25">
        <v>6</v>
      </c>
      <c r="Y244" s="25" t="s">
        <v>824</v>
      </c>
      <c r="Z244" s="25">
        <v>0</v>
      </c>
      <c r="AA244" s="25" t="s">
        <v>824</v>
      </c>
      <c r="AB244" s="25" t="s">
        <v>818</v>
      </c>
      <c r="AC244" s="25" t="s">
        <v>821</v>
      </c>
      <c r="AD244" s="25" t="s">
        <v>821</v>
      </c>
      <c r="AE244" s="25" t="s">
        <v>824</v>
      </c>
    </row>
    <row r="245" spans="20:31" ht="14.4">
      <c r="T245" t="s">
        <v>895</v>
      </c>
      <c r="U245" s="25" t="s">
        <v>816</v>
      </c>
      <c r="V245" s="25" t="s">
        <v>981</v>
      </c>
      <c r="W245" s="25" t="str">
        <f t="shared" si="22"/>
        <v>Aluminium ValanceFaceNice Remote Motor</v>
      </c>
      <c r="X245" s="25">
        <v>6</v>
      </c>
      <c r="Y245" s="25" t="s">
        <v>824</v>
      </c>
      <c r="Z245" s="25">
        <v>0</v>
      </c>
      <c r="AA245" s="25" t="s">
        <v>824</v>
      </c>
      <c r="AB245" s="25" t="s">
        <v>818</v>
      </c>
      <c r="AC245" s="25" t="s">
        <v>821</v>
      </c>
      <c r="AD245" s="25" t="s">
        <v>821</v>
      </c>
      <c r="AE245" s="25" t="s">
        <v>824</v>
      </c>
    </row>
    <row r="246" spans="20:31" ht="14.4">
      <c r="T246" t="s">
        <v>895</v>
      </c>
      <c r="U246" s="25" t="s">
        <v>816</v>
      </c>
      <c r="V246" s="25" t="s">
        <v>976</v>
      </c>
      <c r="W246" s="25" t="str">
        <f t="shared" si="22"/>
        <v>Aluminium ValanceFaceNice CBus Motor</v>
      </c>
      <c r="X246" s="25">
        <v>6</v>
      </c>
      <c r="Y246" s="25" t="s">
        <v>824</v>
      </c>
      <c r="Z246" s="25">
        <v>0</v>
      </c>
      <c r="AA246" s="25" t="s">
        <v>824</v>
      </c>
      <c r="AB246" s="25" t="s">
        <v>818</v>
      </c>
      <c r="AC246" s="25" t="s">
        <v>821</v>
      </c>
      <c r="AD246" s="25" t="s">
        <v>821</v>
      </c>
      <c r="AE246" s="25" t="s">
        <v>824</v>
      </c>
    </row>
    <row r="247" spans="20:31" ht="14.4">
      <c r="T247" t="s">
        <v>895</v>
      </c>
      <c r="U247" s="25" t="s">
        <v>816</v>
      </c>
      <c r="V247" t="s">
        <v>1006</v>
      </c>
      <c r="W247" s="25" t="str">
        <f t="shared" si="22"/>
        <v>Aluminium ValanceFaceSunboss Chain Winder 38mm Tube</v>
      </c>
      <c r="X247" s="25">
        <v>6</v>
      </c>
      <c r="Y247" s="25" t="s">
        <v>824</v>
      </c>
      <c r="Z247" s="25">
        <v>0</v>
      </c>
      <c r="AA247" s="25" t="s">
        <v>824</v>
      </c>
      <c r="AB247" s="25" t="s">
        <v>818</v>
      </c>
      <c r="AC247" s="25" t="s">
        <v>821</v>
      </c>
      <c r="AD247" s="25" t="s">
        <v>821</v>
      </c>
      <c r="AE247" s="25" t="s">
        <v>824</v>
      </c>
    </row>
    <row r="248" spans="20:31" ht="14.4">
      <c r="T248" t="s">
        <v>895</v>
      </c>
      <c r="U248" s="25" t="s">
        <v>816</v>
      </c>
      <c r="V248" t="s">
        <v>1017</v>
      </c>
      <c r="W248" s="25" t="str">
        <f t="shared" si="22"/>
        <v>Aluminium ValanceFaceSunboss Chain Winder 43mm Tube</v>
      </c>
      <c r="X248" s="25">
        <v>6</v>
      </c>
      <c r="Y248" s="25" t="s">
        <v>824</v>
      </c>
      <c r="Z248" s="25">
        <v>0</v>
      </c>
      <c r="AA248" s="25" t="s">
        <v>824</v>
      </c>
      <c r="AB248" s="25" t="s">
        <v>818</v>
      </c>
      <c r="AC248" s="25" t="s">
        <v>821</v>
      </c>
      <c r="AD248" s="25" t="s">
        <v>821</v>
      </c>
      <c r="AE248" s="25" t="s">
        <v>824</v>
      </c>
    </row>
    <row r="249" spans="20:31" ht="14.4">
      <c r="T249" t="s">
        <v>895</v>
      </c>
      <c r="U249" s="25" t="s">
        <v>816</v>
      </c>
      <c r="V249" s="25" t="s">
        <v>1012</v>
      </c>
      <c r="W249" s="25" t="str">
        <f t="shared" si="22"/>
        <v>Aluminium ValanceFaceTBS Remote Motor</v>
      </c>
      <c r="X249" s="25">
        <v>6</v>
      </c>
      <c r="Y249" s="25" t="s">
        <v>824</v>
      </c>
      <c r="Z249" s="25">
        <v>0</v>
      </c>
      <c r="AA249" s="25" t="s">
        <v>824</v>
      </c>
      <c r="AB249" s="25" t="s">
        <v>818</v>
      </c>
      <c r="AC249" s="25" t="s">
        <v>821</v>
      </c>
      <c r="AD249" s="25" t="s">
        <v>821</v>
      </c>
      <c r="AE249" s="25" t="s">
        <v>824</v>
      </c>
    </row>
    <row r="250" spans="20:31" ht="14.4">
      <c r="T250" t="s">
        <v>895</v>
      </c>
      <c r="U250" s="25" t="s">
        <v>816</v>
      </c>
      <c r="V250" t="s">
        <v>1009</v>
      </c>
      <c r="W250" s="25" t="str">
        <f t="shared" si="22"/>
        <v>Aluminium ValanceFaceTBS Cbus Motor</v>
      </c>
      <c r="X250" s="25">
        <v>6</v>
      </c>
      <c r="Y250" s="25" t="s">
        <v>824</v>
      </c>
      <c r="Z250" s="25">
        <v>0</v>
      </c>
      <c r="AA250" s="25" t="s">
        <v>824</v>
      </c>
      <c r="AB250" s="25" t="s">
        <v>818</v>
      </c>
      <c r="AC250" s="25" t="s">
        <v>821</v>
      </c>
      <c r="AD250" s="25" t="s">
        <v>821</v>
      </c>
      <c r="AE250" s="25" t="s">
        <v>824</v>
      </c>
    </row>
    <row r="251" spans="20:31" ht="14.4">
      <c r="T251" t="s">
        <v>895</v>
      </c>
      <c r="U251" s="25" t="s">
        <v>816</v>
      </c>
      <c r="V251" t="s">
        <v>927</v>
      </c>
      <c r="W251" s="25" t="str">
        <f t="shared" si="22"/>
        <v>Aluminium ValanceFaceAcmeda External Motor</v>
      </c>
      <c r="X251" s="25">
        <v>6</v>
      </c>
      <c r="Y251" s="25" t="s">
        <v>824</v>
      </c>
      <c r="Z251" s="25">
        <v>0</v>
      </c>
      <c r="AA251" s="25" t="s">
        <v>824</v>
      </c>
      <c r="AB251" s="25" t="s">
        <v>818</v>
      </c>
      <c r="AC251" s="25" t="s">
        <v>821</v>
      </c>
      <c r="AD251" s="25" t="s">
        <v>821</v>
      </c>
      <c r="AE251" s="25" t="s">
        <v>824</v>
      </c>
    </row>
    <row r="252" spans="20:31" ht="14.4">
      <c r="T252" t="s">
        <v>895</v>
      </c>
      <c r="U252" s="25" t="s">
        <v>816</v>
      </c>
      <c r="V252" t="s">
        <v>918</v>
      </c>
      <c r="W252" s="25" t="str">
        <f t="shared" si="22"/>
        <v>Aluminium ValanceFaceAcmeda External 12v Motor</v>
      </c>
      <c r="X252" s="25">
        <v>0</v>
      </c>
      <c r="Y252" s="25" t="s">
        <v>824</v>
      </c>
      <c r="Z252" s="25">
        <v>0</v>
      </c>
      <c r="AA252" s="25" t="s">
        <v>824</v>
      </c>
      <c r="AB252" s="25" t="s">
        <v>821</v>
      </c>
      <c r="AC252" s="25" t="s">
        <v>821</v>
      </c>
      <c r="AD252" s="25" t="s">
        <v>818</v>
      </c>
      <c r="AE252" s="25" t="s">
        <v>824</v>
      </c>
    </row>
    <row r="253" spans="20:31" ht="14.4">
      <c r="T253" t="s">
        <v>895</v>
      </c>
      <c r="U253" s="25" t="s">
        <v>816</v>
      </c>
      <c r="V253" t="s">
        <v>979</v>
      </c>
      <c r="W253" s="25" t="str">
        <f t="shared" si="22"/>
        <v>Aluminium ValanceFaceSomfy External CBUS Motor</v>
      </c>
      <c r="X253" s="25">
        <v>0</v>
      </c>
      <c r="Y253" s="25" t="s">
        <v>824</v>
      </c>
      <c r="Z253" s="25">
        <v>0</v>
      </c>
      <c r="AA253" s="25" t="s">
        <v>824</v>
      </c>
      <c r="AB253" s="25" t="s">
        <v>821</v>
      </c>
      <c r="AC253" s="25" t="s">
        <v>821</v>
      </c>
      <c r="AD253" s="25" t="s">
        <v>818</v>
      </c>
      <c r="AE253" s="25" t="s">
        <v>824</v>
      </c>
    </row>
    <row r="254" spans="20:31" ht="14.4">
      <c r="T254" t="s">
        <v>895</v>
      </c>
      <c r="U254" s="25" t="s">
        <v>816</v>
      </c>
      <c r="V254" t="s">
        <v>983</v>
      </c>
      <c r="W254" s="25" t="str">
        <f t="shared" si="22"/>
        <v>Aluminium ValanceFaceSomfy External Remote Motor</v>
      </c>
      <c r="X254" s="25">
        <v>0</v>
      </c>
      <c r="Y254" s="25" t="s">
        <v>824</v>
      </c>
      <c r="Z254" s="25">
        <v>0</v>
      </c>
      <c r="AA254" s="25" t="s">
        <v>824</v>
      </c>
      <c r="AB254" s="25" t="s">
        <v>821</v>
      </c>
      <c r="AC254" s="25" t="s">
        <v>821</v>
      </c>
      <c r="AD254" s="25" t="s">
        <v>818</v>
      </c>
      <c r="AE254" s="25" t="s">
        <v>824</v>
      </c>
    </row>
    <row r="255" spans="20:31" ht="14.4">
      <c r="T255" t="s">
        <v>895</v>
      </c>
      <c r="U255" s="25" t="s">
        <v>816</v>
      </c>
      <c r="V255" t="s">
        <v>995</v>
      </c>
      <c r="W255" s="25" t="str">
        <f t="shared" si="22"/>
        <v>Aluminium ValanceFaceHD Somfy External CBUS Motor</v>
      </c>
      <c r="X255" s="25">
        <v>0</v>
      </c>
      <c r="Y255" s="25" t="s">
        <v>824</v>
      </c>
      <c r="Z255" s="25">
        <v>0</v>
      </c>
      <c r="AA255" s="25" t="s">
        <v>824</v>
      </c>
      <c r="AB255" s="25" t="s">
        <v>821</v>
      </c>
      <c r="AC255" s="25" t="s">
        <v>821</v>
      </c>
      <c r="AD255" s="25" t="s">
        <v>818</v>
      </c>
      <c r="AE255" s="25" t="s">
        <v>824</v>
      </c>
    </row>
    <row r="256" spans="20:31" ht="14.4">
      <c r="T256" t="s">
        <v>895</v>
      </c>
      <c r="U256" s="25" t="s">
        <v>816</v>
      </c>
      <c r="V256" t="s">
        <v>999</v>
      </c>
      <c r="W256" s="25" t="str">
        <f t="shared" si="22"/>
        <v>Aluminium ValanceFaceHD Somfy External Remote Motor</v>
      </c>
      <c r="X256" s="25">
        <v>0</v>
      </c>
      <c r="Y256" s="25" t="s">
        <v>824</v>
      </c>
      <c r="Z256" s="25">
        <v>0</v>
      </c>
      <c r="AA256" s="25" t="s">
        <v>824</v>
      </c>
      <c r="AB256" s="25" t="s">
        <v>821</v>
      </c>
      <c r="AC256" s="25" t="s">
        <v>821</v>
      </c>
      <c r="AD256" s="25" t="s">
        <v>818</v>
      </c>
      <c r="AE256" s="25" t="s">
        <v>824</v>
      </c>
    </row>
    <row r="257" spans="20:31" ht="14.4">
      <c r="T257" t="s">
        <v>895</v>
      </c>
      <c r="U257" s="25" t="s">
        <v>854</v>
      </c>
      <c r="V257" s="25" t="s">
        <v>823</v>
      </c>
      <c r="W257" s="25" t="str">
        <f t="shared" si="22"/>
        <v>Aluminium ValanceTop FixChain Winder</v>
      </c>
      <c r="X257" s="25">
        <v>6</v>
      </c>
      <c r="Y257" s="25" t="s">
        <v>824</v>
      </c>
      <c r="Z257" s="25">
        <v>0</v>
      </c>
      <c r="AA257" s="25" t="s">
        <v>824</v>
      </c>
      <c r="AB257" s="25" t="s">
        <v>818</v>
      </c>
      <c r="AC257" s="25" t="s">
        <v>821</v>
      </c>
      <c r="AD257" s="25" t="s">
        <v>821</v>
      </c>
      <c r="AE257" s="25" t="s">
        <v>824</v>
      </c>
    </row>
    <row r="258" spans="20:31" ht="14.4">
      <c r="T258" t="s">
        <v>895</v>
      </c>
      <c r="U258" s="25" t="s">
        <v>854</v>
      </c>
      <c r="V258" s="25" t="s">
        <v>841</v>
      </c>
      <c r="W258" s="25" t="str">
        <f t="shared" si="22"/>
        <v>Aluminium ValanceTop FixHD Chain Winder</v>
      </c>
      <c r="X258" s="25">
        <v>6</v>
      </c>
      <c r="Y258" s="25" t="s">
        <v>824</v>
      </c>
      <c r="Z258" s="25">
        <v>0</v>
      </c>
      <c r="AA258" s="25" t="s">
        <v>824</v>
      </c>
      <c r="AB258" s="25" t="s">
        <v>818</v>
      </c>
      <c r="AC258" s="25" t="s">
        <v>821</v>
      </c>
      <c r="AD258" s="25" t="s">
        <v>821</v>
      </c>
      <c r="AE258" s="25" t="s">
        <v>824</v>
      </c>
    </row>
    <row r="259" spans="20:31" ht="14.4">
      <c r="T259" t="s">
        <v>895</v>
      </c>
      <c r="U259" s="25" t="s">
        <v>854</v>
      </c>
      <c r="V259" s="25" t="s">
        <v>858</v>
      </c>
      <c r="W259" s="25" t="str">
        <f t="shared" si="23" ref="W259:W322">CONCATENATE(T259,U259,V259)</f>
        <v>Aluminium ValanceTop FixChain Winder 60mm</v>
      </c>
      <c r="X259" s="25">
        <v>6</v>
      </c>
      <c r="Y259" s="25" t="s">
        <v>824</v>
      </c>
      <c r="Z259" s="25">
        <v>0</v>
      </c>
      <c r="AA259" s="25" t="s">
        <v>824</v>
      </c>
      <c r="AB259" s="25" t="s">
        <v>818</v>
      </c>
      <c r="AC259" s="25" t="s">
        <v>821</v>
      </c>
      <c r="AD259" s="25" t="s">
        <v>821</v>
      </c>
      <c r="AE259" s="25" t="s">
        <v>824</v>
      </c>
    </row>
    <row r="260" spans="20:31" ht="14.4">
      <c r="T260" t="s">
        <v>895</v>
      </c>
      <c r="U260" s="25" t="s">
        <v>854</v>
      </c>
      <c r="V260" s="25" t="s">
        <v>865</v>
      </c>
      <c r="W260" s="25" t="str">
        <f t="shared" si="23"/>
        <v>Aluminium ValanceTop FixChain Winder Fixed Guide</v>
      </c>
      <c r="X260" s="25">
        <v>6</v>
      </c>
      <c r="Y260" s="25" t="s">
        <v>824</v>
      </c>
      <c r="Z260" s="25">
        <v>0</v>
      </c>
      <c r="AA260" s="25" t="s">
        <v>824</v>
      </c>
      <c r="AB260" s="25" t="s">
        <v>818</v>
      </c>
      <c r="AC260" s="25" t="s">
        <v>821</v>
      </c>
      <c r="AD260" s="25" t="s">
        <v>821</v>
      </c>
      <c r="AE260" s="25" t="s">
        <v>824</v>
      </c>
    </row>
    <row r="261" spans="20:31" ht="14.4">
      <c r="T261" t="s">
        <v>895</v>
      </c>
      <c r="U261" s="25" t="s">
        <v>854</v>
      </c>
      <c r="V261" s="25" t="s">
        <v>181</v>
      </c>
      <c r="W261" s="25" t="str">
        <f t="shared" si="23"/>
        <v>Aluminium ValanceTop FixLinked</v>
      </c>
      <c r="X261" s="25">
        <v>6</v>
      </c>
      <c r="Y261" s="25" t="s">
        <v>824</v>
      </c>
      <c r="Z261" s="25">
        <v>0</v>
      </c>
      <c r="AA261" s="25" t="s">
        <v>824</v>
      </c>
      <c r="AB261" s="25" t="s">
        <v>818</v>
      </c>
      <c r="AC261" s="25" t="s">
        <v>821</v>
      </c>
      <c r="AD261" s="25" t="s">
        <v>821</v>
      </c>
      <c r="AE261" s="25" t="s">
        <v>824</v>
      </c>
    </row>
    <row r="262" spans="20:31" ht="14.4">
      <c r="T262" t="s">
        <v>895</v>
      </c>
      <c r="U262" s="25" t="s">
        <v>854</v>
      </c>
      <c r="V262" s="25" t="s">
        <v>898</v>
      </c>
      <c r="W262" s="25" t="str">
        <f t="shared" si="23"/>
        <v>Aluminium ValanceTop FixLinked - HD</v>
      </c>
      <c r="X262" s="25">
        <v>6</v>
      </c>
      <c r="Y262" s="25" t="s">
        <v>824</v>
      </c>
      <c r="Z262" s="25">
        <v>0</v>
      </c>
      <c r="AA262" s="25" t="s">
        <v>824</v>
      </c>
      <c r="AB262" s="25" t="s">
        <v>818</v>
      </c>
      <c r="AC262" s="25" t="s">
        <v>821</v>
      </c>
      <c r="AD262" s="25" t="s">
        <v>821</v>
      </c>
      <c r="AE262" s="25" t="s">
        <v>824</v>
      </c>
    </row>
    <row r="263" spans="20:31" ht="14.4">
      <c r="T263" t="s">
        <v>895</v>
      </c>
      <c r="U263" s="25" t="s">
        <v>854</v>
      </c>
      <c r="V263" s="25" t="s">
        <v>910</v>
      </c>
      <c r="W263" s="25" t="str">
        <f t="shared" si="23"/>
        <v>Aluminium ValanceTop FixStandard Spring</v>
      </c>
      <c r="X263" s="25">
        <v>6</v>
      </c>
      <c r="Y263" s="25" t="s">
        <v>824</v>
      </c>
      <c r="Z263" s="25">
        <v>0</v>
      </c>
      <c r="AA263" s="25" t="s">
        <v>824</v>
      </c>
      <c r="AB263" s="25" t="s">
        <v>818</v>
      </c>
      <c r="AC263" s="25" t="s">
        <v>821</v>
      </c>
      <c r="AD263" s="25" t="s">
        <v>821</v>
      </c>
      <c r="AE263" s="25" t="s">
        <v>824</v>
      </c>
    </row>
    <row r="264" spans="20:31" ht="14.4">
      <c r="T264" t="s">
        <v>895</v>
      </c>
      <c r="U264" s="25" t="s">
        <v>854</v>
      </c>
      <c r="V264" s="25" t="s">
        <v>920</v>
      </c>
      <c r="W264" s="25" t="str">
        <f t="shared" si="23"/>
        <v>Aluminium ValanceTop FixSmall Spring</v>
      </c>
      <c r="X264" s="25">
        <v>0</v>
      </c>
      <c r="Y264" s="25" t="s">
        <v>824</v>
      </c>
      <c r="Z264" s="25">
        <v>0</v>
      </c>
      <c r="AA264" s="25" t="s">
        <v>824</v>
      </c>
      <c r="AB264" s="25" t="s">
        <v>821</v>
      </c>
      <c r="AC264" s="25" t="s">
        <v>821</v>
      </c>
      <c r="AD264" s="25" t="s">
        <v>818</v>
      </c>
      <c r="AE264" s="25" t="s">
        <v>824</v>
      </c>
    </row>
    <row r="265" spans="20:31" ht="14.4">
      <c r="T265" t="s">
        <v>895</v>
      </c>
      <c r="U265" s="25" t="s">
        <v>854</v>
      </c>
      <c r="V265" s="25" t="s">
        <v>929</v>
      </c>
      <c r="W265" s="25" t="str">
        <f t="shared" si="23"/>
        <v>Aluminium ValanceTop FixUniline Spring (Old Style)</v>
      </c>
      <c r="X265" s="25">
        <v>6</v>
      </c>
      <c r="Y265" s="25" t="s">
        <v>824</v>
      </c>
      <c r="Z265" s="25">
        <v>0</v>
      </c>
      <c r="AA265" s="25" t="s">
        <v>824</v>
      </c>
      <c r="AB265" s="25" t="s">
        <v>818</v>
      </c>
      <c r="AC265" s="25" t="s">
        <v>821</v>
      </c>
      <c r="AD265" s="25" t="s">
        <v>821</v>
      </c>
      <c r="AE265" s="25" t="s">
        <v>824</v>
      </c>
    </row>
    <row r="266" spans="20:31" ht="14.4">
      <c r="T266" t="s">
        <v>895</v>
      </c>
      <c r="U266" s="25" t="s">
        <v>854</v>
      </c>
      <c r="V266" s="25" t="s">
        <v>935</v>
      </c>
      <c r="W266" s="25" t="str">
        <f t="shared" si="23"/>
        <v>Aluminium ValanceTop FixBecker Remote Motor</v>
      </c>
      <c r="X266" s="25">
        <v>6</v>
      </c>
      <c r="Y266" s="25" t="s">
        <v>824</v>
      </c>
      <c r="Z266" s="25">
        <v>0</v>
      </c>
      <c r="AA266" s="25" t="s">
        <v>824</v>
      </c>
      <c r="AB266" s="25" t="s">
        <v>818</v>
      </c>
      <c r="AC266" s="25" t="s">
        <v>821</v>
      </c>
      <c r="AD266" s="25" t="s">
        <v>821</v>
      </c>
      <c r="AE266" s="25" t="s">
        <v>824</v>
      </c>
    </row>
    <row r="267" spans="20:31" ht="14.4">
      <c r="T267" t="s">
        <v>895</v>
      </c>
      <c r="U267" s="25" t="s">
        <v>854</v>
      </c>
      <c r="V267" s="25" t="s">
        <v>939</v>
      </c>
      <c r="W267" s="25" t="str">
        <f t="shared" si="23"/>
        <v>Aluminium ValanceTop FixBecker CBUS Motor</v>
      </c>
      <c r="X267" s="25">
        <v>6</v>
      </c>
      <c r="Y267" s="25" t="s">
        <v>824</v>
      </c>
      <c r="Z267" s="25">
        <v>0</v>
      </c>
      <c r="AA267" s="25" t="s">
        <v>824</v>
      </c>
      <c r="AB267" s="25" t="s">
        <v>818</v>
      </c>
      <c r="AC267" s="25" t="s">
        <v>821</v>
      </c>
      <c r="AD267" s="25" t="s">
        <v>821</v>
      </c>
      <c r="AE267" s="25" t="s">
        <v>824</v>
      </c>
    </row>
    <row r="268" spans="20:31" ht="14.4">
      <c r="T268" t="s">
        <v>895</v>
      </c>
      <c r="U268" s="25" t="s">
        <v>854</v>
      </c>
      <c r="V268" s="25" t="s">
        <v>946</v>
      </c>
      <c r="W268" s="25" t="str">
        <f t="shared" si="23"/>
        <v>Aluminium ValanceTop FixBecker External Remote Motor</v>
      </c>
      <c r="X268" s="25">
        <v>0</v>
      </c>
      <c r="Y268" s="25" t="s">
        <v>824</v>
      </c>
      <c r="Z268" s="25">
        <v>0</v>
      </c>
      <c r="AA268" s="25" t="s">
        <v>824</v>
      </c>
      <c r="AB268" s="25" t="s">
        <v>821</v>
      </c>
      <c r="AC268" s="25" t="s">
        <v>821</v>
      </c>
      <c r="AD268" s="25" t="s">
        <v>818</v>
      </c>
      <c r="AE268" s="25" t="s">
        <v>824</v>
      </c>
    </row>
    <row r="269" spans="20:31" ht="14.4">
      <c r="T269" t="s">
        <v>895</v>
      </c>
      <c r="U269" s="25" t="s">
        <v>854</v>
      </c>
      <c r="V269" s="25" t="s">
        <v>951</v>
      </c>
      <c r="W269" s="25" t="str">
        <f t="shared" si="23"/>
        <v>Aluminium ValanceTop FixBecker External CBUS Motor</v>
      </c>
      <c r="X269" s="25">
        <v>0</v>
      </c>
      <c r="Y269" s="25" t="s">
        <v>824</v>
      </c>
      <c r="Z269" s="25">
        <v>0</v>
      </c>
      <c r="AA269" s="25" t="s">
        <v>824</v>
      </c>
      <c r="AB269" s="25" t="s">
        <v>821</v>
      </c>
      <c r="AC269" s="25" t="s">
        <v>821</v>
      </c>
      <c r="AD269" s="25" t="s">
        <v>818</v>
      </c>
      <c r="AE269" s="25" t="s">
        <v>824</v>
      </c>
    </row>
    <row r="270" spans="20:31" ht="14.4">
      <c r="T270" t="s">
        <v>895</v>
      </c>
      <c r="U270" s="25" t="s">
        <v>854</v>
      </c>
      <c r="V270" s="25" t="s">
        <v>838</v>
      </c>
      <c r="W270" s="25" t="str">
        <f t="shared" si="23"/>
        <v>Aluminium ValanceTop Fix1.1nm 12v Acmeda Motor</v>
      </c>
      <c r="X270" s="25">
        <v>6</v>
      </c>
      <c r="Y270" s="25" t="s">
        <v>824</v>
      </c>
      <c r="Z270" s="25">
        <v>0</v>
      </c>
      <c r="AA270" s="25" t="s">
        <v>824</v>
      </c>
      <c r="AB270" s="25" t="s">
        <v>818</v>
      </c>
      <c r="AC270" s="25" t="s">
        <v>821</v>
      </c>
      <c r="AD270" s="25" t="s">
        <v>821</v>
      </c>
      <c r="AE270" s="25" t="s">
        <v>824</v>
      </c>
    </row>
    <row r="271" spans="20:31" ht="14.4">
      <c r="T271" t="s">
        <v>895</v>
      </c>
      <c r="U271" s="25" t="s">
        <v>854</v>
      </c>
      <c r="V271" t="s">
        <v>882</v>
      </c>
      <c r="W271" s="25" t="str">
        <f t="shared" si="23"/>
        <v>Aluminium ValanceTop Fix2nm 12v Acmeda Motor</v>
      </c>
      <c r="X271" s="25">
        <v>6</v>
      </c>
      <c r="Y271" s="25" t="s">
        <v>824</v>
      </c>
      <c r="Z271" s="25">
        <v>0</v>
      </c>
      <c r="AA271" s="25" t="s">
        <v>824</v>
      </c>
      <c r="AB271" s="25" t="s">
        <v>818</v>
      </c>
      <c r="AC271" s="25" t="s">
        <v>821</v>
      </c>
      <c r="AD271" s="25" t="s">
        <v>821</v>
      </c>
      <c r="AE271" s="25" t="s">
        <v>824</v>
      </c>
    </row>
    <row r="272" spans="20:31" ht="14.4">
      <c r="T272" t="s">
        <v>895</v>
      </c>
      <c r="U272" s="25" t="s">
        <v>854</v>
      </c>
      <c r="V272" t="s">
        <v>896</v>
      </c>
      <c r="W272" s="25" t="str">
        <f t="shared" si="23"/>
        <v>Aluminium ValanceTop FixAcmeda 12v 6nm Motor</v>
      </c>
      <c r="X272" s="25">
        <v>6</v>
      </c>
      <c r="Y272" s="25" t="s">
        <v>824</v>
      </c>
      <c r="Z272" s="25">
        <v>0</v>
      </c>
      <c r="AA272" s="25" t="s">
        <v>824</v>
      </c>
      <c r="AB272" s="25" t="s">
        <v>818</v>
      </c>
      <c r="AC272" s="25" t="s">
        <v>821</v>
      </c>
      <c r="AD272" s="25" t="s">
        <v>821</v>
      </c>
      <c r="AE272" s="25" t="s">
        <v>824</v>
      </c>
    </row>
    <row r="273" spans="20:31" ht="14.4">
      <c r="T273" t="s">
        <v>895</v>
      </c>
      <c r="U273" s="25" t="s">
        <v>854</v>
      </c>
      <c r="V273" t="s">
        <v>855</v>
      </c>
      <c r="W273" s="25" t="str">
        <f t="shared" si="23"/>
        <v>Aluminium ValanceTop Fix0.7nm 12v Acmeda Motor</v>
      </c>
      <c r="X273" s="25">
        <v>6</v>
      </c>
      <c r="Y273" s="25" t="s">
        <v>824</v>
      </c>
      <c r="Z273" s="25">
        <v>0</v>
      </c>
      <c r="AA273" s="25" t="s">
        <v>824</v>
      </c>
      <c r="AB273" s="25" t="s">
        <v>818</v>
      </c>
      <c r="AC273" s="25" t="s">
        <v>821</v>
      </c>
      <c r="AD273" s="25" t="s">
        <v>821</v>
      </c>
      <c r="AE273" s="25" t="s">
        <v>824</v>
      </c>
    </row>
    <row r="274" spans="20:31" ht="14.4">
      <c r="T274" t="s">
        <v>895</v>
      </c>
      <c r="U274" s="25" t="s">
        <v>854</v>
      </c>
      <c r="V274" s="25" t="s">
        <v>849</v>
      </c>
      <c r="W274" s="25" t="str">
        <f t="shared" si="23"/>
        <v>Aluminium ValanceTop Fix1.1nm 12v Acmeda DCRF Motor with External Battery</v>
      </c>
      <c r="X274" s="25">
        <v>6</v>
      </c>
      <c r="Y274" s="25" t="s">
        <v>824</v>
      </c>
      <c r="Z274" s="25">
        <v>0</v>
      </c>
      <c r="AA274" s="25" t="s">
        <v>824</v>
      </c>
      <c r="AB274" s="25" t="s">
        <v>818</v>
      </c>
      <c r="AC274" s="25" t="s">
        <v>821</v>
      </c>
      <c r="AD274" s="25" t="s">
        <v>821</v>
      </c>
      <c r="AE274" s="25" t="s">
        <v>824</v>
      </c>
    </row>
    <row r="275" spans="20:31" ht="14.4">
      <c r="T275" t="s">
        <v>895</v>
      </c>
      <c r="U275" s="25" t="s">
        <v>854</v>
      </c>
      <c r="V275" s="25" t="s">
        <v>817</v>
      </c>
      <c r="W275" s="25" t="str">
        <f t="shared" si="23"/>
        <v>Aluminium ValanceTop Fix1.1nm 12v Acmeda DCRF Motor</v>
      </c>
      <c r="X275" s="25">
        <v>6</v>
      </c>
      <c r="Y275" s="25" t="s">
        <v>824</v>
      </c>
      <c r="Z275" s="25">
        <v>0</v>
      </c>
      <c r="AA275" s="25" t="s">
        <v>824</v>
      </c>
      <c r="AB275" s="25" t="s">
        <v>818</v>
      </c>
      <c r="AC275" s="25" t="s">
        <v>821</v>
      </c>
      <c r="AD275" s="25" t="s">
        <v>821</v>
      </c>
      <c r="AE275" s="25" t="s">
        <v>824</v>
      </c>
    </row>
    <row r="276" spans="20:31" ht="14.4">
      <c r="T276" t="s">
        <v>895</v>
      </c>
      <c r="U276" s="25" t="s">
        <v>854</v>
      </c>
      <c r="V276" s="25" t="s">
        <v>868</v>
      </c>
      <c r="W276" s="25" t="str">
        <f t="shared" si="23"/>
        <v>Aluminium ValanceTop Fix2nm 12v Acmeda DCRF Motor</v>
      </c>
      <c r="X276" s="25">
        <v>6</v>
      </c>
      <c r="Y276" s="25" t="s">
        <v>824</v>
      </c>
      <c r="Z276" s="25">
        <v>0</v>
      </c>
      <c r="AA276" s="25" t="s">
        <v>824</v>
      </c>
      <c r="AB276" s="25" t="s">
        <v>818</v>
      </c>
      <c r="AC276" s="25" t="s">
        <v>821</v>
      </c>
      <c r="AD276" s="25" t="s">
        <v>821</v>
      </c>
      <c r="AE276" s="25" t="s">
        <v>824</v>
      </c>
    </row>
    <row r="277" spans="20:31" ht="14.4">
      <c r="T277" t="s">
        <v>895</v>
      </c>
      <c r="U277" s="25" t="s">
        <v>854</v>
      </c>
      <c r="V277" t="s">
        <v>973</v>
      </c>
      <c r="W277" s="25" t="str">
        <f t="shared" si="23"/>
        <v>Aluminium ValanceTop FixSomfy Remote Sonesse Motor</v>
      </c>
      <c r="X277" s="25">
        <v>6</v>
      </c>
      <c r="Y277" s="25" t="s">
        <v>824</v>
      </c>
      <c r="Z277" s="25">
        <v>0</v>
      </c>
      <c r="AA277" s="25" t="s">
        <v>824</v>
      </c>
      <c r="AB277" s="25" t="s">
        <v>818</v>
      </c>
      <c r="AC277" s="25" t="s">
        <v>821</v>
      </c>
      <c r="AD277" s="25" t="s">
        <v>821</v>
      </c>
      <c r="AE277" s="25" t="s">
        <v>824</v>
      </c>
    </row>
    <row r="278" spans="20:31" ht="14.4">
      <c r="T278" t="s">
        <v>895</v>
      </c>
      <c r="U278" s="25" t="s">
        <v>854</v>
      </c>
      <c r="V278" t="s">
        <v>637</v>
      </c>
      <c r="W278" s="25" t="str">
        <f t="shared" si="23"/>
        <v>Aluminium ValanceTop FixSomfy 12v Remote Sonesse Motor</v>
      </c>
      <c r="X278" s="25">
        <v>0</v>
      </c>
      <c r="Y278" s="25" t="s">
        <v>824</v>
      </c>
      <c r="Z278" s="25">
        <v>0</v>
      </c>
      <c r="AA278" s="25" t="s">
        <v>824</v>
      </c>
      <c r="AB278" s="25" t="s">
        <v>821</v>
      </c>
      <c r="AC278" s="25" t="s">
        <v>821</v>
      </c>
      <c r="AD278" s="25" t="s">
        <v>818</v>
      </c>
      <c r="AE278" s="25" t="s">
        <v>824</v>
      </c>
    </row>
    <row r="279" spans="20:31" ht="14.4">
      <c r="T279" t="s">
        <v>895</v>
      </c>
      <c r="U279" s="25" t="s">
        <v>854</v>
      </c>
      <c r="V279" s="25" t="s">
        <v>974</v>
      </c>
      <c r="W279" s="25" t="str">
        <f t="shared" si="23"/>
        <v>Aluminium ValanceTop FixSomfy CBUS Motor</v>
      </c>
      <c r="X279" s="25">
        <v>6</v>
      </c>
      <c r="Y279" s="25" t="s">
        <v>824</v>
      </c>
      <c r="Z279" s="25">
        <v>0</v>
      </c>
      <c r="AA279" s="25" t="s">
        <v>824</v>
      </c>
      <c r="AB279" s="25" t="s">
        <v>818</v>
      </c>
      <c r="AC279" s="25" t="s">
        <v>821</v>
      </c>
      <c r="AD279" s="25" t="s">
        <v>821</v>
      </c>
      <c r="AE279" s="25" t="s">
        <v>824</v>
      </c>
    </row>
    <row r="280" spans="20:31" ht="14.4">
      <c r="T280" t="s">
        <v>895</v>
      </c>
      <c r="U280" s="25" t="s">
        <v>854</v>
      </c>
      <c r="V280" t="s">
        <v>986</v>
      </c>
      <c r="W280" s="25" t="str">
        <f t="shared" si="23"/>
        <v>Aluminium ValanceTop FixHD Somfy Remote Sonesse Motor</v>
      </c>
      <c r="X280" s="25">
        <v>6</v>
      </c>
      <c r="Y280" s="25" t="s">
        <v>824</v>
      </c>
      <c r="Z280" s="25">
        <v>0</v>
      </c>
      <c r="AA280" s="25" t="s">
        <v>824</v>
      </c>
      <c r="AB280" s="25" t="s">
        <v>818</v>
      </c>
      <c r="AC280" s="25" t="s">
        <v>821</v>
      </c>
      <c r="AD280" s="25" t="s">
        <v>821</v>
      </c>
      <c r="AE280" s="25" t="s">
        <v>824</v>
      </c>
    </row>
    <row r="281" spans="20:31" ht="14.4">
      <c r="T281" t="s">
        <v>895</v>
      </c>
      <c r="U281" s="25" t="s">
        <v>854</v>
      </c>
      <c r="V281" t="s">
        <v>989</v>
      </c>
      <c r="W281" s="25" t="str">
        <f t="shared" si="23"/>
        <v>Aluminium ValanceTop FixHD Somfy 12v Remote Sonesse Motor</v>
      </c>
      <c r="X281" s="25">
        <v>0</v>
      </c>
      <c r="Y281" s="25" t="s">
        <v>824</v>
      </c>
      <c r="Z281" s="25">
        <v>0</v>
      </c>
      <c r="AA281" s="25" t="s">
        <v>824</v>
      </c>
      <c r="AB281" s="25" t="s">
        <v>821</v>
      </c>
      <c r="AC281" s="25" t="s">
        <v>821</v>
      </c>
      <c r="AD281" s="25" t="s">
        <v>818</v>
      </c>
      <c r="AE281" s="25" t="s">
        <v>824</v>
      </c>
    </row>
    <row r="282" spans="20:31" ht="14.4">
      <c r="T282" t="s">
        <v>895</v>
      </c>
      <c r="U282" s="25" t="s">
        <v>854</v>
      </c>
      <c r="V282" s="25" t="s">
        <v>992</v>
      </c>
      <c r="W282" s="25" t="str">
        <f t="shared" si="23"/>
        <v>Aluminium ValanceTop FixHD Somfy CBUS Motor</v>
      </c>
      <c r="X282" s="25">
        <v>6</v>
      </c>
      <c r="Y282" s="25" t="s">
        <v>824</v>
      </c>
      <c r="Z282" s="25">
        <v>0</v>
      </c>
      <c r="AA282" s="25" t="s">
        <v>824</v>
      </c>
      <c r="AB282" s="25" t="s">
        <v>818</v>
      </c>
      <c r="AC282" s="25" t="s">
        <v>821</v>
      </c>
      <c r="AD282" s="25" t="s">
        <v>821</v>
      </c>
      <c r="AE282" s="25" t="s">
        <v>824</v>
      </c>
    </row>
    <row r="283" spans="20:31" ht="14.4">
      <c r="T283" t="s">
        <v>895</v>
      </c>
      <c r="U283" s="25" t="s">
        <v>854</v>
      </c>
      <c r="V283" s="25" t="s">
        <v>625</v>
      </c>
      <c r="W283" s="25" t="str">
        <f t="shared" si="23"/>
        <v>Aluminium ValanceTop FixAcmeda E6 Motor</v>
      </c>
      <c r="X283" s="25">
        <v>6</v>
      </c>
      <c r="Y283" s="25" t="s">
        <v>824</v>
      </c>
      <c r="Z283" s="25">
        <v>0</v>
      </c>
      <c r="AA283" s="25" t="s">
        <v>824</v>
      </c>
      <c r="AB283" s="25" t="s">
        <v>818</v>
      </c>
      <c r="AC283" s="25" t="s">
        <v>821</v>
      </c>
      <c r="AD283" s="25" t="s">
        <v>821</v>
      </c>
      <c r="AE283" s="25" t="s">
        <v>824</v>
      </c>
    </row>
    <row r="284" spans="20:31" ht="14.4">
      <c r="T284" t="s">
        <v>895</v>
      </c>
      <c r="U284" s="25" t="s">
        <v>854</v>
      </c>
      <c r="V284" s="25" t="s">
        <v>626</v>
      </c>
      <c r="W284" s="25" t="str">
        <f t="shared" si="23"/>
        <v>Aluminium ValanceTop FixAcmeda M6 Motor</v>
      </c>
      <c r="X284" s="25">
        <v>6</v>
      </c>
      <c r="Y284" s="25" t="s">
        <v>824</v>
      </c>
      <c r="Z284" s="25">
        <v>0</v>
      </c>
      <c r="AA284" s="25" t="s">
        <v>824</v>
      </c>
      <c r="AB284" s="25" t="s">
        <v>818</v>
      </c>
      <c r="AC284" s="25" t="s">
        <v>821</v>
      </c>
      <c r="AD284" s="25" t="s">
        <v>821</v>
      </c>
      <c r="AE284" s="25" t="s">
        <v>824</v>
      </c>
    </row>
    <row r="285" spans="20:31" ht="14.4">
      <c r="T285" t="s">
        <v>895</v>
      </c>
      <c r="U285" s="25" t="s">
        <v>854</v>
      </c>
      <c r="V285" s="25" t="s">
        <v>1002</v>
      </c>
      <c r="W285" s="25" t="str">
        <f t="shared" si="23"/>
        <v>Aluminium ValanceTop FixUniline Remote Motor</v>
      </c>
      <c r="X285" s="25">
        <v>6</v>
      </c>
      <c r="Y285" s="25" t="s">
        <v>824</v>
      </c>
      <c r="Z285" s="25">
        <v>0</v>
      </c>
      <c r="AA285" s="25" t="s">
        <v>824</v>
      </c>
      <c r="AB285" s="25" t="s">
        <v>818</v>
      </c>
      <c r="AC285" s="25" t="s">
        <v>821</v>
      </c>
      <c r="AD285" s="25" t="s">
        <v>821</v>
      </c>
      <c r="AE285" s="25" t="s">
        <v>824</v>
      </c>
    </row>
    <row r="286" spans="20:31" ht="14.4">
      <c r="T286" t="s">
        <v>895</v>
      </c>
      <c r="U286" s="25" t="s">
        <v>854</v>
      </c>
      <c r="V286" s="25" t="s">
        <v>1005</v>
      </c>
      <c r="W286" s="25" t="str">
        <f t="shared" si="23"/>
        <v>Aluminium ValanceTop FixUniline Cbus Motor</v>
      </c>
      <c r="X286" s="25">
        <v>6</v>
      </c>
      <c r="Y286" s="25" t="s">
        <v>824</v>
      </c>
      <c r="Z286" s="25">
        <v>0</v>
      </c>
      <c r="AA286" s="25" t="s">
        <v>824</v>
      </c>
      <c r="AB286" s="25" t="s">
        <v>818</v>
      </c>
      <c r="AC286" s="25" t="s">
        <v>821</v>
      </c>
      <c r="AD286" s="25" t="s">
        <v>821</v>
      </c>
      <c r="AE286" s="25" t="s">
        <v>824</v>
      </c>
    </row>
    <row r="287" spans="20:31" ht="14.4">
      <c r="T287" t="s">
        <v>895</v>
      </c>
      <c r="U287" s="25" t="s">
        <v>854</v>
      </c>
      <c r="V287" s="25" t="s">
        <v>981</v>
      </c>
      <c r="W287" s="25" t="str">
        <f t="shared" si="23"/>
        <v>Aluminium ValanceTop FixNice Remote Motor</v>
      </c>
      <c r="X287" s="25">
        <v>6</v>
      </c>
      <c r="Y287" s="25" t="s">
        <v>824</v>
      </c>
      <c r="Z287" s="25">
        <v>0</v>
      </c>
      <c r="AA287" s="25" t="s">
        <v>824</v>
      </c>
      <c r="AB287" s="25" t="s">
        <v>818</v>
      </c>
      <c r="AC287" s="25" t="s">
        <v>821</v>
      </c>
      <c r="AD287" s="25" t="s">
        <v>821</v>
      </c>
      <c r="AE287" s="25" t="s">
        <v>824</v>
      </c>
    </row>
    <row r="288" spans="20:31" ht="14.4">
      <c r="T288" t="s">
        <v>895</v>
      </c>
      <c r="U288" s="25" t="s">
        <v>854</v>
      </c>
      <c r="V288" s="25" t="s">
        <v>976</v>
      </c>
      <c r="W288" s="25" t="str">
        <f t="shared" si="23"/>
        <v>Aluminium ValanceTop FixNice CBus Motor</v>
      </c>
      <c r="X288" s="25">
        <v>6</v>
      </c>
      <c r="Y288" s="25" t="s">
        <v>824</v>
      </c>
      <c r="Z288" s="25">
        <v>0</v>
      </c>
      <c r="AA288" s="25" t="s">
        <v>824</v>
      </c>
      <c r="AB288" s="25" t="s">
        <v>818</v>
      </c>
      <c r="AC288" s="25" t="s">
        <v>821</v>
      </c>
      <c r="AD288" s="25" t="s">
        <v>821</v>
      </c>
      <c r="AE288" s="25" t="s">
        <v>824</v>
      </c>
    </row>
    <row r="289" spans="20:31" ht="14.4">
      <c r="T289" t="s">
        <v>895</v>
      </c>
      <c r="U289" s="25" t="s">
        <v>854</v>
      </c>
      <c r="V289" t="s">
        <v>1006</v>
      </c>
      <c r="W289" s="25" t="str">
        <f t="shared" si="23"/>
        <v>Aluminium ValanceTop FixSunboss Chain Winder 38mm Tube</v>
      </c>
      <c r="X289" s="25">
        <v>6</v>
      </c>
      <c r="Y289" s="25" t="s">
        <v>824</v>
      </c>
      <c r="Z289" s="25">
        <v>0</v>
      </c>
      <c r="AA289" s="25" t="s">
        <v>824</v>
      </c>
      <c r="AB289" s="25" t="s">
        <v>818</v>
      </c>
      <c r="AC289" s="25" t="s">
        <v>821</v>
      </c>
      <c r="AD289" s="25" t="s">
        <v>821</v>
      </c>
      <c r="AE289" s="25" t="s">
        <v>824</v>
      </c>
    </row>
    <row r="290" spans="20:31" ht="14.4">
      <c r="T290" t="s">
        <v>895</v>
      </c>
      <c r="U290" s="25" t="s">
        <v>854</v>
      </c>
      <c r="V290" t="s">
        <v>1017</v>
      </c>
      <c r="W290" s="25" t="str">
        <f t="shared" si="23"/>
        <v>Aluminium ValanceTop FixSunboss Chain Winder 43mm Tube</v>
      </c>
      <c r="X290" s="25">
        <v>6</v>
      </c>
      <c r="Y290" s="25" t="s">
        <v>824</v>
      </c>
      <c r="Z290" s="25">
        <v>0</v>
      </c>
      <c r="AA290" s="25" t="s">
        <v>824</v>
      </c>
      <c r="AB290" s="25" t="s">
        <v>818</v>
      </c>
      <c r="AC290" s="25" t="s">
        <v>821</v>
      </c>
      <c r="AD290" s="25" t="s">
        <v>821</v>
      </c>
      <c r="AE290" s="25" t="s">
        <v>824</v>
      </c>
    </row>
    <row r="291" spans="20:31" ht="14.4">
      <c r="T291" t="s">
        <v>895</v>
      </c>
      <c r="U291" s="25" t="s">
        <v>854</v>
      </c>
      <c r="V291" s="25" t="s">
        <v>1012</v>
      </c>
      <c r="W291" s="25" t="str">
        <f t="shared" si="23"/>
        <v>Aluminium ValanceTop FixTBS Remote Motor</v>
      </c>
      <c r="X291" s="25">
        <v>6</v>
      </c>
      <c r="Y291" s="25" t="s">
        <v>824</v>
      </c>
      <c r="Z291" s="25">
        <v>0</v>
      </c>
      <c r="AA291" s="25" t="s">
        <v>824</v>
      </c>
      <c r="AB291" s="25" t="s">
        <v>818</v>
      </c>
      <c r="AC291" s="25" t="s">
        <v>821</v>
      </c>
      <c r="AD291" s="25" t="s">
        <v>821</v>
      </c>
      <c r="AE291" s="25" t="s">
        <v>824</v>
      </c>
    </row>
    <row r="292" spans="20:31" ht="14.4">
      <c r="T292" t="s">
        <v>895</v>
      </c>
      <c r="U292" s="25" t="s">
        <v>854</v>
      </c>
      <c r="V292" t="s">
        <v>1009</v>
      </c>
      <c r="W292" s="25" t="str">
        <f t="shared" si="23"/>
        <v>Aluminium ValanceTop FixTBS Cbus Motor</v>
      </c>
      <c r="X292" s="25">
        <v>6</v>
      </c>
      <c r="Y292" s="25" t="s">
        <v>824</v>
      </c>
      <c r="Z292" s="25">
        <v>0</v>
      </c>
      <c r="AA292" s="25" t="s">
        <v>824</v>
      </c>
      <c r="AB292" s="25" t="s">
        <v>818</v>
      </c>
      <c r="AC292" s="25" t="s">
        <v>821</v>
      </c>
      <c r="AD292" s="25" t="s">
        <v>821</v>
      </c>
      <c r="AE292" s="25" t="s">
        <v>824</v>
      </c>
    </row>
    <row r="293" spans="20:31" ht="14.4">
      <c r="T293" t="s">
        <v>895</v>
      </c>
      <c r="U293" s="25" t="s">
        <v>854</v>
      </c>
      <c r="V293" t="s">
        <v>927</v>
      </c>
      <c r="W293" s="25" t="str">
        <f t="shared" si="23"/>
        <v>Aluminium ValanceTop FixAcmeda External Motor</v>
      </c>
      <c r="X293" s="25">
        <v>6</v>
      </c>
      <c r="Y293" s="25" t="s">
        <v>824</v>
      </c>
      <c r="Z293" s="25">
        <v>0</v>
      </c>
      <c r="AA293" s="25" t="s">
        <v>824</v>
      </c>
      <c r="AB293" s="25" t="s">
        <v>818</v>
      </c>
      <c r="AC293" s="25" t="s">
        <v>821</v>
      </c>
      <c r="AD293" s="25" t="s">
        <v>821</v>
      </c>
      <c r="AE293" s="25" t="s">
        <v>824</v>
      </c>
    </row>
    <row r="294" spans="20:31" ht="14.4">
      <c r="T294" t="s">
        <v>895</v>
      </c>
      <c r="U294" s="25" t="s">
        <v>854</v>
      </c>
      <c r="V294" t="s">
        <v>918</v>
      </c>
      <c r="W294" s="25" t="str">
        <f t="shared" si="23"/>
        <v>Aluminium ValanceTop FixAcmeda External 12v Motor</v>
      </c>
      <c r="X294" s="25">
        <v>0</v>
      </c>
      <c r="Y294" s="25" t="s">
        <v>824</v>
      </c>
      <c r="Z294" s="25">
        <v>0</v>
      </c>
      <c r="AA294" s="25" t="s">
        <v>824</v>
      </c>
      <c r="AB294" s="25" t="s">
        <v>821</v>
      </c>
      <c r="AC294" s="25" t="s">
        <v>821</v>
      </c>
      <c r="AD294" s="25" t="s">
        <v>818</v>
      </c>
      <c r="AE294" s="25" t="s">
        <v>824</v>
      </c>
    </row>
    <row r="295" spans="20:31" ht="14.4">
      <c r="T295" t="s">
        <v>895</v>
      </c>
      <c r="U295" s="25" t="s">
        <v>854</v>
      </c>
      <c r="V295" t="s">
        <v>979</v>
      </c>
      <c r="W295" s="25" t="str">
        <f t="shared" si="23"/>
        <v>Aluminium ValanceTop FixSomfy External CBUS Motor</v>
      </c>
      <c r="X295" s="25">
        <v>0</v>
      </c>
      <c r="Y295" s="25" t="s">
        <v>824</v>
      </c>
      <c r="Z295" s="25">
        <v>0</v>
      </c>
      <c r="AA295" s="25" t="s">
        <v>824</v>
      </c>
      <c r="AB295" s="25" t="s">
        <v>821</v>
      </c>
      <c r="AC295" s="25" t="s">
        <v>821</v>
      </c>
      <c r="AD295" s="25" t="s">
        <v>818</v>
      </c>
      <c r="AE295" s="25" t="s">
        <v>824</v>
      </c>
    </row>
    <row r="296" spans="20:31" ht="14.4">
      <c r="T296" t="s">
        <v>895</v>
      </c>
      <c r="U296" s="25" t="s">
        <v>854</v>
      </c>
      <c r="V296" t="s">
        <v>983</v>
      </c>
      <c r="W296" s="25" t="str">
        <f t="shared" si="23"/>
        <v>Aluminium ValanceTop FixSomfy External Remote Motor</v>
      </c>
      <c r="X296" s="25">
        <v>0</v>
      </c>
      <c r="Y296" s="25" t="s">
        <v>824</v>
      </c>
      <c r="Z296" s="25">
        <v>0</v>
      </c>
      <c r="AA296" s="25" t="s">
        <v>824</v>
      </c>
      <c r="AB296" s="25" t="s">
        <v>821</v>
      </c>
      <c r="AC296" s="25" t="s">
        <v>821</v>
      </c>
      <c r="AD296" s="25" t="s">
        <v>818</v>
      </c>
      <c r="AE296" s="25" t="s">
        <v>824</v>
      </c>
    </row>
    <row r="297" spans="20:31" ht="14.4">
      <c r="T297" t="s">
        <v>895</v>
      </c>
      <c r="U297" s="25" t="s">
        <v>854</v>
      </c>
      <c r="V297" t="s">
        <v>979</v>
      </c>
      <c r="W297" s="25" t="str">
        <f t="shared" si="23"/>
        <v>Aluminium ValanceTop FixSomfy External CBUS Motor</v>
      </c>
      <c r="X297" s="25">
        <v>0</v>
      </c>
      <c r="Y297" s="25" t="s">
        <v>824</v>
      </c>
      <c r="Z297" s="25">
        <v>0</v>
      </c>
      <c r="AA297" s="25" t="s">
        <v>824</v>
      </c>
      <c r="AB297" s="25" t="s">
        <v>821</v>
      </c>
      <c r="AC297" s="25" t="s">
        <v>821</v>
      </c>
      <c r="AD297" s="25" t="s">
        <v>818</v>
      </c>
      <c r="AE297" s="25" t="s">
        <v>824</v>
      </c>
    </row>
    <row r="298" spans="20:31" ht="14.4">
      <c r="T298" t="s">
        <v>895</v>
      </c>
      <c r="U298" s="25" t="s">
        <v>854</v>
      </c>
      <c r="V298" t="s">
        <v>999</v>
      </c>
      <c r="W298" s="25" t="str">
        <f t="shared" si="23"/>
        <v>Aluminium ValanceTop FixHD Somfy External Remote Motor</v>
      </c>
      <c r="X298" s="25">
        <v>0</v>
      </c>
      <c r="Y298" s="25" t="s">
        <v>824</v>
      </c>
      <c r="Z298" s="25">
        <v>0</v>
      </c>
      <c r="AA298" s="25" t="s">
        <v>824</v>
      </c>
      <c r="AB298" s="25" t="s">
        <v>821</v>
      </c>
      <c r="AC298" s="25" t="s">
        <v>821</v>
      </c>
      <c r="AD298" s="25" t="s">
        <v>818</v>
      </c>
      <c r="AE298" s="25" t="s">
        <v>824</v>
      </c>
    </row>
    <row r="299" spans="20:31" ht="14.4">
      <c r="T299" t="s">
        <v>895</v>
      </c>
      <c r="U299" s="25" t="s">
        <v>880</v>
      </c>
      <c r="V299" s="25" t="s">
        <v>823</v>
      </c>
      <c r="W299" s="25" t="str">
        <f t="shared" si="23"/>
        <v>Aluminium ValanceInside Window MountChain Winder</v>
      </c>
      <c r="X299" s="25">
        <v>0</v>
      </c>
      <c r="Y299" s="25" t="s">
        <v>824</v>
      </c>
      <c r="Z299" s="25">
        <v>0</v>
      </c>
      <c r="AA299" s="25" t="s">
        <v>824</v>
      </c>
      <c r="AB299" s="25" t="s">
        <v>821</v>
      </c>
      <c r="AC299" s="25" t="s">
        <v>821</v>
      </c>
      <c r="AD299" s="25" t="s">
        <v>818</v>
      </c>
      <c r="AE299" s="25" t="s">
        <v>824</v>
      </c>
    </row>
    <row r="300" spans="20:31" ht="14.4">
      <c r="T300" t="s">
        <v>895</v>
      </c>
      <c r="U300" s="25" t="s">
        <v>880</v>
      </c>
      <c r="V300" s="25" t="s">
        <v>841</v>
      </c>
      <c r="W300" s="25" t="str">
        <f t="shared" si="23"/>
        <v>Aluminium ValanceInside Window MountHD Chain Winder</v>
      </c>
      <c r="X300" s="25">
        <v>0</v>
      </c>
      <c r="Y300" s="25" t="s">
        <v>824</v>
      </c>
      <c r="Z300" s="25">
        <v>0</v>
      </c>
      <c r="AA300" s="25" t="s">
        <v>824</v>
      </c>
      <c r="AB300" s="25" t="s">
        <v>821</v>
      </c>
      <c r="AC300" s="25" t="s">
        <v>821</v>
      </c>
      <c r="AD300" s="25" t="s">
        <v>818</v>
      </c>
      <c r="AE300" s="25" t="s">
        <v>824</v>
      </c>
    </row>
    <row r="301" spans="20:31" ht="14.4">
      <c r="T301" t="s">
        <v>895</v>
      </c>
      <c r="U301" s="25" t="s">
        <v>880</v>
      </c>
      <c r="V301" s="25" t="s">
        <v>858</v>
      </c>
      <c r="W301" s="25" t="str">
        <f t="shared" si="23"/>
        <v>Aluminium ValanceInside Window MountChain Winder 60mm</v>
      </c>
      <c r="X301" s="25">
        <v>0</v>
      </c>
      <c r="Y301" s="25" t="s">
        <v>824</v>
      </c>
      <c r="Z301" s="25">
        <v>0</v>
      </c>
      <c r="AA301" s="25" t="s">
        <v>824</v>
      </c>
      <c r="AB301" s="25" t="s">
        <v>821</v>
      </c>
      <c r="AC301" s="25" t="s">
        <v>821</v>
      </c>
      <c r="AD301" s="25" t="s">
        <v>818</v>
      </c>
      <c r="AE301" s="25" t="s">
        <v>824</v>
      </c>
    </row>
    <row r="302" spans="20:31" ht="14.4">
      <c r="T302" t="s">
        <v>895</v>
      </c>
      <c r="U302" s="25" t="s">
        <v>880</v>
      </c>
      <c r="V302" s="25" t="s">
        <v>865</v>
      </c>
      <c r="W302" s="25" t="str">
        <f t="shared" si="23"/>
        <v>Aluminium ValanceInside Window MountChain Winder Fixed Guide</v>
      </c>
      <c r="X302" s="25">
        <v>0</v>
      </c>
      <c r="Y302" s="25" t="s">
        <v>824</v>
      </c>
      <c r="Z302" s="25">
        <v>0</v>
      </c>
      <c r="AA302" s="25" t="s">
        <v>824</v>
      </c>
      <c r="AB302" s="25" t="s">
        <v>821</v>
      </c>
      <c r="AC302" s="25" t="s">
        <v>821</v>
      </c>
      <c r="AD302" s="25" t="s">
        <v>818</v>
      </c>
      <c r="AE302" s="25" t="s">
        <v>824</v>
      </c>
    </row>
    <row r="303" spans="20:31" ht="14.4">
      <c r="T303" t="s">
        <v>895</v>
      </c>
      <c r="U303" s="25" t="s">
        <v>880</v>
      </c>
      <c r="V303" s="25" t="s">
        <v>181</v>
      </c>
      <c r="W303" s="25" t="str">
        <f t="shared" si="23"/>
        <v>Aluminium ValanceInside Window MountLinked</v>
      </c>
      <c r="X303" s="25">
        <v>0</v>
      </c>
      <c r="Y303" s="25" t="s">
        <v>824</v>
      </c>
      <c r="Z303" s="25">
        <v>0</v>
      </c>
      <c r="AA303" s="25" t="s">
        <v>824</v>
      </c>
      <c r="AB303" s="25" t="s">
        <v>821</v>
      </c>
      <c r="AC303" s="25" t="s">
        <v>821</v>
      </c>
      <c r="AD303" s="25" t="s">
        <v>818</v>
      </c>
      <c r="AE303" s="25" t="s">
        <v>824</v>
      </c>
    </row>
    <row r="304" spans="20:31" ht="14.4">
      <c r="T304" t="s">
        <v>895</v>
      </c>
      <c r="U304" s="25" t="s">
        <v>880</v>
      </c>
      <c r="V304" s="25" t="s">
        <v>898</v>
      </c>
      <c r="W304" s="25" t="str">
        <f t="shared" si="23"/>
        <v>Aluminium ValanceInside Window MountLinked - HD</v>
      </c>
      <c r="X304" s="25">
        <v>0</v>
      </c>
      <c r="Y304" s="25" t="s">
        <v>824</v>
      </c>
      <c r="Z304" s="25">
        <v>0</v>
      </c>
      <c r="AA304" s="25" t="s">
        <v>824</v>
      </c>
      <c r="AB304" s="25" t="s">
        <v>821</v>
      </c>
      <c r="AC304" s="25" t="s">
        <v>821</v>
      </c>
      <c r="AD304" s="25" t="s">
        <v>818</v>
      </c>
      <c r="AE304" s="25" t="s">
        <v>824</v>
      </c>
    </row>
    <row r="305" spans="20:31" ht="14.4">
      <c r="T305" t="s">
        <v>895</v>
      </c>
      <c r="U305" s="25" t="s">
        <v>880</v>
      </c>
      <c r="V305" s="25" t="s">
        <v>910</v>
      </c>
      <c r="W305" s="25" t="str">
        <f t="shared" si="23"/>
        <v>Aluminium ValanceInside Window MountStandard Spring</v>
      </c>
      <c r="X305" s="25">
        <v>0</v>
      </c>
      <c r="Y305" s="25" t="s">
        <v>824</v>
      </c>
      <c r="Z305" s="25">
        <v>0</v>
      </c>
      <c r="AA305" s="25" t="s">
        <v>824</v>
      </c>
      <c r="AB305" s="25" t="s">
        <v>821</v>
      </c>
      <c r="AC305" s="25" t="s">
        <v>821</v>
      </c>
      <c r="AD305" s="25" t="s">
        <v>818</v>
      </c>
      <c r="AE305" s="25" t="s">
        <v>824</v>
      </c>
    </row>
    <row r="306" spans="20:31" ht="14.4">
      <c r="T306" t="s">
        <v>895</v>
      </c>
      <c r="U306" s="25" t="s">
        <v>880</v>
      </c>
      <c r="V306" s="25" t="s">
        <v>920</v>
      </c>
      <c r="W306" s="25" t="str">
        <f t="shared" si="23"/>
        <v>Aluminium ValanceInside Window MountSmall Spring</v>
      </c>
      <c r="X306" s="25">
        <v>0</v>
      </c>
      <c r="Y306" s="25" t="s">
        <v>824</v>
      </c>
      <c r="Z306" s="25">
        <v>0</v>
      </c>
      <c r="AA306" s="25" t="s">
        <v>824</v>
      </c>
      <c r="AB306" s="25" t="s">
        <v>821</v>
      </c>
      <c r="AC306" s="25" t="s">
        <v>821</v>
      </c>
      <c r="AD306" s="25" t="s">
        <v>818</v>
      </c>
      <c r="AE306" s="25" t="s">
        <v>824</v>
      </c>
    </row>
    <row r="307" spans="20:31" ht="14.4">
      <c r="T307" t="s">
        <v>895</v>
      </c>
      <c r="U307" s="25" t="s">
        <v>880</v>
      </c>
      <c r="V307" s="25" t="s">
        <v>929</v>
      </c>
      <c r="W307" s="25" t="str">
        <f t="shared" si="23"/>
        <v>Aluminium ValanceInside Window MountUniline Spring (Old Style)</v>
      </c>
      <c r="X307" s="25">
        <v>0</v>
      </c>
      <c r="Y307" s="25" t="s">
        <v>824</v>
      </c>
      <c r="Z307" s="25">
        <v>0</v>
      </c>
      <c r="AA307" s="25" t="s">
        <v>824</v>
      </c>
      <c r="AB307" s="25" t="s">
        <v>821</v>
      </c>
      <c r="AC307" s="25" t="s">
        <v>821</v>
      </c>
      <c r="AD307" s="25" t="s">
        <v>818</v>
      </c>
      <c r="AE307" s="25" t="s">
        <v>824</v>
      </c>
    </row>
    <row r="308" spans="20:31" ht="14.4">
      <c r="T308" t="s">
        <v>895</v>
      </c>
      <c r="U308" s="25" t="s">
        <v>880</v>
      </c>
      <c r="V308" s="25" t="s">
        <v>935</v>
      </c>
      <c r="W308" s="25" t="str">
        <f t="shared" si="23"/>
        <v>Aluminium ValanceInside Window MountBecker Remote Motor</v>
      </c>
      <c r="X308" s="25">
        <v>0</v>
      </c>
      <c r="Y308" s="25" t="s">
        <v>824</v>
      </c>
      <c r="Z308" s="25">
        <v>0</v>
      </c>
      <c r="AA308" s="25" t="s">
        <v>824</v>
      </c>
      <c r="AB308" s="25" t="s">
        <v>821</v>
      </c>
      <c r="AC308" s="25" t="s">
        <v>821</v>
      </c>
      <c r="AD308" s="25" t="s">
        <v>818</v>
      </c>
      <c r="AE308" s="25" t="s">
        <v>824</v>
      </c>
    </row>
    <row r="309" spans="20:31" ht="14.4">
      <c r="T309" t="s">
        <v>895</v>
      </c>
      <c r="U309" s="25" t="s">
        <v>880</v>
      </c>
      <c r="V309" s="25" t="s">
        <v>939</v>
      </c>
      <c r="W309" s="25" t="str">
        <f t="shared" si="23"/>
        <v>Aluminium ValanceInside Window MountBecker CBUS Motor</v>
      </c>
      <c r="X309" s="25">
        <v>0</v>
      </c>
      <c r="Y309" s="25" t="s">
        <v>824</v>
      </c>
      <c r="Z309" s="25">
        <v>0</v>
      </c>
      <c r="AA309" s="25" t="s">
        <v>824</v>
      </c>
      <c r="AB309" s="25" t="s">
        <v>821</v>
      </c>
      <c r="AC309" s="25" t="s">
        <v>821</v>
      </c>
      <c r="AD309" s="25" t="s">
        <v>818</v>
      </c>
      <c r="AE309" s="25" t="s">
        <v>824</v>
      </c>
    </row>
    <row r="310" spans="20:31" ht="14.4">
      <c r="T310" t="s">
        <v>895</v>
      </c>
      <c r="U310" s="25" t="s">
        <v>880</v>
      </c>
      <c r="V310" s="25" t="s">
        <v>946</v>
      </c>
      <c r="W310" s="25" t="str">
        <f t="shared" si="23"/>
        <v>Aluminium ValanceInside Window MountBecker External Remote Motor</v>
      </c>
      <c r="X310" s="25">
        <v>0</v>
      </c>
      <c r="Y310" s="25" t="s">
        <v>824</v>
      </c>
      <c r="Z310" s="25">
        <v>0</v>
      </c>
      <c r="AA310" s="25" t="s">
        <v>824</v>
      </c>
      <c r="AB310" s="25" t="s">
        <v>821</v>
      </c>
      <c r="AC310" s="25" t="s">
        <v>821</v>
      </c>
      <c r="AD310" s="25" t="s">
        <v>818</v>
      </c>
      <c r="AE310" s="25" t="s">
        <v>824</v>
      </c>
    </row>
    <row r="311" spans="20:31" ht="14.4">
      <c r="T311" t="s">
        <v>895</v>
      </c>
      <c r="U311" s="25" t="s">
        <v>880</v>
      </c>
      <c r="V311" s="25" t="s">
        <v>951</v>
      </c>
      <c r="W311" s="25" t="str">
        <f t="shared" si="23"/>
        <v>Aluminium ValanceInside Window MountBecker External CBUS Motor</v>
      </c>
      <c r="X311" s="25">
        <v>0</v>
      </c>
      <c r="Y311" s="25" t="s">
        <v>824</v>
      </c>
      <c r="Z311" s="25">
        <v>0</v>
      </c>
      <c r="AA311" s="25" t="s">
        <v>824</v>
      </c>
      <c r="AB311" s="25" t="s">
        <v>821</v>
      </c>
      <c r="AC311" s="25" t="s">
        <v>821</v>
      </c>
      <c r="AD311" s="25" t="s">
        <v>818</v>
      </c>
      <c r="AE311" s="25" t="s">
        <v>824</v>
      </c>
    </row>
    <row r="312" spans="20:31" ht="14.4">
      <c r="T312" t="s">
        <v>895</v>
      </c>
      <c r="U312" s="25" t="s">
        <v>880</v>
      </c>
      <c r="V312" s="25" t="s">
        <v>838</v>
      </c>
      <c r="W312" s="25" t="str">
        <f t="shared" si="23"/>
        <v>Aluminium ValanceInside Window Mount1.1nm 12v Acmeda Motor</v>
      </c>
      <c r="X312" s="25">
        <v>0</v>
      </c>
      <c r="Y312" s="25" t="s">
        <v>824</v>
      </c>
      <c r="Z312" s="25">
        <v>0</v>
      </c>
      <c r="AA312" s="25" t="s">
        <v>824</v>
      </c>
      <c r="AB312" s="25" t="s">
        <v>821</v>
      </c>
      <c r="AC312" s="25" t="s">
        <v>821</v>
      </c>
      <c r="AD312" s="25" t="s">
        <v>818</v>
      </c>
      <c r="AE312" s="25" t="s">
        <v>824</v>
      </c>
    </row>
    <row r="313" spans="20:31" ht="14.4">
      <c r="T313" t="s">
        <v>895</v>
      </c>
      <c r="U313" s="25" t="s">
        <v>880</v>
      </c>
      <c r="V313" t="s">
        <v>882</v>
      </c>
      <c r="W313" s="25" t="str">
        <f t="shared" si="23"/>
        <v>Aluminium ValanceInside Window Mount2nm 12v Acmeda Motor</v>
      </c>
      <c r="X313" s="25">
        <v>0</v>
      </c>
      <c r="Y313" s="25" t="s">
        <v>824</v>
      </c>
      <c r="Z313" s="25">
        <v>0</v>
      </c>
      <c r="AA313" s="25" t="s">
        <v>824</v>
      </c>
      <c r="AB313" s="25" t="s">
        <v>821</v>
      </c>
      <c r="AC313" s="25" t="s">
        <v>821</v>
      </c>
      <c r="AD313" s="25" t="s">
        <v>818</v>
      </c>
      <c r="AE313" s="25" t="s">
        <v>824</v>
      </c>
    </row>
    <row r="314" spans="20:31" ht="14.4">
      <c r="T314" t="s">
        <v>895</v>
      </c>
      <c r="U314" s="25" t="s">
        <v>880</v>
      </c>
      <c r="V314" t="s">
        <v>896</v>
      </c>
      <c r="W314" s="25" t="str">
        <f t="shared" si="23"/>
        <v>Aluminium ValanceInside Window MountAcmeda 12v 6nm Motor</v>
      </c>
      <c r="X314" s="25">
        <v>0</v>
      </c>
      <c r="Y314" s="25" t="s">
        <v>824</v>
      </c>
      <c r="Z314" s="25">
        <v>0</v>
      </c>
      <c r="AA314" s="25" t="s">
        <v>824</v>
      </c>
      <c r="AB314" s="25" t="s">
        <v>821</v>
      </c>
      <c r="AC314" s="25" t="s">
        <v>821</v>
      </c>
      <c r="AD314" s="25" t="s">
        <v>818</v>
      </c>
      <c r="AE314" s="25" t="s">
        <v>824</v>
      </c>
    </row>
    <row r="315" spans="20:31" ht="14.4">
      <c r="T315" t="s">
        <v>895</v>
      </c>
      <c r="U315" s="25" t="s">
        <v>880</v>
      </c>
      <c r="V315" t="s">
        <v>855</v>
      </c>
      <c r="W315" s="25" t="str">
        <f t="shared" si="23"/>
        <v>Aluminium ValanceInside Window Mount0.7nm 12v Acmeda Motor</v>
      </c>
      <c r="X315" s="25">
        <v>0</v>
      </c>
      <c r="Y315" s="25" t="s">
        <v>824</v>
      </c>
      <c r="Z315" s="25">
        <v>0</v>
      </c>
      <c r="AA315" s="25" t="s">
        <v>824</v>
      </c>
      <c r="AB315" s="25" t="s">
        <v>821</v>
      </c>
      <c r="AC315" s="25" t="s">
        <v>821</v>
      </c>
      <c r="AD315" s="25" t="s">
        <v>818</v>
      </c>
      <c r="AE315" s="25" t="s">
        <v>824</v>
      </c>
    </row>
    <row r="316" spans="20:31" ht="14.4">
      <c r="T316" t="s">
        <v>895</v>
      </c>
      <c r="U316" s="25" t="s">
        <v>880</v>
      </c>
      <c r="V316" s="25" t="s">
        <v>849</v>
      </c>
      <c r="W316" s="25" t="str">
        <f t="shared" si="23"/>
        <v>Aluminium ValanceInside Window Mount1.1nm 12v Acmeda DCRF Motor with External Battery</v>
      </c>
      <c r="X316" s="25">
        <v>0</v>
      </c>
      <c r="Y316" s="25" t="s">
        <v>824</v>
      </c>
      <c r="Z316" s="25">
        <v>0</v>
      </c>
      <c r="AA316" s="25" t="s">
        <v>824</v>
      </c>
      <c r="AB316" s="25" t="s">
        <v>821</v>
      </c>
      <c r="AC316" s="25" t="s">
        <v>821</v>
      </c>
      <c r="AD316" s="25" t="s">
        <v>818</v>
      </c>
      <c r="AE316" s="25" t="s">
        <v>824</v>
      </c>
    </row>
    <row r="317" spans="20:31" ht="14.4">
      <c r="T317" t="s">
        <v>895</v>
      </c>
      <c r="U317" s="25" t="s">
        <v>880</v>
      </c>
      <c r="V317" s="25" t="s">
        <v>817</v>
      </c>
      <c r="W317" s="25" t="str">
        <f t="shared" si="23"/>
        <v>Aluminium ValanceInside Window Mount1.1nm 12v Acmeda DCRF Motor</v>
      </c>
      <c r="X317" s="25">
        <v>0</v>
      </c>
      <c r="Y317" s="25" t="s">
        <v>824</v>
      </c>
      <c r="Z317" s="25">
        <v>0</v>
      </c>
      <c r="AA317" s="25" t="s">
        <v>824</v>
      </c>
      <c r="AB317" s="25" t="s">
        <v>821</v>
      </c>
      <c r="AC317" s="25" t="s">
        <v>821</v>
      </c>
      <c r="AD317" s="25" t="s">
        <v>818</v>
      </c>
      <c r="AE317" s="25" t="s">
        <v>824</v>
      </c>
    </row>
    <row r="318" spans="20:31" ht="14.4">
      <c r="T318" t="s">
        <v>895</v>
      </c>
      <c r="U318" s="25" t="s">
        <v>880</v>
      </c>
      <c r="V318" s="25" t="s">
        <v>868</v>
      </c>
      <c r="W318" s="25" t="str">
        <f t="shared" si="23"/>
        <v>Aluminium ValanceInside Window Mount2nm 12v Acmeda DCRF Motor</v>
      </c>
      <c r="X318" s="25">
        <v>0</v>
      </c>
      <c r="Y318" s="25" t="s">
        <v>824</v>
      </c>
      <c r="Z318" s="25">
        <v>0</v>
      </c>
      <c r="AA318" s="25" t="s">
        <v>824</v>
      </c>
      <c r="AB318" s="25" t="s">
        <v>821</v>
      </c>
      <c r="AC318" s="25" t="s">
        <v>821</v>
      </c>
      <c r="AD318" s="25" t="s">
        <v>818</v>
      </c>
      <c r="AE318" s="25" t="s">
        <v>824</v>
      </c>
    </row>
    <row r="319" spans="20:31" ht="14.4">
      <c r="T319" t="s">
        <v>895</v>
      </c>
      <c r="U319" s="25" t="s">
        <v>880</v>
      </c>
      <c r="V319" t="s">
        <v>973</v>
      </c>
      <c r="W319" s="25" t="str">
        <f t="shared" si="23"/>
        <v>Aluminium ValanceInside Window MountSomfy Remote Sonesse Motor</v>
      </c>
      <c r="X319" s="25">
        <v>0</v>
      </c>
      <c r="Y319" s="25" t="s">
        <v>824</v>
      </c>
      <c r="Z319" s="25">
        <v>0</v>
      </c>
      <c r="AA319" s="25" t="s">
        <v>824</v>
      </c>
      <c r="AB319" s="25" t="s">
        <v>821</v>
      </c>
      <c r="AC319" s="25" t="s">
        <v>821</v>
      </c>
      <c r="AD319" s="25" t="s">
        <v>818</v>
      </c>
      <c r="AE319" s="25" t="s">
        <v>824</v>
      </c>
    </row>
    <row r="320" spans="20:31" ht="14.4">
      <c r="T320" t="s">
        <v>895</v>
      </c>
      <c r="U320" s="25" t="s">
        <v>880</v>
      </c>
      <c r="V320" t="s">
        <v>637</v>
      </c>
      <c r="W320" s="25" t="str">
        <f t="shared" si="23"/>
        <v>Aluminium ValanceInside Window MountSomfy 12v Remote Sonesse Motor</v>
      </c>
      <c r="X320" s="25">
        <v>0</v>
      </c>
      <c r="Y320" s="25" t="s">
        <v>824</v>
      </c>
      <c r="Z320" s="25">
        <v>0</v>
      </c>
      <c r="AA320" s="25" t="s">
        <v>824</v>
      </c>
      <c r="AB320" s="25" t="s">
        <v>821</v>
      </c>
      <c r="AC320" s="25" t="s">
        <v>821</v>
      </c>
      <c r="AD320" s="25" t="s">
        <v>818</v>
      </c>
      <c r="AE320" s="25" t="s">
        <v>824</v>
      </c>
    </row>
    <row r="321" spans="20:31" ht="14.4">
      <c r="T321" t="s">
        <v>895</v>
      </c>
      <c r="U321" s="25" t="s">
        <v>880</v>
      </c>
      <c r="V321" s="25" t="s">
        <v>974</v>
      </c>
      <c r="W321" s="25" t="str">
        <f t="shared" si="23"/>
        <v>Aluminium ValanceInside Window MountSomfy CBUS Motor</v>
      </c>
      <c r="X321" s="25">
        <v>0</v>
      </c>
      <c r="Y321" s="25" t="s">
        <v>824</v>
      </c>
      <c r="Z321" s="25">
        <v>0</v>
      </c>
      <c r="AA321" s="25" t="s">
        <v>824</v>
      </c>
      <c r="AB321" s="25" t="s">
        <v>821</v>
      </c>
      <c r="AC321" s="25" t="s">
        <v>821</v>
      </c>
      <c r="AD321" s="25" t="s">
        <v>818</v>
      </c>
      <c r="AE321" s="25" t="s">
        <v>824</v>
      </c>
    </row>
    <row r="322" spans="20:31" ht="14.4">
      <c r="T322" t="s">
        <v>895</v>
      </c>
      <c r="U322" s="25" t="s">
        <v>880</v>
      </c>
      <c r="V322" t="s">
        <v>986</v>
      </c>
      <c r="W322" s="25" t="str">
        <f t="shared" si="23"/>
        <v>Aluminium ValanceInside Window MountHD Somfy Remote Sonesse Motor</v>
      </c>
      <c r="X322" s="25">
        <v>0</v>
      </c>
      <c r="Y322" s="25" t="s">
        <v>824</v>
      </c>
      <c r="Z322" s="25">
        <v>0</v>
      </c>
      <c r="AA322" s="25" t="s">
        <v>824</v>
      </c>
      <c r="AB322" s="25" t="s">
        <v>821</v>
      </c>
      <c r="AC322" s="25" t="s">
        <v>821</v>
      </c>
      <c r="AD322" s="25" t="s">
        <v>818</v>
      </c>
      <c r="AE322" s="25" t="s">
        <v>824</v>
      </c>
    </row>
    <row r="323" spans="20:31" ht="14.4">
      <c r="T323" t="s">
        <v>895</v>
      </c>
      <c r="U323" s="25" t="s">
        <v>880</v>
      </c>
      <c r="V323" t="s">
        <v>989</v>
      </c>
      <c r="W323" s="25" t="str">
        <f t="shared" si="24" ref="W323:W386">CONCATENATE(T323,U323,V323)</f>
        <v>Aluminium ValanceInside Window MountHD Somfy 12v Remote Sonesse Motor</v>
      </c>
      <c r="X323" s="25">
        <v>0</v>
      </c>
      <c r="Y323" s="25" t="s">
        <v>824</v>
      </c>
      <c r="Z323" s="25">
        <v>0</v>
      </c>
      <c r="AA323" s="25" t="s">
        <v>824</v>
      </c>
      <c r="AB323" s="25" t="s">
        <v>821</v>
      </c>
      <c r="AC323" s="25" t="s">
        <v>821</v>
      </c>
      <c r="AD323" s="25" t="s">
        <v>818</v>
      </c>
      <c r="AE323" s="25" t="s">
        <v>824</v>
      </c>
    </row>
    <row r="324" spans="20:31" ht="14.4">
      <c r="T324" t="s">
        <v>895</v>
      </c>
      <c r="U324" s="25" t="s">
        <v>880</v>
      </c>
      <c r="V324" s="25" t="s">
        <v>992</v>
      </c>
      <c r="W324" s="25" t="str">
        <f t="shared" si="24"/>
        <v>Aluminium ValanceInside Window MountHD Somfy CBUS Motor</v>
      </c>
      <c r="X324" s="25">
        <v>0</v>
      </c>
      <c r="Y324" s="25" t="s">
        <v>824</v>
      </c>
      <c r="Z324" s="25">
        <v>0</v>
      </c>
      <c r="AA324" s="25" t="s">
        <v>824</v>
      </c>
      <c r="AB324" s="25" t="s">
        <v>821</v>
      </c>
      <c r="AC324" s="25" t="s">
        <v>821</v>
      </c>
      <c r="AD324" s="25" t="s">
        <v>818</v>
      </c>
      <c r="AE324" s="25" t="s">
        <v>824</v>
      </c>
    </row>
    <row r="325" spans="20:31" ht="14.4">
      <c r="T325" t="s">
        <v>895</v>
      </c>
      <c r="U325" s="25" t="s">
        <v>880</v>
      </c>
      <c r="V325" s="25" t="s">
        <v>625</v>
      </c>
      <c r="W325" s="25" t="str">
        <f t="shared" si="24"/>
        <v>Aluminium ValanceInside Window MountAcmeda E6 Motor</v>
      </c>
      <c r="X325" s="25">
        <v>0</v>
      </c>
      <c r="Y325" s="25" t="s">
        <v>824</v>
      </c>
      <c r="Z325" s="25">
        <v>0</v>
      </c>
      <c r="AA325" s="25" t="s">
        <v>824</v>
      </c>
      <c r="AB325" s="25" t="s">
        <v>821</v>
      </c>
      <c r="AC325" s="25" t="s">
        <v>821</v>
      </c>
      <c r="AD325" s="25" t="s">
        <v>818</v>
      </c>
      <c r="AE325" s="25" t="s">
        <v>824</v>
      </c>
    </row>
    <row r="326" spans="20:31" ht="14.4">
      <c r="T326" t="s">
        <v>895</v>
      </c>
      <c r="U326" s="25" t="s">
        <v>880</v>
      </c>
      <c r="V326" s="25" t="s">
        <v>626</v>
      </c>
      <c r="W326" s="25" t="str">
        <f t="shared" si="24"/>
        <v>Aluminium ValanceInside Window MountAcmeda M6 Motor</v>
      </c>
      <c r="X326" s="25">
        <v>0</v>
      </c>
      <c r="Y326" s="25" t="s">
        <v>824</v>
      </c>
      <c r="Z326" s="25">
        <v>0</v>
      </c>
      <c r="AA326" s="25" t="s">
        <v>824</v>
      </c>
      <c r="AB326" s="25" t="s">
        <v>821</v>
      </c>
      <c r="AC326" s="25" t="s">
        <v>821</v>
      </c>
      <c r="AD326" s="25" t="s">
        <v>818</v>
      </c>
      <c r="AE326" s="25" t="s">
        <v>824</v>
      </c>
    </row>
    <row r="327" spans="20:31" ht="14.4">
      <c r="T327" t="s">
        <v>895</v>
      </c>
      <c r="U327" s="25" t="s">
        <v>880</v>
      </c>
      <c r="V327" s="25" t="s">
        <v>1002</v>
      </c>
      <c r="W327" s="25" t="str">
        <f t="shared" si="24"/>
        <v>Aluminium ValanceInside Window MountUniline Remote Motor</v>
      </c>
      <c r="X327" s="25">
        <v>0</v>
      </c>
      <c r="Y327" s="25" t="s">
        <v>824</v>
      </c>
      <c r="Z327" s="25">
        <v>0</v>
      </c>
      <c r="AA327" s="25" t="s">
        <v>824</v>
      </c>
      <c r="AB327" s="25" t="s">
        <v>821</v>
      </c>
      <c r="AC327" s="25" t="s">
        <v>821</v>
      </c>
      <c r="AD327" s="25" t="s">
        <v>818</v>
      </c>
      <c r="AE327" s="25" t="s">
        <v>824</v>
      </c>
    </row>
    <row r="328" spans="20:31" ht="14.4">
      <c r="T328" t="s">
        <v>895</v>
      </c>
      <c r="U328" s="25" t="s">
        <v>880</v>
      </c>
      <c r="V328" s="25" t="s">
        <v>1005</v>
      </c>
      <c r="W328" s="25" t="str">
        <f t="shared" si="24"/>
        <v>Aluminium ValanceInside Window MountUniline Cbus Motor</v>
      </c>
      <c r="X328" s="25">
        <v>0</v>
      </c>
      <c r="Y328" s="25" t="s">
        <v>824</v>
      </c>
      <c r="Z328" s="25">
        <v>0</v>
      </c>
      <c r="AA328" s="25" t="s">
        <v>824</v>
      </c>
      <c r="AB328" s="25" t="s">
        <v>821</v>
      </c>
      <c r="AC328" s="25" t="s">
        <v>821</v>
      </c>
      <c r="AD328" s="25" t="s">
        <v>818</v>
      </c>
      <c r="AE328" s="25" t="s">
        <v>824</v>
      </c>
    </row>
    <row r="329" spans="20:31" ht="14.4">
      <c r="T329" t="s">
        <v>895</v>
      </c>
      <c r="U329" s="25" t="s">
        <v>880</v>
      </c>
      <c r="V329" s="25" t="s">
        <v>981</v>
      </c>
      <c r="W329" s="25" t="str">
        <f t="shared" si="24"/>
        <v>Aluminium ValanceInside Window MountNice Remote Motor</v>
      </c>
      <c r="X329" s="25">
        <v>0</v>
      </c>
      <c r="Y329" s="25" t="s">
        <v>824</v>
      </c>
      <c r="Z329" s="25">
        <v>0</v>
      </c>
      <c r="AA329" s="25" t="s">
        <v>824</v>
      </c>
      <c r="AB329" s="25" t="s">
        <v>821</v>
      </c>
      <c r="AC329" s="25" t="s">
        <v>821</v>
      </c>
      <c r="AD329" s="25" t="s">
        <v>818</v>
      </c>
      <c r="AE329" s="25" t="s">
        <v>824</v>
      </c>
    </row>
    <row r="330" spans="20:31" ht="14.4">
      <c r="T330" t="s">
        <v>895</v>
      </c>
      <c r="U330" s="25" t="s">
        <v>880</v>
      </c>
      <c r="V330" s="25" t="s">
        <v>976</v>
      </c>
      <c r="W330" s="25" t="str">
        <f t="shared" si="24"/>
        <v>Aluminium ValanceInside Window MountNice CBus Motor</v>
      </c>
      <c r="X330" s="25">
        <v>0</v>
      </c>
      <c r="Y330" s="25" t="s">
        <v>824</v>
      </c>
      <c r="Z330" s="25">
        <v>0</v>
      </c>
      <c r="AA330" s="25" t="s">
        <v>824</v>
      </c>
      <c r="AB330" s="25" t="s">
        <v>821</v>
      </c>
      <c r="AC330" s="25" t="s">
        <v>821</v>
      </c>
      <c r="AD330" s="25" t="s">
        <v>818</v>
      </c>
      <c r="AE330" s="25" t="s">
        <v>824</v>
      </c>
    </row>
    <row r="331" spans="20:31" ht="14.4">
      <c r="T331" t="s">
        <v>895</v>
      </c>
      <c r="U331" s="25" t="s">
        <v>880</v>
      </c>
      <c r="V331" t="s">
        <v>1006</v>
      </c>
      <c r="W331" s="25" t="str">
        <f t="shared" si="24"/>
        <v>Aluminium ValanceInside Window MountSunboss Chain Winder 38mm Tube</v>
      </c>
      <c r="X331" s="25">
        <v>0</v>
      </c>
      <c r="Y331" s="25" t="s">
        <v>824</v>
      </c>
      <c r="Z331" s="25">
        <v>0</v>
      </c>
      <c r="AA331" s="25" t="s">
        <v>824</v>
      </c>
      <c r="AB331" s="25" t="s">
        <v>821</v>
      </c>
      <c r="AC331" s="25" t="s">
        <v>821</v>
      </c>
      <c r="AD331" s="25" t="s">
        <v>818</v>
      </c>
      <c r="AE331" s="25" t="s">
        <v>824</v>
      </c>
    </row>
    <row r="332" spans="20:31" ht="14.4">
      <c r="T332" t="s">
        <v>895</v>
      </c>
      <c r="U332" s="25" t="s">
        <v>880</v>
      </c>
      <c r="V332" t="s">
        <v>1017</v>
      </c>
      <c r="W332" s="25" t="str">
        <f t="shared" si="24"/>
        <v>Aluminium ValanceInside Window MountSunboss Chain Winder 43mm Tube</v>
      </c>
      <c r="X332" s="25">
        <v>0</v>
      </c>
      <c r="Y332" s="25" t="s">
        <v>824</v>
      </c>
      <c r="Z332" s="25">
        <v>0</v>
      </c>
      <c r="AA332" s="25" t="s">
        <v>824</v>
      </c>
      <c r="AB332" s="25" t="s">
        <v>821</v>
      </c>
      <c r="AC332" s="25" t="s">
        <v>821</v>
      </c>
      <c r="AD332" s="25" t="s">
        <v>818</v>
      </c>
      <c r="AE332" s="25" t="s">
        <v>824</v>
      </c>
    </row>
    <row r="333" spans="20:31" ht="14.4">
      <c r="T333" t="s">
        <v>895</v>
      </c>
      <c r="U333" s="25" t="s">
        <v>880</v>
      </c>
      <c r="V333" s="25" t="s">
        <v>1012</v>
      </c>
      <c r="W333" s="25" t="str">
        <f t="shared" si="24"/>
        <v>Aluminium ValanceInside Window MountTBS Remote Motor</v>
      </c>
      <c r="X333" s="25">
        <v>0</v>
      </c>
      <c r="Y333" s="25" t="s">
        <v>824</v>
      </c>
      <c r="Z333" s="25">
        <v>0</v>
      </c>
      <c r="AA333" s="25" t="s">
        <v>824</v>
      </c>
      <c r="AB333" s="25" t="s">
        <v>821</v>
      </c>
      <c r="AC333" s="25" t="s">
        <v>821</v>
      </c>
      <c r="AD333" s="25" t="s">
        <v>818</v>
      </c>
      <c r="AE333" s="25" t="s">
        <v>824</v>
      </c>
    </row>
    <row r="334" spans="20:31" ht="14.4">
      <c r="T334" t="s">
        <v>895</v>
      </c>
      <c r="U334" s="25" t="s">
        <v>880</v>
      </c>
      <c r="V334" t="s">
        <v>1009</v>
      </c>
      <c r="W334" s="25" t="str">
        <f t="shared" si="24"/>
        <v>Aluminium ValanceInside Window MountTBS Cbus Motor</v>
      </c>
      <c r="X334" s="25">
        <v>0</v>
      </c>
      <c r="Y334" s="25" t="s">
        <v>824</v>
      </c>
      <c r="Z334" s="25">
        <v>0</v>
      </c>
      <c r="AA334" s="25" t="s">
        <v>824</v>
      </c>
      <c r="AB334" s="25" t="s">
        <v>821</v>
      </c>
      <c r="AC334" s="25" t="s">
        <v>821</v>
      </c>
      <c r="AD334" s="25" t="s">
        <v>818</v>
      </c>
      <c r="AE334" s="25" t="s">
        <v>824</v>
      </c>
    </row>
    <row r="335" spans="20:31" ht="14.4">
      <c r="T335" t="s">
        <v>895</v>
      </c>
      <c r="U335" s="25" t="s">
        <v>880</v>
      </c>
      <c r="V335" t="s">
        <v>927</v>
      </c>
      <c r="W335" s="25" t="str">
        <f t="shared" si="24"/>
        <v>Aluminium ValanceInside Window MountAcmeda External Motor</v>
      </c>
      <c r="X335" s="25">
        <v>0</v>
      </c>
      <c r="Y335" s="25" t="s">
        <v>824</v>
      </c>
      <c r="Z335" s="25">
        <v>0</v>
      </c>
      <c r="AA335" s="25" t="s">
        <v>824</v>
      </c>
      <c r="AB335" s="25" t="s">
        <v>821</v>
      </c>
      <c r="AC335" s="25" t="s">
        <v>821</v>
      </c>
      <c r="AD335" s="25" t="s">
        <v>818</v>
      </c>
      <c r="AE335" s="25" t="s">
        <v>824</v>
      </c>
    </row>
    <row r="336" spans="20:31" ht="14.4">
      <c r="T336" t="s">
        <v>895</v>
      </c>
      <c r="U336" s="25" t="s">
        <v>880</v>
      </c>
      <c r="V336" t="s">
        <v>918</v>
      </c>
      <c r="W336" s="25" t="str">
        <f t="shared" si="24"/>
        <v>Aluminium ValanceInside Window MountAcmeda External 12v Motor</v>
      </c>
      <c r="X336" s="25">
        <v>0</v>
      </c>
      <c r="Y336" s="25" t="s">
        <v>824</v>
      </c>
      <c r="Z336" s="25">
        <v>0</v>
      </c>
      <c r="AA336" s="25" t="s">
        <v>824</v>
      </c>
      <c r="AB336" s="25" t="s">
        <v>821</v>
      </c>
      <c r="AC336" s="25" t="s">
        <v>821</v>
      </c>
      <c r="AD336" s="25" t="s">
        <v>818</v>
      </c>
      <c r="AE336" s="25" t="s">
        <v>824</v>
      </c>
    </row>
    <row r="337" spans="20:31" ht="14.4">
      <c r="T337" t="s">
        <v>895</v>
      </c>
      <c r="U337" s="25" t="s">
        <v>880</v>
      </c>
      <c r="V337" t="s">
        <v>979</v>
      </c>
      <c r="W337" s="25" t="str">
        <f t="shared" si="24"/>
        <v>Aluminium ValanceInside Window MountSomfy External CBUS Motor</v>
      </c>
      <c r="X337" s="25">
        <v>0</v>
      </c>
      <c r="Y337" s="25" t="s">
        <v>824</v>
      </c>
      <c r="Z337" s="25">
        <v>0</v>
      </c>
      <c r="AA337" s="25" t="s">
        <v>824</v>
      </c>
      <c r="AB337" s="25" t="s">
        <v>821</v>
      </c>
      <c r="AC337" s="25" t="s">
        <v>821</v>
      </c>
      <c r="AD337" s="25" t="s">
        <v>818</v>
      </c>
      <c r="AE337" s="25" t="s">
        <v>824</v>
      </c>
    </row>
    <row r="338" spans="20:31" ht="14.4">
      <c r="T338" t="s">
        <v>895</v>
      </c>
      <c r="U338" s="25" t="s">
        <v>880</v>
      </c>
      <c r="V338" t="s">
        <v>983</v>
      </c>
      <c r="W338" s="25" t="str">
        <f t="shared" si="24"/>
        <v>Aluminium ValanceInside Window MountSomfy External Remote Motor</v>
      </c>
      <c r="X338" s="25">
        <v>0</v>
      </c>
      <c r="Y338" s="25" t="s">
        <v>824</v>
      </c>
      <c r="Z338" s="25">
        <v>0</v>
      </c>
      <c r="AA338" s="25" t="s">
        <v>824</v>
      </c>
      <c r="AB338" s="25" t="s">
        <v>821</v>
      </c>
      <c r="AC338" s="25" t="s">
        <v>821</v>
      </c>
      <c r="AD338" s="25" t="s">
        <v>818</v>
      </c>
      <c r="AE338" s="25" t="s">
        <v>824</v>
      </c>
    </row>
    <row r="339" spans="20:31" ht="14.4">
      <c r="T339" t="s">
        <v>895</v>
      </c>
      <c r="U339" s="25" t="s">
        <v>880</v>
      </c>
      <c r="V339" t="s">
        <v>995</v>
      </c>
      <c r="W339" s="25" t="str">
        <f t="shared" si="24"/>
        <v>Aluminium ValanceInside Window MountHD Somfy External CBUS Motor</v>
      </c>
      <c r="X339" s="25">
        <v>0</v>
      </c>
      <c r="Y339" s="25" t="s">
        <v>824</v>
      </c>
      <c r="Z339" s="25">
        <v>0</v>
      </c>
      <c r="AA339" s="25" t="s">
        <v>824</v>
      </c>
      <c r="AB339" s="25" t="s">
        <v>821</v>
      </c>
      <c r="AC339" s="25" t="s">
        <v>821</v>
      </c>
      <c r="AD339" s="25" t="s">
        <v>818</v>
      </c>
      <c r="AE339" s="25" t="s">
        <v>824</v>
      </c>
    </row>
    <row r="340" spans="20:31" ht="14.4">
      <c r="T340" t="s">
        <v>895</v>
      </c>
      <c r="U340" s="25" t="s">
        <v>880</v>
      </c>
      <c r="V340" t="s">
        <v>999</v>
      </c>
      <c r="W340" s="25" t="str">
        <f t="shared" si="24"/>
        <v>Aluminium ValanceInside Window MountHD Somfy External Remote Motor</v>
      </c>
      <c r="X340" s="25">
        <v>0</v>
      </c>
      <c r="Y340" s="25" t="s">
        <v>824</v>
      </c>
      <c r="Z340" s="25">
        <v>0</v>
      </c>
      <c r="AA340" s="25" t="s">
        <v>824</v>
      </c>
      <c r="AB340" s="25" t="s">
        <v>821</v>
      </c>
      <c r="AC340" s="25" t="s">
        <v>821</v>
      </c>
      <c r="AD340" s="25" t="s">
        <v>818</v>
      </c>
      <c r="AE340" s="25" t="s">
        <v>824</v>
      </c>
    </row>
    <row r="341" spans="20:31" ht="14.4">
      <c r="T341" t="s">
        <v>895</v>
      </c>
      <c r="U341" s="25" t="s">
        <v>867</v>
      </c>
      <c r="V341" s="25" t="s">
        <v>823</v>
      </c>
      <c r="W341" s="25" t="str">
        <f t="shared" si="24"/>
        <v>Aluminium ValanceOutside Window MountChain Winder</v>
      </c>
      <c r="X341" s="25">
        <v>0</v>
      </c>
      <c r="Y341" s="25" t="s">
        <v>824</v>
      </c>
      <c r="Z341" s="25">
        <v>0</v>
      </c>
      <c r="AA341" s="25" t="s">
        <v>824</v>
      </c>
      <c r="AB341" s="25" t="s">
        <v>821</v>
      </c>
      <c r="AC341" s="25" t="s">
        <v>821</v>
      </c>
      <c r="AD341" s="25" t="s">
        <v>818</v>
      </c>
      <c r="AE341" s="25" t="s">
        <v>824</v>
      </c>
    </row>
    <row r="342" spans="20:31" ht="14.4">
      <c r="T342" t="s">
        <v>895</v>
      </c>
      <c r="U342" s="25" t="s">
        <v>867</v>
      </c>
      <c r="V342" s="25" t="s">
        <v>841</v>
      </c>
      <c r="W342" s="25" t="str">
        <f t="shared" si="24"/>
        <v>Aluminium ValanceOutside Window MountHD Chain Winder</v>
      </c>
      <c r="X342" s="25">
        <v>0</v>
      </c>
      <c r="Y342" s="25" t="s">
        <v>824</v>
      </c>
      <c r="Z342" s="25">
        <v>0</v>
      </c>
      <c r="AA342" s="25" t="s">
        <v>824</v>
      </c>
      <c r="AB342" s="25" t="s">
        <v>821</v>
      </c>
      <c r="AC342" s="25" t="s">
        <v>821</v>
      </c>
      <c r="AD342" s="25" t="s">
        <v>818</v>
      </c>
      <c r="AE342" s="25" t="s">
        <v>824</v>
      </c>
    </row>
    <row r="343" spans="20:31" ht="14.4">
      <c r="T343" t="s">
        <v>895</v>
      </c>
      <c r="U343" s="25" t="s">
        <v>867</v>
      </c>
      <c r="V343" s="25" t="s">
        <v>858</v>
      </c>
      <c r="W343" s="25" t="str">
        <f t="shared" si="24"/>
        <v>Aluminium ValanceOutside Window MountChain Winder 60mm</v>
      </c>
      <c r="X343" s="25">
        <v>0</v>
      </c>
      <c r="Y343" s="25" t="s">
        <v>824</v>
      </c>
      <c r="Z343" s="25">
        <v>0</v>
      </c>
      <c r="AA343" s="25" t="s">
        <v>824</v>
      </c>
      <c r="AB343" s="25" t="s">
        <v>821</v>
      </c>
      <c r="AC343" s="25" t="s">
        <v>821</v>
      </c>
      <c r="AD343" s="25" t="s">
        <v>818</v>
      </c>
      <c r="AE343" s="25" t="s">
        <v>824</v>
      </c>
    </row>
    <row r="344" spans="20:31" ht="14.4">
      <c r="T344" t="s">
        <v>895</v>
      </c>
      <c r="U344" s="25" t="s">
        <v>867</v>
      </c>
      <c r="V344" s="25" t="s">
        <v>865</v>
      </c>
      <c r="W344" s="25" t="str">
        <f t="shared" si="24"/>
        <v>Aluminium ValanceOutside Window MountChain Winder Fixed Guide</v>
      </c>
      <c r="X344" s="25">
        <v>0</v>
      </c>
      <c r="Y344" s="25" t="s">
        <v>824</v>
      </c>
      <c r="Z344" s="25">
        <v>0</v>
      </c>
      <c r="AA344" s="25" t="s">
        <v>824</v>
      </c>
      <c r="AB344" s="25" t="s">
        <v>821</v>
      </c>
      <c r="AC344" s="25" t="s">
        <v>821</v>
      </c>
      <c r="AD344" s="25" t="s">
        <v>818</v>
      </c>
      <c r="AE344" s="25" t="s">
        <v>824</v>
      </c>
    </row>
    <row r="345" spans="20:31" ht="14.4">
      <c r="T345" t="s">
        <v>895</v>
      </c>
      <c r="U345" s="25" t="s">
        <v>867</v>
      </c>
      <c r="V345" s="25" t="s">
        <v>181</v>
      </c>
      <c r="W345" s="25" t="str">
        <f t="shared" si="24"/>
        <v>Aluminium ValanceOutside Window MountLinked</v>
      </c>
      <c r="X345" s="25">
        <v>0</v>
      </c>
      <c r="Y345" s="25" t="s">
        <v>824</v>
      </c>
      <c r="Z345" s="25">
        <v>0</v>
      </c>
      <c r="AA345" s="25" t="s">
        <v>824</v>
      </c>
      <c r="AB345" s="25" t="s">
        <v>821</v>
      </c>
      <c r="AC345" s="25" t="s">
        <v>821</v>
      </c>
      <c r="AD345" s="25" t="s">
        <v>818</v>
      </c>
      <c r="AE345" s="25" t="s">
        <v>824</v>
      </c>
    </row>
    <row r="346" spans="20:31" ht="14.4">
      <c r="T346" t="s">
        <v>895</v>
      </c>
      <c r="U346" s="25" t="s">
        <v>867</v>
      </c>
      <c r="V346" s="25" t="s">
        <v>898</v>
      </c>
      <c r="W346" s="25" t="str">
        <f t="shared" si="24"/>
        <v>Aluminium ValanceOutside Window MountLinked - HD</v>
      </c>
      <c r="X346" s="25">
        <v>0</v>
      </c>
      <c r="Y346" s="25" t="s">
        <v>824</v>
      </c>
      <c r="Z346" s="25">
        <v>0</v>
      </c>
      <c r="AA346" s="25" t="s">
        <v>824</v>
      </c>
      <c r="AB346" s="25" t="s">
        <v>821</v>
      </c>
      <c r="AC346" s="25" t="s">
        <v>821</v>
      </c>
      <c r="AD346" s="25" t="s">
        <v>818</v>
      </c>
      <c r="AE346" s="25" t="s">
        <v>824</v>
      </c>
    </row>
    <row r="347" spans="20:31" ht="14.4">
      <c r="T347" t="s">
        <v>895</v>
      </c>
      <c r="U347" s="25" t="s">
        <v>867</v>
      </c>
      <c r="V347" s="25" t="s">
        <v>910</v>
      </c>
      <c r="W347" s="25" t="str">
        <f t="shared" si="24"/>
        <v>Aluminium ValanceOutside Window MountStandard Spring</v>
      </c>
      <c r="X347" s="25">
        <v>0</v>
      </c>
      <c r="Y347" s="25" t="s">
        <v>824</v>
      </c>
      <c r="Z347" s="25">
        <v>0</v>
      </c>
      <c r="AA347" s="25" t="s">
        <v>824</v>
      </c>
      <c r="AB347" s="25" t="s">
        <v>821</v>
      </c>
      <c r="AC347" s="25" t="s">
        <v>821</v>
      </c>
      <c r="AD347" s="25" t="s">
        <v>818</v>
      </c>
      <c r="AE347" s="25" t="s">
        <v>824</v>
      </c>
    </row>
    <row r="348" spans="20:31" ht="14.4">
      <c r="T348" t="s">
        <v>895</v>
      </c>
      <c r="U348" s="25" t="s">
        <v>867</v>
      </c>
      <c r="V348" s="25" t="s">
        <v>920</v>
      </c>
      <c r="W348" s="25" t="str">
        <f t="shared" si="24"/>
        <v>Aluminium ValanceOutside Window MountSmall Spring</v>
      </c>
      <c r="X348" s="25">
        <v>0</v>
      </c>
      <c r="Y348" s="25" t="s">
        <v>824</v>
      </c>
      <c r="Z348" s="25">
        <v>0</v>
      </c>
      <c r="AA348" s="25" t="s">
        <v>824</v>
      </c>
      <c r="AB348" s="25" t="s">
        <v>821</v>
      </c>
      <c r="AC348" s="25" t="s">
        <v>821</v>
      </c>
      <c r="AD348" s="25" t="s">
        <v>818</v>
      </c>
      <c r="AE348" s="25" t="s">
        <v>824</v>
      </c>
    </row>
    <row r="349" spans="20:31" ht="14.4">
      <c r="T349" t="s">
        <v>895</v>
      </c>
      <c r="U349" s="25" t="s">
        <v>867</v>
      </c>
      <c r="V349" s="25" t="s">
        <v>929</v>
      </c>
      <c r="W349" s="25" t="str">
        <f t="shared" si="24"/>
        <v>Aluminium ValanceOutside Window MountUniline Spring (Old Style)</v>
      </c>
      <c r="X349" s="25">
        <v>0</v>
      </c>
      <c r="Y349" s="25" t="s">
        <v>824</v>
      </c>
      <c r="Z349" s="25">
        <v>0</v>
      </c>
      <c r="AA349" s="25" t="s">
        <v>824</v>
      </c>
      <c r="AB349" s="25" t="s">
        <v>821</v>
      </c>
      <c r="AC349" s="25" t="s">
        <v>821</v>
      </c>
      <c r="AD349" s="25" t="s">
        <v>818</v>
      </c>
      <c r="AE349" s="25" t="s">
        <v>824</v>
      </c>
    </row>
    <row r="350" spans="20:31" ht="14.4">
      <c r="T350" t="s">
        <v>895</v>
      </c>
      <c r="U350" s="25" t="s">
        <v>867</v>
      </c>
      <c r="V350" s="25" t="s">
        <v>935</v>
      </c>
      <c r="W350" s="25" t="str">
        <f t="shared" si="24"/>
        <v>Aluminium ValanceOutside Window MountBecker Remote Motor</v>
      </c>
      <c r="X350" s="25">
        <v>0</v>
      </c>
      <c r="Y350" s="25" t="s">
        <v>824</v>
      </c>
      <c r="Z350" s="25">
        <v>0</v>
      </c>
      <c r="AA350" s="25" t="s">
        <v>824</v>
      </c>
      <c r="AB350" s="25" t="s">
        <v>821</v>
      </c>
      <c r="AC350" s="25" t="s">
        <v>821</v>
      </c>
      <c r="AD350" s="25" t="s">
        <v>818</v>
      </c>
      <c r="AE350" s="25" t="s">
        <v>824</v>
      </c>
    </row>
    <row r="351" spans="20:31" ht="14.4">
      <c r="T351" t="s">
        <v>895</v>
      </c>
      <c r="U351" s="25" t="s">
        <v>867</v>
      </c>
      <c r="V351" s="25" t="s">
        <v>939</v>
      </c>
      <c r="W351" s="25" t="str">
        <f t="shared" si="24"/>
        <v>Aluminium ValanceOutside Window MountBecker CBUS Motor</v>
      </c>
      <c r="X351" s="25">
        <v>0</v>
      </c>
      <c r="Y351" s="25" t="s">
        <v>824</v>
      </c>
      <c r="Z351" s="25">
        <v>0</v>
      </c>
      <c r="AA351" s="25" t="s">
        <v>824</v>
      </c>
      <c r="AB351" s="25" t="s">
        <v>821</v>
      </c>
      <c r="AC351" s="25" t="s">
        <v>821</v>
      </c>
      <c r="AD351" s="25" t="s">
        <v>818</v>
      </c>
      <c r="AE351" s="25" t="s">
        <v>824</v>
      </c>
    </row>
    <row r="352" spans="20:31" ht="14.4">
      <c r="T352" t="s">
        <v>895</v>
      </c>
      <c r="U352" s="25" t="s">
        <v>867</v>
      </c>
      <c r="V352" s="25" t="s">
        <v>946</v>
      </c>
      <c r="W352" s="25" t="str">
        <f t="shared" si="24"/>
        <v>Aluminium ValanceOutside Window MountBecker External Remote Motor</v>
      </c>
      <c r="X352" s="25">
        <v>0</v>
      </c>
      <c r="Y352" s="25" t="s">
        <v>824</v>
      </c>
      <c r="Z352" s="25">
        <v>0</v>
      </c>
      <c r="AA352" s="25" t="s">
        <v>824</v>
      </c>
      <c r="AB352" s="25" t="s">
        <v>821</v>
      </c>
      <c r="AC352" s="25" t="s">
        <v>821</v>
      </c>
      <c r="AD352" s="25" t="s">
        <v>818</v>
      </c>
      <c r="AE352" s="25" t="s">
        <v>824</v>
      </c>
    </row>
    <row r="353" spans="20:31" ht="14.4">
      <c r="T353" t="s">
        <v>895</v>
      </c>
      <c r="U353" s="25" t="s">
        <v>867</v>
      </c>
      <c r="V353" s="25" t="s">
        <v>951</v>
      </c>
      <c r="W353" s="25" t="str">
        <f t="shared" si="24"/>
        <v>Aluminium ValanceOutside Window MountBecker External CBUS Motor</v>
      </c>
      <c r="X353" s="25">
        <v>0</v>
      </c>
      <c r="Y353" s="25" t="s">
        <v>824</v>
      </c>
      <c r="Z353" s="25">
        <v>0</v>
      </c>
      <c r="AA353" s="25" t="s">
        <v>824</v>
      </c>
      <c r="AB353" s="25" t="s">
        <v>821</v>
      </c>
      <c r="AC353" s="25" t="s">
        <v>821</v>
      </c>
      <c r="AD353" s="25" t="s">
        <v>818</v>
      </c>
      <c r="AE353" s="25" t="s">
        <v>824</v>
      </c>
    </row>
    <row r="354" spans="20:31" ht="14.4">
      <c r="T354" t="s">
        <v>895</v>
      </c>
      <c r="U354" s="25" t="s">
        <v>867</v>
      </c>
      <c r="V354" s="25" t="s">
        <v>838</v>
      </c>
      <c r="W354" s="25" t="str">
        <f t="shared" si="24"/>
        <v>Aluminium ValanceOutside Window Mount1.1nm 12v Acmeda Motor</v>
      </c>
      <c r="X354" s="25">
        <v>0</v>
      </c>
      <c r="Y354" s="25" t="s">
        <v>824</v>
      </c>
      <c r="Z354" s="25">
        <v>0</v>
      </c>
      <c r="AA354" s="25" t="s">
        <v>824</v>
      </c>
      <c r="AB354" s="25" t="s">
        <v>821</v>
      </c>
      <c r="AC354" s="25" t="s">
        <v>821</v>
      </c>
      <c r="AD354" s="25" t="s">
        <v>818</v>
      </c>
      <c r="AE354" s="25" t="s">
        <v>824</v>
      </c>
    </row>
    <row r="355" spans="20:31" ht="14.4">
      <c r="T355" t="s">
        <v>895</v>
      </c>
      <c r="U355" s="25" t="s">
        <v>867</v>
      </c>
      <c r="V355" t="s">
        <v>882</v>
      </c>
      <c r="W355" s="25" t="str">
        <f t="shared" si="24"/>
        <v>Aluminium ValanceOutside Window Mount2nm 12v Acmeda Motor</v>
      </c>
      <c r="X355" s="25">
        <v>0</v>
      </c>
      <c r="Y355" s="25" t="s">
        <v>824</v>
      </c>
      <c r="Z355" s="25">
        <v>0</v>
      </c>
      <c r="AA355" s="25" t="s">
        <v>824</v>
      </c>
      <c r="AB355" s="25" t="s">
        <v>821</v>
      </c>
      <c r="AC355" s="25" t="s">
        <v>821</v>
      </c>
      <c r="AD355" s="25" t="s">
        <v>818</v>
      </c>
      <c r="AE355" s="25" t="s">
        <v>824</v>
      </c>
    </row>
    <row r="356" spans="20:31" ht="14.4">
      <c r="T356" t="s">
        <v>895</v>
      </c>
      <c r="U356" s="25" t="s">
        <v>867</v>
      </c>
      <c r="V356" t="s">
        <v>896</v>
      </c>
      <c r="W356" s="25" t="str">
        <f t="shared" si="24"/>
        <v>Aluminium ValanceOutside Window MountAcmeda 12v 6nm Motor</v>
      </c>
      <c r="X356" s="25">
        <v>0</v>
      </c>
      <c r="Y356" s="25" t="s">
        <v>824</v>
      </c>
      <c r="Z356" s="25">
        <v>0</v>
      </c>
      <c r="AA356" s="25" t="s">
        <v>824</v>
      </c>
      <c r="AB356" s="25" t="s">
        <v>821</v>
      </c>
      <c r="AC356" s="25" t="s">
        <v>821</v>
      </c>
      <c r="AD356" s="25" t="s">
        <v>818</v>
      </c>
      <c r="AE356" s="25" t="s">
        <v>824</v>
      </c>
    </row>
    <row r="357" spans="20:31" ht="14.4">
      <c r="T357" t="s">
        <v>895</v>
      </c>
      <c r="U357" s="25" t="s">
        <v>867</v>
      </c>
      <c r="V357" t="s">
        <v>855</v>
      </c>
      <c r="W357" s="25" t="str">
        <f t="shared" si="24"/>
        <v>Aluminium ValanceOutside Window Mount0.7nm 12v Acmeda Motor</v>
      </c>
      <c r="X357" s="25">
        <v>0</v>
      </c>
      <c r="Y357" s="25" t="s">
        <v>824</v>
      </c>
      <c r="Z357" s="25">
        <v>0</v>
      </c>
      <c r="AA357" s="25" t="s">
        <v>824</v>
      </c>
      <c r="AB357" s="25" t="s">
        <v>821</v>
      </c>
      <c r="AC357" s="25" t="s">
        <v>821</v>
      </c>
      <c r="AD357" s="25" t="s">
        <v>818</v>
      </c>
      <c r="AE357" s="25" t="s">
        <v>824</v>
      </c>
    </row>
    <row r="358" spans="20:31" ht="14.4">
      <c r="T358" t="s">
        <v>895</v>
      </c>
      <c r="U358" s="25" t="s">
        <v>867</v>
      </c>
      <c r="V358" s="25" t="s">
        <v>849</v>
      </c>
      <c r="W358" s="25" t="str">
        <f t="shared" si="24"/>
        <v>Aluminium ValanceOutside Window Mount1.1nm 12v Acmeda DCRF Motor with External Battery</v>
      </c>
      <c r="X358" s="25">
        <v>0</v>
      </c>
      <c r="Y358" s="25" t="s">
        <v>824</v>
      </c>
      <c r="Z358" s="25">
        <v>0</v>
      </c>
      <c r="AA358" s="25" t="s">
        <v>824</v>
      </c>
      <c r="AB358" s="25" t="s">
        <v>821</v>
      </c>
      <c r="AC358" s="25" t="s">
        <v>821</v>
      </c>
      <c r="AD358" s="25" t="s">
        <v>818</v>
      </c>
      <c r="AE358" s="25" t="s">
        <v>824</v>
      </c>
    </row>
    <row r="359" spans="20:31" ht="14.4">
      <c r="T359" t="s">
        <v>895</v>
      </c>
      <c r="U359" s="25" t="s">
        <v>867</v>
      </c>
      <c r="V359" s="25" t="s">
        <v>817</v>
      </c>
      <c r="W359" s="25" t="str">
        <f t="shared" si="24"/>
        <v>Aluminium ValanceOutside Window Mount1.1nm 12v Acmeda DCRF Motor</v>
      </c>
      <c r="X359" s="25">
        <v>0</v>
      </c>
      <c r="Y359" s="25" t="s">
        <v>824</v>
      </c>
      <c r="Z359" s="25">
        <v>0</v>
      </c>
      <c r="AA359" s="25" t="s">
        <v>824</v>
      </c>
      <c r="AB359" s="25" t="s">
        <v>821</v>
      </c>
      <c r="AC359" s="25" t="s">
        <v>821</v>
      </c>
      <c r="AD359" s="25" t="s">
        <v>818</v>
      </c>
      <c r="AE359" s="25" t="s">
        <v>824</v>
      </c>
    </row>
    <row r="360" spans="20:31" ht="14.4">
      <c r="T360" t="s">
        <v>895</v>
      </c>
      <c r="U360" s="25" t="s">
        <v>867</v>
      </c>
      <c r="V360" s="25" t="s">
        <v>868</v>
      </c>
      <c r="W360" s="25" t="str">
        <f t="shared" si="24"/>
        <v>Aluminium ValanceOutside Window Mount2nm 12v Acmeda DCRF Motor</v>
      </c>
      <c r="X360" s="25">
        <v>0</v>
      </c>
      <c r="Y360" s="25" t="s">
        <v>824</v>
      </c>
      <c r="Z360" s="25">
        <v>0</v>
      </c>
      <c r="AA360" s="25" t="s">
        <v>824</v>
      </c>
      <c r="AB360" s="25" t="s">
        <v>821</v>
      </c>
      <c r="AC360" s="25" t="s">
        <v>821</v>
      </c>
      <c r="AD360" s="25" t="s">
        <v>818</v>
      </c>
      <c r="AE360" s="25" t="s">
        <v>824</v>
      </c>
    </row>
    <row r="361" spans="20:31" ht="14.4">
      <c r="T361" t="s">
        <v>895</v>
      </c>
      <c r="U361" s="25" t="s">
        <v>867</v>
      </c>
      <c r="V361" t="s">
        <v>973</v>
      </c>
      <c r="W361" s="25" t="str">
        <f t="shared" si="24"/>
        <v>Aluminium ValanceOutside Window MountSomfy Remote Sonesse Motor</v>
      </c>
      <c r="X361" s="25">
        <v>0</v>
      </c>
      <c r="Y361" s="25" t="s">
        <v>824</v>
      </c>
      <c r="Z361" s="25">
        <v>0</v>
      </c>
      <c r="AA361" s="25" t="s">
        <v>824</v>
      </c>
      <c r="AB361" s="25" t="s">
        <v>821</v>
      </c>
      <c r="AC361" s="25" t="s">
        <v>821</v>
      </c>
      <c r="AD361" s="25" t="s">
        <v>818</v>
      </c>
      <c r="AE361" s="25" t="s">
        <v>824</v>
      </c>
    </row>
    <row r="362" spans="20:31" ht="14.4">
      <c r="T362" t="s">
        <v>895</v>
      </c>
      <c r="U362" s="25" t="s">
        <v>867</v>
      </c>
      <c r="V362" t="s">
        <v>637</v>
      </c>
      <c r="W362" s="25" t="str">
        <f t="shared" si="24"/>
        <v>Aluminium ValanceOutside Window MountSomfy 12v Remote Sonesse Motor</v>
      </c>
      <c r="X362" s="25">
        <v>0</v>
      </c>
      <c r="Y362" s="25" t="s">
        <v>824</v>
      </c>
      <c r="Z362" s="25">
        <v>0</v>
      </c>
      <c r="AA362" s="25" t="s">
        <v>824</v>
      </c>
      <c r="AB362" s="25" t="s">
        <v>821</v>
      </c>
      <c r="AC362" s="25" t="s">
        <v>821</v>
      </c>
      <c r="AD362" s="25" t="s">
        <v>818</v>
      </c>
      <c r="AE362" s="25" t="s">
        <v>824</v>
      </c>
    </row>
    <row r="363" spans="20:31" ht="14.4">
      <c r="T363" t="s">
        <v>895</v>
      </c>
      <c r="U363" s="25" t="s">
        <v>867</v>
      </c>
      <c r="V363" s="25" t="s">
        <v>974</v>
      </c>
      <c r="W363" s="25" t="str">
        <f t="shared" si="24"/>
        <v>Aluminium ValanceOutside Window MountSomfy CBUS Motor</v>
      </c>
      <c r="X363" s="25">
        <v>0</v>
      </c>
      <c r="Y363" s="25" t="s">
        <v>824</v>
      </c>
      <c r="Z363" s="25">
        <v>0</v>
      </c>
      <c r="AA363" s="25" t="s">
        <v>824</v>
      </c>
      <c r="AB363" s="25" t="s">
        <v>821</v>
      </c>
      <c r="AC363" s="25" t="s">
        <v>821</v>
      </c>
      <c r="AD363" s="25" t="s">
        <v>818</v>
      </c>
      <c r="AE363" s="25" t="s">
        <v>824</v>
      </c>
    </row>
    <row r="364" spans="20:31" ht="14.4">
      <c r="T364" t="s">
        <v>895</v>
      </c>
      <c r="U364" s="25" t="s">
        <v>867</v>
      </c>
      <c r="V364" t="s">
        <v>986</v>
      </c>
      <c r="W364" s="25" t="str">
        <f t="shared" si="24"/>
        <v>Aluminium ValanceOutside Window MountHD Somfy Remote Sonesse Motor</v>
      </c>
      <c r="X364" s="25">
        <v>0</v>
      </c>
      <c r="Y364" s="25" t="s">
        <v>824</v>
      </c>
      <c r="Z364" s="25">
        <v>0</v>
      </c>
      <c r="AA364" s="25" t="s">
        <v>824</v>
      </c>
      <c r="AB364" s="25" t="s">
        <v>821</v>
      </c>
      <c r="AC364" s="25" t="s">
        <v>821</v>
      </c>
      <c r="AD364" s="25" t="s">
        <v>818</v>
      </c>
      <c r="AE364" s="25" t="s">
        <v>824</v>
      </c>
    </row>
    <row r="365" spans="20:31" ht="14.4">
      <c r="T365" t="s">
        <v>895</v>
      </c>
      <c r="U365" s="25" t="s">
        <v>867</v>
      </c>
      <c r="V365" t="s">
        <v>989</v>
      </c>
      <c r="W365" s="25" t="str">
        <f t="shared" si="24"/>
        <v>Aluminium ValanceOutside Window MountHD Somfy 12v Remote Sonesse Motor</v>
      </c>
      <c r="X365" s="25">
        <v>0</v>
      </c>
      <c r="Y365" s="25" t="s">
        <v>824</v>
      </c>
      <c r="Z365" s="25">
        <v>0</v>
      </c>
      <c r="AA365" s="25" t="s">
        <v>824</v>
      </c>
      <c r="AB365" s="25" t="s">
        <v>821</v>
      </c>
      <c r="AC365" s="25" t="s">
        <v>821</v>
      </c>
      <c r="AD365" s="25" t="s">
        <v>818</v>
      </c>
      <c r="AE365" s="25" t="s">
        <v>824</v>
      </c>
    </row>
    <row r="366" spans="20:31" ht="14.4">
      <c r="T366" t="s">
        <v>895</v>
      </c>
      <c r="U366" s="25" t="s">
        <v>867</v>
      </c>
      <c r="V366" s="25" t="s">
        <v>992</v>
      </c>
      <c r="W366" s="25" t="str">
        <f t="shared" si="24"/>
        <v>Aluminium ValanceOutside Window MountHD Somfy CBUS Motor</v>
      </c>
      <c r="X366" s="25">
        <v>0</v>
      </c>
      <c r="Y366" s="25" t="s">
        <v>824</v>
      </c>
      <c r="Z366" s="25">
        <v>0</v>
      </c>
      <c r="AA366" s="25" t="s">
        <v>824</v>
      </c>
      <c r="AB366" s="25" t="s">
        <v>821</v>
      </c>
      <c r="AC366" s="25" t="s">
        <v>821</v>
      </c>
      <c r="AD366" s="25" t="s">
        <v>818</v>
      </c>
      <c r="AE366" s="25" t="s">
        <v>824</v>
      </c>
    </row>
    <row r="367" spans="20:31" ht="14.4">
      <c r="T367" t="s">
        <v>895</v>
      </c>
      <c r="U367" s="25" t="s">
        <v>867</v>
      </c>
      <c r="V367" s="25" t="s">
        <v>625</v>
      </c>
      <c r="W367" s="25" t="str">
        <f t="shared" si="24"/>
        <v>Aluminium ValanceOutside Window MountAcmeda E6 Motor</v>
      </c>
      <c r="X367" s="25">
        <v>0</v>
      </c>
      <c r="Y367" s="25" t="s">
        <v>824</v>
      </c>
      <c r="Z367" s="25">
        <v>0</v>
      </c>
      <c r="AA367" s="25" t="s">
        <v>824</v>
      </c>
      <c r="AB367" s="25" t="s">
        <v>821</v>
      </c>
      <c r="AC367" s="25" t="s">
        <v>821</v>
      </c>
      <c r="AD367" s="25" t="s">
        <v>818</v>
      </c>
      <c r="AE367" s="25" t="s">
        <v>824</v>
      </c>
    </row>
    <row r="368" spans="20:31" ht="14.4">
      <c r="T368" t="s">
        <v>895</v>
      </c>
      <c r="U368" s="25" t="s">
        <v>867</v>
      </c>
      <c r="V368" s="25" t="s">
        <v>626</v>
      </c>
      <c r="W368" s="25" t="str">
        <f t="shared" si="24"/>
        <v>Aluminium ValanceOutside Window MountAcmeda M6 Motor</v>
      </c>
      <c r="X368" s="25">
        <v>0</v>
      </c>
      <c r="Y368" s="25" t="s">
        <v>824</v>
      </c>
      <c r="Z368" s="25">
        <v>0</v>
      </c>
      <c r="AA368" s="25" t="s">
        <v>824</v>
      </c>
      <c r="AB368" s="25" t="s">
        <v>821</v>
      </c>
      <c r="AC368" s="25" t="s">
        <v>821</v>
      </c>
      <c r="AD368" s="25" t="s">
        <v>818</v>
      </c>
      <c r="AE368" s="25" t="s">
        <v>824</v>
      </c>
    </row>
    <row r="369" spans="20:31" ht="14.4">
      <c r="T369" t="s">
        <v>895</v>
      </c>
      <c r="U369" s="25" t="s">
        <v>867</v>
      </c>
      <c r="V369" s="25" t="s">
        <v>1002</v>
      </c>
      <c r="W369" s="25" t="str">
        <f t="shared" si="24"/>
        <v>Aluminium ValanceOutside Window MountUniline Remote Motor</v>
      </c>
      <c r="X369" s="25">
        <v>0</v>
      </c>
      <c r="Y369" s="25" t="s">
        <v>824</v>
      </c>
      <c r="Z369" s="25">
        <v>0</v>
      </c>
      <c r="AA369" s="25" t="s">
        <v>824</v>
      </c>
      <c r="AB369" s="25" t="s">
        <v>821</v>
      </c>
      <c r="AC369" s="25" t="s">
        <v>821</v>
      </c>
      <c r="AD369" s="25" t="s">
        <v>818</v>
      </c>
      <c r="AE369" s="25" t="s">
        <v>824</v>
      </c>
    </row>
    <row r="370" spans="20:31" ht="14.4">
      <c r="T370" t="s">
        <v>895</v>
      </c>
      <c r="U370" s="25" t="s">
        <v>867</v>
      </c>
      <c r="V370" s="25" t="s">
        <v>1005</v>
      </c>
      <c r="W370" s="25" t="str">
        <f t="shared" si="24"/>
        <v>Aluminium ValanceOutside Window MountUniline Cbus Motor</v>
      </c>
      <c r="X370" s="25">
        <v>0</v>
      </c>
      <c r="Y370" s="25" t="s">
        <v>824</v>
      </c>
      <c r="Z370" s="25">
        <v>0</v>
      </c>
      <c r="AA370" s="25" t="s">
        <v>824</v>
      </c>
      <c r="AB370" s="25" t="s">
        <v>821</v>
      </c>
      <c r="AC370" s="25" t="s">
        <v>821</v>
      </c>
      <c r="AD370" s="25" t="s">
        <v>818</v>
      </c>
      <c r="AE370" s="25" t="s">
        <v>824</v>
      </c>
    </row>
    <row r="371" spans="20:31" ht="14.4">
      <c r="T371" t="s">
        <v>895</v>
      </c>
      <c r="U371" s="25" t="s">
        <v>867</v>
      </c>
      <c r="V371" s="25" t="s">
        <v>981</v>
      </c>
      <c r="W371" s="25" t="str">
        <f t="shared" si="24"/>
        <v>Aluminium ValanceOutside Window MountNice Remote Motor</v>
      </c>
      <c r="X371" s="25">
        <v>0</v>
      </c>
      <c r="Y371" s="25" t="s">
        <v>824</v>
      </c>
      <c r="Z371" s="25">
        <v>0</v>
      </c>
      <c r="AA371" s="25" t="s">
        <v>824</v>
      </c>
      <c r="AB371" s="25" t="s">
        <v>821</v>
      </c>
      <c r="AC371" s="25" t="s">
        <v>821</v>
      </c>
      <c r="AD371" s="25" t="s">
        <v>818</v>
      </c>
      <c r="AE371" s="25" t="s">
        <v>824</v>
      </c>
    </row>
    <row r="372" spans="20:31" ht="14.4">
      <c r="T372" t="s">
        <v>895</v>
      </c>
      <c r="U372" s="25" t="s">
        <v>867</v>
      </c>
      <c r="V372" s="25" t="s">
        <v>976</v>
      </c>
      <c r="W372" s="25" t="str">
        <f t="shared" si="24"/>
        <v>Aluminium ValanceOutside Window MountNice CBus Motor</v>
      </c>
      <c r="X372" s="25">
        <v>0</v>
      </c>
      <c r="Y372" s="25" t="s">
        <v>824</v>
      </c>
      <c r="Z372" s="25">
        <v>0</v>
      </c>
      <c r="AA372" s="25" t="s">
        <v>824</v>
      </c>
      <c r="AB372" s="25" t="s">
        <v>821</v>
      </c>
      <c r="AC372" s="25" t="s">
        <v>821</v>
      </c>
      <c r="AD372" s="25" t="s">
        <v>818</v>
      </c>
      <c r="AE372" s="25" t="s">
        <v>824</v>
      </c>
    </row>
    <row r="373" spans="20:31" ht="14.4">
      <c r="T373" t="s">
        <v>895</v>
      </c>
      <c r="U373" s="25" t="s">
        <v>867</v>
      </c>
      <c r="V373" t="s">
        <v>1006</v>
      </c>
      <c r="W373" s="25" t="str">
        <f t="shared" si="24"/>
        <v>Aluminium ValanceOutside Window MountSunboss Chain Winder 38mm Tube</v>
      </c>
      <c r="X373" s="25">
        <v>0</v>
      </c>
      <c r="Y373" s="25" t="s">
        <v>824</v>
      </c>
      <c r="Z373" s="25">
        <v>0</v>
      </c>
      <c r="AA373" s="25" t="s">
        <v>824</v>
      </c>
      <c r="AB373" s="25" t="s">
        <v>821</v>
      </c>
      <c r="AC373" s="25" t="s">
        <v>821</v>
      </c>
      <c r="AD373" s="25" t="s">
        <v>818</v>
      </c>
      <c r="AE373" s="25" t="s">
        <v>824</v>
      </c>
    </row>
    <row r="374" spans="20:31" ht="14.4">
      <c r="T374" t="s">
        <v>895</v>
      </c>
      <c r="U374" s="25" t="s">
        <v>867</v>
      </c>
      <c r="V374" t="s">
        <v>1017</v>
      </c>
      <c r="W374" s="25" t="str">
        <f t="shared" si="24"/>
        <v>Aluminium ValanceOutside Window MountSunboss Chain Winder 43mm Tube</v>
      </c>
      <c r="X374" s="25">
        <v>0</v>
      </c>
      <c r="Y374" s="25" t="s">
        <v>824</v>
      </c>
      <c r="Z374" s="25">
        <v>0</v>
      </c>
      <c r="AA374" s="25" t="s">
        <v>824</v>
      </c>
      <c r="AB374" s="25" t="s">
        <v>821</v>
      </c>
      <c r="AC374" s="25" t="s">
        <v>821</v>
      </c>
      <c r="AD374" s="25" t="s">
        <v>818</v>
      </c>
      <c r="AE374" s="25" t="s">
        <v>824</v>
      </c>
    </row>
    <row r="375" spans="20:31" ht="14.4">
      <c r="T375" t="s">
        <v>895</v>
      </c>
      <c r="U375" s="25" t="s">
        <v>867</v>
      </c>
      <c r="V375" s="25" t="s">
        <v>1012</v>
      </c>
      <c r="W375" s="25" t="str">
        <f t="shared" si="24"/>
        <v>Aluminium ValanceOutside Window MountTBS Remote Motor</v>
      </c>
      <c r="X375" s="25">
        <v>0</v>
      </c>
      <c r="Y375" s="25" t="s">
        <v>824</v>
      </c>
      <c r="Z375" s="25">
        <v>0</v>
      </c>
      <c r="AA375" s="25" t="s">
        <v>824</v>
      </c>
      <c r="AB375" s="25" t="s">
        <v>821</v>
      </c>
      <c r="AC375" s="25" t="s">
        <v>821</v>
      </c>
      <c r="AD375" s="25" t="s">
        <v>818</v>
      </c>
      <c r="AE375" s="25" t="s">
        <v>824</v>
      </c>
    </row>
    <row r="376" spans="20:31" ht="14.4">
      <c r="T376" t="s">
        <v>895</v>
      </c>
      <c r="U376" s="25" t="s">
        <v>867</v>
      </c>
      <c r="V376" t="s">
        <v>1009</v>
      </c>
      <c r="W376" s="25" t="str">
        <f t="shared" si="24"/>
        <v>Aluminium ValanceOutside Window MountTBS Cbus Motor</v>
      </c>
      <c r="X376" s="25">
        <v>0</v>
      </c>
      <c r="Y376" s="25" t="s">
        <v>824</v>
      </c>
      <c r="Z376" s="25">
        <v>0</v>
      </c>
      <c r="AA376" s="25" t="s">
        <v>824</v>
      </c>
      <c r="AB376" s="25" t="s">
        <v>821</v>
      </c>
      <c r="AC376" s="25" t="s">
        <v>821</v>
      </c>
      <c r="AE376" s="25" t="s">
        <v>824</v>
      </c>
    </row>
    <row r="377" spans="20:31" ht="14.4">
      <c r="T377" t="s">
        <v>895</v>
      </c>
      <c r="U377" s="25" t="s">
        <v>867</v>
      </c>
      <c r="V377" t="s">
        <v>927</v>
      </c>
      <c r="W377" s="25" t="str">
        <f t="shared" si="24"/>
        <v>Aluminium ValanceOutside Window MountAcmeda External Motor</v>
      </c>
      <c r="X377" s="25">
        <v>0</v>
      </c>
      <c r="Y377" s="25" t="s">
        <v>824</v>
      </c>
      <c r="Z377" s="25">
        <v>0</v>
      </c>
      <c r="AA377" s="25" t="s">
        <v>824</v>
      </c>
      <c r="AB377" s="25" t="s">
        <v>821</v>
      </c>
      <c r="AC377" s="25" t="s">
        <v>821</v>
      </c>
      <c r="AE377" s="25" t="s">
        <v>824</v>
      </c>
    </row>
    <row r="378" spans="20:31" ht="14.4">
      <c r="T378" t="s">
        <v>895</v>
      </c>
      <c r="U378" s="25" t="s">
        <v>867</v>
      </c>
      <c r="V378" t="s">
        <v>918</v>
      </c>
      <c r="W378" s="25" t="str">
        <f t="shared" si="24"/>
        <v>Aluminium ValanceOutside Window MountAcmeda External 12v Motor</v>
      </c>
      <c r="X378" s="25">
        <v>0</v>
      </c>
      <c r="Y378" s="25" t="s">
        <v>824</v>
      </c>
      <c r="Z378" s="25">
        <v>0</v>
      </c>
      <c r="AA378" s="25" t="s">
        <v>824</v>
      </c>
      <c r="AB378" s="25" t="s">
        <v>821</v>
      </c>
      <c r="AC378" s="25" t="s">
        <v>821</v>
      </c>
      <c r="AD378" s="25" t="s">
        <v>818</v>
      </c>
      <c r="AE378" s="25" t="s">
        <v>824</v>
      </c>
    </row>
    <row r="379" spans="20:31" ht="14.4">
      <c r="T379" t="s">
        <v>895</v>
      </c>
      <c r="U379" s="25" t="s">
        <v>867</v>
      </c>
      <c r="V379" t="s">
        <v>979</v>
      </c>
      <c r="W379" s="25" t="str">
        <f t="shared" si="24"/>
        <v>Aluminium ValanceOutside Window MountSomfy External CBUS Motor</v>
      </c>
      <c r="X379" s="25">
        <v>0</v>
      </c>
      <c r="Y379" s="25" t="s">
        <v>824</v>
      </c>
      <c r="Z379" s="25">
        <v>0</v>
      </c>
      <c r="AA379" s="25" t="s">
        <v>824</v>
      </c>
      <c r="AB379" s="25" t="s">
        <v>821</v>
      </c>
      <c r="AC379" s="25" t="s">
        <v>821</v>
      </c>
      <c r="AD379" s="25" t="s">
        <v>818</v>
      </c>
      <c r="AE379" s="25" t="s">
        <v>824</v>
      </c>
    </row>
    <row r="380" spans="20:31" ht="14.4">
      <c r="T380" t="s">
        <v>895</v>
      </c>
      <c r="U380" s="25" t="s">
        <v>867</v>
      </c>
      <c r="V380" t="s">
        <v>983</v>
      </c>
      <c r="W380" s="25" t="str">
        <f t="shared" si="24"/>
        <v>Aluminium ValanceOutside Window MountSomfy External Remote Motor</v>
      </c>
      <c r="X380" s="25">
        <v>0</v>
      </c>
      <c r="Y380" s="25" t="s">
        <v>824</v>
      </c>
      <c r="Z380" s="25">
        <v>0</v>
      </c>
      <c r="AA380" s="25" t="s">
        <v>824</v>
      </c>
      <c r="AB380" s="25" t="s">
        <v>821</v>
      </c>
      <c r="AC380" s="25" t="s">
        <v>821</v>
      </c>
      <c r="AD380" s="25" t="s">
        <v>818</v>
      </c>
      <c r="AE380" s="25" t="s">
        <v>824</v>
      </c>
    </row>
    <row r="381" spans="20:31" ht="14.4">
      <c r="T381" t="s">
        <v>895</v>
      </c>
      <c r="U381" s="25" t="s">
        <v>867</v>
      </c>
      <c r="V381" t="s">
        <v>995</v>
      </c>
      <c r="W381" s="25" t="str">
        <f t="shared" si="24"/>
        <v>Aluminium ValanceOutside Window MountHD Somfy External CBUS Motor</v>
      </c>
      <c r="X381" s="25">
        <v>0</v>
      </c>
      <c r="Y381" s="25" t="s">
        <v>824</v>
      </c>
      <c r="Z381" s="25">
        <v>0</v>
      </c>
      <c r="AA381" s="25" t="s">
        <v>824</v>
      </c>
      <c r="AB381" s="25" t="s">
        <v>821</v>
      </c>
      <c r="AC381" s="25" t="s">
        <v>821</v>
      </c>
      <c r="AD381" s="25" t="s">
        <v>818</v>
      </c>
      <c r="AE381" s="25" t="s">
        <v>824</v>
      </c>
    </row>
    <row r="382" spans="20:31" ht="14.4">
      <c r="T382" t="s">
        <v>895</v>
      </c>
      <c r="U382" s="25" t="s">
        <v>867</v>
      </c>
      <c r="V382" t="s">
        <v>999</v>
      </c>
      <c r="W382" s="25" t="str">
        <f t="shared" si="24"/>
        <v>Aluminium ValanceOutside Window MountHD Somfy External Remote Motor</v>
      </c>
      <c r="X382" s="25">
        <v>0</v>
      </c>
      <c r="Y382" s="25" t="s">
        <v>824</v>
      </c>
      <c r="Z382" s="25">
        <v>0</v>
      </c>
      <c r="AA382" s="25" t="s">
        <v>824</v>
      </c>
      <c r="AB382" s="25" t="s">
        <v>821</v>
      </c>
      <c r="AC382" s="25" t="s">
        <v>821</v>
      </c>
      <c r="AD382" s="25" t="s">
        <v>818</v>
      </c>
      <c r="AE382" s="25" t="s">
        <v>824</v>
      </c>
    </row>
    <row r="383" spans="20:31" ht="14.4">
      <c r="T383" t="s">
        <v>895</v>
      </c>
      <c r="U383" s="25" t="s">
        <v>837</v>
      </c>
      <c r="V383" s="25" t="s">
        <v>823</v>
      </c>
      <c r="W383" s="25" t="str">
        <f t="shared" si="24"/>
        <v>Aluminium ValanceRevealChain Winder</v>
      </c>
      <c r="X383" s="25">
        <v>0</v>
      </c>
      <c r="Y383" s="25" t="s">
        <v>824</v>
      </c>
      <c r="Z383" s="25">
        <v>0</v>
      </c>
      <c r="AA383" s="25" t="s">
        <v>824</v>
      </c>
      <c r="AB383" s="25" t="s">
        <v>821</v>
      </c>
      <c r="AC383" s="25" t="s">
        <v>821</v>
      </c>
      <c r="AD383" s="25" t="s">
        <v>818</v>
      </c>
      <c r="AE383" s="25" t="s">
        <v>824</v>
      </c>
    </row>
    <row r="384" spans="20:31" ht="14.4">
      <c r="T384" t="s">
        <v>895</v>
      </c>
      <c r="U384" s="25" t="s">
        <v>837</v>
      </c>
      <c r="V384" s="25" t="s">
        <v>841</v>
      </c>
      <c r="W384" s="25" t="str">
        <f t="shared" si="24"/>
        <v>Aluminium ValanceRevealHD Chain Winder</v>
      </c>
      <c r="X384" s="25">
        <v>0</v>
      </c>
      <c r="Y384" s="25" t="s">
        <v>824</v>
      </c>
      <c r="Z384" s="25">
        <v>0</v>
      </c>
      <c r="AA384" s="25" t="s">
        <v>824</v>
      </c>
      <c r="AB384" s="25" t="s">
        <v>821</v>
      </c>
      <c r="AC384" s="25" t="s">
        <v>821</v>
      </c>
      <c r="AD384" s="25" t="s">
        <v>818</v>
      </c>
      <c r="AE384" s="25" t="s">
        <v>824</v>
      </c>
    </row>
    <row r="385" spans="20:31" ht="14.4">
      <c r="T385" t="s">
        <v>895</v>
      </c>
      <c r="U385" s="25" t="s">
        <v>837</v>
      </c>
      <c r="V385" s="25" t="s">
        <v>858</v>
      </c>
      <c r="W385" s="25" t="str">
        <f t="shared" si="24"/>
        <v>Aluminium ValanceRevealChain Winder 60mm</v>
      </c>
      <c r="X385" s="25">
        <v>0</v>
      </c>
      <c r="Y385" s="25" t="s">
        <v>824</v>
      </c>
      <c r="Z385" s="25">
        <v>0</v>
      </c>
      <c r="AA385" s="25" t="s">
        <v>824</v>
      </c>
      <c r="AB385" s="25" t="s">
        <v>821</v>
      </c>
      <c r="AC385" s="25" t="s">
        <v>821</v>
      </c>
      <c r="AD385" s="25" t="s">
        <v>818</v>
      </c>
      <c r="AE385" s="25" t="s">
        <v>824</v>
      </c>
    </row>
    <row r="386" spans="20:31" ht="14.4">
      <c r="T386" t="s">
        <v>895</v>
      </c>
      <c r="U386" s="25" t="s">
        <v>837</v>
      </c>
      <c r="V386" s="25" t="s">
        <v>865</v>
      </c>
      <c r="W386" s="25" t="str">
        <f t="shared" si="24"/>
        <v>Aluminium ValanceRevealChain Winder Fixed Guide</v>
      </c>
      <c r="X386" s="25">
        <v>0</v>
      </c>
      <c r="Y386" s="25" t="s">
        <v>824</v>
      </c>
      <c r="Z386" s="25">
        <v>0</v>
      </c>
      <c r="AA386" s="25" t="s">
        <v>824</v>
      </c>
      <c r="AB386" s="25" t="s">
        <v>821</v>
      </c>
      <c r="AC386" s="25" t="s">
        <v>821</v>
      </c>
      <c r="AD386" s="25" t="s">
        <v>818</v>
      </c>
      <c r="AE386" s="25" t="s">
        <v>824</v>
      </c>
    </row>
    <row r="387" spans="20:31" ht="14.4">
      <c r="T387" t="s">
        <v>895</v>
      </c>
      <c r="U387" s="25" t="s">
        <v>837</v>
      </c>
      <c r="V387" s="25" t="s">
        <v>181</v>
      </c>
      <c r="W387" s="25" t="str">
        <f t="shared" si="25" ref="W387:W450">CONCATENATE(T387,U387,V387)</f>
        <v>Aluminium ValanceRevealLinked</v>
      </c>
      <c r="X387" s="25">
        <v>0</v>
      </c>
      <c r="Y387" s="25" t="s">
        <v>824</v>
      </c>
      <c r="Z387" s="25">
        <v>0</v>
      </c>
      <c r="AA387" s="25" t="s">
        <v>824</v>
      </c>
      <c r="AB387" s="25" t="s">
        <v>821</v>
      </c>
      <c r="AC387" s="25" t="s">
        <v>821</v>
      </c>
      <c r="AD387" s="25" t="s">
        <v>818</v>
      </c>
      <c r="AE387" s="25" t="s">
        <v>824</v>
      </c>
    </row>
    <row r="388" spans="20:31" ht="14.4">
      <c r="T388" t="s">
        <v>895</v>
      </c>
      <c r="U388" s="25" t="s">
        <v>837</v>
      </c>
      <c r="V388" s="25" t="s">
        <v>898</v>
      </c>
      <c r="W388" s="25" t="str">
        <f t="shared" si="25"/>
        <v>Aluminium ValanceRevealLinked - HD</v>
      </c>
      <c r="X388" s="25">
        <v>0</v>
      </c>
      <c r="Y388" s="25" t="s">
        <v>824</v>
      </c>
      <c r="Z388" s="25">
        <v>0</v>
      </c>
      <c r="AA388" s="25" t="s">
        <v>824</v>
      </c>
      <c r="AB388" s="25" t="s">
        <v>821</v>
      </c>
      <c r="AC388" s="25" t="s">
        <v>821</v>
      </c>
      <c r="AD388" s="25" t="s">
        <v>818</v>
      </c>
      <c r="AE388" s="25" t="s">
        <v>824</v>
      </c>
    </row>
    <row r="389" spans="20:31" ht="14.4">
      <c r="T389" t="s">
        <v>895</v>
      </c>
      <c r="U389" s="25" t="s">
        <v>837</v>
      </c>
      <c r="V389" s="25" t="s">
        <v>910</v>
      </c>
      <c r="W389" s="25" t="str">
        <f t="shared" si="25"/>
        <v>Aluminium ValanceRevealStandard Spring</v>
      </c>
      <c r="X389" s="25">
        <v>0</v>
      </c>
      <c r="Y389" s="25" t="s">
        <v>824</v>
      </c>
      <c r="Z389" s="25">
        <v>0</v>
      </c>
      <c r="AA389" s="25" t="s">
        <v>824</v>
      </c>
      <c r="AB389" s="25" t="s">
        <v>821</v>
      </c>
      <c r="AC389" s="25" t="s">
        <v>821</v>
      </c>
      <c r="AD389" s="25" t="s">
        <v>818</v>
      </c>
      <c r="AE389" s="25" t="s">
        <v>824</v>
      </c>
    </row>
    <row r="390" spans="20:31" ht="14.4">
      <c r="T390" t="s">
        <v>895</v>
      </c>
      <c r="U390" s="25" t="s">
        <v>837</v>
      </c>
      <c r="V390" s="25" t="s">
        <v>920</v>
      </c>
      <c r="W390" s="25" t="str">
        <f t="shared" si="25"/>
        <v>Aluminium ValanceRevealSmall Spring</v>
      </c>
      <c r="X390" s="25">
        <v>0</v>
      </c>
      <c r="Y390" s="25" t="s">
        <v>824</v>
      </c>
      <c r="Z390" s="25">
        <v>0</v>
      </c>
      <c r="AA390" s="25" t="s">
        <v>824</v>
      </c>
      <c r="AB390" s="25" t="s">
        <v>821</v>
      </c>
      <c r="AC390" s="25" t="s">
        <v>821</v>
      </c>
      <c r="AD390" s="25" t="s">
        <v>818</v>
      </c>
      <c r="AE390" s="25" t="s">
        <v>824</v>
      </c>
    </row>
    <row r="391" spans="20:31" ht="14.4">
      <c r="T391" t="s">
        <v>895</v>
      </c>
      <c r="U391" s="25" t="s">
        <v>837</v>
      </c>
      <c r="V391" s="25" t="s">
        <v>929</v>
      </c>
      <c r="W391" s="25" t="str">
        <f t="shared" si="25"/>
        <v>Aluminium ValanceRevealUniline Spring (Old Style)</v>
      </c>
      <c r="X391" s="25">
        <v>0</v>
      </c>
      <c r="Y391" s="25" t="s">
        <v>824</v>
      </c>
      <c r="Z391" s="25">
        <v>0</v>
      </c>
      <c r="AA391" s="25" t="s">
        <v>824</v>
      </c>
      <c r="AB391" s="25" t="s">
        <v>821</v>
      </c>
      <c r="AC391" s="25" t="s">
        <v>821</v>
      </c>
      <c r="AD391" s="25" t="s">
        <v>818</v>
      </c>
      <c r="AE391" s="25" t="s">
        <v>824</v>
      </c>
    </row>
    <row r="392" spans="20:31" ht="14.4">
      <c r="T392" t="s">
        <v>895</v>
      </c>
      <c r="U392" s="25" t="s">
        <v>837</v>
      </c>
      <c r="V392" s="25" t="s">
        <v>935</v>
      </c>
      <c r="W392" s="25" t="str">
        <f t="shared" si="25"/>
        <v>Aluminium ValanceRevealBecker Remote Motor</v>
      </c>
      <c r="X392" s="25">
        <v>0</v>
      </c>
      <c r="Y392" s="25" t="s">
        <v>824</v>
      </c>
      <c r="Z392" s="25">
        <v>0</v>
      </c>
      <c r="AA392" s="25" t="s">
        <v>824</v>
      </c>
      <c r="AB392" s="25" t="s">
        <v>821</v>
      </c>
      <c r="AC392" s="25" t="s">
        <v>821</v>
      </c>
      <c r="AD392" s="25" t="s">
        <v>818</v>
      </c>
      <c r="AE392" s="25" t="s">
        <v>824</v>
      </c>
    </row>
    <row r="393" spans="20:31" ht="14.4">
      <c r="T393" t="s">
        <v>895</v>
      </c>
      <c r="U393" s="25" t="s">
        <v>837</v>
      </c>
      <c r="V393" s="25" t="s">
        <v>939</v>
      </c>
      <c r="W393" s="25" t="str">
        <f t="shared" si="25"/>
        <v>Aluminium ValanceRevealBecker CBUS Motor</v>
      </c>
      <c r="X393" s="25">
        <v>0</v>
      </c>
      <c r="Y393" s="25" t="s">
        <v>824</v>
      </c>
      <c r="Z393" s="25">
        <v>0</v>
      </c>
      <c r="AA393" s="25" t="s">
        <v>824</v>
      </c>
      <c r="AB393" s="25" t="s">
        <v>821</v>
      </c>
      <c r="AC393" s="25" t="s">
        <v>821</v>
      </c>
      <c r="AD393" s="25" t="s">
        <v>818</v>
      </c>
      <c r="AE393" s="25" t="s">
        <v>824</v>
      </c>
    </row>
    <row r="394" spans="20:31" ht="14.4">
      <c r="T394" t="s">
        <v>895</v>
      </c>
      <c r="U394" s="25" t="s">
        <v>837</v>
      </c>
      <c r="V394" s="25" t="s">
        <v>946</v>
      </c>
      <c r="W394" s="25" t="str">
        <f t="shared" si="25"/>
        <v>Aluminium ValanceRevealBecker External Remote Motor</v>
      </c>
      <c r="X394" s="25">
        <v>0</v>
      </c>
      <c r="Y394" s="25" t="s">
        <v>824</v>
      </c>
      <c r="Z394" s="25">
        <v>0</v>
      </c>
      <c r="AA394" s="25" t="s">
        <v>824</v>
      </c>
      <c r="AB394" s="25" t="s">
        <v>821</v>
      </c>
      <c r="AC394" s="25" t="s">
        <v>821</v>
      </c>
      <c r="AD394" s="25" t="s">
        <v>818</v>
      </c>
      <c r="AE394" s="25" t="s">
        <v>824</v>
      </c>
    </row>
    <row r="395" spans="20:31" ht="14.4">
      <c r="T395" t="s">
        <v>895</v>
      </c>
      <c r="U395" s="25" t="s">
        <v>837</v>
      </c>
      <c r="V395" s="25" t="s">
        <v>951</v>
      </c>
      <c r="W395" s="25" t="str">
        <f t="shared" si="25"/>
        <v>Aluminium ValanceRevealBecker External CBUS Motor</v>
      </c>
      <c r="X395" s="25">
        <v>0</v>
      </c>
      <c r="Y395" s="25" t="s">
        <v>824</v>
      </c>
      <c r="Z395" s="25">
        <v>0</v>
      </c>
      <c r="AA395" s="25" t="s">
        <v>824</v>
      </c>
      <c r="AB395" s="25" t="s">
        <v>821</v>
      </c>
      <c r="AC395" s="25" t="s">
        <v>821</v>
      </c>
      <c r="AD395" s="25" t="s">
        <v>818</v>
      </c>
      <c r="AE395" s="25" t="s">
        <v>824</v>
      </c>
    </row>
    <row r="396" spans="20:31" ht="14.4">
      <c r="T396" t="s">
        <v>895</v>
      </c>
      <c r="U396" s="25" t="s">
        <v>837</v>
      </c>
      <c r="V396" s="25" t="s">
        <v>838</v>
      </c>
      <c r="W396" s="25" t="str">
        <f t="shared" si="25"/>
        <v>Aluminium ValanceReveal1.1nm 12v Acmeda Motor</v>
      </c>
      <c r="X396" s="25">
        <v>0</v>
      </c>
      <c r="Y396" s="25" t="s">
        <v>824</v>
      </c>
      <c r="Z396" s="25">
        <v>0</v>
      </c>
      <c r="AA396" s="25" t="s">
        <v>824</v>
      </c>
      <c r="AB396" s="25" t="s">
        <v>821</v>
      </c>
      <c r="AC396" s="25" t="s">
        <v>821</v>
      </c>
      <c r="AD396" s="25" t="s">
        <v>818</v>
      </c>
      <c r="AE396" s="25" t="s">
        <v>824</v>
      </c>
    </row>
    <row r="397" spans="20:31" ht="14.4">
      <c r="T397" t="s">
        <v>895</v>
      </c>
      <c r="U397" s="25" t="s">
        <v>837</v>
      </c>
      <c r="V397" t="s">
        <v>882</v>
      </c>
      <c r="W397" s="25" t="str">
        <f t="shared" si="25"/>
        <v>Aluminium ValanceReveal2nm 12v Acmeda Motor</v>
      </c>
      <c r="X397" s="25">
        <v>0</v>
      </c>
      <c r="Y397" s="25" t="s">
        <v>824</v>
      </c>
      <c r="Z397" s="25">
        <v>0</v>
      </c>
      <c r="AA397" s="25" t="s">
        <v>824</v>
      </c>
      <c r="AB397" s="25" t="s">
        <v>821</v>
      </c>
      <c r="AC397" s="25" t="s">
        <v>821</v>
      </c>
      <c r="AD397" s="25" t="s">
        <v>818</v>
      </c>
      <c r="AE397" s="25" t="s">
        <v>824</v>
      </c>
    </row>
    <row r="398" spans="20:31" ht="14.4">
      <c r="T398" t="s">
        <v>895</v>
      </c>
      <c r="U398" s="25" t="s">
        <v>837</v>
      </c>
      <c r="V398" t="s">
        <v>896</v>
      </c>
      <c r="W398" s="25" t="str">
        <f t="shared" si="25"/>
        <v>Aluminium ValanceRevealAcmeda 12v 6nm Motor</v>
      </c>
      <c r="X398" s="25">
        <v>0</v>
      </c>
      <c r="Y398" s="25" t="s">
        <v>824</v>
      </c>
      <c r="Z398" s="25">
        <v>0</v>
      </c>
      <c r="AA398" s="25" t="s">
        <v>824</v>
      </c>
      <c r="AB398" s="25" t="s">
        <v>821</v>
      </c>
      <c r="AC398" s="25" t="s">
        <v>821</v>
      </c>
      <c r="AD398" s="25" t="s">
        <v>818</v>
      </c>
      <c r="AE398" s="25" t="s">
        <v>824</v>
      </c>
    </row>
    <row r="399" spans="20:31" ht="14.4">
      <c r="T399" t="s">
        <v>895</v>
      </c>
      <c r="U399" s="25" t="s">
        <v>837</v>
      </c>
      <c r="V399" t="s">
        <v>855</v>
      </c>
      <c r="W399" s="25" t="str">
        <f t="shared" si="25"/>
        <v>Aluminium ValanceReveal0.7nm 12v Acmeda Motor</v>
      </c>
      <c r="X399" s="25">
        <v>0</v>
      </c>
      <c r="Y399" s="25" t="s">
        <v>824</v>
      </c>
      <c r="Z399" s="25">
        <v>0</v>
      </c>
      <c r="AA399" s="25" t="s">
        <v>824</v>
      </c>
      <c r="AB399" s="25" t="s">
        <v>821</v>
      </c>
      <c r="AC399" s="25" t="s">
        <v>821</v>
      </c>
      <c r="AD399" s="25" t="s">
        <v>818</v>
      </c>
      <c r="AE399" s="25" t="s">
        <v>824</v>
      </c>
    </row>
    <row r="400" spans="20:31" ht="14.4">
      <c r="T400" t="s">
        <v>895</v>
      </c>
      <c r="U400" s="25" t="s">
        <v>837</v>
      </c>
      <c r="V400" s="25" t="s">
        <v>849</v>
      </c>
      <c r="W400" s="25" t="str">
        <f t="shared" si="25"/>
        <v>Aluminium ValanceReveal1.1nm 12v Acmeda DCRF Motor with External Battery</v>
      </c>
      <c r="X400" s="25">
        <v>0</v>
      </c>
      <c r="Y400" s="25" t="s">
        <v>824</v>
      </c>
      <c r="Z400" s="25">
        <v>0</v>
      </c>
      <c r="AA400" s="25" t="s">
        <v>824</v>
      </c>
      <c r="AB400" s="25" t="s">
        <v>821</v>
      </c>
      <c r="AC400" s="25" t="s">
        <v>821</v>
      </c>
      <c r="AD400" s="25" t="s">
        <v>818</v>
      </c>
      <c r="AE400" s="25" t="s">
        <v>824</v>
      </c>
    </row>
    <row r="401" spans="20:31" ht="14.4">
      <c r="T401" t="s">
        <v>895</v>
      </c>
      <c r="U401" s="25" t="s">
        <v>837</v>
      </c>
      <c r="V401" s="25" t="s">
        <v>817</v>
      </c>
      <c r="W401" s="25" t="str">
        <f t="shared" si="25"/>
        <v>Aluminium ValanceReveal1.1nm 12v Acmeda DCRF Motor</v>
      </c>
      <c r="X401" s="25">
        <v>0</v>
      </c>
      <c r="Y401" s="25" t="s">
        <v>824</v>
      </c>
      <c r="Z401" s="25">
        <v>0</v>
      </c>
      <c r="AA401" s="25" t="s">
        <v>824</v>
      </c>
      <c r="AB401" s="25" t="s">
        <v>821</v>
      </c>
      <c r="AC401" s="25" t="s">
        <v>821</v>
      </c>
      <c r="AD401" s="25" t="s">
        <v>818</v>
      </c>
      <c r="AE401" s="25" t="s">
        <v>824</v>
      </c>
    </row>
    <row r="402" spans="20:31" ht="14.4">
      <c r="T402" t="s">
        <v>895</v>
      </c>
      <c r="U402" s="25" t="s">
        <v>837</v>
      </c>
      <c r="V402" s="25" t="s">
        <v>868</v>
      </c>
      <c r="W402" s="25" t="str">
        <f t="shared" si="25"/>
        <v>Aluminium ValanceReveal2nm 12v Acmeda DCRF Motor</v>
      </c>
      <c r="X402" s="25">
        <v>0</v>
      </c>
      <c r="Y402" s="25" t="s">
        <v>824</v>
      </c>
      <c r="Z402" s="25">
        <v>0</v>
      </c>
      <c r="AA402" s="25" t="s">
        <v>824</v>
      </c>
      <c r="AB402" s="25" t="s">
        <v>821</v>
      </c>
      <c r="AC402" s="25" t="s">
        <v>821</v>
      </c>
      <c r="AD402" s="25" t="s">
        <v>818</v>
      </c>
      <c r="AE402" s="25" t="s">
        <v>824</v>
      </c>
    </row>
    <row r="403" spans="20:31" ht="14.4">
      <c r="T403" t="s">
        <v>895</v>
      </c>
      <c r="U403" s="25" t="s">
        <v>837</v>
      </c>
      <c r="V403" t="s">
        <v>973</v>
      </c>
      <c r="W403" s="25" t="str">
        <f t="shared" si="25"/>
        <v>Aluminium ValanceRevealSomfy Remote Sonesse Motor</v>
      </c>
      <c r="X403" s="25">
        <v>0</v>
      </c>
      <c r="Y403" s="25" t="s">
        <v>824</v>
      </c>
      <c r="Z403" s="25">
        <v>0</v>
      </c>
      <c r="AA403" s="25" t="s">
        <v>824</v>
      </c>
      <c r="AB403" s="25" t="s">
        <v>821</v>
      </c>
      <c r="AC403" s="25" t="s">
        <v>821</v>
      </c>
      <c r="AD403" s="25" t="s">
        <v>818</v>
      </c>
      <c r="AE403" s="25" t="s">
        <v>824</v>
      </c>
    </row>
    <row r="404" spans="20:31" ht="14.4">
      <c r="T404" t="s">
        <v>895</v>
      </c>
      <c r="U404" s="25" t="s">
        <v>837</v>
      </c>
      <c r="V404" t="s">
        <v>637</v>
      </c>
      <c r="W404" s="25" t="str">
        <f t="shared" si="25"/>
        <v>Aluminium ValanceRevealSomfy 12v Remote Sonesse Motor</v>
      </c>
      <c r="X404" s="25">
        <v>0</v>
      </c>
      <c r="Y404" s="25" t="s">
        <v>824</v>
      </c>
      <c r="Z404" s="25">
        <v>0</v>
      </c>
      <c r="AA404" s="25" t="s">
        <v>824</v>
      </c>
      <c r="AB404" s="25" t="s">
        <v>821</v>
      </c>
      <c r="AC404" s="25" t="s">
        <v>821</v>
      </c>
      <c r="AD404" s="25" t="s">
        <v>818</v>
      </c>
      <c r="AE404" s="25" t="s">
        <v>824</v>
      </c>
    </row>
    <row r="405" spans="20:31" ht="14.4">
      <c r="T405" t="s">
        <v>895</v>
      </c>
      <c r="U405" s="25" t="s">
        <v>837</v>
      </c>
      <c r="V405" s="25" t="s">
        <v>974</v>
      </c>
      <c r="W405" s="25" t="str">
        <f t="shared" si="25"/>
        <v>Aluminium ValanceRevealSomfy CBUS Motor</v>
      </c>
      <c r="X405" s="25">
        <v>0</v>
      </c>
      <c r="Y405" s="25" t="s">
        <v>824</v>
      </c>
      <c r="Z405" s="25">
        <v>0</v>
      </c>
      <c r="AA405" s="25" t="s">
        <v>824</v>
      </c>
      <c r="AB405" s="25" t="s">
        <v>821</v>
      </c>
      <c r="AC405" s="25" t="s">
        <v>821</v>
      </c>
      <c r="AD405" s="25" t="s">
        <v>818</v>
      </c>
      <c r="AE405" s="25" t="s">
        <v>824</v>
      </c>
    </row>
    <row r="406" spans="20:31" ht="14.4">
      <c r="T406" t="s">
        <v>895</v>
      </c>
      <c r="U406" s="25" t="s">
        <v>837</v>
      </c>
      <c r="V406" t="s">
        <v>986</v>
      </c>
      <c r="W406" s="25" t="str">
        <f t="shared" si="25"/>
        <v>Aluminium ValanceRevealHD Somfy Remote Sonesse Motor</v>
      </c>
      <c r="X406" s="25">
        <v>0</v>
      </c>
      <c r="Y406" s="25" t="s">
        <v>824</v>
      </c>
      <c r="Z406" s="25">
        <v>0</v>
      </c>
      <c r="AA406" s="25" t="s">
        <v>824</v>
      </c>
      <c r="AB406" s="25" t="s">
        <v>821</v>
      </c>
      <c r="AC406" s="25" t="s">
        <v>821</v>
      </c>
      <c r="AD406" s="25" t="s">
        <v>818</v>
      </c>
      <c r="AE406" s="25" t="s">
        <v>824</v>
      </c>
    </row>
    <row r="407" spans="20:31" ht="14.4">
      <c r="T407" t="s">
        <v>895</v>
      </c>
      <c r="U407" s="25" t="s">
        <v>837</v>
      </c>
      <c r="V407" t="s">
        <v>989</v>
      </c>
      <c r="W407" s="25" t="str">
        <f t="shared" si="25"/>
        <v>Aluminium ValanceRevealHD Somfy 12v Remote Sonesse Motor</v>
      </c>
      <c r="X407" s="25">
        <v>0</v>
      </c>
      <c r="Y407" s="25" t="s">
        <v>824</v>
      </c>
      <c r="Z407" s="25">
        <v>0</v>
      </c>
      <c r="AA407" s="25" t="s">
        <v>824</v>
      </c>
      <c r="AB407" s="25" t="s">
        <v>821</v>
      </c>
      <c r="AC407" s="25" t="s">
        <v>821</v>
      </c>
      <c r="AD407" s="25" t="s">
        <v>818</v>
      </c>
      <c r="AE407" s="25" t="s">
        <v>824</v>
      </c>
    </row>
    <row r="408" spans="20:31" ht="14.4">
      <c r="T408" t="s">
        <v>895</v>
      </c>
      <c r="U408" s="25" t="s">
        <v>837</v>
      </c>
      <c r="V408" s="25" t="s">
        <v>992</v>
      </c>
      <c r="W408" s="25" t="str">
        <f t="shared" si="25"/>
        <v>Aluminium ValanceRevealHD Somfy CBUS Motor</v>
      </c>
      <c r="X408" s="25">
        <v>0</v>
      </c>
      <c r="Y408" s="25" t="s">
        <v>824</v>
      </c>
      <c r="Z408" s="25">
        <v>0</v>
      </c>
      <c r="AA408" s="25" t="s">
        <v>824</v>
      </c>
      <c r="AB408" s="25" t="s">
        <v>821</v>
      </c>
      <c r="AC408" s="25" t="s">
        <v>821</v>
      </c>
      <c r="AD408" s="25" t="s">
        <v>818</v>
      </c>
      <c r="AE408" s="25" t="s">
        <v>824</v>
      </c>
    </row>
    <row r="409" spans="20:31" ht="14.4">
      <c r="T409" t="s">
        <v>895</v>
      </c>
      <c r="U409" s="25" t="s">
        <v>837</v>
      </c>
      <c r="V409" s="25" t="s">
        <v>625</v>
      </c>
      <c r="W409" s="25" t="str">
        <f t="shared" si="25"/>
        <v>Aluminium ValanceRevealAcmeda E6 Motor</v>
      </c>
      <c r="X409" s="25">
        <v>0</v>
      </c>
      <c r="Y409" s="25" t="s">
        <v>824</v>
      </c>
      <c r="Z409" s="25">
        <v>0</v>
      </c>
      <c r="AA409" s="25" t="s">
        <v>824</v>
      </c>
      <c r="AB409" s="25" t="s">
        <v>821</v>
      </c>
      <c r="AC409" s="25" t="s">
        <v>821</v>
      </c>
      <c r="AD409" s="25" t="s">
        <v>818</v>
      </c>
      <c r="AE409" s="25" t="s">
        <v>824</v>
      </c>
    </row>
    <row r="410" spans="20:31" ht="14.4">
      <c r="T410" t="s">
        <v>895</v>
      </c>
      <c r="U410" s="25" t="s">
        <v>837</v>
      </c>
      <c r="V410" s="25" t="s">
        <v>626</v>
      </c>
      <c r="W410" s="25" t="str">
        <f t="shared" si="25"/>
        <v>Aluminium ValanceRevealAcmeda M6 Motor</v>
      </c>
      <c r="X410" s="25">
        <v>0</v>
      </c>
      <c r="Y410" s="25" t="s">
        <v>824</v>
      </c>
      <c r="Z410" s="25">
        <v>0</v>
      </c>
      <c r="AA410" s="25" t="s">
        <v>824</v>
      </c>
      <c r="AB410" s="25" t="s">
        <v>821</v>
      </c>
      <c r="AC410" s="25" t="s">
        <v>821</v>
      </c>
      <c r="AD410" s="25" t="s">
        <v>818</v>
      </c>
      <c r="AE410" s="25" t="s">
        <v>824</v>
      </c>
    </row>
    <row r="411" spans="20:31" ht="14.4">
      <c r="T411" t="s">
        <v>895</v>
      </c>
      <c r="U411" s="25" t="s">
        <v>837</v>
      </c>
      <c r="V411" s="25" t="s">
        <v>1002</v>
      </c>
      <c r="W411" s="25" t="str">
        <f t="shared" si="25"/>
        <v>Aluminium ValanceRevealUniline Remote Motor</v>
      </c>
      <c r="X411" s="25">
        <v>0</v>
      </c>
      <c r="Y411" s="25" t="s">
        <v>824</v>
      </c>
      <c r="Z411" s="25">
        <v>0</v>
      </c>
      <c r="AA411" s="25" t="s">
        <v>824</v>
      </c>
      <c r="AB411" s="25" t="s">
        <v>821</v>
      </c>
      <c r="AC411" s="25" t="s">
        <v>821</v>
      </c>
      <c r="AD411" s="25" t="s">
        <v>818</v>
      </c>
      <c r="AE411" s="25" t="s">
        <v>824</v>
      </c>
    </row>
    <row r="412" spans="20:31" ht="14.4">
      <c r="T412" t="s">
        <v>895</v>
      </c>
      <c r="U412" s="25" t="s">
        <v>837</v>
      </c>
      <c r="V412" s="25" t="s">
        <v>1005</v>
      </c>
      <c r="W412" s="25" t="str">
        <f t="shared" si="25"/>
        <v>Aluminium ValanceRevealUniline Cbus Motor</v>
      </c>
      <c r="X412" s="25">
        <v>0</v>
      </c>
      <c r="Y412" s="25" t="s">
        <v>824</v>
      </c>
      <c r="Z412" s="25">
        <v>0</v>
      </c>
      <c r="AA412" s="25" t="s">
        <v>824</v>
      </c>
      <c r="AB412" s="25" t="s">
        <v>821</v>
      </c>
      <c r="AC412" s="25" t="s">
        <v>821</v>
      </c>
      <c r="AD412" s="25" t="s">
        <v>818</v>
      </c>
      <c r="AE412" s="25" t="s">
        <v>824</v>
      </c>
    </row>
    <row r="413" spans="20:31" ht="14.4">
      <c r="T413" t="s">
        <v>895</v>
      </c>
      <c r="U413" s="25" t="s">
        <v>837</v>
      </c>
      <c r="V413" s="25" t="s">
        <v>981</v>
      </c>
      <c r="W413" s="25" t="str">
        <f t="shared" si="25"/>
        <v>Aluminium ValanceRevealNice Remote Motor</v>
      </c>
      <c r="X413" s="25">
        <v>0</v>
      </c>
      <c r="Y413" s="25" t="s">
        <v>824</v>
      </c>
      <c r="Z413" s="25">
        <v>0</v>
      </c>
      <c r="AA413" s="25" t="s">
        <v>824</v>
      </c>
      <c r="AB413" s="25" t="s">
        <v>821</v>
      </c>
      <c r="AC413" s="25" t="s">
        <v>821</v>
      </c>
      <c r="AD413" s="25" t="s">
        <v>818</v>
      </c>
      <c r="AE413" s="25" t="s">
        <v>824</v>
      </c>
    </row>
    <row r="414" spans="20:31" ht="14.4">
      <c r="T414" t="s">
        <v>895</v>
      </c>
      <c r="U414" s="25" t="s">
        <v>837</v>
      </c>
      <c r="V414" s="25" t="s">
        <v>976</v>
      </c>
      <c r="W414" s="25" t="str">
        <f t="shared" si="25"/>
        <v>Aluminium ValanceRevealNice CBus Motor</v>
      </c>
      <c r="X414" s="25">
        <v>0</v>
      </c>
      <c r="Y414" s="25" t="s">
        <v>824</v>
      </c>
      <c r="Z414" s="25">
        <v>0</v>
      </c>
      <c r="AA414" s="25" t="s">
        <v>824</v>
      </c>
      <c r="AB414" s="25" t="s">
        <v>821</v>
      </c>
      <c r="AC414" s="25" t="s">
        <v>821</v>
      </c>
      <c r="AD414" s="25" t="s">
        <v>818</v>
      </c>
      <c r="AE414" s="25" t="s">
        <v>824</v>
      </c>
    </row>
    <row r="415" spans="20:31" ht="14.4">
      <c r="T415" t="s">
        <v>895</v>
      </c>
      <c r="U415" s="25" t="s">
        <v>837</v>
      </c>
      <c r="V415" t="s">
        <v>1006</v>
      </c>
      <c r="W415" s="25" t="str">
        <f t="shared" si="25"/>
        <v>Aluminium ValanceRevealSunboss Chain Winder 38mm Tube</v>
      </c>
      <c r="X415" s="25">
        <v>0</v>
      </c>
      <c r="Y415" s="25" t="s">
        <v>824</v>
      </c>
      <c r="Z415" s="25">
        <v>0</v>
      </c>
      <c r="AA415" s="25" t="s">
        <v>824</v>
      </c>
      <c r="AB415" s="25" t="s">
        <v>821</v>
      </c>
      <c r="AC415" s="25" t="s">
        <v>821</v>
      </c>
      <c r="AD415" s="25" t="s">
        <v>818</v>
      </c>
      <c r="AE415" s="25" t="s">
        <v>824</v>
      </c>
    </row>
    <row r="416" spans="20:31" ht="14.4">
      <c r="T416" t="s">
        <v>895</v>
      </c>
      <c r="U416" s="25" t="s">
        <v>837</v>
      </c>
      <c r="V416" t="s">
        <v>1017</v>
      </c>
      <c r="W416" s="25" t="str">
        <f t="shared" si="25"/>
        <v>Aluminium ValanceRevealSunboss Chain Winder 43mm Tube</v>
      </c>
      <c r="X416" s="25">
        <v>0</v>
      </c>
      <c r="Y416" s="25" t="s">
        <v>824</v>
      </c>
      <c r="Z416" s="25">
        <v>0</v>
      </c>
      <c r="AA416" s="25" t="s">
        <v>824</v>
      </c>
      <c r="AB416" s="25" t="s">
        <v>821</v>
      </c>
      <c r="AC416" s="25" t="s">
        <v>821</v>
      </c>
      <c r="AD416" s="25" t="s">
        <v>818</v>
      </c>
      <c r="AE416" s="25" t="s">
        <v>824</v>
      </c>
    </row>
    <row r="417" spans="20:31" ht="14.4">
      <c r="T417" t="s">
        <v>895</v>
      </c>
      <c r="U417" s="25" t="s">
        <v>837</v>
      </c>
      <c r="V417" s="25" t="s">
        <v>1012</v>
      </c>
      <c r="W417" s="25" t="str">
        <f t="shared" si="25"/>
        <v>Aluminium ValanceRevealTBS Remote Motor</v>
      </c>
      <c r="X417" s="25">
        <v>0</v>
      </c>
      <c r="Y417" s="25" t="s">
        <v>824</v>
      </c>
      <c r="Z417" s="25">
        <v>0</v>
      </c>
      <c r="AA417" s="25" t="s">
        <v>824</v>
      </c>
      <c r="AB417" s="25" t="s">
        <v>821</v>
      </c>
      <c r="AC417" s="25" t="s">
        <v>821</v>
      </c>
      <c r="AD417" s="25" t="s">
        <v>818</v>
      </c>
      <c r="AE417" s="25" t="s">
        <v>824</v>
      </c>
    </row>
    <row r="418" spans="20:31" ht="14.4">
      <c r="T418" t="s">
        <v>895</v>
      </c>
      <c r="U418" s="25" t="s">
        <v>837</v>
      </c>
      <c r="V418" t="s">
        <v>1009</v>
      </c>
      <c r="W418" s="25" t="str">
        <f t="shared" si="25"/>
        <v>Aluminium ValanceRevealTBS Cbus Motor</v>
      </c>
      <c r="X418" s="25">
        <v>0</v>
      </c>
      <c r="Y418" s="25" t="s">
        <v>824</v>
      </c>
      <c r="Z418" s="25">
        <v>0</v>
      </c>
      <c r="AA418" s="25" t="s">
        <v>824</v>
      </c>
      <c r="AB418" s="25" t="s">
        <v>821</v>
      </c>
      <c r="AC418" s="25" t="s">
        <v>821</v>
      </c>
      <c r="AD418" s="25" t="s">
        <v>818</v>
      </c>
      <c r="AE418" s="25" t="s">
        <v>824</v>
      </c>
    </row>
    <row r="419" spans="20:31" ht="14.4">
      <c r="T419" t="s">
        <v>895</v>
      </c>
      <c r="U419" s="25" t="s">
        <v>837</v>
      </c>
      <c r="V419" t="s">
        <v>927</v>
      </c>
      <c r="W419" s="25" t="str">
        <f t="shared" si="25"/>
        <v>Aluminium ValanceRevealAcmeda External Motor</v>
      </c>
      <c r="X419" s="25">
        <v>0</v>
      </c>
      <c r="Y419" s="25" t="s">
        <v>824</v>
      </c>
      <c r="Z419" s="25">
        <v>0</v>
      </c>
      <c r="AA419" s="25" t="s">
        <v>824</v>
      </c>
      <c r="AB419" s="25" t="s">
        <v>821</v>
      </c>
      <c r="AC419" s="25" t="s">
        <v>821</v>
      </c>
      <c r="AD419" s="25" t="s">
        <v>818</v>
      </c>
      <c r="AE419" s="25" t="s">
        <v>824</v>
      </c>
    </row>
    <row r="420" spans="20:31" ht="14.4">
      <c r="T420" t="s">
        <v>895</v>
      </c>
      <c r="U420" s="25" t="s">
        <v>837</v>
      </c>
      <c r="V420" t="s">
        <v>918</v>
      </c>
      <c r="W420" s="25" t="str">
        <f t="shared" si="25"/>
        <v>Aluminium ValanceRevealAcmeda External 12v Motor</v>
      </c>
      <c r="X420" s="25">
        <v>0</v>
      </c>
      <c r="Y420" s="25" t="s">
        <v>824</v>
      </c>
      <c r="Z420" s="25">
        <v>0</v>
      </c>
      <c r="AA420" s="25" t="s">
        <v>824</v>
      </c>
      <c r="AB420" s="25" t="s">
        <v>821</v>
      </c>
      <c r="AC420" s="25" t="s">
        <v>821</v>
      </c>
      <c r="AD420" s="25" t="s">
        <v>818</v>
      </c>
      <c r="AE420" s="25" t="s">
        <v>824</v>
      </c>
    </row>
    <row r="421" spans="20:31" ht="14.4">
      <c r="T421" t="s">
        <v>895</v>
      </c>
      <c r="U421" s="25" t="s">
        <v>837</v>
      </c>
      <c r="V421" t="s">
        <v>979</v>
      </c>
      <c r="W421" s="25" t="str">
        <f t="shared" si="25"/>
        <v>Aluminium ValanceRevealSomfy External CBUS Motor</v>
      </c>
      <c r="X421" s="25">
        <v>0</v>
      </c>
      <c r="Y421" s="25" t="s">
        <v>824</v>
      </c>
      <c r="Z421" s="25">
        <v>0</v>
      </c>
      <c r="AA421" s="25" t="s">
        <v>824</v>
      </c>
      <c r="AB421" s="25" t="s">
        <v>821</v>
      </c>
      <c r="AC421" s="25" t="s">
        <v>821</v>
      </c>
      <c r="AD421" s="25" t="s">
        <v>818</v>
      </c>
      <c r="AE421" s="25" t="s">
        <v>824</v>
      </c>
    </row>
    <row r="422" spans="20:31" ht="14.4">
      <c r="T422" t="s">
        <v>895</v>
      </c>
      <c r="U422" s="25" t="s">
        <v>837</v>
      </c>
      <c r="V422" t="s">
        <v>983</v>
      </c>
      <c r="W422" s="25" t="str">
        <f t="shared" si="25"/>
        <v>Aluminium ValanceRevealSomfy External Remote Motor</v>
      </c>
      <c r="X422" s="25">
        <v>0</v>
      </c>
      <c r="Y422" s="25" t="s">
        <v>824</v>
      </c>
      <c r="Z422" s="25">
        <v>0</v>
      </c>
      <c r="AA422" s="25" t="s">
        <v>824</v>
      </c>
      <c r="AB422" s="25" t="s">
        <v>821</v>
      </c>
      <c r="AC422" s="25" t="s">
        <v>821</v>
      </c>
      <c r="AD422" s="25" t="s">
        <v>818</v>
      </c>
      <c r="AE422" s="25" t="s">
        <v>824</v>
      </c>
    </row>
    <row r="423" spans="20:31" ht="14.4">
      <c r="T423" t="s">
        <v>895</v>
      </c>
      <c r="U423" s="25" t="s">
        <v>837</v>
      </c>
      <c r="V423" t="s">
        <v>995</v>
      </c>
      <c r="W423" s="25" t="str">
        <f t="shared" si="25"/>
        <v>Aluminium ValanceRevealHD Somfy External CBUS Motor</v>
      </c>
      <c r="X423" s="25">
        <v>0</v>
      </c>
      <c r="Y423" s="25" t="s">
        <v>824</v>
      </c>
      <c r="Z423" s="25">
        <v>0</v>
      </c>
      <c r="AA423" s="25" t="s">
        <v>824</v>
      </c>
      <c r="AB423" s="25" t="s">
        <v>821</v>
      </c>
      <c r="AC423" s="25" t="s">
        <v>821</v>
      </c>
      <c r="AD423" s="25" t="s">
        <v>818</v>
      </c>
      <c r="AE423" s="25" t="s">
        <v>824</v>
      </c>
    </row>
    <row r="424" spans="20:31" ht="14.4">
      <c r="T424" t="s">
        <v>895</v>
      </c>
      <c r="U424" s="25" t="s">
        <v>837</v>
      </c>
      <c r="V424" t="s">
        <v>999</v>
      </c>
      <c r="W424" s="25" t="str">
        <f t="shared" si="25"/>
        <v>Aluminium ValanceRevealHD Somfy External Remote Motor</v>
      </c>
      <c r="X424" s="25">
        <v>0</v>
      </c>
      <c r="Y424" s="25" t="s">
        <v>824</v>
      </c>
      <c r="Z424" s="25">
        <v>0</v>
      </c>
      <c r="AA424" s="25" t="s">
        <v>824</v>
      </c>
      <c r="AB424" s="25" t="s">
        <v>821</v>
      </c>
      <c r="AC424" s="25" t="s">
        <v>821</v>
      </c>
      <c r="AD424" s="25" t="s">
        <v>818</v>
      </c>
      <c r="AE424" s="25" t="s">
        <v>824</v>
      </c>
    </row>
    <row r="425" spans="20:31" ht="14.4">
      <c r="T425" t="s">
        <v>908</v>
      </c>
      <c r="U425" s="25" t="s">
        <v>816</v>
      </c>
      <c r="V425" s="25" t="s">
        <v>823</v>
      </c>
      <c r="W425" s="25" t="str">
        <f t="shared" si="25"/>
        <v>Aluminium Valance - Fabric CoveredFaceChain Winder</v>
      </c>
      <c r="X425" s="25">
        <v>6</v>
      </c>
      <c r="Y425" s="25" t="s">
        <v>824</v>
      </c>
      <c r="Z425" s="25">
        <v>0</v>
      </c>
      <c r="AA425" s="25" t="s">
        <v>824</v>
      </c>
      <c r="AB425" s="25" t="s">
        <v>818</v>
      </c>
      <c r="AC425" s="25" t="s">
        <v>821</v>
      </c>
      <c r="AD425" s="25" t="s">
        <v>821</v>
      </c>
      <c r="AE425" s="25" t="s">
        <v>824</v>
      </c>
    </row>
    <row r="426" spans="20:31" ht="14.4">
      <c r="T426" t="s">
        <v>908</v>
      </c>
      <c r="U426" s="25" t="s">
        <v>816</v>
      </c>
      <c r="V426" s="25" t="s">
        <v>841</v>
      </c>
      <c r="W426" s="25" t="str">
        <f t="shared" si="25"/>
        <v>Aluminium Valance - Fabric CoveredFaceHD Chain Winder</v>
      </c>
      <c r="X426" s="25">
        <v>6</v>
      </c>
      <c r="Y426" s="25" t="s">
        <v>824</v>
      </c>
      <c r="Z426" s="25">
        <v>0</v>
      </c>
      <c r="AA426" s="25" t="s">
        <v>824</v>
      </c>
      <c r="AB426" s="25" t="s">
        <v>818</v>
      </c>
      <c r="AC426" s="25" t="s">
        <v>821</v>
      </c>
      <c r="AD426" s="25" t="s">
        <v>821</v>
      </c>
      <c r="AE426" s="25" t="s">
        <v>824</v>
      </c>
    </row>
    <row r="427" spans="20:31" ht="14.4">
      <c r="T427" t="s">
        <v>908</v>
      </c>
      <c r="U427" s="25" t="s">
        <v>816</v>
      </c>
      <c r="V427" s="25" t="s">
        <v>858</v>
      </c>
      <c r="W427" s="25" t="str">
        <f t="shared" si="25"/>
        <v>Aluminium Valance - Fabric CoveredFaceChain Winder 60mm</v>
      </c>
      <c r="X427" s="25">
        <v>6</v>
      </c>
      <c r="Y427" s="25" t="s">
        <v>824</v>
      </c>
      <c r="Z427" s="25">
        <v>0</v>
      </c>
      <c r="AA427" s="25" t="s">
        <v>824</v>
      </c>
      <c r="AB427" s="25" t="s">
        <v>818</v>
      </c>
      <c r="AC427" s="25" t="s">
        <v>821</v>
      </c>
      <c r="AD427" s="25" t="s">
        <v>821</v>
      </c>
      <c r="AE427" s="25" t="s">
        <v>824</v>
      </c>
    </row>
    <row r="428" spans="20:31" ht="14.4">
      <c r="T428" t="s">
        <v>908</v>
      </c>
      <c r="U428" s="25" t="s">
        <v>816</v>
      </c>
      <c r="V428" s="25" t="s">
        <v>865</v>
      </c>
      <c r="W428" s="25" t="str">
        <f t="shared" si="25"/>
        <v>Aluminium Valance - Fabric CoveredFaceChain Winder Fixed Guide</v>
      </c>
      <c r="X428" s="25">
        <v>6</v>
      </c>
      <c r="Y428" s="25" t="s">
        <v>824</v>
      </c>
      <c r="Z428" s="25">
        <v>0</v>
      </c>
      <c r="AA428" s="25" t="s">
        <v>824</v>
      </c>
      <c r="AB428" s="25" t="s">
        <v>818</v>
      </c>
      <c r="AC428" s="25" t="s">
        <v>821</v>
      </c>
      <c r="AD428" s="25" t="s">
        <v>821</v>
      </c>
      <c r="AE428" s="25" t="s">
        <v>824</v>
      </c>
    </row>
    <row r="429" spans="20:31" ht="14.4">
      <c r="T429" t="s">
        <v>908</v>
      </c>
      <c r="U429" s="25" t="s">
        <v>816</v>
      </c>
      <c r="V429" s="25" t="s">
        <v>181</v>
      </c>
      <c r="W429" s="25" t="str">
        <f t="shared" si="25"/>
        <v>Aluminium Valance - Fabric CoveredFaceLinked</v>
      </c>
      <c r="X429" s="25">
        <v>6</v>
      </c>
      <c r="Y429" s="25" t="s">
        <v>824</v>
      </c>
      <c r="Z429" s="25">
        <v>0</v>
      </c>
      <c r="AA429" s="25" t="s">
        <v>824</v>
      </c>
      <c r="AB429" s="25" t="s">
        <v>818</v>
      </c>
      <c r="AC429" s="25" t="s">
        <v>821</v>
      </c>
      <c r="AD429" s="25" t="s">
        <v>821</v>
      </c>
      <c r="AE429" s="25" t="s">
        <v>824</v>
      </c>
    </row>
    <row r="430" spans="20:31" ht="14.4">
      <c r="T430" t="s">
        <v>908</v>
      </c>
      <c r="U430" s="25" t="s">
        <v>816</v>
      </c>
      <c r="V430" s="25" t="s">
        <v>898</v>
      </c>
      <c r="W430" s="25" t="str">
        <f t="shared" si="25"/>
        <v>Aluminium Valance - Fabric CoveredFaceLinked - HD</v>
      </c>
      <c r="X430" s="25">
        <v>6</v>
      </c>
      <c r="Y430" s="25" t="s">
        <v>824</v>
      </c>
      <c r="Z430" s="25">
        <v>0</v>
      </c>
      <c r="AA430" s="25" t="s">
        <v>824</v>
      </c>
      <c r="AB430" s="25" t="s">
        <v>818</v>
      </c>
      <c r="AC430" s="25" t="s">
        <v>821</v>
      </c>
      <c r="AD430" s="25" t="s">
        <v>821</v>
      </c>
      <c r="AE430" s="25" t="s">
        <v>824</v>
      </c>
    </row>
    <row r="431" spans="20:31" ht="14.4">
      <c r="T431" t="s">
        <v>908</v>
      </c>
      <c r="U431" s="25" t="s">
        <v>816</v>
      </c>
      <c r="V431" s="25" t="s">
        <v>910</v>
      </c>
      <c r="W431" s="25" t="str">
        <f t="shared" si="25"/>
        <v>Aluminium Valance - Fabric CoveredFaceStandard Spring</v>
      </c>
      <c r="X431" s="25">
        <v>6</v>
      </c>
      <c r="Y431" s="25" t="s">
        <v>824</v>
      </c>
      <c r="Z431" s="25">
        <v>0</v>
      </c>
      <c r="AA431" s="25" t="s">
        <v>824</v>
      </c>
      <c r="AB431" s="25" t="s">
        <v>818</v>
      </c>
      <c r="AC431" s="25" t="s">
        <v>821</v>
      </c>
      <c r="AD431" s="25" t="s">
        <v>821</v>
      </c>
      <c r="AE431" s="25" t="s">
        <v>824</v>
      </c>
    </row>
    <row r="432" spans="20:31" ht="14.4">
      <c r="T432" t="s">
        <v>908</v>
      </c>
      <c r="U432" s="25" t="s">
        <v>816</v>
      </c>
      <c r="V432" s="25" t="s">
        <v>920</v>
      </c>
      <c r="W432" s="25" t="str">
        <f t="shared" si="25"/>
        <v>Aluminium Valance - Fabric CoveredFaceSmall Spring</v>
      </c>
      <c r="X432" s="25">
        <v>0</v>
      </c>
      <c r="Y432" s="25" t="s">
        <v>824</v>
      </c>
      <c r="Z432" s="25">
        <v>0</v>
      </c>
      <c r="AA432" s="25" t="s">
        <v>824</v>
      </c>
      <c r="AB432" s="25" t="s">
        <v>821</v>
      </c>
      <c r="AC432" s="25" t="s">
        <v>821</v>
      </c>
      <c r="AD432" s="25" t="s">
        <v>818</v>
      </c>
      <c r="AE432" s="25" t="s">
        <v>824</v>
      </c>
    </row>
    <row r="433" spans="20:31" ht="14.4">
      <c r="T433" t="s">
        <v>908</v>
      </c>
      <c r="U433" s="25" t="s">
        <v>816</v>
      </c>
      <c r="V433" s="25" t="s">
        <v>929</v>
      </c>
      <c r="W433" s="25" t="str">
        <f t="shared" si="25"/>
        <v>Aluminium Valance - Fabric CoveredFaceUniline Spring (Old Style)</v>
      </c>
      <c r="X433" s="25">
        <v>6</v>
      </c>
      <c r="Y433" s="25" t="s">
        <v>824</v>
      </c>
      <c r="Z433" s="25">
        <v>0</v>
      </c>
      <c r="AA433" s="25" t="s">
        <v>824</v>
      </c>
      <c r="AB433" s="25" t="s">
        <v>818</v>
      </c>
      <c r="AC433" s="25" t="s">
        <v>821</v>
      </c>
      <c r="AD433" s="25" t="s">
        <v>821</v>
      </c>
      <c r="AE433" s="25" t="s">
        <v>824</v>
      </c>
    </row>
    <row r="434" spans="20:31" ht="14.4">
      <c r="T434" t="s">
        <v>908</v>
      </c>
      <c r="U434" s="25" t="s">
        <v>816</v>
      </c>
      <c r="V434" s="25" t="s">
        <v>935</v>
      </c>
      <c r="W434" s="25" t="str">
        <f t="shared" si="25"/>
        <v>Aluminium Valance - Fabric CoveredFaceBecker Remote Motor</v>
      </c>
      <c r="X434" s="25">
        <v>6</v>
      </c>
      <c r="Y434" s="25" t="s">
        <v>824</v>
      </c>
      <c r="Z434" s="25">
        <v>0</v>
      </c>
      <c r="AA434" s="25" t="s">
        <v>824</v>
      </c>
      <c r="AB434" s="25" t="s">
        <v>818</v>
      </c>
      <c r="AC434" s="25" t="s">
        <v>821</v>
      </c>
      <c r="AD434" s="25" t="s">
        <v>821</v>
      </c>
      <c r="AE434" s="25" t="s">
        <v>824</v>
      </c>
    </row>
    <row r="435" spans="20:31" ht="14.4">
      <c r="T435" t="s">
        <v>908</v>
      </c>
      <c r="U435" s="25" t="s">
        <v>816</v>
      </c>
      <c r="V435" s="25" t="s">
        <v>939</v>
      </c>
      <c r="W435" s="25" t="str">
        <f t="shared" si="25"/>
        <v>Aluminium Valance - Fabric CoveredFaceBecker CBUS Motor</v>
      </c>
      <c r="X435" s="25">
        <v>6</v>
      </c>
      <c r="Y435" s="25" t="s">
        <v>824</v>
      </c>
      <c r="Z435" s="25">
        <v>0</v>
      </c>
      <c r="AA435" s="25" t="s">
        <v>824</v>
      </c>
      <c r="AB435" s="25" t="s">
        <v>818</v>
      </c>
      <c r="AC435" s="25" t="s">
        <v>821</v>
      </c>
      <c r="AD435" s="25" t="s">
        <v>821</v>
      </c>
      <c r="AE435" s="25" t="s">
        <v>824</v>
      </c>
    </row>
    <row r="436" spans="20:31" ht="14.4">
      <c r="T436" t="s">
        <v>908</v>
      </c>
      <c r="U436" s="25" t="s">
        <v>816</v>
      </c>
      <c r="V436" s="25" t="s">
        <v>946</v>
      </c>
      <c r="W436" s="25" t="str">
        <f t="shared" si="25"/>
        <v>Aluminium Valance - Fabric CoveredFaceBecker External Remote Motor</v>
      </c>
      <c r="X436" s="25">
        <v>0</v>
      </c>
      <c r="Y436" s="25" t="s">
        <v>824</v>
      </c>
      <c r="Z436" s="25">
        <v>0</v>
      </c>
      <c r="AA436" s="25" t="s">
        <v>824</v>
      </c>
      <c r="AB436" s="25" t="s">
        <v>821</v>
      </c>
      <c r="AC436" s="25" t="s">
        <v>821</v>
      </c>
      <c r="AD436" s="25" t="s">
        <v>818</v>
      </c>
      <c r="AE436" s="25" t="s">
        <v>824</v>
      </c>
    </row>
    <row r="437" spans="20:31" ht="14.4">
      <c r="T437" t="s">
        <v>908</v>
      </c>
      <c r="U437" s="25" t="s">
        <v>816</v>
      </c>
      <c r="V437" s="25" t="s">
        <v>951</v>
      </c>
      <c r="W437" s="25" t="str">
        <f t="shared" si="25"/>
        <v>Aluminium Valance - Fabric CoveredFaceBecker External CBUS Motor</v>
      </c>
      <c r="X437" s="25">
        <v>0</v>
      </c>
      <c r="Y437" s="25" t="s">
        <v>824</v>
      </c>
      <c r="Z437" s="25">
        <v>0</v>
      </c>
      <c r="AA437" s="25" t="s">
        <v>824</v>
      </c>
      <c r="AB437" s="25" t="s">
        <v>821</v>
      </c>
      <c r="AC437" s="25" t="s">
        <v>821</v>
      </c>
      <c r="AD437" s="25" t="s">
        <v>818</v>
      </c>
      <c r="AE437" s="25" t="s">
        <v>824</v>
      </c>
    </row>
    <row r="438" spans="20:31" ht="14.4">
      <c r="T438" t="s">
        <v>908</v>
      </c>
      <c r="U438" s="25" t="s">
        <v>816</v>
      </c>
      <c r="V438" s="25" t="s">
        <v>838</v>
      </c>
      <c r="W438" s="25" t="str">
        <f t="shared" si="25"/>
        <v>Aluminium Valance - Fabric CoveredFace1.1nm 12v Acmeda Motor</v>
      </c>
      <c r="X438" s="25">
        <v>6</v>
      </c>
      <c r="Y438" s="25" t="s">
        <v>824</v>
      </c>
      <c r="Z438" s="25">
        <v>0</v>
      </c>
      <c r="AA438" s="25" t="s">
        <v>824</v>
      </c>
      <c r="AB438" s="25" t="s">
        <v>818</v>
      </c>
      <c r="AC438" s="25" t="s">
        <v>821</v>
      </c>
      <c r="AD438" s="25" t="s">
        <v>821</v>
      </c>
      <c r="AE438" s="25" t="s">
        <v>824</v>
      </c>
    </row>
    <row r="439" spans="20:31" ht="14.4">
      <c r="T439" t="s">
        <v>908</v>
      </c>
      <c r="U439" s="25" t="s">
        <v>816</v>
      </c>
      <c r="V439" t="s">
        <v>882</v>
      </c>
      <c r="W439" s="25" t="str">
        <f t="shared" si="25"/>
        <v>Aluminium Valance - Fabric CoveredFace2nm 12v Acmeda Motor</v>
      </c>
      <c r="X439" s="25">
        <v>6</v>
      </c>
      <c r="Y439" s="25" t="s">
        <v>824</v>
      </c>
      <c r="Z439" s="25">
        <v>0</v>
      </c>
      <c r="AA439" s="25" t="s">
        <v>824</v>
      </c>
      <c r="AB439" s="25" t="s">
        <v>818</v>
      </c>
      <c r="AC439" s="25" t="s">
        <v>821</v>
      </c>
      <c r="AD439" s="25" t="s">
        <v>821</v>
      </c>
      <c r="AE439" s="25" t="s">
        <v>824</v>
      </c>
    </row>
    <row r="440" spans="20:31" ht="14.4">
      <c r="T440" t="s">
        <v>908</v>
      </c>
      <c r="U440" s="25" t="s">
        <v>816</v>
      </c>
      <c r="V440" t="s">
        <v>896</v>
      </c>
      <c r="W440" s="25" t="str">
        <f t="shared" si="25"/>
        <v>Aluminium Valance - Fabric CoveredFaceAcmeda 12v 6nm Motor</v>
      </c>
      <c r="X440" s="25">
        <v>6</v>
      </c>
      <c r="Y440" s="25" t="s">
        <v>824</v>
      </c>
      <c r="Z440" s="25">
        <v>0</v>
      </c>
      <c r="AA440" s="25" t="s">
        <v>824</v>
      </c>
      <c r="AB440" s="25" t="s">
        <v>818</v>
      </c>
      <c r="AC440" s="25" t="s">
        <v>821</v>
      </c>
      <c r="AD440" s="25" t="s">
        <v>821</v>
      </c>
      <c r="AE440" s="25" t="s">
        <v>824</v>
      </c>
    </row>
    <row r="441" spans="20:31" ht="14.4">
      <c r="T441" t="s">
        <v>908</v>
      </c>
      <c r="U441" s="25" t="s">
        <v>816</v>
      </c>
      <c r="V441" t="s">
        <v>855</v>
      </c>
      <c r="W441" s="25" t="str">
        <f t="shared" si="25"/>
        <v>Aluminium Valance - Fabric CoveredFace0.7nm 12v Acmeda Motor</v>
      </c>
      <c r="X441" s="25">
        <v>6</v>
      </c>
      <c r="Y441" s="25" t="s">
        <v>824</v>
      </c>
      <c r="Z441" s="25">
        <v>0</v>
      </c>
      <c r="AA441" s="25" t="s">
        <v>824</v>
      </c>
      <c r="AB441" s="25" t="s">
        <v>818</v>
      </c>
      <c r="AC441" s="25" t="s">
        <v>821</v>
      </c>
      <c r="AD441" s="25" t="s">
        <v>821</v>
      </c>
      <c r="AE441" s="25" t="s">
        <v>824</v>
      </c>
    </row>
    <row r="442" spans="20:31" ht="14.4">
      <c r="T442" t="s">
        <v>908</v>
      </c>
      <c r="U442" s="25" t="s">
        <v>816</v>
      </c>
      <c r="V442" s="25" t="s">
        <v>849</v>
      </c>
      <c r="W442" s="25" t="str">
        <f t="shared" si="25"/>
        <v>Aluminium Valance - Fabric CoveredFace1.1nm 12v Acmeda DCRF Motor with External Battery</v>
      </c>
      <c r="X442" s="25">
        <v>6</v>
      </c>
      <c r="Y442" s="25" t="s">
        <v>824</v>
      </c>
      <c r="Z442" s="25">
        <v>0</v>
      </c>
      <c r="AA442" s="25" t="s">
        <v>824</v>
      </c>
      <c r="AB442" s="25" t="s">
        <v>818</v>
      </c>
      <c r="AC442" s="25" t="s">
        <v>821</v>
      </c>
      <c r="AD442" s="25" t="s">
        <v>821</v>
      </c>
      <c r="AE442" s="25" t="s">
        <v>824</v>
      </c>
    </row>
    <row r="443" spans="20:31" ht="14.4">
      <c r="T443" t="s">
        <v>908</v>
      </c>
      <c r="U443" s="25" t="s">
        <v>816</v>
      </c>
      <c r="V443" s="25" t="s">
        <v>817</v>
      </c>
      <c r="W443" s="25" t="str">
        <f t="shared" si="25"/>
        <v>Aluminium Valance - Fabric CoveredFace1.1nm 12v Acmeda DCRF Motor</v>
      </c>
      <c r="X443" s="25">
        <v>6</v>
      </c>
      <c r="Y443" s="25" t="s">
        <v>824</v>
      </c>
      <c r="Z443" s="25">
        <v>0</v>
      </c>
      <c r="AA443" s="25" t="s">
        <v>824</v>
      </c>
      <c r="AB443" s="25" t="s">
        <v>818</v>
      </c>
      <c r="AC443" s="25" t="s">
        <v>821</v>
      </c>
      <c r="AD443" s="25" t="s">
        <v>821</v>
      </c>
      <c r="AE443" s="25" t="s">
        <v>824</v>
      </c>
    </row>
    <row r="444" spans="20:31" ht="14.4">
      <c r="T444" t="s">
        <v>908</v>
      </c>
      <c r="U444" s="25" t="s">
        <v>816</v>
      </c>
      <c r="V444" s="25" t="s">
        <v>868</v>
      </c>
      <c r="W444" s="25" t="str">
        <f t="shared" si="25"/>
        <v>Aluminium Valance - Fabric CoveredFace2nm 12v Acmeda DCRF Motor</v>
      </c>
      <c r="X444" s="25">
        <v>6</v>
      </c>
      <c r="Y444" s="25" t="s">
        <v>824</v>
      </c>
      <c r="Z444" s="25">
        <v>0</v>
      </c>
      <c r="AA444" s="25" t="s">
        <v>824</v>
      </c>
      <c r="AB444" s="25" t="s">
        <v>818</v>
      </c>
      <c r="AC444" s="25" t="s">
        <v>821</v>
      </c>
      <c r="AD444" s="25" t="s">
        <v>821</v>
      </c>
      <c r="AE444" s="25" t="s">
        <v>824</v>
      </c>
    </row>
    <row r="445" spans="20:31" ht="14.4">
      <c r="T445" t="s">
        <v>908</v>
      </c>
      <c r="U445" s="25" t="s">
        <v>816</v>
      </c>
      <c r="V445" t="s">
        <v>973</v>
      </c>
      <c r="W445" s="25" t="str">
        <f t="shared" si="25"/>
        <v>Aluminium Valance - Fabric CoveredFaceSomfy Remote Sonesse Motor</v>
      </c>
      <c r="X445" s="25">
        <v>6</v>
      </c>
      <c r="Y445" s="25" t="s">
        <v>824</v>
      </c>
      <c r="Z445" s="25">
        <v>0</v>
      </c>
      <c r="AA445" s="25" t="s">
        <v>824</v>
      </c>
      <c r="AB445" s="25" t="s">
        <v>818</v>
      </c>
      <c r="AC445" s="25" t="s">
        <v>821</v>
      </c>
      <c r="AD445" s="25" t="s">
        <v>821</v>
      </c>
      <c r="AE445" s="25" t="s">
        <v>824</v>
      </c>
    </row>
    <row r="446" spans="20:31" ht="14.4">
      <c r="T446" t="s">
        <v>908</v>
      </c>
      <c r="U446" s="25" t="s">
        <v>816</v>
      </c>
      <c r="V446" t="s">
        <v>637</v>
      </c>
      <c r="W446" s="25" t="str">
        <f t="shared" si="25"/>
        <v>Aluminium Valance - Fabric CoveredFaceSomfy 12v Remote Sonesse Motor</v>
      </c>
      <c r="X446" s="25">
        <v>0</v>
      </c>
      <c r="Y446" s="25" t="s">
        <v>824</v>
      </c>
      <c r="Z446" s="25">
        <v>0</v>
      </c>
      <c r="AA446" s="25" t="s">
        <v>824</v>
      </c>
      <c r="AB446" s="25" t="s">
        <v>821</v>
      </c>
      <c r="AC446" s="25" t="s">
        <v>821</v>
      </c>
      <c r="AD446" s="25" t="s">
        <v>818</v>
      </c>
      <c r="AE446" s="25" t="s">
        <v>824</v>
      </c>
    </row>
    <row r="447" spans="20:31" ht="14.4">
      <c r="T447" t="s">
        <v>908</v>
      </c>
      <c r="U447" s="25" t="s">
        <v>816</v>
      </c>
      <c r="V447" s="25" t="s">
        <v>974</v>
      </c>
      <c r="W447" s="25" t="str">
        <f t="shared" si="25"/>
        <v>Aluminium Valance - Fabric CoveredFaceSomfy CBUS Motor</v>
      </c>
      <c r="X447" s="25">
        <v>6</v>
      </c>
      <c r="Y447" s="25" t="s">
        <v>824</v>
      </c>
      <c r="Z447" s="25">
        <v>0</v>
      </c>
      <c r="AA447" s="25" t="s">
        <v>824</v>
      </c>
      <c r="AB447" s="25" t="s">
        <v>818</v>
      </c>
      <c r="AC447" s="25" t="s">
        <v>821</v>
      </c>
      <c r="AD447" s="25" t="s">
        <v>821</v>
      </c>
      <c r="AE447" s="25" t="s">
        <v>824</v>
      </c>
    </row>
    <row r="448" spans="20:31" ht="14.4">
      <c r="T448" t="s">
        <v>908</v>
      </c>
      <c r="U448" s="25" t="s">
        <v>816</v>
      </c>
      <c r="V448" t="s">
        <v>986</v>
      </c>
      <c r="W448" s="25" t="str">
        <f t="shared" si="25"/>
        <v>Aluminium Valance - Fabric CoveredFaceHD Somfy Remote Sonesse Motor</v>
      </c>
      <c r="X448" s="25">
        <v>6</v>
      </c>
      <c r="Y448" s="25" t="s">
        <v>824</v>
      </c>
      <c r="Z448" s="25">
        <v>0</v>
      </c>
      <c r="AA448" s="25" t="s">
        <v>824</v>
      </c>
      <c r="AB448" s="25" t="s">
        <v>818</v>
      </c>
      <c r="AC448" s="25" t="s">
        <v>821</v>
      </c>
      <c r="AD448" s="25" t="s">
        <v>821</v>
      </c>
      <c r="AE448" s="25" t="s">
        <v>824</v>
      </c>
    </row>
    <row r="449" spans="20:31" ht="14.4">
      <c r="T449" t="s">
        <v>908</v>
      </c>
      <c r="U449" s="25" t="s">
        <v>816</v>
      </c>
      <c r="V449" t="s">
        <v>989</v>
      </c>
      <c r="W449" s="25" t="str">
        <f t="shared" si="25"/>
        <v>Aluminium Valance - Fabric CoveredFaceHD Somfy 12v Remote Sonesse Motor</v>
      </c>
      <c r="X449" s="25">
        <v>0</v>
      </c>
      <c r="Y449" s="25" t="s">
        <v>824</v>
      </c>
      <c r="Z449" s="25">
        <v>0</v>
      </c>
      <c r="AA449" s="25" t="s">
        <v>824</v>
      </c>
      <c r="AB449" s="25" t="s">
        <v>821</v>
      </c>
      <c r="AC449" s="25" t="s">
        <v>821</v>
      </c>
      <c r="AD449" s="25" t="s">
        <v>818</v>
      </c>
      <c r="AE449" s="25" t="s">
        <v>824</v>
      </c>
    </row>
    <row r="450" spans="20:31" ht="14.4">
      <c r="T450" t="s">
        <v>908</v>
      </c>
      <c r="U450" s="25" t="s">
        <v>816</v>
      </c>
      <c r="V450" s="25" t="s">
        <v>992</v>
      </c>
      <c r="W450" s="25" t="str">
        <f t="shared" si="25"/>
        <v>Aluminium Valance - Fabric CoveredFaceHD Somfy CBUS Motor</v>
      </c>
      <c r="X450" s="25">
        <v>6</v>
      </c>
      <c r="Y450" s="25" t="s">
        <v>824</v>
      </c>
      <c r="Z450" s="25">
        <v>0</v>
      </c>
      <c r="AA450" s="25" t="s">
        <v>824</v>
      </c>
      <c r="AB450" s="25" t="s">
        <v>818</v>
      </c>
      <c r="AC450" s="25" t="s">
        <v>821</v>
      </c>
      <c r="AD450" s="25" t="s">
        <v>821</v>
      </c>
      <c r="AE450" s="25" t="s">
        <v>824</v>
      </c>
    </row>
    <row r="451" spans="20:31" ht="14.4">
      <c r="T451" t="s">
        <v>908</v>
      </c>
      <c r="U451" s="25" t="s">
        <v>816</v>
      </c>
      <c r="V451" s="25" t="s">
        <v>625</v>
      </c>
      <c r="W451" s="25" t="str">
        <f t="shared" si="26" ref="W451:W514">CONCATENATE(T451,U451,V451)</f>
        <v>Aluminium Valance - Fabric CoveredFaceAcmeda E6 Motor</v>
      </c>
      <c r="X451" s="25">
        <v>6</v>
      </c>
      <c r="Y451" s="25" t="s">
        <v>824</v>
      </c>
      <c r="Z451" s="25">
        <v>0</v>
      </c>
      <c r="AA451" s="25" t="s">
        <v>824</v>
      </c>
      <c r="AB451" s="25" t="s">
        <v>818</v>
      </c>
      <c r="AC451" s="25" t="s">
        <v>821</v>
      </c>
      <c r="AD451" s="25" t="s">
        <v>821</v>
      </c>
      <c r="AE451" s="25" t="s">
        <v>824</v>
      </c>
    </row>
    <row r="452" spans="20:31" ht="14.4">
      <c r="T452" t="s">
        <v>908</v>
      </c>
      <c r="U452" s="25" t="s">
        <v>816</v>
      </c>
      <c r="V452" s="25" t="s">
        <v>626</v>
      </c>
      <c r="W452" s="25" t="str">
        <f t="shared" si="26"/>
        <v>Aluminium Valance - Fabric CoveredFaceAcmeda M6 Motor</v>
      </c>
      <c r="X452" s="25">
        <v>6</v>
      </c>
      <c r="Y452" s="25" t="s">
        <v>824</v>
      </c>
      <c r="Z452" s="25">
        <v>0</v>
      </c>
      <c r="AA452" s="25" t="s">
        <v>824</v>
      </c>
      <c r="AB452" s="25" t="s">
        <v>818</v>
      </c>
      <c r="AC452" s="25" t="s">
        <v>821</v>
      </c>
      <c r="AD452" s="25" t="s">
        <v>821</v>
      </c>
      <c r="AE452" s="25" t="s">
        <v>824</v>
      </c>
    </row>
    <row r="453" spans="20:31" ht="14.4">
      <c r="T453" t="s">
        <v>908</v>
      </c>
      <c r="U453" s="25" t="s">
        <v>816</v>
      </c>
      <c r="V453" s="25" t="s">
        <v>1002</v>
      </c>
      <c r="W453" s="25" t="str">
        <f t="shared" si="26"/>
        <v>Aluminium Valance - Fabric CoveredFaceUniline Remote Motor</v>
      </c>
      <c r="X453" s="25">
        <v>6</v>
      </c>
      <c r="Y453" s="25" t="s">
        <v>824</v>
      </c>
      <c r="Z453" s="25">
        <v>0</v>
      </c>
      <c r="AA453" s="25" t="s">
        <v>824</v>
      </c>
      <c r="AB453" s="25" t="s">
        <v>818</v>
      </c>
      <c r="AC453" s="25" t="s">
        <v>821</v>
      </c>
      <c r="AD453" s="25" t="s">
        <v>821</v>
      </c>
      <c r="AE453" s="25" t="s">
        <v>824</v>
      </c>
    </row>
    <row r="454" spans="20:31" ht="14.4">
      <c r="T454" t="s">
        <v>908</v>
      </c>
      <c r="U454" s="25" t="s">
        <v>816</v>
      </c>
      <c r="V454" s="25" t="s">
        <v>1005</v>
      </c>
      <c r="W454" s="25" t="str">
        <f t="shared" si="26"/>
        <v>Aluminium Valance - Fabric CoveredFaceUniline Cbus Motor</v>
      </c>
      <c r="X454" s="25">
        <v>6</v>
      </c>
      <c r="Y454" s="25" t="s">
        <v>824</v>
      </c>
      <c r="Z454" s="25">
        <v>0</v>
      </c>
      <c r="AA454" s="25" t="s">
        <v>824</v>
      </c>
      <c r="AB454" s="25" t="s">
        <v>818</v>
      </c>
      <c r="AC454" s="25" t="s">
        <v>821</v>
      </c>
      <c r="AD454" s="25" t="s">
        <v>821</v>
      </c>
      <c r="AE454" s="25" t="s">
        <v>824</v>
      </c>
    </row>
    <row r="455" spans="20:31" ht="14.4">
      <c r="T455" t="s">
        <v>908</v>
      </c>
      <c r="U455" s="25" t="s">
        <v>816</v>
      </c>
      <c r="V455" s="25" t="s">
        <v>981</v>
      </c>
      <c r="W455" s="25" t="str">
        <f t="shared" si="26"/>
        <v>Aluminium Valance - Fabric CoveredFaceNice Remote Motor</v>
      </c>
      <c r="X455" s="25">
        <v>6</v>
      </c>
      <c r="Y455" s="25" t="s">
        <v>824</v>
      </c>
      <c r="Z455" s="25">
        <v>0</v>
      </c>
      <c r="AA455" s="25" t="s">
        <v>824</v>
      </c>
      <c r="AB455" s="25" t="s">
        <v>818</v>
      </c>
      <c r="AC455" s="25" t="s">
        <v>821</v>
      </c>
      <c r="AD455" s="25" t="s">
        <v>821</v>
      </c>
      <c r="AE455" s="25" t="s">
        <v>824</v>
      </c>
    </row>
    <row r="456" spans="20:31" ht="14.4">
      <c r="T456" t="s">
        <v>908</v>
      </c>
      <c r="U456" s="25" t="s">
        <v>816</v>
      </c>
      <c r="V456" s="25" t="s">
        <v>976</v>
      </c>
      <c r="W456" s="25" t="str">
        <f t="shared" si="26"/>
        <v>Aluminium Valance - Fabric CoveredFaceNice CBus Motor</v>
      </c>
      <c r="X456" s="25">
        <v>6</v>
      </c>
      <c r="Y456" s="25" t="s">
        <v>824</v>
      </c>
      <c r="Z456" s="25">
        <v>0</v>
      </c>
      <c r="AA456" s="25" t="s">
        <v>824</v>
      </c>
      <c r="AB456" s="25" t="s">
        <v>818</v>
      </c>
      <c r="AC456" s="25" t="s">
        <v>821</v>
      </c>
      <c r="AD456" s="25" t="s">
        <v>821</v>
      </c>
      <c r="AE456" s="25" t="s">
        <v>824</v>
      </c>
    </row>
    <row r="457" spans="20:31" ht="14.4">
      <c r="T457" t="s">
        <v>908</v>
      </c>
      <c r="U457" s="25" t="s">
        <v>816</v>
      </c>
      <c r="V457" t="s">
        <v>1006</v>
      </c>
      <c r="W457" s="25" t="str">
        <f t="shared" si="26"/>
        <v>Aluminium Valance - Fabric CoveredFaceSunboss Chain Winder 38mm Tube</v>
      </c>
      <c r="X457" s="25">
        <v>6</v>
      </c>
      <c r="Y457" s="25" t="s">
        <v>824</v>
      </c>
      <c r="Z457" s="25">
        <v>0</v>
      </c>
      <c r="AA457" s="25" t="s">
        <v>824</v>
      </c>
      <c r="AB457" s="25" t="s">
        <v>818</v>
      </c>
      <c r="AC457" s="25" t="s">
        <v>821</v>
      </c>
      <c r="AD457" s="25" t="s">
        <v>821</v>
      </c>
      <c r="AE457" s="25" t="s">
        <v>824</v>
      </c>
    </row>
    <row r="458" spans="20:31" ht="14.4">
      <c r="T458" t="s">
        <v>908</v>
      </c>
      <c r="U458" s="25" t="s">
        <v>816</v>
      </c>
      <c r="V458" t="s">
        <v>1017</v>
      </c>
      <c r="W458" s="25" t="str">
        <f t="shared" si="26"/>
        <v>Aluminium Valance - Fabric CoveredFaceSunboss Chain Winder 43mm Tube</v>
      </c>
      <c r="X458" s="25">
        <v>6</v>
      </c>
      <c r="Y458" s="25" t="s">
        <v>824</v>
      </c>
      <c r="Z458" s="25">
        <v>0</v>
      </c>
      <c r="AA458" s="25" t="s">
        <v>824</v>
      </c>
      <c r="AB458" s="25" t="s">
        <v>818</v>
      </c>
      <c r="AC458" s="25" t="s">
        <v>821</v>
      </c>
      <c r="AD458" s="25" t="s">
        <v>821</v>
      </c>
      <c r="AE458" s="25" t="s">
        <v>824</v>
      </c>
    </row>
    <row r="459" spans="20:31" ht="14.4">
      <c r="T459" t="s">
        <v>908</v>
      </c>
      <c r="U459" s="25" t="s">
        <v>816</v>
      </c>
      <c r="V459" s="25" t="s">
        <v>1012</v>
      </c>
      <c r="W459" s="25" t="str">
        <f t="shared" si="26"/>
        <v>Aluminium Valance - Fabric CoveredFaceTBS Remote Motor</v>
      </c>
      <c r="X459" s="25">
        <v>6</v>
      </c>
      <c r="Y459" s="25" t="s">
        <v>824</v>
      </c>
      <c r="Z459" s="25">
        <v>0</v>
      </c>
      <c r="AA459" s="25" t="s">
        <v>824</v>
      </c>
      <c r="AB459" s="25" t="s">
        <v>818</v>
      </c>
      <c r="AC459" s="25" t="s">
        <v>821</v>
      </c>
      <c r="AD459" s="25" t="s">
        <v>821</v>
      </c>
      <c r="AE459" s="25" t="s">
        <v>824</v>
      </c>
    </row>
    <row r="460" spans="20:31" ht="14.4">
      <c r="T460" t="s">
        <v>908</v>
      </c>
      <c r="U460" s="25" t="s">
        <v>816</v>
      </c>
      <c r="V460" t="s">
        <v>1009</v>
      </c>
      <c r="W460" s="25" t="str">
        <f t="shared" si="26"/>
        <v>Aluminium Valance - Fabric CoveredFaceTBS Cbus Motor</v>
      </c>
      <c r="X460" s="25">
        <v>6</v>
      </c>
      <c r="Y460" s="25" t="s">
        <v>824</v>
      </c>
      <c r="Z460" s="25">
        <v>0</v>
      </c>
      <c r="AA460" s="25" t="s">
        <v>824</v>
      </c>
      <c r="AB460" s="25" t="s">
        <v>818</v>
      </c>
      <c r="AC460" s="25" t="s">
        <v>821</v>
      </c>
      <c r="AD460" s="25" t="s">
        <v>821</v>
      </c>
      <c r="AE460" s="25" t="s">
        <v>824</v>
      </c>
    </row>
    <row r="461" spans="20:31" ht="14.4">
      <c r="T461" t="s">
        <v>908</v>
      </c>
      <c r="U461" s="25" t="s">
        <v>816</v>
      </c>
      <c r="V461" t="s">
        <v>927</v>
      </c>
      <c r="W461" s="25" t="str">
        <f t="shared" si="26"/>
        <v>Aluminium Valance - Fabric CoveredFaceAcmeda External Motor</v>
      </c>
      <c r="X461" s="25">
        <v>6</v>
      </c>
      <c r="Y461" s="25" t="s">
        <v>824</v>
      </c>
      <c r="Z461" s="25">
        <v>0</v>
      </c>
      <c r="AA461" s="25" t="s">
        <v>824</v>
      </c>
      <c r="AB461" s="25" t="s">
        <v>818</v>
      </c>
      <c r="AC461" s="25" t="s">
        <v>821</v>
      </c>
      <c r="AD461" s="25" t="s">
        <v>821</v>
      </c>
      <c r="AE461" s="25" t="s">
        <v>824</v>
      </c>
    </row>
    <row r="462" spans="20:31" ht="14.4">
      <c r="T462" t="s">
        <v>908</v>
      </c>
      <c r="U462" s="25" t="s">
        <v>816</v>
      </c>
      <c r="V462" t="s">
        <v>918</v>
      </c>
      <c r="W462" s="25" t="str">
        <f t="shared" si="26"/>
        <v>Aluminium Valance - Fabric CoveredFaceAcmeda External 12v Motor</v>
      </c>
      <c r="X462" s="25">
        <v>0</v>
      </c>
      <c r="Y462" s="25" t="s">
        <v>824</v>
      </c>
      <c r="Z462" s="25">
        <v>0</v>
      </c>
      <c r="AA462" s="25" t="s">
        <v>824</v>
      </c>
      <c r="AB462" s="25" t="s">
        <v>821</v>
      </c>
      <c r="AC462" s="25" t="s">
        <v>821</v>
      </c>
      <c r="AD462" s="25" t="s">
        <v>818</v>
      </c>
      <c r="AE462" s="25" t="s">
        <v>824</v>
      </c>
    </row>
    <row r="463" spans="20:31" ht="14.4">
      <c r="T463" t="s">
        <v>908</v>
      </c>
      <c r="U463" s="25" t="s">
        <v>816</v>
      </c>
      <c r="V463" t="s">
        <v>979</v>
      </c>
      <c r="W463" s="25" t="str">
        <f t="shared" si="26"/>
        <v>Aluminium Valance - Fabric CoveredFaceSomfy External CBUS Motor</v>
      </c>
      <c r="X463" s="25">
        <v>0</v>
      </c>
      <c r="Y463" s="25" t="s">
        <v>824</v>
      </c>
      <c r="Z463" s="25">
        <v>0</v>
      </c>
      <c r="AA463" s="25" t="s">
        <v>824</v>
      </c>
      <c r="AB463" s="25" t="s">
        <v>821</v>
      </c>
      <c r="AC463" s="25" t="s">
        <v>821</v>
      </c>
      <c r="AD463" s="25" t="s">
        <v>818</v>
      </c>
      <c r="AE463" s="25" t="s">
        <v>824</v>
      </c>
    </row>
    <row r="464" spans="20:31" ht="14.4">
      <c r="T464" t="s">
        <v>908</v>
      </c>
      <c r="U464" s="25" t="s">
        <v>816</v>
      </c>
      <c r="V464" t="s">
        <v>983</v>
      </c>
      <c r="W464" s="25" t="str">
        <f t="shared" si="26"/>
        <v>Aluminium Valance - Fabric CoveredFaceSomfy External Remote Motor</v>
      </c>
      <c r="X464" s="25">
        <v>0</v>
      </c>
      <c r="Y464" s="25" t="s">
        <v>824</v>
      </c>
      <c r="Z464" s="25">
        <v>0</v>
      </c>
      <c r="AA464" s="25" t="s">
        <v>824</v>
      </c>
      <c r="AB464" s="25" t="s">
        <v>821</v>
      </c>
      <c r="AC464" s="25" t="s">
        <v>821</v>
      </c>
      <c r="AD464" s="25" t="s">
        <v>818</v>
      </c>
      <c r="AE464" s="25" t="s">
        <v>824</v>
      </c>
    </row>
    <row r="465" spans="20:31" ht="14.4">
      <c r="T465" t="s">
        <v>908</v>
      </c>
      <c r="U465" s="25" t="s">
        <v>816</v>
      </c>
      <c r="V465" t="s">
        <v>995</v>
      </c>
      <c r="W465" s="25" t="str">
        <f t="shared" si="26"/>
        <v>Aluminium Valance - Fabric CoveredFaceHD Somfy External CBUS Motor</v>
      </c>
      <c r="X465" s="25">
        <v>0</v>
      </c>
      <c r="Y465" s="25" t="s">
        <v>824</v>
      </c>
      <c r="Z465" s="25">
        <v>0</v>
      </c>
      <c r="AA465" s="25" t="s">
        <v>824</v>
      </c>
      <c r="AB465" s="25" t="s">
        <v>821</v>
      </c>
      <c r="AC465" s="25" t="s">
        <v>821</v>
      </c>
      <c r="AD465" s="25" t="s">
        <v>818</v>
      </c>
      <c r="AE465" s="25" t="s">
        <v>824</v>
      </c>
    </row>
    <row r="466" spans="20:31" ht="14.4">
      <c r="T466" t="s">
        <v>908</v>
      </c>
      <c r="U466" s="25" t="s">
        <v>816</v>
      </c>
      <c r="V466" t="s">
        <v>999</v>
      </c>
      <c r="W466" s="25" t="str">
        <f t="shared" si="26"/>
        <v>Aluminium Valance - Fabric CoveredFaceHD Somfy External Remote Motor</v>
      </c>
      <c r="X466" s="25">
        <v>0</v>
      </c>
      <c r="Y466" s="25" t="s">
        <v>824</v>
      </c>
      <c r="Z466" s="25">
        <v>0</v>
      </c>
      <c r="AA466" s="25" t="s">
        <v>824</v>
      </c>
      <c r="AB466" s="25" t="s">
        <v>821</v>
      </c>
      <c r="AC466" s="25" t="s">
        <v>821</v>
      </c>
      <c r="AD466" s="25" t="s">
        <v>818</v>
      </c>
      <c r="AE466" s="25" t="s">
        <v>824</v>
      </c>
    </row>
    <row r="467" spans="20:31" ht="14.4">
      <c r="T467" t="s">
        <v>908</v>
      </c>
      <c r="U467" s="25" t="s">
        <v>854</v>
      </c>
      <c r="V467" s="25" t="s">
        <v>823</v>
      </c>
      <c r="W467" s="25" t="str">
        <f t="shared" si="26"/>
        <v>Aluminium Valance - Fabric CoveredTop FixChain Winder</v>
      </c>
      <c r="X467" s="25">
        <v>6</v>
      </c>
      <c r="Y467" s="25" t="s">
        <v>824</v>
      </c>
      <c r="Z467" s="25">
        <v>0</v>
      </c>
      <c r="AA467" s="25" t="s">
        <v>824</v>
      </c>
      <c r="AB467" s="25" t="s">
        <v>818</v>
      </c>
      <c r="AC467" s="25" t="s">
        <v>821</v>
      </c>
      <c r="AD467" s="25" t="s">
        <v>821</v>
      </c>
      <c r="AE467" s="25" t="s">
        <v>824</v>
      </c>
    </row>
    <row r="468" spans="20:31" ht="14.4">
      <c r="T468" t="s">
        <v>908</v>
      </c>
      <c r="U468" s="25" t="s">
        <v>854</v>
      </c>
      <c r="V468" s="25" t="s">
        <v>841</v>
      </c>
      <c r="W468" s="25" t="str">
        <f t="shared" si="26"/>
        <v>Aluminium Valance - Fabric CoveredTop FixHD Chain Winder</v>
      </c>
      <c r="X468" s="25">
        <v>6</v>
      </c>
      <c r="Y468" s="25" t="s">
        <v>824</v>
      </c>
      <c r="Z468" s="25">
        <v>0</v>
      </c>
      <c r="AA468" s="25" t="s">
        <v>824</v>
      </c>
      <c r="AB468" s="25" t="s">
        <v>818</v>
      </c>
      <c r="AC468" s="25" t="s">
        <v>821</v>
      </c>
      <c r="AD468" s="25" t="s">
        <v>821</v>
      </c>
      <c r="AE468" s="25" t="s">
        <v>824</v>
      </c>
    </row>
    <row r="469" spans="20:31" ht="14.4">
      <c r="T469" t="s">
        <v>908</v>
      </c>
      <c r="U469" s="25" t="s">
        <v>854</v>
      </c>
      <c r="V469" s="25" t="s">
        <v>858</v>
      </c>
      <c r="W469" s="25" t="str">
        <f t="shared" si="26"/>
        <v>Aluminium Valance - Fabric CoveredTop FixChain Winder 60mm</v>
      </c>
      <c r="X469" s="25">
        <v>6</v>
      </c>
      <c r="Y469" s="25" t="s">
        <v>824</v>
      </c>
      <c r="Z469" s="25">
        <v>0</v>
      </c>
      <c r="AA469" s="25" t="s">
        <v>824</v>
      </c>
      <c r="AB469" s="25" t="s">
        <v>818</v>
      </c>
      <c r="AC469" s="25" t="s">
        <v>821</v>
      </c>
      <c r="AD469" s="25" t="s">
        <v>821</v>
      </c>
      <c r="AE469" s="25" t="s">
        <v>824</v>
      </c>
    </row>
    <row r="470" spans="20:31" ht="14.4">
      <c r="T470" t="s">
        <v>908</v>
      </c>
      <c r="U470" s="25" t="s">
        <v>854</v>
      </c>
      <c r="V470" s="25" t="s">
        <v>865</v>
      </c>
      <c r="W470" s="25" t="str">
        <f t="shared" si="26"/>
        <v>Aluminium Valance - Fabric CoveredTop FixChain Winder Fixed Guide</v>
      </c>
      <c r="X470" s="25">
        <v>6</v>
      </c>
      <c r="Y470" s="25" t="s">
        <v>824</v>
      </c>
      <c r="Z470" s="25">
        <v>0</v>
      </c>
      <c r="AA470" s="25" t="s">
        <v>824</v>
      </c>
      <c r="AB470" s="25" t="s">
        <v>818</v>
      </c>
      <c r="AC470" s="25" t="s">
        <v>821</v>
      </c>
      <c r="AD470" s="25" t="s">
        <v>821</v>
      </c>
      <c r="AE470" s="25" t="s">
        <v>824</v>
      </c>
    </row>
    <row r="471" spans="20:31" ht="14.4">
      <c r="T471" t="s">
        <v>908</v>
      </c>
      <c r="U471" s="25" t="s">
        <v>854</v>
      </c>
      <c r="V471" s="25" t="s">
        <v>181</v>
      </c>
      <c r="W471" s="25" t="str">
        <f t="shared" si="26"/>
        <v>Aluminium Valance - Fabric CoveredTop FixLinked</v>
      </c>
      <c r="X471" s="25">
        <v>6</v>
      </c>
      <c r="Y471" s="25" t="s">
        <v>824</v>
      </c>
      <c r="Z471" s="25">
        <v>0</v>
      </c>
      <c r="AA471" s="25" t="s">
        <v>824</v>
      </c>
      <c r="AB471" s="25" t="s">
        <v>818</v>
      </c>
      <c r="AC471" s="25" t="s">
        <v>821</v>
      </c>
      <c r="AD471" s="25" t="s">
        <v>821</v>
      </c>
      <c r="AE471" s="25" t="s">
        <v>824</v>
      </c>
    </row>
    <row r="472" spans="20:31" ht="14.4">
      <c r="T472" t="s">
        <v>908</v>
      </c>
      <c r="U472" s="25" t="s">
        <v>854</v>
      </c>
      <c r="V472" s="25" t="s">
        <v>898</v>
      </c>
      <c r="W472" s="25" t="str">
        <f t="shared" si="26"/>
        <v>Aluminium Valance - Fabric CoveredTop FixLinked - HD</v>
      </c>
      <c r="X472" s="25">
        <v>6</v>
      </c>
      <c r="Y472" s="25" t="s">
        <v>824</v>
      </c>
      <c r="Z472" s="25">
        <v>0</v>
      </c>
      <c r="AA472" s="25" t="s">
        <v>824</v>
      </c>
      <c r="AB472" s="25" t="s">
        <v>818</v>
      </c>
      <c r="AC472" s="25" t="s">
        <v>821</v>
      </c>
      <c r="AD472" s="25" t="s">
        <v>821</v>
      </c>
      <c r="AE472" s="25" t="s">
        <v>824</v>
      </c>
    </row>
    <row r="473" spans="20:31" ht="14.4">
      <c r="T473" t="s">
        <v>908</v>
      </c>
      <c r="U473" s="25" t="s">
        <v>854</v>
      </c>
      <c r="V473" s="25" t="s">
        <v>910</v>
      </c>
      <c r="W473" s="25" t="str">
        <f t="shared" si="26"/>
        <v>Aluminium Valance - Fabric CoveredTop FixStandard Spring</v>
      </c>
      <c r="X473" s="25">
        <v>6</v>
      </c>
      <c r="Y473" s="25" t="s">
        <v>824</v>
      </c>
      <c r="Z473" s="25">
        <v>0</v>
      </c>
      <c r="AA473" s="25" t="s">
        <v>824</v>
      </c>
      <c r="AB473" s="25" t="s">
        <v>818</v>
      </c>
      <c r="AC473" s="25" t="s">
        <v>821</v>
      </c>
      <c r="AD473" s="25" t="s">
        <v>821</v>
      </c>
      <c r="AE473" s="25" t="s">
        <v>824</v>
      </c>
    </row>
    <row r="474" spans="20:31" ht="14.4">
      <c r="T474" t="s">
        <v>908</v>
      </c>
      <c r="U474" s="25" t="s">
        <v>854</v>
      </c>
      <c r="V474" s="25" t="s">
        <v>920</v>
      </c>
      <c r="W474" s="25" t="str">
        <f t="shared" si="26"/>
        <v>Aluminium Valance - Fabric CoveredTop FixSmall Spring</v>
      </c>
      <c r="X474" s="25">
        <v>0</v>
      </c>
      <c r="Y474" s="25" t="s">
        <v>824</v>
      </c>
      <c r="Z474" s="25">
        <v>0</v>
      </c>
      <c r="AA474" s="25" t="s">
        <v>824</v>
      </c>
      <c r="AB474" s="25" t="s">
        <v>821</v>
      </c>
      <c r="AC474" s="25" t="s">
        <v>821</v>
      </c>
      <c r="AD474" s="25" t="s">
        <v>818</v>
      </c>
      <c r="AE474" s="25" t="s">
        <v>824</v>
      </c>
    </row>
    <row r="475" spans="20:31" ht="14.4">
      <c r="T475" t="s">
        <v>908</v>
      </c>
      <c r="U475" s="25" t="s">
        <v>854</v>
      </c>
      <c r="V475" s="25" t="s">
        <v>929</v>
      </c>
      <c r="W475" s="25" t="str">
        <f t="shared" si="26"/>
        <v>Aluminium Valance - Fabric CoveredTop FixUniline Spring (Old Style)</v>
      </c>
      <c r="X475" s="25">
        <v>6</v>
      </c>
      <c r="Y475" s="25" t="s">
        <v>824</v>
      </c>
      <c r="Z475" s="25">
        <v>0</v>
      </c>
      <c r="AA475" s="25" t="s">
        <v>824</v>
      </c>
      <c r="AB475" s="25" t="s">
        <v>818</v>
      </c>
      <c r="AC475" s="25" t="s">
        <v>821</v>
      </c>
      <c r="AD475" s="25" t="s">
        <v>821</v>
      </c>
      <c r="AE475" s="25" t="s">
        <v>824</v>
      </c>
    </row>
    <row r="476" spans="20:31" ht="14.4">
      <c r="T476" t="s">
        <v>908</v>
      </c>
      <c r="U476" s="25" t="s">
        <v>854</v>
      </c>
      <c r="V476" s="25" t="s">
        <v>935</v>
      </c>
      <c r="W476" s="25" t="str">
        <f t="shared" si="26"/>
        <v>Aluminium Valance - Fabric CoveredTop FixBecker Remote Motor</v>
      </c>
      <c r="X476" s="25">
        <v>6</v>
      </c>
      <c r="Y476" s="25" t="s">
        <v>824</v>
      </c>
      <c r="Z476" s="25">
        <v>0</v>
      </c>
      <c r="AA476" s="25" t="s">
        <v>824</v>
      </c>
      <c r="AB476" s="25" t="s">
        <v>818</v>
      </c>
      <c r="AC476" s="25" t="s">
        <v>821</v>
      </c>
      <c r="AD476" s="25" t="s">
        <v>821</v>
      </c>
      <c r="AE476" s="25" t="s">
        <v>824</v>
      </c>
    </row>
    <row r="477" spans="20:31" ht="14.4">
      <c r="T477" t="s">
        <v>908</v>
      </c>
      <c r="U477" s="25" t="s">
        <v>854</v>
      </c>
      <c r="V477" s="25" t="s">
        <v>939</v>
      </c>
      <c r="W477" s="25" t="str">
        <f t="shared" si="26"/>
        <v>Aluminium Valance - Fabric CoveredTop FixBecker CBUS Motor</v>
      </c>
      <c r="X477" s="25">
        <v>6</v>
      </c>
      <c r="Y477" s="25" t="s">
        <v>824</v>
      </c>
      <c r="Z477" s="25">
        <v>0</v>
      </c>
      <c r="AA477" s="25" t="s">
        <v>824</v>
      </c>
      <c r="AB477" s="25" t="s">
        <v>818</v>
      </c>
      <c r="AC477" s="25" t="s">
        <v>821</v>
      </c>
      <c r="AD477" s="25" t="s">
        <v>821</v>
      </c>
      <c r="AE477" s="25" t="s">
        <v>824</v>
      </c>
    </row>
    <row r="478" spans="20:31" ht="14.4">
      <c r="T478" t="s">
        <v>908</v>
      </c>
      <c r="U478" s="25" t="s">
        <v>854</v>
      </c>
      <c r="V478" s="25" t="s">
        <v>946</v>
      </c>
      <c r="W478" s="25" t="str">
        <f t="shared" si="26"/>
        <v>Aluminium Valance - Fabric CoveredTop FixBecker External Remote Motor</v>
      </c>
      <c r="X478" s="25">
        <v>0</v>
      </c>
      <c r="Y478" s="25" t="s">
        <v>824</v>
      </c>
      <c r="Z478" s="25">
        <v>0</v>
      </c>
      <c r="AA478" s="25" t="s">
        <v>824</v>
      </c>
      <c r="AB478" s="25" t="s">
        <v>821</v>
      </c>
      <c r="AC478" s="25" t="s">
        <v>821</v>
      </c>
      <c r="AD478" s="25" t="s">
        <v>818</v>
      </c>
      <c r="AE478" s="25" t="s">
        <v>824</v>
      </c>
    </row>
    <row r="479" spans="20:31" ht="14.4">
      <c r="T479" t="s">
        <v>908</v>
      </c>
      <c r="U479" s="25" t="s">
        <v>854</v>
      </c>
      <c r="V479" s="25" t="s">
        <v>951</v>
      </c>
      <c r="W479" s="25" t="str">
        <f t="shared" si="26"/>
        <v>Aluminium Valance - Fabric CoveredTop FixBecker External CBUS Motor</v>
      </c>
      <c r="X479" s="25">
        <v>0</v>
      </c>
      <c r="Y479" s="25" t="s">
        <v>824</v>
      </c>
      <c r="Z479" s="25">
        <v>0</v>
      </c>
      <c r="AA479" s="25" t="s">
        <v>824</v>
      </c>
      <c r="AB479" s="25" t="s">
        <v>821</v>
      </c>
      <c r="AC479" s="25" t="s">
        <v>821</v>
      </c>
      <c r="AD479" s="25" t="s">
        <v>818</v>
      </c>
      <c r="AE479" s="25" t="s">
        <v>824</v>
      </c>
    </row>
    <row r="480" spans="20:31" ht="14.4">
      <c r="T480" t="s">
        <v>908</v>
      </c>
      <c r="U480" s="25" t="s">
        <v>854</v>
      </c>
      <c r="V480" s="25" t="s">
        <v>838</v>
      </c>
      <c r="W480" s="25" t="str">
        <f t="shared" si="26"/>
        <v>Aluminium Valance - Fabric CoveredTop Fix1.1nm 12v Acmeda Motor</v>
      </c>
      <c r="X480" s="25">
        <v>6</v>
      </c>
      <c r="Y480" s="25" t="s">
        <v>824</v>
      </c>
      <c r="Z480" s="25">
        <v>0</v>
      </c>
      <c r="AA480" s="25" t="s">
        <v>824</v>
      </c>
      <c r="AB480" s="25" t="s">
        <v>818</v>
      </c>
      <c r="AC480" s="25" t="s">
        <v>821</v>
      </c>
      <c r="AD480" s="25" t="s">
        <v>821</v>
      </c>
      <c r="AE480" s="25" t="s">
        <v>824</v>
      </c>
    </row>
    <row r="481" spans="20:31" ht="14.4">
      <c r="T481" t="s">
        <v>908</v>
      </c>
      <c r="U481" s="25" t="s">
        <v>854</v>
      </c>
      <c r="V481" t="s">
        <v>882</v>
      </c>
      <c r="W481" s="25" t="str">
        <f t="shared" si="26"/>
        <v>Aluminium Valance - Fabric CoveredTop Fix2nm 12v Acmeda Motor</v>
      </c>
      <c r="X481" s="25">
        <v>6</v>
      </c>
      <c r="Y481" s="25" t="s">
        <v>824</v>
      </c>
      <c r="Z481" s="25">
        <v>0</v>
      </c>
      <c r="AA481" s="25" t="s">
        <v>824</v>
      </c>
      <c r="AB481" s="25" t="s">
        <v>818</v>
      </c>
      <c r="AC481" s="25" t="s">
        <v>821</v>
      </c>
      <c r="AD481" s="25" t="s">
        <v>821</v>
      </c>
      <c r="AE481" s="25" t="s">
        <v>824</v>
      </c>
    </row>
    <row r="482" spans="20:31" ht="14.4">
      <c r="T482" t="s">
        <v>908</v>
      </c>
      <c r="U482" s="25" t="s">
        <v>854</v>
      </c>
      <c r="V482" t="s">
        <v>896</v>
      </c>
      <c r="W482" s="25" t="str">
        <f t="shared" si="26"/>
        <v>Aluminium Valance - Fabric CoveredTop FixAcmeda 12v 6nm Motor</v>
      </c>
      <c r="X482" s="25">
        <v>6</v>
      </c>
      <c r="Y482" s="25" t="s">
        <v>824</v>
      </c>
      <c r="Z482" s="25">
        <v>0</v>
      </c>
      <c r="AA482" s="25" t="s">
        <v>824</v>
      </c>
      <c r="AB482" s="25" t="s">
        <v>818</v>
      </c>
      <c r="AC482" s="25" t="s">
        <v>821</v>
      </c>
      <c r="AD482" s="25" t="s">
        <v>821</v>
      </c>
      <c r="AE482" s="25" t="s">
        <v>824</v>
      </c>
    </row>
    <row r="483" spans="20:31" ht="14.4">
      <c r="T483" t="s">
        <v>908</v>
      </c>
      <c r="U483" s="25" t="s">
        <v>854</v>
      </c>
      <c r="V483" t="s">
        <v>855</v>
      </c>
      <c r="W483" s="25" t="str">
        <f t="shared" si="26"/>
        <v>Aluminium Valance - Fabric CoveredTop Fix0.7nm 12v Acmeda Motor</v>
      </c>
      <c r="X483" s="25">
        <v>6</v>
      </c>
      <c r="Y483" s="25" t="s">
        <v>824</v>
      </c>
      <c r="Z483" s="25">
        <v>0</v>
      </c>
      <c r="AA483" s="25" t="s">
        <v>824</v>
      </c>
      <c r="AB483" s="25" t="s">
        <v>818</v>
      </c>
      <c r="AC483" s="25" t="s">
        <v>821</v>
      </c>
      <c r="AD483" s="25" t="s">
        <v>821</v>
      </c>
      <c r="AE483" s="25" t="s">
        <v>824</v>
      </c>
    </row>
    <row r="484" spans="20:31" ht="14.4">
      <c r="T484" t="s">
        <v>908</v>
      </c>
      <c r="U484" s="25" t="s">
        <v>854</v>
      </c>
      <c r="V484" s="25" t="s">
        <v>849</v>
      </c>
      <c r="W484" s="25" t="str">
        <f t="shared" si="26"/>
        <v>Aluminium Valance - Fabric CoveredTop Fix1.1nm 12v Acmeda DCRF Motor with External Battery</v>
      </c>
      <c r="X484" s="25">
        <v>6</v>
      </c>
      <c r="Y484" s="25" t="s">
        <v>824</v>
      </c>
      <c r="Z484" s="25">
        <v>0</v>
      </c>
      <c r="AA484" s="25" t="s">
        <v>824</v>
      </c>
      <c r="AB484" s="25" t="s">
        <v>818</v>
      </c>
      <c r="AC484" s="25" t="s">
        <v>821</v>
      </c>
      <c r="AD484" s="25" t="s">
        <v>821</v>
      </c>
      <c r="AE484" s="25" t="s">
        <v>824</v>
      </c>
    </row>
    <row r="485" spans="20:31" ht="14.4">
      <c r="T485" t="s">
        <v>908</v>
      </c>
      <c r="U485" s="25" t="s">
        <v>854</v>
      </c>
      <c r="V485" s="25" t="s">
        <v>817</v>
      </c>
      <c r="W485" s="25" t="str">
        <f t="shared" si="26"/>
        <v>Aluminium Valance - Fabric CoveredTop Fix1.1nm 12v Acmeda DCRF Motor</v>
      </c>
      <c r="X485" s="25">
        <v>6</v>
      </c>
      <c r="Y485" s="25" t="s">
        <v>824</v>
      </c>
      <c r="Z485" s="25">
        <v>0</v>
      </c>
      <c r="AA485" s="25" t="s">
        <v>824</v>
      </c>
      <c r="AB485" s="25" t="s">
        <v>818</v>
      </c>
      <c r="AC485" s="25" t="s">
        <v>821</v>
      </c>
      <c r="AD485" s="25" t="s">
        <v>821</v>
      </c>
      <c r="AE485" s="25" t="s">
        <v>824</v>
      </c>
    </row>
    <row r="486" spans="20:31" ht="14.4">
      <c r="T486" t="s">
        <v>908</v>
      </c>
      <c r="U486" s="25" t="s">
        <v>854</v>
      </c>
      <c r="V486" s="25" t="s">
        <v>868</v>
      </c>
      <c r="W486" s="25" t="str">
        <f t="shared" si="26"/>
        <v>Aluminium Valance - Fabric CoveredTop Fix2nm 12v Acmeda DCRF Motor</v>
      </c>
      <c r="X486" s="25">
        <v>6</v>
      </c>
      <c r="Y486" s="25" t="s">
        <v>824</v>
      </c>
      <c r="Z486" s="25">
        <v>0</v>
      </c>
      <c r="AA486" s="25" t="s">
        <v>824</v>
      </c>
      <c r="AB486" s="25" t="s">
        <v>818</v>
      </c>
      <c r="AC486" s="25" t="s">
        <v>821</v>
      </c>
      <c r="AD486" s="25" t="s">
        <v>821</v>
      </c>
      <c r="AE486" s="25" t="s">
        <v>824</v>
      </c>
    </row>
    <row r="487" spans="20:31" ht="14.4">
      <c r="T487" t="s">
        <v>908</v>
      </c>
      <c r="U487" s="25" t="s">
        <v>854</v>
      </c>
      <c r="V487" t="s">
        <v>973</v>
      </c>
      <c r="W487" s="25" t="str">
        <f t="shared" si="26"/>
        <v>Aluminium Valance - Fabric CoveredTop FixSomfy Remote Sonesse Motor</v>
      </c>
      <c r="X487" s="25">
        <v>6</v>
      </c>
      <c r="Y487" s="25" t="s">
        <v>824</v>
      </c>
      <c r="Z487" s="25">
        <v>0</v>
      </c>
      <c r="AA487" s="25" t="s">
        <v>824</v>
      </c>
      <c r="AB487" s="25" t="s">
        <v>818</v>
      </c>
      <c r="AC487" s="25" t="s">
        <v>821</v>
      </c>
      <c r="AD487" s="25" t="s">
        <v>821</v>
      </c>
      <c r="AE487" s="25" t="s">
        <v>824</v>
      </c>
    </row>
    <row r="488" spans="20:31" ht="14.4">
      <c r="T488" t="s">
        <v>908</v>
      </c>
      <c r="U488" s="25" t="s">
        <v>854</v>
      </c>
      <c r="V488" t="s">
        <v>637</v>
      </c>
      <c r="W488" s="25" t="str">
        <f t="shared" si="26"/>
        <v>Aluminium Valance - Fabric CoveredTop FixSomfy 12v Remote Sonesse Motor</v>
      </c>
      <c r="X488" s="25">
        <v>0</v>
      </c>
      <c r="Y488" s="25" t="s">
        <v>824</v>
      </c>
      <c r="Z488" s="25">
        <v>0</v>
      </c>
      <c r="AA488" s="25" t="s">
        <v>824</v>
      </c>
      <c r="AB488" s="25" t="s">
        <v>821</v>
      </c>
      <c r="AC488" s="25" t="s">
        <v>821</v>
      </c>
      <c r="AD488" s="25" t="s">
        <v>818</v>
      </c>
      <c r="AE488" s="25" t="s">
        <v>824</v>
      </c>
    </row>
    <row r="489" spans="20:31" ht="14.4">
      <c r="T489" t="s">
        <v>908</v>
      </c>
      <c r="U489" s="25" t="s">
        <v>854</v>
      </c>
      <c r="V489" s="25" t="s">
        <v>974</v>
      </c>
      <c r="W489" s="25" t="str">
        <f t="shared" si="26"/>
        <v>Aluminium Valance - Fabric CoveredTop FixSomfy CBUS Motor</v>
      </c>
      <c r="X489" s="25">
        <v>6</v>
      </c>
      <c r="Y489" s="25" t="s">
        <v>824</v>
      </c>
      <c r="Z489" s="25">
        <v>0</v>
      </c>
      <c r="AA489" s="25" t="s">
        <v>824</v>
      </c>
      <c r="AB489" s="25" t="s">
        <v>818</v>
      </c>
      <c r="AC489" s="25" t="s">
        <v>821</v>
      </c>
      <c r="AD489" s="25" t="s">
        <v>821</v>
      </c>
      <c r="AE489" s="25" t="s">
        <v>824</v>
      </c>
    </row>
    <row r="490" spans="20:31" ht="14.4">
      <c r="T490" t="s">
        <v>908</v>
      </c>
      <c r="U490" s="25" t="s">
        <v>854</v>
      </c>
      <c r="V490" t="s">
        <v>986</v>
      </c>
      <c r="W490" s="25" t="str">
        <f t="shared" si="26"/>
        <v>Aluminium Valance - Fabric CoveredTop FixHD Somfy Remote Sonesse Motor</v>
      </c>
      <c r="X490" s="25">
        <v>6</v>
      </c>
      <c r="Y490" s="25" t="s">
        <v>824</v>
      </c>
      <c r="Z490" s="25">
        <v>0</v>
      </c>
      <c r="AA490" s="25" t="s">
        <v>824</v>
      </c>
      <c r="AB490" s="25" t="s">
        <v>818</v>
      </c>
      <c r="AC490" s="25" t="s">
        <v>821</v>
      </c>
      <c r="AD490" s="25" t="s">
        <v>821</v>
      </c>
      <c r="AE490" s="25" t="s">
        <v>824</v>
      </c>
    </row>
    <row r="491" spans="20:31" ht="14.4">
      <c r="T491" t="s">
        <v>908</v>
      </c>
      <c r="U491" s="25" t="s">
        <v>854</v>
      </c>
      <c r="V491" t="s">
        <v>989</v>
      </c>
      <c r="W491" s="25" t="str">
        <f t="shared" si="26"/>
        <v>Aluminium Valance - Fabric CoveredTop FixHD Somfy 12v Remote Sonesse Motor</v>
      </c>
      <c r="X491" s="25">
        <v>0</v>
      </c>
      <c r="Y491" s="25" t="s">
        <v>824</v>
      </c>
      <c r="Z491" s="25">
        <v>0</v>
      </c>
      <c r="AA491" s="25" t="s">
        <v>824</v>
      </c>
      <c r="AB491" s="25" t="s">
        <v>821</v>
      </c>
      <c r="AC491" s="25" t="s">
        <v>821</v>
      </c>
      <c r="AD491" s="25" t="s">
        <v>818</v>
      </c>
      <c r="AE491" s="25" t="s">
        <v>824</v>
      </c>
    </row>
    <row r="492" spans="20:31" ht="14.4">
      <c r="T492" t="s">
        <v>908</v>
      </c>
      <c r="U492" s="25" t="s">
        <v>854</v>
      </c>
      <c r="V492" s="25" t="s">
        <v>992</v>
      </c>
      <c r="W492" s="25" t="str">
        <f t="shared" si="26"/>
        <v>Aluminium Valance - Fabric CoveredTop FixHD Somfy CBUS Motor</v>
      </c>
      <c r="X492" s="25">
        <v>6</v>
      </c>
      <c r="Y492" s="25" t="s">
        <v>824</v>
      </c>
      <c r="Z492" s="25">
        <v>0</v>
      </c>
      <c r="AA492" s="25" t="s">
        <v>824</v>
      </c>
      <c r="AB492" s="25" t="s">
        <v>818</v>
      </c>
      <c r="AC492" s="25" t="s">
        <v>821</v>
      </c>
      <c r="AD492" s="25" t="s">
        <v>821</v>
      </c>
      <c r="AE492" s="25" t="s">
        <v>824</v>
      </c>
    </row>
    <row r="493" spans="20:31" ht="14.4">
      <c r="T493" t="s">
        <v>908</v>
      </c>
      <c r="U493" s="25" t="s">
        <v>854</v>
      </c>
      <c r="V493" s="25" t="s">
        <v>625</v>
      </c>
      <c r="W493" s="25" t="str">
        <f t="shared" si="26"/>
        <v>Aluminium Valance - Fabric CoveredTop FixAcmeda E6 Motor</v>
      </c>
      <c r="X493" s="25">
        <v>6</v>
      </c>
      <c r="Y493" s="25" t="s">
        <v>824</v>
      </c>
      <c r="Z493" s="25">
        <v>0</v>
      </c>
      <c r="AA493" s="25" t="s">
        <v>824</v>
      </c>
      <c r="AB493" s="25" t="s">
        <v>818</v>
      </c>
      <c r="AC493" s="25" t="s">
        <v>821</v>
      </c>
      <c r="AD493" s="25" t="s">
        <v>821</v>
      </c>
      <c r="AE493" s="25" t="s">
        <v>824</v>
      </c>
    </row>
    <row r="494" spans="20:31" ht="14.4">
      <c r="T494" t="s">
        <v>908</v>
      </c>
      <c r="U494" s="25" t="s">
        <v>854</v>
      </c>
      <c r="V494" s="25" t="s">
        <v>626</v>
      </c>
      <c r="W494" s="25" t="str">
        <f t="shared" si="26"/>
        <v>Aluminium Valance - Fabric CoveredTop FixAcmeda M6 Motor</v>
      </c>
      <c r="X494" s="25">
        <v>6</v>
      </c>
      <c r="Y494" s="25" t="s">
        <v>824</v>
      </c>
      <c r="Z494" s="25">
        <v>0</v>
      </c>
      <c r="AA494" s="25" t="s">
        <v>824</v>
      </c>
      <c r="AB494" s="25" t="s">
        <v>818</v>
      </c>
      <c r="AC494" s="25" t="s">
        <v>821</v>
      </c>
      <c r="AD494" s="25" t="s">
        <v>821</v>
      </c>
      <c r="AE494" s="25" t="s">
        <v>824</v>
      </c>
    </row>
    <row r="495" spans="20:31" ht="14.4">
      <c r="T495" t="s">
        <v>908</v>
      </c>
      <c r="U495" s="25" t="s">
        <v>854</v>
      </c>
      <c r="V495" s="25" t="s">
        <v>1002</v>
      </c>
      <c r="W495" s="25" t="str">
        <f t="shared" si="26"/>
        <v>Aluminium Valance - Fabric CoveredTop FixUniline Remote Motor</v>
      </c>
      <c r="X495" s="25">
        <v>6</v>
      </c>
      <c r="Y495" s="25" t="s">
        <v>824</v>
      </c>
      <c r="Z495" s="25">
        <v>0</v>
      </c>
      <c r="AA495" s="25" t="s">
        <v>824</v>
      </c>
      <c r="AB495" s="25" t="s">
        <v>818</v>
      </c>
      <c r="AC495" s="25" t="s">
        <v>821</v>
      </c>
      <c r="AD495" s="25" t="s">
        <v>821</v>
      </c>
      <c r="AE495" s="25" t="s">
        <v>824</v>
      </c>
    </row>
    <row r="496" spans="20:31" ht="14.4">
      <c r="T496" t="s">
        <v>908</v>
      </c>
      <c r="U496" s="25" t="s">
        <v>854</v>
      </c>
      <c r="V496" s="25" t="s">
        <v>1005</v>
      </c>
      <c r="W496" s="25" t="str">
        <f t="shared" si="26"/>
        <v>Aluminium Valance - Fabric CoveredTop FixUniline Cbus Motor</v>
      </c>
      <c r="X496" s="25">
        <v>6</v>
      </c>
      <c r="Y496" s="25" t="s">
        <v>824</v>
      </c>
      <c r="Z496" s="25">
        <v>0</v>
      </c>
      <c r="AA496" s="25" t="s">
        <v>824</v>
      </c>
      <c r="AB496" s="25" t="s">
        <v>818</v>
      </c>
      <c r="AC496" s="25" t="s">
        <v>821</v>
      </c>
      <c r="AD496" s="25" t="s">
        <v>821</v>
      </c>
      <c r="AE496" s="25" t="s">
        <v>824</v>
      </c>
    </row>
    <row r="497" spans="20:31" ht="14.4">
      <c r="T497" t="s">
        <v>908</v>
      </c>
      <c r="U497" s="25" t="s">
        <v>854</v>
      </c>
      <c r="V497" s="25" t="s">
        <v>981</v>
      </c>
      <c r="W497" s="25" t="str">
        <f t="shared" si="26"/>
        <v>Aluminium Valance - Fabric CoveredTop FixNice Remote Motor</v>
      </c>
      <c r="X497" s="25">
        <v>6</v>
      </c>
      <c r="Y497" s="25" t="s">
        <v>824</v>
      </c>
      <c r="Z497" s="25">
        <v>0</v>
      </c>
      <c r="AA497" s="25" t="s">
        <v>824</v>
      </c>
      <c r="AB497" s="25" t="s">
        <v>818</v>
      </c>
      <c r="AC497" s="25" t="s">
        <v>821</v>
      </c>
      <c r="AD497" s="25" t="s">
        <v>821</v>
      </c>
      <c r="AE497" s="25" t="s">
        <v>824</v>
      </c>
    </row>
    <row r="498" spans="20:31" ht="14.4">
      <c r="T498" t="s">
        <v>908</v>
      </c>
      <c r="U498" s="25" t="s">
        <v>854</v>
      </c>
      <c r="V498" s="25" t="s">
        <v>976</v>
      </c>
      <c r="W498" s="25" t="str">
        <f t="shared" si="26"/>
        <v>Aluminium Valance - Fabric CoveredTop FixNice CBus Motor</v>
      </c>
      <c r="X498" s="25">
        <v>6</v>
      </c>
      <c r="Y498" s="25" t="s">
        <v>824</v>
      </c>
      <c r="Z498" s="25">
        <v>0</v>
      </c>
      <c r="AA498" s="25" t="s">
        <v>824</v>
      </c>
      <c r="AB498" s="25" t="s">
        <v>818</v>
      </c>
      <c r="AC498" s="25" t="s">
        <v>821</v>
      </c>
      <c r="AD498" s="25" t="s">
        <v>821</v>
      </c>
      <c r="AE498" s="25" t="s">
        <v>824</v>
      </c>
    </row>
    <row r="499" spans="20:31" ht="14.4">
      <c r="T499" t="s">
        <v>908</v>
      </c>
      <c r="U499" s="25" t="s">
        <v>854</v>
      </c>
      <c r="V499" t="s">
        <v>1006</v>
      </c>
      <c r="W499" s="25" t="str">
        <f t="shared" si="26"/>
        <v>Aluminium Valance - Fabric CoveredTop FixSunboss Chain Winder 38mm Tube</v>
      </c>
      <c r="X499" s="25">
        <v>6</v>
      </c>
      <c r="Y499" s="25" t="s">
        <v>824</v>
      </c>
      <c r="Z499" s="25">
        <v>0</v>
      </c>
      <c r="AA499" s="25" t="s">
        <v>824</v>
      </c>
      <c r="AB499" s="25" t="s">
        <v>818</v>
      </c>
      <c r="AC499" s="25" t="s">
        <v>821</v>
      </c>
      <c r="AD499" s="25" t="s">
        <v>821</v>
      </c>
      <c r="AE499" s="25" t="s">
        <v>824</v>
      </c>
    </row>
    <row r="500" spans="20:31" ht="14.4">
      <c r="T500" t="s">
        <v>908</v>
      </c>
      <c r="U500" s="25" t="s">
        <v>854</v>
      </c>
      <c r="V500" t="s">
        <v>1017</v>
      </c>
      <c r="W500" s="25" t="str">
        <f t="shared" si="26"/>
        <v>Aluminium Valance - Fabric CoveredTop FixSunboss Chain Winder 43mm Tube</v>
      </c>
      <c r="X500" s="25">
        <v>6</v>
      </c>
      <c r="Y500" s="25" t="s">
        <v>824</v>
      </c>
      <c r="Z500" s="25">
        <v>0</v>
      </c>
      <c r="AA500" s="25" t="s">
        <v>824</v>
      </c>
      <c r="AB500" s="25" t="s">
        <v>818</v>
      </c>
      <c r="AC500" s="25" t="s">
        <v>821</v>
      </c>
      <c r="AD500" s="25" t="s">
        <v>821</v>
      </c>
      <c r="AE500" s="25" t="s">
        <v>824</v>
      </c>
    </row>
    <row r="501" spans="20:31" ht="14.4">
      <c r="T501" t="s">
        <v>908</v>
      </c>
      <c r="U501" s="25" t="s">
        <v>854</v>
      </c>
      <c r="V501" s="25" t="s">
        <v>1012</v>
      </c>
      <c r="W501" s="25" t="str">
        <f t="shared" si="26"/>
        <v>Aluminium Valance - Fabric CoveredTop FixTBS Remote Motor</v>
      </c>
      <c r="X501" s="25">
        <v>6</v>
      </c>
      <c r="Y501" s="25" t="s">
        <v>824</v>
      </c>
      <c r="Z501" s="25">
        <v>0</v>
      </c>
      <c r="AA501" s="25" t="s">
        <v>824</v>
      </c>
      <c r="AB501" s="25" t="s">
        <v>818</v>
      </c>
      <c r="AC501" s="25" t="s">
        <v>821</v>
      </c>
      <c r="AD501" s="25" t="s">
        <v>821</v>
      </c>
      <c r="AE501" s="25" t="s">
        <v>824</v>
      </c>
    </row>
    <row r="502" spans="20:31" ht="14.4">
      <c r="T502" t="s">
        <v>908</v>
      </c>
      <c r="U502" s="25" t="s">
        <v>854</v>
      </c>
      <c r="V502" t="s">
        <v>1009</v>
      </c>
      <c r="W502" s="25" t="str">
        <f t="shared" si="26"/>
        <v>Aluminium Valance - Fabric CoveredTop FixTBS Cbus Motor</v>
      </c>
      <c r="X502" s="25">
        <v>6</v>
      </c>
      <c r="Y502" s="25" t="s">
        <v>824</v>
      </c>
      <c r="Z502" s="25">
        <v>0</v>
      </c>
      <c r="AA502" s="25" t="s">
        <v>824</v>
      </c>
      <c r="AB502" s="25" t="s">
        <v>818</v>
      </c>
      <c r="AC502" s="25" t="s">
        <v>821</v>
      </c>
      <c r="AD502" s="25" t="s">
        <v>821</v>
      </c>
      <c r="AE502" s="25" t="s">
        <v>824</v>
      </c>
    </row>
    <row r="503" spans="20:31" ht="14.4">
      <c r="T503" t="s">
        <v>908</v>
      </c>
      <c r="U503" s="25" t="s">
        <v>854</v>
      </c>
      <c r="V503" t="s">
        <v>927</v>
      </c>
      <c r="W503" s="25" t="str">
        <f t="shared" si="26"/>
        <v>Aluminium Valance - Fabric CoveredTop FixAcmeda External Motor</v>
      </c>
      <c r="X503" s="25">
        <v>6</v>
      </c>
      <c r="Y503" s="25" t="s">
        <v>824</v>
      </c>
      <c r="Z503" s="25">
        <v>0</v>
      </c>
      <c r="AA503" s="25" t="s">
        <v>824</v>
      </c>
      <c r="AB503" s="25" t="s">
        <v>818</v>
      </c>
      <c r="AC503" s="25" t="s">
        <v>821</v>
      </c>
      <c r="AD503" s="25" t="s">
        <v>821</v>
      </c>
      <c r="AE503" s="25" t="s">
        <v>824</v>
      </c>
    </row>
    <row r="504" spans="20:31" ht="14.4">
      <c r="T504" t="s">
        <v>908</v>
      </c>
      <c r="U504" s="25" t="s">
        <v>854</v>
      </c>
      <c r="V504" t="s">
        <v>918</v>
      </c>
      <c r="W504" s="25" t="str">
        <f t="shared" si="26"/>
        <v>Aluminium Valance - Fabric CoveredTop FixAcmeda External 12v Motor</v>
      </c>
      <c r="X504" s="25">
        <v>0</v>
      </c>
      <c r="Y504" s="25" t="s">
        <v>824</v>
      </c>
      <c r="Z504" s="25">
        <v>0</v>
      </c>
      <c r="AA504" s="25" t="s">
        <v>824</v>
      </c>
      <c r="AB504" s="25" t="s">
        <v>821</v>
      </c>
      <c r="AC504" s="25" t="s">
        <v>821</v>
      </c>
      <c r="AD504" s="25" t="s">
        <v>818</v>
      </c>
      <c r="AE504" s="25" t="s">
        <v>824</v>
      </c>
    </row>
    <row r="505" spans="20:31" ht="14.4">
      <c r="T505" t="s">
        <v>908</v>
      </c>
      <c r="U505" s="25" t="s">
        <v>854</v>
      </c>
      <c r="V505" t="s">
        <v>979</v>
      </c>
      <c r="W505" s="25" t="str">
        <f t="shared" si="26"/>
        <v>Aluminium Valance - Fabric CoveredTop FixSomfy External CBUS Motor</v>
      </c>
      <c r="X505" s="25">
        <v>0</v>
      </c>
      <c r="Y505" s="25" t="s">
        <v>824</v>
      </c>
      <c r="Z505" s="25">
        <v>0</v>
      </c>
      <c r="AA505" s="25" t="s">
        <v>824</v>
      </c>
      <c r="AB505" s="25" t="s">
        <v>821</v>
      </c>
      <c r="AC505" s="25" t="s">
        <v>821</v>
      </c>
      <c r="AD505" s="25" t="s">
        <v>818</v>
      </c>
      <c r="AE505" s="25" t="s">
        <v>824</v>
      </c>
    </row>
    <row r="506" spans="20:31" ht="14.4">
      <c r="T506" t="s">
        <v>908</v>
      </c>
      <c r="U506" s="25" t="s">
        <v>854</v>
      </c>
      <c r="V506" t="s">
        <v>983</v>
      </c>
      <c r="W506" s="25" t="str">
        <f t="shared" si="26"/>
        <v>Aluminium Valance - Fabric CoveredTop FixSomfy External Remote Motor</v>
      </c>
      <c r="X506" s="25">
        <v>0</v>
      </c>
      <c r="Y506" s="25" t="s">
        <v>824</v>
      </c>
      <c r="Z506" s="25">
        <v>0</v>
      </c>
      <c r="AA506" s="25" t="s">
        <v>824</v>
      </c>
      <c r="AB506" s="25" t="s">
        <v>821</v>
      </c>
      <c r="AC506" s="25" t="s">
        <v>821</v>
      </c>
      <c r="AD506" s="25" t="s">
        <v>818</v>
      </c>
      <c r="AE506" s="25" t="s">
        <v>824</v>
      </c>
    </row>
    <row r="507" spans="20:31" ht="14.4">
      <c r="T507" t="s">
        <v>908</v>
      </c>
      <c r="U507" s="25" t="s">
        <v>854</v>
      </c>
      <c r="V507" t="s">
        <v>979</v>
      </c>
      <c r="W507" s="25" t="str">
        <f t="shared" si="26"/>
        <v>Aluminium Valance - Fabric CoveredTop FixSomfy External CBUS Motor</v>
      </c>
      <c r="X507" s="25">
        <v>0</v>
      </c>
      <c r="Y507" s="25" t="s">
        <v>824</v>
      </c>
      <c r="Z507" s="25">
        <v>0</v>
      </c>
      <c r="AA507" s="25" t="s">
        <v>824</v>
      </c>
      <c r="AB507" s="25" t="s">
        <v>821</v>
      </c>
      <c r="AC507" s="25" t="s">
        <v>821</v>
      </c>
      <c r="AD507" s="25" t="s">
        <v>818</v>
      </c>
      <c r="AE507" s="25" t="s">
        <v>824</v>
      </c>
    </row>
    <row r="508" spans="20:31" ht="14.4">
      <c r="T508" t="s">
        <v>908</v>
      </c>
      <c r="U508" s="25" t="s">
        <v>854</v>
      </c>
      <c r="V508" t="s">
        <v>999</v>
      </c>
      <c r="W508" s="25" t="str">
        <f t="shared" si="26"/>
        <v>Aluminium Valance - Fabric CoveredTop FixHD Somfy External Remote Motor</v>
      </c>
      <c r="X508" s="25">
        <v>0</v>
      </c>
      <c r="Y508" s="25" t="s">
        <v>824</v>
      </c>
      <c r="Z508" s="25">
        <v>0</v>
      </c>
      <c r="AA508" s="25" t="s">
        <v>824</v>
      </c>
      <c r="AB508" s="25" t="s">
        <v>821</v>
      </c>
      <c r="AC508" s="25" t="s">
        <v>821</v>
      </c>
      <c r="AD508" s="25" t="s">
        <v>818</v>
      </c>
      <c r="AE508" s="25" t="s">
        <v>824</v>
      </c>
    </row>
    <row r="509" spans="20:31" ht="14.4">
      <c r="T509" t="s">
        <v>908</v>
      </c>
      <c r="U509" s="25" t="s">
        <v>880</v>
      </c>
      <c r="V509" s="25" t="s">
        <v>823</v>
      </c>
      <c r="W509" s="25" t="str">
        <f t="shared" si="26"/>
        <v>Aluminium Valance - Fabric CoveredInside Window MountChain Winder</v>
      </c>
      <c r="X509" s="25">
        <v>0</v>
      </c>
      <c r="Y509" s="25" t="s">
        <v>824</v>
      </c>
      <c r="Z509" s="25">
        <v>0</v>
      </c>
      <c r="AA509" s="25" t="s">
        <v>824</v>
      </c>
      <c r="AB509" s="25" t="s">
        <v>821</v>
      </c>
      <c r="AC509" s="25" t="s">
        <v>821</v>
      </c>
      <c r="AD509" s="25" t="s">
        <v>818</v>
      </c>
      <c r="AE509" s="25" t="s">
        <v>824</v>
      </c>
    </row>
    <row r="510" spans="20:31" ht="14.4">
      <c r="T510" t="s">
        <v>908</v>
      </c>
      <c r="U510" s="25" t="s">
        <v>880</v>
      </c>
      <c r="V510" s="25" t="s">
        <v>841</v>
      </c>
      <c r="W510" s="25" t="str">
        <f t="shared" si="26"/>
        <v>Aluminium Valance - Fabric CoveredInside Window MountHD Chain Winder</v>
      </c>
      <c r="X510" s="25">
        <v>0</v>
      </c>
      <c r="Y510" s="25" t="s">
        <v>824</v>
      </c>
      <c r="Z510" s="25">
        <v>0</v>
      </c>
      <c r="AA510" s="25" t="s">
        <v>824</v>
      </c>
      <c r="AB510" s="25" t="s">
        <v>821</v>
      </c>
      <c r="AC510" s="25" t="s">
        <v>821</v>
      </c>
      <c r="AD510" s="25" t="s">
        <v>818</v>
      </c>
      <c r="AE510" s="25" t="s">
        <v>824</v>
      </c>
    </row>
    <row r="511" spans="20:31" ht="14.4">
      <c r="T511" t="s">
        <v>908</v>
      </c>
      <c r="U511" s="25" t="s">
        <v>880</v>
      </c>
      <c r="V511" s="25" t="s">
        <v>858</v>
      </c>
      <c r="W511" s="25" t="str">
        <f t="shared" si="26"/>
        <v>Aluminium Valance - Fabric CoveredInside Window MountChain Winder 60mm</v>
      </c>
      <c r="X511" s="25">
        <v>0</v>
      </c>
      <c r="Y511" s="25" t="s">
        <v>824</v>
      </c>
      <c r="Z511" s="25">
        <v>0</v>
      </c>
      <c r="AA511" s="25" t="s">
        <v>824</v>
      </c>
      <c r="AB511" s="25" t="s">
        <v>821</v>
      </c>
      <c r="AC511" s="25" t="s">
        <v>821</v>
      </c>
      <c r="AD511" s="25" t="s">
        <v>818</v>
      </c>
      <c r="AE511" s="25" t="s">
        <v>824</v>
      </c>
    </row>
    <row r="512" spans="20:31" ht="14.4">
      <c r="T512" t="s">
        <v>908</v>
      </c>
      <c r="U512" s="25" t="s">
        <v>880</v>
      </c>
      <c r="V512" s="25" t="s">
        <v>865</v>
      </c>
      <c r="W512" s="25" t="str">
        <f t="shared" si="26"/>
        <v>Aluminium Valance - Fabric CoveredInside Window MountChain Winder Fixed Guide</v>
      </c>
      <c r="X512" s="25">
        <v>0</v>
      </c>
      <c r="Y512" s="25" t="s">
        <v>824</v>
      </c>
      <c r="Z512" s="25">
        <v>0</v>
      </c>
      <c r="AA512" s="25" t="s">
        <v>824</v>
      </c>
      <c r="AB512" s="25" t="s">
        <v>821</v>
      </c>
      <c r="AC512" s="25" t="s">
        <v>821</v>
      </c>
      <c r="AD512" s="25" t="s">
        <v>818</v>
      </c>
      <c r="AE512" s="25" t="s">
        <v>824</v>
      </c>
    </row>
    <row r="513" spans="20:31" ht="14.4">
      <c r="T513" t="s">
        <v>908</v>
      </c>
      <c r="U513" s="25" t="s">
        <v>880</v>
      </c>
      <c r="V513" s="25" t="s">
        <v>181</v>
      </c>
      <c r="W513" s="25" t="str">
        <f t="shared" si="26"/>
        <v>Aluminium Valance - Fabric CoveredInside Window MountLinked</v>
      </c>
      <c r="X513" s="25">
        <v>0</v>
      </c>
      <c r="Y513" s="25" t="s">
        <v>824</v>
      </c>
      <c r="Z513" s="25">
        <v>0</v>
      </c>
      <c r="AA513" s="25" t="s">
        <v>824</v>
      </c>
      <c r="AB513" s="25" t="s">
        <v>821</v>
      </c>
      <c r="AC513" s="25" t="s">
        <v>821</v>
      </c>
      <c r="AD513" s="25" t="s">
        <v>818</v>
      </c>
      <c r="AE513" s="25" t="s">
        <v>824</v>
      </c>
    </row>
    <row r="514" spans="20:31" ht="14.4">
      <c r="T514" t="s">
        <v>908</v>
      </c>
      <c r="U514" s="25" t="s">
        <v>880</v>
      </c>
      <c r="V514" s="25" t="s">
        <v>898</v>
      </c>
      <c r="W514" s="25" t="str">
        <f t="shared" si="26"/>
        <v>Aluminium Valance - Fabric CoveredInside Window MountLinked - HD</v>
      </c>
      <c r="X514" s="25">
        <v>0</v>
      </c>
      <c r="Y514" s="25" t="s">
        <v>824</v>
      </c>
      <c r="Z514" s="25">
        <v>0</v>
      </c>
      <c r="AA514" s="25" t="s">
        <v>824</v>
      </c>
      <c r="AB514" s="25" t="s">
        <v>821</v>
      </c>
      <c r="AC514" s="25" t="s">
        <v>821</v>
      </c>
      <c r="AD514" s="25" t="s">
        <v>818</v>
      </c>
      <c r="AE514" s="25" t="s">
        <v>824</v>
      </c>
    </row>
    <row r="515" spans="20:31" ht="14.4">
      <c r="T515" t="s">
        <v>908</v>
      </c>
      <c r="U515" s="25" t="s">
        <v>880</v>
      </c>
      <c r="V515" s="25" t="s">
        <v>910</v>
      </c>
      <c r="W515" s="25" t="str">
        <f t="shared" si="27" ref="W515:W578">CONCATENATE(T515,U515,V515)</f>
        <v>Aluminium Valance - Fabric CoveredInside Window MountStandard Spring</v>
      </c>
      <c r="X515" s="25">
        <v>0</v>
      </c>
      <c r="Y515" s="25" t="s">
        <v>824</v>
      </c>
      <c r="Z515" s="25">
        <v>0</v>
      </c>
      <c r="AA515" s="25" t="s">
        <v>824</v>
      </c>
      <c r="AB515" s="25" t="s">
        <v>821</v>
      </c>
      <c r="AC515" s="25" t="s">
        <v>821</v>
      </c>
      <c r="AD515" s="25" t="s">
        <v>818</v>
      </c>
      <c r="AE515" s="25" t="s">
        <v>824</v>
      </c>
    </row>
    <row r="516" spans="20:31" ht="14.4">
      <c r="T516" t="s">
        <v>908</v>
      </c>
      <c r="U516" s="25" t="s">
        <v>880</v>
      </c>
      <c r="V516" s="25" t="s">
        <v>920</v>
      </c>
      <c r="W516" s="25" t="str">
        <f t="shared" si="27"/>
        <v>Aluminium Valance - Fabric CoveredInside Window MountSmall Spring</v>
      </c>
      <c r="X516" s="25">
        <v>0</v>
      </c>
      <c r="Y516" s="25" t="s">
        <v>824</v>
      </c>
      <c r="Z516" s="25">
        <v>0</v>
      </c>
      <c r="AA516" s="25" t="s">
        <v>824</v>
      </c>
      <c r="AB516" s="25" t="s">
        <v>821</v>
      </c>
      <c r="AC516" s="25" t="s">
        <v>821</v>
      </c>
      <c r="AD516" s="25" t="s">
        <v>818</v>
      </c>
      <c r="AE516" s="25" t="s">
        <v>824</v>
      </c>
    </row>
    <row r="517" spans="20:31" ht="14.4">
      <c r="T517" t="s">
        <v>908</v>
      </c>
      <c r="U517" s="25" t="s">
        <v>880</v>
      </c>
      <c r="V517" s="25" t="s">
        <v>929</v>
      </c>
      <c r="W517" s="25" t="str">
        <f t="shared" si="27"/>
        <v>Aluminium Valance - Fabric CoveredInside Window MountUniline Spring (Old Style)</v>
      </c>
      <c r="X517" s="25">
        <v>0</v>
      </c>
      <c r="Y517" s="25" t="s">
        <v>824</v>
      </c>
      <c r="Z517" s="25">
        <v>0</v>
      </c>
      <c r="AA517" s="25" t="s">
        <v>824</v>
      </c>
      <c r="AB517" s="25" t="s">
        <v>821</v>
      </c>
      <c r="AC517" s="25" t="s">
        <v>821</v>
      </c>
      <c r="AD517" s="25" t="s">
        <v>818</v>
      </c>
      <c r="AE517" s="25" t="s">
        <v>824</v>
      </c>
    </row>
    <row r="518" spans="20:31" ht="14.4">
      <c r="T518" t="s">
        <v>908</v>
      </c>
      <c r="U518" s="25" t="s">
        <v>880</v>
      </c>
      <c r="V518" s="25" t="s">
        <v>935</v>
      </c>
      <c r="W518" s="25" t="str">
        <f t="shared" si="27"/>
        <v>Aluminium Valance - Fabric CoveredInside Window MountBecker Remote Motor</v>
      </c>
      <c r="X518" s="25">
        <v>0</v>
      </c>
      <c r="Y518" s="25" t="s">
        <v>824</v>
      </c>
      <c r="Z518" s="25">
        <v>0</v>
      </c>
      <c r="AA518" s="25" t="s">
        <v>824</v>
      </c>
      <c r="AB518" s="25" t="s">
        <v>821</v>
      </c>
      <c r="AC518" s="25" t="s">
        <v>821</v>
      </c>
      <c r="AD518" s="25" t="s">
        <v>818</v>
      </c>
      <c r="AE518" s="25" t="s">
        <v>824</v>
      </c>
    </row>
    <row r="519" spans="20:31" ht="14.4">
      <c r="T519" t="s">
        <v>908</v>
      </c>
      <c r="U519" s="25" t="s">
        <v>880</v>
      </c>
      <c r="V519" s="25" t="s">
        <v>939</v>
      </c>
      <c r="W519" s="25" t="str">
        <f t="shared" si="27"/>
        <v>Aluminium Valance - Fabric CoveredInside Window MountBecker CBUS Motor</v>
      </c>
      <c r="X519" s="25">
        <v>0</v>
      </c>
      <c r="Y519" s="25" t="s">
        <v>824</v>
      </c>
      <c r="Z519" s="25">
        <v>0</v>
      </c>
      <c r="AA519" s="25" t="s">
        <v>824</v>
      </c>
      <c r="AB519" s="25" t="s">
        <v>821</v>
      </c>
      <c r="AC519" s="25" t="s">
        <v>821</v>
      </c>
      <c r="AD519" s="25" t="s">
        <v>818</v>
      </c>
      <c r="AE519" s="25" t="s">
        <v>824</v>
      </c>
    </row>
    <row r="520" spans="20:31" ht="14.4">
      <c r="T520" t="s">
        <v>908</v>
      </c>
      <c r="U520" s="25" t="s">
        <v>880</v>
      </c>
      <c r="V520" s="25" t="s">
        <v>946</v>
      </c>
      <c r="W520" s="25" t="str">
        <f t="shared" si="27"/>
        <v>Aluminium Valance - Fabric CoveredInside Window MountBecker External Remote Motor</v>
      </c>
      <c r="X520" s="25">
        <v>0</v>
      </c>
      <c r="Y520" s="25" t="s">
        <v>824</v>
      </c>
      <c r="Z520" s="25">
        <v>0</v>
      </c>
      <c r="AA520" s="25" t="s">
        <v>824</v>
      </c>
      <c r="AB520" s="25" t="s">
        <v>821</v>
      </c>
      <c r="AC520" s="25" t="s">
        <v>821</v>
      </c>
      <c r="AD520" s="25" t="s">
        <v>818</v>
      </c>
      <c r="AE520" s="25" t="s">
        <v>824</v>
      </c>
    </row>
    <row r="521" spans="20:31" ht="14.4">
      <c r="T521" t="s">
        <v>908</v>
      </c>
      <c r="U521" s="25" t="s">
        <v>880</v>
      </c>
      <c r="V521" s="25" t="s">
        <v>951</v>
      </c>
      <c r="W521" s="25" t="str">
        <f t="shared" si="27"/>
        <v>Aluminium Valance - Fabric CoveredInside Window MountBecker External CBUS Motor</v>
      </c>
      <c r="X521" s="25">
        <v>0</v>
      </c>
      <c r="Y521" s="25" t="s">
        <v>824</v>
      </c>
      <c r="Z521" s="25">
        <v>0</v>
      </c>
      <c r="AA521" s="25" t="s">
        <v>824</v>
      </c>
      <c r="AB521" s="25" t="s">
        <v>821</v>
      </c>
      <c r="AC521" s="25" t="s">
        <v>821</v>
      </c>
      <c r="AD521" s="25" t="s">
        <v>818</v>
      </c>
      <c r="AE521" s="25" t="s">
        <v>824</v>
      </c>
    </row>
    <row r="522" spans="20:31" ht="14.4">
      <c r="T522" t="s">
        <v>908</v>
      </c>
      <c r="U522" s="25" t="s">
        <v>880</v>
      </c>
      <c r="V522" s="25" t="s">
        <v>838</v>
      </c>
      <c r="W522" s="25" t="str">
        <f t="shared" si="27"/>
        <v>Aluminium Valance - Fabric CoveredInside Window Mount1.1nm 12v Acmeda Motor</v>
      </c>
      <c r="X522" s="25">
        <v>0</v>
      </c>
      <c r="Y522" s="25" t="s">
        <v>824</v>
      </c>
      <c r="Z522" s="25">
        <v>0</v>
      </c>
      <c r="AA522" s="25" t="s">
        <v>824</v>
      </c>
      <c r="AB522" s="25" t="s">
        <v>821</v>
      </c>
      <c r="AC522" s="25" t="s">
        <v>821</v>
      </c>
      <c r="AD522" s="25" t="s">
        <v>818</v>
      </c>
      <c r="AE522" s="25" t="s">
        <v>824</v>
      </c>
    </row>
    <row r="523" spans="20:31" ht="14.4">
      <c r="T523" t="s">
        <v>908</v>
      </c>
      <c r="U523" s="25" t="s">
        <v>880</v>
      </c>
      <c r="V523" t="s">
        <v>882</v>
      </c>
      <c r="W523" s="25" t="str">
        <f t="shared" si="27"/>
        <v>Aluminium Valance - Fabric CoveredInside Window Mount2nm 12v Acmeda Motor</v>
      </c>
      <c r="X523" s="25">
        <v>0</v>
      </c>
      <c r="Y523" s="25" t="s">
        <v>824</v>
      </c>
      <c r="Z523" s="25">
        <v>0</v>
      </c>
      <c r="AA523" s="25" t="s">
        <v>824</v>
      </c>
      <c r="AB523" s="25" t="s">
        <v>821</v>
      </c>
      <c r="AC523" s="25" t="s">
        <v>821</v>
      </c>
      <c r="AD523" s="25" t="s">
        <v>818</v>
      </c>
      <c r="AE523" s="25" t="s">
        <v>824</v>
      </c>
    </row>
    <row r="524" spans="20:31" ht="14.4">
      <c r="T524" t="s">
        <v>908</v>
      </c>
      <c r="U524" s="25" t="s">
        <v>880</v>
      </c>
      <c r="V524" t="s">
        <v>896</v>
      </c>
      <c r="W524" s="25" t="str">
        <f t="shared" si="27"/>
        <v>Aluminium Valance - Fabric CoveredInside Window MountAcmeda 12v 6nm Motor</v>
      </c>
      <c r="X524" s="25">
        <v>0</v>
      </c>
      <c r="Y524" s="25" t="s">
        <v>824</v>
      </c>
      <c r="Z524" s="25">
        <v>0</v>
      </c>
      <c r="AA524" s="25" t="s">
        <v>824</v>
      </c>
      <c r="AB524" s="25" t="s">
        <v>821</v>
      </c>
      <c r="AC524" s="25" t="s">
        <v>821</v>
      </c>
      <c r="AD524" s="25" t="s">
        <v>818</v>
      </c>
      <c r="AE524" s="25" t="s">
        <v>824</v>
      </c>
    </row>
    <row r="525" spans="20:31" ht="14.4">
      <c r="T525" t="s">
        <v>908</v>
      </c>
      <c r="U525" s="25" t="s">
        <v>880</v>
      </c>
      <c r="V525" t="s">
        <v>855</v>
      </c>
      <c r="W525" s="25" t="str">
        <f t="shared" si="27"/>
        <v>Aluminium Valance - Fabric CoveredInside Window Mount0.7nm 12v Acmeda Motor</v>
      </c>
      <c r="X525" s="25">
        <v>0</v>
      </c>
      <c r="Y525" s="25" t="s">
        <v>824</v>
      </c>
      <c r="Z525" s="25">
        <v>0</v>
      </c>
      <c r="AA525" s="25" t="s">
        <v>824</v>
      </c>
      <c r="AB525" s="25" t="s">
        <v>821</v>
      </c>
      <c r="AC525" s="25" t="s">
        <v>821</v>
      </c>
      <c r="AD525" s="25" t="s">
        <v>818</v>
      </c>
      <c r="AE525" s="25" t="s">
        <v>824</v>
      </c>
    </row>
    <row r="526" spans="20:31" ht="14.4">
      <c r="T526" t="s">
        <v>908</v>
      </c>
      <c r="U526" s="25" t="s">
        <v>880</v>
      </c>
      <c r="V526" s="25" t="s">
        <v>849</v>
      </c>
      <c r="W526" s="25" t="str">
        <f t="shared" si="27"/>
        <v>Aluminium Valance - Fabric CoveredInside Window Mount1.1nm 12v Acmeda DCRF Motor with External Battery</v>
      </c>
      <c r="X526" s="25">
        <v>0</v>
      </c>
      <c r="Y526" s="25" t="s">
        <v>824</v>
      </c>
      <c r="Z526" s="25">
        <v>0</v>
      </c>
      <c r="AA526" s="25" t="s">
        <v>824</v>
      </c>
      <c r="AB526" s="25" t="s">
        <v>821</v>
      </c>
      <c r="AC526" s="25" t="s">
        <v>821</v>
      </c>
      <c r="AD526" s="25" t="s">
        <v>818</v>
      </c>
      <c r="AE526" s="25" t="s">
        <v>824</v>
      </c>
    </row>
    <row r="527" spans="20:31" ht="14.4">
      <c r="T527" t="s">
        <v>908</v>
      </c>
      <c r="U527" s="25" t="s">
        <v>880</v>
      </c>
      <c r="V527" s="25" t="s">
        <v>817</v>
      </c>
      <c r="W527" s="25" t="str">
        <f t="shared" si="27"/>
        <v>Aluminium Valance - Fabric CoveredInside Window Mount1.1nm 12v Acmeda DCRF Motor</v>
      </c>
      <c r="X527" s="25">
        <v>0</v>
      </c>
      <c r="Y527" s="25" t="s">
        <v>824</v>
      </c>
      <c r="Z527" s="25">
        <v>0</v>
      </c>
      <c r="AA527" s="25" t="s">
        <v>824</v>
      </c>
      <c r="AB527" s="25" t="s">
        <v>821</v>
      </c>
      <c r="AC527" s="25" t="s">
        <v>821</v>
      </c>
      <c r="AD527" s="25" t="s">
        <v>818</v>
      </c>
      <c r="AE527" s="25" t="s">
        <v>824</v>
      </c>
    </row>
    <row r="528" spans="20:31" ht="14.4">
      <c r="T528" t="s">
        <v>908</v>
      </c>
      <c r="U528" s="25" t="s">
        <v>880</v>
      </c>
      <c r="V528" s="25" t="s">
        <v>868</v>
      </c>
      <c r="W528" s="25" t="str">
        <f t="shared" si="27"/>
        <v>Aluminium Valance - Fabric CoveredInside Window Mount2nm 12v Acmeda DCRF Motor</v>
      </c>
      <c r="X528" s="25">
        <v>0</v>
      </c>
      <c r="Y528" s="25" t="s">
        <v>824</v>
      </c>
      <c r="Z528" s="25">
        <v>0</v>
      </c>
      <c r="AA528" s="25" t="s">
        <v>824</v>
      </c>
      <c r="AB528" s="25" t="s">
        <v>821</v>
      </c>
      <c r="AC528" s="25" t="s">
        <v>821</v>
      </c>
      <c r="AD528" s="25" t="s">
        <v>818</v>
      </c>
      <c r="AE528" s="25" t="s">
        <v>824</v>
      </c>
    </row>
    <row r="529" spans="20:31" ht="14.4">
      <c r="T529" t="s">
        <v>908</v>
      </c>
      <c r="U529" s="25" t="s">
        <v>880</v>
      </c>
      <c r="V529" t="s">
        <v>973</v>
      </c>
      <c r="W529" s="25" t="str">
        <f t="shared" si="27"/>
        <v>Aluminium Valance - Fabric CoveredInside Window MountSomfy Remote Sonesse Motor</v>
      </c>
      <c r="X529" s="25">
        <v>0</v>
      </c>
      <c r="Y529" s="25" t="s">
        <v>824</v>
      </c>
      <c r="Z529" s="25">
        <v>0</v>
      </c>
      <c r="AA529" s="25" t="s">
        <v>824</v>
      </c>
      <c r="AB529" s="25" t="s">
        <v>821</v>
      </c>
      <c r="AC529" s="25" t="s">
        <v>821</v>
      </c>
      <c r="AD529" s="25" t="s">
        <v>818</v>
      </c>
      <c r="AE529" s="25" t="s">
        <v>824</v>
      </c>
    </row>
    <row r="530" spans="20:31" ht="14.4">
      <c r="T530" t="s">
        <v>908</v>
      </c>
      <c r="U530" s="25" t="s">
        <v>880</v>
      </c>
      <c r="V530" t="s">
        <v>637</v>
      </c>
      <c r="W530" s="25" t="str">
        <f t="shared" si="27"/>
        <v>Aluminium Valance - Fabric CoveredInside Window MountSomfy 12v Remote Sonesse Motor</v>
      </c>
      <c r="X530" s="25">
        <v>0</v>
      </c>
      <c r="Y530" s="25" t="s">
        <v>824</v>
      </c>
      <c r="Z530" s="25">
        <v>0</v>
      </c>
      <c r="AA530" s="25" t="s">
        <v>824</v>
      </c>
      <c r="AB530" s="25" t="s">
        <v>821</v>
      </c>
      <c r="AC530" s="25" t="s">
        <v>821</v>
      </c>
      <c r="AD530" s="25" t="s">
        <v>818</v>
      </c>
      <c r="AE530" s="25" t="s">
        <v>824</v>
      </c>
    </row>
    <row r="531" spans="20:31" ht="14.4">
      <c r="T531" t="s">
        <v>908</v>
      </c>
      <c r="U531" s="25" t="s">
        <v>880</v>
      </c>
      <c r="V531" s="25" t="s">
        <v>974</v>
      </c>
      <c r="W531" s="25" t="str">
        <f t="shared" si="27"/>
        <v>Aluminium Valance - Fabric CoveredInside Window MountSomfy CBUS Motor</v>
      </c>
      <c r="X531" s="25">
        <v>0</v>
      </c>
      <c r="Y531" s="25" t="s">
        <v>824</v>
      </c>
      <c r="Z531" s="25">
        <v>0</v>
      </c>
      <c r="AA531" s="25" t="s">
        <v>824</v>
      </c>
      <c r="AB531" s="25" t="s">
        <v>821</v>
      </c>
      <c r="AC531" s="25" t="s">
        <v>821</v>
      </c>
      <c r="AD531" s="25" t="s">
        <v>818</v>
      </c>
      <c r="AE531" s="25" t="s">
        <v>824</v>
      </c>
    </row>
    <row r="532" spans="20:31" ht="14.4">
      <c r="T532" t="s">
        <v>908</v>
      </c>
      <c r="U532" s="25" t="s">
        <v>880</v>
      </c>
      <c r="V532" t="s">
        <v>986</v>
      </c>
      <c r="W532" s="25" t="str">
        <f t="shared" si="27"/>
        <v>Aluminium Valance - Fabric CoveredInside Window MountHD Somfy Remote Sonesse Motor</v>
      </c>
      <c r="X532" s="25">
        <v>0</v>
      </c>
      <c r="Y532" s="25" t="s">
        <v>824</v>
      </c>
      <c r="Z532" s="25">
        <v>0</v>
      </c>
      <c r="AA532" s="25" t="s">
        <v>824</v>
      </c>
      <c r="AB532" s="25" t="s">
        <v>821</v>
      </c>
      <c r="AC532" s="25" t="s">
        <v>821</v>
      </c>
      <c r="AD532" s="25" t="s">
        <v>818</v>
      </c>
      <c r="AE532" s="25" t="s">
        <v>824</v>
      </c>
    </row>
    <row r="533" spans="20:31" ht="14.4">
      <c r="T533" t="s">
        <v>908</v>
      </c>
      <c r="U533" s="25" t="s">
        <v>880</v>
      </c>
      <c r="V533" t="s">
        <v>989</v>
      </c>
      <c r="W533" s="25" t="str">
        <f t="shared" si="27"/>
        <v>Aluminium Valance - Fabric CoveredInside Window MountHD Somfy 12v Remote Sonesse Motor</v>
      </c>
      <c r="X533" s="25">
        <v>0</v>
      </c>
      <c r="Y533" s="25" t="s">
        <v>824</v>
      </c>
      <c r="Z533" s="25">
        <v>0</v>
      </c>
      <c r="AA533" s="25" t="s">
        <v>824</v>
      </c>
      <c r="AB533" s="25" t="s">
        <v>821</v>
      </c>
      <c r="AC533" s="25" t="s">
        <v>821</v>
      </c>
      <c r="AD533" s="25" t="s">
        <v>818</v>
      </c>
      <c r="AE533" s="25" t="s">
        <v>824</v>
      </c>
    </row>
    <row r="534" spans="20:31" ht="14.4">
      <c r="T534" t="s">
        <v>908</v>
      </c>
      <c r="U534" s="25" t="s">
        <v>880</v>
      </c>
      <c r="V534" s="25" t="s">
        <v>992</v>
      </c>
      <c r="W534" s="25" t="str">
        <f t="shared" si="27"/>
        <v>Aluminium Valance - Fabric CoveredInside Window MountHD Somfy CBUS Motor</v>
      </c>
      <c r="X534" s="25">
        <v>0</v>
      </c>
      <c r="Y534" s="25" t="s">
        <v>824</v>
      </c>
      <c r="Z534" s="25">
        <v>0</v>
      </c>
      <c r="AA534" s="25" t="s">
        <v>824</v>
      </c>
      <c r="AB534" s="25" t="s">
        <v>821</v>
      </c>
      <c r="AC534" s="25" t="s">
        <v>821</v>
      </c>
      <c r="AD534" s="25" t="s">
        <v>818</v>
      </c>
      <c r="AE534" s="25" t="s">
        <v>824</v>
      </c>
    </row>
    <row r="535" spans="20:31" ht="14.4">
      <c r="T535" t="s">
        <v>908</v>
      </c>
      <c r="U535" s="25" t="s">
        <v>880</v>
      </c>
      <c r="V535" s="25" t="s">
        <v>625</v>
      </c>
      <c r="W535" s="25" t="str">
        <f t="shared" si="27"/>
        <v>Aluminium Valance - Fabric CoveredInside Window MountAcmeda E6 Motor</v>
      </c>
      <c r="X535" s="25">
        <v>0</v>
      </c>
      <c r="Y535" s="25" t="s">
        <v>824</v>
      </c>
      <c r="Z535" s="25">
        <v>0</v>
      </c>
      <c r="AA535" s="25" t="s">
        <v>824</v>
      </c>
      <c r="AB535" s="25" t="s">
        <v>821</v>
      </c>
      <c r="AC535" s="25" t="s">
        <v>821</v>
      </c>
      <c r="AD535" s="25" t="s">
        <v>818</v>
      </c>
      <c r="AE535" s="25" t="s">
        <v>824</v>
      </c>
    </row>
    <row r="536" spans="20:31" ht="14.4">
      <c r="T536" t="s">
        <v>908</v>
      </c>
      <c r="U536" s="25" t="s">
        <v>880</v>
      </c>
      <c r="V536" s="25" t="s">
        <v>626</v>
      </c>
      <c r="W536" s="25" t="str">
        <f t="shared" si="27"/>
        <v>Aluminium Valance - Fabric CoveredInside Window MountAcmeda M6 Motor</v>
      </c>
      <c r="X536" s="25">
        <v>0</v>
      </c>
      <c r="Y536" s="25" t="s">
        <v>824</v>
      </c>
      <c r="Z536" s="25">
        <v>0</v>
      </c>
      <c r="AA536" s="25" t="s">
        <v>824</v>
      </c>
      <c r="AB536" s="25" t="s">
        <v>821</v>
      </c>
      <c r="AC536" s="25" t="s">
        <v>821</v>
      </c>
      <c r="AD536" s="25" t="s">
        <v>818</v>
      </c>
      <c r="AE536" s="25" t="s">
        <v>824</v>
      </c>
    </row>
    <row r="537" spans="20:31" ht="14.4">
      <c r="T537" t="s">
        <v>908</v>
      </c>
      <c r="U537" s="25" t="s">
        <v>880</v>
      </c>
      <c r="V537" s="25" t="s">
        <v>1002</v>
      </c>
      <c r="W537" s="25" t="str">
        <f t="shared" si="27"/>
        <v>Aluminium Valance - Fabric CoveredInside Window MountUniline Remote Motor</v>
      </c>
      <c r="X537" s="25">
        <v>0</v>
      </c>
      <c r="Y537" s="25" t="s">
        <v>824</v>
      </c>
      <c r="Z537" s="25">
        <v>0</v>
      </c>
      <c r="AA537" s="25" t="s">
        <v>824</v>
      </c>
      <c r="AB537" s="25" t="s">
        <v>821</v>
      </c>
      <c r="AC537" s="25" t="s">
        <v>821</v>
      </c>
      <c r="AD537" s="25" t="s">
        <v>818</v>
      </c>
      <c r="AE537" s="25" t="s">
        <v>824</v>
      </c>
    </row>
    <row r="538" spans="20:31" ht="14.4">
      <c r="T538" t="s">
        <v>908</v>
      </c>
      <c r="U538" s="25" t="s">
        <v>880</v>
      </c>
      <c r="V538" s="25" t="s">
        <v>1005</v>
      </c>
      <c r="W538" s="25" t="str">
        <f t="shared" si="27"/>
        <v>Aluminium Valance - Fabric CoveredInside Window MountUniline Cbus Motor</v>
      </c>
      <c r="X538" s="25">
        <v>0</v>
      </c>
      <c r="Y538" s="25" t="s">
        <v>824</v>
      </c>
      <c r="Z538" s="25">
        <v>0</v>
      </c>
      <c r="AA538" s="25" t="s">
        <v>824</v>
      </c>
      <c r="AB538" s="25" t="s">
        <v>821</v>
      </c>
      <c r="AC538" s="25" t="s">
        <v>821</v>
      </c>
      <c r="AD538" s="25" t="s">
        <v>818</v>
      </c>
      <c r="AE538" s="25" t="s">
        <v>824</v>
      </c>
    </row>
    <row r="539" spans="20:31" ht="14.4">
      <c r="T539" t="s">
        <v>908</v>
      </c>
      <c r="U539" s="25" t="s">
        <v>880</v>
      </c>
      <c r="V539" s="25" t="s">
        <v>981</v>
      </c>
      <c r="W539" s="25" t="str">
        <f t="shared" si="27"/>
        <v>Aluminium Valance - Fabric CoveredInside Window MountNice Remote Motor</v>
      </c>
      <c r="X539" s="25">
        <v>0</v>
      </c>
      <c r="Y539" s="25" t="s">
        <v>824</v>
      </c>
      <c r="Z539" s="25">
        <v>0</v>
      </c>
      <c r="AA539" s="25" t="s">
        <v>824</v>
      </c>
      <c r="AB539" s="25" t="s">
        <v>821</v>
      </c>
      <c r="AC539" s="25" t="s">
        <v>821</v>
      </c>
      <c r="AD539" s="25" t="s">
        <v>818</v>
      </c>
      <c r="AE539" s="25" t="s">
        <v>824</v>
      </c>
    </row>
    <row r="540" spans="20:31" ht="14.4">
      <c r="T540" t="s">
        <v>908</v>
      </c>
      <c r="U540" s="25" t="s">
        <v>880</v>
      </c>
      <c r="V540" s="25" t="s">
        <v>976</v>
      </c>
      <c r="W540" s="25" t="str">
        <f t="shared" si="27"/>
        <v>Aluminium Valance - Fabric CoveredInside Window MountNice CBus Motor</v>
      </c>
      <c r="X540" s="25">
        <v>0</v>
      </c>
      <c r="Y540" s="25" t="s">
        <v>824</v>
      </c>
      <c r="Z540" s="25">
        <v>0</v>
      </c>
      <c r="AA540" s="25" t="s">
        <v>824</v>
      </c>
      <c r="AB540" s="25" t="s">
        <v>821</v>
      </c>
      <c r="AC540" s="25" t="s">
        <v>821</v>
      </c>
      <c r="AD540" s="25" t="s">
        <v>818</v>
      </c>
      <c r="AE540" s="25" t="s">
        <v>824</v>
      </c>
    </row>
    <row r="541" spans="20:31" ht="14.4">
      <c r="T541" t="s">
        <v>908</v>
      </c>
      <c r="U541" s="25" t="s">
        <v>880</v>
      </c>
      <c r="V541" t="s">
        <v>1006</v>
      </c>
      <c r="W541" s="25" t="str">
        <f t="shared" si="27"/>
        <v>Aluminium Valance - Fabric CoveredInside Window MountSunboss Chain Winder 38mm Tube</v>
      </c>
      <c r="X541" s="25">
        <v>0</v>
      </c>
      <c r="Y541" s="25" t="s">
        <v>824</v>
      </c>
      <c r="Z541" s="25">
        <v>0</v>
      </c>
      <c r="AA541" s="25" t="s">
        <v>824</v>
      </c>
      <c r="AB541" s="25" t="s">
        <v>821</v>
      </c>
      <c r="AC541" s="25" t="s">
        <v>821</v>
      </c>
      <c r="AD541" s="25" t="s">
        <v>818</v>
      </c>
      <c r="AE541" s="25" t="s">
        <v>824</v>
      </c>
    </row>
    <row r="542" spans="20:31" ht="14.4">
      <c r="T542" t="s">
        <v>908</v>
      </c>
      <c r="U542" s="25" t="s">
        <v>880</v>
      </c>
      <c r="V542" t="s">
        <v>1017</v>
      </c>
      <c r="W542" s="25" t="str">
        <f t="shared" si="27"/>
        <v>Aluminium Valance - Fabric CoveredInside Window MountSunboss Chain Winder 43mm Tube</v>
      </c>
      <c r="X542" s="25">
        <v>0</v>
      </c>
      <c r="Y542" s="25" t="s">
        <v>824</v>
      </c>
      <c r="Z542" s="25">
        <v>0</v>
      </c>
      <c r="AA542" s="25" t="s">
        <v>824</v>
      </c>
      <c r="AB542" s="25" t="s">
        <v>821</v>
      </c>
      <c r="AC542" s="25" t="s">
        <v>821</v>
      </c>
      <c r="AD542" s="25" t="s">
        <v>818</v>
      </c>
      <c r="AE542" s="25" t="s">
        <v>824</v>
      </c>
    </row>
    <row r="543" spans="20:31" ht="14.4">
      <c r="T543" t="s">
        <v>908</v>
      </c>
      <c r="U543" s="25" t="s">
        <v>880</v>
      </c>
      <c r="V543" s="25" t="s">
        <v>1012</v>
      </c>
      <c r="W543" s="25" t="str">
        <f t="shared" si="27"/>
        <v>Aluminium Valance - Fabric CoveredInside Window MountTBS Remote Motor</v>
      </c>
      <c r="X543" s="25">
        <v>0</v>
      </c>
      <c r="Y543" s="25" t="s">
        <v>824</v>
      </c>
      <c r="Z543" s="25">
        <v>0</v>
      </c>
      <c r="AA543" s="25" t="s">
        <v>824</v>
      </c>
      <c r="AB543" s="25" t="s">
        <v>821</v>
      </c>
      <c r="AC543" s="25" t="s">
        <v>821</v>
      </c>
      <c r="AD543" s="25" t="s">
        <v>818</v>
      </c>
      <c r="AE543" s="25" t="s">
        <v>824</v>
      </c>
    </row>
    <row r="544" spans="20:31" ht="14.4">
      <c r="T544" t="s">
        <v>908</v>
      </c>
      <c r="U544" s="25" t="s">
        <v>880</v>
      </c>
      <c r="V544" t="s">
        <v>1009</v>
      </c>
      <c r="W544" s="25" t="str">
        <f t="shared" si="27"/>
        <v>Aluminium Valance - Fabric CoveredInside Window MountTBS Cbus Motor</v>
      </c>
      <c r="X544" s="25">
        <v>0</v>
      </c>
      <c r="Y544" s="25" t="s">
        <v>824</v>
      </c>
      <c r="Z544" s="25">
        <v>0</v>
      </c>
      <c r="AA544" s="25" t="s">
        <v>824</v>
      </c>
      <c r="AB544" s="25" t="s">
        <v>821</v>
      </c>
      <c r="AC544" s="25" t="s">
        <v>821</v>
      </c>
      <c r="AD544" s="25" t="s">
        <v>818</v>
      </c>
      <c r="AE544" s="25" t="s">
        <v>824</v>
      </c>
    </row>
    <row r="545" spans="20:31" ht="14.4">
      <c r="T545" t="s">
        <v>908</v>
      </c>
      <c r="U545" s="25" t="s">
        <v>880</v>
      </c>
      <c r="V545" t="s">
        <v>927</v>
      </c>
      <c r="W545" s="25" t="str">
        <f t="shared" si="27"/>
        <v>Aluminium Valance - Fabric CoveredInside Window MountAcmeda External Motor</v>
      </c>
      <c r="X545" s="25">
        <v>0</v>
      </c>
      <c r="Y545" s="25" t="s">
        <v>824</v>
      </c>
      <c r="Z545" s="25">
        <v>0</v>
      </c>
      <c r="AA545" s="25" t="s">
        <v>824</v>
      </c>
      <c r="AB545" s="25" t="s">
        <v>821</v>
      </c>
      <c r="AC545" s="25" t="s">
        <v>821</v>
      </c>
      <c r="AD545" s="25" t="s">
        <v>818</v>
      </c>
      <c r="AE545" s="25" t="s">
        <v>824</v>
      </c>
    </row>
    <row r="546" spans="20:31" ht="14.4">
      <c r="T546" t="s">
        <v>908</v>
      </c>
      <c r="U546" s="25" t="s">
        <v>880</v>
      </c>
      <c r="V546" t="s">
        <v>918</v>
      </c>
      <c r="W546" s="25" t="str">
        <f t="shared" si="27"/>
        <v>Aluminium Valance - Fabric CoveredInside Window MountAcmeda External 12v Motor</v>
      </c>
      <c r="X546" s="25">
        <v>0</v>
      </c>
      <c r="Y546" s="25" t="s">
        <v>824</v>
      </c>
      <c r="Z546" s="25">
        <v>0</v>
      </c>
      <c r="AA546" s="25" t="s">
        <v>824</v>
      </c>
      <c r="AB546" s="25" t="s">
        <v>821</v>
      </c>
      <c r="AC546" s="25" t="s">
        <v>821</v>
      </c>
      <c r="AD546" s="25" t="s">
        <v>818</v>
      </c>
      <c r="AE546" s="25" t="s">
        <v>824</v>
      </c>
    </row>
    <row r="547" spans="20:31" ht="14.4">
      <c r="T547" t="s">
        <v>908</v>
      </c>
      <c r="U547" s="25" t="s">
        <v>880</v>
      </c>
      <c r="V547" t="s">
        <v>979</v>
      </c>
      <c r="W547" s="25" t="str">
        <f t="shared" si="27"/>
        <v>Aluminium Valance - Fabric CoveredInside Window MountSomfy External CBUS Motor</v>
      </c>
      <c r="X547" s="25">
        <v>0</v>
      </c>
      <c r="Y547" s="25" t="s">
        <v>824</v>
      </c>
      <c r="Z547" s="25">
        <v>0</v>
      </c>
      <c r="AA547" s="25" t="s">
        <v>824</v>
      </c>
      <c r="AB547" s="25" t="s">
        <v>821</v>
      </c>
      <c r="AC547" s="25" t="s">
        <v>821</v>
      </c>
      <c r="AD547" s="25" t="s">
        <v>818</v>
      </c>
      <c r="AE547" s="25" t="s">
        <v>824</v>
      </c>
    </row>
    <row r="548" spans="20:31" ht="14.4">
      <c r="T548" t="s">
        <v>908</v>
      </c>
      <c r="U548" s="25" t="s">
        <v>880</v>
      </c>
      <c r="V548" t="s">
        <v>983</v>
      </c>
      <c r="W548" s="25" t="str">
        <f t="shared" si="27"/>
        <v>Aluminium Valance - Fabric CoveredInside Window MountSomfy External Remote Motor</v>
      </c>
      <c r="X548" s="25">
        <v>0</v>
      </c>
      <c r="Y548" s="25" t="s">
        <v>824</v>
      </c>
      <c r="Z548" s="25">
        <v>0</v>
      </c>
      <c r="AA548" s="25" t="s">
        <v>824</v>
      </c>
      <c r="AB548" s="25" t="s">
        <v>821</v>
      </c>
      <c r="AC548" s="25" t="s">
        <v>821</v>
      </c>
      <c r="AD548" s="25" t="s">
        <v>818</v>
      </c>
      <c r="AE548" s="25" t="s">
        <v>824</v>
      </c>
    </row>
    <row r="549" spans="20:31" ht="14.4">
      <c r="T549" t="s">
        <v>908</v>
      </c>
      <c r="U549" s="25" t="s">
        <v>880</v>
      </c>
      <c r="V549" t="s">
        <v>995</v>
      </c>
      <c r="W549" s="25" t="str">
        <f t="shared" si="27"/>
        <v>Aluminium Valance - Fabric CoveredInside Window MountHD Somfy External CBUS Motor</v>
      </c>
      <c r="X549" s="25">
        <v>0</v>
      </c>
      <c r="Y549" s="25" t="s">
        <v>824</v>
      </c>
      <c r="Z549" s="25">
        <v>0</v>
      </c>
      <c r="AA549" s="25" t="s">
        <v>824</v>
      </c>
      <c r="AB549" s="25" t="s">
        <v>821</v>
      </c>
      <c r="AC549" s="25" t="s">
        <v>821</v>
      </c>
      <c r="AD549" s="25" t="s">
        <v>818</v>
      </c>
      <c r="AE549" s="25" t="s">
        <v>824</v>
      </c>
    </row>
    <row r="550" spans="20:31" ht="14.4">
      <c r="T550" t="s">
        <v>908</v>
      </c>
      <c r="U550" s="25" t="s">
        <v>880</v>
      </c>
      <c r="V550" t="s">
        <v>999</v>
      </c>
      <c r="W550" s="25" t="str">
        <f t="shared" si="27"/>
        <v>Aluminium Valance - Fabric CoveredInside Window MountHD Somfy External Remote Motor</v>
      </c>
      <c r="X550" s="25">
        <v>0</v>
      </c>
      <c r="Y550" s="25" t="s">
        <v>824</v>
      </c>
      <c r="Z550" s="25">
        <v>0</v>
      </c>
      <c r="AA550" s="25" t="s">
        <v>824</v>
      </c>
      <c r="AB550" s="25" t="s">
        <v>821</v>
      </c>
      <c r="AC550" s="25" t="s">
        <v>821</v>
      </c>
      <c r="AD550" s="25" t="s">
        <v>818</v>
      </c>
      <c r="AE550" s="25" t="s">
        <v>824</v>
      </c>
    </row>
    <row r="551" spans="20:31" ht="14.4">
      <c r="T551" t="s">
        <v>908</v>
      </c>
      <c r="U551" s="25" t="s">
        <v>867</v>
      </c>
      <c r="V551" s="25" t="s">
        <v>823</v>
      </c>
      <c r="W551" s="25" t="str">
        <f t="shared" si="27"/>
        <v>Aluminium Valance - Fabric CoveredOutside Window MountChain Winder</v>
      </c>
      <c r="X551" s="25">
        <v>0</v>
      </c>
      <c r="Y551" s="25" t="s">
        <v>824</v>
      </c>
      <c r="Z551" s="25">
        <v>0</v>
      </c>
      <c r="AA551" s="25" t="s">
        <v>824</v>
      </c>
      <c r="AB551" s="25" t="s">
        <v>821</v>
      </c>
      <c r="AC551" s="25" t="s">
        <v>821</v>
      </c>
      <c r="AD551" s="25" t="s">
        <v>818</v>
      </c>
      <c r="AE551" s="25" t="s">
        <v>824</v>
      </c>
    </row>
    <row r="552" spans="20:31" ht="14.4">
      <c r="T552" t="s">
        <v>908</v>
      </c>
      <c r="U552" s="25" t="s">
        <v>867</v>
      </c>
      <c r="V552" s="25" t="s">
        <v>841</v>
      </c>
      <c r="W552" s="25" t="str">
        <f t="shared" si="27"/>
        <v>Aluminium Valance - Fabric CoveredOutside Window MountHD Chain Winder</v>
      </c>
      <c r="X552" s="25">
        <v>0</v>
      </c>
      <c r="Y552" s="25" t="s">
        <v>824</v>
      </c>
      <c r="Z552" s="25">
        <v>0</v>
      </c>
      <c r="AA552" s="25" t="s">
        <v>824</v>
      </c>
      <c r="AB552" s="25" t="s">
        <v>821</v>
      </c>
      <c r="AC552" s="25" t="s">
        <v>821</v>
      </c>
      <c r="AD552" s="25" t="s">
        <v>818</v>
      </c>
      <c r="AE552" s="25" t="s">
        <v>824</v>
      </c>
    </row>
    <row r="553" spans="20:31" ht="14.4">
      <c r="T553" t="s">
        <v>908</v>
      </c>
      <c r="U553" s="25" t="s">
        <v>867</v>
      </c>
      <c r="V553" s="25" t="s">
        <v>858</v>
      </c>
      <c r="W553" s="25" t="str">
        <f t="shared" si="27"/>
        <v>Aluminium Valance - Fabric CoveredOutside Window MountChain Winder 60mm</v>
      </c>
      <c r="X553" s="25">
        <v>0</v>
      </c>
      <c r="Y553" s="25" t="s">
        <v>824</v>
      </c>
      <c r="Z553" s="25">
        <v>0</v>
      </c>
      <c r="AA553" s="25" t="s">
        <v>824</v>
      </c>
      <c r="AB553" s="25" t="s">
        <v>821</v>
      </c>
      <c r="AC553" s="25" t="s">
        <v>821</v>
      </c>
      <c r="AD553" s="25" t="s">
        <v>818</v>
      </c>
      <c r="AE553" s="25" t="s">
        <v>824</v>
      </c>
    </row>
    <row r="554" spans="20:31" ht="14.4">
      <c r="T554" t="s">
        <v>908</v>
      </c>
      <c r="U554" s="25" t="s">
        <v>867</v>
      </c>
      <c r="V554" s="25" t="s">
        <v>865</v>
      </c>
      <c r="W554" s="25" t="str">
        <f t="shared" si="27"/>
        <v>Aluminium Valance - Fabric CoveredOutside Window MountChain Winder Fixed Guide</v>
      </c>
      <c r="X554" s="25">
        <v>0</v>
      </c>
      <c r="Y554" s="25" t="s">
        <v>824</v>
      </c>
      <c r="Z554" s="25">
        <v>0</v>
      </c>
      <c r="AA554" s="25" t="s">
        <v>824</v>
      </c>
      <c r="AB554" s="25" t="s">
        <v>821</v>
      </c>
      <c r="AC554" s="25" t="s">
        <v>821</v>
      </c>
      <c r="AD554" s="25" t="s">
        <v>818</v>
      </c>
      <c r="AE554" s="25" t="s">
        <v>824</v>
      </c>
    </row>
    <row r="555" spans="20:31" ht="14.4">
      <c r="T555" t="s">
        <v>908</v>
      </c>
      <c r="U555" s="25" t="s">
        <v>867</v>
      </c>
      <c r="V555" s="25" t="s">
        <v>181</v>
      </c>
      <c r="W555" s="25" t="str">
        <f t="shared" si="27"/>
        <v>Aluminium Valance - Fabric CoveredOutside Window MountLinked</v>
      </c>
      <c r="X555" s="25">
        <v>0</v>
      </c>
      <c r="Y555" s="25" t="s">
        <v>824</v>
      </c>
      <c r="Z555" s="25">
        <v>0</v>
      </c>
      <c r="AA555" s="25" t="s">
        <v>824</v>
      </c>
      <c r="AB555" s="25" t="s">
        <v>821</v>
      </c>
      <c r="AC555" s="25" t="s">
        <v>821</v>
      </c>
      <c r="AD555" s="25" t="s">
        <v>818</v>
      </c>
      <c r="AE555" s="25" t="s">
        <v>824</v>
      </c>
    </row>
    <row r="556" spans="20:31" ht="14.4">
      <c r="T556" t="s">
        <v>908</v>
      </c>
      <c r="U556" s="25" t="s">
        <v>867</v>
      </c>
      <c r="V556" s="25" t="s">
        <v>898</v>
      </c>
      <c r="W556" s="25" t="str">
        <f t="shared" si="27"/>
        <v>Aluminium Valance - Fabric CoveredOutside Window MountLinked - HD</v>
      </c>
      <c r="X556" s="25">
        <v>0</v>
      </c>
      <c r="Y556" s="25" t="s">
        <v>824</v>
      </c>
      <c r="Z556" s="25">
        <v>0</v>
      </c>
      <c r="AA556" s="25" t="s">
        <v>824</v>
      </c>
      <c r="AB556" s="25" t="s">
        <v>821</v>
      </c>
      <c r="AC556" s="25" t="s">
        <v>821</v>
      </c>
      <c r="AD556" s="25" t="s">
        <v>818</v>
      </c>
      <c r="AE556" s="25" t="s">
        <v>824</v>
      </c>
    </row>
    <row r="557" spans="20:31" ht="14.4">
      <c r="T557" t="s">
        <v>908</v>
      </c>
      <c r="U557" s="25" t="s">
        <v>867</v>
      </c>
      <c r="V557" s="25" t="s">
        <v>910</v>
      </c>
      <c r="W557" s="25" t="str">
        <f t="shared" si="27"/>
        <v>Aluminium Valance - Fabric CoveredOutside Window MountStandard Spring</v>
      </c>
      <c r="X557" s="25">
        <v>0</v>
      </c>
      <c r="Y557" s="25" t="s">
        <v>824</v>
      </c>
      <c r="Z557" s="25">
        <v>0</v>
      </c>
      <c r="AA557" s="25" t="s">
        <v>824</v>
      </c>
      <c r="AB557" s="25" t="s">
        <v>821</v>
      </c>
      <c r="AC557" s="25" t="s">
        <v>821</v>
      </c>
      <c r="AD557" s="25" t="s">
        <v>818</v>
      </c>
      <c r="AE557" s="25" t="s">
        <v>824</v>
      </c>
    </row>
    <row r="558" spans="20:31" ht="14.4">
      <c r="T558" t="s">
        <v>908</v>
      </c>
      <c r="U558" s="25" t="s">
        <v>867</v>
      </c>
      <c r="V558" s="25" t="s">
        <v>920</v>
      </c>
      <c r="W558" s="25" t="str">
        <f t="shared" si="27"/>
        <v>Aluminium Valance - Fabric CoveredOutside Window MountSmall Spring</v>
      </c>
      <c r="X558" s="25">
        <v>0</v>
      </c>
      <c r="Y558" s="25" t="s">
        <v>824</v>
      </c>
      <c r="Z558" s="25">
        <v>0</v>
      </c>
      <c r="AA558" s="25" t="s">
        <v>824</v>
      </c>
      <c r="AB558" s="25" t="s">
        <v>821</v>
      </c>
      <c r="AC558" s="25" t="s">
        <v>821</v>
      </c>
      <c r="AD558" s="25" t="s">
        <v>818</v>
      </c>
      <c r="AE558" s="25" t="s">
        <v>824</v>
      </c>
    </row>
    <row r="559" spans="20:31" ht="14.4">
      <c r="T559" t="s">
        <v>908</v>
      </c>
      <c r="U559" s="25" t="s">
        <v>867</v>
      </c>
      <c r="V559" s="25" t="s">
        <v>929</v>
      </c>
      <c r="W559" s="25" t="str">
        <f t="shared" si="27"/>
        <v>Aluminium Valance - Fabric CoveredOutside Window MountUniline Spring (Old Style)</v>
      </c>
      <c r="X559" s="25">
        <v>0</v>
      </c>
      <c r="Y559" s="25" t="s">
        <v>824</v>
      </c>
      <c r="Z559" s="25">
        <v>0</v>
      </c>
      <c r="AA559" s="25" t="s">
        <v>824</v>
      </c>
      <c r="AB559" s="25" t="s">
        <v>821</v>
      </c>
      <c r="AC559" s="25" t="s">
        <v>821</v>
      </c>
      <c r="AD559" s="25" t="s">
        <v>818</v>
      </c>
      <c r="AE559" s="25" t="s">
        <v>824</v>
      </c>
    </row>
    <row r="560" spans="20:31" ht="14.4">
      <c r="T560" t="s">
        <v>908</v>
      </c>
      <c r="U560" s="25" t="s">
        <v>867</v>
      </c>
      <c r="V560" s="25" t="s">
        <v>935</v>
      </c>
      <c r="W560" s="25" t="str">
        <f t="shared" si="27"/>
        <v>Aluminium Valance - Fabric CoveredOutside Window MountBecker Remote Motor</v>
      </c>
      <c r="X560" s="25">
        <v>0</v>
      </c>
      <c r="Y560" s="25" t="s">
        <v>824</v>
      </c>
      <c r="Z560" s="25">
        <v>0</v>
      </c>
      <c r="AA560" s="25" t="s">
        <v>824</v>
      </c>
      <c r="AB560" s="25" t="s">
        <v>821</v>
      </c>
      <c r="AC560" s="25" t="s">
        <v>821</v>
      </c>
      <c r="AD560" s="25" t="s">
        <v>818</v>
      </c>
      <c r="AE560" s="25" t="s">
        <v>824</v>
      </c>
    </row>
    <row r="561" spans="20:31" ht="14.4">
      <c r="T561" t="s">
        <v>908</v>
      </c>
      <c r="U561" s="25" t="s">
        <v>867</v>
      </c>
      <c r="V561" s="25" t="s">
        <v>939</v>
      </c>
      <c r="W561" s="25" t="str">
        <f t="shared" si="27"/>
        <v>Aluminium Valance - Fabric CoveredOutside Window MountBecker CBUS Motor</v>
      </c>
      <c r="X561" s="25">
        <v>0</v>
      </c>
      <c r="Y561" s="25" t="s">
        <v>824</v>
      </c>
      <c r="Z561" s="25">
        <v>0</v>
      </c>
      <c r="AA561" s="25" t="s">
        <v>824</v>
      </c>
      <c r="AB561" s="25" t="s">
        <v>821</v>
      </c>
      <c r="AC561" s="25" t="s">
        <v>821</v>
      </c>
      <c r="AD561" s="25" t="s">
        <v>818</v>
      </c>
      <c r="AE561" s="25" t="s">
        <v>824</v>
      </c>
    </row>
    <row r="562" spans="20:31" ht="14.4">
      <c r="T562" t="s">
        <v>908</v>
      </c>
      <c r="U562" s="25" t="s">
        <v>867</v>
      </c>
      <c r="V562" s="25" t="s">
        <v>946</v>
      </c>
      <c r="W562" s="25" t="str">
        <f t="shared" si="27"/>
        <v>Aluminium Valance - Fabric CoveredOutside Window MountBecker External Remote Motor</v>
      </c>
      <c r="X562" s="25">
        <v>0</v>
      </c>
      <c r="Y562" s="25" t="s">
        <v>824</v>
      </c>
      <c r="Z562" s="25">
        <v>0</v>
      </c>
      <c r="AA562" s="25" t="s">
        <v>824</v>
      </c>
      <c r="AB562" s="25" t="s">
        <v>821</v>
      </c>
      <c r="AC562" s="25" t="s">
        <v>821</v>
      </c>
      <c r="AD562" s="25" t="s">
        <v>818</v>
      </c>
      <c r="AE562" s="25" t="s">
        <v>824</v>
      </c>
    </row>
    <row r="563" spans="20:31" ht="14.4">
      <c r="T563" t="s">
        <v>908</v>
      </c>
      <c r="U563" s="25" t="s">
        <v>867</v>
      </c>
      <c r="V563" s="25" t="s">
        <v>951</v>
      </c>
      <c r="W563" s="25" t="str">
        <f t="shared" si="27"/>
        <v>Aluminium Valance - Fabric CoveredOutside Window MountBecker External CBUS Motor</v>
      </c>
      <c r="X563" s="25">
        <v>0</v>
      </c>
      <c r="Y563" s="25" t="s">
        <v>824</v>
      </c>
      <c r="Z563" s="25">
        <v>0</v>
      </c>
      <c r="AA563" s="25" t="s">
        <v>824</v>
      </c>
      <c r="AB563" s="25" t="s">
        <v>821</v>
      </c>
      <c r="AC563" s="25" t="s">
        <v>821</v>
      </c>
      <c r="AD563" s="25" t="s">
        <v>818</v>
      </c>
      <c r="AE563" s="25" t="s">
        <v>824</v>
      </c>
    </row>
    <row r="564" spans="20:31" ht="14.4">
      <c r="T564" t="s">
        <v>908</v>
      </c>
      <c r="U564" s="25" t="s">
        <v>867</v>
      </c>
      <c r="V564" s="25" t="s">
        <v>838</v>
      </c>
      <c r="W564" s="25" t="str">
        <f t="shared" si="27"/>
        <v>Aluminium Valance - Fabric CoveredOutside Window Mount1.1nm 12v Acmeda Motor</v>
      </c>
      <c r="X564" s="25">
        <v>0</v>
      </c>
      <c r="Y564" s="25" t="s">
        <v>824</v>
      </c>
      <c r="Z564" s="25">
        <v>0</v>
      </c>
      <c r="AA564" s="25" t="s">
        <v>824</v>
      </c>
      <c r="AB564" s="25" t="s">
        <v>821</v>
      </c>
      <c r="AC564" s="25" t="s">
        <v>821</v>
      </c>
      <c r="AD564" s="25" t="s">
        <v>818</v>
      </c>
      <c r="AE564" s="25" t="s">
        <v>824</v>
      </c>
    </row>
    <row r="565" spans="20:31" ht="14.4">
      <c r="T565" t="s">
        <v>908</v>
      </c>
      <c r="U565" s="25" t="s">
        <v>867</v>
      </c>
      <c r="V565" t="s">
        <v>882</v>
      </c>
      <c r="W565" s="25" t="str">
        <f t="shared" si="27"/>
        <v>Aluminium Valance - Fabric CoveredOutside Window Mount2nm 12v Acmeda Motor</v>
      </c>
      <c r="X565" s="25">
        <v>0</v>
      </c>
      <c r="Y565" s="25" t="s">
        <v>824</v>
      </c>
      <c r="Z565" s="25">
        <v>0</v>
      </c>
      <c r="AA565" s="25" t="s">
        <v>824</v>
      </c>
      <c r="AB565" s="25" t="s">
        <v>821</v>
      </c>
      <c r="AC565" s="25" t="s">
        <v>821</v>
      </c>
      <c r="AD565" s="25" t="s">
        <v>818</v>
      </c>
      <c r="AE565" s="25" t="s">
        <v>824</v>
      </c>
    </row>
    <row r="566" spans="20:31" ht="14.4">
      <c r="T566" t="s">
        <v>908</v>
      </c>
      <c r="U566" s="25" t="s">
        <v>867</v>
      </c>
      <c r="V566" t="s">
        <v>896</v>
      </c>
      <c r="W566" s="25" t="str">
        <f t="shared" si="27"/>
        <v>Aluminium Valance - Fabric CoveredOutside Window MountAcmeda 12v 6nm Motor</v>
      </c>
      <c r="X566" s="25">
        <v>0</v>
      </c>
      <c r="Y566" s="25" t="s">
        <v>824</v>
      </c>
      <c r="Z566" s="25">
        <v>0</v>
      </c>
      <c r="AA566" s="25" t="s">
        <v>824</v>
      </c>
      <c r="AB566" s="25" t="s">
        <v>821</v>
      </c>
      <c r="AC566" s="25" t="s">
        <v>821</v>
      </c>
      <c r="AD566" s="25" t="s">
        <v>818</v>
      </c>
      <c r="AE566" s="25" t="s">
        <v>824</v>
      </c>
    </row>
    <row r="567" spans="20:31" ht="14.4">
      <c r="T567" t="s">
        <v>908</v>
      </c>
      <c r="U567" s="25" t="s">
        <v>867</v>
      </c>
      <c r="V567" t="s">
        <v>855</v>
      </c>
      <c r="W567" s="25" t="str">
        <f t="shared" si="27"/>
        <v>Aluminium Valance - Fabric CoveredOutside Window Mount0.7nm 12v Acmeda Motor</v>
      </c>
      <c r="X567" s="25">
        <v>0</v>
      </c>
      <c r="Y567" s="25" t="s">
        <v>824</v>
      </c>
      <c r="Z567" s="25">
        <v>0</v>
      </c>
      <c r="AA567" s="25" t="s">
        <v>824</v>
      </c>
      <c r="AB567" s="25" t="s">
        <v>821</v>
      </c>
      <c r="AC567" s="25" t="s">
        <v>821</v>
      </c>
      <c r="AD567" s="25" t="s">
        <v>818</v>
      </c>
      <c r="AE567" s="25" t="s">
        <v>824</v>
      </c>
    </row>
    <row r="568" spans="20:31" ht="14.4">
      <c r="T568" t="s">
        <v>908</v>
      </c>
      <c r="U568" s="25" t="s">
        <v>867</v>
      </c>
      <c r="V568" s="25" t="s">
        <v>849</v>
      </c>
      <c r="W568" s="25" t="str">
        <f t="shared" si="27"/>
        <v>Aluminium Valance - Fabric CoveredOutside Window Mount1.1nm 12v Acmeda DCRF Motor with External Battery</v>
      </c>
      <c r="X568" s="25">
        <v>0</v>
      </c>
      <c r="Y568" s="25" t="s">
        <v>824</v>
      </c>
      <c r="Z568" s="25">
        <v>0</v>
      </c>
      <c r="AA568" s="25" t="s">
        <v>824</v>
      </c>
      <c r="AB568" s="25" t="s">
        <v>821</v>
      </c>
      <c r="AC568" s="25" t="s">
        <v>821</v>
      </c>
      <c r="AD568" s="25" t="s">
        <v>818</v>
      </c>
      <c r="AE568" s="25" t="s">
        <v>824</v>
      </c>
    </row>
    <row r="569" spans="20:31" ht="14.4">
      <c r="T569" t="s">
        <v>908</v>
      </c>
      <c r="U569" s="25" t="s">
        <v>867</v>
      </c>
      <c r="V569" s="25" t="s">
        <v>817</v>
      </c>
      <c r="W569" s="25" t="str">
        <f t="shared" si="27"/>
        <v>Aluminium Valance - Fabric CoveredOutside Window Mount1.1nm 12v Acmeda DCRF Motor</v>
      </c>
      <c r="X569" s="25">
        <v>0</v>
      </c>
      <c r="Y569" s="25" t="s">
        <v>824</v>
      </c>
      <c r="Z569" s="25">
        <v>0</v>
      </c>
      <c r="AA569" s="25" t="s">
        <v>824</v>
      </c>
      <c r="AB569" s="25" t="s">
        <v>821</v>
      </c>
      <c r="AC569" s="25" t="s">
        <v>821</v>
      </c>
      <c r="AD569" s="25" t="s">
        <v>818</v>
      </c>
      <c r="AE569" s="25" t="s">
        <v>824</v>
      </c>
    </row>
    <row r="570" spans="20:31" ht="14.4">
      <c r="T570" t="s">
        <v>908</v>
      </c>
      <c r="U570" s="25" t="s">
        <v>867</v>
      </c>
      <c r="V570" s="25" t="s">
        <v>868</v>
      </c>
      <c r="W570" s="25" t="str">
        <f t="shared" si="27"/>
        <v>Aluminium Valance - Fabric CoveredOutside Window Mount2nm 12v Acmeda DCRF Motor</v>
      </c>
      <c r="X570" s="25">
        <v>0</v>
      </c>
      <c r="Y570" s="25" t="s">
        <v>824</v>
      </c>
      <c r="Z570" s="25">
        <v>0</v>
      </c>
      <c r="AA570" s="25" t="s">
        <v>824</v>
      </c>
      <c r="AB570" s="25" t="s">
        <v>821</v>
      </c>
      <c r="AC570" s="25" t="s">
        <v>821</v>
      </c>
      <c r="AD570" s="25" t="s">
        <v>818</v>
      </c>
      <c r="AE570" s="25" t="s">
        <v>824</v>
      </c>
    </row>
    <row r="571" spans="20:31" ht="14.4">
      <c r="T571" t="s">
        <v>908</v>
      </c>
      <c r="U571" s="25" t="s">
        <v>867</v>
      </c>
      <c r="V571" t="s">
        <v>973</v>
      </c>
      <c r="W571" s="25" t="str">
        <f t="shared" si="27"/>
        <v>Aluminium Valance - Fabric CoveredOutside Window MountSomfy Remote Sonesse Motor</v>
      </c>
      <c r="X571" s="25">
        <v>0</v>
      </c>
      <c r="Y571" s="25" t="s">
        <v>824</v>
      </c>
      <c r="Z571" s="25">
        <v>0</v>
      </c>
      <c r="AA571" s="25" t="s">
        <v>824</v>
      </c>
      <c r="AB571" s="25" t="s">
        <v>821</v>
      </c>
      <c r="AC571" s="25" t="s">
        <v>821</v>
      </c>
      <c r="AD571" s="25" t="s">
        <v>818</v>
      </c>
      <c r="AE571" s="25" t="s">
        <v>824</v>
      </c>
    </row>
    <row r="572" spans="20:31" ht="14.4">
      <c r="T572" t="s">
        <v>908</v>
      </c>
      <c r="U572" s="25" t="s">
        <v>867</v>
      </c>
      <c r="V572" t="s">
        <v>637</v>
      </c>
      <c r="W572" s="25" t="str">
        <f t="shared" si="27"/>
        <v>Aluminium Valance - Fabric CoveredOutside Window MountSomfy 12v Remote Sonesse Motor</v>
      </c>
      <c r="X572" s="25">
        <v>0</v>
      </c>
      <c r="Y572" s="25" t="s">
        <v>824</v>
      </c>
      <c r="Z572" s="25">
        <v>0</v>
      </c>
      <c r="AA572" s="25" t="s">
        <v>824</v>
      </c>
      <c r="AB572" s="25" t="s">
        <v>821</v>
      </c>
      <c r="AC572" s="25" t="s">
        <v>821</v>
      </c>
      <c r="AD572" s="25" t="s">
        <v>818</v>
      </c>
      <c r="AE572" s="25" t="s">
        <v>824</v>
      </c>
    </row>
    <row r="573" spans="20:31" ht="14.4">
      <c r="T573" t="s">
        <v>908</v>
      </c>
      <c r="U573" s="25" t="s">
        <v>867</v>
      </c>
      <c r="V573" s="25" t="s">
        <v>974</v>
      </c>
      <c r="W573" s="25" t="str">
        <f t="shared" si="27"/>
        <v>Aluminium Valance - Fabric CoveredOutside Window MountSomfy CBUS Motor</v>
      </c>
      <c r="X573" s="25">
        <v>0</v>
      </c>
      <c r="Y573" s="25" t="s">
        <v>824</v>
      </c>
      <c r="Z573" s="25">
        <v>0</v>
      </c>
      <c r="AA573" s="25" t="s">
        <v>824</v>
      </c>
      <c r="AB573" s="25" t="s">
        <v>821</v>
      </c>
      <c r="AC573" s="25" t="s">
        <v>821</v>
      </c>
      <c r="AD573" s="25" t="s">
        <v>818</v>
      </c>
      <c r="AE573" s="25" t="s">
        <v>824</v>
      </c>
    </row>
    <row r="574" spans="20:31" ht="14.4">
      <c r="T574" t="s">
        <v>908</v>
      </c>
      <c r="U574" s="25" t="s">
        <v>867</v>
      </c>
      <c r="V574" t="s">
        <v>986</v>
      </c>
      <c r="W574" s="25" t="str">
        <f t="shared" si="27"/>
        <v>Aluminium Valance - Fabric CoveredOutside Window MountHD Somfy Remote Sonesse Motor</v>
      </c>
      <c r="X574" s="25">
        <v>0</v>
      </c>
      <c r="Y574" s="25" t="s">
        <v>824</v>
      </c>
      <c r="Z574" s="25">
        <v>0</v>
      </c>
      <c r="AA574" s="25" t="s">
        <v>824</v>
      </c>
      <c r="AB574" s="25" t="s">
        <v>821</v>
      </c>
      <c r="AC574" s="25" t="s">
        <v>821</v>
      </c>
      <c r="AD574" s="25" t="s">
        <v>818</v>
      </c>
      <c r="AE574" s="25" t="s">
        <v>824</v>
      </c>
    </row>
    <row r="575" spans="20:31" ht="14.4">
      <c r="T575" t="s">
        <v>908</v>
      </c>
      <c r="U575" s="25" t="s">
        <v>867</v>
      </c>
      <c r="V575" t="s">
        <v>989</v>
      </c>
      <c r="W575" s="25" t="str">
        <f t="shared" si="27"/>
        <v>Aluminium Valance - Fabric CoveredOutside Window MountHD Somfy 12v Remote Sonesse Motor</v>
      </c>
      <c r="X575" s="25">
        <v>0</v>
      </c>
      <c r="Y575" s="25" t="s">
        <v>824</v>
      </c>
      <c r="Z575" s="25">
        <v>0</v>
      </c>
      <c r="AA575" s="25" t="s">
        <v>824</v>
      </c>
      <c r="AB575" s="25" t="s">
        <v>821</v>
      </c>
      <c r="AC575" s="25" t="s">
        <v>821</v>
      </c>
      <c r="AD575" s="25" t="s">
        <v>818</v>
      </c>
      <c r="AE575" s="25" t="s">
        <v>824</v>
      </c>
    </row>
    <row r="576" spans="20:31" ht="14.4">
      <c r="T576" t="s">
        <v>908</v>
      </c>
      <c r="U576" s="25" t="s">
        <v>867</v>
      </c>
      <c r="V576" s="25" t="s">
        <v>992</v>
      </c>
      <c r="W576" s="25" t="str">
        <f t="shared" si="27"/>
        <v>Aluminium Valance - Fabric CoveredOutside Window MountHD Somfy CBUS Motor</v>
      </c>
      <c r="X576" s="25">
        <v>0</v>
      </c>
      <c r="Y576" s="25" t="s">
        <v>824</v>
      </c>
      <c r="Z576" s="25">
        <v>0</v>
      </c>
      <c r="AA576" s="25" t="s">
        <v>824</v>
      </c>
      <c r="AB576" s="25" t="s">
        <v>821</v>
      </c>
      <c r="AC576" s="25" t="s">
        <v>821</v>
      </c>
      <c r="AD576" s="25" t="s">
        <v>818</v>
      </c>
      <c r="AE576" s="25" t="s">
        <v>824</v>
      </c>
    </row>
    <row r="577" spans="20:31" ht="14.4">
      <c r="T577" t="s">
        <v>908</v>
      </c>
      <c r="U577" s="25" t="s">
        <v>867</v>
      </c>
      <c r="V577" s="25" t="s">
        <v>625</v>
      </c>
      <c r="W577" s="25" t="str">
        <f t="shared" si="27"/>
        <v>Aluminium Valance - Fabric CoveredOutside Window MountAcmeda E6 Motor</v>
      </c>
      <c r="X577" s="25">
        <v>0</v>
      </c>
      <c r="Y577" s="25" t="s">
        <v>824</v>
      </c>
      <c r="Z577" s="25">
        <v>0</v>
      </c>
      <c r="AA577" s="25" t="s">
        <v>824</v>
      </c>
      <c r="AB577" s="25" t="s">
        <v>821</v>
      </c>
      <c r="AC577" s="25" t="s">
        <v>821</v>
      </c>
      <c r="AD577" s="25" t="s">
        <v>818</v>
      </c>
      <c r="AE577" s="25" t="s">
        <v>824</v>
      </c>
    </row>
    <row r="578" spans="20:31" ht="14.4">
      <c r="T578" t="s">
        <v>908</v>
      </c>
      <c r="U578" s="25" t="s">
        <v>867</v>
      </c>
      <c r="V578" s="25" t="s">
        <v>626</v>
      </c>
      <c r="W578" s="25" t="str">
        <f t="shared" si="27"/>
        <v>Aluminium Valance - Fabric CoveredOutside Window MountAcmeda M6 Motor</v>
      </c>
      <c r="X578" s="25">
        <v>0</v>
      </c>
      <c r="Y578" s="25" t="s">
        <v>824</v>
      </c>
      <c r="Z578" s="25">
        <v>0</v>
      </c>
      <c r="AA578" s="25" t="s">
        <v>824</v>
      </c>
      <c r="AB578" s="25" t="s">
        <v>821</v>
      </c>
      <c r="AC578" s="25" t="s">
        <v>821</v>
      </c>
      <c r="AD578" s="25" t="s">
        <v>818</v>
      </c>
      <c r="AE578" s="25" t="s">
        <v>824</v>
      </c>
    </row>
    <row r="579" spans="20:31" ht="14.4">
      <c r="T579" t="s">
        <v>908</v>
      </c>
      <c r="U579" s="25" t="s">
        <v>867</v>
      </c>
      <c r="V579" s="25" t="s">
        <v>1002</v>
      </c>
      <c r="W579" s="25" t="str">
        <f t="shared" si="28" ref="W579:W642">CONCATENATE(T579,U579,V579)</f>
        <v>Aluminium Valance - Fabric CoveredOutside Window MountUniline Remote Motor</v>
      </c>
      <c r="X579" s="25">
        <v>0</v>
      </c>
      <c r="Y579" s="25" t="s">
        <v>824</v>
      </c>
      <c r="Z579" s="25">
        <v>0</v>
      </c>
      <c r="AA579" s="25" t="s">
        <v>824</v>
      </c>
      <c r="AB579" s="25" t="s">
        <v>821</v>
      </c>
      <c r="AC579" s="25" t="s">
        <v>821</v>
      </c>
      <c r="AD579" s="25" t="s">
        <v>818</v>
      </c>
      <c r="AE579" s="25" t="s">
        <v>824</v>
      </c>
    </row>
    <row r="580" spans="20:31" ht="14.4">
      <c r="T580" t="s">
        <v>908</v>
      </c>
      <c r="U580" s="25" t="s">
        <v>867</v>
      </c>
      <c r="V580" s="25" t="s">
        <v>1005</v>
      </c>
      <c r="W580" s="25" t="str">
        <f t="shared" si="28"/>
        <v>Aluminium Valance - Fabric CoveredOutside Window MountUniline Cbus Motor</v>
      </c>
      <c r="X580" s="25">
        <v>0</v>
      </c>
      <c r="Y580" s="25" t="s">
        <v>824</v>
      </c>
      <c r="Z580" s="25">
        <v>0</v>
      </c>
      <c r="AA580" s="25" t="s">
        <v>824</v>
      </c>
      <c r="AB580" s="25" t="s">
        <v>821</v>
      </c>
      <c r="AC580" s="25" t="s">
        <v>821</v>
      </c>
      <c r="AD580" s="25" t="s">
        <v>818</v>
      </c>
      <c r="AE580" s="25" t="s">
        <v>824</v>
      </c>
    </row>
    <row r="581" spans="20:31" ht="14.4">
      <c r="T581" t="s">
        <v>908</v>
      </c>
      <c r="U581" s="25" t="s">
        <v>867</v>
      </c>
      <c r="V581" s="25" t="s">
        <v>981</v>
      </c>
      <c r="W581" s="25" t="str">
        <f t="shared" si="28"/>
        <v>Aluminium Valance - Fabric CoveredOutside Window MountNice Remote Motor</v>
      </c>
      <c r="X581" s="25">
        <v>0</v>
      </c>
      <c r="Y581" s="25" t="s">
        <v>824</v>
      </c>
      <c r="Z581" s="25">
        <v>0</v>
      </c>
      <c r="AA581" s="25" t="s">
        <v>824</v>
      </c>
      <c r="AB581" s="25" t="s">
        <v>821</v>
      </c>
      <c r="AC581" s="25" t="s">
        <v>821</v>
      </c>
      <c r="AD581" s="25" t="s">
        <v>818</v>
      </c>
      <c r="AE581" s="25" t="s">
        <v>824</v>
      </c>
    </row>
    <row r="582" spans="20:31" ht="14.4">
      <c r="T582" t="s">
        <v>908</v>
      </c>
      <c r="U582" s="25" t="s">
        <v>867</v>
      </c>
      <c r="V582" s="25" t="s">
        <v>976</v>
      </c>
      <c r="W582" s="25" t="str">
        <f t="shared" si="28"/>
        <v>Aluminium Valance - Fabric CoveredOutside Window MountNice CBus Motor</v>
      </c>
      <c r="X582" s="25">
        <v>0</v>
      </c>
      <c r="Y582" s="25" t="s">
        <v>824</v>
      </c>
      <c r="Z582" s="25">
        <v>0</v>
      </c>
      <c r="AA582" s="25" t="s">
        <v>824</v>
      </c>
      <c r="AB582" s="25" t="s">
        <v>821</v>
      </c>
      <c r="AC582" s="25" t="s">
        <v>821</v>
      </c>
      <c r="AD582" s="25" t="s">
        <v>818</v>
      </c>
      <c r="AE582" s="25" t="s">
        <v>824</v>
      </c>
    </row>
    <row r="583" spans="20:31" ht="14.4">
      <c r="T583" t="s">
        <v>908</v>
      </c>
      <c r="U583" s="25" t="s">
        <v>867</v>
      </c>
      <c r="V583" t="s">
        <v>1006</v>
      </c>
      <c r="W583" s="25" t="str">
        <f t="shared" si="28"/>
        <v>Aluminium Valance - Fabric CoveredOutside Window MountSunboss Chain Winder 38mm Tube</v>
      </c>
      <c r="X583" s="25">
        <v>0</v>
      </c>
      <c r="Y583" s="25" t="s">
        <v>824</v>
      </c>
      <c r="Z583" s="25">
        <v>0</v>
      </c>
      <c r="AA583" s="25" t="s">
        <v>824</v>
      </c>
      <c r="AB583" s="25" t="s">
        <v>821</v>
      </c>
      <c r="AC583" s="25" t="s">
        <v>821</v>
      </c>
      <c r="AD583" s="25" t="s">
        <v>818</v>
      </c>
      <c r="AE583" s="25" t="s">
        <v>824</v>
      </c>
    </row>
    <row r="584" spans="20:31" ht="14.4">
      <c r="T584" t="s">
        <v>908</v>
      </c>
      <c r="U584" s="25" t="s">
        <v>867</v>
      </c>
      <c r="V584" t="s">
        <v>1017</v>
      </c>
      <c r="W584" s="25" t="str">
        <f t="shared" si="28"/>
        <v>Aluminium Valance - Fabric CoveredOutside Window MountSunboss Chain Winder 43mm Tube</v>
      </c>
      <c r="X584" s="25">
        <v>0</v>
      </c>
      <c r="Y584" s="25" t="s">
        <v>824</v>
      </c>
      <c r="Z584" s="25">
        <v>0</v>
      </c>
      <c r="AA584" s="25" t="s">
        <v>824</v>
      </c>
      <c r="AB584" s="25" t="s">
        <v>821</v>
      </c>
      <c r="AC584" s="25" t="s">
        <v>821</v>
      </c>
      <c r="AD584" s="25" t="s">
        <v>818</v>
      </c>
      <c r="AE584" s="25" t="s">
        <v>824</v>
      </c>
    </row>
    <row r="585" spans="20:31" ht="14.4">
      <c r="T585" t="s">
        <v>908</v>
      </c>
      <c r="U585" s="25" t="s">
        <v>867</v>
      </c>
      <c r="V585" s="25" t="s">
        <v>1012</v>
      </c>
      <c r="W585" s="25" t="str">
        <f t="shared" si="28"/>
        <v>Aluminium Valance - Fabric CoveredOutside Window MountTBS Remote Motor</v>
      </c>
      <c r="X585" s="25">
        <v>0</v>
      </c>
      <c r="Y585" s="25" t="s">
        <v>824</v>
      </c>
      <c r="Z585" s="25">
        <v>0</v>
      </c>
      <c r="AA585" s="25" t="s">
        <v>824</v>
      </c>
      <c r="AB585" s="25" t="s">
        <v>821</v>
      </c>
      <c r="AC585" s="25" t="s">
        <v>821</v>
      </c>
      <c r="AD585" s="25" t="s">
        <v>818</v>
      </c>
      <c r="AE585" s="25" t="s">
        <v>824</v>
      </c>
    </row>
    <row r="586" spans="20:31" ht="14.4">
      <c r="T586" t="s">
        <v>908</v>
      </c>
      <c r="U586" s="25" t="s">
        <v>867</v>
      </c>
      <c r="V586" t="s">
        <v>1009</v>
      </c>
      <c r="W586" s="25" t="str">
        <f t="shared" si="28"/>
        <v>Aluminium Valance - Fabric CoveredOutside Window MountTBS Cbus Motor</v>
      </c>
      <c r="X586" s="25">
        <v>0</v>
      </c>
      <c r="Y586" s="25" t="s">
        <v>824</v>
      </c>
      <c r="Z586" s="25">
        <v>0</v>
      </c>
      <c r="AA586" s="25" t="s">
        <v>824</v>
      </c>
      <c r="AB586" s="25" t="s">
        <v>821</v>
      </c>
      <c r="AC586" s="25" t="s">
        <v>821</v>
      </c>
      <c r="AE586" s="25" t="s">
        <v>824</v>
      </c>
    </row>
    <row r="587" spans="20:31" ht="14.4">
      <c r="T587" t="s">
        <v>908</v>
      </c>
      <c r="U587" s="25" t="s">
        <v>867</v>
      </c>
      <c r="V587" t="s">
        <v>927</v>
      </c>
      <c r="W587" s="25" t="str">
        <f t="shared" si="28"/>
        <v>Aluminium Valance - Fabric CoveredOutside Window MountAcmeda External Motor</v>
      </c>
      <c r="X587" s="25">
        <v>0</v>
      </c>
      <c r="Y587" s="25" t="s">
        <v>824</v>
      </c>
      <c r="Z587" s="25">
        <v>0</v>
      </c>
      <c r="AA587" s="25" t="s">
        <v>824</v>
      </c>
      <c r="AB587" s="25" t="s">
        <v>821</v>
      </c>
      <c r="AC587" s="25" t="s">
        <v>821</v>
      </c>
      <c r="AE587" s="25" t="s">
        <v>824</v>
      </c>
    </row>
    <row r="588" spans="20:31" ht="14.4">
      <c r="T588" t="s">
        <v>908</v>
      </c>
      <c r="U588" s="25" t="s">
        <v>867</v>
      </c>
      <c r="V588" t="s">
        <v>918</v>
      </c>
      <c r="W588" s="25" t="str">
        <f t="shared" si="28"/>
        <v>Aluminium Valance - Fabric CoveredOutside Window MountAcmeda External 12v Motor</v>
      </c>
      <c r="X588" s="25">
        <v>0</v>
      </c>
      <c r="Y588" s="25" t="s">
        <v>824</v>
      </c>
      <c r="Z588" s="25">
        <v>0</v>
      </c>
      <c r="AA588" s="25" t="s">
        <v>824</v>
      </c>
      <c r="AB588" s="25" t="s">
        <v>821</v>
      </c>
      <c r="AC588" s="25" t="s">
        <v>821</v>
      </c>
      <c r="AD588" s="25" t="s">
        <v>818</v>
      </c>
      <c r="AE588" s="25" t="s">
        <v>824</v>
      </c>
    </row>
    <row r="589" spans="20:31" ht="14.4">
      <c r="T589" t="s">
        <v>908</v>
      </c>
      <c r="U589" s="25" t="s">
        <v>867</v>
      </c>
      <c r="V589" t="s">
        <v>979</v>
      </c>
      <c r="W589" s="25" t="str">
        <f t="shared" si="28"/>
        <v>Aluminium Valance - Fabric CoveredOutside Window MountSomfy External CBUS Motor</v>
      </c>
      <c r="X589" s="25">
        <v>0</v>
      </c>
      <c r="Y589" s="25" t="s">
        <v>824</v>
      </c>
      <c r="Z589" s="25">
        <v>0</v>
      </c>
      <c r="AA589" s="25" t="s">
        <v>824</v>
      </c>
      <c r="AB589" s="25" t="s">
        <v>821</v>
      </c>
      <c r="AC589" s="25" t="s">
        <v>821</v>
      </c>
      <c r="AD589" s="25" t="s">
        <v>818</v>
      </c>
      <c r="AE589" s="25" t="s">
        <v>824</v>
      </c>
    </row>
    <row r="590" spans="20:31" ht="14.4">
      <c r="T590" t="s">
        <v>908</v>
      </c>
      <c r="U590" s="25" t="s">
        <v>867</v>
      </c>
      <c r="V590" t="s">
        <v>983</v>
      </c>
      <c r="W590" s="25" t="str">
        <f t="shared" si="28"/>
        <v>Aluminium Valance - Fabric CoveredOutside Window MountSomfy External Remote Motor</v>
      </c>
      <c r="X590" s="25">
        <v>0</v>
      </c>
      <c r="Y590" s="25" t="s">
        <v>824</v>
      </c>
      <c r="Z590" s="25">
        <v>0</v>
      </c>
      <c r="AA590" s="25" t="s">
        <v>824</v>
      </c>
      <c r="AB590" s="25" t="s">
        <v>821</v>
      </c>
      <c r="AC590" s="25" t="s">
        <v>821</v>
      </c>
      <c r="AD590" s="25" t="s">
        <v>818</v>
      </c>
      <c r="AE590" s="25" t="s">
        <v>824</v>
      </c>
    </row>
    <row r="591" spans="20:31" ht="14.4">
      <c r="T591" t="s">
        <v>908</v>
      </c>
      <c r="U591" s="25" t="s">
        <v>867</v>
      </c>
      <c r="V591" t="s">
        <v>995</v>
      </c>
      <c r="W591" s="25" t="str">
        <f t="shared" si="28"/>
        <v>Aluminium Valance - Fabric CoveredOutside Window MountHD Somfy External CBUS Motor</v>
      </c>
      <c r="X591" s="25">
        <v>0</v>
      </c>
      <c r="Y591" s="25" t="s">
        <v>824</v>
      </c>
      <c r="Z591" s="25">
        <v>0</v>
      </c>
      <c r="AA591" s="25" t="s">
        <v>824</v>
      </c>
      <c r="AB591" s="25" t="s">
        <v>821</v>
      </c>
      <c r="AC591" s="25" t="s">
        <v>821</v>
      </c>
      <c r="AD591" s="25" t="s">
        <v>818</v>
      </c>
      <c r="AE591" s="25" t="s">
        <v>824</v>
      </c>
    </row>
    <row r="592" spans="20:31" ht="14.4">
      <c r="T592" t="s">
        <v>908</v>
      </c>
      <c r="U592" s="25" t="s">
        <v>867</v>
      </c>
      <c r="V592" t="s">
        <v>999</v>
      </c>
      <c r="W592" s="25" t="str">
        <f t="shared" si="28"/>
        <v>Aluminium Valance - Fabric CoveredOutside Window MountHD Somfy External Remote Motor</v>
      </c>
      <c r="X592" s="25">
        <v>0</v>
      </c>
      <c r="Y592" s="25" t="s">
        <v>824</v>
      </c>
      <c r="Z592" s="25">
        <v>0</v>
      </c>
      <c r="AA592" s="25" t="s">
        <v>824</v>
      </c>
      <c r="AB592" s="25" t="s">
        <v>821</v>
      </c>
      <c r="AC592" s="25" t="s">
        <v>821</v>
      </c>
      <c r="AD592" s="25" t="s">
        <v>818</v>
      </c>
      <c r="AE592" s="25" t="s">
        <v>824</v>
      </c>
    </row>
    <row r="593" spans="20:31" ht="14.4">
      <c r="T593" t="s">
        <v>908</v>
      </c>
      <c r="U593" s="25" t="s">
        <v>837</v>
      </c>
      <c r="V593" s="25" t="s">
        <v>823</v>
      </c>
      <c r="W593" s="25" t="str">
        <f t="shared" si="28"/>
        <v>Aluminium Valance - Fabric CoveredRevealChain Winder</v>
      </c>
      <c r="X593" s="25">
        <v>0</v>
      </c>
      <c r="Y593" s="25" t="s">
        <v>824</v>
      </c>
      <c r="Z593" s="25">
        <v>0</v>
      </c>
      <c r="AA593" s="25" t="s">
        <v>824</v>
      </c>
      <c r="AB593" s="25" t="s">
        <v>821</v>
      </c>
      <c r="AC593" s="25" t="s">
        <v>821</v>
      </c>
      <c r="AD593" s="25" t="s">
        <v>818</v>
      </c>
      <c r="AE593" s="25" t="s">
        <v>824</v>
      </c>
    </row>
    <row r="594" spans="20:31" ht="14.4">
      <c r="T594" t="s">
        <v>908</v>
      </c>
      <c r="U594" s="25" t="s">
        <v>837</v>
      </c>
      <c r="V594" s="25" t="s">
        <v>841</v>
      </c>
      <c r="W594" s="25" t="str">
        <f t="shared" si="28"/>
        <v>Aluminium Valance - Fabric CoveredRevealHD Chain Winder</v>
      </c>
      <c r="X594" s="25">
        <v>0</v>
      </c>
      <c r="Y594" s="25" t="s">
        <v>824</v>
      </c>
      <c r="Z594" s="25">
        <v>0</v>
      </c>
      <c r="AA594" s="25" t="s">
        <v>824</v>
      </c>
      <c r="AB594" s="25" t="s">
        <v>821</v>
      </c>
      <c r="AC594" s="25" t="s">
        <v>821</v>
      </c>
      <c r="AD594" s="25" t="s">
        <v>818</v>
      </c>
      <c r="AE594" s="25" t="s">
        <v>824</v>
      </c>
    </row>
    <row r="595" spans="20:31" ht="14.4">
      <c r="T595" t="s">
        <v>908</v>
      </c>
      <c r="U595" s="25" t="s">
        <v>837</v>
      </c>
      <c r="V595" s="25" t="s">
        <v>858</v>
      </c>
      <c r="W595" s="25" t="str">
        <f t="shared" si="28"/>
        <v>Aluminium Valance - Fabric CoveredRevealChain Winder 60mm</v>
      </c>
      <c r="X595" s="25">
        <v>0</v>
      </c>
      <c r="Y595" s="25" t="s">
        <v>824</v>
      </c>
      <c r="Z595" s="25">
        <v>0</v>
      </c>
      <c r="AA595" s="25" t="s">
        <v>824</v>
      </c>
      <c r="AB595" s="25" t="s">
        <v>821</v>
      </c>
      <c r="AC595" s="25" t="s">
        <v>821</v>
      </c>
      <c r="AD595" s="25" t="s">
        <v>818</v>
      </c>
      <c r="AE595" s="25" t="s">
        <v>824</v>
      </c>
    </row>
    <row r="596" spans="20:31" ht="14.4">
      <c r="T596" t="s">
        <v>908</v>
      </c>
      <c r="U596" s="25" t="s">
        <v>837</v>
      </c>
      <c r="V596" s="25" t="s">
        <v>865</v>
      </c>
      <c r="W596" s="25" t="str">
        <f t="shared" si="28"/>
        <v>Aluminium Valance - Fabric CoveredRevealChain Winder Fixed Guide</v>
      </c>
      <c r="X596" s="25">
        <v>0</v>
      </c>
      <c r="Y596" s="25" t="s">
        <v>824</v>
      </c>
      <c r="Z596" s="25">
        <v>0</v>
      </c>
      <c r="AA596" s="25" t="s">
        <v>824</v>
      </c>
      <c r="AB596" s="25" t="s">
        <v>821</v>
      </c>
      <c r="AC596" s="25" t="s">
        <v>821</v>
      </c>
      <c r="AD596" s="25" t="s">
        <v>818</v>
      </c>
      <c r="AE596" s="25" t="s">
        <v>824</v>
      </c>
    </row>
    <row r="597" spans="20:31" ht="14.4">
      <c r="T597" t="s">
        <v>908</v>
      </c>
      <c r="U597" s="25" t="s">
        <v>837</v>
      </c>
      <c r="V597" s="25" t="s">
        <v>181</v>
      </c>
      <c r="W597" s="25" t="str">
        <f t="shared" si="28"/>
        <v>Aluminium Valance - Fabric CoveredRevealLinked</v>
      </c>
      <c r="X597" s="25">
        <v>0</v>
      </c>
      <c r="Y597" s="25" t="s">
        <v>824</v>
      </c>
      <c r="Z597" s="25">
        <v>0</v>
      </c>
      <c r="AA597" s="25" t="s">
        <v>824</v>
      </c>
      <c r="AB597" s="25" t="s">
        <v>821</v>
      </c>
      <c r="AC597" s="25" t="s">
        <v>821</v>
      </c>
      <c r="AD597" s="25" t="s">
        <v>818</v>
      </c>
      <c r="AE597" s="25" t="s">
        <v>824</v>
      </c>
    </row>
    <row r="598" spans="20:31" ht="14.4">
      <c r="T598" t="s">
        <v>908</v>
      </c>
      <c r="U598" s="25" t="s">
        <v>837</v>
      </c>
      <c r="V598" s="25" t="s">
        <v>898</v>
      </c>
      <c r="W598" s="25" t="str">
        <f t="shared" si="28"/>
        <v>Aluminium Valance - Fabric CoveredRevealLinked - HD</v>
      </c>
      <c r="X598" s="25">
        <v>0</v>
      </c>
      <c r="Y598" s="25" t="s">
        <v>824</v>
      </c>
      <c r="Z598" s="25">
        <v>0</v>
      </c>
      <c r="AA598" s="25" t="s">
        <v>824</v>
      </c>
      <c r="AB598" s="25" t="s">
        <v>821</v>
      </c>
      <c r="AC598" s="25" t="s">
        <v>821</v>
      </c>
      <c r="AD598" s="25" t="s">
        <v>818</v>
      </c>
      <c r="AE598" s="25" t="s">
        <v>824</v>
      </c>
    </row>
    <row r="599" spans="20:31" ht="14.4">
      <c r="T599" t="s">
        <v>908</v>
      </c>
      <c r="U599" s="25" t="s">
        <v>837</v>
      </c>
      <c r="V599" s="25" t="s">
        <v>910</v>
      </c>
      <c r="W599" s="25" t="str">
        <f t="shared" si="28"/>
        <v>Aluminium Valance - Fabric CoveredRevealStandard Spring</v>
      </c>
      <c r="X599" s="25">
        <v>0</v>
      </c>
      <c r="Y599" s="25" t="s">
        <v>824</v>
      </c>
      <c r="Z599" s="25">
        <v>0</v>
      </c>
      <c r="AA599" s="25" t="s">
        <v>824</v>
      </c>
      <c r="AB599" s="25" t="s">
        <v>821</v>
      </c>
      <c r="AC599" s="25" t="s">
        <v>821</v>
      </c>
      <c r="AD599" s="25" t="s">
        <v>818</v>
      </c>
      <c r="AE599" s="25" t="s">
        <v>824</v>
      </c>
    </row>
    <row r="600" spans="20:31" ht="14.4">
      <c r="T600" t="s">
        <v>908</v>
      </c>
      <c r="U600" s="25" t="s">
        <v>837</v>
      </c>
      <c r="V600" s="25" t="s">
        <v>920</v>
      </c>
      <c r="W600" s="25" t="str">
        <f t="shared" si="28"/>
        <v>Aluminium Valance - Fabric CoveredRevealSmall Spring</v>
      </c>
      <c r="X600" s="25">
        <v>0</v>
      </c>
      <c r="Y600" s="25" t="s">
        <v>824</v>
      </c>
      <c r="Z600" s="25">
        <v>0</v>
      </c>
      <c r="AA600" s="25" t="s">
        <v>824</v>
      </c>
      <c r="AB600" s="25" t="s">
        <v>821</v>
      </c>
      <c r="AC600" s="25" t="s">
        <v>821</v>
      </c>
      <c r="AD600" s="25" t="s">
        <v>818</v>
      </c>
      <c r="AE600" s="25" t="s">
        <v>824</v>
      </c>
    </row>
    <row r="601" spans="20:31" ht="14.4">
      <c r="T601" t="s">
        <v>908</v>
      </c>
      <c r="U601" s="25" t="s">
        <v>837</v>
      </c>
      <c r="V601" s="25" t="s">
        <v>929</v>
      </c>
      <c r="W601" s="25" t="str">
        <f t="shared" si="28"/>
        <v>Aluminium Valance - Fabric CoveredRevealUniline Spring (Old Style)</v>
      </c>
      <c r="X601" s="25">
        <v>0</v>
      </c>
      <c r="Y601" s="25" t="s">
        <v>824</v>
      </c>
      <c r="Z601" s="25">
        <v>0</v>
      </c>
      <c r="AA601" s="25" t="s">
        <v>824</v>
      </c>
      <c r="AB601" s="25" t="s">
        <v>821</v>
      </c>
      <c r="AC601" s="25" t="s">
        <v>821</v>
      </c>
      <c r="AD601" s="25" t="s">
        <v>818</v>
      </c>
      <c r="AE601" s="25" t="s">
        <v>824</v>
      </c>
    </row>
    <row r="602" spans="20:31" ht="14.4">
      <c r="T602" t="s">
        <v>908</v>
      </c>
      <c r="U602" s="25" t="s">
        <v>837</v>
      </c>
      <c r="V602" s="25" t="s">
        <v>935</v>
      </c>
      <c r="W602" s="25" t="str">
        <f t="shared" si="28"/>
        <v>Aluminium Valance - Fabric CoveredRevealBecker Remote Motor</v>
      </c>
      <c r="X602" s="25">
        <v>0</v>
      </c>
      <c r="Y602" s="25" t="s">
        <v>824</v>
      </c>
      <c r="Z602" s="25">
        <v>0</v>
      </c>
      <c r="AA602" s="25" t="s">
        <v>824</v>
      </c>
      <c r="AB602" s="25" t="s">
        <v>821</v>
      </c>
      <c r="AC602" s="25" t="s">
        <v>821</v>
      </c>
      <c r="AD602" s="25" t="s">
        <v>818</v>
      </c>
      <c r="AE602" s="25" t="s">
        <v>824</v>
      </c>
    </row>
    <row r="603" spans="20:31" ht="14.4">
      <c r="T603" t="s">
        <v>908</v>
      </c>
      <c r="U603" s="25" t="s">
        <v>837</v>
      </c>
      <c r="V603" s="25" t="s">
        <v>939</v>
      </c>
      <c r="W603" s="25" t="str">
        <f t="shared" si="28"/>
        <v>Aluminium Valance - Fabric CoveredRevealBecker CBUS Motor</v>
      </c>
      <c r="X603" s="25">
        <v>0</v>
      </c>
      <c r="Y603" s="25" t="s">
        <v>824</v>
      </c>
      <c r="Z603" s="25">
        <v>0</v>
      </c>
      <c r="AA603" s="25" t="s">
        <v>824</v>
      </c>
      <c r="AB603" s="25" t="s">
        <v>821</v>
      </c>
      <c r="AC603" s="25" t="s">
        <v>821</v>
      </c>
      <c r="AD603" s="25" t="s">
        <v>818</v>
      </c>
      <c r="AE603" s="25" t="s">
        <v>824</v>
      </c>
    </row>
    <row r="604" spans="20:31" ht="14.4">
      <c r="T604" t="s">
        <v>908</v>
      </c>
      <c r="U604" s="25" t="s">
        <v>837</v>
      </c>
      <c r="V604" s="25" t="s">
        <v>946</v>
      </c>
      <c r="W604" s="25" t="str">
        <f t="shared" si="28"/>
        <v>Aluminium Valance - Fabric CoveredRevealBecker External Remote Motor</v>
      </c>
      <c r="X604" s="25">
        <v>0</v>
      </c>
      <c r="Y604" s="25" t="s">
        <v>824</v>
      </c>
      <c r="Z604" s="25">
        <v>0</v>
      </c>
      <c r="AA604" s="25" t="s">
        <v>824</v>
      </c>
      <c r="AB604" s="25" t="s">
        <v>821</v>
      </c>
      <c r="AC604" s="25" t="s">
        <v>821</v>
      </c>
      <c r="AD604" s="25" t="s">
        <v>818</v>
      </c>
      <c r="AE604" s="25" t="s">
        <v>824</v>
      </c>
    </row>
    <row r="605" spans="20:31" ht="14.4">
      <c r="T605" t="s">
        <v>908</v>
      </c>
      <c r="U605" s="25" t="s">
        <v>837</v>
      </c>
      <c r="V605" s="25" t="s">
        <v>951</v>
      </c>
      <c r="W605" s="25" t="str">
        <f t="shared" si="28"/>
        <v>Aluminium Valance - Fabric CoveredRevealBecker External CBUS Motor</v>
      </c>
      <c r="X605" s="25">
        <v>0</v>
      </c>
      <c r="Y605" s="25" t="s">
        <v>824</v>
      </c>
      <c r="Z605" s="25">
        <v>0</v>
      </c>
      <c r="AA605" s="25" t="s">
        <v>824</v>
      </c>
      <c r="AB605" s="25" t="s">
        <v>821</v>
      </c>
      <c r="AC605" s="25" t="s">
        <v>821</v>
      </c>
      <c r="AD605" s="25" t="s">
        <v>818</v>
      </c>
      <c r="AE605" s="25" t="s">
        <v>824</v>
      </c>
    </row>
    <row r="606" spans="20:31" ht="14.4">
      <c r="T606" t="s">
        <v>908</v>
      </c>
      <c r="U606" s="25" t="s">
        <v>837</v>
      </c>
      <c r="V606" s="25" t="s">
        <v>838</v>
      </c>
      <c r="W606" s="25" t="str">
        <f t="shared" si="28"/>
        <v>Aluminium Valance - Fabric CoveredReveal1.1nm 12v Acmeda Motor</v>
      </c>
      <c r="X606" s="25">
        <v>0</v>
      </c>
      <c r="Y606" s="25" t="s">
        <v>824</v>
      </c>
      <c r="Z606" s="25">
        <v>0</v>
      </c>
      <c r="AA606" s="25" t="s">
        <v>824</v>
      </c>
      <c r="AB606" s="25" t="s">
        <v>821</v>
      </c>
      <c r="AC606" s="25" t="s">
        <v>821</v>
      </c>
      <c r="AD606" s="25" t="s">
        <v>818</v>
      </c>
      <c r="AE606" s="25" t="s">
        <v>824</v>
      </c>
    </row>
    <row r="607" spans="20:31" ht="14.4">
      <c r="T607" t="s">
        <v>908</v>
      </c>
      <c r="U607" s="25" t="s">
        <v>837</v>
      </c>
      <c r="V607" t="s">
        <v>882</v>
      </c>
      <c r="W607" s="25" t="str">
        <f t="shared" si="28"/>
        <v>Aluminium Valance - Fabric CoveredReveal2nm 12v Acmeda Motor</v>
      </c>
      <c r="X607" s="25">
        <v>0</v>
      </c>
      <c r="Y607" s="25" t="s">
        <v>824</v>
      </c>
      <c r="Z607" s="25">
        <v>0</v>
      </c>
      <c r="AA607" s="25" t="s">
        <v>824</v>
      </c>
      <c r="AB607" s="25" t="s">
        <v>821</v>
      </c>
      <c r="AC607" s="25" t="s">
        <v>821</v>
      </c>
      <c r="AD607" s="25" t="s">
        <v>818</v>
      </c>
      <c r="AE607" s="25" t="s">
        <v>824</v>
      </c>
    </row>
    <row r="608" spans="20:31" ht="14.4">
      <c r="T608" t="s">
        <v>908</v>
      </c>
      <c r="U608" s="25" t="s">
        <v>837</v>
      </c>
      <c r="V608" t="s">
        <v>896</v>
      </c>
      <c r="W608" s="25" t="str">
        <f t="shared" si="28"/>
        <v>Aluminium Valance - Fabric CoveredRevealAcmeda 12v 6nm Motor</v>
      </c>
      <c r="X608" s="25">
        <v>0</v>
      </c>
      <c r="Y608" s="25" t="s">
        <v>824</v>
      </c>
      <c r="Z608" s="25">
        <v>0</v>
      </c>
      <c r="AA608" s="25" t="s">
        <v>824</v>
      </c>
      <c r="AB608" s="25" t="s">
        <v>821</v>
      </c>
      <c r="AC608" s="25" t="s">
        <v>821</v>
      </c>
      <c r="AD608" s="25" t="s">
        <v>818</v>
      </c>
      <c r="AE608" s="25" t="s">
        <v>824</v>
      </c>
    </row>
    <row r="609" spans="20:31" ht="14.4">
      <c r="T609" t="s">
        <v>908</v>
      </c>
      <c r="U609" s="25" t="s">
        <v>837</v>
      </c>
      <c r="V609" t="s">
        <v>855</v>
      </c>
      <c r="W609" s="25" t="str">
        <f t="shared" si="28"/>
        <v>Aluminium Valance - Fabric CoveredReveal0.7nm 12v Acmeda Motor</v>
      </c>
      <c r="X609" s="25">
        <v>0</v>
      </c>
      <c r="Y609" s="25" t="s">
        <v>824</v>
      </c>
      <c r="Z609" s="25">
        <v>0</v>
      </c>
      <c r="AA609" s="25" t="s">
        <v>824</v>
      </c>
      <c r="AB609" s="25" t="s">
        <v>821</v>
      </c>
      <c r="AC609" s="25" t="s">
        <v>821</v>
      </c>
      <c r="AD609" s="25" t="s">
        <v>818</v>
      </c>
      <c r="AE609" s="25" t="s">
        <v>824</v>
      </c>
    </row>
    <row r="610" spans="20:31" ht="14.4">
      <c r="T610" t="s">
        <v>908</v>
      </c>
      <c r="U610" s="25" t="s">
        <v>837</v>
      </c>
      <c r="V610" s="25" t="s">
        <v>849</v>
      </c>
      <c r="W610" s="25" t="str">
        <f t="shared" si="28"/>
        <v>Aluminium Valance - Fabric CoveredReveal1.1nm 12v Acmeda DCRF Motor with External Battery</v>
      </c>
      <c r="X610" s="25">
        <v>0</v>
      </c>
      <c r="Y610" s="25" t="s">
        <v>824</v>
      </c>
      <c r="Z610" s="25">
        <v>0</v>
      </c>
      <c r="AA610" s="25" t="s">
        <v>824</v>
      </c>
      <c r="AB610" s="25" t="s">
        <v>821</v>
      </c>
      <c r="AC610" s="25" t="s">
        <v>821</v>
      </c>
      <c r="AD610" s="25" t="s">
        <v>818</v>
      </c>
      <c r="AE610" s="25" t="s">
        <v>824</v>
      </c>
    </row>
    <row r="611" spans="20:31" ht="14.4">
      <c r="T611" t="s">
        <v>908</v>
      </c>
      <c r="U611" s="25" t="s">
        <v>837</v>
      </c>
      <c r="V611" s="25" t="s">
        <v>817</v>
      </c>
      <c r="W611" s="25" t="str">
        <f t="shared" si="28"/>
        <v>Aluminium Valance - Fabric CoveredReveal1.1nm 12v Acmeda DCRF Motor</v>
      </c>
      <c r="X611" s="25">
        <v>0</v>
      </c>
      <c r="Y611" s="25" t="s">
        <v>824</v>
      </c>
      <c r="Z611" s="25">
        <v>0</v>
      </c>
      <c r="AA611" s="25" t="s">
        <v>824</v>
      </c>
      <c r="AB611" s="25" t="s">
        <v>821</v>
      </c>
      <c r="AC611" s="25" t="s">
        <v>821</v>
      </c>
      <c r="AD611" s="25" t="s">
        <v>818</v>
      </c>
      <c r="AE611" s="25" t="s">
        <v>824</v>
      </c>
    </row>
    <row r="612" spans="20:31" ht="14.4">
      <c r="T612" t="s">
        <v>908</v>
      </c>
      <c r="U612" s="25" t="s">
        <v>837</v>
      </c>
      <c r="V612" s="25" t="s">
        <v>868</v>
      </c>
      <c r="W612" s="25" t="str">
        <f t="shared" si="28"/>
        <v>Aluminium Valance - Fabric CoveredReveal2nm 12v Acmeda DCRF Motor</v>
      </c>
      <c r="X612" s="25">
        <v>0</v>
      </c>
      <c r="Y612" s="25" t="s">
        <v>824</v>
      </c>
      <c r="Z612" s="25">
        <v>0</v>
      </c>
      <c r="AA612" s="25" t="s">
        <v>824</v>
      </c>
      <c r="AB612" s="25" t="s">
        <v>821</v>
      </c>
      <c r="AC612" s="25" t="s">
        <v>821</v>
      </c>
      <c r="AD612" s="25" t="s">
        <v>818</v>
      </c>
      <c r="AE612" s="25" t="s">
        <v>824</v>
      </c>
    </row>
    <row r="613" spans="20:31" ht="14.4">
      <c r="T613" t="s">
        <v>908</v>
      </c>
      <c r="U613" s="25" t="s">
        <v>837</v>
      </c>
      <c r="V613" t="s">
        <v>973</v>
      </c>
      <c r="W613" s="25" t="str">
        <f t="shared" si="28"/>
        <v>Aluminium Valance - Fabric CoveredRevealSomfy Remote Sonesse Motor</v>
      </c>
      <c r="X613" s="25">
        <v>0</v>
      </c>
      <c r="Y613" s="25" t="s">
        <v>824</v>
      </c>
      <c r="Z613" s="25">
        <v>0</v>
      </c>
      <c r="AA613" s="25" t="s">
        <v>824</v>
      </c>
      <c r="AB613" s="25" t="s">
        <v>821</v>
      </c>
      <c r="AC613" s="25" t="s">
        <v>821</v>
      </c>
      <c r="AD613" s="25" t="s">
        <v>818</v>
      </c>
      <c r="AE613" s="25" t="s">
        <v>824</v>
      </c>
    </row>
    <row r="614" spans="20:31" ht="14.4">
      <c r="T614" t="s">
        <v>908</v>
      </c>
      <c r="U614" s="25" t="s">
        <v>837</v>
      </c>
      <c r="V614" t="s">
        <v>637</v>
      </c>
      <c r="W614" s="25" t="str">
        <f t="shared" si="28"/>
        <v>Aluminium Valance - Fabric CoveredRevealSomfy 12v Remote Sonesse Motor</v>
      </c>
      <c r="X614" s="25">
        <v>0</v>
      </c>
      <c r="Y614" s="25" t="s">
        <v>824</v>
      </c>
      <c r="Z614" s="25">
        <v>0</v>
      </c>
      <c r="AA614" s="25" t="s">
        <v>824</v>
      </c>
      <c r="AB614" s="25" t="s">
        <v>821</v>
      </c>
      <c r="AC614" s="25" t="s">
        <v>821</v>
      </c>
      <c r="AD614" s="25" t="s">
        <v>818</v>
      </c>
      <c r="AE614" s="25" t="s">
        <v>824</v>
      </c>
    </row>
    <row r="615" spans="20:31" ht="14.4">
      <c r="T615" t="s">
        <v>908</v>
      </c>
      <c r="U615" s="25" t="s">
        <v>837</v>
      </c>
      <c r="V615" s="25" t="s">
        <v>974</v>
      </c>
      <c r="W615" s="25" t="str">
        <f t="shared" si="28"/>
        <v>Aluminium Valance - Fabric CoveredRevealSomfy CBUS Motor</v>
      </c>
      <c r="X615" s="25">
        <v>0</v>
      </c>
      <c r="Y615" s="25" t="s">
        <v>824</v>
      </c>
      <c r="Z615" s="25">
        <v>0</v>
      </c>
      <c r="AA615" s="25" t="s">
        <v>824</v>
      </c>
      <c r="AB615" s="25" t="s">
        <v>821</v>
      </c>
      <c r="AC615" s="25" t="s">
        <v>821</v>
      </c>
      <c r="AD615" s="25" t="s">
        <v>818</v>
      </c>
      <c r="AE615" s="25" t="s">
        <v>824</v>
      </c>
    </row>
    <row r="616" spans="20:31" ht="14.4">
      <c r="T616" t="s">
        <v>908</v>
      </c>
      <c r="U616" s="25" t="s">
        <v>837</v>
      </c>
      <c r="V616" t="s">
        <v>986</v>
      </c>
      <c r="W616" s="25" t="str">
        <f t="shared" si="28"/>
        <v>Aluminium Valance - Fabric CoveredRevealHD Somfy Remote Sonesse Motor</v>
      </c>
      <c r="X616" s="25">
        <v>0</v>
      </c>
      <c r="Y616" s="25" t="s">
        <v>824</v>
      </c>
      <c r="Z616" s="25">
        <v>0</v>
      </c>
      <c r="AA616" s="25" t="s">
        <v>824</v>
      </c>
      <c r="AB616" s="25" t="s">
        <v>821</v>
      </c>
      <c r="AC616" s="25" t="s">
        <v>821</v>
      </c>
      <c r="AD616" s="25" t="s">
        <v>818</v>
      </c>
      <c r="AE616" s="25" t="s">
        <v>824</v>
      </c>
    </row>
    <row r="617" spans="20:31" ht="14.4">
      <c r="T617" t="s">
        <v>908</v>
      </c>
      <c r="U617" s="25" t="s">
        <v>837</v>
      </c>
      <c r="V617" t="s">
        <v>989</v>
      </c>
      <c r="W617" s="25" t="str">
        <f t="shared" si="28"/>
        <v>Aluminium Valance - Fabric CoveredRevealHD Somfy 12v Remote Sonesse Motor</v>
      </c>
      <c r="X617" s="25">
        <v>0</v>
      </c>
      <c r="Y617" s="25" t="s">
        <v>824</v>
      </c>
      <c r="Z617" s="25">
        <v>0</v>
      </c>
      <c r="AA617" s="25" t="s">
        <v>824</v>
      </c>
      <c r="AB617" s="25" t="s">
        <v>821</v>
      </c>
      <c r="AC617" s="25" t="s">
        <v>821</v>
      </c>
      <c r="AD617" s="25" t="s">
        <v>818</v>
      </c>
      <c r="AE617" s="25" t="s">
        <v>824</v>
      </c>
    </row>
    <row r="618" spans="20:31" ht="14.4">
      <c r="T618" t="s">
        <v>908</v>
      </c>
      <c r="U618" s="25" t="s">
        <v>837</v>
      </c>
      <c r="V618" s="25" t="s">
        <v>992</v>
      </c>
      <c r="W618" s="25" t="str">
        <f t="shared" si="28"/>
        <v>Aluminium Valance - Fabric CoveredRevealHD Somfy CBUS Motor</v>
      </c>
      <c r="X618" s="25">
        <v>0</v>
      </c>
      <c r="Y618" s="25" t="s">
        <v>824</v>
      </c>
      <c r="Z618" s="25">
        <v>0</v>
      </c>
      <c r="AA618" s="25" t="s">
        <v>824</v>
      </c>
      <c r="AB618" s="25" t="s">
        <v>821</v>
      </c>
      <c r="AC618" s="25" t="s">
        <v>821</v>
      </c>
      <c r="AD618" s="25" t="s">
        <v>818</v>
      </c>
      <c r="AE618" s="25" t="s">
        <v>824</v>
      </c>
    </row>
    <row r="619" spans="20:31" ht="14.4">
      <c r="T619" t="s">
        <v>908</v>
      </c>
      <c r="U619" s="25" t="s">
        <v>837</v>
      </c>
      <c r="V619" s="25" t="s">
        <v>625</v>
      </c>
      <c r="W619" s="25" t="str">
        <f t="shared" si="28"/>
        <v>Aluminium Valance - Fabric CoveredRevealAcmeda E6 Motor</v>
      </c>
      <c r="X619" s="25">
        <v>0</v>
      </c>
      <c r="Y619" s="25" t="s">
        <v>824</v>
      </c>
      <c r="Z619" s="25">
        <v>0</v>
      </c>
      <c r="AA619" s="25" t="s">
        <v>824</v>
      </c>
      <c r="AB619" s="25" t="s">
        <v>821</v>
      </c>
      <c r="AC619" s="25" t="s">
        <v>821</v>
      </c>
      <c r="AD619" s="25" t="s">
        <v>818</v>
      </c>
      <c r="AE619" s="25" t="s">
        <v>824</v>
      </c>
    </row>
    <row r="620" spans="20:31" ht="14.4">
      <c r="T620" t="s">
        <v>908</v>
      </c>
      <c r="U620" s="25" t="s">
        <v>837</v>
      </c>
      <c r="V620" s="25" t="s">
        <v>626</v>
      </c>
      <c r="W620" s="25" t="str">
        <f t="shared" si="28"/>
        <v>Aluminium Valance - Fabric CoveredRevealAcmeda M6 Motor</v>
      </c>
      <c r="X620" s="25">
        <v>0</v>
      </c>
      <c r="Y620" s="25" t="s">
        <v>824</v>
      </c>
      <c r="Z620" s="25">
        <v>0</v>
      </c>
      <c r="AA620" s="25" t="s">
        <v>824</v>
      </c>
      <c r="AB620" s="25" t="s">
        <v>821</v>
      </c>
      <c r="AC620" s="25" t="s">
        <v>821</v>
      </c>
      <c r="AD620" s="25" t="s">
        <v>818</v>
      </c>
      <c r="AE620" s="25" t="s">
        <v>824</v>
      </c>
    </row>
    <row r="621" spans="20:31" ht="14.4">
      <c r="T621" t="s">
        <v>908</v>
      </c>
      <c r="U621" s="25" t="s">
        <v>837</v>
      </c>
      <c r="V621" s="25" t="s">
        <v>1002</v>
      </c>
      <c r="W621" s="25" t="str">
        <f t="shared" si="28"/>
        <v>Aluminium Valance - Fabric CoveredRevealUniline Remote Motor</v>
      </c>
      <c r="X621" s="25">
        <v>0</v>
      </c>
      <c r="Y621" s="25" t="s">
        <v>824</v>
      </c>
      <c r="Z621" s="25">
        <v>0</v>
      </c>
      <c r="AA621" s="25" t="s">
        <v>824</v>
      </c>
      <c r="AB621" s="25" t="s">
        <v>821</v>
      </c>
      <c r="AC621" s="25" t="s">
        <v>821</v>
      </c>
      <c r="AD621" s="25" t="s">
        <v>818</v>
      </c>
      <c r="AE621" s="25" t="s">
        <v>824</v>
      </c>
    </row>
    <row r="622" spans="20:31" ht="14.4">
      <c r="T622" t="s">
        <v>908</v>
      </c>
      <c r="U622" s="25" t="s">
        <v>837</v>
      </c>
      <c r="V622" s="25" t="s">
        <v>1005</v>
      </c>
      <c r="W622" s="25" t="str">
        <f t="shared" si="28"/>
        <v>Aluminium Valance - Fabric CoveredRevealUniline Cbus Motor</v>
      </c>
      <c r="X622" s="25">
        <v>0</v>
      </c>
      <c r="Y622" s="25" t="s">
        <v>824</v>
      </c>
      <c r="Z622" s="25">
        <v>0</v>
      </c>
      <c r="AA622" s="25" t="s">
        <v>824</v>
      </c>
      <c r="AB622" s="25" t="s">
        <v>821</v>
      </c>
      <c r="AC622" s="25" t="s">
        <v>821</v>
      </c>
      <c r="AD622" s="25" t="s">
        <v>818</v>
      </c>
      <c r="AE622" s="25" t="s">
        <v>824</v>
      </c>
    </row>
    <row r="623" spans="20:31" ht="14.4">
      <c r="T623" t="s">
        <v>908</v>
      </c>
      <c r="U623" s="25" t="s">
        <v>837</v>
      </c>
      <c r="V623" s="25" t="s">
        <v>981</v>
      </c>
      <c r="W623" s="25" t="str">
        <f t="shared" si="28"/>
        <v>Aluminium Valance - Fabric CoveredRevealNice Remote Motor</v>
      </c>
      <c r="X623" s="25">
        <v>0</v>
      </c>
      <c r="Y623" s="25" t="s">
        <v>824</v>
      </c>
      <c r="Z623" s="25">
        <v>0</v>
      </c>
      <c r="AA623" s="25" t="s">
        <v>824</v>
      </c>
      <c r="AB623" s="25" t="s">
        <v>821</v>
      </c>
      <c r="AC623" s="25" t="s">
        <v>821</v>
      </c>
      <c r="AD623" s="25" t="s">
        <v>818</v>
      </c>
      <c r="AE623" s="25" t="s">
        <v>824</v>
      </c>
    </row>
    <row r="624" spans="20:31" ht="14.4">
      <c r="T624" t="s">
        <v>908</v>
      </c>
      <c r="U624" s="25" t="s">
        <v>837</v>
      </c>
      <c r="V624" s="25" t="s">
        <v>976</v>
      </c>
      <c r="W624" s="25" t="str">
        <f t="shared" si="28"/>
        <v>Aluminium Valance - Fabric CoveredRevealNice CBus Motor</v>
      </c>
      <c r="X624" s="25">
        <v>0</v>
      </c>
      <c r="Y624" s="25" t="s">
        <v>824</v>
      </c>
      <c r="Z624" s="25">
        <v>0</v>
      </c>
      <c r="AA624" s="25" t="s">
        <v>824</v>
      </c>
      <c r="AB624" s="25" t="s">
        <v>821</v>
      </c>
      <c r="AC624" s="25" t="s">
        <v>821</v>
      </c>
      <c r="AD624" s="25" t="s">
        <v>818</v>
      </c>
      <c r="AE624" s="25" t="s">
        <v>824</v>
      </c>
    </row>
    <row r="625" spans="20:31" ht="14.4">
      <c r="T625" t="s">
        <v>908</v>
      </c>
      <c r="U625" s="25" t="s">
        <v>837</v>
      </c>
      <c r="V625" t="s">
        <v>1006</v>
      </c>
      <c r="W625" s="25" t="str">
        <f t="shared" si="28"/>
        <v>Aluminium Valance - Fabric CoveredRevealSunboss Chain Winder 38mm Tube</v>
      </c>
      <c r="X625" s="25">
        <v>0</v>
      </c>
      <c r="Y625" s="25" t="s">
        <v>824</v>
      </c>
      <c r="Z625" s="25">
        <v>0</v>
      </c>
      <c r="AA625" s="25" t="s">
        <v>824</v>
      </c>
      <c r="AB625" s="25" t="s">
        <v>821</v>
      </c>
      <c r="AC625" s="25" t="s">
        <v>821</v>
      </c>
      <c r="AD625" s="25" t="s">
        <v>818</v>
      </c>
      <c r="AE625" s="25" t="s">
        <v>824</v>
      </c>
    </row>
    <row r="626" spans="20:31" ht="14.4">
      <c r="T626" t="s">
        <v>908</v>
      </c>
      <c r="U626" s="25" t="s">
        <v>837</v>
      </c>
      <c r="V626" t="s">
        <v>1017</v>
      </c>
      <c r="W626" s="25" t="str">
        <f t="shared" si="28"/>
        <v>Aluminium Valance - Fabric CoveredRevealSunboss Chain Winder 43mm Tube</v>
      </c>
      <c r="X626" s="25">
        <v>0</v>
      </c>
      <c r="Y626" s="25" t="s">
        <v>824</v>
      </c>
      <c r="Z626" s="25">
        <v>0</v>
      </c>
      <c r="AA626" s="25" t="s">
        <v>824</v>
      </c>
      <c r="AB626" s="25" t="s">
        <v>821</v>
      </c>
      <c r="AC626" s="25" t="s">
        <v>821</v>
      </c>
      <c r="AD626" s="25" t="s">
        <v>818</v>
      </c>
      <c r="AE626" s="25" t="s">
        <v>824</v>
      </c>
    </row>
    <row r="627" spans="20:31" ht="14.4">
      <c r="T627" t="s">
        <v>908</v>
      </c>
      <c r="U627" s="25" t="s">
        <v>837</v>
      </c>
      <c r="V627" s="25" t="s">
        <v>1012</v>
      </c>
      <c r="W627" s="25" t="str">
        <f t="shared" si="28"/>
        <v>Aluminium Valance - Fabric CoveredRevealTBS Remote Motor</v>
      </c>
      <c r="X627" s="25">
        <v>0</v>
      </c>
      <c r="Y627" s="25" t="s">
        <v>824</v>
      </c>
      <c r="Z627" s="25">
        <v>0</v>
      </c>
      <c r="AA627" s="25" t="s">
        <v>824</v>
      </c>
      <c r="AB627" s="25" t="s">
        <v>821</v>
      </c>
      <c r="AC627" s="25" t="s">
        <v>821</v>
      </c>
      <c r="AD627" s="25" t="s">
        <v>818</v>
      </c>
      <c r="AE627" s="25" t="s">
        <v>824</v>
      </c>
    </row>
    <row r="628" spans="20:31" ht="14.4">
      <c r="T628" t="s">
        <v>908</v>
      </c>
      <c r="U628" s="25" t="s">
        <v>837</v>
      </c>
      <c r="V628" t="s">
        <v>1009</v>
      </c>
      <c r="W628" s="25" t="str">
        <f t="shared" si="28"/>
        <v>Aluminium Valance - Fabric CoveredRevealTBS Cbus Motor</v>
      </c>
      <c r="X628" s="25">
        <v>0</v>
      </c>
      <c r="Y628" s="25" t="s">
        <v>824</v>
      </c>
      <c r="Z628" s="25">
        <v>0</v>
      </c>
      <c r="AA628" s="25" t="s">
        <v>824</v>
      </c>
      <c r="AB628" s="25" t="s">
        <v>821</v>
      </c>
      <c r="AC628" s="25" t="s">
        <v>821</v>
      </c>
      <c r="AD628" s="25" t="s">
        <v>818</v>
      </c>
      <c r="AE628" s="25" t="s">
        <v>824</v>
      </c>
    </row>
    <row r="629" spans="20:31" ht="14.4">
      <c r="T629" t="s">
        <v>908</v>
      </c>
      <c r="U629" s="25" t="s">
        <v>837</v>
      </c>
      <c r="V629" t="s">
        <v>927</v>
      </c>
      <c r="W629" s="25" t="str">
        <f t="shared" si="28"/>
        <v>Aluminium Valance - Fabric CoveredRevealAcmeda External Motor</v>
      </c>
      <c r="X629" s="25">
        <v>0</v>
      </c>
      <c r="Y629" s="25" t="s">
        <v>824</v>
      </c>
      <c r="Z629" s="25">
        <v>0</v>
      </c>
      <c r="AA629" s="25" t="s">
        <v>824</v>
      </c>
      <c r="AB629" s="25" t="s">
        <v>821</v>
      </c>
      <c r="AC629" s="25" t="s">
        <v>821</v>
      </c>
      <c r="AD629" s="25" t="s">
        <v>818</v>
      </c>
      <c r="AE629" s="25" t="s">
        <v>824</v>
      </c>
    </row>
    <row r="630" spans="20:31" ht="14.4">
      <c r="T630" t="s">
        <v>908</v>
      </c>
      <c r="U630" s="25" t="s">
        <v>837</v>
      </c>
      <c r="V630" t="s">
        <v>918</v>
      </c>
      <c r="W630" s="25" t="str">
        <f t="shared" si="28"/>
        <v>Aluminium Valance - Fabric CoveredRevealAcmeda External 12v Motor</v>
      </c>
      <c r="X630" s="25">
        <v>0</v>
      </c>
      <c r="Y630" s="25" t="s">
        <v>824</v>
      </c>
      <c r="Z630" s="25">
        <v>0</v>
      </c>
      <c r="AA630" s="25" t="s">
        <v>824</v>
      </c>
      <c r="AB630" s="25" t="s">
        <v>821</v>
      </c>
      <c r="AC630" s="25" t="s">
        <v>821</v>
      </c>
      <c r="AD630" s="25" t="s">
        <v>818</v>
      </c>
      <c r="AE630" s="25" t="s">
        <v>824</v>
      </c>
    </row>
    <row r="631" spans="20:31" ht="14.4">
      <c r="T631" t="s">
        <v>908</v>
      </c>
      <c r="U631" s="25" t="s">
        <v>837</v>
      </c>
      <c r="V631" t="s">
        <v>979</v>
      </c>
      <c r="W631" s="25" t="str">
        <f t="shared" si="28"/>
        <v>Aluminium Valance - Fabric CoveredRevealSomfy External CBUS Motor</v>
      </c>
      <c r="X631" s="25">
        <v>0</v>
      </c>
      <c r="Y631" s="25" t="s">
        <v>824</v>
      </c>
      <c r="Z631" s="25">
        <v>0</v>
      </c>
      <c r="AA631" s="25" t="s">
        <v>824</v>
      </c>
      <c r="AB631" s="25" t="s">
        <v>821</v>
      </c>
      <c r="AC631" s="25" t="s">
        <v>821</v>
      </c>
      <c r="AD631" s="25" t="s">
        <v>818</v>
      </c>
      <c r="AE631" s="25" t="s">
        <v>824</v>
      </c>
    </row>
    <row r="632" spans="20:31" ht="14.4">
      <c r="T632" t="s">
        <v>908</v>
      </c>
      <c r="U632" s="25" t="s">
        <v>837</v>
      </c>
      <c r="V632" t="s">
        <v>983</v>
      </c>
      <c r="W632" s="25" t="str">
        <f t="shared" si="28"/>
        <v>Aluminium Valance - Fabric CoveredRevealSomfy External Remote Motor</v>
      </c>
      <c r="X632" s="25">
        <v>0</v>
      </c>
      <c r="Y632" s="25" t="s">
        <v>824</v>
      </c>
      <c r="Z632" s="25">
        <v>0</v>
      </c>
      <c r="AA632" s="25" t="s">
        <v>824</v>
      </c>
      <c r="AB632" s="25" t="s">
        <v>821</v>
      </c>
      <c r="AC632" s="25" t="s">
        <v>821</v>
      </c>
      <c r="AD632" s="25" t="s">
        <v>818</v>
      </c>
      <c r="AE632" s="25" t="s">
        <v>824</v>
      </c>
    </row>
    <row r="633" spans="20:31" ht="14.4">
      <c r="T633" t="s">
        <v>908</v>
      </c>
      <c r="U633" s="25" t="s">
        <v>837</v>
      </c>
      <c r="V633" t="s">
        <v>995</v>
      </c>
      <c r="W633" s="25" t="str">
        <f t="shared" si="28"/>
        <v>Aluminium Valance - Fabric CoveredRevealHD Somfy External CBUS Motor</v>
      </c>
      <c r="X633" s="25">
        <v>0</v>
      </c>
      <c r="Y633" s="25" t="s">
        <v>824</v>
      </c>
      <c r="Z633" s="25">
        <v>0</v>
      </c>
      <c r="AA633" s="25" t="s">
        <v>824</v>
      </c>
      <c r="AB633" s="25" t="s">
        <v>821</v>
      </c>
      <c r="AC633" s="25" t="s">
        <v>821</v>
      </c>
      <c r="AD633" s="25" t="s">
        <v>818</v>
      </c>
      <c r="AE633" s="25" t="s">
        <v>824</v>
      </c>
    </row>
    <row r="634" spans="20:31" ht="14.4">
      <c r="T634" t="s">
        <v>908</v>
      </c>
      <c r="U634" s="25" t="s">
        <v>837</v>
      </c>
      <c r="V634" t="s">
        <v>999</v>
      </c>
      <c r="W634" s="25" t="str">
        <f t="shared" si="28"/>
        <v>Aluminium Valance - Fabric CoveredRevealHD Somfy External Remote Motor</v>
      </c>
      <c r="X634" s="25">
        <v>0</v>
      </c>
      <c r="Y634" s="25" t="s">
        <v>824</v>
      </c>
      <c r="Z634" s="25">
        <v>0</v>
      </c>
      <c r="AA634" s="25" t="s">
        <v>824</v>
      </c>
      <c r="AB634" s="25" t="s">
        <v>821</v>
      </c>
      <c r="AC634" s="25" t="s">
        <v>821</v>
      </c>
      <c r="AD634" s="25" t="s">
        <v>818</v>
      </c>
      <c r="AE634" s="25" t="s">
        <v>824</v>
      </c>
    </row>
    <row r="635" spans="20:31" ht="14.4">
      <c r="T635" s="25" t="s">
        <v>248</v>
      </c>
      <c r="U635" s="25" t="s">
        <v>816</v>
      </c>
      <c r="V635" s="25" t="s">
        <v>823</v>
      </c>
      <c r="W635" s="25" t="str">
        <f t="shared" si="28"/>
        <v>Mounting RailFaceChain Winder</v>
      </c>
      <c r="X635" s="25">
        <v>0</v>
      </c>
      <c r="Y635" s="25" t="s">
        <v>824</v>
      </c>
      <c r="Z635" s="25" t="s">
        <v>824</v>
      </c>
      <c r="AA635" s="25" t="s">
        <v>824</v>
      </c>
      <c r="AB635" s="25" t="s">
        <v>824</v>
      </c>
      <c r="AC635" s="25" t="s">
        <v>824</v>
      </c>
      <c r="AD635" s="25" t="s">
        <v>818</v>
      </c>
      <c r="AE635" s="25" t="s">
        <v>824</v>
      </c>
    </row>
    <row r="636" spans="20:31" ht="14.4">
      <c r="T636" s="25" t="s">
        <v>832</v>
      </c>
      <c r="U636" s="25" t="s">
        <v>816</v>
      </c>
      <c r="V636" s="25" t="s">
        <v>823</v>
      </c>
      <c r="W636" s="25" t="str">
        <f t="shared" si="28"/>
        <v>NoneFaceChain Winder</v>
      </c>
      <c r="X636" s="25">
        <v>0</v>
      </c>
      <c r="Y636" s="25" t="s">
        <v>824</v>
      </c>
      <c r="Z636" s="25" t="s">
        <v>824</v>
      </c>
      <c r="AA636" s="25" t="s">
        <v>824</v>
      </c>
      <c r="AB636" s="25" t="s">
        <v>824</v>
      </c>
      <c r="AC636" s="25" t="s">
        <v>821</v>
      </c>
      <c r="AD636" s="25" t="s">
        <v>824</v>
      </c>
      <c r="AE636" s="25" t="s">
        <v>824</v>
      </c>
    </row>
    <row r="637" spans="20:31" ht="14.4">
      <c r="T637" s="25" t="s">
        <v>832</v>
      </c>
      <c r="U637" s="25" t="s">
        <v>816</v>
      </c>
      <c r="V637" s="25" t="s">
        <v>841</v>
      </c>
      <c r="W637" s="25" t="str">
        <f t="shared" si="28"/>
        <v>NoneFaceHD Chain Winder</v>
      </c>
      <c r="X637" s="25">
        <v>0</v>
      </c>
      <c r="Y637" s="25" t="s">
        <v>824</v>
      </c>
      <c r="Z637" s="25" t="s">
        <v>824</v>
      </c>
      <c r="AA637" s="25" t="s">
        <v>824</v>
      </c>
      <c r="AB637" s="25" t="s">
        <v>824</v>
      </c>
      <c r="AC637" s="25" t="s">
        <v>821</v>
      </c>
      <c r="AD637" s="25" t="s">
        <v>824</v>
      </c>
      <c r="AE637" s="25" t="s">
        <v>824</v>
      </c>
    </row>
    <row r="638" spans="20:31" ht="14.4">
      <c r="T638" s="25" t="s">
        <v>832</v>
      </c>
      <c r="U638" s="25" t="s">
        <v>816</v>
      </c>
      <c r="V638" s="25" t="s">
        <v>858</v>
      </c>
      <c r="W638" s="25" t="str">
        <f t="shared" si="28"/>
        <v>NoneFaceChain Winder 60mm</v>
      </c>
      <c r="X638" s="25">
        <v>0</v>
      </c>
      <c r="Y638" s="25" t="s">
        <v>824</v>
      </c>
      <c r="Z638" s="25" t="s">
        <v>824</v>
      </c>
      <c r="AA638" s="25" t="s">
        <v>824</v>
      </c>
      <c r="AB638" s="25" t="s">
        <v>824</v>
      </c>
      <c r="AC638" s="25" t="s">
        <v>821</v>
      </c>
      <c r="AD638" s="25" t="s">
        <v>824</v>
      </c>
      <c r="AE638" s="25" t="s">
        <v>824</v>
      </c>
    </row>
    <row r="639" spans="20:31" ht="14.4">
      <c r="T639" s="25" t="s">
        <v>832</v>
      </c>
      <c r="U639" s="25" t="s">
        <v>816</v>
      </c>
      <c r="V639" s="25" t="s">
        <v>865</v>
      </c>
      <c r="W639" s="25" t="str">
        <f t="shared" si="28"/>
        <v>NoneFaceChain Winder Fixed Guide</v>
      </c>
      <c r="X639" s="25">
        <v>0</v>
      </c>
      <c r="Y639" s="25" t="s">
        <v>824</v>
      </c>
      <c r="Z639" s="25" t="s">
        <v>824</v>
      </c>
      <c r="AA639" s="25" t="s">
        <v>824</v>
      </c>
      <c r="AB639" s="25" t="s">
        <v>824</v>
      </c>
      <c r="AC639" s="25" t="s">
        <v>821</v>
      </c>
      <c r="AD639" s="25" t="s">
        <v>824</v>
      </c>
      <c r="AE639" s="25" t="s">
        <v>824</v>
      </c>
    </row>
    <row r="640" spans="20:31" ht="14.4">
      <c r="T640" s="25" t="s">
        <v>832</v>
      </c>
      <c r="U640" s="25" t="s">
        <v>816</v>
      </c>
      <c r="V640" s="25" t="s">
        <v>181</v>
      </c>
      <c r="W640" s="25" t="str">
        <f t="shared" si="28"/>
        <v>NoneFaceLinked</v>
      </c>
      <c r="X640" s="25">
        <v>0</v>
      </c>
      <c r="Y640" s="25" t="s">
        <v>824</v>
      </c>
      <c r="Z640" s="25" t="s">
        <v>824</v>
      </c>
      <c r="AA640" s="25" t="s">
        <v>824</v>
      </c>
      <c r="AB640" s="25" t="s">
        <v>824</v>
      </c>
      <c r="AC640" s="25" t="s">
        <v>821</v>
      </c>
      <c r="AD640" s="25" t="s">
        <v>824</v>
      </c>
      <c r="AE640" s="25" t="s">
        <v>824</v>
      </c>
    </row>
    <row r="641" spans="20:31" ht="14.4">
      <c r="T641" s="25" t="s">
        <v>832</v>
      </c>
      <c r="U641" s="25" t="s">
        <v>816</v>
      </c>
      <c r="V641" s="25" t="s">
        <v>898</v>
      </c>
      <c r="W641" s="25" t="str">
        <f t="shared" si="28"/>
        <v>NoneFaceLinked - HD</v>
      </c>
      <c r="X641" s="25">
        <v>0</v>
      </c>
      <c r="Y641" s="25" t="s">
        <v>824</v>
      </c>
      <c r="Z641" s="25" t="s">
        <v>824</v>
      </c>
      <c r="AA641" s="25" t="s">
        <v>824</v>
      </c>
      <c r="AB641" s="25" t="s">
        <v>824</v>
      </c>
      <c r="AC641" s="25" t="s">
        <v>821</v>
      </c>
      <c r="AD641" s="25" t="s">
        <v>824</v>
      </c>
      <c r="AE641" s="25" t="s">
        <v>824</v>
      </c>
    </row>
    <row r="642" spans="20:31" ht="14.4">
      <c r="T642" s="25" t="s">
        <v>832</v>
      </c>
      <c r="U642" s="25" t="s">
        <v>816</v>
      </c>
      <c r="V642" s="25" t="s">
        <v>925</v>
      </c>
      <c r="W642" s="25" t="str">
        <f t="shared" si="28"/>
        <v>NoneFaceLinked 60mm</v>
      </c>
      <c r="X642" s="25">
        <v>0</v>
      </c>
      <c r="Y642" s="25" t="s">
        <v>824</v>
      </c>
      <c r="Z642" s="25" t="s">
        <v>824</v>
      </c>
      <c r="AA642" s="25" t="s">
        <v>824</v>
      </c>
      <c r="AB642" s="25" t="s">
        <v>824</v>
      </c>
      <c r="AC642" s="25" t="s">
        <v>821</v>
      </c>
      <c r="AD642" s="25" t="s">
        <v>824</v>
      </c>
      <c r="AE642" s="25" t="s">
        <v>824</v>
      </c>
    </row>
    <row r="643" spans="20:31" ht="14.4">
      <c r="T643" s="25" t="s">
        <v>832</v>
      </c>
      <c r="U643" s="25" t="s">
        <v>816</v>
      </c>
      <c r="V643" s="25" t="s">
        <v>910</v>
      </c>
      <c r="W643" s="25" t="str">
        <f t="shared" si="29" ref="W643:W706">CONCATENATE(T643,U643,V643)</f>
        <v>NoneFaceStandard Spring</v>
      </c>
      <c r="X643" s="25">
        <v>0</v>
      </c>
      <c r="Y643" s="25" t="s">
        <v>824</v>
      </c>
      <c r="Z643" s="25" t="s">
        <v>824</v>
      </c>
      <c r="AA643" s="25" t="s">
        <v>824</v>
      </c>
      <c r="AB643" s="25" t="s">
        <v>824</v>
      </c>
      <c r="AC643" s="25" t="s">
        <v>821</v>
      </c>
      <c r="AD643" s="25" t="s">
        <v>824</v>
      </c>
      <c r="AE643" s="25" t="s">
        <v>824</v>
      </c>
    </row>
    <row r="644" spans="20:31" ht="14.4">
      <c r="T644" s="25" t="s">
        <v>832</v>
      </c>
      <c r="U644" s="25" t="s">
        <v>816</v>
      </c>
      <c r="V644" s="25" t="s">
        <v>920</v>
      </c>
      <c r="W644" s="25" t="str">
        <f t="shared" si="29"/>
        <v>NoneFaceSmall Spring</v>
      </c>
      <c r="X644" s="25">
        <v>0</v>
      </c>
      <c r="Y644" s="25" t="s">
        <v>824</v>
      </c>
      <c r="Z644" s="25" t="s">
        <v>824</v>
      </c>
      <c r="AA644" s="25" t="s">
        <v>824</v>
      </c>
      <c r="AB644" s="25" t="s">
        <v>824</v>
      </c>
      <c r="AC644" s="25" t="s">
        <v>821</v>
      </c>
      <c r="AD644" s="25" t="s">
        <v>824</v>
      </c>
      <c r="AE644" s="25" t="s">
        <v>824</v>
      </c>
    </row>
    <row r="645" spans="20:31" ht="14.4">
      <c r="T645" s="25" t="s">
        <v>832</v>
      </c>
      <c r="U645" s="25" t="s">
        <v>816</v>
      </c>
      <c r="V645" s="25" t="s">
        <v>929</v>
      </c>
      <c r="W645" s="25" t="str">
        <f t="shared" si="29"/>
        <v>NoneFaceUniline Spring (Old Style)</v>
      </c>
      <c r="X645" s="25">
        <v>0</v>
      </c>
      <c r="Y645" s="25" t="s">
        <v>824</v>
      </c>
      <c r="Z645" s="25" t="s">
        <v>824</v>
      </c>
      <c r="AA645" s="25" t="s">
        <v>824</v>
      </c>
      <c r="AB645" s="25" t="s">
        <v>824</v>
      </c>
      <c r="AC645" s="25" t="s">
        <v>821</v>
      </c>
      <c r="AD645" s="25" t="s">
        <v>824</v>
      </c>
      <c r="AE645" s="25" t="s">
        <v>824</v>
      </c>
    </row>
    <row r="646" spans="20:31" ht="14.4">
      <c r="T646" s="25" t="s">
        <v>832</v>
      </c>
      <c r="U646" s="25" t="s">
        <v>816</v>
      </c>
      <c r="V646" s="25" t="s">
        <v>935</v>
      </c>
      <c r="W646" s="25" t="str">
        <f t="shared" si="29"/>
        <v>NoneFaceBecker Remote Motor</v>
      </c>
      <c r="X646" s="25">
        <v>0</v>
      </c>
      <c r="Y646" s="25" t="s">
        <v>824</v>
      </c>
      <c r="Z646" s="25" t="s">
        <v>824</v>
      </c>
      <c r="AA646" s="25" t="s">
        <v>824</v>
      </c>
      <c r="AB646" s="25" t="s">
        <v>824</v>
      </c>
      <c r="AC646" s="25" t="s">
        <v>821</v>
      </c>
      <c r="AD646" s="25" t="s">
        <v>824</v>
      </c>
      <c r="AE646" s="25" t="s">
        <v>824</v>
      </c>
    </row>
    <row r="647" spans="20:31" ht="14.4">
      <c r="T647" s="25" t="s">
        <v>832</v>
      </c>
      <c r="U647" s="25" t="s">
        <v>816</v>
      </c>
      <c r="V647" s="25" t="s">
        <v>939</v>
      </c>
      <c r="W647" s="25" t="str">
        <f t="shared" si="29"/>
        <v>NoneFaceBecker CBUS Motor</v>
      </c>
      <c r="X647" s="25">
        <v>0</v>
      </c>
      <c r="Y647" s="25" t="s">
        <v>824</v>
      </c>
      <c r="Z647" s="25" t="s">
        <v>824</v>
      </c>
      <c r="AA647" s="25" t="s">
        <v>824</v>
      </c>
      <c r="AB647" s="25" t="s">
        <v>824</v>
      </c>
      <c r="AC647" s="25" t="s">
        <v>821</v>
      </c>
      <c r="AD647" s="25" t="s">
        <v>824</v>
      </c>
      <c r="AE647" s="25" t="s">
        <v>824</v>
      </c>
    </row>
    <row r="648" spans="20:31" ht="14.4">
      <c r="T648" s="25" t="s">
        <v>832</v>
      </c>
      <c r="U648" s="25" t="s">
        <v>816</v>
      </c>
      <c r="V648" s="25" t="s">
        <v>946</v>
      </c>
      <c r="W648" s="25" t="str">
        <f t="shared" si="29"/>
        <v>NoneFaceBecker External Remote Motor</v>
      </c>
      <c r="X648" s="25">
        <v>0</v>
      </c>
      <c r="Y648" s="25" t="s">
        <v>824</v>
      </c>
      <c r="Z648" s="25" t="s">
        <v>824</v>
      </c>
      <c r="AA648" s="25" t="s">
        <v>824</v>
      </c>
      <c r="AB648" s="25" t="s">
        <v>824</v>
      </c>
      <c r="AC648" s="25" t="s">
        <v>821</v>
      </c>
      <c r="AD648" s="25" t="s">
        <v>824</v>
      </c>
      <c r="AE648" s="25" t="s">
        <v>824</v>
      </c>
    </row>
    <row r="649" spans="20:31" ht="14.4">
      <c r="T649" s="25" t="s">
        <v>832</v>
      </c>
      <c r="U649" s="25" t="s">
        <v>816</v>
      </c>
      <c r="V649" s="25" t="s">
        <v>951</v>
      </c>
      <c r="W649" s="25" t="str">
        <f t="shared" si="29"/>
        <v>NoneFaceBecker External CBUS Motor</v>
      </c>
      <c r="X649" s="25">
        <v>0</v>
      </c>
      <c r="Y649" s="25" t="s">
        <v>824</v>
      </c>
      <c r="Z649" s="25" t="s">
        <v>824</v>
      </c>
      <c r="AA649" s="25" t="s">
        <v>824</v>
      </c>
      <c r="AB649" s="25" t="s">
        <v>824</v>
      </c>
      <c r="AC649" s="25" t="s">
        <v>821</v>
      </c>
      <c r="AD649" s="25" t="s">
        <v>824</v>
      </c>
      <c r="AE649" s="25" t="s">
        <v>824</v>
      </c>
    </row>
    <row r="650" spans="20:31" ht="14.4">
      <c r="T650" s="25" t="s">
        <v>832</v>
      </c>
      <c r="U650" s="25" t="s">
        <v>816</v>
      </c>
      <c r="V650" s="25" t="s">
        <v>838</v>
      </c>
      <c r="W650" s="25" t="str">
        <f t="shared" si="29"/>
        <v>NoneFace1.1nm 12v Acmeda Motor</v>
      </c>
      <c r="X650" s="25">
        <v>0</v>
      </c>
      <c r="Y650" s="25" t="s">
        <v>824</v>
      </c>
      <c r="Z650" s="25" t="s">
        <v>824</v>
      </c>
      <c r="AA650" s="25" t="s">
        <v>824</v>
      </c>
      <c r="AB650" s="25" t="s">
        <v>824</v>
      </c>
      <c r="AC650" s="25" t="s">
        <v>821</v>
      </c>
      <c r="AD650" s="25" t="s">
        <v>824</v>
      </c>
      <c r="AE650" s="25" t="s">
        <v>824</v>
      </c>
    </row>
    <row r="651" spans="20:31" ht="14.4">
      <c r="T651" s="25" t="s">
        <v>832</v>
      </c>
      <c r="U651" s="25" t="s">
        <v>816</v>
      </c>
      <c r="V651" t="s">
        <v>882</v>
      </c>
      <c r="W651" s="25" t="str">
        <f t="shared" si="29"/>
        <v>NoneFace2nm 12v Acmeda Motor</v>
      </c>
      <c r="X651" s="25">
        <v>0</v>
      </c>
      <c r="Y651" s="25" t="s">
        <v>824</v>
      </c>
      <c r="Z651" s="25" t="s">
        <v>824</v>
      </c>
      <c r="AA651" s="25" t="s">
        <v>824</v>
      </c>
      <c r="AB651" s="25" t="s">
        <v>824</v>
      </c>
      <c r="AC651" s="25" t="s">
        <v>821</v>
      </c>
      <c r="AD651" s="25" t="s">
        <v>824</v>
      </c>
      <c r="AE651" s="25" t="s">
        <v>824</v>
      </c>
    </row>
    <row r="652" spans="20:31" ht="14.4">
      <c r="T652" s="25" t="s">
        <v>832</v>
      </c>
      <c r="U652" s="25" t="s">
        <v>816</v>
      </c>
      <c r="V652" t="s">
        <v>896</v>
      </c>
      <c r="W652" s="25" t="str">
        <f t="shared" si="29"/>
        <v>NoneFaceAcmeda 12v 6nm Motor</v>
      </c>
      <c r="X652" s="25">
        <v>0</v>
      </c>
      <c r="Y652" s="25" t="s">
        <v>824</v>
      </c>
      <c r="Z652" s="25" t="s">
        <v>824</v>
      </c>
      <c r="AA652" s="25" t="s">
        <v>824</v>
      </c>
      <c r="AB652" s="25" t="s">
        <v>824</v>
      </c>
      <c r="AC652" s="25" t="s">
        <v>821</v>
      </c>
      <c r="AD652" s="25" t="s">
        <v>824</v>
      </c>
      <c r="AE652" s="25" t="s">
        <v>824</v>
      </c>
    </row>
    <row r="653" spans="20:31" ht="14.4">
      <c r="T653" s="25" t="s">
        <v>832</v>
      </c>
      <c r="U653" s="25" t="s">
        <v>816</v>
      </c>
      <c r="V653" t="s">
        <v>855</v>
      </c>
      <c r="W653" s="25" t="str">
        <f t="shared" si="29"/>
        <v>NoneFace0.7nm 12v Acmeda Motor</v>
      </c>
      <c r="X653" s="25">
        <v>0</v>
      </c>
      <c r="Y653" s="25" t="s">
        <v>824</v>
      </c>
      <c r="Z653" s="25" t="s">
        <v>824</v>
      </c>
      <c r="AA653" s="25" t="s">
        <v>824</v>
      </c>
      <c r="AB653" s="25" t="s">
        <v>824</v>
      </c>
      <c r="AC653" s="25" t="s">
        <v>821</v>
      </c>
      <c r="AD653" s="25" t="s">
        <v>824</v>
      </c>
      <c r="AE653" s="25" t="s">
        <v>824</v>
      </c>
    </row>
    <row r="654" spans="20:31" ht="14.4">
      <c r="T654" s="25" t="s">
        <v>832</v>
      </c>
      <c r="U654" s="25" t="s">
        <v>816</v>
      </c>
      <c r="V654" s="25" t="s">
        <v>849</v>
      </c>
      <c r="W654" s="25" t="str">
        <f t="shared" si="29"/>
        <v>NoneFace1.1nm 12v Acmeda DCRF Motor with External Battery</v>
      </c>
      <c r="X654" s="25">
        <v>0</v>
      </c>
      <c r="Y654" s="25" t="s">
        <v>824</v>
      </c>
      <c r="Z654" s="25" t="s">
        <v>824</v>
      </c>
      <c r="AA654" s="25" t="s">
        <v>824</v>
      </c>
      <c r="AB654" s="25" t="s">
        <v>824</v>
      </c>
      <c r="AC654" s="25" t="s">
        <v>821</v>
      </c>
      <c r="AD654" s="25" t="s">
        <v>824</v>
      </c>
      <c r="AE654" s="25" t="s">
        <v>824</v>
      </c>
    </row>
    <row r="655" spans="20:31" ht="14.4">
      <c r="T655" s="25" t="s">
        <v>832</v>
      </c>
      <c r="U655" s="25" t="s">
        <v>816</v>
      </c>
      <c r="V655" s="25" t="s">
        <v>817</v>
      </c>
      <c r="W655" s="25" t="str">
        <f t="shared" si="29"/>
        <v>NoneFace1.1nm 12v Acmeda DCRF Motor</v>
      </c>
      <c r="X655" s="25">
        <v>0</v>
      </c>
      <c r="Y655" s="25" t="s">
        <v>824</v>
      </c>
      <c r="Z655" s="25" t="s">
        <v>824</v>
      </c>
      <c r="AA655" s="25" t="s">
        <v>824</v>
      </c>
      <c r="AB655" s="25" t="s">
        <v>824</v>
      </c>
      <c r="AC655" s="25" t="s">
        <v>821</v>
      </c>
      <c r="AD655" s="25" t="s">
        <v>824</v>
      </c>
      <c r="AE655" s="25" t="s">
        <v>824</v>
      </c>
    </row>
    <row r="656" spans="20:31" ht="14.4">
      <c r="T656" s="25" t="s">
        <v>832</v>
      </c>
      <c r="U656" s="25" t="s">
        <v>816</v>
      </c>
      <c r="V656" s="25" t="s">
        <v>868</v>
      </c>
      <c r="W656" s="25" t="str">
        <f t="shared" si="29"/>
        <v>NoneFace2nm 12v Acmeda DCRF Motor</v>
      </c>
      <c r="X656" s="25">
        <v>0</v>
      </c>
      <c r="Y656" s="25" t="s">
        <v>824</v>
      </c>
      <c r="Z656" s="25" t="s">
        <v>824</v>
      </c>
      <c r="AA656" s="25" t="s">
        <v>824</v>
      </c>
      <c r="AB656" s="25" t="s">
        <v>824</v>
      </c>
      <c r="AC656" s="25" t="s">
        <v>821</v>
      </c>
      <c r="AD656" s="25" t="s">
        <v>824</v>
      </c>
      <c r="AE656" s="25" t="s">
        <v>824</v>
      </c>
    </row>
    <row r="657" spans="20:31" ht="14.4">
      <c r="T657" s="25" t="s">
        <v>832</v>
      </c>
      <c r="U657" s="25" t="s">
        <v>816</v>
      </c>
      <c r="V657" t="s">
        <v>973</v>
      </c>
      <c r="W657" s="25" t="str">
        <f t="shared" si="29"/>
        <v>NoneFaceSomfy Remote Sonesse Motor</v>
      </c>
      <c r="X657" s="25">
        <v>0</v>
      </c>
      <c r="Y657" s="25" t="s">
        <v>824</v>
      </c>
      <c r="Z657" s="25" t="s">
        <v>824</v>
      </c>
      <c r="AA657" s="25" t="s">
        <v>824</v>
      </c>
      <c r="AB657" s="25" t="s">
        <v>824</v>
      </c>
      <c r="AC657" s="25" t="s">
        <v>821</v>
      </c>
      <c r="AD657" s="25" t="s">
        <v>824</v>
      </c>
      <c r="AE657" s="25" t="s">
        <v>824</v>
      </c>
    </row>
    <row r="658" spans="20:31" ht="14.4">
      <c r="T658" s="25" t="s">
        <v>832</v>
      </c>
      <c r="U658" s="25" t="s">
        <v>816</v>
      </c>
      <c r="V658" t="s">
        <v>637</v>
      </c>
      <c r="W658" s="25" t="str">
        <f t="shared" si="29"/>
        <v>NoneFaceSomfy 12v Remote Sonesse Motor</v>
      </c>
      <c r="X658" s="25">
        <v>0</v>
      </c>
      <c r="Y658" s="25" t="s">
        <v>824</v>
      </c>
      <c r="Z658" s="25" t="s">
        <v>824</v>
      </c>
      <c r="AA658" s="25" t="s">
        <v>824</v>
      </c>
      <c r="AB658" s="25" t="s">
        <v>824</v>
      </c>
      <c r="AC658" s="25" t="s">
        <v>821</v>
      </c>
      <c r="AD658" s="25" t="s">
        <v>824</v>
      </c>
      <c r="AE658" s="25" t="s">
        <v>824</v>
      </c>
    </row>
    <row r="659" spans="20:31" ht="14.4">
      <c r="T659" s="25" t="s">
        <v>832</v>
      </c>
      <c r="U659" s="25" t="s">
        <v>816</v>
      </c>
      <c r="V659" s="25" t="s">
        <v>974</v>
      </c>
      <c r="W659" s="25" t="str">
        <f t="shared" si="29"/>
        <v>NoneFaceSomfy CBUS Motor</v>
      </c>
      <c r="X659" s="25">
        <v>0</v>
      </c>
      <c r="Y659" s="25" t="s">
        <v>824</v>
      </c>
      <c r="Z659" s="25" t="s">
        <v>824</v>
      </c>
      <c r="AA659" s="25" t="s">
        <v>824</v>
      </c>
      <c r="AB659" s="25" t="s">
        <v>824</v>
      </c>
      <c r="AC659" s="25" t="s">
        <v>821</v>
      </c>
      <c r="AD659" s="25" t="s">
        <v>824</v>
      </c>
      <c r="AE659" s="25" t="s">
        <v>824</v>
      </c>
    </row>
    <row r="660" spans="20:31" ht="14.4">
      <c r="T660" s="25" t="s">
        <v>832</v>
      </c>
      <c r="U660" s="25" t="s">
        <v>816</v>
      </c>
      <c r="V660" t="s">
        <v>986</v>
      </c>
      <c r="W660" s="25" t="str">
        <f t="shared" si="29"/>
        <v>NoneFaceHD Somfy Remote Sonesse Motor</v>
      </c>
      <c r="X660" s="25">
        <v>0</v>
      </c>
      <c r="Y660" s="25" t="s">
        <v>824</v>
      </c>
      <c r="Z660" s="25" t="s">
        <v>824</v>
      </c>
      <c r="AA660" s="25" t="s">
        <v>824</v>
      </c>
      <c r="AB660" s="25" t="s">
        <v>824</v>
      </c>
      <c r="AC660" s="25" t="s">
        <v>821</v>
      </c>
      <c r="AD660" s="25" t="s">
        <v>824</v>
      </c>
      <c r="AE660" s="25" t="s">
        <v>824</v>
      </c>
    </row>
    <row r="661" spans="20:31" ht="14.4">
      <c r="T661" s="25" t="s">
        <v>832</v>
      </c>
      <c r="U661" s="25" t="s">
        <v>816</v>
      </c>
      <c r="V661" t="s">
        <v>989</v>
      </c>
      <c r="W661" s="25" t="str">
        <f t="shared" si="29"/>
        <v>NoneFaceHD Somfy 12v Remote Sonesse Motor</v>
      </c>
      <c r="X661" s="25">
        <v>0</v>
      </c>
      <c r="Y661" s="25" t="s">
        <v>824</v>
      </c>
      <c r="Z661" s="25" t="s">
        <v>824</v>
      </c>
      <c r="AA661" s="25" t="s">
        <v>824</v>
      </c>
      <c r="AB661" s="25" t="s">
        <v>824</v>
      </c>
      <c r="AC661" s="25" t="s">
        <v>821</v>
      </c>
      <c r="AD661" s="25" t="s">
        <v>824</v>
      </c>
      <c r="AE661" s="25" t="s">
        <v>824</v>
      </c>
    </row>
    <row r="662" spans="20:31" ht="14.4">
      <c r="T662" s="25" t="s">
        <v>832</v>
      </c>
      <c r="U662" s="25" t="s">
        <v>816</v>
      </c>
      <c r="V662" s="25" t="s">
        <v>992</v>
      </c>
      <c r="W662" s="25" t="str">
        <f t="shared" si="29"/>
        <v>NoneFaceHD Somfy CBUS Motor</v>
      </c>
      <c r="X662" s="25">
        <v>0</v>
      </c>
      <c r="Y662" s="25" t="s">
        <v>824</v>
      </c>
      <c r="Z662" s="25" t="s">
        <v>824</v>
      </c>
      <c r="AA662" s="25" t="s">
        <v>824</v>
      </c>
      <c r="AB662" s="25" t="s">
        <v>824</v>
      </c>
      <c r="AC662" s="25" t="s">
        <v>821</v>
      </c>
      <c r="AD662" s="25" t="s">
        <v>824</v>
      </c>
      <c r="AE662" s="25" t="s">
        <v>824</v>
      </c>
    </row>
    <row r="663" spans="20:31" ht="14.4">
      <c r="T663" s="25" t="s">
        <v>832</v>
      </c>
      <c r="U663" s="25" t="s">
        <v>816</v>
      </c>
      <c r="V663" s="25" t="s">
        <v>625</v>
      </c>
      <c r="W663" s="25" t="str">
        <f t="shared" si="29"/>
        <v>NoneFaceAcmeda E6 Motor</v>
      </c>
      <c r="X663" s="25">
        <v>0</v>
      </c>
      <c r="Y663" s="25" t="s">
        <v>824</v>
      </c>
      <c r="Z663" s="25" t="s">
        <v>824</v>
      </c>
      <c r="AA663" s="25" t="s">
        <v>824</v>
      </c>
      <c r="AB663" s="25" t="s">
        <v>824</v>
      </c>
      <c r="AC663" s="25" t="s">
        <v>821</v>
      </c>
      <c r="AD663" s="25" t="s">
        <v>824</v>
      </c>
      <c r="AE663" s="25" t="s">
        <v>824</v>
      </c>
    </row>
    <row r="664" spans="20:31" ht="14.4">
      <c r="T664" s="25" t="s">
        <v>832</v>
      </c>
      <c r="U664" s="25" t="s">
        <v>816</v>
      </c>
      <c r="V664" s="25" t="s">
        <v>626</v>
      </c>
      <c r="W664" s="25" t="str">
        <f t="shared" si="29"/>
        <v>NoneFaceAcmeda M6 Motor</v>
      </c>
      <c r="X664" s="25">
        <v>0</v>
      </c>
      <c r="Y664" s="25" t="s">
        <v>824</v>
      </c>
      <c r="Z664" s="25" t="s">
        <v>824</v>
      </c>
      <c r="AA664" s="25" t="s">
        <v>824</v>
      </c>
      <c r="AB664" s="25" t="s">
        <v>824</v>
      </c>
      <c r="AC664" s="25" t="s">
        <v>821</v>
      </c>
      <c r="AD664" s="25" t="s">
        <v>824</v>
      </c>
      <c r="AE664" s="25" t="s">
        <v>824</v>
      </c>
    </row>
    <row r="665" spans="20:31" ht="14.4">
      <c r="T665" s="25" t="s">
        <v>832</v>
      </c>
      <c r="U665" s="25" t="s">
        <v>816</v>
      </c>
      <c r="V665" s="25" t="s">
        <v>1002</v>
      </c>
      <c r="W665" s="25" t="str">
        <f t="shared" si="29"/>
        <v>NoneFaceUniline Remote Motor</v>
      </c>
      <c r="X665" s="25">
        <v>0</v>
      </c>
      <c r="Y665" s="25" t="s">
        <v>824</v>
      </c>
      <c r="Z665" s="25" t="s">
        <v>824</v>
      </c>
      <c r="AA665" s="25" t="s">
        <v>824</v>
      </c>
      <c r="AB665" s="25" t="s">
        <v>824</v>
      </c>
      <c r="AC665" s="25" t="s">
        <v>821</v>
      </c>
      <c r="AD665" s="25" t="s">
        <v>824</v>
      </c>
      <c r="AE665" s="25" t="s">
        <v>824</v>
      </c>
    </row>
    <row r="666" spans="20:31" ht="14.4">
      <c r="T666" s="25" t="s">
        <v>832</v>
      </c>
      <c r="U666" s="25" t="s">
        <v>816</v>
      </c>
      <c r="V666" s="25" t="s">
        <v>1005</v>
      </c>
      <c r="W666" s="25" t="str">
        <f t="shared" si="29"/>
        <v>NoneFaceUniline Cbus Motor</v>
      </c>
      <c r="X666" s="25">
        <v>0</v>
      </c>
      <c r="Y666" s="25" t="s">
        <v>824</v>
      </c>
      <c r="Z666" s="25" t="s">
        <v>824</v>
      </c>
      <c r="AA666" s="25" t="s">
        <v>824</v>
      </c>
      <c r="AB666" s="25" t="s">
        <v>824</v>
      </c>
      <c r="AC666" s="25" t="s">
        <v>821</v>
      </c>
      <c r="AD666" s="25" t="s">
        <v>824</v>
      </c>
      <c r="AE666" s="25" t="s">
        <v>824</v>
      </c>
    </row>
    <row r="667" spans="20:31" ht="14.4">
      <c r="T667" s="25" t="s">
        <v>832</v>
      </c>
      <c r="U667" s="25" t="s">
        <v>816</v>
      </c>
      <c r="V667" s="25" t="s">
        <v>981</v>
      </c>
      <c r="W667" s="25" t="str">
        <f t="shared" si="29"/>
        <v>NoneFaceNice Remote Motor</v>
      </c>
      <c r="X667" s="25">
        <v>0</v>
      </c>
      <c r="Y667" s="25" t="s">
        <v>824</v>
      </c>
      <c r="Z667" s="25" t="s">
        <v>824</v>
      </c>
      <c r="AA667" s="25" t="s">
        <v>824</v>
      </c>
      <c r="AB667" s="25" t="s">
        <v>824</v>
      </c>
      <c r="AC667" s="25" t="s">
        <v>821</v>
      </c>
      <c r="AD667" s="25" t="s">
        <v>824</v>
      </c>
      <c r="AE667" s="25" t="s">
        <v>824</v>
      </c>
    </row>
    <row r="668" spans="20:31" ht="14.4">
      <c r="T668" s="25" t="s">
        <v>832</v>
      </c>
      <c r="U668" s="25" t="s">
        <v>816</v>
      </c>
      <c r="V668" s="25" t="s">
        <v>976</v>
      </c>
      <c r="W668" s="25" t="str">
        <f t="shared" si="29"/>
        <v>NoneFaceNice CBus Motor</v>
      </c>
      <c r="X668" s="25">
        <v>0</v>
      </c>
      <c r="Y668" s="25" t="s">
        <v>824</v>
      </c>
      <c r="Z668" s="25" t="s">
        <v>824</v>
      </c>
      <c r="AA668" s="25" t="s">
        <v>824</v>
      </c>
      <c r="AB668" s="25" t="s">
        <v>824</v>
      </c>
      <c r="AC668" s="25" t="s">
        <v>821</v>
      </c>
      <c r="AD668" s="25" t="s">
        <v>824</v>
      </c>
      <c r="AE668" s="25" t="s">
        <v>824</v>
      </c>
    </row>
    <row r="669" spans="20:31" ht="14.4">
      <c r="T669" s="25" t="s">
        <v>832</v>
      </c>
      <c r="U669" s="25" t="s">
        <v>816</v>
      </c>
      <c r="V669" t="s">
        <v>1006</v>
      </c>
      <c r="W669" s="25" t="str">
        <f t="shared" si="29"/>
        <v>NoneFaceSunboss Chain Winder 38mm Tube</v>
      </c>
      <c r="X669" s="25">
        <v>0</v>
      </c>
      <c r="Y669" s="25" t="s">
        <v>824</v>
      </c>
      <c r="Z669" s="25" t="s">
        <v>824</v>
      </c>
      <c r="AA669" s="25" t="s">
        <v>824</v>
      </c>
      <c r="AB669" s="25" t="s">
        <v>824</v>
      </c>
      <c r="AC669" s="25" t="s">
        <v>821</v>
      </c>
      <c r="AD669" s="25" t="s">
        <v>824</v>
      </c>
      <c r="AE669" s="25" t="s">
        <v>824</v>
      </c>
    </row>
    <row r="670" spans="20:31" ht="14.4">
      <c r="T670" s="25" t="s">
        <v>832</v>
      </c>
      <c r="U670" s="25" t="s">
        <v>816</v>
      </c>
      <c r="V670" t="s">
        <v>1017</v>
      </c>
      <c r="W670" s="25" t="str">
        <f t="shared" si="29"/>
        <v>NoneFaceSunboss Chain Winder 43mm Tube</v>
      </c>
      <c r="X670" s="25">
        <v>0</v>
      </c>
      <c r="Y670" s="25" t="s">
        <v>824</v>
      </c>
      <c r="Z670" s="25" t="s">
        <v>824</v>
      </c>
      <c r="AA670" s="25" t="s">
        <v>824</v>
      </c>
      <c r="AB670" s="25" t="s">
        <v>824</v>
      </c>
      <c r="AC670" s="25" t="s">
        <v>821</v>
      </c>
      <c r="AD670" s="25" t="s">
        <v>824</v>
      </c>
      <c r="AE670" s="25" t="s">
        <v>824</v>
      </c>
    </row>
    <row r="671" spans="20:31" ht="14.4">
      <c r="T671" s="25" t="s">
        <v>832</v>
      </c>
      <c r="U671" s="25" t="s">
        <v>816</v>
      </c>
      <c r="V671" s="25" t="s">
        <v>1012</v>
      </c>
      <c r="W671" s="25" t="str">
        <f t="shared" si="29"/>
        <v>NoneFaceTBS Remote Motor</v>
      </c>
      <c r="X671" s="25">
        <v>0</v>
      </c>
      <c r="Y671" s="25" t="s">
        <v>824</v>
      </c>
      <c r="Z671" s="25" t="s">
        <v>824</v>
      </c>
      <c r="AA671" s="25" t="s">
        <v>824</v>
      </c>
      <c r="AB671" s="25" t="s">
        <v>824</v>
      </c>
      <c r="AC671" s="25" t="s">
        <v>821</v>
      </c>
      <c r="AD671" s="25" t="s">
        <v>824</v>
      </c>
      <c r="AE671" s="25" t="s">
        <v>824</v>
      </c>
    </row>
    <row r="672" spans="20:31" ht="14.4">
      <c r="T672" s="25" t="s">
        <v>832</v>
      </c>
      <c r="U672" s="25" t="s">
        <v>816</v>
      </c>
      <c r="V672" t="s">
        <v>1009</v>
      </c>
      <c r="W672" s="25" t="str">
        <f t="shared" si="29"/>
        <v>NoneFaceTBS Cbus Motor</v>
      </c>
      <c r="X672" s="25">
        <v>0</v>
      </c>
      <c r="Y672" s="25" t="s">
        <v>824</v>
      </c>
      <c r="Z672" s="25" t="s">
        <v>824</v>
      </c>
      <c r="AA672" s="25" t="s">
        <v>824</v>
      </c>
      <c r="AB672" s="25" t="s">
        <v>824</v>
      </c>
      <c r="AC672" s="25" t="s">
        <v>821</v>
      </c>
      <c r="AD672" s="25" t="s">
        <v>824</v>
      </c>
      <c r="AE672" s="25" t="s">
        <v>824</v>
      </c>
    </row>
    <row r="673" spans="20:31" ht="14.4">
      <c r="T673" s="25" t="s">
        <v>832</v>
      </c>
      <c r="U673" s="25" t="s">
        <v>816</v>
      </c>
      <c r="V673" t="s">
        <v>927</v>
      </c>
      <c r="W673" s="25" t="str">
        <f t="shared" si="29"/>
        <v>NoneFaceAcmeda External Motor</v>
      </c>
      <c r="X673" s="25">
        <v>0</v>
      </c>
      <c r="Y673" s="25" t="s">
        <v>824</v>
      </c>
      <c r="Z673" s="25" t="s">
        <v>824</v>
      </c>
      <c r="AA673" s="25" t="s">
        <v>824</v>
      </c>
      <c r="AB673" s="25" t="s">
        <v>824</v>
      </c>
      <c r="AC673" s="25" t="s">
        <v>821</v>
      </c>
      <c r="AD673" s="25" t="s">
        <v>824</v>
      </c>
      <c r="AE673" s="25" t="s">
        <v>824</v>
      </c>
    </row>
    <row r="674" spans="20:31" ht="14.4">
      <c r="T674" s="25" t="s">
        <v>832</v>
      </c>
      <c r="U674" s="25" t="s">
        <v>816</v>
      </c>
      <c r="V674" t="s">
        <v>918</v>
      </c>
      <c r="W674" s="25" t="str">
        <f t="shared" si="29"/>
        <v>NoneFaceAcmeda External 12v Motor</v>
      </c>
      <c r="X674" s="25">
        <v>0</v>
      </c>
      <c r="Y674" s="25" t="s">
        <v>824</v>
      </c>
      <c r="Z674" s="25" t="s">
        <v>824</v>
      </c>
      <c r="AA674" s="25" t="s">
        <v>824</v>
      </c>
      <c r="AB674" s="25" t="s">
        <v>824</v>
      </c>
      <c r="AC674" s="25" t="s">
        <v>821</v>
      </c>
      <c r="AD674" s="25" t="s">
        <v>824</v>
      </c>
      <c r="AE674" s="25" t="s">
        <v>824</v>
      </c>
    </row>
    <row r="675" spans="20:31" ht="14.4">
      <c r="T675" s="25" t="s">
        <v>832</v>
      </c>
      <c r="U675" s="25" t="s">
        <v>816</v>
      </c>
      <c r="V675" t="s">
        <v>979</v>
      </c>
      <c r="W675" s="25" t="str">
        <f t="shared" si="29"/>
        <v>NoneFaceSomfy External CBUS Motor</v>
      </c>
      <c r="X675" s="25">
        <v>0</v>
      </c>
      <c r="Y675" s="25" t="s">
        <v>824</v>
      </c>
      <c r="Z675" s="25" t="s">
        <v>824</v>
      </c>
      <c r="AA675" s="25" t="s">
        <v>824</v>
      </c>
      <c r="AB675" s="25" t="s">
        <v>824</v>
      </c>
      <c r="AC675" s="25" t="s">
        <v>821</v>
      </c>
      <c r="AD675" s="25" t="s">
        <v>824</v>
      </c>
      <c r="AE675" s="25" t="s">
        <v>824</v>
      </c>
    </row>
    <row r="676" spans="20:31" ht="14.4">
      <c r="T676" s="25" t="s">
        <v>832</v>
      </c>
      <c r="U676" s="25" t="s">
        <v>816</v>
      </c>
      <c r="V676" t="s">
        <v>983</v>
      </c>
      <c r="W676" s="25" t="str">
        <f t="shared" si="29"/>
        <v>NoneFaceSomfy External Remote Motor</v>
      </c>
      <c r="X676" s="25">
        <v>0</v>
      </c>
      <c r="Y676" s="25" t="s">
        <v>824</v>
      </c>
      <c r="Z676" s="25" t="s">
        <v>824</v>
      </c>
      <c r="AA676" s="25" t="s">
        <v>824</v>
      </c>
      <c r="AB676" s="25" t="s">
        <v>824</v>
      </c>
      <c r="AC676" s="25" t="s">
        <v>821</v>
      </c>
      <c r="AD676" s="25" t="s">
        <v>824</v>
      </c>
      <c r="AE676" s="25" t="s">
        <v>824</v>
      </c>
    </row>
    <row r="677" spans="20:31" ht="14.4">
      <c r="T677" s="25" t="s">
        <v>832</v>
      </c>
      <c r="U677" s="25" t="s">
        <v>816</v>
      </c>
      <c r="V677" t="s">
        <v>995</v>
      </c>
      <c r="W677" s="25" t="str">
        <f t="shared" si="29"/>
        <v>NoneFaceHD Somfy External CBUS Motor</v>
      </c>
      <c r="X677" s="25">
        <v>0</v>
      </c>
      <c r="Y677" s="25" t="s">
        <v>824</v>
      </c>
      <c r="Z677" s="25" t="s">
        <v>824</v>
      </c>
      <c r="AA677" s="25" t="s">
        <v>824</v>
      </c>
      <c r="AB677" s="25" t="s">
        <v>824</v>
      </c>
      <c r="AC677" s="25" t="s">
        <v>821</v>
      </c>
      <c r="AD677" s="25" t="s">
        <v>824</v>
      </c>
      <c r="AE677" s="25" t="s">
        <v>824</v>
      </c>
    </row>
    <row r="678" spans="20:31" ht="14.4">
      <c r="T678" s="25" t="s">
        <v>832</v>
      </c>
      <c r="U678" s="25" t="s">
        <v>816</v>
      </c>
      <c r="V678" t="s">
        <v>999</v>
      </c>
      <c r="W678" s="25" t="str">
        <f t="shared" si="29"/>
        <v>NoneFaceHD Somfy External Remote Motor</v>
      </c>
      <c r="X678" s="25">
        <v>0</v>
      </c>
      <c r="Y678" s="25" t="s">
        <v>824</v>
      </c>
      <c r="Z678" s="25" t="s">
        <v>824</v>
      </c>
      <c r="AA678" s="25" t="s">
        <v>824</v>
      </c>
      <c r="AB678" s="25" t="s">
        <v>824</v>
      </c>
      <c r="AC678" s="25" t="s">
        <v>821</v>
      </c>
      <c r="AD678" s="25" t="s">
        <v>824</v>
      </c>
      <c r="AE678" s="25" t="s">
        <v>824</v>
      </c>
    </row>
    <row r="679" spans="20:31" ht="14.4">
      <c r="T679" s="25" t="s">
        <v>832</v>
      </c>
      <c r="U679" s="25" t="s">
        <v>854</v>
      </c>
      <c r="V679" s="25" t="s">
        <v>823</v>
      </c>
      <c r="W679" s="25" t="str">
        <f t="shared" si="29"/>
        <v>NoneTop FixChain Winder</v>
      </c>
      <c r="X679" s="25">
        <v>0</v>
      </c>
      <c r="Y679" s="25" t="s">
        <v>824</v>
      </c>
      <c r="Z679" s="25" t="s">
        <v>824</v>
      </c>
      <c r="AA679" s="25" t="s">
        <v>824</v>
      </c>
      <c r="AB679" s="25" t="s">
        <v>824</v>
      </c>
      <c r="AC679" s="25" t="s">
        <v>821</v>
      </c>
      <c r="AD679" s="25" t="s">
        <v>824</v>
      </c>
      <c r="AE679" s="25" t="s">
        <v>824</v>
      </c>
    </row>
    <row r="680" spans="20:31" ht="14.4">
      <c r="T680" s="25" t="s">
        <v>832</v>
      </c>
      <c r="U680" s="25" t="s">
        <v>854</v>
      </c>
      <c r="V680" s="25" t="s">
        <v>841</v>
      </c>
      <c r="W680" s="25" t="str">
        <f t="shared" si="29"/>
        <v>NoneTop FixHD Chain Winder</v>
      </c>
      <c r="X680" s="25">
        <v>0</v>
      </c>
      <c r="Y680" s="25" t="s">
        <v>824</v>
      </c>
      <c r="Z680" s="25" t="s">
        <v>824</v>
      </c>
      <c r="AA680" s="25" t="s">
        <v>824</v>
      </c>
      <c r="AB680" s="25" t="s">
        <v>824</v>
      </c>
      <c r="AC680" s="25" t="s">
        <v>821</v>
      </c>
      <c r="AD680" s="25" t="s">
        <v>824</v>
      </c>
      <c r="AE680" s="25" t="s">
        <v>824</v>
      </c>
    </row>
    <row r="681" spans="20:31" ht="14.4">
      <c r="T681" s="25" t="s">
        <v>832</v>
      </c>
      <c r="U681" s="25" t="s">
        <v>854</v>
      </c>
      <c r="V681" s="25" t="s">
        <v>858</v>
      </c>
      <c r="W681" s="25" t="str">
        <f t="shared" si="29"/>
        <v>NoneTop FixChain Winder 60mm</v>
      </c>
      <c r="X681" s="25">
        <v>0</v>
      </c>
      <c r="Y681" s="25" t="s">
        <v>824</v>
      </c>
      <c r="Z681" s="25" t="s">
        <v>824</v>
      </c>
      <c r="AA681" s="25" t="s">
        <v>824</v>
      </c>
      <c r="AB681" s="25" t="s">
        <v>824</v>
      </c>
      <c r="AC681" s="25" t="s">
        <v>821</v>
      </c>
      <c r="AD681" s="25" t="s">
        <v>824</v>
      </c>
      <c r="AE681" s="25" t="s">
        <v>824</v>
      </c>
    </row>
    <row r="682" spans="20:31" ht="14.4">
      <c r="T682" s="25" t="s">
        <v>832</v>
      </c>
      <c r="U682" s="25" t="s">
        <v>854</v>
      </c>
      <c r="V682" s="25" t="s">
        <v>865</v>
      </c>
      <c r="W682" s="25" t="str">
        <f t="shared" si="29"/>
        <v>NoneTop FixChain Winder Fixed Guide</v>
      </c>
      <c r="X682" s="25">
        <v>0</v>
      </c>
      <c r="Y682" s="25" t="s">
        <v>824</v>
      </c>
      <c r="Z682" s="25" t="s">
        <v>824</v>
      </c>
      <c r="AA682" s="25" t="s">
        <v>824</v>
      </c>
      <c r="AB682" s="25" t="s">
        <v>824</v>
      </c>
      <c r="AC682" s="25" t="s">
        <v>821</v>
      </c>
      <c r="AD682" s="25" t="s">
        <v>824</v>
      </c>
      <c r="AE682" s="25" t="s">
        <v>824</v>
      </c>
    </row>
    <row r="683" spans="20:31" ht="14.4">
      <c r="T683" s="25" t="s">
        <v>832</v>
      </c>
      <c r="U683" s="25" t="s">
        <v>854</v>
      </c>
      <c r="V683" s="25" t="s">
        <v>181</v>
      </c>
      <c r="W683" s="25" t="str">
        <f t="shared" si="29"/>
        <v>NoneTop FixLinked</v>
      </c>
      <c r="X683" s="25">
        <v>0</v>
      </c>
      <c r="Y683" s="25" t="s">
        <v>824</v>
      </c>
      <c r="Z683" s="25" t="s">
        <v>824</v>
      </c>
      <c r="AA683" s="25" t="s">
        <v>824</v>
      </c>
      <c r="AB683" s="25" t="s">
        <v>824</v>
      </c>
      <c r="AC683" s="25" t="s">
        <v>821</v>
      </c>
      <c r="AD683" s="25" t="s">
        <v>824</v>
      </c>
      <c r="AE683" s="25" t="s">
        <v>824</v>
      </c>
    </row>
    <row r="684" spans="20:31" ht="14.4">
      <c r="T684" s="25" t="s">
        <v>832</v>
      </c>
      <c r="U684" s="25" t="s">
        <v>854</v>
      </c>
      <c r="V684" s="25" t="s">
        <v>898</v>
      </c>
      <c r="W684" s="25" t="str">
        <f t="shared" si="29"/>
        <v>NoneTop FixLinked - HD</v>
      </c>
      <c r="X684" s="25">
        <v>0</v>
      </c>
      <c r="Y684" s="25" t="s">
        <v>824</v>
      </c>
      <c r="Z684" s="25" t="s">
        <v>824</v>
      </c>
      <c r="AA684" s="25" t="s">
        <v>824</v>
      </c>
      <c r="AB684" s="25" t="s">
        <v>824</v>
      </c>
      <c r="AC684" s="25" t="s">
        <v>821</v>
      </c>
      <c r="AD684" s="25" t="s">
        <v>824</v>
      </c>
      <c r="AE684" s="25" t="s">
        <v>824</v>
      </c>
    </row>
    <row r="685" spans="20:31" ht="14.4">
      <c r="T685" s="25" t="s">
        <v>832</v>
      </c>
      <c r="U685" s="25" t="s">
        <v>854</v>
      </c>
      <c r="V685" s="25" t="s">
        <v>925</v>
      </c>
      <c r="W685" s="25" t="str">
        <f t="shared" si="29"/>
        <v>NoneTop FixLinked 60mm</v>
      </c>
      <c r="X685" s="25">
        <v>0</v>
      </c>
      <c r="Y685" s="25" t="s">
        <v>824</v>
      </c>
      <c r="Z685" s="25" t="s">
        <v>824</v>
      </c>
      <c r="AA685" s="25" t="s">
        <v>824</v>
      </c>
      <c r="AB685" s="25" t="s">
        <v>824</v>
      </c>
      <c r="AC685" s="25" t="s">
        <v>821</v>
      </c>
      <c r="AD685" s="25" t="s">
        <v>824</v>
      </c>
      <c r="AE685" s="25" t="s">
        <v>824</v>
      </c>
    </row>
    <row r="686" spans="20:31" ht="14.4">
      <c r="T686" s="25" t="s">
        <v>832</v>
      </c>
      <c r="U686" s="25" t="s">
        <v>854</v>
      </c>
      <c r="V686" s="25" t="s">
        <v>910</v>
      </c>
      <c r="W686" s="25" t="str">
        <f t="shared" si="29"/>
        <v>NoneTop FixStandard Spring</v>
      </c>
      <c r="X686" s="25">
        <v>0</v>
      </c>
      <c r="Y686" s="25" t="s">
        <v>824</v>
      </c>
      <c r="Z686" s="25" t="s">
        <v>824</v>
      </c>
      <c r="AA686" s="25" t="s">
        <v>824</v>
      </c>
      <c r="AB686" s="25" t="s">
        <v>824</v>
      </c>
      <c r="AC686" s="25" t="s">
        <v>821</v>
      </c>
      <c r="AD686" s="25" t="s">
        <v>824</v>
      </c>
      <c r="AE686" s="25" t="s">
        <v>824</v>
      </c>
    </row>
    <row r="687" spans="20:31" ht="14.4">
      <c r="T687" s="25" t="s">
        <v>832</v>
      </c>
      <c r="U687" s="25" t="s">
        <v>854</v>
      </c>
      <c r="V687" s="25" t="s">
        <v>920</v>
      </c>
      <c r="W687" s="25" t="str">
        <f t="shared" si="29"/>
        <v>NoneTop FixSmall Spring</v>
      </c>
      <c r="X687" s="25">
        <v>0</v>
      </c>
      <c r="Y687" s="25" t="s">
        <v>824</v>
      </c>
      <c r="Z687" s="25" t="s">
        <v>824</v>
      </c>
      <c r="AA687" s="25" t="s">
        <v>824</v>
      </c>
      <c r="AB687" s="25" t="s">
        <v>824</v>
      </c>
      <c r="AC687" s="25" t="s">
        <v>821</v>
      </c>
      <c r="AD687" s="25" t="s">
        <v>824</v>
      </c>
      <c r="AE687" s="25" t="s">
        <v>824</v>
      </c>
    </row>
    <row r="688" spans="20:31" ht="14.4">
      <c r="T688" s="25" t="s">
        <v>832</v>
      </c>
      <c r="U688" s="25" t="s">
        <v>854</v>
      </c>
      <c r="V688" s="25" t="s">
        <v>929</v>
      </c>
      <c r="W688" s="25" t="str">
        <f t="shared" si="29"/>
        <v>NoneTop FixUniline Spring (Old Style)</v>
      </c>
      <c r="X688" s="25">
        <v>0</v>
      </c>
      <c r="Y688" s="25" t="s">
        <v>824</v>
      </c>
      <c r="Z688" s="25" t="s">
        <v>824</v>
      </c>
      <c r="AA688" s="25" t="s">
        <v>824</v>
      </c>
      <c r="AB688" s="25" t="s">
        <v>824</v>
      </c>
      <c r="AC688" s="25" t="s">
        <v>821</v>
      </c>
      <c r="AD688" s="25" t="s">
        <v>824</v>
      </c>
      <c r="AE688" s="25" t="s">
        <v>824</v>
      </c>
    </row>
    <row r="689" spans="20:31" ht="14.4">
      <c r="T689" s="25" t="s">
        <v>832</v>
      </c>
      <c r="U689" s="25" t="s">
        <v>854</v>
      </c>
      <c r="V689" s="25" t="s">
        <v>935</v>
      </c>
      <c r="W689" s="25" t="str">
        <f t="shared" si="29"/>
        <v>NoneTop FixBecker Remote Motor</v>
      </c>
      <c r="X689" s="25">
        <v>0</v>
      </c>
      <c r="Y689" s="25" t="s">
        <v>824</v>
      </c>
      <c r="Z689" s="25" t="s">
        <v>824</v>
      </c>
      <c r="AA689" s="25" t="s">
        <v>824</v>
      </c>
      <c r="AB689" s="25" t="s">
        <v>824</v>
      </c>
      <c r="AC689" s="25" t="s">
        <v>821</v>
      </c>
      <c r="AD689" s="25" t="s">
        <v>824</v>
      </c>
      <c r="AE689" s="25" t="s">
        <v>824</v>
      </c>
    </row>
    <row r="690" spans="20:31" ht="14.4">
      <c r="T690" s="25" t="s">
        <v>832</v>
      </c>
      <c r="U690" s="25" t="s">
        <v>854</v>
      </c>
      <c r="V690" s="25" t="s">
        <v>939</v>
      </c>
      <c r="W690" s="25" t="str">
        <f t="shared" si="29"/>
        <v>NoneTop FixBecker CBUS Motor</v>
      </c>
      <c r="X690" s="25">
        <v>0</v>
      </c>
      <c r="Y690" s="25" t="s">
        <v>824</v>
      </c>
      <c r="Z690" s="25" t="s">
        <v>824</v>
      </c>
      <c r="AA690" s="25" t="s">
        <v>824</v>
      </c>
      <c r="AB690" s="25" t="s">
        <v>824</v>
      </c>
      <c r="AC690" s="25" t="s">
        <v>821</v>
      </c>
      <c r="AD690" s="25" t="s">
        <v>824</v>
      </c>
      <c r="AE690" s="25" t="s">
        <v>824</v>
      </c>
    </row>
    <row r="691" spans="20:31" ht="14.4">
      <c r="T691" s="25" t="s">
        <v>832</v>
      </c>
      <c r="U691" s="25" t="s">
        <v>854</v>
      </c>
      <c r="V691" s="25" t="s">
        <v>946</v>
      </c>
      <c r="W691" s="25" t="str">
        <f t="shared" si="29"/>
        <v>NoneTop FixBecker External Remote Motor</v>
      </c>
      <c r="X691" s="25">
        <v>0</v>
      </c>
      <c r="Y691" s="25" t="s">
        <v>824</v>
      </c>
      <c r="Z691" s="25" t="s">
        <v>824</v>
      </c>
      <c r="AA691" s="25" t="s">
        <v>824</v>
      </c>
      <c r="AB691" s="25" t="s">
        <v>824</v>
      </c>
      <c r="AC691" s="25" t="s">
        <v>821</v>
      </c>
      <c r="AD691" s="25" t="s">
        <v>824</v>
      </c>
      <c r="AE691" s="25" t="s">
        <v>824</v>
      </c>
    </row>
    <row r="692" spans="20:31" ht="14.4">
      <c r="T692" s="25" t="s">
        <v>832</v>
      </c>
      <c r="U692" s="25" t="s">
        <v>854</v>
      </c>
      <c r="V692" s="25" t="s">
        <v>951</v>
      </c>
      <c r="W692" s="25" t="str">
        <f t="shared" si="29"/>
        <v>NoneTop FixBecker External CBUS Motor</v>
      </c>
      <c r="X692" s="25">
        <v>0</v>
      </c>
      <c r="Y692" s="25" t="s">
        <v>824</v>
      </c>
      <c r="Z692" s="25" t="s">
        <v>824</v>
      </c>
      <c r="AA692" s="25" t="s">
        <v>824</v>
      </c>
      <c r="AB692" s="25" t="s">
        <v>824</v>
      </c>
      <c r="AC692" s="25" t="s">
        <v>821</v>
      </c>
      <c r="AD692" s="25" t="s">
        <v>824</v>
      </c>
      <c r="AE692" s="25" t="s">
        <v>824</v>
      </c>
    </row>
    <row r="693" spans="20:31" ht="14.4">
      <c r="T693" s="25" t="s">
        <v>832</v>
      </c>
      <c r="U693" s="25" t="s">
        <v>854</v>
      </c>
      <c r="V693" s="25" t="s">
        <v>838</v>
      </c>
      <c r="W693" s="25" t="str">
        <f t="shared" si="29"/>
        <v>NoneTop Fix1.1nm 12v Acmeda Motor</v>
      </c>
      <c r="X693" s="25">
        <v>0</v>
      </c>
      <c r="Y693" s="25" t="s">
        <v>824</v>
      </c>
      <c r="Z693" s="25" t="s">
        <v>824</v>
      </c>
      <c r="AA693" s="25" t="s">
        <v>824</v>
      </c>
      <c r="AB693" s="25" t="s">
        <v>824</v>
      </c>
      <c r="AC693" s="25" t="s">
        <v>821</v>
      </c>
      <c r="AD693" s="25" t="s">
        <v>824</v>
      </c>
      <c r="AE693" s="25" t="s">
        <v>824</v>
      </c>
    </row>
    <row r="694" spans="20:31" ht="14.4">
      <c r="T694" s="25" t="s">
        <v>832</v>
      </c>
      <c r="U694" s="25" t="s">
        <v>854</v>
      </c>
      <c r="V694" t="s">
        <v>882</v>
      </c>
      <c r="W694" s="25" t="str">
        <f t="shared" si="29"/>
        <v>NoneTop Fix2nm 12v Acmeda Motor</v>
      </c>
      <c r="X694" s="25">
        <v>0</v>
      </c>
      <c r="Y694" s="25" t="s">
        <v>824</v>
      </c>
      <c r="Z694" s="25" t="s">
        <v>824</v>
      </c>
      <c r="AA694" s="25" t="s">
        <v>824</v>
      </c>
      <c r="AB694" s="25" t="s">
        <v>824</v>
      </c>
      <c r="AC694" s="25" t="s">
        <v>821</v>
      </c>
      <c r="AD694" s="25" t="s">
        <v>824</v>
      </c>
      <c r="AE694" s="25" t="s">
        <v>824</v>
      </c>
    </row>
    <row r="695" spans="20:31" ht="14.4">
      <c r="T695" s="25" t="s">
        <v>832</v>
      </c>
      <c r="U695" s="25" t="s">
        <v>854</v>
      </c>
      <c r="V695" t="s">
        <v>896</v>
      </c>
      <c r="W695" s="25" t="str">
        <f t="shared" si="29"/>
        <v>NoneTop FixAcmeda 12v 6nm Motor</v>
      </c>
      <c r="X695" s="25">
        <v>0</v>
      </c>
      <c r="Y695" s="25" t="s">
        <v>824</v>
      </c>
      <c r="Z695" s="25" t="s">
        <v>824</v>
      </c>
      <c r="AA695" s="25" t="s">
        <v>824</v>
      </c>
      <c r="AB695" s="25" t="s">
        <v>824</v>
      </c>
      <c r="AC695" s="25" t="s">
        <v>821</v>
      </c>
      <c r="AD695" s="25" t="s">
        <v>824</v>
      </c>
      <c r="AE695" s="25" t="s">
        <v>824</v>
      </c>
    </row>
    <row r="696" spans="20:31" ht="14.4">
      <c r="T696" s="25" t="s">
        <v>832</v>
      </c>
      <c r="U696" s="25" t="s">
        <v>854</v>
      </c>
      <c r="V696" t="s">
        <v>855</v>
      </c>
      <c r="W696" s="25" t="str">
        <f t="shared" si="29"/>
        <v>NoneTop Fix0.7nm 12v Acmeda Motor</v>
      </c>
      <c r="X696" s="25">
        <v>0</v>
      </c>
      <c r="Y696" s="25" t="s">
        <v>824</v>
      </c>
      <c r="Z696" s="25" t="s">
        <v>824</v>
      </c>
      <c r="AA696" s="25" t="s">
        <v>824</v>
      </c>
      <c r="AB696" s="25" t="s">
        <v>824</v>
      </c>
      <c r="AC696" s="25" t="s">
        <v>821</v>
      </c>
      <c r="AD696" s="25" t="s">
        <v>824</v>
      </c>
      <c r="AE696" s="25" t="s">
        <v>824</v>
      </c>
    </row>
    <row r="697" spans="20:31" ht="14.4">
      <c r="T697" s="25" t="s">
        <v>832</v>
      </c>
      <c r="U697" s="25" t="s">
        <v>854</v>
      </c>
      <c r="V697" s="25" t="s">
        <v>849</v>
      </c>
      <c r="W697" s="25" t="str">
        <f t="shared" si="29"/>
        <v>NoneTop Fix1.1nm 12v Acmeda DCRF Motor with External Battery</v>
      </c>
      <c r="X697" s="25">
        <v>0</v>
      </c>
      <c r="Y697" s="25" t="s">
        <v>824</v>
      </c>
      <c r="Z697" s="25" t="s">
        <v>824</v>
      </c>
      <c r="AA697" s="25" t="s">
        <v>824</v>
      </c>
      <c r="AB697" s="25" t="s">
        <v>824</v>
      </c>
      <c r="AC697" s="25" t="s">
        <v>821</v>
      </c>
      <c r="AD697" s="25" t="s">
        <v>824</v>
      </c>
      <c r="AE697" s="25" t="s">
        <v>824</v>
      </c>
    </row>
    <row r="698" spans="20:31" ht="14.4">
      <c r="T698" s="25" t="s">
        <v>832</v>
      </c>
      <c r="U698" s="25" t="s">
        <v>854</v>
      </c>
      <c r="V698" s="25" t="s">
        <v>817</v>
      </c>
      <c r="W698" s="25" t="str">
        <f t="shared" si="29"/>
        <v>NoneTop Fix1.1nm 12v Acmeda DCRF Motor</v>
      </c>
      <c r="X698" s="25">
        <v>0</v>
      </c>
      <c r="Y698" s="25" t="s">
        <v>824</v>
      </c>
      <c r="Z698" s="25" t="s">
        <v>824</v>
      </c>
      <c r="AA698" s="25" t="s">
        <v>824</v>
      </c>
      <c r="AB698" s="25" t="s">
        <v>824</v>
      </c>
      <c r="AC698" s="25" t="s">
        <v>821</v>
      </c>
      <c r="AD698" s="25" t="s">
        <v>824</v>
      </c>
      <c r="AE698" s="25" t="s">
        <v>824</v>
      </c>
    </row>
    <row r="699" spans="20:31" ht="14.4">
      <c r="T699" s="25" t="s">
        <v>832</v>
      </c>
      <c r="U699" s="25" t="s">
        <v>854</v>
      </c>
      <c r="V699" s="25" t="s">
        <v>868</v>
      </c>
      <c r="W699" s="25" t="str">
        <f t="shared" si="29"/>
        <v>NoneTop Fix2nm 12v Acmeda DCRF Motor</v>
      </c>
      <c r="X699" s="25">
        <v>0</v>
      </c>
      <c r="Y699" s="25" t="s">
        <v>824</v>
      </c>
      <c r="Z699" s="25" t="s">
        <v>824</v>
      </c>
      <c r="AA699" s="25" t="s">
        <v>824</v>
      </c>
      <c r="AB699" s="25" t="s">
        <v>824</v>
      </c>
      <c r="AC699" s="25" t="s">
        <v>821</v>
      </c>
      <c r="AD699" s="25" t="s">
        <v>824</v>
      </c>
      <c r="AE699" s="25" t="s">
        <v>824</v>
      </c>
    </row>
    <row r="700" spans="20:31" ht="14.4">
      <c r="T700" s="25" t="s">
        <v>832</v>
      </c>
      <c r="U700" s="25" t="s">
        <v>854</v>
      </c>
      <c r="V700" t="s">
        <v>973</v>
      </c>
      <c r="W700" s="25" t="str">
        <f t="shared" si="29"/>
        <v>NoneTop FixSomfy Remote Sonesse Motor</v>
      </c>
      <c r="X700" s="25">
        <v>0</v>
      </c>
      <c r="Y700" s="25" t="s">
        <v>824</v>
      </c>
      <c r="Z700" s="25" t="s">
        <v>824</v>
      </c>
      <c r="AA700" s="25" t="s">
        <v>824</v>
      </c>
      <c r="AB700" s="25" t="s">
        <v>824</v>
      </c>
      <c r="AC700" s="25" t="s">
        <v>821</v>
      </c>
      <c r="AD700" s="25" t="s">
        <v>824</v>
      </c>
      <c r="AE700" s="25" t="s">
        <v>824</v>
      </c>
    </row>
    <row r="701" spans="20:31" ht="14.4">
      <c r="T701" s="25" t="s">
        <v>832</v>
      </c>
      <c r="U701" s="25" t="s">
        <v>854</v>
      </c>
      <c r="V701" t="s">
        <v>637</v>
      </c>
      <c r="W701" s="25" t="str">
        <f t="shared" si="29"/>
        <v>NoneTop FixSomfy 12v Remote Sonesse Motor</v>
      </c>
      <c r="X701" s="25">
        <v>0</v>
      </c>
      <c r="Y701" s="25" t="s">
        <v>824</v>
      </c>
      <c r="Z701" s="25" t="s">
        <v>824</v>
      </c>
      <c r="AA701" s="25" t="s">
        <v>824</v>
      </c>
      <c r="AB701" s="25" t="s">
        <v>824</v>
      </c>
      <c r="AC701" s="25" t="s">
        <v>821</v>
      </c>
      <c r="AD701" s="25" t="s">
        <v>824</v>
      </c>
      <c r="AE701" s="25" t="s">
        <v>824</v>
      </c>
    </row>
    <row r="702" spans="20:31" ht="14.4">
      <c r="T702" s="25" t="s">
        <v>832</v>
      </c>
      <c r="U702" s="25" t="s">
        <v>854</v>
      </c>
      <c r="V702" s="25" t="s">
        <v>974</v>
      </c>
      <c r="W702" s="25" t="str">
        <f t="shared" si="29"/>
        <v>NoneTop FixSomfy CBUS Motor</v>
      </c>
      <c r="X702" s="25">
        <v>0</v>
      </c>
      <c r="Y702" s="25" t="s">
        <v>824</v>
      </c>
      <c r="Z702" s="25" t="s">
        <v>824</v>
      </c>
      <c r="AA702" s="25" t="s">
        <v>824</v>
      </c>
      <c r="AB702" s="25" t="s">
        <v>824</v>
      </c>
      <c r="AC702" s="25" t="s">
        <v>821</v>
      </c>
      <c r="AD702" s="25" t="s">
        <v>824</v>
      </c>
      <c r="AE702" s="25" t="s">
        <v>824</v>
      </c>
    </row>
    <row r="703" spans="20:31" ht="14.4">
      <c r="T703" s="25" t="s">
        <v>832</v>
      </c>
      <c r="U703" s="25" t="s">
        <v>854</v>
      </c>
      <c r="V703" t="s">
        <v>986</v>
      </c>
      <c r="W703" s="25" t="str">
        <f t="shared" si="29"/>
        <v>NoneTop FixHD Somfy Remote Sonesse Motor</v>
      </c>
      <c r="X703" s="25">
        <v>0</v>
      </c>
      <c r="Y703" s="25" t="s">
        <v>824</v>
      </c>
      <c r="Z703" s="25" t="s">
        <v>824</v>
      </c>
      <c r="AA703" s="25" t="s">
        <v>824</v>
      </c>
      <c r="AB703" s="25" t="s">
        <v>824</v>
      </c>
      <c r="AC703" s="25" t="s">
        <v>821</v>
      </c>
      <c r="AD703" s="25" t="s">
        <v>824</v>
      </c>
      <c r="AE703" s="25" t="s">
        <v>824</v>
      </c>
    </row>
    <row r="704" spans="20:31" ht="14.4">
      <c r="T704" s="25" t="s">
        <v>832</v>
      </c>
      <c r="U704" s="25" t="s">
        <v>854</v>
      </c>
      <c r="V704" t="s">
        <v>989</v>
      </c>
      <c r="W704" s="25" t="str">
        <f t="shared" si="29"/>
        <v>NoneTop FixHD Somfy 12v Remote Sonesse Motor</v>
      </c>
      <c r="X704" s="25">
        <v>0</v>
      </c>
      <c r="Y704" s="25" t="s">
        <v>824</v>
      </c>
      <c r="Z704" s="25" t="s">
        <v>824</v>
      </c>
      <c r="AA704" s="25" t="s">
        <v>824</v>
      </c>
      <c r="AB704" s="25" t="s">
        <v>824</v>
      </c>
      <c r="AC704" s="25" t="s">
        <v>821</v>
      </c>
      <c r="AD704" s="25" t="s">
        <v>824</v>
      </c>
      <c r="AE704" s="25" t="s">
        <v>824</v>
      </c>
    </row>
    <row r="705" spans="20:31" ht="14.4">
      <c r="T705" s="25" t="s">
        <v>832</v>
      </c>
      <c r="U705" s="25" t="s">
        <v>854</v>
      </c>
      <c r="V705" s="25" t="s">
        <v>992</v>
      </c>
      <c r="W705" s="25" t="str">
        <f t="shared" si="29"/>
        <v>NoneTop FixHD Somfy CBUS Motor</v>
      </c>
      <c r="X705" s="25">
        <v>0</v>
      </c>
      <c r="Y705" s="25" t="s">
        <v>824</v>
      </c>
      <c r="Z705" s="25" t="s">
        <v>824</v>
      </c>
      <c r="AA705" s="25" t="s">
        <v>824</v>
      </c>
      <c r="AB705" s="25" t="s">
        <v>824</v>
      </c>
      <c r="AC705" s="25" t="s">
        <v>821</v>
      </c>
      <c r="AD705" s="25" t="s">
        <v>824</v>
      </c>
      <c r="AE705" s="25" t="s">
        <v>824</v>
      </c>
    </row>
    <row r="706" spans="20:31" ht="14.4">
      <c r="T706" s="25" t="s">
        <v>832</v>
      </c>
      <c r="U706" s="25" t="s">
        <v>854</v>
      </c>
      <c r="V706" s="25" t="s">
        <v>625</v>
      </c>
      <c r="W706" s="25" t="str">
        <f t="shared" si="29"/>
        <v>NoneTop FixAcmeda E6 Motor</v>
      </c>
      <c r="X706" s="25">
        <v>0</v>
      </c>
      <c r="Y706" s="25" t="s">
        <v>824</v>
      </c>
      <c r="Z706" s="25" t="s">
        <v>824</v>
      </c>
      <c r="AA706" s="25" t="s">
        <v>824</v>
      </c>
      <c r="AB706" s="25" t="s">
        <v>824</v>
      </c>
      <c r="AC706" s="25" t="s">
        <v>821</v>
      </c>
      <c r="AD706" s="25" t="s">
        <v>824</v>
      </c>
      <c r="AE706" s="25" t="s">
        <v>824</v>
      </c>
    </row>
    <row r="707" spans="20:31" ht="14.4">
      <c r="T707" s="25" t="s">
        <v>832</v>
      </c>
      <c r="U707" s="25" t="s">
        <v>854</v>
      </c>
      <c r="V707" s="25" t="s">
        <v>626</v>
      </c>
      <c r="W707" s="25" t="str">
        <f t="shared" si="30" ref="W707:W770">CONCATENATE(T707,U707,V707)</f>
        <v>NoneTop FixAcmeda M6 Motor</v>
      </c>
      <c r="X707" s="25">
        <v>0</v>
      </c>
      <c r="Y707" s="25" t="s">
        <v>824</v>
      </c>
      <c r="Z707" s="25" t="s">
        <v>824</v>
      </c>
      <c r="AA707" s="25" t="s">
        <v>824</v>
      </c>
      <c r="AB707" s="25" t="s">
        <v>824</v>
      </c>
      <c r="AC707" s="25" t="s">
        <v>821</v>
      </c>
      <c r="AD707" s="25" t="s">
        <v>824</v>
      </c>
      <c r="AE707" s="25" t="s">
        <v>824</v>
      </c>
    </row>
    <row r="708" spans="20:31" ht="14.4">
      <c r="T708" s="25" t="s">
        <v>832</v>
      </c>
      <c r="U708" s="25" t="s">
        <v>854</v>
      </c>
      <c r="V708" s="25" t="s">
        <v>1002</v>
      </c>
      <c r="W708" s="25" t="str">
        <f t="shared" si="30"/>
        <v>NoneTop FixUniline Remote Motor</v>
      </c>
      <c r="X708" s="25">
        <v>0</v>
      </c>
      <c r="Y708" s="25" t="s">
        <v>824</v>
      </c>
      <c r="Z708" s="25" t="s">
        <v>824</v>
      </c>
      <c r="AA708" s="25" t="s">
        <v>824</v>
      </c>
      <c r="AB708" s="25" t="s">
        <v>824</v>
      </c>
      <c r="AC708" s="25" t="s">
        <v>821</v>
      </c>
      <c r="AD708" s="25" t="s">
        <v>824</v>
      </c>
      <c r="AE708" s="25" t="s">
        <v>824</v>
      </c>
    </row>
    <row r="709" spans="20:31" ht="14.4">
      <c r="T709" s="25" t="s">
        <v>832</v>
      </c>
      <c r="U709" s="25" t="s">
        <v>854</v>
      </c>
      <c r="V709" s="25" t="s">
        <v>1005</v>
      </c>
      <c r="W709" s="25" t="str">
        <f t="shared" si="30"/>
        <v>NoneTop FixUniline Cbus Motor</v>
      </c>
      <c r="X709" s="25">
        <v>0</v>
      </c>
      <c r="Y709" s="25" t="s">
        <v>824</v>
      </c>
      <c r="Z709" s="25" t="s">
        <v>824</v>
      </c>
      <c r="AA709" s="25" t="s">
        <v>824</v>
      </c>
      <c r="AB709" s="25" t="s">
        <v>824</v>
      </c>
      <c r="AC709" s="25" t="s">
        <v>821</v>
      </c>
      <c r="AD709" s="25" t="s">
        <v>824</v>
      </c>
      <c r="AE709" s="25" t="s">
        <v>824</v>
      </c>
    </row>
    <row r="710" spans="20:31" ht="14.4">
      <c r="T710" s="25" t="s">
        <v>832</v>
      </c>
      <c r="U710" s="25" t="s">
        <v>854</v>
      </c>
      <c r="V710" s="25" t="s">
        <v>981</v>
      </c>
      <c r="W710" s="25" t="str">
        <f t="shared" si="30"/>
        <v>NoneTop FixNice Remote Motor</v>
      </c>
      <c r="X710" s="25">
        <v>0</v>
      </c>
      <c r="Y710" s="25" t="s">
        <v>824</v>
      </c>
      <c r="Z710" s="25" t="s">
        <v>824</v>
      </c>
      <c r="AA710" s="25" t="s">
        <v>824</v>
      </c>
      <c r="AB710" s="25" t="s">
        <v>824</v>
      </c>
      <c r="AC710" s="25" t="s">
        <v>821</v>
      </c>
      <c r="AD710" s="25" t="s">
        <v>824</v>
      </c>
      <c r="AE710" s="25" t="s">
        <v>824</v>
      </c>
    </row>
    <row r="711" spans="20:31" ht="14.4">
      <c r="T711" s="25" t="s">
        <v>832</v>
      </c>
      <c r="U711" s="25" t="s">
        <v>854</v>
      </c>
      <c r="V711" s="25" t="s">
        <v>976</v>
      </c>
      <c r="W711" s="25" t="str">
        <f t="shared" si="30"/>
        <v>NoneTop FixNice CBus Motor</v>
      </c>
      <c r="X711" s="25">
        <v>0</v>
      </c>
      <c r="Y711" s="25" t="s">
        <v>824</v>
      </c>
      <c r="Z711" s="25" t="s">
        <v>824</v>
      </c>
      <c r="AA711" s="25" t="s">
        <v>824</v>
      </c>
      <c r="AB711" s="25" t="s">
        <v>824</v>
      </c>
      <c r="AC711" s="25" t="s">
        <v>821</v>
      </c>
      <c r="AD711" s="25" t="s">
        <v>824</v>
      </c>
      <c r="AE711" s="25" t="s">
        <v>824</v>
      </c>
    </row>
    <row r="712" spans="20:31" ht="14.4">
      <c r="T712" s="25" t="s">
        <v>832</v>
      </c>
      <c r="U712" s="25" t="s">
        <v>854</v>
      </c>
      <c r="V712" t="s">
        <v>1006</v>
      </c>
      <c r="W712" s="25" t="str">
        <f t="shared" si="30"/>
        <v>NoneTop FixSunboss Chain Winder 38mm Tube</v>
      </c>
      <c r="X712" s="25">
        <v>0</v>
      </c>
      <c r="Y712" s="25" t="s">
        <v>824</v>
      </c>
      <c r="Z712" s="25" t="s">
        <v>824</v>
      </c>
      <c r="AA712" s="25" t="s">
        <v>824</v>
      </c>
      <c r="AB712" s="25" t="s">
        <v>824</v>
      </c>
      <c r="AC712" s="25" t="s">
        <v>821</v>
      </c>
      <c r="AD712" s="25" t="s">
        <v>824</v>
      </c>
      <c r="AE712" s="25" t="s">
        <v>824</v>
      </c>
    </row>
    <row r="713" spans="20:31" ht="14.4">
      <c r="T713" s="25" t="s">
        <v>832</v>
      </c>
      <c r="U713" s="25" t="s">
        <v>854</v>
      </c>
      <c r="V713" t="s">
        <v>1017</v>
      </c>
      <c r="W713" s="25" t="str">
        <f t="shared" si="30"/>
        <v>NoneTop FixSunboss Chain Winder 43mm Tube</v>
      </c>
      <c r="X713" s="25">
        <v>0</v>
      </c>
      <c r="Y713" s="25" t="s">
        <v>824</v>
      </c>
      <c r="Z713" s="25" t="s">
        <v>824</v>
      </c>
      <c r="AA713" s="25" t="s">
        <v>824</v>
      </c>
      <c r="AB713" s="25" t="s">
        <v>824</v>
      </c>
      <c r="AC713" s="25" t="s">
        <v>821</v>
      </c>
      <c r="AD713" s="25" t="s">
        <v>824</v>
      </c>
      <c r="AE713" s="25" t="s">
        <v>824</v>
      </c>
    </row>
    <row r="714" spans="20:31" ht="14.4">
      <c r="T714" s="25" t="s">
        <v>832</v>
      </c>
      <c r="U714" s="25" t="s">
        <v>854</v>
      </c>
      <c r="V714" s="25" t="s">
        <v>1012</v>
      </c>
      <c r="W714" s="25" t="str">
        <f t="shared" si="30"/>
        <v>NoneTop FixTBS Remote Motor</v>
      </c>
      <c r="X714" s="25">
        <v>0</v>
      </c>
      <c r="Y714" s="25" t="s">
        <v>824</v>
      </c>
      <c r="Z714" s="25" t="s">
        <v>824</v>
      </c>
      <c r="AA714" s="25" t="s">
        <v>824</v>
      </c>
      <c r="AB714" s="25" t="s">
        <v>824</v>
      </c>
      <c r="AC714" s="25" t="s">
        <v>821</v>
      </c>
      <c r="AD714" s="25" t="s">
        <v>824</v>
      </c>
      <c r="AE714" s="25" t="s">
        <v>824</v>
      </c>
    </row>
    <row r="715" spans="20:31" ht="14.4">
      <c r="T715" s="25" t="s">
        <v>832</v>
      </c>
      <c r="U715" s="25" t="s">
        <v>854</v>
      </c>
      <c r="V715" t="s">
        <v>1009</v>
      </c>
      <c r="W715" s="25" t="str">
        <f t="shared" si="30"/>
        <v>NoneTop FixTBS Cbus Motor</v>
      </c>
      <c r="X715" s="25">
        <v>0</v>
      </c>
      <c r="Y715" s="25" t="s">
        <v>824</v>
      </c>
      <c r="Z715" s="25" t="s">
        <v>824</v>
      </c>
      <c r="AA715" s="25" t="s">
        <v>824</v>
      </c>
      <c r="AB715" s="25" t="s">
        <v>824</v>
      </c>
      <c r="AC715" s="25" t="s">
        <v>821</v>
      </c>
      <c r="AD715" s="25" t="s">
        <v>824</v>
      </c>
      <c r="AE715" s="25" t="s">
        <v>824</v>
      </c>
    </row>
    <row r="716" spans="20:31" ht="14.4">
      <c r="T716" s="25" t="s">
        <v>832</v>
      </c>
      <c r="U716" s="25" t="s">
        <v>854</v>
      </c>
      <c r="V716" t="s">
        <v>927</v>
      </c>
      <c r="W716" s="25" t="str">
        <f t="shared" si="30"/>
        <v>NoneTop FixAcmeda External Motor</v>
      </c>
      <c r="X716" s="25">
        <v>0</v>
      </c>
      <c r="Y716" s="25" t="s">
        <v>824</v>
      </c>
      <c r="Z716" s="25" t="s">
        <v>824</v>
      </c>
      <c r="AA716" s="25" t="s">
        <v>824</v>
      </c>
      <c r="AB716" s="25" t="s">
        <v>824</v>
      </c>
      <c r="AC716" s="25" t="s">
        <v>821</v>
      </c>
      <c r="AD716" s="25" t="s">
        <v>824</v>
      </c>
      <c r="AE716" s="25" t="s">
        <v>824</v>
      </c>
    </row>
    <row r="717" spans="20:31" ht="14.4">
      <c r="T717" s="25" t="s">
        <v>832</v>
      </c>
      <c r="U717" s="25" t="s">
        <v>854</v>
      </c>
      <c r="V717" t="s">
        <v>918</v>
      </c>
      <c r="W717" s="25" t="str">
        <f t="shared" si="30"/>
        <v>NoneTop FixAcmeda External 12v Motor</v>
      </c>
      <c r="X717" s="25">
        <v>0</v>
      </c>
      <c r="Y717" s="25" t="s">
        <v>824</v>
      </c>
      <c r="Z717" s="25" t="s">
        <v>824</v>
      </c>
      <c r="AA717" s="25" t="s">
        <v>824</v>
      </c>
      <c r="AB717" s="25" t="s">
        <v>824</v>
      </c>
      <c r="AC717" s="25" t="s">
        <v>821</v>
      </c>
      <c r="AD717" s="25" t="s">
        <v>824</v>
      </c>
      <c r="AE717" s="25" t="s">
        <v>824</v>
      </c>
    </row>
    <row r="718" spans="20:31" ht="14.4">
      <c r="T718" s="25" t="s">
        <v>832</v>
      </c>
      <c r="U718" s="25" t="s">
        <v>854</v>
      </c>
      <c r="V718" t="s">
        <v>979</v>
      </c>
      <c r="W718" s="25" t="str">
        <f t="shared" si="30"/>
        <v>NoneTop FixSomfy External CBUS Motor</v>
      </c>
      <c r="X718" s="25">
        <v>0</v>
      </c>
      <c r="Y718" s="25" t="s">
        <v>824</v>
      </c>
      <c r="Z718" s="25" t="s">
        <v>824</v>
      </c>
      <c r="AA718" s="25" t="s">
        <v>824</v>
      </c>
      <c r="AB718" s="25" t="s">
        <v>824</v>
      </c>
      <c r="AC718" s="25" t="s">
        <v>821</v>
      </c>
      <c r="AD718" s="25" t="s">
        <v>824</v>
      </c>
      <c r="AE718" s="25" t="s">
        <v>824</v>
      </c>
    </row>
    <row r="719" spans="20:31" ht="14.4">
      <c r="T719" s="25" t="s">
        <v>832</v>
      </c>
      <c r="U719" s="25" t="s">
        <v>854</v>
      </c>
      <c r="V719" t="s">
        <v>983</v>
      </c>
      <c r="W719" s="25" t="str">
        <f t="shared" si="30"/>
        <v>NoneTop FixSomfy External Remote Motor</v>
      </c>
      <c r="X719" s="25">
        <v>0</v>
      </c>
      <c r="Y719" s="25" t="s">
        <v>824</v>
      </c>
      <c r="Z719" s="25" t="s">
        <v>824</v>
      </c>
      <c r="AA719" s="25" t="s">
        <v>824</v>
      </c>
      <c r="AB719" s="25" t="s">
        <v>824</v>
      </c>
      <c r="AC719" s="25" t="s">
        <v>821</v>
      </c>
      <c r="AD719" s="25" t="s">
        <v>824</v>
      </c>
      <c r="AE719" s="25" t="s">
        <v>824</v>
      </c>
    </row>
    <row r="720" spans="20:31" ht="14.4">
      <c r="T720" s="25" t="s">
        <v>832</v>
      </c>
      <c r="U720" s="25" t="s">
        <v>854</v>
      </c>
      <c r="V720" t="s">
        <v>995</v>
      </c>
      <c r="W720" s="25" t="str">
        <f t="shared" si="30"/>
        <v>NoneTop FixHD Somfy External CBUS Motor</v>
      </c>
      <c r="X720" s="25">
        <v>0</v>
      </c>
      <c r="Y720" s="25" t="s">
        <v>824</v>
      </c>
      <c r="Z720" s="25" t="s">
        <v>824</v>
      </c>
      <c r="AA720" s="25" t="s">
        <v>824</v>
      </c>
      <c r="AB720" s="25" t="s">
        <v>824</v>
      </c>
      <c r="AC720" s="25" t="s">
        <v>821</v>
      </c>
      <c r="AD720" s="25" t="s">
        <v>824</v>
      </c>
      <c r="AE720" s="25" t="s">
        <v>824</v>
      </c>
    </row>
    <row r="721" spans="20:31" ht="14.4">
      <c r="T721" s="25" t="s">
        <v>832</v>
      </c>
      <c r="U721" s="25" t="s">
        <v>854</v>
      </c>
      <c r="V721" t="s">
        <v>999</v>
      </c>
      <c r="W721" s="25" t="str">
        <f t="shared" si="30"/>
        <v>NoneTop FixHD Somfy External Remote Motor</v>
      </c>
      <c r="X721" s="25">
        <v>0</v>
      </c>
      <c r="Y721" s="25" t="s">
        <v>824</v>
      </c>
      <c r="Z721" s="25" t="s">
        <v>824</v>
      </c>
      <c r="AA721" s="25" t="s">
        <v>824</v>
      </c>
      <c r="AB721" s="25" t="s">
        <v>824</v>
      </c>
      <c r="AC721" s="25" t="s">
        <v>821</v>
      </c>
      <c r="AD721" s="25" t="s">
        <v>824</v>
      </c>
      <c r="AE721" s="25" t="s">
        <v>824</v>
      </c>
    </row>
    <row r="722" spans="20:31" ht="14.4">
      <c r="T722" s="25" t="s">
        <v>832</v>
      </c>
      <c r="U722" s="25" t="s">
        <v>880</v>
      </c>
      <c r="V722" s="25" t="s">
        <v>823</v>
      </c>
      <c r="W722" s="25" t="str">
        <f t="shared" si="30"/>
        <v>NoneInside Window MountChain Winder</v>
      </c>
      <c r="X722" s="25">
        <v>0</v>
      </c>
      <c r="Y722" s="25" t="s">
        <v>824</v>
      </c>
      <c r="Z722" s="25" t="s">
        <v>824</v>
      </c>
      <c r="AA722" s="25" t="s">
        <v>824</v>
      </c>
      <c r="AB722" s="25" t="s">
        <v>824</v>
      </c>
      <c r="AC722" s="25" t="s">
        <v>821</v>
      </c>
      <c r="AD722" s="25" t="s">
        <v>824</v>
      </c>
      <c r="AE722" s="25" t="s">
        <v>824</v>
      </c>
    </row>
    <row r="723" spans="20:31" ht="14.4">
      <c r="T723" s="25" t="s">
        <v>832</v>
      </c>
      <c r="U723" s="25" t="s">
        <v>880</v>
      </c>
      <c r="V723" s="25" t="s">
        <v>823</v>
      </c>
      <c r="W723" s="25" t="str">
        <f t="shared" si="30"/>
        <v>NoneInside Window MountChain Winder</v>
      </c>
      <c r="X723" s="25">
        <v>0</v>
      </c>
      <c r="Y723" s="25" t="s">
        <v>824</v>
      </c>
      <c r="Z723" s="25" t="s">
        <v>824</v>
      </c>
      <c r="AA723" s="25" t="s">
        <v>824</v>
      </c>
      <c r="AB723" s="25" t="s">
        <v>824</v>
      </c>
      <c r="AC723" s="25" t="s">
        <v>821</v>
      </c>
      <c r="AD723" s="25" t="s">
        <v>824</v>
      </c>
      <c r="AE723" s="25" t="s">
        <v>824</v>
      </c>
    </row>
    <row r="724" spans="20:31" ht="14.4">
      <c r="T724" s="25" t="s">
        <v>832</v>
      </c>
      <c r="U724" s="25" t="s">
        <v>880</v>
      </c>
      <c r="V724" s="25" t="s">
        <v>841</v>
      </c>
      <c r="W724" s="25" t="str">
        <f t="shared" si="30"/>
        <v>NoneInside Window MountHD Chain Winder</v>
      </c>
      <c r="X724" s="25">
        <v>0</v>
      </c>
      <c r="Y724" s="25" t="s">
        <v>824</v>
      </c>
      <c r="Z724" s="25" t="s">
        <v>824</v>
      </c>
      <c r="AA724" s="25" t="s">
        <v>824</v>
      </c>
      <c r="AB724" s="25" t="s">
        <v>824</v>
      </c>
      <c r="AC724" s="25" t="s">
        <v>821</v>
      </c>
      <c r="AD724" s="25" t="s">
        <v>824</v>
      </c>
      <c r="AE724" s="25" t="s">
        <v>824</v>
      </c>
    </row>
    <row r="725" spans="20:31" ht="14.4">
      <c r="T725" s="25" t="s">
        <v>832</v>
      </c>
      <c r="U725" s="25" t="s">
        <v>880</v>
      </c>
      <c r="V725" s="25" t="s">
        <v>841</v>
      </c>
      <c r="W725" s="25" t="str">
        <f t="shared" si="30"/>
        <v>NoneInside Window MountHD Chain Winder</v>
      </c>
      <c r="X725" s="25">
        <v>0</v>
      </c>
      <c r="Y725" s="25" t="s">
        <v>824</v>
      </c>
      <c r="Z725" s="25" t="s">
        <v>824</v>
      </c>
      <c r="AA725" s="25" t="s">
        <v>824</v>
      </c>
      <c r="AB725" s="25" t="s">
        <v>824</v>
      </c>
      <c r="AC725" s="25" t="s">
        <v>821</v>
      </c>
      <c r="AD725" s="25" t="s">
        <v>824</v>
      </c>
      <c r="AE725" s="25" t="s">
        <v>824</v>
      </c>
    </row>
    <row r="726" spans="20:31" ht="14.4">
      <c r="T726" s="25" t="s">
        <v>832</v>
      </c>
      <c r="U726" s="25" t="s">
        <v>880</v>
      </c>
      <c r="V726" s="25" t="s">
        <v>858</v>
      </c>
      <c r="W726" s="25" t="str">
        <f t="shared" si="30"/>
        <v>NoneInside Window MountChain Winder 60mm</v>
      </c>
      <c r="X726" s="25">
        <v>0</v>
      </c>
      <c r="Y726" s="25" t="s">
        <v>824</v>
      </c>
      <c r="Z726" s="25" t="s">
        <v>824</v>
      </c>
      <c r="AA726" s="25" t="s">
        <v>824</v>
      </c>
      <c r="AB726" s="25" t="s">
        <v>824</v>
      </c>
      <c r="AC726" s="25" t="s">
        <v>821</v>
      </c>
      <c r="AD726" s="25" t="s">
        <v>824</v>
      </c>
      <c r="AE726" s="25" t="s">
        <v>824</v>
      </c>
    </row>
    <row r="727" spans="20:31" ht="14.4">
      <c r="T727" s="25" t="s">
        <v>832</v>
      </c>
      <c r="U727" s="25" t="s">
        <v>880</v>
      </c>
      <c r="V727" s="25" t="s">
        <v>865</v>
      </c>
      <c r="W727" s="25" t="str">
        <f t="shared" si="30"/>
        <v>NoneInside Window MountChain Winder Fixed Guide</v>
      </c>
      <c r="X727" s="25">
        <v>0</v>
      </c>
      <c r="Y727" s="25" t="s">
        <v>824</v>
      </c>
      <c r="Z727" s="25" t="s">
        <v>824</v>
      </c>
      <c r="AA727" s="25" t="s">
        <v>824</v>
      </c>
      <c r="AB727" s="25" t="s">
        <v>824</v>
      </c>
      <c r="AC727" s="25" t="s">
        <v>821</v>
      </c>
      <c r="AD727" s="25" t="s">
        <v>824</v>
      </c>
      <c r="AE727" s="25" t="s">
        <v>824</v>
      </c>
    </row>
    <row r="728" spans="20:31" ht="14.4">
      <c r="T728" s="25" t="s">
        <v>832</v>
      </c>
      <c r="U728" s="25" t="s">
        <v>880</v>
      </c>
      <c r="V728" s="25" t="s">
        <v>181</v>
      </c>
      <c r="W728" s="25" t="str">
        <f t="shared" si="30"/>
        <v>NoneInside Window MountLinked</v>
      </c>
      <c r="X728" s="25">
        <v>0</v>
      </c>
      <c r="Y728" s="25" t="s">
        <v>824</v>
      </c>
      <c r="Z728" s="25" t="s">
        <v>824</v>
      </c>
      <c r="AA728" s="25" t="s">
        <v>824</v>
      </c>
      <c r="AB728" s="25" t="s">
        <v>824</v>
      </c>
      <c r="AC728" s="25" t="s">
        <v>821</v>
      </c>
      <c r="AD728" s="25" t="s">
        <v>824</v>
      </c>
      <c r="AE728" s="25" t="s">
        <v>824</v>
      </c>
    </row>
    <row r="729" spans="20:31" ht="14.4">
      <c r="T729" s="25" t="s">
        <v>832</v>
      </c>
      <c r="U729" s="25" t="s">
        <v>880</v>
      </c>
      <c r="V729" s="25" t="s">
        <v>898</v>
      </c>
      <c r="W729" s="25" t="str">
        <f t="shared" si="30"/>
        <v>NoneInside Window MountLinked - HD</v>
      </c>
      <c r="X729" s="25">
        <v>0</v>
      </c>
      <c r="Y729" s="25" t="s">
        <v>824</v>
      </c>
      <c r="Z729" s="25" t="s">
        <v>824</v>
      </c>
      <c r="AA729" s="25" t="s">
        <v>824</v>
      </c>
      <c r="AB729" s="25" t="s">
        <v>824</v>
      </c>
      <c r="AC729" s="25" t="s">
        <v>821</v>
      </c>
      <c r="AD729" s="25" t="s">
        <v>824</v>
      </c>
      <c r="AE729" s="25" t="s">
        <v>824</v>
      </c>
    </row>
    <row r="730" spans="20:31" ht="14.4">
      <c r="T730" s="25" t="s">
        <v>832</v>
      </c>
      <c r="U730" s="25" t="s">
        <v>880</v>
      </c>
      <c r="V730" s="25" t="s">
        <v>925</v>
      </c>
      <c r="W730" s="25" t="str">
        <f t="shared" si="30"/>
        <v>NoneInside Window MountLinked 60mm</v>
      </c>
      <c r="X730" s="25">
        <v>0</v>
      </c>
      <c r="Y730" s="25" t="s">
        <v>824</v>
      </c>
      <c r="Z730" s="25" t="s">
        <v>824</v>
      </c>
      <c r="AA730" s="25" t="s">
        <v>824</v>
      </c>
      <c r="AB730" s="25" t="s">
        <v>824</v>
      </c>
      <c r="AC730" s="25" t="s">
        <v>821</v>
      </c>
      <c r="AD730" s="25" t="s">
        <v>824</v>
      </c>
      <c r="AE730" s="25" t="s">
        <v>824</v>
      </c>
    </row>
    <row r="731" spans="20:31" ht="14.4">
      <c r="T731" s="25" t="s">
        <v>832</v>
      </c>
      <c r="U731" s="25" t="s">
        <v>880</v>
      </c>
      <c r="V731" s="25" t="s">
        <v>910</v>
      </c>
      <c r="W731" s="25" t="str">
        <f t="shared" si="30"/>
        <v>NoneInside Window MountStandard Spring</v>
      </c>
      <c r="X731" s="25">
        <v>0</v>
      </c>
      <c r="Y731" s="25" t="s">
        <v>824</v>
      </c>
      <c r="Z731" s="25" t="s">
        <v>824</v>
      </c>
      <c r="AA731" s="25" t="s">
        <v>824</v>
      </c>
      <c r="AB731" s="25" t="s">
        <v>824</v>
      </c>
      <c r="AC731" s="25" t="s">
        <v>821</v>
      </c>
      <c r="AD731" s="25" t="s">
        <v>824</v>
      </c>
      <c r="AE731" s="25" t="s">
        <v>824</v>
      </c>
    </row>
    <row r="732" spans="20:31" ht="14.4">
      <c r="T732" s="25" t="s">
        <v>832</v>
      </c>
      <c r="U732" s="25" t="s">
        <v>880</v>
      </c>
      <c r="V732" s="25" t="s">
        <v>920</v>
      </c>
      <c r="W732" s="25" t="str">
        <f t="shared" si="30"/>
        <v>NoneInside Window MountSmall Spring</v>
      </c>
      <c r="X732" s="25">
        <v>0</v>
      </c>
      <c r="Y732" s="25" t="s">
        <v>824</v>
      </c>
      <c r="Z732" s="25" t="s">
        <v>824</v>
      </c>
      <c r="AA732" s="25" t="s">
        <v>824</v>
      </c>
      <c r="AB732" s="25" t="s">
        <v>824</v>
      </c>
      <c r="AC732" s="25" t="s">
        <v>821</v>
      </c>
      <c r="AD732" s="25" t="s">
        <v>824</v>
      </c>
      <c r="AE732" s="25" t="s">
        <v>824</v>
      </c>
    </row>
    <row r="733" spans="20:31" ht="14.4">
      <c r="T733" s="25" t="s">
        <v>832</v>
      </c>
      <c r="U733" s="25" t="s">
        <v>880</v>
      </c>
      <c r="V733" s="25" t="s">
        <v>929</v>
      </c>
      <c r="W733" s="25" t="str">
        <f t="shared" si="30"/>
        <v>NoneInside Window MountUniline Spring (Old Style)</v>
      </c>
      <c r="X733" s="25">
        <v>0</v>
      </c>
      <c r="Y733" s="25" t="s">
        <v>824</v>
      </c>
      <c r="Z733" s="25" t="s">
        <v>824</v>
      </c>
      <c r="AA733" s="25" t="s">
        <v>824</v>
      </c>
      <c r="AB733" s="25" t="s">
        <v>824</v>
      </c>
      <c r="AC733" s="25" t="s">
        <v>821</v>
      </c>
      <c r="AD733" s="25" t="s">
        <v>824</v>
      </c>
      <c r="AE733" s="25" t="s">
        <v>824</v>
      </c>
    </row>
    <row r="734" spans="20:31" ht="14.4">
      <c r="T734" s="25" t="s">
        <v>832</v>
      </c>
      <c r="U734" s="25" t="s">
        <v>880</v>
      </c>
      <c r="V734" s="25" t="s">
        <v>935</v>
      </c>
      <c r="W734" s="25" t="str">
        <f t="shared" si="30"/>
        <v>NoneInside Window MountBecker Remote Motor</v>
      </c>
      <c r="X734" s="25">
        <v>0</v>
      </c>
      <c r="Y734" s="25" t="s">
        <v>824</v>
      </c>
      <c r="Z734" s="25" t="s">
        <v>824</v>
      </c>
      <c r="AA734" s="25" t="s">
        <v>824</v>
      </c>
      <c r="AB734" s="25" t="s">
        <v>824</v>
      </c>
      <c r="AC734" s="25" t="s">
        <v>821</v>
      </c>
      <c r="AD734" s="25" t="s">
        <v>824</v>
      </c>
      <c r="AE734" s="25" t="s">
        <v>824</v>
      </c>
    </row>
    <row r="735" spans="20:31" ht="14.4">
      <c r="T735" s="25" t="s">
        <v>832</v>
      </c>
      <c r="U735" s="25" t="s">
        <v>880</v>
      </c>
      <c r="V735" s="25" t="s">
        <v>939</v>
      </c>
      <c r="W735" s="25" t="str">
        <f t="shared" si="30"/>
        <v>NoneInside Window MountBecker CBUS Motor</v>
      </c>
      <c r="X735" s="25">
        <v>0</v>
      </c>
      <c r="Y735" s="25" t="s">
        <v>824</v>
      </c>
      <c r="Z735" s="25" t="s">
        <v>824</v>
      </c>
      <c r="AA735" s="25" t="s">
        <v>824</v>
      </c>
      <c r="AB735" s="25" t="s">
        <v>824</v>
      </c>
      <c r="AC735" s="25" t="s">
        <v>821</v>
      </c>
      <c r="AD735" s="25" t="s">
        <v>824</v>
      </c>
      <c r="AE735" s="25" t="s">
        <v>824</v>
      </c>
    </row>
    <row r="736" spans="20:31" ht="14.4">
      <c r="T736" s="25" t="s">
        <v>832</v>
      </c>
      <c r="U736" s="25" t="s">
        <v>880</v>
      </c>
      <c r="V736" s="25" t="s">
        <v>946</v>
      </c>
      <c r="W736" s="25" t="str">
        <f t="shared" si="30"/>
        <v>NoneInside Window MountBecker External Remote Motor</v>
      </c>
      <c r="X736" s="25">
        <v>0</v>
      </c>
      <c r="Y736" s="25" t="s">
        <v>824</v>
      </c>
      <c r="Z736" s="25" t="s">
        <v>824</v>
      </c>
      <c r="AA736" s="25" t="s">
        <v>824</v>
      </c>
      <c r="AB736" s="25" t="s">
        <v>824</v>
      </c>
      <c r="AC736" s="25" t="s">
        <v>821</v>
      </c>
      <c r="AD736" s="25" t="s">
        <v>824</v>
      </c>
      <c r="AE736" s="25" t="s">
        <v>824</v>
      </c>
    </row>
    <row r="737" spans="20:31" ht="14.4">
      <c r="T737" s="25" t="s">
        <v>832</v>
      </c>
      <c r="U737" s="25" t="s">
        <v>880</v>
      </c>
      <c r="V737" s="25" t="s">
        <v>951</v>
      </c>
      <c r="W737" s="25" t="str">
        <f t="shared" si="30"/>
        <v>NoneInside Window MountBecker External CBUS Motor</v>
      </c>
      <c r="X737" s="25">
        <v>0</v>
      </c>
      <c r="Y737" s="25" t="s">
        <v>824</v>
      </c>
      <c r="Z737" s="25" t="s">
        <v>824</v>
      </c>
      <c r="AA737" s="25" t="s">
        <v>824</v>
      </c>
      <c r="AB737" s="25" t="s">
        <v>824</v>
      </c>
      <c r="AC737" s="25" t="s">
        <v>821</v>
      </c>
      <c r="AD737" s="25" t="s">
        <v>824</v>
      </c>
      <c r="AE737" s="25" t="s">
        <v>824</v>
      </c>
    </row>
    <row r="738" spans="20:31" ht="14.4">
      <c r="T738" s="25" t="s">
        <v>832</v>
      </c>
      <c r="U738" s="25" t="s">
        <v>880</v>
      </c>
      <c r="V738" s="25" t="s">
        <v>838</v>
      </c>
      <c r="W738" s="25" t="str">
        <f t="shared" si="30"/>
        <v>NoneInside Window Mount1.1nm 12v Acmeda Motor</v>
      </c>
      <c r="X738" s="25">
        <v>0</v>
      </c>
      <c r="Y738" s="25" t="s">
        <v>824</v>
      </c>
      <c r="Z738" s="25" t="s">
        <v>824</v>
      </c>
      <c r="AA738" s="25" t="s">
        <v>824</v>
      </c>
      <c r="AB738" s="25" t="s">
        <v>824</v>
      </c>
      <c r="AC738" s="25" t="s">
        <v>821</v>
      </c>
      <c r="AD738" s="25" t="s">
        <v>824</v>
      </c>
      <c r="AE738" s="25" t="s">
        <v>824</v>
      </c>
    </row>
    <row r="739" spans="20:31" ht="14.4">
      <c r="T739" s="25" t="s">
        <v>832</v>
      </c>
      <c r="U739" s="25" t="s">
        <v>880</v>
      </c>
      <c r="V739" t="s">
        <v>882</v>
      </c>
      <c r="W739" s="25" t="str">
        <f t="shared" si="30"/>
        <v>NoneInside Window Mount2nm 12v Acmeda Motor</v>
      </c>
      <c r="X739" s="25">
        <v>0</v>
      </c>
      <c r="Y739" s="25" t="s">
        <v>824</v>
      </c>
      <c r="Z739" s="25" t="s">
        <v>824</v>
      </c>
      <c r="AA739" s="25" t="s">
        <v>824</v>
      </c>
      <c r="AB739" s="25" t="s">
        <v>824</v>
      </c>
      <c r="AC739" s="25" t="s">
        <v>821</v>
      </c>
      <c r="AD739" s="25" t="s">
        <v>824</v>
      </c>
      <c r="AE739" s="25" t="s">
        <v>824</v>
      </c>
    </row>
    <row r="740" spans="20:31" ht="14.4">
      <c r="T740" s="25" t="s">
        <v>832</v>
      </c>
      <c r="U740" s="25" t="s">
        <v>880</v>
      </c>
      <c r="V740" t="s">
        <v>896</v>
      </c>
      <c r="W740" s="25" t="str">
        <f t="shared" si="30"/>
        <v>NoneInside Window MountAcmeda 12v 6nm Motor</v>
      </c>
      <c r="X740" s="25">
        <v>0</v>
      </c>
      <c r="Y740" s="25" t="s">
        <v>824</v>
      </c>
      <c r="Z740" s="25" t="s">
        <v>824</v>
      </c>
      <c r="AA740" s="25" t="s">
        <v>824</v>
      </c>
      <c r="AB740" s="25" t="s">
        <v>824</v>
      </c>
      <c r="AC740" s="25" t="s">
        <v>821</v>
      </c>
      <c r="AD740" s="25" t="s">
        <v>824</v>
      </c>
      <c r="AE740" s="25" t="s">
        <v>824</v>
      </c>
    </row>
    <row r="741" spans="20:31" ht="14.4">
      <c r="T741" s="25" t="s">
        <v>832</v>
      </c>
      <c r="U741" s="25" t="s">
        <v>880</v>
      </c>
      <c r="V741" t="s">
        <v>855</v>
      </c>
      <c r="W741" s="25" t="str">
        <f t="shared" si="30"/>
        <v>NoneInside Window Mount0.7nm 12v Acmeda Motor</v>
      </c>
      <c r="X741" s="25">
        <v>0</v>
      </c>
      <c r="Y741" s="25" t="s">
        <v>824</v>
      </c>
      <c r="Z741" s="25" t="s">
        <v>824</v>
      </c>
      <c r="AA741" s="25" t="s">
        <v>824</v>
      </c>
      <c r="AB741" s="25" t="s">
        <v>824</v>
      </c>
      <c r="AC741" s="25" t="s">
        <v>821</v>
      </c>
      <c r="AD741" s="25" t="s">
        <v>824</v>
      </c>
      <c r="AE741" s="25" t="s">
        <v>824</v>
      </c>
    </row>
    <row r="742" spans="20:31" ht="14.4">
      <c r="T742" s="25" t="s">
        <v>832</v>
      </c>
      <c r="U742" s="25" t="s">
        <v>880</v>
      </c>
      <c r="V742" s="25" t="s">
        <v>849</v>
      </c>
      <c r="W742" s="25" t="str">
        <f t="shared" si="30"/>
        <v>NoneInside Window Mount1.1nm 12v Acmeda DCRF Motor with External Battery</v>
      </c>
      <c r="X742" s="25">
        <v>0</v>
      </c>
      <c r="Y742" s="25" t="s">
        <v>824</v>
      </c>
      <c r="Z742" s="25" t="s">
        <v>824</v>
      </c>
      <c r="AA742" s="25" t="s">
        <v>824</v>
      </c>
      <c r="AB742" s="25" t="s">
        <v>824</v>
      </c>
      <c r="AC742" s="25" t="s">
        <v>821</v>
      </c>
      <c r="AD742" s="25" t="s">
        <v>824</v>
      </c>
      <c r="AE742" s="25" t="s">
        <v>824</v>
      </c>
    </row>
    <row r="743" spans="20:31" ht="14.4">
      <c r="T743" s="25" t="s">
        <v>832</v>
      </c>
      <c r="U743" s="25" t="s">
        <v>880</v>
      </c>
      <c r="V743" s="25" t="s">
        <v>817</v>
      </c>
      <c r="W743" s="25" t="str">
        <f t="shared" si="30"/>
        <v>NoneInside Window Mount1.1nm 12v Acmeda DCRF Motor</v>
      </c>
      <c r="X743" s="25">
        <v>0</v>
      </c>
      <c r="Y743" s="25" t="s">
        <v>824</v>
      </c>
      <c r="Z743" s="25" t="s">
        <v>824</v>
      </c>
      <c r="AA743" s="25" t="s">
        <v>824</v>
      </c>
      <c r="AB743" s="25" t="s">
        <v>824</v>
      </c>
      <c r="AC743" s="25" t="s">
        <v>821</v>
      </c>
      <c r="AD743" s="25" t="s">
        <v>824</v>
      </c>
      <c r="AE743" s="25" t="s">
        <v>824</v>
      </c>
    </row>
    <row r="744" spans="20:31" ht="14.4">
      <c r="T744" s="25" t="s">
        <v>832</v>
      </c>
      <c r="U744" s="25" t="s">
        <v>880</v>
      </c>
      <c r="V744" s="25" t="s">
        <v>868</v>
      </c>
      <c r="W744" s="25" t="str">
        <f t="shared" si="30"/>
        <v>NoneInside Window Mount2nm 12v Acmeda DCRF Motor</v>
      </c>
      <c r="X744" s="25">
        <v>0</v>
      </c>
      <c r="Y744" s="25" t="s">
        <v>824</v>
      </c>
      <c r="Z744" s="25" t="s">
        <v>824</v>
      </c>
      <c r="AA744" s="25" t="s">
        <v>824</v>
      </c>
      <c r="AB744" s="25" t="s">
        <v>824</v>
      </c>
      <c r="AC744" s="25" t="s">
        <v>821</v>
      </c>
      <c r="AD744" s="25" t="s">
        <v>824</v>
      </c>
      <c r="AE744" s="25" t="s">
        <v>824</v>
      </c>
    </row>
    <row r="745" spans="20:31" ht="14.4">
      <c r="T745" s="25" t="s">
        <v>832</v>
      </c>
      <c r="U745" s="25" t="s">
        <v>880</v>
      </c>
      <c r="V745" t="s">
        <v>973</v>
      </c>
      <c r="W745" s="25" t="str">
        <f t="shared" si="30"/>
        <v>NoneInside Window MountSomfy Remote Sonesse Motor</v>
      </c>
      <c r="X745" s="25">
        <v>0</v>
      </c>
      <c r="Y745" s="25" t="s">
        <v>824</v>
      </c>
      <c r="Z745" s="25" t="s">
        <v>824</v>
      </c>
      <c r="AA745" s="25" t="s">
        <v>824</v>
      </c>
      <c r="AB745" s="25" t="s">
        <v>824</v>
      </c>
      <c r="AC745" s="25" t="s">
        <v>821</v>
      </c>
      <c r="AD745" s="25" t="s">
        <v>824</v>
      </c>
      <c r="AE745" s="25" t="s">
        <v>824</v>
      </c>
    </row>
    <row r="746" spans="20:31" ht="14.4">
      <c r="T746" s="25" t="s">
        <v>832</v>
      </c>
      <c r="U746" s="25" t="s">
        <v>880</v>
      </c>
      <c r="V746" t="s">
        <v>637</v>
      </c>
      <c r="W746" s="25" t="str">
        <f t="shared" si="30"/>
        <v>NoneInside Window MountSomfy 12v Remote Sonesse Motor</v>
      </c>
      <c r="X746" s="25">
        <v>0</v>
      </c>
      <c r="Y746" s="25" t="s">
        <v>824</v>
      </c>
      <c r="Z746" s="25" t="s">
        <v>824</v>
      </c>
      <c r="AA746" s="25" t="s">
        <v>824</v>
      </c>
      <c r="AB746" s="25" t="s">
        <v>824</v>
      </c>
      <c r="AC746" s="25" t="s">
        <v>821</v>
      </c>
      <c r="AD746" s="25" t="s">
        <v>824</v>
      </c>
      <c r="AE746" s="25" t="s">
        <v>824</v>
      </c>
    </row>
    <row r="747" spans="20:31" ht="14.4">
      <c r="T747" s="25" t="s">
        <v>832</v>
      </c>
      <c r="U747" s="25" t="s">
        <v>880</v>
      </c>
      <c r="V747" s="25" t="s">
        <v>974</v>
      </c>
      <c r="W747" s="25" t="str">
        <f t="shared" si="30"/>
        <v>NoneInside Window MountSomfy CBUS Motor</v>
      </c>
      <c r="X747" s="25">
        <v>0</v>
      </c>
      <c r="Y747" s="25" t="s">
        <v>824</v>
      </c>
      <c r="Z747" s="25" t="s">
        <v>824</v>
      </c>
      <c r="AA747" s="25" t="s">
        <v>824</v>
      </c>
      <c r="AB747" s="25" t="s">
        <v>824</v>
      </c>
      <c r="AC747" s="25" t="s">
        <v>821</v>
      </c>
      <c r="AD747" s="25" t="s">
        <v>824</v>
      </c>
      <c r="AE747" s="25" t="s">
        <v>824</v>
      </c>
    </row>
    <row r="748" spans="20:31" ht="14.4">
      <c r="T748" s="25" t="s">
        <v>832</v>
      </c>
      <c r="U748" s="25" t="s">
        <v>880</v>
      </c>
      <c r="V748" t="s">
        <v>986</v>
      </c>
      <c r="W748" s="25" t="str">
        <f t="shared" si="30"/>
        <v>NoneInside Window MountHD Somfy Remote Sonesse Motor</v>
      </c>
      <c r="X748" s="25">
        <v>0</v>
      </c>
      <c r="Y748" s="25" t="s">
        <v>824</v>
      </c>
      <c r="Z748" s="25" t="s">
        <v>824</v>
      </c>
      <c r="AA748" s="25" t="s">
        <v>824</v>
      </c>
      <c r="AB748" s="25" t="s">
        <v>824</v>
      </c>
      <c r="AC748" s="25" t="s">
        <v>821</v>
      </c>
      <c r="AD748" s="25" t="s">
        <v>824</v>
      </c>
      <c r="AE748" s="25" t="s">
        <v>824</v>
      </c>
    </row>
    <row r="749" spans="20:31" ht="14.4">
      <c r="T749" s="25" t="s">
        <v>832</v>
      </c>
      <c r="U749" s="25" t="s">
        <v>880</v>
      </c>
      <c r="V749" t="s">
        <v>989</v>
      </c>
      <c r="W749" s="25" t="str">
        <f t="shared" si="30"/>
        <v>NoneInside Window MountHD Somfy 12v Remote Sonesse Motor</v>
      </c>
      <c r="X749" s="25">
        <v>0</v>
      </c>
      <c r="Y749" s="25" t="s">
        <v>824</v>
      </c>
      <c r="Z749" s="25" t="s">
        <v>824</v>
      </c>
      <c r="AA749" s="25" t="s">
        <v>824</v>
      </c>
      <c r="AB749" s="25" t="s">
        <v>824</v>
      </c>
      <c r="AC749" s="25" t="s">
        <v>821</v>
      </c>
      <c r="AD749" s="25" t="s">
        <v>824</v>
      </c>
      <c r="AE749" s="25" t="s">
        <v>824</v>
      </c>
    </row>
    <row r="750" spans="20:31" ht="14.4">
      <c r="T750" s="25" t="s">
        <v>832</v>
      </c>
      <c r="U750" s="25" t="s">
        <v>880</v>
      </c>
      <c r="V750" s="25" t="s">
        <v>992</v>
      </c>
      <c r="W750" s="25" t="str">
        <f t="shared" si="30"/>
        <v>NoneInside Window MountHD Somfy CBUS Motor</v>
      </c>
      <c r="X750" s="25">
        <v>0</v>
      </c>
      <c r="Y750" s="25" t="s">
        <v>824</v>
      </c>
      <c r="Z750" s="25" t="s">
        <v>824</v>
      </c>
      <c r="AA750" s="25" t="s">
        <v>824</v>
      </c>
      <c r="AB750" s="25" t="s">
        <v>824</v>
      </c>
      <c r="AC750" s="25" t="s">
        <v>821</v>
      </c>
      <c r="AD750" s="25" t="s">
        <v>824</v>
      </c>
      <c r="AE750" s="25" t="s">
        <v>824</v>
      </c>
    </row>
    <row r="751" spans="20:31" ht="14.4">
      <c r="T751" s="25" t="s">
        <v>832</v>
      </c>
      <c r="U751" s="25" t="s">
        <v>880</v>
      </c>
      <c r="V751" s="25" t="s">
        <v>625</v>
      </c>
      <c r="W751" s="25" t="str">
        <f t="shared" si="30"/>
        <v>NoneInside Window MountAcmeda E6 Motor</v>
      </c>
      <c r="X751" s="25">
        <v>0</v>
      </c>
      <c r="Y751" s="25" t="s">
        <v>824</v>
      </c>
      <c r="Z751" s="25" t="s">
        <v>824</v>
      </c>
      <c r="AA751" s="25" t="s">
        <v>824</v>
      </c>
      <c r="AB751" s="25" t="s">
        <v>824</v>
      </c>
      <c r="AC751" s="25" t="s">
        <v>821</v>
      </c>
      <c r="AD751" s="25" t="s">
        <v>824</v>
      </c>
      <c r="AE751" s="25" t="s">
        <v>824</v>
      </c>
    </row>
    <row r="752" spans="20:31" ht="14.4">
      <c r="T752" s="25" t="s">
        <v>832</v>
      </c>
      <c r="U752" s="25" t="s">
        <v>880</v>
      </c>
      <c r="V752" s="25" t="s">
        <v>626</v>
      </c>
      <c r="W752" s="25" t="str">
        <f t="shared" si="30"/>
        <v>NoneInside Window MountAcmeda M6 Motor</v>
      </c>
      <c r="X752" s="25">
        <v>0</v>
      </c>
      <c r="Y752" s="25" t="s">
        <v>824</v>
      </c>
      <c r="Z752" s="25" t="s">
        <v>824</v>
      </c>
      <c r="AA752" s="25" t="s">
        <v>824</v>
      </c>
      <c r="AB752" s="25" t="s">
        <v>824</v>
      </c>
      <c r="AC752" s="25" t="s">
        <v>821</v>
      </c>
      <c r="AD752" s="25" t="s">
        <v>824</v>
      </c>
      <c r="AE752" s="25" t="s">
        <v>824</v>
      </c>
    </row>
    <row r="753" spans="20:31" ht="14.4">
      <c r="T753" s="25" t="s">
        <v>832</v>
      </c>
      <c r="U753" s="25" t="s">
        <v>880</v>
      </c>
      <c r="V753" s="25" t="s">
        <v>1002</v>
      </c>
      <c r="W753" s="25" t="str">
        <f t="shared" si="30"/>
        <v>NoneInside Window MountUniline Remote Motor</v>
      </c>
      <c r="X753" s="25">
        <v>0</v>
      </c>
      <c r="Y753" s="25" t="s">
        <v>824</v>
      </c>
      <c r="Z753" s="25" t="s">
        <v>824</v>
      </c>
      <c r="AA753" s="25" t="s">
        <v>824</v>
      </c>
      <c r="AB753" s="25" t="s">
        <v>824</v>
      </c>
      <c r="AC753" s="25" t="s">
        <v>821</v>
      </c>
      <c r="AD753" s="25" t="s">
        <v>824</v>
      </c>
      <c r="AE753" s="25" t="s">
        <v>824</v>
      </c>
    </row>
    <row r="754" spans="20:31" ht="14.4">
      <c r="T754" s="25" t="s">
        <v>832</v>
      </c>
      <c r="U754" s="25" t="s">
        <v>880</v>
      </c>
      <c r="V754" s="25" t="s">
        <v>1005</v>
      </c>
      <c r="W754" s="25" t="str">
        <f t="shared" si="30"/>
        <v>NoneInside Window MountUniline Cbus Motor</v>
      </c>
      <c r="X754" s="25">
        <v>0</v>
      </c>
      <c r="Y754" s="25" t="s">
        <v>824</v>
      </c>
      <c r="Z754" s="25" t="s">
        <v>824</v>
      </c>
      <c r="AA754" s="25" t="s">
        <v>824</v>
      </c>
      <c r="AB754" s="25" t="s">
        <v>824</v>
      </c>
      <c r="AC754" s="25" t="s">
        <v>821</v>
      </c>
      <c r="AD754" s="25" t="s">
        <v>824</v>
      </c>
      <c r="AE754" s="25" t="s">
        <v>824</v>
      </c>
    </row>
    <row r="755" spans="20:31" ht="14.4">
      <c r="T755" s="25" t="s">
        <v>832</v>
      </c>
      <c r="U755" s="25" t="s">
        <v>880</v>
      </c>
      <c r="V755" s="25" t="s">
        <v>981</v>
      </c>
      <c r="W755" s="25" t="str">
        <f t="shared" si="30"/>
        <v>NoneInside Window MountNice Remote Motor</v>
      </c>
      <c r="X755" s="25">
        <v>0</v>
      </c>
      <c r="Y755" s="25" t="s">
        <v>824</v>
      </c>
      <c r="Z755" s="25" t="s">
        <v>824</v>
      </c>
      <c r="AA755" s="25" t="s">
        <v>824</v>
      </c>
      <c r="AB755" s="25" t="s">
        <v>824</v>
      </c>
      <c r="AC755" s="25" t="s">
        <v>821</v>
      </c>
      <c r="AD755" s="25" t="s">
        <v>824</v>
      </c>
      <c r="AE755" s="25" t="s">
        <v>824</v>
      </c>
    </row>
    <row r="756" spans="20:31" ht="14.4">
      <c r="T756" s="25" t="s">
        <v>832</v>
      </c>
      <c r="U756" s="25" t="s">
        <v>880</v>
      </c>
      <c r="V756" s="25" t="s">
        <v>976</v>
      </c>
      <c r="W756" s="25" t="str">
        <f t="shared" si="30"/>
        <v>NoneInside Window MountNice CBus Motor</v>
      </c>
      <c r="X756" s="25">
        <v>0</v>
      </c>
      <c r="Y756" s="25" t="s">
        <v>824</v>
      </c>
      <c r="Z756" s="25" t="s">
        <v>824</v>
      </c>
      <c r="AA756" s="25" t="s">
        <v>824</v>
      </c>
      <c r="AB756" s="25" t="s">
        <v>824</v>
      </c>
      <c r="AC756" s="25" t="s">
        <v>821</v>
      </c>
      <c r="AD756" s="25" t="s">
        <v>824</v>
      </c>
      <c r="AE756" s="25" t="s">
        <v>824</v>
      </c>
    </row>
    <row r="757" spans="20:31" ht="14.4">
      <c r="T757" s="25" t="s">
        <v>832</v>
      </c>
      <c r="U757" s="25" t="s">
        <v>880</v>
      </c>
      <c r="V757" t="s">
        <v>1006</v>
      </c>
      <c r="W757" s="25" t="str">
        <f t="shared" si="30"/>
        <v>NoneInside Window MountSunboss Chain Winder 38mm Tube</v>
      </c>
      <c r="X757" s="25">
        <v>0</v>
      </c>
      <c r="Y757" s="25" t="s">
        <v>824</v>
      </c>
      <c r="Z757" s="25" t="s">
        <v>824</v>
      </c>
      <c r="AA757" s="25" t="s">
        <v>824</v>
      </c>
      <c r="AB757" s="25" t="s">
        <v>824</v>
      </c>
      <c r="AC757" s="25" t="s">
        <v>821</v>
      </c>
      <c r="AD757" s="25" t="s">
        <v>824</v>
      </c>
      <c r="AE757" s="25" t="s">
        <v>824</v>
      </c>
    </row>
    <row r="758" spans="20:31" ht="14.4">
      <c r="T758" s="25" t="s">
        <v>832</v>
      </c>
      <c r="U758" s="25" t="s">
        <v>880</v>
      </c>
      <c r="V758" t="s">
        <v>1017</v>
      </c>
      <c r="W758" s="25" t="str">
        <f t="shared" si="30"/>
        <v>NoneInside Window MountSunboss Chain Winder 43mm Tube</v>
      </c>
      <c r="X758" s="25">
        <v>0</v>
      </c>
      <c r="Y758" s="25" t="s">
        <v>824</v>
      </c>
      <c r="Z758" s="25" t="s">
        <v>824</v>
      </c>
      <c r="AA758" s="25" t="s">
        <v>824</v>
      </c>
      <c r="AB758" s="25" t="s">
        <v>824</v>
      </c>
      <c r="AC758" s="25" t="s">
        <v>821</v>
      </c>
      <c r="AD758" s="25" t="s">
        <v>824</v>
      </c>
      <c r="AE758" s="25" t="s">
        <v>824</v>
      </c>
    </row>
    <row r="759" spans="20:31" ht="14.4">
      <c r="T759" s="25" t="s">
        <v>832</v>
      </c>
      <c r="U759" s="25" t="s">
        <v>880</v>
      </c>
      <c r="V759" s="25" t="s">
        <v>1012</v>
      </c>
      <c r="W759" s="25" t="str">
        <f t="shared" si="30"/>
        <v>NoneInside Window MountTBS Remote Motor</v>
      </c>
      <c r="X759" s="25">
        <v>0</v>
      </c>
      <c r="Y759" s="25" t="s">
        <v>824</v>
      </c>
      <c r="Z759" s="25" t="s">
        <v>824</v>
      </c>
      <c r="AA759" s="25" t="s">
        <v>824</v>
      </c>
      <c r="AB759" s="25" t="s">
        <v>824</v>
      </c>
      <c r="AC759" s="25" t="s">
        <v>821</v>
      </c>
      <c r="AD759" s="25" t="s">
        <v>824</v>
      </c>
      <c r="AE759" s="25" t="s">
        <v>824</v>
      </c>
    </row>
    <row r="760" spans="20:31" ht="14.4">
      <c r="T760" s="25" t="s">
        <v>832</v>
      </c>
      <c r="U760" s="25" t="s">
        <v>880</v>
      </c>
      <c r="V760" t="s">
        <v>1009</v>
      </c>
      <c r="W760" s="25" t="str">
        <f t="shared" si="30"/>
        <v>NoneInside Window MountTBS Cbus Motor</v>
      </c>
      <c r="X760" s="25">
        <v>0</v>
      </c>
      <c r="Y760" s="25" t="s">
        <v>824</v>
      </c>
      <c r="Z760" s="25" t="s">
        <v>824</v>
      </c>
      <c r="AA760" s="25" t="s">
        <v>824</v>
      </c>
      <c r="AB760" s="25" t="s">
        <v>824</v>
      </c>
      <c r="AC760" s="25" t="s">
        <v>821</v>
      </c>
      <c r="AD760" s="25" t="s">
        <v>824</v>
      </c>
      <c r="AE760" s="25" t="s">
        <v>824</v>
      </c>
    </row>
    <row r="761" spans="20:31" ht="14.4">
      <c r="T761" s="25" t="s">
        <v>832</v>
      </c>
      <c r="U761" s="25" t="s">
        <v>880</v>
      </c>
      <c r="V761" t="s">
        <v>927</v>
      </c>
      <c r="W761" s="25" t="str">
        <f t="shared" si="30"/>
        <v>NoneInside Window MountAcmeda External Motor</v>
      </c>
      <c r="X761" s="25">
        <v>0</v>
      </c>
      <c r="Y761" s="25" t="s">
        <v>824</v>
      </c>
      <c r="Z761" s="25" t="s">
        <v>824</v>
      </c>
      <c r="AA761" s="25" t="s">
        <v>824</v>
      </c>
      <c r="AB761" s="25" t="s">
        <v>824</v>
      </c>
      <c r="AC761" s="25" t="s">
        <v>821</v>
      </c>
      <c r="AD761" s="25" t="s">
        <v>824</v>
      </c>
      <c r="AE761" s="25" t="s">
        <v>824</v>
      </c>
    </row>
    <row r="762" spans="20:31" ht="14.4">
      <c r="T762" s="25" t="s">
        <v>832</v>
      </c>
      <c r="U762" s="25" t="s">
        <v>880</v>
      </c>
      <c r="V762" t="s">
        <v>918</v>
      </c>
      <c r="W762" s="25" t="str">
        <f t="shared" si="30"/>
        <v>NoneInside Window MountAcmeda External 12v Motor</v>
      </c>
      <c r="X762" s="25">
        <v>0</v>
      </c>
      <c r="Y762" s="25" t="s">
        <v>824</v>
      </c>
      <c r="Z762" s="25" t="s">
        <v>824</v>
      </c>
      <c r="AA762" s="25" t="s">
        <v>824</v>
      </c>
      <c r="AB762" s="25" t="s">
        <v>824</v>
      </c>
      <c r="AC762" s="25" t="s">
        <v>821</v>
      </c>
      <c r="AD762" s="25" t="s">
        <v>824</v>
      </c>
      <c r="AE762" s="25" t="s">
        <v>824</v>
      </c>
    </row>
    <row r="763" spans="20:31" ht="14.4">
      <c r="T763" s="25" t="s">
        <v>832</v>
      </c>
      <c r="U763" s="25" t="s">
        <v>880</v>
      </c>
      <c r="V763" t="s">
        <v>979</v>
      </c>
      <c r="W763" s="25" t="str">
        <f t="shared" si="30"/>
        <v>NoneInside Window MountSomfy External CBUS Motor</v>
      </c>
      <c r="X763" s="25">
        <v>0</v>
      </c>
      <c r="Y763" s="25" t="s">
        <v>824</v>
      </c>
      <c r="Z763" s="25" t="s">
        <v>824</v>
      </c>
      <c r="AA763" s="25" t="s">
        <v>824</v>
      </c>
      <c r="AB763" s="25" t="s">
        <v>824</v>
      </c>
      <c r="AC763" s="25" t="s">
        <v>821</v>
      </c>
      <c r="AD763" s="25" t="s">
        <v>824</v>
      </c>
      <c r="AE763" s="25" t="s">
        <v>824</v>
      </c>
    </row>
    <row r="764" spans="20:31" ht="14.4">
      <c r="T764" s="25" t="s">
        <v>832</v>
      </c>
      <c r="U764" s="25" t="s">
        <v>880</v>
      </c>
      <c r="V764" t="s">
        <v>983</v>
      </c>
      <c r="W764" s="25" t="str">
        <f t="shared" si="30"/>
        <v>NoneInside Window MountSomfy External Remote Motor</v>
      </c>
      <c r="X764" s="25">
        <v>0</v>
      </c>
      <c r="Y764" s="25" t="s">
        <v>824</v>
      </c>
      <c r="Z764" s="25" t="s">
        <v>824</v>
      </c>
      <c r="AA764" s="25" t="s">
        <v>824</v>
      </c>
      <c r="AB764" s="25" t="s">
        <v>824</v>
      </c>
      <c r="AC764" s="25" t="s">
        <v>821</v>
      </c>
      <c r="AD764" s="25" t="s">
        <v>824</v>
      </c>
      <c r="AE764" s="25" t="s">
        <v>824</v>
      </c>
    </row>
    <row r="765" spans="20:31" ht="14.4">
      <c r="T765" s="25" t="s">
        <v>832</v>
      </c>
      <c r="U765" s="25" t="s">
        <v>880</v>
      </c>
      <c r="V765" t="s">
        <v>995</v>
      </c>
      <c r="W765" s="25" t="str">
        <f t="shared" si="30"/>
        <v>NoneInside Window MountHD Somfy External CBUS Motor</v>
      </c>
      <c r="X765" s="25">
        <v>0</v>
      </c>
      <c r="Y765" s="25" t="s">
        <v>824</v>
      </c>
      <c r="Z765" s="25" t="s">
        <v>824</v>
      </c>
      <c r="AA765" s="25" t="s">
        <v>824</v>
      </c>
      <c r="AB765" s="25" t="s">
        <v>824</v>
      </c>
      <c r="AC765" s="25" t="s">
        <v>821</v>
      </c>
      <c r="AD765" s="25" t="s">
        <v>824</v>
      </c>
      <c r="AE765" s="25" t="s">
        <v>824</v>
      </c>
    </row>
    <row r="766" spans="20:31" ht="14.4">
      <c r="T766" s="25" t="s">
        <v>832</v>
      </c>
      <c r="U766" s="25" t="s">
        <v>880</v>
      </c>
      <c r="V766" t="s">
        <v>999</v>
      </c>
      <c r="W766" s="25" t="str">
        <f t="shared" si="30"/>
        <v>NoneInside Window MountHD Somfy External Remote Motor</v>
      </c>
      <c r="X766" s="25">
        <v>0</v>
      </c>
      <c r="Y766" s="25" t="s">
        <v>824</v>
      </c>
      <c r="Z766" s="25" t="s">
        <v>824</v>
      </c>
      <c r="AA766" s="25" t="s">
        <v>824</v>
      </c>
      <c r="AB766" s="25" t="s">
        <v>824</v>
      </c>
      <c r="AC766" s="25" t="s">
        <v>821</v>
      </c>
      <c r="AD766" s="25" t="s">
        <v>824</v>
      </c>
      <c r="AE766" s="25" t="s">
        <v>824</v>
      </c>
    </row>
    <row r="767" spans="20:31" ht="14.4">
      <c r="T767" s="25" t="s">
        <v>832</v>
      </c>
      <c r="U767" s="25" t="s">
        <v>867</v>
      </c>
      <c r="V767" s="25" t="s">
        <v>823</v>
      </c>
      <c r="W767" s="25" t="str">
        <f t="shared" si="30"/>
        <v>NoneOutside Window MountChain Winder</v>
      </c>
      <c r="X767" s="25">
        <v>0</v>
      </c>
      <c r="Y767" s="25" t="s">
        <v>824</v>
      </c>
      <c r="Z767" s="25" t="s">
        <v>824</v>
      </c>
      <c r="AA767" s="25" t="s">
        <v>824</v>
      </c>
      <c r="AB767" s="25" t="s">
        <v>824</v>
      </c>
      <c r="AC767" s="25" t="s">
        <v>821</v>
      </c>
      <c r="AD767" s="25" t="s">
        <v>824</v>
      </c>
      <c r="AE767" s="25" t="s">
        <v>824</v>
      </c>
    </row>
    <row r="768" spans="20:31" ht="14.4">
      <c r="T768" s="25" t="s">
        <v>832</v>
      </c>
      <c r="U768" s="25" t="s">
        <v>867</v>
      </c>
      <c r="V768" s="25" t="s">
        <v>841</v>
      </c>
      <c r="W768" s="25" t="str">
        <f t="shared" si="30"/>
        <v>NoneOutside Window MountHD Chain Winder</v>
      </c>
      <c r="X768" s="25">
        <v>0</v>
      </c>
      <c r="Y768" s="25" t="s">
        <v>824</v>
      </c>
      <c r="Z768" s="25" t="s">
        <v>824</v>
      </c>
      <c r="AA768" s="25" t="s">
        <v>824</v>
      </c>
      <c r="AB768" s="25" t="s">
        <v>824</v>
      </c>
      <c r="AC768" s="25" t="s">
        <v>821</v>
      </c>
      <c r="AD768" s="25" t="s">
        <v>824</v>
      </c>
      <c r="AE768" s="25" t="s">
        <v>824</v>
      </c>
    </row>
    <row r="769" spans="20:31" ht="14.4">
      <c r="T769" s="25" t="s">
        <v>832</v>
      </c>
      <c r="U769" s="25" t="s">
        <v>867</v>
      </c>
      <c r="V769" s="25" t="s">
        <v>858</v>
      </c>
      <c r="W769" s="25" t="str">
        <f t="shared" si="30"/>
        <v>NoneOutside Window MountChain Winder 60mm</v>
      </c>
      <c r="X769" s="25">
        <v>0</v>
      </c>
      <c r="Y769" s="25" t="s">
        <v>824</v>
      </c>
      <c r="Z769" s="25" t="s">
        <v>824</v>
      </c>
      <c r="AA769" s="25" t="s">
        <v>824</v>
      </c>
      <c r="AB769" s="25" t="s">
        <v>824</v>
      </c>
      <c r="AC769" s="25" t="s">
        <v>821</v>
      </c>
      <c r="AD769" s="25" t="s">
        <v>824</v>
      </c>
      <c r="AE769" s="25" t="s">
        <v>824</v>
      </c>
    </row>
    <row r="770" spans="20:31" ht="14.4">
      <c r="T770" s="25" t="s">
        <v>832</v>
      </c>
      <c r="U770" s="25" t="s">
        <v>867</v>
      </c>
      <c r="V770" s="25" t="s">
        <v>865</v>
      </c>
      <c r="W770" s="25" t="str">
        <f t="shared" si="30"/>
        <v>NoneOutside Window MountChain Winder Fixed Guide</v>
      </c>
      <c r="X770" s="25">
        <v>0</v>
      </c>
      <c r="Y770" s="25" t="s">
        <v>824</v>
      </c>
      <c r="Z770" s="25" t="s">
        <v>824</v>
      </c>
      <c r="AA770" s="25" t="s">
        <v>824</v>
      </c>
      <c r="AB770" s="25" t="s">
        <v>824</v>
      </c>
      <c r="AC770" s="25" t="s">
        <v>821</v>
      </c>
      <c r="AD770" s="25" t="s">
        <v>824</v>
      </c>
      <c r="AE770" s="25" t="s">
        <v>824</v>
      </c>
    </row>
    <row r="771" spans="20:31" ht="14.4">
      <c r="T771" s="25" t="s">
        <v>832</v>
      </c>
      <c r="U771" s="25" t="s">
        <v>867</v>
      </c>
      <c r="V771" s="25" t="s">
        <v>181</v>
      </c>
      <c r="W771" s="25" t="str">
        <f t="shared" si="31" ref="W771:W834">CONCATENATE(T771,U771,V771)</f>
        <v>NoneOutside Window MountLinked</v>
      </c>
      <c r="X771" s="25">
        <v>0</v>
      </c>
      <c r="Y771" s="25" t="s">
        <v>824</v>
      </c>
      <c r="Z771" s="25" t="s">
        <v>824</v>
      </c>
      <c r="AA771" s="25" t="s">
        <v>824</v>
      </c>
      <c r="AB771" s="25" t="s">
        <v>824</v>
      </c>
      <c r="AC771" s="25" t="s">
        <v>821</v>
      </c>
      <c r="AD771" s="25" t="s">
        <v>824</v>
      </c>
      <c r="AE771" s="25" t="s">
        <v>824</v>
      </c>
    </row>
    <row r="772" spans="20:31" ht="14.4">
      <c r="T772" s="25" t="s">
        <v>832</v>
      </c>
      <c r="U772" s="25" t="s">
        <v>867</v>
      </c>
      <c r="V772" s="25" t="s">
        <v>898</v>
      </c>
      <c r="W772" s="25" t="str">
        <f t="shared" si="31"/>
        <v>NoneOutside Window MountLinked - HD</v>
      </c>
      <c r="X772" s="25">
        <v>0</v>
      </c>
      <c r="Y772" s="25" t="s">
        <v>824</v>
      </c>
      <c r="Z772" s="25" t="s">
        <v>824</v>
      </c>
      <c r="AA772" s="25" t="s">
        <v>824</v>
      </c>
      <c r="AB772" s="25" t="s">
        <v>824</v>
      </c>
      <c r="AC772" s="25" t="s">
        <v>821</v>
      </c>
      <c r="AD772" s="25" t="s">
        <v>824</v>
      </c>
      <c r="AE772" s="25" t="s">
        <v>824</v>
      </c>
    </row>
    <row r="773" spans="20:31" ht="14.4">
      <c r="T773" s="25" t="s">
        <v>832</v>
      </c>
      <c r="U773" s="25" t="s">
        <v>867</v>
      </c>
      <c r="V773" s="25" t="s">
        <v>925</v>
      </c>
      <c r="W773" s="25" t="str">
        <f t="shared" si="31"/>
        <v>NoneOutside Window MountLinked 60mm</v>
      </c>
      <c r="X773" s="25">
        <v>0</v>
      </c>
      <c r="Y773" s="25" t="s">
        <v>824</v>
      </c>
      <c r="Z773" s="25" t="s">
        <v>824</v>
      </c>
      <c r="AA773" s="25" t="s">
        <v>824</v>
      </c>
      <c r="AB773" s="25" t="s">
        <v>824</v>
      </c>
      <c r="AC773" s="25" t="s">
        <v>821</v>
      </c>
      <c r="AD773" s="25" t="s">
        <v>824</v>
      </c>
      <c r="AE773" s="25" t="s">
        <v>824</v>
      </c>
    </row>
    <row r="774" spans="20:31" ht="14.4">
      <c r="T774" s="25" t="s">
        <v>832</v>
      </c>
      <c r="U774" s="25" t="s">
        <v>867</v>
      </c>
      <c r="V774" s="25" t="s">
        <v>910</v>
      </c>
      <c r="W774" s="25" t="str">
        <f t="shared" si="31"/>
        <v>NoneOutside Window MountStandard Spring</v>
      </c>
      <c r="X774" s="25">
        <v>0</v>
      </c>
      <c r="Y774" s="25" t="s">
        <v>824</v>
      </c>
      <c r="Z774" s="25" t="s">
        <v>824</v>
      </c>
      <c r="AA774" s="25" t="s">
        <v>824</v>
      </c>
      <c r="AB774" s="25" t="s">
        <v>824</v>
      </c>
      <c r="AC774" s="25" t="s">
        <v>821</v>
      </c>
      <c r="AD774" s="25" t="s">
        <v>824</v>
      </c>
      <c r="AE774" s="25" t="s">
        <v>824</v>
      </c>
    </row>
    <row r="775" spans="20:31" ht="14.4">
      <c r="T775" s="25" t="s">
        <v>832</v>
      </c>
      <c r="U775" s="25" t="s">
        <v>867</v>
      </c>
      <c r="V775" s="25" t="s">
        <v>920</v>
      </c>
      <c r="W775" s="25" t="str">
        <f t="shared" si="31"/>
        <v>NoneOutside Window MountSmall Spring</v>
      </c>
      <c r="X775" s="25">
        <v>0</v>
      </c>
      <c r="Y775" s="25" t="s">
        <v>824</v>
      </c>
      <c r="Z775" s="25" t="s">
        <v>824</v>
      </c>
      <c r="AA775" s="25" t="s">
        <v>824</v>
      </c>
      <c r="AB775" s="25" t="s">
        <v>824</v>
      </c>
      <c r="AC775" s="25" t="s">
        <v>821</v>
      </c>
      <c r="AD775" s="25" t="s">
        <v>824</v>
      </c>
      <c r="AE775" s="25" t="s">
        <v>824</v>
      </c>
    </row>
    <row r="776" spans="20:31" ht="14.4">
      <c r="T776" s="25" t="s">
        <v>832</v>
      </c>
      <c r="U776" s="25" t="s">
        <v>867</v>
      </c>
      <c r="V776" s="25" t="s">
        <v>929</v>
      </c>
      <c r="W776" s="25" t="str">
        <f t="shared" si="31"/>
        <v>NoneOutside Window MountUniline Spring (Old Style)</v>
      </c>
      <c r="X776" s="25">
        <v>0</v>
      </c>
      <c r="Y776" s="25" t="s">
        <v>824</v>
      </c>
      <c r="Z776" s="25" t="s">
        <v>824</v>
      </c>
      <c r="AA776" s="25" t="s">
        <v>824</v>
      </c>
      <c r="AB776" s="25" t="s">
        <v>824</v>
      </c>
      <c r="AC776" s="25" t="s">
        <v>821</v>
      </c>
      <c r="AD776" s="25" t="s">
        <v>824</v>
      </c>
      <c r="AE776" s="25" t="s">
        <v>824</v>
      </c>
    </row>
    <row r="777" spans="20:31" ht="14.4">
      <c r="T777" s="25" t="s">
        <v>832</v>
      </c>
      <c r="U777" s="25" t="s">
        <v>867</v>
      </c>
      <c r="V777" s="25" t="s">
        <v>935</v>
      </c>
      <c r="W777" s="25" t="str">
        <f t="shared" si="31"/>
        <v>NoneOutside Window MountBecker Remote Motor</v>
      </c>
      <c r="X777" s="25">
        <v>0</v>
      </c>
      <c r="Y777" s="25" t="s">
        <v>824</v>
      </c>
      <c r="Z777" s="25" t="s">
        <v>824</v>
      </c>
      <c r="AA777" s="25" t="s">
        <v>824</v>
      </c>
      <c r="AB777" s="25" t="s">
        <v>824</v>
      </c>
      <c r="AC777" s="25" t="s">
        <v>821</v>
      </c>
      <c r="AD777" s="25" t="s">
        <v>824</v>
      </c>
      <c r="AE777" s="25" t="s">
        <v>824</v>
      </c>
    </row>
    <row r="778" spans="20:31" ht="14.4">
      <c r="T778" s="25" t="s">
        <v>832</v>
      </c>
      <c r="U778" s="25" t="s">
        <v>867</v>
      </c>
      <c r="V778" s="25" t="s">
        <v>939</v>
      </c>
      <c r="W778" s="25" t="str">
        <f t="shared" si="31"/>
        <v>NoneOutside Window MountBecker CBUS Motor</v>
      </c>
      <c r="X778" s="25">
        <v>0</v>
      </c>
      <c r="Y778" s="25" t="s">
        <v>824</v>
      </c>
      <c r="Z778" s="25" t="s">
        <v>824</v>
      </c>
      <c r="AA778" s="25" t="s">
        <v>824</v>
      </c>
      <c r="AB778" s="25" t="s">
        <v>824</v>
      </c>
      <c r="AC778" s="25" t="s">
        <v>821</v>
      </c>
      <c r="AD778" s="25" t="s">
        <v>824</v>
      </c>
      <c r="AE778" s="25" t="s">
        <v>824</v>
      </c>
    </row>
    <row r="779" spans="20:31" ht="14.4">
      <c r="T779" s="25" t="s">
        <v>832</v>
      </c>
      <c r="U779" s="25" t="s">
        <v>867</v>
      </c>
      <c r="V779" s="25" t="s">
        <v>946</v>
      </c>
      <c r="W779" s="25" t="str">
        <f t="shared" si="31"/>
        <v>NoneOutside Window MountBecker External Remote Motor</v>
      </c>
      <c r="X779" s="25">
        <v>0</v>
      </c>
      <c r="Y779" s="25" t="s">
        <v>824</v>
      </c>
      <c r="Z779" s="25" t="s">
        <v>824</v>
      </c>
      <c r="AA779" s="25" t="s">
        <v>824</v>
      </c>
      <c r="AB779" s="25" t="s">
        <v>824</v>
      </c>
      <c r="AC779" s="25" t="s">
        <v>821</v>
      </c>
      <c r="AD779" s="25" t="s">
        <v>824</v>
      </c>
      <c r="AE779" s="25" t="s">
        <v>824</v>
      </c>
    </row>
    <row r="780" spans="20:31" ht="14.4">
      <c r="T780" s="25" t="s">
        <v>832</v>
      </c>
      <c r="U780" s="25" t="s">
        <v>867</v>
      </c>
      <c r="V780" s="25" t="s">
        <v>951</v>
      </c>
      <c r="W780" s="25" t="str">
        <f t="shared" si="31"/>
        <v>NoneOutside Window MountBecker External CBUS Motor</v>
      </c>
      <c r="X780" s="25">
        <v>0</v>
      </c>
      <c r="Y780" s="25" t="s">
        <v>824</v>
      </c>
      <c r="Z780" s="25" t="s">
        <v>824</v>
      </c>
      <c r="AA780" s="25" t="s">
        <v>824</v>
      </c>
      <c r="AB780" s="25" t="s">
        <v>824</v>
      </c>
      <c r="AC780" s="25" t="s">
        <v>821</v>
      </c>
      <c r="AD780" s="25" t="s">
        <v>824</v>
      </c>
      <c r="AE780" s="25" t="s">
        <v>824</v>
      </c>
    </row>
    <row r="781" spans="20:31" ht="14.4">
      <c r="T781" s="25" t="s">
        <v>832</v>
      </c>
      <c r="U781" s="25" t="s">
        <v>867</v>
      </c>
      <c r="V781" s="25" t="s">
        <v>838</v>
      </c>
      <c r="W781" s="25" t="str">
        <f t="shared" si="31"/>
        <v>NoneOutside Window Mount1.1nm 12v Acmeda Motor</v>
      </c>
      <c r="X781" s="25">
        <v>0</v>
      </c>
      <c r="Y781" s="25" t="s">
        <v>824</v>
      </c>
      <c r="Z781" s="25" t="s">
        <v>824</v>
      </c>
      <c r="AA781" s="25" t="s">
        <v>824</v>
      </c>
      <c r="AB781" s="25" t="s">
        <v>824</v>
      </c>
      <c r="AC781" s="25" t="s">
        <v>821</v>
      </c>
      <c r="AD781" s="25" t="s">
        <v>824</v>
      </c>
      <c r="AE781" s="25" t="s">
        <v>824</v>
      </c>
    </row>
    <row r="782" spans="20:31" ht="14.4">
      <c r="T782" s="25" t="s">
        <v>832</v>
      </c>
      <c r="U782" s="25" t="s">
        <v>867</v>
      </c>
      <c r="V782" t="s">
        <v>882</v>
      </c>
      <c r="W782" s="25" t="str">
        <f t="shared" si="31"/>
        <v>NoneOutside Window Mount2nm 12v Acmeda Motor</v>
      </c>
      <c r="X782" s="25">
        <v>0</v>
      </c>
      <c r="Y782" s="25" t="s">
        <v>824</v>
      </c>
      <c r="Z782" s="25" t="s">
        <v>824</v>
      </c>
      <c r="AA782" s="25" t="s">
        <v>824</v>
      </c>
      <c r="AB782" s="25" t="s">
        <v>824</v>
      </c>
      <c r="AC782" s="25" t="s">
        <v>821</v>
      </c>
      <c r="AD782" s="25" t="s">
        <v>824</v>
      </c>
      <c r="AE782" s="25" t="s">
        <v>824</v>
      </c>
    </row>
    <row r="783" spans="20:31" ht="14.4">
      <c r="T783" s="25" t="s">
        <v>832</v>
      </c>
      <c r="U783" s="25" t="s">
        <v>867</v>
      </c>
      <c r="V783" t="s">
        <v>896</v>
      </c>
      <c r="W783" s="25" t="str">
        <f t="shared" si="31"/>
        <v>NoneOutside Window MountAcmeda 12v 6nm Motor</v>
      </c>
      <c r="X783" s="25">
        <v>0</v>
      </c>
      <c r="Y783" s="25" t="s">
        <v>824</v>
      </c>
      <c r="Z783" s="25" t="s">
        <v>824</v>
      </c>
      <c r="AA783" s="25" t="s">
        <v>824</v>
      </c>
      <c r="AB783" s="25" t="s">
        <v>824</v>
      </c>
      <c r="AC783" s="25" t="s">
        <v>821</v>
      </c>
      <c r="AD783" s="25" t="s">
        <v>824</v>
      </c>
      <c r="AE783" s="25" t="s">
        <v>824</v>
      </c>
    </row>
    <row r="784" spans="20:31" ht="14.4">
      <c r="T784" s="25" t="s">
        <v>832</v>
      </c>
      <c r="U784" s="25" t="s">
        <v>867</v>
      </c>
      <c r="V784" t="s">
        <v>855</v>
      </c>
      <c r="W784" s="25" t="str">
        <f t="shared" si="31"/>
        <v>NoneOutside Window Mount0.7nm 12v Acmeda Motor</v>
      </c>
      <c r="X784" s="25">
        <v>0</v>
      </c>
      <c r="Y784" s="25" t="s">
        <v>824</v>
      </c>
      <c r="Z784" s="25" t="s">
        <v>824</v>
      </c>
      <c r="AA784" s="25" t="s">
        <v>824</v>
      </c>
      <c r="AB784" s="25" t="s">
        <v>824</v>
      </c>
      <c r="AC784" s="25" t="s">
        <v>821</v>
      </c>
      <c r="AD784" s="25" t="s">
        <v>824</v>
      </c>
      <c r="AE784" s="25" t="s">
        <v>824</v>
      </c>
    </row>
    <row r="785" spans="20:31" ht="14.4">
      <c r="T785" s="25" t="s">
        <v>832</v>
      </c>
      <c r="U785" s="25" t="s">
        <v>867</v>
      </c>
      <c r="V785" s="25" t="s">
        <v>849</v>
      </c>
      <c r="W785" s="25" t="str">
        <f t="shared" si="31"/>
        <v>NoneOutside Window Mount1.1nm 12v Acmeda DCRF Motor with External Battery</v>
      </c>
      <c r="X785" s="25">
        <v>0</v>
      </c>
      <c r="Y785" s="25" t="s">
        <v>824</v>
      </c>
      <c r="Z785" s="25" t="s">
        <v>824</v>
      </c>
      <c r="AA785" s="25" t="s">
        <v>824</v>
      </c>
      <c r="AB785" s="25" t="s">
        <v>824</v>
      </c>
      <c r="AC785" s="25" t="s">
        <v>821</v>
      </c>
      <c r="AD785" s="25" t="s">
        <v>824</v>
      </c>
      <c r="AE785" s="25" t="s">
        <v>824</v>
      </c>
    </row>
    <row r="786" spans="20:31" ht="14.4">
      <c r="T786" s="25" t="s">
        <v>832</v>
      </c>
      <c r="U786" s="25" t="s">
        <v>867</v>
      </c>
      <c r="V786" s="25" t="s">
        <v>817</v>
      </c>
      <c r="W786" s="25" t="str">
        <f t="shared" si="31"/>
        <v>NoneOutside Window Mount1.1nm 12v Acmeda DCRF Motor</v>
      </c>
      <c r="X786" s="25">
        <v>0</v>
      </c>
      <c r="Y786" s="25" t="s">
        <v>824</v>
      </c>
      <c r="Z786" s="25" t="s">
        <v>824</v>
      </c>
      <c r="AA786" s="25" t="s">
        <v>824</v>
      </c>
      <c r="AB786" s="25" t="s">
        <v>824</v>
      </c>
      <c r="AC786" s="25" t="s">
        <v>821</v>
      </c>
      <c r="AD786" s="25" t="s">
        <v>824</v>
      </c>
      <c r="AE786" s="25" t="s">
        <v>824</v>
      </c>
    </row>
    <row r="787" spans="20:31" ht="14.4">
      <c r="T787" s="25" t="s">
        <v>832</v>
      </c>
      <c r="U787" s="25" t="s">
        <v>867</v>
      </c>
      <c r="V787" s="25" t="s">
        <v>868</v>
      </c>
      <c r="W787" s="25" t="str">
        <f t="shared" si="31"/>
        <v>NoneOutside Window Mount2nm 12v Acmeda DCRF Motor</v>
      </c>
      <c r="X787" s="25">
        <v>0</v>
      </c>
      <c r="Y787" s="25" t="s">
        <v>824</v>
      </c>
      <c r="Z787" s="25" t="s">
        <v>824</v>
      </c>
      <c r="AA787" s="25" t="s">
        <v>824</v>
      </c>
      <c r="AB787" s="25" t="s">
        <v>824</v>
      </c>
      <c r="AC787" s="25" t="s">
        <v>821</v>
      </c>
      <c r="AD787" s="25" t="s">
        <v>824</v>
      </c>
      <c r="AE787" s="25" t="s">
        <v>824</v>
      </c>
    </row>
    <row r="788" spans="20:31" ht="14.4">
      <c r="T788" s="25" t="s">
        <v>832</v>
      </c>
      <c r="U788" s="25" t="s">
        <v>867</v>
      </c>
      <c r="V788" t="s">
        <v>973</v>
      </c>
      <c r="W788" s="25" t="str">
        <f t="shared" si="31"/>
        <v>NoneOutside Window MountSomfy Remote Sonesse Motor</v>
      </c>
      <c r="X788" s="25">
        <v>0</v>
      </c>
      <c r="Y788" s="25" t="s">
        <v>824</v>
      </c>
      <c r="Z788" s="25" t="s">
        <v>824</v>
      </c>
      <c r="AA788" s="25" t="s">
        <v>824</v>
      </c>
      <c r="AB788" s="25" t="s">
        <v>824</v>
      </c>
      <c r="AC788" s="25" t="s">
        <v>821</v>
      </c>
      <c r="AD788" s="25" t="s">
        <v>824</v>
      </c>
      <c r="AE788" s="25" t="s">
        <v>824</v>
      </c>
    </row>
    <row r="789" spans="20:31" ht="14.4">
      <c r="T789" s="25" t="s">
        <v>832</v>
      </c>
      <c r="U789" s="25" t="s">
        <v>867</v>
      </c>
      <c r="V789" t="s">
        <v>637</v>
      </c>
      <c r="W789" s="25" t="str">
        <f t="shared" si="31"/>
        <v>NoneOutside Window MountSomfy 12v Remote Sonesse Motor</v>
      </c>
      <c r="X789" s="25">
        <v>0</v>
      </c>
      <c r="Y789" s="25" t="s">
        <v>824</v>
      </c>
      <c r="Z789" s="25" t="s">
        <v>824</v>
      </c>
      <c r="AA789" s="25" t="s">
        <v>824</v>
      </c>
      <c r="AB789" s="25" t="s">
        <v>824</v>
      </c>
      <c r="AC789" s="25" t="s">
        <v>821</v>
      </c>
      <c r="AD789" s="25" t="s">
        <v>824</v>
      </c>
      <c r="AE789" s="25" t="s">
        <v>824</v>
      </c>
    </row>
    <row r="790" spans="20:31" ht="14.4">
      <c r="T790" s="25" t="s">
        <v>832</v>
      </c>
      <c r="U790" s="25" t="s">
        <v>867</v>
      </c>
      <c r="V790" s="25" t="s">
        <v>974</v>
      </c>
      <c r="W790" s="25" t="str">
        <f t="shared" si="31"/>
        <v>NoneOutside Window MountSomfy CBUS Motor</v>
      </c>
      <c r="X790" s="25">
        <v>0</v>
      </c>
      <c r="Y790" s="25" t="s">
        <v>824</v>
      </c>
      <c r="Z790" s="25" t="s">
        <v>824</v>
      </c>
      <c r="AA790" s="25" t="s">
        <v>824</v>
      </c>
      <c r="AB790" s="25" t="s">
        <v>824</v>
      </c>
      <c r="AC790" s="25" t="s">
        <v>821</v>
      </c>
      <c r="AD790" s="25" t="s">
        <v>824</v>
      </c>
      <c r="AE790" s="25" t="s">
        <v>824</v>
      </c>
    </row>
    <row r="791" spans="20:31" ht="14.4">
      <c r="T791" s="25" t="s">
        <v>832</v>
      </c>
      <c r="U791" s="25" t="s">
        <v>867</v>
      </c>
      <c r="V791" t="s">
        <v>986</v>
      </c>
      <c r="W791" s="25" t="str">
        <f t="shared" si="31"/>
        <v>NoneOutside Window MountHD Somfy Remote Sonesse Motor</v>
      </c>
      <c r="X791" s="25">
        <v>0</v>
      </c>
      <c r="Y791" s="25" t="s">
        <v>824</v>
      </c>
      <c r="Z791" s="25" t="s">
        <v>824</v>
      </c>
      <c r="AA791" s="25" t="s">
        <v>824</v>
      </c>
      <c r="AB791" s="25" t="s">
        <v>824</v>
      </c>
      <c r="AC791" s="25" t="s">
        <v>821</v>
      </c>
      <c r="AD791" s="25" t="s">
        <v>824</v>
      </c>
      <c r="AE791" s="25" t="s">
        <v>824</v>
      </c>
    </row>
    <row r="792" spans="20:31" ht="14.4">
      <c r="T792" s="25" t="s">
        <v>832</v>
      </c>
      <c r="U792" s="25" t="s">
        <v>867</v>
      </c>
      <c r="V792" t="s">
        <v>989</v>
      </c>
      <c r="W792" s="25" t="str">
        <f t="shared" si="31"/>
        <v>NoneOutside Window MountHD Somfy 12v Remote Sonesse Motor</v>
      </c>
      <c r="X792" s="25">
        <v>0</v>
      </c>
      <c r="Y792" s="25" t="s">
        <v>824</v>
      </c>
      <c r="Z792" s="25" t="s">
        <v>824</v>
      </c>
      <c r="AA792" s="25" t="s">
        <v>824</v>
      </c>
      <c r="AB792" s="25" t="s">
        <v>824</v>
      </c>
      <c r="AC792" s="25" t="s">
        <v>821</v>
      </c>
      <c r="AD792" s="25" t="s">
        <v>824</v>
      </c>
      <c r="AE792" s="25" t="s">
        <v>824</v>
      </c>
    </row>
    <row r="793" spans="20:31" ht="14.4">
      <c r="T793" s="25" t="s">
        <v>832</v>
      </c>
      <c r="U793" s="25" t="s">
        <v>867</v>
      </c>
      <c r="V793" s="25" t="s">
        <v>992</v>
      </c>
      <c r="W793" s="25" t="str">
        <f t="shared" si="31"/>
        <v>NoneOutside Window MountHD Somfy CBUS Motor</v>
      </c>
      <c r="X793" s="25">
        <v>0</v>
      </c>
      <c r="Y793" s="25" t="s">
        <v>824</v>
      </c>
      <c r="Z793" s="25" t="s">
        <v>824</v>
      </c>
      <c r="AA793" s="25" t="s">
        <v>824</v>
      </c>
      <c r="AB793" s="25" t="s">
        <v>824</v>
      </c>
      <c r="AC793" s="25" t="s">
        <v>821</v>
      </c>
      <c r="AD793" s="25" t="s">
        <v>824</v>
      </c>
      <c r="AE793" s="25" t="s">
        <v>824</v>
      </c>
    </row>
    <row r="794" spans="20:31" ht="14.4">
      <c r="T794" s="25" t="s">
        <v>832</v>
      </c>
      <c r="U794" s="25" t="s">
        <v>867</v>
      </c>
      <c r="V794" s="25" t="s">
        <v>625</v>
      </c>
      <c r="W794" s="25" t="str">
        <f t="shared" si="31"/>
        <v>NoneOutside Window MountAcmeda E6 Motor</v>
      </c>
      <c r="X794" s="25">
        <v>0</v>
      </c>
      <c r="Y794" s="25" t="s">
        <v>824</v>
      </c>
      <c r="Z794" s="25" t="s">
        <v>824</v>
      </c>
      <c r="AA794" s="25" t="s">
        <v>824</v>
      </c>
      <c r="AB794" s="25" t="s">
        <v>824</v>
      </c>
      <c r="AC794" s="25" t="s">
        <v>821</v>
      </c>
      <c r="AD794" s="25" t="s">
        <v>824</v>
      </c>
      <c r="AE794" s="25" t="s">
        <v>824</v>
      </c>
    </row>
    <row r="795" spans="20:31" ht="14.4">
      <c r="T795" s="25" t="s">
        <v>832</v>
      </c>
      <c r="U795" s="25" t="s">
        <v>867</v>
      </c>
      <c r="V795" s="25" t="s">
        <v>626</v>
      </c>
      <c r="W795" s="25" t="str">
        <f t="shared" si="31"/>
        <v>NoneOutside Window MountAcmeda M6 Motor</v>
      </c>
      <c r="X795" s="25">
        <v>0</v>
      </c>
      <c r="Y795" s="25" t="s">
        <v>824</v>
      </c>
      <c r="Z795" s="25" t="s">
        <v>824</v>
      </c>
      <c r="AA795" s="25" t="s">
        <v>824</v>
      </c>
      <c r="AB795" s="25" t="s">
        <v>824</v>
      </c>
      <c r="AC795" s="25" t="s">
        <v>821</v>
      </c>
      <c r="AD795" s="25" t="s">
        <v>824</v>
      </c>
      <c r="AE795" s="25" t="s">
        <v>824</v>
      </c>
    </row>
    <row r="796" spans="20:31" ht="14.4">
      <c r="T796" s="25" t="s">
        <v>832</v>
      </c>
      <c r="U796" s="25" t="s">
        <v>867</v>
      </c>
      <c r="V796" s="25" t="s">
        <v>1002</v>
      </c>
      <c r="W796" s="25" t="str">
        <f t="shared" si="31"/>
        <v>NoneOutside Window MountUniline Remote Motor</v>
      </c>
      <c r="X796" s="25">
        <v>0</v>
      </c>
      <c r="Y796" s="25" t="s">
        <v>824</v>
      </c>
      <c r="Z796" s="25" t="s">
        <v>824</v>
      </c>
      <c r="AA796" s="25" t="s">
        <v>824</v>
      </c>
      <c r="AB796" s="25" t="s">
        <v>824</v>
      </c>
      <c r="AC796" s="25" t="s">
        <v>821</v>
      </c>
      <c r="AD796" s="25" t="s">
        <v>824</v>
      </c>
      <c r="AE796" s="25" t="s">
        <v>824</v>
      </c>
    </row>
    <row r="797" spans="20:31" ht="14.4">
      <c r="T797" s="25" t="s">
        <v>832</v>
      </c>
      <c r="U797" s="25" t="s">
        <v>867</v>
      </c>
      <c r="V797" s="25" t="s">
        <v>1005</v>
      </c>
      <c r="W797" s="25" t="str">
        <f t="shared" si="31"/>
        <v>NoneOutside Window MountUniline Cbus Motor</v>
      </c>
      <c r="X797" s="25">
        <v>0</v>
      </c>
      <c r="Y797" s="25" t="s">
        <v>824</v>
      </c>
      <c r="Z797" s="25" t="s">
        <v>824</v>
      </c>
      <c r="AA797" s="25" t="s">
        <v>824</v>
      </c>
      <c r="AB797" s="25" t="s">
        <v>824</v>
      </c>
      <c r="AC797" s="25" t="s">
        <v>821</v>
      </c>
      <c r="AD797" s="25" t="s">
        <v>824</v>
      </c>
      <c r="AE797" s="25" t="s">
        <v>824</v>
      </c>
    </row>
    <row r="798" spans="20:31" ht="14.4">
      <c r="T798" s="25" t="s">
        <v>832</v>
      </c>
      <c r="U798" s="25" t="s">
        <v>867</v>
      </c>
      <c r="V798" s="25" t="s">
        <v>981</v>
      </c>
      <c r="W798" s="25" t="str">
        <f t="shared" si="31"/>
        <v>NoneOutside Window MountNice Remote Motor</v>
      </c>
      <c r="X798" s="25">
        <v>0</v>
      </c>
      <c r="Y798" s="25" t="s">
        <v>824</v>
      </c>
      <c r="Z798" s="25" t="s">
        <v>824</v>
      </c>
      <c r="AA798" s="25" t="s">
        <v>824</v>
      </c>
      <c r="AB798" s="25" t="s">
        <v>824</v>
      </c>
      <c r="AC798" s="25" t="s">
        <v>821</v>
      </c>
      <c r="AD798" s="25" t="s">
        <v>824</v>
      </c>
      <c r="AE798" s="25" t="s">
        <v>824</v>
      </c>
    </row>
    <row r="799" spans="20:31" ht="14.4">
      <c r="T799" s="25" t="s">
        <v>832</v>
      </c>
      <c r="U799" s="25" t="s">
        <v>867</v>
      </c>
      <c r="V799" s="25" t="s">
        <v>976</v>
      </c>
      <c r="W799" s="25" t="str">
        <f t="shared" si="31"/>
        <v>NoneOutside Window MountNice CBus Motor</v>
      </c>
      <c r="X799" s="25">
        <v>0</v>
      </c>
      <c r="Y799" s="25" t="s">
        <v>824</v>
      </c>
      <c r="Z799" s="25" t="s">
        <v>824</v>
      </c>
      <c r="AA799" s="25" t="s">
        <v>824</v>
      </c>
      <c r="AB799" s="25" t="s">
        <v>824</v>
      </c>
      <c r="AC799" s="25" t="s">
        <v>821</v>
      </c>
      <c r="AD799" s="25" t="s">
        <v>824</v>
      </c>
      <c r="AE799" s="25" t="s">
        <v>824</v>
      </c>
    </row>
    <row r="800" spans="20:31" ht="14.4">
      <c r="T800" s="25" t="s">
        <v>832</v>
      </c>
      <c r="U800" s="25" t="s">
        <v>867</v>
      </c>
      <c r="V800" t="s">
        <v>1006</v>
      </c>
      <c r="W800" s="25" t="str">
        <f t="shared" si="31"/>
        <v>NoneOutside Window MountSunboss Chain Winder 38mm Tube</v>
      </c>
      <c r="X800" s="25">
        <v>0</v>
      </c>
      <c r="Y800" s="25" t="s">
        <v>824</v>
      </c>
      <c r="Z800" s="25" t="s">
        <v>824</v>
      </c>
      <c r="AA800" s="25" t="s">
        <v>824</v>
      </c>
      <c r="AB800" s="25" t="s">
        <v>824</v>
      </c>
      <c r="AC800" s="25" t="s">
        <v>821</v>
      </c>
      <c r="AD800" s="25" t="s">
        <v>824</v>
      </c>
      <c r="AE800" s="25" t="s">
        <v>824</v>
      </c>
    </row>
    <row r="801" spans="20:31" ht="14.4">
      <c r="T801" s="25" t="s">
        <v>832</v>
      </c>
      <c r="U801" s="25" t="s">
        <v>867</v>
      </c>
      <c r="V801" t="s">
        <v>1017</v>
      </c>
      <c r="W801" s="25" t="str">
        <f t="shared" si="31"/>
        <v>NoneOutside Window MountSunboss Chain Winder 43mm Tube</v>
      </c>
      <c r="X801" s="25">
        <v>0</v>
      </c>
      <c r="Y801" s="25" t="s">
        <v>824</v>
      </c>
      <c r="Z801" s="25" t="s">
        <v>824</v>
      </c>
      <c r="AA801" s="25" t="s">
        <v>824</v>
      </c>
      <c r="AB801" s="25" t="s">
        <v>824</v>
      </c>
      <c r="AC801" s="25" t="s">
        <v>821</v>
      </c>
      <c r="AD801" s="25" t="s">
        <v>824</v>
      </c>
      <c r="AE801" s="25" t="s">
        <v>824</v>
      </c>
    </row>
    <row r="802" spans="20:31" ht="14.4">
      <c r="T802" s="25" t="s">
        <v>832</v>
      </c>
      <c r="U802" s="25" t="s">
        <v>867</v>
      </c>
      <c r="V802" s="25" t="s">
        <v>1012</v>
      </c>
      <c r="W802" s="25" t="str">
        <f t="shared" si="31"/>
        <v>NoneOutside Window MountTBS Remote Motor</v>
      </c>
      <c r="X802" s="25">
        <v>0</v>
      </c>
      <c r="Y802" s="25" t="s">
        <v>824</v>
      </c>
      <c r="Z802" s="25" t="s">
        <v>824</v>
      </c>
      <c r="AA802" s="25" t="s">
        <v>824</v>
      </c>
      <c r="AB802" s="25" t="s">
        <v>824</v>
      </c>
      <c r="AC802" s="25" t="s">
        <v>821</v>
      </c>
      <c r="AD802" s="25" t="s">
        <v>824</v>
      </c>
      <c r="AE802" s="25" t="s">
        <v>824</v>
      </c>
    </row>
    <row r="803" spans="20:31" ht="14.4">
      <c r="T803" s="25" t="s">
        <v>832</v>
      </c>
      <c r="U803" s="25" t="s">
        <v>867</v>
      </c>
      <c r="V803" t="s">
        <v>1009</v>
      </c>
      <c r="W803" s="25" t="str">
        <f t="shared" si="31"/>
        <v>NoneOutside Window MountTBS Cbus Motor</v>
      </c>
      <c r="X803" s="25">
        <v>0</v>
      </c>
      <c r="Y803" s="25" t="s">
        <v>824</v>
      </c>
      <c r="Z803" s="25" t="s">
        <v>824</v>
      </c>
      <c r="AA803" s="25" t="s">
        <v>824</v>
      </c>
      <c r="AB803" s="25" t="s">
        <v>824</v>
      </c>
      <c r="AC803" s="25" t="s">
        <v>821</v>
      </c>
      <c r="AE803" s="25" t="s">
        <v>824</v>
      </c>
    </row>
    <row r="804" spans="20:31" ht="14.4">
      <c r="T804" s="25" t="s">
        <v>832</v>
      </c>
      <c r="U804" s="25" t="s">
        <v>867</v>
      </c>
      <c r="V804" t="s">
        <v>927</v>
      </c>
      <c r="W804" s="25" t="str">
        <f t="shared" si="31"/>
        <v>NoneOutside Window MountAcmeda External Motor</v>
      </c>
      <c r="X804" s="25">
        <v>0</v>
      </c>
      <c r="Y804" s="25" t="s">
        <v>824</v>
      </c>
      <c r="Z804" s="25" t="s">
        <v>824</v>
      </c>
      <c r="AA804" s="25" t="s">
        <v>824</v>
      </c>
      <c r="AB804" s="25" t="s">
        <v>824</v>
      </c>
      <c r="AC804" s="25" t="s">
        <v>821</v>
      </c>
      <c r="AE804" s="25" t="s">
        <v>824</v>
      </c>
    </row>
    <row r="805" spans="20:31" ht="14.4">
      <c r="T805" s="25" t="s">
        <v>832</v>
      </c>
      <c r="U805" s="25" t="s">
        <v>867</v>
      </c>
      <c r="V805" t="s">
        <v>918</v>
      </c>
      <c r="W805" s="25" t="str">
        <f t="shared" si="31"/>
        <v>NoneOutside Window MountAcmeda External 12v Motor</v>
      </c>
      <c r="X805" s="25">
        <v>0</v>
      </c>
      <c r="Y805" s="25" t="s">
        <v>824</v>
      </c>
      <c r="Z805" s="25" t="s">
        <v>824</v>
      </c>
      <c r="AA805" s="25" t="s">
        <v>824</v>
      </c>
      <c r="AB805" s="25" t="s">
        <v>824</v>
      </c>
      <c r="AC805" s="25" t="s">
        <v>821</v>
      </c>
      <c r="AD805" s="25" t="s">
        <v>824</v>
      </c>
      <c r="AE805" s="25" t="s">
        <v>824</v>
      </c>
    </row>
    <row r="806" spans="20:31" ht="14.4">
      <c r="T806" s="25" t="s">
        <v>832</v>
      </c>
      <c r="U806" s="25" t="s">
        <v>867</v>
      </c>
      <c r="V806" t="s">
        <v>979</v>
      </c>
      <c r="W806" s="25" t="str">
        <f t="shared" si="31"/>
        <v>NoneOutside Window MountSomfy External CBUS Motor</v>
      </c>
      <c r="X806" s="25">
        <v>0</v>
      </c>
      <c r="Y806" s="25" t="s">
        <v>824</v>
      </c>
      <c r="Z806" s="25" t="s">
        <v>824</v>
      </c>
      <c r="AA806" s="25" t="s">
        <v>824</v>
      </c>
      <c r="AB806" s="25" t="s">
        <v>824</v>
      </c>
      <c r="AC806" s="25" t="s">
        <v>821</v>
      </c>
      <c r="AD806" s="25" t="s">
        <v>824</v>
      </c>
      <c r="AE806" s="25" t="s">
        <v>824</v>
      </c>
    </row>
    <row r="807" spans="20:31" ht="14.4">
      <c r="T807" s="25" t="s">
        <v>832</v>
      </c>
      <c r="U807" s="25" t="s">
        <v>867</v>
      </c>
      <c r="V807" t="s">
        <v>983</v>
      </c>
      <c r="W807" s="25" t="str">
        <f t="shared" si="31"/>
        <v>NoneOutside Window MountSomfy External Remote Motor</v>
      </c>
      <c r="X807" s="25">
        <v>0</v>
      </c>
      <c r="Y807" s="25" t="s">
        <v>824</v>
      </c>
      <c r="Z807" s="25" t="s">
        <v>824</v>
      </c>
      <c r="AA807" s="25" t="s">
        <v>824</v>
      </c>
      <c r="AB807" s="25" t="s">
        <v>824</v>
      </c>
      <c r="AC807" s="25" t="s">
        <v>821</v>
      </c>
      <c r="AD807" s="25" t="s">
        <v>824</v>
      </c>
      <c r="AE807" s="25" t="s">
        <v>824</v>
      </c>
    </row>
    <row r="808" spans="20:31" ht="14.4">
      <c r="T808" s="25" t="s">
        <v>832</v>
      </c>
      <c r="U808" s="25" t="s">
        <v>867</v>
      </c>
      <c r="V808" t="s">
        <v>995</v>
      </c>
      <c r="W808" s="25" t="str">
        <f t="shared" si="31"/>
        <v>NoneOutside Window MountHD Somfy External CBUS Motor</v>
      </c>
      <c r="X808" s="25">
        <v>0</v>
      </c>
      <c r="Y808" s="25" t="s">
        <v>824</v>
      </c>
      <c r="Z808" s="25" t="s">
        <v>824</v>
      </c>
      <c r="AA808" s="25" t="s">
        <v>824</v>
      </c>
      <c r="AB808" s="25" t="s">
        <v>824</v>
      </c>
      <c r="AC808" s="25" t="s">
        <v>821</v>
      </c>
      <c r="AD808" s="25" t="s">
        <v>824</v>
      </c>
      <c r="AE808" s="25" t="s">
        <v>824</v>
      </c>
    </row>
    <row r="809" spans="20:31" ht="14.4">
      <c r="T809" s="25" t="s">
        <v>832</v>
      </c>
      <c r="U809" s="25" t="s">
        <v>867</v>
      </c>
      <c r="V809" t="s">
        <v>999</v>
      </c>
      <c r="W809" s="25" t="str">
        <f t="shared" si="31"/>
        <v>NoneOutside Window MountHD Somfy External Remote Motor</v>
      </c>
      <c r="X809" s="25">
        <v>0</v>
      </c>
      <c r="Y809" s="25" t="s">
        <v>824</v>
      </c>
      <c r="Z809" s="25" t="s">
        <v>824</v>
      </c>
      <c r="AA809" s="25" t="s">
        <v>824</v>
      </c>
      <c r="AB809" s="25" t="s">
        <v>824</v>
      </c>
      <c r="AC809" s="25" t="s">
        <v>821</v>
      </c>
      <c r="AD809" s="25" t="s">
        <v>824</v>
      </c>
      <c r="AE809" s="25" t="s">
        <v>824</v>
      </c>
    </row>
    <row r="810" spans="20:31" ht="14.4">
      <c r="T810" s="25" t="s">
        <v>832</v>
      </c>
      <c r="U810" s="25" t="s">
        <v>837</v>
      </c>
      <c r="V810" s="25" t="s">
        <v>823</v>
      </c>
      <c r="W810" s="25" t="str">
        <f t="shared" si="31"/>
        <v>NoneRevealChain Winder</v>
      </c>
      <c r="X810" s="25">
        <v>0</v>
      </c>
      <c r="Y810" s="25" t="s">
        <v>824</v>
      </c>
      <c r="Z810" s="25" t="s">
        <v>824</v>
      </c>
      <c r="AA810" s="25" t="s">
        <v>824</v>
      </c>
      <c r="AB810" s="25" t="s">
        <v>824</v>
      </c>
      <c r="AC810" s="25" t="s">
        <v>821</v>
      </c>
      <c r="AD810" s="25" t="s">
        <v>824</v>
      </c>
      <c r="AE810" s="25" t="s">
        <v>824</v>
      </c>
    </row>
    <row r="811" spans="20:31" ht="14.4">
      <c r="T811" s="25" t="s">
        <v>832</v>
      </c>
      <c r="U811" s="25" t="s">
        <v>837</v>
      </c>
      <c r="V811" s="25" t="s">
        <v>841</v>
      </c>
      <c r="W811" s="25" t="str">
        <f t="shared" si="31"/>
        <v>NoneRevealHD Chain Winder</v>
      </c>
      <c r="X811" s="25">
        <v>0</v>
      </c>
      <c r="Y811" s="25" t="s">
        <v>824</v>
      </c>
      <c r="Z811" s="25" t="s">
        <v>824</v>
      </c>
      <c r="AA811" s="25" t="s">
        <v>824</v>
      </c>
      <c r="AB811" s="25" t="s">
        <v>824</v>
      </c>
      <c r="AC811" s="25" t="s">
        <v>821</v>
      </c>
      <c r="AD811" s="25" t="s">
        <v>824</v>
      </c>
      <c r="AE811" s="25" t="s">
        <v>824</v>
      </c>
    </row>
    <row r="812" spans="20:31" ht="14.4">
      <c r="T812" s="25" t="s">
        <v>832</v>
      </c>
      <c r="U812" s="25" t="s">
        <v>837</v>
      </c>
      <c r="V812" s="25" t="s">
        <v>858</v>
      </c>
      <c r="W812" s="25" t="str">
        <f t="shared" si="31"/>
        <v>NoneRevealChain Winder 60mm</v>
      </c>
      <c r="X812" s="25">
        <v>0</v>
      </c>
      <c r="Y812" s="25" t="s">
        <v>824</v>
      </c>
      <c r="Z812" s="25" t="s">
        <v>824</v>
      </c>
      <c r="AA812" s="25" t="s">
        <v>824</v>
      </c>
      <c r="AB812" s="25" t="s">
        <v>824</v>
      </c>
      <c r="AC812" s="25" t="s">
        <v>821</v>
      </c>
      <c r="AD812" s="25" t="s">
        <v>824</v>
      </c>
      <c r="AE812" s="25" t="s">
        <v>824</v>
      </c>
    </row>
    <row r="813" spans="20:31" ht="14.4">
      <c r="T813" s="25" t="s">
        <v>832</v>
      </c>
      <c r="U813" s="25" t="s">
        <v>837</v>
      </c>
      <c r="V813" s="25" t="s">
        <v>865</v>
      </c>
      <c r="W813" s="25" t="str">
        <f t="shared" si="31"/>
        <v>NoneRevealChain Winder Fixed Guide</v>
      </c>
      <c r="X813" s="25">
        <v>0</v>
      </c>
      <c r="Y813" s="25" t="s">
        <v>824</v>
      </c>
      <c r="Z813" s="25" t="s">
        <v>824</v>
      </c>
      <c r="AA813" s="25" t="s">
        <v>824</v>
      </c>
      <c r="AB813" s="25" t="s">
        <v>824</v>
      </c>
      <c r="AC813" s="25" t="s">
        <v>821</v>
      </c>
      <c r="AD813" s="25" t="s">
        <v>824</v>
      </c>
      <c r="AE813" s="25" t="s">
        <v>824</v>
      </c>
    </row>
    <row r="814" spans="20:31" ht="14.4">
      <c r="T814" s="25" t="s">
        <v>832</v>
      </c>
      <c r="U814" s="25" t="s">
        <v>837</v>
      </c>
      <c r="V814" s="25" t="s">
        <v>181</v>
      </c>
      <c r="W814" s="25" t="str">
        <f t="shared" si="31"/>
        <v>NoneRevealLinked</v>
      </c>
      <c r="X814" s="25">
        <v>0</v>
      </c>
      <c r="Y814" s="25" t="s">
        <v>824</v>
      </c>
      <c r="Z814" s="25" t="s">
        <v>824</v>
      </c>
      <c r="AA814" s="25" t="s">
        <v>824</v>
      </c>
      <c r="AB814" s="25" t="s">
        <v>824</v>
      </c>
      <c r="AC814" s="25" t="s">
        <v>821</v>
      </c>
      <c r="AD814" s="25" t="s">
        <v>824</v>
      </c>
      <c r="AE814" s="25" t="s">
        <v>824</v>
      </c>
    </row>
    <row r="815" spans="20:31" ht="14.4">
      <c r="T815" s="25" t="s">
        <v>832</v>
      </c>
      <c r="U815" s="25" t="s">
        <v>837</v>
      </c>
      <c r="V815" s="25" t="s">
        <v>898</v>
      </c>
      <c r="W815" s="25" t="str">
        <f t="shared" si="31"/>
        <v>NoneRevealLinked - HD</v>
      </c>
      <c r="X815" s="25">
        <v>0</v>
      </c>
      <c r="Y815" s="25" t="s">
        <v>824</v>
      </c>
      <c r="Z815" s="25" t="s">
        <v>824</v>
      </c>
      <c r="AA815" s="25" t="s">
        <v>824</v>
      </c>
      <c r="AB815" s="25" t="s">
        <v>824</v>
      </c>
      <c r="AC815" s="25" t="s">
        <v>821</v>
      </c>
      <c r="AD815" s="25" t="s">
        <v>824</v>
      </c>
      <c r="AE815" s="25" t="s">
        <v>824</v>
      </c>
    </row>
    <row r="816" spans="20:31" ht="14.4">
      <c r="T816" s="25" t="s">
        <v>832</v>
      </c>
      <c r="U816" s="25" t="s">
        <v>837</v>
      </c>
      <c r="V816" s="25" t="s">
        <v>925</v>
      </c>
      <c r="W816" s="25" t="str">
        <f t="shared" si="31"/>
        <v>NoneRevealLinked 60mm</v>
      </c>
      <c r="X816" s="25">
        <v>0</v>
      </c>
      <c r="Y816" s="25" t="s">
        <v>824</v>
      </c>
      <c r="Z816" s="25" t="s">
        <v>824</v>
      </c>
      <c r="AA816" s="25" t="s">
        <v>824</v>
      </c>
      <c r="AB816" s="25" t="s">
        <v>824</v>
      </c>
      <c r="AC816" s="25" t="s">
        <v>821</v>
      </c>
      <c r="AD816" s="25" t="s">
        <v>824</v>
      </c>
      <c r="AE816" s="25" t="s">
        <v>824</v>
      </c>
    </row>
    <row r="817" spans="20:31" ht="14.4">
      <c r="T817" s="25" t="s">
        <v>832</v>
      </c>
      <c r="U817" s="25" t="s">
        <v>837</v>
      </c>
      <c r="V817" s="25" t="s">
        <v>910</v>
      </c>
      <c r="W817" s="25" t="str">
        <f t="shared" si="31"/>
        <v>NoneRevealStandard Spring</v>
      </c>
      <c r="X817" s="25">
        <v>0</v>
      </c>
      <c r="Y817" s="25" t="s">
        <v>824</v>
      </c>
      <c r="Z817" s="25" t="s">
        <v>824</v>
      </c>
      <c r="AA817" s="25" t="s">
        <v>824</v>
      </c>
      <c r="AB817" s="25" t="s">
        <v>824</v>
      </c>
      <c r="AC817" s="25" t="s">
        <v>821</v>
      </c>
      <c r="AD817" s="25" t="s">
        <v>824</v>
      </c>
      <c r="AE817" s="25" t="s">
        <v>824</v>
      </c>
    </row>
    <row r="818" spans="20:31" ht="14.4">
      <c r="T818" s="25" t="s">
        <v>832</v>
      </c>
      <c r="U818" s="25" t="s">
        <v>837</v>
      </c>
      <c r="V818" s="25" t="s">
        <v>920</v>
      </c>
      <c r="W818" s="25" t="str">
        <f t="shared" si="31"/>
        <v>NoneRevealSmall Spring</v>
      </c>
      <c r="X818" s="25">
        <v>0</v>
      </c>
      <c r="Y818" s="25" t="s">
        <v>824</v>
      </c>
      <c r="Z818" s="25" t="s">
        <v>824</v>
      </c>
      <c r="AA818" s="25" t="s">
        <v>824</v>
      </c>
      <c r="AB818" s="25" t="s">
        <v>824</v>
      </c>
      <c r="AC818" s="25" t="s">
        <v>821</v>
      </c>
      <c r="AD818" s="25" t="s">
        <v>824</v>
      </c>
      <c r="AE818" s="25" t="s">
        <v>824</v>
      </c>
    </row>
    <row r="819" spans="20:31" ht="14.4">
      <c r="T819" s="25" t="s">
        <v>832</v>
      </c>
      <c r="U819" s="25" t="s">
        <v>837</v>
      </c>
      <c r="V819" s="25" t="s">
        <v>929</v>
      </c>
      <c r="W819" s="25" t="str">
        <f t="shared" si="31"/>
        <v>NoneRevealUniline Spring (Old Style)</v>
      </c>
      <c r="X819" s="25">
        <v>0</v>
      </c>
      <c r="Y819" s="25" t="s">
        <v>824</v>
      </c>
      <c r="Z819" s="25" t="s">
        <v>824</v>
      </c>
      <c r="AA819" s="25" t="s">
        <v>824</v>
      </c>
      <c r="AB819" s="25" t="s">
        <v>824</v>
      </c>
      <c r="AC819" s="25" t="s">
        <v>821</v>
      </c>
      <c r="AD819" s="25" t="s">
        <v>824</v>
      </c>
      <c r="AE819" s="25" t="s">
        <v>824</v>
      </c>
    </row>
    <row r="820" spans="20:31" ht="14.4">
      <c r="T820" s="25" t="s">
        <v>832</v>
      </c>
      <c r="U820" s="25" t="s">
        <v>837</v>
      </c>
      <c r="V820" s="25" t="s">
        <v>935</v>
      </c>
      <c r="W820" s="25" t="str">
        <f t="shared" si="31"/>
        <v>NoneRevealBecker Remote Motor</v>
      </c>
      <c r="X820" s="25">
        <v>0</v>
      </c>
      <c r="Y820" s="25" t="s">
        <v>824</v>
      </c>
      <c r="Z820" s="25" t="s">
        <v>824</v>
      </c>
      <c r="AA820" s="25" t="s">
        <v>824</v>
      </c>
      <c r="AB820" s="25" t="s">
        <v>824</v>
      </c>
      <c r="AC820" s="25" t="s">
        <v>821</v>
      </c>
      <c r="AD820" s="25" t="s">
        <v>824</v>
      </c>
      <c r="AE820" s="25" t="s">
        <v>824</v>
      </c>
    </row>
    <row r="821" spans="20:31" ht="14.4">
      <c r="T821" s="25" t="s">
        <v>832</v>
      </c>
      <c r="U821" s="25" t="s">
        <v>837</v>
      </c>
      <c r="V821" s="25" t="s">
        <v>939</v>
      </c>
      <c r="W821" s="25" t="str">
        <f t="shared" si="31"/>
        <v>NoneRevealBecker CBUS Motor</v>
      </c>
      <c r="X821" s="25">
        <v>0</v>
      </c>
      <c r="Y821" s="25" t="s">
        <v>824</v>
      </c>
      <c r="Z821" s="25" t="s">
        <v>824</v>
      </c>
      <c r="AA821" s="25" t="s">
        <v>824</v>
      </c>
      <c r="AB821" s="25" t="s">
        <v>824</v>
      </c>
      <c r="AC821" s="25" t="s">
        <v>821</v>
      </c>
      <c r="AD821" s="25" t="s">
        <v>824</v>
      </c>
      <c r="AE821" s="25" t="s">
        <v>824</v>
      </c>
    </row>
    <row r="822" spans="20:31" ht="14.4">
      <c r="T822" s="25" t="s">
        <v>832</v>
      </c>
      <c r="U822" s="25" t="s">
        <v>837</v>
      </c>
      <c r="V822" s="25" t="s">
        <v>946</v>
      </c>
      <c r="W822" s="25" t="str">
        <f t="shared" si="31"/>
        <v>NoneRevealBecker External Remote Motor</v>
      </c>
      <c r="X822" s="25">
        <v>0</v>
      </c>
      <c r="Y822" s="25" t="s">
        <v>824</v>
      </c>
      <c r="Z822" s="25" t="s">
        <v>824</v>
      </c>
      <c r="AA822" s="25" t="s">
        <v>824</v>
      </c>
      <c r="AB822" s="25" t="s">
        <v>824</v>
      </c>
      <c r="AC822" s="25" t="s">
        <v>821</v>
      </c>
      <c r="AD822" s="25" t="s">
        <v>824</v>
      </c>
      <c r="AE822" s="25" t="s">
        <v>824</v>
      </c>
    </row>
    <row r="823" spans="20:31" ht="14.4">
      <c r="T823" s="25" t="s">
        <v>832</v>
      </c>
      <c r="U823" s="25" t="s">
        <v>837</v>
      </c>
      <c r="V823" s="25" t="s">
        <v>951</v>
      </c>
      <c r="W823" s="25" t="str">
        <f t="shared" si="31"/>
        <v>NoneRevealBecker External CBUS Motor</v>
      </c>
      <c r="X823" s="25">
        <v>0</v>
      </c>
      <c r="Y823" s="25" t="s">
        <v>824</v>
      </c>
      <c r="Z823" s="25" t="s">
        <v>824</v>
      </c>
      <c r="AA823" s="25" t="s">
        <v>824</v>
      </c>
      <c r="AB823" s="25" t="s">
        <v>824</v>
      </c>
      <c r="AC823" s="25" t="s">
        <v>821</v>
      </c>
      <c r="AD823" s="25" t="s">
        <v>824</v>
      </c>
      <c r="AE823" s="25" t="s">
        <v>824</v>
      </c>
    </row>
    <row r="824" spans="20:31" ht="14.4">
      <c r="T824" s="25" t="s">
        <v>832</v>
      </c>
      <c r="U824" s="25" t="s">
        <v>837</v>
      </c>
      <c r="V824" s="25" t="s">
        <v>838</v>
      </c>
      <c r="W824" s="25" t="str">
        <f t="shared" si="31"/>
        <v>NoneReveal1.1nm 12v Acmeda Motor</v>
      </c>
      <c r="X824" s="25">
        <v>0</v>
      </c>
      <c r="Y824" s="25" t="s">
        <v>824</v>
      </c>
      <c r="Z824" s="25" t="s">
        <v>824</v>
      </c>
      <c r="AA824" s="25" t="s">
        <v>824</v>
      </c>
      <c r="AB824" s="25" t="s">
        <v>824</v>
      </c>
      <c r="AC824" s="25" t="s">
        <v>821</v>
      </c>
      <c r="AD824" s="25" t="s">
        <v>824</v>
      </c>
      <c r="AE824" s="25" t="s">
        <v>824</v>
      </c>
    </row>
    <row r="825" spans="20:31" ht="14.4">
      <c r="T825" s="25" t="s">
        <v>832</v>
      </c>
      <c r="U825" s="25" t="s">
        <v>837</v>
      </c>
      <c r="V825" t="s">
        <v>882</v>
      </c>
      <c r="W825" s="25" t="str">
        <f t="shared" si="31"/>
        <v>NoneReveal2nm 12v Acmeda Motor</v>
      </c>
      <c r="X825" s="25">
        <v>0</v>
      </c>
      <c r="Y825" s="25" t="s">
        <v>824</v>
      </c>
      <c r="Z825" s="25" t="s">
        <v>824</v>
      </c>
      <c r="AA825" s="25" t="s">
        <v>824</v>
      </c>
      <c r="AB825" s="25" t="s">
        <v>824</v>
      </c>
      <c r="AC825" s="25" t="s">
        <v>821</v>
      </c>
      <c r="AD825" s="25" t="s">
        <v>824</v>
      </c>
      <c r="AE825" s="25" t="s">
        <v>824</v>
      </c>
    </row>
    <row r="826" spans="20:31" ht="14.4">
      <c r="T826" s="25" t="s">
        <v>832</v>
      </c>
      <c r="U826" s="25" t="s">
        <v>837</v>
      </c>
      <c r="V826" t="s">
        <v>896</v>
      </c>
      <c r="W826" s="25" t="str">
        <f t="shared" si="31"/>
        <v>NoneRevealAcmeda 12v 6nm Motor</v>
      </c>
      <c r="X826" s="25">
        <v>0</v>
      </c>
      <c r="Y826" s="25" t="s">
        <v>824</v>
      </c>
      <c r="Z826" s="25" t="s">
        <v>824</v>
      </c>
      <c r="AA826" s="25" t="s">
        <v>824</v>
      </c>
      <c r="AB826" s="25" t="s">
        <v>824</v>
      </c>
      <c r="AC826" s="25" t="s">
        <v>821</v>
      </c>
      <c r="AD826" s="25" t="s">
        <v>824</v>
      </c>
      <c r="AE826" s="25" t="s">
        <v>824</v>
      </c>
    </row>
    <row r="827" spans="20:31" ht="14.4">
      <c r="T827" s="25" t="s">
        <v>832</v>
      </c>
      <c r="U827" s="25" t="s">
        <v>837</v>
      </c>
      <c r="V827" t="s">
        <v>855</v>
      </c>
      <c r="W827" s="25" t="str">
        <f t="shared" si="31"/>
        <v>NoneReveal0.7nm 12v Acmeda Motor</v>
      </c>
      <c r="X827" s="25">
        <v>0</v>
      </c>
      <c r="Y827" s="25" t="s">
        <v>824</v>
      </c>
      <c r="Z827" s="25" t="s">
        <v>824</v>
      </c>
      <c r="AA827" s="25" t="s">
        <v>824</v>
      </c>
      <c r="AB827" s="25" t="s">
        <v>824</v>
      </c>
      <c r="AC827" s="25" t="s">
        <v>821</v>
      </c>
      <c r="AD827" s="25" t="s">
        <v>824</v>
      </c>
      <c r="AE827" s="25" t="s">
        <v>824</v>
      </c>
    </row>
    <row r="828" spans="20:31" ht="14.4">
      <c r="T828" s="25" t="s">
        <v>832</v>
      </c>
      <c r="U828" s="25" t="s">
        <v>837</v>
      </c>
      <c r="V828" s="25" t="s">
        <v>849</v>
      </c>
      <c r="W828" s="25" t="str">
        <f t="shared" si="31"/>
        <v>NoneReveal1.1nm 12v Acmeda DCRF Motor with External Battery</v>
      </c>
      <c r="X828" s="25">
        <v>0</v>
      </c>
      <c r="Y828" s="25" t="s">
        <v>824</v>
      </c>
      <c r="Z828" s="25" t="s">
        <v>824</v>
      </c>
      <c r="AA828" s="25" t="s">
        <v>824</v>
      </c>
      <c r="AB828" s="25" t="s">
        <v>824</v>
      </c>
      <c r="AC828" s="25" t="s">
        <v>821</v>
      </c>
      <c r="AD828" s="25" t="s">
        <v>824</v>
      </c>
      <c r="AE828" s="25" t="s">
        <v>824</v>
      </c>
    </row>
    <row r="829" spans="20:31" ht="14.4">
      <c r="T829" s="25" t="s">
        <v>832</v>
      </c>
      <c r="U829" s="25" t="s">
        <v>837</v>
      </c>
      <c r="V829" s="25" t="s">
        <v>817</v>
      </c>
      <c r="W829" s="25" t="str">
        <f t="shared" si="31"/>
        <v>NoneReveal1.1nm 12v Acmeda DCRF Motor</v>
      </c>
      <c r="X829" s="25">
        <v>0</v>
      </c>
      <c r="Y829" s="25" t="s">
        <v>824</v>
      </c>
      <c r="Z829" s="25" t="s">
        <v>824</v>
      </c>
      <c r="AA829" s="25" t="s">
        <v>824</v>
      </c>
      <c r="AB829" s="25" t="s">
        <v>824</v>
      </c>
      <c r="AC829" s="25" t="s">
        <v>821</v>
      </c>
      <c r="AD829" s="25" t="s">
        <v>824</v>
      </c>
      <c r="AE829" s="25" t="s">
        <v>824</v>
      </c>
    </row>
    <row r="830" spans="20:31" ht="14.4">
      <c r="T830" s="25" t="s">
        <v>832</v>
      </c>
      <c r="U830" s="25" t="s">
        <v>837</v>
      </c>
      <c r="V830" s="25" t="s">
        <v>868</v>
      </c>
      <c r="W830" s="25" t="str">
        <f t="shared" si="31"/>
        <v>NoneReveal2nm 12v Acmeda DCRF Motor</v>
      </c>
      <c r="X830" s="25">
        <v>0</v>
      </c>
      <c r="Y830" s="25" t="s">
        <v>824</v>
      </c>
      <c r="Z830" s="25" t="s">
        <v>824</v>
      </c>
      <c r="AA830" s="25" t="s">
        <v>824</v>
      </c>
      <c r="AB830" s="25" t="s">
        <v>824</v>
      </c>
      <c r="AC830" s="25" t="s">
        <v>821</v>
      </c>
      <c r="AD830" s="25" t="s">
        <v>824</v>
      </c>
      <c r="AE830" s="25" t="s">
        <v>824</v>
      </c>
    </row>
    <row r="831" spans="20:31" ht="14.4">
      <c r="T831" s="25" t="s">
        <v>832</v>
      </c>
      <c r="U831" s="25" t="s">
        <v>837</v>
      </c>
      <c r="V831" t="s">
        <v>973</v>
      </c>
      <c r="W831" s="25" t="str">
        <f t="shared" si="31"/>
        <v>NoneRevealSomfy Remote Sonesse Motor</v>
      </c>
      <c r="X831" s="25">
        <v>0</v>
      </c>
      <c r="Y831" s="25" t="s">
        <v>824</v>
      </c>
      <c r="Z831" s="25" t="s">
        <v>824</v>
      </c>
      <c r="AA831" s="25" t="s">
        <v>824</v>
      </c>
      <c r="AB831" s="25" t="s">
        <v>824</v>
      </c>
      <c r="AC831" s="25" t="s">
        <v>821</v>
      </c>
      <c r="AD831" s="25" t="s">
        <v>824</v>
      </c>
      <c r="AE831" s="25" t="s">
        <v>824</v>
      </c>
    </row>
    <row r="832" spans="20:31" ht="14.4">
      <c r="T832" s="25" t="s">
        <v>832</v>
      </c>
      <c r="U832" s="25" t="s">
        <v>837</v>
      </c>
      <c r="V832" t="s">
        <v>637</v>
      </c>
      <c r="W832" s="25" t="str">
        <f t="shared" si="31"/>
        <v>NoneRevealSomfy 12v Remote Sonesse Motor</v>
      </c>
      <c r="X832" s="25">
        <v>0</v>
      </c>
      <c r="Y832" s="25" t="s">
        <v>824</v>
      </c>
      <c r="Z832" s="25" t="s">
        <v>824</v>
      </c>
      <c r="AA832" s="25" t="s">
        <v>824</v>
      </c>
      <c r="AB832" s="25" t="s">
        <v>824</v>
      </c>
      <c r="AC832" s="25" t="s">
        <v>821</v>
      </c>
      <c r="AD832" s="25" t="s">
        <v>824</v>
      </c>
      <c r="AE832" s="25" t="s">
        <v>824</v>
      </c>
    </row>
    <row r="833" spans="20:31" ht="14.4">
      <c r="T833" s="25" t="s">
        <v>832</v>
      </c>
      <c r="U833" s="25" t="s">
        <v>837</v>
      </c>
      <c r="V833" s="25" t="s">
        <v>974</v>
      </c>
      <c r="W833" s="25" t="str">
        <f t="shared" si="31"/>
        <v>NoneRevealSomfy CBUS Motor</v>
      </c>
      <c r="X833" s="25">
        <v>0</v>
      </c>
      <c r="Y833" s="25" t="s">
        <v>824</v>
      </c>
      <c r="Z833" s="25" t="s">
        <v>824</v>
      </c>
      <c r="AA833" s="25" t="s">
        <v>824</v>
      </c>
      <c r="AB833" s="25" t="s">
        <v>824</v>
      </c>
      <c r="AC833" s="25" t="s">
        <v>821</v>
      </c>
      <c r="AD833" s="25" t="s">
        <v>824</v>
      </c>
      <c r="AE833" s="25" t="s">
        <v>824</v>
      </c>
    </row>
    <row r="834" spans="20:31" ht="14.4">
      <c r="T834" s="25" t="s">
        <v>832</v>
      </c>
      <c r="U834" s="25" t="s">
        <v>837</v>
      </c>
      <c r="V834" t="s">
        <v>986</v>
      </c>
      <c r="W834" s="25" t="str">
        <f t="shared" si="31"/>
        <v>NoneRevealHD Somfy Remote Sonesse Motor</v>
      </c>
      <c r="X834" s="25">
        <v>0</v>
      </c>
      <c r="Y834" s="25" t="s">
        <v>824</v>
      </c>
      <c r="Z834" s="25" t="s">
        <v>824</v>
      </c>
      <c r="AA834" s="25" t="s">
        <v>824</v>
      </c>
      <c r="AB834" s="25" t="s">
        <v>824</v>
      </c>
      <c r="AC834" s="25" t="s">
        <v>821</v>
      </c>
      <c r="AD834" s="25" t="s">
        <v>824</v>
      </c>
      <c r="AE834" s="25" t="s">
        <v>824</v>
      </c>
    </row>
    <row r="835" spans="20:31" ht="14.4">
      <c r="T835" s="25" t="s">
        <v>832</v>
      </c>
      <c r="U835" s="25" t="s">
        <v>837</v>
      </c>
      <c r="V835" t="s">
        <v>989</v>
      </c>
      <c r="W835" s="25" t="str">
        <f t="shared" si="32" ref="W835:W898">CONCATENATE(T835,U835,V835)</f>
        <v>NoneRevealHD Somfy 12v Remote Sonesse Motor</v>
      </c>
      <c r="X835" s="25">
        <v>0</v>
      </c>
      <c r="Y835" s="25" t="s">
        <v>824</v>
      </c>
      <c r="Z835" s="25" t="s">
        <v>824</v>
      </c>
      <c r="AA835" s="25" t="s">
        <v>824</v>
      </c>
      <c r="AB835" s="25" t="s">
        <v>824</v>
      </c>
      <c r="AC835" s="25" t="s">
        <v>821</v>
      </c>
      <c r="AD835" s="25" t="s">
        <v>824</v>
      </c>
      <c r="AE835" s="25" t="s">
        <v>824</v>
      </c>
    </row>
    <row r="836" spans="20:31" ht="14.4">
      <c r="T836" s="25" t="s">
        <v>832</v>
      </c>
      <c r="U836" s="25" t="s">
        <v>837</v>
      </c>
      <c r="V836" s="25" t="s">
        <v>992</v>
      </c>
      <c r="W836" s="25" t="str">
        <f t="shared" si="32"/>
        <v>NoneRevealHD Somfy CBUS Motor</v>
      </c>
      <c r="X836" s="25">
        <v>0</v>
      </c>
      <c r="Y836" s="25" t="s">
        <v>824</v>
      </c>
      <c r="Z836" s="25" t="s">
        <v>824</v>
      </c>
      <c r="AA836" s="25" t="s">
        <v>824</v>
      </c>
      <c r="AB836" s="25" t="s">
        <v>824</v>
      </c>
      <c r="AC836" s="25" t="s">
        <v>821</v>
      </c>
      <c r="AD836" s="25" t="s">
        <v>824</v>
      </c>
      <c r="AE836" s="25" t="s">
        <v>824</v>
      </c>
    </row>
    <row r="837" spans="20:31" ht="14.4">
      <c r="T837" s="25" t="s">
        <v>832</v>
      </c>
      <c r="U837" s="25" t="s">
        <v>837</v>
      </c>
      <c r="V837" s="25" t="s">
        <v>625</v>
      </c>
      <c r="W837" s="25" t="str">
        <f t="shared" si="32"/>
        <v>NoneRevealAcmeda E6 Motor</v>
      </c>
      <c r="X837" s="25">
        <v>0</v>
      </c>
      <c r="Y837" s="25" t="s">
        <v>824</v>
      </c>
      <c r="Z837" s="25" t="s">
        <v>824</v>
      </c>
      <c r="AA837" s="25" t="s">
        <v>824</v>
      </c>
      <c r="AB837" s="25" t="s">
        <v>824</v>
      </c>
      <c r="AC837" s="25" t="s">
        <v>821</v>
      </c>
      <c r="AD837" s="25" t="s">
        <v>824</v>
      </c>
      <c r="AE837" s="25" t="s">
        <v>824</v>
      </c>
    </row>
    <row r="838" spans="20:31" ht="14.4">
      <c r="T838" s="25" t="s">
        <v>832</v>
      </c>
      <c r="U838" s="25" t="s">
        <v>837</v>
      </c>
      <c r="V838" s="25" t="s">
        <v>626</v>
      </c>
      <c r="W838" s="25" t="str">
        <f t="shared" si="32"/>
        <v>NoneRevealAcmeda M6 Motor</v>
      </c>
      <c r="X838" s="25">
        <v>0</v>
      </c>
      <c r="Y838" s="25" t="s">
        <v>824</v>
      </c>
      <c r="Z838" s="25" t="s">
        <v>824</v>
      </c>
      <c r="AA838" s="25" t="s">
        <v>824</v>
      </c>
      <c r="AB838" s="25" t="s">
        <v>824</v>
      </c>
      <c r="AC838" s="25" t="s">
        <v>821</v>
      </c>
      <c r="AD838" s="25" t="s">
        <v>824</v>
      </c>
      <c r="AE838" s="25" t="s">
        <v>824</v>
      </c>
    </row>
    <row r="839" spans="20:31" ht="14.4">
      <c r="T839" s="25" t="s">
        <v>832</v>
      </c>
      <c r="U839" s="25" t="s">
        <v>837</v>
      </c>
      <c r="V839" s="25" t="s">
        <v>1002</v>
      </c>
      <c r="W839" s="25" t="str">
        <f t="shared" si="32"/>
        <v>NoneRevealUniline Remote Motor</v>
      </c>
      <c r="X839" s="25">
        <v>0</v>
      </c>
      <c r="Y839" s="25" t="s">
        <v>824</v>
      </c>
      <c r="Z839" s="25" t="s">
        <v>824</v>
      </c>
      <c r="AA839" s="25" t="s">
        <v>824</v>
      </c>
      <c r="AB839" s="25" t="s">
        <v>824</v>
      </c>
      <c r="AC839" s="25" t="s">
        <v>821</v>
      </c>
      <c r="AD839" s="25" t="s">
        <v>824</v>
      </c>
      <c r="AE839" s="25" t="s">
        <v>824</v>
      </c>
    </row>
    <row r="840" spans="20:31" ht="14.4">
      <c r="T840" s="25" t="s">
        <v>832</v>
      </c>
      <c r="U840" s="25" t="s">
        <v>837</v>
      </c>
      <c r="V840" s="25" t="s">
        <v>1005</v>
      </c>
      <c r="W840" s="25" t="str">
        <f t="shared" si="32"/>
        <v>NoneRevealUniline Cbus Motor</v>
      </c>
      <c r="X840" s="25">
        <v>0</v>
      </c>
      <c r="Y840" s="25" t="s">
        <v>824</v>
      </c>
      <c r="Z840" s="25" t="s">
        <v>824</v>
      </c>
      <c r="AA840" s="25" t="s">
        <v>824</v>
      </c>
      <c r="AB840" s="25" t="s">
        <v>824</v>
      </c>
      <c r="AC840" s="25" t="s">
        <v>821</v>
      </c>
      <c r="AD840" s="25" t="s">
        <v>824</v>
      </c>
      <c r="AE840" s="25" t="s">
        <v>824</v>
      </c>
    </row>
    <row r="841" spans="20:31" ht="14.4">
      <c r="T841" s="25" t="s">
        <v>832</v>
      </c>
      <c r="U841" s="25" t="s">
        <v>837</v>
      </c>
      <c r="V841" s="25" t="s">
        <v>981</v>
      </c>
      <c r="W841" s="25" t="str">
        <f t="shared" si="32"/>
        <v>NoneRevealNice Remote Motor</v>
      </c>
      <c r="X841" s="25">
        <v>0</v>
      </c>
      <c r="Y841" s="25" t="s">
        <v>824</v>
      </c>
      <c r="Z841" s="25" t="s">
        <v>824</v>
      </c>
      <c r="AA841" s="25" t="s">
        <v>824</v>
      </c>
      <c r="AB841" s="25" t="s">
        <v>824</v>
      </c>
      <c r="AC841" s="25" t="s">
        <v>821</v>
      </c>
      <c r="AD841" s="25" t="s">
        <v>824</v>
      </c>
      <c r="AE841" s="25" t="s">
        <v>824</v>
      </c>
    </row>
    <row r="842" spans="20:31" ht="14.4">
      <c r="T842" s="25" t="s">
        <v>832</v>
      </c>
      <c r="U842" s="25" t="s">
        <v>837</v>
      </c>
      <c r="V842" s="25" t="s">
        <v>976</v>
      </c>
      <c r="W842" s="25" t="str">
        <f t="shared" si="32"/>
        <v>NoneRevealNice CBus Motor</v>
      </c>
      <c r="X842" s="25">
        <v>0</v>
      </c>
      <c r="Y842" s="25" t="s">
        <v>824</v>
      </c>
      <c r="Z842" s="25" t="s">
        <v>824</v>
      </c>
      <c r="AA842" s="25" t="s">
        <v>824</v>
      </c>
      <c r="AB842" s="25" t="s">
        <v>824</v>
      </c>
      <c r="AC842" s="25" t="s">
        <v>821</v>
      </c>
      <c r="AD842" s="25" t="s">
        <v>824</v>
      </c>
      <c r="AE842" s="25" t="s">
        <v>824</v>
      </c>
    </row>
    <row r="843" spans="20:31" ht="14.4">
      <c r="T843" s="25" t="s">
        <v>832</v>
      </c>
      <c r="U843" s="25" t="s">
        <v>837</v>
      </c>
      <c r="V843" t="s">
        <v>1006</v>
      </c>
      <c r="W843" s="25" t="str">
        <f t="shared" si="32"/>
        <v>NoneRevealSunboss Chain Winder 38mm Tube</v>
      </c>
      <c r="X843" s="25">
        <v>0</v>
      </c>
      <c r="Y843" s="25" t="s">
        <v>824</v>
      </c>
      <c r="Z843" s="25" t="s">
        <v>824</v>
      </c>
      <c r="AA843" s="25" t="s">
        <v>824</v>
      </c>
      <c r="AB843" s="25" t="s">
        <v>824</v>
      </c>
      <c r="AC843" s="25" t="s">
        <v>821</v>
      </c>
      <c r="AD843" s="25" t="s">
        <v>824</v>
      </c>
      <c r="AE843" s="25" t="s">
        <v>824</v>
      </c>
    </row>
    <row r="844" spans="20:31" ht="14.4">
      <c r="T844" s="25" t="s">
        <v>832</v>
      </c>
      <c r="U844" s="25" t="s">
        <v>837</v>
      </c>
      <c r="V844" t="s">
        <v>1017</v>
      </c>
      <c r="W844" s="25" t="str">
        <f t="shared" si="32"/>
        <v>NoneRevealSunboss Chain Winder 43mm Tube</v>
      </c>
      <c r="X844" s="25">
        <v>0</v>
      </c>
      <c r="Y844" s="25" t="s">
        <v>824</v>
      </c>
      <c r="Z844" s="25" t="s">
        <v>824</v>
      </c>
      <c r="AA844" s="25" t="s">
        <v>824</v>
      </c>
      <c r="AB844" s="25" t="s">
        <v>824</v>
      </c>
      <c r="AC844" s="25" t="s">
        <v>821</v>
      </c>
      <c r="AD844" s="25" t="s">
        <v>824</v>
      </c>
      <c r="AE844" s="25" t="s">
        <v>824</v>
      </c>
    </row>
    <row r="845" spans="20:31" ht="14.4">
      <c r="T845" s="25" t="s">
        <v>832</v>
      </c>
      <c r="U845" s="25" t="s">
        <v>837</v>
      </c>
      <c r="V845" s="25" t="s">
        <v>1012</v>
      </c>
      <c r="W845" s="25" t="str">
        <f t="shared" si="32"/>
        <v>NoneRevealTBS Remote Motor</v>
      </c>
      <c r="X845" s="25">
        <v>0</v>
      </c>
      <c r="Y845" s="25" t="s">
        <v>824</v>
      </c>
      <c r="Z845" s="25" t="s">
        <v>824</v>
      </c>
      <c r="AA845" s="25" t="s">
        <v>824</v>
      </c>
      <c r="AB845" s="25" t="s">
        <v>824</v>
      </c>
      <c r="AC845" s="25" t="s">
        <v>821</v>
      </c>
      <c r="AD845" s="25" t="s">
        <v>824</v>
      </c>
      <c r="AE845" s="25" t="s">
        <v>824</v>
      </c>
    </row>
    <row r="846" spans="20:31" ht="14.4">
      <c r="T846" s="25" t="s">
        <v>832</v>
      </c>
      <c r="U846" s="25" t="s">
        <v>837</v>
      </c>
      <c r="V846" t="s">
        <v>1009</v>
      </c>
      <c r="W846" s="25" t="str">
        <f t="shared" si="32"/>
        <v>NoneRevealTBS Cbus Motor</v>
      </c>
      <c r="X846" s="25">
        <v>0</v>
      </c>
      <c r="Y846" s="25" t="s">
        <v>824</v>
      </c>
      <c r="Z846" s="25" t="s">
        <v>824</v>
      </c>
      <c r="AA846" s="25" t="s">
        <v>824</v>
      </c>
      <c r="AB846" s="25" t="s">
        <v>824</v>
      </c>
      <c r="AC846" s="25" t="s">
        <v>821</v>
      </c>
      <c r="AD846" s="25" t="s">
        <v>824</v>
      </c>
      <c r="AE846" s="25" t="s">
        <v>824</v>
      </c>
    </row>
    <row r="847" spans="20:31" ht="14.4">
      <c r="T847" s="25" t="s">
        <v>832</v>
      </c>
      <c r="U847" s="25" t="s">
        <v>837</v>
      </c>
      <c r="V847" t="s">
        <v>927</v>
      </c>
      <c r="W847" s="25" t="str">
        <f t="shared" si="32"/>
        <v>NoneRevealAcmeda External Motor</v>
      </c>
      <c r="X847" s="25">
        <v>0</v>
      </c>
      <c r="Y847" s="25" t="s">
        <v>824</v>
      </c>
      <c r="Z847" s="25" t="s">
        <v>824</v>
      </c>
      <c r="AA847" s="25" t="s">
        <v>824</v>
      </c>
      <c r="AB847" s="25" t="s">
        <v>824</v>
      </c>
      <c r="AC847" s="25" t="s">
        <v>821</v>
      </c>
      <c r="AD847" s="25" t="s">
        <v>824</v>
      </c>
      <c r="AE847" s="25" t="s">
        <v>824</v>
      </c>
    </row>
    <row r="848" spans="20:31" ht="14.4">
      <c r="T848" s="25" t="s">
        <v>832</v>
      </c>
      <c r="U848" s="25" t="s">
        <v>837</v>
      </c>
      <c r="V848" t="s">
        <v>918</v>
      </c>
      <c r="W848" s="25" t="str">
        <f t="shared" si="32"/>
        <v>NoneRevealAcmeda External 12v Motor</v>
      </c>
      <c r="X848" s="25">
        <v>0</v>
      </c>
      <c r="Y848" s="25" t="s">
        <v>824</v>
      </c>
      <c r="Z848" s="25" t="s">
        <v>824</v>
      </c>
      <c r="AA848" s="25" t="s">
        <v>824</v>
      </c>
      <c r="AB848" s="25" t="s">
        <v>824</v>
      </c>
      <c r="AC848" s="25" t="s">
        <v>821</v>
      </c>
      <c r="AD848" s="25" t="s">
        <v>824</v>
      </c>
      <c r="AE848" s="25" t="s">
        <v>824</v>
      </c>
    </row>
    <row r="849" spans="20:31" ht="14.4">
      <c r="T849" s="25" t="s">
        <v>832</v>
      </c>
      <c r="U849" s="25" t="s">
        <v>837</v>
      </c>
      <c r="V849" t="s">
        <v>979</v>
      </c>
      <c r="W849" s="25" t="str">
        <f t="shared" si="32"/>
        <v>NoneRevealSomfy External CBUS Motor</v>
      </c>
      <c r="X849" s="25">
        <v>0</v>
      </c>
      <c r="Y849" s="25" t="s">
        <v>824</v>
      </c>
      <c r="Z849" s="25" t="s">
        <v>824</v>
      </c>
      <c r="AA849" s="25" t="s">
        <v>824</v>
      </c>
      <c r="AB849" s="25" t="s">
        <v>824</v>
      </c>
      <c r="AC849" s="25" t="s">
        <v>821</v>
      </c>
      <c r="AD849" s="25" t="s">
        <v>824</v>
      </c>
      <c r="AE849" s="25" t="s">
        <v>824</v>
      </c>
    </row>
    <row r="850" spans="20:31" ht="14.4">
      <c r="T850" s="25" t="s">
        <v>832</v>
      </c>
      <c r="U850" s="25" t="s">
        <v>837</v>
      </c>
      <c r="V850" t="s">
        <v>983</v>
      </c>
      <c r="W850" s="25" t="str">
        <f t="shared" si="32"/>
        <v>NoneRevealSomfy External Remote Motor</v>
      </c>
      <c r="X850" s="25">
        <v>0</v>
      </c>
      <c r="Y850" s="25" t="s">
        <v>824</v>
      </c>
      <c r="Z850" s="25" t="s">
        <v>824</v>
      </c>
      <c r="AA850" s="25" t="s">
        <v>824</v>
      </c>
      <c r="AB850" s="25" t="s">
        <v>824</v>
      </c>
      <c r="AC850" s="25" t="s">
        <v>821</v>
      </c>
      <c r="AD850" s="25" t="s">
        <v>824</v>
      </c>
      <c r="AE850" s="25" t="s">
        <v>824</v>
      </c>
    </row>
    <row r="851" spans="20:31" ht="14.4">
      <c r="T851" s="25" t="s">
        <v>832</v>
      </c>
      <c r="U851" s="25" t="s">
        <v>837</v>
      </c>
      <c r="V851" t="s">
        <v>995</v>
      </c>
      <c r="W851" s="25" t="str">
        <f t="shared" si="32"/>
        <v>NoneRevealHD Somfy External CBUS Motor</v>
      </c>
      <c r="X851" s="25">
        <v>0</v>
      </c>
      <c r="Y851" s="25" t="s">
        <v>824</v>
      </c>
      <c r="Z851" s="25" t="s">
        <v>824</v>
      </c>
      <c r="AA851" s="25" t="s">
        <v>824</v>
      </c>
      <c r="AB851" s="25" t="s">
        <v>824</v>
      </c>
      <c r="AC851" s="25" t="s">
        <v>821</v>
      </c>
      <c r="AD851" s="25" t="s">
        <v>824</v>
      </c>
      <c r="AE851" s="25" t="s">
        <v>824</v>
      </c>
    </row>
    <row r="852" spans="20:31" ht="14.4">
      <c r="T852" s="25" t="s">
        <v>832</v>
      </c>
      <c r="U852" s="25" t="s">
        <v>837</v>
      </c>
      <c r="V852" t="s">
        <v>999</v>
      </c>
      <c r="W852" s="25" t="str">
        <f t="shared" si="32"/>
        <v>NoneRevealHD Somfy External Remote Motor</v>
      </c>
      <c r="X852" s="25">
        <v>0</v>
      </c>
      <c r="Y852" s="25" t="s">
        <v>824</v>
      </c>
      <c r="Z852" s="25" t="s">
        <v>824</v>
      </c>
      <c r="AA852" s="25" t="s">
        <v>824</v>
      </c>
      <c r="AB852" s="25" t="s">
        <v>824</v>
      </c>
      <c r="AC852" s="25" t="s">
        <v>821</v>
      </c>
      <c r="AD852" s="25" t="s">
        <v>824</v>
      </c>
      <c r="AE852" s="25" t="s">
        <v>824</v>
      </c>
    </row>
    <row r="853" spans="20:31" ht="14.4">
      <c r="T853" s="25" t="s">
        <v>942</v>
      </c>
      <c r="U853" s="25" t="s">
        <v>816</v>
      </c>
      <c r="V853" s="25" t="s">
        <v>823</v>
      </c>
      <c r="W853" s="25" t="str">
        <f t="shared" si="32"/>
        <v>Round CassetteFaceChain Winder</v>
      </c>
      <c r="X853" s="25">
        <v>10</v>
      </c>
      <c r="Y853" s="25">
        <v>14</v>
      </c>
      <c r="Z853" s="25">
        <v>29</v>
      </c>
      <c r="AA853" s="25" t="s">
        <v>824</v>
      </c>
      <c r="AB853" s="25" t="s">
        <v>821</v>
      </c>
      <c r="AC853" s="25" t="s">
        <v>821</v>
      </c>
      <c r="AD853" s="25" t="s">
        <v>821</v>
      </c>
      <c r="AE853" s="25" t="s">
        <v>818</v>
      </c>
    </row>
    <row r="854" spans="20:31" ht="14.4">
      <c r="T854" s="25" t="s">
        <v>942</v>
      </c>
      <c r="U854" s="25" t="s">
        <v>816</v>
      </c>
      <c r="V854" s="25" t="s">
        <v>841</v>
      </c>
      <c r="W854" s="25" t="str">
        <f t="shared" si="32"/>
        <v>Round CassetteFaceHD Chain Winder</v>
      </c>
      <c r="X854" s="25">
        <v>10</v>
      </c>
      <c r="Y854" s="25">
        <v>14</v>
      </c>
      <c r="Z854" s="25">
        <v>29</v>
      </c>
      <c r="AA854" s="25" t="s">
        <v>824</v>
      </c>
      <c r="AB854" s="25" t="s">
        <v>821</v>
      </c>
      <c r="AC854" s="25" t="s">
        <v>821</v>
      </c>
      <c r="AD854" s="25" t="s">
        <v>821</v>
      </c>
      <c r="AE854" s="25" t="s">
        <v>818</v>
      </c>
    </row>
    <row r="855" spans="20:31" ht="14.4">
      <c r="T855" s="25" t="s">
        <v>942</v>
      </c>
      <c r="U855" s="25" t="s">
        <v>816</v>
      </c>
      <c r="V855" s="25" t="s">
        <v>858</v>
      </c>
      <c r="W855" s="25" t="str">
        <f t="shared" si="32"/>
        <v>Round CassetteFaceChain Winder 60mm</v>
      </c>
      <c r="X855" s="25">
        <v>10</v>
      </c>
      <c r="Y855" s="25">
        <v>14</v>
      </c>
      <c r="Z855" s="25">
        <v>29</v>
      </c>
      <c r="AA855" s="25" t="s">
        <v>824</v>
      </c>
      <c r="AB855" s="25" t="s">
        <v>821</v>
      </c>
      <c r="AC855" s="25" t="s">
        <v>821</v>
      </c>
      <c r="AD855" s="25" t="s">
        <v>821</v>
      </c>
      <c r="AE855" s="25" t="s">
        <v>818</v>
      </c>
    </row>
    <row r="856" spans="20:31" ht="14.4">
      <c r="T856" s="25" t="s">
        <v>942</v>
      </c>
      <c r="U856" s="25" t="s">
        <v>816</v>
      </c>
      <c r="V856" s="25" t="s">
        <v>865</v>
      </c>
      <c r="W856" s="25" t="str">
        <f t="shared" si="32"/>
        <v>Round CassetteFaceChain Winder Fixed Guide</v>
      </c>
      <c r="X856" s="25">
        <v>10</v>
      </c>
      <c r="Y856" s="25">
        <v>14</v>
      </c>
      <c r="Z856" s="25">
        <v>29</v>
      </c>
      <c r="AA856" s="25" t="s">
        <v>824</v>
      </c>
      <c r="AB856" s="25" t="s">
        <v>821</v>
      </c>
      <c r="AC856" s="25" t="s">
        <v>821</v>
      </c>
      <c r="AD856" s="25" t="s">
        <v>821</v>
      </c>
      <c r="AE856" s="25" t="s">
        <v>818</v>
      </c>
    </row>
    <row r="857" spans="20:31" ht="14.4">
      <c r="T857" s="25" t="s">
        <v>942</v>
      </c>
      <c r="U857" s="25" t="s">
        <v>816</v>
      </c>
      <c r="V857" s="25" t="s">
        <v>181</v>
      </c>
      <c r="W857" s="25" t="str">
        <f t="shared" si="32"/>
        <v>Round CassetteFaceLinked</v>
      </c>
      <c r="X857" s="25">
        <v>10</v>
      </c>
      <c r="Y857" s="25">
        <v>14</v>
      </c>
      <c r="Z857" s="25">
        <v>14</v>
      </c>
      <c r="AA857" s="25" t="s">
        <v>824</v>
      </c>
      <c r="AB857" s="25" t="s">
        <v>821</v>
      </c>
      <c r="AC857" s="25" t="s">
        <v>821</v>
      </c>
      <c r="AD857" s="25" t="s">
        <v>821</v>
      </c>
      <c r="AE857" s="25" t="s">
        <v>818</v>
      </c>
    </row>
    <row r="858" spans="20:31" ht="14.4">
      <c r="T858" s="25" t="s">
        <v>942</v>
      </c>
      <c r="U858" s="25" t="s">
        <v>816</v>
      </c>
      <c r="V858" s="25" t="s">
        <v>898</v>
      </c>
      <c r="W858" s="25" t="str">
        <f t="shared" si="32"/>
        <v>Round CassetteFaceLinked - HD</v>
      </c>
      <c r="X858" s="25">
        <v>10</v>
      </c>
      <c r="Y858" s="25">
        <v>14</v>
      </c>
      <c r="Z858" s="25">
        <v>14</v>
      </c>
      <c r="AA858" s="25" t="s">
        <v>824</v>
      </c>
      <c r="AB858" s="25" t="s">
        <v>821</v>
      </c>
      <c r="AC858" s="25" t="s">
        <v>821</v>
      </c>
      <c r="AD858" s="25" t="s">
        <v>821</v>
      </c>
      <c r="AE858" s="25" t="s">
        <v>818</v>
      </c>
    </row>
    <row r="859" spans="20:31" ht="14.4">
      <c r="T859" s="25" t="s">
        <v>942</v>
      </c>
      <c r="U859" s="25" t="s">
        <v>816</v>
      </c>
      <c r="V859" s="25" t="s">
        <v>910</v>
      </c>
      <c r="W859" s="25" t="str">
        <f t="shared" si="32"/>
        <v>Round CassetteFaceStandard Spring</v>
      </c>
      <c r="X859" s="25">
        <v>10</v>
      </c>
      <c r="Y859" s="25">
        <v>14</v>
      </c>
      <c r="Z859" s="25">
        <v>14</v>
      </c>
      <c r="AA859" s="25" t="s">
        <v>824</v>
      </c>
      <c r="AB859" s="25" t="s">
        <v>821</v>
      </c>
      <c r="AC859" s="25" t="s">
        <v>821</v>
      </c>
      <c r="AD859" s="25" t="s">
        <v>821</v>
      </c>
      <c r="AE859" s="25" t="s">
        <v>818</v>
      </c>
    </row>
    <row r="860" spans="20:31" ht="14.4">
      <c r="T860" s="25" t="s">
        <v>942</v>
      </c>
      <c r="U860" s="25" t="s">
        <v>816</v>
      </c>
      <c r="V860" s="25" t="s">
        <v>920</v>
      </c>
      <c r="W860" s="25" t="str">
        <f t="shared" si="32"/>
        <v>Round CassetteFaceSmall Spring</v>
      </c>
      <c r="X860" s="25">
        <v>10</v>
      </c>
      <c r="Y860" s="25">
        <v>14</v>
      </c>
      <c r="Z860" s="25">
        <v>14</v>
      </c>
      <c r="AA860" s="25" t="s">
        <v>824</v>
      </c>
      <c r="AB860" s="25" t="s">
        <v>821</v>
      </c>
      <c r="AC860" s="25" t="s">
        <v>821</v>
      </c>
      <c r="AD860" s="25" t="s">
        <v>821</v>
      </c>
      <c r="AE860" s="25" t="s">
        <v>818</v>
      </c>
    </row>
    <row r="861" spans="20:31" ht="14.4">
      <c r="T861" s="25" t="s">
        <v>942</v>
      </c>
      <c r="U861" s="25" t="s">
        <v>816</v>
      </c>
      <c r="V861" s="25" t="s">
        <v>929</v>
      </c>
      <c r="W861" s="25" t="str">
        <f t="shared" si="32"/>
        <v>Round CassetteFaceUniline Spring (Old Style)</v>
      </c>
      <c r="X861" s="25">
        <v>10</v>
      </c>
      <c r="Y861" s="25">
        <v>14</v>
      </c>
      <c r="Z861" s="25">
        <v>14</v>
      </c>
      <c r="AA861" s="25" t="s">
        <v>824</v>
      </c>
      <c r="AB861" s="25" t="s">
        <v>821</v>
      </c>
      <c r="AC861" s="25" t="s">
        <v>821</v>
      </c>
      <c r="AD861" s="25" t="s">
        <v>821</v>
      </c>
      <c r="AE861" s="25" t="s">
        <v>818</v>
      </c>
    </row>
    <row r="862" spans="20:31" ht="14.4">
      <c r="T862" s="25" t="s">
        <v>942</v>
      </c>
      <c r="U862" s="25" t="s">
        <v>816</v>
      </c>
      <c r="V862" s="25" t="s">
        <v>935</v>
      </c>
      <c r="W862" s="25" t="str">
        <f t="shared" si="32"/>
        <v>Round CassetteFaceBecker Remote Motor</v>
      </c>
      <c r="X862" s="25">
        <v>10</v>
      </c>
      <c r="Y862" s="25">
        <v>14</v>
      </c>
      <c r="Z862" s="25">
        <v>14</v>
      </c>
      <c r="AA862" s="25" t="s">
        <v>824</v>
      </c>
      <c r="AB862" s="25" t="s">
        <v>821</v>
      </c>
      <c r="AC862" s="25" t="s">
        <v>821</v>
      </c>
      <c r="AD862" s="25" t="s">
        <v>821</v>
      </c>
      <c r="AE862" s="25" t="s">
        <v>818</v>
      </c>
    </row>
    <row r="863" spans="20:31" ht="14.4">
      <c r="T863" s="25" t="s">
        <v>942</v>
      </c>
      <c r="U863" s="25" t="s">
        <v>816</v>
      </c>
      <c r="V863" s="25" t="s">
        <v>939</v>
      </c>
      <c r="W863" s="25" t="str">
        <f t="shared" si="32"/>
        <v>Round CassetteFaceBecker CBUS Motor</v>
      </c>
      <c r="X863" s="25">
        <v>10</v>
      </c>
      <c r="Y863" s="25">
        <v>14</v>
      </c>
      <c r="Z863" s="25">
        <v>14</v>
      </c>
      <c r="AA863" s="25" t="s">
        <v>824</v>
      </c>
      <c r="AB863" s="25" t="s">
        <v>821</v>
      </c>
      <c r="AC863" s="25" t="s">
        <v>821</v>
      </c>
      <c r="AD863" s="25" t="s">
        <v>821</v>
      </c>
      <c r="AE863" s="25" t="s">
        <v>818</v>
      </c>
    </row>
    <row r="864" spans="20:31" ht="14.4">
      <c r="T864" s="25" t="s">
        <v>942</v>
      </c>
      <c r="U864" s="25" t="s">
        <v>816</v>
      </c>
      <c r="V864" s="25" t="s">
        <v>946</v>
      </c>
      <c r="W864" s="25" t="str">
        <f t="shared" si="32"/>
        <v>Round CassetteFaceBecker External Remote Motor</v>
      </c>
      <c r="X864" s="25">
        <v>10</v>
      </c>
      <c r="Y864" s="25">
        <v>14</v>
      </c>
      <c r="Z864" s="25">
        <v>14</v>
      </c>
      <c r="AA864" s="25" t="s">
        <v>824</v>
      </c>
      <c r="AB864" s="25" t="s">
        <v>821</v>
      </c>
      <c r="AC864" s="25" t="s">
        <v>821</v>
      </c>
      <c r="AD864" s="25" t="s">
        <v>821</v>
      </c>
      <c r="AE864" s="25" t="s">
        <v>818</v>
      </c>
    </row>
    <row r="865" spans="20:31" ht="14.4">
      <c r="T865" s="25" t="s">
        <v>942</v>
      </c>
      <c r="U865" s="25" t="s">
        <v>816</v>
      </c>
      <c r="V865" s="25" t="s">
        <v>951</v>
      </c>
      <c r="W865" s="25" t="str">
        <f t="shared" si="32"/>
        <v>Round CassetteFaceBecker External CBUS Motor</v>
      </c>
      <c r="X865" s="25">
        <v>10</v>
      </c>
      <c r="Y865" s="25">
        <v>14</v>
      </c>
      <c r="Z865" s="25">
        <v>14</v>
      </c>
      <c r="AA865" s="25" t="s">
        <v>824</v>
      </c>
      <c r="AB865" s="25" t="s">
        <v>821</v>
      </c>
      <c r="AC865" s="25" t="s">
        <v>821</v>
      </c>
      <c r="AD865" s="25" t="s">
        <v>821</v>
      </c>
      <c r="AE865" s="25" t="s">
        <v>818</v>
      </c>
    </row>
    <row r="866" spans="20:31" ht="14.4">
      <c r="T866" s="25" t="s">
        <v>942</v>
      </c>
      <c r="U866" s="25" t="s">
        <v>816</v>
      </c>
      <c r="V866" s="25" t="s">
        <v>838</v>
      </c>
      <c r="W866" s="25" t="str">
        <f t="shared" si="32"/>
        <v>Round CassetteFace1.1nm 12v Acmeda Motor</v>
      </c>
      <c r="X866" s="25">
        <v>10</v>
      </c>
      <c r="Y866" s="25">
        <v>14</v>
      </c>
      <c r="Z866" s="25">
        <v>14</v>
      </c>
      <c r="AA866" s="25" t="s">
        <v>824</v>
      </c>
      <c r="AB866" s="25" t="s">
        <v>821</v>
      </c>
      <c r="AC866" s="25" t="s">
        <v>821</v>
      </c>
      <c r="AD866" s="25" t="s">
        <v>821</v>
      </c>
      <c r="AE866" s="25" t="s">
        <v>818</v>
      </c>
    </row>
    <row r="867" spans="20:31" ht="14.4">
      <c r="T867" s="25" t="s">
        <v>942</v>
      </c>
      <c r="U867" s="25" t="s">
        <v>816</v>
      </c>
      <c r="V867" t="s">
        <v>882</v>
      </c>
      <c r="W867" s="25" t="str">
        <f t="shared" si="32"/>
        <v>Round CassetteFace2nm 12v Acmeda Motor</v>
      </c>
      <c r="X867" s="25">
        <v>10</v>
      </c>
      <c r="Y867" s="25">
        <v>14</v>
      </c>
      <c r="Z867" s="25">
        <v>14</v>
      </c>
      <c r="AA867" s="25" t="s">
        <v>824</v>
      </c>
      <c r="AB867" s="25" t="s">
        <v>821</v>
      </c>
      <c r="AC867" s="25" t="s">
        <v>821</v>
      </c>
      <c r="AD867" s="25" t="s">
        <v>821</v>
      </c>
      <c r="AE867" s="25" t="s">
        <v>818</v>
      </c>
    </row>
    <row r="868" spans="20:31" ht="14.4">
      <c r="T868" s="25" t="s">
        <v>942</v>
      </c>
      <c r="U868" s="25" t="s">
        <v>816</v>
      </c>
      <c r="V868" t="s">
        <v>896</v>
      </c>
      <c r="W868" s="25" t="str">
        <f t="shared" si="32"/>
        <v>Round CassetteFaceAcmeda 12v 6nm Motor</v>
      </c>
      <c r="X868" s="25">
        <v>10</v>
      </c>
      <c r="Y868" s="25">
        <v>14</v>
      </c>
      <c r="Z868" s="25">
        <v>14</v>
      </c>
      <c r="AA868" s="25" t="s">
        <v>824</v>
      </c>
      <c r="AB868" s="25" t="s">
        <v>821</v>
      </c>
      <c r="AC868" s="25" t="s">
        <v>821</v>
      </c>
      <c r="AD868" s="25" t="s">
        <v>821</v>
      </c>
      <c r="AE868" s="25" t="s">
        <v>818</v>
      </c>
    </row>
    <row r="869" spans="20:31" ht="14.4">
      <c r="T869" s="25" t="s">
        <v>942</v>
      </c>
      <c r="U869" s="25" t="s">
        <v>816</v>
      </c>
      <c r="V869" t="s">
        <v>855</v>
      </c>
      <c r="W869" s="25" t="str">
        <f t="shared" si="32"/>
        <v>Round CassetteFace0.7nm 12v Acmeda Motor</v>
      </c>
      <c r="X869" s="25">
        <v>10</v>
      </c>
      <c r="Y869" s="25">
        <v>14</v>
      </c>
      <c r="Z869" s="25">
        <v>14</v>
      </c>
      <c r="AA869" s="25" t="s">
        <v>824</v>
      </c>
      <c r="AB869" s="25" t="s">
        <v>821</v>
      </c>
      <c r="AC869" s="25" t="s">
        <v>821</v>
      </c>
      <c r="AD869" s="25" t="s">
        <v>821</v>
      </c>
      <c r="AE869" s="25" t="s">
        <v>818</v>
      </c>
    </row>
    <row r="870" spans="20:31" ht="14.4">
      <c r="T870" s="25" t="s">
        <v>942</v>
      </c>
      <c r="U870" s="25" t="s">
        <v>816</v>
      </c>
      <c r="V870" s="25" t="s">
        <v>849</v>
      </c>
      <c r="W870" s="25" t="str">
        <f t="shared" si="32"/>
        <v>Round CassetteFace1.1nm 12v Acmeda DCRF Motor with External Battery</v>
      </c>
      <c r="X870" s="25">
        <v>10</v>
      </c>
      <c r="Y870" s="25">
        <v>14</v>
      </c>
      <c r="Z870" s="25">
        <v>14</v>
      </c>
      <c r="AA870" s="25" t="s">
        <v>824</v>
      </c>
      <c r="AB870" s="25" t="s">
        <v>821</v>
      </c>
      <c r="AC870" s="25" t="s">
        <v>821</v>
      </c>
      <c r="AD870" s="25" t="s">
        <v>821</v>
      </c>
      <c r="AE870" s="25" t="s">
        <v>818</v>
      </c>
    </row>
    <row r="871" spans="20:31" ht="14.4">
      <c r="T871" s="25" t="s">
        <v>942</v>
      </c>
      <c r="U871" s="25" t="s">
        <v>816</v>
      </c>
      <c r="V871" s="25" t="s">
        <v>817</v>
      </c>
      <c r="W871" s="25" t="str">
        <f t="shared" si="32"/>
        <v>Round CassetteFace1.1nm 12v Acmeda DCRF Motor</v>
      </c>
      <c r="X871" s="25">
        <v>10</v>
      </c>
      <c r="Y871" s="25">
        <v>14</v>
      </c>
      <c r="Z871" s="25">
        <v>14</v>
      </c>
      <c r="AA871" s="25" t="s">
        <v>824</v>
      </c>
      <c r="AB871" s="25" t="s">
        <v>821</v>
      </c>
      <c r="AC871" s="25" t="s">
        <v>821</v>
      </c>
      <c r="AD871" s="25" t="s">
        <v>821</v>
      </c>
      <c r="AE871" s="25" t="s">
        <v>818</v>
      </c>
    </row>
    <row r="872" spans="20:31" ht="14.4">
      <c r="T872" s="25" t="s">
        <v>942</v>
      </c>
      <c r="U872" s="25" t="s">
        <v>816</v>
      </c>
      <c r="V872" s="25" t="s">
        <v>868</v>
      </c>
      <c r="W872" s="25" t="str">
        <f t="shared" si="32"/>
        <v>Round CassetteFace2nm 12v Acmeda DCRF Motor</v>
      </c>
      <c r="X872" s="25">
        <v>10</v>
      </c>
      <c r="Y872" s="25">
        <v>14</v>
      </c>
      <c r="Z872" s="25">
        <v>14</v>
      </c>
      <c r="AA872" s="25" t="s">
        <v>824</v>
      </c>
      <c r="AB872" s="25" t="s">
        <v>821</v>
      </c>
      <c r="AC872" s="25" t="s">
        <v>821</v>
      </c>
      <c r="AD872" s="25" t="s">
        <v>821</v>
      </c>
      <c r="AE872" s="25" t="s">
        <v>818</v>
      </c>
    </row>
    <row r="873" spans="20:31" ht="14.4">
      <c r="T873" s="25" t="s">
        <v>942</v>
      </c>
      <c r="U873" s="25" t="s">
        <v>816</v>
      </c>
      <c r="V873" t="s">
        <v>973</v>
      </c>
      <c r="W873" s="25" t="str">
        <f t="shared" si="32"/>
        <v>Round CassetteFaceSomfy Remote Sonesse Motor</v>
      </c>
      <c r="X873" s="25">
        <v>10</v>
      </c>
      <c r="Y873" s="25">
        <v>14</v>
      </c>
      <c r="Z873" s="25">
        <v>14</v>
      </c>
      <c r="AA873" s="25" t="s">
        <v>824</v>
      </c>
      <c r="AB873" s="25" t="s">
        <v>821</v>
      </c>
      <c r="AC873" s="25" t="s">
        <v>821</v>
      </c>
      <c r="AD873" s="25" t="s">
        <v>821</v>
      </c>
      <c r="AE873" s="25" t="s">
        <v>818</v>
      </c>
    </row>
    <row r="874" spans="20:31" ht="14.4">
      <c r="T874" s="25" t="s">
        <v>942</v>
      </c>
      <c r="U874" s="25" t="s">
        <v>816</v>
      </c>
      <c r="V874" t="s">
        <v>637</v>
      </c>
      <c r="W874" s="25" t="str">
        <f t="shared" si="32"/>
        <v>Round CassetteFaceSomfy 12v Remote Sonesse Motor</v>
      </c>
      <c r="X874" s="25">
        <v>10</v>
      </c>
      <c r="Y874" s="25">
        <v>14</v>
      </c>
      <c r="Z874" s="25">
        <v>14</v>
      </c>
      <c r="AA874" s="25" t="s">
        <v>824</v>
      </c>
      <c r="AB874" s="25" t="s">
        <v>821</v>
      </c>
      <c r="AC874" s="25" t="s">
        <v>821</v>
      </c>
      <c r="AD874" s="25" t="s">
        <v>821</v>
      </c>
      <c r="AE874" s="25" t="s">
        <v>818</v>
      </c>
    </row>
    <row r="875" spans="20:31" ht="14.4">
      <c r="T875" s="25" t="s">
        <v>942</v>
      </c>
      <c r="U875" s="25" t="s">
        <v>816</v>
      </c>
      <c r="V875" s="25" t="s">
        <v>974</v>
      </c>
      <c r="W875" s="25" t="str">
        <f t="shared" si="32"/>
        <v>Round CassetteFaceSomfy CBUS Motor</v>
      </c>
      <c r="X875" s="25">
        <v>10</v>
      </c>
      <c r="Y875" s="25">
        <v>14</v>
      </c>
      <c r="Z875" s="25">
        <v>14</v>
      </c>
      <c r="AA875" s="25" t="s">
        <v>824</v>
      </c>
      <c r="AB875" s="25" t="s">
        <v>821</v>
      </c>
      <c r="AC875" s="25" t="s">
        <v>821</v>
      </c>
      <c r="AD875" s="25" t="s">
        <v>821</v>
      </c>
      <c r="AE875" s="25" t="s">
        <v>818</v>
      </c>
    </row>
    <row r="876" spans="20:31" ht="14.4">
      <c r="T876" s="25" t="s">
        <v>942</v>
      </c>
      <c r="U876" s="25" t="s">
        <v>816</v>
      </c>
      <c r="V876" t="s">
        <v>986</v>
      </c>
      <c r="W876" s="25" t="str">
        <f t="shared" si="32"/>
        <v>Round CassetteFaceHD Somfy Remote Sonesse Motor</v>
      </c>
      <c r="X876" s="25">
        <v>10</v>
      </c>
      <c r="Y876" s="25">
        <v>14</v>
      </c>
      <c r="Z876" s="25">
        <v>14</v>
      </c>
      <c r="AA876" s="25" t="s">
        <v>824</v>
      </c>
      <c r="AB876" s="25" t="s">
        <v>821</v>
      </c>
      <c r="AC876" s="25" t="s">
        <v>821</v>
      </c>
      <c r="AD876" s="25" t="s">
        <v>821</v>
      </c>
      <c r="AE876" s="25" t="s">
        <v>818</v>
      </c>
    </row>
    <row r="877" spans="20:31" ht="14.4">
      <c r="T877" s="25" t="s">
        <v>942</v>
      </c>
      <c r="U877" s="25" t="s">
        <v>816</v>
      </c>
      <c r="V877" t="s">
        <v>989</v>
      </c>
      <c r="W877" s="25" t="str">
        <f t="shared" si="32"/>
        <v>Round CassetteFaceHD Somfy 12v Remote Sonesse Motor</v>
      </c>
      <c r="X877" s="25">
        <v>10</v>
      </c>
      <c r="Y877" s="25">
        <v>14</v>
      </c>
      <c r="Z877" s="25">
        <v>14</v>
      </c>
      <c r="AA877" s="25" t="s">
        <v>824</v>
      </c>
      <c r="AB877" s="25" t="s">
        <v>821</v>
      </c>
      <c r="AC877" s="25" t="s">
        <v>821</v>
      </c>
      <c r="AD877" s="25" t="s">
        <v>821</v>
      </c>
      <c r="AE877" s="25" t="s">
        <v>818</v>
      </c>
    </row>
    <row r="878" spans="20:31" ht="14.4">
      <c r="T878" s="25" t="s">
        <v>942</v>
      </c>
      <c r="U878" s="25" t="s">
        <v>816</v>
      </c>
      <c r="V878" s="25" t="s">
        <v>992</v>
      </c>
      <c r="W878" s="25" t="str">
        <f t="shared" si="32"/>
        <v>Round CassetteFaceHD Somfy CBUS Motor</v>
      </c>
      <c r="X878" s="25">
        <v>10</v>
      </c>
      <c r="Y878" s="25">
        <v>14</v>
      </c>
      <c r="Z878" s="25">
        <v>14</v>
      </c>
      <c r="AA878" s="25" t="s">
        <v>824</v>
      </c>
      <c r="AB878" s="25" t="s">
        <v>821</v>
      </c>
      <c r="AC878" s="25" t="s">
        <v>821</v>
      </c>
      <c r="AD878" s="25" t="s">
        <v>821</v>
      </c>
      <c r="AE878" s="25" t="s">
        <v>818</v>
      </c>
    </row>
    <row r="879" spans="20:31" ht="14.4">
      <c r="T879" s="25" t="s">
        <v>942</v>
      </c>
      <c r="U879" s="25" t="s">
        <v>816</v>
      </c>
      <c r="V879" s="25" t="s">
        <v>625</v>
      </c>
      <c r="W879" s="25" t="str">
        <f t="shared" si="32"/>
        <v>Round CassetteFaceAcmeda E6 Motor</v>
      </c>
      <c r="X879" s="25">
        <v>10</v>
      </c>
      <c r="Y879" s="25">
        <v>14</v>
      </c>
      <c r="Z879" s="25">
        <v>14</v>
      </c>
      <c r="AA879" s="25" t="s">
        <v>824</v>
      </c>
      <c r="AB879" s="25" t="s">
        <v>821</v>
      </c>
      <c r="AC879" s="25" t="s">
        <v>821</v>
      </c>
      <c r="AD879" s="25" t="s">
        <v>821</v>
      </c>
      <c r="AE879" s="25" t="s">
        <v>818</v>
      </c>
    </row>
    <row r="880" spans="20:31" ht="14.4">
      <c r="T880" s="25" t="s">
        <v>942</v>
      </c>
      <c r="U880" s="25" t="s">
        <v>816</v>
      </c>
      <c r="V880" s="25" t="s">
        <v>626</v>
      </c>
      <c r="W880" s="25" t="str">
        <f t="shared" si="32"/>
        <v>Round CassetteFaceAcmeda M6 Motor</v>
      </c>
      <c r="X880" s="25">
        <v>10</v>
      </c>
      <c r="Y880" s="25">
        <v>14</v>
      </c>
      <c r="Z880" s="25">
        <v>14</v>
      </c>
      <c r="AA880" s="25" t="s">
        <v>824</v>
      </c>
      <c r="AB880" s="25" t="s">
        <v>821</v>
      </c>
      <c r="AC880" s="25" t="s">
        <v>821</v>
      </c>
      <c r="AD880" s="25" t="s">
        <v>821</v>
      </c>
      <c r="AE880" s="25" t="s">
        <v>818</v>
      </c>
    </row>
    <row r="881" spans="20:31" ht="14.4">
      <c r="T881" s="25" t="s">
        <v>942</v>
      </c>
      <c r="U881" s="25" t="s">
        <v>816</v>
      </c>
      <c r="V881" s="25" t="s">
        <v>1002</v>
      </c>
      <c r="W881" s="25" t="str">
        <f t="shared" si="32"/>
        <v>Round CassetteFaceUniline Remote Motor</v>
      </c>
      <c r="X881" s="25">
        <v>10</v>
      </c>
      <c r="Y881" s="25">
        <v>14</v>
      </c>
      <c r="Z881" s="25">
        <v>14</v>
      </c>
      <c r="AA881" s="25" t="s">
        <v>824</v>
      </c>
      <c r="AB881" s="25" t="s">
        <v>821</v>
      </c>
      <c r="AC881" s="25" t="s">
        <v>821</v>
      </c>
      <c r="AD881" s="25" t="s">
        <v>821</v>
      </c>
      <c r="AE881" s="25" t="s">
        <v>818</v>
      </c>
    </row>
    <row r="882" spans="20:31" ht="14.4">
      <c r="T882" s="25" t="s">
        <v>942</v>
      </c>
      <c r="U882" s="25" t="s">
        <v>816</v>
      </c>
      <c r="V882" s="25" t="s">
        <v>1005</v>
      </c>
      <c r="W882" s="25" t="str">
        <f t="shared" si="32"/>
        <v>Round CassetteFaceUniline Cbus Motor</v>
      </c>
      <c r="X882" s="25">
        <v>10</v>
      </c>
      <c r="Y882" s="25">
        <v>14</v>
      </c>
      <c r="Z882" s="25">
        <v>14</v>
      </c>
      <c r="AA882" s="25" t="s">
        <v>824</v>
      </c>
      <c r="AB882" s="25" t="s">
        <v>821</v>
      </c>
      <c r="AC882" s="25" t="s">
        <v>821</v>
      </c>
      <c r="AD882" s="25" t="s">
        <v>821</v>
      </c>
      <c r="AE882" s="25" t="s">
        <v>818</v>
      </c>
    </row>
    <row r="883" spans="20:31" ht="14.4">
      <c r="T883" s="25" t="s">
        <v>942</v>
      </c>
      <c r="U883" s="25" t="s">
        <v>816</v>
      </c>
      <c r="V883" s="25" t="s">
        <v>981</v>
      </c>
      <c r="W883" s="25" t="str">
        <f t="shared" si="32"/>
        <v>Round CassetteFaceNice Remote Motor</v>
      </c>
      <c r="X883" s="25">
        <v>10</v>
      </c>
      <c r="Y883" s="25">
        <v>14</v>
      </c>
      <c r="Z883" s="25">
        <v>14</v>
      </c>
      <c r="AA883" s="25" t="s">
        <v>824</v>
      </c>
      <c r="AB883" s="25" t="s">
        <v>821</v>
      </c>
      <c r="AC883" s="25" t="s">
        <v>821</v>
      </c>
      <c r="AD883" s="25" t="s">
        <v>821</v>
      </c>
      <c r="AE883" s="25" t="s">
        <v>818</v>
      </c>
    </row>
    <row r="884" spans="20:31" ht="14.4">
      <c r="T884" s="25" t="s">
        <v>942</v>
      </c>
      <c r="U884" s="25" t="s">
        <v>816</v>
      </c>
      <c r="V884" s="25" t="s">
        <v>976</v>
      </c>
      <c r="W884" s="25" t="str">
        <f t="shared" si="32"/>
        <v>Round CassetteFaceNice CBus Motor</v>
      </c>
      <c r="X884" s="25">
        <v>10</v>
      </c>
      <c r="Y884" s="25">
        <v>14</v>
      </c>
      <c r="Z884" s="25">
        <v>14</v>
      </c>
      <c r="AA884" s="25" t="s">
        <v>824</v>
      </c>
      <c r="AB884" s="25" t="s">
        <v>821</v>
      </c>
      <c r="AC884" s="25" t="s">
        <v>821</v>
      </c>
      <c r="AD884" s="25" t="s">
        <v>821</v>
      </c>
      <c r="AE884" s="25" t="s">
        <v>818</v>
      </c>
    </row>
    <row r="885" spans="20:31" ht="14.4">
      <c r="T885" s="25" t="s">
        <v>942</v>
      </c>
      <c r="U885" s="25" t="s">
        <v>816</v>
      </c>
      <c r="V885" t="s">
        <v>1006</v>
      </c>
      <c r="W885" s="25" t="str">
        <f t="shared" si="32"/>
        <v>Round CassetteFaceSunboss Chain Winder 38mm Tube</v>
      </c>
      <c r="X885" s="25">
        <v>10</v>
      </c>
      <c r="Y885" s="25">
        <v>14</v>
      </c>
      <c r="Z885" s="25">
        <v>14</v>
      </c>
      <c r="AA885" s="25" t="s">
        <v>824</v>
      </c>
      <c r="AB885" s="25" t="s">
        <v>821</v>
      </c>
      <c r="AC885" s="25" t="s">
        <v>821</v>
      </c>
      <c r="AD885" s="25" t="s">
        <v>821</v>
      </c>
      <c r="AE885" s="25" t="s">
        <v>818</v>
      </c>
    </row>
    <row r="886" spans="20:31" ht="14.4">
      <c r="T886" s="25" t="s">
        <v>942</v>
      </c>
      <c r="U886" s="25" t="s">
        <v>816</v>
      </c>
      <c r="V886" t="s">
        <v>1017</v>
      </c>
      <c r="W886" s="25" t="str">
        <f t="shared" si="32"/>
        <v>Round CassetteFaceSunboss Chain Winder 43mm Tube</v>
      </c>
      <c r="X886" s="25">
        <v>10</v>
      </c>
      <c r="Y886" s="25">
        <v>14</v>
      </c>
      <c r="Z886" s="25">
        <v>14</v>
      </c>
      <c r="AA886" s="25" t="s">
        <v>824</v>
      </c>
      <c r="AB886" s="25" t="s">
        <v>821</v>
      </c>
      <c r="AC886" s="25" t="s">
        <v>821</v>
      </c>
      <c r="AD886" s="25" t="s">
        <v>821</v>
      </c>
      <c r="AE886" s="25" t="s">
        <v>818</v>
      </c>
    </row>
    <row r="887" spans="20:31" ht="14.4">
      <c r="T887" s="25" t="s">
        <v>942</v>
      </c>
      <c r="U887" s="25" t="s">
        <v>816</v>
      </c>
      <c r="V887" s="25" t="s">
        <v>1012</v>
      </c>
      <c r="W887" s="25" t="str">
        <f t="shared" si="32"/>
        <v>Round CassetteFaceTBS Remote Motor</v>
      </c>
      <c r="X887" s="25">
        <v>10</v>
      </c>
      <c r="Y887" s="25">
        <v>14</v>
      </c>
      <c r="Z887" s="25">
        <v>14</v>
      </c>
      <c r="AA887" s="25" t="s">
        <v>824</v>
      </c>
      <c r="AB887" s="25" t="s">
        <v>821</v>
      </c>
      <c r="AC887" s="25" t="s">
        <v>821</v>
      </c>
      <c r="AD887" s="25" t="s">
        <v>821</v>
      </c>
      <c r="AE887" s="25" t="s">
        <v>818</v>
      </c>
    </row>
    <row r="888" spans="20:31" ht="14.4">
      <c r="T888" s="25" t="s">
        <v>942</v>
      </c>
      <c r="U888" s="25" t="s">
        <v>816</v>
      </c>
      <c r="V888" t="s">
        <v>1009</v>
      </c>
      <c r="W888" s="25" t="str">
        <f t="shared" si="32"/>
        <v>Round CassetteFaceTBS Cbus Motor</v>
      </c>
      <c r="X888" s="25">
        <v>10</v>
      </c>
      <c r="Y888" s="25">
        <v>14</v>
      </c>
      <c r="Z888" s="25">
        <v>14</v>
      </c>
      <c r="AA888" s="25" t="s">
        <v>824</v>
      </c>
      <c r="AB888" s="25" t="s">
        <v>821</v>
      </c>
      <c r="AC888" s="25" t="s">
        <v>821</v>
      </c>
      <c r="AD888" s="25" t="s">
        <v>821</v>
      </c>
      <c r="AE888" s="25" t="s">
        <v>818</v>
      </c>
    </row>
    <row r="889" spans="20:31" ht="14.4">
      <c r="T889" s="25" t="s">
        <v>942</v>
      </c>
      <c r="U889" s="25" t="s">
        <v>816</v>
      </c>
      <c r="V889" t="s">
        <v>927</v>
      </c>
      <c r="W889" s="25" t="str">
        <f t="shared" si="32"/>
        <v>Round CassetteFaceAcmeda External Motor</v>
      </c>
      <c r="X889" s="25">
        <v>10</v>
      </c>
      <c r="Y889" s="25">
        <v>14</v>
      </c>
      <c r="Z889" s="25">
        <v>14</v>
      </c>
      <c r="AA889" s="25" t="s">
        <v>824</v>
      </c>
      <c r="AB889" s="25" t="s">
        <v>821</v>
      </c>
      <c r="AC889" s="25" t="s">
        <v>821</v>
      </c>
      <c r="AD889" s="25" t="s">
        <v>821</v>
      </c>
      <c r="AE889" s="25" t="s">
        <v>818</v>
      </c>
    </row>
    <row r="890" spans="20:31" ht="14.4">
      <c r="T890" s="25" t="s">
        <v>942</v>
      </c>
      <c r="U890" s="25" t="s">
        <v>816</v>
      </c>
      <c r="V890" t="s">
        <v>918</v>
      </c>
      <c r="W890" s="25" t="str">
        <f t="shared" si="32"/>
        <v>Round CassetteFaceAcmeda External 12v Motor</v>
      </c>
      <c r="X890" s="25">
        <v>10</v>
      </c>
      <c r="Y890" s="25">
        <v>14</v>
      </c>
      <c r="Z890" s="25">
        <v>14</v>
      </c>
      <c r="AA890" s="25" t="s">
        <v>824</v>
      </c>
      <c r="AB890" s="25" t="s">
        <v>821</v>
      </c>
      <c r="AC890" s="25" t="s">
        <v>821</v>
      </c>
      <c r="AD890" s="25" t="s">
        <v>821</v>
      </c>
      <c r="AE890" s="25" t="s">
        <v>818</v>
      </c>
    </row>
    <row r="891" spans="20:31" ht="14.4">
      <c r="T891" s="25" t="s">
        <v>942</v>
      </c>
      <c r="U891" s="25" t="s">
        <v>816</v>
      </c>
      <c r="V891" t="s">
        <v>979</v>
      </c>
      <c r="W891" s="25" t="str">
        <f t="shared" si="32"/>
        <v>Round CassetteFaceSomfy External CBUS Motor</v>
      </c>
      <c r="X891" s="25">
        <v>10</v>
      </c>
      <c r="Y891" s="25">
        <v>14</v>
      </c>
      <c r="Z891" s="25">
        <v>14</v>
      </c>
      <c r="AA891" s="25" t="s">
        <v>824</v>
      </c>
      <c r="AB891" s="25" t="s">
        <v>821</v>
      </c>
      <c r="AC891" s="25" t="s">
        <v>821</v>
      </c>
      <c r="AD891" s="25" t="s">
        <v>821</v>
      </c>
      <c r="AE891" s="25" t="s">
        <v>818</v>
      </c>
    </row>
    <row r="892" spans="20:31" ht="14.4">
      <c r="T892" s="25" t="s">
        <v>942</v>
      </c>
      <c r="U892" s="25" t="s">
        <v>816</v>
      </c>
      <c r="V892" t="s">
        <v>983</v>
      </c>
      <c r="W892" s="25" t="str">
        <f t="shared" si="32"/>
        <v>Round CassetteFaceSomfy External Remote Motor</v>
      </c>
      <c r="X892" s="25">
        <v>10</v>
      </c>
      <c r="Y892" s="25">
        <v>14</v>
      </c>
      <c r="Z892" s="25">
        <v>14</v>
      </c>
      <c r="AA892" s="25" t="s">
        <v>824</v>
      </c>
      <c r="AB892" s="25" t="s">
        <v>821</v>
      </c>
      <c r="AC892" s="25" t="s">
        <v>821</v>
      </c>
      <c r="AD892" s="25" t="s">
        <v>821</v>
      </c>
      <c r="AE892" s="25" t="s">
        <v>818</v>
      </c>
    </row>
    <row r="893" spans="20:31" ht="14.4">
      <c r="T893" s="25" t="s">
        <v>942</v>
      </c>
      <c r="U893" s="25" t="s">
        <v>816</v>
      </c>
      <c r="V893" t="s">
        <v>995</v>
      </c>
      <c r="W893" s="25" t="str">
        <f t="shared" si="32"/>
        <v>Round CassetteFaceHD Somfy External CBUS Motor</v>
      </c>
      <c r="X893" s="25">
        <v>10</v>
      </c>
      <c r="Y893" s="25">
        <v>14</v>
      </c>
      <c r="Z893" s="25">
        <v>14</v>
      </c>
      <c r="AA893" s="25" t="s">
        <v>824</v>
      </c>
      <c r="AB893" s="25" t="s">
        <v>821</v>
      </c>
      <c r="AC893" s="25" t="s">
        <v>821</v>
      </c>
      <c r="AD893" s="25" t="s">
        <v>821</v>
      </c>
      <c r="AE893" s="25" t="s">
        <v>818</v>
      </c>
    </row>
    <row r="894" spans="20:31" ht="14.4">
      <c r="T894" s="25" t="s">
        <v>942</v>
      </c>
      <c r="U894" s="25" t="s">
        <v>816</v>
      </c>
      <c r="V894" t="s">
        <v>999</v>
      </c>
      <c r="W894" s="25" t="str">
        <f t="shared" si="32"/>
        <v>Round CassetteFaceHD Somfy External Remote Motor</v>
      </c>
      <c r="X894" s="25">
        <v>10</v>
      </c>
      <c r="Y894" s="25">
        <v>14</v>
      </c>
      <c r="Z894" s="25">
        <v>14</v>
      </c>
      <c r="AA894" s="25" t="s">
        <v>824</v>
      </c>
      <c r="AB894" s="25" t="s">
        <v>821</v>
      </c>
      <c r="AC894" s="25" t="s">
        <v>821</v>
      </c>
      <c r="AD894" s="25" t="s">
        <v>821</v>
      </c>
      <c r="AE894" s="25" t="s">
        <v>818</v>
      </c>
    </row>
    <row r="895" spans="20:31" ht="14.4">
      <c r="T895" s="25" t="s">
        <v>942</v>
      </c>
      <c r="U895" s="25" t="s">
        <v>854</v>
      </c>
      <c r="V895" s="25" t="s">
        <v>823</v>
      </c>
      <c r="W895" s="25" t="str">
        <f t="shared" si="32"/>
        <v>Round CassetteTop FixChain Winder</v>
      </c>
      <c r="X895" s="25">
        <v>10</v>
      </c>
      <c r="Y895" s="25">
        <v>14</v>
      </c>
      <c r="Z895" s="25">
        <v>29</v>
      </c>
      <c r="AA895" s="25" t="s">
        <v>824</v>
      </c>
      <c r="AB895" s="25" t="s">
        <v>821</v>
      </c>
      <c r="AC895" s="25" t="s">
        <v>821</v>
      </c>
      <c r="AD895" s="25" t="s">
        <v>821</v>
      </c>
      <c r="AE895" s="25" t="s">
        <v>818</v>
      </c>
    </row>
    <row r="896" spans="20:31" ht="14.4">
      <c r="T896" s="25" t="s">
        <v>942</v>
      </c>
      <c r="U896" s="25" t="s">
        <v>854</v>
      </c>
      <c r="V896" s="25" t="s">
        <v>841</v>
      </c>
      <c r="W896" s="25" t="str">
        <f t="shared" si="32"/>
        <v>Round CassetteTop FixHD Chain Winder</v>
      </c>
      <c r="X896" s="25">
        <v>10</v>
      </c>
      <c r="Y896" s="25">
        <v>14</v>
      </c>
      <c r="Z896" s="25">
        <v>29</v>
      </c>
      <c r="AA896" s="25" t="s">
        <v>824</v>
      </c>
      <c r="AB896" s="25" t="s">
        <v>821</v>
      </c>
      <c r="AC896" s="25" t="s">
        <v>821</v>
      </c>
      <c r="AD896" s="25" t="s">
        <v>821</v>
      </c>
      <c r="AE896" s="25" t="s">
        <v>818</v>
      </c>
    </row>
    <row r="897" spans="20:31" ht="14.4">
      <c r="T897" s="25" t="s">
        <v>942</v>
      </c>
      <c r="U897" s="25" t="s">
        <v>854</v>
      </c>
      <c r="V897" s="25" t="s">
        <v>858</v>
      </c>
      <c r="W897" s="25" t="str">
        <f t="shared" si="32"/>
        <v>Round CassetteTop FixChain Winder 60mm</v>
      </c>
      <c r="X897" s="25">
        <v>10</v>
      </c>
      <c r="Y897" s="25">
        <v>14</v>
      </c>
      <c r="Z897" s="25">
        <v>29</v>
      </c>
      <c r="AA897" s="25" t="s">
        <v>824</v>
      </c>
      <c r="AB897" s="25" t="s">
        <v>821</v>
      </c>
      <c r="AC897" s="25" t="s">
        <v>821</v>
      </c>
      <c r="AD897" s="25" t="s">
        <v>821</v>
      </c>
      <c r="AE897" s="25" t="s">
        <v>818</v>
      </c>
    </row>
    <row r="898" spans="20:31" ht="14.4">
      <c r="T898" s="25" t="s">
        <v>942</v>
      </c>
      <c r="U898" s="25" t="s">
        <v>854</v>
      </c>
      <c r="V898" s="25" t="s">
        <v>865</v>
      </c>
      <c r="W898" s="25" t="str">
        <f t="shared" si="32"/>
        <v>Round CassetteTop FixChain Winder Fixed Guide</v>
      </c>
      <c r="X898" s="25">
        <v>10</v>
      </c>
      <c r="Y898" s="25">
        <v>14</v>
      </c>
      <c r="Z898" s="25">
        <v>29</v>
      </c>
      <c r="AA898" s="25" t="s">
        <v>824</v>
      </c>
      <c r="AB898" s="25" t="s">
        <v>821</v>
      </c>
      <c r="AC898" s="25" t="s">
        <v>821</v>
      </c>
      <c r="AD898" s="25" t="s">
        <v>821</v>
      </c>
      <c r="AE898" s="25" t="s">
        <v>818</v>
      </c>
    </row>
    <row r="899" spans="20:31" ht="14.4">
      <c r="T899" s="25" t="s">
        <v>942</v>
      </c>
      <c r="U899" s="25" t="s">
        <v>854</v>
      </c>
      <c r="V899" s="25" t="s">
        <v>181</v>
      </c>
      <c r="W899" s="25" t="str">
        <f t="shared" si="33" ref="W899:W962">CONCATENATE(T899,U899,V899)</f>
        <v>Round CassetteTop FixLinked</v>
      </c>
      <c r="X899" s="25">
        <v>10</v>
      </c>
      <c r="Y899" s="25">
        <v>14</v>
      </c>
      <c r="Z899" s="25">
        <v>14</v>
      </c>
      <c r="AA899" s="25" t="s">
        <v>824</v>
      </c>
      <c r="AB899" s="25" t="s">
        <v>821</v>
      </c>
      <c r="AC899" s="25" t="s">
        <v>821</v>
      </c>
      <c r="AD899" s="25" t="s">
        <v>821</v>
      </c>
      <c r="AE899" s="25" t="s">
        <v>818</v>
      </c>
    </row>
    <row r="900" spans="20:31" ht="14.4">
      <c r="T900" s="25" t="s">
        <v>942</v>
      </c>
      <c r="U900" s="25" t="s">
        <v>854</v>
      </c>
      <c r="V900" s="25" t="s">
        <v>898</v>
      </c>
      <c r="W900" s="25" t="str">
        <f t="shared" si="33"/>
        <v>Round CassetteTop FixLinked - HD</v>
      </c>
      <c r="X900" s="25">
        <v>10</v>
      </c>
      <c r="Y900" s="25">
        <v>14</v>
      </c>
      <c r="Z900" s="25">
        <v>14</v>
      </c>
      <c r="AA900" s="25" t="s">
        <v>824</v>
      </c>
      <c r="AB900" s="25" t="s">
        <v>821</v>
      </c>
      <c r="AC900" s="25" t="s">
        <v>821</v>
      </c>
      <c r="AD900" s="25" t="s">
        <v>821</v>
      </c>
      <c r="AE900" s="25" t="s">
        <v>818</v>
      </c>
    </row>
    <row r="901" spans="20:31" ht="14.4">
      <c r="T901" s="25" t="s">
        <v>942</v>
      </c>
      <c r="U901" s="25" t="s">
        <v>854</v>
      </c>
      <c r="V901" s="25" t="s">
        <v>910</v>
      </c>
      <c r="W901" s="25" t="str">
        <f t="shared" si="33"/>
        <v>Round CassetteTop FixStandard Spring</v>
      </c>
      <c r="X901" s="25">
        <v>10</v>
      </c>
      <c r="Y901" s="25">
        <v>14</v>
      </c>
      <c r="Z901" s="25">
        <v>14</v>
      </c>
      <c r="AA901" s="25" t="s">
        <v>824</v>
      </c>
      <c r="AB901" s="25" t="s">
        <v>821</v>
      </c>
      <c r="AC901" s="25" t="s">
        <v>821</v>
      </c>
      <c r="AD901" s="25" t="s">
        <v>821</v>
      </c>
      <c r="AE901" s="25" t="s">
        <v>818</v>
      </c>
    </row>
    <row r="902" spans="20:31" ht="14.4">
      <c r="T902" s="25" t="s">
        <v>942</v>
      </c>
      <c r="U902" s="25" t="s">
        <v>854</v>
      </c>
      <c r="V902" s="25" t="s">
        <v>920</v>
      </c>
      <c r="W902" s="25" t="str">
        <f t="shared" si="33"/>
        <v>Round CassetteTop FixSmall Spring</v>
      </c>
      <c r="X902" s="25">
        <v>10</v>
      </c>
      <c r="Y902" s="25">
        <v>14</v>
      </c>
      <c r="Z902" s="25">
        <v>14</v>
      </c>
      <c r="AA902" s="25" t="s">
        <v>824</v>
      </c>
      <c r="AB902" s="25" t="s">
        <v>821</v>
      </c>
      <c r="AC902" s="25" t="s">
        <v>821</v>
      </c>
      <c r="AD902" s="25" t="s">
        <v>821</v>
      </c>
      <c r="AE902" s="25" t="s">
        <v>818</v>
      </c>
    </row>
    <row r="903" spans="20:31" ht="14.4">
      <c r="T903" s="25" t="s">
        <v>942</v>
      </c>
      <c r="U903" s="25" t="s">
        <v>854</v>
      </c>
      <c r="V903" s="25" t="s">
        <v>929</v>
      </c>
      <c r="W903" s="25" t="str">
        <f t="shared" si="33"/>
        <v>Round CassetteTop FixUniline Spring (Old Style)</v>
      </c>
      <c r="X903" s="25">
        <v>10</v>
      </c>
      <c r="Y903" s="25">
        <v>14</v>
      </c>
      <c r="Z903" s="25">
        <v>14</v>
      </c>
      <c r="AA903" s="25" t="s">
        <v>824</v>
      </c>
      <c r="AB903" s="25" t="s">
        <v>821</v>
      </c>
      <c r="AC903" s="25" t="s">
        <v>821</v>
      </c>
      <c r="AD903" s="25" t="s">
        <v>821</v>
      </c>
      <c r="AE903" s="25" t="s">
        <v>818</v>
      </c>
    </row>
    <row r="904" spans="20:31" ht="14.4">
      <c r="T904" s="25" t="s">
        <v>942</v>
      </c>
      <c r="U904" s="25" t="s">
        <v>854</v>
      </c>
      <c r="V904" s="25" t="s">
        <v>935</v>
      </c>
      <c r="W904" s="25" t="str">
        <f t="shared" si="33"/>
        <v>Round CassetteTop FixBecker Remote Motor</v>
      </c>
      <c r="X904" s="25">
        <v>10</v>
      </c>
      <c r="Y904" s="25">
        <v>14</v>
      </c>
      <c r="Z904" s="25">
        <v>14</v>
      </c>
      <c r="AA904" s="25" t="s">
        <v>824</v>
      </c>
      <c r="AB904" s="25" t="s">
        <v>821</v>
      </c>
      <c r="AC904" s="25" t="s">
        <v>821</v>
      </c>
      <c r="AD904" s="25" t="s">
        <v>821</v>
      </c>
      <c r="AE904" s="25" t="s">
        <v>818</v>
      </c>
    </row>
    <row r="905" spans="20:31" ht="14.4">
      <c r="T905" s="25" t="s">
        <v>942</v>
      </c>
      <c r="U905" s="25" t="s">
        <v>854</v>
      </c>
      <c r="V905" s="25" t="s">
        <v>939</v>
      </c>
      <c r="W905" s="25" t="str">
        <f t="shared" si="33"/>
        <v>Round CassetteTop FixBecker CBUS Motor</v>
      </c>
      <c r="X905" s="25">
        <v>10</v>
      </c>
      <c r="Y905" s="25">
        <v>14</v>
      </c>
      <c r="Z905" s="25">
        <v>14</v>
      </c>
      <c r="AA905" s="25" t="s">
        <v>824</v>
      </c>
      <c r="AB905" s="25" t="s">
        <v>821</v>
      </c>
      <c r="AC905" s="25" t="s">
        <v>821</v>
      </c>
      <c r="AD905" s="25" t="s">
        <v>821</v>
      </c>
      <c r="AE905" s="25" t="s">
        <v>818</v>
      </c>
    </row>
    <row r="906" spans="20:31" ht="14.4">
      <c r="T906" s="25" t="s">
        <v>942</v>
      </c>
      <c r="U906" s="25" t="s">
        <v>854</v>
      </c>
      <c r="V906" s="25" t="s">
        <v>946</v>
      </c>
      <c r="W906" s="25" t="str">
        <f t="shared" si="33"/>
        <v>Round CassetteTop FixBecker External Remote Motor</v>
      </c>
      <c r="X906" s="25">
        <v>10</v>
      </c>
      <c r="Y906" s="25">
        <v>14</v>
      </c>
      <c r="Z906" s="25">
        <v>14</v>
      </c>
      <c r="AA906" s="25" t="s">
        <v>824</v>
      </c>
      <c r="AB906" s="25" t="s">
        <v>821</v>
      </c>
      <c r="AC906" s="25" t="s">
        <v>821</v>
      </c>
      <c r="AD906" s="25" t="s">
        <v>821</v>
      </c>
      <c r="AE906" s="25" t="s">
        <v>818</v>
      </c>
    </row>
    <row r="907" spans="20:31" ht="14.4">
      <c r="T907" s="25" t="s">
        <v>942</v>
      </c>
      <c r="U907" s="25" t="s">
        <v>854</v>
      </c>
      <c r="V907" s="25" t="s">
        <v>951</v>
      </c>
      <c r="W907" s="25" t="str">
        <f t="shared" si="33"/>
        <v>Round CassetteTop FixBecker External CBUS Motor</v>
      </c>
      <c r="X907" s="25">
        <v>10</v>
      </c>
      <c r="Y907" s="25">
        <v>14</v>
      </c>
      <c r="Z907" s="25">
        <v>14</v>
      </c>
      <c r="AA907" s="25" t="s">
        <v>824</v>
      </c>
      <c r="AB907" s="25" t="s">
        <v>821</v>
      </c>
      <c r="AC907" s="25" t="s">
        <v>821</v>
      </c>
      <c r="AD907" s="25" t="s">
        <v>821</v>
      </c>
      <c r="AE907" s="25" t="s">
        <v>818</v>
      </c>
    </row>
    <row r="908" spans="20:31" ht="14.4">
      <c r="T908" s="25" t="s">
        <v>942</v>
      </c>
      <c r="U908" s="25" t="s">
        <v>854</v>
      </c>
      <c r="V908" s="25" t="s">
        <v>838</v>
      </c>
      <c r="W908" s="25" t="str">
        <f t="shared" si="33"/>
        <v>Round CassetteTop Fix1.1nm 12v Acmeda Motor</v>
      </c>
      <c r="X908" s="25">
        <v>10</v>
      </c>
      <c r="Y908" s="25">
        <v>14</v>
      </c>
      <c r="Z908" s="25">
        <v>14</v>
      </c>
      <c r="AA908" s="25" t="s">
        <v>824</v>
      </c>
      <c r="AB908" s="25" t="s">
        <v>821</v>
      </c>
      <c r="AC908" s="25" t="s">
        <v>821</v>
      </c>
      <c r="AD908" s="25" t="s">
        <v>821</v>
      </c>
      <c r="AE908" s="25" t="s">
        <v>818</v>
      </c>
    </row>
    <row r="909" spans="20:31" ht="14.4">
      <c r="T909" s="25" t="s">
        <v>942</v>
      </c>
      <c r="U909" s="25" t="s">
        <v>854</v>
      </c>
      <c r="V909" t="s">
        <v>882</v>
      </c>
      <c r="W909" s="25" t="str">
        <f t="shared" si="33"/>
        <v>Round CassetteTop Fix2nm 12v Acmeda Motor</v>
      </c>
      <c r="X909" s="25">
        <v>10</v>
      </c>
      <c r="Y909" s="25">
        <v>14</v>
      </c>
      <c r="Z909" s="25">
        <v>14</v>
      </c>
      <c r="AA909" s="25" t="s">
        <v>824</v>
      </c>
      <c r="AB909" s="25" t="s">
        <v>821</v>
      </c>
      <c r="AC909" s="25" t="s">
        <v>821</v>
      </c>
      <c r="AD909" s="25" t="s">
        <v>821</v>
      </c>
      <c r="AE909" s="25" t="s">
        <v>818</v>
      </c>
    </row>
    <row r="910" spans="20:31" ht="14.4">
      <c r="T910" s="25" t="s">
        <v>942</v>
      </c>
      <c r="U910" s="25" t="s">
        <v>854</v>
      </c>
      <c r="V910" t="s">
        <v>896</v>
      </c>
      <c r="W910" s="25" t="str">
        <f t="shared" si="33"/>
        <v>Round CassetteTop FixAcmeda 12v 6nm Motor</v>
      </c>
      <c r="X910" s="25">
        <v>10</v>
      </c>
      <c r="Y910" s="25">
        <v>14</v>
      </c>
      <c r="Z910" s="25">
        <v>14</v>
      </c>
      <c r="AA910" s="25" t="s">
        <v>824</v>
      </c>
      <c r="AB910" s="25" t="s">
        <v>821</v>
      </c>
      <c r="AC910" s="25" t="s">
        <v>821</v>
      </c>
      <c r="AD910" s="25" t="s">
        <v>821</v>
      </c>
      <c r="AE910" s="25" t="s">
        <v>818</v>
      </c>
    </row>
    <row r="911" spans="20:31" ht="14.4">
      <c r="T911" s="25" t="s">
        <v>942</v>
      </c>
      <c r="U911" s="25" t="s">
        <v>854</v>
      </c>
      <c r="V911" t="s">
        <v>855</v>
      </c>
      <c r="W911" s="25" t="str">
        <f t="shared" si="33"/>
        <v>Round CassetteTop Fix0.7nm 12v Acmeda Motor</v>
      </c>
      <c r="X911" s="25">
        <v>10</v>
      </c>
      <c r="Y911" s="25">
        <v>14</v>
      </c>
      <c r="Z911" s="25">
        <v>14</v>
      </c>
      <c r="AA911" s="25" t="s">
        <v>824</v>
      </c>
      <c r="AB911" s="25" t="s">
        <v>821</v>
      </c>
      <c r="AC911" s="25" t="s">
        <v>821</v>
      </c>
      <c r="AD911" s="25" t="s">
        <v>821</v>
      </c>
      <c r="AE911" s="25" t="s">
        <v>818</v>
      </c>
    </row>
    <row r="912" spans="20:31" ht="14.4">
      <c r="T912" s="25" t="s">
        <v>942</v>
      </c>
      <c r="U912" s="25" t="s">
        <v>854</v>
      </c>
      <c r="V912" s="25" t="s">
        <v>849</v>
      </c>
      <c r="W912" s="25" t="str">
        <f t="shared" si="33"/>
        <v>Round CassetteTop Fix1.1nm 12v Acmeda DCRF Motor with External Battery</v>
      </c>
      <c r="X912" s="25">
        <v>10</v>
      </c>
      <c r="Y912" s="25">
        <v>14</v>
      </c>
      <c r="Z912" s="25">
        <v>14</v>
      </c>
      <c r="AA912" s="25" t="s">
        <v>824</v>
      </c>
      <c r="AB912" s="25" t="s">
        <v>821</v>
      </c>
      <c r="AC912" s="25" t="s">
        <v>821</v>
      </c>
      <c r="AD912" s="25" t="s">
        <v>821</v>
      </c>
      <c r="AE912" s="25" t="s">
        <v>818</v>
      </c>
    </row>
    <row r="913" spans="20:31" ht="14.4">
      <c r="T913" s="25" t="s">
        <v>942</v>
      </c>
      <c r="U913" s="25" t="s">
        <v>854</v>
      </c>
      <c r="V913" s="25" t="s">
        <v>817</v>
      </c>
      <c r="W913" s="25" t="str">
        <f t="shared" si="33"/>
        <v>Round CassetteTop Fix1.1nm 12v Acmeda DCRF Motor</v>
      </c>
      <c r="X913" s="25">
        <v>10</v>
      </c>
      <c r="Y913" s="25">
        <v>14</v>
      </c>
      <c r="Z913" s="25">
        <v>14</v>
      </c>
      <c r="AA913" s="25" t="s">
        <v>824</v>
      </c>
      <c r="AB913" s="25" t="s">
        <v>821</v>
      </c>
      <c r="AC913" s="25" t="s">
        <v>821</v>
      </c>
      <c r="AD913" s="25" t="s">
        <v>821</v>
      </c>
      <c r="AE913" s="25" t="s">
        <v>818</v>
      </c>
    </row>
    <row r="914" spans="20:31" ht="14.4">
      <c r="T914" s="25" t="s">
        <v>942</v>
      </c>
      <c r="U914" s="25" t="s">
        <v>854</v>
      </c>
      <c r="V914" s="25" t="s">
        <v>868</v>
      </c>
      <c r="W914" s="25" t="str">
        <f t="shared" si="33"/>
        <v>Round CassetteTop Fix2nm 12v Acmeda DCRF Motor</v>
      </c>
      <c r="X914" s="25">
        <v>10</v>
      </c>
      <c r="Y914" s="25">
        <v>14</v>
      </c>
      <c r="Z914" s="25">
        <v>14</v>
      </c>
      <c r="AA914" s="25" t="s">
        <v>824</v>
      </c>
      <c r="AB914" s="25" t="s">
        <v>821</v>
      </c>
      <c r="AC914" s="25" t="s">
        <v>821</v>
      </c>
      <c r="AD914" s="25" t="s">
        <v>821</v>
      </c>
      <c r="AE914" s="25" t="s">
        <v>818</v>
      </c>
    </row>
    <row r="915" spans="20:31" ht="14.4">
      <c r="T915" s="25" t="s">
        <v>942</v>
      </c>
      <c r="U915" s="25" t="s">
        <v>854</v>
      </c>
      <c r="V915" t="s">
        <v>973</v>
      </c>
      <c r="W915" s="25" t="str">
        <f t="shared" si="33"/>
        <v>Round CassetteTop FixSomfy Remote Sonesse Motor</v>
      </c>
      <c r="X915" s="25">
        <v>10</v>
      </c>
      <c r="Y915" s="25">
        <v>14</v>
      </c>
      <c r="Z915" s="25">
        <v>14</v>
      </c>
      <c r="AA915" s="25" t="s">
        <v>824</v>
      </c>
      <c r="AB915" s="25" t="s">
        <v>821</v>
      </c>
      <c r="AC915" s="25" t="s">
        <v>821</v>
      </c>
      <c r="AD915" s="25" t="s">
        <v>821</v>
      </c>
      <c r="AE915" s="25" t="s">
        <v>818</v>
      </c>
    </row>
    <row r="916" spans="20:31" ht="14.4">
      <c r="T916" s="25" t="s">
        <v>942</v>
      </c>
      <c r="U916" s="25" t="s">
        <v>854</v>
      </c>
      <c r="V916" t="s">
        <v>637</v>
      </c>
      <c r="W916" s="25" t="str">
        <f t="shared" si="33"/>
        <v>Round CassetteTop FixSomfy 12v Remote Sonesse Motor</v>
      </c>
      <c r="X916" s="25">
        <v>10</v>
      </c>
      <c r="Y916" s="25">
        <v>14</v>
      </c>
      <c r="Z916" s="25">
        <v>14</v>
      </c>
      <c r="AA916" s="25" t="s">
        <v>824</v>
      </c>
      <c r="AB916" s="25" t="s">
        <v>821</v>
      </c>
      <c r="AC916" s="25" t="s">
        <v>821</v>
      </c>
      <c r="AD916" s="25" t="s">
        <v>821</v>
      </c>
      <c r="AE916" s="25" t="s">
        <v>818</v>
      </c>
    </row>
    <row r="917" spans="20:31" ht="14.4">
      <c r="T917" s="25" t="s">
        <v>942</v>
      </c>
      <c r="U917" s="25" t="s">
        <v>854</v>
      </c>
      <c r="V917" s="25" t="s">
        <v>974</v>
      </c>
      <c r="W917" s="25" t="str">
        <f t="shared" si="33"/>
        <v>Round CassetteTop FixSomfy CBUS Motor</v>
      </c>
      <c r="X917" s="25">
        <v>10</v>
      </c>
      <c r="Y917" s="25">
        <v>14</v>
      </c>
      <c r="Z917" s="25">
        <v>14</v>
      </c>
      <c r="AA917" s="25" t="s">
        <v>824</v>
      </c>
      <c r="AB917" s="25" t="s">
        <v>821</v>
      </c>
      <c r="AC917" s="25" t="s">
        <v>821</v>
      </c>
      <c r="AD917" s="25" t="s">
        <v>821</v>
      </c>
      <c r="AE917" s="25" t="s">
        <v>818</v>
      </c>
    </row>
    <row r="918" spans="20:31" ht="14.4">
      <c r="T918" s="25" t="s">
        <v>942</v>
      </c>
      <c r="U918" s="25" t="s">
        <v>854</v>
      </c>
      <c r="V918" t="s">
        <v>986</v>
      </c>
      <c r="W918" s="25" t="str">
        <f t="shared" si="33"/>
        <v>Round CassetteTop FixHD Somfy Remote Sonesse Motor</v>
      </c>
      <c r="X918" s="25">
        <v>10</v>
      </c>
      <c r="Y918" s="25">
        <v>14</v>
      </c>
      <c r="Z918" s="25">
        <v>14</v>
      </c>
      <c r="AA918" s="25" t="s">
        <v>824</v>
      </c>
      <c r="AB918" s="25" t="s">
        <v>821</v>
      </c>
      <c r="AC918" s="25" t="s">
        <v>821</v>
      </c>
      <c r="AD918" s="25" t="s">
        <v>821</v>
      </c>
      <c r="AE918" s="25" t="s">
        <v>818</v>
      </c>
    </row>
    <row r="919" spans="20:31" ht="14.4">
      <c r="T919" s="25" t="s">
        <v>942</v>
      </c>
      <c r="U919" s="25" t="s">
        <v>854</v>
      </c>
      <c r="V919" t="s">
        <v>989</v>
      </c>
      <c r="W919" s="25" t="str">
        <f t="shared" si="33"/>
        <v>Round CassetteTop FixHD Somfy 12v Remote Sonesse Motor</v>
      </c>
      <c r="X919" s="25">
        <v>10</v>
      </c>
      <c r="Y919" s="25">
        <v>14</v>
      </c>
      <c r="Z919" s="25">
        <v>14</v>
      </c>
      <c r="AA919" s="25" t="s">
        <v>824</v>
      </c>
      <c r="AB919" s="25" t="s">
        <v>821</v>
      </c>
      <c r="AC919" s="25" t="s">
        <v>821</v>
      </c>
      <c r="AD919" s="25" t="s">
        <v>821</v>
      </c>
      <c r="AE919" s="25" t="s">
        <v>818</v>
      </c>
    </row>
    <row r="920" spans="20:31" ht="14.4">
      <c r="T920" s="25" t="s">
        <v>942</v>
      </c>
      <c r="U920" s="25" t="s">
        <v>854</v>
      </c>
      <c r="V920" s="25" t="s">
        <v>992</v>
      </c>
      <c r="W920" s="25" t="str">
        <f t="shared" si="33"/>
        <v>Round CassetteTop FixHD Somfy CBUS Motor</v>
      </c>
      <c r="X920" s="25">
        <v>10</v>
      </c>
      <c r="Y920" s="25">
        <v>14</v>
      </c>
      <c r="Z920" s="25">
        <v>14</v>
      </c>
      <c r="AA920" s="25" t="s">
        <v>824</v>
      </c>
      <c r="AB920" s="25" t="s">
        <v>821</v>
      </c>
      <c r="AC920" s="25" t="s">
        <v>821</v>
      </c>
      <c r="AD920" s="25" t="s">
        <v>821</v>
      </c>
      <c r="AE920" s="25" t="s">
        <v>818</v>
      </c>
    </row>
    <row r="921" spans="20:31" ht="14.4">
      <c r="T921" s="25" t="s">
        <v>942</v>
      </c>
      <c r="U921" s="25" t="s">
        <v>854</v>
      </c>
      <c r="V921" s="25" t="s">
        <v>625</v>
      </c>
      <c r="W921" s="25" t="str">
        <f t="shared" si="33"/>
        <v>Round CassetteTop FixAcmeda E6 Motor</v>
      </c>
      <c r="X921" s="25">
        <v>10</v>
      </c>
      <c r="Y921" s="25">
        <v>14</v>
      </c>
      <c r="Z921" s="25">
        <v>14</v>
      </c>
      <c r="AA921" s="25" t="s">
        <v>824</v>
      </c>
      <c r="AB921" s="25" t="s">
        <v>821</v>
      </c>
      <c r="AC921" s="25" t="s">
        <v>821</v>
      </c>
      <c r="AD921" s="25" t="s">
        <v>821</v>
      </c>
      <c r="AE921" s="25" t="s">
        <v>818</v>
      </c>
    </row>
    <row r="922" spans="20:31" ht="14.4">
      <c r="T922" s="25" t="s">
        <v>942</v>
      </c>
      <c r="U922" s="25" t="s">
        <v>854</v>
      </c>
      <c r="V922" s="25" t="s">
        <v>626</v>
      </c>
      <c r="W922" s="25" t="str">
        <f t="shared" si="33"/>
        <v>Round CassetteTop FixAcmeda M6 Motor</v>
      </c>
      <c r="X922" s="25">
        <v>10</v>
      </c>
      <c r="Y922" s="25">
        <v>14</v>
      </c>
      <c r="Z922" s="25">
        <v>14</v>
      </c>
      <c r="AA922" s="25" t="s">
        <v>824</v>
      </c>
      <c r="AB922" s="25" t="s">
        <v>821</v>
      </c>
      <c r="AC922" s="25" t="s">
        <v>821</v>
      </c>
      <c r="AD922" s="25" t="s">
        <v>821</v>
      </c>
      <c r="AE922" s="25" t="s">
        <v>818</v>
      </c>
    </row>
    <row r="923" spans="20:31" ht="14.4">
      <c r="T923" s="25" t="s">
        <v>942</v>
      </c>
      <c r="U923" s="25" t="s">
        <v>854</v>
      </c>
      <c r="V923" s="25" t="s">
        <v>1002</v>
      </c>
      <c r="W923" s="25" t="str">
        <f t="shared" si="33"/>
        <v>Round CassetteTop FixUniline Remote Motor</v>
      </c>
      <c r="X923" s="25">
        <v>10</v>
      </c>
      <c r="Y923" s="25">
        <v>14</v>
      </c>
      <c r="Z923" s="25">
        <v>14</v>
      </c>
      <c r="AA923" s="25" t="s">
        <v>824</v>
      </c>
      <c r="AB923" s="25" t="s">
        <v>821</v>
      </c>
      <c r="AC923" s="25" t="s">
        <v>821</v>
      </c>
      <c r="AD923" s="25" t="s">
        <v>821</v>
      </c>
      <c r="AE923" s="25" t="s">
        <v>818</v>
      </c>
    </row>
    <row r="924" spans="20:31" ht="14.4">
      <c r="T924" s="25" t="s">
        <v>942</v>
      </c>
      <c r="U924" s="25" t="s">
        <v>854</v>
      </c>
      <c r="V924" s="25" t="s">
        <v>1005</v>
      </c>
      <c r="W924" s="25" t="str">
        <f t="shared" si="33"/>
        <v>Round CassetteTop FixUniline Cbus Motor</v>
      </c>
      <c r="X924" s="25">
        <v>10</v>
      </c>
      <c r="Y924" s="25">
        <v>14</v>
      </c>
      <c r="Z924" s="25">
        <v>14</v>
      </c>
      <c r="AA924" s="25" t="s">
        <v>824</v>
      </c>
      <c r="AB924" s="25" t="s">
        <v>821</v>
      </c>
      <c r="AC924" s="25" t="s">
        <v>821</v>
      </c>
      <c r="AD924" s="25" t="s">
        <v>821</v>
      </c>
      <c r="AE924" s="25" t="s">
        <v>818</v>
      </c>
    </row>
    <row r="925" spans="20:31" ht="14.4">
      <c r="T925" s="25" t="s">
        <v>942</v>
      </c>
      <c r="U925" s="25" t="s">
        <v>854</v>
      </c>
      <c r="V925" s="25" t="s">
        <v>981</v>
      </c>
      <c r="W925" s="25" t="str">
        <f t="shared" si="33"/>
        <v>Round CassetteTop FixNice Remote Motor</v>
      </c>
      <c r="X925" s="25">
        <v>10</v>
      </c>
      <c r="Y925" s="25">
        <v>14</v>
      </c>
      <c r="Z925" s="25">
        <v>14</v>
      </c>
      <c r="AA925" s="25" t="s">
        <v>824</v>
      </c>
      <c r="AB925" s="25" t="s">
        <v>821</v>
      </c>
      <c r="AC925" s="25" t="s">
        <v>821</v>
      </c>
      <c r="AD925" s="25" t="s">
        <v>821</v>
      </c>
      <c r="AE925" s="25" t="s">
        <v>818</v>
      </c>
    </row>
    <row r="926" spans="20:31" ht="14.4">
      <c r="T926" s="25" t="s">
        <v>942</v>
      </c>
      <c r="U926" s="25" t="s">
        <v>854</v>
      </c>
      <c r="V926" s="25" t="s">
        <v>976</v>
      </c>
      <c r="W926" s="25" t="str">
        <f t="shared" si="33"/>
        <v>Round CassetteTop FixNice CBus Motor</v>
      </c>
      <c r="X926" s="25">
        <v>10</v>
      </c>
      <c r="Y926" s="25">
        <v>14</v>
      </c>
      <c r="Z926" s="25">
        <v>14</v>
      </c>
      <c r="AA926" s="25" t="s">
        <v>824</v>
      </c>
      <c r="AB926" s="25" t="s">
        <v>821</v>
      </c>
      <c r="AC926" s="25" t="s">
        <v>821</v>
      </c>
      <c r="AD926" s="25" t="s">
        <v>821</v>
      </c>
      <c r="AE926" s="25" t="s">
        <v>818</v>
      </c>
    </row>
    <row r="927" spans="20:31" ht="14.4">
      <c r="T927" s="25" t="s">
        <v>942</v>
      </c>
      <c r="U927" s="25" t="s">
        <v>854</v>
      </c>
      <c r="V927" t="s">
        <v>1006</v>
      </c>
      <c r="W927" s="25" t="str">
        <f t="shared" si="33"/>
        <v>Round CassetteTop FixSunboss Chain Winder 38mm Tube</v>
      </c>
      <c r="X927" s="25">
        <v>10</v>
      </c>
      <c r="Y927" s="25">
        <v>14</v>
      </c>
      <c r="Z927" s="25">
        <v>14</v>
      </c>
      <c r="AA927" s="25" t="s">
        <v>824</v>
      </c>
      <c r="AB927" s="25" t="s">
        <v>821</v>
      </c>
      <c r="AC927" s="25" t="s">
        <v>821</v>
      </c>
      <c r="AD927" s="25" t="s">
        <v>821</v>
      </c>
      <c r="AE927" s="25" t="s">
        <v>818</v>
      </c>
    </row>
    <row r="928" spans="20:31" ht="14.4">
      <c r="T928" s="25" t="s">
        <v>942</v>
      </c>
      <c r="U928" s="25" t="s">
        <v>854</v>
      </c>
      <c r="V928" t="s">
        <v>1017</v>
      </c>
      <c r="W928" s="25" t="str">
        <f t="shared" si="33"/>
        <v>Round CassetteTop FixSunboss Chain Winder 43mm Tube</v>
      </c>
      <c r="X928" s="25">
        <v>10</v>
      </c>
      <c r="Y928" s="25">
        <v>14</v>
      </c>
      <c r="Z928" s="25">
        <v>14</v>
      </c>
      <c r="AA928" s="25" t="s">
        <v>824</v>
      </c>
      <c r="AB928" s="25" t="s">
        <v>821</v>
      </c>
      <c r="AC928" s="25" t="s">
        <v>821</v>
      </c>
      <c r="AD928" s="25" t="s">
        <v>821</v>
      </c>
      <c r="AE928" s="25" t="s">
        <v>818</v>
      </c>
    </row>
    <row r="929" spans="20:31" ht="14.4">
      <c r="T929" s="25" t="s">
        <v>942</v>
      </c>
      <c r="U929" s="25" t="s">
        <v>854</v>
      </c>
      <c r="V929" s="25" t="s">
        <v>1012</v>
      </c>
      <c r="W929" s="25" t="str">
        <f t="shared" si="33"/>
        <v>Round CassetteTop FixTBS Remote Motor</v>
      </c>
      <c r="X929" s="25">
        <v>10</v>
      </c>
      <c r="Y929" s="25">
        <v>14</v>
      </c>
      <c r="Z929" s="25">
        <v>14</v>
      </c>
      <c r="AA929" s="25" t="s">
        <v>824</v>
      </c>
      <c r="AB929" s="25" t="s">
        <v>821</v>
      </c>
      <c r="AC929" s="25" t="s">
        <v>821</v>
      </c>
      <c r="AD929" s="25" t="s">
        <v>821</v>
      </c>
      <c r="AE929" s="25" t="s">
        <v>818</v>
      </c>
    </row>
    <row r="930" spans="20:31" ht="14.4">
      <c r="T930" s="25" t="s">
        <v>942</v>
      </c>
      <c r="U930" s="25" t="s">
        <v>854</v>
      </c>
      <c r="V930" t="s">
        <v>1009</v>
      </c>
      <c r="W930" s="25" t="str">
        <f t="shared" si="33"/>
        <v>Round CassetteTop FixTBS Cbus Motor</v>
      </c>
      <c r="X930" s="25">
        <v>10</v>
      </c>
      <c r="Y930" s="25">
        <v>14</v>
      </c>
      <c r="Z930" s="25">
        <v>14</v>
      </c>
      <c r="AA930" s="25" t="s">
        <v>824</v>
      </c>
      <c r="AB930" s="25" t="s">
        <v>821</v>
      </c>
      <c r="AC930" s="25" t="s">
        <v>821</v>
      </c>
      <c r="AD930" s="25" t="s">
        <v>821</v>
      </c>
      <c r="AE930" s="25" t="s">
        <v>818</v>
      </c>
    </row>
    <row r="931" spans="20:31" ht="14.4">
      <c r="T931" s="25" t="s">
        <v>942</v>
      </c>
      <c r="U931" s="25" t="s">
        <v>854</v>
      </c>
      <c r="V931" t="s">
        <v>927</v>
      </c>
      <c r="W931" s="25" t="str">
        <f t="shared" si="33"/>
        <v>Round CassetteTop FixAcmeda External Motor</v>
      </c>
      <c r="X931" s="25">
        <v>10</v>
      </c>
      <c r="Y931" s="25">
        <v>14</v>
      </c>
      <c r="Z931" s="25">
        <v>14</v>
      </c>
      <c r="AA931" s="25" t="s">
        <v>824</v>
      </c>
      <c r="AB931" s="25" t="s">
        <v>821</v>
      </c>
      <c r="AC931" s="25" t="s">
        <v>821</v>
      </c>
      <c r="AD931" s="25" t="s">
        <v>821</v>
      </c>
      <c r="AE931" s="25" t="s">
        <v>818</v>
      </c>
    </row>
    <row r="932" spans="20:31" ht="14.4">
      <c r="T932" s="25" t="s">
        <v>942</v>
      </c>
      <c r="U932" s="25" t="s">
        <v>854</v>
      </c>
      <c r="V932" t="s">
        <v>918</v>
      </c>
      <c r="W932" s="25" t="str">
        <f t="shared" si="33"/>
        <v>Round CassetteTop FixAcmeda External 12v Motor</v>
      </c>
      <c r="X932" s="25">
        <v>10</v>
      </c>
      <c r="Y932" s="25">
        <v>14</v>
      </c>
      <c r="Z932" s="25">
        <v>14</v>
      </c>
      <c r="AA932" s="25" t="s">
        <v>824</v>
      </c>
      <c r="AB932" s="25" t="s">
        <v>821</v>
      </c>
      <c r="AC932" s="25" t="s">
        <v>821</v>
      </c>
      <c r="AD932" s="25" t="s">
        <v>821</v>
      </c>
      <c r="AE932" s="25" t="s">
        <v>818</v>
      </c>
    </row>
    <row r="933" spans="20:31" ht="14.4">
      <c r="T933" s="25" t="s">
        <v>942</v>
      </c>
      <c r="U933" s="25" t="s">
        <v>854</v>
      </c>
      <c r="V933" t="s">
        <v>979</v>
      </c>
      <c r="W933" s="25" t="str">
        <f t="shared" si="33"/>
        <v>Round CassetteTop FixSomfy External CBUS Motor</v>
      </c>
      <c r="X933" s="25">
        <v>10</v>
      </c>
      <c r="Y933" s="25">
        <v>14</v>
      </c>
      <c r="Z933" s="25">
        <v>14</v>
      </c>
      <c r="AA933" s="25" t="s">
        <v>824</v>
      </c>
      <c r="AB933" s="25" t="s">
        <v>821</v>
      </c>
      <c r="AC933" s="25" t="s">
        <v>821</v>
      </c>
      <c r="AD933" s="25" t="s">
        <v>821</v>
      </c>
      <c r="AE933" s="25" t="s">
        <v>818</v>
      </c>
    </row>
    <row r="934" spans="20:31" ht="14.4">
      <c r="T934" s="25" t="s">
        <v>942</v>
      </c>
      <c r="U934" s="25" t="s">
        <v>854</v>
      </c>
      <c r="V934" t="s">
        <v>983</v>
      </c>
      <c r="W934" s="25" t="str">
        <f t="shared" si="33"/>
        <v>Round CassetteTop FixSomfy External Remote Motor</v>
      </c>
      <c r="X934" s="25">
        <v>10</v>
      </c>
      <c r="Y934" s="25">
        <v>14</v>
      </c>
      <c r="Z934" s="25">
        <v>14</v>
      </c>
      <c r="AA934" s="25" t="s">
        <v>824</v>
      </c>
      <c r="AB934" s="25" t="s">
        <v>821</v>
      </c>
      <c r="AC934" s="25" t="s">
        <v>821</v>
      </c>
      <c r="AD934" s="25" t="s">
        <v>821</v>
      </c>
      <c r="AE934" s="25" t="s">
        <v>818</v>
      </c>
    </row>
    <row r="935" spans="20:31" ht="14.4">
      <c r="T935" s="25" t="s">
        <v>942</v>
      </c>
      <c r="U935" s="25" t="s">
        <v>854</v>
      </c>
      <c r="V935" t="s">
        <v>979</v>
      </c>
      <c r="W935" s="25" t="str">
        <f t="shared" si="33"/>
        <v>Round CassetteTop FixSomfy External CBUS Motor</v>
      </c>
      <c r="X935" s="25">
        <v>10</v>
      </c>
      <c r="Y935" s="25">
        <v>14</v>
      </c>
      <c r="Z935" s="25">
        <v>14</v>
      </c>
      <c r="AA935" s="25" t="s">
        <v>824</v>
      </c>
      <c r="AB935" s="25" t="s">
        <v>821</v>
      </c>
      <c r="AC935" s="25" t="s">
        <v>821</v>
      </c>
      <c r="AD935" s="25" t="s">
        <v>821</v>
      </c>
      <c r="AE935" s="25" t="s">
        <v>818</v>
      </c>
    </row>
    <row r="936" spans="20:31" ht="14.4">
      <c r="T936" s="25" t="s">
        <v>942</v>
      </c>
      <c r="U936" s="25" t="s">
        <v>854</v>
      </c>
      <c r="V936" t="s">
        <v>999</v>
      </c>
      <c r="W936" s="25" t="str">
        <f t="shared" si="33"/>
        <v>Round CassetteTop FixHD Somfy External Remote Motor</v>
      </c>
      <c r="X936" s="25">
        <v>10</v>
      </c>
      <c r="Y936" s="25">
        <v>14</v>
      </c>
      <c r="Z936" s="25">
        <v>14</v>
      </c>
      <c r="AA936" s="25" t="s">
        <v>824</v>
      </c>
      <c r="AB936" s="25" t="s">
        <v>821</v>
      </c>
      <c r="AC936" s="25" t="s">
        <v>821</v>
      </c>
      <c r="AD936" s="25" t="s">
        <v>821</v>
      </c>
      <c r="AE936" s="25" t="s">
        <v>818</v>
      </c>
    </row>
    <row r="937" spans="20:31" ht="14.4">
      <c r="T937" s="25" t="s">
        <v>942</v>
      </c>
      <c r="U937" s="25" t="s">
        <v>880</v>
      </c>
      <c r="V937" s="25" t="s">
        <v>823</v>
      </c>
      <c r="W937" s="25" t="str">
        <f t="shared" si="33"/>
        <v>Round CassetteInside Window MountChain Winder</v>
      </c>
      <c r="X937" s="25">
        <v>10</v>
      </c>
      <c r="Y937" s="25">
        <v>14</v>
      </c>
      <c r="Z937" s="25">
        <v>29</v>
      </c>
      <c r="AA937" s="25" t="s">
        <v>824</v>
      </c>
      <c r="AB937" s="25" t="s">
        <v>821</v>
      </c>
      <c r="AC937" s="25" t="s">
        <v>821</v>
      </c>
      <c r="AD937" s="25" t="s">
        <v>821</v>
      </c>
      <c r="AE937" s="25" t="s">
        <v>818</v>
      </c>
    </row>
    <row r="938" spans="20:31" ht="14.4">
      <c r="T938" s="25" t="s">
        <v>942</v>
      </c>
      <c r="U938" s="25" t="s">
        <v>880</v>
      </c>
      <c r="V938" s="25" t="s">
        <v>841</v>
      </c>
      <c r="W938" s="25" t="str">
        <f t="shared" si="33"/>
        <v>Round CassetteInside Window MountHD Chain Winder</v>
      </c>
      <c r="X938" s="25">
        <v>10</v>
      </c>
      <c r="Y938" s="25">
        <v>14</v>
      </c>
      <c r="Z938" s="25">
        <v>29</v>
      </c>
      <c r="AA938" s="25" t="s">
        <v>824</v>
      </c>
      <c r="AB938" s="25" t="s">
        <v>821</v>
      </c>
      <c r="AC938" s="25" t="s">
        <v>821</v>
      </c>
      <c r="AD938" s="25" t="s">
        <v>821</v>
      </c>
      <c r="AE938" s="25" t="s">
        <v>818</v>
      </c>
    </row>
    <row r="939" spans="20:31" ht="14.4">
      <c r="T939" s="25" t="s">
        <v>942</v>
      </c>
      <c r="U939" s="25" t="s">
        <v>880</v>
      </c>
      <c r="V939" s="25" t="s">
        <v>858</v>
      </c>
      <c r="W939" s="25" t="str">
        <f t="shared" si="33"/>
        <v>Round CassetteInside Window MountChain Winder 60mm</v>
      </c>
      <c r="X939" s="25">
        <v>10</v>
      </c>
      <c r="Y939" s="25">
        <v>14</v>
      </c>
      <c r="Z939" s="25">
        <v>29</v>
      </c>
      <c r="AA939" s="25" t="s">
        <v>824</v>
      </c>
      <c r="AB939" s="25" t="s">
        <v>821</v>
      </c>
      <c r="AC939" s="25" t="s">
        <v>821</v>
      </c>
      <c r="AD939" s="25" t="s">
        <v>821</v>
      </c>
      <c r="AE939" s="25" t="s">
        <v>818</v>
      </c>
    </row>
    <row r="940" spans="20:31" ht="14.4">
      <c r="T940" s="25" t="s">
        <v>942</v>
      </c>
      <c r="U940" s="25" t="s">
        <v>880</v>
      </c>
      <c r="V940" s="25" t="s">
        <v>865</v>
      </c>
      <c r="W940" s="25" t="str">
        <f t="shared" si="33"/>
        <v>Round CassetteInside Window MountChain Winder Fixed Guide</v>
      </c>
      <c r="X940" s="25">
        <v>10</v>
      </c>
      <c r="Y940" s="25">
        <v>14</v>
      </c>
      <c r="Z940" s="25">
        <v>29</v>
      </c>
      <c r="AA940" s="25" t="s">
        <v>824</v>
      </c>
      <c r="AB940" s="25" t="s">
        <v>821</v>
      </c>
      <c r="AC940" s="25" t="s">
        <v>821</v>
      </c>
      <c r="AD940" s="25" t="s">
        <v>821</v>
      </c>
      <c r="AE940" s="25" t="s">
        <v>818</v>
      </c>
    </row>
    <row r="941" spans="20:31" ht="14.4">
      <c r="T941" s="25" t="s">
        <v>942</v>
      </c>
      <c r="U941" s="25" t="s">
        <v>880</v>
      </c>
      <c r="V941" s="25" t="s">
        <v>181</v>
      </c>
      <c r="W941" s="25" t="str">
        <f t="shared" si="33"/>
        <v>Round CassetteInside Window MountLinked</v>
      </c>
      <c r="X941" s="25">
        <v>10</v>
      </c>
      <c r="Y941" s="25">
        <v>14</v>
      </c>
      <c r="Z941" s="25">
        <v>14</v>
      </c>
      <c r="AA941" s="25" t="s">
        <v>824</v>
      </c>
      <c r="AB941" s="25" t="s">
        <v>821</v>
      </c>
      <c r="AC941" s="25" t="s">
        <v>821</v>
      </c>
      <c r="AD941" s="25" t="s">
        <v>821</v>
      </c>
      <c r="AE941" s="25" t="s">
        <v>818</v>
      </c>
    </row>
    <row r="942" spans="20:31" ht="14.4">
      <c r="T942" s="25" t="s">
        <v>942</v>
      </c>
      <c r="U942" s="25" t="s">
        <v>880</v>
      </c>
      <c r="V942" s="25" t="s">
        <v>898</v>
      </c>
      <c r="W942" s="25" t="str">
        <f t="shared" si="33"/>
        <v>Round CassetteInside Window MountLinked - HD</v>
      </c>
      <c r="X942" s="25">
        <v>10</v>
      </c>
      <c r="Y942" s="25">
        <v>14</v>
      </c>
      <c r="Z942" s="25">
        <v>14</v>
      </c>
      <c r="AA942" s="25" t="s">
        <v>824</v>
      </c>
      <c r="AB942" s="25" t="s">
        <v>821</v>
      </c>
      <c r="AC942" s="25" t="s">
        <v>821</v>
      </c>
      <c r="AD942" s="25" t="s">
        <v>821</v>
      </c>
      <c r="AE942" s="25" t="s">
        <v>818</v>
      </c>
    </row>
    <row r="943" spans="20:31" ht="14.4">
      <c r="T943" s="25" t="s">
        <v>942</v>
      </c>
      <c r="U943" s="25" t="s">
        <v>880</v>
      </c>
      <c r="V943" s="25" t="s">
        <v>910</v>
      </c>
      <c r="W943" s="25" t="str">
        <f t="shared" si="33"/>
        <v>Round CassetteInside Window MountStandard Spring</v>
      </c>
      <c r="X943" s="25">
        <v>10</v>
      </c>
      <c r="Y943" s="25">
        <v>14</v>
      </c>
      <c r="Z943" s="25">
        <v>14</v>
      </c>
      <c r="AA943" s="25" t="s">
        <v>824</v>
      </c>
      <c r="AB943" s="25" t="s">
        <v>821</v>
      </c>
      <c r="AC943" s="25" t="s">
        <v>821</v>
      </c>
      <c r="AD943" s="25" t="s">
        <v>821</v>
      </c>
      <c r="AE943" s="25" t="s">
        <v>818</v>
      </c>
    </row>
    <row r="944" spans="20:31" ht="14.4">
      <c r="T944" s="25" t="s">
        <v>942</v>
      </c>
      <c r="U944" s="25" t="s">
        <v>880</v>
      </c>
      <c r="V944" s="25" t="s">
        <v>920</v>
      </c>
      <c r="W944" s="25" t="str">
        <f t="shared" si="33"/>
        <v>Round CassetteInside Window MountSmall Spring</v>
      </c>
      <c r="X944" s="25">
        <v>10</v>
      </c>
      <c r="Y944" s="25">
        <v>14</v>
      </c>
      <c r="Z944" s="25">
        <v>14</v>
      </c>
      <c r="AA944" s="25" t="s">
        <v>824</v>
      </c>
      <c r="AB944" s="25" t="s">
        <v>821</v>
      </c>
      <c r="AC944" s="25" t="s">
        <v>821</v>
      </c>
      <c r="AD944" s="25" t="s">
        <v>821</v>
      </c>
      <c r="AE944" s="25" t="s">
        <v>818</v>
      </c>
    </row>
    <row r="945" spans="20:31" ht="14.4">
      <c r="T945" s="25" t="s">
        <v>942</v>
      </c>
      <c r="U945" s="25" t="s">
        <v>880</v>
      </c>
      <c r="V945" s="25" t="s">
        <v>929</v>
      </c>
      <c r="W945" s="25" t="str">
        <f t="shared" si="33"/>
        <v>Round CassetteInside Window MountUniline Spring (Old Style)</v>
      </c>
      <c r="X945" s="25">
        <v>10</v>
      </c>
      <c r="Y945" s="25">
        <v>14</v>
      </c>
      <c r="Z945" s="25">
        <v>14</v>
      </c>
      <c r="AA945" s="25" t="s">
        <v>824</v>
      </c>
      <c r="AB945" s="25" t="s">
        <v>821</v>
      </c>
      <c r="AC945" s="25" t="s">
        <v>821</v>
      </c>
      <c r="AD945" s="25" t="s">
        <v>821</v>
      </c>
      <c r="AE945" s="25" t="s">
        <v>818</v>
      </c>
    </row>
    <row r="946" spans="20:31" ht="14.4">
      <c r="T946" s="25" t="s">
        <v>942</v>
      </c>
      <c r="U946" s="25" t="s">
        <v>880</v>
      </c>
      <c r="V946" s="25" t="s">
        <v>935</v>
      </c>
      <c r="W946" s="25" t="str">
        <f t="shared" si="33"/>
        <v>Round CassetteInside Window MountBecker Remote Motor</v>
      </c>
      <c r="X946" s="25">
        <v>10</v>
      </c>
      <c r="Y946" s="25">
        <v>14</v>
      </c>
      <c r="Z946" s="25">
        <v>14</v>
      </c>
      <c r="AA946" s="25" t="s">
        <v>824</v>
      </c>
      <c r="AB946" s="25" t="s">
        <v>821</v>
      </c>
      <c r="AC946" s="25" t="s">
        <v>821</v>
      </c>
      <c r="AD946" s="25" t="s">
        <v>821</v>
      </c>
      <c r="AE946" s="25" t="s">
        <v>818</v>
      </c>
    </row>
    <row r="947" spans="20:31" ht="14.4">
      <c r="T947" s="25" t="s">
        <v>942</v>
      </c>
      <c r="U947" s="25" t="s">
        <v>880</v>
      </c>
      <c r="V947" s="25" t="s">
        <v>939</v>
      </c>
      <c r="W947" s="25" t="str">
        <f t="shared" si="33"/>
        <v>Round CassetteInside Window MountBecker CBUS Motor</v>
      </c>
      <c r="X947" s="25">
        <v>10</v>
      </c>
      <c r="Y947" s="25">
        <v>14</v>
      </c>
      <c r="Z947" s="25">
        <v>14</v>
      </c>
      <c r="AA947" s="25" t="s">
        <v>824</v>
      </c>
      <c r="AB947" s="25" t="s">
        <v>821</v>
      </c>
      <c r="AC947" s="25" t="s">
        <v>821</v>
      </c>
      <c r="AD947" s="25" t="s">
        <v>821</v>
      </c>
      <c r="AE947" s="25" t="s">
        <v>818</v>
      </c>
    </row>
    <row r="948" spans="20:31" ht="14.4">
      <c r="T948" s="25" t="s">
        <v>942</v>
      </c>
      <c r="U948" s="25" t="s">
        <v>880</v>
      </c>
      <c r="V948" s="25" t="s">
        <v>946</v>
      </c>
      <c r="W948" s="25" t="str">
        <f t="shared" si="33"/>
        <v>Round CassetteInside Window MountBecker External Remote Motor</v>
      </c>
      <c r="X948" s="25">
        <v>10</v>
      </c>
      <c r="Y948" s="25">
        <v>14</v>
      </c>
      <c r="Z948" s="25">
        <v>14</v>
      </c>
      <c r="AA948" s="25" t="s">
        <v>824</v>
      </c>
      <c r="AB948" s="25" t="s">
        <v>821</v>
      </c>
      <c r="AC948" s="25" t="s">
        <v>821</v>
      </c>
      <c r="AD948" s="25" t="s">
        <v>821</v>
      </c>
      <c r="AE948" s="25" t="s">
        <v>818</v>
      </c>
    </row>
    <row r="949" spans="20:31" ht="14.4">
      <c r="T949" s="25" t="s">
        <v>942</v>
      </c>
      <c r="U949" s="25" t="s">
        <v>880</v>
      </c>
      <c r="V949" s="25" t="s">
        <v>951</v>
      </c>
      <c r="W949" s="25" t="str">
        <f t="shared" si="33"/>
        <v>Round CassetteInside Window MountBecker External CBUS Motor</v>
      </c>
      <c r="X949" s="25">
        <v>10</v>
      </c>
      <c r="Y949" s="25">
        <v>14</v>
      </c>
      <c r="Z949" s="25">
        <v>14</v>
      </c>
      <c r="AA949" s="25" t="s">
        <v>824</v>
      </c>
      <c r="AB949" s="25" t="s">
        <v>821</v>
      </c>
      <c r="AC949" s="25" t="s">
        <v>821</v>
      </c>
      <c r="AD949" s="25" t="s">
        <v>821</v>
      </c>
      <c r="AE949" s="25" t="s">
        <v>818</v>
      </c>
    </row>
    <row r="950" spans="20:31" ht="14.4">
      <c r="T950" s="25" t="s">
        <v>942</v>
      </c>
      <c r="U950" s="25" t="s">
        <v>880</v>
      </c>
      <c r="V950" s="25" t="s">
        <v>838</v>
      </c>
      <c r="W950" s="25" t="str">
        <f t="shared" si="33"/>
        <v>Round CassetteInside Window Mount1.1nm 12v Acmeda Motor</v>
      </c>
      <c r="X950" s="25">
        <v>10</v>
      </c>
      <c r="Y950" s="25">
        <v>14</v>
      </c>
      <c r="Z950" s="25">
        <v>14</v>
      </c>
      <c r="AA950" s="25" t="s">
        <v>824</v>
      </c>
      <c r="AB950" s="25" t="s">
        <v>821</v>
      </c>
      <c r="AC950" s="25" t="s">
        <v>821</v>
      </c>
      <c r="AD950" s="25" t="s">
        <v>821</v>
      </c>
      <c r="AE950" s="25" t="s">
        <v>818</v>
      </c>
    </row>
    <row r="951" spans="20:31" ht="14.4">
      <c r="T951" s="25" t="s">
        <v>942</v>
      </c>
      <c r="U951" s="25" t="s">
        <v>880</v>
      </c>
      <c r="V951" t="s">
        <v>882</v>
      </c>
      <c r="W951" s="25" t="str">
        <f t="shared" si="33"/>
        <v>Round CassetteInside Window Mount2nm 12v Acmeda Motor</v>
      </c>
      <c r="X951" s="25">
        <v>10</v>
      </c>
      <c r="Y951" s="25">
        <v>14</v>
      </c>
      <c r="Z951" s="25">
        <v>14</v>
      </c>
      <c r="AA951" s="25" t="s">
        <v>824</v>
      </c>
      <c r="AB951" s="25" t="s">
        <v>821</v>
      </c>
      <c r="AC951" s="25" t="s">
        <v>821</v>
      </c>
      <c r="AD951" s="25" t="s">
        <v>821</v>
      </c>
      <c r="AE951" s="25" t="s">
        <v>818</v>
      </c>
    </row>
    <row r="952" spans="20:31" ht="14.4">
      <c r="T952" s="25" t="s">
        <v>942</v>
      </c>
      <c r="U952" s="25" t="s">
        <v>880</v>
      </c>
      <c r="V952" t="s">
        <v>896</v>
      </c>
      <c r="W952" s="25" t="str">
        <f t="shared" si="33"/>
        <v>Round CassetteInside Window MountAcmeda 12v 6nm Motor</v>
      </c>
      <c r="X952" s="25">
        <v>10</v>
      </c>
      <c r="Y952" s="25">
        <v>14</v>
      </c>
      <c r="Z952" s="25">
        <v>14</v>
      </c>
      <c r="AA952" s="25" t="s">
        <v>824</v>
      </c>
      <c r="AB952" s="25" t="s">
        <v>821</v>
      </c>
      <c r="AC952" s="25" t="s">
        <v>821</v>
      </c>
      <c r="AD952" s="25" t="s">
        <v>821</v>
      </c>
      <c r="AE952" s="25" t="s">
        <v>818</v>
      </c>
    </row>
    <row r="953" spans="20:31" ht="14.4">
      <c r="T953" s="25" t="s">
        <v>942</v>
      </c>
      <c r="U953" s="25" t="s">
        <v>880</v>
      </c>
      <c r="V953" t="s">
        <v>855</v>
      </c>
      <c r="W953" s="25" t="str">
        <f t="shared" si="33"/>
        <v>Round CassetteInside Window Mount0.7nm 12v Acmeda Motor</v>
      </c>
      <c r="X953" s="25">
        <v>10</v>
      </c>
      <c r="Y953" s="25">
        <v>14</v>
      </c>
      <c r="Z953" s="25">
        <v>14</v>
      </c>
      <c r="AA953" s="25" t="s">
        <v>824</v>
      </c>
      <c r="AB953" s="25" t="s">
        <v>821</v>
      </c>
      <c r="AC953" s="25" t="s">
        <v>821</v>
      </c>
      <c r="AD953" s="25" t="s">
        <v>821</v>
      </c>
      <c r="AE953" s="25" t="s">
        <v>818</v>
      </c>
    </row>
    <row r="954" spans="20:31" ht="14.4">
      <c r="T954" s="25" t="s">
        <v>942</v>
      </c>
      <c r="U954" s="25" t="s">
        <v>880</v>
      </c>
      <c r="V954" s="25" t="s">
        <v>849</v>
      </c>
      <c r="W954" s="25" t="str">
        <f t="shared" si="33"/>
        <v>Round CassetteInside Window Mount1.1nm 12v Acmeda DCRF Motor with External Battery</v>
      </c>
      <c r="X954" s="25">
        <v>10</v>
      </c>
      <c r="Y954" s="25">
        <v>14</v>
      </c>
      <c r="Z954" s="25">
        <v>14</v>
      </c>
      <c r="AA954" s="25" t="s">
        <v>824</v>
      </c>
      <c r="AB954" s="25" t="s">
        <v>821</v>
      </c>
      <c r="AC954" s="25" t="s">
        <v>821</v>
      </c>
      <c r="AD954" s="25" t="s">
        <v>821</v>
      </c>
      <c r="AE954" s="25" t="s">
        <v>818</v>
      </c>
    </row>
    <row r="955" spans="20:31" ht="14.4">
      <c r="T955" s="25" t="s">
        <v>942</v>
      </c>
      <c r="U955" s="25" t="s">
        <v>880</v>
      </c>
      <c r="V955" s="25" t="s">
        <v>817</v>
      </c>
      <c r="W955" s="25" t="str">
        <f t="shared" si="33"/>
        <v>Round CassetteInside Window Mount1.1nm 12v Acmeda DCRF Motor</v>
      </c>
      <c r="X955" s="25">
        <v>10</v>
      </c>
      <c r="Y955" s="25">
        <v>14</v>
      </c>
      <c r="Z955" s="25">
        <v>14</v>
      </c>
      <c r="AA955" s="25" t="s">
        <v>824</v>
      </c>
      <c r="AB955" s="25" t="s">
        <v>821</v>
      </c>
      <c r="AC955" s="25" t="s">
        <v>821</v>
      </c>
      <c r="AD955" s="25" t="s">
        <v>821</v>
      </c>
      <c r="AE955" s="25" t="s">
        <v>818</v>
      </c>
    </row>
    <row r="956" spans="20:31" ht="14.4">
      <c r="T956" s="25" t="s">
        <v>942</v>
      </c>
      <c r="U956" s="25" t="s">
        <v>880</v>
      </c>
      <c r="V956" s="25" t="s">
        <v>868</v>
      </c>
      <c r="W956" s="25" t="str">
        <f t="shared" si="33"/>
        <v>Round CassetteInside Window Mount2nm 12v Acmeda DCRF Motor</v>
      </c>
      <c r="X956" s="25">
        <v>10</v>
      </c>
      <c r="Y956" s="25">
        <v>14</v>
      </c>
      <c r="Z956" s="25">
        <v>14</v>
      </c>
      <c r="AA956" s="25" t="s">
        <v>824</v>
      </c>
      <c r="AB956" s="25" t="s">
        <v>821</v>
      </c>
      <c r="AC956" s="25" t="s">
        <v>821</v>
      </c>
      <c r="AD956" s="25" t="s">
        <v>821</v>
      </c>
      <c r="AE956" s="25" t="s">
        <v>818</v>
      </c>
    </row>
    <row r="957" spans="20:31" ht="14.4">
      <c r="T957" s="25" t="s">
        <v>942</v>
      </c>
      <c r="U957" s="25" t="s">
        <v>880</v>
      </c>
      <c r="V957" t="s">
        <v>973</v>
      </c>
      <c r="W957" s="25" t="str">
        <f t="shared" si="33"/>
        <v>Round CassetteInside Window MountSomfy Remote Sonesse Motor</v>
      </c>
      <c r="X957" s="25">
        <v>10</v>
      </c>
      <c r="Y957" s="25">
        <v>14</v>
      </c>
      <c r="Z957" s="25">
        <v>14</v>
      </c>
      <c r="AA957" s="25" t="s">
        <v>824</v>
      </c>
      <c r="AB957" s="25" t="s">
        <v>821</v>
      </c>
      <c r="AC957" s="25" t="s">
        <v>821</v>
      </c>
      <c r="AD957" s="25" t="s">
        <v>821</v>
      </c>
      <c r="AE957" s="25" t="s">
        <v>818</v>
      </c>
    </row>
    <row r="958" spans="20:31" ht="14.4">
      <c r="T958" s="25" t="s">
        <v>942</v>
      </c>
      <c r="U958" s="25" t="s">
        <v>880</v>
      </c>
      <c r="V958" t="s">
        <v>637</v>
      </c>
      <c r="W958" s="25" t="str">
        <f t="shared" si="33"/>
        <v>Round CassetteInside Window MountSomfy 12v Remote Sonesse Motor</v>
      </c>
      <c r="X958" s="25">
        <v>10</v>
      </c>
      <c r="Y958" s="25">
        <v>14</v>
      </c>
      <c r="Z958" s="25">
        <v>14</v>
      </c>
      <c r="AA958" s="25" t="s">
        <v>824</v>
      </c>
      <c r="AB958" s="25" t="s">
        <v>821</v>
      </c>
      <c r="AC958" s="25" t="s">
        <v>821</v>
      </c>
      <c r="AD958" s="25" t="s">
        <v>821</v>
      </c>
      <c r="AE958" s="25" t="s">
        <v>818</v>
      </c>
    </row>
    <row r="959" spans="20:31" ht="14.4">
      <c r="T959" s="25" t="s">
        <v>942</v>
      </c>
      <c r="U959" s="25" t="s">
        <v>880</v>
      </c>
      <c r="V959" s="25" t="s">
        <v>974</v>
      </c>
      <c r="W959" s="25" t="str">
        <f t="shared" si="33"/>
        <v>Round CassetteInside Window MountSomfy CBUS Motor</v>
      </c>
      <c r="X959" s="25">
        <v>10</v>
      </c>
      <c r="Y959" s="25">
        <v>14</v>
      </c>
      <c r="Z959" s="25">
        <v>14</v>
      </c>
      <c r="AA959" s="25" t="s">
        <v>824</v>
      </c>
      <c r="AB959" s="25" t="s">
        <v>821</v>
      </c>
      <c r="AC959" s="25" t="s">
        <v>821</v>
      </c>
      <c r="AD959" s="25" t="s">
        <v>821</v>
      </c>
      <c r="AE959" s="25" t="s">
        <v>818</v>
      </c>
    </row>
    <row r="960" spans="20:31" ht="14.4">
      <c r="T960" s="25" t="s">
        <v>942</v>
      </c>
      <c r="U960" s="25" t="s">
        <v>880</v>
      </c>
      <c r="V960" t="s">
        <v>986</v>
      </c>
      <c r="W960" s="25" t="str">
        <f t="shared" si="33"/>
        <v>Round CassetteInside Window MountHD Somfy Remote Sonesse Motor</v>
      </c>
      <c r="X960" s="25">
        <v>10</v>
      </c>
      <c r="Y960" s="25">
        <v>14</v>
      </c>
      <c r="Z960" s="25">
        <v>14</v>
      </c>
      <c r="AA960" s="25" t="s">
        <v>824</v>
      </c>
      <c r="AB960" s="25" t="s">
        <v>821</v>
      </c>
      <c r="AC960" s="25" t="s">
        <v>821</v>
      </c>
      <c r="AD960" s="25" t="s">
        <v>821</v>
      </c>
      <c r="AE960" s="25" t="s">
        <v>818</v>
      </c>
    </row>
    <row r="961" spans="20:31" ht="14.4">
      <c r="T961" s="25" t="s">
        <v>942</v>
      </c>
      <c r="U961" s="25" t="s">
        <v>880</v>
      </c>
      <c r="V961" t="s">
        <v>989</v>
      </c>
      <c r="W961" s="25" t="str">
        <f t="shared" si="33"/>
        <v>Round CassetteInside Window MountHD Somfy 12v Remote Sonesse Motor</v>
      </c>
      <c r="X961" s="25">
        <v>10</v>
      </c>
      <c r="Y961" s="25">
        <v>14</v>
      </c>
      <c r="Z961" s="25">
        <v>14</v>
      </c>
      <c r="AA961" s="25" t="s">
        <v>824</v>
      </c>
      <c r="AB961" s="25" t="s">
        <v>821</v>
      </c>
      <c r="AC961" s="25" t="s">
        <v>821</v>
      </c>
      <c r="AD961" s="25" t="s">
        <v>821</v>
      </c>
      <c r="AE961" s="25" t="s">
        <v>818</v>
      </c>
    </row>
    <row r="962" spans="20:31" ht="14.4">
      <c r="T962" s="25" t="s">
        <v>942</v>
      </c>
      <c r="U962" s="25" t="s">
        <v>880</v>
      </c>
      <c r="V962" s="25" t="s">
        <v>992</v>
      </c>
      <c r="W962" s="25" t="str">
        <f t="shared" si="33"/>
        <v>Round CassetteInside Window MountHD Somfy CBUS Motor</v>
      </c>
      <c r="X962" s="25">
        <v>10</v>
      </c>
      <c r="Y962" s="25">
        <v>14</v>
      </c>
      <c r="Z962" s="25">
        <v>14</v>
      </c>
      <c r="AA962" s="25" t="s">
        <v>824</v>
      </c>
      <c r="AB962" s="25" t="s">
        <v>821</v>
      </c>
      <c r="AC962" s="25" t="s">
        <v>821</v>
      </c>
      <c r="AD962" s="25" t="s">
        <v>821</v>
      </c>
      <c r="AE962" s="25" t="s">
        <v>818</v>
      </c>
    </row>
    <row r="963" spans="20:31" ht="14.4">
      <c r="T963" s="25" t="s">
        <v>942</v>
      </c>
      <c r="U963" s="25" t="s">
        <v>880</v>
      </c>
      <c r="V963" s="25" t="s">
        <v>625</v>
      </c>
      <c r="W963" s="25" t="str">
        <f t="shared" si="34" ref="W963:W1026">CONCATENATE(T963,U963,V963)</f>
        <v>Round CassetteInside Window MountAcmeda E6 Motor</v>
      </c>
      <c r="X963" s="25">
        <v>10</v>
      </c>
      <c r="Y963" s="25">
        <v>14</v>
      </c>
      <c r="Z963" s="25">
        <v>14</v>
      </c>
      <c r="AA963" s="25" t="s">
        <v>824</v>
      </c>
      <c r="AB963" s="25" t="s">
        <v>821</v>
      </c>
      <c r="AC963" s="25" t="s">
        <v>821</v>
      </c>
      <c r="AD963" s="25" t="s">
        <v>821</v>
      </c>
      <c r="AE963" s="25" t="s">
        <v>818</v>
      </c>
    </row>
    <row r="964" spans="20:31" ht="14.4">
      <c r="T964" s="25" t="s">
        <v>942</v>
      </c>
      <c r="U964" s="25" t="s">
        <v>880</v>
      </c>
      <c r="V964" s="25" t="s">
        <v>626</v>
      </c>
      <c r="W964" s="25" t="str">
        <f t="shared" si="34"/>
        <v>Round CassetteInside Window MountAcmeda M6 Motor</v>
      </c>
      <c r="X964" s="25">
        <v>10</v>
      </c>
      <c r="Y964" s="25">
        <v>14</v>
      </c>
      <c r="Z964" s="25">
        <v>14</v>
      </c>
      <c r="AA964" s="25" t="s">
        <v>824</v>
      </c>
      <c r="AB964" s="25" t="s">
        <v>821</v>
      </c>
      <c r="AC964" s="25" t="s">
        <v>821</v>
      </c>
      <c r="AD964" s="25" t="s">
        <v>821</v>
      </c>
      <c r="AE964" s="25" t="s">
        <v>818</v>
      </c>
    </row>
    <row r="965" spans="20:31" ht="14.4">
      <c r="T965" s="25" t="s">
        <v>942</v>
      </c>
      <c r="U965" s="25" t="s">
        <v>880</v>
      </c>
      <c r="V965" s="25" t="s">
        <v>1002</v>
      </c>
      <c r="W965" s="25" t="str">
        <f t="shared" si="34"/>
        <v>Round CassetteInside Window MountUniline Remote Motor</v>
      </c>
      <c r="X965" s="25">
        <v>10</v>
      </c>
      <c r="Y965" s="25">
        <v>14</v>
      </c>
      <c r="Z965" s="25">
        <v>14</v>
      </c>
      <c r="AA965" s="25" t="s">
        <v>824</v>
      </c>
      <c r="AB965" s="25" t="s">
        <v>821</v>
      </c>
      <c r="AC965" s="25" t="s">
        <v>821</v>
      </c>
      <c r="AD965" s="25" t="s">
        <v>821</v>
      </c>
      <c r="AE965" s="25" t="s">
        <v>818</v>
      </c>
    </row>
    <row r="966" spans="20:31" ht="14.4">
      <c r="T966" s="25" t="s">
        <v>942</v>
      </c>
      <c r="U966" s="25" t="s">
        <v>880</v>
      </c>
      <c r="V966" s="25" t="s">
        <v>1005</v>
      </c>
      <c r="W966" s="25" t="str">
        <f t="shared" si="34"/>
        <v>Round CassetteInside Window MountUniline Cbus Motor</v>
      </c>
      <c r="X966" s="25">
        <v>10</v>
      </c>
      <c r="Y966" s="25">
        <v>14</v>
      </c>
      <c r="Z966" s="25">
        <v>14</v>
      </c>
      <c r="AA966" s="25" t="s">
        <v>824</v>
      </c>
      <c r="AB966" s="25" t="s">
        <v>821</v>
      </c>
      <c r="AC966" s="25" t="s">
        <v>821</v>
      </c>
      <c r="AD966" s="25" t="s">
        <v>821</v>
      </c>
      <c r="AE966" s="25" t="s">
        <v>818</v>
      </c>
    </row>
    <row r="967" spans="20:31" ht="14.4">
      <c r="T967" s="25" t="s">
        <v>942</v>
      </c>
      <c r="U967" s="25" t="s">
        <v>880</v>
      </c>
      <c r="V967" s="25" t="s">
        <v>981</v>
      </c>
      <c r="W967" s="25" t="str">
        <f t="shared" si="34"/>
        <v>Round CassetteInside Window MountNice Remote Motor</v>
      </c>
      <c r="X967" s="25">
        <v>10</v>
      </c>
      <c r="Y967" s="25">
        <v>14</v>
      </c>
      <c r="Z967" s="25">
        <v>14</v>
      </c>
      <c r="AA967" s="25" t="s">
        <v>824</v>
      </c>
      <c r="AB967" s="25" t="s">
        <v>821</v>
      </c>
      <c r="AC967" s="25" t="s">
        <v>821</v>
      </c>
      <c r="AD967" s="25" t="s">
        <v>821</v>
      </c>
      <c r="AE967" s="25" t="s">
        <v>818</v>
      </c>
    </row>
    <row r="968" spans="20:31" ht="14.4">
      <c r="T968" s="25" t="s">
        <v>942</v>
      </c>
      <c r="U968" s="25" t="s">
        <v>880</v>
      </c>
      <c r="V968" s="25" t="s">
        <v>976</v>
      </c>
      <c r="W968" s="25" t="str">
        <f t="shared" si="34"/>
        <v>Round CassetteInside Window MountNice CBus Motor</v>
      </c>
      <c r="X968" s="25">
        <v>10</v>
      </c>
      <c r="Y968" s="25">
        <v>14</v>
      </c>
      <c r="Z968" s="25">
        <v>14</v>
      </c>
      <c r="AA968" s="25" t="s">
        <v>824</v>
      </c>
      <c r="AB968" s="25" t="s">
        <v>821</v>
      </c>
      <c r="AC968" s="25" t="s">
        <v>821</v>
      </c>
      <c r="AD968" s="25" t="s">
        <v>821</v>
      </c>
      <c r="AE968" s="25" t="s">
        <v>818</v>
      </c>
    </row>
    <row r="969" spans="20:31" ht="14.4">
      <c r="T969" s="25" t="s">
        <v>942</v>
      </c>
      <c r="U969" s="25" t="s">
        <v>880</v>
      </c>
      <c r="V969" t="s">
        <v>1006</v>
      </c>
      <c r="W969" s="25" t="str">
        <f t="shared" si="34"/>
        <v>Round CassetteInside Window MountSunboss Chain Winder 38mm Tube</v>
      </c>
      <c r="X969" s="25">
        <v>10</v>
      </c>
      <c r="Y969" s="25">
        <v>14</v>
      </c>
      <c r="Z969" s="25">
        <v>14</v>
      </c>
      <c r="AA969" s="25" t="s">
        <v>824</v>
      </c>
      <c r="AB969" s="25" t="s">
        <v>821</v>
      </c>
      <c r="AC969" s="25" t="s">
        <v>821</v>
      </c>
      <c r="AD969" s="25" t="s">
        <v>821</v>
      </c>
      <c r="AE969" s="25" t="s">
        <v>818</v>
      </c>
    </row>
    <row r="970" spans="20:31" ht="14.4">
      <c r="T970" s="25" t="s">
        <v>942</v>
      </c>
      <c r="U970" s="25" t="s">
        <v>880</v>
      </c>
      <c r="V970" t="s">
        <v>1017</v>
      </c>
      <c r="W970" s="25" t="str">
        <f t="shared" si="34"/>
        <v>Round CassetteInside Window MountSunboss Chain Winder 43mm Tube</v>
      </c>
      <c r="X970" s="25">
        <v>10</v>
      </c>
      <c r="Y970" s="25">
        <v>14</v>
      </c>
      <c r="Z970" s="25">
        <v>14</v>
      </c>
      <c r="AA970" s="25" t="s">
        <v>824</v>
      </c>
      <c r="AB970" s="25" t="s">
        <v>821</v>
      </c>
      <c r="AC970" s="25" t="s">
        <v>821</v>
      </c>
      <c r="AD970" s="25" t="s">
        <v>821</v>
      </c>
      <c r="AE970" s="25" t="s">
        <v>818</v>
      </c>
    </row>
    <row r="971" spans="20:31" ht="14.4">
      <c r="T971" s="25" t="s">
        <v>942</v>
      </c>
      <c r="U971" s="25" t="s">
        <v>880</v>
      </c>
      <c r="V971" s="25" t="s">
        <v>1012</v>
      </c>
      <c r="W971" s="25" t="str">
        <f t="shared" si="34"/>
        <v>Round CassetteInside Window MountTBS Remote Motor</v>
      </c>
      <c r="X971" s="25">
        <v>10</v>
      </c>
      <c r="Y971" s="25">
        <v>14</v>
      </c>
      <c r="Z971" s="25">
        <v>14</v>
      </c>
      <c r="AA971" s="25" t="s">
        <v>824</v>
      </c>
      <c r="AB971" s="25" t="s">
        <v>821</v>
      </c>
      <c r="AC971" s="25" t="s">
        <v>821</v>
      </c>
      <c r="AD971" s="25" t="s">
        <v>821</v>
      </c>
      <c r="AE971" s="25" t="s">
        <v>818</v>
      </c>
    </row>
    <row r="972" spans="20:31" ht="14.4">
      <c r="T972" s="25" t="s">
        <v>942</v>
      </c>
      <c r="U972" s="25" t="s">
        <v>880</v>
      </c>
      <c r="V972" t="s">
        <v>1009</v>
      </c>
      <c r="W972" s="25" t="str">
        <f t="shared" si="34"/>
        <v>Round CassetteInside Window MountTBS Cbus Motor</v>
      </c>
      <c r="X972" s="25">
        <v>10</v>
      </c>
      <c r="Y972" s="25">
        <v>14</v>
      </c>
      <c r="Z972" s="25">
        <v>14</v>
      </c>
      <c r="AA972" s="25" t="s">
        <v>824</v>
      </c>
      <c r="AB972" s="25" t="s">
        <v>821</v>
      </c>
      <c r="AC972" s="25" t="s">
        <v>821</v>
      </c>
      <c r="AD972" s="25" t="s">
        <v>821</v>
      </c>
      <c r="AE972" s="25" t="s">
        <v>818</v>
      </c>
    </row>
    <row r="973" spans="20:31" ht="14.4">
      <c r="T973" s="25" t="s">
        <v>942</v>
      </c>
      <c r="U973" s="25" t="s">
        <v>880</v>
      </c>
      <c r="V973" t="s">
        <v>927</v>
      </c>
      <c r="W973" s="25" t="str">
        <f t="shared" si="34"/>
        <v>Round CassetteInside Window MountAcmeda External Motor</v>
      </c>
      <c r="X973" s="25">
        <v>10</v>
      </c>
      <c r="Y973" s="25">
        <v>14</v>
      </c>
      <c r="Z973" s="25">
        <v>14</v>
      </c>
      <c r="AA973" s="25" t="s">
        <v>824</v>
      </c>
      <c r="AB973" s="25" t="s">
        <v>821</v>
      </c>
      <c r="AC973" s="25" t="s">
        <v>821</v>
      </c>
      <c r="AD973" s="25" t="s">
        <v>821</v>
      </c>
      <c r="AE973" s="25" t="s">
        <v>818</v>
      </c>
    </row>
    <row r="974" spans="20:31" ht="14.4">
      <c r="T974" s="25" t="s">
        <v>942</v>
      </c>
      <c r="U974" s="25" t="s">
        <v>880</v>
      </c>
      <c r="V974" t="s">
        <v>918</v>
      </c>
      <c r="W974" s="25" t="str">
        <f t="shared" si="34"/>
        <v>Round CassetteInside Window MountAcmeda External 12v Motor</v>
      </c>
      <c r="X974" s="25">
        <v>10</v>
      </c>
      <c r="Y974" s="25">
        <v>14</v>
      </c>
      <c r="Z974" s="25">
        <v>14</v>
      </c>
      <c r="AA974" s="25" t="s">
        <v>824</v>
      </c>
      <c r="AB974" s="25" t="s">
        <v>821</v>
      </c>
      <c r="AC974" s="25" t="s">
        <v>821</v>
      </c>
      <c r="AD974" s="25" t="s">
        <v>821</v>
      </c>
      <c r="AE974" s="25" t="s">
        <v>818</v>
      </c>
    </row>
    <row r="975" spans="20:31" ht="14.4">
      <c r="T975" s="25" t="s">
        <v>942</v>
      </c>
      <c r="U975" s="25" t="s">
        <v>880</v>
      </c>
      <c r="V975" t="s">
        <v>979</v>
      </c>
      <c r="W975" s="25" t="str">
        <f t="shared" si="34"/>
        <v>Round CassetteInside Window MountSomfy External CBUS Motor</v>
      </c>
      <c r="X975" s="25">
        <v>10</v>
      </c>
      <c r="Y975" s="25">
        <v>14</v>
      </c>
      <c r="Z975" s="25">
        <v>14</v>
      </c>
      <c r="AA975" s="25" t="s">
        <v>824</v>
      </c>
      <c r="AB975" s="25" t="s">
        <v>821</v>
      </c>
      <c r="AC975" s="25" t="s">
        <v>821</v>
      </c>
      <c r="AD975" s="25" t="s">
        <v>821</v>
      </c>
      <c r="AE975" s="25" t="s">
        <v>818</v>
      </c>
    </row>
    <row r="976" spans="20:31" ht="14.4">
      <c r="T976" s="25" t="s">
        <v>942</v>
      </c>
      <c r="U976" s="25" t="s">
        <v>880</v>
      </c>
      <c r="V976" t="s">
        <v>983</v>
      </c>
      <c r="W976" s="25" t="str">
        <f t="shared" si="34"/>
        <v>Round CassetteInside Window MountSomfy External Remote Motor</v>
      </c>
      <c r="X976" s="25">
        <v>10</v>
      </c>
      <c r="Y976" s="25">
        <v>14</v>
      </c>
      <c r="Z976" s="25">
        <v>14</v>
      </c>
      <c r="AA976" s="25" t="s">
        <v>824</v>
      </c>
      <c r="AB976" s="25" t="s">
        <v>821</v>
      </c>
      <c r="AC976" s="25" t="s">
        <v>821</v>
      </c>
      <c r="AD976" s="25" t="s">
        <v>821</v>
      </c>
      <c r="AE976" s="25" t="s">
        <v>818</v>
      </c>
    </row>
    <row r="977" spans="20:31" ht="14.4">
      <c r="T977" s="25" t="s">
        <v>942</v>
      </c>
      <c r="U977" s="25" t="s">
        <v>880</v>
      </c>
      <c r="V977" t="s">
        <v>995</v>
      </c>
      <c r="W977" s="25" t="str">
        <f t="shared" si="34"/>
        <v>Round CassetteInside Window MountHD Somfy External CBUS Motor</v>
      </c>
      <c r="X977" s="25">
        <v>10</v>
      </c>
      <c r="Y977" s="25">
        <v>14</v>
      </c>
      <c r="Z977" s="25">
        <v>14</v>
      </c>
      <c r="AA977" s="25" t="s">
        <v>824</v>
      </c>
      <c r="AB977" s="25" t="s">
        <v>821</v>
      </c>
      <c r="AC977" s="25" t="s">
        <v>821</v>
      </c>
      <c r="AD977" s="25" t="s">
        <v>821</v>
      </c>
      <c r="AE977" s="25" t="s">
        <v>818</v>
      </c>
    </row>
    <row r="978" spans="20:31" ht="14.4">
      <c r="T978" s="25" t="s">
        <v>942</v>
      </c>
      <c r="U978" s="25" t="s">
        <v>880</v>
      </c>
      <c r="V978" t="s">
        <v>999</v>
      </c>
      <c r="W978" s="25" t="str">
        <f t="shared" si="34"/>
        <v>Round CassetteInside Window MountHD Somfy External Remote Motor</v>
      </c>
      <c r="X978" s="25">
        <v>10</v>
      </c>
      <c r="Y978" s="25">
        <v>14</v>
      </c>
      <c r="Z978" s="25">
        <v>14</v>
      </c>
      <c r="AA978" s="25" t="s">
        <v>824</v>
      </c>
      <c r="AB978" s="25" t="s">
        <v>821</v>
      </c>
      <c r="AC978" s="25" t="s">
        <v>821</v>
      </c>
      <c r="AD978" s="25" t="s">
        <v>821</v>
      </c>
      <c r="AE978" s="25" t="s">
        <v>818</v>
      </c>
    </row>
    <row r="979" spans="20:31" ht="14.4">
      <c r="T979" s="25" t="s">
        <v>942</v>
      </c>
      <c r="U979" s="25" t="s">
        <v>867</v>
      </c>
      <c r="V979" s="25" t="s">
        <v>823</v>
      </c>
      <c r="W979" s="25" t="str">
        <f t="shared" si="34"/>
        <v>Round CassetteOutside Window MountChain Winder</v>
      </c>
      <c r="X979" s="25">
        <v>10</v>
      </c>
      <c r="Y979" s="25">
        <v>14</v>
      </c>
      <c r="Z979" s="25">
        <v>29</v>
      </c>
      <c r="AA979" s="25" t="s">
        <v>824</v>
      </c>
      <c r="AB979" s="25" t="s">
        <v>821</v>
      </c>
      <c r="AC979" s="25" t="s">
        <v>821</v>
      </c>
      <c r="AD979" s="25" t="s">
        <v>821</v>
      </c>
      <c r="AE979" s="25" t="s">
        <v>818</v>
      </c>
    </row>
    <row r="980" spans="20:31" ht="14.4">
      <c r="T980" s="25" t="s">
        <v>942</v>
      </c>
      <c r="U980" s="25" t="s">
        <v>867</v>
      </c>
      <c r="V980" s="25" t="s">
        <v>841</v>
      </c>
      <c r="W980" s="25" t="str">
        <f t="shared" si="34"/>
        <v>Round CassetteOutside Window MountHD Chain Winder</v>
      </c>
      <c r="X980" s="25">
        <v>10</v>
      </c>
      <c r="Y980" s="25">
        <v>14</v>
      </c>
      <c r="Z980" s="25">
        <v>29</v>
      </c>
      <c r="AA980" s="25" t="s">
        <v>824</v>
      </c>
      <c r="AB980" s="25" t="s">
        <v>821</v>
      </c>
      <c r="AC980" s="25" t="s">
        <v>821</v>
      </c>
      <c r="AD980" s="25" t="s">
        <v>821</v>
      </c>
      <c r="AE980" s="25" t="s">
        <v>818</v>
      </c>
    </row>
    <row r="981" spans="20:31" ht="14.4">
      <c r="T981" s="25" t="s">
        <v>942</v>
      </c>
      <c r="U981" s="25" t="s">
        <v>867</v>
      </c>
      <c r="V981" s="25" t="s">
        <v>858</v>
      </c>
      <c r="W981" s="25" t="str">
        <f t="shared" si="34"/>
        <v>Round CassetteOutside Window MountChain Winder 60mm</v>
      </c>
      <c r="X981" s="25">
        <v>10</v>
      </c>
      <c r="Y981" s="25">
        <v>14</v>
      </c>
      <c r="Z981" s="25">
        <v>29</v>
      </c>
      <c r="AA981" s="25" t="s">
        <v>824</v>
      </c>
      <c r="AB981" s="25" t="s">
        <v>821</v>
      </c>
      <c r="AC981" s="25" t="s">
        <v>821</v>
      </c>
      <c r="AD981" s="25" t="s">
        <v>821</v>
      </c>
      <c r="AE981" s="25" t="s">
        <v>818</v>
      </c>
    </row>
    <row r="982" spans="20:31" ht="14.4">
      <c r="T982" s="25" t="s">
        <v>942</v>
      </c>
      <c r="U982" s="25" t="s">
        <v>867</v>
      </c>
      <c r="V982" s="25" t="s">
        <v>865</v>
      </c>
      <c r="W982" s="25" t="str">
        <f t="shared" si="34"/>
        <v>Round CassetteOutside Window MountChain Winder Fixed Guide</v>
      </c>
      <c r="X982" s="25">
        <v>10</v>
      </c>
      <c r="Y982" s="25">
        <v>14</v>
      </c>
      <c r="Z982" s="25">
        <v>29</v>
      </c>
      <c r="AA982" s="25" t="s">
        <v>824</v>
      </c>
      <c r="AB982" s="25" t="s">
        <v>821</v>
      </c>
      <c r="AC982" s="25" t="s">
        <v>821</v>
      </c>
      <c r="AD982" s="25" t="s">
        <v>821</v>
      </c>
      <c r="AE982" s="25" t="s">
        <v>818</v>
      </c>
    </row>
    <row r="983" spans="20:31" ht="14.4">
      <c r="T983" s="25" t="s">
        <v>942</v>
      </c>
      <c r="U983" s="25" t="s">
        <v>867</v>
      </c>
      <c r="V983" s="25" t="s">
        <v>181</v>
      </c>
      <c r="W983" s="25" t="str">
        <f t="shared" si="34"/>
        <v>Round CassetteOutside Window MountLinked</v>
      </c>
      <c r="X983" s="25">
        <v>10</v>
      </c>
      <c r="Y983" s="25">
        <v>14</v>
      </c>
      <c r="Z983" s="25">
        <v>14</v>
      </c>
      <c r="AA983" s="25" t="s">
        <v>824</v>
      </c>
      <c r="AB983" s="25" t="s">
        <v>821</v>
      </c>
      <c r="AC983" s="25" t="s">
        <v>821</v>
      </c>
      <c r="AD983" s="25" t="s">
        <v>821</v>
      </c>
      <c r="AE983" s="25" t="s">
        <v>818</v>
      </c>
    </row>
    <row r="984" spans="20:31" ht="14.4">
      <c r="T984" s="25" t="s">
        <v>942</v>
      </c>
      <c r="U984" s="25" t="s">
        <v>867</v>
      </c>
      <c r="V984" s="25" t="s">
        <v>898</v>
      </c>
      <c r="W984" s="25" t="str">
        <f t="shared" si="34"/>
        <v>Round CassetteOutside Window MountLinked - HD</v>
      </c>
      <c r="X984" s="25">
        <v>10</v>
      </c>
      <c r="Y984" s="25">
        <v>14</v>
      </c>
      <c r="Z984" s="25">
        <v>14</v>
      </c>
      <c r="AA984" s="25" t="s">
        <v>824</v>
      </c>
      <c r="AB984" s="25" t="s">
        <v>821</v>
      </c>
      <c r="AC984" s="25" t="s">
        <v>821</v>
      </c>
      <c r="AD984" s="25" t="s">
        <v>821</v>
      </c>
      <c r="AE984" s="25" t="s">
        <v>818</v>
      </c>
    </row>
    <row r="985" spans="20:31" ht="14.4">
      <c r="T985" s="25" t="s">
        <v>942</v>
      </c>
      <c r="U985" s="25" t="s">
        <v>867</v>
      </c>
      <c r="V985" s="25" t="s">
        <v>910</v>
      </c>
      <c r="W985" s="25" t="str">
        <f t="shared" si="34"/>
        <v>Round CassetteOutside Window MountStandard Spring</v>
      </c>
      <c r="X985" s="25">
        <v>10</v>
      </c>
      <c r="Y985" s="25">
        <v>14</v>
      </c>
      <c r="Z985" s="25">
        <v>14</v>
      </c>
      <c r="AA985" s="25" t="s">
        <v>824</v>
      </c>
      <c r="AB985" s="25" t="s">
        <v>821</v>
      </c>
      <c r="AC985" s="25" t="s">
        <v>821</v>
      </c>
      <c r="AD985" s="25" t="s">
        <v>821</v>
      </c>
      <c r="AE985" s="25" t="s">
        <v>818</v>
      </c>
    </row>
    <row r="986" spans="20:31" ht="14.4">
      <c r="T986" s="25" t="s">
        <v>942</v>
      </c>
      <c r="U986" s="25" t="s">
        <v>867</v>
      </c>
      <c r="V986" s="25" t="s">
        <v>920</v>
      </c>
      <c r="W986" s="25" t="str">
        <f t="shared" si="34"/>
        <v>Round CassetteOutside Window MountSmall Spring</v>
      </c>
      <c r="X986" s="25">
        <v>10</v>
      </c>
      <c r="Y986" s="25">
        <v>14</v>
      </c>
      <c r="Z986" s="25">
        <v>14</v>
      </c>
      <c r="AA986" s="25" t="s">
        <v>824</v>
      </c>
      <c r="AB986" s="25" t="s">
        <v>821</v>
      </c>
      <c r="AC986" s="25" t="s">
        <v>821</v>
      </c>
      <c r="AD986" s="25" t="s">
        <v>821</v>
      </c>
      <c r="AE986" s="25" t="s">
        <v>818</v>
      </c>
    </row>
    <row r="987" spans="20:31" ht="14.4">
      <c r="T987" s="25" t="s">
        <v>942</v>
      </c>
      <c r="U987" s="25" t="s">
        <v>867</v>
      </c>
      <c r="V987" s="25" t="s">
        <v>929</v>
      </c>
      <c r="W987" s="25" t="str">
        <f t="shared" si="34"/>
        <v>Round CassetteOutside Window MountUniline Spring (Old Style)</v>
      </c>
      <c r="X987" s="25">
        <v>10</v>
      </c>
      <c r="Y987" s="25">
        <v>14</v>
      </c>
      <c r="Z987" s="25">
        <v>14</v>
      </c>
      <c r="AA987" s="25" t="s">
        <v>824</v>
      </c>
      <c r="AB987" s="25" t="s">
        <v>821</v>
      </c>
      <c r="AC987" s="25" t="s">
        <v>821</v>
      </c>
      <c r="AD987" s="25" t="s">
        <v>821</v>
      </c>
      <c r="AE987" s="25" t="s">
        <v>818</v>
      </c>
    </row>
    <row r="988" spans="20:31" ht="14.4">
      <c r="T988" s="25" t="s">
        <v>942</v>
      </c>
      <c r="U988" s="25" t="s">
        <v>867</v>
      </c>
      <c r="V988" s="25" t="s">
        <v>935</v>
      </c>
      <c r="W988" s="25" t="str">
        <f t="shared" si="34"/>
        <v>Round CassetteOutside Window MountBecker Remote Motor</v>
      </c>
      <c r="X988" s="25">
        <v>10</v>
      </c>
      <c r="Y988" s="25">
        <v>14</v>
      </c>
      <c r="Z988" s="25">
        <v>14</v>
      </c>
      <c r="AA988" s="25" t="s">
        <v>824</v>
      </c>
      <c r="AB988" s="25" t="s">
        <v>821</v>
      </c>
      <c r="AC988" s="25" t="s">
        <v>821</v>
      </c>
      <c r="AD988" s="25" t="s">
        <v>821</v>
      </c>
      <c r="AE988" s="25" t="s">
        <v>818</v>
      </c>
    </row>
    <row r="989" spans="20:31" ht="14.4">
      <c r="T989" s="25" t="s">
        <v>942</v>
      </c>
      <c r="U989" s="25" t="s">
        <v>867</v>
      </c>
      <c r="V989" s="25" t="s">
        <v>939</v>
      </c>
      <c r="W989" s="25" t="str">
        <f t="shared" si="34"/>
        <v>Round CassetteOutside Window MountBecker CBUS Motor</v>
      </c>
      <c r="X989" s="25">
        <v>10</v>
      </c>
      <c r="Y989" s="25">
        <v>14</v>
      </c>
      <c r="Z989" s="25">
        <v>14</v>
      </c>
      <c r="AA989" s="25" t="s">
        <v>824</v>
      </c>
      <c r="AB989" s="25" t="s">
        <v>821</v>
      </c>
      <c r="AC989" s="25" t="s">
        <v>821</v>
      </c>
      <c r="AD989" s="25" t="s">
        <v>821</v>
      </c>
      <c r="AE989" s="25" t="s">
        <v>818</v>
      </c>
    </row>
    <row r="990" spans="20:31" ht="14.4">
      <c r="T990" s="25" t="s">
        <v>942</v>
      </c>
      <c r="U990" s="25" t="s">
        <v>867</v>
      </c>
      <c r="V990" s="25" t="s">
        <v>946</v>
      </c>
      <c r="W990" s="25" t="str">
        <f t="shared" si="34"/>
        <v>Round CassetteOutside Window MountBecker External Remote Motor</v>
      </c>
      <c r="X990" s="25">
        <v>10</v>
      </c>
      <c r="Y990" s="25">
        <v>14</v>
      </c>
      <c r="Z990" s="25">
        <v>14</v>
      </c>
      <c r="AA990" s="25" t="s">
        <v>824</v>
      </c>
      <c r="AB990" s="25" t="s">
        <v>821</v>
      </c>
      <c r="AC990" s="25" t="s">
        <v>821</v>
      </c>
      <c r="AD990" s="25" t="s">
        <v>821</v>
      </c>
      <c r="AE990" s="25" t="s">
        <v>818</v>
      </c>
    </row>
    <row r="991" spans="20:31" ht="14.4">
      <c r="T991" s="25" t="s">
        <v>942</v>
      </c>
      <c r="U991" s="25" t="s">
        <v>867</v>
      </c>
      <c r="V991" s="25" t="s">
        <v>951</v>
      </c>
      <c r="W991" s="25" t="str">
        <f t="shared" si="34"/>
        <v>Round CassetteOutside Window MountBecker External CBUS Motor</v>
      </c>
      <c r="X991" s="25">
        <v>10</v>
      </c>
      <c r="Y991" s="25">
        <v>14</v>
      </c>
      <c r="Z991" s="25">
        <v>14</v>
      </c>
      <c r="AA991" s="25" t="s">
        <v>824</v>
      </c>
      <c r="AB991" s="25" t="s">
        <v>821</v>
      </c>
      <c r="AC991" s="25" t="s">
        <v>821</v>
      </c>
      <c r="AD991" s="25" t="s">
        <v>821</v>
      </c>
      <c r="AE991" s="25" t="s">
        <v>818</v>
      </c>
    </row>
    <row r="992" spans="20:31" ht="14.4">
      <c r="T992" s="25" t="s">
        <v>942</v>
      </c>
      <c r="U992" s="25" t="s">
        <v>867</v>
      </c>
      <c r="V992" s="25" t="s">
        <v>838</v>
      </c>
      <c r="W992" s="25" t="str">
        <f t="shared" si="34"/>
        <v>Round CassetteOutside Window Mount1.1nm 12v Acmeda Motor</v>
      </c>
      <c r="X992" s="25">
        <v>10</v>
      </c>
      <c r="Y992" s="25">
        <v>14</v>
      </c>
      <c r="Z992" s="25">
        <v>14</v>
      </c>
      <c r="AA992" s="25" t="s">
        <v>824</v>
      </c>
      <c r="AB992" s="25" t="s">
        <v>821</v>
      </c>
      <c r="AC992" s="25" t="s">
        <v>821</v>
      </c>
      <c r="AD992" s="25" t="s">
        <v>821</v>
      </c>
      <c r="AE992" s="25" t="s">
        <v>818</v>
      </c>
    </row>
    <row r="993" spans="20:31" ht="14.4">
      <c r="T993" s="25" t="s">
        <v>942</v>
      </c>
      <c r="U993" s="25" t="s">
        <v>867</v>
      </c>
      <c r="V993" t="s">
        <v>882</v>
      </c>
      <c r="W993" s="25" t="str">
        <f t="shared" si="34"/>
        <v>Round CassetteOutside Window Mount2nm 12v Acmeda Motor</v>
      </c>
      <c r="X993" s="25">
        <v>10</v>
      </c>
      <c r="Y993" s="25">
        <v>14</v>
      </c>
      <c r="Z993" s="25">
        <v>14</v>
      </c>
      <c r="AA993" s="25" t="s">
        <v>824</v>
      </c>
      <c r="AB993" s="25" t="s">
        <v>821</v>
      </c>
      <c r="AC993" s="25" t="s">
        <v>821</v>
      </c>
      <c r="AD993" s="25" t="s">
        <v>821</v>
      </c>
      <c r="AE993" s="25" t="s">
        <v>818</v>
      </c>
    </row>
    <row r="994" spans="20:31" ht="14.4">
      <c r="T994" s="25" t="s">
        <v>942</v>
      </c>
      <c r="U994" s="25" t="s">
        <v>867</v>
      </c>
      <c r="V994" t="s">
        <v>896</v>
      </c>
      <c r="W994" s="25" t="str">
        <f t="shared" si="34"/>
        <v>Round CassetteOutside Window MountAcmeda 12v 6nm Motor</v>
      </c>
      <c r="X994" s="25">
        <v>10</v>
      </c>
      <c r="Y994" s="25">
        <v>14</v>
      </c>
      <c r="Z994" s="25">
        <v>14</v>
      </c>
      <c r="AA994" s="25" t="s">
        <v>824</v>
      </c>
      <c r="AB994" s="25" t="s">
        <v>821</v>
      </c>
      <c r="AC994" s="25" t="s">
        <v>821</v>
      </c>
      <c r="AD994" s="25" t="s">
        <v>821</v>
      </c>
      <c r="AE994" s="25" t="s">
        <v>818</v>
      </c>
    </row>
    <row r="995" spans="20:31" ht="14.4">
      <c r="T995" s="25" t="s">
        <v>942</v>
      </c>
      <c r="U995" s="25" t="s">
        <v>867</v>
      </c>
      <c r="V995" t="s">
        <v>855</v>
      </c>
      <c r="W995" s="25" t="str">
        <f t="shared" si="34"/>
        <v>Round CassetteOutside Window Mount0.7nm 12v Acmeda Motor</v>
      </c>
      <c r="X995" s="25">
        <v>10</v>
      </c>
      <c r="Y995" s="25">
        <v>14</v>
      </c>
      <c r="Z995" s="25">
        <v>14</v>
      </c>
      <c r="AA995" s="25" t="s">
        <v>824</v>
      </c>
      <c r="AB995" s="25" t="s">
        <v>821</v>
      </c>
      <c r="AC995" s="25" t="s">
        <v>821</v>
      </c>
      <c r="AD995" s="25" t="s">
        <v>821</v>
      </c>
      <c r="AE995" s="25" t="s">
        <v>818</v>
      </c>
    </row>
    <row r="996" spans="20:31" ht="14.4">
      <c r="T996" s="25" t="s">
        <v>942</v>
      </c>
      <c r="U996" s="25" t="s">
        <v>867</v>
      </c>
      <c r="V996" s="25" t="s">
        <v>849</v>
      </c>
      <c r="W996" s="25" t="str">
        <f t="shared" si="34"/>
        <v>Round CassetteOutside Window Mount1.1nm 12v Acmeda DCRF Motor with External Battery</v>
      </c>
      <c r="X996" s="25">
        <v>10</v>
      </c>
      <c r="Y996" s="25">
        <v>14</v>
      </c>
      <c r="Z996" s="25">
        <v>14</v>
      </c>
      <c r="AA996" s="25" t="s">
        <v>824</v>
      </c>
      <c r="AB996" s="25" t="s">
        <v>821</v>
      </c>
      <c r="AC996" s="25" t="s">
        <v>821</v>
      </c>
      <c r="AD996" s="25" t="s">
        <v>821</v>
      </c>
      <c r="AE996" s="25" t="s">
        <v>818</v>
      </c>
    </row>
    <row r="997" spans="20:31" ht="14.4">
      <c r="T997" s="25" t="s">
        <v>942</v>
      </c>
      <c r="U997" s="25" t="s">
        <v>867</v>
      </c>
      <c r="V997" s="25" t="s">
        <v>817</v>
      </c>
      <c r="W997" s="25" t="str">
        <f t="shared" si="34"/>
        <v>Round CassetteOutside Window Mount1.1nm 12v Acmeda DCRF Motor</v>
      </c>
      <c r="X997" s="25">
        <v>10</v>
      </c>
      <c r="Y997" s="25">
        <v>14</v>
      </c>
      <c r="Z997" s="25">
        <v>14</v>
      </c>
      <c r="AA997" s="25" t="s">
        <v>824</v>
      </c>
      <c r="AB997" s="25" t="s">
        <v>821</v>
      </c>
      <c r="AC997" s="25" t="s">
        <v>821</v>
      </c>
      <c r="AD997" s="25" t="s">
        <v>821</v>
      </c>
      <c r="AE997" s="25" t="s">
        <v>818</v>
      </c>
    </row>
    <row r="998" spans="20:31" ht="14.4">
      <c r="T998" s="25" t="s">
        <v>942</v>
      </c>
      <c r="U998" s="25" t="s">
        <v>867</v>
      </c>
      <c r="V998" s="25" t="s">
        <v>868</v>
      </c>
      <c r="W998" s="25" t="str">
        <f t="shared" si="34"/>
        <v>Round CassetteOutside Window Mount2nm 12v Acmeda DCRF Motor</v>
      </c>
      <c r="X998" s="25">
        <v>10</v>
      </c>
      <c r="Y998" s="25">
        <v>14</v>
      </c>
      <c r="Z998" s="25">
        <v>14</v>
      </c>
      <c r="AA998" s="25" t="s">
        <v>824</v>
      </c>
      <c r="AB998" s="25" t="s">
        <v>821</v>
      </c>
      <c r="AC998" s="25" t="s">
        <v>821</v>
      </c>
      <c r="AD998" s="25" t="s">
        <v>821</v>
      </c>
      <c r="AE998" s="25" t="s">
        <v>818</v>
      </c>
    </row>
    <row r="999" spans="20:31" ht="14.4">
      <c r="T999" s="25" t="s">
        <v>942</v>
      </c>
      <c r="U999" s="25" t="s">
        <v>867</v>
      </c>
      <c r="V999" t="s">
        <v>973</v>
      </c>
      <c r="W999" s="25" t="str">
        <f t="shared" si="34"/>
        <v>Round CassetteOutside Window MountSomfy Remote Sonesse Motor</v>
      </c>
      <c r="X999" s="25">
        <v>10</v>
      </c>
      <c r="Y999" s="25">
        <v>14</v>
      </c>
      <c r="Z999" s="25">
        <v>14</v>
      </c>
      <c r="AA999" s="25" t="s">
        <v>824</v>
      </c>
      <c r="AB999" s="25" t="s">
        <v>821</v>
      </c>
      <c r="AC999" s="25" t="s">
        <v>821</v>
      </c>
      <c r="AD999" s="25" t="s">
        <v>821</v>
      </c>
      <c r="AE999" s="25" t="s">
        <v>818</v>
      </c>
    </row>
    <row r="1000" spans="20:31" ht="14.4">
      <c r="T1000" s="25" t="s">
        <v>942</v>
      </c>
      <c r="U1000" s="25" t="s">
        <v>867</v>
      </c>
      <c r="V1000" t="s">
        <v>637</v>
      </c>
      <c r="W1000" s="25" t="str">
        <f t="shared" si="34"/>
        <v>Round CassetteOutside Window MountSomfy 12v Remote Sonesse Motor</v>
      </c>
      <c r="X1000" s="25">
        <v>10</v>
      </c>
      <c r="Y1000" s="25">
        <v>14</v>
      </c>
      <c r="Z1000" s="25">
        <v>14</v>
      </c>
      <c r="AA1000" s="25" t="s">
        <v>824</v>
      </c>
      <c r="AB1000" s="25" t="s">
        <v>821</v>
      </c>
      <c r="AC1000" s="25" t="s">
        <v>821</v>
      </c>
      <c r="AD1000" s="25" t="s">
        <v>821</v>
      </c>
      <c r="AE1000" s="25" t="s">
        <v>818</v>
      </c>
    </row>
    <row r="1001" spans="20:31" ht="14.4">
      <c r="T1001" s="25" t="s">
        <v>942</v>
      </c>
      <c r="U1001" s="25" t="s">
        <v>867</v>
      </c>
      <c r="V1001" s="25" t="s">
        <v>974</v>
      </c>
      <c r="W1001" s="25" t="str">
        <f t="shared" si="34"/>
        <v>Round CassetteOutside Window MountSomfy CBUS Motor</v>
      </c>
      <c r="X1001" s="25">
        <v>10</v>
      </c>
      <c r="Y1001" s="25">
        <v>14</v>
      </c>
      <c r="Z1001" s="25">
        <v>14</v>
      </c>
      <c r="AA1001" s="25" t="s">
        <v>824</v>
      </c>
      <c r="AB1001" s="25" t="s">
        <v>821</v>
      </c>
      <c r="AC1001" s="25" t="s">
        <v>821</v>
      </c>
      <c r="AD1001" s="25" t="s">
        <v>821</v>
      </c>
      <c r="AE1001" s="25" t="s">
        <v>818</v>
      </c>
    </row>
    <row r="1002" spans="20:31" ht="14.4">
      <c r="T1002" s="25" t="s">
        <v>942</v>
      </c>
      <c r="U1002" s="25" t="s">
        <v>867</v>
      </c>
      <c r="V1002" t="s">
        <v>986</v>
      </c>
      <c r="W1002" s="25" t="str">
        <f t="shared" si="34"/>
        <v>Round CassetteOutside Window MountHD Somfy Remote Sonesse Motor</v>
      </c>
      <c r="X1002" s="25">
        <v>10</v>
      </c>
      <c r="Y1002" s="25">
        <v>14</v>
      </c>
      <c r="Z1002" s="25">
        <v>14</v>
      </c>
      <c r="AA1002" s="25" t="s">
        <v>824</v>
      </c>
      <c r="AB1002" s="25" t="s">
        <v>821</v>
      </c>
      <c r="AC1002" s="25" t="s">
        <v>821</v>
      </c>
      <c r="AD1002" s="25" t="s">
        <v>821</v>
      </c>
      <c r="AE1002" s="25" t="s">
        <v>818</v>
      </c>
    </row>
    <row r="1003" spans="20:31" ht="14.4">
      <c r="T1003" s="25" t="s">
        <v>942</v>
      </c>
      <c r="U1003" s="25" t="s">
        <v>867</v>
      </c>
      <c r="V1003" t="s">
        <v>989</v>
      </c>
      <c r="W1003" s="25" t="str">
        <f t="shared" si="34"/>
        <v>Round CassetteOutside Window MountHD Somfy 12v Remote Sonesse Motor</v>
      </c>
      <c r="X1003" s="25">
        <v>10</v>
      </c>
      <c r="Y1003" s="25">
        <v>14</v>
      </c>
      <c r="Z1003" s="25">
        <v>14</v>
      </c>
      <c r="AA1003" s="25" t="s">
        <v>824</v>
      </c>
      <c r="AB1003" s="25" t="s">
        <v>821</v>
      </c>
      <c r="AC1003" s="25" t="s">
        <v>821</v>
      </c>
      <c r="AD1003" s="25" t="s">
        <v>821</v>
      </c>
      <c r="AE1003" s="25" t="s">
        <v>818</v>
      </c>
    </row>
    <row r="1004" spans="20:31" ht="14.4">
      <c r="T1004" s="25" t="s">
        <v>942</v>
      </c>
      <c r="U1004" s="25" t="s">
        <v>867</v>
      </c>
      <c r="V1004" s="25" t="s">
        <v>992</v>
      </c>
      <c r="W1004" s="25" t="str">
        <f t="shared" si="34"/>
        <v>Round CassetteOutside Window MountHD Somfy CBUS Motor</v>
      </c>
      <c r="X1004" s="25">
        <v>10</v>
      </c>
      <c r="Y1004" s="25">
        <v>14</v>
      </c>
      <c r="Z1004" s="25">
        <v>14</v>
      </c>
      <c r="AA1004" s="25" t="s">
        <v>824</v>
      </c>
      <c r="AB1004" s="25" t="s">
        <v>821</v>
      </c>
      <c r="AC1004" s="25" t="s">
        <v>821</v>
      </c>
      <c r="AD1004" s="25" t="s">
        <v>821</v>
      </c>
      <c r="AE1004" s="25" t="s">
        <v>818</v>
      </c>
    </row>
    <row r="1005" spans="20:31" ht="14.4">
      <c r="T1005" s="25" t="s">
        <v>942</v>
      </c>
      <c r="U1005" s="25" t="s">
        <v>867</v>
      </c>
      <c r="V1005" s="25" t="s">
        <v>625</v>
      </c>
      <c r="W1005" s="25" t="str">
        <f t="shared" si="34"/>
        <v>Round CassetteOutside Window MountAcmeda E6 Motor</v>
      </c>
      <c r="X1005" s="25">
        <v>10</v>
      </c>
      <c r="Y1005" s="25">
        <v>14</v>
      </c>
      <c r="Z1005" s="25">
        <v>14</v>
      </c>
      <c r="AA1005" s="25" t="s">
        <v>824</v>
      </c>
      <c r="AB1005" s="25" t="s">
        <v>821</v>
      </c>
      <c r="AC1005" s="25" t="s">
        <v>821</v>
      </c>
      <c r="AD1005" s="25" t="s">
        <v>821</v>
      </c>
      <c r="AE1005" s="25" t="s">
        <v>818</v>
      </c>
    </row>
    <row r="1006" spans="20:31" ht="14.4">
      <c r="T1006" s="25" t="s">
        <v>942</v>
      </c>
      <c r="U1006" s="25" t="s">
        <v>867</v>
      </c>
      <c r="V1006" s="25" t="s">
        <v>626</v>
      </c>
      <c r="W1006" s="25" t="str">
        <f t="shared" si="34"/>
        <v>Round CassetteOutside Window MountAcmeda M6 Motor</v>
      </c>
      <c r="X1006" s="25">
        <v>10</v>
      </c>
      <c r="Y1006" s="25">
        <v>14</v>
      </c>
      <c r="Z1006" s="25">
        <v>14</v>
      </c>
      <c r="AA1006" s="25" t="s">
        <v>824</v>
      </c>
      <c r="AB1006" s="25" t="s">
        <v>821</v>
      </c>
      <c r="AC1006" s="25" t="s">
        <v>821</v>
      </c>
      <c r="AD1006" s="25" t="s">
        <v>821</v>
      </c>
      <c r="AE1006" s="25" t="s">
        <v>818</v>
      </c>
    </row>
    <row r="1007" spans="20:31" ht="14.4">
      <c r="T1007" s="25" t="s">
        <v>942</v>
      </c>
      <c r="U1007" s="25" t="s">
        <v>867</v>
      </c>
      <c r="V1007" s="25" t="s">
        <v>1002</v>
      </c>
      <c r="W1007" s="25" t="str">
        <f t="shared" si="34"/>
        <v>Round CassetteOutside Window MountUniline Remote Motor</v>
      </c>
      <c r="X1007" s="25">
        <v>10</v>
      </c>
      <c r="Y1007" s="25">
        <v>14</v>
      </c>
      <c r="Z1007" s="25">
        <v>14</v>
      </c>
      <c r="AA1007" s="25" t="s">
        <v>824</v>
      </c>
      <c r="AB1007" s="25" t="s">
        <v>821</v>
      </c>
      <c r="AC1007" s="25" t="s">
        <v>821</v>
      </c>
      <c r="AD1007" s="25" t="s">
        <v>821</v>
      </c>
      <c r="AE1007" s="25" t="s">
        <v>818</v>
      </c>
    </row>
    <row r="1008" spans="20:31" ht="14.4">
      <c r="T1008" s="25" t="s">
        <v>942</v>
      </c>
      <c r="U1008" s="25" t="s">
        <v>867</v>
      </c>
      <c r="V1008" s="25" t="s">
        <v>1005</v>
      </c>
      <c r="W1008" s="25" t="str">
        <f t="shared" si="34"/>
        <v>Round CassetteOutside Window MountUniline Cbus Motor</v>
      </c>
      <c r="X1008" s="25">
        <v>10</v>
      </c>
      <c r="Y1008" s="25">
        <v>14</v>
      </c>
      <c r="Z1008" s="25">
        <v>14</v>
      </c>
      <c r="AA1008" s="25" t="s">
        <v>824</v>
      </c>
      <c r="AB1008" s="25" t="s">
        <v>821</v>
      </c>
      <c r="AC1008" s="25" t="s">
        <v>821</v>
      </c>
      <c r="AD1008" s="25" t="s">
        <v>821</v>
      </c>
      <c r="AE1008" s="25" t="s">
        <v>818</v>
      </c>
    </row>
    <row r="1009" spans="20:31" ht="14.4">
      <c r="T1009" s="25" t="s">
        <v>942</v>
      </c>
      <c r="U1009" s="25" t="s">
        <v>867</v>
      </c>
      <c r="V1009" s="25" t="s">
        <v>981</v>
      </c>
      <c r="W1009" s="25" t="str">
        <f t="shared" si="34"/>
        <v>Round CassetteOutside Window MountNice Remote Motor</v>
      </c>
      <c r="X1009" s="25">
        <v>10</v>
      </c>
      <c r="Y1009" s="25">
        <v>14</v>
      </c>
      <c r="Z1009" s="25">
        <v>14</v>
      </c>
      <c r="AA1009" s="25" t="s">
        <v>824</v>
      </c>
      <c r="AB1009" s="25" t="s">
        <v>821</v>
      </c>
      <c r="AC1009" s="25" t="s">
        <v>821</v>
      </c>
      <c r="AD1009" s="25" t="s">
        <v>821</v>
      </c>
      <c r="AE1009" s="25" t="s">
        <v>818</v>
      </c>
    </row>
    <row r="1010" spans="20:31" ht="14.4">
      <c r="T1010" s="25" t="s">
        <v>942</v>
      </c>
      <c r="U1010" s="25" t="s">
        <v>867</v>
      </c>
      <c r="V1010" s="25" t="s">
        <v>976</v>
      </c>
      <c r="W1010" s="25" t="str">
        <f t="shared" si="34"/>
        <v>Round CassetteOutside Window MountNice CBus Motor</v>
      </c>
      <c r="X1010" s="25">
        <v>10</v>
      </c>
      <c r="Y1010" s="25">
        <v>14</v>
      </c>
      <c r="Z1010" s="25">
        <v>14</v>
      </c>
      <c r="AA1010" s="25" t="s">
        <v>824</v>
      </c>
      <c r="AB1010" s="25" t="s">
        <v>821</v>
      </c>
      <c r="AC1010" s="25" t="s">
        <v>821</v>
      </c>
      <c r="AD1010" s="25" t="s">
        <v>821</v>
      </c>
      <c r="AE1010" s="25" t="s">
        <v>818</v>
      </c>
    </row>
    <row r="1011" spans="20:31" ht="14.4">
      <c r="T1011" s="25" t="s">
        <v>942</v>
      </c>
      <c r="U1011" s="25" t="s">
        <v>867</v>
      </c>
      <c r="V1011" t="s">
        <v>1006</v>
      </c>
      <c r="W1011" s="25" t="str">
        <f t="shared" si="34"/>
        <v>Round CassetteOutside Window MountSunboss Chain Winder 38mm Tube</v>
      </c>
      <c r="X1011" s="25">
        <v>10</v>
      </c>
      <c r="Y1011" s="25">
        <v>14</v>
      </c>
      <c r="Z1011" s="25">
        <v>14</v>
      </c>
      <c r="AA1011" s="25" t="s">
        <v>824</v>
      </c>
      <c r="AB1011" s="25" t="s">
        <v>821</v>
      </c>
      <c r="AC1011" s="25" t="s">
        <v>821</v>
      </c>
      <c r="AD1011" s="25" t="s">
        <v>821</v>
      </c>
      <c r="AE1011" s="25" t="s">
        <v>818</v>
      </c>
    </row>
    <row r="1012" spans="20:31" ht="14.4">
      <c r="T1012" s="25" t="s">
        <v>942</v>
      </c>
      <c r="U1012" s="25" t="s">
        <v>867</v>
      </c>
      <c r="V1012" t="s">
        <v>1017</v>
      </c>
      <c r="W1012" s="25" t="str">
        <f t="shared" si="34"/>
        <v>Round CassetteOutside Window MountSunboss Chain Winder 43mm Tube</v>
      </c>
      <c r="X1012" s="25">
        <v>10</v>
      </c>
      <c r="Y1012" s="25">
        <v>14</v>
      </c>
      <c r="Z1012" s="25">
        <v>14</v>
      </c>
      <c r="AA1012" s="25" t="s">
        <v>824</v>
      </c>
      <c r="AB1012" s="25" t="s">
        <v>821</v>
      </c>
      <c r="AC1012" s="25" t="s">
        <v>821</v>
      </c>
      <c r="AD1012" s="25" t="s">
        <v>821</v>
      </c>
      <c r="AE1012" s="25" t="s">
        <v>818</v>
      </c>
    </row>
    <row r="1013" spans="20:31" ht="14.4">
      <c r="T1013" s="25" t="s">
        <v>942</v>
      </c>
      <c r="U1013" s="25" t="s">
        <v>867</v>
      </c>
      <c r="V1013" s="25" t="s">
        <v>1012</v>
      </c>
      <c r="W1013" s="25" t="str">
        <f t="shared" si="34"/>
        <v>Round CassetteOutside Window MountTBS Remote Motor</v>
      </c>
      <c r="X1013" s="25">
        <v>10</v>
      </c>
      <c r="Y1013" s="25">
        <v>14</v>
      </c>
      <c r="Z1013" s="25">
        <v>14</v>
      </c>
      <c r="AA1013" s="25" t="s">
        <v>824</v>
      </c>
      <c r="AB1013" s="25" t="s">
        <v>821</v>
      </c>
      <c r="AC1013" s="25" t="s">
        <v>821</v>
      </c>
      <c r="AD1013" s="25" t="s">
        <v>821</v>
      </c>
      <c r="AE1013" s="25" t="s">
        <v>818</v>
      </c>
    </row>
    <row r="1014" spans="20:31" ht="14.4">
      <c r="T1014" s="25" t="s">
        <v>942</v>
      </c>
      <c r="U1014" s="25" t="s">
        <v>867</v>
      </c>
      <c r="V1014" t="s">
        <v>1009</v>
      </c>
      <c r="W1014" s="25" t="str">
        <f t="shared" si="34"/>
        <v>Round CassetteOutside Window MountTBS Cbus Motor</v>
      </c>
      <c r="X1014" s="25">
        <v>10</v>
      </c>
      <c r="Y1014" s="25">
        <v>14</v>
      </c>
      <c r="Z1014" s="25">
        <v>14</v>
      </c>
      <c r="AA1014" s="25" t="s">
        <v>824</v>
      </c>
      <c r="AB1014" s="25" t="s">
        <v>821</v>
      </c>
      <c r="AC1014" s="25" t="s">
        <v>821</v>
      </c>
      <c r="AE1014" s="25" t="s">
        <v>818</v>
      </c>
    </row>
    <row r="1015" spans="20:31" ht="14.4">
      <c r="T1015" s="25" t="s">
        <v>942</v>
      </c>
      <c r="U1015" s="25" t="s">
        <v>867</v>
      </c>
      <c r="V1015" t="s">
        <v>927</v>
      </c>
      <c r="W1015" s="25" t="str">
        <f t="shared" si="34"/>
        <v>Round CassetteOutside Window MountAcmeda External Motor</v>
      </c>
      <c r="X1015" s="25">
        <v>10</v>
      </c>
      <c r="Y1015" s="25">
        <v>14</v>
      </c>
      <c r="Z1015" s="25">
        <v>14</v>
      </c>
      <c r="AA1015" s="25" t="s">
        <v>824</v>
      </c>
      <c r="AB1015" s="25" t="s">
        <v>821</v>
      </c>
      <c r="AC1015" s="25" t="s">
        <v>821</v>
      </c>
      <c r="AE1015" s="25" t="s">
        <v>818</v>
      </c>
    </row>
    <row r="1016" spans="20:31" ht="14.4">
      <c r="T1016" s="25" t="s">
        <v>942</v>
      </c>
      <c r="U1016" s="25" t="s">
        <v>867</v>
      </c>
      <c r="V1016" t="s">
        <v>918</v>
      </c>
      <c r="W1016" s="25" t="str">
        <f t="shared" si="34"/>
        <v>Round CassetteOutside Window MountAcmeda External 12v Motor</v>
      </c>
      <c r="X1016" s="25">
        <v>10</v>
      </c>
      <c r="Y1016" s="25">
        <v>14</v>
      </c>
      <c r="Z1016" s="25">
        <v>14</v>
      </c>
      <c r="AA1016" s="25" t="s">
        <v>824</v>
      </c>
      <c r="AB1016" s="25" t="s">
        <v>821</v>
      </c>
      <c r="AC1016" s="25" t="s">
        <v>821</v>
      </c>
      <c r="AD1016" s="25" t="s">
        <v>821</v>
      </c>
      <c r="AE1016" s="25" t="s">
        <v>818</v>
      </c>
    </row>
    <row r="1017" spans="20:31" ht="14.4">
      <c r="T1017" s="25" t="s">
        <v>942</v>
      </c>
      <c r="U1017" s="25" t="s">
        <v>867</v>
      </c>
      <c r="V1017" t="s">
        <v>979</v>
      </c>
      <c r="W1017" s="25" t="str">
        <f t="shared" si="34"/>
        <v>Round CassetteOutside Window MountSomfy External CBUS Motor</v>
      </c>
      <c r="X1017" s="25">
        <v>10</v>
      </c>
      <c r="Y1017" s="25">
        <v>14</v>
      </c>
      <c r="Z1017" s="25">
        <v>14</v>
      </c>
      <c r="AA1017" s="25" t="s">
        <v>824</v>
      </c>
      <c r="AB1017" s="25" t="s">
        <v>821</v>
      </c>
      <c r="AC1017" s="25" t="s">
        <v>821</v>
      </c>
      <c r="AD1017" s="25" t="s">
        <v>821</v>
      </c>
      <c r="AE1017" s="25" t="s">
        <v>818</v>
      </c>
    </row>
    <row r="1018" spans="20:31" ht="14.4">
      <c r="T1018" s="25" t="s">
        <v>942</v>
      </c>
      <c r="U1018" s="25" t="s">
        <v>867</v>
      </c>
      <c r="V1018" t="s">
        <v>983</v>
      </c>
      <c r="W1018" s="25" t="str">
        <f t="shared" si="34"/>
        <v>Round CassetteOutside Window MountSomfy External Remote Motor</v>
      </c>
      <c r="X1018" s="25">
        <v>10</v>
      </c>
      <c r="Y1018" s="25">
        <v>14</v>
      </c>
      <c r="Z1018" s="25">
        <v>14</v>
      </c>
      <c r="AA1018" s="25" t="s">
        <v>824</v>
      </c>
      <c r="AB1018" s="25" t="s">
        <v>821</v>
      </c>
      <c r="AC1018" s="25" t="s">
        <v>821</v>
      </c>
      <c r="AD1018" s="25" t="s">
        <v>821</v>
      </c>
      <c r="AE1018" s="25" t="s">
        <v>818</v>
      </c>
    </row>
    <row r="1019" spans="20:31" ht="14.4">
      <c r="T1019" s="25" t="s">
        <v>942</v>
      </c>
      <c r="U1019" s="25" t="s">
        <v>867</v>
      </c>
      <c r="V1019" t="s">
        <v>995</v>
      </c>
      <c r="W1019" s="25" t="str">
        <f t="shared" si="34"/>
        <v>Round CassetteOutside Window MountHD Somfy External CBUS Motor</v>
      </c>
      <c r="X1019" s="25">
        <v>10</v>
      </c>
      <c r="Y1019" s="25">
        <v>14</v>
      </c>
      <c r="Z1019" s="25">
        <v>14</v>
      </c>
      <c r="AA1019" s="25" t="s">
        <v>824</v>
      </c>
      <c r="AB1019" s="25" t="s">
        <v>821</v>
      </c>
      <c r="AC1019" s="25" t="s">
        <v>821</v>
      </c>
      <c r="AD1019" s="25" t="s">
        <v>821</v>
      </c>
      <c r="AE1019" s="25" t="s">
        <v>818</v>
      </c>
    </row>
    <row r="1020" spans="20:31" ht="14.4">
      <c r="T1020" s="25" t="s">
        <v>942</v>
      </c>
      <c r="U1020" s="25" t="s">
        <v>867</v>
      </c>
      <c r="V1020" t="s">
        <v>999</v>
      </c>
      <c r="W1020" s="25" t="str">
        <f t="shared" si="34"/>
        <v>Round CassetteOutside Window MountHD Somfy External Remote Motor</v>
      </c>
      <c r="X1020" s="25">
        <v>10</v>
      </c>
      <c r="Y1020" s="25">
        <v>14</v>
      </c>
      <c r="Z1020" s="25">
        <v>14</v>
      </c>
      <c r="AA1020" s="25" t="s">
        <v>824</v>
      </c>
      <c r="AB1020" s="25" t="s">
        <v>821</v>
      </c>
      <c r="AC1020" s="25" t="s">
        <v>821</v>
      </c>
      <c r="AD1020" s="25" t="s">
        <v>821</v>
      </c>
      <c r="AE1020" s="25" t="s">
        <v>818</v>
      </c>
    </row>
    <row r="1021" spans="20:31" ht="14.4">
      <c r="T1021" s="25" t="s">
        <v>942</v>
      </c>
      <c r="U1021" s="25" t="s">
        <v>837</v>
      </c>
      <c r="V1021" s="25" t="s">
        <v>823</v>
      </c>
      <c r="W1021" s="25" t="str">
        <f t="shared" si="34"/>
        <v>Round CassetteRevealChain Winder</v>
      </c>
      <c r="X1021" s="25">
        <v>10</v>
      </c>
      <c r="Y1021" s="25">
        <v>14</v>
      </c>
      <c r="Z1021" s="25">
        <v>29</v>
      </c>
      <c r="AA1021" s="25" t="s">
        <v>824</v>
      </c>
      <c r="AB1021" s="25" t="s">
        <v>818</v>
      </c>
      <c r="AC1021" s="25" t="s">
        <v>821</v>
      </c>
      <c r="AD1021" s="25" t="s">
        <v>821</v>
      </c>
      <c r="AE1021" s="25" t="s">
        <v>818</v>
      </c>
    </row>
    <row r="1022" spans="20:31" ht="14.4">
      <c r="T1022" s="25" t="s">
        <v>942</v>
      </c>
      <c r="U1022" s="25" t="s">
        <v>837</v>
      </c>
      <c r="V1022" s="25" t="s">
        <v>841</v>
      </c>
      <c r="W1022" s="25" t="str">
        <f t="shared" si="34"/>
        <v>Round CassetteRevealHD Chain Winder</v>
      </c>
      <c r="X1022" s="25">
        <v>10</v>
      </c>
      <c r="Y1022" s="25">
        <v>14</v>
      </c>
      <c r="Z1022" s="25">
        <v>29</v>
      </c>
      <c r="AA1022" s="25" t="s">
        <v>824</v>
      </c>
      <c r="AB1022" s="25" t="s">
        <v>818</v>
      </c>
      <c r="AC1022" s="25" t="s">
        <v>821</v>
      </c>
      <c r="AD1022" s="25" t="s">
        <v>821</v>
      </c>
      <c r="AE1022" s="25" t="s">
        <v>818</v>
      </c>
    </row>
    <row r="1023" spans="20:31" ht="14.4">
      <c r="T1023" s="25" t="s">
        <v>942</v>
      </c>
      <c r="U1023" s="25" t="s">
        <v>837</v>
      </c>
      <c r="V1023" s="25" t="s">
        <v>858</v>
      </c>
      <c r="W1023" s="25" t="str">
        <f t="shared" si="34"/>
        <v>Round CassetteRevealChain Winder 60mm</v>
      </c>
      <c r="X1023" s="25">
        <v>10</v>
      </c>
      <c r="Y1023" s="25">
        <v>14</v>
      </c>
      <c r="Z1023" s="25">
        <v>29</v>
      </c>
      <c r="AA1023" s="25" t="s">
        <v>824</v>
      </c>
      <c r="AB1023" s="25" t="s">
        <v>821</v>
      </c>
      <c r="AC1023" s="25" t="s">
        <v>821</v>
      </c>
      <c r="AD1023" s="25" t="s">
        <v>821</v>
      </c>
      <c r="AE1023" s="25" t="s">
        <v>818</v>
      </c>
    </row>
    <row r="1024" spans="20:31" ht="14.4">
      <c r="T1024" s="25" t="s">
        <v>942</v>
      </c>
      <c r="U1024" s="25" t="s">
        <v>837</v>
      </c>
      <c r="V1024" s="25" t="s">
        <v>865</v>
      </c>
      <c r="W1024" s="25" t="str">
        <f t="shared" si="34"/>
        <v>Round CassetteRevealChain Winder Fixed Guide</v>
      </c>
      <c r="X1024" s="25">
        <v>10</v>
      </c>
      <c r="Y1024" s="25">
        <v>14</v>
      </c>
      <c r="Z1024" s="25">
        <v>29</v>
      </c>
      <c r="AA1024" s="25" t="s">
        <v>824</v>
      </c>
      <c r="AB1024" s="25" t="s">
        <v>821</v>
      </c>
      <c r="AC1024" s="25" t="s">
        <v>821</v>
      </c>
      <c r="AD1024" s="25" t="s">
        <v>821</v>
      </c>
      <c r="AE1024" s="25" t="s">
        <v>818</v>
      </c>
    </row>
    <row r="1025" spans="20:31" ht="14.4">
      <c r="T1025" s="25" t="s">
        <v>942</v>
      </c>
      <c r="U1025" s="25" t="s">
        <v>837</v>
      </c>
      <c r="V1025" s="25" t="s">
        <v>181</v>
      </c>
      <c r="W1025" s="25" t="str">
        <f t="shared" si="34"/>
        <v>Round CassetteRevealLinked</v>
      </c>
      <c r="X1025" s="25">
        <v>10</v>
      </c>
      <c r="Y1025" s="25">
        <v>14</v>
      </c>
      <c r="Z1025" s="25">
        <v>14</v>
      </c>
      <c r="AA1025" s="25" t="s">
        <v>824</v>
      </c>
      <c r="AB1025" s="25" t="s">
        <v>821</v>
      </c>
      <c r="AC1025" s="25" t="s">
        <v>821</v>
      </c>
      <c r="AD1025" s="25" t="s">
        <v>821</v>
      </c>
      <c r="AE1025" s="25" t="s">
        <v>818</v>
      </c>
    </row>
    <row r="1026" spans="20:31" ht="14.4">
      <c r="T1026" s="25" t="s">
        <v>942</v>
      </c>
      <c r="U1026" s="25" t="s">
        <v>837</v>
      </c>
      <c r="V1026" s="25" t="s">
        <v>898</v>
      </c>
      <c r="W1026" s="25" t="str">
        <f t="shared" si="34"/>
        <v>Round CassetteRevealLinked - HD</v>
      </c>
      <c r="X1026" s="25">
        <v>10</v>
      </c>
      <c r="Y1026" s="25">
        <v>14</v>
      </c>
      <c r="Z1026" s="25">
        <v>14</v>
      </c>
      <c r="AA1026" s="25" t="s">
        <v>824</v>
      </c>
      <c r="AB1026" s="25" t="s">
        <v>821</v>
      </c>
      <c r="AC1026" s="25" t="s">
        <v>821</v>
      </c>
      <c r="AD1026" s="25" t="s">
        <v>821</v>
      </c>
      <c r="AE1026" s="25" t="s">
        <v>818</v>
      </c>
    </row>
    <row r="1027" spans="20:31" ht="14.4">
      <c r="T1027" s="25" t="s">
        <v>942</v>
      </c>
      <c r="U1027" s="25" t="s">
        <v>837</v>
      </c>
      <c r="V1027" s="25" t="s">
        <v>910</v>
      </c>
      <c r="W1027" s="25" t="str">
        <f t="shared" si="35" ref="W1027:W1090">CONCATENATE(T1027,U1027,V1027)</f>
        <v>Round CassetteRevealStandard Spring</v>
      </c>
      <c r="X1027" s="25">
        <v>10</v>
      </c>
      <c r="Y1027" s="25">
        <v>14</v>
      </c>
      <c r="Z1027" s="25">
        <v>14</v>
      </c>
      <c r="AA1027" s="25" t="s">
        <v>824</v>
      </c>
      <c r="AB1027" s="25" t="s">
        <v>821</v>
      </c>
      <c r="AC1027" s="25" t="s">
        <v>821</v>
      </c>
      <c r="AD1027" s="25" t="s">
        <v>821</v>
      </c>
      <c r="AE1027" s="25" t="s">
        <v>818</v>
      </c>
    </row>
    <row r="1028" spans="20:31" ht="14.4">
      <c r="T1028" s="25" t="s">
        <v>942</v>
      </c>
      <c r="U1028" s="25" t="s">
        <v>837</v>
      </c>
      <c r="V1028" s="25" t="s">
        <v>920</v>
      </c>
      <c r="W1028" s="25" t="str">
        <f t="shared" si="35"/>
        <v>Round CassetteRevealSmall Spring</v>
      </c>
      <c r="X1028" s="25">
        <v>10</v>
      </c>
      <c r="Y1028" s="25">
        <v>14</v>
      </c>
      <c r="Z1028" s="25">
        <v>14</v>
      </c>
      <c r="AA1028" s="25" t="s">
        <v>824</v>
      </c>
      <c r="AB1028" s="25" t="s">
        <v>821</v>
      </c>
      <c r="AC1028" s="25" t="s">
        <v>821</v>
      </c>
      <c r="AD1028" s="25" t="s">
        <v>821</v>
      </c>
      <c r="AE1028" s="25" t="s">
        <v>818</v>
      </c>
    </row>
    <row r="1029" spans="20:31" ht="14.4">
      <c r="T1029" s="25" t="s">
        <v>942</v>
      </c>
      <c r="U1029" s="25" t="s">
        <v>837</v>
      </c>
      <c r="V1029" s="25" t="s">
        <v>929</v>
      </c>
      <c r="W1029" s="25" t="str">
        <f t="shared" si="35"/>
        <v>Round CassetteRevealUniline Spring (Old Style)</v>
      </c>
      <c r="X1029" s="25">
        <v>10</v>
      </c>
      <c r="Y1029" s="25">
        <v>14</v>
      </c>
      <c r="Z1029" s="25">
        <v>14</v>
      </c>
      <c r="AA1029" s="25" t="s">
        <v>824</v>
      </c>
      <c r="AB1029" s="25" t="s">
        <v>821</v>
      </c>
      <c r="AC1029" s="25" t="s">
        <v>821</v>
      </c>
      <c r="AD1029" s="25" t="s">
        <v>821</v>
      </c>
      <c r="AE1029" s="25" t="s">
        <v>818</v>
      </c>
    </row>
    <row r="1030" spans="20:31" ht="14.4">
      <c r="T1030" s="25" t="s">
        <v>942</v>
      </c>
      <c r="U1030" s="25" t="s">
        <v>837</v>
      </c>
      <c r="V1030" s="25" t="s">
        <v>935</v>
      </c>
      <c r="W1030" s="25" t="str">
        <f t="shared" si="35"/>
        <v>Round CassetteRevealBecker Remote Motor</v>
      </c>
      <c r="X1030" s="25">
        <v>10</v>
      </c>
      <c r="Y1030" s="25">
        <v>14</v>
      </c>
      <c r="Z1030" s="25">
        <v>14</v>
      </c>
      <c r="AA1030" s="25" t="s">
        <v>824</v>
      </c>
      <c r="AB1030" s="25" t="s">
        <v>821</v>
      </c>
      <c r="AC1030" s="25" t="s">
        <v>821</v>
      </c>
      <c r="AD1030" s="25" t="s">
        <v>821</v>
      </c>
      <c r="AE1030" s="25" t="s">
        <v>818</v>
      </c>
    </row>
    <row r="1031" spans="20:31" ht="14.4">
      <c r="T1031" s="25" t="s">
        <v>942</v>
      </c>
      <c r="U1031" s="25" t="s">
        <v>837</v>
      </c>
      <c r="V1031" s="25" t="s">
        <v>939</v>
      </c>
      <c r="W1031" s="25" t="str">
        <f t="shared" si="35"/>
        <v>Round CassetteRevealBecker CBUS Motor</v>
      </c>
      <c r="X1031" s="25">
        <v>10</v>
      </c>
      <c r="Y1031" s="25">
        <v>14</v>
      </c>
      <c r="Z1031" s="25">
        <v>14</v>
      </c>
      <c r="AA1031" s="25" t="s">
        <v>824</v>
      </c>
      <c r="AB1031" s="25" t="s">
        <v>821</v>
      </c>
      <c r="AC1031" s="25" t="s">
        <v>821</v>
      </c>
      <c r="AD1031" s="25" t="s">
        <v>821</v>
      </c>
      <c r="AE1031" s="25" t="s">
        <v>818</v>
      </c>
    </row>
    <row r="1032" spans="20:31" ht="14.4">
      <c r="T1032" s="25" t="s">
        <v>942</v>
      </c>
      <c r="U1032" s="25" t="s">
        <v>837</v>
      </c>
      <c r="V1032" s="25" t="s">
        <v>946</v>
      </c>
      <c r="W1032" s="25" t="str">
        <f t="shared" si="35"/>
        <v>Round CassetteRevealBecker External Remote Motor</v>
      </c>
      <c r="X1032" s="25">
        <v>10</v>
      </c>
      <c r="Y1032" s="25">
        <v>14</v>
      </c>
      <c r="Z1032" s="25">
        <v>14</v>
      </c>
      <c r="AA1032" s="25" t="s">
        <v>824</v>
      </c>
      <c r="AB1032" s="25" t="s">
        <v>821</v>
      </c>
      <c r="AC1032" s="25" t="s">
        <v>821</v>
      </c>
      <c r="AD1032" s="25" t="s">
        <v>821</v>
      </c>
      <c r="AE1032" s="25" t="s">
        <v>818</v>
      </c>
    </row>
    <row r="1033" spans="20:31" ht="14.4">
      <c r="T1033" s="25" t="s">
        <v>942</v>
      </c>
      <c r="U1033" s="25" t="s">
        <v>837</v>
      </c>
      <c r="V1033" s="25" t="s">
        <v>951</v>
      </c>
      <c r="W1033" s="25" t="str">
        <f t="shared" si="35"/>
        <v>Round CassetteRevealBecker External CBUS Motor</v>
      </c>
      <c r="X1033" s="25">
        <v>10</v>
      </c>
      <c r="Y1033" s="25">
        <v>14</v>
      </c>
      <c r="Z1033" s="25">
        <v>14</v>
      </c>
      <c r="AA1033" s="25" t="s">
        <v>824</v>
      </c>
      <c r="AB1033" s="25" t="s">
        <v>821</v>
      </c>
      <c r="AC1033" s="25" t="s">
        <v>821</v>
      </c>
      <c r="AD1033" s="25" t="s">
        <v>821</v>
      </c>
      <c r="AE1033" s="25" t="s">
        <v>818</v>
      </c>
    </row>
    <row r="1034" spans="20:31" ht="14.4">
      <c r="T1034" s="25" t="s">
        <v>942</v>
      </c>
      <c r="U1034" s="25" t="s">
        <v>837</v>
      </c>
      <c r="V1034" s="25" t="s">
        <v>838</v>
      </c>
      <c r="W1034" s="25" t="str">
        <f t="shared" si="35"/>
        <v>Round CassetteReveal1.1nm 12v Acmeda Motor</v>
      </c>
      <c r="X1034" s="25">
        <v>10</v>
      </c>
      <c r="Y1034" s="25">
        <v>14</v>
      </c>
      <c r="Z1034" s="25">
        <v>14</v>
      </c>
      <c r="AA1034" s="25" t="s">
        <v>824</v>
      </c>
      <c r="AB1034" s="25" t="s">
        <v>821</v>
      </c>
      <c r="AC1034" s="25" t="s">
        <v>821</v>
      </c>
      <c r="AD1034" s="25" t="s">
        <v>821</v>
      </c>
      <c r="AE1034" s="25" t="s">
        <v>818</v>
      </c>
    </row>
    <row r="1035" spans="20:31" ht="14.4">
      <c r="T1035" s="25" t="s">
        <v>942</v>
      </c>
      <c r="U1035" s="25" t="s">
        <v>837</v>
      </c>
      <c r="V1035" t="s">
        <v>882</v>
      </c>
      <c r="W1035" s="25" t="str">
        <f t="shared" si="35"/>
        <v>Round CassetteReveal2nm 12v Acmeda Motor</v>
      </c>
      <c r="X1035" s="25">
        <v>10</v>
      </c>
      <c r="Y1035" s="25">
        <v>14</v>
      </c>
      <c r="Z1035" s="25">
        <v>14</v>
      </c>
      <c r="AA1035" s="25" t="s">
        <v>824</v>
      </c>
      <c r="AB1035" s="25" t="s">
        <v>821</v>
      </c>
      <c r="AC1035" s="25" t="s">
        <v>821</v>
      </c>
      <c r="AD1035" s="25" t="s">
        <v>821</v>
      </c>
      <c r="AE1035" s="25" t="s">
        <v>818</v>
      </c>
    </row>
    <row r="1036" spans="20:31" ht="14.4">
      <c r="T1036" s="25" t="s">
        <v>942</v>
      </c>
      <c r="U1036" s="25" t="s">
        <v>837</v>
      </c>
      <c r="V1036" t="s">
        <v>896</v>
      </c>
      <c r="W1036" s="25" t="str">
        <f t="shared" si="35"/>
        <v>Round CassetteRevealAcmeda 12v 6nm Motor</v>
      </c>
      <c r="X1036" s="25">
        <v>10</v>
      </c>
      <c r="Y1036" s="25">
        <v>14</v>
      </c>
      <c r="Z1036" s="25">
        <v>14</v>
      </c>
      <c r="AA1036" s="25" t="s">
        <v>824</v>
      </c>
      <c r="AB1036" s="25" t="s">
        <v>821</v>
      </c>
      <c r="AC1036" s="25" t="s">
        <v>821</v>
      </c>
      <c r="AD1036" s="25" t="s">
        <v>821</v>
      </c>
      <c r="AE1036" s="25" t="s">
        <v>818</v>
      </c>
    </row>
    <row r="1037" spans="20:31" ht="14.4">
      <c r="T1037" s="25" t="s">
        <v>942</v>
      </c>
      <c r="U1037" s="25" t="s">
        <v>837</v>
      </c>
      <c r="V1037" t="s">
        <v>855</v>
      </c>
      <c r="W1037" s="25" t="str">
        <f t="shared" si="35"/>
        <v>Round CassetteReveal0.7nm 12v Acmeda Motor</v>
      </c>
      <c r="X1037" s="25">
        <v>10</v>
      </c>
      <c r="Y1037" s="25">
        <v>14</v>
      </c>
      <c r="Z1037" s="25">
        <v>14</v>
      </c>
      <c r="AA1037" s="25" t="s">
        <v>824</v>
      </c>
      <c r="AB1037" s="25" t="s">
        <v>821</v>
      </c>
      <c r="AC1037" s="25" t="s">
        <v>821</v>
      </c>
      <c r="AD1037" s="25" t="s">
        <v>821</v>
      </c>
      <c r="AE1037" s="25" t="s">
        <v>818</v>
      </c>
    </row>
    <row r="1038" spans="20:31" ht="14.4">
      <c r="T1038" s="25" t="s">
        <v>942</v>
      </c>
      <c r="U1038" s="25" t="s">
        <v>837</v>
      </c>
      <c r="V1038" s="25" t="s">
        <v>849</v>
      </c>
      <c r="W1038" s="25" t="str">
        <f t="shared" si="35"/>
        <v>Round CassetteReveal1.1nm 12v Acmeda DCRF Motor with External Battery</v>
      </c>
      <c r="X1038" s="25">
        <v>10</v>
      </c>
      <c r="Y1038" s="25">
        <v>14</v>
      </c>
      <c r="Z1038" s="25">
        <v>14</v>
      </c>
      <c r="AA1038" s="25" t="s">
        <v>824</v>
      </c>
      <c r="AB1038" s="25" t="s">
        <v>821</v>
      </c>
      <c r="AC1038" s="25" t="s">
        <v>821</v>
      </c>
      <c r="AD1038" s="25" t="s">
        <v>821</v>
      </c>
      <c r="AE1038" s="25" t="s">
        <v>818</v>
      </c>
    </row>
    <row r="1039" spans="20:31" ht="14.4">
      <c r="T1039" s="25" t="s">
        <v>942</v>
      </c>
      <c r="U1039" s="25" t="s">
        <v>837</v>
      </c>
      <c r="V1039" s="25" t="s">
        <v>817</v>
      </c>
      <c r="W1039" s="25" t="str">
        <f t="shared" si="35"/>
        <v>Round CassetteReveal1.1nm 12v Acmeda DCRF Motor</v>
      </c>
      <c r="X1039" s="25">
        <v>10</v>
      </c>
      <c r="Y1039" s="25">
        <v>14</v>
      </c>
      <c r="Z1039" s="25">
        <v>14</v>
      </c>
      <c r="AA1039" s="25" t="s">
        <v>824</v>
      </c>
      <c r="AB1039" s="25" t="s">
        <v>821</v>
      </c>
      <c r="AC1039" s="25" t="s">
        <v>821</v>
      </c>
      <c r="AD1039" s="25" t="s">
        <v>821</v>
      </c>
      <c r="AE1039" s="25" t="s">
        <v>818</v>
      </c>
    </row>
    <row r="1040" spans="20:31" ht="14.4">
      <c r="T1040" s="25" t="s">
        <v>942</v>
      </c>
      <c r="U1040" s="25" t="s">
        <v>837</v>
      </c>
      <c r="V1040" s="25" t="s">
        <v>868</v>
      </c>
      <c r="W1040" s="25" t="str">
        <f t="shared" si="35"/>
        <v>Round CassetteReveal2nm 12v Acmeda DCRF Motor</v>
      </c>
      <c r="X1040" s="25">
        <v>10</v>
      </c>
      <c r="Y1040" s="25">
        <v>14</v>
      </c>
      <c r="Z1040" s="25">
        <v>14</v>
      </c>
      <c r="AA1040" s="25" t="s">
        <v>824</v>
      </c>
      <c r="AB1040" s="25" t="s">
        <v>821</v>
      </c>
      <c r="AC1040" s="25" t="s">
        <v>821</v>
      </c>
      <c r="AD1040" s="25" t="s">
        <v>821</v>
      </c>
      <c r="AE1040" s="25" t="s">
        <v>818</v>
      </c>
    </row>
    <row r="1041" spans="20:31" ht="14.4">
      <c r="T1041" s="25" t="s">
        <v>942</v>
      </c>
      <c r="U1041" s="25" t="s">
        <v>837</v>
      </c>
      <c r="V1041" t="s">
        <v>973</v>
      </c>
      <c r="W1041" s="25" t="str">
        <f t="shared" si="35"/>
        <v>Round CassetteRevealSomfy Remote Sonesse Motor</v>
      </c>
      <c r="X1041" s="25">
        <v>10</v>
      </c>
      <c r="Y1041" s="25">
        <v>14</v>
      </c>
      <c r="Z1041" s="25">
        <v>14</v>
      </c>
      <c r="AA1041" s="25" t="s">
        <v>824</v>
      </c>
      <c r="AB1041" s="25" t="s">
        <v>821</v>
      </c>
      <c r="AC1041" s="25" t="s">
        <v>821</v>
      </c>
      <c r="AD1041" s="25" t="s">
        <v>821</v>
      </c>
      <c r="AE1041" s="25" t="s">
        <v>818</v>
      </c>
    </row>
    <row r="1042" spans="20:31" ht="14.4">
      <c r="T1042" s="25" t="s">
        <v>942</v>
      </c>
      <c r="U1042" s="25" t="s">
        <v>837</v>
      </c>
      <c r="V1042" t="s">
        <v>637</v>
      </c>
      <c r="W1042" s="25" t="str">
        <f t="shared" si="35"/>
        <v>Round CassetteRevealSomfy 12v Remote Sonesse Motor</v>
      </c>
      <c r="X1042" s="25">
        <v>10</v>
      </c>
      <c r="Y1042" s="25">
        <v>14</v>
      </c>
      <c r="Z1042" s="25">
        <v>14</v>
      </c>
      <c r="AA1042" s="25" t="s">
        <v>824</v>
      </c>
      <c r="AB1042" s="25" t="s">
        <v>821</v>
      </c>
      <c r="AC1042" s="25" t="s">
        <v>821</v>
      </c>
      <c r="AD1042" s="25" t="s">
        <v>821</v>
      </c>
      <c r="AE1042" s="25" t="s">
        <v>818</v>
      </c>
    </row>
    <row r="1043" spans="20:31" ht="14.4">
      <c r="T1043" s="25" t="s">
        <v>942</v>
      </c>
      <c r="U1043" s="25" t="s">
        <v>837</v>
      </c>
      <c r="V1043" s="25" t="s">
        <v>974</v>
      </c>
      <c r="W1043" s="25" t="str">
        <f t="shared" si="35"/>
        <v>Round CassetteRevealSomfy CBUS Motor</v>
      </c>
      <c r="X1043" s="25">
        <v>10</v>
      </c>
      <c r="Y1043" s="25">
        <v>14</v>
      </c>
      <c r="Z1043" s="25">
        <v>14</v>
      </c>
      <c r="AA1043" s="25" t="s">
        <v>824</v>
      </c>
      <c r="AB1043" s="25" t="s">
        <v>821</v>
      </c>
      <c r="AC1043" s="25" t="s">
        <v>821</v>
      </c>
      <c r="AD1043" s="25" t="s">
        <v>821</v>
      </c>
      <c r="AE1043" s="25" t="s">
        <v>818</v>
      </c>
    </row>
    <row r="1044" spans="20:31" ht="14.4">
      <c r="T1044" s="25" t="s">
        <v>942</v>
      </c>
      <c r="U1044" s="25" t="s">
        <v>837</v>
      </c>
      <c r="V1044" t="s">
        <v>986</v>
      </c>
      <c r="W1044" s="25" t="str">
        <f t="shared" si="35"/>
        <v>Round CassetteRevealHD Somfy Remote Sonesse Motor</v>
      </c>
      <c r="X1044" s="25">
        <v>10</v>
      </c>
      <c r="Y1044" s="25">
        <v>14</v>
      </c>
      <c r="Z1044" s="25">
        <v>14</v>
      </c>
      <c r="AA1044" s="25" t="s">
        <v>824</v>
      </c>
      <c r="AB1044" s="25" t="s">
        <v>821</v>
      </c>
      <c r="AC1044" s="25" t="s">
        <v>821</v>
      </c>
      <c r="AD1044" s="25" t="s">
        <v>821</v>
      </c>
      <c r="AE1044" s="25" t="s">
        <v>818</v>
      </c>
    </row>
    <row r="1045" spans="20:31" ht="14.4">
      <c r="T1045" s="25" t="s">
        <v>942</v>
      </c>
      <c r="U1045" s="25" t="s">
        <v>837</v>
      </c>
      <c r="V1045" t="s">
        <v>989</v>
      </c>
      <c r="W1045" s="25" t="str">
        <f t="shared" si="35"/>
        <v>Round CassetteRevealHD Somfy 12v Remote Sonesse Motor</v>
      </c>
      <c r="X1045" s="25">
        <v>10</v>
      </c>
      <c r="Y1045" s="25">
        <v>14</v>
      </c>
      <c r="Z1045" s="25">
        <v>14</v>
      </c>
      <c r="AA1045" s="25" t="s">
        <v>824</v>
      </c>
      <c r="AB1045" s="25" t="s">
        <v>821</v>
      </c>
      <c r="AC1045" s="25" t="s">
        <v>821</v>
      </c>
      <c r="AD1045" s="25" t="s">
        <v>821</v>
      </c>
      <c r="AE1045" s="25" t="s">
        <v>818</v>
      </c>
    </row>
    <row r="1046" spans="20:31" ht="14.4">
      <c r="T1046" s="25" t="s">
        <v>942</v>
      </c>
      <c r="U1046" s="25" t="s">
        <v>837</v>
      </c>
      <c r="V1046" s="25" t="s">
        <v>992</v>
      </c>
      <c r="W1046" s="25" t="str">
        <f t="shared" si="35"/>
        <v>Round CassetteRevealHD Somfy CBUS Motor</v>
      </c>
      <c r="X1046" s="25">
        <v>10</v>
      </c>
      <c r="Y1046" s="25">
        <v>14</v>
      </c>
      <c r="Z1046" s="25">
        <v>14</v>
      </c>
      <c r="AA1046" s="25" t="s">
        <v>824</v>
      </c>
      <c r="AB1046" s="25" t="s">
        <v>821</v>
      </c>
      <c r="AC1046" s="25" t="s">
        <v>821</v>
      </c>
      <c r="AD1046" s="25" t="s">
        <v>821</v>
      </c>
      <c r="AE1046" s="25" t="s">
        <v>818</v>
      </c>
    </row>
    <row r="1047" spans="20:31" ht="14.4">
      <c r="T1047" s="25" t="s">
        <v>942</v>
      </c>
      <c r="U1047" s="25" t="s">
        <v>837</v>
      </c>
      <c r="V1047" s="25" t="s">
        <v>625</v>
      </c>
      <c r="W1047" s="25" t="str">
        <f t="shared" si="35"/>
        <v>Round CassetteRevealAcmeda E6 Motor</v>
      </c>
      <c r="X1047" s="25">
        <v>10</v>
      </c>
      <c r="Y1047" s="25">
        <v>14</v>
      </c>
      <c r="Z1047" s="25">
        <v>14</v>
      </c>
      <c r="AA1047" s="25" t="s">
        <v>824</v>
      </c>
      <c r="AB1047" s="25" t="s">
        <v>821</v>
      </c>
      <c r="AC1047" s="25" t="s">
        <v>821</v>
      </c>
      <c r="AD1047" s="25" t="s">
        <v>821</v>
      </c>
      <c r="AE1047" s="25" t="s">
        <v>818</v>
      </c>
    </row>
    <row r="1048" spans="20:31" ht="14.4">
      <c r="T1048" s="25" t="s">
        <v>942</v>
      </c>
      <c r="U1048" s="25" t="s">
        <v>837</v>
      </c>
      <c r="V1048" s="25" t="s">
        <v>626</v>
      </c>
      <c r="W1048" s="25" t="str">
        <f t="shared" si="35"/>
        <v>Round CassetteRevealAcmeda M6 Motor</v>
      </c>
      <c r="X1048" s="25">
        <v>10</v>
      </c>
      <c r="Y1048" s="25">
        <v>14</v>
      </c>
      <c r="Z1048" s="25">
        <v>14</v>
      </c>
      <c r="AA1048" s="25" t="s">
        <v>824</v>
      </c>
      <c r="AB1048" s="25" t="s">
        <v>821</v>
      </c>
      <c r="AC1048" s="25" t="s">
        <v>821</v>
      </c>
      <c r="AD1048" s="25" t="s">
        <v>821</v>
      </c>
      <c r="AE1048" s="25" t="s">
        <v>818</v>
      </c>
    </row>
    <row r="1049" spans="20:31" ht="14.4">
      <c r="T1049" s="25" t="s">
        <v>942</v>
      </c>
      <c r="U1049" s="25" t="s">
        <v>837</v>
      </c>
      <c r="V1049" s="25" t="s">
        <v>1002</v>
      </c>
      <c r="W1049" s="25" t="str">
        <f t="shared" si="35"/>
        <v>Round CassetteRevealUniline Remote Motor</v>
      </c>
      <c r="X1049" s="25">
        <v>10</v>
      </c>
      <c r="Y1049" s="25">
        <v>14</v>
      </c>
      <c r="Z1049" s="25">
        <v>14</v>
      </c>
      <c r="AA1049" s="25" t="s">
        <v>824</v>
      </c>
      <c r="AB1049" s="25" t="s">
        <v>821</v>
      </c>
      <c r="AC1049" s="25" t="s">
        <v>821</v>
      </c>
      <c r="AD1049" s="25" t="s">
        <v>821</v>
      </c>
      <c r="AE1049" s="25" t="s">
        <v>818</v>
      </c>
    </row>
    <row r="1050" spans="20:31" ht="14.4">
      <c r="T1050" s="25" t="s">
        <v>942</v>
      </c>
      <c r="U1050" s="25" t="s">
        <v>837</v>
      </c>
      <c r="V1050" s="25" t="s">
        <v>1005</v>
      </c>
      <c r="W1050" s="25" t="str">
        <f t="shared" si="35"/>
        <v>Round CassetteRevealUniline Cbus Motor</v>
      </c>
      <c r="X1050" s="25">
        <v>10</v>
      </c>
      <c r="Y1050" s="25">
        <v>14</v>
      </c>
      <c r="Z1050" s="25">
        <v>14</v>
      </c>
      <c r="AA1050" s="25" t="s">
        <v>824</v>
      </c>
      <c r="AB1050" s="25" t="s">
        <v>821</v>
      </c>
      <c r="AC1050" s="25" t="s">
        <v>821</v>
      </c>
      <c r="AD1050" s="25" t="s">
        <v>821</v>
      </c>
      <c r="AE1050" s="25" t="s">
        <v>818</v>
      </c>
    </row>
    <row r="1051" spans="20:31" ht="14.4">
      <c r="T1051" s="25" t="s">
        <v>942</v>
      </c>
      <c r="U1051" s="25" t="s">
        <v>837</v>
      </c>
      <c r="V1051" s="25" t="s">
        <v>981</v>
      </c>
      <c r="W1051" s="25" t="str">
        <f t="shared" si="35"/>
        <v>Round CassetteRevealNice Remote Motor</v>
      </c>
      <c r="X1051" s="25">
        <v>10</v>
      </c>
      <c r="Y1051" s="25">
        <v>14</v>
      </c>
      <c r="Z1051" s="25">
        <v>14</v>
      </c>
      <c r="AA1051" s="25" t="s">
        <v>824</v>
      </c>
      <c r="AB1051" s="25" t="s">
        <v>821</v>
      </c>
      <c r="AC1051" s="25" t="s">
        <v>821</v>
      </c>
      <c r="AD1051" s="25" t="s">
        <v>821</v>
      </c>
      <c r="AE1051" s="25" t="s">
        <v>818</v>
      </c>
    </row>
    <row r="1052" spans="20:31" ht="14.4">
      <c r="T1052" s="25" t="s">
        <v>942</v>
      </c>
      <c r="U1052" s="25" t="s">
        <v>837</v>
      </c>
      <c r="V1052" s="25" t="s">
        <v>976</v>
      </c>
      <c r="W1052" s="25" t="str">
        <f t="shared" si="35"/>
        <v>Round CassetteRevealNice CBus Motor</v>
      </c>
      <c r="X1052" s="25">
        <v>10</v>
      </c>
      <c r="Y1052" s="25">
        <v>14</v>
      </c>
      <c r="Z1052" s="25">
        <v>14</v>
      </c>
      <c r="AA1052" s="25" t="s">
        <v>824</v>
      </c>
      <c r="AB1052" s="25" t="s">
        <v>821</v>
      </c>
      <c r="AC1052" s="25" t="s">
        <v>821</v>
      </c>
      <c r="AD1052" s="25" t="s">
        <v>821</v>
      </c>
      <c r="AE1052" s="25" t="s">
        <v>818</v>
      </c>
    </row>
    <row r="1053" spans="20:31" ht="14.4">
      <c r="T1053" s="25" t="s">
        <v>942</v>
      </c>
      <c r="U1053" s="25" t="s">
        <v>837</v>
      </c>
      <c r="V1053" t="s">
        <v>1006</v>
      </c>
      <c r="W1053" s="25" t="str">
        <f t="shared" si="35"/>
        <v>Round CassetteRevealSunboss Chain Winder 38mm Tube</v>
      </c>
      <c r="X1053" s="25">
        <v>10</v>
      </c>
      <c r="Y1053" s="25">
        <v>14</v>
      </c>
      <c r="Z1053" s="25">
        <v>14</v>
      </c>
      <c r="AA1053" s="25" t="s">
        <v>824</v>
      </c>
      <c r="AB1053" s="25" t="s">
        <v>821</v>
      </c>
      <c r="AC1053" s="25" t="s">
        <v>821</v>
      </c>
      <c r="AD1053" s="25" t="s">
        <v>821</v>
      </c>
      <c r="AE1053" s="25" t="s">
        <v>818</v>
      </c>
    </row>
    <row r="1054" spans="20:31" ht="14.4">
      <c r="T1054" s="25" t="s">
        <v>942</v>
      </c>
      <c r="U1054" s="25" t="s">
        <v>837</v>
      </c>
      <c r="V1054" t="s">
        <v>1017</v>
      </c>
      <c r="W1054" s="25" t="str">
        <f t="shared" si="35"/>
        <v>Round CassetteRevealSunboss Chain Winder 43mm Tube</v>
      </c>
      <c r="X1054" s="25">
        <v>10</v>
      </c>
      <c r="Y1054" s="25">
        <v>14</v>
      </c>
      <c r="Z1054" s="25">
        <v>14</v>
      </c>
      <c r="AA1054" s="25" t="s">
        <v>824</v>
      </c>
      <c r="AB1054" s="25" t="s">
        <v>821</v>
      </c>
      <c r="AC1054" s="25" t="s">
        <v>821</v>
      </c>
      <c r="AD1054" s="25" t="s">
        <v>821</v>
      </c>
      <c r="AE1054" s="25" t="s">
        <v>818</v>
      </c>
    </row>
    <row r="1055" spans="20:31" ht="14.4">
      <c r="T1055" s="25" t="s">
        <v>942</v>
      </c>
      <c r="U1055" s="25" t="s">
        <v>837</v>
      </c>
      <c r="V1055" s="25" t="s">
        <v>1012</v>
      </c>
      <c r="W1055" s="25" t="str">
        <f t="shared" si="35"/>
        <v>Round CassetteRevealTBS Remote Motor</v>
      </c>
      <c r="X1055" s="25">
        <v>10</v>
      </c>
      <c r="Y1055" s="25">
        <v>14</v>
      </c>
      <c r="Z1055" s="25">
        <v>14</v>
      </c>
      <c r="AA1055" s="25" t="s">
        <v>824</v>
      </c>
      <c r="AB1055" s="25" t="s">
        <v>821</v>
      </c>
      <c r="AC1055" s="25" t="s">
        <v>821</v>
      </c>
      <c r="AD1055" s="25" t="s">
        <v>821</v>
      </c>
      <c r="AE1055" s="25" t="s">
        <v>818</v>
      </c>
    </row>
    <row r="1056" spans="20:31" ht="14.4">
      <c r="T1056" s="25" t="s">
        <v>942</v>
      </c>
      <c r="U1056" s="25" t="s">
        <v>837</v>
      </c>
      <c r="V1056" t="s">
        <v>1009</v>
      </c>
      <c r="W1056" s="25" t="str">
        <f t="shared" si="35"/>
        <v>Round CassetteRevealTBS Cbus Motor</v>
      </c>
      <c r="X1056" s="25">
        <v>10</v>
      </c>
      <c r="Y1056" s="25">
        <v>14</v>
      </c>
      <c r="Z1056" s="25">
        <v>14</v>
      </c>
      <c r="AA1056" s="25" t="s">
        <v>824</v>
      </c>
      <c r="AB1056" s="25" t="s">
        <v>821</v>
      </c>
      <c r="AC1056" s="25" t="s">
        <v>821</v>
      </c>
      <c r="AD1056" s="25" t="s">
        <v>821</v>
      </c>
      <c r="AE1056" s="25" t="s">
        <v>818</v>
      </c>
    </row>
    <row r="1057" spans="20:31" ht="14.4">
      <c r="T1057" s="25" t="s">
        <v>942</v>
      </c>
      <c r="U1057" s="25" t="s">
        <v>837</v>
      </c>
      <c r="V1057" t="s">
        <v>927</v>
      </c>
      <c r="W1057" s="25" t="str">
        <f t="shared" si="35"/>
        <v>Round CassetteRevealAcmeda External Motor</v>
      </c>
      <c r="X1057" s="25">
        <v>10</v>
      </c>
      <c r="Y1057" s="25">
        <v>14</v>
      </c>
      <c r="Z1057" s="25">
        <v>14</v>
      </c>
      <c r="AA1057" s="25" t="s">
        <v>824</v>
      </c>
      <c r="AB1057" s="25" t="s">
        <v>821</v>
      </c>
      <c r="AC1057" s="25" t="s">
        <v>821</v>
      </c>
      <c r="AD1057" s="25" t="s">
        <v>821</v>
      </c>
      <c r="AE1057" s="25" t="s">
        <v>818</v>
      </c>
    </row>
    <row r="1058" spans="20:31" ht="14.4">
      <c r="T1058" s="25" t="s">
        <v>942</v>
      </c>
      <c r="U1058" s="25" t="s">
        <v>837</v>
      </c>
      <c r="V1058" t="s">
        <v>918</v>
      </c>
      <c r="W1058" s="25" t="str">
        <f t="shared" si="35"/>
        <v>Round CassetteRevealAcmeda External 12v Motor</v>
      </c>
      <c r="X1058" s="25">
        <v>10</v>
      </c>
      <c r="Y1058" s="25">
        <v>14</v>
      </c>
      <c r="Z1058" s="25">
        <v>14</v>
      </c>
      <c r="AA1058" s="25" t="s">
        <v>824</v>
      </c>
      <c r="AB1058" s="25" t="s">
        <v>821</v>
      </c>
      <c r="AC1058" s="25" t="s">
        <v>821</v>
      </c>
      <c r="AD1058" s="25" t="s">
        <v>821</v>
      </c>
      <c r="AE1058" s="25" t="s">
        <v>818</v>
      </c>
    </row>
    <row r="1059" spans="20:31" ht="14.4">
      <c r="T1059" s="25" t="s">
        <v>942</v>
      </c>
      <c r="U1059" s="25" t="s">
        <v>837</v>
      </c>
      <c r="V1059" t="s">
        <v>979</v>
      </c>
      <c r="W1059" s="25" t="str">
        <f t="shared" si="35"/>
        <v>Round CassetteRevealSomfy External CBUS Motor</v>
      </c>
      <c r="X1059" s="25">
        <v>10</v>
      </c>
      <c r="Y1059" s="25">
        <v>14</v>
      </c>
      <c r="Z1059" s="25">
        <v>14</v>
      </c>
      <c r="AA1059" s="25" t="s">
        <v>824</v>
      </c>
      <c r="AB1059" s="25" t="s">
        <v>821</v>
      </c>
      <c r="AC1059" s="25" t="s">
        <v>821</v>
      </c>
      <c r="AD1059" s="25" t="s">
        <v>821</v>
      </c>
      <c r="AE1059" s="25" t="s">
        <v>818</v>
      </c>
    </row>
    <row r="1060" spans="20:31" ht="14.4">
      <c r="T1060" s="25" t="s">
        <v>942</v>
      </c>
      <c r="U1060" s="25" t="s">
        <v>837</v>
      </c>
      <c r="V1060" t="s">
        <v>983</v>
      </c>
      <c r="W1060" s="25" t="str">
        <f t="shared" si="35"/>
        <v>Round CassetteRevealSomfy External Remote Motor</v>
      </c>
      <c r="X1060" s="25">
        <v>10</v>
      </c>
      <c r="Y1060" s="25">
        <v>14</v>
      </c>
      <c r="Z1060" s="25">
        <v>14</v>
      </c>
      <c r="AA1060" s="25" t="s">
        <v>824</v>
      </c>
      <c r="AB1060" s="25" t="s">
        <v>821</v>
      </c>
      <c r="AC1060" s="25" t="s">
        <v>821</v>
      </c>
      <c r="AD1060" s="25" t="s">
        <v>821</v>
      </c>
      <c r="AE1060" s="25" t="s">
        <v>818</v>
      </c>
    </row>
    <row r="1061" spans="20:31" ht="14.4">
      <c r="T1061" s="25" t="s">
        <v>942</v>
      </c>
      <c r="U1061" s="25" t="s">
        <v>837</v>
      </c>
      <c r="V1061" t="s">
        <v>995</v>
      </c>
      <c r="W1061" s="25" t="str">
        <f t="shared" si="35"/>
        <v>Round CassetteRevealHD Somfy External CBUS Motor</v>
      </c>
      <c r="X1061" s="25">
        <v>10</v>
      </c>
      <c r="Y1061" s="25">
        <v>14</v>
      </c>
      <c r="Z1061" s="25">
        <v>14</v>
      </c>
      <c r="AA1061" s="25" t="s">
        <v>824</v>
      </c>
      <c r="AB1061" s="25" t="s">
        <v>821</v>
      </c>
      <c r="AC1061" s="25" t="s">
        <v>821</v>
      </c>
      <c r="AD1061" s="25" t="s">
        <v>821</v>
      </c>
      <c r="AE1061" s="25" t="s">
        <v>818</v>
      </c>
    </row>
    <row r="1062" spans="20:31" ht="14.4">
      <c r="T1062" s="25" t="s">
        <v>942</v>
      </c>
      <c r="U1062" s="25" t="s">
        <v>837</v>
      </c>
      <c r="V1062" t="s">
        <v>999</v>
      </c>
      <c r="W1062" s="25" t="str">
        <f t="shared" si="35"/>
        <v>Round CassetteRevealHD Somfy External Remote Motor</v>
      </c>
      <c r="X1062" s="25">
        <v>10</v>
      </c>
      <c r="Y1062" s="25">
        <v>14</v>
      </c>
      <c r="Z1062" s="25">
        <v>14</v>
      </c>
      <c r="AA1062" s="25" t="s">
        <v>824</v>
      </c>
      <c r="AB1062" s="25" t="s">
        <v>821</v>
      </c>
      <c r="AC1062" s="25" t="s">
        <v>821</v>
      </c>
      <c r="AD1062" s="25" t="s">
        <v>821</v>
      </c>
      <c r="AE1062" s="25" t="s">
        <v>818</v>
      </c>
    </row>
    <row r="1063" spans="20:31" ht="14.4">
      <c r="T1063" s="25" t="s">
        <v>947</v>
      </c>
      <c r="U1063" s="25" t="s">
        <v>816</v>
      </c>
      <c r="V1063" s="25" t="s">
        <v>823</v>
      </c>
      <c r="W1063" s="25" t="str">
        <f t="shared" si="35"/>
        <v>Round Cassette with Side ChannelsFaceChain Winder</v>
      </c>
      <c r="X1063" s="25">
        <v>10</v>
      </c>
      <c r="Y1063" s="25">
        <v>14</v>
      </c>
      <c r="Z1063" s="25">
        <v>29</v>
      </c>
      <c r="AA1063" s="25">
        <v>88</v>
      </c>
      <c r="AB1063" s="25" t="s">
        <v>821</v>
      </c>
      <c r="AC1063" s="25" t="s">
        <v>818</v>
      </c>
      <c r="AD1063" s="25" t="s">
        <v>821</v>
      </c>
      <c r="AE1063" s="25" t="s">
        <v>818</v>
      </c>
    </row>
    <row r="1064" spans="20:31" ht="14.4">
      <c r="T1064" s="25" t="s">
        <v>947</v>
      </c>
      <c r="U1064" s="25" t="s">
        <v>816</v>
      </c>
      <c r="V1064" s="25" t="s">
        <v>841</v>
      </c>
      <c r="W1064" s="25" t="str">
        <f t="shared" si="35"/>
        <v>Round Cassette with Side ChannelsFaceHD Chain Winder</v>
      </c>
      <c r="X1064" s="25">
        <v>10</v>
      </c>
      <c r="Y1064" s="25">
        <v>14</v>
      </c>
      <c r="Z1064" s="25">
        <v>29</v>
      </c>
      <c r="AA1064" s="25">
        <v>88</v>
      </c>
      <c r="AB1064" s="25" t="s">
        <v>821</v>
      </c>
      <c r="AC1064" s="25" t="s">
        <v>818</v>
      </c>
      <c r="AD1064" s="25" t="s">
        <v>821</v>
      </c>
      <c r="AE1064" s="25" t="s">
        <v>818</v>
      </c>
    </row>
    <row r="1065" spans="20:31" ht="14.4">
      <c r="T1065" s="25" t="s">
        <v>947</v>
      </c>
      <c r="U1065" s="25" t="s">
        <v>816</v>
      </c>
      <c r="V1065" s="25" t="s">
        <v>858</v>
      </c>
      <c r="W1065" s="25" t="str">
        <f t="shared" si="35"/>
        <v>Round Cassette with Side ChannelsFaceChain Winder 60mm</v>
      </c>
      <c r="X1065" s="25">
        <v>10</v>
      </c>
      <c r="Y1065" s="25">
        <v>14</v>
      </c>
      <c r="Z1065" s="25">
        <v>29</v>
      </c>
      <c r="AA1065" s="25">
        <v>88</v>
      </c>
      <c r="AB1065" s="25" t="s">
        <v>821</v>
      </c>
      <c r="AC1065" s="25" t="s">
        <v>818</v>
      </c>
      <c r="AD1065" s="25" t="s">
        <v>821</v>
      </c>
      <c r="AE1065" s="25" t="s">
        <v>818</v>
      </c>
    </row>
    <row r="1066" spans="20:31" ht="14.4">
      <c r="T1066" s="25" t="s">
        <v>947</v>
      </c>
      <c r="U1066" s="25" t="s">
        <v>816</v>
      </c>
      <c r="V1066" s="25" t="s">
        <v>865</v>
      </c>
      <c r="W1066" s="25" t="str">
        <f t="shared" si="35"/>
        <v>Round Cassette with Side ChannelsFaceChain Winder Fixed Guide</v>
      </c>
      <c r="X1066" s="25">
        <v>10</v>
      </c>
      <c r="Y1066" s="25">
        <v>14</v>
      </c>
      <c r="Z1066" s="25">
        <v>29</v>
      </c>
      <c r="AA1066" s="25">
        <v>88</v>
      </c>
      <c r="AB1066" s="25" t="s">
        <v>821</v>
      </c>
      <c r="AC1066" s="25" t="s">
        <v>818</v>
      </c>
      <c r="AD1066" s="25" t="s">
        <v>821</v>
      </c>
      <c r="AE1066" s="25" t="s">
        <v>818</v>
      </c>
    </row>
    <row r="1067" spans="20:31" ht="14.4">
      <c r="T1067" s="25" t="s">
        <v>947</v>
      </c>
      <c r="U1067" s="25" t="s">
        <v>816</v>
      </c>
      <c r="V1067" s="25" t="s">
        <v>181</v>
      </c>
      <c r="W1067" s="25" t="str">
        <f t="shared" si="35"/>
        <v>Round Cassette with Side ChannelsFaceLinked</v>
      </c>
      <c r="X1067" s="25">
        <v>10</v>
      </c>
      <c r="Y1067" s="25">
        <v>14</v>
      </c>
      <c r="Z1067" s="25">
        <v>14</v>
      </c>
      <c r="AA1067" s="25">
        <v>88</v>
      </c>
      <c r="AB1067" s="25" t="s">
        <v>821</v>
      </c>
      <c r="AC1067" s="25" t="s">
        <v>818</v>
      </c>
      <c r="AD1067" s="25" t="s">
        <v>821</v>
      </c>
      <c r="AE1067" s="25" t="s">
        <v>818</v>
      </c>
    </row>
    <row r="1068" spans="20:31" ht="14.4">
      <c r="T1068" s="25" t="s">
        <v>947</v>
      </c>
      <c r="U1068" s="25" t="s">
        <v>816</v>
      </c>
      <c r="V1068" s="25" t="s">
        <v>898</v>
      </c>
      <c r="W1068" s="25" t="str">
        <f t="shared" si="35"/>
        <v>Round Cassette with Side ChannelsFaceLinked - HD</v>
      </c>
      <c r="X1068" s="25">
        <v>10</v>
      </c>
      <c r="Y1068" s="25">
        <v>14</v>
      </c>
      <c r="Z1068" s="25">
        <v>14</v>
      </c>
      <c r="AA1068" s="25">
        <v>88</v>
      </c>
      <c r="AB1068" s="25" t="s">
        <v>821</v>
      </c>
      <c r="AC1068" s="25" t="s">
        <v>818</v>
      </c>
      <c r="AD1068" s="25" t="s">
        <v>821</v>
      </c>
      <c r="AE1068" s="25" t="s">
        <v>818</v>
      </c>
    </row>
    <row r="1069" spans="20:31" ht="14.4">
      <c r="T1069" s="25" t="s">
        <v>947</v>
      </c>
      <c r="U1069" s="25" t="s">
        <v>816</v>
      </c>
      <c r="V1069" s="25" t="s">
        <v>910</v>
      </c>
      <c r="W1069" s="25" t="str">
        <f t="shared" si="35"/>
        <v>Round Cassette with Side ChannelsFaceStandard Spring</v>
      </c>
      <c r="X1069" s="25">
        <v>10</v>
      </c>
      <c r="Y1069" s="25">
        <v>14</v>
      </c>
      <c r="Z1069" s="25">
        <v>14</v>
      </c>
      <c r="AA1069" s="25">
        <v>88</v>
      </c>
      <c r="AB1069" s="25" t="s">
        <v>821</v>
      </c>
      <c r="AC1069" s="25" t="s">
        <v>818</v>
      </c>
      <c r="AD1069" s="25" t="s">
        <v>821</v>
      </c>
      <c r="AE1069" s="25" t="s">
        <v>818</v>
      </c>
    </row>
    <row r="1070" spans="20:31" ht="14.4">
      <c r="T1070" s="25" t="s">
        <v>947</v>
      </c>
      <c r="U1070" s="25" t="s">
        <v>816</v>
      </c>
      <c r="V1070" s="25" t="s">
        <v>920</v>
      </c>
      <c r="W1070" s="25" t="str">
        <f t="shared" si="35"/>
        <v>Round Cassette with Side ChannelsFaceSmall Spring</v>
      </c>
      <c r="X1070" s="25">
        <v>10</v>
      </c>
      <c r="Y1070" s="25">
        <v>14</v>
      </c>
      <c r="Z1070" s="25">
        <v>14</v>
      </c>
      <c r="AA1070" s="25">
        <v>88</v>
      </c>
      <c r="AB1070" s="25" t="s">
        <v>821</v>
      </c>
      <c r="AC1070" s="25" t="s">
        <v>818</v>
      </c>
      <c r="AD1070" s="25" t="s">
        <v>821</v>
      </c>
      <c r="AE1070" s="25" t="s">
        <v>818</v>
      </c>
    </row>
    <row r="1071" spans="20:31" ht="14.4">
      <c r="T1071" s="25" t="s">
        <v>947</v>
      </c>
      <c r="U1071" s="25" t="s">
        <v>816</v>
      </c>
      <c r="V1071" s="25" t="s">
        <v>929</v>
      </c>
      <c r="W1071" s="25" t="str">
        <f t="shared" si="35"/>
        <v>Round Cassette with Side ChannelsFaceUniline Spring (Old Style)</v>
      </c>
      <c r="X1071" s="25">
        <v>10</v>
      </c>
      <c r="Y1071" s="25">
        <v>14</v>
      </c>
      <c r="Z1071" s="25">
        <v>14</v>
      </c>
      <c r="AA1071" s="25">
        <v>88</v>
      </c>
      <c r="AB1071" s="25" t="s">
        <v>821</v>
      </c>
      <c r="AC1071" s="25" t="s">
        <v>818</v>
      </c>
      <c r="AD1071" s="25" t="s">
        <v>821</v>
      </c>
      <c r="AE1071" s="25" t="s">
        <v>818</v>
      </c>
    </row>
    <row r="1072" spans="20:31" ht="14.4">
      <c r="T1072" s="25" t="s">
        <v>947</v>
      </c>
      <c r="U1072" s="25" t="s">
        <v>816</v>
      </c>
      <c r="V1072" s="25" t="s">
        <v>935</v>
      </c>
      <c r="W1072" s="25" t="str">
        <f t="shared" si="35"/>
        <v>Round Cassette with Side ChannelsFaceBecker Remote Motor</v>
      </c>
      <c r="X1072" s="25">
        <v>10</v>
      </c>
      <c r="Y1072" s="25">
        <v>14</v>
      </c>
      <c r="Z1072" s="25">
        <v>14</v>
      </c>
      <c r="AA1072" s="25">
        <v>88</v>
      </c>
      <c r="AB1072" s="25" t="s">
        <v>821</v>
      </c>
      <c r="AC1072" s="25" t="s">
        <v>818</v>
      </c>
      <c r="AD1072" s="25" t="s">
        <v>821</v>
      </c>
      <c r="AE1072" s="25" t="s">
        <v>818</v>
      </c>
    </row>
    <row r="1073" spans="20:31" ht="14.4">
      <c r="T1073" s="25" t="s">
        <v>947</v>
      </c>
      <c r="U1073" s="25" t="s">
        <v>816</v>
      </c>
      <c r="V1073" s="25" t="s">
        <v>939</v>
      </c>
      <c r="W1073" s="25" t="str">
        <f t="shared" si="35"/>
        <v>Round Cassette with Side ChannelsFaceBecker CBUS Motor</v>
      </c>
      <c r="X1073" s="25">
        <v>10</v>
      </c>
      <c r="Y1073" s="25">
        <v>14</v>
      </c>
      <c r="Z1073" s="25">
        <v>14</v>
      </c>
      <c r="AA1073" s="25">
        <v>88</v>
      </c>
      <c r="AB1073" s="25" t="s">
        <v>821</v>
      </c>
      <c r="AC1073" s="25" t="s">
        <v>818</v>
      </c>
      <c r="AD1073" s="25" t="s">
        <v>821</v>
      </c>
      <c r="AE1073" s="25" t="s">
        <v>818</v>
      </c>
    </row>
    <row r="1074" spans="20:31" ht="14.4">
      <c r="T1074" s="25" t="s">
        <v>947</v>
      </c>
      <c r="U1074" s="25" t="s">
        <v>816</v>
      </c>
      <c r="V1074" s="25" t="s">
        <v>946</v>
      </c>
      <c r="W1074" s="25" t="str">
        <f t="shared" si="35"/>
        <v>Round Cassette with Side ChannelsFaceBecker External Remote Motor</v>
      </c>
      <c r="X1074" s="25">
        <v>10</v>
      </c>
      <c r="Y1074" s="25">
        <v>14</v>
      </c>
      <c r="Z1074" s="25">
        <v>14</v>
      </c>
      <c r="AA1074" s="25">
        <v>88</v>
      </c>
      <c r="AB1074" s="25" t="s">
        <v>821</v>
      </c>
      <c r="AC1074" s="25" t="s">
        <v>818</v>
      </c>
      <c r="AD1074" s="25" t="s">
        <v>821</v>
      </c>
      <c r="AE1074" s="25" t="s">
        <v>818</v>
      </c>
    </row>
    <row r="1075" spans="20:31" ht="14.4">
      <c r="T1075" s="25" t="s">
        <v>947</v>
      </c>
      <c r="U1075" s="25" t="s">
        <v>816</v>
      </c>
      <c r="V1075" s="25" t="s">
        <v>951</v>
      </c>
      <c r="W1075" s="25" t="str">
        <f t="shared" si="35"/>
        <v>Round Cassette with Side ChannelsFaceBecker External CBUS Motor</v>
      </c>
      <c r="X1075" s="25">
        <v>10</v>
      </c>
      <c r="Y1075" s="25">
        <v>14</v>
      </c>
      <c r="Z1075" s="25">
        <v>14</v>
      </c>
      <c r="AA1075" s="25">
        <v>88</v>
      </c>
      <c r="AB1075" s="25" t="s">
        <v>821</v>
      </c>
      <c r="AC1075" s="25" t="s">
        <v>818</v>
      </c>
      <c r="AD1075" s="25" t="s">
        <v>821</v>
      </c>
      <c r="AE1075" s="25" t="s">
        <v>818</v>
      </c>
    </row>
    <row r="1076" spans="20:31" ht="14.4">
      <c r="T1076" s="25" t="s">
        <v>947</v>
      </c>
      <c r="U1076" s="25" t="s">
        <v>816</v>
      </c>
      <c r="V1076" s="25" t="s">
        <v>838</v>
      </c>
      <c r="W1076" s="25" t="str">
        <f t="shared" si="35"/>
        <v>Round Cassette with Side ChannelsFace1.1nm 12v Acmeda Motor</v>
      </c>
      <c r="X1076" s="25">
        <v>10</v>
      </c>
      <c r="Y1076" s="25">
        <v>14</v>
      </c>
      <c r="Z1076" s="25">
        <v>14</v>
      </c>
      <c r="AA1076" s="25">
        <v>88</v>
      </c>
      <c r="AB1076" s="25" t="s">
        <v>821</v>
      </c>
      <c r="AC1076" s="25" t="s">
        <v>818</v>
      </c>
      <c r="AD1076" s="25" t="s">
        <v>821</v>
      </c>
      <c r="AE1076" s="25" t="s">
        <v>818</v>
      </c>
    </row>
    <row r="1077" spans="20:31" ht="14.4">
      <c r="T1077" s="25" t="s">
        <v>947</v>
      </c>
      <c r="U1077" s="25" t="s">
        <v>816</v>
      </c>
      <c r="V1077" t="s">
        <v>882</v>
      </c>
      <c r="W1077" s="25" t="str">
        <f t="shared" si="35"/>
        <v>Round Cassette with Side ChannelsFace2nm 12v Acmeda Motor</v>
      </c>
      <c r="X1077" s="25">
        <v>10</v>
      </c>
      <c r="Y1077" s="25">
        <v>14</v>
      </c>
      <c r="Z1077" s="25">
        <v>14</v>
      </c>
      <c r="AA1077" s="25">
        <v>88</v>
      </c>
      <c r="AB1077" s="25" t="s">
        <v>821</v>
      </c>
      <c r="AC1077" s="25" t="s">
        <v>818</v>
      </c>
      <c r="AD1077" s="25" t="s">
        <v>821</v>
      </c>
      <c r="AE1077" s="25" t="s">
        <v>818</v>
      </c>
    </row>
    <row r="1078" spans="20:31" ht="14.4">
      <c r="T1078" s="25" t="s">
        <v>947</v>
      </c>
      <c r="U1078" s="25" t="s">
        <v>816</v>
      </c>
      <c r="V1078" t="s">
        <v>896</v>
      </c>
      <c r="W1078" s="25" t="str">
        <f t="shared" si="35"/>
        <v>Round Cassette with Side ChannelsFaceAcmeda 12v 6nm Motor</v>
      </c>
      <c r="X1078" s="25">
        <v>10</v>
      </c>
      <c r="Y1078" s="25">
        <v>14</v>
      </c>
      <c r="Z1078" s="25">
        <v>14</v>
      </c>
      <c r="AA1078" s="25">
        <v>88</v>
      </c>
      <c r="AB1078" s="25" t="s">
        <v>821</v>
      </c>
      <c r="AC1078" s="25" t="s">
        <v>818</v>
      </c>
      <c r="AD1078" s="25" t="s">
        <v>821</v>
      </c>
      <c r="AE1078" s="25" t="s">
        <v>818</v>
      </c>
    </row>
    <row r="1079" spans="20:31" ht="14.4">
      <c r="T1079" s="25" t="s">
        <v>947</v>
      </c>
      <c r="U1079" s="25" t="s">
        <v>816</v>
      </c>
      <c r="V1079" t="s">
        <v>855</v>
      </c>
      <c r="W1079" s="25" t="str">
        <f t="shared" si="35"/>
        <v>Round Cassette with Side ChannelsFace0.7nm 12v Acmeda Motor</v>
      </c>
      <c r="X1079" s="25">
        <v>10</v>
      </c>
      <c r="Y1079" s="25">
        <v>14</v>
      </c>
      <c r="Z1079" s="25">
        <v>14</v>
      </c>
      <c r="AA1079" s="25">
        <v>88</v>
      </c>
      <c r="AB1079" s="25" t="s">
        <v>821</v>
      </c>
      <c r="AC1079" s="25" t="s">
        <v>818</v>
      </c>
      <c r="AD1079" s="25" t="s">
        <v>821</v>
      </c>
      <c r="AE1079" s="25" t="s">
        <v>818</v>
      </c>
    </row>
    <row r="1080" spans="20:31" ht="14.4">
      <c r="T1080" s="25" t="s">
        <v>947</v>
      </c>
      <c r="U1080" s="25" t="s">
        <v>816</v>
      </c>
      <c r="V1080" s="25" t="s">
        <v>849</v>
      </c>
      <c r="W1080" s="25" t="str">
        <f t="shared" si="35"/>
        <v>Round Cassette with Side ChannelsFace1.1nm 12v Acmeda DCRF Motor with External Battery</v>
      </c>
      <c r="X1080" s="25">
        <v>10</v>
      </c>
      <c r="Y1080" s="25">
        <v>14</v>
      </c>
      <c r="Z1080" s="25">
        <v>14</v>
      </c>
      <c r="AA1080" s="25">
        <v>88</v>
      </c>
      <c r="AB1080" s="25" t="s">
        <v>821</v>
      </c>
      <c r="AC1080" s="25" t="s">
        <v>818</v>
      </c>
      <c r="AD1080" s="25" t="s">
        <v>821</v>
      </c>
      <c r="AE1080" s="25" t="s">
        <v>818</v>
      </c>
    </row>
    <row r="1081" spans="20:31" ht="14.4">
      <c r="T1081" s="25" t="s">
        <v>947</v>
      </c>
      <c r="U1081" s="25" t="s">
        <v>816</v>
      </c>
      <c r="V1081" s="25" t="s">
        <v>817</v>
      </c>
      <c r="W1081" s="25" t="str">
        <f t="shared" si="35"/>
        <v>Round Cassette with Side ChannelsFace1.1nm 12v Acmeda DCRF Motor</v>
      </c>
      <c r="X1081" s="25">
        <v>10</v>
      </c>
      <c r="Y1081" s="25">
        <v>14</v>
      </c>
      <c r="Z1081" s="25">
        <v>14</v>
      </c>
      <c r="AA1081" s="25">
        <v>88</v>
      </c>
      <c r="AB1081" s="25" t="s">
        <v>821</v>
      </c>
      <c r="AC1081" s="25" t="s">
        <v>818</v>
      </c>
      <c r="AD1081" s="25" t="s">
        <v>821</v>
      </c>
      <c r="AE1081" s="25" t="s">
        <v>818</v>
      </c>
    </row>
    <row r="1082" spans="20:31" ht="14.4">
      <c r="T1082" s="25" t="s">
        <v>947</v>
      </c>
      <c r="U1082" s="25" t="s">
        <v>816</v>
      </c>
      <c r="V1082" s="25" t="s">
        <v>868</v>
      </c>
      <c r="W1082" s="25" t="str">
        <f t="shared" si="35"/>
        <v>Round Cassette with Side ChannelsFace2nm 12v Acmeda DCRF Motor</v>
      </c>
      <c r="X1082" s="25">
        <v>10</v>
      </c>
      <c r="Y1082" s="25">
        <v>14</v>
      </c>
      <c r="Z1082" s="25">
        <v>14</v>
      </c>
      <c r="AA1082" s="25">
        <v>88</v>
      </c>
      <c r="AB1082" s="25" t="s">
        <v>821</v>
      </c>
      <c r="AC1082" s="25" t="s">
        <v>818</v>
      </c>
      <c r="AD1082" s="25" t="s">
        <v>821</v>
      </c>
      <c r="AE1082" s="25" t="s">
        <v>818</v>
      </c>
    </row>
    <row r="1083" spans="20:31" ht="14.4">
      <c r="T1083" s="25" t="s">
        <v>947</v>
      </c>
      <c r="U1083" s="25" t="s">
        <v>816</v>
      </c>
      <c r="V1083" t="s">
        <v>973</v>
      </c>
      <c r="W1083" s="25" t="str">
        <f t="shared" si="35"/>
        <v>Round Cassette with Side ChannelsFaceSomfy Remote Sonesse Motor</v>
      </c>
      <c r="X1083" s="25">
        <v>10</v>
      </c>
      <c r="Y1083" s="25">
        <v>14</v>
      </c>
      <c r="Z1083" s="25">
        <v>14</v>
      </c>
      <c r="AA1083" s="25">
        <v>88</v>
      </c>
      <c r="AB1083" s="25" t="s">
        <v>821</v>
      </c>
      <c r="AC1083" s="25" t="s">
        <v>818</v>
      </c>
      <c r="AD1083" s="25" t="s">
        <v>821</v>
      </c>
      <c r="AE1083" s="25" t="s">
        <v>818</v>
      </c>
    </row>
    <row r="1084" spans="20:31" ht="14.4">
      <c r="T1084" s="25" t="s">
        <v>947</v>
      </c>
      <c r="U1084" s="25" t="s">
        <v>816</v>
      </c>
      <c r="V1084" t="s">
        <v>637</v>
      </c>
      <c r="W1084" s="25" t="str">
        <f t="shared" si="35"/>
        <v>Round Cassette with Side ChannelsFaceSomfy 12v Remote Sonesse Motor</v>
      </c>
      <c r="X1084" s="25">
        <v>10</v>
      </c>
      <c r="Y1084" s="25">
        <v>14</v>
      </c>
      <c r="Z1084" s="25">
        <v>14</v>
      </c>
      <c r="AA1084" s="25">
        <v>88</v>
      </c>
      <c r="AB1084" s="25" t="s">
        <v>821</v>
      </c>
      <c r="AC1084" s="25" t="s">
        <v>818</v>
      </c>
      <c r="AD1084" s="25" t="s">
        <v>821</v>
      </c>
      <c r="AE1084" s="25" t="s">
        <v>818</v>
      </c>
    </row>
    <row r="1085" spans="20:31" ht="14.4">
      <c r="T1085" s="25" t="s">
        <v>947</v>
      </c>
      <c r="U1085" s="25" t="s">
        <v>816</v>
      </c>
      <c r="V1085" s="25" t="s">
        <v>974</v>
      </c>
      <c r="W1085" s="25" t="str">
        <f t="shared" si="35"/>
        <v>Round Cassette with Side ChannelsFaceSomfy CBUS Motor</v>
      </c>
      <c r="X1085" s="25">
        <v>10</v>
      </c>
      <c r="Y1085" s="25">
        <v>14</v>
      </c>
      <c r="Z1085" s="25">
        <v>14</v>
      </c>
      <c r="AA1085" s="25">
        <v>88</v>
      </c>
      <c r="AB1085" s="25" t="s">
        <v>821</v>
      </c>
      <c r="AC1085" s="25" t="s">
        <v>818</v>
      </c>
      <c r="AD1085" s="25" t="s">
        <v>821</v>
      </c>
      <c r="AE1085" s="25" t="s">
        <v>818</v>
      </c>
    </row>
    <row r="1086" spans="20:31" ht="14.4">
      <c r="T1086" s="25" t="s">
        <v>947</v>
      </c>
      <c r="U1086" s="25" t="s">
        <v>816</v>
      </c>
      <c r="V1086" t="s">
        <v>986</v>
      </c>
      <c r="W1086" s="25" t="str">
        <f t="shared" si="35"/>
        <v>Round Cassette with Side ChannelsFaceHD Somfy Remote Sonesse Motor</v>
      </c>
      <c r="X1086" s="25">
        <v>10</v>
      </c>
      <c r="Y1086" s="25">
        <v>14</v>
      </c>
      <c r="Z1086" s="25">
        <v>14</v>
      </c>
      <c r="AA1086" s="25">
        <v>88</v>
      </c>
      <c r="AB1086" s="25" t="s">
        <v>821</v>
      </c>
      <c r="AC1086" s="25" t="s">
        <v>818</v>
      </c>
      <c r="AD1086" s="25" t="s">
        <v>821</v>
      </c>
      <c r="AE1086" s="25" t="s">
        <v>818</v>
      </c>
    </row>
    <row r="1087" spans="20:31" ht="14.4">
      <c r="T1087" s="25" t="s">
        <v>947</v>
      </c>
      <c r="U1087" s="25" t="s">
        <v>816</v>
      </c>
      <c r="V1087" t="s">
        <v>989</v>
      </c>
      <c r="W1087" s="25" t="str">
        <f t="shared" si="35"/>
        <v>Round Cassette with Side ChannelsFaceHD Somfy 12v Remote Sonesse Motor</v>
      </c>
      <c r="X1087" s="25">
        <v>10</v>
      </c>
      <c r="Y1087" s="25">
        <v>14</v>
      </c>
      <c r="Z1087" s="25">
        <v>14</v>
      </c>
      <c r="AA1087" s="25">
        <v>88</v>
      </c>
      <c r="AB1087" s="25" t="s">
        <v>821</v>
      </c>
      <c r="AC1087" s="25" t="s">
        <v>818</v>
      </c>
      <c r="AD1087" s="25" t="s">
        <v>821</v>
      </c>
      <c r="AE1087" s="25" t="s">
        <v>818</v>
      </c>
    </row>
    <row r="1088" spans="20:31" ht="14.4">
      <c r="T1088" s="25" t="s">
        <v>947</v>
      </c>
      <c r="U1088" s="25" t="s">
        <v>816</v>
      </c>
      <c r="V1088" s="25" t="s">
        <v>992</v>
      </c>
      <c r="W1088" s="25" t="str">
        <f t="shared" si="35"/>
        <v>Round Cassette with Side ChannelsFaceHD Somfy CBUS Motor</v>
      </c>
      <c r="X1088" s="25">
        <v>10</v>
      </c>
      <c r="Y1088" s="25">
        <v>14</v>
      </c>
      <c r="Z1088" s="25">
        <v>14</v>
      </c>
      <c r="AA1088" s="25">
        <v>88</v>
      </c>
      <c r="AB1088" s="25" t="s">
        <v>821</v>
      </c>
      <c r="AC1088" s="25" t="s">
        <v>818</v>
      </c>
      <c r="AD1088" s="25" t="s">
        <v>821</v>
      </c>
      <c r="AE1088" s="25" t="s">
        <v>818</v>
      </c>
    </row>
    <row r="1089" spans="20:31" ht="14.4">
      <c r="T1089" s="25" t="s">
        <v>947</v>
      </c>
      <c r="U1089" s="25" t="s">
        <v>816</v>
      </c>
      <c r="V1089" s="25" t="s">
        <v>625</v>
      </c>
      <c r="W1089" s="25" t="str">
        <f t="shared" si="35"/>
        <v>Round Cassette with Side ChannelsFaceAcmeda E6 Motor</v>
      </c>
      <c r="X1089" s="25">
        <v>10</v>
      </c>
      <c r="Y1089" s="25">
        <v>14</v>
      </c>
      <c r="Z1089" s="25">
        <v>14</v>
      </c>
      <c r="AA1089" s="25">
        <v>88</v>
      </c>
      <c r="AB1089" s="25" t="s">
        <v>821</v>
      </c>
      <c r="AC1089" s="25" t="s">
        <v>818</v>
      </c>
      <c r="AD1089" s="25" t="s">
        <v>821</v>
      </c>
      <c r="AE1089" s="25" t="s">
        <v>818</v>
      </c>
    </row>
    <row r="1090" spans="20:31" ht="14.4">
      <c r="T1090" s="25" t="s">
        <v>947</v>
      </c>
      <c r="U1090" s="25" t="s">
        <v>816</v>
      </c>
      <c r="V1090" s="25" t="s">
        <v>626</v>
      </c>
      <c r="W1090" s="25" t="str">
        <f t="shared" si="35"/>
        <v>Round Cassette with Side ChannelsFaceAcmeda M6 Motor</v>
      </c>
      <c r="X1090" s="25">
        <v>10</v>
      </c>
      <c r="Y1090" s="25">
        <v>14</v>
      </c>
      <c r="Z1090" s="25">
        <v>14</v>
      </c>
      <c r="AA1090" s="25">
        <v>88</v>
      </c>
      <c r="AB1090" s="25" t="s">
        <v>821</v>
      </c>
      <c r="AC1090" s="25" t="s">
        <v>818</v>
      </c>
      <c r="AD1090" s="25" t="s">
        <v>821</v>
      </c>
      <c r="AE1090" s="25" t="s">
        <v>818</v>
      </c>
    </row>
    <row r="1091" spans="20:31" ht="14.4">
      <c r="T1091" s="25" t="s">
        <v>947</v>
      </c>
      <c r="U1091" s="25" t="s">
        <v>816</v>
      </c>
      <c r="V1091" s="25" t="s">
        <v>1002</v>
      </c>
      <c r="W1091" s="25" t="str">
        <f t="shared" si="36" ref="W1091:W1154">CONCATENATE(T1091,U1091,V1091)</f>
        <v>Round Cassette with Side ChannelsFaceUniline Remote Motor</v>
      </c>
      <c r="X1091" s="25">
        <v>10</v>
      </c>
      <c r="Y1091" s="25">
        <v>14</v>
      </c>
      <c r="Z1091" s="25">
        <v>14</v>
      </c>
      <c r="AA1091" s="25">
        <v>88</v>
      </c>
      <c r="AB1091" s="25" t="s">
        <v>821</v>
      </c>
      <c r="AC1091" s="25" t="s">
        <v>818</v>
      </c>
      <c r="AD1091" s="25" t="s">
        <v>821</v>
      </c>
      <c r="AE1091" s="25" t="s">
        <v>818</v>
      </c>
    </row>
    <row r="1092" spans="20:31" ht="14.4">
      <c r="T1092" s="25" t="s">
        <v>947</v>
      </c>
      <c r="U1092" s="25" t="s">
        <v>816</v>
      </c>
      <c r="V1092" s="25" t="s">
        <v>1005</v>
      </c>
      <c r="W1092" s="25" t="str">
        <f t="shared" si="36"/>
        <v>Round Cassette with Side ChannelsFaceUniline Cbus Motor</v>
      </c>
      <c r="X1092" s="25">
        <v>10</v>
      </c>
      <c r="Y1092" s="25">
        <v>14</v>
      </c>
      <c r="Z1092" s="25">
        <v>14</v>
      </c>
      <c r="AA1092" s="25">
        <v>88</v>
      </c>
      <c r="AB1092" s="25" t="s">
        <v>821</v>
      </c>
      <c r="AC1092" s="25" t="s">
        <v>818</v>
      </c>
      <c r="AD1092" s="25" t="s">
        <v>821</v>
      </c>
      <c r="AE1092" s="25" t="s">
        <v>818</v>
      </c>
    </row>
    <row r="1093" spans="20:31" ht="14.4">
      <c r="T1093" s="25" t="s">
        <v>947</v>
      </c>
      <c r="U1093" s="25" t="s">
        <v>816</v>
      </c>
      <c r="V1093" s="25" t="s">
        <v>981</v>
      </c>
      <c r="W1093" s="25" t="str">
        <f t="shared" si="36"/>
        <v>Round Cassette with Side ChannelsFaceNice Remote Motor</v>
      </c>
      <c r="X1093" s="25">
        <v>10</v>
      </c>
      <c r="Y1093" s="25">
        <v>14</v>
      </c>
      <c r="Z1093" s="25">
        <v>14</v>
      </c>
      <c r="AA1093" s="25">
        <v>88</v>
      </c>
      <c r="AB1093" s="25" t="s">
        <v>821</v>
      </c>
      <c r="AC1093" s="25" t="s">
        <v>818</v>
      </c>
      <c r="AD1093" s="25" t="s">
        <v>821</v>
      </c>
      <c r="AE1093" s="25" t="s">
        <v>818</v>
      </c>
    </row>
    <row r="1094" spans="20:31" ht="14.4">
      <c r="T1094" s="25" t="s">
        <v>947</v>
      </c>
      <c r="U1094" s="25" t="s">
        <v>816</v>
      </c>
      <c r="V1094" s="25" t="s">
        <v>976</v>
      </c>
      <c r="W1094" s="25" t="str">
        <f t="shared" si="36"/>
        <v>Round Cassette with Side ChannelsFaceNice CBus Motor</v>
      </c>
      <c r="X1094" s="25">
        <v>10</v>
      </c>
      <c r="Y1094" s="25">
        <v>14</v>
      </c>
      <c r="Z1094" s="25">
        <v>14</v>
      </c>
      <c r="AA1094" s="25">
        <v>88</v>
      </c>
      <c r="AB1094" s="25" t="s">
        <v>821</v>
      </c>
      <c r="AC1094" s="25" t="s">
        <v>818</v>
      </c>
      <c r="AD1094" s="25" t="s">
        <v>821</v>
      </c>
      <c r="AE1094" s="25" t="s">
        <v>818</v>
      </c>
    </row>
    <row r="1095" spans="20:31" ht="14.4">
      <c r="T1095" s="25" t="s">
        <v>947</v>
      </c>
      <c r="U1095" s="25" t="s">
        <v>816</v>
      </c>
      <c r="V1095" t="s">
        <v>1006</v>
      </c>
      <c r="W1095" s="25" t="str">
        <f t="shared" si="36"/>
        <v>Round Cassette with Side ChannelsFaceSunboss Chain Winder 38mm Tube</v>
      </c>
      <c r="X1095" s="25">
        <v>10</v>
      </c>
      <c r="Y1095" s="25">
        <v>14</v>
      </c>
      <c r="Z1095" s="25">
        <v>14</v>
      </c>
      <c r="AA1095" s="25">
        <v>88</v>
      </c>
      <c r="AB1095" s="25" t="s">
        <v>821</v>
      </c>
      <c r="AC1095" s="25" t="s">
        <v>818</v>
      </c>
      <c r="AD1095" s="25" t="s">
        <v>821</v>
      </c>
      <c r="AE1095" s="25" t="s">
        <v>818</v>
      </c>
    </row>
    <row r="1096" spans="20:31" ht="14.4">
      <c r="T1096" s="25" t="s">
        <v>947</v>
      </c>
      <c r="U1096" s="25" t="s">
        <v>816</v>
      </c>
      <c r="V1096" t="s">
        <v>1017</v>
      </c>
      <c r="W1096" s="25" t="str">
        <f t="shared" si="36"/>
        <v>Round Cassette with Side ChannelsFaceSunboss Chain Winder 43mm Tube</v>
      </c>
      <c r="X1096" s="25">
        <v>10</v>
      </c>
      <c r="Y1096" s="25">
        <v>14</v>
      </c>
      <c r="Z1096" s="25">
        <v>14</v>
      </c>
      <c r="AA1096" s="25">
        <v>88</v>
      </c>
      <c r="AB1096" s="25" t="s">
        <v>821</v>
      </c>
      <c r="AC1096" s="25" t="s">
        <v>818</v>
      </c>
      <c r="AD1096" s="25" t="s">
        <v>821</v>
      </c>
      <c r="AE1096" s="25" t="s">
        <v>818</v>
      </c>
    </row>
    <row r="1097" spans="20:31" ht="14.4">
      <c r="T1097" s="25" t="s">
        <v>947</v>
      </c>
      <c r="U1097" s="25" t="s">
        <v>816</v>
      </c>
      <c r="V1097" s="25" t="s">
        <v>1012</v>
      </c>
      <c r="W1097" s="25" t="str">
        <f t="shared" si="36"/>
        <v>Round Cassette with Side ChannelsFaceTBS Remote Motor</v>
      </c>
      <c r="X1097" s="25">
        <v>10</v>
      </c>
      <c r="Y1097" s="25">
        <v>14</v>
      </c>
      <c r="Z1097" s="25">
        <v>14</v>
      </c>
      <c r="AA1097" s="25">
        <v>88</v>
      </c>
      <c r="AB1097" s="25" t="s">
        <v>821</v>
      </c>
      <c r="AC1097" s="25" t="s">
        <v>818</v>
      </c>
      <c r="AD1097" s="25" t="s">
        <v>821</v>
      </c>
      <c r="AE1097" s="25" t="s">
        <v>818</v>
      </c>
    </row>
    <row r="1098" spans="20:31" ht="14.4">
      <c r="T1098" s="25" t="s">
        <v>947</v>
      </c>
      <c r="U1098" s="25" t="s">
        <v>816</v>
      </c>
      <c r="V1098" t="s">
        <v>1009</v>
      </c>
      <c r="W1098" s="25" t="str">
        <f t="shared" si="36"/>
        <v>Round Cassette with Side ChannelsFaceTBS Cbus Motor</v>
      </c>
      <c r="X1098" s="25">
        <v>10</v>
      </c>
      <c r="Y1098" s="25">
        <v>14</v>
      </c>
      <c r="Z1098" s="25">
        <v>14</v>
      </c>
      <c r="AA1098" s="25">
        <v>88</v>
      </c>
      <c r="AB1098" s="25" t="s">
        <v>821</v>
      </c>
      <c r="AC1098" s="25" t="s">
        <v>818</v>
      </c>
      <c r="AD1098" s="25" t="s">
        <v>821</v>
      </c>
      <c r="AE1098" s="25" t="s">
        <v>818</v>
      </c>
    </row>
    <row r="1099" spans="20:31" ht="14.4">
      <c r="T1099" s="25" t="s">
        <v>947</v>
      </c>
      <c r="U1099" s="25" t="s">
        <v>816</v>
      </c>
      <c r="V1099" t="s">
        <v>927</v>
      </c>
      <c r="W1099" s="25" t="str">
        <f t="shared" si="36"/>
        <v>Round Cassette with Side ChannelsFaceAcmeda External Motor</v>
      </c>
      <c r="X1099" s="25">
        <v>10</v>
      </c>
      <c r="Y1099" s="25">
        <v>14</v>
      </c>
      <c r="Z1099" s="25">
        <v>14</v>
      </c>
      <c r="AA1099" s="25">
        <v>88</v>
      </c>
      <c r="AB1099" s="25" t="s">
        <v>821</v>
      </c>
      <c r="AC1099" s="25" t="s">
        <v>818</v>
      </c>
      <c r="AD1099" s="25" t="s">
        <v>821</v>
      </c>
      <c r="AE1099" s="25" t="s">
        <v>818</v>
      </c>
    </row>
    <row r="1100" spans="20:31" ht="14.4">
      <c r="T1100" s="25" t="s">
        <v>947</v>
      </c>
      <c r="U1100" s="25" t="s">
        <v>816</v>
      </c>
      <c r="V1100" t="s">
        <v>918</v>
      </c>
      <c r="W1100" s="25" t="str">
        <f t="shared" si="36"/>
        <v>Round Cassette with Side ChannelsFaceAcmeda External 12v Motor</v>
      </c>
      <c r="X1100" s="25">
        <v>10</v>
      </c>
      <c r="Y1100" s="25">
        <v>14</v>
      </c>
      <c r="Z1100" s="25">
        <v>14</v>
      </c>
      <c r="AA1100" s="25">
        <v>88</v>
      </c>
      <c r="AB1100" s="25" t="s">
        <v>821</v>
      </c>
      <c r="AC1100" s="25" t="s">
        <v>818</v>
      </c>
      <c r="AD1100" s="25" t="s">
        <v>821</v>
      </c>
      <c r="AE1100" s="25" t="s">
        <v>818</v>
      </c>
    </row>
    <row r="1101" spans="20:31" ht="14.4">
      <c r="T1101" s="25" t="s">
        <v>947</v>
      </c>
      <c r="U1101" s="25" t="s">
        <v>816</v>
      </c>
      <c r="V1101" t="s">
        <v>979</v>
      </c>
      <c r="W1101" s="25" t="str">
        <f t="shared" si="36"/>
        <v>Round Cassette with Side ChannelsFaceSomfy External CBUS Motor</v>
      </c>
      <c r="X1101" s="25">
        <v>10</v>
      </c>
      <c r="Y1101" s="25">
        <v>14</v>
      </c>
      <c r="Z1101" s="25">
        <v>14</v>
      </c>
      <c r="AA1101" s="25">
        <v>88</v>
      </c>
      <c r="AB1101" s="25" t="s">
        <v>821</v>
      </c>
      <c r="AC1101" s="25" t="s">
        <v>818</v>
      </c>
      <c r="AD1101" s="25" t="s">
        <v>821</v>
      </c>
      <c r="AE1101" s="25" t="s">
        <v>818</v>
      </c>
    </row>
    <row r="1102" spans="20:31" ht="14.4">
      <c r="T1102" s="25" t="s">
        <v>947</v>
      </c>
      <c r="U1102" s="25" t="s">
        <v>816</v>
      </c>
      <c r="V1102" t="s">
        <v>983</v>
      </c>
      <c r="W1102" s="25" t="str">
        <f t="shared" si="36"/>
        <v>Round Cassette with Side ChannelsFaceSomfy External Remote Motor</v>
      </c>
      <c r="X1102" s="25">
        <v>10</v>
      </c>
      <c r="Y1102" s="25">
        <v>14</v>
      </c>
      <c r="Z1102" s="25">
        <v>14</v>
      </c>
      <c r="AA1102" s="25">
        <v>88</v>
      </c>
      <c r="AB1102" s="25" t="s">
        <v>821</v>
      </c>
      <c r="AC1102" s="25" t="s">
        <v>818</v>
      </c>
      <c r="AD1102" s="25" t="s">
        <v>821</v>
      </c>
      <c r="AE1102" s="25" t="s">
        <v>818</v>
      </c>
    </row>
    <row r="1103" spans="20:31" ht="14.4">
      <c r="T1103" s="25" t="s">
        <v>947</v>
      </c>
      <c r="U1103" s="25" t="s">
        <v>816</v>
      </c>
      <c r="V1103" t="s">
        <v>995</v>
      </c>
      <c r="W1103" s="25" t="str">
        <f t="shared" si="36"/>
        <v>Round Cassette with Side ChannelsFaceHD Somfy External CBUS Motor</v>
      </c>
      <c r="X1103" s="25">
        <v>10</v>
      </c>
      <c r="Y1103" s="25">
        <v>14</v>
      </c>
      <c r="Z1103" s="25">
        <v>14</v>
      </c>
      <c r="AA1103" s="25">
        <v>88</v>
      </c>
      <c r="AB1103" s="25" t="s">
        <v>821</v>
      </c>
      <c r="AC1103" s="25" t="s">
        <v>818</v>
      </c>
      <c r="AD1103" s="25" t="s">
        <v>821</v>
      </c>
      <c r="AE1103" s="25" t="s">
        <v>818</v>
      </c>
    </row>
    <row r="1104" spans="20:31" ht="14.4">
      <c r="T1104" s="25" t="s">
        <v>947</v>
      </c>
      <c r="U1104" s="25" t="s">
        <v>816</v>
      </c>
      <c r="V1104" t="s">
        <v>999</v>
      </c>
      <c r="W1104" s="25" t="str">
        <f t="shared" si="36"/>
        <v>Round Cassette with Side ChannelsFaceHD Somfy External Remote Motor</v>
      </c>
      <c r="X1104" s="25">
        <v>10</v>
      </c>
      <c r="Y1104" s="25">
        <v>14</v>
      </c>
      <c r="Z1104" s="25">
        <v>14</v>
      </c>
      <c r="AA1104" s="25">
        <v>88</v>
      </c>
      <c r="AB1104" s="25" t="s">
        <v>821</v>
      </c>
      <c r="AC1104" s="25" t="s">
        <v>818</v>
      </c>
      <c r="AD1104" s="25" t="s">
        <v>821</v>
      </c>
      <c r="AE1104" s="25" t="s">
        <v>818</v>
      </c>
    </row>
    <row r="1105" spans="20:31" ht="14.4">
      <c r="T1105" s="25" t="s">
        <v>947</v>
      </c>
      <c r="U1105" s="25" t="s">
        <v>854</v>
      </c>
      <c r="V1105" s="25" t="s">
        <v>823</v>
      </c>
      <c r="W1105" s="25" t="str">
        <f t="shared" si="36"/>
        <v>Round Cassette with Side ChannelsTop FixChain Winder</v>
      </c>
      <c r="X1105" s="25">
        <v>10</v>
      </c>
      <c r="Y1105" s="25">
        <v>14</v>
      </c>
      <c r="Z1105" s="25">
        <v>29</v>
      </c>
      <c r="AA1105" s="25">
        <v>88</v>
      </c>
      <c r="AB1105" s="25" t="s">
        <v>821</v>
      </c>
      <c r="AC1105" s="25" t="s">
        <v>818</v>
      </c>
      <c r="AD1105" s="25" t="s">
        <v>821</v>
      </c>
      <c r="AE1105" s="25" t="s">
        <v>818</v>
      </c>
    </row>
    <row r="1106" spans="20:31" ht="14.4">
      <c r="T1106" s="25" t="s">
        <v>947</v>
      </c>
      <c r="U1106" s="25" t="s">
        <v>854</v>
      </c>
      <c r="V1106" s="25" t="s">
        <v>841</v>
      </c>
      <c r="W1106" s="25" t="str">
        <f t="shared" si="36"/>
        <v>Round Cassette with Side ChannelsTop FixHD Chain Winder</v>
      </c>
      <c r="X1106" s="25">
        <v>10</v>
      </c>
      <c r="Y1106" s="25">
        <v>14</v>
      </c>
      <c r="Z1106" s="25">
        <v>29</v>
      </c>
      <c r="AA1106" s="25">
        <v>88</v>
      </c>
      <c r="AB1106" s="25" t="s">
        <v>821</v>
      </c>
      <c r="AC1106" s="25" t="s">
        <v>818</v>
      </c>
      <c r="AD1106" s="25" t="s">
        <v>821</v>
      </c>
      <c r="AE1106" s="25" t="s">
        <v>818</v>
      </c>
    </row>
    <row r="1107" spans="20:31" ht="14.4">
      <c r="T1107" s="25" t="s">
        <v>947</v>
      </c>
      <c r="U1107" s="25" t="s">
        <v>854</v>
      </c>
      <c r="V1107" s="25" t="s">
        <v>858</v>
      </c>
      <c r="W1107" s="25" t="str">
        <f t="shared" si="36"/>
        <v>Round Cassette with Side ChannelsTop FixChain Winder 60mm</v>
      </c>
      <c r="X1107" s="25">
        <v>10</v>
      </c>
      <c r="Y1107" s="25">
        <v>14</v>
      </c>
      <c r="Z1107" s="25">
        <v>29</v>
      </c>
      <c r="AA1107" s="25">
        <v>88</v>
      </c>
      <c r="AB1107" s="25" t="s">
        <v>821</v>
      </c>
      <c r="AC1107" s="25" t="s">
        <v>818</v>
      </c>
      <c r="AD1107" s="25" t="s">
        <v>821</v>
      </c>
      <c r="AE1107" s="25" t="s">
        <v>818</v>
      </c>
    </row>
    <row r="1108" spans="20:31" ht="14.4">
      <c r="T1108" s="25" t="s">
        <v>947</v>
      </c>
      <c r="U1108" s="25" t="s">
        <v>854</v>
      </c>
      <c r="V1108" s="25" t="s">
        <v>865</v>
      </c>
      <c r="W1108" s="25" t="str">
        <f t="shared" si="36"/>
        <v>Round Cassette with Side ChannelsTop FixChain Winder Fixed Guide</v>
      </c>
      <c r="X1108" s="25">
        <v>10</v>
      </c>
      <c r="Y1108" s="25">
        <v>14</v>
      </c>
      <c r="Z1108" s="25">
        <v>29</v>
      </c>
      <c r="AA1108" s="25">
        <v>88</v>
      </c>
      <c r="AB1108" s="25" t="s">
        <v>821</v>
      </c>
      <c r="AC1108" s="25" t="s">
        <v>818</v>
      </c>
      <c r="AD1108" s="25" t="s">
        <v>821</v>
      </c>
      <c r="AE1108" s="25" t="s">
        <v>818</v>
      </c>
    </row>
    <row r="1109" spans="20:31" ht="14.4">
      <c r="T1109" s="25" t="s">
        <v>947</v>
      </c>
      <c r="U1109" s="25" t="s">
        <v>854</v>
      </c>
      <c r="V1109" s="25" t="s">
        <v>181</v>
      </c>
      <c r="W1109" s="25" t="str">
        <f t="shared" si="36"/>
        <v>Round Cassette with Side ChannelsTop FixLinked</v>
      </c>
      <c r="X1109" s="25">
        <v>10</v>
      </c>
      <c r="Y1109" s="25">
        <v>14</v>
      </c>
      <c r="Z1109" s="25">
        <v>14</v>
      </c>
      <c r="AA1109" s="25">
        <v>88</v>
      </c>
      <c r="AB1109" s="25" t="s">
        <v>821</v>
      </c>
      <c r="AC1109" s="25" t="s">
        <v>818</v>
      </c>
      <c r="AD1109" s="25" t="s">
        <v>821</v>
      </c>
      <c r="AE1109" s="25" t="s">
        <v>818</v>
      </c>
    </row>
    <row r="1110" spans="20:31" ht="14.4">
      <c r="T1110" s="25" t="s">
        <v>947</v>
      </c>
      <c r="U1110" s="25" t="s">
        <v>854</v>
      </c>
      <c r="V1110" s="25" t="s">
        <v>898</v>
      </c>
      <c r="W1110" s="25" t="str">
        <f t="shared" si="36"/>
        <v>Round Cassette with Side ChannelsTop FixLinked - HD</v>
      </c>
      <c r="X1110" s="25">
        <v>10</v>
      </c>
      <c r="Y1110" s="25">
        <v>14</v>
      </c>
      <c r="Z1110" s="25">
        <v>14</v>
      </c>
      <c r="AA1110" s="25">
        <v>88</v>
      </c>
      <c r="AB1110" s="25" t="s">
        <v>821</v>
      </c>
      <c r="AC1110" s="25" t="s">
        <v>818</v>
      </c>
      <c r="AD1110" s="25" t="s">
        <v>821</v>
      </c>
      <c r="AE1110" s="25" t="s">
        <v>818</v>
      </c>
    </row>
    <row r="1111" spans="20:31" ht="14.4">
      <c r="T1111" s="25" t="s">
        <v>947</v>
      </c>
      <c r="U1111" s="25" t="s">
        <v>854</v>
      </c>
      <c r="V1111" s="25" t="s">
        <v>910</v>
      </c>
      <c r="W1111" s="25" t="str">
        <f t="shared" si="36"/>
        <v>Round Cassette with Side ChannelsTop FixStandard Spring</v>
      </c>
      <c r="X1111" s="25">
        <v>10</v>
      </c>
      <c r="Y1111" s="25">
        <v>14</v>
      </c>
      <c r="Z1111" s="25">
        <v>14</v>
      </c>
      <c r="AA1111" s="25">
        <v>88</v>
      </c>
      <c r="AB1111" s="25" t="s">
        <v>821</v>
      </c>
      <c r="AC1111" s="25" t="s">
        <v>818</v>
      </c>
      <c r="AD1111" s="25" t="s">
        <v>821</v>
      </c>
      <c r="AE1111" s="25" t="s">
        <v>818</v>
      </c>
    </row>
    <row r="1112" spans="20:31" ht="14.4">
      <c r="T1112" s="25" t="s">
        <v>947</v>
      </c>
      <c r="U1112" s="25" t="s">
        <v>854</v>
      </c>
      <c r="V1112" s="25" t="s">
        <v>920</v>
      </c>
      <c r="W1112" s="25" t="str">
        <f t="shared" si="36"/>
        <v>Round Cassette with Side ChannelsTop FixSmall Spring</v>
      </c>
      <c r="X1112" s="25">
        <v>10</v>
      </c>
      <c r="Y1112" s="25">
        <v>14</v>
      </c>
      <c r="Z1112" s="25">
        <v>14</v>
      </c>
      <c r="AA1112" s="25">
        <v>88</v>
      </c>
      <c r="AB1112" s="25" t="s">
        <v>821</v>
      </c>
      <c r="AC1112" s="25" t="s">
        <v>818</v>
      </c>
      <c r="AD1112" s="25" t="s">
        <v>821</v>
      </c>
      <c r="AE1112" s="25" t="s">
        <v>818</v>
      </c>
    </row>
    <row r="1113" spans="20:31" ht="14.4">
      <c r="T1113" s="25" t="s">
        <v>947</v>
      </c>
      <c r="U1113" s="25" t="s">
        <v>854</v>
      </c>
      <c r="V1113" s="25" t="s">
        <v>929</v>
      </c>
      <c r="W1113" s="25" t="str">
        <f t="shared" si="36"/>
        <v>Round Cassette with Side ChannelsTop FixUniline Spring (Old Style)</v>
      </c>
      <c r="X1113" s="25">
        <v>10</v>
      </c>
      <c r="Y1113" s="25">
        <v>14</v>
      </c>
      <c r="Z1113" s="25">
        <v>14</v>
      </c>
      <c r="AA1113" s="25">
        <v>88</v>
      </c>
      <c r="AB1113" s="25" t="s">
        <v>821</v>
      </c>
      <c r="AC1113" s="25" t="s">
        <v>818</v>
      </c>
      <c r="AD1113" s="25" t="s">
        <v>821</v>
      </c>
      <c r="AE1113" s="25" t="s">
        <v>818</v>
      </c>
    </row>
    <row r="1114" spans="20:31" ht="14.4">
      <c r="T1114" s="25" t="s">
        <v>947</v>
      </c>
      <c r="U1114" s="25" t="s">
        <v>854</v>
      </c>
      <c r="V1114" s="25" t="s">
        <v>935</v>
      </c>
      <c r="W1114" s="25" t="str">
        <f t="shared" si="36"/>
        <v>Round Cassette with Side ChannelsTop FixBecker Remote Motor</v>
      </c>
      <c r="X1114" s="25">
        <v>10</v>
      </c>
      <c r="Y1114" s="25">
        <v>14</v>
      </c>
      <c r="Z1114" s="25">
        <v>14</v>
      </c>
      <c r="AA1114" s="25">
        <v>88</v>
      </c>
      <c r="AB1114" s="25" t="s">
        <v>821</v>
      </c>
      <c r="AC1114" s="25" t="s">
        <v>818</v>
      </c>
      <c r="AD1114" s="25" t="s">
        <v>821</v>
      </c>
      <c r="AE1114" s="25" t="s">
        <v>818</v>
      </c>
    </row>
    <row r="1115" spans="20:31" ht="14.4">
      <c r="T1115" s="25" t="s">
        <v>947</v>
      </c>
      <c r="U1115" s="25" t="s">
        <v>854</v>
      </c>
      <c r="V1115" s="25" t="s">
        <v>939</v>
      </c>
      <c r="W1115" s="25" t="str">
        <f t="shared" si="36"/>
        <v>Round Cassette with Side ChannelsTop FixBecker CBUS Motor</v>
      </c>
      <c r="X1115" s="25">
        <v>10</v>
      </c>
      <c r="Y1115" s="25">
        <v>14</v>
      </c>
      <c r="Z1115" s="25">
        <v>14</v>
      </c>
      <c r="AA1115" s="25">
        <v>88</v>
      </c>
      <c r="AB1115" s="25" t="s">
        <v>821</v>
      </c>
      <c r="AC1115" s="25" t="s">
        <v>818</v>
      </c>
      <c r="AD1115" s="25" t="s">
        <v>821</v>
      </c>
      <c r="AE1115" s="25" t="s">
        <v>818</v>
      </c>
    </row>
    <row r="1116" spans="20:31" ht="14.4">
      <c r="T1116" s="25" t="s">
        <v>947</v>
      </c>
      <c r="U1116" s="25" t="s">
        <v>854</v>
      </c>
      <c r="V1116" s="25" t="s">
        <v>946</v>
      </c>
      <c r="W1116" s="25" t="str">
        <f t="shared" si="36"/>
        <v>Round Cassette with Side ChannelsTop FixBecker External Remote Motor</v>
      </c>
      <c r="X1116" s="25">
        <v>10</v>
      </c>
      <c r="Y1116" s="25">
        <v>14</v>
      </c>
      <c r="Z1116" s="25">
        <v>14</v>
      </c>
      <c r="AA1116" s="25">
        <v>88</v>
      </c>
      <c r="AB1116" s="25" t="s">
        <v>821</v>
      </c>
      <c r="AC1116" s="25" t="s">
        <v>818</v>
      </c>
      <c r="AD1116" s="25" t="s">
        <v>821</v>
      </c>
      <c r="AE1116" s="25" t="s">
        <v>818</v>
      </c>
    </row>
    <row r="1117" spans="20:31" ht="14.4">
      <c r="T1117" s="25" t="s">
        <v>947</v>
      </c>
      <c r="U1117" s="25" t="s">
        <v>854</v>
      </c>
      <c r="V1117" s="25" t="s">
        <v>951</v>
      </c>
      <c r="W1117" s="25" t="str">
        <f t="shared" si="36"/>
        <v>Round Cassette with Side ChannelsTop FixBecker External CBUS Motor</v>
      </c>
      <c r="X1117" s="25">
        <v>10</v>
      </c>
      <c r="Y1117" s="25">
        <v>14</v>
      </c>
      <c r="Z1117" s="25">
        <v>14</v>
      </c>
      <c r="AA1117" s="25">
        <v>88</v>
      </c>
      <c r="AB1117" s="25" t="s">
        <v>821</v>
      </c>
      <c r="AC1117" s="25" t="s">
        <v>818</v>
      </c>
      <c r="AD1117" s="25" t="s">
        <v>821</v>
      </c>
      <c r="AE1117" s="25" t="s">
        <v>818</v>
      </c>
    </row>
    <row r="1118" spans="20:31" ht="14.4">
      <c r="T1118" s="25" t="s">
        <v>947</v>
      </c>
      <c r="U1118" s="25" t="s">
        <v>854</v>
      </c>
      <c r="V1118" s="25" t="s">
        <v>838</v>
      </c>
      <c r="W1118" s="25" t="str">
        <f t="shared" si="36"/>
        <v>Round Cassette with Side ChannelsTop Fix1.1nm 12v Acmeda Motor</v>
      </c>
      <c r="X1118" s="25">
        <v>10</v>
      </c>
      <c r="Y1118" s="25">
        <v>14</v>
      </c>
      <c r="Z1118" s="25">
        <v>14</v>
      </c>
      <c r="AA1118" s="25">
        <v>88</v>
      </c>
      <c r="AB1118" s="25" t="s">
        <v>821</v>
      </c>
      <c r="AC1118" s="25" t="s">
        <v>818</v>
      </c>
      <c r="AD1118" s="25" t="s">
        <v>821</v>
      </c>
      <c r="AE1118" s="25" t="s">
        <v>818</v>
      </c>
    </row>
    <row r="1119" spans="20:31" ht="14.4">
      <c r="T1119" s="25" t="s">
        <v>947</v>
      </c>
      <c r="U1119" s="25" t="s">
        <v>854</v>
      </c>
      <c r="V1119" t="s">
        <v>882</v>
      </c>
      <c r="W1119" s="25" t="str">
        <f t="shared" si="36"/>
        <v>Round Cassette with Side ChannelsTop Fix2nm 12v Acmeda Motor</v>
      </c>
      <c r="X1119" s="25">
        <v>10</v>
      </c>
      <c r="Y1119" s="25">
        <v>14</v>
      </c>
      <c r="Z1119" s="25">
        <v>14</v>
      </c>
      <c r="AA1119" s="25">
        <v>88</v>
      </c>
      <c r="AB1119" s="25" t="s">
        <v>821</v>
      </c>
      <c r="AC1119" s="25" t="s">
        <v>818</v>
      </c>
      <c r="AD1119" s="25" t="s">
        <v>821</v>
      </c>
      <c r="AE1119" s="25" t="s">
        <v>818</v>
      </c>
    </row>
    <row r="1120" spans="20:31" ht="14.4">
      <c r="T1120" s="25" t="s">
        <v>947</v>
      </c>
      <c r="U1120" s="25" t="s">
        <v>854</v>
      </c>
      <c r="V1120" t="s">
        <v>896</v>
      </c>
      <c r="W1120" s="25" t="str">
        <f t="shared" si="36"/>
        <v>Round Cassette with Side ChannelsTop FixAcmeda 12v 6nm Motor</v>
      </c>
      <c r="X1120" s="25">
        <v>10</v>
      </c>
      <c r="Y1120" s="25">
        <v>14</v>
      </c>
      <c r="Z1120" s="25">
        <v>14</v>
      </c>
      <c r="AA1120" s="25">
        <v>88</v>
      </c>
      <c r="AB1120" s="25" t="s">
        <v>821</v>
      </c>
      <c r="AC1120" s="25" t="s">
        <v>818</v>
      </c>
      <c r="AD1120" s="25" t="s">
        <v>821</v>
      </c>
      <c r="AE1120" s="25" t="s">
        <v>818</v>
      </c>
    </row>
    <row r="1121" spans="20:31" ht="14.4">
      <c r="T1121" s="25" t="s">
        <v>947</v>
      </c>
      <c r="U1121" s="25" t="s">
        <v>854</v>
      </c>
      <c r="V1121" t="s">
        <v>855</v>
      </c>
      <c r="W1121" s="25" t="str">
        <f t="shared" si="36"/>
        <v>Round Cassette with Side ChannelsTop Fix0.7nm 12v Acmeda Motor</v>
      </c>
      <c r="X1121" s="25">
        <v>10</v>
      </c>
      <c r="Y1121" s="25">
        <v>14</v>
      </c>
      <c r="Z1121" s="25">
        <v>14</v>
      </c>
      <c r="AA1121" s="25">
        <v>88</v>
      </c>
      <c r="AB1121" s="25" t="s">
        <v>821</v>
      </c>
      <c r="AC1121" s="25" t="s">
        <v>818</v>
      </c>
      <c r="AD1121" s="25" t="s">
        <v>821</v>
      </c>
      <c r="AE1121" s="25" t="s">
        <v>818</v>
      </c>
    </row>
    <row r="1122" spans="20:31" ht="14.4">
      <c r="T1122" s="25" t="s">
        <v>947</v>
      </c>
      <c r="U1122" s="25" t="s">
        <v>854</v>
      </c>
      <c r="V1122" s="25" t="s">
        <v>849</v>
      </c>
      <c r="W1122" s="25" t="str">
        <f t="shared" si="36"/>
        <v>Round Cassette with Side ChannelsTop Fix1.1nm 12v Acmeda DCRF Motor with External Battery</v>
      </c>
      <c r="X1122" s="25">
        <v>10</v>
      </c>
      <c r="Y1122" s="25">
        <v>14</v>
      </c>
      <c r="Z1122" s="25">
        <v>14</v>
      </c>
      <c r="AA1122" s="25">
        <v>88</v>
      </c>
      <c r="AB1122" s="25" t="s">
        <v>821</v>
      </c>
      <c r="AC1122" s="25" t="s">
        <v>818</v>
      </c>
      <c r="AD1122" s="25" t="s">
        <v>821</v>
      </c>
      <c r="AE1122" s="25" t="s">
        <v>818</v>
      </c>
    </row>
    <row r="1123" spans="20:31" ht="14.4">
      <c r="T1123" s="25" t="s">
        <v>947</v>
      </c>
      <c r="U1123" s="25" t="s">
        <v>854</v>
      </c>
      <c r="V1123" s="25" t="s">
        <v>817</v>
      </c>
      <c r="W1123" s="25" t="str">
        <f t="shared" si="36"/>
        <v>Round Cassette with Side ChannelsTop Fix1.1nm 12v Acmeda DCRF Motor</v>
      </c>
      <c r="X1123" s="25">
        <v>10</v>
      </c>
      <c r="Y1123" s="25">
        <v>14</v>
      </c>
      <c r="Z1123" s="25">
        <v>14</v>
      </c>
      <c r="AA1123" s="25">
        <v>88</v>
      </c>
      <c r="AB1123" s="25" t="s">
        <v>821</v>
      </c>
      <c r="AC1123" s="25" t="s">
        <v>818</v>
      </c>
      <c r="AD1123" s="25" t="s">
        <v>821</v>
      </c>
      <c r="AE1123" s="25" t="s">
        <v>818</v>
      </c>
    </row>
    <row r="1124" spans="20:31" ht="14.4">
      <c r="T1124" s="25" t="s">
        <v>947</v>
      </c>
      <c r="U1124" s="25" t="s">
        <v>854</v>
      </c>
      <c r="V1124" s="25" t="s">
        <v>868</v>
      </c>
      <c r="W1124" s="25" t="str">
        <f t="shared" si="36"/>
        <v>Round Cassette with Side ChannelsTop Fix2nm 12v Acmeda DCRF Motor</v>
      </c>
      <c r="X1124" s="25">
        <v>10</v>
      </c>
      <c r="Y1124" s="25">
        <v>14</v>
      </c>
      <c r="Z1124" s="25">
        <v>14</v>
      </c>
      <c r="AA1124" s="25">
        <v>88</v>
      </c>
      <c r="AB1124" s="25" t="s">
        <v>821</v>
      </c>
      <c r="AC1124" s="25" t="s">
        <v>818</v>
      </c>
      <c r="AD1124" s="25" t="s">
        <v>821</v>
      </c>
      <c r="AE1124" s="25" t="s">
        <v>818</v>
      </c>
    </row>
    <row r="1125" spans="20:31" ht="14.4">
      <c r="T1125" s="25" t="s">
        <v>947</v>
      </c>
      <c r="U1125" s="25" t="s">
        <v>854</v>
      </c>
      <c r="V1125" t="s">
        <v>973</v>
      </c>
      <c r="W1125" s="25" t="str">
        <f t="shared" si="36"/>
        <v>Round Cassette with Side ChannelsTop FixSomfy Remote Sonesse Motor</v>
      </c>
      <c r="X1125" s="25">
        <v>10</v>
      </c>
      <c r="Y1125" s="25">
        <v>14</v>
      </c>
      <c r="Z1125" s="25">
        <v>14</v>
      </c>
      <c r="AA1125" s="25">
        <v>88</v>
      </c>
      <c r="AB1125" s="25" t="s">
        <v>821</v>
      </c>
      <c r="AC1125" s="25" t="s">
        <v>818</v>
      </c>
      <c r="AD1125" s="25" t="s">
        <v>821</v>
      </c>
      <c r="AE1125" s="25" t="s">
        <v>818</v>
      </c>
    </row>
    <row r="1126" spans="20:31" ht="14.4">
      <c r="T1126" s="25" t="s">
        <v>947</v>
      </c>
      <c r="U1126" s="25" t="s">
        <v>854</v>
      </c>
      <c r="V1126" t="s">
        <v>637</v>
      </c>
      <c r="W1126" s="25" t="str">
        <f t="shared" si="36"/>
        <v>Round Cassette with Side ChannelsTop FixSomfy 12v Remote Sonesse Motor</v>
      </c>
      <c r="X1126" s="25">
        <v>10</v>
      </c>
      <c r="Y1126" s="25">
        <v>14</v>
      </c>
      <c r="Z1126" s="25">
        <v>14</v>
      </c>
      <c r="AA1126" s="25">
        <v>88</v>
      </c>
      <c r="AB1126" s="25" t="s">
        <v>821</v>
      </c>
      <c r="AC1126" s="25" t="s">
        <v>818</v>
      </c>
      <c r="AD1126" s="25" t="s">
        <v>821</v>
      </c>
      <c r="AE1126" s="25" t="s">
        <v>818</v>
      </c>
    </row>
    <row r="1127" spans="20:31" ht="14.4">
      <c r="T1127" s="25" t="s">
        <v>947</v>
      </c>
      <c r="U1127" s="25" t="s">
        <v>854</v>
      </c>
      <c r="V1127" s="25" t="s">
        <v>974</v>
      </c>
      <c r="W1127" s="25" t="str">
        <f t="shared" si="36"/>
        <v>Round Cassette with Side ChannelsTop FixSomfy CBUS Motor</v>
      </c>
      <c r="X1127" s="25">
        <v>10</v>
      </c>
      <c r="Y1127" s="25">
        <v>14</v>
      </c>
      <c r="Z1127" s="25">
        <v>14</v>
      </c>
      <c r="AA1127" s="25">
        <v>88</v>
      </c>
      <c r="AB1127" s="25" t="s">
        <v>821</v>
      </c>
      <c r="AC1127" s="25" t="s">
        <v>818</v>
      </c>
      <c r="AD1127" s="25" t="s">
        <v>821</v>
      </c>
      <c r="AE1127" s="25" t="s">
        <v>818</v>
      </c>
    </row>
    <row r="1128" spans="20:31" ht="14.4">
      <c r="T1128" s="25" t="s">
        <v>947</v>
      </c>
      <c r="U1128" s="25" t="s">
        <v>854</v>
      </c>
      <c r="V1128" t="s">
        <v>986</v>
      </c>
      <c r="W1128" s="25" t="str">
        <f t="shared" si="36"/>
        <v>Round Cassette with Side ChannelsTop FixHD Somfy Remote Sonesse Motor</v>
      </c>
      <c r="X1128" s="25">
        <v>10</v>
      </c>
      <c r="Y1128" s="25">
        <v>14</v>
      </c>
      <c r="Z1128" s="25">
        <v>14</v>
      </c>
      <c r="AA1128" s="25">
        <v>88</v>
      </c>
      <c r="AB1128" s="25" t="s">
        <v>821</v>
      </c>
      <c r="AC1128" s="25" t="s">
        <v>818</v>
      </c>
      <c r="AD1128" s="25" t="s">
        <v>821</v>
      </c>
      <c r="AE1128" s="25" t="s">
        <v>818</v>
      </c>
    </row>
    <row r="1129" spans="20:31" ht="14.4">
      <c r="T1129" s="25" t="s">
        <v>947</v>
      </c>
      <c r="U1129" s="25" t="s">
        <v>854</v>
      </c>
      <c r="V1129" t="s">
        <v>989</v>
      </c>
      <c r="W1129" s="25" t="str">
        <f t="shared" si="36"/>
        <v>Round Cassette with Side ChannelsTop FixHD Somfy 12v Remote Sonesse Motor</v>
      </c>
      <c r="X1129" s="25">
        <v>10</v>
      </c>
      <c r="Y1129" s="25">
        <v>14</v>
      </c>
      <c r="Z1129" s="25">
        <v>14</v>
      </c>
      <c r="AA1129" s="25">
        <v>88</v>
      </c>
      <c r="AB1129" s="25" t="s">
        <v>821</v>
      </c>
      <c r="AC1129" s="25" t="s">
        <v>818</v>
      </c>
      <c r="AD1129" s="25" t="s">
        <v>821</v>
      </c>
      <c r="AE1129" s="25" t="s">
        <v>818</v>
      </c>
    </row>
    <row r="1130" spans="20:31" ht="14.4">
      <c r="T1130" s="25" t="s">
        <v>947</v>
      </c>
      <c r="U1130" s="25" t="s">
        <v>854</v>
      </c>
      <c r="V1130" s="25" t="s">
        <v>992</v>
      </c>
      <c r="W1130" s="25" t="str">
        <f t="shared" si="36"/>
        <v>Round Cassette with Side ChannelsTop FixHD Somfy CBUS Motor</v>
      </c>
      <c r="X1130" s="25">
        <v>10</v>
      </c>
      <c r="Y1130" s="25">
        <v>14</v>
      </c>
      <c r="Z1130" s="25">
        <v>14</v>
      </c>
      <c r="AA1130" s="25">
        <v>88</v>
      </c>
      <c r="AB1130" s="25" t="s">
        <v>821</v>
      </c>
      <c r="AC1130" s="25" t="s">
        <v>818</v>
      </c>
      <c r="AD1130" s="25" t="s">
        <v>821</v>
      </c>
      <c r="AE1130" s="25" t="s">
        <v>818</v>
      </c>
    </row>
    <row r="1131" spans="20:31" ht="14.4">
      <c r="T1131" s="25" t="s">
        <v>947</v>
      </c>
      <c r="U1131" s="25" t="s">
        <v>854</v>
      </c>
      <c r="V1131" s="25" t="s">
        <v>625</v>
      </c>
      <c r="W1131" s="25" t="str">
        <f t="shared" si="36"/>
        <v>Round Cassette with Side ChannelsTop FixAcmeda E6 Motor</v>
      </c>
      <c r="X1131" s="25">
        <v>10</v>
      </c>
      <c r="Y1131" s="25">
        <v>14</v>
      </c>
      <c r="Z1131" s="25">
        <v>14</v>
      </c>
      <c r="AA1131" s="25">
        <v>88</v>
      </c>
      <c r="AB1131" s="25" t="s">
        <v>821</v>
      </c>
      <c r="AC1131" s="25" t="s">
        <v>818</v>
      </c>
      <c r="AD1131" s="25" t="s">
        <v>821</v>
      </c>
      <c r="AE1131" s="25" t="s">
        <v>818</v>
      </c>
    </row>
    <row r="1132" spans="20:31" ht="14.4">
      <c r="T1132" s="25" t="s">
        <v>947</v>
      </c>
      <c r="U1132" s="25" t="s">
        <v>854</v>
      </c>
      <c r="V1132" s="25" t="s">
        <v>626</v>
      </c>
      <c r="W1132" s="25" t="str">
        <f t="shared" si="36"/>
        <v>Round Cassette with Side ChannelsTop FixAcmeda M6 Motor</v>
      </c>
      <c r="X1132" s="25">
        <v>10</v>
      </c>
      <c r="Y1132" s="25">
        <v>14</v>
      </c>
      <c r="Z1132" s="25">
        <v>14</v>
      </c>
      <c r="AA1132" s="25">
        <v>88</v>
      </c>
      <c r="AB1132" s="25" t="s">
        <v>821</v>
      </c>
      <c r="AC1132" s="25" t="s">
        <v>818</v>
      </c>
      <c r="AD1132" s="25" t="s">
        <v>821</v>
      </c>
      <c r="AE1132" s="25" t="s">
        <v>818</v>
      </c>
    </row>
    <row r="1133" spans="20:31" ht="14.4">
      <c r="T1133" s="25" t="s">
        <v>947</v>
      </c>
      <c r="U1133" s="25" t="s">
        <v>854</v>
      </c>
      <c r="V1133" s="25" t="s">
        <v>1002</v>
      </c>
      <c r="W1133" s="25" t="str">
        <f t="shared" si="36"/>
        <v>Round Cassette with Side ChannelsTop FixUniline Remote Motor</v>
      </c>
      <c r="X1133" s="25">
        <v>10</v>
      </c>
      <c r="Y1133" s="25">
        <v>14</v>
      </c>
      <c r="Z1133" s="25">
        <v>14</v>
      </c>
      <c r="AA1133" s="25">
        <v>88</v>
      </c>
      <c r="AB1133" s="25" t="s">
        <v>821</v>
      </c>
      <c r="AC1133" s="25" t="s">
        <v>818</v>
      </c>
      <c r="AD1133" s="25" t="s">
        <v>821</v>
      </c>
      <c r="AE1133" s="25" t="s">
        <v>818</v>
      </c>
    </row>
    <row r="1134" spans="20:31" ht="14.4">
      <c r="T1134" s="25" t="s">
        <v>947</v>
      </c>
      <c r="U1134" s="25" t="s">
        <v>854</v>
      </c>
      <c r="V1134" s="25" t="s">
        <v>1005</v>
      </c>
      <c r="W1134" s="25" t="str">
        <f t="shared" si="36"/>
        <v>Round Cassette with Side ChannelsTop FixUniline Cbus Motor</v>
      </c>
      <c r="X1134" s="25">
        <v>10</v>
      </c>
      <c r="Y1134" s="25">
        <v>14</v>
      </c>
      <c r="Z1134" s="25">
        <v>14</v>
      </c>
      <c r="AA1134" s="25">
        <v>88</v>
      </c>
      <c r="AB1134" s="25" t="s">
        <v>821</v>
      </c>
      <c r="AC1134" s="25" t="s">
        <v>818</v>
      </c>
      <c r="AD1134" s="25" t="s">
        <v>821</v>
      </c>
      <c r="AE1134" s="25" t="s">
        <v>818</v>
      </c>
    </row>
    <row r="1135" spans="20:31" ht="14.4">
      <c r="T1135" s="25" t="s">
        <v>947</v>
      </c>
      <c r="U1135" s="25" t="s">
        <v>854</v>
      </c>
      <c r="V1135" s="25" t="s">
        <v>981</v>
      </c>
      <c r="W1135" s="25" t="str">
        <f t="shared" si="36"/>
        <v>Round Cassette with Side ChannelsTop FixNice Remote Motor</v>
      </c>
      <c r="X1135" s="25">
        <v>10</v>
      </c>
      <c r="Y1135" s="25">
        <v>14</v>
      </c>
      <c r="Z1135" s="25">
        <v>14</v>
      </c>
      <c r="AA1135" s="25">
        <v>88</v>
      </c>
      <c r="AB1135" s="25" t="s">
        <v>821</v>
      </c>
      <c r="AC1135" s="25" t="s">
        <v>818</v>
      </c>
      <c r="AD1135" s="25" t="s">
        <v>821</v>
      </c>
      <c r="AE1135" s="25" t="s">
        <v>818</v>
      </c>
    </row>
    <row r="1136" spans="20:31" ht="14.4">
      <c r="T1136" s="25" t="s">
        <v>947</v>
      </c>
      <c r="U1136" s="25" t="s">
        <v>854</v>
      </c>
      <c r="V1136" s="25" t="s">
        <v>976</v>
      </c>
      <c r="W1136" s="25" t="str">
        <f t="shared" si="36"/>
        <v>Round Cassette with Side ChannelsTop FixNice CBus Motor</v>
      </c>
      <c r="X1136" s="25">
        <v>10</v>
      </c>
      <c r="Y1136" s="25">
        <v>14</v>
      </c>
      <c r="Z1136" s="25">
        <v>14</v>
      </c>
      <c r="AA1136" s="25">
        <v>88</v>
      </c>
      <c r="AB1136" s="25" t="s">
        <v>821</v>
      </c>
      <c r="AC1136" s="25" t="s">
        <v>818</v>
      </c>
      <c r="AD1136" s="25" t="s">
        <v>821</v>
      </c>
      <c r="AE1136" s="25" t="s">
        <v>818</v>
      </c>
    </row>
    <row r="1137" spans="20:31" ht="14.4">
      <c r="T1137" s="25" t="s">
        <v>947</v>
      </c>
      <c r="U1137" s="25" t="s">
        <v>854</v>
      </c>
      <c r="V1137" t="s">
        <v>1006</v>
      </c>
      <c r="W1137" s="25" t="str">
        <f t="shared" si="36"/>
        <v>Round Cassette with Side ChannelsTop FixSunboss Chain Winder 38mm Tube</v>
      </c>
      <c r="X1137" s="25">
        <v>10</v>
      </c>
      <c r="Y1137" s="25">
        <v>14</v>
      </c>
      <c r="Z1137" s="25">
        <v>14</v>
      </c>
      <c r="AA1137" s="25">
        <v>88</v>
      </c>
      <c r="AB1137" s="25" t="s">
        <v>821</v>
      </c>
      <c r="AC1137" s="25" t="s">
        <v>818</v>
      </c>
      <c r="AD1137" s="25" t="s">
        <v>821</v>
      </c>
      <c r="AE1137" s="25" t="s">
        <v>818</v>
      </c>
    </row>
    <row r="1138" spans="20:31" ht="14.4">
      <c r="T1138" s="25" t="s">
        <v>947</v>
      </c>
      <c r="U1138" s="25" t="s">
        <v>854</v>
      </c>
      <c r="V1138" t="s">
        <v>1017</v>
      </c>
      <c r="W1138" s="25" t="str">
        <f t="shared" si="36"/>
        <v>Round Cassette with Side ChannelsTop FixSunboss Chain Winder 43mm Tube</v>
      </c>
      <c r="X1138" s="25">
        <v>10</v>
      </c>
      <c r="Y1138" s="25">
        <v>14</v>
      </c>
      <c r="Z1138" s="25">
        <v>14</v>
      </c>
      <c r="AA1138" s="25">
        <v>88</v>
      </c>
      <c r="AB1138" s="25" t="s">
        <v>821</v>
      </c>
      <c r="AC1138" s="25" t="s">
        <v>818</v>
      </c>
      <c r="AD1138" s="25" t="s">
        <v>821</v>
      </c>
      <c r="AE1138" s="25" t="s">
        <v>818</v>
      </c>
    </row>
    <row r="1139" spans="20:31" ht="14.4">
      <c r="T1139" s="25" t="s">
        <v>947</v>
      </c>
      <c r="U1139" s="25" t="s">
        <v>854</v>
      </c>
      <c r="V1139" s="25" t="s">
        <v>1012</v>
      </c>
      <c r="W1139" s="25" t="str">
        <f t="shared" si="36"/>
        <v>Round Cassette with Side ChannelsTop FixTBS Remote Motor</v>
      </c>
      <c r="X1139" s="25">
        <v>10</v>
      </c>
      <c r="Y1139" s="25">
        <v>14</v>
      </c>
      <c r="Z1139" s="25">
        <v>14</v>
      </c>
      <c r="AA1139" s="25">
        <v>88</v>
      </c>
      <c r="AB1139" s="25" t="s">
        <v>821</v>
      </c>
      <c r="AC1139" s="25" t="s">
        <v>818</v>
      </c>
      <c r="AD1139" s="25" t="s">
        <v>821</v>
      </c>
      <c r="AE1139" s="25" t="s">
        <v>818</v>
      </c>
    </row>
    <row r="1140" spans="20:31" ht="14.4">
      <c r="T1140" s="25" t="s">
        <v>947</v>
      </c>
      <c r="U1140" s="25" t="s">
        <v>854</v>
      </c>
      <c r="V1140" t="s">
        <v>1009</v>
      </c>
      <c r="W1140" s="25" t="str">
        <f t="shared" si="36"/>
        <v>Round Cassette with Side ChannelsTop FixTBS Cbus Motor</v>
      </c>
      <c r="X1140" s="25">
        <v>10</v>
      </c>
      <c r="Y1140" s="25">
        <v>14</v>
      </c>
      <c r="Z1140" s="25">
        <v>14</v>
      </c>
      <c r="AA1140" s="25">
        <v>88</v>
      </c>
      <c r="AB1140" s="25" t="s">
        <v>821</v>
      </c>
      <c r="AC1140" s="25" t="s">
        <v>818</v>
      </c>
      <c r="AD1140" s="25" t="s">
        <v>821</v>
      </c>
      <c r="AE1140" s="25" t="s">
        <v>818</v>
      </c>
    </row>
    <row r="1141" spans="20:31" ht="14.4">
      <c r="T1141" s="25" t="s">
        <v>947</v>
      </c>
      <c r="U1141" s="25" t="s">
        <v>854</v>
      </c>
      <c r="V1141" t="s">
        <v>927</v>
      </c>
      <c r="W1141" s="25" t="str">
        <f t="shared" si="36"/>
        <v>Round Cassette with Side ChannelsTop FixAcmeda External Motor</v>
      </c>
      <c r="X1141" s="25">
        <v>10</v>
      </c>
      <c r="Y1141" s="25">
        <v>14</v>
      </c>
      <c r="Z1141" s="25">
        <v>14</v>
      </c>
      <c r="AA1141" s="25">
        <v>88</v>
      </c>
      <c r="AB1141" s="25" t="s">
        <v>821</v>
      </c>
      <c r="AC1141" s="25" t="s">
        <v>818</v>
      </c>
      <c r="AD1141" s="25" t="s">
        <v>821</v>
      </c>
      <c r="AE1141" s="25" t="s">
        <v>818</v>
      </c>
    </row>
    <row r="1142" spans="20:31" ht="14.4">
      <c r="T1142" s="25" t="s">
        <v>947</v>
      </c>
      <c r="U1142" s="25" t="s">
        <v>854</v>
      </c>
      <c r="V1142" t="s">
        <v>918</v>
      </c>
      <c r="W1142" s="25" t="str">
        <f t="shared" si="36"/>
        <v>Round Cassette with Side ChannelsTop FixAcmeda External 12v Motor</v>
      </c>
      <c r="X1142" s="25">
        <v>10</v>
      </c>
      <c r="Y1142" s="25">
        <v>14</v>
      </c>
      <c r="Z1142" s="25">
        <v>14</v>
      </c>
      <c r="AA1142" s="25">
        <v>88</v>
      </c>
      <c r="AB1142" s="25" t="s">
        <v>821</v>
      </c>
      <c r="AC1142" s="25" t="s">
        <v>818</v>
      </c>
      <c r="AD1142" s="25" t="s">
        <v>821</v>
      </c>
      <c r="AE1142" s="25" t="s">
        <v>818</v>
      </c>
    </row>
    <row r="1143" spans="20:31" ht="14.4">
      <c r="T1143" s="25" t="s">
        <v>947</v>
      </c>
      <c r="U1143" s="25" t="s">
        <v>854</v>
      </c>
      <c r="V1143" t="s">
        <v>979</v>
      </c>
      <c r="W1143" s="25" t="str">
        <f t="shared" si="36"/>
        <v>Round Cassette with Side ChannelsTop FixSomfy External CBUS Motor</v>
      </c>
      <c r="X1143" s="25">
        <v>10</v>
      </c>
      <c r="Y1143" s="25">
        <v>14</v>
      </c>
      <c r="Z1143" s="25">
        <v>14</v>
      </c>
      <c r="AA1143" s="25">
        <v>88</v>
      </c>
      <c r="AB1143" s="25" t="s">
        <v>821</v>
      </c>
      <c r="AC1143" s="25" t="s">
        <v>818</v>
      </c>
      <c r="AD1143" s="25" t="s">
        <v>821</v>
      </c>
      <c r="AE1143" s="25" t="s">
        <v>818</v>
      </c>
    </row>
    <row r="1144" spans="20:31" ht="14.4">
      <c r="T1144" s="25" t="s">
        <v>947</v>
      </c>
      <c r="U1144" s="25" t="s">
        <v>854</v>
      </c>
      <c r="V1144" t="s">
        <v>983</v>
      </c>
      <c r="W1144" s="25" t="str">
        <f t="shared" si="36"/>
        <v>Round Cassette with Side ChannelsTop FixSomfy External Remote Motor</v>
      </c>
      <c r="X1144" s="25">
        <v>10</v>
      </c>
      <c r="Y1144" s="25">
        <v>14</v>
      </c>
      <c r="Z1144" s="25">
        <v>14</v>
      </c>
      <c r="AA1144" s="25">
        <v>88</v>
      </c>
      <c r="AB1144" s="25" t="s">
        <v>821</v>
      </c>
      <c r="AC1144" s="25" t="s">
        <v>818</v>
      </c>
      <c r="AD1144" s="25" t="s">
        <v>821</v>
      </c>
      <c r="AE1144" s="25" t="s">
        <v>818</v>
      </c>
    </row>
    <row r="1145" spans="20:31" ht="14.4">
      <c r="T1145" s="25" t="s">
        <v>947</v>
      </c>
      <c r="U1145" s="25" t="s">
        <v>854</v>
      </c>
      <c r="V1145" t="s">
        <v>979</v>
      </c>
      <c r="W1145" s="25" t="str">
        <f t="shared" si="36"/>
        <v>Round Cassette with Side ChannelsTop FixSomfy External CBUS Motor</v>
      </c>
      <c r="X1145" s="25">
        <v>10</v>
      </c>
      <c r="Y1145" s="25">
        <v>14</v>
      </c>
      <c r="Z1145" s="25">
        <v>14</v>
      </c>
      <c r="AA1145" s="25">
        <v>88</v>
      </c>
      <c r="AB1145" s="25" t="s">
        <v>821</v>
      </c>
      <c r="AC1145" s="25" t="s">
        <v>818</v>
      </c>
      <c r="AD1145" s="25" t="s">
        <v>821</v>
      </c>
      <c r="AE1145" s="25" t="s">
        <v>818</v>
      </c>
    </row>
    <row r="1146" spans="20:31" ht="14.4">
      <c r="T1146" s="25" t="s">
        <v>947</v>
      </c>
      <c r="U1146" s="25" t="s">
        <v>854</v>
      </c>
      <c r="V1146" t="s">
        <v>999</v>
      </c>
      <c r="W1146" s="25" t="str">
        <f t="shared" si="36"/>
        <v>Round Cassette with Side ChannelsTop FixHD Somfy External Remote Motor</v>
      </c>
      <c r="X1146" s="25">
        <v>10</v>
      </c>
      <c r="Y1146" s="25">
        <v>14</v>
      </c>
      <c r="Z1146" s="25">
        <v>14</v>
      </c>
      <c r="AA1146" s="25">
        <v>88</v>
      </c>
      <c r="AB1146" s="25" t="s">
        <v>821</v>
      </c>
      <c r="AC1146" s="25" t="s">
        <v>818</v>
      </c>
      <c r="AD1146" s="25" t="s">
        <v>821</v>
      </c>
      <c r="AE1146" s="25" t="s">
        <v>818</v>
      </c>
    </row>
    <row r="1147" spans="20:31" ht="14.4">
      <c r="T1147" s="25" t="s">
        <v>947</v>
      </c>
      <c r="U1147" s="25" t="s">
        <v>880</v>
      </c>
      <c r="V1147" s="25" t="s">
        <v>823</v>
      </c>
      <c r="W1147" s="25" t="str">
        <f t="shared" si="36"/>
        <v>Round Cassette with Side ChannelsInside Window MountChain Winder</v>
      </c>
      <c r="X1147" s="25">
        <v>10</v>
      </c>
      <c r="Y1147" s="25">
        <v>14</v>
      </c>
      <c r="Z1147" s="25">
        <v>29</v>
      </c>
      <c r="AA1147" s="25">
        <v>88</v>
      </c>
      <c r="AB1147" s="25" t="s">
        <v>821</v>
      </c>
      <c r="AC1147" s="25" t="s">
        <v>818</v>
      </c>
      <c r="AD1147" s="25" t="s">
        <v>821</v>
      </c>
      <c r="AE1147" s="25" t="s">
        <v>818</v>
      </c>
    </row>
    <row r="1148" spans="20:31" ht="14.4">
      <c r="T1148" s="25" t="s">
        <v>947</v>
      </c>
      <c r="U1148" s="25" t="s">
        <v>880</v>
      </c>
      <c r="V1148" s="25" t="s">
        <v>841</v>
      </c>
      <c r="W1148" s="25" t="str">
        <f t="shared" si="36"/>
        <v>Round Cassette with Side ChannelsInside Window MountHD Chain Winder</v>
      </c>
      <c r="X1148" s="25">
        <v>10</v>
      </c>
      <c r="Y1148" s="25">
        <v>14</v>
      </c>
      <c r="Z1148" s="25">
        <v>29</v>
      </c>
      <c r="AA1148" s="25">
        <v>88</v>
      </c>
      <c r="AB1148" s="25" t="s">
        <v>821</v>
      </c>
      <c r="AC1148" s="25" t="s">
        <v>818</v>
      </c>
      <c r="AD1148" s="25" t="s">
        <v>821</v>
      </c>
      <c r="AE1148" s="25" t="s">
        <v>818</v>
      </c>
    </row>
    <row r="1149" spans="20:31" ht="14.4">
      <c r="T1149" s="25" t="s">
        <v>947</v>
      </c>
      <c r="U1149" s="25" t="s">
        <v>880</v>
      </c>
      <c r="V1149" s="25" t="s">
        <v>858</v>
      </c>
      <c r="W1149" s="25" t="str">
        <f t="shared" si="36"/>
        <v>Round Cassette with Side ChannelsInside Window MountChain Winder 60mm</v>
      </c>
      <c r="X1149" s="25">
        <v>10</v>
      </c>
      <c r="Y1149" s="25">
        <v>14</v>
      </c>
      <c r="Z1149" s="25">
        <v>29</v>
      </c>
      <c r="AA1149" s="25">
        <v>88</v>
      </c>
      <c r="AB1149" s="25" t="s">
        <v>821</v>
      </c>
      <c r="AC1149" s="25" t="s">
        <v>818</v>
      </c>
      <c r="AD1149" s="25" t="s">
        <v>821</v>
      </c>
      <c r="AE1149" s="25" t="s">
        <v>818</v>
      </c>
    </row>
    <row r="1150" spans="20:31" ht="14.4">
      <c r="T1150" s="25" t="s">
        <v>947</v>
      </c>
      <c r="U1150" s="25" t="s">
        <v>880</v>
      </c>
      <c r="V1150" s="25" t="s">
        <v>865</v>
      </c>
      <c r="W1150" s="25" t="str">
        <f t="shared" si="36"/>
        <v>Round Cassette with Side ChannelsInside Window MountChain Winder Fixed Guide</v>
      </c>
      <c r="X1150" s="25">
        <v>10</v>
      </c>
      <c r="Y1150" s="25">
        <v>14</v>
      </c>
      <c r="Z1150" s="25">
        <v>29</v>
      </c>
      <c r="AA1150" s="25">
        <v>88</v>
      </c>
      <c r="AB1150" s="25" t="s">
        <v>821</v>
      </c>
      <c r="AC1150" s="25" t="s">
        <v>818</v>
      </c>
      <c r="AD1150" s="25" t="s">
        <v>821</v>
      </c>
      <c r="AE1150" s="25" t="s">
        <v>818</v>
      </c>
    </row>
    <row r="1151" spans="20:31" ht="14.4">
      <c r="T1151" s="25" t="s">
        <v>947</v>
      </c>
      <c r="U1151" s="25" t="s">
        <v>880</v>
      </c>
      <c r="V1151" s="25" t="s">
        <v>181</v>
      </c>
      <c r="W1151" s="25" t="str">
        <f t="shared" si="36"/>
        <v>Round Cassette with Side ChannelsInside Window MountLinked</v>
      </c>
      <c r="X1151" s="25">
        <v>10</v>
      </c>
      <c r="Y1151" s="25">
        <v>14</v>
      </c>
      <c r="Z1151" s="25">
        <v>14</v>
      </c>
      <c r="AA1151" s="25">
        <v>88</v>
      </c>
      <c r="AB1151" s="25" t="s">
        <v>821</v>
      </c>
      <c r="AC1151" s="25" t="s">
        <v>818</v>
      </c>
      <c r="AD1151" s="25" t="s">
        <v>821</v>
      </c>
      <c r="AE1151" s="25" t="s">
        <v>818</v>
      </c>
    </row>
    <row r="1152" spans="20:31" ht="14.4">
      <c r="T1152" s="25" t="s">
        <v>947</v>
      </c>
      <c r="U1152" s="25" t="s">
        <v>880</v>
      </c>
      <c r="V1152" s="25" t="s">
        <v>898</v>
      </c>
      <c r="W1152" s="25" t="str">
        <f t="shared" si="36"/>
        <v>Round Cassette with Side ChannelsInside Window MountLinked - HD</v>
      </c>
      <c r="X1152" s="25">
        <v>10</v>
      </c>
      <c r="Y1152" s="25">
        <v>14</v>
      </c>
      <c r="Z1152" s="25">
        <v>14</v>
      </c>
      <c r="AA1152" s="25">
        <v>88</v>
      </c>
      <c r="AB1152" s="25" t="s">
        <v>821</v>
      </c>
      <c r="AC1152" s="25" t="s">
        <v>818</v>
      </c>
      <c r="AD1152" s="25" t="s">
        <v>821</v>
      </c>
      <c r="AE1152" s="25" t="s">
        <v>818</v>
      </c>
    </row>
    <row r="1153" spans="20:31" ht="14.4">
      <c r="T1153" s="25" t="s">
        <v>947</v>
      </c>
      <c r="U1153" s="25" t="s">
        <v>880</v>
      </c>
      <c r="V1153" s="25" t="s">
        <v>910</v>
      </c>
      <c r="W1153" s="25" t="str">
        <f t="shared" si="36"/>
        <v>Round Cassette with Side ChannelsInside Window MountStandard Spring</v>
      </c>
      <c r="X1153" s="25">
        <v>10</v>
      </c>
      <c r="Y1153" s="25">
        <v>14</v>
      </c>
      <c r="Z1153" s="25">
        <v>14</v>
      </c>
      <c r="AA1153" s="25">
        <v>88</v>
      </c>
      <c r="AB1153" s="25" t="s">
        <v>821</v>
      </c>
      <c r="AC1153" s="25" t="s">
        <v>818</v>
      </c>
      <c r="AD1153" s="25" t="s">
        <v>821</v>
      </c>
      <c r="AE1153" s="25" t="s">
        <v>818</v>
      </c>
    </row>
    <row r="1154" spans="20:31" ht="14.4">
      <c r="T1154" s="25" t="s">
        <v>947</v>
      </c>
      <c r="U1154" s="25" t="s">
        <v>880</v>
      </c>
      <c r="V1154" s="25" t="s">
        <v>920</v>
      </c>
      <c r="W1154" s="25" t="str">
        <f t="shared" si="36"/>
        <v>Round Cassette with Side ChannelsInside Window MountSmall Spring</v>
      </c>
      <c r="X1154" s="25">
        <v>10</v>
      </c>
      <c r="Y1154" s="25">
        <v>14</v>
      </c>
      <c r="Z1154" s="25">
        <v>14</v>
      </c>
      <c r="AA1154" s="25">
        <v>88</v>
      </c>
      <c r="AB1154" s="25" t="s">
        <v>821</v>
      </c>
      <c r="AC1154" s="25" t="s">
        <v>818</v>
      </c>
      <c r="AD1154" s="25" t="s">
        <v>821</v>
      </c>
      <c r="AE1154" s="25" t="s">
        <v>818</v>
      </c>
    </row>
    <row r="1155" spans="20:31" ht="14.4">
      <c r="T1155" s="25" t="s">
        <v>947</v>
      </c>
      <c r="U1155" s="25" t="s">
        <v>880</v>
      </c>
      <c r="V1155" s="25" t="s">
        <v>929</v>
      </c>
      <c r="W1155" s="25" t="str">
        <f t="shared" si="37" ref="W1155:W1218">CONCATENATE(T1155,U1155,V1155)</f>
        <v>Round Cassette with Side ChannelsInside Window MountUniline Spring (Old Style)</v>
      </c>
      <c r="X1155" s="25">
        <v>10</v>
      </c>
      <c r="Y1155" s="25">
        <v>14</v>
      </c>
      <c r="Z1155" s="25">
        <v>14</v>
      </c>
      <c r="AA1155" s="25">
        <v>88</v>
      </c>
      <c r="AB1155" s="25" t="s">
        <v>821</v>
      </c>
      <c r="AC1155" s="25" t="s">
        <v>818</v>
      </c>
      <c r="AD1155" s="25" t="s">
        <v>821</v>
      </c>
      <c r="AE1155" s="25" t="s">
        <v>818</v>
      </c>
    </row>
    <row r="1156" spans="20:31" ht="14.4">
      <c r="T1156" s="25" t="s">
        <v>947</v>
      </c>
      <c r="U1156" s="25" t="s">
        <v>880</v>
      </c>
      <c r="V1156" s="25" t="s">
        <v>935</v>
      </c>
      <c r="W1156" s="25" t="str">
        <f t="shared" si="37"/>
        <v>Round Cassette with Side ChannelsInside Window MountBecker Remote Motor</v>
      </c>
      <c r="X1156" s="25">
        <v>10</v>
      </c>
      <c r="Y1156" s="25">
        <v>14</v>
      </c>
      <c r="Z1156" s="25">
        <v>14</v>
      </c>
      <c r="AA1156" s="25">
        <v>88</v>
      </c>
      <c r="AB1156" s="25" t="s">
        <v>821</v>
      </c>
      <c r="AC1156" s="25" t="s">
        <v>818</v>
      </c>
      <c r="AD1156" s="25" t="s">
        <v>821</v>
      </c>
      <c r="AE1156" s="25" t="s">
        <v>818</v>
      </c>
    </row>
    <row r="1157" spans="20:31" ht="14.4">
      <c r="T1157" s="25" t="s">
        <v>947</v>
      </c>
      <c r="U1157" s="25" t="s">
        <v>880</v>
      </c>
      <c r="V1157" s="25" t="s">
        <v>939</v>
      </c>
      <c r="W1157" s="25" t="str">
        <f t="shared" si="37"/>
        <v>Round Cassette with Side ChannelsInside Window MountBecker CBUS Motor</v>
      </c>
      <c r="X1157" s="25">
        <v>10</v>
      </c>
      <c r="Y1157" s="25">
        <v>14</v>
      </c>
      <c r="Z1157" s="25">
        <v>14</v>
      </c>
      <c r="AA1157" s="25">
        <v>88</v>
      </c>
      <c r="AB1157" s="25" t="s">
        <v>821</v>
      </c>
      <c r="AC1157" s="25" t="s">
        <v>818</v>
      </c>
      <c r="AD1157" s="25" t="s">
        <v>821</v>
      </c>
      <c r="AE1157" s="25" t="s">
        <v>818</v>
      </c>
    </row>
    <row r="1158" spans="20:31" ht="14.4">
      <c r="T1158" s="25" t="s">
        <v>947</v>
      </c>
      <c r="U1158" s="25" t="s">
        <v>880</v>
      </c>
      <c r="V1158" s="25" t="s">
        <v>946</v>
      </c>
      <c r="W1158" s="25" t="str">
        <f t="shared" si="37"/>
        <v>Round Cassette with Side ChannelsInside Window MountBecker External Remote Motor</v>
      </c>
      <c r="X1158" s="25">
        <v>10</v>
      </c>
      <c r="Y1158" s="25">
        <v>14</v>
      </c>
      <c r="Z1158" s="25">
        <v>14</v>
      </c>
      <c r="AA1158" s="25">
        <v>88</v>
      </c>
      <c r="AB1158" s="25" t="s">
        <v>821</v>
      </c>
      <c r="AC1158" s="25" t="s">
        <v>818</v>
      </c>
      <c r="AD1158" s="25" t="s">
        <v>821</v>
      </c>
      <c r="AE1158" s="25" t="s">
        <v>818</v>
      </c>
    </row>
    <row r="1159" spans="20:31" ht="14.4">
      <c r="T1159" s="25" t="s">
        <v>947</v>
      </c>
      <c r="U1159" s="25" t="s">
        <v>880</v>
      </c>
      <c r="V1159" s="25" t="s">
        <v>951</v>
      </c>
      <c r="W1159" s="25" t="str">
        <f t="shared" si="37"/>
        <v>Round Cassette with Side ChannelsInside Window MountBecker External CBUS Motor</v>
      </c>
      <c r="X1159" s="25">
        <v>10</v>
      </c>
      <c r="Y1159" s="25">
        <v>14</v>
      </c>
      <c r="Z1159" s="25">
        <v>14</v>
      </c>
      <c r="AA1159" s="25">
        <v>88</v>
      </c>
      <c r="AB1159" s="25" t="s">
        <v>821</v>
      </c>
      <c r="AC1159" s="25" t="s">
        <v>818</v>
      </c>
      <c r="AD1159" s="25" t="s">
        <v>821</v>
      </c>
      <c r="AE1159" s="25" t="s">
        <v>818</v>
      </c>
    </row>
    <row r="1160" spans="20:31" ht="14.4">
      <c r="T1160" s="25" t="s">
        <v>947</v>
      </c>
      <c r="U1160" s="25" t="s">
        <v>880</v>
      </c>
      <c r="V1160" s="25" t="s">
        <v>838</v>
      </c>
      <c r="W1160" s="25" t="str">
        <f t="shared" si="37"/>
        <v>Round Cassette with Side ChannelsInside Window Mount1.1nm 12v Acmeda Motor</v>
      </c>
      <c r="X1160" s="25">
        <v>10</v>
      </c>
      <c r="Y1160" s="25">
        <v>14</v>
      </c>
      <c r="Z1160" s="25">
        <v>14</v>
      </c>
      <c r="AA1160" s="25">
        <v>88</v>
      </c>
      <c r="AB1160" s="25" t="s">
        <v>821</v>
      </c>
      <c r="AC1160" s="25" t="s">
        <v>818</v>
      </c>
      <c r="AD1160" s="25" t="s">
        <v>821</v>
      </c>
      <c r="AE1160" s="25" t="s">
        <v>818</v>
      </c>
    </row>
    <row r="1161" spans="20:31" ht="14.4">
      <c r="T1161" s="25" t="s">
        <v>947</v>
      </c>
      <c r="U1161" s="25" t="s">
        <v>880</v>
      </c>
      <c r="V1161" t="s">
        <v>882</v>
      </c>
      <c r="W1161" s="25" t="str">
        <f t="shared" si="37"/>
        <v>Round Cassette with Side ChannelsInside Window Mount2nm 12v Acmeda Motor</v>
      </c>
      <c r="X1161" s="25">
        <v>10</v>
      </c>
      <c r="Y1161" s="25">
        <v>14</v>
      </c>
      <c r="Z1161" s="25">
        <v>14</v>
      </c>
      <c r="AA1161" s="25">
        <v>88</v>
      </c>
      <c r="AB1161" s="25" t="s">
        <v>821</v>
      </c>
      <c r="AC1161" s="25" t="s">
        <v>818</v>
      </c>
      <c r="AD1161" s="25" t="s">
        <v>821</v>
      </c>
      <c r="AE1161" s="25" t="s">
        <v>818</v>
      </c>
    </row>
    <row r="1162" spans="20:31" ht="14.4">
      <c r="T1162" s="25" t="s">
        <v>947</v>
      </c>
      <c r="U1162" s="25" t="s">
        <v>880</v>
      </c>
      <c r="V1162" t="s">
        <v>896</v>
      </c>
      <c r="W1162" s="25" t="str">
        <f t="shared" si="37"/>
        <v>Round Cassette with Side ChannelsInside Window MountAcmeda 12v 6nm Motor</v>
      </c>
      <c r="X1162" s="25">
        <v>10</v>
      </c>
      <c r="Y1162" s="25">
        <v>14</v>
      </c>
      <c r="Z1162" s="25">
        <v>14</v>
      </c>
      <c r="AA1162" s="25">
        <v>88</v>
      </c>
      <c r="AB1162" s="25" t="s">
        <v>821</v>
      </c>
      <c r="AC1162" s="25" t="s">
        <v>818</v>
      </c>
      <c r="AD1162" s="25" t="s">
        <v>821</v>
      </c>
      <c r="AE1162" s="25" t="s">
        <v>818</v>
      </c>
    </row>
    <row r="1163" spans="20:31" ht="14.4">
      <c r="T1163" s="25" t="s">
        <v>947</v>
      </c>
      <c r="U1163" s="25" t="s">
        <v>880</v>
      </c>
      <c r="V1163" t="s">
        <v>855</v>
      </c>
      <c r="W1163" s="25" t="str">
        <f t="shared" si="37"/>
        <v>Round Cassette with Side ChannelsInside Window Mount0.7nm 12v Acmeda Motor</v>
      </c>
      <c r="X1163" s="25">
        <v>10</v>
      </c>
      <c r="Y1163" s="25">
        <v>14</v>
      </c>
      <c r="Z1163" s="25">
        <v>14</v>
      </c>
      <c r="AA1163" s="25">
        <v>88</v>
      </c>
      <c r="AB1163" s="25" t="s">
        <v>821</v>
      </c>
      <c r="AC1163" s="25" t="s">
        <v>818</v>
      </c>
      <c r="AD1163" s="25" t="s">
        <v>821</v>
      </c>
      <c r="AE1163" s="25" t="s">
        <v>818</v>
      </c>
    </row>
    <row r="1164" spans="20:31" ht="14.4">
      <c r="T1164" s="25" t="s">
        <v>947</v>
      </c>
      <c r="U1164" s="25" t="s">
        <v>880</v>
      </c>
      <c r="V1164" s="25" t="s">
        <v>849</v>
      </c>
      <c r="W1164" s="25" t="str">
        <f t="shared" si="37"/>
        <v>Round Cassette with Side ChannelsInside Window Mount1.1nm 12v Acmeda DCRF Motor with External Battery</v>
      </c>
      <c r="X1164" s="25">
        <v>10</v>
      </c>
      <c r="Y1164" s="25">
        <v>14</v>
      </c>
      <c r="Z1164" s="25">
        <v>14</v>
      </c>
      <c r="AA1164" s="25">
        <v>88</v>
      </c>
      <c r="AB1164" s="25" t="s">
        <v>821</v>
      </c>
      <c r="AC1164" s="25" t="s">
        <v>818</v>
      </c>
      <c r="AD1164" s="25" t="s">
        <v>821</v>
      </c>
      <c r="AE1164" s="25" t="s">
        <v>818</v>
      </c>
    </row>
    <row r="1165" spans="20:31" ht="14.4">
      <c r="T1165" s="25" t="s">
        <v>947</v>
      </c>
      <c r="U1165" s="25" t="s">
        <v>880</v>
      </c>
      <c r="V1165" s="25" t="s">
        <v>817</v>
      </c>
      <c r="W1165" s="25" t="str">
        <f t="shared" si="37"/>
        <v>Round Cassette with Side ChannelsInside Window Mount1.1nm 12v Acmeda DCRF Motor</v>
      </c>
      <c r="X1165" s="25">
        <v>10</v>
      </c>
      <c r="Y1165" s="25">
        <v>14</v>
      </c>
      <c r="Z1165" s="25">
        <v>14</v>
      </c>
      <c r="AA1165" s="25">
        <v>88</v>
      </c>
      <c r="AB1165" s="25" t="s">
        <v>821</v>
      </c>
      <c r="AC1165" s="25" t="s">
        <v>818</v>
      </c>
      <c r="AD1165" s="25" t="s">
        <v>821</v>
      </c>
      <c r="AE1165" s="25" t="s">
        <v>818</v>
      </c>
    </row>
    <row r="1166" spans="20:31" ht="14.4">
      <c r="T1166" s="25" t="s">
        <v>947</v>
      </c>
      <c r="U1166" s="25" t="s">
        <v>880</v>
      </c>
      <c r="V1166" s="25" t="s">
        <v>868</v>
      </c>
      <c r="W1166" s="25" t="str">
        <f t="shared" si="37"/>
        <v>Round Cassette with Side ChannelsInside Window Mount2nm 12v Acmeda DCRF Motor</v>
      </c>
      <c r="X1166" s="25">
        <v>10</v>
      </c>
      <c r="Y1166" s="25">
        <v>14</v>
      </c>
      <c r="Z1166" s="25">
        <v>14</v>
      </c>
      <c r="AA1166" s="25">
        <v>88</v>
      </c>
      <c r="AB1166" s="25" t="s">
        <v>821</v>
      </c>
      <c r="AC1166" s="25" t="s">
        <v>818</v>
      </c>
      <c r="AD1166" s="25" t="s">
        <v>821</v>
      </c>
      <c r="AE1166" s="25" t="s">
        <v>818</v>
      </c>
    </row>
    <row r="1167" spans="20:31" ht="14.4">
      <c r="T1167" s="25" t="s">
        <v>947</v>
      </c>
      <c r="U1167" s="25" t="s">
        <v>880</v>
      </c>
      <c r="V1167" t="s">
        <v>973</v>
      </c>
      <c r="W1167" s="25" t="str">
        <f t="shared" si="37"/>
        <v>Round Cassette with Side ChannelsInside Window MountSomfy Remote Sonesse Motor</v>
      </c>
      <c r="X1167" s="25">
        <v>10</v>
      </c>
      <c r="Y1167" s="25">
        <v>14</v>
      </c>
      <c r="Z1167" s="25">
        <v>14</v>
      </c>
      <c r="AA1167" s="25">
        <v>88</v>
      </c>
      <c r="AB1167" s="25" t="s">
        <v>821</v>
      </c>
      <c r="AC1167" s="25" t="s">
        <v>818</v>
      </c>
      <c r="AD1167" s="25" t="s">
        <v>821</v>
      </c>
      <c r="AE1167" s="25" t="s">
        <v>818</v>
      </c>
    </row>
    <row r="1168" spans="20:31" ht="14.4">
      <c r="T1168" s="25" t="s">
        <v>947</v>
      </c>
      <c r="U1168" s="25" t="s">
        <v>880</v>
      </c>
      <c r="V1168" t="s">
        <v>637</v>
      </c>
      <c r="W1168" s="25" t="str">
        <f t="shared" si="37"/>
        <v>Round Cassette with Side ChannelsInside Window MountSomfy 12v Remote Sonesse Motor</v>
      </c>
      <c r="X1168" s="25">
        <v>10</v>
      </c>
      <c r="Y1168" s="25">
        <v>14</v>
      </c>
      <c r="Z1168" s="25">
        <v>14</v>
      </c>
      <c r="AA1168" s="25">
        <v>88</v>
      </c>
      <c r="AB1168" s="25" t="s">
        <v>821</v>
      </c>
      <c r="AC1168" s="25" t="s">
        <v>818</v>
      </c>
      <c r="AD1168" s="25" t="s">
        <v>821</v>
      </c>
      <c r="AE1168" s="25" t="s">
        <v>818</v>
      </c>
    </row>
    <row r="1169" spans="20:31" ht="14.4">
      <c r="T1169" s="25" t="s">
        <v>947</v>
      </c>
      <c r="U1169" s="25" t="s">
        <v>880</v>
      </c>
      <c r="V1169" s="25" t="s">
        <v>974</v>
      </c>
      <c r="W1169" s="25" t="str">
        <f t="shared" si="37"/>
        <v>Round Cassette with Side ChannelsInside Window MountSomfy CBUS Motor</v>
      </c>
      <c r="X1169" s="25">
        <v>10</v>
      </c>
      <c r="Y1169" s="25">
        <v>14</v>
      </c>
      <c r="Z1169" s="25">
        <v>14</v>
      </c>
      <c r="AA1169" s="25">
        <v>88</v>
      </c>
      <c r="AB1169" s="25" t="s">
        <v>821</v>
      </c>
      <c r="AC1169" s="25" t="s">
        <v>818</v>
      </c>
      <c r="AD1169" s="25" t="s">
        <v>821</v>
      </c>
      <c r="AE1169" s="25" t="s">
        <v>818</v>
      </c>
    </row>
    <row r="1170" spans="20:31" ht="14.4">
      <c r="T1170" s="25" t="s">
        <v>947</v>
      </c>
      <c r="U1170" s="25" t="s">
        <v>880</v>
      </c>
      <c r="V1170" t="s">
        <v>986</v>
      </c>
      <c r="W1170" s="25" t="str">
        <f t="shared" si="37"/>
        <v>Round Cassette with Side ChannelsInside Window MountHD Somfy Remote Sonesse Motor</v>
      </c>
      <c r="X1170" s="25">
        <v>10</v>
      </c>
      <c r="Y1170" s="25">
        <v>14</v>
      </c>
      <c r="Z1170" s="25">
        <v>14</v>
      </c>
      <c r="AA1170" s="25">
        <v>88</v>
      </c>
      <c r="AB1170" s="25" t="s">
        <v>821</v>
      </c>
      <c r="AC1170" s="25" t="s">
        <v>818</v>
      </c>
      <c r="AD1170" s="25" t="s">
        <v>821</v>
      </c>
      <c r="AE1170" s="25" t="s">
        <v>818</v>
      </c>
    </row>
    <row r="1171" spans="20:31" ht="14.4">
      <c r="T1171" s="25" t="s">
        <v>947</v>
      </c>
      <c r="U1171" s="25" t="s">
        <v>880</v>
      </c>
      <c r="V1171" t="s">
        <v>989</v>
      </c>
      <c r="W1171" s="25" t="str">
        <f t="shared" si="37"/>
        <v>Round Cassette with Side ChannelsInside Window MountHD Somfy 12v Remote Sonesse Motor</v>
      </c>
      <c r="X1171" s="25">
        <v>10</v>
      </c>
      <c r="Y1171" s="25">
        <v>14</v>
      </c>
      <c r="Z1171" s="25">
        <v>14</v>
      </c>
      <c r="AA1171" s="25">
        <v>88</v>
      </c>
      <c r="AB1171" s="25" t="s">
        <v>821</v>
      </c>
      <c r="AC1171" s="25" t="s">
        <v>818</v>
      </c>
      <c r="AD1171" s="25" t="s">
        <v>821</v>
      </c>
      <c r="AE1171" s="25" t="s">
        <v>818</v>
      </c>
    </row>
    <row r="1172" spans="20:31" ht="14.4">
      <c r="T1172" s="25" t="s">
        <v>947</v>
      </c>
      <c r="U1172" s="25" t="s">
        <v>880</v>
      </c>
      <c r="V1172" s="25" t="s">
        <v>992</v>
      </c>
      <c r="W1172" s="25" t="str">
        <f t="shared" si="37"/>
        <v>Round Cassette with Side ChannelsInside Window MountHD Somfy CBUS Motor</v>
      </c>
      <c r="X1172" s="25">
        <v>10</v>
      </c>
      <c r="Y1172" s="25">
        <v>14</v>
      </c>
      <c r="Z1172" s="25">
        <v>14</v>
      </c>
      <c r="AA1172" s="25">
        <v>88</v>
      </c>
      <c r="AB1172" s="25" t="s">
        <v>821</v>
      </c>
      <c r="AC1172" s="25" t="s">
        <v>818</v>
      </c>
      <c r="AD1172" s="25" t="s">
        <v>821</v>
      </c>
      <c r="AE1172" s="25" t="s">
        <v>818</v>
      </c>
    </row>
    <row r="1173" spans="20:31" ht="14.4">
      <c r="T1173" s="25" t="s">
        <v>947</v>
      </c>
      <c r="U1173" s="25" t="s">
        <v>880</v>
      </c>
      <c r="V1173" s="25" t="s">
        <v>625</v>
      </c>
      <c r="W1173" s="25" t="str">
        <f t="shared" si="37"/>
        <v>Round Cassette with Side ChannelsInside Window MountAcmeda E6 Motor</v>
      </c>
      <c r="X1173" s="25">
        <v>10</v>
      </c>
      <c r="Y1173" s="25">
        <v>14</v>
      </c>
      <c r="Z1173" s="25">
        <v>14</v>
      </c>
      <c r="AA1173" s="25">
        <v>88</v>
      </c>
      <c r="AB1173" s="25" t="s">
        <v>821</v>
      </c>
      <c r="AC1173" s="25" t="s">
        <v>818</v>
      </c>
      <c r="AD1173" s="25" t="s">
        <v>821</v>
      </c>
      <c r="AE1173" s="25" t="s">
        <v>818</v>
      </c>
    </row>
    <row r="1174" spans="20:31" ht="14.4">
      <c r="T1174" s="25" t="s">
        <v>947</v>
      </c>
      <c r="U1174" s="25" t="s">
        <v>880</v>
      </c>
      <c r="V1174" s="25" t="s">
        <v>626</v>
      </c>
      <c r="W1174" s="25" t="str">
        <f t="shared" si="37"/>
        <v>Round Cassette with Side ChannelsInside Window MountAcmeda M6 Motor</v>
      </c>
      <c r="X1174" s="25">
        <v>10</v>
      </c>
      <c r="Y1174" s="25">
        <v>14</v>
      </c>
      <c r="Z1174" s="25">
        <v>14</v>
      </c>
      <c r="AA1174" s="25">
        <v>88</v>
      </c>
      <c r="AB1174" s="25" t="s">
        <v>821</v>
      </c>
      <c r="AC1174" s="25" t="s">
        <v>818</v>
      </c>
      <c r="AD1174" s="25" t="s">
        <v>821</v>
      </c>
      <c r="AE1174" s="25" t="s">
        <v>818</v>
      </c>
    </row>
    <row r="1175" spans="20:31" ht="14.4">
      <c r="T1175" s="25" t="s">
        <v>947</v>
      </c>
      <c r="U1175" s="25" t="s">
        <v>880</v>
      </c>
      <c r="V1175" s="25" t="s">
        <v>1002</v>
      </c>
      <c r="W1175" s="25" t="str">
        <f t="shared" si="37"/>
        <v>Round Cassette with Side ChannelsInside Window MountUniline Remote Motor</v>
      </c>
      <c r="X1175" s="25">
        <v>10</v>
      </c>
      <c r="Y1175" s="25">
        <v>14</v>
      </c>
      <c r="Z1175" s="25">
        <v>14</v>
      </c>
      <c r="AA1175" s="25">
        <v>88</v>
      </c>
      <c r="AB1175" s="25" t="s">
        <v>821</v>
      </c>
      <c r="AC1175" s="25" t="s">
        <v>818</v>
      </c>
      <c r="AD1175" s="25" t="s">
        <v>821</v>
      </c>
      <c r="AE1175" s="25" t="s">
        <v>818</v>
      </c>
    </row>
    <row r="1176" spans="20:31" ht="14.4">
      <c r="T1176" s="25" t="s">
        <v>947</v>
      </c>
      <c r="U1176" s="25" t="s">
        <v>880</v>
      </c>
      <c r="V1176" s="25" t="s">
        <v>1005</v>
      </c>
      <c r="W1176" s="25" t="str">
        <f t="shared" si="37"/>
        <v>Round Cassette with Side ChannelsInside Window MountUniline Cbus Motor</v>
      </c>
      <c r="X1176" s="25">
        <v>10</v>
      </c>
      <c r="Y1176" s="25">
        <v>14</v>
      </c>
      <c r="Z1176" s="25">
        <v>14</v>
      </c>
      <c r="AA1176" s="25">
        <v>88</v>
      </c>
      <c r="AB1176" s="25" t="s">
        <v>821</v>
      </c>
      <c r="AC1176" s="25" t="s">
        <v>818</v>
      </c>
      <c r="AD1176" s="25" t="s">
        <v>821</v>
      </c>
      <c r="AE1176" s="25" t="s">
        <v>818</v>
      </c>
    </row>
    <row r="1177" spans="20:31" ht="14.4">
      <c r="T1177" s="25" t="s">
        <v>947</v>
      </c>
      <c r="U1177" s="25" t="s">
        <v>880</v>
      </c>
      <c r="V1177" s="25" t="s">
        <v>981</v>
      </c>
      <c r="W1177" s="25" t="str">
        <f t="shared" si="37"/>
        <v>Round Cassette with Side ChannelsInside Window MountNice Remote Motor</v>
      </c>
      <c r="X1177" s="25">
        <v>10</v>
      </c>
      <c r="Y1177" s="25">
        <v>14</v>
      </c>
      <c r="Z1177" s="25">
        <v>14</v>
      </c>
      <c r="AA1177" s="25">
        <v>88</v>
      </c>
      <c r="AB1177" s="25" t="s">
        <v>821</v>
      </c>
      <c r="AC1177" s="25" t="s">
        <v>818</v>
      </c>
      <c r="AD1177" s="25" t="s">
        <v>821</v>
      </c>
      <c r="AE1177" s="25" t="s">
        <v>818</v>
      </c>
    </row>
    <row r="1178" spans="20:31" ht="14.4">
      <c r="T1178" s="25" t="s">
        <v>947</v>
      </c>
      <c r="U1178" s="25" t="s">
        <v>880</v>
      </c>
      <c r="V1178" s="25" t="s">
        <v>976</v>
      </c>
      <c r="W1178" s="25" t="str">
        <f t="shared" si="37"/>
        <v>Round Cassette with Side ChannelsInside Window MountNice CBus Motor</v>
      </c>
      <c r="X1178" s="25">
        <v>10</v>
      </c>
      <c r="Y1178" s="25">
        <v>14</v>
      </c>
      <c r="Z1178" s="25">
        <v>14</v>
      </c>
      <c r="AA1178" s="25">
        <v>88</v>
      </c>
      <c r="AB1178" s="25" t="s">
        <v>821</v>
      </c>
      <c r="AC1178" s="25" t="s">
        <v>818</v>
      </c>
      <c r="AD1178" s="25" t="s">
        <v>821</v>
      </c>
      <c r="AE1178" s="25" t="s">
        <v>818</v>
      </c>
    </row>
    <row r="1179" spans="20:31" ht="14.4">
      <c r="T1179" s="25" t="s">
        <v>947</v>
      </c>
      <c r="U1179" s="25" t="s">
        <v>880</v>
      </c>
      <c r="V1179" t="s">
        <v>1006</v>
      </c>
      <c r="W1179" s="25" t="str">
        <f t="shared" si="37"/>
        <v>Round Cassette with Side ChannelsInside Window MountSunboss Chain Winder 38mm Tube</v>
      </c>
      <c r="X1179" s="25">
        <v>10</v>
      </c>
      <c r="Y1179" s="25">
        <v>14</v>
      </c>
      <c r="Z1179" s="25">
        <v>14</v>
      </c>
      <c r="AA1179" s="25">
        <v>88</v>
      </c>
      <c r="AB1179" s="25" t="s">
        <v>821</v>
      </c>
      <c r="AC1179" s="25" t="s">
        <v>818</v>
      </c>
      <c r="AD1179" s="25" t="s">
        <v>821</v>
      </c>
      <c r="AE1179" s="25" t="s">
        <v>818</v>
      </c>
    </row>
    <row r="1180" spans="20:31" ht="14.4">
      <c r="T1180" s="25" t="s">
        <v>947</v>
      </c>
      <c r="U1180" s="25" t="s">
        <v>880</v>
      </c>
      <c r="V1180" t="s">
        <v>1017</v>
      </c>
      <c r="W1180" s="25" t="str">
        <f t="shared" si="37"/>
        <v>Round Cassette with Side ChannelsInside Window MountSunboss Chain Winder 43mm Tube</v>
      </c>
      <c r="X1180" s="25">
        <v>10</v>
      </c>
      <c r="Y1180" s="25">
        <v>14</v>
      </c>
      <c r="Z1180" s="25">
        <v>14</v>
      </c>
      <c r="AA1180" s="25">
        <v>88</v>
      </c>
      <c r="AB1180" s="25" t="s">
        <v>821</v>
      </c>
      <c r="AC1180" s="25" t="s">
        <v>818</v>
      </c>
      <c r="AD1180" s="25" t="s">
        <v>821</v>
      </c>
      <c r="AE1180" s="25" t="s">
        <v>818</v>
      </c>
    </row>
    <row r="1181" spans="20:31" ht="14.4">
      <c r="T1181" s="25" t="s">
        <v>947</v>
      </c>
      <c r="U1181" s="25" t="s">
        <v>880</v>
      </c>
      <c r="V1181" s="25" t="s">
        <v>1012</v>
      </c>
      <c r="W1181" s="25" t="str">
        <f t="shared" si="37"/>
        <v>Round Cassette with Side ChannelsInside Window MountTBS Remote Motor</v>
      </c>
      <c r="X1181" s="25">
        <v>10</v>
      </c>
      <c r="Y1181" s="25">
        <v>14</v>
      </c>
      <c r="Z1181" s="25">
        <v>14</v>
      </c>
      <c r="AA1181" s="25">
        <v>88</v>
      </c>
      <c r="AB1181" s="25" t="s">
        <v>821</v>
      </c>
      <c r="AC1181" s="25" t="s">
        <v>818</v>
      </c>
      <c r="AD1181" s="25" t="s">
        <v>821</v>
      </c>
      <c r="AE1181" s="25" t="s">
        <v>818</v>
      </c>
    </row>
    <row r="1182" spans="20:31" ht="14.4">
      <c r="T1182" s="25" t="s">
        <v>947</v>
      </c>
      <c r="U1182" s="25" t="s">
        <v>880</v>
      </c>
      <c r="V1182" t="s">
        <v>1009</v>
      </c>
      <c r="W1182" s="25" t="str">
        <f t="shared" si="37"/>
        <v>Round Cassette with Side ChannelsInside Window MountTBS Cbus Motor</v>
      </c>
      <c r="X1182" s="25">
        <v>10</v>
      </c>
      <c r="Y1182" s="25">
        <v>14</v>
      </c>
      <c r="Z1182" s="25">
        <v>14</v>
      </c>
      <c r="AA1182" s="25">
        <v>88</v>
      </c>
      <c r="AB1182" s="25" t="s">
        <v>821</v>
      </c>
      <c r="AC1182" s="25" t="s">
        <v>818</v>
      </c>
      <c r="AD1182" s="25" t="s">
        <v>821</v>
      </c>
      <c r="AE1182" s="25" t="s">
        <v>818</v>
      </c>
    </row>
    <row r="1183" spans="20:31" ht="14.4">
      <c r="T1183" s="25" t="s">
        <v>947</v>
      </c>
      <c r="U1183" s="25" t="s">
        <v>880</v>
      </c>
      <c r="V1183" t="s">
        <v>927</v>
      </c>
      <c r="W1183" s="25" t="str">
        <f t="shared" si="37"/>
        <v>Round Cassette with Side ChannelsInside Window MountAcmeda External Motor</v>
      </c>
      <c r="X1183" s="25">
        <v>10</v>
      </c>
      <c r="Y1183" s="25">
        <v>14</v>
      </c>
      <c r="Z1183" s="25">
        <v>14</v>
      </c>
      <c r="AA1183" s="25">
        <v>88</v>
      </c>
      <c r="AB1183" s="25" t="s">
        <v>821</v>
      </c>
      <c r="AC1183" s="25" t="s">
        <v>818</v>
      </c>
      <c r="AD1183" s="25" t="s">
        <v>821</v>
      </c>
      <c r="AE1183" s="25" t="s">
        <v>818</v>
      </c>
    </row>
    <row r="1184" spans="20:31" ht="14.4">
      <c r="T1184" s="25" t="s">
        <v>947</v>
      </c>
      <c r="U1184" s="25" t="s">
        <v>880</v>
      </c>
      <c r="V1184" t="s">
        <v>918</v>
      </c>
      <c r="W1184" s="25" t="str">
        <f t="shared" si="37"/>
        <v>Round Cassette with Side ChannelsInside Window MountAcmeda External 12v Motor</v>
      </c>
      <c r="X1184" s="25">
        <v>10</v>
      </c>
      <c r="Y1184" s="25">
        <v>14</v>
      </c>
      <c r="Z1184" s="25">
        <v>14</v>
      </c>
      <c r="AA1184" s="25">
        <v>88</v>
      </c>
      <c r="AB1184" s="25" t="s">
        <v>821</v>
      </c>
      <c r="AC1184" s="25" t="s">
        <v>818</v>
      </c>
      <c r="AD1184" s="25" t="s">
        <v>821</v>
      </c>
      <c r="AE1184" s="25" t="s">
        <v>818</v>
      </c>
    </row>
    <row r="1185" spans="20:31" ht="14.4">
      <c r="T1185" s="25" t="s">
        <v>947</v>
      </c>
      <c r="U1185" s="25" t="s">
        <v>880</v>
      </c>
      <c r="V1185" t="s">
        <v>979</v>
      </c>
      <c r="W1185" s="25" t="str">
        <f t="shared" si="37"/>
        <v>Round Cassette with Side ChannelsInside Window MountSomfy External CBUS Motor</v>
      </c>
      <c r="X1185" s="25">
        <v>10</v>
      </c>
      <c r="Y1185" s="25">
        <v>14</v>
      </c>
      <c r="Z1185" s="25">
        <v>14</v>
      </c>
      <c r="AA1185" s="25">
        <v>88</v>
      </c>
      <c r="AB1185" s="25" t="s">
        <v>821</v>
      </c>
      <c r="AC1185" s="25" t="s">
        <v>818</v>
      </c>
      <c r="AD1185" s="25" t="s">
        <v>821</v>
      </c>
      <c r="AE1185" s="25" t="s">
        <v>818</v>
      </c>
    </row>
    <row r="1186" spans="20:31" ht="14.4">
      <c r="T1186" s="25" t="s">
        <v>947</v>
      </c>
      <c r="U1186" s="25" t="s">
        <v>880</v>
      </c>
      <c r="V1186" t="s">
        <v>983</v>
      </c>
      <c r="W1186" s="25" t="str">
        <f t="shared" si="37"/>
        <v>Round Cassette with Side ChannelsInside Window MountSomfy External Remote Motor</v>
      </c>
      <c r="X1186" s="25">
        <v>10</v>
      </c>
      <c r="Y1186" s="25">
        <v>14</v>
      </c>
      <c r="Z1186" s="25">
        <v>14</v>
      </c>
      <c r="AA1186" s="25">
        <v>88</v>
      </c>
      <c r="AB1186" s="25" t="s">
        <v>821</v>
      </c>
      <c r="AC1186" s="25" t="s">
        <v>818</v>
      </c>
      <c r="AD1186" s="25" t="s">
        <v>821</v>
      </c>
      <c r="AE1186" s="25" t="s">
        <v>818</v>
      </c>
    </row>
    <row r="1187" spans="20:31" ht="14.4">
      <c r="T1187" s="25" t="s">
        <v>947</v>
      </c>
      <c r="U1187" s="25" t="s">
        <v>880</v>
      </c>
      <c r="V1187" t="s">
        <v>995</v>
      </c>
      <c r="W1187" s="25" t="str">
        <f t="shared" si="37"/>
        <v>Round Cassette with Side ChannelsInside Window MountHD Somfy External CBUS Motor</v>
      </c>
      <c r="X1187" s="25">
        <v>10</v>
      </c>
      <c r="Y1187" s="25">
        <v>14</v>
      </c>
      <c r="Z1187" s="25">
        <v>14</v>
      </c>
      <c r="AA1187" s="25">
        <v>88</v>
      </c>
      <c r="AB1187" s="25" t="s">
        <v>821</v>
      </c>
      <c r="AC1187" s="25" t="s">
        <v>818</v>
      </c>
      <c r="AD1187" s="25" t="s">
        <v>821</v>
      </c>
      <c r="AE1187" s="25" t="s">
        <v>818</v>
      </c>
    </row>
    <row r="1188" spans="20:31" ht="14.4">
      <c r="T1188" s="25" t="s">
        <v>947</v>
      </c>
      <c r="U1188" s="25" t="s">
        <v>880</v>
      </c>
      <c r="V1188" t="s">
        <v>999</v>
      </c>
      <c r="W1188" s="25" t="str">
        <f t="shared" si="37"/>
        <v>Round Cassette with Side ChannelsInside Window MountHD Somfy External Remote Motor</v>
      </c>
      <c r="X1188" s="25">
        <v>10</v>
      </c>
      <c r="Y1188" s="25">
        <v>14</v>
      </c>
      <c r="Z1188" s="25">
        <v>14</v>
      </c>
      <c r="AA1188" s="25">
        <v>88</v>
      </c>
      <c r="AB1188" s="25" t="s">
        <v>821</v>
      </c>
      <c r="AC1188" s="25" t="s">
        <v>818</v>
      </c>
      <c r="AD1188" s="25" t="s">
        <v>821</v>
      </c>
      <c r="AE1188" s="25" t="s">
        <v>818</v>
      </c>
    </row>
    <row r="1189" spans="20:31" ht="14.4">
      <c r="T1189" s="25" t="s">
        <v>947</v>
      </c>
      <c r="U1189" s="25" t="s">
        <v>867</v>
      </c>
      <c r="V1189" s="25" t="s">
        <v>823</v>
      </c>
      <c r="W1189" s="25" t="str">
        <f t="shared" si="37"/>
        <v>Round Cassette with Side ChannelsOutside Window MountChain Winder</v>
      </c>
      <c r="X1189" s="25">
        <v>10</v>
      </c>
      <c r="Y1189" s="25">
        <v>14</v>
      </c>
      <c r="Z1189" s="25">
        <v>29</v>
      </c>
      <c r="AA1189" s="25">
        <v>88</v>
      </c>
      <c r="AB1189" s="25" t="s">
        <v>821</v>
      </c>
      <c r="AC1189" s="25" t="s">
        <v>818</v>
      </c>
      <c r="AD1189" s="25" t="s">
        <v>821</v>
      </c>
      <c r="AE1189" s="25" t="s">
        <v>818</v>
      </c>
    </row>
    <row r="1190" spans="20:31" ht="14.4">
      <c r="T1190" s="25" t="s">
        <v>947</v>
      </c>
      <c r="U1190" s="25" t="s">
        <v>867</v>
      </c>
      <c r="V1190" s="25" t="s">
        <v>841</v>
      </c>
      <c r="W1190" s="25" t="str">
        <f t="shared" si="37"/>
        <v>Round Cassette with Side ChannelsOutside Window MountHD Chain Winder</v>
      </c>
      <c r="X1190" s="25">
        <v>10</v>
      </c>
      <c r="Y1190" s="25">
        <v>14</v>
      </c>
      <c r="Z1190" s="25">
        <v>29</v>
      </c>
      <c r="AA1190" s="25">
        <v>88</v>
      </c>
      <c r="AB1190" s="25" t="s">
        <v>821</v>
      </c>
      <c r="AC1190" s="25" t="s">
        <v>818</v>
      </c>
      <c r="AD1190" s="25" t="s">
        <v>821</v>
      </c>
      <c r="AE1190" s="25" t="s">
        <v>818</v>
      </c>
    </row>
    <row r="1191" spans="20:31" ht="14.4">
      <c r="T1191" s="25" t="s">
        <v>947</v>
      </c>
      <c r="U1191" s="25" t="s">
        <v>867</v>
      </c>
      <c r="V1191" s="25" t="s">
        <v>858</v>
      </c>
      <c r="W1191" s="25" t="str">
        <f t="shared" si="37"/>
        <v>Round Cassette with Side ChannelsOutside Window MountChain Winder 60mm</v>
      </c>
      <c r="X1191" s="25">
        <v>10</v>
      </c>
      <c r="Y1191" s="25">
        <v>14</v>
      </c>
      <c r="Z1191" s="25">
        <v>29</v>
      </c>
      <c r="AA1191" s="25">
        <v>88</v>
      </c>
      <c r="AB1191" s="25" t="s">
        <v>821</v>
      </c>
      <c r="AC1191" s="25" t="s">
        <v>818</v>
      </c>
      <c r="AD1191" s="25" t="s">
        <v>821</v>
      </c>
      <c r="AE1191" s="25" t="s">
        <v>818</v>
      </c>
    </row>
    <row r="1192" spans="20:31" ht="14.4">
      <c r="T1192" s="25" t="s">
        <v>947</v>
      </c>
      <c r="U1192" s="25" t="s">
        <v>867</v>
      </c>
      <c r="V1192" s="25" t="s">
        <v>865</v>
      </c>
      <c r="W1192" s="25" t="str">
        <f t="shared" si="37"/>
        <v>Round Cassette with Side ChannelsOutside Window MountChain Winder Fixed Guide</v>
      </c>
      <c r="X1192" s="25">
        <v>10</v>
      </c>
      <c r="Y1192" s="25">
        <v>14</v>
      </c>
      <c r="Z1192" s="25">
        <v>29</v>
      </c>
      <c r="AA1192" s="25">
        <v>88</v>
      </c>
      <c r="AB1192" s="25" t="s">
        <v>821</v>
      </c>
      <c r="AC1192" s="25" t="s">
        <v>818</v>
      </c>
      <c r="AD1192" s="25" t="s">
        <v>821</v>
      </c>
      <c r="AE1192" s="25" t="s">
        <v>818</v>
      </c>
    </row>
    <row r="1193" spans="20:31" ht="14.4">
      <c r="T1193" s="25" t="s">
        <v>947</v>
      </c>
      <c r="U1193" s="25" t="s">
        <v>867</v>
      </c>
      <c r="V1193" s="25" t="s">
        <v>181</v>
      </c>
      <c r="W1193" s="25" t="str">
        <f t="shared" si="37"/>
        <v>Round Cassette with Side ChannelsOutside Window MountLinked</v>
      </c>
      <c r="X1193" s="25">
        <v>10</v>
      </c>
      <c r="Y1193" s="25">
        <v>14</v>
      </c>
      <c r="Z1193" s="25">
        <v>14</v>
      </c>
      <c r="AA1193" s="25">
        <v>88</v>
      </c>
      <c r="AB1193" s="25" t="s">
        <v>821</v>
      </c>
      <c r="AC1193" s="25" t="s">
        <v>818</v>
      </c>
      <c r="AD1193" s="25" t="s">
        <v>821</v>
      </c>
      <c r="AE1193" s="25" t="s">
        <v>818</v>
      </c>
    </row>
    <row r="1194" spans="20:31" ht="14.4">
      <c r="T1194" s="25" t="s">
        <v>947</v>
      </c>
      <c r="U1194" s="25" t="s">
        <v>867</v>
      </c>
      <c r="V1194" s="25" t="s">
        <v>898</v>
      </c>
      <c r="W1194" s="25" t="str">
        <f t="shared" si="37"/>
        <v>Round Cassette with Side ChannelsOutside Window MountLinked - HD</v>
      </c>
      <c r="X1194" s="25">
        <v>10</v>
      </c>
      <c r="Y1194" s="25">
        <v>14</v>
      </c>
      <c r="Z1194" s="25">
        <v>14</v>
      </c>
      <c r="AA1194" s="25">
        <v>88</v>
      </c>
      <c r="AB1194" s="25" t="s">
        <v>821</v>
      </c>
      <c r="AC1194" s="25" t="s">
        <v>818</v>
      </c>
      <c r="AD1194" s="25" t="s">
        <v>821</v>
      </c>
      <c r="AE1194" s="25" t="s">
        <v>818</v>
      </c>
    </row>
    <row r="1195" spans="20:31" ht="14.4">
      <c r="T1195" s="25" t="s">
        <v>947</v>
      </c>
      <c r="U1195" s="25" t="s">
        <v>867</v>
      </c>
      <c r="V1195" s="25" t="s">
        <v>910</v>
      </c>
      <c r="W1195" s="25" t="str">
        <f t="shared" si="37"/>
        <v>Round Cassette with Side ChannelsOutside Window MountStandard Spring</v>
      </c>
      <c r="X1195" s="25">
        <v>10</v>
      </c>
      <c r="Y1195" s="25">
        <v>14</v>
      </c>
      <c r="Z1195" s="25">
        <v>14</v>
      </c>
      <c r="AA1195" s="25">
        <v>88</v>
      </c>
      <c r="AB1195" s="25" t="s">
        <v>821</v>
      </c>
      <c r="AC1195" s="25" t="s">
        <v>818</v>
      </c>
      <c r="AD1195" s="25" t="s">
        <v>821</v>
      </c>
      <c r="AE1195" s="25" t="s">
        <v>818</v>
      </c>
    </row>
    <row r="1196" spans="20:31" ht="14.4">
      <c r="T1196" s="25" t="s">
        <v>947</v>
      </c>
      <c r="U1196" s="25" t="s">
        <v>867</v>
      </c>
      <c r="V1196" s="25" t="s">
        <v>920</v>
      </c>
      <c r="W1196" s="25" t="str">
        <f t="shared" si="37"/>
        <v>Round Cassette with Side ChannelsOutside Window MountSmall Spring</v>
      </c>
      <c r="X1196" s="25">
        <v>10</v>
      </c>
      <c r="Y1196" s="25">
        <v>14</v>
      </c>
      <c r="Z1196" s="25">
        <v>14</v>
      </c>
      <c r="AA1196" s="25">
        <v>88</v>
      </c>
      <c r="AB1196" s="25" t="s">
        <v>821</v>
      </c>
      <c r="AC1196" s="25" t="s">
        <v>818</v>
      </c>
      <c r="AD1196" s="25" t="s">
        <v>821</v>
      </c>
      <c r="AE1196" s="25" t="s">
        <v>818</v>
      </c>
    </row>
    <row r="1197" spans="20:31" ht="14.4">
      <c r="T1197" s="25" t="s">
        <v>947</v>
      </c>
      <c r="U1197" s="25" t="s">
        <v>867</v>
      </c>
      <c r="V1197" s="25" t="s">
        <v>929</v>
      </c>
      <c r="W1197" s="25" t="str">
        <f t="shared" si="37"/>
        <v>Round Cassette with Side ChannelsOutside Window MountUniline Spring (Old Style)</v>
      </c>
      <c r="X1197" s="25">
        <v>10</v>
      </c>
      <c r="Y1197" s="25">
        <v>14</v>
      </c>
      <c r="Z1197" s="25">
        <v>14</v>
      </c>
      <c r="AA1197" s="25">
        <v>88</v>
      </c>
      <c r="AB1197" s="25" t="s">
        <v>821</v>
      </c>
      <c r="AC1197" s="25" t="s">
        <v>818</v>
      </c>
      <c r="AD1197" s="25" t="s">
        <v>821</v>
      </c>
      <c r="AE1197" s="25" t="s">
        <v>818</v>
      </c>
    </row>
    <row r="1198" spans="20:31" ht="14.4">
      <c r="T1198" s="25" t="s">
        <v>947</v>
      </c>
      <c r="U1198" s="25" t="s">
        <v>867</v>
      </c>
      <c r="V1198" s="25" t="s">
        <v>935</v>
      </c>
      <c r="W1198" s="25" t="str">
        <f t="shared" si="37"/>
        <v>Round Cassette with Side ChannelsOutside Window MountBecker Remote Motor</v>
      </c>
      <c r="X1198" s="25">
        <v>10</v>
      </c>
      <c r="Y1198" s="25">
        <v>14</v>
      </c>
      <c r="Z1198" s="25">
        <v>14</v>
      </c>
      <c r="AA1198" s="25">
        <v>88</v>
      </c>
      <c r="AB1198" s="25" t="s">
        <v>821</v>
      </c>
      <c r="AC1198" s="25" t="s">
        <v>818</v>
      </c>
      <c r="AD1198" s="25" t="s">
        <v>821</v>
      </c>
      <c r="AE1198" s="25" t="s">
        <v>818</v>
      </c>
    </row>
    <row r="1199" spans="20:31" ht="14.4">
      <c r="T1199" s="25" t="s">
        <v>947</v>
      </c>
      <c r="U1199" s="25" t="s">
        <v>867</v>
      </c>
      <c r="V1199" s="25" t="s">
        <v>939</v>
      </c>
      <c r="W1199" s="25" t="str">
        <f t="shared" si="37"/>
        <v>Round Cassette with Side ChannelsOutside Window MountBecker CBUS Motor</v>
      </c>
      <c r="X1199" s="25">
        <v>10</v>
      </c>
      <c r="Y1199" s="25">
        <v>14</v>
      </c>
      <c r="Z1199" s="25">
        <v>14</v>
      </c>
      <c r="AA1199" s="25">
        <v>88</v>
      </c>
      <c r="AB1199" s="25" t="s">
        <v>821</v>
      </c>
      <c r="AC1199" s="25" t="s">
        <v>818</v>
      </c>
      <c r="AD1199" s="25" t="s">
        <v>821</v>
      </c>
      <c r="AE1199" s="25" t="s">
        <v>818</v>
      </c>
    </row>
    <row r="1200" spans="20:31" ht="14.4">
      <c r="T1200" s="25" t="s">
        <v>947</v>
      </c>
      <c r="U1200" s="25" t="s">
        <v>867</v>
      </c>
      <c r="V1200" s="25" t="s">
        <v>946</v>
      </c>
      <c r="W1200" s="25" t="str">
        <f t="shared" si="37"/>
        <v>Round Cassette with Side ChannelsOutside Window MountBecker External Remote Motor</v>
      </c>
      <c r="X1200" s="25">
        <v>10</v>
      </c>
      <c r="Y1200" s="25">
        <v>14</v>
      </c>
      <c r="Z1200" s="25">
        <v>14</v>
      </c>
      <c r="AA1200" s="25">
        <v>88</v>
      </c>
      <c r="AB1200" s="25" t="s">
        <v>821</v>
      </c>
      <c r="AC1200" s="25" t="s">
        <v>818</v>
      </c>
      <c r="AD1200" s="25" t="s">
        <v>821</v>
      </c>
      <c r="AE1200" s="25" t="s">
        <v>818</v>
      </c>
    </row>
    <row r="1201" spans="20:31" ht="14.4">
      <c r="T1201" s="25" t="s">
        <v>947</v>
      </c>
      <c r="U1201" s="25" t="s">
        <v>867</v>
      </c>
      <c r="V1201" s="25" t="s">
        <v>951</v>
      </c>
      <c r="W1201" s="25" t="str">
        <f t="shared" si="37"/>
        <v>Round Cassette with Side ChannelsOutside Window MountBecker External CBUS Motor</v>
      </c>
      <c r="X1201" s="25">
        <v>10</v>
      </c>
      <c r="Y1201" s="25">
        <v>14</v>
      </c>
      <c r="Z1201" s="25">
        <v>14</v>
      </c>
      <c r="AA1201" s="25">
        <v>88</v>
      </c>
      <c r="AB1201" s="25" t="s">
        <v>821</v>
      </c>
      <c r="AC1201" s="25" t="s">
        <v>818</v>
      </c>
      <c r="AD1201" s="25" t="s">
        <v>821</v>
      </c>
      <c r="AE1201" s="25" t="s">
        <v>818</v>
      </c>
    </row>
    <row r="1202" spans="20:31" ht="14.4">
      <c r="T1202" s="25" t="s">
        <v>947</v>
      </c>
      <c r="U1202" s="25" t="s">
        <v>867</v>
      </c>
      <c r="V1202" s="25" t="s">
        <v>838</v>
      </c>
      <c r="W1202" s="25" t="str">
        <f t="shared" si="37"/>
        <v>Round Cassette with Side ChannelsOutside Window Mount1.1nm 12v Acmeda Motor</v>
      </c>
      <c r="X1202" s="25">
        <v>10</v>
      </c>
      <c r="Y1202" s="25">
        <v>14</v>
      </c>
      <c r="Z1202" s="25">
        <v>14</v>
      </c>
      <c r="AA1202" s="25">
        <v>88</v>
      </c>
      <c r="AB1202" s="25" t="s">
        <v>821</v>
      </c>
      <c r="AC1202" s="25" t="s">
        <v>818</v>
      </c>
      <c r="AD1202" s="25" t="s">
        <v>821</v>
      </c>
      <c r="AE1202" s="25" t="s">
        <v>818</v>
      </c>
    </row>
    <row r="1203" spans="20:31" ht="14.4">
      <c r="T1203" s="25" t="s">
        <v>947</v>
      </c>
      <c r="U1203" s="25" t="s">
        <v>867</v>
      </c>
      <c r="V1203" t="s">
        <v>882</v>
      </c>
      <c r="W1203" s="25" t="str">
        <f t="shared" si="37"/>
        <v>Round Cassette with Side ChannelsOutside Window Mount2nm 12v Acmeda Motor</v>
      </c>
      <c r="X1203" s="25">
        <v>10</v>
      </c>
      <c r="Y1203" s="25">
        <v>14</v>
      </c>
      <c r="Z1203" s="25">
        <v>14</v>
      </c>
      <c r="AA1203" s="25">
        <v>88</v>
      </c>
      <c r="AB1203" s="25" t="s">
        <v>821</v>
      </c>
      <c r="AC1203" s="25" t="s">
        <v>818</v>
      </c>
      <c r="AD1203" s="25" t="s">
        <v>821</v>
      </c>
      <c r="AE1203" s="25" t="s">
        <v>818</v>
      </c>
    </row>
    <row r="1204" spans="20:31" ht="14.4">
      <c r="T1204" s="25" t="s">
        <v>947</v>
      </c>
      <c r="U1204" s="25" t="s">
        <v>867</v>
      </c>
      <c r="V1204" t="s">
        <v>896</v>
      </c>
      <c r="W1204" s="25" t="str">
        <f t="shared" si="37"/>
        <v>Round Cassette with Side ChannelsOutside Window MountAcmeda 12v 6nm Motor</v>
      </c>
      <c r="X1204" s="25">
        <v>10</v>
      </c>
      <c r="Y1204" s="25">
        <v>14</v>
      </c>
      <c r="Z1204" s="25">
        <v>14</v>
      </c>
      <c r="AA1204" s="25">
        <v>88</v>
      </c>
      <c r="AB1204" s="25" t="s">
        <v>821</v>
      </c>
      <c r="AC1204" s="25" t="s">
        <v>818</v>
      </c>
      <c r="AD1204" s="25" t="s">
        <v>821</v>
      </c>
      <c r="AE1204" s="25" t="s">
        <v>818</v>
      </c>
    </row>
    <row r="1205" spans="20:31" ht="14.4">
      <c r="T1205" s="25" t="s">
        <v>947</v>
      </c>
      <c r="U1205" s="25" t="s">
        <v>867</v>
      </c>
      <c r="V1205" t="s">
        <v>855</v>
      </c>
      <c r="W1205" s="25" t="str">
        <f t="shared" si="37"/>
        <v>Round Cassette with Side ChannelsOutside Window Mount0.7nm 12v Acmeda Motor</v>
      </c>
      <c r="X1205" s="25">
        <v>10</v>
      </c>
      <c r="Y1205" s="25">
        <v>14</v>
      </c>
      <c r="Z1205" s="25">
        <v>14</v>
      </c>
      <c r="AA1205" s="25">
        <v>88</v>
      </c>
      <c r="AB1205" s="25" t="s">
        <v>821</v>
      </c>
      <c r="AC1205" s="25" t="s">
        <v>818</v>
      </c>
      <c r="AD1205" s="25" t="s">
        <v>821</v>
      </c>
      <c r="AE1205" s="25" t="s">
        <v>818</v>
      </c>
    </row>
    <row r="1206" spans="20:31" ht="14.4">
      <c r="T1206" s="25" t="s">
        <v>947</v>
      </c>
      <c r="U1206" s="25" t="s">
        <v>867</v>
      </c>
      <c r="V1206" s="25" t="s">
        <v>849</v>
      </c>
      <c r="W1206" s="25" t="str">
        <f t="shared" si="37"/>
        <v>Round Cassette with Side ChannelsOutside Window Mount1.1nm 12v Acmeda DCRF Motor with External Battery</v>
      </c>
      <c r="X1206" s="25">
        <v>10</v>
      </c>
      <c r="Y1206" s="25">
        <v>14</v>
      </c>
      <c r="Z1206" s="25">
        <v>14</v>
      </c>
      <c r="AA1206" s="25">
        <v>88</v>
      </c>
      <c r="AB1206" s="25" t="s">
        <v>821</v>
      </c>
      <c r="AC1206" s="25" t="s">
        <v>818</v>
      </c>
      <c r="AD1206" s="25" t="s">
        <v>821</v>
      </c>
      <c r="AE1206" s="25" t="s">
        <v>818</v>
      </c>
    </row>
    <row r="1207" spans="20:31" ht="14.4">
      <c r="T1207" s="25" t="s">
        <v>947</v>
      </c>
      <c r="U1207" s="25" t="s">
        <v>867</v>
      </c>
      <c r="V1207" s="25" t="s">
        <v>817</v>
      </c>
      <c r="W1207" s="25" t="str">
        <f t="shared" si="37"/>
        <v>Round Cassette with Side ChannelsOutside Window Mount1.1nm 12v Acmeda DCRF Motor</v>
      </c>
      <c r="X1207" s="25">
        <v>10</v>
      </c>
      <c r="Y1207" s="25">
        <v>14</v>
      </c>
      <c r="Z1207" s="25">
        <v>14</v>
      </c>
      <c r="AA1207" s="25">
        <v>88</v>
      </c>
      <c r="AB1207" s="25" t="s">
        <v>821</v>
      </c>
      <c r="AC1207" s="25" t="s">
        <v>818</v>
      </c>
      <c r="AD1207" s="25" t="s">
        <v>821</v>
      </c>
      <c r="AE1207" s="25" t="s">
        <v>818</v>
      </c>
    </row>
    <row r="1208" spans="20:31" ht="14.4">
      <c r="T1208" s="25" t="s">
        <v>947</v>
      </c>
      <c r="U1208" s="25" t="s">
        <v>867</v>
      </c>
      <c r="V1208" s="25" t="s">
        <v>868</v>
      </c>
      <c r="W1208" s="25" t="str">
        <f t="shared" si="37"/>
        <v>Round Cassette with Side ChannelsOutside Window Mount2nm 12v Acmeda DCRF Motor</v>
      </c>
      <c r="X1208" s="25">
        <v>10</v>
      </c>
      <c r="Y1208" s="25">
        <v>14</v>
      </c>
      <c r="Z1208" s="25">
        <v>14</v>
      </c>
      <c r="AA1208" s="25">
        <v>88</v>
      </c>
      <c r="AB1208" s="25" t="s">
        <v>821</v>
      </c>
      <c r="AC1208" s="25" t="s">
        <v>818</v>
      </c>
      <c r="AD1208" s="25" t="s">
        <v>821</v>
      </c>
      <c r="AE1208" s="25" t="s">
        <v>818</v>
      </c>
    </row>
    <row r="1209" spans="20:31" ht="14.4">
      <c r="T1209" s="25" t="s">
        <v>947</v>
      </c>
      <c r="U1209" s="25" t="s">
        <v>867</v>
      </c>
      <c r="V1209" t="s">
        <v>973</v>
      </c>
      <c r="W1209" s="25" t="str">
        <f t="shared" si="37"/>
        <v>Round Cassette with Side ChannelsOutside Window MountSomfy Remote Sonesse Motor</v>
      </c>
      <c r="X1209" s="25">
        <v>10</v>
      </c>
      <c r="Y1209" s="25">
        <v>14</v>
      </c>
      <c r="Z1209" s="25">
        <v>14</v>
      </c>
      <c r="AA1209" s="25">
        <v>88</v>
      </c>
      <c r="AB1209" s="25" t="s">
        <v>821</v>
      </c>
      <c r="AC1209" s="25" t="s">
        <v>818</v>
      </c>
      <c r="AD1209" s="25" t="s">
        <v>821</v>
      </c>
      <c r="AE1209" s="25" t="s">
        <v>818</v>
      </c>
    </row>
    <row r="1210" spans="20:31" ht="14.4">
      <c r="T1210" s="25" t="s">
        <v>947</v>
      </c>
      <c r="U1210" s="25" t="s">
        <v>867</v>
      </c>
      <c r="V1210" t="s">
        <v>637</v>
      </c>
      <c r="W1210" s="25" t="str">
        <f t="shared" si="37"/>
        <v>Round Cassette with Side ChannelsOutside Window MountSomfy 12v Remote Sonesse Motor</v>
      </c>
      <c r="X1210" s="25">
        <v>10</v>
      </c>
      <c r="Y1210" s="25">
        <v>14</v>
      </c>
      <c r="Z1210" s="25">
        <v>14</v>
      </c>
      <c r="AA1210" s="25">
        <v>88</v>
      </c>
      <c r="AB1210" s="25" t="s">
        <v>821</v>
      </c>
      <c r="AC1210" s="25" t="s">
        <v>818</v>
      </c>
      <c r="AD1210" s="25" t="s">
        <v>821</v>
      </c>
      <c r="AE1210" s="25" t="s">
        <v>818</v>
      </c>
    </row>
    <row r="1211" spans="20:31" ht="14.4">
      <c r="T1211" s="25" t="s">
        <v>947</v>
      </c>
      <c r="U1211" s="25" t="s">
        <v>867</v>
      </c>
      <c r="V1211" s="25" t="s">
        <v>974</v>
      </c>
      <c r="W1211" s="25" t="str">
        <f t="shared" si="37"/>
        <v>Round Cassette with Side ChannelsOutside Window MountSomfy CBUS Motor</v>
      </c>
      <c r="X1211" s="25">
        <v>10</v>
      </c>
      <c r="Y1211" s="25">
        <v>14</v>
      </c>
      <c r="Z1211" s="25">
        <v>14</v>
      </c>
      <c r="AA1211" s="25">
        <v>88</v>
      </c>
      <c r="AB1211" s="25" t="s">
        <v>821</v>
      </c>
      <c r="AC1211" s="25" t="s">
        <v>818</v>
      </c>
      <c r="AD1211" s="25" t="s">
        <v>821</v>
      </c>
      <c r="AE1211" s="25" t="s">
        <v>818</v>
      </c>
    </row>
    <row r="1212" spans="20:31" ht="14.4">
      <c r="T1212" s="25" t="s">
        <v>947</v>
      </c>
      <c r="U1212" s="25" t="s">
        <v>867</v>
      </c>
      <c r="V1212" t="s">
        <v>986</v>
      </c>
      <c r="W1212" s="25" t="str">
        <f t="shared" si="37"/>
        <v>Round Cassette with Side ChannelsOutside Window MountHD Somfy Remote Sonesse Motor</v>
      </c>
      <c r="X1212" s="25">
        <v>10</v>
      </c>
      <c r="Y1212" s="25">
        <v>14</v>
      </c>
      <c r="Z1212" s="25">
        <v>14</v>
      </c>
      <c r="AA1212" s="25">
        <v>88</v>
      </c>
      <c r="AB1212" s="25" t="s">
        <v>821</v>
      </c>
      <c r="AC1212" s="25" t="s">
        <v>818</v>
      </c>
      <c r="AD1212" s="25" t="s">
        <v>821</v>
      </c>
      <c r="AE1212" s="25" t="s">
        <v>818</v>
      </c>
    </row>
    <row r="1213" spans="20:31" ht="14.4">
      <c r="T1213" s="25" t="s">
        <v>947</v>
      </c>
      <c r="U1213" s="25" t="s">
        <v>867</v>
      </c>
      <c r="V1213" t="s">
        <v>989</v>
      </c>
      <c r="W1213" s="25" t="str">
        <f t="shared" si="37"/>
        <v>Round Cassette with Side ChannelsOutside Window MountHD Somfy 12v Remote Sonesse Motor</v>
      </c>
      <c r="X1213" s="25">
        <v>10</v>
      </c>
      <c r="Y1213" s="25">
        <v>14</v>
      </c>
      <c r="Z1213" s="25">
        <v>14</v>
      </c>
      <c r="AA1213" s="25">
        <v>88</v>
      </c>
      <c r="AB1213" s="25" t="s">
        <v>821</v>
      </c>
      <c r="AC1213" s="25" t="s">
        <v>818</v>
      </c>
      <c r="AD1213" s="25" t="s">
        <v>821</v>
      </c>
      <c r="AE1213" s="25" t="s">
        <v>818</v>
      </c>
    </row>
    <row r="1214" spans="20:31" ht="14.4">
      <c r="T1214" s="25" t="s">
        <v>947</v>
      </c>
      <c r="U1214" s="25" t="s">
        <v>867</v>
      </c>
      <c r="V1214" s="25" t="s">
        <v>992</v>
      </c>
      <c r="W1214" s="25" t="str">
        <f t="shared" si="37"/>
        <v>Round Cassette with Side ChannelsOutside Window MountHD Somfy CBUS Motor</v>
      </c>
      <c r="X1214" s="25">
        <v>10</v>
      </c>
      <c r="Y1214" s="25">
        <v>14</v>
      </c>
      <c r="Z1214" s="25">
        <v>14</v>
      </c>
      <c r="AA1214" s="25">
        <v>88</v>
      </c>
      <c r="AB1214" s="25" t="s">
        <v>821</v>
      </c>
      <c r="AC1214" s="25" t="s">
        <v>818</v>
      </c>
      <c r="AD1214" s="25" t="s">
        <v>821</v>
      </c>
      <c r="AE1214" s="25" t="s">
        <v>818</v>
      </c>
    </row>
    <row r="1215" spans="20:31" ht="14.4">
      <c r="T1215" s="25" t="s">
        <v>947</v>
      </c>
      <c r="U1215" s="25" t="s">
        <v>867</v>
      </c>
      <c r="V1215" s="25" t="s">
        <v>625</v>
      </c>
      <c r="W1215" s="25" t="str">
        <f t="shared" si="37"/>
        <v>Round Cassette with Side ChannelsOutside Window MountAcmeda E6 Motor</v>
      </c>
      <c r="X1215" s="25">
        <v>10</v>
      </c>
      <c r="Y1215" s="25">
        <v>14</v>
      </c>
      <c r="Z1215" s="25">
        <v>14</v>
      </c>
      <c r="AA1215" s="25">
        <v>88</v>
      </c>
      <c r="AB1215" s="25" t="s">
        <v>821</v>
      </c>
      <c r="AC1215" s="25" t="s">
        <v>818</v>
      </c>
      <c r="AD1215" s="25" t="s">
        <v>821</v>
      </c>
      <c r="AE1215" s="25" t="s">
        <v>818</v>
      </c>
    </row>
    <row r="1216" spans="20:31" ht="14.4">
      <c r="T1216" s="25" t="s">
        <v>947</v>
      </c>
      <c r="U1216" s="25" t="s">
        <v>867</v>
      </c>
      <c r="V1216" s="25" t="s">
        <v>626</v>
      </c>
      <c r="W1216" s="25" t="str">
        <f t="shared" si="37"/>
        <v>Round Cassette with Side ChannelsOutside Window MountAcmeda M6 Motor</v>
      </c>
      <c r="X1216" s="25">
        <v>10</v>
      </c>
      <c r="Y1216" s="25">
        <v>14</v>
      </c>
      <c r="Z1216" s="25">
        <v>14</v>
      </c>
      <c r="AA1216" s="25">
        <v>88</v>
      </c>
      <c r="AB1216" s="25" t="s">
        <v>821</v>
      </c>
      <c r="AC1216" s="25" t="s">
        <v>818</v>
      </c>
      <c r="AD1216" s="25" t="s">
        <v>821</v>
      </c>
      <c r="AE1216" s="25" t="s">
        <v>818</v>
      </c>
    </row>
    <row r="1217" spans="20:31" ht="14.4">
      <c r="T1217" s="25" t="s">
        <v>947</v>
      </c>
      <c r="U1217" s="25" t="s">
        <v>867</v>
      </c>
      <c r="V1217" s="25" t="s">
        <v>1002</v>
      </c>
      <c r="W1217" s="25" t="str">
        <f t="shared" si="37"/>
        <v>Round Cassette with Side ChannelsOutside Window MountUniline Remote Motor</v>
      </c>
      <c r="X1217" s="25">
        <v>10</v>
      </c>
      <c r="Y1217" s="25">
        <v>14</v>
      </c>
      <c r="Z1217" s="25">
        <v>14</v>
      </c>
      <c r="AA1217" s="25">
        <v>88</v>
      </c>
      <c r="AB1217" s="25" t="s">
        <v>821</v>
      </c>
      <c r="AC1217" s="25" t="s">
        <v>818</v>
      </c>
      <c r="AD1217" s="25" t="s">
        <v>821</v>
      </c>
      <c r="AE1217" s="25" t="s">
        <v>818</v>
      </c>
    </row>
    <row r="1218" spans="20:31" ht="14.4">
      <c r="T1218" s="25" t="s">
        <v>947</v>
      </c>
      <c r="U1218" s="25" t="s">
        <v>867</v>
      </c>
      <c r="V1218" s="25" t="s">
        <v>1005</v>
      </c>
      <c r="W1218" s="25" t="str">
        <f t="shared" si="37"/>
        <v>Round Cassette with Side ChannelsOutside Window MountUniline Cbus Motor</v>
      </c>
      <c r="X1218" s="25">
        <v>10</v>
      </c>
      <c r="Y1218" s="25">
        <v>14</v>
      </c>
      <c r="Z1218" s="25">
        <v>14</v>
      </c>
      <c r="AA1218" s="25">
        <v>88</v>
      </c>
      <c r="AB1218" s="25" t="s">
        <v>821</v>
      </c>
      <c r="AC1218" s="25" t="s">
        <v>818</v>
      </c>
      <c r="AD1218" s="25" t="s">
        <v>821</v>
      </c>
      <c r="AE1218" s="25" t="s">
        <v>818</v>
      </c>
    </row>
    <row r="1219" spans="20:31" ht="14.4">
      <c r="T1219" s="25" t="s">
        <v>947</v>
      </c>
      <c r="U1219" s="25" t="s">
        <v>867</v>
      </c>
      <c r="V1219" s="25" t="s">
        <v>981</v>
      </c>
      <c r="W1219" s="25" t="str">
        <f t="shared" si="38" ref="W1219:W1282">CONCATENATE(T1219,U1219,V1219)</f>
        <v>Round Cassette with Side ChannelsOutside Window MountNice Remote Motor</v>
      </c>
      <c r="X1219" s="25">
        <v>10</v>
      </c>
      <c r="Y1219" s="25">
        <v>14</v>
      </c>
      <c r="Z1219" s="25">
        <v>14</v>
      </c>
      <c r="AA1219" s="25">
        <v>88</v>
      </c>
      <c r="AB1219" s="25" t="s">
        <v>821</v>
      </c>
      <c r="AC1219" s="25" t="s">
        <v>818</v>
      </c>
      <c r="AD1219" s="25" t="s">
        <v>821</v>
      </c>
      <c r="AE1219" s="25" t="s">
        <v>818</v>
      </c>
    </row>
    <row r="1220" spans="20:31" ht="14.4">
      <c r="T1220" s="25" t="s">
        <v>947</v>
      </c>
      <c r="U1220" s="25" t="s">
        <v>867</v>
      </c>
      <c r="V1220" s="25" t="s">
        <v>976</v>
      </c>
      <c r="W1220" s="25" t="str">
        <f t="shared" si="38"/>
        <v>Round Cassette with Side ChannelsOutside Window MountNice CBus Motor</v>
      </c>
      <c r="X1220" s="25">
        <v>10</v>
      </c>
      <c r="Y1220" s="25">
        <v>14</v>
      </c>
      <c r="Z1220" s="25">
        <v>14</v>
      </c>
      <c r="AA1220" s="25">
        <v>88</v>
      </c>
      <c r="AB1220" s="25" t="s">
        <v>821</v>
      </c>
      <c r="AC1220" s="25" t="s">
        <v>818</v>
      </c>
      <c r="AD1220" s="25" t="s">
        <v>821</v>
      </c>
      <c r="AE1220" s="25" t="s">
        <v>818</v>
      </c>
    </row>
    <row r="1221" spans="20:31" ht="14.4">
      <c r="T1221" s="25" t="s">
        <v>947</v>
      </c>
      <c r="U1221" s="25" t="s">
        <v>867</v>
      </c>
      <c r="V1221" t="s">
        <v>1006</v>
      </c>
      <c r="W1221" s="25" t="str">
        <f t="shared" si="38"/>
        <v>Round Cassette with Side ChannelsOutside Window MountSunboss Chain Winder 38mm Tube</v>
      </c>
      <c r="X1221" s="25">
        <v>10</v>
      </c>
      <c r="Y1221" s="25">
        <v>14</v>
      </c>
      <c r="Z1221" s="25">
        <v>14</v>
      </c>
      <c r="AA1221" s="25">
        <v>88</v>
      </c>
      <c r="AB1221" s="25" t="s">
        <v>821</v>
      </c>
      <c r="AC1221" s="25" t="s">
        <v>818</v>
      </c>
      <c r="AD1221" s="25" t="s">
        <v>821</v>
      </c>
      <c r="AE1221" s="25" t="s">
        <v>818</v>
      </c>
    </row>
    <row r="1222" spans="20:31" ht="14.4">
      <c r="T1222" s="25" t="s">
        <v>947</v>
      </c>
      <c r="U1222" s="25" t="s">
        <v>867</v>
      </c>
      <c r="V1222" t="s">
        <v>1017</v>
      </c>
      <c r="W1222" s="25" t="str">
        <f t="shared" si="38"/>
        <v>Round Cassette with Side ChannelsOutside Window MountSunboss Chain Winder 43mm Tube</v>
      </c>
      <c r="X1222" s="25">
        <v>10</v>
      </c>
      <c r="Y1222" s="25">
        <v>14</v>
      </c>
      <c r="Z1222" s="25">
        <v>14</v>
      </c>
      <c r="AA1222" s="25">
        <v>88</v>
      </c>
      <c r="AB1222" s="25" t="s">
        <v>821</v>
      </c>
      <c r="AC1222" s="25" t="s">
        <v>818</v>
      </c>
      <c r="AD1222" s="25" t="s">
        <v>821</v>
      </c>
      <c r="AE1222" s="25" t="s">
        <v>818</v>
      </c>
    </row>
    <row r="1223" spans="20:31" ht="14.4">
      <c r="T1223" s="25" t="s">
        <v>947</v>
      </c>
      <c r="U1223" s="25" t="s">
        <v>867</v>
      </c>
      <c r="V1223" s="25" t="s">
        <v>1012</v>
      </c>
      <c r="W1223" s="25" t="str">
        <f t="shared" si="38"/>
        <v>Round Cassette with Side ChannelsOutside Window MountTBS Remote Motor</v>
      </c>
      <c r="X1223" s="25">
        <v>10</v>
      </c>
      <c r="Y1223" s="25">
        <v>14</v>
      </c>
      <c r="Z1223" s="25">
        <v>14</v>
      </c>
      <c r="AA1223" s="25">
        <v>88</v>
      </c>
      <c r="AB1223" s="25" t="s">
        <v>821</v>
      </c>
      <c r="AC1223" s="25" t="s">
        <v>818</v>
      </c>
      <c r="AD1223" s="25" t="s">
        <v>821</v>
      </c>
      <c r="AE1223" s="25" t="s">
        <v>818</v>
      </c>
    </row>
    <row r="1224" spans="20:31" ht="14.4">
      <c r="T1224" s="25" t="s">
        <v>947</v>
      </c>
      <c r="U1224" s="25" t="s">
        <v>867</v>
      </c>
      <c r="V1224" t="s">
        <v>1009</v>
      </c>
      <c r="W1224" s="25" t="str">
        <f t="shared" si="38"/>
        <v>Round Cassette with Side ChannelsOutside Window MountTBS Cbus Motor</v>
      </c>
      <c r="X1224" s="25">
        <v>10</v>
      </c>
      <c r="Y1224" s="25">
        <v>14</v>
      </c>
      <c r="Z1224" s="25">
        <v>14</v>
      </c>
      <c r="AA1224" s="25">
        <v>88</v>
      </c>
      <c r="AB1224" s="25" t="s">
        <v>821</v>
      </c>
      <c r="AC1224" s="25" t="s">
        <v>818</v>
      </c>
      <c r="AE1224" s="25" t="s">
        <v>818</v>
      </c>
    </row>
    <row r="1225" spans="20:31" ht="14.4">
      <c r="T1225" s="25" t="s">
        <v>947</v>
      </c>
      <c r="U1225" s="25" t="s">
        <v>867</v>
      </c>
      <c r="V1225" t="s">
        <v>927</v>
      </c>
      <c r="W1225" s="25" t="str">
        <f t="shared" si="38"/>
        <v>Round Cassette with Side ChannelsOutside Window MountAcmeda External Motor</v>
      </c>
      <c r="X1225" s="25">
        <v>10</v>
      </c>
      <c r="Y1225" s="25">
        <v>14</v>
      </c>
      <c r="Z1225" s="25">
        <v>14</v>
      </c>
      <c r="AA1225" s="25">
        <v>88</v>
      </c>
      <c r="AB1225" s="25" t="s">
        <v>821</v>
      </c>
      <c r="AC1225" s="25" t="s">
        <v>818</v>
      </c>
      <c r="AE1225" s="25" t="s">
        <v>818</v>
      </c>
    </row>
    <row r="1226" spans="20:31" ht="14.4">
      <c r="T1226" s="25" t="s">
        <v>947</v>
      </c>
      <c r="U1226" s="25" t="s">
        <v>867</v>
      </c>
      <c r="V1226" t="s">
        <v>918</v>
      </c>
      <c r="W1226" s="25" t="str">
        <f t="shared" si="38"/>
        <v>Round Cassette with Side ChannelsOutside Window MountAcmeda External 12v Motor</v>
      </c>
      <c r="X1226" s="25">
        <v>10</v>
      </c>
      <c r="Y1226" s="25">
        <v>14</v>
      </c>
      <c r="Z1226" s="25">
        <v>14</v>
      </c>
      <c r="AA1226" s="25">
        <v>88</v>
      </c>
      <c r="AB1226" s="25" t="s">
        <v>821</v>
      </c>
      <c r="AC1226" s="25" t="s">
        <v>818</v>
      </c>
      <c r="AD1226" s="25" t="s">
        <v>821</v>
      </c>
      <c r="AE1226" s="25" t="s">
        <v>818</v>
      </c>
    </row>
    <row r="1227" spans="20:31" ht="14.4">
      <c r="T1227" s="25" t="s">
        <v>947</v>
      </c>
      <c r="U1227" s="25" t="s">
        <v>867</v>
      </c>
      <c r="V1227" t="s">
        <v>979</v>
      </c>
      <c r="W1227" s="25" t="str">
        <f t="shared" si="38"/>
        <v>Round Cassette with Side ChannelsOutside Window MountSomfy External CBUS Motor</v>
      </c>
      <c r="X1227" s="25">
        <v>10</v>
      </c>
      <c r="Y1227" s="25">
        <v>14</v>
      </c>
      <c r="Z1227" s="25">
        <v>14</v>
      </c>
      <c r="AA1227" s="25">
        <v>88</v>
      </c>
      <c r="AB1227" s="25" t="s">
        <v>821</v>
      </c>
      <c r="AC1227" s="25" t="s">
        <v>818</v>
      </c>
      <c r="AD1227" s="25" t="s">
        <v>821</v>
      </c>
      <c r="AE1227" s="25" t="s">
        <v>818</v>
      </c>
    </row>
    <row r="1228" spans="20:31" ht="14.4">
      <c r="T1228" s="25" t="s">
        <v>947</v>
      </c>
      <c r="U1228" s="25" t="s">
        <v>867</v>
      </c>
      <c r="V1228" t="s">
        <v>983</v>
      </c>
      <c r="W1228" s="25" t="str">
        <f t="shared" si="38"/>
        <v>Round Cassette with Side ChannelsOutside Window MountSomfy External Remote Motor</v>
      </c>
      <c r="X1228" s="25">
        <v>10</v>
      </c>
      <c r="Y1228" s="25">
        <v>14</v>
      </c>
      <c r="Z1228" s="25">
        <v>14</v>
      </c>
      <c r="AA1228" s="25">
        <v>88</v>
      </c>
      <c r="AB1228" s="25" t="s">
        <v>821</v>
      </c>
      <c r="AC1228" s="25" t="s">
        <v>818</v>
      </c>
      <c r="AD1228" s="25" t="s">
        <v>821</v>
      </c>
      <c r="AE1228" s="25" t="s">
        <v>818</v>
      </c>
    </row>
    <row r="1229" spans="20:31" ht="14.4">
      <c r="T1229" s="25" t="s">
        <v>947</v>
      </c>
      <c r="U1229" s="25" t="s">
        <v>867</v>
      </c>
      <c r="V1229" t="s">
        <v>995</v>
      </c>
      <c r="W1229" s="25" t="str">
        <f t="shared" si="38"/>
        <v>Round Cassette with Side ChannelsOutside Window MountHD Somfy External CBUS Motor</v>
      </c>
      <c r="X1229" s="25">
        <v>10</v>
      </c>
      <c r="Y1229" s="25">
        <v>14</v>
      </c>
      <c r="Z1229" s="25">
        <v>14</v>
      </c>
      <c r="AA1229" s="25">
        <v>88</v>
      </c>
      <c r="AB1229" s="25" t="s">
        <v>821</v>
      </c>
      <c r="AC1229" s="25" t="s">
        <v>818</v>
      </c>
      <c r="AD1229" s="25" t="s">
        <v>821</v>
      </c>
      <c r="AE1229" s="25" t="s">
        <v>818</v>
      </c>
    </row>
    <row r="1230" spans="20:31" ht="14.4">
      <c r="T1230" s="25" t="s">
        <v>947</v>
      </c>
      <c r="U1230" s="25" t="s">
        <v>867</v>
      </c>
      <c r="V1230" t="s">
        <v>999</v>
      </c>
      <c r="W1230" s="25" t="str">
        <f t="shared" si="38"/>
        <v>Round Cassette with Side ChannelsOutside Window MountHD Somfy External Remote Motor</v>
      </c>
      <c r="X1230" s="25">
        <v>10</v>
      </c>
      <c r="Y1230" s="25">
        <v>14</v>
      </c>
      <c r="Z1230" s="25">
        <v>14</v>
      </c>
      <c r="AA1230" s="25">
        <v>88</v>
      </c>
      <c r="AB1230" s="25" t="s">
        <v>821</v>
      </c>
      <c r="AC1230" s="25" t="s">
        <v>818</v>
      </c>
      <c r="AD1230" s="25" t="s">
        <v>821</v>
      </c>
      <c r="AE1230" s="25" t="s">
        <v>818</v>
      </c>
    </row>
    <row r="1231" spans="20:31" ht="14.4">
      <c r="T1231" s="25" t="s">
        <v>947</v>
      </c>
      <c r="U1231" s="25" t="s">
        <v>837</v>
      </c>
      <c r="V1231" s="25" t="s">
        <v>823</v>
      </c>
      <c r="W1231" s="25" t="str">
        <f t="shared" si="38"/>
        <v>Round Cassette with Side ChannelsRevealChain Winder</v>
      </c>
      <c r="X1231" s="25">
        <v>10</v>
      </c>
      <c r="Y1231" s="25">
        <v>14</v>
      </c>
      <c r="Z1231" s="25">
        <v>29</v>
      </c>
      <c r="AA1231" s="25">
        <v>88</v>
      </c>
      <c r="AB1231" s="25" t="s">
        <v>821</v>
      </c>
      <c r="AC1231" s="25" t="s">
        <v>818</v>
      </c>
      <c r="AD1231" s="25" t="s">
        <v>821</v>
      </c>
      <c r="AE1231" s="25" t="s">
        <v>818</v>
      </c>
    </row>
    <row r="1232" spans="20:31" ht="14.4">
      <c r="T1232" s="25" t="s">
        <v>947</v>
      </c>
      <c r="U1232" s="25" t="s">
        <v>837</v>
      </c>
      <c r="V1232" s="25" t="s">
        <v>841</v>
      </c>
      <c r="W1232" s="25" t="str">
        <f t="shared" si="38"/>
        <v>Round Cassette with Side ChannelsRevealHD Chain Winder</v>
      </c>
      <c r="X1232" s="25">
        <v>10</v>
      </c>
      <c r="Y1232" s="25">
        <v>14</v>
      </c>
      <c r="Z1232" s="25">
        <v>29</v>
      </c>
      <c r="AA1232" s="25">
        <v>88</v>
      </c>
      <c r="AB1232" s="25" t="s">
        <v>821</v>
      </c>
      <c r="AC1232" s="25" t="s">
        <v>818</v>
      </c>
      <c r="AD1232" s="25" t="s">
        <v>821</v>
      </c>
      <c r="AE1232" s="25" t="s">
        <v>818</v>
      </c>
    </row>
    <row r="1233" spans="20:31" ht="14.4">
      <c r="T1233" s="25" t="s">
        <v>947</v>
      </c>
      <c r="U1233" s="25" t="s">
        <v>837</v>
      </c>
      <c r="V1233" s="25" t="s">
        <v>858</v>
      </c>
      <c r="W1233" s="25" t="str">
        <f t="shared" si="38"/>
        <v>Round Cassette with Side ChannelsRevealChain Winder 60mm</v>
      </c>
      <c r="X1233" s="25">
        <v>10</v>
      </c>
      <c r="Y1233" s="25">
        <v>14</v>
      </c>
      <c r="Z1233" s="25">
        <v>29</v>
      </c>
      <c r="AA1233" s="25">
        <v>88</v>
      </c>
      <c r="AB1233" s="25" t="s">
        <v>821</v>
      </c>
      <c r="AC1233" s="25" t="s">
        <v>818</v>
      </c>
      <c r="AD1233" s="25" t="s">
        <v>821</v>
      </c>
      <c r="AE1233" s="25" t="s">
        <v>818</v>
      </c>
    </row>
    <row r="1234" spans="20:31" ht="14.4">
      <c r="T1234" s="25" t="s">
        <v>947</v>
      </c>
      <c r="U1234" s="25" t="s">
        <v>837</v>
      </c>
      <c r="V1234" s="25" t="s">
        <v>865</v>
      </c>
      <c r="W1234" s="25" t="str">
        <f t="shared" si="38"/>
        <v>Round Cassette with Side ChannelsRevealChain Winder Fixed Guide</v>
      </c>
      <c r="X1234" s="25">
        <v>10</v>
      </c>
      <c r="Y1234" s="25">
        <v>14</v>
      </c>
      <c r="Z1234" s="25">
        <v>29</v>
      </c>
      <c r="AA1234" s="25">
        <v>88</v>
      </c>
      <c r="AB1234" s="25" t="s">
        <v>821</v>
      </c>
      <c r="AC1234" s="25" t="s">
        <v>818</v>
      </c>
      <c r="AD1234" s="25" t="s">
        <v>821</v>
      </c>
      <c r="AE1234" s="25" t="s">
        <v>818</v>
      </c>
    </row>
    <row r="1235" spans="20:31" ht="14.4">
      <c r="T1235" s="25" t="s">
        <v>947</v>
      </c>
      <c r="U1235" s="25" t="s">
        <v>837</v>
      </c>
      <c r="V1235" s="25" t="s">
        <v>181</v>
      </c>
      <c r="W1235" s="25" t="str">
        <f t="shared" si="38"/>
        <v>Round Cassette with Side ChannelsRevealLinked</v>
      </c>
      <c r="X1235" s="25">
        <v>10</v>
      </c>
      <c r="Y1235" s="25">
        <v>14</v>
      </c>
      <c r="Z1235" s="25">
        <v>14</v>
      </c>
      <c r="AA1235" s="25">
        <v>88</v>
      </c>
      <c r="AB1235" s="25" t="s">
        <v>821</v>
      </c>
      <c r="AC1235" s="25" t="s">
        <v>818</v>
      </c>
      <c r="AD1235" s="25" t="s">
        <v>821</v>
      </c>
      <c r="AE1235" s="25" t="s">
        <v>818</v>
      </c>
    </row>
    <row r="1236" spans="20:31" ht="14.4">
      <c r="T1236" s="25" t="s">
        <v>947</v>
      </c>
      <c r="U1236" s="25" t="s">
        <v>837</v>
      </c>
      <c r="V1236" s="25" t="s">
        <v>898</v>
      </c>
      <c r="W1236" s="25" t="str">
        <f t="shared" si="38"/>
        <v>Round Cassette with Side ChannelsRevealLinked - HD</v>
      </c>
      <c r="X1236" s="25">
        <v>10</v>
      </c>
      <c r="Y1236" s="25">
        <v>14</v>
      </c>
      <c r="Z1236" s="25">
        <v>14</v>
      </c>
      <c r="AA1236" s="25">
        <v>88</v>
      </c>
      <c r="AB1236" s="25" t="s">
        <v>821</v>
      </c>
      <c r="AC1236" s="25" t="s">
        <v>818</v>
      </c>
      <c r="AD1236" s="25" t="s">
        <v>821</v>
      </c>
      <c r="AE1236" s="25" t="s">
        <v>818</v>
      </c>
    </row>
    <row r="1237" spans="20:31" ht="14.4">
      <c r="T1237" s="25" t="s">
        <v>947</v>
      </c>
      <c r="U1237" s="25" t="s">
        <v>837</v>
      </c>
      <c r="V1237" s="25" t="s">
        <v>910</v>
      </c>
      <c r="W1237" s="25" t="str">
        <f t="shared" si="38"/>
        <v>Round Cassette with Side ChannelsRevealStandard Spring</v>
      </c>
      <c r="X1237" s="25">
        <v>10</v>
      </c>
      <c r="Y1237" s="25">
        <v>14</v>
      </c>
      <c r="Z1237" s="25">
        <v>14</v>
      </c>
      <c r="AA1237" s="25">
        <v>88</v>
      </c>
      <c r="AB1237" s="25" t="s">
        <v>821</v>
      </c>
      <c r="AC1237" s="25" t="s">
        <v>818</v>
      </c>
      <c r="AD1237" s="25" t="s">
        <v>821</v>
      </c>
      <c r="AE1237" s="25" t="s">
        <v>818</v>
      </c>
    </row>
    <row r="1238" spans="20:31" ht="14.4">
      <c r="T1238" s="25" t="s">
        <v>947</v>
      </c>
      <c r="U1238" s="25" t="s">
        <v>837</v>
      </c>
      <c r="V1238" s="25" t="s">
        <v>920</v>
      </c>
      <c r="W1238" s="25" t="str">
        <f t="shared" si="38"/>
        <v>Round Cassette with Side ChannelsRevealSmall Spring</v>
      </c>
      <c r="X1238" s="25">
        <v>10</v>
      </c>
      <c r="Y1238" s="25">
        <v>14</v>
      </c>
      <c r="Z1238" s="25">
        <v>14</v>
      </c>
      <c r="AA1238" s="25">
        <v>88</v>
      </c>
      <c r="AB1238" s="25" t="s">
        <v>821</v>
      </c>
      <c r="AC1238" s="25" t="s">
        <v>818</v>
      </c>
      <c r="AD1238" s="25" t="s">
        <v>821</v>
      </c>
      <c r="AE1238" s="25" t="s">
        <v>818</v>
      </c>
    </row>
    <row r="1239" spans="20:31" ht="14.4">
      <c r="T1239" s="25" t="s">
        <v>947</v>
      </c>
      <c r="U1239" s="25" t="s">
        <v>837</v>
      </c>
      <c r="V1239" s="25" t="s">
        <v>929</v>
      </c>
      <c r="W1239" s="25" t="str">
        <f t="shared" si="38"/>
        <v>Round Cassette with Side ChannelsRevealUniline Spring (Old Style)</v>
      </c>
      <c r="X1239" s="25">
        <v>10</v>
      </c>
      <c r="Y1239" s="25">
        <v>14</v>
      </c>
      <c r="Z1239" s="25">
        <v>14</v>
      </c>
      <c r="AA1239" s="25">
        <v>88</v>
      </c>
      <c r="AB1239" s="25" t="s">
        <v>821</v>
      </c>
      <c r="AC1239" s="25" t="s">
        <v>818</v>
      </c>
      <c r="AD1239" s="25" t="s">
        <v>821</v>
      </c>
      <c r="AE1239" s="25" t="s">
        <v>818</v>
      </c>
    </row>
    <row r="1240" spans="20:31" ht="14.4">
      <c r="T1240" s="25" t="s">
        <v>947</v>
      </c>
      <c r="U1240" s="25" t="s">
        <v>837</v>
      </c>
      <c r="V1240" s="25" t="s">
        <v>935</v>
      </c>
      <c r="W1240" s="25" t="str">
        <f t="shared" si="38"/>
        <v>Round Cassette with Side ChannelsRevealBecker Remote Motor</v>
      </c>
      <c r="X1240" s="25">
        <v>10</v>
      </c>
      <c r="Y1240" s="25">
        <v>14</v>
      </c>
      <c r="Z1240" s="25">
        <v>14</v>
      </c>
      <c r="AA1240" s="25">
        <v>88</v>
      </c>
      <c r="AB1240" s="25" t="s">
        <v>821</v>
      </c>
      <c r="AC1240" s="25" t="s">
        <v>818</v>
      </c>
      <c r="AD1240" s="25" t="s">
        <v>821</v>
      </c>
      <c r="AE1240" s="25" t="s">
        <v>818</v>
      </c>
    </row>
    <row r="1241" spans="20:31" ht="14.4">
      <c r="T1241" s="25" t="s">
        <v>947</v>
      </c>
      <c r="U1241" s="25" t="s">
        <v>837</v>
      </c>
      <c r="V1241" s="25" t="s">
        <v>939</v>
      </c>
      <c r="W1241" s="25" t="str">
        <f t="shared" si="38"/>
        <v>Round Cassette with Side ChannelsRevealBecker CBUS Motor</v>
      </c>
      <c r="X1241" s="25">
        <v>10</v>
      </c>
      <c r="Y1241" s="25">
        <v>14</v>
      </c>
      <c r="Z1241" s="25">
        <v>14</v>
      </c>
      <c r="AA1241" s="25">
        <v>88</v>
      </c>
      <c r="AB1241" s="25" t="s">
        <v>821</v>
      </c>
      <c r="AC1241" s="25" t="s">
        <v>818</v>
      </c>
      <c r="AD1241" s="25" t="s">
        <v>821</v>
      </c>
      <c r="AE1241" s="25" t="s">
        <v>818</v>
      </c>
    </row>
    <row r="1242" spans="20:31" ht="14.4">
      <c r="T1242" s="25" t="s">
        <v>947</v>
      </c>
      <c r="U1242" s="25" t="s">
        <v>837</v>
      </c>
      <c r="V1242" s="25" t="s">
        <v>946</v>
      </c>
      <c r="W1242" s="25" t="str">
        <f t="shared" si="38"/>
        <v>Round Cassette with Side ChannelsRevealBecker External Remote Motor</v>
      </c>
      <c r="X1242" s="25">
        <v>10</v>
      </c>
      <c r="Y1242" s="25">
        <v>14</v>
      </c>
      <c r="Z1242" s="25">
        <v>14</v>
      </c>
      <c r="AA1242" s="25">
        <v>88</v>
      </c>
      <c r="AB1242" s="25" t="s">
        <v>821</v>
      </c>
      <c r="AC1242" s="25" t="s">
        <v>818</v>
      </c>
      <c r="AD1242" s="25" t="s">
        <v>821</v>
      </c>
      <c r="AE1242" s="25" t="s">
        <v>818</v>
      </c>
    </row>
    <row r="1243" spans="20:31" ht="14.4">
      <c r="T1243" s="25" t="s">
        <v>947</v>
      </c>
      <c r="U1243" s="25" t="s">
        <v>837</v>
      </c>
      <c r="V1243" s="25" t="s">
        <v>951</v>
      </c>
      <c r="W1243" s="25" t="str">
        <f t="shared" si="38"/>
        <v>Round Cassette with Side ChannelsRevealBecker External CBUS Motor</v>
      </c>
      <c r="X1243" s="25">
        <v>10</v>
      </c>
      <c r="Y1243" s="25">
        <v>14</v>
      </c>
      <c r="Z1243" s="25">
        <v>14</v>
      </c>
      <c r="AA1243" s="25">
        <v>88</v>
      </c>
      <c r="AB1243" s="25" t="s">
        <v>821</v>
      </c>
      <c r="AC1243" s="25" t="s">
        <v>818</v>
      </c>
      <c r="AD1243" s="25" t="s">
        <v>821</v>
      </c>
      <c r="AE1243" s="25" t="s">
        <v>818</v>
      </c>
    </row>
    <row r="1244" spans="20:31" ht="14.4">
      <c r="T1244" s="25" t="s">
        <v>947</v>
      </c>
      <c r="U1244" s="25" t="s">
        <v>837</v>
      </c>
      <c r="V1244" s="25" t="s">
        <v>838</v>
      </c>
      <c r="W1244" s="25" t="str">
        <f t="shared" si="38"/>
        <v>Round Cassette with Side ChannelsReveal1.1nm 12v Acmeda Motor</v>
      </c>
      <c r="X1244" s="25">
        <v>10</v>
      </c>
      <c r="Y1244" s="25">
        <v>14</v>
      </c>
      <c r="Z1244" s="25">
        <v>14</v>
      </c>
      <c r="AA1244" s="25">
        <v>88</v>
      </c>
      <c r="AB1244" s="25" t="s">
        <v>821</v>
      </c>
      <c r="AC1244" s="25" t="s">
        <v>818</v>
      </c>
      <c r="AD1244" s="25" t="s">
        <v>821</v>
      </c>
      <c r="AE1244" s="25" t="s">
        <v>818</v>
      </c>
    </row>
    <row r="1245" spans="20:31" ht="14.4">
      <c r="T1245" s="25" t="s">
        <v>947</v>
      </c>
      <c r="U1245" s="25" t="s">
        <v>837</v>
      </c>
      <c r="V1245" t="s">
        <v>882</v>
      </c>
      <c r="W1245" s="25" t="str">
        <f t="shared" si="38"/>
        <v>Round Cassette with Side ChannelsReveal2nm 12v Acmeda Motor</v>
      </c>
      <c r="X1245" s="25">
        <v>10</v>
      </c>
      <c r="Y1245" s="25">
        <v>14</v>
      </c>
      <c r="Z1245" s="25">
        <v>14</v>
      </c>
      <c r="AA1245" s="25">
        <v>88</v>
      </c>
      <c r="AB1245" s="25" t="s">
        <v>821</v>
      </c>
      <c r="AC1245" s="25" t="s">
        <v>818</v>
      </c>
      <c r="AD1245" s="25" t="s">
        <v>821</v>
      </c>
      <c r="AE1245" s="25" t="s">
        <v>818</v>
      </c>
    </row>
    <row r="1246" spans="20:31" ht="14.4">
      <c r="T1246" s="25" t="s">
        <v>947</v>
      </c>
      <c r="U1246" s="25" t="s">
        <v>837</v>
      </c>
      <c r="V1246" t="s">
        <v>896</v>
      </c>
      <c r="W1246" s="25" t="str">
        <f t="shared" si="38"/>
        <v>Round Cassette with Side ChannelsRevealAcmeda 12v 6nm Motor</v>
      </c>
      <c r="X1246" s="25">
        <v>10</v>
      </c>
      <c r="Y1246" s="25">
        <v>14</v>
      </c>
      <c r="Z1246" s="25">
        <v>14</v>
      </c>
      <c r="AA1246" s="25">
        <v>88</v>
      </c>
      <c r="AB1246" s="25" t="s">
        <v>821</v>
      </c>
      <c r="AC1246" s="25" t="s">
        <v>818</v>
      </c>
      <c r="AD1246" s="25" t="s">
        <v>821</v>
      </c>
      <c r="AE1246" s="25" t="s">
        <v>818</v>
      </c>
    </row>
    <row r="1247" spans="20:31" ht="14.4">
      <c r="T1247" s="25" t="s">
        <v>947</v>
      </c>
      <c r="U1247" s="25" t="s">
        <v>837</v>
      </c>
      <c r="V1247" t="s">
        <v>855</v>
      </c>
      <c r="W1247" s="25" t="str">
        <f t="shared" si="38"/>
        <v>Round Cassette with Side ChannelsReveal0.7nm 12v Acmeda Motor</v>
      </c>
      <c r="X1247" s="25">
        <v>10</v>
      </c>
      <c r="Y1247" s="25">
        <v>14</v>
      </c>
      <c r="Z1247" s="25">
        <v>14</v>
      </c>
      <c r="AA1247" s="25">
        <v>88</v>
      </c>
      <c r="AB1247" s="25" t="s">
        <v>821</v>
      </c>
      <c r="AC1247" s="25" t="s">
        <v>818</v>
      </c>
      <c r="AD1247" s="25" t="s">
        <v>821</v>
      </c>
      <c r="AE1247" s="25" t="s">
        <v>818</v>
      </c>
    </row>
    <row r="1248" spans="20:31" ht="14.4">
      <c r="T1248" s="25" t="s">
        <v>947</v>
      </c>
      <c r="U1248" s="25" t="s">
        <v>837</v>
      </c>
      <c r="V1248" s="25" t="s">
        <v>849</v>
      </c>
      <c r="W1248" s="25" t="str">
        <f t="shared" si="38"/>
        <v>Round Cassette with Side ChannelsReveal1.1nm 12v Acmeda DCRF Motor with External Battery</v>
      </c>
      <c r="X1248" s="25">
        <v>10</v>
      </c>
      <c r="Y1248" s="25">
        <v>14</v>
      </c>
      <c r="Z1248" s="25">
        <v>14</v>
      </c>
      <c r="AA1248" s="25">
        <v>88</v>
      </c>
      <c r="AB1248" s="25" t="s">
        <v>821</v>
      </c>
      <c r="AC1248" s="25" t="s">
        <v>818</v>
      </c>
      <c r="AD1248" s="25" t="s">
        <v>821</v>
      </c>
      <c r="AE1248" s="25" t="s">
        <v>818</v>
      </c>
    </row>
    <row r="1249" spans="20:31" ht="14.4">
      <c r="T1249" s="25" t="s">
        <v>947</v>
      </c>
      <c r="U1249" s="25" t="s">
        <v>837</v>
      </c>
      <c r="V1249" s="25" t="s">
        <v>817</v>
      </c>
      <c r="W1249" s="25" t="str">
        <f t="shared" si="38"/>
        <v>Round Cassette with Side ChannelsReveal1.1nm 12v Acmeda DCRF Motor</v>
      </c>
      <c r="X1249" s="25">
        <v>10</v>
      </c>
      <c r="Y1249" s="25">
        <v>14</v>
      </c>
      <c r="Z1249" s="25">
        <v>14</v>
      </c>
      <c r="AA1249" s="25">
        <v>88</v>
      </c>
      <c r="AB1249" s="25" t="s">
        <v>821</v>
      </c>
      <c r="AC1249" s="25" t="s">
        <v>818</v>
      </c>
      <c r="AD1249" s="25" t="s">
        <v>821</v>
      </c>
      <c r="AE1249" s="25" t="s">
        <v>818</v>
      </c>
    </row>
    <row r="1250" spans="20:31" ht="14.4">
      <c r="T1250" s="25" t="s">
        <v>947</v>
      </c>
      <c r="U1250" s="25" t="s">
        <v>837</v>
      </c>
      <c r="V1250" s="25" t="s">
        <v>868</v>
      </c>
      <c r="W1250" s="25" t="str">
        <f t="shared" si="38"/>
        <v>Round Cassette with Side ChannelsReveal2nm 12v Acmeda DCRF Motor</v>
      </c>
      <c r="X1250" s="25">
        <v>10</v>
      </c>
      <c r="Y1250" s="25">
        <v>14</v>
      </c>
      <c r="Z1250" s="25">
        <v>14</v>
      </c>
      <c r="AA1250" s="25">
        <v>88</v>
      </c>
      <c r="AB1250" s="25" t="s">
        <v>821</v>
      </c>
      <c r="AC1250" s="25" t="s">
        <v>818</v>
      </c>
      <c r="AD1250" s="25" t="s">
        <v>821</v>
      </c>
      <c r="AE1250" s="25" t="s">
        <v>818</v>
      </c>
    </row>
    <row r="1251" spans="20:31" ht="14.4">
      <c r="T1251" s="25" t="s">
        <v>947</v>
      </c>
      <c r="U1251" s="25" t="s">
        <v>837</v>
      </c>
      <c r="V1251" t="s">
        <v>973</v>
      </c>
      <c r="W1251" s="25" t="str">
        <f t="shared" si="38"/>
        <v>Round Cassette with Side ChannelsRevealSomfy Remote Sonesse Motor</v>
      </c>
      <c r="X1251" s="25">
        <v>10</v>
      </c>
      <c r="Y1251" s="25">
        <v>14</v>
      </c>
      <c r="Z1251" s="25">
        <v>14</v>
      </c>
      <c r="AA1251" s="25">
        <v>88</v>
      </c>
      <c r="AB1251" s="25" t="s">
        <v>821</v>
      </c>
      <c r="AC1251" s="25" t="s">
        <v>818</v>
      </c>
      <c r="AD1251" s="25" t="s">
        <v>821</v>
      </c>
      <c r="AE1251" s="25" t="s">
        <v>818</v>
      </c>
    </row>
    <row r="1252" spans="20:31" ht="14.4">
      <c r="T1252" s="25" t="s">
        <v>947</v>
      </c>
      <c r="U1252" s="25" t="s">
        <v>837</v>
      </c>
      <c r="V1252" t="s">
        <v>637</v>
      </c>
      <c r="W1252" s="25" t="str">
        <f t="shared" si="38"/>
        <v>Round Cassette with Side ChannelsRevealSomfy 12v Remote Sonesse Motor</v>
      </c>
      <c r="X1252" s="25">
        <v>10</v>
      </c>
      <c r="Y1252" s="25">
        <v>14</v>
      </c>
      <c r="Z1252" s="25">
        <v>14</v>
      </c>
      <c r="AA1252" s="25">
        <v>88</v>
      </c>
      <c r="AB1252" s="25" t="s">
        <v>821</v>
      </c>
      <c r="AC1252" s="25" t="s">
        <v>818</v>
      </c>
      <c r="AD1252" s="25" t="s">
        <v>821</v>
      </c>
      <c r="AE1252" s="25" t="s">
        <v>818</v>
      </c>
    </row>
    <row r="1253" spans="20:31" ht="14.4">
      <c r="T1253" s="25" t="s">
        <v>947</v>
      </c>
      <c r="U1253" s="25" t="s">
        <v>837</v>
      </c>
      <c r="V1253" s="25" t="s">
        <v>974</v>
      </c>
      <c r="W1253" s="25" t="str">
        <f t="shared" si="38"/>
        <v>Round Cassette with Side ChannelsRevealSomfy CBUS Motor</v>
      </c>
      <c r="X1253" s="25">
        <v>10</v>
      </c>
      <c r="Y1253" s="25">
        <v>14</v>
      </c>
      <c r="Z1253" s="25">
        <v>14</v>
      </c>
      <c r="AA1253" s="25">
        <v>88</v>
      </c>
      <c r="AB1253" s="25" t="s">
        <v>821</v>
      </c>
      <c r="AC1253" s="25" t="s">
        <v>818</v>
      </c>
      <c r="AD1253" s="25" t="s">
        <v>821</v>
      </c>
      <c r="AE1253" s="25" t="s">
        <v>818</v>
      </c>
    </row>
    <row r="1254" spans="20:31" ht="14.4">
      <c r="T1254" s="25" t="s">
        <v>947</v>
      </c>
      <c r="U1254" s="25" t="s">
        <v>837</v>
      </c>
      <c r="V1254" t="s">
        <v>986</v>
      </c>
      <c r="W1254" s="25" t="str">
        <f t="shared" si="38"/>
        <v>Round Cassette with Side ChannelsRevealHD Somfy Remote Sonesse Motor</v>
      </c>
      <c r="X1254" s="25">
        <v>10</v>
      </c>
      <c r="Y1254" s="25">
        <v>14</v>
      </c>
      <c r="Z1254" s="25">
        <v>14</v>
      </c>
      <c r="AA1254" s="25">
        <v>88</v>
      </c>
      <c r="AB1254" s="25" t="s">
        <v>821</v>
      </c>
      <c r="AC1254" s="25" t="s">
        <v>818</v>
      </c>
      <c r="AD1254" s="25" t="s">
        <v>821</v>
      </c>
      <c r="AE1254" s="25" t="s">
        <v>818</v>
      </c>
    </row>
    <row r="1255" spans="20:31" ht="14.4">
      <c r="T1255" s="25" t="s">
        <v>947</v>
      </c>
      <c r="U1255" s="25" t="s">
        <v>837</v>
      </c>
      <c r="V1255" t="s">
        <v>989</v>
      </c>
      <c r="W1255" s="25" t="str">
        <f t="shared" si="38"/>
        <v>Round Cassette with Side ChannelsRevealHD Somfy 12v Remote Sonesse Motor</v>
      </c>
      <c r="X1255" s="25">
        <v>10</v>
      </c>
      <c r="Y1255" s="25">
        <v>14</v>
      </c>
      <c r="Z1255" s="25">
        <v>14</v>
      </c>
      <c r="AA1255" s="25">
        <v>88</v>
      </c>
      <c r="AB1255" s="25" t="s">
        <v>821</v>
      </c>
      <c r="AC1255" s="25" t="s">
        <v>818</v>
      </c>
      <c r="AD1255" s="25" t="s">
        <v>821</v>
      </c>
      <c r="AE1255" s="25" t="s">
        <v>818</v>
      </c>
    </row>
    <row r="1256" spans="20:31" ht="14.4">
      <c r="T1256" s="25" t="s">
        <v>947</v>
      </c>
      <c r="U1256" s="25" t="s">
        <v>837</v>
      </c>
      <c r="V1256" s="25" t="s">
        <v>992</v>
      </c>
      <c r="W1256" s="25" t="str">
        <f t="shared" si="38"/>
        <v>Round Cassette with Side ChannelsRevealHD Somfy CBUS Motor</v>
      </c>
      <c r="X1256" s="25">
        <v>10</v>
      </c>
      <c r="Y1256" s="25">
        <v>14</v>
      </c>
      <c r="Z1256" s="25">
        <v>14</v>
      </c>
      <c r="AA1256" s="25">
        <v>88</v>
      </c>
      <c r="AB1256" s="25" t="s">
        <v>821</v>
      </c>
      <c r="AC1256" s="25" t="s">
        <v>818</v>
      </c>
      <c r="AD1256" s="25" t="s">
        <v>821</v>
      </c>
      <c r="AE1256" s="25" t="s">
        <v>818</v>
      </c>
    </row>
    <row r="1257" spans="20:31" ht="14.4">
      <c r="T1257" s="25" t="s">
        <v>947</v>
      </c>
      <c r="U1257" s="25" t="s">
        <v>837</v>
      </c>
      <c r="V1257" s="25" t="s">
        <v>625</v>
      </c>
      <c r="W1257" s="25" t="str">
        <f t="shared" si="38"/>
        <v>Round Cassette with Side ChannelsRevealAcmeda E6 Motor</v>
      </c>
      <c r="X1257" s="25">
        <v>10</v>
      </c>
      <c r="Y1257" s="25">
        <v>14</v>
      </c>
      <c r="Z1257" s="25">
        <v>14</v>
      </c>
      <c r="AA1257" s="25">
        <v>88</v>
      </c>
      <c r="AB1257" s="25" t="s">
        <v>821</v>
      </c>
      <c r="AC1257" s="25" t="s">
        <v>818</v>
      </c>
      <c r="AD1257" s="25" t="s">
        <v>821</v>
      </c>
      <c r="AE1257" s="25" t="s">
        <v>818</v>
      </c>
    </row>
    <row r="1258" spans="20:31" ht="14.4">
      <c r="T1258" s="25" t="s">
        <v>947</v>
      </c>
      <c r="U1258" s="25" t="s">
        <v>837</v>
      </c>
      <c r="V1258" s="25" t="s">
        <v>626</v>
      </c>
      <c r="W1258" s="25" t="str">
        <f t="shared" si="38"/>
        <v>Round Cassette with Side ChannelsRevealAcmeda M6 Motor</v>
      </c>
      <c r="X1258" s="25">
        <v>10</v>
      </c>
      <c r="Y1258" s="25">
        <v>14</v>
      </c>
      <c r="Z1258" s="25">
        <v>14</v>
      </c>
      <c r="AA1258" s="25">
        <v>88</v>
      </c>
      <c r="AB1258" s="25" t="s">
        <v>821</v>
      </c>
      <c r="AC1258" s="25" t="s">
        <v>818</v>
      </c>
      <c r="AD1258" s="25" t="s">
        <v>821</v>
      </c>
      <c r="AE1258" s="25" t="s">
        <v>818</v>
      </c>
    </row>
    <row r="1259" spans="20:31" ht="14.4">
      <c r="T1259" s="25" t="s">
        <v>947</v>
      </c>
      <c r="U1259" s="25" t="s">
        <v>837</v>
      </c>
      <c r="V1259" s="25" t="s">
        <v>1002</v>
      </c>
      <c r="W1259" s="25" t="str">
        <f t="shared" si="38"/>
        <v>Round Cassette with Side ChannelsRevealUniline Remote Motor</v>
      </c>
      <c r="X1259" s="25">
        <v>10</v>
      </c>
      <c r="Y1259" s="25">
        <v>14</v>
      </c>
      <c r="Z1259" s="25">
        <v>14</v>
      </c>
      <c r="AA1259" s="25">
        <v>88</v>
      </c>
      <c r="AB1259" s="25" t="s">
        <v>821</v>
      </c>
      <c r="AC1259" s="25" t="s">
        <v>818</v>
      </c>
      <c r="AD1259" s="25" t="s">
        <v>821</v>
      </c>
      <c r="AE1259" s="25" t="s">
        <v>818</v>
      </c>
    </row>
    <row r="1260" spans="20:31" ht="14.4">
      <c r="T1260" s="25" t="s">
        <v>947</v>
      </c>
      <c r="U1260" s="25" t="s">
        <v>837</v>
      </c>
      <c r="V1260" s="25" t="s">
        <v>1005</v>
      </c>
      <c r="W1260" s="25" t="str">
        <f t="shared" si="38"/>
        <v>Round Cassette with Side ChannelsRevealUniline Cbus Motor</v>
      </c>
      <c r="X1260" s="25">
        <v>10</v>
      </c>
      <c r="Y1260" s="25">
        <v>14</v>
      </c>
      <c r="Z1260" s="25">
        <v>14</v>
      </c>
      <c r="AA1260" s="25">
        <v>88</v>
      </c>
      <c r="AB1260" s="25" t="s">
        <v>821</v>
      </c>
      <c r="AC1260" s="25" t="s">
        <v>818</v>
      </c>
      <c r="AD1260" s="25" t="s">
        <v>821</v>
      </c>
      <c r="AE1260" s="25" t="s">
        <v>818</v>
      </c>
    </row>
    <row r="1261" spans="20:31" ht="14.4">
      <c r="T1261" s="25" t="s">
        <v>947</v>
      </c>
      <c r="U1261" s="25" t="s">
        <v>837</v>
      </c>
      <c r="V1261" s="25" t="s">
        <v>981</v>
      </c>
      <c r="W1261" s="25" t="str">
        <f t="shared" si="38"/>
        <v>Round Cassette with Side ChannelsRevealNice Remote Motor</v>
      </c>
      <c r="X1261" s="25">
        <v>10</v>
      </c>
      <c r="Y1261" s="25">
        <v>14</v>
      </c>
      <c r="Z1261" s="25">
        <v>14</v>
      </c>
      <c r="AA1261" s="25">
        <v>88</v>
      </c>
      <c r="AB1261" s="25" t="s">
        <v>821</v>
      </c>
      <c r="AC1261" s="25" t="s">
        <v>818</v>
      </c>
      <c r="AD1261" s="25" t="s">
        <v>821</v>
      </c>
      <c r="AE1261" s="25" t="s">
        <v>818</v>
      </c>
    </row>
    <row r="1262" spans="20:31" ht="14.4">
      <c r="T1262" s="25" t="s">
        <v>947</v>
      </c>
      <c r="U1262" s="25" t="s">
        <v>837</v>
      </c>
      <c r="V1262" s="25" t="s">
        <v>976</v>
      </c>
      <c r="W1262" s="25" t="str">
        <f t="shared" si="38"/>
        <v>Round Cassette with Side ChannelsRevealNice CBus Motor</v>
      </c>
      <c r="X1262" s="25">
        <v>10</v>
      </c>
      <c r="Y1262" s="25">
        <v>14</v>
      </c>
      <c r="Z1262" s="25">
        <v>14</v>
      </c>
      <c r="AA1262" s="25">
        <v>88</v>
      </c>
      <c r="AB1262" s="25" t="s">
        <v>821</v>
      </c>
      <c r="AC1262" s="25" t="s">
        <v>818</v>
      </c>
      <c r="AD1262" s="25" t="s">
        <v>821</v>
      </c>
      <c r="AE1262" s="25" t="s">
        <v>818</v>
      </c>
    </row>
    <row r="1263" spans="20:31" ht="14.4">
      <c r="T1263" s="25" t="s">
        <v>947</v>
      </c>
      <c r="U1263" s="25" t="s">
        <v>837</v>
      </c>
      <c r="V1263" t="s">
        <v>1006</v>
      </c>
      <c r="W1263" s="25" t="str">
        <f t="shared" si="38"/>
        <v>Round Cassette with Side ChannelsRevealSunboss Chain Winder 38mm Tube</v>
      </c>
      <c r="X1263" s="25">
        <v>10</v>
      </c>
      <c r="Y1263" s="25">
        <v>14</v>
      </c>
      <c r="Z1263" s="25">
        <v>14</v>
      </c>
      <c r="AA1263" s="25">
        <v>88</v>
      </c>
      <c r="AB1263" s="25" t="s">
        <v>821</v>
      </c>
      <c r="AC1263" s="25" t="s">
        <v>818</v>
      </c>
      <c r="AD1263" s="25" t="s">
        <v>821</v>
      </c>
      <c r="AE1263" s="25" t="s">
        <v>818</v>
      </c>
    </row>
    <row r="1264" spans="20:31" ht="14.4">
      <c r="T1264" s="25" t="s">
        <v>947</v>
      </c>
      <c r="U1264" s="25" t="s">
        <v>837</v>
      </c>
      <c r="V1264" t="s">
        <v>1017</v>
      </c>
      <c r="W1264" s="25" t="str">
        <f t="shared" si="38"/>
        <v>Round Cassette with Side ChannelsRevealSunboss Chain Winder 43mm Tube</v>
      </c>
      <c r="X1264" s="25">
        <v>10</v>
      </c>
      <c r="Y1264" s="25">
        <v>14</v>
      </c>
      <c r="Z1264" s="25">
        <v>14</v>
      </c>
      <c r="AA1264" s="25">
        <v>88</v>
      </c>
      <c r="AB1264" s="25" t="s">
        <v>821</v>
      </c>
      <c r="AC1264" s="25" t="s">
        <v>818</v>
      </c>
      <c r="AD1264" s="25" t="s">
        <v>821</v>
      </c>
      <c r="AE1264" s="25" t="s">
        <v>818</v>
      </c>
    </row>
    <row r="1265" spans="20:31" ht="14.4">
      <c r="T1265" s="25" t="s">
        <v>947</v>
      </c>
      <c r="U1265" s="25" t="s">
        <v>837</v>
      </c>
      <c r="V1265" s="25" t="s">
        <v>1012</v>
      </c>
      <c r="W1265" s="25" t="str">
        <f t="shared" si="38"/>
        <v>Round Cassette with Side ChannelsRevealTBS Remote Motor</v>
      </c>
      <c r="X1265" s="25">
        <v>10</v>
      </c>
      <c r="Y1265" s="25">
        <v>14</v>
      </c>
      <c r="Z1265" s="25">
        <v>14</v>
      </c>
      <c r="AA1265" s="25">
        <v>88</v>
      </c>
      <c r="AB1265" s="25" t="s">
        <v>821</v>
      </c>
      <c r="AC1265" s="25" t="s">
        <v>818</v>
      </c>
      <c r="AD1265" s="25" t="s">
        <v>821</v>
      </c>
      <c r="AE1265" s="25" t="s">
        <v>818</v>
      </c>
    </row>
    <row r="1266" spans="20:31" ht="14.4">
      <c r="T1266" s="25" t="s">
        <v>947</v>
      </c>
      <c r="U1266" s="25" t="s">
        <v>837</v>
      </c>
      <c r="V1266" t="s">
        <v>1009</v>
      </c>
      <c r="W1266" s="25" t="str">
        <f t="shared" si="38"/>
        <v>Round Cassette with Side ChannelsRevealTBS Cbus Motor</v>
      </c>
      <c r="X1266" s="25">
        <v>10</v>
      </c>
      <c r="Y1266" s="25">
        <v>14</v>
      </c>
      <c r="Z1266" s="25">
        <v>14</v>
      </c>
      <c r="AA1266" s="25">
        <v>88</v>
      </c>
      <c r="AB1266" s="25" t="s">
        <v>821</v>
      </c>
      <c r="AC1266" s="25" t="s">
        <v>818</v>
      </c>
      <c r="AD1266" s="25" t="s">
        <v>821</v>
      </c>
      <c r="AE1266" s="25" t="s">
        <v>818</v>
      </c>
    </row>
    <row r="1267" spans="20:31" ht="14.4">
      <c r="T1267" s="25" t="s">
        <v>947</v>
      </c>
      <c r="U1267" s="25" t="s">
        <v>837</v>
      </c>
      <c r="V1267" t="s">
        <v>927</v>
      </c>
      <c r="W1267" s="25" t="str">
        <f t="shared" si="38"/>
        <v>Round Cassette with Side ChannelsRevealAcmeda External Motor</v>
      </c>
      <c r="X1267" s="25">
        <v>10</v>
      </c>
      <c r="Y1267" s="25">
        <v>14</v>
      </c>
      <c r="Z1267" s="25">
        <v>14</v>
      </c>
      <c r="AA1267" s="25">
        <v>88</v>
      </c>
      <c r="AB1267" s="25" t="s">
        <v>821</v>
      </c>
      <c r="AC1267" s="25" t="s">
        <v>818</v>
      </c>
      <c r="AD1267" s="25" t="s">
        <v>821</v>
      </c>
      <c r="AE1267" s="25" t="s">
        <v>818</v>
      </c>
    </row>
    <row r="1268" spans="20:31" ht="14.4">
      <c r="T1268" s="25" t="s">
        <v>947</v>
      </c>
      <c r="U1268" s="25" t="s">
        <v>837</v>
      </c>
      <c r="V1268" t="s">
        <v>918</v>
      </c>
      <c r="W1268" s="25" t="str">
        <f t="shared" si="38"/>
        <v>Round Cassette with Side ChannelsRevealAcmeda External 12v Motor</v>
      </c>
      <c r="X1268" s="25">
        <v>10</v>
      </c>
      <c r="Y1268" s="25">
        <v>14</v>
      </c>
      <c r="Z1268" s="25">
        <v>14</v>
      </c>
      <c r="AA1268" s="25">
        <v>88</v>
      </c>
      <c r="AB1268" s="25" t="s">
        <v>821</v>
      </c>
      <c r="AC1268" s="25" t="s">
        <v>818</v>
      </c>
      <c r="AD1268" s="25" t="s">
        <v>821</v>
      </c>
      <c r="AE1268" s="25" t="s">
        <v>818</v>
      </c>
    </row>
    <row r="1269" spans="20:31" ht="14.4">
      <c r="T1269" s="25" t="s">
        <v>947</v>
      </c>
      <c r="U1269" s="25" t="s">
        <v>837</v>
      </c>
      <c r="V1269" t="s">
        <v>979</v>
      </c>
      <c r="W1269" s="25" t="str">
        <f t="shared" si="38"/>
        <v>Round Cassette with Side ChannelsRevealSomfy External CBUS Motor</v>
      </c>
      <c r="X1269" s="25">
        <v>10</v>
      </c>
      <c r="Y1269" s="25">
        <v>14</v>
      </c>
      <c r="Z1269" s="25">
        <v>14</v>
      </c>
      <c r="AA1269" s="25">
        <v>88</v>
      </c>
      <c r="AB1269" s="25" t="s">
        <v>821</v>
      </c>
      <c r="AC1269" s="25" t="s">
        <v>818</v>
      </c>
      <c r="AD1269" s="25" t="s">
        <v>821</v>
      </c>
      <c r="AE1269" s="25" t="s">
        <v>818</v>
      </c>
    </row>
    <row r="1270" spans="20:31" ht="14.4">
      <c r="T1270" s="25" t="s">
        <v>947</v>
      </c>
      <c r="U1270" s="25" t="s">
        <v>837</v>
      </c>
      <c r="V1270" t="s">
        <v>983</v>
      </c>
      <c r="W1270" s="25" t="str">
        <f t="shared" si="38"/>
        <v>Round Cassette with Side ChannelsRevealSomfy External Remote Motor</v>
      </c>
      <c r="X1270" s="25">
        <v>10</v>
      </c>
      <c r="Y1270" s="25">
        <v>14</v>
      </c>
      <c r="Z1270" s="25">
        <v>14</v>
      </c>
      <c r="AA1270" s="25">
        <v>88</v>
      </c>
      <c r="AB1270" s="25" t="s">
        <v>821</v>
      </c>
      <c r="AC1270" s="25" t="s">
        <v>818</v>
      </c>
      <c r="AD1270" s="25" t="s">
        <v>821</v>
      </c>
      <c r="AE1270" s="25" t="s">
        <v>818</v>
      </c>
    </row>
    <row r="1271" spans="20:31" ht="14.4">
      <c r="T1271" s="25" t="s">
        <v>947</v>
      </c>
      <c r="U1271" s="25" t="s">
        <v>837</v>
      </c>
      <c r="V1271" t="s">
        <v>995</v>
      </c>
      <c r="W1271" s="25" t="str">
        <f t="shared" si="38"/>
        <v>Round Cassette with Side ChannelsRevealHD Somfy External CBUS Motor</v>
      </c>
      <c r="X1271" s="25">
        <v>10</v>
      </c>
      <c r="Y1271" s="25">
        <v>14</v>
      </c>
      <c r="Z1271" s="25">
        <v>14</v>
      </c>
      <c r="AA1271" s="25">
        <v>88</v>
      </c>
      <c r="AB1271" s="25" t="s">
        <v>821</v>
      </c>
      <c r="AC1271" s="25" t="s">
        <v>818</v>
      </c>
      <c r="AD1271" s="25" t="s">
        <v>821</v>
      </c>
      <c r="AE1271" s="25" t="s">
        <v>818</v>
      </c>
    </row>
    <row r="1272" spans="20:31" ht="14.4">
      <c r="T1272" s="25" t="s">
        <v>947</v>
      </c>
      <c r="U1272" s="25" t="s">
        <v>837</v>
      </c>
      <c r="V1272" t="s">
        <v>999</v>
      </c>
      <c r="W1272" s="25" t="str">
        <f t="shared" si="38"/>
        <v>Round Cassette with Side ChannelsRevealHD Somfy External Remote Motor</v>
      </c>
      <c r="X1272" s="25">
        <v>10</v>
      </c>
      <c r="Y1272" s="25">
        <v>14</v>
      </c>
      <c r="Z1272" s="25">
        <v>14</v>
      </c>
      <c r="AA1272" s="25">
        <v>88</v>
      </c>
      <c r="AB1272" s="25" t="s">
        <v>821</v>
      </c>
      <c r="AC1272" s="25" t="s">
        <v>818</v>
      </c>
      <c r="AD1272" s="25" t="s">
        <v>821</v>
      </c>
      <c r="AE1272" s="25" t="s">
        <v>818</v>
      </c>
    </row>
    <row r="1273" spans="20:31" ht="14.4">
      <c r="T1273" s="25" t="s">
        <v>952</v>
      </c>
      <c r="U1273" s="25" t="s">
        <v>816</v>
      </c>
      <c r="V1273" s="25" t="s">
        <v>823</v>
      </c>
      <c r="W1273" s="25" t="str">
        <f t="shared" si="38"/>
        <v>Round Cassette with Side &amp; Bottom ChannelsFaceChain Winder</v>
      </c>
      <c r="X1273" s="25">
        <v>10</v>
      </c>
      <c r="Y1273" s="25">
        <v>14</v>
      </c>
      <c r="Z1273" s="25">
        <v>29</v>
      </c>
      <c r="AA1273" s="25">
        <v>88</v>
      </c>
      <c r="AB1273" s="25" t="s">
        <v>821</v>
      </c>
      <c r="AC1273" s="25" t="s">
        <v>818</v>
      </c>
      <c r="AD1273" s="25" t="s">
        <v>821</v>
      </c>
      <c r="AE1273" s="25" t="s">
        <v>818</v>
      </c>
    </row>
    <row r="1274" spans="20:31" ht="14.4">
      <c r="T1274" s="25" t="s">
        <v>952</v>
      </c>
      <c r="U1274" s="25" t="s">
        <v>816</v>
      </c>
      <c r="V1274" s="25" t="s">
        <v>841</v>
      </c>
      <c r="W1274" s="25" t="str">
        <f t="shared" si="38"/>
        <v>Round Cassette with Side &amp; Bottom ChannelsFaceHD Chain Winder</v>
      </c>
      <c r="X1274" s="25">
        <v>10</v>
      </c>
      <c r="Y1274" s="25">
        <v>14</v>
      </c>
      <c r="Z1274" s="25">
        <v>29</v>
      </c>
      <c r="AA1274" s="25">
        <v>88</v>
      </c>
      <c r="AB1274" s="25" t="s">
        <v>821</v>
      </c>
      <c r="AC1274" s="25" t="s">
        <v>818</v>
      </c>
      <c r="AD1274" s="25" t="s">
        <v>821</v>
      </c>
      <c r="AE1274" s="25" t="s">
        <v>818</v>
      </c>
    </row>
    <row r="1275" spans="20:31" ht="14.4">
      <c r="T1275" s="25" t="s">
        <v>952</v>
      </c>
      <c r="U1275" s="25" t="s">
        <v>816</v>
      </c>
      <c r="V1275" s="25" t="s">
        <v>858</v>
      </c>
      <c r="W1275" s="25" t="str">
        <f t="shared" si="38"/>
        <v>Round Cassette with Side &amp; Bottom ChannelsFaceChain Winder 60mm</v>
      </c>
      <c r="X1275" s="25">
        <v>10</v>
      </c>
      <c r="Y1275" s="25">
        <v>14</v>
      </c>
      <c r="Z1275" s="25">
        <v>29</v>
      </c>
      <c r="AA1275" s="25">
        <v>88</v>
      </c>
      <c r="AB1275" s="25" t="s">
        <v>821</v>
      </c>
      <c r="AC1275" s="25" t="s">
        <v>818</v>
      </c>
      <c r="AD1275" s="25" t="s">
        <v>821</v>
      </c>
      <c r="AE1275" s="25" t="s">
        <v>818</v>
      </c>
    </row>
    <row r="1276" spans="20:31" ht="14.4">
      <c r="T1276" s="25" t="s">
        <v>952</v>
      </c>
      <c r="U1276" s="25" t="s">
        <v>816</v>
      </c>
      <c r="V1276" s="25" t="s">
        <v>865</v>
      </c>
      <c r="W1276" s="25" t="str">
        <f t="shared" si="38"/>
        <v>Round Cassette with Side &amp; Bottom ChannelsFaceChain Winder Fixed Guide</v>
      </c>
      <c r="X1276" s="25">
        <v>10</v>
      </c>
      <c r="Y1276" s="25">
        <v>14</v>
      </c>
      <c r="Z1276" s="25">
        <v>29</v>
      </c>
      <c r="AA1276" s="25">
        <v>88</v>
      </c>
      <c r="AB1276" s="25" t="s">
        <v>821</v>
      </c>
      <c r="AC1276" s="25" t="s">
        <v>818</v>
      </c>
      <c r="AD1276" s="25" t="s">
        <v>821</v>
      </c>
      <c r="AE1276" s="25" t="s">
        <v>818</v>
      </c>
    </row>
    <row r="1277" spans="20:31" ht="14.4">
      <c r="T1277" s="25" t="s">
        <v>952</v>
      </c>
      <c r="U1277" s="25" t="s">
        <v>816</v>
      </c>
      <c r="V1277" s="25" t="s">
        <v>181</v>
      </c>
      <c r="W1277" s="25" t="str">
        <f t="shared" si="38"/>
        <v>Round Cassette with Side &amp; Bottom ChannelsFaceLinked</v>
      </c>
      <c r="X1277" s="25">
        <v>10</v>
      </c>
      <c r="Y1277" s="25">
        <v>14</v>
      </c>
      <c r="Z1277" s="25">
        <v>14</v>
      </c>
      <c r="AA1277" s="25">
        <v>88</v>
      </c>
      <c r="AB1277" s="25" t="s">
        <v>821</v>
      </c>
      <c r="AC1277" s="25" t="s">
        <v>818</v>
      </c>
      <c r="AD1277" s="25" t="s">
        <v>821</v>
      </c>
      <c r="AE1277" s="25" t="s">
        <v>818</v>
      </c>
    </row>
    <row r="1278" spans="20:31" ht="14.4">
      <c r="T1278" s="25" t="s">
        <v>952</v>
      </c>
      <c r="U1278" s="25" t="s">
        <v>816</v>
      </c>
      <c r="V1278" s="25" t="s">
        <v>898</v>
      </c>
      <c r="W1278" s="25" t="str">
        <f t="shared" si="38"/>
        <v>Round Cassette with Side &amp; Bottom ChannelsFaceLinked - HD</v>
      </c>
      <c r="X1278" s="25">
        <v>10</v>
      </c>
      <c r="Y1278" s="25">
        <v>14</v>
      </c>
      <c r="Z1278" s="25">
        <v>14</v>
      </c>
      <c r="AA1278" s="25">
        <v>88</v>
      </c>
      <c r="AB1278" s="25" t="s">
        <v>821</v>
      </c>
      <c r="AC1278" s="25" t="s">
        <v>818</v>
      </c>
      <c r="AD1278" s="25" t="s">
        <v>821</v>
      </c>
      <c r="AE1278" s="25" t="s">
        <v>818</v>
      </c>
    </row>
    <row r="1279" spans="20:31" ht="14.4">
      <c r="T1279" s="25" t="s">
        <v>952</v>
      </c>
      <c r="U1279" s="25" t="s">
        <v>816</v>
      </c>
      <c r="V1279" s="25" t="s">
        <v>910</v>
      </c>
      <c r="W1279" s="25" t="str">
        <f t="shared" si="38"/>
        <v>Round Cassette with Side &amp; Bottom ChannelsFaceStandard Spring</v>
      </c>
      <c r="X1279" s="25">
        <v>10</v>
      </c>
      <c r="Y1279" s="25">
        <v>14</v>
      </c>
      <c r="Z1279" s="25">
        <v>14</v>
      </c>
      <c r="AA1279" s="25">
        <v>88</v>
      </c>
      <c r="AB1279" s="25" t="s">
        <v>821</v>
      </c>
      <c r="AC1279" s="25" t="s">
        <v>818</v>
      </c>
      <c r="AD1279" s="25" t="s">
        <v>821</v>
      </c>
      <c r="AE1279" s="25" t="s">
        <v>818</v>
      </c>
    </row>
    <row r="1280" spans="20:31" ht="14.4">
      <c r="T1280" s="25" t="s">
        <v>952</v>
      </c>
      <c r="U1280" s="25" t="s">
        <v>816</v>
      </c>
      <c r="V1280" s="25" t="s">
        <v>920</v>
      </c>
      <c r="W1280" s="25" t="str">
        <f t="shared" si="38"/>
        <v>Round Cassette with Side &amp; Bottom ChannelsFaceSmall Spring</v>
      </c>
      <c r="X1280" s="25">
        <v>10</v>
      </c>
      <c r="Y1280" s="25">
        <v>14</v>
      </c>
      <c r="Z1280" s="25">
        <v>14</v>
      </c>
      <c r="AA1280" s="25">
        <v>88</v>
      </c>
      <c r="AB1280" s="25" t="s">
        <v>821</v>
      </c>
      <c r="AC1280" s="25" t="s">
        <v>818</v>
      </c>
      <c r="AD1280" s="25" t="s">
        <v>821</v>
      </c>
      <c r="AE1280" s="25" t="s">
        <v>818</v>
      </c>
    </row>
    <row r="1281" spans="20:31" ht="14.4">
      <c r="T1281" s="25" t="s">
        <v>952</v>
      </c>
      <c r="U1281" s="25" t="s">
        <v>816</v>
      </c>
      <c r="V1281" s="25" t="s">
        <v>929</v>
      </c>
      <c r="W1281" s="25" t="str">
        <f t="shared" si="38"/>
        <v>Round Cassette with Side &amp; Bottom ChannelsFaceUniline Spring (Old Style)</v>
      </c>
      <c r="X1281" s="25">
        <v>10</v>
      </c>
      <c r="Y1281" s="25">
        <v>14</v>
      </c>
      <c r="Z1281" s="25">
        <v>14</v>
      </c>
      <c r="AA1281" s="25">
        <v>88</v>
      </c>
      <c r="AB1281" s="25" t="s">
        <v>821</v>
      </c>
      <c r="AC1281" s="25" t="s">
        <v>818</v>
      </c>
      <c r="AD1281" s="25" t="s">
        <v>821</v>
      </c>
      <c r="AE1281" s="25" t="s">
        <v>818</v>
      </c>
    </row>
    <row r="1282" spans="20:31" ht="14.4">
      <c r="T1282" s="25" t="s">
        <v>952</v>
      </c>
      <c r="U1282" s="25" t="s">
        <v>816</v>
      </c>
      <c r="V1282" s="25" t="s">
        <v>935</v>
      </c>
      <c r="W1282" s="25" t="str">
        <f t="shared" si="38"/>
        <v>Round Cassette with Side &amp; Bottom ChannelsFaceBecker Remote Motor</v>
      </c>
      <c r="X1282" s="25">
        <v>10</v>
      </c>
      <c r="Y1282" s="25">
        <v>14</v>
      </c>
      <c r="Z1282" s="25">
        <v>14</v>
      </c>
      <c r="AA1282" s="25">
        <v>88</v>
      </c>
      <c r="AB1282" s="25" t="s">
        <v>821</v>
      </c>
      <c r="AC1282" s="25" t="s">
        <v>818</v>
      </c>
      <c r="AD1282" s="25" t="s">
        <v>821</v>
      </c>
      <c r="AE1282" s="25" t="s">
        <v>818</v>
      </c>
    </row>
    <row r="1283" spans="20:31" ht="14.4">
      <c r="T1283" s="25" t="s">
        <v>952</v>
      </c>
      <c r="U1283" s="25" t="s">
        <v>816</v>
      </c>
      <c r="V1283" s="25" t="s">
        <v>939</v>
      </c>
      <c r="W1283" s="25" t="str">
        <f t="shared" si="39" ref="W1283:W1346">CONCATENATE(T1283,U1283,V1283)</f>
        <v>Round Cassette with Side &amp; Bottom ChannelsFaceBecker CBUS Motor</v>
      </c>
      <c r="X1283" s="25">
        <v>10</v>
      </c>
      <c r="Y1283" s="25">
        <v>14</v>
      </c>
      <c r="Z1283" s="25">
        <v>14</v>
      </c>
      <c r="AA1283" s="25">
        <v>88</v>
      </c>
      <c r="AB1283" s="25" t="s">
        <v>821</v>
      </c>
      <c r="AC1283" s="25" t="s">
        <v>818</v>
      </c>
      <c r="AD1283" s="25" t="s">
        <v>821</v>
      </c>
      <c r="AE1283" s="25" t="s">
        <v>818</v>
      </c>
    </row>
    <row r="1284" spans="20:31" ht="14.4">
      <c r="T1284" s="25" t="s">
        <v>952</v>
      </c>
      <c r="U1284" s="25" t="s">
        <v>816</v>
      </c>
      <c r="V1284" s="25" t="s">
        <v>946</v>
      </c>
      <c r="W1284" s="25" t="str">
        <f t="shared" si="39"/>
        <v>Round Cassette with Side &amp; Bottom ChannelsFaceBecker External Remote Motor</v>
      </c>
      <c r="X1284" s="25">
        <v>10</v>
      </c>
      <c r="Y1284" s="25">
        <v>14</v>
      </c>
      <c r="Z1284" s="25">
        <v>14</v>
      </c>
      <c r="AA1284" s="25">
        <v>88</v>
      </c>
      <c r="AB1284" s="25" t="s">
        <v>821</v>
      </c>
      <c r="AC1284" s="25" t="s">
        <v>818</v>
      </c>
      <c r="AD1284" s="25" t="s">
        <v>821</v>
      </c>
      <c r="AE1284" s="25" t="s">
        <v>818</v>
      </c>
    </row>
    <row r="1285" spans="20:31" ht="14.4">
      <c r="T1285" s="25" t="s">
        <v>952</v>
      </c>
      <c r="U1285" s="25" t="s">
        <v>816</v>
      </c>
      <c r="V1285" s="25" t="s">
        <v>951</v>
      </c>
      <c r="W1285" s="25" t="str">
        <f t="shared" si="39"/>
        <v>Round Cassette with Side &amp; Bottom ChannelsFaceBecker External CBUS Motor</v>
      </c>
      <c r="X1285" s="25">
        <v>10</v>
      </c>
      <c r="Y1285" s="25">
        <v>14</v>
      </c>
      <c r="Z1285" s="25">
        <v>14</v>
      </c>
      <c r="AA1285" s="25">
        <v>88</v>
      </c>
      <c r="AB1285" s="25" t="s">
        <v>821</v>
      </c>
      <c r="AC1285" s="25" t="s">
        <v>818</v>
      </c>
      <c r="AD1285" s="25" t="s">
        <v>821</v>
      </c>
      <c r="AE1285" s="25" t="s">
        <v>818</v>
      </c>
    </row>
    <row r="1286" spans="20:31" ht="14.4">
      <c r="T1286" s="25" t="s">
        <v>952</v>
      </c>
      <c r="U1286" s="25" t="s">
        <v>816</v>
      </c>
      <c r="V1286" s="25" t="s">
        <v>838</v>
      </c>
      <c r="W1286" s="25" t="str">
        <f t="shared" si="39"/>
        <v>Round Cassette with Side &amp; Bottom ChannelsFace1.1nm 12v Acmeda Motor</v>
      </c>
      <c r="X1286" s="25">
        <v>10</v>
      </c>
      <c r="Y1286" s="25">
        <v>14</v>
      </c>
      <c r="Z1286" s="25">
        <v>14</v>
      </c>
      <c r="AA1286" s="25">
        <v>88</v>
      </c>
      <c r="AB1286" s="25" t="s">
        <v>821</v>
      </c>
      <c r="AC1286" s="25" t="s">
        <v>818</v>
      </c>
      <c r="AD1286" s="25" t="s">
        <v>821</v>
      </c>
      <c r="AE1286" s="25" t="s">
        <v>818</v>
      </c>
    </row>
    <row r="1287" spans="20:31" ht="14.4">
      <c r="T1287" s="25" t="s">
        <v>952</v>
      </c>
      <c r="U1287" s="25" t="s">
        <v>816</v>
      </c>
      <c r="V1287" t="s">
        <v>882</v>
      </c>
      <c r="W1287" s="25" t="str">
        <f t="shared" si="39"/>
        <v>Round Cassette with Side &amp; Bottom ChannelsFace2nm 12v Acmeda Motor</v>
      </c>
      <c r="X1287" s="25">
        <v>10</v>
      </c>
      <c r="Y1287" s="25">
        <v>14</v>
      </c>
      <c r="Z1287" s="25">
        <v>14</v>
      </c>
      <c r="AA1287" s="25">
        <v>88</v>
      </c>
      <c r="AB1287" s="25" t="s">
        <v>821</v>
      </c>
      <c r="AC1287" s="25" t="s">
        <v>818</v>
      </c>
      <c r="AD1287" s="25" t="s">
        <v>821</v>
      </c>
      <c r="AE1287" s="25" t="s">
        <v>818</v>
      </c>
    </row>
    <row r="1288" spans="20:31" ht="14.4">
      <c r="T1288" s="25" t="s">
        <v>952</v>
      </c>
      <c r="U1288" s="25" t="s">
        <v>816</v>
      </c>
      <c r="V1288" t="s">
        <v>896</v>
      </c>
      <c r="W1288" s="25" t="str">
        <f t="shared" si="39"/>
        <v>Round Cassette with Side &amp; Bottom ChannelsFaceAcmeda 12v 6nm Motor</v>
      </c>
      <c r="X1288" s="25">
        <v>10</v>
      </c>
      <c r="Y1288" s="25">
        <v>14</v>
      </c>
      <c r="Z1288" s="25">
        <v>14</v>
      </c>
      <c r="AA1288" s="25">
        <v>88</v>
      </c>
      <c r="AB1288" s="25" t="s">
        <v>821</v>
      </c>
      <c r="AC1288" s="25" t="s">
        <v>818</v>
      </c>
      <c r="AD1288" s="25" t="s">
        <v>821</v>
      </c>
      <c r="AE1288" s="25" t="s">
        <v>818</v>
      </c>
    </row>
    <row r="1289" spans="20:31" ht="14.4">
      <c r="T1289" s="25" t="s">
        <v>952</v>
      </c>
      <c r="U1289" s="25" t="s">
        <v>816</v>
      </c>
      <c r="V1289" t="s">
        <v>855</v>
      </c>
      <c r="W1289" s="25" t="str">
        <f t="shared" si="39"/>
        <v>Round Cassette with Side &amp; Bottom ChannelsFace0.7nm 12v Acmeda Motor</v>
      </c>
      <c r="X1289" s="25">
        <v>10</v>
      </c>
      <c r="Y1289" s="25">
        <v>14</v>
      </c>
      <c r="Z1289" s="25">
        <v>14</v>
      </c>
      <c r="AA1289" s="25">
        <v>88</v>
      </c>
      <c r="AB1289" s="25" t="s">
        <v>821</v>
      </c>
      <c r="AC1289" s="25" t="s">
        <v>818</v>
      </c>
      <c r="AD1289" s="25" t="s">
        <v>821</v>
      </c>
      <c r="AE1289" s="25" t="s">
        <v>818</v>
      </c>
    </row>
    <row r="1290" spans="20:31" ht="14.4">
      <c r="T1290" s="25" t="s">
        <v>952</v>
      </c>
      <c r="U1290" s="25" t="s">
        <v>816</v>
      </c>
      <c r="V1290" s="25" t="s">
        <v>849</v>
      </c>
      <c r="W1290" s="25" t="str">
        <f t="shared" si="39"/>
        <v>Round Cassette with Side &amp; Bottom ChannelsFace1.1nm 12v Acmeda DCRF Motor with External Battery</v>
      </c>
      <c r="X1290" s="25">
        <v>10</v>
      </c>
      <c r="Y1290" s="25">
        <v>14</v>
      </c>
      <c r="Z1290" s="25">
        <v>14</v>
      </c>
      <c r="AA1290" s="25">
        <v>88</v>
      </c>
      <c r="AB1290" s="25" t="s">
        <v>821</v>
      </c>
      <c r="AC1290" s="25" t="s">
        <v>818</v>
      </c>
      <c r="AD1290" s="25" t="s">
        <v>821</v>
      </c>
      <c r="AE1290" s="25" t="s">
        <v>818</v>
      </c>
    </row>
    <row r="1291" spans="20:31" ht="14.4">
      <c r="T1291" s="25" t="s">
        <v>952</v>
      </c>
      <c r="U1291" s="25" t="s">
        <v>816</v>
      </c>
      <c r="V1291" s="25" t="s">
        <v>817</v>
      </c>
      <c r="W1291" s="25" t="str">
        <f t="shared" si="39"/>
        <v>Round Cassette with Side &amp; Bottom ChannelsFace1.1nm 12v Acmeda DCRF Motor</v>
      </c>
      <c r="X1291" s="25">
        <v>10</v>
      </c>
      <c r="Y1291" s="25">
        <v>14</v>
      </c>
      <c r="Z1291" s="25">
        <v>14</v>
      </c>
      <c r="AA1291" s="25">
        <v>88</v>
      </c>
      <c r="AB1291" s="25" t="s">
        <v>821</v>
      </c>
      <c r="AC1291" s="25" t="s">
        <v>818</v>
      </c>
      <c r="AD1291" s="25" t="s">
        <v>821</v>
      </c>
      <c r="AE1291" s="25" t="s">
        <v>818</v>
      </c>
    </row>
    <row r="1292" spans="20:31" ht="14.4">
      <c r="T1292" s="25" t="s">
        <v>952</v>
      </c>
      <c r="U1292" s="25" t="s">
        <v>816</v>
      </c>
      <c r="V1292" s="25" t="s">
        <v>868</v>
      </c>
      <c r="W1292" s="25" t="str">
        <f t="shared" si="39"/>
        <v>Round Cassette with Side &amp; Bottom ChannelsFace2nm 12v Acmeda DCRF Motor</v>
      </c>
      <c r="X1292" s="25">
        <v>10</v>
      </c>
      <c r="Y1292" s="25">
        <v>14</v>
      </c>
      <c r="Z1292" s="25">
        <v>14</v>
      </c>
      <c r="AA1292" s="25">
        <v>88</v>
      </c>
      <c r="AB1292" s="25" t="s">
        <v>821</v>
      </c>
      <c r="AC1292" s="25" t="s">
        <v>818</v>
      </c>
      <c r="AD1292" s="25" t="s">
        <v>821</v>
      </c>
      <c r="AE1292" s="25" t="s">
        <v>818</v>
      </c>
    </row>
    <row r="1293" spans="20:31" ht="14.4">
      <c r="T1293" s="25" t="s">
        <v>952</v>
      </c>
      <c r="U1293" s="25" t="s">
        <v>816</v>
      </c>
      <c r="V1293" t="s">
        <v>973</v>
      </c>
      <c r="W1293" s="25" t="str">
        <f t="shared" si="39"/>
        <v>Round Cassette with Side &amp; Bottom ChannelsFaceSomfy Remote Sonesse Motor</v>
      </c>
      <c r="X1293" s="25">
        <v>10</v>
      </c>
      <c r="Y1293" s="25">
        <v>14</v>
      </c>
      <c r="Z1293" s="25">
        <v>14</v>
      </c>
      <c r="AA1293" s="25">
        <v>88</v>
      </c>
      <c r="AB1293" s="25" t="s">
        <v>821</v>
      </c>
      <c r="AC1293" s="25" t="s">
        <v>818</v>
      </c>
      <c r="AD1293" s="25" t="s">
        <v>821</v>
      </c>
      <c r="AE1293" s="25" t="s">
        <v>818</v>
      </c>
    </row>
    <row r="1294" spans="20:31" ht="14.4">
      <c r="T1294" s="25" t="s">
        <v>952</v>
      </c>
      <c r="U1294" s="25" t="s">
        <v>816</v>
      </c>
      <c r="V1294" t="s">
        <v>637</v>
      </c>
      <c r="W1294" s="25" t="str">
        <f t="shared" si="39"/>
        <v>Round Cassette with Side &amp; Bottom ChannelsFaceSomfy 12v Remote Sonesse Motor</v>
      </c>
      <c r="X1294" s="25">
        <v>10</v>
      </c>
      <c r="Y1294" s="25">
        <v>14</v>
      </c>
      <c r="Z1294" s="25">
        <v>14</v>
      </c>
      <c r="AA1294" s="25">
        <v>88</v>
      </c>
      <c r="AB1294" s="25" t="s">
        <v>821</v>
      </c>
      <c r="AC1294" s="25" t="s">
        <v>818</v>
      </c>
      <c r="AD1294" s="25" t="s">
        <v>821</v>
      </c>
      <c r="AE1294" s="25" t="s">
        <v>818</v>
      </c>
    </row>
    <row r="1295" spans="20:31" ht="14.4">
      <c r="T1295" s="25" t="s">
        <v>952</v>
      </c>
      <c r="U1295" s="25" t="s">
        <v>816</v>
      </c>
      <c r="V1295" s="25" t="s">
        <v>974</v>
      </c>
      <c r="W1295" s="25" t="str">
        <f t="shared" si="39"/>
        <v>Round Cassette with Side &amp; Bottom ChannelsFaceSomfy CBUS Motor</v>
      </c>
      <c r="X1295" s="25">
        <v>10</v>
      </c>
      <c r="Y1295" s="25">
        <v>14</v>
      </c>
      <c r="Z1295" s="25">
        <v>14</v>
      </c>
      <c r="AA1295" s="25">
        <v>88</v>
      </c>
      <c r="AB1295" s="25" t="s">
        <v>821</v>
      </c>
      <c r="AC1295" s="25" t="s">
        <v>818</v>
      </c>
      <c r="AD1295" s="25" t="s">
        <v>821</v>
      </c>
      <c r="AE1295" s="25" t="s">
        <v>818</v>
      </c>
    </row>
    <row r="1296" spans="20:31" ht="14.4">
      <c r="T1296" s="25" t="s">
        <v>952</v>
      </c>
      <c r="U1296" s="25" t="s">
        <v>816</v>
      </c>
      <c r="V1296" t="s">
        <v>986</v>
      </c>
      <c r="W1296" s="25" t="str">
        <f t="shared" si="39"/>
        <v>Round Cassette with Side &amp; Bottom ChannelsFaceHD Somfy Remote Sonesse Motor</v>
      </c>
      <c r="X1296" s="25">
        <v>10</v>
      </c>
      <c r="Y1296" s="25">
        <v>14</v>
      </c>
      <c r="Z1296" s="25">
        <v>14</v>
      </c>
      <c r="AA1296" s="25">
        <v>88</v>
      </c>
      <c r="AB1296" s="25" t="s">
        <v>821</v>
      </c>
      <c r="AC1296" s="25" t="s">
        <v>818</v>
      </c>
      <c r="AD1296" s="25" t="s">
        <v>821</v>
      </c>
      <c r="AE1296" s="25" t="s">
        <v>818</v>
      </c>
    </row>
    <row r="1297" spans="20:31" ht="14.4">
      <c r="T1297" s="25" t="s">
        <v>952</v>
      </c>
      <c r="U1297" s="25" t="s">
        <v>816</v>
      </c>
      <c r="V1297" t="s">
        <v>989</v>
      </c>
      <c r="W1297" s="25" t="str">
        <f t="shared" si="39"/>
        <v>Round Cassette with Side &amp; Bottom ChannelsFaceHD Somfy 12v Remote Sonesse Motor</v>
      </c>
      <c r="X1297" s="25">
        <v>10</v>
      </c>
      <c r="Y1297" s="25">
        <v>14</v>
      </c>
      <c r="Z1297" s="25">
        <v>14</v>
      </c>
      <c r="AA1297" s="25">
        <v>88</v>
      </c>
      <c r="AB1297" s="25" t="s">
        <v>821</v>
      </c>
      <c r="AC1297" s="25" t="s">
        <v>818</v>
      </c>
      <c r="AD1297" s="25" t="s">
        <v>821</v>
      </c>
      <c r="AE1297" s="25" t="s">
        <v>818</v>
      </c>
    </row>
    <row r="1298" spans="20:31" ht="14.4">
      <c r="T1298" s="25" t="s">
        <v>952</v>
      </c>
      <c r="U1298" s="25" t="s">
        <v>816</v>
      </c>
      <c r="V1298" s="25" t="s">
        <v>992</v>
      </c>
      <c r="W1298" s="25" t="str">
        <f t="shared" si="39"/>
        <v>Round Cassette with Side &amp; Bottom ChannelsFaceHD Somfy CBUS Motor</v>
      </c>
      <c r="X1298" s="25">
        <v>10</v>
      </c>
      <c r="Y1298" s="25">
        <v>14</v>
      </c>
      <c r="Z1298" s="25">
        <v>14</v>
      </c>
      <c r="AA1298" s="25">
        <v>88</v>
      </c>
      <c r="AB1298" s="25" t="s">
        <v>821</v>
      </c>
      <c r="AC1298" s="25" t="s">
        <v>818</v>
      </c>
      <c r="AD1298" s="25" t="s">
        <v>821</v>
      </c>
      <c r="AE1298" s="25" t="s">
        <v>818</v>
      </c>
    </row>
    <row r="1299" spans="20:31" ht="14.4">
      <c r="T1299" s="25" t="s">
        <v>952</v>
      </c>
      <c r="U1299" s="25" t="s">
        <v>816</v>
      </c>
      <c r="V1299" s="25" t="s">
        <v>625</v>
      </c>
      <c r="W1299" s="25" t="str">
        <f t="shared" si="39"/>
        <v>Round Cassette with Side &amp; Bottom ChannelsFaceAcmeda E6 Motor</v>
      </c>
      <c r="X1299" s="25">
        <v>10</v>
      </c>
      <c r="Y1299" s="25">
        <v>14</v>
      </c>
      <c r="Z1299" s="25">
        <v>14</v>
      </c>
      <c r="AA1299" s="25">
        <v>88</v>
      </c>
      <c r="AB1299" s="25" t="s">
        <v>821</v>
      </c>
      <c r="AC1299" s="25" t="s">
        <v>818</v>
      </c>
      <c r="AD1299" s="25" t="s">
        <v>821</v>
      </c>
      <c r="AE1299" s="25" t="s">
        <v>818</v>
      </c>
    </row>
    <row r="1300" spans="20:31" ht="14.4">
      <c r="T1300" s="25" t="s">
        <v>952</v>
      </c>
      <c r="U1300" s="25" t="s">
        <v>816</v>
      </c>
      <c r="V1300" s="25" t="s">
        <v>626</v>
      </c>
      <c r="W1300" s="25" t="str">
        <f t="shared" si="39"/>
        <v>Round Cassette with Side &amp; Bottom ChannelsFaceAcmeda M6 Motor</v>
      </c>
      <c r="X1300" s="25">
        <v>10</v>
      </c>
      <c r="Y1300" s="25">
        <v>14</v>
      </c>
      <c r="Z1300" s="25">
        <v>14</v>
      </c>
      <c r="AA1300" s="25">
        <v>88</v>
      </c>
      <c r="AB1300" s="25" t="s">
        <v>821</v>
      </c>
      <c r="AC1300" s="25" t="s">
        <v>818</v>
      </c>
      <c r="AD1300" s="25" t="s">
        <v>821</v>
      </c>
      <c r="AE1300" s="25" t="s">
        <v>818</v>
      </c>
    </row>
    <row r="1301" spans="20:31" ht="14.4">
      <c r="T1301" s="25" t="s">
        <v>952</v>
      </c>
      <c r="U1301" s="25" t="s">
        <v>816</v>
      </c>
      <c r="V1301" s="25" t="s">
        <v>1002</v>
      </c>
      <c r="W1301" s="25" t="str">
        <f t="shared" si="39"/>
        <v>Round Cassette with Side &amp; Bottom ChannelsFaceUniline Remote Motor</v>
      </c>
      <c r="X1301" s="25">
        <v>10</v>
      </c>
      <c r="Y1301" s="25">
        <v>14</v>
      </c>
      <c r="Z1301" s="25">
        <v>14</v>
      </c>
      <c r="AA1301" s="25">
        <v>88</v>
      </c>
      <c r="AB1301" s="25" t="s">
        <v>821</v>
      </c>
      <c r="AC1301" s="25" t="s">
        <v>818</v>
      </c>
      <c r="AD1301" s="25" t="s">
        <v>821</v>
      </c>
      <c r="AE1301" s="25" t="s">
        <v>818</v>
      </c>
    </row>
    <row r="1302" spans="20:31" ht="14.4">
      <c r="T1302" s="25" t="s">
        <v>952</v>
      </c>
      <c r="U1302" s="25" t="s">
        <v>816</v>
      </c>
      <c r="V1302" s="25" t="s">
        <v>1005</v>
      </c>
      <c r="W1302" s="25" t="str">
        <f t="shared" si="39"/>
        <v>Round Cassette with Side &amp; Bottom ChannelsFaceUniline Cbus Motor</v>
      </c>
      <c r="X1302" s="25">
        <v>10</v>
      </c>
      <c r="Y1302" s="25">
        <v>14</v>
      </c>
      <c r="Z1302" s="25">
        <v>14</v>
      </c>
      <c r="AA1302" s="25">
        <v>88</v>
      </c>
      <c r="AB1302" s="25" t="s">
        <v>821</v>
      </c>
      <c r="AC1302" s="25" t="s">
        <v>818</v>
      </c>
      <c r="AD1302" s="25" t="s">
        <v>821</v>
      </c>
      <c r="AE1302" s="25" t="s">
        <v>818</v>
      </c>
    </row>
    <row r="1303" spans="20:31" ht="14.4">
      <c r="T1303" s="25" t="s">
        <v>952</v>
      </c>
      <c r="U1303" s="25" t="s">
        <v>816</v>
      </c>
      <c r="V1303" s="25" t="s">
        <v>981</v>
      </c>
      <c r="W1303" s="25" t="str">
        <f t="shared" si="39"/>
        <v>Round Cassette with Side &amp; Bottom ChannelsFaceNice Remote Motor</v>
      </c>
      <c r="X1303" s="25">
        <v>10</v>
      </c>
      <c r="Y1303" s="25">
        <v>14</v>
      </c>
      <c r="Z1303" s="25">
        <v>14</v>
      </c>
      <c r="AA1303" s="25">
        <v>88</v>
      </c>
      <c r="AB1303" s="25" t="s">
        <v>821</v>
      </c>
      <c r="AC1303" s="25" t="s">
        <v>818</v>
      </c>
      <c r="AD1303" s="25" t="s">
        <v>821</v>
      </c>
      <c r="AE1303" s="25" t="s">
        <v>818</v>
      </c>
    </row>
    <row r="1304" spans="20:31" ht="14.4">
      <c r="T1304" s="25" t="s">
        <v>952</v>
      </c>
      <c r="U1304" s="25" t="s">
        <v>816</v>
      </c>
      <c r="V1304" s="25" t="s">
        <v>976</v>
      </c>
      <c r="W1304" s="25" t="str">
        <f t="shared" si="39"/>
        <v>Round Cassette with Side &amp; Bottom ChannelsFaceNice CBus Motor</v>
      </c>
      <c r="X1304" s="25">
        <v>10</v>
      </c>
      <c r="Y1304" s="25">
        <v>14</v>
      </c>
      <c r="Z1304" s="25">
        <v>14</v>
      </c>
      <c r="AA1304" s="25">
        <v>88</v>
      </c>
      <c r="AB1304" s="25" t="s">
        <v>821</v>
      </c>
      <c r="AC1304" s="25" t="s">
        <v>818</v>
      </c>
      <c r="AD1304" s="25" t="s">
        <v>821</v>
      </c>
      <c r="AE1304" s="25" t="s">
        <v>818</v>
      </c>
    </row>
    <row r="1305" spans="20:31" ht="14.4">
      <c r="T1305" s="25" t="s">
        <v>952</v>
      </c>
      <c r="U1305" s="25" t="s">
        <v>816</v>
      </c>
      <c r="V1305" t="s">
        <v>1006</v>
      </c>
      <c r="W1305" s="25" t="str">
        <f t="shared" si="39"/>
        <v>Round Cassette with Side &amp; Bottom ChannelsFaceSunboss Chain Winder 38mm Tube</v>
      </c>
      <c r="X1305" s="25">
        <v>10</v>
      </c>
      <c r="Y1305" s="25">
        <v>14</v>
      </c>
      <c r="Z1305" s="25">
        <v>14</v>
      </c>
      <c r="AA1305" s="25">
        <v>88</v>
      </c>
      <c r="AB1305" s="25" t="s">
        <v>821</v>
      </c>
      <c r="AC1305" s="25" t="s">
        <v>818</v>
      </c>
      <c r="AD1305" s="25" t="s">
        <v>821</v>
      </c>
      <c r="AE1305" s="25" t="s">
        <v>818</v>
      </c>
    </row>
    <row r="1306" spans="20:31" ht="14.4">
      <c r="T1306" s="25" t="s">
        <v>952</v>
      </c>
      <c r="U1306" s="25" t="s">
        <v>816</v>
      </c>
      <c r="V1306" t="s">
        <v>1017</v>
      </c>
      <c r="W1306" s="25" t="str">
        <f t="shared" si="39"/>
        <v>Round Cassette with Side &amp; Bottom ChannelsFaceSunboss Chain Winder 43mm Tube</v>
      </c>
      <c r="X1306" s="25">
        <v>10</v>
      </c>
      <c r="Y1306" s="25">
        <v>14</v>
      </c>
      <c r="Z1306" s="25">
        <v>14</v>
      </c>
      <c r="AA1306" s="25">
        <v>88</v>
      </c>
      <c r="AB1306" s="25" t="s">
        <v>821</v>
      </c>
      <c r="AC1306" s="25" t="s">
        <v>818</v>
      </c>
      <c r="AD1306" s="25" t="s">
        <v>821</v>
      </c>
      <c r="AE1306" s="25" t="s">
        <v>818</v>
      </c>
    </row>
    <row r="1307" spans="20:31" ht="14.4">
      <c r="T1307" s="25" t="s">
        <v>952</v>
      </c>
      <c r="U1307" s="25" t="s">
        <v>816</v>
      </c>
      <c r="V1307" s="25" t="s">
        <v>1012</v>
      </c>
      <c r="W1307" s="25" t="str">
        <f t="shared" si="39"/>
        <v>Round Cassette with Side &amp; Bottom ChannelsFaceTBS Remote Motor</v>
      </c>
      <c r="X1307" s="25">
        <v>10</v>
      </c>
      <c r="Y1307" s="25">
        <v>14</v>
      </c>
      <c r="Z1307" s="25">
        <v>14</v>
      </c>
      <c r="AA1307" s="25">
        <v>88</v>
      </c>
      <c r="AB1307" s="25" t="s">
        <v>821</v>
      </c>
      <c r="AC1307" s="25" t="s">
        <v>818</v>
      </c>
      <c r="AD1307" s="25" t="s">
        <v>821</v>
      </c>
      <c r="AE1307" s="25" t="s">
        <v>818</v>
      </c>
    </row>
    <row r="1308" spans="20:31" ht="14.4">
      <c r="T1308" s="25" t="s">
        <v>952</v>
      </c>
      <c r="U1308" s="25" t="s">
        <v>816</v>
      </c>
      <c r="V1308" t="s">
        <v>1009</v>
      </c>
      <c r="W1308" s="25" t="str">
        <f t="shared" si="39"/>
        <v>Round Cassette with Side &amp; Bottom ChannelsFaceTBS Cbus Motor</v>
      </c>
      <c r="X1308" s="25">
        <v>10</v>
      </c>
      <c r="Y1308" s="25">
        <v>14</v>
      </c>
      <c r="Z1308" s="25">
        <v>14</v>
      </c>
      <c r="AA1308" s="25">
        <v>88</v>
      </c>
      <c r="AB1308" s="25" t="s">
        <v>821</v>
      </c>
      <c r="AC1308" s="25" t="s">
        <v>818</v>
      </c>
      <c r="AD1308" s="25" t="s">
        <v>821</v>
      </c>
      <c r="AE1308" s="25" t="s">
        <v>818</v>
      </c>
    </row>
    <row r="1309" spans="20:31" ht="14.4">
      <c r="T1309" s="25" t="s">
        <v>952</v>
      </c>
      <c r="U1309" s="25" t="s">
        <v>816</v>
      </c>
      <c r="V1309" t="s">
        <v>927</v>
      </c>
      <c r="W1309" s="25" t="str">
        <f t="shared" si="39"/>
        <v>Round Cassette with Side &amp; Bottom ChannelsFaceAcmeda External Motor</v>
      </c>
      <c r="X1309" s="25">
        <v>10</v>
      </c>
      <c r="Y1309" s="25">
        <v>14</v>
      </c>
      <c r="Z1309" s="25">
        <v>14</v>
      </c>
      <c r="AA1309" s="25">
        <v>88</v>
      </c>
      <c r="AB1309" s="25" t="s">
        <v>821</v>
      </c>
      <c r="AC1309" s="25" t="s">
        <v>818</v>
      </c>
      <c r="AD1309" s="25" t="s">
        <v>821</v>
      </c>
      <c r="AE1309" s="25" t="s">
        <v>818</v>
      </c>
    </row>
    <row r="1310" spans="20:31" ht="14.4">
      <c r="T1310" s="25" t="s">
        <v>952</v>
      </c>
      <c r="U1310" s="25" t="s">
        <v>816</v>
      </c>
      <c r="V1310" t="s">
        <v>918</v>
      </c>
      <c r="W1310" s="25" t="str">
        <f t="shared" si="39"/>
        <v>Round Cassette with Side &amp; Bottom ChannelsFaceAcmeda External 12v Motor</v>
      </c>
      <c r="X1310" s="25">
        <v>10</v>
      </c>
      <c r="Y1310" s="25">
        <v>14</v>
      </c>
      <c r="Z1310" s="25">
        <v>14</v>
      </c>
      <c r="AA1310" s="25">
        <v>88</v>
      </c>
      <c r="AB1310" s="25" t="s">
        <v>821</v>
      </c>
      <c r="AC1310" s="25" t="s">
        <v>818</v>
      </c>
      <c r="AD1310" s="25" t="s">
        <v>821</v>
      </c>
      <c r="AE1310" s="25" t="s">
        <v>818</v>
      </c>
    </row>
    <row r="1311" spans="20:31" ht="14.4">
      <c r="T1311" s="25" t="s">
        <v>952</v>
      </c>
      <c r="U1311" s="25" t="s">
        <v>816</v>
      </c>
      <c r="V1311" t="s">
        <v>979</v>
      </c>
      <c r="W1311" s="25" t="str">
        <f t="shared" si="39"/>
        <v>Round Cassette with Side &amp; Bottom ChannelsFaceSomfy External CBUS Motor</v>
      </c>
      <c r="X1311" s="25">
        <v>10</v>
      </c>
      <c r="Y1311" s="25">
        <v>14</v>
      </c>
      <c r="Z1311" s="25">
        <v>14</v>
      </c>
      <c r="AA1311" s="25">
        <v>88</v>
      </c>
      <c r="AB1311" s="25" t="s">
        <v>821</v>
      </c>
      <c r="AC1311" s="25" t="s">
        <v>818</v>
      </c>
      <c r="AD1311" s="25" t="s">
        <v>821</v>
      </c>
      <c r="AE1311" s="25" t="s">
        <v>818</v>
      </c>
    </row>
    <row r="1312" spans="20:31" ht="14.4">
      <c r="T1312" s="25" t="s">
        <v>952</v>
      </c>
      <c r="U1312" s="25" t="s">
        <v>816</v>
      </c>
      <c r="V1312" t="s">
        <v>983</v>
      </c>
      <c r="W1312" s="25" t="str">
        <f t="shared" si="39"/>
        <v>Round Cassette with Side &amp; Bottom ChannelsFaceSomfy External Remote Motor</v>
      </c>
      <c r="X1312" s="25">
        <v>10</v>
      </c>
      <c r="Y1312" s="25">
        <v>14</v>
      </c>
      <c r="Z1312" s="25">
        <v>14</v>
      </c>
      <c r="AA1312" s="25">
        <v>88</v>
      </c>
      <c r="AB1312" s="25" t="s">
        <v>821</v>
      </c>
      <c r="AC1312" s="25" t="s">
        <v>818</v>
      </c>
      <c r="AD1312" s="25" t="s">
        <v>821</v>
      </c>
      <c r="AE1312" s="25" t="s">
        <v>818</v>
      </c>
    </row>
    <row r="1313" spans="20:31" ht="14.4">
      <c r="T1313" s="25" t="s">
        <v>952</v>
      </c>
      <c r="U1313" s="25" t="s">
        <v>816</v>
      </c>
      <c r="V1313" t="s">
        <v>995</v>
      </c>
      <c r="W1313" s="25" t="str">
        <f t="shared" si="39"/>
        <v>Round Cassette with Side &amp; Bottom ChannelsFaceHD Somfy External CBUS Motor</v>
      </c>
      <c r="X1313" s="25">
        <v>10</v>
      </c>
      <c r="Y1313" s="25">
        <v>14</v>
      </c>
      <c r="Z1313" s="25">
        <v>14</v>
      </c>
      <c r="AA1313" s="25">
        <v>88</v>
      </c>
      <c r="AB1313" s="25" t="s">
        <v>821</v>
      </c>
      <c r="AC1313" s="25" t="s">
        <v>818</v>
      </c>
      <c r="AD1313" s="25" t="s">
        <v>821</v>
      </c>
      <c r="AE1313" s="25" t="s">
        <v>818</v>
      </c>
    </row>
    <row r="1314" spans="20:31" ht="14.4">
      <c r="T1314" s="25" t="s">
        <v>952</v>
      </c>
      <c r="U1314" s="25" t="s">
        <v>816</v>
      </c>
      <c r="V1314" t="s">
        <v>999</v>
      </c>
      <c r="W1314" s="25" t="str">
        <f t="shared" si="39"/>
        <v>Round Cassette with Side &amp; Bottom ChannelsFaceHD Somfy External Remote Motor</v>
      </c>
      <c r="X1314" s="25">
        <v>10</v>
      </c>
      <c r="Y1314" s="25">
        <v>14</v>
      </c>
      <c r="Z1314" s="25">
        <v>14</v>
      </c>
      <c r="AA1314" s="25">
        <v>88</v>
      </c>
      <c r="AB1314" s="25" t="s">
        <v>821</v>
      </c>
      <c r="AC1314" s="25" t="s">
        <v>818</v>
      </c>
      <c r="AD1314" s="25" t="s">
        <v>821</v>
      </c>
      <c r="AE1314" s="25" t="s">
        <v>818</v>
      </c>
    </row>
    <row r="1315" spans="20:31" ht="14.4">
      <c r="T1315" s="25" t="s">
        <v>952</v>
      </c>
      <c r="U1315" s="25" t="s">
        <v>854</v>
      </c>
      <c r="V1315" s="25" t="s">
        <v>823</v>
      </c>
      <c r="W1315" s="25" t="str">
        <f t="shared" si="39"/>
        <v>Round Cassette with Side &amp; Bottom ChannelsTop FixChain Winder</v>
      </c>
      <c r="X1315" s="25">
        <v>10</v>
      </c>
      <c r="Y1315" s="25">
        <v>14</v>
      </c>
      <c r="Z1315" s="25">
        <v>29</v>
      </c>
      <c r="AA1315" s="25">
        <v>88</v>
      </c>
      <c r="AB1315" s="25" t="s">
        <v>821</v>
      </c>
      <c r="AC1315" s="25" t="s">
        <v>818</v>
      </c>
      <c r="AD1315" s="25" t="s">
        <v>821</v>
      </c>
      <c r="AE1315" s="25" t="s">
        <v>818</v>
      </c>
    </row>
    <row r="1316" spans="20:31" ht="14.4">
      <c r="T1316" s="25" t="s">
        <v>952</v>
      </c>
      <c r="U1316" s="25" t="s">
        <v>854</v>
      </c>
      <c r="V1316" s="25" t="s">
        <v>841</v>
      </c>
      <c r="W1316" s="25" t="str">
        <f t="shared" si="39"/>
        <v>Round Cassette with Side &amp; Bottom ChannelsTop FixHD Chain Winder</v>
      </c>
      <c r="X1316" s="25">
        <v>10</v>
      </c>
      <c r="Y1316" s="25">
        <v>14</v>
      </c>
      <c r="Z1316" s="25">
        <v>29</v>
      </c>
      <c r="AA1316" s="25">
        <v>88</v>
      </c>
      <c r="AB1316" s="25" t="s">
        <v>821</v>
      </c>
      <c r="AC1316" s="25" t="s">
        <v>818</v>
      </c>
      <c r="AD1316" s="25" t="s">
        <v>821</v>
      </c>
      <c r="AE1316" s="25" t="s">
        <v>818</v>
      </c>
    </row>
    <row r="1317" spans="20:31" ht="14.4">
      <c r="T1317" s="25" t="s">
        <v>952</v>
      </c>
      <c r="U1317" s="25" t="s">
        <v>854</v>
      </c>
      <c r="V1317" s="25" t="s">
        <v>858</v>
      </c>
      <c r="W1317" s="25" t="str">
        <f t="shared" si="39"/>
        <v>Round Cassette with Side &amp; Bottom ChannelsTop FixChain Winder 60mm</v>
      </c>
      <c r="X1317" s="25">
        <v>10</v>
      </c>
      <c r="Y1317" s="25">
        <v>14</v>
      </c>
      <c r="Z1317" s="25">
        <v>29</v>
      </c>
      <c r="AA1317" s="25">
        <v>88</v>
      </c>
      <c r="AB1317" s="25" t="s">
        <v>821</v>
      </c>
      <c r="AC1317" s="25" t="s">
        <v>818</v>
      </c>
      <c r="AD1317" s="25" t="s">
        <v>821</v>
      </c>
      <c r="AE1317" s="25" t="s">
        <v>818</v>
      </c>
    </row>
    <row r="1318" spans="20:31" ht="14.4">
      <c r="T1318" s="25" t="s">
        <v>952</v>
      </c>
      <c r="U1318" s="25" t="s">
        <v>854</v>
      </c>
      <c r="V1318" s="25" t="s">
        <v>865</v>
      </c>
      <c r="W1318" s="25" t="str">
        <f t="shared" si="39"/>
        <v>Round Cassette with Side &amp; Bottom ChannelsTop FixChain Winder Fixed Guide</v>
      </c>
      <c r="X1318" s="25">
        <v>10</v>
      </c>
      <c r="Y1318" s="25">
        <v>14</v>
      </c>
      <c r="Z1318" s="25">
        <v>29</v>
      </c>
      <c r="AA1318" s="25">
        <v>88</v>
      </c>
      <c r="AB1318" s="25" t="s">
        <v>821</v>
      </c>
      <c r="AC1318" s="25" t="s">
        <v>818</v>
      </c>
      <c r="AD1318" s="25" t="s">
        <v>821</v>
      </c>
      <c r="AE1318" s="25" t="s">
        <v>818</v>
      </c>
    </row>
    <row r="1319" spans="20:31" ht="14.4">
      <c r="T1319" s="25" t="s">
        <v>952</v>
      </c>
      <c r="U1319" s="25" t="s">
        <v>854</v>
      </c>
      <c r="V1319" s="25" t="s">
        <v>181</v>
      </c>
      <c r="W1319" s="25" t="str">
        <f t="shared" si="39"/>
        <v>Round Cassette with Side &amp; Bottom ChannelsTop FixLinked</v>
      </c>
      <c r="X1319" s="25">
        <v>10</v>
      </c>
      <c r="Y1319" s="25">
        <v>14</v>
      </c>
      <c r="Z1319" s="25">
        <v>14</v>
      </c>
      <c r="AA1319" s="25">
        <v>88</v>
      </c>
      <c r="AB1319" s="25" t="s">
        <v>821</v>
      </c>
      <c r="AC1319" s="25" t="s">
        <v>818</v>
      </c>
      <c r="AD1319" s="25" t="s">
        <v>821</v>
      </c>
      <c r="AE1319" s="25" t="s">
        <v>818</v>
      </c>
    </row>
    <row r="1320" spans="20:31" ht="14.4">
      <c r="T1320" s="25" t="s">
        <v>952</v>
      </c>
      <c r="U1320" s="25" t="s">
        <v>854</v>
      </c>
      <c r="V1320" s="25" t="s">
        <v>898</v>
      </c>
      <c r="W1320" s="25" t="str">
        <f t="shared" si="39"/>
        <v>Round Cassette with Side &amp; Bottom ChannelsTop FixLinked - HD</v>
      </c>
      <c r="X1320" s="25">
        <v>10</v>
      </c>
      <c r="Y1320" s="25">
        <v>14</v>
      </c>
      <c r="Z1320" s="25">
        <v>14</v>
      </c>
      <c r="AA1320" s="25">
        <v>88</v>
      </c>
      <c r="AB1320" s="25" t="s">
        <v>821</v>
      </c>
      <c r="AC1320" s="25" t="s">
        <v>818</v>
      </c>
      <c r="AD1320" s="25" t="s">
        <v>821</v>
      </c>
      <c r="AE1320" s="25" t="s">
        <v>818</v>
      </c>
    </row>
    <row r="1321" spans="20:31" ht="14.4">
      <c r="T1321" s="25" t="s">
        <v>952</v>
      </c>
      <c r="U1321" s="25" t="s">
        <v>854</v>
      </c>
      <c r="V1321" s="25" t="s">
        <v>910</v>
      </c>
      <c r="W1321" s="25" t="str">
        <f t="shared" si="39"/>
        <v>Round Cassette with Side &amp; Bottom ChannelsTop FixStandard Spring</v>
      </c>
      <c r="X1321" s="25">
        <v>10</v>
      </c>
      <c r="Y1321" s="25">
        <v>14</v>
      </c>
      <c r="Z1321" s="25">
        <v>14</v>
      </c>
      <c r="AA1321" s="25">
        <v>88</v>
      </c>
      <c r="AB1321" s="25" t="s">
        <v>821</v>
      </c>
      <c r="AC1321" s="25" t="s">
        <v>818</v>
      </c>
      <c r="AD1321" s="25" t="s">
        <v>821</v>
      </c>
      <c r="AE1321" s="25" t="s">
        <v>818</v>
      </c>
    </row>
    <row r="1322" spans="20:31" ht="14.4">
      <c r="T1322" s="25" t="s">
        <v>952</v>
      </c>
      <c r="U1322" s="25" t="s">
        <v>854</v>
      </c>
      <c r="V1322" s="25" t="s">
        <v>920</v>
      </c>
      <c r="W1322" s="25" t="str">
        <f t="shared" si="39"/>
        <v>Round Cassette with Side &amp; Bottom ChannelsTop FixSmall Spring</v>
      </c>
      <c r="X1322" s="25">
        <v>10</v>
      </c>
      <c r="Y1322" s="25">
        <v>14</v>
      </c>
      <c r="Z1322" s="25">
        <v>14</v>
      </c>
      <c r="AA1322" s="25">
        <v>88</v>
      </c>
      <c r="AB1322" s="25" t="s">
        <v>821</v>
      </c>
      <c r="AC1322" s="25" t="s">
        <v>818</v>
      </c>
      <c r="AD1322" s="25" t="s">
        <v>821</v>
      </c>
      <c r="AE1322" s="25" t="s">
        <v>818</v>
      </c>
    </row>
    <row r="1323" spans="20:31" ht="14.4">
      <c r="T1323" s="25" t="s">
        <v>952</v>
      </c>
      <c r="U1323" s="25" t="s">
        <v>854</v>
      </c>
      <c r="V1323" s="25" t="s">
        <v>929</v>
      </c>
      <c r="W1323" s="25" t="str">
        <f t="shared" si="39"/>
        <v>Round Cassette with Side &amp; Bottom ChannelsTop FixUniline Spring (Old Style)</v>
      </c>
      <c r="X1323" s="25">
        <v>10</v>
      </c>
      <c r="Y1323" s="25">
        <v>14</v>
      </c>
      <c r="Z1323" s="25">
        <v>14</v>
      </c>
      <c r="AA1323" s="25">
        <v>88</v>
      </c>
      <c r="AB1323" s="25" t="s">
        <v>821</v>
      </c>
      <c r="AC1323" s="25" t="s">
        <v>818</v>
      </c>
      <c r="AD1323" s="25" t="s">
        <v>821</v>
      </c>
      <c r="AE1323" s="25" t="s">
        <v>818</v>
      </c>
    </row>
    <row r="1324" spans="20:31" ht="14.4">
      <c r="T1324" s="25" t="s">
        <v>952</v>
      </c>
      <c r="U1324" s="25" t="s">
        <v>854</v>
      </c>
      <c r="V1324" s="25" t="s">
        <v>935</v>
      </c>
      <c r="W1324" s="25" t="str">
        <f t="shared" si="39"/>
        <v>Round Cassette with Side &amp; Bottom ChannelsTop FixBecker Remote Motor</v>
      </c>
      <c r="X1324" s="25">
        <v>10</v>
      </c>
      <c r="Y1324" s="25">
        <v>14</v>
      </c>
      <c r="Z1324" s="25">
        <v>14</v>
      </c>
      <c r="AA1324" s="25">
        <v>88</v>
      </c>
      <c r="AB1324" s="25" t="s">
        <v>821</v>
      </c>
      <c r="AC1324" s="25" t="s">
        <v>818</v>
      </c>
      <c r="AD1324" s="25" t="s">
        <v>821</v>
      </c>
      <c r="AE1324" s="25" t="s">
        <v>818</v>
      </c>
    </row>
    <row r="1325" spans="20:31" ht="14.4">
      <c r="T1325" s="25" t="s">
        <v>952</v>
      </c>
      <c r="U1325" s="25" t="s">
        <v>854</v>
      </c>
      <c r="V1325" s="25" t="s">
        <v>939</v>
      </c>
      <c r="W1325" s="25" t="str">
        <f t="shared" si="39"/>
        <v>Round Cassette with Side &amp; Bottom ChannelsTop FixBecker CBUS Motor</v>
      </c>
      <c r="X1325" s="25">
        <v>10</v>
      </c>
      <c r="Y1325" s="25">
        <v>14</v>
      </c>
      <c r="Z1325" s="25">
        <v>14</v>
      </c>
      <c r="AA1325" s="25">
        <v>88</v>
      </c>
      <c r="AB1325" s="25" t="s">
        <v>821</v>
      </c>
      <c r="AC1325" s="25" t="s">
        <v>818</v>
      </c>
      <c r="AD1325" s="25" t="s">
        <v>821</v>
      </c>
      <c r="AE1325" s="25" t="s">
        <v>818</v>
      </c>
    </row>
    <row r="1326" spans="20:31" ht="14.4">
      <c r="T1326" s="25" t="s">
        <v>952</v>
      </c>
      <c r="U1326" s="25" t="s">
        <v>854</v>
      </c>
      <c r="V1326" s="25" t="s">
        <v>946</v>
      </c>
      <c r="W1326" s="25" t="str">
        <f t="shared" si="39"/>
        <v>Round Cassette with Side &amp; Bottom ChannelsTop FixBecker External Remote Motor</v>
      </c>
      <c r="X1326" s="25">
        <v>10</v>
      </c>
      <c r="Y1326" s="25">
        <v>14</v>
      </c>
      <c r="Z1326" s="25">
        <v>14</v>
      </c>
      <c r="AA1326" s="25">
        <v>88</v>
      </c>
      <c r="AB1326" s="25" t="s">
        <v>821</v>
      </c>
      <c r="AC1326" s="25" t="s">
        <v>818</v>
      </c>
      <c r="AD1326" s="25" t="s">
        <v>821</v>
      </c>
      <c r="AE1326" s="25" t="s">
        <v>818</v>
      </c>
    </row>
    <row r="1327" spans="20:31" ht="14.4">
      <c r="T1327" s="25" t="s">
        <v>952</v>
      </c>
      <c r="U1327" s="25" t="s">
        <v>854</v>
      </c>
      <c r="V1327" s="25" t="s">
        <v>951</v>
      </c>
      <c r="W1327" s="25" t="str">
        <f t="shared" si="39"/>
        <v>Round Cassette with Side &amp; Bottom ChannelsTop FixBecker External CBUS Motor</v>
      </c>
      <c r="X1327" s="25">
        <v>10</v>
      </c>
      <c r="Y1327" s="25">
        <v>14</v>
      </c>
      <c r="Z1327" s="25">
        <v>14</v>
      </c>
      <c r="AA1327" s="25">
        <v>88</v>
      </c>
      <c r="AB1327" s="25" t="s">
        <v>821</v>
      </c>
      <c r="AC1327" s="25" t="s">
        <v>818</v>
      </c>
      <c r="AD1327" s="25" t="s">
        <v>821</v>
      </c>
      <c r="AE1327" s="25" t="s">
        <v>818</v>
      </c>
    </row>
    <row r="1328" spans="20:31" ht="14.4">
      <c r="T1328" s="25" t="s">
        <v>952</v>
      </c>
      <c r="U1328" s="25" t="s">
        <v>854</v>
      </c>
      <c r="V1328" s="25" t="s">
        <v>838</v>
      </c>
      <c r="W1328" s="25" t="str">
        <f t="shared" si="39"/>
        <v>Round Cassette with Side &amp; Bottom ChannelsTop Fix1.1nm 12v Acmeda Motor</v>
      </c>
      <c r="X1328" s="25">
        <v>10</v>
      </c>
      <c r="Y1328" s="25">
        <v>14</v>
      </c>
      <c r="Z1328" s="25">
        <v>14</v>
      </c>
      <c r="AA1328" s="25">
        <v>88</v>
      </c>
      <c r="AB1328" s="25" t="s">
        <v>821</v>
      </c>
      <c r="AC1328" s="25" t="s">
        <v>818</v>
      </c>
      <c r="AD1328" s="25" t="s">
        <v>821</v>
      </c>
      <c r="AE1328" s="25" t="s">
        <v>818</v>
      </c>
    </row>
    <row r="1329" spans="20:31" ht="14.4">
      <c r="T1329" s="25" t="s">
        <v>952</v>
      </c>
      <c r="U1329" s="25" t="s">
        <v>854</v>
      </c>
      <c r="V1329" t="s">
        <v>882</v>
      </c>
      <c r="W1329" s="25" t="str">
        <f t="shared" si="39"/>
        <v>Round Cassette with Side &amp; Bottom ChannelsTop Fix2nm 12v Acmeda Motor</v>
      </c>
      <c r="X1329" s="25">
        <v>10</v>
      </c>
      <c r="Y1329" s="25">
        <v>14</v>
      </c>
      <c r="Z1329" s="25">
        <v>14</v>
      </c>
      <c r="AA1329" s="25">
        <v>88</v>
      </c>
      <c r="AB1329" s="25" t="s">
        <v>821</v>
      </c>
      <c r="AC1329" s="25" t="s">
        <v>818</v>
      </c>
      <c r="AD1329" s="25" t="s">
        <v>821</v>
      </c>
      <c r="AE1329" s="25" t="s">
        <v>818</v>
      </c>
    </row>
    <row r="1330" spans="20:31" ht="14.4">
      <c r="T1330" s="25" t="s">
        <v>952</v>
      </c>
      <c r="U1330" s="25" t="s">
        <v>854</v>
      </c>
      <c r="V1330" t="s">
        <v>896</v>
      </c>
      <c r="W1330" s="25" t="str">
        <f t="shared" si="39"/>
        <v>Round Cassette with Side &amp; Bottom ChannelsTop FixAcmeda 12v 6nm Motor</v>
      </c>
      <c r="X1330" s="25">
        <v>10</v>
      </c>
      <c r="Y1330" s="25">
        <v>14</v>
      </c>
      <c r="Z1330" s="25">
        <v>14</v>
      </c>
      <c r="AA1330" s="25">
        <v>88</v>
      </c>
      <c r="AB1330" s="25" t="s">
        <v>821</v>
      </c>
      <c r="AC1330" s="25" t="s">
        <v>818</v>
      </c>
      <c r="AD1330" s="25" t="s">
        <v>821</v>
      </c>
      <c r="AE1330" s="25" t="s">
        <v>818</v>
      </c>
    </row>
    <row r="1331" spans="20:31" ht="14.4">
      <c r="T1331" s="25" t="s">
        <v>952</v>
      </c>
      <c r="U1331" s="25" t="s">
        <v>854</v>
      </c>
      <c r="V1331" t="s">
        <v>855</v>
      </c>
      <c r="W1331" s="25" t="str">
        <f t="shared" si="39"/>
        <v>Round Cassette with Side &amp; Bottom ChannelsTop Fix0.7nm 12v Acmeda Motor</v>
      </c>
      <c r="X1331" s="25">
        <v>10</v>
      </c>
      <c r="Y1331" s="25">
        <v>14</v>
      </c>
      <c r="Z1331" s="25">
        <v>14</v>
      </c>
      <c r="AA1331" s="25">
        <v>88</v>
      </c>
      <c r="AB1331" s="25" t="s">
        <v>821</v>
      </c>
      <c r="AC1331" s="25" t="s">
        <v>818</v>
      </c>
      <c r="AD1331" s="25" t="s">
        <v>821</v>
      </c>
      <c r="AE1331" s="25" t="s">
        <v>818</v>
      </c>
    </row>
    <row r="1332" spans="20:31" ht="14.4">
      <c r="T1332" s="25" t="s">
        <v>952</v>
      </c>
      <c r="U1332" s="25" t="s">
        <v>854</v>
      </c>
      <c r="V1332" s="25" t="s">
        <v>849</v>
      </c>
      <c r="W1332" s="25" t="str">
        <f t="shared" si="39"/>
        <v>Round Cassette with Side &amp; Bottom ChannelsTop Fix1.1nm 12v Acmeda DCRF Motor with External Battery</v>
      </c>
      <c r="X1332" s="25">
        <v>10</v>
      </c>
      <c r="Y1332" s="25">
        <v>14</v>
      </c>
      <c r="Z1332" s="25">
        <v>14</v>
      </c>
      <c r="AA1332" s="25">
        <v>88</v>
      </c>
      <c r="AB1332" s="25" t="s">
        <v>821</v>
      </c>
      <c r="AC1332" s="25" t="s">
        <v>818</v>
      </c>
      <c r="AD1332" s="25" t="s">
        <v>821</v>
      </c>
      <c r="AE1332" s="25" t="s">
        <v>818</v>
      </c>
    </row>
    <row r="1333" spans="20:31" ht="14.4">
      <c r="T1333" s="25" t="s">
        <v>952</v>
      </c>
      <c r="U1333" s="25" t="s">
        <v>854</v>
      </c>
      <c r="V1333" s="25" t="s">
        <v>817</v>
      </c>
      <c r="W1333" s="25" t="str">
        <f t="shared" si="39"/>
        <v>Round Cassette with Side &amp; Bottom ChannelsTop Fix1.1nm 12v Acmeda DCRF Motor</v>
      </c>
      <c r="X1333" s="25">
        <v>10</v>
      </c>
      <c r="Y1333" s="25">
        <v>14</v>
      </c>
      <c r="Z1333" s="25">
        <v>14</v>
      </c>
      <c r="AA1333" s="25">
        <v>88</v>
      </c>
      <c r="AB1333" s="25" t="s">
        <v>821</v>
      </c>
      <c r="AC1333" s="25" t="s">
        <v>818</v>
      </c>
      <c r="AD1333" s="25" t="s">
        <v>821</v>
      </c>
      <c r="AE1333" s="25" t="s">
        <v>818</v>
      </c>
    </row>
    <row r="1334" spans="20:31" ht="14.4">
      <c r="T1334" s="25" t="s">
        <v>952</v>
      </c>
      <c r="U1334" s="25" t="s">
        <v>854</v>
      </c>
      <c r="V1334" s="25" t="s">
        <v>868</v>
      </c>
      <c r="W1334" s="25" t="str">
        <f t="shared" si="39"/>
        <v>Round Cassette with Side &amp; Bottom ChannelsTop Fix2nm 12v Acmeda DCRF Motor</v>
      </c>
      <c r="X1334" s="25">
        <v>10</v>
      </c>
      <c r="Y1334" s="25">
        <v>14</v>
      </c>
      <c r="Z1334" s="25">
        <v>14</v>
      </c>
      <c r="AA1334" s="25">
        <v>88</v>
      </c>
      <c r="AB1334" s="25" t="s">
        <v>821</v>
      </c>
      <c r="AC1334" s="25" t="s">
        <v>818</v>
      </c>
      <c r="AD1334" s="25" t="s">
        <v>821</v>
      </c>
      <c r="AE1334" s="25" t="s">
        <v>818</v>
      </c>
    </row>
    <row r="1335" spans="20:31" ht="14.4">
      <c r="T1335" s="25" t="s">
        <v>952</v>
      </c>
      <c r="U1335" s="25" t="s">
        <v>854</v>
      </c>
      <c r="V1335" t="s">
        <v>973</v>
      </c>
      <c r="W1335" s="25" t="str">
        <f t="shared" si="39"/>
        <v>Round Cassette with Side &amp; Bottom ChannelsTop FixSomfy Remote Sonesse Motor</v>
      </c>
      <c r="X1335" s="25">
        <v>10</v>
      </c>
      <c r="Y1335" s="25">
        <v>14</v>
      </c>
      <c r="Z1335" s="25">
        <v>14</v>
      </c>
      <c r="AA1335" s="25">
        <v>88</v>
      </c>
      <c r="AB1335" s="25" t="s">
        <v>821</v>
      </c>
      <c r="AC1335" s="25" t="s">
        <v>818</v>
      </c>
      <c r="AD1335" s="25" t="s">
        <v>821</v>
      </c>
      <c r="AE1335" s="25" t="s">
        <v>818</v>
      </c>
    </row>
    <row r="1336" spans="20:31" ht="14.4">
      <c r="T1336" s="25" t="s">
        <v>952</v>
      </c>
      <c r="U1336" s="25" t="s">
        <v>854</v>
      </c>
      <c r="V1336" t="s">
        <v>637</v>
      </c>
      <c r="W1336" s="25" t="str">
        <f t="shared" si="39"/>
        <v>Round Cassette with Side &amp; Bottom ChannelsTop FixSomfy 12v Remote Sonesse Motor</v>
      </c>
      <c r="X1336" s="25">
        <v>10</v>
      </c>
      <c r="Y1336" s="25">
        <v>14</v>
      </c>
      <c r="Z1336" s="25">
        <v>14</v>
      </c>
      <c r="AA1336" s="25">
        <v>88</v>
      </c>
      <c r="AB1336" s="25" t="s">
        <v>821</v>
      </c>
      <c r="AC1336" s="25" t="s">
        <v>818</v>
      </c>
      <c r="AD1336" s="25" t="s">
        <v>821</v>
      </c>
      <c r="AE1336" s="25" t="s">
        <v>818</v>
      </c>
    </row>
    <row r="1337" spans="20:31" ht="14.4">
      <c r="T1337" s="25" t="s">
        <v>952</v>
      </c>
      <c r="U1337" s="25" t="s">
        <v>854</v>
      </c>
      <c r="V1337" s="25" t="s">
        <v>974</v>
      </c>
      <c r="W1337" s="25" t="str">
        <f t="shared" si="39"/>
        <v>Round Cassette with Side &amp; Bottom ChannelsTop FixSomfy CBUS Motor</v>
      </c>
      <c r="X1337" s="25">
        <v>10</v>
      </c>
      <c r="Y1337" s="25">
        <v>14</v>
      </c>
      <c r="Z1337" s="25">
        <v>14</v>
      </c>
      <c r="AA1337" s="25">
        <v>88</v>
      </c>
      <c r="AB1337" s="25" t="s">
        <v>821</v>
      </c>
      <c r="AC1337" s="25" t="s">
        <v>818</v>
      </c>
      <c r="AD1337" s="25" t="s">
        <v>821</v>
      </c>
      <c r="AE1337" s="25" t="s">
        <v>818</v>
      </c>
    </row>
    <row r="1338" spans="20:31" ht="14.4">
      <c r="T1338" s="25" t="s">
        <v>952</v>
      </c>
      <c r="U1338" s="25" t="s">
        <v>854</v>
      </c>
      <c r="V1338" t="s">
        <v>986</v>
      </c>
      <c r="W1338" s="25" t="str">
        <f t="shared" si="39"/>
        <v>Round Cassette with Side &amp; Bottom ChannelsTop FixHD Somfy Remote Sonesse Motor</v>
      </c>
      <c r="X1338" s="25">
        <v>10</v>
      </c>
      <c r="Y1338" s="25">
        <v>14</v>
      </c>
      <c r="Z1338" s="25">
        <v>14</v>
      </c>
      <c r="AA1338" s="25">
        <v>88</v>
      </c>
      <c r="AB1338" s="25" t="s">
        <v>821</v>
      </c>
      <c r="AC1338" s="25" t="s">
        <v>818</v>
      </c>
      <c r="AD1338" s="25" t="s">
        <v>821</v>
      </c>
      <c r="AE1338" s="25" t="s">
        <v>818</v>
      </c>
    </row>
    <row r="1339" spans="20:31" ht="14.4">
      <c r="T1339" s="25" t="s">
        <v>952</v>
      </c>
      <c r="U1339" s="25" t="s">
        <v>854</v>
      </c>
      <c r="V1339" t="s">
        <v>989</v>
      </c>
      <c r="W1339" s="25" t="str">
        <f t="shared" si="39"/>
        <v>Round Cassette with Side &amp; Bottom ChannelsTop FixHD Somfy 12v Remote Sonesse Motor</v>
      </c>
      <c r="X1339" s="25">
        <v>10</v>
      </c>
      <c r="Y1339" s="25">
        <v>14</v>
      </c>
      <c r="Z1339" s="25">
        <v>14</v>
      </c>
      <c r="AA1339" s="25">
        <v>88</v>
      </c>
      <c r="AB1339" s="25" t="s">
        <v>821</v>
      </c>
      <c r="AC1339" s="25" t="s">
        <v>818</v>
      </c>
      <c r="AD1339" s="25" t="s">
        <v>821</v>
      </c>
      <c r="AE1339" s="25" t="s">
        <v>818</v>
      </c>
    </row>
    <row r="1340" spans="20:31" ht="14.4">
      <c r="T1340" s="25" t="s">
        <v>952</v>
      </c>
      <c r="U1340" s="25" t="s">
        <v>854</v>
      </c>
      <c r="V1340" s="25" t="s">
        <v>992</v>
      </c>
      <c r="W1340" s="25" t="str">
        <f t="shared" si="39"/>
        <v>Round Cassette with Side &amp; Bottom ChannelsTop FixHD Somfy CBUS Motor</v>
      </c>
      <c r="X1340" s="25">
        <v>10</v>
      </c>
      <c r="Y1340" s="25">
        <v>14</v>
      </c>
      <c r="Z1340" s="25">
        <v>14</v>
      </c>
      <c r="AA1340" s="25">
        <v>88</v>
      </c>
      <c r="AB1340" s="25" t="s">
        <v>821</v>
      </c>
      <c r="AC1340" s="25" t="s">
        <v>818</v>
      </c>
      <c r="AD1340" s="25" t="s">
        <v>821</v>
      </c>
      <c r="AE1340" s="25" t="s">
        <v>818</v>
      </c>
    </row>
    <row r="1341" spans="20:31" ht="14.4">
      <c r="T1341" s="25" t="s">
        <v>952</v>
      </c>
      <c r="U1341" s="25" t="s">
        <v>854</v>
      </c>
      <c r="V1341" s="25" t="s">
        <v>625</v>
      </c>
      <c r="W1341" s="25" t="str">
        <f t="shared" si="39"/>
        <v>Round Cassette with Side &amp; Bottom ChannelsTop FixAcmeda E6 Motor</v>
      </c>
      <c r="X1341" s="25">
        <v>10</v>
      </c>
      <c r="Y1341" s="25">
        <v>14</v>
      </c>
      <c r="Z1341" s="25">
        <v>14</v>
      </c>
      <c r="AA1341" s="25">
        <v>88</v>
      </c>
      <c r="AB1341" s="25" t="s">
        <v>821</v>
      </c>
      <c r="AC1341" s="25" t="s">
        <v>818</v>
      </c>
      <c r="AD1341" s="25" t="s">
        <v>821</v>
      </c>
      <c r="AE1341" s="25" t="s">
        <v>818</v>
      </c>
    </row>
    <row r="1342" spans="20:31" ht="14.4">
      <c r="T1342" s="25" t="s">
        <v>952</v>
      </c>
      <c r="U1342" s="25" t="s">
        <v>854</v>
      </c>
      <c r="V1342" s="25" t="s">
        <v>626</v>
      </c>
      <c r="W1342" s="25" t="str">
        <f t="shared" si="39"/>
        <v>Round Cassette with Side &amp; Bottom ChannelsTop FixAcmeda M6 Motor</v>
      </c>
      <c r="X1342" s="25">
        <v>10</v>
      </c>
      <c r="Y1342" s="25">
        <v>14</v>
      </c>
      <c r="Z1342" s="25">
        <v>14</v>
      </c>
      <c r="AA1342" s="25">
        <v>88</v>
      </c>
      <c r="AB1342" s="25" t="s">
        <v>821</v>
      </c>
      <c r="AC1342" s="25" t="s">
        <v>818</v>
      </c>
      <c r="AD1342" s="25" t="s">
        <v>821</v>
      </c>
      <c r="AE1342" s="25" t="s">
        <v>818</v>
      </c>
    </row>
    <row r="1343" spans="20:31" ht="14.4">
      <c r="T1343" s="25" t="s">
        <v>952</v>
      </c>
      <c r="U1343" s="25" t="s">
        <v>854</v>
      </c>
      <c r="V1343" s="25" t="s">
        <v>1002</v>
      </c>
      <c r="W1343" s="25" t="str">
        <f t="shared" si="39"/>
        <v>Round Cassette with Side &amp; Bottom ChannelsTop FixUniline Remote Motor</v>
      </c>
      <c r="X1343" s="25">
        <v>10</v>
      </c>
      <c r="Y1343" s="25">
        <v>14</v>
      </c>
      <c r="Z1343" s="25">
        <v>14</v>
      </c>
      <c r="AA1343" s="25">
        <v>88</v>
      </c>
      <c r="AB1343" s="25" t="s">
        <v>821</v>
      </c>
      <c r="AC1343" s="25" t="s">
        <v>818</v>
      </c>
      <c r="AD1343" s="25" t="s">
        <v>821</v>
      </c>
      <c r="AE1343" s="25" t="s">
        <v>818</v>
      </c>
    </row>
    <row r="1344" spans="20:31" ht="14.4">
      <c r="T1344" s="25" t="s">
        <v>952</v>
      </c>
      <c r="U1344" s="25" t="s">
        <v>854</v>
      </c>
      <c r="V1344" s="25" t="s">
        <v>1005</v>
      </c>
      <c r="W1344" s="25" t="str">
        <f t="shared" si="39"/>
        <v>Round Cassette with Side &amp; Bottom ChannelsTop FixUniline Cbus Motor</v>
      </c>
      <c r="X1344" s="25">
        <v>10</v>
      </c>
      <c r="Y1344" s="25">
        <v>14</v>
      </c>
      <c r="Z1344" s="25">
        <v>14</v>
      </c>
      <c r="AA1344" s="25">
        <v>88</v>
      </c>
      <c r="AB1344" s="25" t="s">
        <v>821</v>
      </c>
      <c r="AC1344" s="25" t="s">
        <v>818</v>
      </c>
      <c r="AD1344" s="25" t="s">
        <v>821</v>
      </c>
      <c r="AE1344" s="25" t="s">
        <v>818</v>
      </c>
    </row>
    <row r="1345" spans="20:31" ht="14.4">
      <c r="T1345" s="25" t="s">
        <v>952</v>
      </c>
      <c r="U1345" s="25" t="s">
        <v>854</v>
      </c>
      <c r="V1345" s="25" t="s">
        <v>981</v>
      </c>
      <c r="W1345" s="25" t="str">
        <f t="shared" si="39"/>
        <v>Round Cassette with Side &amp; Bottom ChannelsTop FixNice Remote Motor</v>
      </c>
      <c r="X1345" s="25">
        <v>10</v>
      </c>
      <c r="Y1345" s="25">
        <v>14</v>
      </c>
      <c r="Z1345" s="25">
        <v>14</v>
      </c>
      <c r="AA1345" s="25">
        <v>88</v>
      </c>
      <c r="AB1345" s="25" t="s">
        <v>821</v>
      </c>
      <c r="AC1345" s="25" t="s">
        <v>818</v>
      </c>
      <c r="AD1345" s="25" t="s">
        <v>821</v>
      </c>
      <c r="AE1345" s="25" t="s">
        <v>818</v>
      </c>
    </row>
    <row r="1346" spans="20:31" ht="14.4">
      <c r="T1346" s="25" t="s">
        <v>952</v>
      </c>
      <c r="U1346" s="25" t="s">
        <v>854</v>
      </c>
      <c r="V1346" s="25" t="s">
        <v>976</v>
      </c>
      <c r="W1346" s="25" t="str">
        <f t="shared" si="39"/>
        <v>Round Cassette with Side &amp; Bottom ChannelsTop FixNice CBus Motor</v>
      </c>
      <c r="X1346" s="25">
        <v>10</v>
      </c>
      <c r="Y1346" s="25">
        <v>14</v>
      </c>
      <c r="Z1346" s="25">
        <v>14</v>
      </c>
      <c r="AA1346" s="25">
        <v>88</v>
      </c>
      <c r="AB1346" s="25" t="s">
        <v>821</v>
      </c>
      <c r="AC1346" s="25" t="s">
        <v>818</v>
      </c>
      <c r="AD1346" s="25" t="s">
        <v>821</v>
      </c>
      <c r="AE1346" s="25" t="s">
        <v>818</v>
      </c>
    </row>
    <row r="1347" spans="20:31" ht="14.4">
      <c r="T1347" s="25" t="s">
        <v>952</v>
      </c>
      <c r="U1347" s="25" t="s">
        <v>854</v>
      </c>
      <c r="V1347" t="s">
        <v>1006</v>
      </c>
      <c r="W1347" s="25" t="str">
        <f t="shared" si="40" ref="W1347:W1410">CONCATENATE(T1347,U1347,V1347)</f>
        <v>Round Cassette with Side &amp; Bottom ChannelsTop FixSunboss Chain Winder 38mm Tube</v>
      </c>
      <c r="X1347" s="25">
        <v>10</v>
      </c>
      <c r="Y1347" s="25">
        <v>14</v>
      </c>
      <c r="Z1347" s="25">
        <v>14</v>
      </c>
      <c r="AA1347" s="25">
        <v>88</v>
      </c>
      <c r="AB1347" s="25" t="s">
        <v>821</v>
      </c>
      <c r="AC1347" s="25" t="s">
        <v>818</v>
      </c>
      <c r="AD1347" s="25" t="s">
        <v>821</v>
      </c>
      <c r="AE1347" s="25" t="s">
        <v>818</v>
      </c>
    </row>
    <row r="1348" spans="20:31" ht="14.4">
      <c r="T1348" s="25" t="s">
        <v>952</v>
      </c>
      <c r="U1348" s="25" t="s">
        <v>854</v>
      </c>
      <c r="V1348" t="s">
        <v>1017</v>
      </c>
      <c r="W1348" s="25" t="str">
        <f t="shared" si="40"/>
        <v>Round Cassette with Side &amp; Bottom ChannelsTop FixSunboss Chain Winder 43mm Tube</v>
      </c>
      <c r="X1348" s="25">
        <v>10</v>
      </c>
      <c r="Y1348" s="25">
        <v>14</v>
      </c>
      <c r="Z1348" s="25">
        <v>14</v>
      </c>
      <c r="AA1348" s="25">
        <v>88</v>
      </c>
      <c r="AB1348" s="25" t="s">
        <v>821</v>
      </c>
      <c r="AC1348" s="25" t="s">
        <v>818</v>
      </c>
      <c r="AD1348" s="25" t="s">
        <v>821</v>
      </c>
      <c r="AE1348" s="25" t="s">
        <v>818</v>
      </c>
    </row>
    <row r="1349" spans="20:31" ht="14.4">
      <c r="T1349" s="25" t="s">
        <v>952</v>
      </c>
      <c r="U1349" s="25" t="s">
        <v>854</v>
      </c>
      <c r="V1349" s="25" t="s">
        <v>1012</v>
      </c>
      <c r="W1349" s="25" t="str">
        <f t="shared" si="40"/>
        <v>Round Cassette with Side &amp; Bottom ChannelsTop FixTBS Remote Motor</v>
      </c>
      <c r="X1349" s="25">
        <v>10</v>
      </c>
      <c r="Y1349" s="25">
        <v>14</v>
      </c>
      <c r="Z1349" s="25">
        <v>14</v>
      </c>
      <c r="AA1349" s="25">
        <v>88</v>
      </c>
      <c r="AB1349" s="25" t="s">
        <v>821</v>
      </c>
      <c r="AC1349" s="25" t="s">
        <v>818</v>
      </c>
      <c r="AD1349" s="25" t="s">
        <v>821</v>
      </c>
      <c r="AE1349" s="25" t="s">
        <v>818</v>
      </c>
    </row>
    <row r="1350" spans="20:31" ht="14.4">
      <c r="T1350" s="25" t="s">
        <v>952</v>
      </c>
      <c r="U1350" s="25" t="s">
        <v>854</v>
      </c>
      <c r="V1350" t="s">
        <v>1009</v>
      </c>
      <c r="W1350" s="25" t="str">
        <f t="shared" si="40"/>
        <v>Round Cassette with Side &amp; Bottom ChannelsTop FixTBS Cbus Motor</v>
      </c>
      <c r="X1350" s="25">
        <v>10</v>
      </c>
      <c r="Y1350" s="25">
        <v>14</v>
      </c>
      <c r="Z1350" s="25">
        <v>14</v>
      </c>
      <c r="AA1350" s="25">
        <v>88</v>
      </c>
      <c r="AB1350" s="25" t="s">
        <v>821</v>
      </c>
      <c r="AC1350" s="25" t="s">
        <v>818</v>
      </c>
      <c r="AD1350" s="25" t="s">
        <v>821</v>
      </c>
      <c r="AE1350" s="25" t="s">
        <v>818</v>
      </c>
    </row>
    <row r="1351" spans="20:31" ht="14.4">
      <c r="T1351" s="25" t="s">
        <v>952</v>
      </c>
      <c r="U1351" s="25" t="s">
        <v>854</v>
      </c>
      <c r="V1351" t="s">
        <v>927</v>
      </c>
      <c r="W1351" s="25" t="str">
        <f t="shared" si="40"/>
        <v>Round Cassette with Side &amp; Bottom ChannelsTop FixAcmeda External Motor</v>
      </c>
      <c r="X1351" s="25">
        <v>10</v>
      </c>
      <c r="Y1351" s="25">
        <v>14</v>
      </c>
      <c r="Z1351" s="25">
        <v>14</v>
      </c>
      <c r="AA1351" s="25">
        <v>88</v>
      </c>
      <c r="AB1351" s="25" t="s">
        <v>821</v>
      </c>
      <c r="AC1351" s="25" t="s">
        <v>818</v>
      </c>
      <c r="AD1351" s="25" t="s">
        <v>821</v>
      </c>
      <c r="AE1351" s="25" t="s">
        <v>818</v>
      </c>
    </row>
    <row r="1352" spans="20:31" ht="14.4">
      <c r="T1352" s="25" t="s">
        <v>952</v>
      </c>
      <c r="U1352" s="25" t="s">
        <v>854</v>
      </c>
      <c r="V1352" t="s">
        <v>918</v>
      </c>
      <c r="W1352" s="25" t="str">
        <f t="shared" si="40"/>
        <v>Round Cassette with Side &amp; Bottom ChannelsTop FixAcmeda External 12v Motor</v>
      </c>
      <c r="X1352" s="25">
        <v>10</v>
      </c>
      <c r="Y1352" s="25">
        <v>14</v>
      </c>
      <c r="Z1352" s="25">
        <v>14</v>
      </c>
      <c r="AA1352" s="25">
        <v>88</v>
      </c>
      <c r="AB1352" s="25" t="s">
        <v>821</v>
      </c>
      <c r="AC1352" s="25" t="s">
        <v>818</v>
      </c>
      <c r="AD1352" s="25" t="s">
        <v>821</v>
      </c>
      <c r="AE1352" s="25" t="s">
        <v>818</v>
      </c>
    </row>
    <row r="1353" spans="20:31" ht="14.4">
      <c r="T1353" s="25" t="s">
        <v>952</v>
      </c>
      <c r="U1353" s="25" t="s">
        <v>854</v>
      </c>
      <c r="V1353" t="s">
        <v>979</v>
      </c>
      <c r="W1353" s="25" t="str">
        <f t="shared" si="40"/>
        <v>Round Cassette with Side &amp; Bottom ChannelsTop FixSomfy External CBUS Motor</v>
      </c>
      <c r="X1353" s="25">
        <v>10</v>
      </c>
      <c r="Y1353" s="25">
        <v>14</v>
      </c>
      <c r="Z1353" s="25">
        <v>14</v>
      </c>
      <c r="AA1353" s="25">
        <v>88</v>
      </c>
      <c r="AB1353" s="25" t="s">
        <v>821</v>
      </c>
      <c r="AC1353" s="25" t="s">
        <v>818</v>
      </c>
      <c r="AD1353" s="25" t="s">
        <v>821</v>
      </c>
      <c r="AE1353" s="25" t="s">
        <v>818</v>
      </c>
    </row>
    <row r="1354" spans="20:31" ht="14.4">
      <c r="T1354" s="25" t="s">
        <v>952</v>
      </c>
      <c r="U1354" s="25" t="s">
        <v>854</v>
      </c>
      <c r="V1354" t="s">
        <v>983</v>
      </c>
      <c r="W1354" s="25" t="str">
        <f t="shared" si="40"/>
        <v>Round Cassette with Side &amp; Bottom ChannelsTop FixSomfy External Remote Motor</v>
      </c>
      <c r="X1354" s="25">
        <v>10</v>
      </c>
      <c r="Y1354" s="25">
        <v>14</v>
      </c>
      <c r="Z1354" s="25">
        <v>14</v>
      </c>
      <c r="AA1354" s="25">
        <v>88</v>
      </c>
      <c r="AB1354" s="25" t="s">
        <v>821</v>
      </c>
      <c r="AC1354" s="25" t="s">
        <v>818</v>
      </c>
      <c r="AD1354" s="25" t="s">
        <v>821</v>
      </c>
      <c r="AE1354" s="25" t="s">
        <v>818</v>
      </c>
    </row>
    <row r="1355" spans="20:31" ht="14.4">
      <c r="T1355" s="25" t="s">
        <v>952</v>
      </c>
      <c r="U1355" s="25" t="s">
        <v>854</v>
      </c>
      <c r="V1355" t="s">
        <v>979</v>
      </c>
      <c r="W1355" s="25" t="str">
        <f t="shared" si="40"/>
        <v>Round Cassette with Side &amp; Bottom ChannelsTop FixSomfy External CBUS Motor</v>
      </c>
      <c r="X1355" s="25">
        <v>10</v>
      </c>
      <c r="Y1355" s="25">
        <v>14</v>
      </c>
      <c r="Z1355" s="25">
        <v>14</v>
      </c>
      <c r="AA1355" s="25">
        <v>88</v>
      </c>
      <c r="AB1355" s="25" t="s">
        <v>821</v>
      </c>
      <c r="AC1355" s="25" t="s">
        <v>818</v>
      </c>
      <c r="AD1355" s="25" t="s">
        <v>821</v>
      </c>
      <c r="AE1355" s="25" t="s">
        <v>818</v>
      </c>
    </row>
    <row r="1356" spans="20:31" ht="14.4">
      <c r="T1356" s="25" t="s">
        <v>952</v>
      </c>
      <c r="U1356" s="25" t="s">
        <v>854</v>
      </c>
      <c r="V1356" t="s">
        <v>999</v>
      </c>
      <c r="W1356" s="25" t="str">
        <f t="shared" si="40"/>
        <v>Round Cassette with Side &amp; Bottom ChannelsTop FixHD Somfy External Remote Motor</v>
      </c>
      <c r="X1356" s="25">
        <v>10</v>
      </c>
      <c r="Y1356" s="25">
        <v>14</v>
      </c>
      <c r="Z1356" s="25">
        <v>14</v>
      </c>
      <c r="AA1356" s="25">
        <v>88</v>
      </c>
      <c r="AB1356" s="25" t="s">
        <v>821</v>
      </c>
      <c r="AC1356" s="25" t="s">
        <v>818</v>
      </c>
      <c r="AD1356" s="25" t="s">
        <v>821</v>
      </c>
      <c r="AE1356" s="25" t="s">
        <v>818</v>
      </c>
    </row>
    <row r="1357" spans="20:31" ht="14.4">
      <c r="T1357" s="25" t="s">
        <v>952</v>
      </c>
      <c r="U1357" s="25" t="s">
        <v>880</v>
      </c>
      <c r="V1357" s="25" t="s">
        <v>823</v>
      </c>
      <c r="W1357" s="25" t="str">
        <f t="shared" si="40"/>
        <v>Round Cassette with Side &amp; Bottom ChannelsInside Window MountChain Winder</v>
      </c>
      <c r="X1357" s="25">
        <v>10</v>
      </c>
      <c r="Y1357" s="25">
        <v>14</v>
      </c>
      <c r="Z1357" s="25">
        <v>29</v>
      </c>
      <c r="AA1357" s="25">
        <v>88</v>
      </c>
      <c r="AB1357" s="25" t="s">
        <v>821</v>
      </c>
      <c r="AC1357" s="25" t="s">
        <v>818</v>
      </c>
      <c r="AD1357" s="25" t="s">
        <v>821</v>
      </c>
      <c r="AE1357" s="25" t="s">
        <v>818</v>
      </c>
    </row>
    <row r="1358" spans="20:31" ht="14.4">
      <c r="T1358" s="25" t="s">
        <v>952</v>
      </c>
      <c r="U1358" s="25" t="s">
        <v>880</v>
      </c>
      <c r="V1358" s="25" t="s">
        <v>841</v>
      </c>
      <c r="W1358" s="25" t="str">
        <f t="shared" si="40"/>
        <v>Round Cassette with Side &amp; Bottom ChannelsInside Window MountHD Chain Winder</v>
      </c>
      <c r="X1358" s="25">
        <v>10</v>
      </c>
      <c r="Y1358" s="25">
        <v>14</v>
      </c>
      <c r="Z1358" s="25">
        <v>29</v>
      </c>
      <c r="AA1358" s="25">
        <v>88</v>
      </c>
      <c r="AB1358" s="25" t="s">
        <v>821</v>
      </c>
      <c r="AC1358" s="25" t="s">
        <v>818</v>
      </c>
      <c r="AD1358" s="25" t="s">
        <v>821</v>
      </c>
      <c r="AE1358" s="25" t="s">
        <v>818</v>
      </c>
    </row>
    <row r="1359" spans="20:31" ht="14.4">
      <c r="T1359" s="25" t="s">
        <v>952</v>
      </c>
      <c r="U1359" s="25" t="s">
        <v>880</v>
      </c>
      <c r="V1359" s="25" t="s">
        <v>858</v>
      </c>
      <c r="W1359" s="25" t="str">
        <f t="shared" si="40"/>
        <v>Round Cassette with Side &amp; Bottom ChannelsInside Window MountChain Winder 60mm</v>
      </c>
      <c r="X1359" s="25">
        <v>10</v>
      </c>
      <c r="Y1359" s="25">
        <v>14</v>
      </c>
      <c r="Z1359" s="25">
        <v>29</v>
      </c>
      <c r="AA1359" s="25">
        <v>88</v>
      </c>
      <c r="AB1359" s="25" t="s">
        <v>821</v>
      </c>
      <c r="AC1359" s="25" t="s">
        <v>818</v>
      </c>
      <c r="AD1359" s="25" t="s">
        <v>821</v>
      </c>
      <c r="AE1359" s="25" t="s">
        <v>818</v>
      </c>
    </row>
    <row r="1360" spans="20:31" ht="14.4">
      <c r="T1360" s="25" t="s">
        <v>952</v>
      </c>
      <c r="U1360" s="25" t="s">
        <v>880</v>
      </c>
      <c r="V1360" s="25" t="s">
        <v>865</v>
      </c>
      <c r="W1360" s="25" t="str">
        <f t="shared" si="40"/>
        <v>Round Cassette with Side &amp; Bottom ChannelsInside Window MountChain Winder Fixed Guide</v>
      </c>
      <c r="X1360" s="25">
        <v>10</v>
      </c>
      <c r="Y1360" s="25">
        <v>14</v>
      </c>
      <c r="Z1360" s="25">
        <v>29</v>
      </c>
      <c r="AA1360" s="25">
        <v>88</v>
      </c>
      <c r="AB1360" s="25" t="s">
        <v>821</v>
      </c>
      <c r="AC1360" s="25" t="s">
        <v>818</v>
      </c>
      <c r="AD1360" s="25" t="s">
        <v>821</v>
      </c>
      <c r="AE1360" s="25" t="s">
        <v>818</v>
      </c>
    </row>
    <row r="1361" spans="20:31" ht="14.4">
      <c r="T1361" s="25" t="s">
        <v>952</v>
      </c>
      <c r="U1361" s="25" t="s">
        <v>880</v>
      </c>
      <c r="V1361" s="25" t="s">
        <v>181</v>
      </c>
      <c r="W1361" s="25" t="str">
        <f t="shared" si="40"/>
        <v>Round Cassette with Side &amp; Bottom ChannelsInside Window MountLinked</v>
      </c>
      <c r="X1361" s="25">
        <v>10</v>
      </c>
      <c r="Y1361" s="25">
        <v>14</v>
      </c>
      <c r="Z1361" s="25">
        <v>14</v>
      </c>
      <c r="AA1361" s="25">
        <v>88</v>
      </c>
      <c r="AB1361" s="25" t="s">
        <v>821</v>
      </c>
      <c r="AC1361" s="25" t="s">
        <v>818</v>
      </c>
      <c r="AD1361" s="25" t="s">
        <v>821</v>
      </c>
      <c r="AE1361" s="25" t="s">
        <v>818</v>
      </c>
    </row>
    <row r="1362" spans="20:31" ht="14.4">
      <c r="T1362" s="25" t="s">
        <v>952</v>
      </c>
      <c r="U1362" s="25" t="s">
        <v>880</v>
      </c>
      <c r="V1362" s="25" t="s">
        <v>898</v>
      </c>
      <c r="W1362" s="25" t="str">
        <f t="shared" si="40"/>
        <v>Round Cassette with Side &amp; Bottom ChannelsInside Window MountLinked - HD</v>
      </c>
      <c r="X1362" s="25">
        <v>10</v>
      </c>
      <c r="Y1362" s="25">
        <v>14</v>
      </c>
      <c r="Z1362" s="25">
        <v>14</v>
      </c>
      <c r="AA1362" s="25">
        <v>88</v>
      </c>
      <c r="AB1362" s="25" t="s">
        <v>821</v>
      </c>
      <c r="AC1362" s="25" t="s">
        <v>818</v>
      </c>
      <c r="AD1362" s="25" t="s">
        <v>821</v>
      </c>
      <c r="AE1362" s="25" t="s">
        <v>818</v>
      </c>
    </row>
    <row r="1363" spans="20:31" ht="14.4">
      <c r="T1363" s="25" t="s">
        <v>952</v>
      </c>
      <c r="U1363" s="25" t="s">
        <v>880</v>
      </c>
      <c r="V1363" s="25" t="s">
        <v>910</v>
      </c>
      <c r="W1363" s="25" t="str">
        <f t="shared" si="40"/>
        <v>Round Cassette with Side &amp; Bottom ChannelsInside Window MountStandard Spring</v>
      </c>
      <c r="X1363" s="25">
        <v>10</v>
      </c>
      <c r="Y1363" s="25">
        <v>14</v>
      </c>
      <c r="Z1363" s="25">
        <v>14</v>
      </c>
      <c r="AA1363" s="25">
        <v>88</v>
      </c>
      <c r="AB1363" s="25" t="s">
        <v>821</v>
      </c>
      <c r="AC1363" s="25" t="s">
        <v>818</v>
      </c>
      <c r="AD1363" s="25" t="s">
        <v>821</v>
      </c>
      <c r="AE1363" s="25" t="s">
        <v>818</v>
      </c>
    </row>
    <row r="1364" spans="20:31" ht="14.4">
      <c r="T1364" s="25" t="s">
        <v>952</v>
      </c>
      <c r="U1364" s="25" t="s">
        <v>880</v>
      </c>
      <c r="V1364" s="25" t="s">
        <v>920</v>
      </c>
      <c r="W1364" s="25" t="str">
        <f t="shared" si="40"/>
        <v>Round Cassette with Side &amp; Bottom ChannelsInside Window MountSmall Spring</v>
      </c>
      <c r="X1364" s="25">
        <v>10</v>
      </c>
      <c r="Y1364" s="25">
        <v>14</v>
      </c>
      <c r="Z1364" s="25">
        <v>14</v>
      </c>
      <c r="AA1364" s="25">
        <v>88</v>
      </c>
      <c r="AB1364" s="25" t="s">
        <v>821</v>
      </c>
      <c r="AC1364" s="25" t="s">
        <v>818</v>
      </c>
      <c r="AD1364" s="25" t="s">
        <v>821</v>
      </c>
      <c r="AE1364" s="25" t="s">
        <v>818</v>
      </c>
    </row>
    <row r="1365" spans="20:31" ht="14.4">
      <c r="T1365" s="25" t="s">
        <v>952</v>
      </c>
      <c r="U1365" s="25" t="s">
        <v>880</v>
      </c>
      <c r="V1365" s="25" t="s">
        <v>929</v>
      </c>
      <c r="W1365" s="25" t="str">
        <f t="shared" si="40"/>
        <v>Round Cassette with Side &amp; Bottom ChannelsInside Window MountUniline Spring (Old Style)</v>
      </c>
      <c r="X1365" s="25">
        <v>10</v>
      </c>
      <c r="Y1365" s="25">
        <v>14</v>
      </c>
      <c r="Z1365" s="25">
        <v>14</v>
      </c>
      <c r="AA1365" s="25">
        <v>88</v>
      </c>
      <c r="AB1365" s="25" t="s">
        <v>821</v>
      </c>
      <c r="AC1365" s="25" t="s">
        <v>818</v>
      </c>
      <c r="AD1365" s="25" t="s">
        <v>821</v>
      </c>
      <c r="AE1365" s="25" t="s">
        <v>818</v>
      </c>
    </row>
    <row r="1366" spans="20:31" ht="14.4">
      <c r="T1366" s="25" t="s">
        <v>952</v>
      </c>
      <c r="U1366" s="25" t="s">
        <v>880</v>
      </c>
      <c r="V1366" s="25" t="s">
        <v>935</v>
      </c>
      <c r="W1366" s="25" t="str">
        <f t="shared" si="40"/>
        <v>Round Cassette with Side &amp; Bottom ChannelsInside Window MountBecker Remote Motor</v>
      </c>
      <c r="X1366" s="25">
        <v>10</v>
      </c>
      <c r="Y1366" s="25">
        <v>14</v>
      </c>
      <c r="Z1366" s="25">
        <v>14</v>
      </c>
      <c r="AA1366" s="25">
        <v>88</v>
      </c>
      <c r="AB1366" s="25" t="s">
        <v>821</v>
      </c>
      <c r="AC1366" s="25" t="s">
        <v>818</v>
      </c>
      <c r="AD1366" s="25" t="s">
        <v>821</v>
      </c>
      <c r="AE1366" s="25" t="s">
        <v>818</v>
      </c>
    </row>
    <row r="1367" spans="20:31" ht="14.4">
      <c r="T1367" s="25" t="s">
        <v>952</v>
      </c>
      <c r="U1367" s="25" t="s">
        <v>880</v>
      </c>
      <c r="V1367" s="25" t="s">
        <v>939</v>
      </c>
      <c r="W1367" s="25" t="str">
        <f t="shared" si="40"/>
        <v>Round Cassette with Side &amp; Bottom ChannelsInside Window MountBecker CBUS Motor</v>
      </c>
      <c r="X1367" s="25">
        <v>10</v>
      </c>
      <c r="Y1367" s="25">
        <v>14</v>
      </c>
      <c r="Z1367" s="25">
        <v>14</v>
      </c>
      <c r="AA1367" s="25">
        <v>88</v>
      </c>
      <c r="AB1367" s="25" t="s">
        <v>821</v>
      </c>
      <c r="AC1367" s="25" t="s">
        <v>818</v>
      </c>
      <c r="AD1367" s="25" t="s">
        <v>821</v>
      </c>
      <c r="AE1367" s="25" t="s">
        <v>818</v>
      </c>
    </row>
    <row r="1368" spans="20:31" ht="14.4">
      <c r="T1368" s="25" t="s">
        <v>952</v>
      </c>
      <c r="U1368" s="25" t="s">
        <v>880</v>
      </c>
      <c r="V1368" s="25" t="s">
        <v>946</v>
      </c>
      <c r="W1368" s="25" t="str">
        <f t="shared" si="40"/>
        <v>Round Cassette with Side &amp; Bottom ChannelsInside Window MountBecker External Remote Motor</v>
      </c>
      <c r="X1368" s="25">
        <v>10</v>
      </c>
      <c r="Y1368" s="25">
        <v>14</v>
      </c>
      <c r="Z1368" s="25">
        <v>14</v>
      </c>
      <c r="AA1368" s="25">
        <v>88</v>
      </c>
      <c r="AB1368" s="25" t="s">
        <v>821</v>
      </c>
      <c r="AC1368" s="25" t="s">
        <v>818</v>
      </c>
      <c r="AD1368" s="25" t="s">
        <v>821</v>
      </c>
      <c r="AE1368" s="25" t="s">
        <v>818</v>
      </c>
    </row>
    <row r="1369" spans="20:31" ht="14.4">
      <c r="T1369" s="25" t="s">
        <v>952</v>
      </c>
      <c r="U1369" s="25" t="s">
        <v>880</v>
      </c>
      <c r="V1369" s="25" t="s">
        <v>951</v>
      </c>
      <c r="W1369" s="25" t="str">
        <f t="shared" si="40"/>
        <v>Round Cassette with Side &amp; Bottom ChannelsInside Window MountBecker External CBUS Motor</v>
      </c>
      <c r="X1369" s="25">
        <v>10</v>
      </c>
      <c r="Y1369" s="25">
        <v>14</v>
      </c>
      <c r="Z1369" s="25">
        <v>14</v>
      </c>
      <c r="AA1369" s="25">
        <v>88</v>
      </c>
      <c r="AB1369" s="25" t="s">
        <v>821</v>
      </c>
      <c r="AC1369" s="25" t="s">
        <v>818</v>
      </c>
      <c r="AD1369" s="25" t="s">
        <v>821</v>
      </c>
      <c r="AE1369" s="25" t="s">
        <v>818</v>
      </c>
    </row>
    <row r="1370" spans="20:31" ht="14.4">
      <c r="T1370" s="25" t="s">
        <v>952</v>
      </c>
      <c r="U1370" s="25" t="s">
        <v>880</v>
      </c>
      <c r="V1370" s="25" t="s">
        <v>838</v>
      </c>
      <c r="W1370" s="25" t="str">
        <f t="shared" si="40"/>
        <v>Round Cassette with Side &amp; Bottom ChannelsInside Window Mount1.1nm 12v Acmeda Motor</v>
      </c>
      <c r="X1370" s="25">
        <v>10</v>
      </c>
      <c r="Y1370" s="25">
        <v>14</v>
      </c>
      <c r="Z1370" s="25">
        <v>14</v>
      </c>
      <c r="AA1370" s="25">
        <v>88</v>
      </c>
      <c r="AB1370" s="25" t="s">
        <v>821</v>
      </c>
      <c r="AC1370" s="25" t="s">
        <v>818</v>
      </c>
      <c r="AD1370" s="25" t="s">
        <v>821</v>
      </c>
      <c r="AE1370" s="25" t="s">
        <v>818</v>
      </c>
    </row>
    <row r="1371" spans="20:31" ht="14.4">
      <c r="T1371" s="25" t="s">
        <v>952</v>
      </c>
      <c r="U1371" s="25" t="s">
        <v>880</v>
      </c>
      <c r="V1371" t="s">
        <v>882</v>
      </c>
      <c r="W1371" s="25" t="str">
        <f t="shared" si="40"/>
        <v>Round Cassette with Side &amp; Bottom ChannelsInside Window Mount2nm 12v Acmeda Motor</v>
      </c>
      <c r="X1371" s="25">
        <v>10</v>
      </c>
      <c r="Y1371" s="25">
        <v>14</v>
      </c>
      <c r="Z1371" s="25">
        <v>14</v>
      </c>
      <c r="AA1371" s="25">
        <v>88</v>
      </c>
      <c r="AB1371" s="25" t="s">
        <v>821</v>
      </c>
      <c r="AC1371" s="25" t="s">
        <v>818</v>
      </c>
      <c r="AD1371" s="25" t="s">
        <v>821</v>
      </c>
      <c r="AE1371" s="25" t="s">
        <v>818</v>
      </c>
    </row>
    <row r="1372" spans="20:31" ht="14.4">
      <c r="T1372" s="25" t="s">
        <v>952</v>
      </c>
      <c r="U1372" s="25" t="s">
        <v>880</v>
      </c>
      <c r="V1372" t="s">
        <v>896</v>
      </c>
      <c r="W1372" s="25" t="str">
        <f t="shared" si="40"/>
        <v>Round Cassette with Side &amp; Bottom ChannelsInside Window MountAcmeda 12v 6nm Motor</v>
      </c>
      <c r="X1372" s="25">
        <v>10</v>
      </c>
      <c r="Y1372" s="25">
        <v>14</v>
      </c>
      <c r="Z1372" s="25">
        <v>14</v>
      </c>
      <c r="AA1372" s="25">
        <v>88</v>
      </c>
      <c r="AB1372" s="25" t="s">
        <v>821</v>
      </c>
      <c r="AC1372" s="25" t="s">
        <v>818</v>
      </c>
      <c r="AD1372" s="25" t="s">
        <v>821</v>
      </c>
      <c r="AE1372" s="25" t="s">
        <v>818</v>
      </c>
    </row>
    <row r="1373" spans="20:31" ht="14.4">
      <c r="T1373" s="25" t="s">
        <v>952</v>
      </c>
      <c r="U1373" s="25" t="s">
        <v>880</v>
      </c>
      <c r="V1373" t="s">
        <v>855</v>
      </c>
      <c r="W1373" s="25" t="str">
        <f t="shared" si="40"/>
        <v>Round Cassette with Side &amp; Bottom ChannelsInside Window Mount0.7nm 12v Acmeda Motor</v>
      </c>
      <c r="X1373" s="25">
        <v>10</v>
      </c>
      <c r="Y1373" s="25">
        <v>14</v>
      </c>
      <c r="Z1373" s="25">
        <v>14</v>
      </c>
      <c r="AA1373" s="25">
        <v>88</v>
      </c>
      <c r="AB1373" s="25" t="s">
        <v>821</v>
      </c>
      <c r="AC1373" s="25" t="s">
        <v>818</v>
      </c>
      <c r="AD1373" s="25" t="s">
        <v>821</v>
      </c>
      <c r="AE1373" s="25" t="s">
        <v>818</v>
      </c>
    </row>
    <row r="1374" spans="20:31" ht="14.4">
      <c r="T1374" s="25" t="s">
        <v>952</v>
      </c>
      <c r="U1374" s="25" t="s">
        <v>880</v>
      </c>
      <c r="V1374" s="25" t="s">
        <v>849</v>
      </c>
      <c r="W1374" s="25" t="str">
        <f t="shared" si="40"/>
        <v>Round Cassette with Side &amp; Bottom ChannelsInside Window Mount1.1nm 12v Acmeda DCRF Motor with External Battery</v>
      </c>
      <c r="X1374" s="25">
        <v>10</v>
      </c>
      <c r="Y1374" s="25">
        <v>14</v>
      </c>
      <c r="Z1374" s="25">
        <v>14</v>
      </c>
      <c r="AA1374" s="25">
        <v>88</v>
      </c>
      <c r="AB1374" s="25" t="s">
        <v>821</v>
      </c>
      <c r="AC1374" s="25" t="s">
        <v>818</v>
      </c>
      <c r="AD1374" s="25" t="s">
        <v>821</v>
      </c>
      <c r="AE1374" s="25" t="s">
        <v>818</v>
      </c>
    </row>
    <row r="1375" spans="20:31" ht="14.4">
      <c r="T1375" s="25" t="s">
        <v>952</v>
      </c>
      <c r="U1375" s="25" t="s">
        <v>880</v>
      </c>
      <c r="V1375" s="25" t="s">
        <v>817</v>
      </c>
      <c r="W1375" s="25" t="str">
        <f t="shared" si="40"/>
        <v>Round Cassette with Side &amp; Bottom ChannelsInside Window Mount1.1nm 12v Acmeda DCRF Motor</v>
      </c>
      <c r="X1375" s="25">
        <v>10</v>
      </c>
      <c r="Y1375" s="25">
        <v>14</v>
      </c>
      <c r="Z1375" s="25">
        <v>14</v>
      </c>
      <c r="AA1375" s="25">
        <v>88</v>
      </c>
      <c r="AB1375" s="25" t="s">
        <v>821</v>
      </c>
      <c r="AC1375" s="25" t="s">
        <v>818</v>
      </c>
      <c r="AD1375" s="25" t="s">
        <v>821</v>
      </c>
      <c r="AE1375" s="25" t="s">
        <v>818</v>
      </c>
    </row>
    <row r="1376" spans="20:31" ht="14.4">
      <c r="T1376" s="25" t="s">
        <v>952</v>
      </c>
      <c r="U1376" s="25" t="s">
        <v>880</v>
      </c>
      <c r="V1376" s="25" t="s">
        <v>868</v>
      </c>
      <c r="W1376" s="25" t="str">
        <f t="shared" si="40"/>
        <v>Round Cassette with Side &amp; Bottom ChannelsInside Window Mount2nm 12v Acmeda DCRF Motor</v>
      </c>
      <c r="X1376" s="25">
        <v>10</v>
      </c>
      <c r="Y1376" s="25">
        <v>14</v>
      </c>
      <c r="Z1376" s="25">
        <v>14</v>
      </c>
      <c r="AA1376" s="25">
        <v>88</v>
      </c>
      <c r="AB1376" s="25" t="s">
        <v>821</v>
      </c>
      <c r="AC1376" s="25" t="s">
        <v>818</v>
      </c>
      <c r="AD1376" s="25" t="s">
        <v>821</v>
      </c>
      <c r="AE1376" s="25" t="s">
        <v>818</v>
      </c>
    </row>
    <row r="1377" spans="20:31" ht="14.4">
      <c r="T1377" s="25" t="s">
        <v>952</v>
      </c>
      <c r="U1377" s="25" t="s">
        <v>880</v>
      </c>
      <c r="V1377" t="s">
        <v>973</v>
      </c>
      <c r="W1377" s="25" t="str">
        <f t="shared" si="40"/>
        <v>Round Cassette with Side &amp; Bottom ChannelsInside Window MountSomfy Remote Sonesse Motor</v>
      </c>
      <c r="X1377" s="25">
        <v>10</v>
      </c>
      <c r="Y1377" s="25">
        <v>14</v>
      </c>
      <c r="Z1377" s="25">
        <v>14</v>
      </c>
      <c r="AA1377" s="25">
        <v>88</v>
      </c>
      <c r="AB1377" s="25" t="s">
        <v>821</v>
      </c>
      <c r="AC1377" s="25" t="s">
        <v>818</v>
      </c>
      <c r="AD1377" s="25" t="s">
        <v>821</v>
      </c>
      <c r="AE1377" s="25" t="s">
        <v>818</v>
      </c>
    </row>
    <row r="1378" spans="20:31" ht="14.4">
      <c r="T1378" s="25" t="s">
        <v>952</v>
      </c>
      <c r="U1378" s="25" t="s">
        <v>880</v>
      </c>
      <c r="V1378" t="s">
        <v>637</v>
      </c>
      <c r="W1378" s="25" t="str">
        <f t="shared" si="40"/>
        <v>Round Cassette with Side &amp; Bottom ChannelsInside Window MountSomfy 12v Remote Sonesse Motor</v>
      </c>
      <c r="X1378" s="25">
        <v>10</v>
      </c>
      <c r="Y1378" s="25">
        <v>14</v>
      </c>
      <c r="Z1378" s="25">
        <v>14</v>
      </c>
      <c r="AA1378" s="25">
        <v>88</v>
      </c>
      <c r="AB1378" s="25" t="s">
        <v>821</v>
      </c>
      <c r="AC1378" s="25" t="s">
        <v>818</v>
      </c>
      <c r="AD1378" s="25" t="s">
        <v>821</v>
      </c>
      <c r="AE1378" s="25" t="s">
        <v>818</v>
      </c>
    </row>
    <row r="1379" spans="20:31" ht="14.4">
      <c r="T1379" s="25" t="s">
        <v>952</v>
      </c>
      <c r="U1379" s="25" t="s">
        <v>880</v>
      </c>
      <c r="V1379" s="25" t="s">
        <v>974</v>
      </c>
      <c r="W1379" s="25" t="str">
        <f t="shared" si="40"/>
        <v>Round Cassette with Side &amp; Bottom ChannelsInside Window MountSomfy CBUS Motor</v>
      </c>
      <c r="X1379" s="25">
        <v>10</v>
      </c>
      <c r="Y1379" s="25">
        <v>14</v>
      </c>
      <c r="Z1379" s="25">
        <v>14</v>
      </c>
      <c r="AA1379" s="25">
        <v>88</v>
      </c>
      <c r="AB1379" s="25" t="s">
        <v>821</v>
      </c>
      <c r="AC1379" s="25" t="s">
        <v>818</v>
      </c>
      <c r="AD1379" s="25" t="s">
        <v>821</v>
      </c>
      <c r="AE1379" s="25" t="s">
        <v>818</v>
      </c>
    </row>
    <row r="1380" spans="20:31" ht="14.4">
      <c r="T1380" s="25" t="s">
        <v>952</v>
      </c>
      <c r="U1380" s="25" t="s">
        <v>880</v>
      </c>
      <c r="V1380" t="s">
        <v>986</v>
      </c>
      <c r="W1380" s="25" t="str">
        <f t="shared" si="40"/>
        <v>Round Cassette with Side &amp; Bottom ChannelsInside Window MountHD Somfy Remote Sonesse Motor</v>
      </c>
      <c r="X1380" s="25">
        <v>10</v>
      </c>
      <c r="Y1380" s="25">
        <v>14</v>
      </c>
      <c r="Z1380" s="25">
        <v>14</v>
      </c>
      <c r="AA1380" s="25">
        <v>88</v>
      </c>
      <c r="AB1380" s="25" t="s">
        <v>821</v>
      </c>
      <c r="AC1380" s="25" t="s">
        <v>818</v>
      </c>
      <c r="AD1380" s="25" t="s">
        <v>821</v>
      </c>
      <c r="AE1380" s="25" t="s">
        <v>818</v>
      </c>
    </row>
    <row r="1381" spans="20:31" ht="14.4">
      <c r="T1381" s="25" t="s">
        <v>952</v>
      </c>
      <c r="U1381" s="25" t="s">
        <v>880</v>
      </c>
      <c r="V1381" t="s">
        <v>989</v>
      </c>
      <c r="W1381" s="25" t="str">
        <f t="shared" si="40"/>
        <v>Round Cassette with Side &amp; Bottom ChannelsInside Window MountHD Somfy 12v Remote Sonesse Motor</v>
      </c>
      <c r="X1381" s="25">
        <v>10</v>
      </c>
      <c r="Y1381" s="25">
        <v>14</v>
      </c>
      <c r="Z1381" s="25">
        <v>14</v>
      </c>
      <c r="AA1381" s="25">
        <v>88</v>
      </c>
      <c r="AB1381" s="25" t="s">
        <v>821</v>
      </c>
      <c r="AC1381" s="25" t="s">
        <v>818</v>
      </c>
      <c r="AD1381" s="25" t="s">
        <v>821</v>
      </c>
      <c r="AE1381" s="25" t="s">
        <v>818</v>
      </c>
    </row>
    <row r="1382" spans="20:31" ht="14.4">
      <c r="T1382" s="25" t="s">
        <v>952</v>
      </c>
      <c r="U1382" s="25" t="s">
        <v>880</v>
      </c>
      <c r="V1382" s="25" t="s">
        <v>992</v>
      </c>
      <c r="W1382" s="25" t="str">
        <f t="shared" si="40"/>
        <v>Round Cassette with Side &amp; Bottom ChannelsInside Window MountHD Somfy CBUS Motor</v>
      </c>
      <c r="X1382" s="25">
        <v>10</v>
      </c>
      <c r="Y1382" s="25">
        <v>14</v>
      </c>
      <c r="Z1382" s="25">
        <v>14</v>
      </c>
      <c r="AA1382" s="25">
        <v>88</v>
      </c>
      <c r="AB1382" s="25" t="s">
        <v>821</v>
      </c>
      <c r="AC1382" s="25" t="s">
        <v>818</v>
      </c>
      <c r="AD1382" s="25" t="s">
        <v>821</v>
      </c>
      <c r="AE1382" s="25" t="s">
        <v>818</v>
      </c>
    </row>
    <row r="1383" spans="20:31" ht="14.4">
      <c r="T1383" s="25" t="s">
        <v>952</v>
      </c>
      <c r="U1383" s="25" t="s">
        <v>880</v>
      </c>
      <c r="V1383" s="25" t="s">
        <v>625</v>
      </c>
      <c r="W1383" s="25" t="str">
        <f t="shared" si="40"/>
        <v>Round Cassette with Side &amp; Bottom ChannelsInside Window MountAcmeda E6 Motor</v>
      </c>
      <c r="X1383" s="25">
        <v>10</v>
      </c>
      <c r="Y1383" s="25">
        <v>14</v>
      </c>
      <c r="Z1383" s="25">
        <v>14</v>
      </c>
      <c r="AA1383" s="25">
        <v>88</v>
      </c>
      <c r="AB1383" s="25" t="s">
        <v>821</v>
      </c>
      <c r="AC1383" s="25" t="s">
        <v>818</v>
      </c>
      <c r="AD1383" s="25" t="s">
        <v>821</v>
      </c>
      <c r="AE1383" s="25" t="s">
        <v>818</v>
      </c>
    </row>
    <row r="1384" spans="20:31" ht="14.4">
      <c r="T1384" s="25" t="s">
        <v>952</v>
      </c>
      <c r="U1384" s="25" t="s">
        <v>880</v>
      </c>
      <c r="V1384" s="25" t="s">
        <v>626</v>
      </c>
      <c r="W1384" s="25" t="str">
        <f t="shared" si="40"/>
        <v>Round Cassette with Side &amp; Bottom ChannelsInside Window MountAcmeda M6 Motor</v>
      </c>
      <c r="X1384" s="25">
        <v>10</v>
      </c>
      <c r="Y1384" s="25">
        <v>14</v>
      </c>
      <c r="Z1384" s="25">
        <v>14</v>
      </c>
      <c r="AA1384" s="25">
        <v>88</v>
      </c>
      <c r="AB1384" s="25" t="s">
        <v>821</v>
      </c>
      <c r="AC1384" s="25" t="s">
        <v>818</v>
      </c>
      <c r="AD1384" s="25" t="s">
        <v>821</v>
      </c>
      <c r="AE1384" s="25" t="s">
        <v>818</v>
      </c>
    </row>
    <row r="1385" spans="20:31" ht="14.4">
      <c r="T1385" s="25" t="s">
        <v>952</v>
      </c>
      <c r="U1385" s="25" t="s">
        <v>880</v>
      </c>
      <c r="V1385" s="25" t="s">
        <v>1002</v>
      </c>
      <c r="W1385" s="25" t="str">
        <f t="shared" si="40"/>
        <v>Round Cassette with Side &amp; Bottom ChannelsInside Window MountUniline Remote Motor</v>
      </c>
      <c r="X1385" s="25">
        <v>10</v>
      </c>
      <c r="Y1385" s="25">
        <v>14</v>
      </c>
      <c r="Z1385" s="25">
        <v>14</v>
      </c>
      <c r="AA1385" s="25">
        <v>88</v>
      </c>
      <c r="AB1385" s="25" t="s">
        <v>821</v>
      </c>
      <c r="AC1385" s="25" t="s">
        <v>818</v>
      </c>
      <c r="AD1385" s="25" t="s">
        <v>821</v>
      </c>
      <c r="AE1385" s="25" t="s">
        <v>818</v>
      </c>
    </row>
    <row r="1386" spans="20:31" ht="14.4">
      <c r="T1386" s="25" t="s">
        <v>952</v>
      </c>
      <c r="U1386" s="25" t="s">
        <v>880</v>
      </c>
      <c r="V1386" s="25" t="s">
        <v>1005</v>
      </c>
      <c r="W1386" s="25" t="str">
        <f t="shared" si="40"/>
        <v>Round Cassette with Side &amp; Bottom ChannelsInside Window MountUniline Cbus Motor</v>
      </c>
      <c r="X1386" s="25">
        <v>10</v>
      </c>
      <c r="Y1386" s="25">
        <v>14</v>
      </c>
      <c r="Z1386" s="25">
        <v>14</v>
      </c>
      <c r="AA1386" s="25">
        <v>88</v>
      </c>
      <c r="AB1386" s="25" t="s">
        <v>821</v>
      </c>
      <c r="AC1386" s="25" t="s">
        <v>818</v>
      </c>
      <c r="AD1386" s="25" t="s">
        <v>821</v>
      </c>
      <c r="AE1386" s="25" t="s">
        <v>818</v>
      </c>
    </row>
    <row r="1387" spans="20:31" ht="14.4">
      <c r="T1387" s="25" t="s">
        <v>952</v>
      </c>
      <c r="U1387" s="25" t="s">
        <v>880</v>
      </c>
      <c r="V1387" s="25" t="s">
        <v>981</v>
      </c>
      <c r="W1387" s="25" t="str">
        <f t="shared" si="40"/>
        <v>Round Cassette with Side &amp; Bottom ChannelsInside Window MountNice Remote Motor</v>
      </c>
      <c r="X1387" s="25">
        <v>10</v>
      </c>
      <c r="Y1387" s="25">
        <v>14</v>
      </c>
      <c r="Z1387" s="25">
        <v>14</v>
      </c>
      <c r="AA1387" s="25">
        <v>88</v>
      </c>
      <c r="AB1387" s="25" t="s">
        <v>821</v>
      </c>
      <c r="AC1387" s="25" t="s">
        <v>818</v>
      </c>
      <c r="AD1387" s="25" t="s">
        <v>821</v>
      </c>
      <c r="AE1387" s="25" t="s">
        <v>818</v>
      </c>
    </row>
    <row r="1388" spans="20:31" ht="14.4">
      <c r="T1388" s="25" t="s">
        <v>952</v>
      </c>
      <c r="U1388" s="25" t="s">
        <v>880</v>
      </c>
      <c r="V1388" s="25" t="s">
        <v>976</v>
      </c>
      <c r="W1388" s="25" t="str">
        <f t="shared" si="40"/>
        <v>Round Cassette with Side &amp; Bottom ChannelsInside Window MountNice CBus Motor</v>
      </c>
      <c r="X1388" s="25">
        <v>10</v>
      </c>
      <c r="Y1388" s="25">
        <v>14</v>
      </c>
      <c r="Z1388" s="25">
        <v>14</v>
      </c>
      <c r="AA1388" s="25">
        <v>88</v>
      </c>
      <c r="AB1388" s="25" t="s">
        <v>821</v>
      </c>
      <c r="AC1388" s="25" t="s">
        <v>818</v>
      </c>
      <c r="AD1388" s="25" t="s">
        <v>821</v>
      </c>
      <c r="AE1388" s="25" t="s">
        <v>818</v>
      </c>
    </row>
    <row r="1389" spans="20:31" ht="14.4">
      <c r="T1389" s="25" t="s">
        <v>952</v>
      </c>
      <c r="U1389" s="25" t="s">
        <v>880</v>
      </c>
      <c r="V1389" t="s">
        <v>1006</v>
      </c>
      <c r="W1389" s="25" t="str">
        <f t="shared" si="40"/>
        <v>Round Cassette with Side &amp; Bottom ChannelsInside Window MountSunboss Chain Winder 38mm Tube</v>
      </c>
      <c r="X1389" s="25">
        <v>10</v>
      </c>
      <c r="Y1389" s="25">
        <v>14</v>
      </c>
      <c r="Z1389" s="25">
        <v>14</v>
      </c>
      <c r="AA1389" s="25">
        <v>88</v>
      </c>
      <c r="AB1389" s="25" t="s">
        <v>821</v>
      </c>
      <c r="AC1389" s="25" t="s">
        <v>818</v>
      </c>
      <c r="AD1389" s="25" t="s">
        <v>821</v>
      </c>
      <c r="AE1389" s="25" t="s">
        <v>818</v>
      </c>
    </row>
    <row r="1390" spans="20:31" ht="14.4">
      <c r="T1390" s="25" t="s">
        <v>952</v>
      </c>
      <c r="U1390" s="25" t="s">
        <v>880</v>
      </c>
      <c r="V1390" t="s">
        <v>1017</v>
      </c>
      <c r="W1390" s="25" t="str">
        <f t="shared" si="40"/>
        <v>Round Cassette with Side &amp; Bottom ChannelsInside Window MountSunboss Chain Winder 43mm Tube</v>
      </c>
      <c r="X1390" s="25">
        <v>10</v>
      </c>
      <c r="Y1390" s="25">
        <v>14</v>
      </c>
      <c r="Z1390" s="25">
        <v>14</v>
      </c>
      <c r="AA1390" s="25">
        <v>88</v>
      </c>
      <c r="AB1390" s="25" t="s">
        <v>821</v>
      </c>
      <c r="AC1390" s="25" t="s">
        <v>818</v>
      </c>
      <c r="AD1390" s="25" t="s">
        <v>821</v>
      </c>
      <c r="AE1390" s="25" t="s">
        <v>818</v>
      </c>
    </row>
    <row r="1391" spans="20:31" ht="14.4">
      <c r="T1391" s="25" t="s">
        <v>952</v>
      </c>
      <c r="U1391" s="25" t="s">
        <v>880</v>
      </c>
      <c r="V1391" s="25" t="s">
        <v>1012</v>
      </c>
      <c r="W1391" s="25" t="str">
        <f t="shared" si="40"/>
        <v>Round Cassette with Side &amp; Bottom ChannelsInside Window MountTBS Remote Motor</v>
      </c>
      <c r="X1391" s="25">
        <v>10</v>
      </c>
      <c r="Y1391" s="25">
        <v>14</v>
      </c>
      <c r="Z1391" s="25">
        <v>14</v>
      </c>
      <c r="AA1391" s="25">
        <v>88</v>
      </c>
      <c r="AB1391" s="25" t="s">
        <v>821</v>
      </c>
      <c r="AC1391" s="25" t="s">
        <v>818</v>
      </c>
      <c r="AD1391" s="25" t="s">
        <v>821</v>
      </c>
      <c r="AE1391" s="25" t="s">
        <v>818</v>
      </c>
    </row>
    <row r="1392" spans="20:31" ht="14.4">
      <c r="T1392" s="25" t="s">
        <v>952</v>
      </c>
      <c r="U1392" s="25" t="s">
        <v>880</v>
      </c>
      <c r="V1392" t="s">
        <v>1009</v>
      </c>
      <c r="W1392" s="25" t="str">
        <f t="shared" si="40"/>
        <v>Round Cassette with Side &amp; Bottom ChannelsInside Window MountTBS Cbus Motor</v>
      </c>
      <c r="X1392" s="25">
        <v>10</v>
      </c>
      <c r="Y1392" s="25">
        <v>14</v>
      </c>
      <c r="Z1392" s="25">
        <v>14</v>
      </c>
      <c r="AA1392" s="25">
        <v>88</v>
      </c>
      <c r="AB1392" s="25" t="s">
        <v>821</v>
      </c>
      <c r="AC1392" s="25" t="s">
        <v>818</v>
      </c>
      <c r="AD1392" s="25" t="s">
        <v>821</v>
      </c>
      <c r="AE1392" s="25" t="s">
        <v>818</v>
      </c>
    </row>
    <row r="1393" spans="20:31" ht="14.4">
      <c r="T1393" s="25" t="s">
        <v>952</v>
      </c>
      <c r="U1393" s="25" t="s">
        <v>880</v>
      </c>
      <c r="V1393" t="s">
        <v>927</v>
      </c>
      <c r="W1393" s="25" t="str">
        <f t="shared" si="40"/>
        <v>Round Cassette with Side &amp; Bottom ChannelsInside Window MountAcmeda External Motor</v>
      </c>
      <c r="X1393" s="25">
        <v>10</v>
      </c>
      <c r="Y1393" s="25">
        <v>14</v>
      </c>
      <c r="Z1393" s="25">
        <v>14</v>
      </c>
      <c r="AA1393" s="25">
        <v>88</v>
      </c>
      <c r="AB1393" s="25" t="s">
        <v>821</v>
      </c>
      <c r="AC1393" s="25" t="s">
        <v>818</v>
      </c>
      <c r="AD1393" s="25" t="s">
        <v>821</v>
      </c>
      <c r="AE1393" s="25" t="s">
        <v>818</v>
      </c>
    </row>
    <row r="1394" spans="20:31" ht="14.4">
      <c r="T1394" s="25" t="s">
        <v>952</v>
      </c>
      <c r="U1394" s="25" t="s">
        <v>880</v>
      </c>
      <c r="V1394" t="s">
        <v>918</v>
      </c>
      <c r="W1394" s="25" t="str">
        <f t="shared" si="40"/>
        <v>Round Cassette with Side &amp; Bottom ChannelsInside Window MountAcmeda External 12v Motor</v>
      </c>
      <c r="X1394" s="25">
        <v>10</v>
      </c>
      <c r="Y1394" s="25">
        <v>14</v>
      </c>
      <c r="Z1394" s="25">
        <v>14</v>
      </c>
      <c r="AA1394" s="25">
        <v>88</v>
      </c>
      <c r="AB1394" s="25" t="s">
        <v>821</v>
      </c>
      <c r="AC1394" s="25" t="s">
        <v>818</v>
      </c>
      <c r="AD1394" s="25" t="s">
        <v>821</v>
      </c>
      <c r="AE1394" s="25" t="s">
        <v>818</v>
      </c>
    </row>
    <row r="1395" spans="20:31" ht="14.4">
      <c r="T1395" s="25" t="s">
        <v>952</v>
      </c>
      <c r="U1395" s="25" t="s">
        <v>880</v>
      </c>
      <c r="V1395" t="s">
        <v>979</v>
      </c>
      <c r="W1395" s="25" t="str">
        <f t="shared" si="40"/>
        <v>Round Cassette with Side &amp; Bottom ChannelsInside Window MountSomfy External CBUS Motor</v>
      </c>
      <c r="X1395" s="25">
        <v>10</v>
      </c>
      <c r="Y1395" s="25">
        <v>14</v>
      </c>
      <c r="Z1395" s="25">
        <v>14</v>
      </c>
      <c r="AA1395" s="25">
        <v>88</v>
      </c>
      <c r="AB1395" s="25" t="s">
        <v>821</v>
      </c>
      <c r="AC1395" s="25" t="s">
        <v>818</v>
      </c>
      <c r="AD1395" s="25" t="s">
        <v>821</v>
      </c>
      <c r="AE1395" s="25" t="s">
        <v>818</v>
      </c>
    </row>
    <row r="1396" spans="20:31" ht="14.4">
      <c r="T1396" s="25" t="s">
        <v>952</v>
      </c>
      <c r="U1396" s="25" t="s">
        <v>880</v>
      </c>
      <c r="V1396" t="s">
        <v>983</v>
      </c>
      <c r="W1396" s="25" t="str">
        <f t="shared" si="40"/>
        <v>Round Cassette with Side &amp; Bottom ChannelsInside Window MountSomfy External Remote Motor</v>
      </c>
      <c r="X1396" s="25">
        <v>10</v>
      </c>
      <c r="Y1396" s="25">
        <v>14</v>
      </c>
      <c r="Z1396" s="25">
        <v>14</v>
      </c>
      <c r="AA1396" s="25">
        <v>88</v>
      </c>
      <c r="AB1396" s="25" t="s">
        <v>821</v>
      </c>
      <c r="AC1396" s="25" t="s">
        <v>818</v>
      </c>
      <c r="AD1396" s="25" t="s">
        <v>821</v>
      </c>
      <c r="AE1396" s="25" t="s">
        <v>818</v>
      </c>
    </row>
    <row r="1397" spans="20:31" ht="14.4">
      <c r="T1397" s="25" t="s">
        <v>952</v>
      </c>
      <c r="U1397" s="25" t="s">
        <v>880</v>
      </c>
      <c r="V1397" t="s">
        <v>995</v>
      </c>
      <c r="W1397" s="25" t="str">
        <f t="shared" si="40"/>
        <v>Round Cassette with Side &amp; Bottom ChannelsInside Window MountHD Somfy External CBUS Motor</v>
      </c>
      <c r="X1397" s="25">
        <v>10</v>
      </c>
      <c r="Y1397" s="25">
        <v>14</v>
      </c>
      <c r="Z1397" s="25">
        <v>14</v>
      </c>
      <c r="AA1397" s="25">
        <v>88</v>
      </c>
      <c r="AB1397" s="25" t="s">
        <v>821</v>
      </c>
      <c r="AC1397" s="25" t="s">
        <v>818</v>
      </c>
      <c r="AD1397" s="25" t="s">
        <v>821</v>
      </c>
      <c r="AE1397" s="25" t="s">
        <v>818</v>
      </c>
    </row>
    <row r="1398" spans="20:31" ht="14.4">
      <c r="T1398" s="25" t="s">
        <v>952</v>
      </c>
      <c r="U1398" s="25" t="s">
        <v>880</v>
      </c>
      <c r="V1398" t="s">
        <v>999</v>
      </c>
      <c r="W1398" s="25" t="str">
        <f t="shared" si="40"/>
        <v>Round Cassette with Side &amp; Bottom ChannelsInside Window MountHD Somfy External Remote Motor</v>
      </c>
      <c r="X1398" s="25">
        <v>10</v>
      </c>
      <c r="Y1398" s="25">
        <v>14</v>
      </c>
      <c r="Z1398" s="25">
        <v>14</v>
      </c>
      <c r="AA1398" s="25">
        <v>88</v>
      </c>
      <c r="AB1398" s="25" t="s">
        <v>821</v>
      </c>
      <c r="AC1398" s="25" t="s">
        <v>818</v>
      </c>
      <c r="AD1398" s="25" t="s">
        <v>821</v>
      </c>
      <c r="AE1398" s="25" t="s">
        <v>818</v>
      </c>
    </row>
    <row r="1399" spans="20:31" ht="14.4">
      <c r="T1399" s="25" t="s">
        <v>952</v>
      </c>
      <c r="U1399" s="25" t="s">
        <v>867</v>
      </c>
      <c r="V1399" s="25" t="s">
        <v>823</v>
      </c>
      <c r="W1399" s="25" t="str">
        <f t="shared" si="40"/>
        <v>Round Cassette with Side &amp; Bottom ChannelsOutside Window MountChain Winder</v>
      </c>
      <c r="X1399" s="25">
        <v>10</v>
      </c>
      <c r="Y1399" s="25">
        <v>14</v>
      </c>
      <c r="Z1399" s="25">
        <v>29</v>
      </c>
      <c r="AA1399" s="25">
        <v>88</v>
      </c>
      <c r="AB1399" s="25" t="s">
        <v>821</v>
      </c>
      <c r="AC1399" s="25" t="s">
        <v>818</v>
      </c>
      <c r="AD1399" s="25" t="s">
        <v>821</v>
      </c>
      <c r="AE1399" s="25" t="s">
        <v>818</v>
      </c>
    </row>
    <row r="1400" spans="20:31" ht="14.4">
      <c r="T1400" s="25" t="s">
        <v>952</v>
      </c>
      <c r="U1400" s="25" t="s">
        <v>867</v>
      </c>
      <c r="V1400" s="25" t="s">
        <v>841</v>
      </c>
      <c r="W1400" s="25" t="str">
        <f t="shared" si="40"/>
        <v>Round Cassette with Side &amp; Bottom ChannelsOutside Window MountHD Chain Winder</v>
      </c>
      <c r="X1400" s="25">
        <v>10</v>
      </c>
      <c r="Y1400" s="25">
        <v>14</v>
      </c>
      <c r="Z1400" s="25">
        <v>29</v>
      </c>
      <c r="AA1400" s="25">
        <v>88</v>
      </c>
      <c r="AB1400" s="25" t="s">
        <v>821</v>
      </c>
      <c r="AC1400" s="25" t="s">
        <v>818</v>
      </c>
      <c r="AD1400" s="25" t="s">
        <v>821</v>
      </c>
      <c r="AE1400" s="25" t="s">
        <v>818</v>
      </c>
    </row>
    <row r="1401" spans="20:31" ht="14.4">
      <c r="T1401" s="25" t="s">
        <v>952</v>
      </c>
      <c r="U1401" s="25" t="s">
        <v>867</v>
      </c>
      <c r="V1401" s="25" t="s">
        <v>858</v>
      </c>
      <c r="W1401" s="25" t="str">
        <f t="shared" si="40"/>
        <v>Round Cassette with Side &amp; Bottom ChannelsOutside Window MountChain Winder 60mm</v>
      </c>
      <c r="X1401" s="25">
        <v>10</v>
      </c>
      <c r="Y1401" s="25">
        <v>14</v>
      </c>
      <c r="Z1401" s="25">
        <v>29</v>
      </c>
      <c r="AA1401" s="25">
        <v>88</v>
      </c>
      <c r="AB1401" s="25" t="s">
        <v>821</v>
      </c>
      <c r="AC1401" s="25" t="s">
        <v>818</v>
      </c>
      <c r="AD1401" s="25" t="s">
        <v>821</v>
      </c>
      <c r="AE1401" s="25" t="s">
        <v>818</v>
      </c>
    </row>
    <row r="1402" spans="20:31" ht="14.4">
      <c r="T1402" s="25" t="s">
        <v>952</v>
      </c>
      <c r="U1402" s="25" t="s">
        <v>867</v>
      </c>
      <c r="V1402" s="25" t="s">
        <v>865</v>
      </c>
      <c r="W1402" s="25" t="str">
        <f t="shared" si="40"/>
        <v>Round Cassette with Side &amp; Bottom ChannelsOutside Window MountChain Winder Fixed Guide</v>
      </c>
      <c r="X1402" s="25">
        <v>10</v>
      </c>
      <c r="Y1402" s="25">
        <v>14</v>
      </c>
      <c r="Z1402" s="25">
        <v>29</v>
      </c>
      <c r="AA1402" s="25">
        <v>88</v>
      </c>
      <c r="AB1402" s="25" t="s">
        <v>821</v>
      </c>
      <c r="AC1402" s="25" t="s">
        <v>818</v>
      </c>
      <c r="AD1402" s="25" t="s">
        <v>821</v>
      </c>
      <c r="AE1402" s="25" t="s">
        <v>818</v>
      </c>
    </row>
    <row r="1403" spans="20:31" ht="14.4">
      <c r="T1403" s="25" t="s">
        <v>952</v>
      </c>
      <c r="U1403" s="25" t="s">
        <v>867</v>
      </c>
      <c r="V1403" s="25" t="s">
        <v>181</v>
      </c>
      <c r="W1403" s="25" t="str">
        <f t="shared" si="40"/>
        <v>Round Cassette with Side &amp; Bottom ChannelsOutside Window MountLinked</v>
      </c>
      <c r="X1403" s="25">
        <v>10</v>
      </c>
      <c r="Y1403" s="25">
        <v>14</v>
      </c>
      <c r="Z1403" s="25">
        <v>14</v>
      </c>
      <c r="AA1403" s="25">
        <v>88</v>
      </c>
      <c r="AB1403" s="25" t="s">
        <v>821</v>
      </c>
      <c r="AC1403" s="25" t="s">
        <v>818</v>
      </c>
      <c r="AD1403" s="25" t="s">
        <v>821</v>
      </c>
      <c r="AE1403" s="25" t="s">
        <v>818</v>
      </c>
    </row>
    <row r="1404" spans="20:31" ht="14.4">
      <c r="T1404" s="25" t="s">
        <v>952</v>
      </c>
      <c r="U1404" s="25" t="s">
        <v>867</v>
      </c>
      <c r="V1404" s="25" t="s">
        <v>898</v>
      </c>
      <c r="W1404" s="25" t="str">
        <f t="shared" si="40"/>
        <v>Round Cassette with Side &amp; Bottom ChannelsOutside Window MountLinked - HD</v>
      </c>
      <c r="X1404" s="25">
        <v>10</v>
      </c>
      <c r="Y1404" s="25">
        <v>14</v>
      </c>
      <c r="Z1404" s="25">
        <v>14</v>
      </c>
      <c r="AA1404" s="25">
        <v>88</v>
      </c>
      <c r="AB1404" s="25" t="s">
        <v>821</v>
      </c>
      <c r="AC1404" s="25" t="s">
        <v>818</v>
      </c>
      <c r="AD1404" s="25" t="s">
        <v>821</v>
      </c>
      <c r="AE1404" s="25" t="s">
        <v>818</v>
      </c>
    </row>
    <row r="1405" spans="20:31" ht="14.4">
      <c r="T1405" s="25" t="s">
        <v>952</v>
      </c>
      <c r="U1405" s="25" t="s">
        <v>867</v>
      </c>
      <c r="V1405" s="25" t="s">
        <v>910</v>
      </c>
      <c r="W1405" s="25" t="str">
        <f t="shared" si="40"/>
        <v>Round Cassette with Side &amp; Bottom ChannelsOutside Window MountStandard Spring</v>
      </c>
      <c r="X1405" s="25">
        <v>10</v>
      </c>
      <c r="Y1405" s="25">
        <v>14</v>
      </c>
      <c r="Z1405" s="25">
        <v>14</v>
      </c>
      <c r="AA1405" s="25">
        <v>88</v>
      </c>
      <c r="AB1405" s="25" t="s">
        <v>821</v>
      </c>
      <c r="AC1405" s="25" t="s">
        <v>818</v>
      </c>
      <c r="AD1405" s="25" t="s">
        <v>821</v>
      </c>
      <c r="AE1405" s="25" t="s">
        <v>818</v>
      </c>
    </row>
    <row r="1406" spans="20:31" ht="14.4">
      <c r="T1406" s="25" t="s">
        <v>952</v>
      </c>
      <c r="U1406" s="25" t="s">
        <v>867</v>
      </c>
      <c r="V1406" s="25" t="s">
        <v>920</v>
      </c>
      <c r="W1406" s="25" t="str">
        <f t="shared" si="40"/>
        <v>Round Cassette with Side &amp; Bottom ChannelsOutside Window MountSmall Spring</v>
      </c>
      <c r="X1406" s="25">
        <v>10</v>
      </c>
      <c r="Y1406" s="25">
        <v>14</v>
      </c>
      <c r="Z1406" s="25">
        <v>14</v>
      </c>
      <c r="AA1406" s="25">
        <v>88</v>
      </c>
      <c r="AB1406" s="25" t="s">
        <v>821</v>
      </c>
      <c r="AC1406" s="25" t="s">
        <v>818</v>
      </c>
      <c r="AD1406" s="25" t="s">
        <v>821</v>
      </c>
      <c r="AE1406" s="25" t="s">
        <v>818</v>
      </c>
    </row>
    <row r="1407" spans="20:31" ht="14.4">
      <c r="T1407" s="25" t="s">
        <v>952</v>
      </c>
      <c r="U1407" s="25" t="s">
        <v>867</v>
      </c>
      <c r="V1407" s="25" t="s">
        <v>929</v>
      </c>
      <c r="W1407" s="25" t="str">
        <f t="shared" si="40"/>
        <v>Round Cassette with Side &amp; Bottom ChannelsOutside Window MountUniline Spring (Old Style)</v>
      </c>
      <c r="X1407" s="25">
        <v>10</v>
      </c>
      <c r="Y1407" s="25">
        <v>14</v>
      </c>
      <c r="Z1407" s="25">
        <v>14</v>
      </c>
      <c r="AA1407" s="25">
        <v>88</v>
      </c>
      <c r="AB1407" s="25" t="s">
        <v>821</v>
      </c>
      <c r="AC1407" s="25" t="s">
        <v>818</v>
      </c>
      <c r="AD1407" s="25" t="s">
        <v>821</v>
      </c>
      <c r="AE1407" s="25" t="s">
        <v>818</v>
      </c>
    </row>
    <row r="1408" spans="20:31" ht="14.4">
      <c r="T1408" s="25" t="s">
        <v>952</v>
      </c>
      <c r="U1408" s="25" t="s">
        <v>867</v>
      </c>
      <c r="V1408" s="25" t="s">
        <v>935</v>
      </c>
      <c r="W1408" s="25" t="str">
        <f t="shared" si="40"/>
        <v>Round Cassette with Side &amp; Bottom ChannelsOutside Window MountBecker Remote Motor</v>
      </c>
      <c r="X1408" s="25">
        <v>10</v>
      </c>
      <c r="Y1408" s="25">
        <v>14</v>
      </c>
      <c r="Z1408" s="25">
        <v>14</v>
      </c>
      <c r="AA1408" s="25">
        <v>88</v>
      </c>
      <c r="AB1408" s="25" t="s">
        <v>821</v>
      </c>
      <c r="AC1408" s="25" t="s">
        <v>818</v>
      </c>
      <c r="AD1408" s="25" t="s">
        <v>821</v>
      </c>
      <c r="AE1408" s="25" t="s">
        <v>818</v>
      </c>
    </row>
    <row r="1409" spans="20:31" ht="14.4">
      <c r="T1409" s="25" t="s">
        <v>952</v>
      </c>
      <c r="U1409" s="25" t="s">
        <v>867</v>
      </c>
      <c r="V1409" s="25" t="s">
        <v>939</v>
      </c>
      <c r="W1409" s="25" t="str">
        <f t="shared" si="40"/>
        <v>Round Cassette with Side &amp; Bottom ChannelsOutside Window MountBecker CBUS Motor</v>
      </c>
      <c r="X1409" s="25">
        <v>10</v>
      </c>
      <c r="Y1409" s="25">
        <v>14</v>
      </c>
      <c r="Z1409" s="25">
        <v>14</v>
      </c>
      <c r="AA1409" s="25">
        <v>88</v>
      </c>
      <c r="AB1409" s="25" t="s">
        <v>821</v>
      </c>
      <c r="AC1409" s="25" t="s">
        <v>818</v>
      </c>
      <c r="AD1409" s="25" t="s">
        <v>821</v>
      </c>
      <c r="AE1409" s="25" t="s">
        <v>818</v>
      </c>
    </row>
    <row r="1410" spans="20:31" ht="14.4">
      <c r="T1410" s="25" t="s">
        <v>952</v>
      </c>
      <c r="U1410" s="25" t="s">
        <v>867</v>
      </c>
      <c r="V1410" s="25" t="s">
        <v>946</v>
      </c>
      <c r="W1410" s="25" t="str">
        <f t="shared" si="40"/>
        <v>Round Cassette with Side &amp; Bottom ChannelsOutside Window MountBecker External Remote Motor</v>
      </c>
      <c r="X1410" s="25">
        <v>10</v>
      </c>
      <c r="Y1410" s="25">
        <v>14</v>
      </c>
      <c r="Z1410" s="25">
        <v>14</v>
      </c>
      <c r="AA1410" s="25">
        <v>88</v>
      </c>
      <c r="AB1410" s="25" t="s">
        <v>821</v>
      </c>
      <c r="AC1410" s="25" t="s">
        <v>818</v>
      </c>
      <c r="AD1410" s="25" t="s">
        <v>821</v>
      </c>
      <c r="AE1410" s="25" t="s">
        <v>818</v>
      </c>
    </row>
    <row r="1411" spans="20:31" ht="14.4">
      <c r="T1411" s="25" t="s">
        <v>952</v>
      </c>
      <c r="U1411" s="25" t="s">
        <v>867</v>
      </c>
      <c r="V1411" s="25" t="s">
        <v>951</v>
      </c>
      <c r="W1411" s="25" t="str">
        <f t="shared" si="41" ref="W1411:W1474">CONCATENATE(T1411,U1411,V1411)</f>
        <v>Round Cassette with Side &amp; Bottom ChannelsOutside Window MountBecker External CBUS Motor</v>
      </c>
      <c r="X1411" s="25">
        <v>10</v>
      </c>
      <c r="Y1411" s="25">
        <v>14</v>
      </c>
      <c r="Z1411" s="25">
        <v>14</v>
      </c>
      <c r="AA1411" s="25">
        <v>88</v>
      </c>
      <c r="AB1411" s="25" t="s">
        <v>821</v>
      </c>
      <c r="AC1411" s="25" t="s">
        <v>818</v>
      </c>
      <c r="AD1411" s="25" t="s">
        <v>821</v>
      </c>
      <c r="AE1411" s="25" t="s">
        <v>818</v>
      </c>
    </row>
    <row r="1412" spans="20:31" ht="14.4">
      <c r="T1412" s="25" t="s">
        <v>952</v>
      </c>
      <c r="U1412" s="25" t="s">
        <v>867</v>
      </c>
      <c r="V1412" s="25" t="s">
        <v>838</v>
      </c>
      <c r="W1412" s="25" t="str">
        <f t="shared" si="41"/>
        <v>Round Cassette with Side &amp; Bottom ChannelsOutside Window Mount1.1nm 12v Acmeda Motor</v>
      </c>
      <c r="X1412" s="25">
        <v>10</v>
      </c>
      <c r="Y1412" s="25">
        <v>14</v>
      </c>
      <c r="Z1412" s="25">
        <v>14</v>
      </c>
      <c r="AA1412" s="25">
        <v>88</v>
      </c>
      <c r="AB1412" s="25" t="s">
        <v>821</v>
      </c>
      <c r="AC1412" s="25" t="s">
        <v>818</v>
      </c>
      <c r="AD1412" s="25" t="s">
        <v>821</v>
      </c>
      <c r="AE1412" s="25" t="s">
        <v>818</v>
      </c>
    </row>
    <row r="1413" spans="20:31" ht="14.4">
      <c r="T1413" s="25" t="s">
        <v>952</v>
      </c>
      <c r="U1413" s="25" t="s">
        <v>867</v>
      </c>
      <c r="V1413" t="s">
        <v>882</v>
      </c>
      <c r="W1413" s="25" t="str">
        <f t="shared" si="41"/>
        <v>Round Cassette with Side &amp; Bottom ChannelsOutside Window Mount2nm 12v Acmeda Motor</v>
      </c>
      <c r="X1413" s="25">
        <v>10</v>
      </c>
      <c r="Y1413" s="25">
        <v>14</v>
      </c>
      <c r="Z1413" s="25">
        <v>14</v>
      </c>
      <c r="AA1413" s="25">
        <v>88</v>
      </c>
      <c r="AB1413" s="25" t="s">
        <v>821</v>
      </c>
      <c r="AC1413" s="25" t="s">
        <v>818</v>
      </c>
      <c r="AD1413" s="25" t="s">
        <v>821</v>
      </c>
      <c r="AE1413" s="25" t="s">
        <v>818</v>
      </c>
    </row>
    <row r="1414" spans="20:31" ht="14.4">
      <c r="T1414" s="25" t="s">
        <v>952</v>
      </c>
      <c r="U1414" s="25" t="s">
        <v>867</v>
      </c>
      <c r="V1414" t="s">
        <v>896</v>
      </c>
      <c r="W1414" s="25" t="str">
        <f t="shared" si="41"/>
        <v>Round Cassette with Side &amp; Bottom ChannelsOutside Window MountAcmeda 12v 6nm Motor</v>
      </c>
      <c r="X1414" s="25">
        <v>10</v>
      </c>
      <c r="Y1414" s="25">
        <v>14</v>
      </c>
      <c r="Z1414" s="25">
        <v>14</v>
      </c>
      <c r="AA1414" s="25">
        <v>88</v>
      </c>
      <c r="AB1414" s="25" t="s">
        <v>821</v>
      </c>
      <c r="AC1414" s="25" t="s">
        <v>818</v>
      </c>
      <c r="AD1414" s="25" t="s">
        <v>821</v>
      </c>
      <c r="AE1414" s="25" t="s">
        <v>818</v>
      </c>
    </row>
    <row r="1415" spans="20:31" ht="14.4">
      <c r="T1415" s="25" t="s">
        <v>952</v>
      </c>
      <c r="U1415" s="25" t="s">
        <v>867</v>
      </c>
      <c r="V1415" t="s">
        <v>855</v>
      </c>
      <c r="W1415" s="25" t="str">
        <f t="shared" si="41"/>
        <v>Round Cassette with Side &amp; Bottom ChannelsOutside Window Mount0.7nm 12v Acmeda Motor</v>
      </c>
      <c r="X1415" s="25">
        <v>10</v>
      </c>
      <c r="Y1415" s="25">
        <v>14</v>
      </c>
      <c r="Z1415" s="25">
        <v>14</v>
      </c>
      <c r="AA1415" s="25">
        <v>88</v>
      </c>
      <c r="AB1415" s="25" t="s">
        <v>821</v>
      </c>
      <c r="AC1415" s="25" t="s">
        <v>818</v>
      </c>
      <c r="AD1415" s="25" t="s">
        <v>821</v>
      </c>
      <c r="AE1415" s="25" t="s">
        <v>818</v>
      </c>
    </row>
    <row r="1416" spans="20:31" ht="14.4">
      <c r="T1416" s="25" t="s">
        <v>952</v>
      </c>
      <c r="U1416" s="25" t="s">
        <v>867</v>
      </c>
      <c r="V1416" s="25" t="s">
        <v>849</v>
      </c>
      <c r="W1416" s="25" t="str">
        <f t="shared" si="41"/>
        <v>Round Cassette with Side &amp; Bottom ChannelsOutside Window Mount1.1nm 12v Acmeda DCRF Motor with External Battery</v>
      </c>
      <c r="X1416" s="25">
        <v>10</v>
      </c>
      <c r="Y1416" s="25">
        <v>14</v>
      </c>
      <c r="Z1416" s="25">
        <v>14</v>
      </c>
      <c r="AA1416" s="25">
        <v>88</v>
      </c>
      <c r="AB1416" s="25" t="s">
        <v>821</v>
      </c>
      <c r="AC1416" s="25" t="s">
        <v>818</v>
      </c>
      <c r="AD1416" s="25" t="s">
        <v>821</v>
      </c>
      <c r="AE1416" s="25" t="s">
        <v>818</v>
      </c>
    </row>
    <row r="1417" spans="20:31" ht="14.4">
      <c r="T1417" s="25" t="s">
        <v>952</v>
      </c>
      <c r="U1417" s="25" t="s">
        <v>867</v>
      </c>
      <c r="V1417" s="25" t="s">
        <v>817</v>
      </c>
      <c r="W1417" s="25" t="str">
        <f t="shared" si="41"/>
        <v>Round Cassette with Side &amp; Bottom ChannelsOutside Window Mount1.1nm 12v Acmeda DCRF Motor</v>
      </c>
      <c r="X1417" s="25">
        <v>10</v>
      </c>
      <c r="Y1417" s="25">
        <v>14</v>
      </c>
      <c r="Z1417" s="25">
        <v>14</v>
      </c>
      <c r="AA1417" s="25">
        <v>88</v>
      </c>
      <c r="AB1417" s="25" t="s">
        <v>821</v>
      </c>
      <c r="AC1417" s="25" t="s">
        <v>818</v>
      </c>
      <c r="AD1417" s="25" t="s">
        <v>821</v>
      </c>
      <c r="AE1417" s="25" t="s">
        <v>818</v>
      </c>
    </row>
    <row r="1418" spans="20:31" ht="14.4">
      <c r="T1418" s="25" t="s">
        <v>952</v>
      </c>
      <c r="U1418" s="25" t="s">
        <v>867</v>
      </c>
      <c r="V1418" s="25" t="s">
        <v>868</v>
      </c>
      <c r="W1418" s="25" t="str">
        <f t="shared" si="41"/>
        <v>Round Cassette with Side &amp; Bottom ChannelsOutside Window Mount2nm 12v Acmeda DCRF Motor</v>
      </c>
      <c r="X1418" s="25">
        <v>10</v>
      </c>
      <c r="Y1418" s="25">
        <v>14</v>
      </c>
      <c r="Z1418" s="25">
        <v>14</v>
      </c>
      <c r="AA1418" s="25">
        <v>88</v>
      </c>
      <c r="AB1418" s="25" t="s">
        <v>821</v>
      </c>
      <c r="AC1418" s="25" t="s">
        <v>818</v>
      </c>
      <c r="AD1418" s="25" t="s">
        <v>821</v>
      </c>
      <c r="AE1418" s="25" t="s">
        <v>818</v>
      </c>
    </row>
    <row r="1419" spans="20:31" ht="14.4">
      <c r="T1419" s="25" t="s">
        <v>952</v>
      </c>
      <c r="U1419" s="25" t="s">
        <v>867</v>
      </c>
      <c r="V1419" t="s">
        <v>973</v>
      </c>
      <c r="W1419" s="25" t="str">
        <f t="shared" si="41"/>
        <v>Round Cassette with Side &amp; Bottom ChannelsOutside Window MountSomfy Remote Sonesse Motor</v>
      </c>
      <c r="X1419" s="25">
        <v>10</v>
      </c>
      <c r="Y1419" s="25">
        <v>14</v>
      </c>
      <c r="Z1419" s="25">
        <v>14</v>
      </c>
      <c r="AA1419" s="25">
        <v>88</v>
      </c>
      <c r="AB1419" s="25" t="s">
        <v>821</v>
      </c>
      <c r="AC1419" s="25" t="s">
        <v>818</v>
      </c>
      <c r="AD1419" s="25" t="s">
        <v>821</v>
      </c>
      <c r="AE1419" s="25" t="s">
        <v>818</v>
      </c>
    </row>
    <row r="1420" spans="20:31" ht="14.4">
      <c r="T1420" s="25" t="s">
        <v>952</v>
      </c>
      <c r="U1420" s="25" t="s">
        <v>867</v>
      </c>
      <c r="V1420" t="s">
        <v>637</v>
      </c>
      <c r="W1420" s="25" t="str">
        <f t="shared" si="41"/>
        <v>Round Cassette with Side &amp; Bottom ChannelsOutside Window MountSomfy 12v Remote Sonesse Motor</v>
      </c>
      <c r="X1420" s="25">
        <v>10</v>
      </c>
      <c r="Y1420" s="25">
        <v>14</v>
      </c>
      <c r="Z1420" s="25">
        <v>14</v>
      </c>
      <c r="AA1420" s="25">
        <v>88</v>
      </c>
      <c r="AB1420" s="25" t="s">
        <v>821</v>
      </c>
      <c r="AC1420" s="25" t="s">
        <v>818</v>
      </c>
      <c r="AD1420" s="25" t="s">
        <v>821</v>
      </c>
      <c r="AE1420" s="25" t="s">
        <v>818</v>
      </c>
    </row>
    <row r="1421" spans="20:31" ht="14.4">
      <c r="T1421" s="25" t="s">
        <v>952</v>
      </c>
      <c r="U1421" s="25" t="s">
        <v>867</v>
      </c>
      <c r="V1421" s="25" t="s">
        <v>974</v>
      </c>
      <c r="W1421" s="25" t="str">
        <f t="shared" si="41"/>
        <v>Round Cassette with Side &amp; Bottom ChannelsOutside Window MountSomfy CBUS Motor</v>
      </c>
      <c r="X1421" s="25">
        <v>10</v>
      </c>
      <c r="Y1421" s="25">
        <v>14</v>
      </c>
      <c r="Z1421" s="25">
        <v>14</v>
      </c>
      <c r="AA1421" s="25">
        <v>88</v>
      </c>
      <c r="AB1421" s="25" t="s">
        <v>821</v>
      </c>
      <c r="AC1421" s="25" t="s">
        <v>818</v>
      </c>
      <c r="AD1421" s="25" t="s">
        <v>821</v>
      </c>
      <c r="AE1421" s="25" t="s">
        <v>818</v>
      </c>
    </row>
    <row r="1422" spans="20:31" ht="14.4">
      <c r="T1422" s="25" t="s">
        <v>952</v>
      </c>
      <c r="U1422" s="25" t="s">
        <v>867</v>
      </c>
      <c r="V1422" t="s">
        <v>986</v>
      </c>
      <c r="W1422" s="25" t="str">
        <f t="shared" si="41"/>
        <v>Round Cassette with Side &amp; Bottom ChannelsOutside Window MountHD Somfy Remote Sonesse Motor</v>
      </c>
      <c r="X1422" s="25">
        <v>10</v>
      </c>
      <c r="Y1422" s="25">
        <v>14</v>
      </c>
      <c r="Z1422" s="25">
        <v>14</v>
      </c>
      <c r="AA1422" s="25">
        <v>88</v>
      </c>
      <c r="AB1422" s="25" t="s">
        <v>821</v>
      </c>
      <c r="AC1422" s="25" t="s">
        <v>818</v>
      </c>
      <c r="AD1422" s="25" t="s">
        <v>821</v>
      </c>
      <c r="AE1422" s="25" t="s">
        <v>818</v>
      </c>
    </row>
    <row r="1423" spans="20:31" ht="14.4">
      <c r="T1423" s="25" t="s">
        <v>952</v>
      </c>
      <c r="U1423" s="25" t="s">
        <v>867</v>
      </c>
      <c r="V1423" t="s">
        <v>989</v>
      </c>
      <c r="W1423" s="25" t="str">
        <f t="shared" si="41"/>
        <v>Round Cassette with Side &amp; Bottom ChannelsOutside Window MountHD Somfy 12v Remote Sonesse Motor</v>
      </c>
      <c r="X1423" s="25">
        <v>10</v>
      </c>
      <c r="Y1423" s="25">
        <v>14</v>
      </c>
      <c r="Z1423" s="25">
        <v>14</v>
      </c>
      <c r="AA1423" s="25">
        <v>88</v>
      </c>
      <c r="AB1423" s="25" t="s">
        <v>821</v>
      </c>
      <c r="AC1423" s="25" t="s">
        <v>818</v>
      </c>
      <c r="AD1423" s="25" t="s">
        <v>821</v>
      </c>
      <c r="AE1423" s="25" t="s">
        <v>818</v>
      </c>
    </row>
    <row r="1424" spans="20:31" ht="14.4">
      <c r="T1424" s="25" t="s">
        <v>952</v>
      </c>
      <c r="U1424" s="25" t="s">
        <v>867</v>
      </c>
      <c r="V1424" s="25" t="s">
        <v>992</v>
      </c>
      <c r="W1424" s="25" t="str">
        <f t="shared" si="41"/>
        <v>Round Cassette with Side &amp; Bottom ChannelsOutside Window MountHD Somfy CBUS Motor</v>
      </c>
      <c r="X1424" s="25">
        <v>10</v>
      </c>
      <c r="Y1424" s="25">
        <v>14</v>
      </c>
      <c r="Z1424" s="25">
        <v>14</v>
      </c>
      <c r="AA1424" s="25">
        <v>88</v>
      </c>
      <c r="AB1424" s="25" t="s">
        <v>821</v>
      </c>
      <c r="AC1424" s="25" t="s">
        <v>818</v>
      </c>
      <c r="AD1424" s="25" t="s">
        <v>821</v>
      </c>
      <c r="AE1424" s="25" t="s">
        <v>818</v>
      </c>
    </row>
    <row r="1425" spans="20:31" ht="14.4">
      <c r="T1425" s="25" t="s">
        <v>952</v>
      </c>
      <c r="U1425" s="25" t="s">
        <v>867</v>
      </c>
      <c r="V1425" s="25" t="s">
        <v>625</v>
      </c>
      <c r="W1425" s="25" t="str">
        <f t="shared" si="41"/>
        <v>Round Cassette with Side &amp; Bottom ChannelsOutside Window MountAcmeda E6 Motor</v>
      </c>
      <c r="X1425" s="25">
        <v>10</v>
      </c>
      <c r="Y1425" s="25">
        <v>14</v>
      </c>
      <c r="Z1425" s="25">
        <v>14</v>
      </c>
      <c r="AA1425" s="25">
        <v>88</v>
      </c>
      <c r="AB1425" s="25" t="s">
        <v>821</v>
      </c>
      <c r="AC1425" s="25" t="s">
        <v>818</v>
      </c>
      <c r="AD1425" s="25" t="s">
        <v>821</v>
      </c>
      <c r="AE1425" s="25" t="s">
        <v>818</v>
      </c>
    </row>
    <row r="1426" spans="20:31" ht="14.4">
      <c r="T1426" s="25" t="s">
        <v>952</v>
      </c>
      <c r="U1426" s="25" t="s">
        <v>867</v>
      </c>
      <c r="V1426" s="25" t="s">
        <v>626</v>
      </c>
      <c r="W1426" s="25" t="str">
        <f t="shared" si="41"/>
        <v>Round Cassette with Side &amp; Bottom ChannelsOutside Window MountAcmeda M6 Motor</v>
      </c>
      <c r="X1426" s="25">
        <v>10</v>
      </c>
      <c r="Y1426" s="25">
        <v>14</v>
      </c>
      <c r="Z1426" s="25">
        <v>14</v>
      </c>
      <c r="AA1426" s="25">
        <v>88</v>
      </c>
      <c r="AB1426" s="25" t="s">
        <v>821</v>
      </c>
      <c r="AC1426" s="25" t="s">
        <v>818</v>
      </c>
      <c r="AD1426" s="25" t="s">
        <v>821</v>
      </c>
      <c r="AE1426" s="25" t="s">
        <v>818</v>
      </c>
    </row>
    <row r="1427" spans="20:31" ht="14.4">
      <c r="T1427" s="25" t="s">
        <v>952</v>
      </c>
      <c r="U1427" s="25" t="s">
        <v>867</v>
      </c>
      <c r="V1427" s="25" t="s">
        <v>1002</v>
      </c>
      <c r="W1427" s="25" t="str">
        <f t="shared" si="41"/>
        <v>Round Cassette with Side &amp; Bottom ChannelsOutside Window MountUniline Remote Motor</v>
      </c>
      <c r="X1427" s="25">
        <v>10</v>
      </c>
      <c r="Y1427" s="25">
        <v>14</v>
      </c>
      <c r="Z1427" s="25">
        <v>14</v>
      </c>
      <c r="AA1427" s="25">
        <v>88</v>
      </c>
      <c r="AB1427" s="25" t="s">
        <v>821</v>
      </c>
      <c r="AC1427" s="25" t="s">
        <v>818</v>
      </c>
      <c r="AD1427" s="25" t="s">
        <v>821</v>
      </c>
      <c r="AE1427" s="25" t="s">
        <v>818</v>
      </c>
    </row>
    <row r="1428" spans="20:31" ht="14.4">
      <c r="T1428" s="25" t="s">
        <v>952</v>
      </c>
      <c r="U1428" s="25" t="s">
        <v>867</v>
      </c>
      <c r="V1428" s="25" t="s">
        <v>1005</v>
      </c>
      <c r="W1428" s="25" t="str">
        <f t="shared" si="41"/>
        <v>Round Cassette with Side &amp; Bottom ChannelsOutside Window MountUniline Cbus Motor</v>
      </c>
      <c r="X1428" s="25">
        <v>10</v>
      </c>
      <c r="Y1428" s="25">
        <v>14</v>
      </c>
      <c r="Z1428" s="25">
        <v>14</v>
      </c>
      <c r="AA1428" s="25">
        <v>88</v>
      </c>
      <c r="AB1428" s="25" t="s">
        <v>821</v>
      </c>
      <c r="AC1428" s="25" t="s">
        <v>818</v>
      </c>
      <c r="AD1428" s="25" t="s">
        <v>821</v>
      </c>
      <c r="AE1428" s="25" t="s">
        <v>818</v>
      </c>
    </row>
    <row r="1429" spans="20:31" ht="14.4">
      <c r="T1429" s="25" t="s">
        <v>952</v>
      </c>
      <c r="U1429" s="25" t="s">
        <v>867</v>
      </c>
      <c r="V1429" s="25" t="s">
        <v>981</v>
      </c>
      <c r="W1429" s="25" t="str">
        <f t="shared" si="41"/>
        <v>Round Cassette with Side &amp; Bottom ChannelsOutside Window MountNice Remote Motor</v>
      </c>
      <c r="X1429" s="25">
        <v>10</v>
      </c>
      <c r="Y1429" s="25">
        <v>14</v>
      </c>
      <c r="Z1429" s="25">
        <v>14</v>
      </c>
      <c r="AA1429" s="25">
        <v>88</v>
      </c>
      <c r="AB1429" s="25" t="s">
        <v>821</v>
      </c>
      <c r="AC1429" s="25" t="s">
        <v>818</v>
      </c>
      <c r="AD1429" s="25" t="s">
        <v>821</v>
      </c>
      <c r="AE1429" s="25" t="s">
        <v>818</v>
      </c>
    </row>
    <row r="1430" spans="20:31" ht="14.4">
      <c r="T1430" s="25" t="s">
        <v>952</v>
      </c>
      <c r="U1430" s="25" t="s">
        <v>867</v>
      </c>
      <c r="V1430" s="25" t="s">
        <v>976</v>
      </c>
      <c r="W1430" s="25" t="str">
        <f t="shared" si="41"/>
        <v>Round Cassette with Side &amp; Bottom ChannelsOutside Window MountNice CBus Motor</v>
      </c>
      <c r="X1430" s="25">
        <v>10</v>
      </c>
      <c r="Y1430" s="25">
        <v>14</v>
      </c>
      <c r="Z1430" s="25">
        <v>14</v>
      </c>
      <c r="AA1430" s="25">
        <v>88</v>
      </c>
      <c r="AB1430" s="25" t="s">
        <v>821</v>
      </c>
      <c r="AC1430" s="25" t="s">
        <v>818</v>
      </c>
      <c r="AD1430" s="25" t="s">
        <v>821</v>
      </c>
      <c r="AE1430" s="25" t="s">
        <v>818</v>
      </c>
    </row>
    <row r="1431" spans="20:31" ht="14.4">
      <c r="T1431" s="25" t="s">
        <v>952</v>
      </c>
      <c r="U1431" s="25" t="s">
        <v>867</v>
      </c>
      <c r="V1431" t="s">
        <v>1006</v>
      </c>
      <c r="W1431" s="25" t="str">
        <f t="shared" si="41"/>
        <v>Round Cassette with Side &amp; Bottom ChannelsOutside Window MountSunboss Chain Winder 38mm Tube</v>
      </c>
      <c r="X1431" s="25">
        <v>10</v>
      </c>
      <c r="Y1431" s="25">
        <v>14</v>
      </c>
      <c r="Z1431" s="25">
        <v>14</v>
      </c>
      <c r="AA1431" s="25">
        <v>88</v>
      </c>
      <c r="AB1431" s="25" t="s">
        <v>821</v>
      </c>
      <c r="AC1431" s="25" t="s">
        <v>818</v>
      </c>
      <c r="AD1431" s="25" t="s">
        <v>821</v>
      </c>
      <c r="AE1431" s="25" t="s">
        <v>818</v>
      </c>
    </row>
    <row r="1432" spans="20:31" ht="14.4">
      <c r="T1432" s="25" t="s">
        <v>952</v>
      </c>
      <c r="U1432" s="25" t="s">
        <v>867</v>
      </c>
      <c r="V1432" t="s">
        <v>1017</v>
      </c>
      <c r="W1432" s="25" t="str">
        <f t="shared" si="41"/>
        <v>Round Cassette with Side &amp; Bottom ChannelsOutside Window MountSunboss Chain Winder 43mm Tube</v>
      </c>
      <c r="X1432" s="25">
        <v>10</v>
      </c>
      <c r="Y1432" s="25">
        <v>14</v>
      </c>
      <c r="Z1432" s="25">
        <v>14</v>
      </c>
      <c r="AA1432" s="25">
        <v>88</v>
      </c>
      <c r="AB1432" s="25" t="s">
        <v>821</v>
      </c>
      <c r="AC1432" s="25" t="s">
        <v>818</v>
      </c>
      <c r="AD1432" s="25" t="s">
        <v>821</v>
      </c>
      <c r="AE1432" s="25" t="s">
        <v>818</v>
      </c>
    </row>
    <row r="1433" spans="20:31" ht="14.4">
      <c r="T1433" s="25" t="s">
        <v>952</v>
      </c>
      <c r="U1433" s="25" t="s">
        <v>867</v>
      </c>
      <c r="V1433" s="25" t="s">
        <v>1012</v>
      </c>
      <c r="W1433" s="25" t="str">
        <f t="shared" si="41"/>
        <v>Round Cassette with Side &amp; Bottom ChannelsOutside Window MountTBS Remote Motor</v>
      </c>
      <c r="X1433" s="25">
        <v>10</v>
      </c>
      <c r="Y1433" s="25">
        <v>14</v>
      </c>
      <c r="Z1433" s="25">
        <v>14</v>
      </c>
      <c r="AA1433" s="25">
        <v>88</v>
      </c>
      <c r="AB1433" s="25" t="s">
        <v>821</v>
      </c>
      <c r="AC1433" s="25" t="s">
        <v>818</v>
      </c>
      <c r="AD1433" s="25" t="s">
        <v>821</v>
      </c>
      <c r="AE1433" s="25" t="s">
        <v>818</v>
      </c>
    </row>
    <row r="1434" spans="20:31" ht="14.4">
      <c r="T1434" s="25" t="s">
        <v>952</v>
      </c>
      <c r="U1434" s="25" t="s">
        <v>867</v>
      </c>
      <c r="V1434" t="s">
        <v>1009</v>
      </c>
      <c r="W1434" s="25" t="str">
        <f t="shared" si="41"/>
        <v>Round Cassette with Side &amp; Bottom ChannelsOutside Window MountTBS Cbus Motor</v>
      </c>
      <c r="X1434" s="25">
        <v>10</v>
      </c>
      <c r="Y1434" s="25">
        <v>14</v>
      </c>
      <c r="Z1434" s="25">
        <v>14</v>
      </c>
      <c r="AA1434" s="25">
        <v>88</v>
      </c>
      <c r="AB1434" s="25" t="s">
        <v>821</v>
      </c>
      <c r="AC1434" s="25" t="s">
        <v>818</v>
      </c>
      <c r="AE1434" s="25" t="s">
        <v>818</v>
      </c>
    </row>
    <row r="1435" spans="20:31" ht="14.4">
      <c r="T1435" s="25" t="s">
        <v>952</v>
      </c>
      <c r="U1435" s="25" t="s">
        <v>867</v>
      </c>
      <c r="V1435" t="s">
        <v>927</v>
      </c>
      <c r="W1435" s="25" t="str">
        <f t="shared" si="41"/>
        <v>Round Cassette with Side &amp; Bottom ChannelsOutside Window MountAcmeda External Motor</v>
      </c>
      <c r="X1435" s="25">
        <v>10</v>
      </c>
      <c r="Y1435" s="25">
        <v>14</v>
      </c>
      <c r="Z1435" s="25">
        <v>14</v>
      </c>
      <c r="AA1435" s="25">
        <v>88</v>
      </c>
      <c r="AB1435" s="25" t="s">
        <v>821</v>
      </c>
      <c r="AC1435" s="25" t="s">
        <v>818</v>
      </c>
      <c r="AE1435" s="25" t="s">
        <v>818</v>
      </c>
    </row>
    <row r="1436" spans="20:31" ht="14.4">
      <c r="T1436" s="25" t="s">
        <v>952</v>
      </c>
      <c r="U1436" s="25" t="s">
        <v>867</v>
      </c>
      <c r="V1436" t="s">
        <v>918</v>
      </c>
      <c r="W1436" s="25" t="str">
        <f t="shared" si="41"/>
        <v>Round Cassette with Side &amp; Bottom ChannelsOutside Window MountAcmeda External 12v Motor</v>
      </c>
      <c r="X1436" s="25">
        <v>10</v>
      </c>
      <c r="Y1436" s="25">
        <v>14</v>
      </c>
      <c r="Z1436" s="25">
        <v>14</v>
      </c>
      <c r="AA1436" s="25">
        <v>88</v>
      </c>
      <c r="AB1436" s="25" t="s">
        <v>821</v>
      </c>
      <c r="AC1436" s="25" t="s">
        <v>818</v>
      </c>
      <c r="AD1436" s="25" t="s">
        <v>821</v>
      </c>
      <c r="AE1436" s="25" t="s">
        <v>818</v>
      </c>
    </row>
    <row r="1437" spans="20:31" ht="14.4">
      <c r="T1437" s="25" t="s">
        <v>952</v>
      </c>
      <c r="U1437" s="25" t="s">
        <v>867</v>
      </c>
      <c r="V1437" t="s">
        <v>979</v>
      </c>
      <c r="W1437" s="25" t="str">
        <f t="shared" si="41"/>
        <v>Round Cassette with Side &amp; Bottom ChannelsOutside Window MountSomfy External CBUS Motor</v>
      </c>
      <c r="X1437" s="25">
        <v>10</v>
      </c>
      <c r="Y1437" s="25">
        <v>14</v>
      </c>
      <c r="Z1437" s="25">
        <v>14</v>
      </c>
      <c r="AA1437" s="25">
        <v>88</v>
      </c>
      <c r="AB1437" s="25" t="s">
        <v>821</v>
      </c>
      <c r="AC1437" s="25" t="s">
        <v>818</v>
      </c>
      <c r="AD1437" s="25" t="s">
        <v>821</v>
      </c>
      <c r="AE1437" s="25" t="s">
        <v>818</v>
      </c>
    </row>
    <row r="1438" spans="20:31" ht="14.4">
      <c r="T1438" s="25" t="s">
        <v>952</v>
      </c>
      <c r="U1438" s="25" t="s">
        <v>867</v>
      </c>
      <c r="V1438" t="s">
        <v>983</v>
      </c>
      <c r="W1438" s="25" t="str">
        <f t="shared" si="41"/>
        <v>Round Cassette with Side &amp; Bottom ChannelsOutside Window MountSomfy External Remote Motor</v>
      </c>
      <c r="X1438" s="25">
        <v>10</v>
      </c>
      <c r="Y1438" s="25">
        <v>14</v>
      </c>
      <c r="Z1438" s="25">
        <v>14</v>
      </c>
      <c r="AA1438" s="25">
        <v>88</v>
      </c>
      <c r="AB1438" s="25" t="s">
        <v>821</v>
      </c>
      <c r="AC1438" s="25" t="s">
        <v>818</v>
      </c>
      <c r="AD1438" s="25" t="s">
        <v>821</v>
      </c>
      <c r="AE1438" s="25" t="s">
        <v>818</v>
      </c>
    </row>
    <row r="1439" spans="20:31" ht="14.4">
      <c r="T1439" s="25" t="s">
        <v>952</v>
      </c>
      <c r="U1439" s="25" t="s">
        <v>867</v>
      </c>
      <c r="V1439" t="s">
        <v>995</v>
      </c>
      <c r="W1439" s="25" t="str">
        <f t="shared" si="41"/>
        <v>Round Cassette with Side &amp; Bottom ChannelsOutside Window MountHD Somfy External CBUS Motor</v>
      </c>
      <c r="X1439" s="25">
        <v>10</v>
      </c>
      <c r="Y1439" s="25">
        <v>14</v>
      </c>
      <c r="Z1439" s="25">
        <v>14</v>
      </c>
      <c r="AA1439" s="25">
        <v>88</v>
      </c>
      <c r="AB1439" s="25" t="s">
        <v>821</v>
      </c>
      <c r="AC1439" s="25" t="s">
        <v>818</v>
      </c>
      <c r="AD1439" s="25" t="s">
        <v>821</v>
      </c>
      <c r="AE1439" s="25" t="s">
        <v>818</v>
      </c>
    </row>
    <row r="1440" spans="20:31" ht="14.4">
      <c r="T1440" s="25" t="s">
        <v>952</v>
      </c>
      <c r="U1440" s="25" t="s">
        <v>867</v>
      </c>
      <c r="V1440" t="s">
        <v>999</v>
      </c>
      <c r="W1440" s="25" t="str">
        <f t="shared" si="41"/>
        <v>Round Cassette with Side &amp; Bottom ChannelsOutside Window MountHD Somfy External Remote Motor</v>
      </c>
      <c r="X1440" s="25">
        <v>10</v>
      </c>
      <c r="Y1440" s="25">
        <v>14</v>
      </c>
      <c r="Z1440" s="25">
        <v>14</v>
      </c>
      <c r="AA1440" s="25">
        <v>88</v>
      </c>
      <c r="AB1440" s="25" t="s">
        <v>821</v>
      </c>
      <c r="AC1440" s="25" t="s">
        <v>818</v>
      </c>
      <c r="AD1440" s="25" t="s">
        <v>821</v>
      </c>
      <c r="AE1440" s="25" t="s">
        <v>818</v>
      </c>
    </row>
    <row r="1441" spans="20:31" ht="14.4">
      <c r="T1441" s="25" t="s">
        <v>952</v>
      </c>
      <c r="U1441" s="25" t="s">
        <v>837</v>
      </c>
      <c r="V1441" s="25" t="s">
        <v>823</v>
      </c>
      <c r="W1441" s="25" t="str">
        <f t="shared" si="41"/>
        <v>Round Cassette with Side &amp; Bottom ChannelsRevealChain Winder</v>
      </c>
      <c r="X1441" s="25">
        <v>10</v>
      </c>
      <c r="Y1441" s="25">
        <v>14</v>
      </c>
      <c r="Z1441" s="25">
        <v>29</v>
      </c>
      <c r="AA1441" s="25">
        <v>88</v>
      </c>
      <c r="AB1441" s="25" t="s">
        <v>821</v>
      </c>
      <c r="AC1441" s="25" t="s">
        <v>818</v>
      </c>
      <c r="AD1441" s="25" t="s">
        <v>821</v>
      </c>
      <c r="AE1441" s="25" t="s">
        <v>818</v>
      </c>
    </row>
    <row r="1442" spans="20:31" ht="14.4">
      <c r="T1442" s="25" t="s">
        <v>952</v>
      </c>
      <c r="U1442" s="25" t="s">
        <v>837</v>
      </c>
      <c r="V1442" s="25" t="s">
        <v>841</v>
      </c>
      <c r="W1442" s="25" t="str">
        <f t="shared" si="41"/>
        <v>Round Cassette with Side &amp; Bottom ChannelsRevealHD Chain Winder</v>
      </c>
      <c r="X1442" s="25">
        <v>10</v>
      </c>
      <c r="Y1442" s="25">
        <v>14</v>
      </c>
      <c r="Z1442" s="25">
        <v>29</v>
      </c>
      <c r="AA1442" s="25">
        <v>88</v>
      </c>
      <c r="AB1442" s="25" t="s">
        <v>821</v>
      </c>
      <c r="AC1442" s="25" t="s">
        <v>818</v>
      </c>
      <c r="AD1442" s="25" t="s">
        <v>821</v>
      </c>
      <c r="AE1442" s="25" t="s">
        <v>818</v>
      </c>
    </row>
    <row r="1443" spans="20:31" ht="14.4">
      <c r="T1443" s="25" t="s">
        <v>952</v>
      </c>
      <c r="U1443" s="25" t="s">
        <v>837</v>
      </c>
      <c r="V1443" s="25" t="s">
        <v>858</v>
      </c>
      <c r="W1443" s="25" t="str">
        <f t="shared" si="41"/>
        <v>Round Cassette with Side &amp; Bottom ChannelsRevealChain Winder 60mm</v>
      </c>
      <c r="X1443" s="25">
        <v>10</v>
      </c>
      <c r="Y1443" s="25">
        <v>14</v>
      </c>
      <c r="Z1443" s="25">
        <v>29</v>
      </c>
      <c r="AA1443" s="25">
        <v>88</v>
      </c>
      <c r="AB1443" s="25" t="s">
        <v>821</v>
      </c>
      <c r="AC1443" s="25" t="s">
        <v>818</v>
      </c>
      <c r="AD1443" s="25" t="s">
        <v>821</v>
      </c>
      <c r="AE1443" s="25" t="s">
        <v>818</v>
      </c>
    </row>
    <row r="1444" spans="20:31" ht="14.4">
      <c r="T1444" s="25" t="s">
        <v>952</v>
      </c>
      <c r="U1444" s="25" t="s">
        <v>837</v>
      </c>
      <c r="V1444" s="25" t="s">
        <v>865</v>
      </c>
      <c r="W1444" s="25" t="str">
        <f t="shared" si="41"/>
        <v>Round Cassette with Side &amp; Bottom ChannelsRevealChain Winder Fixed Guide</v>
      </c>
      <c r="X1444" s="25">
        <v>10</v>
      </c>
      <c r="Y1444" s="25">
        <v>14</v>
      </c>
      <c r="Z1444" s="25">
        <v>29</v>
      </c>
      <c r="AA1444" s="25">
        <v>88</v>
      </c>
      <c r="AB1444" s="25" t="s">
        <v>821</v>
      </c>
      <c r="AC1444" s="25" t="s">
        <v>818</v>
      </c>
      <c r="AD1444" s="25" t="s">
        <v>821</v>
      </c>
      <c r="AE1444" s="25" t="s">
        <v>818</v>
      </c>
    </row>
    <row r="1445" spans="20:31" ht="14.4">
      <c r="T1445" s="25" t="s">
        <v>952</v>
      </c>
      <c r="U1445" s="25" t="s">
        <v>837</v>
      </c>
      <c r="V1445" s="25" t="s">
        <v>181</v>
      </c>
      <c r="W1445" s="25" t="str">
        <f t="shared" si="41"/>
        <v>Round Cassette with Side &amp; Bottom ChannelsRevealLinked</v>
      </c>
      <c r="X1445" s="25">
        <v>10</v>
      </c>
      <c r="Y1445" s="25">
        <v>14</v>
      </c>
      <c r="Z1445" s="25">
        <v>14</v>
      </c>
      <c r="AA1445" s="25">
        <v>88</v>
      </c>
      <c r="AB1445" s="25" t="s">
        <v>821</v>
      </c>
      <c r="AC1445" s="25" t="s">
        <v>818</v>
      </c>
      <c r="AD1445" s="25" t="s">
        <v>821</v>
      </c>
      <c r="AE1445" s="25" t="s">
        <v>818</v>
      </c>
    </row>
    <row r="1446" spans="20:31" ht="14.4">
      <c r="T1446" s="25" t="s">
        <v>952</v>
      </c>
      <c r="U1446" s="25" t="s">
        <v>837</v>
      </c>
      <c r="V1446" s="25" t="s">
        <v>898</v>
      </c>
      <c r="W1446" s="25" t="str">
        <f t="shared" si="41"/>
        <v>Round Cassette with Side &amp; Bottom ChannelsRevealLinked - HD</v>
      </c>
      <c r="X1446" s="25">
        <v>10</v>
      </c>
      <c r="Y1446" s="25">
        <v>14</v>
      </c>
      <c r="Z1446" s="25">
        <v>14</v>
      </c>
      <c r="AA1446" s="25">
        <v>88</v>
      </c>
      <c r="AB1446" s="25" t="s">
        <v>821</v>
      </c>
      <c r="AC1446" s="25" t="s">
        <v>818</v>
      </c>
      <c r="AD1446" s="25" t="s">
        <v>821</v>
      </c>
      <c r="AE1446" s="25" t="s">
        <v>818</v>
      </c>
    </row>
    <row r="1447" spans="20:31" ht="14.4">
      <c r="T1447" s="25" t="s">
        <v>952</v>
      </c>
      <c r="U1447" s="25" t="s">
        <v>837</v>
      </c>
      <c r="V1447" s="25" t="s">
        <v>910</v>
      </c>
      <c r="W1447" s="25" t="str">
        <f t="shared" si="41"/>
        <v>Round Cassette with Side &amp; Bottom ChannelsRevealStandard Spring</v>
      </c>
      <c r="X1447" s="25">
        <v>10</v>
      </c>
      <c r="Y1447" s="25">
        <v>14</v>
      </c>
      <c r="Z1447" s="25">
        <v>14</v>
      </c>
      <c r="AA1447" s="25">
        <v>88</v>
      </c>
      <c r="AB1447" s="25" t="s">
        <v>821</v>
      </c>
      <c r="AC1447" s="25" t="s">
        <v>818</v>
      </c>
      <c r="AD1447" s="25" t="s">
        <v>821</v>
      </c>
      <c r="AE1447" s="25" t="s">
        <v>818</v>
      </c>
    </row>
    <row r="1448" spans="20:31" ht="14.4">
      <c r="T1448" s="25" t="s">
        <v>952</v>
      </c>
      <c r="U1448" s="25" t="s">
        <v>837</v>
      </c>
      <c r="V1448" s="25" t="s">
        <v>920</v>
      </c>
      <c r="W1448" s="25" t="str">
        <f t="shared" si="41"/>
        <v>Round Cassette with Side &amp; Bottom ChannelsRevealSmall Spring</v>
      </c>
      <c r="X1448" s="25">
        <v>10</v>
      </c>
      <c r="Y1448" s="25">
        <v>14</v>
      </c>
      <c r="Z1448" s="25">
        <v>14</v>
      </c>
      <c r="AA1448" s="25">
        <v>88</v>
      </c>
      <c r="AB1448" s="25" t="s">
        <v>821</v>
      </c>
      <c r="AC1448" s="25" t="s">
        <v>818</v>
      </c>
      <c r="AD1448" s="25" t="s">
        <v>821</v>
      </c>
      <c r="AE1448" s="25" t="s">
        <v>818</v>
      </c>
    </row>
    <row r="1449" spans="20:31" ht="14.4">
      <c r="T1449" s="25" t="s">
        <v>952</v>
      </c>
      <c r="U1449" s="25" t="s">
        <v>837</v>
      </c>
      <c r="V1449" s="25" t="s">
        <v>929</v>
      </c>
      <c r="W1449" s="25" t="str">
        <f t="shared" si="41"/>
        <v>Round Cassette with Side &amp; Bottom ChannelsRevealUniline Spring (Old Style)</v>
      </c>
      <c r="X1449" s="25">
        <v>10</v>
      </c>
      <c r="Y1449" s="25">
        <v>14</v>
      </c>
      <c r="Z1449" s="25">
        <v>14</v>
      </c>
      <c r="AA1449" s="25">
        <v>88</v>
      </c>
      <c r="AB1449" s="25" t="s">
        <v>821</v>
      </c>
      <c r="AC1449" s="25" t="s">
        <v>818</v>
      </c>
      <c r="AD1449" s="25" t="s">
        <v>821</v>
      </c>
      <c r="AE1449" s="25" t="s">
        <v>818</v>
      </c>
    </row>
    <row r="1450" spans="20:31" ht="14.4">
      <c r="T1450" s="25" t="s">
        <v>952</v>
      </c>
      <c r="U1450" s="25" t="s">
        <v>837</v>
      </c>
      <c r="V1450" s="25" t="s">
        <v>935</v>
      </c>
      <c r="W1450" s="25" t="str">
        <f t="shared" si="41"/>
        <v>Round Cassette with Side &amp; Bottom ChannelsRevealBecker Remote Motor</v>
      </c>
      <c r="X1450" s="25">
        <v>10</v>
      </c>
      <c r="Y1450" s="25">
        <v>14</v>
      </c>
      <c r="Z1450" s="25">
        <v>14</v>
      </c>
      <c r="AA1450" s="25">
        <v>88</v>
      </c>
      <c r="AB1450" s="25" t="s">
        <v>821</v>
      </c>
      <c r="AC1450" s="25" t="s">
        <v>818</v>
      </c>
      <c r="AD1450" s="25" t="s">
        <v>821</v>
      </c>
      <c r="AE1450" s="25" t="s">
        <v>818</v>
      </c>
    </row>
    <row r="1451" spans="20:31" ht="14.4">
      <c r="T1451" s="25" t="s">
        <v>952</v>
      </c>
      <c r="U1451" s="25" t="s">
        <v>837</v>
      </c>
      <c r="V1451" s="25" t="s">
        <v>939</v>
      </c>
      <c r="W1451" s="25" t="str">
        <f t="shared" si="41"/>
        <v>Round Cassette with Side &amp; Bottom ChannelsRevealBecker CBUS Motor</v>
      </c>
      <c r="X1451" s="25">
        <v>10</v>
      </c>
      <c r="Y1451" s="25">
        <v>14</v>
      </c>
      <c r="Z1451" s="25">
        <v>14</v>
      </c>
      <c r="AA1451" s="25">
        <v>88</v>
      </c>
      <c r="AB1451" s="25" t="s">
        <v>821</v>
      </c>
      <c r="AC1451" s="25" t="s">
        <v>818</v>
      </c>
      <c r="AD1451" s="25" t="s">
        <v>821</v>
      </c>
      <c r="AE1451" s="25" t="s">
        <v>818</v>
      </c>
    </row>
    <row r="1452" spans="20:31" ht="14.4">
      <c r="T1452" s="25" t="s">
        <v>952</v>
      </c>
      <c r="U1452" s="25" t="s">
        <v>837</v>
      </c>
      <c r="V1452" s="25" t="s">
        <v>946</v>
      </c>
      <c r="W1452" s="25" t="str">
        <f t="shared" si="41"/>
        <v>Round Cassette with Side &amp; Bottom ChannelsRevealBecker External Remote Motor</v>
      </c>
      <c r="X1452" s="25">
        <v>10</v>
      </c>
      <c r="Y1452" s="25">
        <v>14</v>
      </c>
      <c r="Z1452" s="25">
        <v>14</v>
      </c>
      <c r="AA1452" s="25">
        <v>88</v>
      </c>
      <c r="AB1452" s="25" t="s">
        <v>821</v>
      </c>
      <c r="AC1452" s="25" t="s">
        <v>818</v>
      </c>
      <c r="AD1452" s="25" t="s">
        <v>821</v>
      </c>
      <c r="AE1452" s="25" t="s">
        <v>818</v>
      </c>
    </row>
    <row r="1453" spans="20:31" ht="14.4">
      <c r="T1453" s="25" t="s">
        <v>952</v>
      </c>
      <c r="U1453" s="25" t="s">
        <v>837</v>
      </c>
      <c r="V1453" s="25" t="s">
        <v>951</v>
      </c>
      <c r="W1453" s="25" t="str">
        <f t="shared" si="41"/>
        <v>Round Cassette with Side &amp; Bottom ChannelsRevealBecker External CBUS Motor</v>
      </c>
      <c r="X1453" s="25">
        <v>10</v>
      </c>
      <c r="Y1453" s="25">
        <v>14</v>
      </c>
      <c r="Z1453" s="25">
        <v>14</v>
      </c>
      <c r="AA1453" s="25">
        <v>88</v>
      </c>
      <c r="AB1453" s="25" t="s">
        <v>821</v>
      </c>
      <c r="AC1453" s="25" t="s">
        <v>818</v>
      </c>
      <c r="AD1453" s="25" t="s">
        <v>821</v>
      </c>
      <c r="AE1453" s="25" t="s">
        <v>818</v>
      </c>
    </row>
    <row r="1454" spans="20:31" ht="14.4">
      <c r="T1454" s="25" t="s">
        <v>952</v>
      </c>
      <c r="U1454" s="25" t="s">
        <v>837</v>
      </c>
      <c r="V1454" s="25" t="s">
        <v>838</v>
      </c>
      <c r="W1454" s="25" t="str">
        <f t="shared" si="41"/>
        <v>Round Cassette with Side &amp; Bottom ChannelsReveal1.1nm 12v Acmeda Motor</v>
      </c>
      <c r="X1454" s="25">
        <v>10</v>
      </c>
      <c r="Y1454" s="25">
        <v>14</v>
      </c>
      <c r="Z1454" s="25">
        <v>14</v>
      </c>
      <c r="AA1454" s="25">
        <v>88</v>
      </c>
      <c r="AB1454" s="25" t="s">
        <v>821</v>
      </c>
      <c r="AC1454" s="25" t="s">
        <v>818</v>
      </c>
      <c r="AD1454" s="25" t="s">
        <v>821</v>
      </c>
      <c r="AE1454" s="25" t="s">
        <v>818</v>
      </c>
    </row>
    <row r="1455" spans="20:31" ht="14.4">
      <c r="T1455" s="25" t="s">
        <v>952</v>
      </c>
      <c r="U1455" s="25" t="s">
        <v>837</v>
      </c>
      <c r="V1455" t="s">
        <v>882</v>
      </c>
      <c r="W1455" s="25" t="str">
        <f t="shared" si="41"/>
        <v>Round Cassette with Side &amp; Bottom ChannelsReveal2nm 12v Acmeda Motor</v>
      </c>
      <c r="X1455" s="25">
        <v>10</v>
      </c>
      <c r="Y1455" s="25">
        <v>14</v>
      </c>
      <c r="Z1455" s="25">
        <v>14</v>
      </c>
      <c r="AA1455" s="25">
        <v>88</v>
      </c>
      <c r="AB1455" s="25" t="s">
        <v>821</v>
      </c>
      <c r="AC1455" s="25" t="s">
        <v>818</v>
      </c>
      <c r="AD1455" s="25" t="s">
        <v>821</v>
      </c>
      <c r="AE1455" s="25" t="s">
        <v>818</v>
      </c>
    </row>
    <row r="1456" spans="20:31" ht="14.4">
      <c r="T1456" s="25" t="s">
        <v>952</v>
      </c>
      <c r="U1456" s="25" t="s">
        <v>837</v>
      </c>
      <c r="V1456" t="s">
        <v>896</v>
      </c>
      <c r="W1456" s="25" t="str">
        <f t="shared" si="41"/>
        <v>Round Cassette with Side &amp; Bottom ChannelsRevealAcmeda 12v 6nm Motor</v>
      </c>
      <c r="X1456" s="25">
        <v>10</v>
      </c>
      <c r="Y1456" s="25">
        <v>14</v>
      </c>
      <c r="Z1456" s="25">
        <v>14</v>
      </c>
      <c r="AA1456" s="25">
        <v>88</v>
      </c>
      <c r="AB1456" s="25" t="s">
        <v>821</v>
      </c>
      <c r="AC1456" s="25" t="s">
        <v>818</v>
      </c>
      <c r="AD1456" s="25" t="s">
        <v>821</v>
      </c>
      <c r="AE1456" s="25" t="s">
        <v>818</v>
      </c>
    </row>
    <row r="1457" spans="20:31" ht="14.4">
      <c r="T1457" s="25" t="s">
        <v>952</v>
      </c>
      <c r="U1457" s="25" t="s">
        <v>837</v>
      </c>
      <c r="V1457" t="s">
        <v>855</v>
      </c>
      <c r="W1457" s="25" t="str">
        <f t="shared" si="41"/>
        <v>Round Cassette with Side &amp; Bottom ChannelsReveal0.7nm 12v Acmeda Motor</v>
      </c>
      <c r="X1457" s="25">
        <v>10</v>
      </c>
      <c r="Y1457" s="25">
        <v>14</v>
      </c>
      <c r="Z1457" s="25">
        <v>14</v>
      </c>
      <c r="AA1457" s="25">
        <v>88</v>
      </c>
      <c r="AB1457" s="25" t="s">
        <v>821</v>
      </c>
      <c r="AC1457" s="25" t="s">
        <v>818</v>
      </c>
      <c r="AD1457" s="25" t="s">
        <v>821</v>
      </c>
      <c r="AE1457" s="25" t="s">
        <v>818</v>
      </c>
    </row>
    <row r="1458" spans="20:31" ht="14.4">
      <c r="T1458" s="25" t="s">
        <v>952</v>
      </c>
      <c r="U1458" s="25" t="s">
        <v>837</v>
      </c>
      <c r="V1458" s="25" t="s">
        <v>849</v>
      </c>
      <c r="W1458" s="25" t="str">
        <f t="shared" si="41"/>
        <v>Round Cassette with Side &amp; Bottom ChannelsReveal1.1nm 12v Acmeda DCRF Motor with External Battery</v>
      </c>
      <c r="X1458" s="25">
        <v>10</v>
      </c>
      <c r="Y1458" s="25">
        <v>14</v>
      </c>
      <c r="Z1458" s="25">
        <v>14</v>
      </c>
      <c r="AA1458" s="25">
        <v>88</v>
      </c>
      <c r="AB1458" s="25" t="s">
        <v>821</v>
      </c>
      <c r="AC1458" s="25" t="s">
        <v>818</v>
      </c>
      <c r="AD1458" s="25" t="s">
        <v>821</v>
      </c>
      <c r="AE1458" s="25" t="s">
        <v>818</v>
      </c>
    </row>
    <row r="1459" spans="20:31" ht="14.4">
      <c r="T1459" s="25" t="s">
        <v>952</v>
      </c>
      <c r="U1459" s="25" t="s">
        <v>837</v>
      </c>
      <c r="V1459" s="25" t="s">
        <v>817</v>
      </c>
      <c r="W1459" s="25" t="str">
        <f t="shared" si="41"/>
        <v>Round Cassette with Side &amp; Bottom ChannelsReveal1.1nm 12v Acmeda DCRF Motor</v>
      </c>
      <c r="X1459" s="25">
        <v>10</v>
      </c>
      <c r="Y1459" s="25">
        <v>14</v>
      </c>
      <c r="Z1459" s="25">
        <v>14</v>
      </c>
      <c r="AA1459" s="25">
        <v>88</v>
      </c>
      <c r="AB1459" s="25" t="s">
        <v>821</v>
      </c>
      <c r="AC1459" s="25" t="s">
        <v>818</v>
      </c>
      <c r="AD1459" s="25" t="s">
        <v>821</v>
      </c>
      <c r="AE1459" s="25" t="s">
        <v>818</v>
      </c>
    </row>
    <row r="1460" spans="20:31" ht="14.4">
      <c r="T1460" s="25" t="s">
        <v>952</v>
      </c>
      <c r="U1460" s="25" t="s">
        <v>837</v>
      </c>
      <c r="V1460" s="25" t="s">
        <v>868</v>
      </c>
      <c r="W1460" s="25" t="str">
        <f t="shared" si="41"/>
        <v>Round Cassette with Side &amp; Bottom ChannelsReveal2nm 12v Acmeda DCRF Motor</v>
      </c>
      <c r="X1460" s="25">
        <v>10</v>
      </c>
      <c r="Y1460" s="25">
        <v>14</v>
      </c>
      <c r="Z1460" s="25">
        <v>14</v>
      </c>
      <c r="AA1460" s="25">
        <v>88</v>
      </c>
      <c r="AB1460" s="25" t="s">
        <v>821</v>
      </c>
      <c r="AC1460" s="25" t="s">
        <v>818</v>
      </c>
      <c r="AD1460" s="25" t="s">
        <v>821</v>
      </c>
      <c r="AE1460" s="25" t="s">
        <v>818</v>
      </c>
    </row>
    <row r="1461" spans="20:31" ht="14.4">
      <c r="T1461" s="25" t="s">
        <v>952</v>
      </c>
      <c r="U1461" s="25" t="s">
        <v>837</v>
      </c>
      <c r="V1461" t="s">
        <v>973</v>
      </c>
      <c r="W1461" s="25" t="str">
        <f t="shared" si="41"/>
        <v>Round Cassette with Side &amp; Bottom ChannelsRevealSomfy Remote Sonesse Motor</v>
      </c>
      <c r="X1461" s="25">
        <v>10</v>
      </c>
      <c r="Y1461" s="25">
        <v>14</v>
      </c>
      <c r="Z1461" s="25">
        <v>14</v>
      </c>
      <c r="AA1461" s="25">
        <v>88</v>
      </c>
      <c r="AB1461" s="25" t="s">
        <v>821</v>
      </c>
      <c r="AC1461" s="25" t="s">
        <v>818</v>
      </c>
      <c r="AD1461" s="25" t="s">
        <v>821</v>
      </c>
      <c r="AE1461" s="25" t="s">
        <v>818</v>
      </c>
    </row>
    <row r="1462" spans="20:31" ht="14.4">
      <c r="T1462" s="25" t="s">
        <v>952</v>
      </c>
      <c r="U1462" s="25" t="s">
        <v>837</v>
      </c>
      <c r="V1462" t="s">
        <v>637</v>
      </c>
      <c r="W1462" s="25" t="str">
        <f t="shared" si="41"/>
        <v>Round Cassette with Side &amp; Bottom ChannelsRevealSomfy 12v Remote Sonesse Motor</v>
      </c>
      <c r="X1462" s="25">
        <v>10</v>
      </c>
      <c r="Y1462" s="25">
        <v>14</v>
      </c>
      <c r="Z1462" s="25">
        <v>14</v>
      </c>
      <c r="AA1462" s="25">
        <v>88</v>
      </c>
      <c r="AB1462" s="25" t="s">
        <v>821</v>
      </c>
      <c r="AC1462" s="25" t="s">
        <v>818</v>
      </c>
      <c r="AD1462" s="25" t="s">
        <v>821</v>
      </c>
      <c r="AE1462" s="25" t="s">
        <v>818</v>
      </c>
    </row>
    <row r="1463" spans="20:31" ht="14.4">
      <c r="T1463" s="25" t="s">
        <v>952</v>
      </c>
      <c r="U1463" s="25" t="s">
        <v>837</v>
      </c>
      <c r="V1463" s="25" t="s">
        <v>974</v>
      </c>
      <c r="W1463" s="25" t="str">
        <f t="shared" si="41"/>
        <v>Round Cassette with Side &amp; Bottom ChannelsRevealSomfy CBUS Motor</v>
      </c>
      <c r="X1463" s="25">
        <v>10</v>
      </c>
      <c r="Y1463" s="25">
        <v>14</v>
      </c>
      <c r="Z1463" s="25">
        <v>14</v>
      </c>
      <c r="AA1463" s="25">
        <v>88</v>
      </c>
      <c r="AB1463" s="25" t="s">
        <v>821</v>
      </c>
      <c r="AC1463" s="25" t="s">
        <v>818</v>
      </c>
      <c r="AD1463" s="25" t="s">
        <v>821</v>
      </c>
      <c r="AE1463" s="25" t="s">
        <v>818</v>
      </c>
    </row>
    <row r="1464" spans="20:31" ht="14.4">
      <c r="T1464" s="25" t="s">
        <v>952</v>
      </c>
      <c r="U1464" s="25" t="s">
        <v>837</v>
      </c>
      <c r="V1464" t="s">
        <v>986</v>
      </c>
      <c r="W1464" s="25" t="str">
        <f t="shared" si="41"/>
        <v>Round Cassette with Side &amp; Bottom ChannelsRevealHD Somfy Remote Sonesse Motor</v>
      </c>
      <c r="X1464" s="25">
        <v>10</v>
      </c>
      <c r="Y1464" s="25">
        <v>14</v>
      </c>
      <c r="Z1464" s="25">
        <v>14</v>
      </c>
      <c r="AA1464" s="25">
        <v>88</v>
      </c>
      <c r="AB1464" s="25" t="s">
        <v>821</v>
      </c>
      <c r="AC1464" s="25" t="s">
        <v>818</v>
      </c>
      <c r="AD1464" s="25" t="s">
        <v>821</v>
      </c>
      <c r="AE1464" s="25" t="s">
        <v>818</v>
      </c>
    </row>
    <row r="1465" spans="20:31" ht="14.4">
      <c r="T1465" s="25" t="s">
        <v>952</v>
      </c>
      <c r="U1465" s="25" t="s">
        <v>837</v>
      </c>
      <c r="V1465" t="s">
        <v>989</v>
      </c>
      <c r="W1465" s="25" t="str">
        <f t="shared" si="41"/>
        <v>Round Cassette with Side &amp; Bottom ChannelsRevealHD Somfy 12v Remote Sonesse Motor</v>
      </c>
      <c r="X1465" s="25">
        <v>10</v>
      </c>
      <c r="Y1465" s="25">
        <v>14</v>
      </c>
      <c r="Z1465" s="25">
        <v>14</v>
      </c>
      <c r="AA1465" s="25">
        <v>88</v>
      </c>
      <c r="AB1465" s="25" t="s">
        <v>821</v>
      </c>
      <c r="AC1465" s="25" t="s">
        <v>818</v>
      </c>
      <c r="AD1465" s="25" t="s">
        <v>821</v>
      </c>
      <c r="AE1465" s="25" t="s">
        <v>818</v>
      </c>
    </row>
    <row r="1466" spans="20:31" ht="14.4">
      <c r="T1466" s="25" t="s">
        <v>952</v>
      </c>
      <c r="U1466" s="25" t="s">
        <v>837</v>
      </c>
      <c r="V1466" s="25" t="s">
        <v>992</v>
      </c>
      <c r="W1466" s="25" t="str">
        <f t="shared" si="41"/>
        <v>Round Cassette with Side &amp; Bottom ChannelsRevealHD Somfy CBUS Motor</v>
      </c>
      <c r="X1466" s="25">
        <v>10</v>
      </c>
      <c r="Y1466" s="25">
        <v>14</v>
      </c>
      <c r="Z1466" s="25">
        <v>14</v>
      </c>
      <c r="AA1466" s="25">
        <v>88</v>
      </c>
      <c r="AB1466" s="25" t="s">
        <v>821</v>
      </c>
      <c r="AC1466" s="25" t="s">
        <v>818</v>
      </c>
      <c r="AD1466" s="25" t="s">
        <v>821</v>
      </c>
      <c r="AE1466" s="25" t="s">
        <v>818</v>
      </c>
    </row>
    <row r="1467" spans="20:31" ht="14.4">
      <c r="T1467" s="25" t="s">
        <v>952</v>
      </c>
      <c r="U1467" s="25" t="s">
        <v>837</v>
      </c>
      <c r="V1467" s="25" t="s">
        <v>625</v>
      </c>
      <c r="W1467" s="25" t="str">
        <f t="shared" si="41"/>
        <v>Round Cassette with Side &amp; Bottom ChannelsRevealAcmeda E6 Motor</v>
      </c>
      <c r="X1467" s="25">
        <v>10</v>
      </c>
      <c r="Y1467" s="25">
        <v>14</v>
      </c>
      <c r="Z1467" s="25">
        <v>14</v>
      </c>
      <c r="AA1467" s="25">
        <v>88</v>
      </c>
      <c r="AB1467" s="25" t="s">
        <v>821</v>
      </c>
      <c r="AC1467" s="25" t="s">
        <v>818</v>
      </c>
      <c r="AD1467" s="25" t="s">
        <v>821</v>
      </c>
      <c r="AE1467" s="25" t="s">
        <v>818</v>
      </c>
    </row>
    <row r="1468" spans="20:31" ht="14.4">
      <c r="T1468" s="25" t="s">
        <v>952</v>
      </c>
      <c r="U1468" s="25" t="s">
        <v>837</v>
      </c>
      <c r="V1468" s="25" t="s">
        <v>626</v>
      </c>
      <c r="W1468" s="25" t="str">
        <f t="shared" si="41"/>
        <v>Round Cassette with Side &amp; Bottom ChannelsRevealAcmeda M6 Motor</v>
      </c>
      <c r="X1468" s="25">
        <v>10</v>
      </c>
      <c r="Y1468" s="25">
        <v>14</v>
      </c>
      <c r="Z1468" s="25">
        <v>14</v>
      </c>
      <c r="AA1468" s="25">
        <v>88</v>
      </c>
      <c r="AB1468" s="25" t="s">
        <v>821</v>
      </c>
      <c r="AC1468" s="25" t="s">
        <v>818</v>
      </c>
      <c r="AD1468" s="25" t="s">
        <v>821</v>
      </c>
      <c r="AE1468" s="25" t="s">
        <v>818</v>
      </c>
    </row>
    <row r="1469" spans="20:31" ht="14.4">
      <c r="T1469" s="25" t="s">
        <v>952</v>
      </c>
      <c r="U1469" s="25" t="s">
        <v>837</v>
      </c>
      <c r="V1469" s="25" t="s">
        <v>1002</v>
      </c>
      <c r="W1469" s="25" t="str">
        <f t="shared" si="41"/>
        <v>Round Cassette with Side &amp; Bottom ChannelsRevealUniline Remote Motor</v>
      </c>
      <c r="X1469" s="25">
        <v>10</v>
      </c>
      <c r="Y1469" s="25">
        <v>14</v>
      </c>
      <c r="Z1469" s="25">
        <v>14</v>
      </c>
      <c r="AA1469" s="25">
        <v>88</v>
      </c>
      <c r="AB1469" s="25" t="s">
        <v>821</v>
      </c>
      <c r="AC1469" s="25" t="s">
        <v>818</v>
      </c>
      <c r="AD1469" s="25" t="s">
        <v>821</v>
      </c>
      <c r="AE1469" s="25" t="s">
        <v>818</v>
      </c>
    </row>
    <row r="1470" spans="20:31" ht="14.4">
      <c r="T1470" s="25" t="s">
        <v>952</v>
      </c>
      <c r="U1470" s="25" t="s">
        <v>837</v>
      </c>
      <c r="V1470" s="25" t="s">
        <v>1005</v>
      </c>
      <c r="W1470" s="25" t="str">
        <f t="shared" si="41"/>
        <v>Round Cassette with Side &amp; Bottom ChannelsRevealUniline Cbus Motor</v>
      </c>
      <c r="X1470" s="25">
        <v>10</v>
      </c>
      <c r="Y1470" s="25">
        <v>14</v>
      </c>
      <c r="Z1470" s="25">
        <v>14</v>
      </c>
      <c r="AA1470" s="25">
        <v>88</v>
      </c>
      <c r="AB1470" s="25" t="s">
        <v>821</v>
      </c>
      <c r="AC1470" s="25" t="s">
        <v>818</v>
      </c>
      <c r="AD1470" s="25" t="s">
        <v>821</v>
      </c>
      <c r="AE1470" s="25" t="s">
        <v>818</v>
      </c>
    </row>
    <row r="1471" spans="20:31" ht="14.4">
      <c r="T1471" s="25" t="s">
        <v>952</v>
      </c>
      <c r="U1471" s="25" t="s">
        <v>837</v>
      </c>
      <c r="V1471" s="25" t="s">
        <v>981</v>
      </c>
      <c r="W1471" s="25" t="str">
        <f t="shared" si="41"/>
        <v>Round Cassette with Side &amp; Bottom ChannelsRevealNice Remote Motor</v>
      </c>
      <c r="X1471" s="25">
        <v>10</v>
      </c>
      <c r="Y1471" s="25">
        <v>14</v>
      </c>
      <c r="Z1471" s="25">
        <v>14</v>
      </c>
      <c r="AA1471" s="25">
        <v>88</v>
      </c>
      <c r="AB1471" s="25" t="s">
        <v>821</v>
      </c>
      <c r="AC1471" s="25" t="s">
        <v>818</v>
      </c>
      <c r="AD1471" s="25" t="s">
        <v>821</v>
      </c>
      <c r="AE1471" s="25" t="s">
        <v>818</v>
      </c>
    </row>
    <row r="1472" spans="20:31" ht="14.4">
      <c r="T1472" s="25" t="s">
        <v>952</v>
      </c>
      <c r="U1472" s="25" t="s">
        <v>837</v>
      </c>
      <c r="V1472" s="25" t="s">
        <v>976</v>
      </c>
      <c r="W1472" s="25" t="str">
        <f t="shared" si="41"/>
        <v>Round Cassette with Side &amp; Bottom ChannelsRevealNice CBus Motor</v>
      </c>
      <c r="X1472" s="25">
        <v>10</v>
      </c>
      <c r="Y1472" s="25">
        <v>14</v>
      </c>
      <c r="Z1472" s="25">
        <v>14</v>
      </c>
      <c r="AA1472" s="25">
        <v>88</v>
      </c>
      <c r="AB1472" s="25" t="s">
        <v>821</v>
      </c>
      <c r="AC1472" s="25" t="s">
        <v>818</v>
      </c>
      <c r="AD1472" s="25" t="s">
        <v>821</v>
      </c>
      <c r="AE1472" s="25" t="s">
        <v>818</v>
      </c>
    </row>
    <row r="1473" spans="20:31" ht="14.4">
      <c r="T1473" s="25" t="s">
        <v>952</v>
      </c>
      <c r="U1473" s="25" t="s">
        <v>837</v>
      </c>
      <c r="V1473" t="s">
        <v>1006</v>
      </c>
      <c r="W1473" s="25" t="str">
        <f t="shared" si="41"/>
        <v>Round Cassette with Side &amp; Bottom ChannelsRevealSunboss Chain Winder 38mm Tube</v>
      </c>
      <c r="X1473" s="25">
        <v>10</v>
      </c>
      <c r="Y1473" s="25">
        <v>14</v>
      </c>
      <c r="Z1473" s="25">
        <v>14</v>
      </c>
      <c r="AA1473" s="25">
        <v>88</v>
      </c>
      <c r="AB1473" s="25" t="s">
        <v>821</v>
      </c>
      <c r="AC1473" s="25" t="s">
        <v>818</v>
      </c>
      <c r="AD1473" s="25" t="s">
        <v>821</v>
      </c>
      <c r="AE1473" s="25" t="s">
        <v>818</v>
      </c>
    </row>
    <row r="1474" spans="20:31" ht="14.4">
      <c r="T1474" s="25" t="s">
        <v>952</v>
      </c>
      <c r="U1474" s="25" t="s">
        <v>837</v>
      </c>
      <c r="V1474" t="s">
        <v>1017</v>
      </c>
      <c r="W1474" s="25" t="str">
        <f t="shared" si="41"/>
        <v>Round Cassette with Side &amp; Bottom ChannelsRevealSunboss Chain Winder 43mm Tube</v>
      </c>
      <c r="X1474" s="25">
        <v>10</v>
      </c>
      <c r="Y1474" s="25">
        <v>14</v>
      </c>
      <c r="Z1474" s="25">
        <v>14</v>
      </c>
      <c r="AA1474" s="25">
        <v>88</v>
      </c>
      <c r="AB1474" s="25" t="s">
        <v>821</v>
      </c>
      <c r="AC1474" s="25" t="s">
        <v>818</v>
      </c>
      <c r="AD1474" s="25" t="s">
        <v>821</v>
      </c>
      <c r="AE1474" s="25" t="s">
        <v>818</v>
      </c>
    </row>
    <row r="1475" spans="20:31" ht="14.4">
      <c r="T1475" s="25" t="s">
        <v>952</v>
      </c>
      <c r="U1475" s="25" t="s">
        <v>837</v>
      </c>
      <c r="V1475" s="25" t="s">
        <v>1012</v>
      </c>
      <c r="W1475" s="25" t="str">
        <f t="shared" si="42" ref="W1475:W1538">CONCATENATE(T1475,U1475,V1475)</f>
        <v>Round Cassette with Side &amp; Bottom ChannelsRevealTBS Remote Motor</v>
      </c>
      <c r="X1475" s="25">
        <v>10</v>
      </c>
      <c r="Y1475" s="25">
        <v>14</v>
      </c>
      <c r="Z1475" s="25">
        <v>14</v>
      </c>
      <c r="AA1475" s="25">
        <v>88</v>
      </c>
      <c r="AB1475" s="25" t="s">
        <v>821</v>
      </c>
      <c r="AC1475" s="25" t="s">
        <v>818</v>
      </c>
      <c r="AD1475" s="25" t="s">
        <v>821</v>
      </c>
      <c r="AE1475" s="25" t="s">
        <v>818</v>
      </c>
    </row>
    <row r="1476" spans="20:31" ht="14.4">
      <c r="T1476" s="25" t="s">
        <v>952</v>
      </c>
      <c r="U1476" s="25" t="s">
        <v>837</v>
      </c>
      <c r="V1476" t="s">
        <v>1009</v>
      </c>
      <c r="W1476" s="25" t="str">
        <f t="shared" si="42"/>
        <v>Round Cassette with Side &amp; Bottom ChannelsRevealTBS Cbus Motor</v>
      </c>
      <c r="X1476" s="25">
        <v>10</v>
      </c>
      <c r="Y1476" s="25">
        <v>14</v>
      </c>
      <c r="Z1476" s="25">
        <v>14</v>
      </c>
      <c r="AA1476" s="25">
        <v>88</v>
      </c>
      <c r="AB1476" s="25" t="s">
        <v>821</v>
      </c>
      <c r="AC1476" s="25" t="s">
        <v>818</v>
      </c>
      <c r="AD1476" s="25" t="s">
        <v>821</v>
      </c>
      <c r="AE1476" s="25" t="s">
        <v>818</v>
      </c>
    </row>
    <row r="1477" spans="20:31" ht="14.4">
      <c r="T1477" s="25" t="s">
        <v>952</v>
      </c>
      <c r="U1477" s="25" t="s">
        <v>837</v>
      </c>
      <c r="V1477" t="s">
        <v>927</v>
      </c>
      <c r="W1477" s="25" t="str">
        <f t="shared" si="42"/>
        <v>Round Cassette with Side &amp; Bottom ChannelsRevealAcmeda External Motor</v>
      </c>
      <c r="X1477" s="25">
        <v>10</v>
      </c>
      <c r="Y1477" s="25">
        <v>14</v>
      </c>
      <c r="Z1477" s="25">
        <v>14</v>
      </c>
      <c r="AA1477" s="25">
        <v>88</v>
      </c>
      <c r="AB1477" s="25" t="s">
        <v>821</v>
      </c>
      <c r="AC1477" s="25" t="s">
        <v>818</v>
      </c>
      <c r="AD1477" s="25" t="s">
        <v>821</v>
      </c>
      <c r="AE1477" s="25" t="s">
        <v>818</v>
      </c>
    </row>
    <row r="1478" spans="20:31" ht="14.4">
      <c r="T1478" s="25" t="s">
        <v>952</v>
      </c>
      <c r="U1478" s="25" t="s">
        <v>837</v>
      </c>
      <c r="V1478" t="s">
        <v>918</v>
      </c>
      <c r="W1478" s="25" t="str">
        <f t="shared" si="42"/>
        <v>Round Cassette with Side &amp; Bottom ChannelsRevealAcmeda External 12v Motor</v>
      </c>
      <c r="X1478" s="25">
        <v>10</v>
      </c>
      <c r="Y1478" s="25">
        <v>14</v>
      </c>
      <c r="Z1478" s="25">
        <v>14</v>
      </c>
      <c r="AA1478" s="25">
        <v>88</v>
      </c>
      <c r="AB1478" s="25" t="s">
        <v>821</v>
      </c>
      <c r="AC1478" s="25" t="s">
        <v>818</v>
      </c>
      <c r="AD1478" s="25" t="s">
        <v>821</v>
      </c>
      <c r="AE1478" s="25" t="s">
        <v>818</v>
      </c>
    </row>
    <row r="1479" spans="20:31" ht="14.4">
      <c r="T1479" s="25" t="s">
        <v>952</v>
      </c>
      <c r="U1479" s="25" t="s">
        <v>837</v>
      </c>
      <c r="V1479" t="s">
        <v>979</v>
      </c>
      <c r="W1479" s="25" t="str">
        <f t="shared" si="42"/>
        <v>Round Cassette with Side &amp; Bottom ChannelsRevealSomfy External CBUS Motor</v>
      </c>
      <c r="X1479" s="25">
        <v>10</v>
      </c>
      <c r="Y1479" s="25">
        <v>14</v>
      </c>
      <c r="Z1479" s="25">
        <v>14</v>
      </c>
      <c r="AA1479" s="25">
        <v>88</v>
      </c>
      <c r="AB1479" s="25" t="s">
        <v>821</v>
      </c>
      <c r="AC1479" s="25" t="s">
        <v>818</v>
      </c>
      <c r="AD1479" s="25" t="s">
        <v>821</v>
      </c>
      <c r="AE1479" s="25" t="s">
        <v>818</v>
      </c>
    </row>
    <row r="1480" spans="20:31" ht="14.4">
      <c r="T1480" s="25" t="s">
        <v>952</v>
      </c>
      <c r="U1480" s="25" t="s">
        <v>837</v>
      </c>
      <c r="V1480" t="s">
        <v>983</v>
      </c>
      <c r="W1480" s="25" t="str">
        <f t="shared" si="42"/>
        <v>Round Cassette with Side &amp; Bottom ChannelsRevealSomfy External Remote Motor</v>
      </c>
      <c r="X1480" s="25">
        <v>10</v>
      </c>
      <c r="Y1480" s="25">
        <v>14</v>
      </c>
      <c r="Z1480" s="25">
        <v>14</v>
      </c>
      <c r="AA1480" s="25">
        <v>88</v>
      </c>
      <c r="AB1480" s="25" t="s">
        <v>821</v>
      </c>
      <c r="AC1480" s="25" t="s">
        <v>818</v>
      </c>
      <c r="AD1480" s="25" t="s">
        <v>821</v>
      </c>
      <c r="AE1480" s="25" t="s">
        <v>818</v>
      </c>
    </row>
    <row r="1481" spans="20:31" ht="14.4">
      <c r="T1481" s="25" t="s">
        <v>952</v>
      </c>
      <c r="U1481" s="25" t="s">
        <v>837</v>
      </c>
      <c r="V1481" t="s">
        <v>995</v>
      </c>
      <c r="W1481" s="25" t="str">
        <f t="shared" si="42"/>
        <v>Round Cassette with Side &amp; Bottom ChannelsRevealHD Somfy External CBUS Motor</v>
      </c>
      <c r="X1481" s="25">
        <v>10</v>
      </c>
      <c r="Y1481" s="25">
        <v>14</v>
      </c>
      <c r="Z1481" s="25">
        <v>14</v>
      </c>
      <c r="AA1481" s="25">
        <v>88</v>
      </c>
      <c r="AB1481" s="25" t="s">
        <v>821</v>
      </c>
      <c r="AC1481" s="25" t="s">
        <v>818</v>
      </c>
      <c r="AD1481" s="25" t="s">
        <v>821</v>
      </c>
      <c r="AE1481" s="25" t="s">
        <v>818</v>
      </c>
    </row>
    <row r="1482" spans="20:31" ht="14.4">
      <c r="T1482" s="25" t="s">
        <v>952</v>
      </c>
      <c r="U1482" s="25" t="s">
        <v>837</v>
      </c>
      <c r="V1482" t="s">
        <v>999</v>
      </c>
      <c r="W1482" s="25" t="str">
        <f t="shared" si="42"/>
        <v>Round Cassette with Side &amp; Bottom ChannelsRevealHD Somfy External Remote Motor</v>
      </c>
      <c r="X1482" s="25">
        <v>10</v>
      </c>
      <c r="Y1482" s="25">
        <v>14</v>
      </c>
      <c r="Z1482" s="25">
        <v>14</v>
      </c>
      <c r="AA1482" s="25">
        <v>88</v>
      </c>
      <c r="AB1482" s="25" t="s">
        <v>821</v>
      </c>
      <c r="AC1482" s="25" t="s">
        <v>818</v>
      </c>
      <c r="AD1482" s="25" t="s">
        <v>821</v>
      </c>
      <c r="AE1482" s="25" t="s">
        <v>818</v>
      </c>
    </row>
    <row r="1483" spans="20:31" ht="14.4">
      <c r="T1483" s="25" t="s">
        <v>861</v>
      </c>
      <c r="U1483" s="25" t="s">
        <v>816</v>
      </c>
      <c r="V1483" s="25" t="s">
        <v>823</v>
      </c>
      <c r="W1483" s="25" t="str">
        <f t="shared" si="42"/>
        <v>Shaped Upholstered PelmetFaceChain Winder</v>
      </c>
      <c r="X1483" s="25">
        <v>0</v>
      </c>
      <c r="Y1483" s="25" t="s">
        <v>824</v>
      </c>
      <c r="Z1483" s="25" t="s">
        <v>824</v>
      </c>
      <c r="AA1483" s="25" t="s">
        <v>824</v>
      </c>
      <c r="AB1483" s="25" t="s">
        <v>824</v>
      </c>
      <c r="AC1483" s="25" t="s">
        <v>821</v>
      </c>
      <c r="AD1483" s="25" t="s">
        <v>824</v>
      </c>
      <c r="AE1483" s="25" t="s">
        <v>824</v>
      </c>
    </row>
    <row r="1484" spans="20:31" ht="14.4">
      <c r="T1484" s="25" t="s">
        <v>861</v>
      </c>
      <c r="U1484" s="25" t="s">
        <v>816</v>
      </c>
      <c r="V1484" s="25" t="s">
        <v>841</v>
      </c>
      <c r="W1484" s="25" t="str">
        <f t="shared" si="42"/>
        <v>Shaped Upholstered PelmetFaceHD Chain Winder</v>
      </c>
      <c r="X1484" s="25">
        <v>0</v>
      </c>
      <c r="Y1484" s="25" t="s">
        <v>824</v>
      </c>
      <c r="Z1484" s="25" t="s">
        <v>824</v>
      </c>
      <c r="AA1484" s="25" t="s">
        <v>824</v>
      </c>
      <c r="AB1484" s="25" t="s">
        <v>824</v>
      </c>
      <c r="AC1484" s="25" t="s">
        <v>821</v>
      </c>
      <c r="AD1484" s="25" t="s">
        <v>824</v>
      </c>
      <c r="AE1484" s="25" t="s">
        <v>824</v>
      </c>
    </row>
    <row r="1485" spans="20:31" ht="14.4">
      <c r="T1485" s="25" t="s">
        <v>861</v>
      </c>
      <c r="U1485" s="25" t="s">
        <v>816</v>
      </c>
      <c r="V1485" s="25" t="s">
        <v>858</v>
      </c>
      <c r="W1485" s="25" t="str">
        <f t="shared" si="42"/>
        <v>Shaped Upholstered PelmetFaceChain Winder 60mm</v>
      </c>
      <c r="X1485" s="25">
        <v>0</v>
      </c>
      <c r="Y1485" s="25" t="s">
        <v>824</v>
      </c>
      <c r="Z1485" s="25" t="s">
        <v>824</v>
      </c>
      <c r="AA1485" s="25" t="s">
        <v>824</v>
      </c>
      <c r="AB1485" s="25" t="s">
        <v>824</v>
      </c>
      <c r="AC1485" s="25" t="s">
        <v>821</v>
      </c>
      <c r="AD1485" s="25" t="s">
        <v>824</v>
      </c>
      <c r="AE1485" s="25" t="s">
        <v>824</v>
      </c>
    </row>
    <row r="1486" spans="20:31" ht="14.4">
      <c r="T1486" s="25" t="s">
        <v>861</v>
      </c>
      <c r="U1486" s="25" t="s">
        <v>816</v>
      </c>
      <c r="V1486" s="25" t="s">
        <v>865</v>
      </c>
      <c r="W1486" s="25" t="str">
        <f t="shared" si="42"/>
        <v>Shaped Upholstered PelmetFaceChain Winder Fixed Guide</v>
      </c>
      <c r="X1486" s="25">
        <v>0</v>
      </c>
      <c r="Y1486" s="25" t="s">
        <v>824</v>
      </c>
      <c r="Z1486" s="25" t="s">
        <v>824</v>
      </c>
      <c r="AA1486" s="25" t="s">
        <v>824</v>
      </c>
      <c r="AB1486" s="25" t="s">
        <v>824</v>
      </c>
      <c r="AC1486" s="25" t="s">
        <v>821</v>
      </c>
      <c r="AD1486" s="25" t="s">
        <v>824</v>
      </c>
      <c r="AE1486" s="25" t="s">
        <v>824</v>
      </c>
    </row>
    <row r="1487" spans="20:31" ht="14.4">
      <c r="T1487" s="25" t="s">
        <v>861</v>
      </c>
      <c r="U1487" s="25" t="s">
        <v>816</v>
      </c>
      <c r="V1487" s="25" t="s">
        <v>181</v>
      </c>
      <c r="W1487" s="25" t="str">
        <f t="shared" si="42"/>
        <v>Shaped Upholstered PelmetFaceLinked</v>
      </c>
      <c r="X1487" s="25">
        <v>0</v>
      </c>
      <c r="Y1487" s="25" t="s">
        <v>824</v>
      </c>
      <c r="Z1487" s="25" t="s">
        <v>824</v>
      </c>
      <c r="AA1487" s="25" t="s">
        <v>824</v>
      </c>
      <c r="AB1487" s="25" t="s">
        <v>824</v>
      </c>
      <c r="AC1487" s="25" t="s">
        <v>821</v>
      </c>
      <c r="AD1487" s="25" t="s">
        <v>824</v>
      </c>
      <c r="AE1487" s="25" t="s">
        <v>824</v>
      </c>
    </row>
    <row r="1488" spans="20:31" ht="14.4">
      <c r="T1488" s="25" t="s">
        <v>861</v>
      </c>
      <c r="U1488" s="25" t="s">
        <v>816</v>
      </c>
      <c r="V1488" s="25" t="s">
        <v>898</v>
      </c>
      <c r="W1488" s="25" t="str">
        <f t="shared" si="42"/>
        <v>Shaped Upholstered PelmetFaceLinked - HD</v>
      </c>
      <c r="X1488" s="25">
        <v>0</v>
      </c>
      <c r="Y1488" s="25" t="s">
        <v>824</v>
      </c>
      <c r="Z1488" s="25" t="s">
        <v>824</v>
      </c>
      <c r="AA1488" s="25" t="s">
        <v>824</v>
      </c>
      <c r="AB1488" s="25" t="s">
        <v>824</v>
      </c>
      <c r="AC1488" s="25" t="s">
        <v>821</v>
      </c>
      <c r="AD1488" s="25" t="s">
        <v>824</v>
      </c>
      <c r="AE1488" s="25" t="s">
        <v>824</v>
      </c>
    </row>
    <row r="1489" spans="20:31" ht="14.4">
      <c r="T1489" s="25" t="s">
        <v>861</v>
      </c>
      <c r="U1489" s="25" t="s">
        <v>816</v>
      </c>
      <c r="V1489" s="25" t="s">
        <v>925</v>
      </c>
      <c r="W1489" s="25" t="str">
        <f t="shared" si="42"/>
        <v>Shaped Upholstered PelmetFaceLinked 60mm</v>
      </c>
      <c r="X1489" s="25">
        <v>0</v>
      </c>
      <c r="Y1489" s="25" t="s">
        <v>824</v>
      </c>
      <c r="Z1489" s="25" t="s">
        <v>824</v>
      </c>
      <c r="AA1489" s="25" t="s">
        <v>824</v>
      </c>
      <c r="AB1489" s="25" t="s">
        <v>824</v>
      </c>
      <c r="AC1489" s="25" t="s">
        <v>821</v>
      </c>
      <c r="AD1489" s="25" t="s">
        <v>824</v>
      </c>
      <c r="AE1489" s="25" t="s">
        <v>824</v>
      </c>
    </row>
    <row r="1490" spans="20:31" ht="14.4">
      <c r="T1490" s="25" t="s">
        <v>861</v>
      </c>
      <c r="U1490" s="25" t="s">
        <v>816</v>
      </c>
      <c r="V1490" s="25" t="s">
        <v>910</v>
      </c>
      <c r="W1490" s="25" t="str">
        <f t="shared" si="42"/>
        <v>Shaped Upholstered PelmetFaceStandard Spring</v>
      </c>
      <c r="X1490" s="25">
        <v>0</v>
      </c>
      <c r="Y1490" s="25" t="s">
        <v>824</v>
      </c>
      <c r="Z1490" s="25" t="s">
        <v>824</v>
      </c>
      <c r="AA1490" s="25" t="s">
        <v>824</v>
      </c>
      <c r="AB1490" s="25" t="s">
        <v>824</v>
      </c>
      <c r="AC1490" s="25" t="s">
        <v>821</v>
      </c>
      <c r="AD1490" s="25" t="s">
        <v>824</v>
      </c>
      <c r="AE1490" s="25" t="s">
        <v>824</v>
      </c>
    </row>
    <row r="1491" spans="20:31" ht="14.4">
      <c r="T1491" s="25" t="s">
        <v>861</v>
      </c>
      <c r="U1491" s="25" t="s">
        <v>816</v>
      </c>
      <c r="V1491" s="25" t="s">
        <v>920</v>
      </c>
      <c r="W1491" s="25" t="str">
        <f t="shared" si="42"/>
        <v>Shaped Upholstered PelmetFaceSmall Spring</v>
      </c>
      <c r="X1491" s="25">
        <v>0</v>
      </c>
      <c r="Y1491" s="25" t="s">
        <v>824</v>
      </c>
      <c r="Z1491" s="25" t="s">
        <v>824</v>
      </c>
      <c r="AA1491" s="25" t="s">
        <v>824</v>
      </c>
      <c r="AB1491" s="25" t="s">
        <v>824</v>
      </c>
      <c r="AC1491" s="25" t="s">
        <v>821</v>
      </c>
      <c r="AD1491" s="25" t="s">
        <v>824</v>
      </c>
      <c r="AE1491" s="25" t="s">
        <v>824</v>
      </c>
    </row>
    <row r="1492" spans="20:31" ht="14.4">
      <c r="T1492" s="25" t="s">
        <v>861</v>
      </c>
      <c r="U1492" s="25" t="s">
        <v>816</v>
      </c>
      <c r="V1492" s="25" t="s">
        <v>929</v>
      </c>
      <c r="W1492" s="25" t="str">
        <f t="shared" si="42"/>
        <v>Shaped Upholstered PelmetFaceUniline Spring (Old Style)</v>
      </c>
      <c r="X1492" s="25">
        <v>0</v>
      </c>
      <c r="Y1492" s="25" t="s">
        <v>824</v>
      </c>
      <c r="Z1492" s="25" t="s">
        <v>824</v>
      </c>
      <c r="AA1492" s="25" t="s">
        <v>824</v>
      </c>
      <c r="AB1492" s="25" t="s">
        <v>824</v>
      </c>
      <c r="AC1492" s="25" t="s">
        <v>821</v>
      </c>
      <c r="AD1492" s="25" t="s">
        <v>824</v>
      </c>
      <c r="AE1492" s="25" t="s">
        <v>824</v>
      </c>
    </row>
    <row r="1493" spans="20:31" ht="14.4">
      <c r="T1493" s="25" t="s">
        <v>861</v>
      </c>
      <c r="U1493" s="25" t="s">
        <v>816</v>
      </c>
      <c r="V1493" s="25" t="s">
        <v>935</v>
      </c>
      <c r="W1493" s="25" t="str">
        <f t="shared" si="42"/>
        <v>Shaped Upholstered PelmetFaceBecker Remote Motor</v>
      </c>
      <c r="X1493" s="25">
        <v>0</v>
      </c>
      <c r="Y1493" s="25" t="s">
        <v>824</v>
      </c>
      <c r="Z1493" s="25" t="s">
        <v>824</v>
      </c>
      <c r="AA1493" s="25" t="s">
        <v>824</v>
      </c>
      <c r="AB1493" s="25" t="s">
        <v>824</v>
      </c>
      <c r="AC1493" s="25" t="s">
        <v>821</v>
      </c>
      <c r="AD1493" s="25" t="s">
        <v>824</v>
      </c>
      <c r="AE1493" s="25" t="s">
        <v>824</v>
      </c>
    </row>
    <row r="1494" spans="20:31" ht="14.4">
      <c r="T1494" s="25" t="s">
        <v>861</v>
      </c>
      <c r="U1494" s="25" t="s">
        <v>816</v>
      </c>
      <c r="V1494" s="25" t="s">
        <v>939</v>
      </c>
      <c r="W1494" s="25" t="str">
        <f t="shared" si="42"/>
        <v>Shaped Upholstered PelmetFaceBecker CBUS Motor</v>
      </c>
      <c r="X1494" s="25">
        <v>0</v>
      </c>
      <c r="Y1494" s="25" t="s">
        <v>824</v>
      </c>
      <c r="Z1494" s="25" t="s">
        <v>824</v>
      </c>
      <c r="AA1494" s="25" t="s">
        <v>824</v>
      </c>
      <c r="AB1494" s="25" t="s">
        <v>824</v>
      </c>
      <c r="AC1494" s="25" t="s">
        <v>821</v>
      </c>
      <c r="AD1494" s="25" t="s">
        <v>824</v>
      </c>
      <c r="AE1494" s="25" t="s">
        <v>824</v>
      </c>
    </row>
    <row r="1495" spans="20:31" ht="14.4">
      <c r="T1495" s="25" t="s">
        <v>861</v>
      </c>
      <c r="U1495" s="25" t="s">
        <v>816</v>
      </c>
      <c r="V1495" s="25" t="s">
        <v>946</v>
      </c>
      <c r="W1495" s="25" t="str">
        <f t="shared" si="42"/>
        <v>Shaped Upholstered PelmetFaceBecker External Remote Motor</v>
      </c>
      <c r="X1495" s="25">
        <v>0</v>
      </c>
      <c r="Y1495" s="25" t="s">
        <v>824</v>
      </c>
      <c r="Z1495" s="25" t="s">
        <v>824</v>
      </c>
      <c r="AA1495" s="25" t="s">
        <v>824</v>
      </c>
      <c r="AB1495" s="25" t="s">
        <v>824</v>
      </c>
      <c r="AC1495" s="25" t="s">
        <v>821</v>
      </c>
      <c r="AD1495" s="25" t="s">
        <v>824</v>
      </c>
      <c r="AE1495" s="25" t="s">
        <v>824</v>
      </c>
    </row>
    <row r="1496" spans="20:31" ht="14.4">
      <c r="T1496" s="25" t="s">
        <v>861</v>
      </c>
      <c r="U1496" s="25" t="s">
        <v>816</v>
      </c>
      <c r="V1496" s="25" t="s">
        <v>951</v>
      </c>
      <c r="W1496" s="25" t="str">
        <f t="shared" si="42"/>
        <v>Shaped Upholstered PelmetFaceBecker External CBUS Motor</v>
      </c>
      <c r="X1496" s="25">
        <v>0</v>
      </c>
      <c r="Y1496" s="25" t="s">
        <v>824</v>
      </c>
      <c r="Z1496" s="25" t="s">
        <v>824</v>
      </c>
      <c r="AA1496" s="25" t="s">
        <v>824</v>
      </c>
      <c r="AB1496" s="25" t="s">
        <v>824</v>
      </c>
      <c r="AC1496" s="25" t="s">
        <v>821</v>
      </c>
      <c r="AD1496" s="25" t="s">
        <v>824</v>
      </c>
      <c r="AE1496" s="25" t="s">
        <v>824</v>
      </c>
    </row>
    <row r="1497" spans="20:31" ht="14.4">
      <c r="T1497" s="25" t="s">
        <v>861</v>
      </c>
      <c r="U1497" s="25" t="s">
        <v>816</v>
      </c>
      <c r="V1497" s="25" t="s">
        <v>838</v>
      </c>
      <c r="W1497" s="25" t="str">
        <f t="shared" si="42"/>
        <v>Shaped Upholstered PelmetFace1.1nm 12v Acmeda Motor</v>
      </c>
      <c r="X1497" s="25">
        <v>0</v>
      </c>
      <c r="Y1497" s="25" t="s">
        <v>824</v>
      </c>
      <c r="Z1497" s="25" t="s">
        <v>824</v>
      </c>
      <c r="AA1497" s="25" t="s">
        <v>824</v>
      </c>
      <c r="AB1497" s="25" t="s">
        <v>824</v>
      </c>
      <c r="AC1497" s="25" t="s">
        <v>821</v>
      </c>
      <c r="AD1497" s="25" t="s">
        <v>824</v>
      </c>
      <c r="AE1497" s="25" t="s">
        <v>824</v>
      </c>
    </row>
    <row r="1498" spans="20:31" ht="14.4">
      <c r="T1498" s="25" t="s">
        <v>861</v>
      </c>
      <c r="U1498" s="25" t="s">
        <v>816</v>
      </c>
      <c r="V1498" t="s">
        <v>882</v>
      </c>
      <c r="W1498" s="25" t="str">
        <f t="shared" si="42"/>
        <v>Shaped Upholstered PelmetFace2nm 12v Acmeda Motor</v>
      </c>
      <c r="X1498" s="25">
        <v>0</v>
      </c>
      <c r="Y1498" s="25" t="s">
        <v>824</v>
      </c>
      <c r="Z1498" s="25" t="s">
        <v>824</v>
      </c>
      <c r="AA1498" s="25" t="s">
        <v>824</v>
      </c>
      <c r="AB1498" s="25" t="s">
        <v>824</v>
      </c>
      <c r="AC1498" s="25" t="s">
        <v>821</v>
      </c>
      <c r="AD1498" s="25" t="s">
        <v>824</v>
      </c>
      <c r="AE1498" s="25" t="s">
        <v>824</v>
      </c>
    </row>
    <row r="1499" spans="20:31" ht="14.4">
      <c r="T1499" s="25" t="s">
        <v>861</v>
      </c>
      <c r="U1499" s="25" t="s">
        <v>816</v>
      </c>
      <c r="V1499" t="s">
        <v>896</v>
      </c>
      <c r="W1499" s="25" t="str">
        <f t="shared" si="42"/>
        <v>Shaped Upholstered PelmetFaceAcmeda 12v 6nm Motor</v>
      </c>
      <c r="X1499" s="25">
        <v>0</v>
      </c>
      <c r="Y1499" s="25" t="s">
        <v>824</v>
      </c>
      <c r="Z1499" s="25" t="s">
        <v>824</v>
      </c>
      <c r="AA1499" s="25" t="s">
        <v>824</v>
      </c>
      <c r="AB1499" s="25" t="s">
        <v>824</v>
      </c>
      <c r="AC1499" s="25" t="s">
        <v>821</v>
      </c>
      <c r="AD1499" s="25" t="s">
        <v>824</v>
      </c>
      <c r="AE1499" s="25" t="s">
        <v>824</v>
      </c>
    </row>
    <row r="1500" spans="20:31" ht="14.4">
      <c r="T1500" s="25" t="s">
        <v>861</v>
      </c>
      <c r="U1500" s="25" t="s">
        <v>816</v>
      </c>
      <c r="V1500" t="s">
        <v>855</v>
      </c>
      <c r="W1500" s="25" t="str">
        <f t="shared" si="42"/>
        <v>Shaped Upholstered PelmetFace0.7nm 12v Acmeda Motor</v>
      </c>
      <c r="X1500" s="25">
        <v>0</v>
      </c>
      <c r="Y1500" s="25" t="s">
        <v>824</v>
      </c>
      <c r="Z1500" s="25" t="s">
        <v>824</v>
      </c>
      <c r="AA1500" s="25" t="s">
        <v>824</v>
      </c>
      <c r="AB1500" s="25" t="s">
        <v>824</v>
      </c>
      <c r="AC1500" s="25" t="s">
        <v>821</v>
      </c>
      <c r="AD1500" s="25" t="s">
        <v>824</v>
      </c>
      <c r="AE1500" s="25" t="s">
        <v>824</v>
      </c>
    </row>
    <row r="1501" spans="20:31" ht="14.4">
      <c r="T1501" s="25" t="s">
        <v>861</v>
      </c>
      <c r="U1501" s="25" t="s">
        <v>816</v>
      </c>
      <c r="V1501" s="25" t="s">
        <v>849</v>
      </c>
      <c r="W1501" s="25" t="str">
        <f t="shared" si="42"/>
        <v>Shaped Upholstered PelmetFace1.1nm 12v Acmeda DCRF Motor with External Battery</v>
      </c>
      <c r="X1501" s="25">
        <v>0</v>
      </c>
      <c r="Y1501" s="25" t="s">
        <v>824</v>
      </c>
      <c r="Z1501" s="25" t="s">
        <v>824</v>
      </c>
      <c r="AA1501" s="25" t="s">
        <v>824</v>
      </c>
      <c r="AB1501" s="25" t="s">
        <v>824</v>
      </c>
      <c r="AC1501" s="25" t="s">
        <v>821</v>
      </c>
      <c r="AD1501" s="25" t="s">
        <v>824</v>
      </c>
      <c r="AE1501" s="25" t="s">
        <v>824</v>
      </c>
    </row>
    <row r="1502" spans="20:31" ht="14.4">
      <c r="T1502" s="25" t="s">
        <v>861</v>
      </c>
      <c r="U1502" s="25" t="s">
        <v>816</v>
      </c>
      <c r="V1502" s="25" t="s">
        <v>817</v>
      </c>
      <c r="W1502" s="25" t="str">
        <f t="shared" si="42"/>
        <v>Shaped Upholstered PelmetFace1.1nm 12v Acmeda DCRF Motor</v>
      </c>
      <c r="X1502" s="25">
        <v>0</v>
      </c>
      <c r="Y1502" s="25" t="s">
        <v>824</v>
      </c>
      <c r="Z1502" s="25" t="s">
        <v>824</v>
      </c>
      <c r="AA1502" s="25" t="s">
        <v>824</v>
      </c>
      <c r="AB1502" s="25" t="s">
        <v>824</v>
      </c>
      <c r="AC1502" s="25" t="s">
        <v>821</v>
      </c>
      <c r="AD1502" s="25" t="s">
        <v>824</v>
      </c>
      <c r="AE1502" s="25" t="s">
        <v>824</v>
      </c>
    </row>
    <row r="1503" spans="20:31" ht="14.4">
      <c r="T1503" s="25" t="s">
        <v>861</v>
      </c>
      <c r="U1503" s="25" t="s">
        <v>816</v>
      </c>
      <c r="V1503" s="25" t="s">
        <v>868</v>
      </c>
      <c r="W1503" s="25" t="str">
        <f t="shared" si="42"/>
        <v>Shaped Upholstered PelmetFace2nm 12v Acmeda DCRF Motor</v>
      </c>
      <c r="X1503" s="25">
        <v>0</v>
      </c>
      <c r="Y1503" s="25" t="s">
        <v>824</v>
      </c>
      <c r="Z1503" s="25" t="s">
        <v>824</v>
      </c>
      <c r="AA1503" s="25" t="s">
        <v>824</v>
      </c>
      <c r="AB1503" s="25" t="s">
        <v>824</v>
      </c>
      <c r="AC1503" s="25" t="s">
        <v>821</v>
      </c>
      <c r="AD1503" s="25" t="s">
        <v>824</v>
      </c>
      <c r="AE1503" s="25" t="s">
        <v>824</v>
      </c>
    </row>
    <row r="1504" spans="20:31" ht="14.4">
      <c r="T1504" s="25" t="s">
        <v>861</v>
      </c>
      <c r="U1504" s="25" t="s">
        <v>816</v>
      </c>
      <c r="V1504" t="s">
        <v>973</v>
      </c>
      <c r="W1504" s="25" t="str">
        <f t="shared" si="42"/>
        <v>Shaped Upholstered PelmetFaceSomfy Remote Sonesse Motor</v>
      </c>
      <c r="X1504" s="25">
        <v>0</v>
      </c>
      <c r="Y1504" s="25" t="s">
        <v>824</v>
      </c>
      <c r="Z1504" s="25" t="s">
        <v>824</v>
      </c>
      <c r="AA1504" s="25" t="s">
        <v>824</v>
      </c>
      <c r="AB1504" s="25" t="s">
        <v>824</v>
      </c>
      <c r="AC1504" s="25" t="s">
        <v>821</v>
      </c>
      <c r="AD1504" s="25" t="s">
        <v>824</v>
      </c>
      <c r="AE1504" s="25" t="s">
        <v>824</v>
      </c>
    </row>
    <row r="1505" spans="20:31" ht="14.4">
      <c r="T1505" s="25" t="s">
        <v>861</v>
      </c>
      <c r="U1505" s="25" t="s">
        <v>816</v>
      </c>
      <c r="V1505" t="s">
        <v>637</v>
      </c>
      <c r="W1505" s="25" t="str">
        <f t="shared" si="42"/>
        <v>Shaped Upholstered PelmetFaceSomfy 12v Remote Sonesse Motor</v>
      </c>
      <c r="X1505" s="25">
        <v>0</v>
      </c>
      <c r="Y1505" s="25" t="s">
        <v>824</v>
      </c>
      <c r="Z1505" s="25" t="s">
        <v>824</v>
      </c>
      <c r="AA1505" s="25" t="s">
        <v>824</v>
      </c>
      <c r="AB1505" s="25" t="s">
        <v>824</v>
      </c>
      <c r="AC1505" s="25" t="s">
        <v>821</v>
      </c>
      <c r="AD1505" s="25" t="s">
        <v>824</v>
      </c>
      <c r="AE1505" s="25" t="s">
        <v>824</v>
      </c>
    </row>
    <row r="1506" spans="20:31" ht="14.4">
      <c r="T1506" s="25" t="s">
        <v>861</v>
      </c>
      <c r="U1506" s="25" t="s">
        <v>816</v>
      </c>
      <c r="V1506" s="25" t="s">
        <v>974</v>
      </c>
      <c r="W1506" s="25" t="str">
        <f t="shared" si="42"/>
        <v>Shaped Upholstered PelmetFaceSomfy CBUS Motor</v>
      </c>
      <c r="X1506" s="25">
        <v>0</v>
      </c>
      <c r="Y1506" s="25" t="s">
        <v>824</v>
      </c>
      <c r="Z1506" s="25" t="s">
        <v>824</v>
      </c>
      <c r="AA1506" s="25" t="s">
        <v>824</v>
      </c>
      <c r="AB1506" s="25" t="s">
        <v>824</v>
      </c>
      <c r="AC1506" s="25" t="s">
        <v>821</v>
      </c>
      <c r="AD1506" s="25" t="s">
        <v>824</v>
      </c>
      <c r="AE1506" s="25" t="s">
        <v>824</v>
      </c>
    </row>
    <row r="1507" spans="20:31" ht="14.4">
      <c r="T1507" s="25" t="s">
        <v>861</v>
      </c>
      <c r="U1507" s="25" t="s">
        <v>816</v>
      </c>
      <c r="V1507" t="s">
        <v>986</v>
      </c>
      <c r="W1507" s="25" t="str">
        <f t="shared" si="42"/>
        <v>Shaped Upholstered PelmetFaceHD Somfy Remote Sonesse Motor</v>
      </c>
      <c r="X1507" s="25">
        <v>0</v>
      </c>
      <c r="Y1507" s="25" t="s">
        <v>824</v>
      </c>
      <c r="Z1507" s="25" t="s">
        <v>824</v>
      </c>
      <c r="AA1507" s="25" t="s">
        <v>824</v>
      </c>
      <c r="AB1507" s="25" t="s">
        <v>824</v>
      </c>
      <c r="AC1507" s="25" t="s">
        <v>821</v>
      </c>
      <c r="AD1507" s="25" t="s">
        <v>824</v>
      </c>
      <c r="AE1507" s="25" t="s">
        <v>824</v>
      </c>
    </row>
    <row r="1508" spans="20:31" ht="14.4">
      <c r="T1508" s="25" t="s">
        <v>861</v>
      </c>
      <c r="U1508" s="25" t="s">
        <v>816</v>
      </c>
      <c r="V1508" t="s">
        <v>989</v>
      </c>
      <c r="W1508" s="25" t="str">
        <f t="shared" si="42"/>
        <v>Shaped Upholstered PelmetFaceHD Somfy 12v Remote Sonesse Motor</v>
      </c>
      <c r="X1508" s="25">
        <v>0</v>
      </c>
      <c r="Y1508" s="25" t="s">
        <v>824</v>
      </c>
      <c r="Z1508" s="25" t="s">
        <v>824</v>
      </c>
      <c r="AA1508" s="25" t="s">
        <v>824</v>
      </c>
      <c r="AB1508" s="25" t="s">
        <v>824</v>
      </c>
      <c r="AC1508" s="25" t="s">
        <v>821</v>
      </c>
      <c r="AD1508" s="25" t="s">
        <v>824</v>
      </c>
      <c r="AE1508" s="25" t="s">
        <v>824</v>
      </c>
    </row>
    <row r="1509" spans="20:31" ht="14.4">
      <c r="T1509" s="25" t="s">
        <v>861</v>
      </c>
      <c r="U1509" s="25" t="s">
        <v>816</v>
      </c>
      <c r="V1509" s="25" t="s">
        <v>992</v>
      </c>
      <c r="W1509" s="25" t="str">
        <f t="shared" si="42"/>
        <v>Shaped Upholstered PelmetFaceHD Somfy CBUS Motor</v>
      </c>
      <c r="X1509" s="25">
        <v>0</v>
      </c>
      <c r="Y1509" s="25" t="s">
        <v>824</v>
      </c>
      <c r="Z1509" s="25" t="s">
        <v>824</v>
      </c>
      <c r="AA1509" s="25" t="s">
        <v>824</v>
      </c>
      <c r="AB1509" s="25" t="s">
        <v>824</v>
      </c>
      <c r="AC1509" s="25" t="s">
        <v>821</v>
      </c>
      <c r="AD1509" s="25" t="s">
        <v>824</v>
      </c>
      <c r="AE1509" s="25" t="s">
        <v>824</v>
      </c>
    </row>
    <row r="1510" spans="20:31" ht="14.4">
      <c r="T1510" s="25" t="s">
        <v>861</v>
      </c>
      <c r="U1510" s="25" t="s">
        <v>816</v>
      </c>
      <c r="V1510" s="25" t="s">
        <v>625</v>
      </c>
      <c r="W1510" s="25" t="str">
        <f t="shared" si="42"/>
        <v>Shaped Upholstered PelmetFaceAcmeda E6 Motor</v>
      </c>
      <c r="X1510" s="25">
        <v>0</v>
      </c>
      <c r="Y1510" s="25" t="s">
        <v>824</v>
      </c>
      <c r="Z1510" s="25" t="s">
        <v>824</v>
      </c>
      <c r="AA1510" s="25" t="s">
        <v>824</v>
      </c>
      <c r="AB1510" s="25" t="s">
        <v>824</v>
      </c>
      <c r="AC1510" s="25" t="s">
        <v>821</v>
      </c>
      <c r="AD1510" s="25" t="s">
        <v>824</v>
      </c>
      <c r="AE1510" s="25" t="s">
        <v>824</v>
      </c>
    </row>
    <row r="1511" spans="20:31" ht="14.4">
      <c r="T1511" s="25" t="s">
        <v>861</v>
      </c>
      <c r="U1511" s="25" t="s">
        <v>816</v>
      </c>
      <c r="V1511" s="25" t="s">
        <v>626</v>
      </c>
      <c r="W1511" s="25" t="str">
        <f t="shared" si="42"/>
        <v>Shaped Upholstered PelmetFaceAcmeda M6 Motor</v>
      </c>
      <c r="X1511" s="25">
        <v>0</v>
      </c>
      <c r="Y1511" s="25" t="s">
        <v>824</v>
      </c>
      <c r="Z1511" s="25" t="s">
        <v>824</v>
      </c>
      <c r="AA1511" s="25" t="s">
        <v>824</v>
      </c>
      <c r="AB1511" s="25" t="s">
        <v>824</v>
      </c>
      <c r="AC1511" s="25" t="s">
        <v>821</v>
      </c>
      <c r="AD1511" s="25" t="s">
        <v>824</v>
      </c>
      <c r="AE1511" s="25" t="s">
        <v>824</v>
      </c>
    </row>
    <row r="1512" spans="20:31" ht="14.4">
      <c r="T1512" s="25" t="s">
        <v>861</v>
      </c>
      <c r="U1512" s="25" t="s">
        <v>816</v>
      </c>
      <c r="V1512" s="25" t="s">
        <v>1002</v>
      </c>
      <c r="W1512" s="25" t="str">
        <f t="shared" si="42"/>
        <v>Shaped Upholstered PelmetFaceUniline Remote Motor</v>
      </c>
      <c r="X1512" s="25">
        <v>0</v>
      </c>
      <c r="Y1512" s="25" t="s">
        <v>824</v>
      </c>
      <c r="Z1512" s="25" t="s">
        <v>824</v>
      </c>
      <c r="AA1512" s="25" t="s">
        <v>824</v>
      </c>
      <c r="AB1512" s="25" t="s">
        <v>824</v>
      </c>
      <c r="AC1512" s="25" t="s">
        <v>821</v>
      </c>
      <c r="AD1512" s="25" t="s">
        <v>824</v>
      </c>
      <c r="AE1512" s="25" t="s">
        <v>824</v>
      </c>
    </row>
    <row r="1513" spans="20:31" ht="14.4">
      <c r="T1513" s="25" t="s">
        <v>861</v>
      </c>
      <c r="U1513" s="25" t="s">
        <v>816</v>
      </c>
      <c r="V1513" s="25" t="s">
        <v>1005</v>
      </c>
      <c r="W1513" s="25" t="str">
        <f t="shared" si="42"/>
        <v>Shaped Upholstered PelmetFaceUniline Cbus Motor</v>
      </c>
      <c r="X1513" s="25">
        <v>0</v>
      </c>
      <c r="Y1513" s="25" t="s">
        <v>824</v>
      </c>
      <c r="Z1513" s="25" t="s">
        <v>824</v>
      </c>
      <c r="AA1513" s="25" t="s">
        <v>824</v>
      </c>
      <c r="AB1513" s="25" t="s">
        <v>824</v>
      </c>
      <c r="AC1513" s="25" t="s">
        <v>821</v>
      </c>
      <c r="AD1513" s="25" t="s">
        <v>824</v>
      </c>
      <c r="AE1513" s="25" t="s">
        <v>824</v>
      </c>
    </row>
    <row r="1514" spans="20:31" ht="14.4">
      <c r="T1514" s="25" t="s">
        <v>861</v>
      </c>
      <c r="U1514" s="25" t="s">
        <v>816</v>
      </c>
      <c r="V1514" s="25" t="s">
        <v>981</v>
      </c>
      <c r="W1514" s="25" t="str">
        <f t="shared" si="42"/>
        <v>Shaped Upholstered PelmetFaceNice Remote Motor</v>
      </c>
      <c r="X1514" s="25">
        <v>0</v>
      </c>
      <c r="Y1514" s="25" t="s">
        <v>824</v>
      </c>
      <c r="Z1514" s="25" t="s">
        <v>824</v>
      </c>
      <c r="AA1514" s="25" t="s">
        <v>824</v>
      </c>
      <c r="AB1514" s="25" t="s">
        <v>824</v>
      </c>
      <c r="AC1514" s="25" t="s">
        <v>821</v>
      </c>
      <c r="AD1514" s="25" t="s">
        <v>824</v>
      </c>
      <c r="AE1514" s="25" t="s">
        <v>824</v>
      </c>
    </row>
    <row r="1515" spans="20:31" ht="14.4">
      <c r="T1515" s="25" t="s">
        <v>861</v>
      </c>
      <c r="U1515" s="25" t="s">
        <v>816</v>
      </c>
      <c r="V1515" s="25" t="s">
        <v>976</v>
      </c>
      <c r="W1515" s="25" t="str">
        <f t="shared" si="42"/>
        <v>Shaped Upholstered PelmetFaceNice CBus Motor</v>
      </c>
      <c r="X1515" s="25">
        <v>0</v>
      </c>
      <c r="Y1515" s="25" t="s">
        <v>824</v>
      </c>
      <c r="Z1515" s="25" t="s">
        <v>824</v>
      </c>
      <c r="AA1515" s="25" t="s">
        <v>824</v>
      </c>
      <c r="AB1515" s="25" t="s">
        <v>824</v>
      </c>
      <c r="AC1515" s="25" t="s">
        <v>821</v>
      </c>
      <c r="AD1515" s="25" t="s">
        <v>824</v>
      </c>
      <c r="AE1515" s="25" t="s">
        <v>824</v>
      </c>
    </row>
    <row r="1516" spans="20:31" ht="14.4">
      <c r="T1516" s="25" t="s">
        <v>861</v>
      </c>
      <c r="U1516" s="25" t="s">
        <v>816</v>
      </c>
      <c r="V1516" t="s">
        <v>1006</v>
      </c>
      <c r="W1516" s="25" t="str">
        <f t="shared" si="42"/>
        <v>Shaped Upholstered PelmetFaceSunboss Chain Winder 38mm Tube</v>
      </c>
      <c r="X1516" s="25">
        <v>0</v>
      </c>
      <c r="Y1516" s="25" t="s">
        <v>824</v>
      </c>
      <c r="Z1516" s="25" t="s">
        <v>824</v>
      </c>
      <c r="AA1516" s="25" t="s">
        <v>824</v>
      </c>
      <c r="AB1516" s="25" t="s">
        <v>824</v>
      </c>
      <c r="AC1516" s="25" t="s">
        <v>821</v>
      </c>
      <c r="AD1516" s="25" t="s">
        <v>824</v>
      </c>
      <c r="AE1516" s="25" t="s">
        <v>824</v>
      </c>
    </row>
    <row r="1517" spans="20:31" ht="14.4">
      <c r="T1517" s="25" t="s">
        <v>861</v>
      </c>
      <c r="U1517" s="25" t="s">
        <v>816</v>
      </c>
      <c r="V1517" t="s">
        <v>1017</v>
      </c>
      <c r="W1517" s="25" t="str">
        <f t="shared" si="42"/>
        <v>Shaped Upholstered PelmetFaceSunboss Chain Winder 43mm Tube</v>
      </c>
      <c r="X1517" s="25">
        <v>0</v>
      </c>
      <c r="Y1517" s="25" t="s">
        <v>824</v>
      </c>
      <c r="Z1517" s="25" t="s">
        <v>824</v>
      </c>
      <c r="AA1517" s="25" t="s">
        <v>824</v>
      </c>
      <c r="AB1517" s="25" t="s">
        <v>824</v>
      </c>
      <c r="AC1517" s="25" t="s">
        <v>821</v>
      </c>
      <c r="AD1517" s="25" t="s">
        <v>824</v>
      </c>
      <c r="AE1517" s="25" t="s">
        <v>824</v>
      </c>
    </row>
    <row r="1518" spans="20:31" ht="14.4">
      <c r="T1518" s="25" t="s">
        <v>861</v>
      </c>
      <c r="U1518" s="25" t="s">
        <v>816</v>
      </c>
      <c r="V1518" s="25" t="s">
        <v>1012</v>
      </c>
      <c r="W1518" s="25" t="str">
        <f t="shared" si="42"/>
        <v>Shaped Upholstered PelmetFaceTBS Remote Motor</v>
      </c>
      <c r="X1518" s="25">
        <v>0</v>
      </c>
      <c r="Y1518" s="25" t="s">
        <v>824</v>
      </c>
      <c r="Z1518" s="25" t="s">
        <v>824</v>
      </c>
      <c r="AA1518" s="25" t="s">
        <v>824</v>
      </c>
      <c r="AB1518" s="25" t="s">
        <v>824</v>
      </c>
      <c r="AC1518" s="25" t="s">
        <v>821</v>
      </c>
      <c r="AD1518" s="25" t="s">
        <v>824</v>
      </c>
      <c r="AE1518" s="25" t="s">
        <v>824</v>
      </c>
    </row>
    <row r="1519" spans="20:31" ht="14.4">
      <c r="T1519" s="25" t="s">
        <v>861</v>
      </c>
      <c r="U1519" s="25" t="s">
        <v>816</v>
      </c>
      <c r="V1519" t="s">
        <v>1009</v>
      </c>
      <c r="W1519" s="25" t="str">
        <f t="shared" si="42"/>
        <v>Shaped Upholstered PelmetFaceTBS Cbus Motor</v>
      </c>
      <c r="X1519" s="25">
        <v>0</v>
      </c>
      <c r="Y1519" s="25" t="s">
        <v>824</v>
      </c>
      <c r="Z1519" s="25" t="s">
        <v>824</v>
      </c>
      <c r="AA1519" s="25" t="s">
        <v>824</v>
      </c>
      <c r="AB1519" s="25" t="s">
        <v>824</v>
      </c>
      <c r="AC1519" s="25" t="s">
        <v>821</v>
      </c>
      <c r="AD1519" s="25" t="s">
        <v>824</v>
      </c>
      <c r="AE1519" s="25" t="s">
        <v>824</v>
      </c>
    </row>
    <row r="1520" spans="20:31" ht="14.4">
      <c r="T1520" s="25" t="s">
        <v>861</v>
      </c>
      <c r="U1520" s="25" t="s">
        <v>816</v>
      </c>
      <c r="V1520" t="s">
        <v>927</v>
      </c>
      <c r="W1520" s="25" t="str">
        <f t="shared" si="42"/>
        <v>Shaped Upholstered PelmetFaceAcmeda External Motor</v>
      </c>
      <c r="X1520" s="25">
        <v>0</v>
      </c>
      <c r="Y1520" s="25" t="s">
        <v>824</v>
      </c>
      <c r="Z1520" s="25" t="s">
        <v>824</v>
      </c>
      <c r="AA1520" s="25" t="s">
        <v>824</v>
      </c>
      <c r="AB1520" s="25" t="s">
        <v>824</v>
      </c>
      <c r="AC1520" s="25" t="s">
        <v>821</v>
      </c>
      <c r="AD1520" s="25" t="s">
        <v>824</v>
      </c>
      <c r="AE1520" s="25" t="s">
        <v>824</v>
      </c>
    </row>
    <row r="1521" spans="20:31" ht="14.4">
      <c r="T1521" s="25" t="s">
        <v>861</v>
      </c>
      <c r="U1521" s="25" t="s">
        <v>816</v>
      </c>
      <c r="V1521" t="s">
        <v>918</v>
      </c>
      <c r="W1521" s="25" t="str">
        <f t="shared" si="42"/>
        <v>Shaped Upholstered PelmetFaceAcmeda External 12v Motor</v>
      </c>
      <c r="X1521" s="25">
        <v>0</v>
      </c>
      <c r="Y1521" s="25" t="s">
        <v>824</v>
      </c>
      <c r="Z1521" s="25" t="s">
        <v>824</v>
      </c>
      <c r="AA1521" s="25" t="s">
        <v>824</v>
      </c>
      <c r="AB1521" s="25" t="s">
        <v>824</v>
      </c>
      <c r="AC1521" s="25" t="s">
        <v>821</v>
      </c>
      <c r="AD1521" s="25" t="s">
        <v>824</v>
      </c>
      <c r="AE1521" s="25" t="s">
        <v>824</v>
      </c>
    </row>
    <row r="1522" spans="20:31" ht="14.4">
      <c r="T1522" s="25" t="s">
        <v>861</v>
      </c>
      <c r="U1522" s="25" t="s">
        <v>816</v>
      </c>
      <c r="V1522" t="s">
        <v>979</v>
      </c>
      <c r="W1522" s="25" t="str">
        <f t="shared" si="42"/>
        <v>Shaped Upholstered PelmetFaceSomfy External CBUS Motor</v>
      </c>
      <c r="X1522" s="25">
        <v>0</v>
      </c>
      <c r="Y1522" s="25" t="s">
        <v>824</v>
      </c>
      <c r="Z1522" s="25" t="s">
        <v>824</v>
      </c>
      <c r="AA1522" s="25" t="s">
        <v>824</v>
      </c>
      <c r="AB1522" s="25" t="s">
        <v>824</v>
      </c>
      <c r="AC1522" s="25" t="s">
        <v>821</v>
      </c>
      <c r="AD1522" s="25" t="s">
        <v>824</v>
      </c>
      <c r="AE1522" s="25" t="s">
        <v>824</v>
      </c>
    </row>
    <row r="1523" spans="20:31" ht="14.4">
      <c r="T1523" s="25" t="s">
        <v>861</v>
      </c>
      <c r="U1523" s="25" t="s">
        <v>816</v>
      </c>
      <c r="V1523" t="s">
        <v>983</v>
      </c>
      <c r="W1523" s="25" t="str">
        <f t="shared" si="42"/>
        <v>Shaped Upholstered PelmetFaceSomfy External Remote Motor</v>
      </c>
      <c r="X1523" s="25">
        <v>0</v>
      </c>
      <c r="Y1523" s="25" t="s">
        <v>824</v>
      </c>
      <c r="Z1523" s="25" t="s">
        <v>824</v>
      </c>
      <c r="AA1523" s="25" t="s">
        <v>824</v>
      </c>
      <c r="AB1523" s="25" t="s">
        <v>824</v>
      </c>
      <c r="AC1523" s="25" t="s">
        <v>821</v>
      </c>
      <c r="AD1523" s="25" t="s">
        <v>824</v>
      </c>
      <c r="AE1523" s="25" t="s">
        <v>824</v>
      </c>
    </row>
    <row r="1524" spans="20:31" ht="14.4">
      <c r="T1524" s="25" t="s">
        <v>861</v>
      </c>
      <c r="U1524" s="25" t="s">
        <v>816</v>
      </c>
      <c r="V1524" t="s">
        <v>995</v>
      </c>
      <c r="W1524" s="25" t="str">
        <f t="shared" si="42"/>
        <v>Shaped Upholstered PelmetFaceHD Somfy External CBUS Motor</v>
      </c>
      <c r="X1524" s="25">
        <v>0</v>
      </c>
      <c r="Y1524" s="25" t="s">
        <v>824</v>
      </c>
      <c r="Z1524" s="25" t="s">
        <v>824</v>
      </c>
      <c r="AA1524" s="25" t="s">
        <v>824</v>
      </c>
      <c r="AB1524" s="25" t="s">
        <v>824</v>
      </c>
      <c r="AC1524" s="25" t="s">
        <v>821</v>
      </c>
      <c r="AD1524" s="25" t="s">
        <v>824</v>
      </c>
      <c r="AE1524" s="25" t="s">
        <v>824</v>
      </c>
    </row>
    <row r="1525" spans="20:31" ht="14.4">
      <c r="T1525" s="25" t="s">
        <v>861</v>
      </c>
      <c r="U1525" s="25" t="s">
        <v>816</v>
      </c>
      <c r="V1525" t="s">
        <v>999</v>
      </c>
      <c r="W1525" s="25" t="str">
        <f t="shared" si="42"/>
        <v>Shaped Upholstered PelmetFaceHD Somfy External Remote Motor</v>
      </c>
      <c r="X1525" s="25">
        <v>0</v>
      </c>
      <c r="Y1525" s="25" t="s">
        <v>824</v>
      </c>
      <c r="Z1525" s="25" t="s">
        <v>824</v>
      </c>
      <c r="AA1525" s="25" t="s">
        <v>824</v>
      </c>
      <c r="AB1525" s="25" t="s">
        <v>824</v>
      </c>
      <c r="AC1525" s="25" t="s">
        <v>821</v>
      </c>
      <c r="AD1525" s="25" t="s">
        <v>824</v>
      </c>
      <c r="AE1525" s="25" t="s">
        <v>824</v>
      </c>
    </row>
    <row r="1526" spans="20:31" ht="14.4">
      <c r="T1526" s="25" t="s">
        <v>861</v>
      </c>
      <c r="U1526" s="25" t="s">
        <v>854</v>
      </c>
      <c r="V1526" s="25" t="s">
        <v>823</v>
      </c>
      <c r="W1526" s="25" t="str">
        <f t="shared" si="42"/>
        <v>Shaped Upholstered PelmetTop FixChain Winder</v>
      </c>
      <c r="X1526" s="25">
        <v>0</v>
      </c>
      <c r="Y1526" s="25" t="s">
        <v>824</v>
      </c>
      <c r="Z1526" s="25" t="s">
        <v>824</v>
      </c>
      <c r="AA1526" s="25" t="s">
        <v>824</v>
      </c>
      <c r="AB1526" s="25" t="s">
        <v>824</v>
      </c>
      <c r="AC1526" s="25" t="s">
        <v>821</v>
      </c>
      <c r="AD1526" s="25" t="s">
        <v>824</v>
      </c>
      <c r="AE1526" s="25" t="s">
        <v>824</v>
      </c>
    </row>
    <row r="1527" spans="20:31" ht="14.4">
      <c r="T1527" s="25" t="s">
        <v>861</v>
      </c>
      <c r="U1527" s="25" t="s">
        <v>854</v>
      </c>
      <c r="V1527" s="25" t="s">
        <v>841</v>
      </c>
      <c r="W1527" s="25" t="str">
        <f t="shared" si="42"/>
        <v>Shaped Upholstered PelmetTop FixHD Chain Winder</v>
      </c>
      <c r="X1527" s="25">
        <v>0</v>
      </c>
      <c r="Y1527" s="25" t="s">
        <v>824</v>
      </c>
      <c r="Z1527" s="25" t="s">
        <v>824</v>
      </c>
      <c r="AA1527" s="25" t="s">
        <v>824</v>
      </c>
      <c r="AB1527" s="25" t="s">
        <v>824</v>
      </c>
      <c r="AC1527" s="25" t="s">
        <v>821</v>
      </c>
      <c r="AD1527" s="25" t="s">
        <v>824</v>
      </c>
      <c r="AE1527" s="25" t="s">
        <v>824</v>
      </c>
    </row>
    <row r="1528" spans="20:31" ht="14.4">
      <c r="T1528" s="25" t="s">
        <v>861</v>
      </c>
      <c r="U1528" s="25" t="s">
        <v>854</v>
      </c>
      <c r="V1528" s="25" t="s">
        <v>858</v>
      </c>
      <c r="W1528" s="25" t="str">
        <f t="shared" si="42"/>
        <v>Shaped Upholstered PelmetTop FixChain Winder 60mm</v>
      </c>
      <c r="X1528" s="25">
        <v>0</v>
      </c>
      <c r="Y1528" s="25" t="s">
        <v>824</v>
      </c>
      <c r="Z1528" s="25" t="s">
        <v>824</v>
      </c>
      <c r="AA1528" s="25" t="s">
        <v>824</v>
      </c>
      <c r="AB1528" s="25" t="s">
        <v>824</v>
      </c>
      <c r="AC1528" s="25" t="s">
        <v>821</v>
      </c>
      <c r="AD1528" s="25" t="s">
        <v>824</v>
      </c>
      <c r="AE1528" s="25" t="s">
        <v>824</v>
      </c>
    </row>
    <row r="1529" spans="20:31" ht="14.4">
      <c r="T1529" s="25" t="s">
        <v>861</v>
      </c>
      <c r="U1529" s="25" t="s">
        <v>854</v>
      </c>
      <c r="V1529" s="25" t="s">
        <v>865</v>
      </c>
      <c r="W1529" s="25" t="str">
        <f t="shared" si="42"/>
        <v>Shaped Upholstered PelmetTop FixChain Winder Fixed Guide</v>
      </c>
      <c r="X1529" s="25">
        <v>0</v>
      </c>
      <c r="Y1529" s="25" t="s">
        <v>824</v>
      </c>
      <c r="Z1529" s="25" t="s">
        <v>824</v>
      </c>
      <c r="AA1529" s="25" t="s">
        <v>824</v>
      </c>
      <c r="AB1529" s="25" t="s">
        <v>824</v>
      </c>
      <c r="AC1529" s="25" t="s">
        <v>821</v>
      </c>
      <c r="AD1529" s="25" t="s">
        <v>824</v>
      </c>
      <c r="AE1529" s="25" t="s">
        <v>824</v>
      </c>
    </row>
    <row r="1530" spans="20:31" ht="14.4">
      <c r="T1530" s="25" t="s">
        <v>861</v>
      </c>
      <c r="U1530" s="25" t="s">
        <v>854</v>
      </c>
      <c r="V1530" s="25" t="s">
        <v>181</v>
      </c>
      <c r="W1530" s="25" t="str">
        <f t="shared" si="42"/>
        <v>Shaped Upholstered PelmetTop FixLinked</v>
      </c>
      <c r="X1530" s="25">
        <v>0</v>
      </c>
      <c r="Y1530" s="25" t="s">
        <v>824</v>
      </c>
      <c r="Z1530" s="25" t="s">
        <v>824</v>
      </c>
      <c r="AA1530" s="25" t="s">
        <v>824</v>
      </c>
      <c r="AB1530" s="25" t="s">
        <v>824</v>
      </c>
      <c r="AC1530" s="25" t="s">
        <v>821</v>
      </c>
      <c r="AD1530" s="25" t="s">
        <v>824</v>
      </c>
      <c r="AE1530" s="25" t="s">
        <v>824</v>
      </c>
    </row>
    <row r="1531" spans="20:31" ht="14.4">
      <c r="T1531" s="25" t="s">
        <v>861</v>
      </c>
      <c r="U1531" s="25" t="s">
        <v>854</v>
      </c>
      <c r="V1531" s="25" t="s">
        <v>898</v>
      </c>
      <c r="W1531" s="25" t="str">
        <f t="shared" si="42"/>
        <v>Shaped Upholstered PelmetTop FixLinked - HD</v>
      </c>
      <c r="X1531" s="25">
        <v>0</v>
      </c>
      <c r="Y1531" s="25" t="s">
        <v>824</v>
      </c>
      <c r="Z1531" s="25" t="s">
        <v>824</v>
      </c>
      <c r="AA1531" s="25" t="s">
        <v>824</v>
      </c>
      <c r="AB1531" s="25" t="s">
        <v>824</v>
      </c>
      <c r="AC1531" s="25" t="s">
        <v>821</v>
      </c>
      <c r="AD1531" s="25" t="s">
        <v>824</v>
      </c>
      <c r="AE1531" s="25" t="s">
        <v>824</v>
      </c>
    </row>
    <row r="1532" spans="20:31" ht="14.4">
      <c r="T1532" s="25" t="s">
        <v>861</v>
      </c>
      <c r="U1532" s="25" t="s">
        <v>854</v>
      </c>
      <c r="V1532" s="25" t="s">
        <v>925</v>
      </c>
      <c r="W1532" s="25" t="str">
        <f t="shared" si="42"/>
        <v>Shaped Upholstered PelmetTop FixLinked 60mm</v>
      </c>
      <c r="X1532" s="25">
        <v>0</v>
      </c>
      <c r="Y1532" s="25" t="s">
        <v>824</v>
      </c>
      <c r="Z1532" s="25" t="s">
        <v>824</v>
      </c>
      <c r="AA1532" s="25" t="s">
        <v>824</v>
      </c>
      <c r="AB1532" s="25" t="s">
        <v>824</v>
      </c>
      <c r="AC1532" s="25" t="s">
        <v>821</v>
      </c>
      <c r="AD1532" s="25" t="s">
        <v>824</v>
      </c>
      <c r="AE1532" s="25" t="s">
        <v>824</v>
      </c>
    </row>
    <row r="1533" spans="20:31" ht="14.4">
      <c r="T1533" s="25" t="s">
        <v>861</v>
      </c>
      <c r="U1533" s="25" t="s">
        <v>854</v>
      </c>
      <c r="V1533" s="25" t="s">
        <v>910</v>
      </c>
      <c r="W1533" s="25" t="str">
        <f t="shared" si="42"/>
        <v>Shaped Upholstered PelmetTop FixStandard Spring</v>
      </c>
      <c r="X1533" s="25">
        <v>0</v>
      </c>
      <c r="Y1533" s="25" t="s">
        <v>824</v>
      </c>
      <c r="Z1533" s="25" t="s">
        <v>824</v>
      </c>
      <c r="AA1533" s="25" t="s">
        <v>824</v>
      </c>
      <c r="AB1533" s="25" t="s">
        <v>824</v>
      </c>
      <c r="AC1533" s="25" t="s">
        <v>821</v>
      </c>
      <c r="AD1533" s="25" t="s">
        <v>824</v>
      </c>
      <c r="AE1533" s="25" t="s">
        <v>824</v>
      </c>
    </row>
    <row r="1534" spans="20:31" ht="14.4">
      <c r="T1534" s="25" t="s">
        <v>861</v>
      </c>
      <c r="U1534" s="25" t="s">
        <v>854</v>
      </c>
      <c r="V1534" s="25" t="s">
        <v>920</v>
      </c>
      <c r="W1534" s="25" t="str">
        <f t="shared" si="42"/>
        <v>Shaped Upholstered PelmetTop FixSmall Spring</v>
      </c>
      <c r="X1534" s="25">
        <v>0</v>
      </c>
      <c r="Y1534" s="25" t="s">
        <v>824</v>
      </c>
      <c r="Z1534" s="25" t="s">
        <v>824</v>
      </c>
      <c r="AA1534" s="25" t="s">
        <v>824</v>
      </c>
      <c r="AB1534" s="25" t="s">
        <v>824</v>
      </c>
      <c r="AC1534" s="25" t="s">
        <v>821</v>
      </c>
      <c r="AD1534" s="25" t="s">
        <v>824</v>
      </c>
      <c r="AE1534" s="25" t="s">
        <v>824</v>
      </c>
    </row>
    <row r="1535" spans="20:31" ht="14.4">
      <c r="T1535" s="25" t="s">
        <v>861</v>
      </c>
      <c r="U1535" s="25" t="s">
        <v>854</v>
      </c>
      <c r="V1535" s="25" t="s">
        <v>929</v>
      </c>
      <c r="W1535" s="25" t="str">
        <f t="shared" si="42"/>
        <v>Shaped Upholstered PelmetTop FixUniline Spring (Old Style)</v>
      </c>
      <c r="X1535" s="25">
        <v>0</v>
      </c>
      <c r="Y1535" s="25" t="s">
        <v>824</v>
      </c>
      <c r="Z1535" s="25" t="s">
        <v>824</v>
      </c>
      <c r="AA1535" s="25" t="s">
        <v>824</v>
      </c>
      <c r="AB1535" s="25" t="s">
        <v>824</v>
      </c>
      <c r="AC1535" s="25" t="s">
        <v>821</v>
      </c>
      <c r="AD1535" s="25" t="s">
        <v>824</v>
      </c>
      <c r="AE1535" s="25" t="s">
        <v>824</v>
      </c>
    </row>
    <row r="1536" spans="20:31" ht="14.4">
      <c r="T1536" s="25" t="s">
        <v>861</v>
      </c>
      <c r="U1536" s="25" t="s">
        <v>854</v>
      </c>
      <c r="V1536" s="25" t="s">
        <v>935</v>
      </c>
      <c r="W1536" s="25" t="str">
        <f t="shared" si="42"/>
        <v>Shaped Upholstered PelmetTop FixBecker Remote Motor</v>
      </c>
      <c r="X1536" s="25">
        <v>0</v>
      </c>
      <c r="Y1536" s="25" t="s">
        <v>824</v>
      </c>
      <c r="Z1536" s="25" t="s">
        <v>824</v>
      </c>
      <c r="AA1536" s="25" t="s">
        <v>824</v>
      </c>
      <c r="AB1536" s="25" t="s">
        <v>824</v>
      </c>
      <c r="AC1536" s="25" t="s">
        <v>821</v>
      </c>
      <c r="AD1536" s="25" t="s">
        <v>824</v>
      </c>
      <c r="AE1536" s="25" t="s">
        <v>824</v>
      </c>
    </row>
    <row r="1537" spans="20:31" ht="14.4">
      <c r="T1537" s="25" t="s">
        <v>861</v>
      </c>
      <c r="U1537" s="25" t="s">
        <v>854</v>
      </c>
      <c r="V1537" s="25" t="s">
        <v>939</v>
      </c>
      <c r="W1537" s="25" t="str">
        <f t="shared" si="42"/>
        <v>Shaped Upholstered PelmetTop FixBecker CBUS Motor</v>
      </c>
      <c r="X1537" s="25">
        <v>0</v>
      </c>
      <c r="Y1537" s="25" t="s">
        <v>824</v>
      </c>
      <c r="Z1537" s="25" t="s">
        <v>824</v>
      </c>
      <c r="AA1537" s="25" t="s">
        <v>824</v>
      </c>
      <c r="AB1537" s="25" t="s">
        <v>824</v>
      </c>
      <c r="AC1537" s="25" t="s">
        <v>821</v>
      </c>
      <c r="AD1537" s="25" t="s">
        <v>824</v>
      </c>
      <c r="AE1537" s="25" t="s">
        <v>824</v>
      </c>
    </row>
    <row r="1538" spans="20:31" ht="14.4">
      <c r="T1538" s="25" t="s">
        <v>861</v>
      </c>
      <c r="U1538" s="25" t="s">
        <v>854</v>
      </c>
      <c r="V1538" s="25" t="s">
        <v>946</v>
      </c>
      <c r="W1538" s="25" t="str">
        <f t="shared" si="42"/>
        <v>Shaped Upholstered PelmetTop FixBecker External Remote Motor</v>
      </c>
      <c r="X1538" s="25">
        <v>0</v>
      </c>
      <c r="Y1538" s="25" t="s">
        <v>824</v>
      </c>
      <c r="Z1538" s="25" t="s">
        <v>824</v>
      </c>
      <c r="AA1538" s="25" t="s">
        <v>824</v>
      </c>
      <c r="AB1538" s="25" t="s">
        <v>824</v>
      </c>
      <c r="AC1538" s="25" t="s">
        <v>821</v>
      </c>
      <c r="AD1538" s="25" t="s">
        <v>824</v>
      </c>
      <c r="AE1538" s="25" t="s">
        <v>824</v>
      </c>
    </row>
    <row r="1539" spans="20:31" ht="14.4">
      <c r="T1539" s="25" t="s">
        <v>861</v>
      </c>
      <c r="U1539" s="25" t="s">
        <v>854</v>
      </c>
      <c r="V1539" s="25" t="s">
        <v>951</v>
      </c>
      <c r="W1539" s="25" t="str">
        <f t="shared" si="43" ref="W1539:W1602">CONCATENATE(T1539,U1539,V1539)</f>
        <v>Shaped Upholstered PelmetTop FixBecker External CBUS Motor</v>
      </c>
      <c r="X1539" s="25">
        <v>0</v>
      </c>
      <c r="Y1539" s="25" t="s">
        <v>824</v>
      </c>
      <c r="Z1539" s="25" t="s">
        <v>824</v>
      </c>
      <c r="AA1539" s="25" t="s">
        <v>824</v>
      </c>
      <c r="AB1539" s="25" t="s">
        <v>824</v>
      </c>
      <c r="AC1539" s="25" t="s">
        <v>821</v>
      </c>
      <c r="AD1539" s="25" t="s">
        <v>824</v>
      </c>
      <c r="AE1539" s="25" t="s">
        <v>824</v>
      </c>
    </row>
    <row r="1540" spans="20:31" ht="14.4">
      <c r="T1540" s="25" t="s">
        <v>861</v>
      </c>
      <c r="U1540" s="25" t="s">
        <v>854</v>
      </c>
      <c r="V1540" s="25" t="s">
        <v>838</v>
      </c>
      <c r="W1540" s="25" t="str">
        <f t="shared" si="43"/>
        <v>Shaped Upholstered PelmetTop Fix1.1nm 12v Acmeda Motor</v>
      </c>
      <c r="X1540" s="25">
        <v>0</v>
      </c>
      <c r="Y1540" s="25" t="s">
        <v>824</v>
      </c>
      <c r="Z1540" s="25" t="s">
        <v>824</v>
      </c>
      <c r="AA1540" s="25" t="s">
        <v>824</v>
      </c>
      <c r="AB1540" s="25" t="s">
        <v>824</v>
      </c>
      <c r="AC1540" s="25" t="s">
        <v>821</v>
      </c>
      <c r="AD1540" s="25" t="s">
        <v>824</v>
      </c>
      <c r="AE1540" s="25" t="s">
        <v>824</v>
      </c>
    </row>
    <row r="1541" spans="20:31" ht="14.4">
      <c r="T1541" s="25" t="s">
        <v>861</v>
      </c>
      <c r="U1541" s="25" t="s">
        <v>854</v>
      </c>
      <c r="V1541" t="s">
        <v>882</v>
      </c>
      <c r="W1541" s="25" t="str">
        <f t="shared" si="43"/>
        <v>Shaped Upholstered PelmetTop Fix2nm 12v Acmeda Motor</v>
      </c>
      <c r="X1541" s="25">
        <v>0</v>
      </c>
      <c r="Y1541" s="25" t="s">
        <v>824</v>
      </c>
      <c r="Z1541" s="25" t="s">
        <v>824</v>
      </c>
      <c r="AA1541" s="25" t="s">
        <v>824</v>
      </c>
      <c r="AB1541" s="25" t="s">
        <v>824</v>
      </c>
      <c r="AC1541" s="25" t="s">
        <v>821</v>
      </c>
      <c r="AD1541" s="25" t="s">
        <v>824</v>
      </c>
      <c r="AE1541" s="25" t="s">
        <v>824</v>
      </c>
    </row>
    <row r="1542" spans="20:31" ht="14.4">
      <c r="T1542" s="25" t="s">
        <v>861</v>
      </c>
      <c r="U1542" s="25" t="s">
        <v>854</v>
      </c>
      <c r="V1542" t="s">
        <v>896</v>
      </c>
      <c r="W1542" s="25" t="str">
        <f t="shared" si="43"/>
        <v>Shaped Upholstered PelmetTop FixAcmeda 12v 6nm Motor</v>
      </c>
      <c r="X1542" s="25">
        <v>0</v>
      </c>
      <c r="Y1542" s="25" t="s">
        <v>824</v>
      </c>
      <c r="Z1542" s="25" t="s">
        <v>824</v>
      </c>
      <c r="AA1542" s="25" t="s">
        <v>824</v>
      </c>
      <c r="AB1542" s="25" t="s">
        <v>824</v>
      </c>
      <c r="AC1542" s="25" t="s">
        <v>821</v>
      </c>
      <c r="AD1542" s="25" t="s">
        <v>824</v>
      </c>
      <c r="AE1542" s="25" t="s">
        <v>824</v>
      </c>
    </row>
    <row r="1543" spans="20:31" ht="14.4">
      <c r="T1543" s="25" t="s">
        <v>861</v>
      </c>
      <c r="U1543" s="25" t="s">
        <v>854</v>
      </c>
      <c r="V1543" t="s">
        <v>855</v>
      </c>
      <c r="W1543" s="25" t="str">
        <f t="shared" si="43"/>
        <v>Shaped Upholstered PelmetTop Fix0.7nm 12v Acmeda Motor</v>
      </c>
      <c r="X1543" s="25">
        <v>0</v>
      </c>
      <c r="Y1543" s="25" t="s">
        <v>824</v>
      </c>
      <c r="Z1543" s="25" t="s">
        <v>824</v>
      </c>
      <c r="AA1543" s="25" t="s">
        <v>824</v>
      </c>
      <c r="AB1543" s="25" t="s">
        <v>824</v>
      </c>
      <c r="AC1543" s="25" t="s">
        <v>821</v>
      </c>
      <c r="AD1543" s="25" t="s">
        <v>824</v>
      </c>
      <c r="AE1543" s="25" t="s">
        <v>824</v>
      </c>
    </row>
    <row r="1544" spans="20:31" ht="14.4">
      <c r="T1544" s="25" t="s">
        <v>861</v>
      </c>
      <c r="U1544" s="25" t="s">
        <v>854</v>
      </c>
      <c r="V1544" s="25" t="s">
        <v>849</v>
      </c>
      <c r="W1544" s="25" t="str">
        <f t="shared" si="43"/>
        <v>Shaped Upholstered PelmetTop Fix1.1nm 12v Acmeda DCRF Motor with External Battery</v>
      </c>
      <c r="X1544" s="25">
        <v>0</v>
      </c>
      <c r="Y1544" s="25" t="s">
        <v>824</v>
      </c>
      <c r="Z1544" s="25" t="s">
        <v>824</v>
      </c>
      <c r="AA1544" s="25" t="s">
        <v>824</v>
      </c>
      <c r="AB1544" s="25" t="s">
        <v>824</v>
      </c>
      <c r="AC1544" s="25" t="s">
        <v>821</v>
      </c>
      <c r="AD1544" s="25" t="s">
        <v>824</v>
      </c>
      <c r="AE1544" s="25" t="s">
        <v>824</v>
      </c>
    </row>
    <row r="1545" spans="20:31" ht="14.4">
      <c r="T1545" s="25" t="s">
        <v>861</v>
      </c>
      <c r="U1545" s="25" t="s">
        <v>854</v>
      </c>
      <c r="V1545" s="25" t="s">
        <v>817</v>
      </c>
      <c r="W1545" s="25" t="str">
        <f t="shared" si="43"/>
        <v>Shaped Upholstered PelmetTop Fix1.1nm 12v Acmeda DCRF Motor</v>
      </c>
      <c r="X1545" s="25">
        <v>0</v>
      </c>
      <c r="Y1545" s="25" t="s">
        <v>824</v>
      </c>
      <c r="Z1545" s="25" t="s">
        <v>824</v>
      </c>
      <c r="AA1545" s="25" t="s">
        <v>824</v>
      </c>
      <c r="AB1545" s="25" t="s">
        <v>824</v>
      </c>
      <c r="AC1545" s="25" t="s">
        <v>821</v>
      </c>
      <c r="AD1545" s="25" t="s">
        <v>824</v>
      </c>
      <c r="AE1545" s="25" t="s">
        <v>824</v>
      </c>
    </row>
    <row r="1546" spans="20:31" ht="14.4">
      <c r="T1546" s="25" t="s">
        <v>861</v>
      </c>
      <c r="U1546" s="25" t="s">
        <v>854</v>
      </c>
      <c r="V1546" s="25" t="s">
        <v>868</v>
      </c>
      <c r="W1546" s="25" t="str">
        <f t="shared" si="43"/>
        <v>Shaped Upholstered PelmetTop Fix2nm 12v Acmeda DCRF Motor</v>
      </c>
      <c r="X1546" s="25">
        <v>0</v>
      </c>
      <c r="Y1546" s="25" t="s">
        <v>824</v>
      </c>
      <c r="Z1546" s="25" t="s">
        <v>824</v>
      </c>
      <c r="AA1546" s="25" t="s">
        <v>824</v>
      </c>
      <c r="AB1546" s="25" t="s">
        <v>824</v>
      </c>
      <c r="AC1546" s="25" t="s">
        <v>821</v>
      </c>
      <c r="AD1546" s="25" t="s">
        <v>824</v>
      </c>
      <c r="AE1546" s="25" t="s">
        <v>824</v>
      </c>
    </row>
    <row r="1547" spans="20:31" ht="14.4">
      <c r="T1547" s="25" t="s">
        <v>861</v>
      </c>
      <c r="U1547" s="25" t="s">
        <v>854</v>
      </c>
      <c r="V1547" t="s">
        <v>973</v>
      </c>
      <c r="W1547" s="25" t="str">
        <f t="shared" si="43"/>
        <v>Shaped Upholstered PelmetTop FixSomfy Remote Sonesse Motor</v>
      </c>
      <c r="X1547" s="25">
        <v>0</v>
      </c>
      <c r="Y1547" s="25" t="s">
        <v>824</v>
      </c>
      <c r="Z1547" s="25" t="s">
        <v>824</v>
      </c>
      <c r="AA1547" s="25" t="s">
        <v>824</v>
      </c>
      <c r="AB1547" s="25" t="s">
        <v>824</v>
      </c>
      <c r="AC1547" s="25" t="s">
        <v>821</v>
      </c>
      <c r="AD1547" s="25" t="s">
        <v>824</v>
      </c>
      <c r="AE1547" s="25" t="s">
        <v>824</v>
      </c>
    </row>
    <row r="1548" spans="20:31" ht="14.4">
      <c r="T1548" s="25" t="s">
        <v>861</v>
      </c>
      <c r="U1548" s="25" t="s">
        <v>854</v>
      </c>
      <c r="V1548" t="s">
        <v>637</v>
      </c>
      <c r="W1548" s="25" t="str">
        <f t="shared" si="43"/>
        <v>Shaped Upholstered PelmetTop FixSomfy 12v Remote Sonesse Motor</v>
      </c>
      <c r="X1548" s="25">
        <v>0</v>
      </c>
      <c r="Y1548" s="25" t="s">
        <v>824</v>
      </c>
      <c r="Z1548" s="25" t="s">
        <v>824</v>
      </c>
      <c r="AA1548" s="25" t="s">
        <v>824</v>
      </c>
      <c r="AB1548" s="25" t="s">
        <v>824</v>
      </c>
      <c r="AC1548" s="25" t="s">
        <v>821</v>
      </c>
      <c r="AD1548" s="25" t="s">
        <v>824</v>
      </c>
      <c r="AE1548" s="25" t="s">
        <v>824</v>
      </c>
    </row>
    <row r="1549" spans="20:31" ht="14.4">
      <c r="T1549" s="25" t="s">
        <v>861</v>
      </c>
      <c r="U1549" s="25" t="s">
        <v>854</v>
      </c>
      <c r="V1549" s="25" t="s">
        <v>974</v>
      </c>
      <c r="W1549" s="25" t="str">
        <f t="shared" si="43"/>
        <v>Shaped Upholstered PelmetTop FixSomfy CBUS Motor</v>
      </c>
      <c r="X1549" s="25">
        <v>0</v>
      </c>
      <c r="Y1549" s="25" t="s">
        <v>824</v>
      </c>
      <c r="Z1549" s="25" t="s">
        <v>824</v>
      </c>
      <c r="AA1549" s="25" t="s">
        <v>824</v>
      </c>
      <c r="AB1549" s="25" t="s">
        <v>824</v>
      </c>
      <c r="AC1549" s="25" t="s">
        <v>821</v>
      </c>
      <c r="AD1549" s="25" t="s">
        <v>824</v>
      </c>
      <c r="AE1549" s="25" t="s">
        <v>824</v>
      </c>
    </row>
    <row r="1550" spans="20:31" ht="14.4">
      <c r="T1550" s="25" t="s">
        <v>861</v>
      </c>
      <c r="U1550" s="25" t="s">
        <v>854</v>
      </c>
      <c r="V1550" t="s">
        <v>986</v>
      </c>
      <c r="W1550" s="25" t="str">
        <f t="shared" si="43"/>
        <v>Shaped Upholstered PelmetTop FixHD Somfy Remote Sonesse Motor</v>
      </c>
      <c r="X1550" s="25">
        <v>0</v>
      </c>
      <c r="Y1550" s="25" t="s">
        <v>824</v>
      </c>
      <c r="Z1550" s="25" t="s">
        <v>824</v>
      </c>
      <c r="AA1550" s="25" t="s">
        <v>824</v>
      </c>
      <c r="AB1550" s="25" t="s">
        <v>824</v>
      </c>
      <c r="AC1550" s="25" t="s">
        <v>821</v>
      </c>
      <c r="AD1550" s="25" t="s">
        <v>824</v>
      </c>
      <c r="AE1550" s="25" t="s">
        <v>824</v>
      </c>
    </row>
    <row r="1551" spans="20:31" ht="14.4">
      <c r="T1551" s="25" t="s">
        <v>861</v>
      </c>
      <c r="U1551" s="25" t="s">
        <v>854</v>
      </c>
      <c r="V1551" t="s">
        <v>989</v>
      </c>
      <c r="W1551" s="25" t="str">
        <f t="shared" si="43"/>
        <v>Shaped Upholstered PelmetTop FixHD Somfy 12v Remote Sonesse Motor</v>
      </c>
      <c r="X1551" s="25">
        <v>0</v>
      </c>
      <c r="Y1551" s="25" t="s">
        <v>824</v>
      </c>
      <c r="Z1551" s="25" t="s">
        <v>824</v>
      </c>
      <c r="AA1551" s="25" t="s">
        <v>824</v>
      </c>
      <c r="AB1551" s="25" t="s">
        <v>824</v>
      </c>
      <c r="AC1551" s="25" t="s">
        <v>821</v>
      </c>
      <c r="AD1551" s="25" t="s">
        <v>824</v>
      </c>
      <c r="AE1551" s="25" t="s">
        <v>824</v>
      </c>
    </row>
    <row r="1552" spans="20:31" ht="14.4">
      <c r="T1552" s="25" t="s">
        <v>861</v>
      </c>
      <c r="U1552" s="25" t="s">
        <v>854</v>
      </c>
      <c r="V1552" s="25" t="s">
        <v>992</v>
      </c>
      <c r="W1552" s="25" t="str">
        <f t="shared" si="43"/>
        <v>Shaped Upholstered PelmetTop FixHD Somfy CBUS Motor</v>
      </c>
      <c r="X1552" s="25">
        <v>0</v>
      </c>
      <c r="Y1552" s="25" t="s">
        <v>824</v>
      </c>
      <c r="Z1552" s="25" t="s">
        <v>824</v>
      </c>
      <c r="AA1552" s="25" t="s">
        <v>824</v>
      </c>
      <c r="AB1552" s="25" t="s">
        <v>824</v>
      </c>
      <c r="AC1552" s="25" t="s">
        <v>821</v>
      </c>
      <c r="AD1552" s="25" t="s">
        <v>824</v>
      </c>
      <c r="AE1552" s="25" t="s">
        <v>824</v>
      </c>
    </row>
    <row r="1553" spans="20:31" ht="14.4">
      <c r="T1553" s="25" t="s">
        <v>861</v>
      </c>
      <c r="U1553" s="25" t="s">
        <v>854</v>
      </c>
      <c r="V1553" s="25" t="s">
        <v>625</v>
      </c>
      <c r="W1553" s="25" t="str">
        <f t="shared" si="43"/>
        <v>Shaped Upholstered PelmetTop FixAcmeda E6 Motor</v>
      </c>
      <c r="X1553" s="25">
        <v>0</v>
      </c>
      <c r="Y1553" s="25" t="s">
        <v>824</v>
      </c>
      <c r="Z1553" s="25" t="s">
        <v>824</v>
      </c>
      <c r="AA1553" s="25" t="s">
        <v>824</v>
      </c>
      <c r="AB1553" s="25" t="s">
        <v>824</v>
      </c>
      <c r="AC1553" s="25" t="s">
        <v>821</v>
      </c>
      <c r="AD1553" s="25" t="s">
        <v>824</v>
      </c>
      <c r="AE1553" s="25" t="s">
        <v>824</v>
      </c>
    </row>
    <row r="1554" spans="20:31" ht="14.4">
      <c r="T1554" s="25" t="s">
        <v>861</v>
      </c>
      <c r="U1554" s="25" t="s">
        <v>854</v>
      </c>
      <c r="V1554" s="25" t="s">
        <v>626</v>
      </c>
      <c r="W1554" s="25" t="str">
        <f t="shared" si="43"/>
        <v>Shaped Upholstered PelmetTop FixAcmeda M6 Motor</v>
      </c>
      <c r="X1554" s="25">
        <v>0</v>
      </c>
      <c r="Y1554" s="25" t="s">
        <v>824</v>
      </c>
      <c r="Z1554" s="25" t="s">
        <v>824</v>
      </c>
      <c r="AA1554" s="25" t="s">
        <v>824</v>
      </c>
      <c r="AB1554" s="25" t="s">
        <v>824</v>
      </c>
      <c r="AC1554" s="25" t="s">
        <v>821</v>
      </c>
      <c r="AD1554" s="25" t="s">
        <v>824</v>
      </c>
      <c r="AE1554" s="25" t="s">
        <v>824</v>
      </c>
    </row>
    <row r="1555" spans="20:31" ht="14.4">
      <c r="T1555" s="25" t="s">
        <v>861</v>
      </c>
      <c r="U1555" s="25" t="s">
        <v>854</v>
      </c>
      <c r="V1555" s="25" t="s">
        <v>1002</v>
      </c>
      <c r="W1555" s="25" t="str">
        <f t="shared" si="43"/>
        <v>Shaped Upholstered PelmetTop FixUniline Remote Motor</v>
      </c>
      <c r="X1555" s="25">
        <v>0</v>
      </c>
      <c r="Y1555" s="25" t="s">
        <v>824</v>
      </c>
      <c r="Z1555" s="25" t="s">
        <v>824</v>
      </c>
      <c r="AA1555" s="25" t="s">
        <v>824</v>
      </c>
      <c r="AB1555" s="25" t="s">
        <v>824</v>
      </c>
      <c r="AC1555" s="25" t="s">
        <v>821</v>
      </c>
      <c r="AD1555" s="25" t="s">
        <v>824</v>
      </c>
      <c r="AE1555" s="25" t="s">
        <v>824</v>
      </c>
    </row>
    <row r="1556" spans="20:31" ht="14.4">
      <c r="T1556" s="25" t="s">
        <v>861</v>
      </c>
      <c r="U1556" s="25" t="s">
        <v>854</v>
      </c>
      <c r="V1556" s="25" t="s">
        <v>1005</v>
      </c>
      <c r="W1556" s="25" t="str">
        <f t="shared" si="43"/>
        <v>Shaped Upholstered PelmetTop FixUniline Cbus Motor</v>
      </c>
      <c r="X1556" s="25">
        <v>0</v>
      </c>
      <c r="Y1556" s="25" t="s">
        <v>824</v>
      </c>
      <c r="Z1556" s="25" t="s">
        <v>824</v>
      </c>
      <c r="AA1556" s="25" t="s">
        <v>824</v>
      </c>
      <c r="AB1556" s="25" t="s">
        <v>824</v>
      </c>
      <c r="AC1556" s="25" t="s">
        <v>821</v>
      </c>
      <c r="AD1556" s="25" t="s">
        <v>824</v>
      </c>
      <c r="AE1556" s="25" t="s">
        <v>824</v>
      </c>
    </row>
    <row r="1557" spans="20:31" ht="14.4">
      <c r="T1557" s="25" t="s">
        <v>861</v>
      </c>
      <c r="U1557" s="25" t="s">
        <v>854</v>
      </c>
      <c r="V1557" s="25" t="s">
        <v>981</v>
      </c>
      <c r="W1557" s="25" t="str">
        <f t="shared" si="43"/>
        <v>Shaped Upholstered PelmetTop FixNice Remote Motor</v>
      </c>
      <c r="X1557" s="25">
        <v>0</v>
      </c>
      <c r="Y1557" s="25" t="s">
        <v>824</v>
      </c>
      <c r="Z1557" s="25" t="s">
        <v>824</v>
      </c>
      <c r="AA1557" s="25" t="s">
        <v>824</v>
      </c>
      <c r="AB1557" s="25" t="s">
        <v>824</v>
      </c>
      <c r="AC1557" s="25" t="s">
        <v>821</v>
      </c>
      <c r="AD1557" s="25" t="s">
        <v>824</v>
      </c>
      <c r="AE1557" s="25" t="s">
        <v>824</v>
      </c>
    </row>
    <row r="1558" spans="20:31" ht="14.4">
      <c r="T1558" s="25" t="s">
        <v>861</v>
      </c>
      <c r="U1558" s="25" t="s">
        <v>854</v>
      </c>
      <c r="V1558" s="25" t="s">
        <v>976</v>
      </c>
      <c r="W1558" s="25" t="str">
        <f t="shared" si="43"/>
        <v>Shaped Upholstered PelmetTop FixNice CBus Motor</v>
      </c>
      <c r="X1558" s="25">
        <v>0</v>
      </c>
      <c r="Y1558" s="25" t="s">
        <v>824</v>
      </c>
      <c r="Z1558" s="25" t="s">
        <v>824</v>
      </c>
      <c r="AA1558" s="25" t="s">
        <v>824</v>
      </c>
      <c r="AB1558" s="25" t="s">
        <v>824</v>
      </c>
      <c r="AC1558" s="25" t="s">
        <v>821</v>
      </c>
      <c r="AD1558" s="25" t="s">
        <v>824</v>
      </c>
      <c r="AE1558" s="25" t="s">
        <v>824</v>
      </c>
    </row>
    <row r="1559" spans="20:31" ht="14.4">
      <c r="T1559" s="25" t="s">
        <v>861</v>
      </c>
      <c r="U1559" s="25" t="s">
        <v>854</v>
      </c>
      <c r="V1559" t="s">
        <v>1006</v>
      </c>
      <c r="W1559" s="25" t="str">
        <f t="shared" si="43"/>
        <v>Shaped Upholstered PelmetTop FixSunboss Chain Winder 38mm Tube</v>
      </c>
      <c r="X1559" s="25">
        <v>0</v>
      </c>
      <c r="Y1559" s="25" t="s">
        <v>824</v>
      </c>
      <c r="Z1559" s="25" t="s">
        <v>824</v>
      </c>
      <c r="AA1559" s="25" t="s">
        <v>824</v>
      </c>
      <c r="AB1559" s="25" t="s">
        <v>824</v>
      </c>
      <c r="AC1559" s="25" t="s">
        <v>821</v>
      </c>
      <c r="AD1559" s="25" t="s">
        <v>824</v>
      </c>
      <c r="AE1559" s="25" t="s">
        <v>824</v>
      </c>
    </row>
    <row r="1560" spans="20:31" ht="14.4">
      <c r="T1560" s="25" t="s">
        <v>861</v>
      </c>
      <c r="U1560" s="25" t="s">
        <v>854</v>
      </c>
      <c r="V1560" t="s">
        <v>1017</v>
      </c>
      <c r="W1560" s="25" t="str">
        <f t="shared" si="43"/>
        <v>Shaped Upholstered PelmetTop FixSunboss Chain Winder 43mm Tube</v>
      </c>
      <c r="X1560" s="25">
        <v>0</v>
      </c>
      <c r="Y1560" s="25" t="s">
        <v>824</v>
      </c>
      <c r="Z1560" s="25" t="s">
        <v>824</v>
      </c>
      <c r="AA1560" s="25" t="s">
        <v>824</v>
      </c>
      <c r="AB1560" s="25" t="s">
        <v>824</v>
      </c>
      <c r="AC1560" s="25" t="s">
        <v>821</v>
      </c>
      <c r="AD1560" s="25" t="s">
        <v>824</v>
      </c>
      <c r="AE1560" s="25" t="s">
        <v>824</v>
      </c>
    </row>
    <row r="1561" spans="20:31" ht="14.4">
      <c r="T1561" s="25" t="s">
        <v>861</v>
      </c>
      <c r="U1561" s="25" t="s">
        <v>854</v>
      </c>
      <c r="V1561" s="25" t="s">
        <v>1012</v>
      </c>
      <c r="W1561" s="25" t="str">
        <f t="shared" si="43"/>
        <v>Shaped Upholstered PelmetTop FixTBS Remote Motor</v>
      </c>
      <c r="X1561" s="25">
        <v>0</v>
      </c>
      <c r="Y1561" s="25" t="s">
        <v>824</v>
      </c>
      <c r="Z1561" s="25" t="s">
        <v>824</v>
      </c>
      <c r="AA1561" s="25" t="s">
        <v>824</v>
      </c>
      <c r="AB1561" s="25" t="s">
        <v>824</v>
      </c>
      <c r="AC1561" s="25" t="s">
        <v>821</v>
      </c>
      <c r="AD1561" s="25" t="s">
        <v>824</v>
      </c>
      <c r="AE1561" s="25" t="s">
        <v>824</v>
      </c>
    </row>
    <row r="1562" spans="20:31" ht="14.4">
      <c r="T1562" s="25" t="s">
        <v>861</v>
      </c>
      <c r="U1562" s="25" t="s">
        <v>854</v>
      </c>
      <c r="V1562" t="s">
        <v>1009</v>
      </c>
      <c r="W1562" s="25" t="str">
        <f t="shared" si="43"/>
        <v>Shaped Upholstered PelmetTop FixTBS Cbus Motor</v>
      </c>
      <c r="X1562" s="25">
        <v>0</v>
      </c>
      <c r="Y1562" s="25" t="s">
        <v>824</v>
      </c>
      <c r="Z1562" s="25" t="s">
        <v>824</v>
      </c>
      <c r="AA1562" s="25" t="s">
        <v>824</v>
      </c>
      <c r="AB1562" s="25" t="s">
        <v>824</v>
      </c>
      <c r="AC1562" s="25" t="s">
        <v>821</v>
      </c>
      <c r="AD1562" s="25" t="s">
        <v>824</v>
      </c>
      <c r="AE1562" s="25" t="s">
        <v>824</v>
      </c>
    </row>
    <row r="1563" spans="20:31" ht="14.4">
      <c r="T1563" s="25" t="s">
        <v>861</v>
      </c>
      <c r="U1563" s="25" t="s">
        <v>854</v>
      </c>
      <c r="V1563" t="s">
        <v>927</v>
      </c>
      <c r="W1563" s="25" t="str">
        <f t="shared" si="43"/>
        <v>Shaped Upholstered PelmetTop FixAcmeda External Motor</v>
      </c>
      <c r="X1563" s="25">
        <v>0</v>
      </c>
      <c r="Y1563" s="25" t="s">
        <v>824</v>
      </c>
      <c r="Z1563" s="25" t="s">
        <v>824</v>
      </c>
      <c r="AA1563" s="25" t="s">
        <v>824</v>
      </c>
      <c r="AB1563" s="25" t="s">
        <v>824</v>
      </c>
      <c r="AC1563" s="25" t="s">
        <v>821</v>
      </c>
      <c r="AD1563" s="25" t="s">
        <v>824</v>
      </c>
      <c r="AE1563" s="25" t="s">
        <v>824</v>
      </c>
    </row>
    <row r="1564" spans="20:31" ht="14.4">
      <c r="T1564" s="25" t="s">
        <v>861</v>
      </c>
      <c r="U1564" s="25" t="s">
        <v>854</v>
      </c>
      <c r="V1564" t="s">
        <v>918</v>
      </c>
      <c r="W1564" s="25" t="str">
        <f t="shared" si="43"/>
        <v>Shaped Upholstered PelmetTop FixAcmeda External 12v Motor</v>
      </c>
      <c r="X1564" s="25">
        <v>0</v>
      </c>
      <c r="Y1564" s="25" t="s">
        <v>824</v>
      </c>
      <c r="Z1564" s="25" t="s">
        <v>824</v>
      </c>
      <c r="AA1564" s="25" t="s">
        <v>824</v>
      </c>
      <c r="AB1564" s="25" t="s">
        <v>824</v>
      </c>
      <c r="AC1564" s="25" t="s">
        <v>821</v>
      </c>
      <c r="AD1564" s="25" t="s">
        <v>824</v>
      </c>
      <c r="AE1564" s="25" t="s">
        <v>824</v>
      </c>
    </row>
    <row r="1565" spans="20:31" ht="14.4">
      <c r="T1565" s="25" t="s">
        <v>861</v>
      </c>
      <c r="U1565" s="25" t="s">
        <v>854</v>
      </c>
      <c r="V1565" t="s">
        <v>979</v>
      </c>
      <c r="W1565" s="25" t="str">
        <f t="shared" si="43"/>
        <v>Shaped Upholstered PelmetTop FixSomfy External CBUS Motor</v>
      </c>
      <c r="X1565" s="25">
        <v>0</v>
      </c>
      <c r="Y1565" s="25" t="s">
        <v>824</v>
      </c>
      <c r="Z1565" s="25" t="s">
        <v>824</v>
      </c>
      <c r="AA1565" s="25" t="s">
        <v>824</v>
      </c>
      <c r="AB1565" s="25" t="s">
        <v>824</v>
      </c>
      <c r="AC1565" s="25" t="s">
        <v>821</v>
      </c>
      <c r="AD1565" s="25" t="s">
        <v>824</v>
      </c>
      <c r="AE1565" s="25" t="s">
        <v>824</v>
      </c>
    </row>
    <row r="1566" spans="20:31" ht="14.4">
      <c r="T1566" s="25" t="s">
        <v>861</v>
      </c>
      <c r="U1566" s="25" t="s">
        <v>854</v>
      </c>
      <c r="V1566" t="s">
        <v>983</v>
      </c>
      <c r="W1566" s="25" t="str">
        <f t="shared" si="43"/>
        <v>Shaped Upholstered PelmetTop FixSomfy External Remote Motor</v>
      </c>
      <c r="X1566" s="25">
        <v>0</v>
      </c>
      <c r="Y1566" s="25" t="s">
        <v>824</v>
      </c>
      <c r="Z1566" s="25" t="s">
        <v>824</v>
      </c>
      <c r="AA1566" s="25" t="s">
        <v>824</v>
      </c>
      <c r="AB1566" s="25" t="s">
        <v>824</v>
      </c>
      <c r="AC1566" s="25" t="s">
        <v>821</v>
      </c>
      <c r="AD1566" s="25" t="s">
        <v>824</v>
      </c>
      <c r="AE1566" s="25" t="s">
        <v>824</v>
      </c>
    </row>
    <row r="1567" spans="20:31" ht="14.4">
      <c r="T1567" s="25" t="s">
        <v>861</v>
      </c>
      <c r="U1567" s="25" t="s">
        <v>854</v>
      </c>
      <c r="V1567" t="s">
        <v>979</v>
      </c>
      <c r="W1567" s="25" t="str">
        <f t="shared" si="43"/>
        <v>Shaped Upholstered PelmetTop FixSomfy External CBUS Motor</v>
      </c>
      <c r="X1567" s="25">
        <v>0</v>
      </c>
      <c r="Y1567" s="25" t="s">
        <v>824</v>
      </c>
      <c r="Z1567" s="25" t="s">
        <v>824</v>
      </c>
      <c r="AA1567" s="25" t="s">
        <v>824</v>
      </c>
      <c r="AB1567" s="25" t="s">
        <v>824</v>
      </c>
      <c r="AC1567" s="25" t="s">
        <v>821</v>
      </c>
      <c r="AD1567" s="25" t="s">
        <v>824</v>
      </c>
      <c r="AE1567" s="25" t="s">
        <v>824</v>
      </c>
    </row>
    <row r="1568" spans="20:31" ht="14.4">
      <c r="T1568" s="25" t="s">
        <v>861</v>
      </c>
      <c r="U1568" s="25" t="s">
        <v>854</v>
      </c>
      <c r="V1568" t="s">
        <v>999</v>
      </c>
      <c r="W1568" s="25" t="str">
        <f t="shared" si="43"/>
        <v>Shaped Upholstered PelmetTop FixHD Somfy External Remote Motor</v>
      </c>
      <c r="X1568" s="25">
        <v>0</v>
      </c>
      <c r="Y1568" s="25" t="s">
        <v>824</v>
      </c>
      <c r="Z1568" s="25" t="s">
        <v>824</v>
      </c>
      <c r="AA1568" s="25" t="s">
        <v>824</v>
      </c>
      <c r="AB1568" s="25" t="s">
        <v>824</v>
      </c>
      <c r="AC1568" s="25" t="s">
        <v>821</v>
      </c>
      <c r="AD1568" s="25" t="s">
        <v>824</v>
      </c>
      <c r="AE1568" s="25" t="s">
        <v>824</v>
      </c>
    </row>
    <row r="1569" spans="20:31" ht="14.4">
      <c r="T1569" s="25" t="s">
        <v>861</v>
      </c>
      <c r="U1569" s="25" t="s">
        <v>880</v>
      </c>
      <c r="V1569" s="25" t="s">
        <v>823</v>
      </c>
      <c r="W1569" s="25" t="str">
        <f t="shared" si="43"/>
        <v>Shaped Upholstered PelmetInside Window MountChain Winder</v>
      </c>
      <c r="X1569" s="25">
        <v>0</v>
      </c>
      <c r="Y1569" s="25" t="s">
        <v>824</v>
      </c>
      <c r="Z1569" s="25" t="s">
        <v>824</v>
      </c>
      <c r="AA1569" s="25" t="s">
        <v>824</v>
      </c>
      <c r="AB1569" s="25" t="s">
        <v>824</v>
      </c>
      <c r="AC1569" s="25" t="s">
        <v>821</v>
      </c>
      <c r="AD1569" s="25" t="s">
        <v>824</v>
      </c>
      <c r="AE1569" s="25" t="s">
        <v>824</v>
      </c>
    </row>
    <row r="1570" spans="20:31" ht="14.4">
      <c r="T1570" s="25" t="s">
        <v>861</v>
      </c>
      <c r="U1570" s="25" t="s">
        <v>880</v>
      </c>
      <c r="V1570" s="25" t="s">
        <v>841</v>
      </c>
      <c r="W1570" s="25" t="str">
        <f t="shared" si="43"/>
        <v>Shaped Upholstered PelmetInside Window MountHD Chain Winder</v>
      </c>
      <c r="X1570" s="25">
        <v>0</v>
      </c>
      <c r="Y1570" s="25" t="s">
        <v>824</v>
      </c>
      <c r="Z1570" s="25" t="s">
        <v>824</v>
      </c>
      <c r="AA1570" s="25" t="s">
        <v>824</v>
      </c>
      <c r="AB1570" s="25" t="s">
        <v>824</v>
      </c>
      <c r="AC1570" s="25" t="s">
        <v>821</v>
      </c>
      <c r="AD1570" s="25" t="s">
        <v>824</v>
      </c>
      <c r="AE1570" s="25" t="s">
        <v>824</v>
      </c>
    </row>
    <row r="1571" spans="20:31" ht="14.4">
      <c r="T1571" s="25" t="s">
        <v>861</v>
      </c>
      <c r="U1571" s="25" t="s">
        <v>880</v>
      </c>
      <c r="V1571" s="25" t="s">
        <v>858</v>
      </c>
      <c r="W1571" s="25" t="str">
        <f t="shared" si="43"/>
        <v>Shaped Upholstered PelmetInside Window MountChain Winder 60mm</v>
      </c>
      <c r="X1571" s="25">
        <v>0</v>
      </c>
      <c r="Y1571" s="25" t="s">
        <v>824</v>
      </c>
      <c r="Z1571" s="25" t="s">
        <v>824</v>
      </c>
      <c r="AA1571" s="25" t="s">
        <v>824</v>
      </c>
      <c r="AB1571" s="25" t="s">
        <v>824</v>
      </c>
      <c r="AC1571" s="25" t="s">
        <v>821</v>
      </c>
      <c r="AD1571" s="25" t="s">
        <v>824</v>
      </c>
      <c r="AE1571" s="25" t="s">
        <v>824</v>
      </c>
    </row>
    <row r="1572" spans="20:31" ht="14.4">
      <c r="T1572" s="25" t="s">
        <v>861</v>
      </c>
      <c r="U1572" s="25" t="s">
        <v>880</v>
      </c>
      <c r="V1572" s="25" t="s">
        <v>865</v>
      </c>
      <c r="W1572" s="25" t="str">
        <f t="shared" si="43"/>
        <v>Shaped Upholstered PelmetInside Window MountChain Winder Fixed Guide</v>
      </c>
      <c r="X1572" s="25">
        <v>0</v>
      </c>
      <c r="Y1572" s="25" t="s">
        <v>824</v>
      </c>
      <c r="Z1572" s="25" t="s">
        <v>824</v>
      </c>
      <c r="AA1572" s="25" t="s">
        <v>824</v>
      </c>
      <c r="AB1572" s="25" t="s">
        <v>824</v>
      </c>
      <c r="AC1572" s="25" t="s">
        <v>821</v>
      </c>
      <c r="AD1572" s="25" t="s">
        <v>824</v>
      </c>
      <c r="AE1572" s="25" t="s">
        <v>824</v>
      </c>
    </row>
    <row r="1573" spans="20:31" ht="14.4">
      <c r="T1573" s="25" t="s">
        <v>861</v>
      </c>
      <c r="U1573" s="25" t="s">
        <v>880</v>
      </c>
      <c r="V1573" s="25" t="s">
        <v>181</v>
      </c>
      <c r="W1573" s="25" t="str">
        <f t="shared" si="43"/>
        <v>Shaped Upholstered PelmetInside Window MountLinked</v>
      </c>
      <c r="X1573" s="25">
        <v>0</v>
      </c>
      <c r="Y1573" s="25" t="s">
        <v>824</v>
      </c>
      <c r="Z1573" s="25" t="s">
        <v>824</v>
      </c>
      <c r="AA1573" s="25" t="s">
        <v>824</v>
      </c>
      <c r="AB1573" s="25" t="s">
        <v>824</v>
      </c>
      <c r="AC1573" s="25" t="s">
        <v>821</v>
      </c>
      <c r="AD1573" s="25" t="s">
        <v>824</v>
      </c>
      <c r="AE1573" s="25" t="s">
        <v>824</v>
      </c>
    </row>
    <row r="1574" spans="20:31" ht="14.4">
      <c r="T1574" s="25" t="s">
        <v>861</v>
      </c>
      <c r="U1574" s="25" t="s">
        <v>880</v>
      </c>
      <c r="V1574" s="25" t="s">
        <v>898</v>
      </c>
      <c r="W1574" s="25" t="str">
        <f t="shared" si="43"/>
        <v>Shaped Upholstered PelmetInside Window MountLinked - HD</v>
      </c>
      <c r="X1574" s="25">
        <v>0</v>
      </c>
      <c r="Y1574" s="25" t="s">
        <v>824</v>
      </c>
      <c r="Z1574" s="25" t="s">
        <v>824</v>
      </c>
      <c r="AA1574" s="25" t="s">
        <v>824</v>
      </c>
      <c r="AB1574" s="25" t="s">
        <v>824</v>
      </c>
      <c r="AC1574" s="25" t="s">
        <v>821</v>
      </c>
      <c r="AD1574" s="25" t="s">
        <v>824</v>
      </c>
      <c r="AE1574" s="25" t="s">
        <v>824</v>
      </c>
    </row>
    <row r="1575" spans="20:31" ht="14.4">
      <c r="T1575" s="25" t="s">
        <v>861</v>
      </c>
      <c r="U1575" s="25" t="s">
        <v>880</v>
      </c>
      <c r="V1575" s="25" t="s">
        <v>925</v>
      </c>
      <c r="W1575" s="25" t="str">
        <f t="shared" si="43"/>
        <v>Shaped Upholstered PelmetInside Window MountLinked 60mm</v>
      </c>
      <c r="X1575" s="25">
        <v>0</v>
      </c>
      <c r="Y1575" s="25" t="s">
        <v>824</v>
      </c>
      <c r="Z1575" s="25" t="s">
        <v>824</v>
      </c>
      <c r="AA1575" s="25" t="s">
        <v>824</v>
      </c>
      <c r="AB1575" s="25" t="s">
        <v>824</v>
      </c>
      <c r="AC1575" s="25" t="s">
        <v>821</v>
      </c>
      <c r="AD1575" s="25" t="s">
        <v>824</v>
      </c>
      <c r="AE1575" s="25" t="s">
        <v>824</v>
      </c>
    </row>
    <row r="1576" spans="20:31" ht="14.4">
      <c r="T1576" s="25" t="s">
        <v>861</v>
      </c>
      <c r="U1576" s="25" t="s">
        <v>880</v>
      </c>
      <c r="V1576" s="25" t="s">
        <v>910</v>
      </c>
      <c r="W1576" s="25" t="str">
        <f t="shared" si="43"/>
        <v>Shaped Upholstered PelmetInside Window MountStandard Spring</v>
      </c>
      <c r="X1576" s="25">
        <v>0</v>
      </c>
      <c r="Y1576" s="25" t="s">
        <v>824</v>
      </c>
      <c r="Z1576" s="25" t="s">
        <v>824</v>
      </c>
      <c r="AA1576" s="25" t="s">
        <v>824</v>
      </c>
      <c r="AB1576" s="25" t="s">
        <v>824</v>
      </c>
      <c r="AC1576" s="25" t="s">
        <v>821</v>
      </c>
      <c r="AD1576" s="25" t="s">
        <v>824</v>
      </c>
      <c r="AE1576" s="25" t="s">
        <v>824</v>
      </c>
    </row>
    <row r="1577" spans="20:31" ht="14.4">
      <c r="T1577" s="25" t="s">
        <v>861</v>
      </c>
      <c r="U1577" s="25" t="s">
        <v>880</v>
      </c>
      <c r="V1577" s="25" t="s">
        <v>920</v>
      </c>
      <c r="W1577" s="25" t="str">
        <f t="shared" si="43"/>
        <v>Shaped Upholstered PelmetInside Window MountSmall Spring</v>
      </c>
      <c r="X1577" s="25">
        <v>0</v>
      </c>
      <c r="Y1577" s="25" t="s">
        <v>824</v>
      </c>
      <c r="Z1577" s="25" t="s">
        <v>824</v>
      </c>
      <c r="AA1577" s="25" t="s">
        <v>824</v>
      </c>
      <c r="AB1577" s="25" t="s">
        <v>824</v>
      </c>
      <c r="AC1577" s="25" t="s">
        <v>821</v>
      </c>
      <c r="AD1577" s="25" t="s">
        <v>824</v>
      </c>
      <c r="AE1577" s="25" t="s">
        <v>824</v>
      </c>
    </row>
    <row r="1578" spans="20:31" ht="14.4">
      <c r="T1578" s="25" t="s">
        <v>861</v>
      </c>
      <c r="U1578" s="25" t="s">
        <v>880</v>
      </c>
      <c r="V1578" s="25" t="s">
        <v>929</v>
      </c>
      <c r="W1578" s="25" t="str">
        <f t="shared" si="43"/>
        <v>Shaped Upholstered PelmetInside Window MountUniline Spring (Old Style)</v>
      </c>
      <c r="X1578" s="25">
        <v>0</v>
      </c>
      <c r="Y1578" s="25" t="s">
        <v>824</v>
      </c>
      <c r="Z1578" s="25" t="s">
        <v>824</v>
      </c>
      <c r="AA1578" s="25" t="s">
        <v>824</v>
      </c>
      <c r="AB1578" s="25" t="s">
        <v>824</v>
      </c>
      <c r="AC1578" s="25" t="s">
        <v>821</v>
      </c>
      <c r="AD1578" s="25" t="s">
        <v>824</v>
      </c>
      <c r="AE1578" s="25" t="s">
        <v>824</v>
      </c>
    </row>
    <row r="1579" spans="20:31" ht="14.4">
      <c r="T1579" s="25" t="s">
        <v>861</v>
      </c>
      <c r="U1579" s="25" t="s">
        <v>880</v>
      </c>
      <c r="V1579" s="25" t="s">
        <v>935</v>
      </c>
      <c r="W1579" s="25" t="str">
        <f t="shared" si="43"/>
        <v>Shaped Upholstered PelmetInside Window MountBecker Remote Motor</v>
      </c>
      <c r="X1579" s="25">
        <v>0</v>
      </c>
      <c r="Y1579" s="25" t="s">
        <v>824</v>
      </c>
      <c r="Z1579" s="25" t="s">
        <v>824</v>
      </c>
      <c r="AA1579" s="25" t="s">
        <v>824</v>
      </c>
      <c r="AB1579" s="25" t="s">
        <v>824</v>
      </c>
      <c r="AC1579" s="25" t="s">
        <v>821</v>
      </c>
      <c r="AD1579" s="25" t="s">
        <v>824</v>
      </c>
      <c r="AE1579" s="25" t="s">
        <v>824</v>
      </c>
    </row>
    <row r="1580" spans="20:31" ht="14.4">
      <c r="T1580" s="25" t="s">
        <v>861</v>
      </c>
      <c r="U1580" s="25" t="s">
        <v>880</v>
      </c>
      <c r="V1580" s="25" t="s">
        <v>939</v>
      </c>
      <c r="W1580" s="25" t="str">
        <f t="shared" si="43"/>
        <v>Shaped Upholstered PelmetInside Window MountBecker CBUS Motor</v>
      </c>
      <c r="X1580" s="25">
        <v>0</v>
      </c>
      <c r="Y1580" s="25" t="s">
        <v>824</v>
      </c>
      <c r="Z1580" s="25" t="s">
        <v>824</v>
      </c>
      <c r="AA1580" s="25" t="s">
        <v>824</v>
      </c>
      <c r="AB1580" s="25" t="s">
        <v>824</v>
      </c>
      <c r="AC1580" s="25" t="s">
        <v>821</v>
      </c>
      <c r="AD1580" s="25" t="s">
        <v>824</v>
      </c>
      <c r="AE1580" s="25" t="s">
        <v>824</v>
      </c>
    </row>
    <row r="1581" spans="20:31" ht="14.4">
      <c r="T1581" s="25" t="s">
        <v>861</v>
      </c>
      <c r="U1581" s="25" t="s">
        <v>880</v>
      </c>
      <c r="V1581" s="25" t="s">
        <v>946</v>
      </c>
      <c r="W1581" s="25" t="str">
        <f t="shared" si="43"/>
        <v>Shaped Upholstered PelmetInside Window MountBecker External Remote Motor</v>
      </c>
      <c r="X1581" s="25">
        <v>0</v>
      </c>
      <c r="Y1581" s="25" t="s">
        <v>824</v>
      </c>
      <c r="Z1581" s="25" t="s">
        <v>824</v>
      </c>
      <c r="AA1581" s="25" t="s">
        <v>824</v>
      </c>
      <c r="AB1581" s="25" t="s">
        <v>824</v>
      </c>
      <c r="AC1581" s="25" t="s">
        <v>821</v>
      </c>
      <c r="AD1581" s="25" t="s">
        <v>824</v>
      </c>
      <c r="AE1581" s="25" t="s">
        <v>824</v>
      </c>
    </row>
    <row r="1582" spans="20:31" ht="14.4">
      <c r="T1582" s="25" t="s">
        <v>861</v>
      </c>
      <c r="U1582" s="25" t="s">
        <v>880</v>
      </c>
      <c r="V1582" s="25" t="s">
        <v>951</v>
      </c>
      <c r="W1582" s="25" t="str">
        <f t="shared" si="43"/>
        <v>Shaped Upholstered PelmetInside Window MountBecker External CBUS Motor</v>
      </c>
      <c r="X1582" s="25">
        <v>0</v>
      </c>
      <c r="Y1582" s="25" t="s">
        <v>824</v>
      </c>
      <c r="Z1582" s="25" t="s">
        <v>824</v>
      </c>
      <c r="AA1582" s="25" t="s">
        <v>824</v>
      </c>
      <c r="AB1582" s="25" t="s">
        <v>824</v>
      </c>
      <c r="AC1582" s="25" t="s">
        <v>821</v>
      </c>
      <c r="AD1582" s="25" t="s">
        <v>824</v>
      </c>
      <c r="AE1582" s="25" t="s">
        <v>824</v>
      </c>
    </row>
    <row r="1583" spans="20:31" ht="14.4">
      <c r="T1583" s="25" t="s">
        <v>861</v>
      </c>
      <c r="U1583" s="25" t="s">
        <v>880</v>
      </c>
      <c r="V1583" s="25" t="s">
        <v>838</v>
      </c>
      <c r="W1583" s="25" t="str">
        <f t="shared" si="43"/>
        <v>Shaped Upholstered PelmetInside Window Mount1.1nm 12v Acmeda Motor</v>
      </c>
      <c r="X1583" s="25">
        <v>0</v>
      </c>
      <c r="Y1583" s="25" t="s">
        <v>824</v>
      </c>
      <c r="Z1583" s="25" t="s">
        <v>824</v>
      </c>
      <c r="AA1583" s="25" t="s">
        <v>824</v>
      </c>
      <c r="AB1583" s="25" t="s">
        <v>824</v>
      </c>
      <c r="AC1583" s="25" t="s">
        <v>821</v>
      </c>
      <c r="AD1583" s="25" t="s">
        <v>824</v>
      </c>
      <c r="AE1583" s="25" t="s">
        <v>824</v>
      </c>
    </row>
    <row r="1584" spans="20:31" ht="14.4">
      <c r="T1584" s="25" t="s">
        <v>861</v>
      </c>
      <c r="U1584" s="25" t="s">
        <v>880</v>
      </c>
      <c r="V1584" t="s">
        <v>882</v>
      </c>
      <c r="W1584" s="25" t="str">
        <f t="shared" si="43"/>
        <v>Shaped Upholstered PelmetInside Window Mount2nm 12v Acmeda Motor</v>
      </c>
      <c r="X1584" s="25">
        <v>0</v>
      </c>
      <c r="Y1584" s="25" t="s">
        <v>824</v>
      </c>
      <c r="Z1584" s="25" t="s">
        <v>824</v>
      </c>
      <c r="AA1584" s="25" t="s">
        <v>824</v>
      </c>
      <c r="AB1584" s="25" t="s">
        <v>824</v>
      </c>
      <c r="AC1584" s="25" t="s">
        <v>821</v>
      </c>
      <c r="AD1584" s="25" t="s">
        <v>824</v>
      </c>
      <c r="AE1584" s="25" t="s">
        <v>824</v>
      </c>
    </row>
    <row r="1585" spans="20:31" ht="14.4">
      <c r="T1585" s="25" t="s">
        <v>861</v>
      </c>
      <c r="U1585" s="25" t="s">
        <v>880</v>
      </c>
      <c r="V1585" t="s">
        <v>896</v>
      </c>
      <c r="W1585" s="25" t="str">
        <f t="shared" si="43"/>
        <v>Shaped Upholstered PelmetInside Window MountAcmeda 12v 6nm Motor</v>
      </c>
      <c r="X1585" s="25">
        <v>0</v>
      </c>
      <c r="Y1585" s="25" t="s">
        <v>824</v>
      </c>
      <c r="Z1585" s="25" t="s">
        <v>824</v>
      </c>
      <c r="AA1585" s="25" t="s">
        <v>824</v>
      </c>
      <c r="AB1585" s="25" t="s">
        <v>824</v>
      </c>
      <c r="AC1585" s="25" t="s">
        <v>821</v>
      </c>
      <c r="AD1585" s="25" t="s">
        <v>824</v>
      </c>
      <c r="AE1585" s="25" t="s">
        <v>824</v>
      </c>
    </row>
    <row r="1586" spans="20:31" ht="14.4">
      <c r="T1586" s="25" t="s">
        <v>861</v>
      </c>
      <c r="U1586" s="25" t="s">
        <v>880</v>
      </c>
      <c r="V1586" t="s">
        <v>855</v>
      </c>
      <c r="W1586" s="25" t="str">
        <f t="shared" si="43"/>
        <v>Shaped Upholstered PelmetInside Window Mount0.7nm 12v Acmeda Motor</v>
      </c>
      <c r="X1586" s="25">
        <v>0</v>
      </c>
      <c r="Y1586" s="25" t="s">
        <v>824</v>
      </c>
      <c r="Z1586" s="25" t="s">
        <v>824</v>
      </c>
      <c r="AA1586" s="25" t="s">
        <v>824</v>
      </c>
      <c r="AB1586" s="25" t="s">
        <v>824</v>
      </c>
      <c r="AC1586" s="25" t="s">
        <v>821</v>
      </c>
      <c r="AD1586" s="25" t="s">
        <v>824</v>
      </c>
      <c r="AE1586" s="25" t="s">
        <v>824</v>
      </c>
    </row>
    <row r="1587" spans="20:31" ht="14.4">
      <c r="T1587" s="25" t="s">
        <v>861</v>
      </c>
      <c r="U1587" s="25" t="s">
        <v>880</v>
      </c>
      <c r="V1587" s="25" t="s">
        <v>849</v>
      </c>
      <c r="W1587" s="25" t="str">
        <f t="shared" si="43"/>
        <v>Shaped Upholstered PelmetInside Window Mount1.1nm 12v Acmeda DCRF Motor with External Battery</v>
      </c>
      <c r="X1587" s="25">
        <v>0</v>
      </c>
      <c r="Y1587" s="25" t="s">
        <v>824</v>
      </c>
      <c r="Z1587" s="25" t="s">
        <v>824</v>
      </c>
      <c r="AA1587" s="25" t="s">
        <v>824</v>
      </c>
      <c r="AB1587" s="25" t="s">
        <v>824</v>
      </c>
      <c r="AC1587" s="25" t="s">
        <v>821</v>
      </c>
      <c r="AD1587" s="25" t="s">
        <v>824</v>
      </c>
      <c r="AE1587" s="25" t="s">
        <v>824</v>
      </c>
    </row>
    <row r="1588" spans="20:31" ht="14.4">
      <c r="T1588" s="25" t="s">
        <v>861</v>
      </c>
      <c r="U1588" s="25" t="s">
        <v>880</v>
      </c>
      <c r="V1588" s="25" t="s">
        <v>817</v>
      </c>
      <c r="W1588" s="25" t="str">
        <f t="shared" si="43"/>
        <v>Shaped Upholstered PelmetInside Window Mount1.1nm 12v Acmeda DCRF Motor</v>
      </c>
      <c r="X1588" s="25">
        <v>0</v>
      </c>
      <c r="Y1588" s="25" t="s">
        <v>824</v>
      </c>
      <c r="Z1588" s="25" t="s">
        <v>824</v>
      </c>
      <c r="AA1588" s="25" t="s">
        <v>824</v>
      </c>
      <c r="AB1588" s="25" t="s">
        <v>824</v>
      </c>
      <c r="AC1588" s="25" t="s">
        <v>821</v>
      </c>
      <c r="AD1588" s="25" t="s">
        <v>824</v>
      </c>
      <c r="AE1588" s="25" t="s">
        <v>824</v>
      </c>
    </row>
    <row r="1589" spans="20:31" ht="14.4">
      <c r="T1589" s="25" t="s">
        <v>861</v>
      </c>
      <c r="U1589" s="25" t="s">
        <v>880</v>
      </c>
      <c r="V1589" s="25" t="s">
        <v>868</v>
      </c>
      <c r="W1589" s="25" t="str">
        <f t="shared" si="43"/>
        <v>Shaped Upholstered PelmetInside Window Mount2nm 12v Acmeda DCRF Motor</v>
      </c>
      <c r="X1589" s="25">
        <v>0</v>
      </c>
      <c r="Y1589" s="25" t="s">
        <v>824</v>
      </c>
      <c r="Z1589" s="25" t="s">
        <v>824</v>
      </c>
      <c r="AA1589" s="25" t="s">
        <v>824</v>
      </c>
      <c r="AB1589" s="25" t="s">
        <v>824</v>
      </c>
      <c r="AC1589" s="25" t="s">
        <v>821</v>
      </c>
      <c r="AD1589" s="25" t="s">
        <v>824</v>
      </c>
      <c r="AE1589" s="25" t="s">
        <v>824</v>
      </c>
    </row>
    <row r="1590" spans="20:31" ht="14.4">
      <c r="T1590" s="25" t="s">
        <v>861</v>
      </c>
      <c r="U1590" s="25" t="s">
        <v>880</v>
      </c>
      <c r="V1590" t="s">
        <v>973</v>
      </c>
      <c r="W1590" s="25" t="str">
        <f t="shared" si="43"/>
        <v>Shaped Upholstered PelmetInside Window MountSomfy Remote Sonesse Motor</v>
      </c>
      <c r="X1590" s="25">
        <v>0</v>
      </c>
      <c r="Y1590" s="25" t="s">
        <v>824</v>
      </c>
      <c r="Z1590" s="25" t="s">
        <v>824</v>
      </c>
      <c r="AA1590" s="25" t="s">
        <v>824</v>
      </c>
      <c r="AB1590" s="25" t="s">
        <v>824</v>
      </c>
      <c r="AC1590" s="25" t="s">
        <v>821</v>
      </c>
      <c r="AD1590" s="25" t="s">
        <v>824</v>
      </c>
      <c r="AE1590" s="25" t="s">
        <v>824</v>
      </c>
    </row>
    <row r="1591" spans="20:31" ht="14.4">
      <c r="T1591" s="25" t="s">
        <v>861</v>
      </c>
      <c r="U1591" s="25" t="s">
        <v>880</v>
      </c>
      <c r="V1591" t="s">
        <v>637</v>
      </c>
      <c r="W1591" s="25" t="str">
        <f t="shared" si="43"/>
        <v>Shaped Upholstered PelmetInside Window MountSomfy 12v Remote Sonesse Motor</v>
      </c>
      <c r="X1591" s="25">
        <v>0</v>
      </c>
      <c r="Y1591" s="25" t="s">
        <v>824</v>
      </c>
      <c r="Z1591" s="25" t="s">
        <v>824</v>
      </c>
      <c r="AA1591" s="25" t="s">
        <v>824</v>
      </c>
      <c r="AB1591" s="25" t="s">
        <v>824</v>
      </c>
      <c r="AC1591" s="25" t="s">
        <v>821</v>
      </c>
      <c r="AD1591" s="25" t="s">
        <v>824</v>
      </c>
      <c r="AE1591" s="25" t="s">
        <v>824</v>
      </c>
    </row>
    <row r="1592" spans="20:31" ht="14.4">
      <c r="T1592" s="25" t="s">
        <v>861</v>
      </c>
      <c r="U1592" s="25" t="s">
        <v>880</v>
      </c>
      <c r="V1592" s="25" t="s">
        <v>974</v>
      </c>
      <c r="W1592" s="25" t="str">
        <f t="shared" si="43"/>
        <v>Shaped Upholstered PelmetInside Window MountSomfy CBUS Motor</v>
      </c>
      <c r="X1592" s="25">
        <v>0</v>
      </c>
      <c r="Y1592" s="25" t="s">
        <v>824</v>
      </c>
      <c r="Z1592" s="25" t="s">
        <v>824</v>
      </c>
      <c r="AA1592" s="25" t="s">
        <v>824</v>
      </c>
      <c r="AB1592" s="25" t="s">
        <v>824</v>
      </c>
      <c r="AC1592" s="25" t="s">
        <v>821</v>
      </c>
      <c r="AD1592" s="25" t="s">
        <v>824</v>
      </c>
      <c r="AE1592" s="25" t="s">
        <v>824</v>
      </c>
    </row>
    <row r="1593" spans="20:31" ht="14.4">
      <c r="T1593" s="25" t="s">
        <v>861</v>
      </c>
      <c r="U1593" s="25" t="s">
        <v>880</v>
      </c>
      <c r="V1593" t="s">
        <v>986</v>
      </c>
      <c r="W1593" s="25" t="str">
        <f t="shared" si="43"/>
        <v>Shaped Upholstered PelmetInside Window MountHD Somfy Remote Sonesse Motor</v>
      </c>
      <c r="X1593" s="25">
        <v>0</v>
      </c>
      <c r="Y1593" s="25" t="s">
        <v>824</v>
      </c>
      <c r="Z1593" s="25" t="s">
        <v>824</v>
      </c>
      <c r="AA1593" s="25" t="s">
        <v>824</v>
      </c>
      <c r="AB1593" s="25" t="s">
        <v>824</v>
      </c>
      <c r="AC1593" s="25" t="s">
        <v>821</v>
      </c>
      <c r="AD1593" s="25" t="s">
        <v>824</v>
      </c>
      <c r="AE1593" s="25" t="s">
        <v>824</v>
      </c>
    </row>
    <row r="1594" spans="20:31" ht="14.4">
      <c r="T1594" s="25" t="s">
        <v>861</v>
      </c>
      <c r="U1594" s="25" t="s">
        <v>880</v>
      </c>
      <c r="V1594" t="s">
        <v>989</v>
      </c>
      <c r="W1594" s="25" t="str">
        <f t="shared" si="43"/>
        <v>Shaped Upholstered PelmetInside Window MountHD Somfy 12v Remote Sonesse Motor</v>
      </c>
      <c r="X1594" s="25">
        <v>0</v>
      </c>
      <c r="Y1594" s="25" t="s">
        <v>824</v>
      </c>
      <c r="Z1594" s="25" t="s">
        <v>824</v>
      </c>
      <c r="AA1594" s="25" t="s">
        <v>824</v>
      </c>
      <c r="AB1594" s="25" t="s">
        <v>824</v>
      </c>
      <c r="AC1594" s="25" t="s">
        <v>821</v>
      </c>
      <c r="AD1594" s="25" t="s">
        <v>824</v>
      </c>
      <c r="AE1594" s="25" t="s">
        <v>824</v>
      </c>
    </row>
    <row r="1595" spans="20:31" ht="14.4">
      <c r="T1595" s="25" t="s">
        <v>861</v>
      </c>
      <c r="U1595" s="25" t="s">
        <v>880</v>
      </c>
      <c r="V1595" s="25" t="s">
        <v>992</v>
      </c>
      <c r="W1595" s="25" t="str">
        <f t="shared" si="43"/>
        <v>Shaped Upholstered PelmetInside Window MountHD Somfy CBUS Motor</v>
      </c>
      <c r="X1595" s="25">
        <v>0</v>
      </c>
      <c r="Y1595" s="25" t="s">
        <v>824</v>
      </c>
      <c r="Z1595" s="25" t="s">
        <v>824</v>
      </c>
      <c r="AA1595" s="25" t="s">
        <v>824</v>
      </c>
      <c r="AB1595" s="25" t="s">
        <v>824</v>
      </c>
      <c r="AC1595" s="25" t="s">
        <v>821</v>
      </c>
      <c r="AD1595" s="25" t="s">
        <v>824</v>
      </c>
      <c r="AE1595" s="25" t="s">
        <v>824</v>
      </c>
    </row>
    <row r="1596" spans="20:31" ht="14.4">
      <c r="T1596" s="25" t="s">
        <v>861</v>
      </c>
      <c r="U1596" s="25" t="s">
        <v>880</v>
      </c>
      <c r="V1596" s="25" t="s">
        <v>625</v>
      </c>
      <c r="W1596" s="25" t="str">
        <f t="shared" si="43"/>
        <v>Shaped Upholstered PelmetInside Window MountAcmeda E6 Motor</v>
      </c>
      <c r="X1596" s="25">
        <v>0</v>
      </c>
      <c r="Y1596" s="25" t="s">
        <v>824</v>
      </c>
      <c r="Z1596" s="25" t="s">
        <v>824</v>
      </c>
      <c r="AA1596" s="25" t="s">
        <v>824</v>
      </c>
      <c r="AB1596" s="25" t="s">
        <v>824</v>
      </c>
      <c r="AC1596" s="25" t="s">
        <v>821</v>
      </c>
      <c r="AD1596" s="25" t="s">
        <v>824</v>
      </c>
      <c r="AE1596" s="25" t="s">
        <v>824</v>
      </c>
    </row>
    <row r="1597" spans="20:31" ht="14.4">
      <c r="T1597" s="25" t="s">
        <v>861</v>
      </c>
      <c r="U1597" s="25" t="s">
        <v>880</v>
      </c>
      <c r="V1597" s="25" t="s">
        <v>626</v>
      </c>
      <c r="W1597" s="25" t="str">
        <f t="shared" si="43"/>
        <v>Shaped Upholstered PelmetInside Window MountAcmeda M6 Motor</v>
      </c>
      <c r="X1597" s="25">
        <v>0</v>
      </c>
      <c r="Y1597" s="25" t="s">
        <v>824</v>
      </c>
      <c r="Z1597" s="25" t="s">
        <v>824</v>
      </c>
      <c r="AA1597" s="25" t="s">
        <v>824</v>
      </c>
      <c r="AB1597" s="25" t="s">
        <v>824</v>
      </c>
      <c r="AC1597" s="25" t="s">
        <v>821</v>
      </c>
      <c r="AD1597" s="25" t="s">
        <v>824</v>
      </c>
      <c r="AE1597" s="25" t="s">
        <v>824</v>
      </c>
    </row>
    <row r="1598" spans="20:31" ht="14.4">
      <c r="T1598" s="25" t="s">
        <v>861</v>
      </c>
      <c r="U1598" s="25" t="s">
        <v>880</v>
      </c>
      <c r="V1598" s="25" t="s">
        <v>1002</v>
      </c>
      <c r="W1598" s="25" t="str">
        <f t="shared" si="43"/>
        <v>Shaped Upholstered PelmetInside Window MountUniline Remote Motor</v>
      </c>
      <c r="X1598" s="25">
        <v>0</v>
      </c>
      <c r="Y1598" s="25" t="s">
        <v>824</v>
      </c>
      <c r="Z1598" s="25" t="s">
        <v>824</v>
      </c>
      <c r="AA1598" s="25" t="s">
        <v>824</v>
      </c>
      <c r="AB1598" s="25" t="s">
        <v>824</v>
      </c>
      <c r="AC1598" s="25" t="s">
        <v>821</v>
      </c>
      <c r="AD1598" s="25" t="s">
        <v>824</v>
      </c>
      <c r="AE1598" s="25" t="s">
        <v>824</v>
      </c>
    </row>
    <row r="1599" spans="20:31" ht="14.4">
      <c r="T1599" s="25" t="s">
        <v>861</v>
      </c>
      <c r="U1599" s="25" t="s">
        <v>880</v>
      </c>
      <c r="V1599" s="25" t="s">
        <v>1005</v>
      </c>
      <c r="W1599" s="25" t="str">
        <f t="shared" si="43"/>
        <v>Shaped Upholstered PelmetInside Window MountUniline Cbus Motor</v>
      </c>
      <c r="X1599" s="25">
        <v>0</v>
      </c>
      <c r="Y1599" s="25" t="s">
        <v>824</v>
      </c>
      <c r="Z1599" s="25" t="s">
        <v>824</v>
      </c>
      <c r="AA1599" s="25" t="s">
        <v>824</v>
      </c>
      <c r="AB1599" s="25" t="s">
        <v>824</v>
      </c>
      <c r="AC1599" s="25" t="s">
        <v>821</v>
      </c>
      <c r="AD1599" s="25" t="s">
        <v>824</v>
      </c>
      <c r="AE1599" s="25" t="s">
        <v>824</v>
      </c>
    </row>
    <row r="1600" spans="20:31" ht="14.4">
      <c r="T1600" s="25" t="s">
        <v>861</v>
      </c>
      <c r="U1600" s="25" t="s">
        <v>880</v>
      </c>
      <c r="V1600" s="25" t="s">
        <v>981</v>
      </c>
      <c r="W1600" s="25" t="str">
        <f t="shared" si="43"/>
        <v>Shaped Upholstered PelmetInside Window MountNice Remote Motor</v>
      </c>
      <c r="X1600" s="25">
        <v>0</v>
      </c>
      <c r="Y1600" s="25" t="s">
        <v>824</v>
      </c>
      <c r="Z1600" s="25" t="s">
        <v>824</v>
      </c>
      <c r="AA1600" s="25" t="s">
        <v>824</v>
      </c>
      <c r="AB1600" s="25" t="s">
        <v>824</v>
      </c>
      <c r="AC1600" s="25" t="s">
        <v>821</v>
      </c>
      <c r="AD1600" s="25" t="s">
        <v>824</v>
      </c>
      <c r="AE1600" s="25" t="s">
        <v>824</v>
      </c>
    </row>
    <row r="1601" spans="20:31" ht="14.4">
      <c r="T1601" s="25" t="s">
        <v>861</v>
      </c>
      <c r="U1601" s="25" t="s">
        <v>880</v>
      </c>
      <c r="V1601" s="25" t="s">
        <v>976</v>
      </c>
      <c r="W1601" s="25" t="str">
        <f t="shared" si="43"/>
        <v>Shaped Upholstered PelmetInside Window MountNice CBus Motor</v>
      </c>
      <c r="X1601" s="25">
        <v>0</v>
      </c>
      <c r="Y1601" s="25" t="s">
        <v>824</v>
      </c>
      <c r="Z1601" s="25" t="s">
        <v>824</v>
      </c>
      <c r="AA1601" s="25" t="s">
        <v>824</v>
      </c>
      <c r="AB1601" s="25" t="s">
        <v>824</v>
      </c>
      <c r="AC1601" s="25" t="s">
        <v>821</v>
      </c>
      <c r="AD1601" s="25" t="s">
        <v>824</v>
      </c>
      <c r="AE1601" s="25" t="s">
        <v>824</v>
      </c>
    </row>
    <row r="1602" spans="20:31" ht="14.4">
      <c r="T1602" s="25" t="s">
        <v>861</v>
      </c>
      <c r="U1602" s="25" t="s">
        <v>880</v>
      </c>
      <c r="V1602" t="s">
        <v>1006</v>
      </c>
      <c r="W1602" s="25" t="str">
        <f t="shared" si="43"/>
        <v>Shaped Upholstered PelmetInside Window MountSunboss Chain Winder 38mm Tube</v>
      </c>
      <c r="X1602" s="25">
        <v>0</v>
      </c>
      <c r="Y1602" s="25" t="s">
        <v>824</v>
      </c>
      <c r="Z1602" s="25" t="s">
        <v>824</v>
      </c>
      <c r="AA1602" s="25" t="s">
        <v>824</v>
      </c>
      <c r="AB1602" s="25" t="s">
        <v>824</v>
      </c>
      <c r="AC1602" s="25" t="s">
        <v>821</v>
      </c>
      <c r="AD1602" s="25" t="s">
        <v>824</v>
      </c>
      <c r="AE1602" s="25" t="s">
        <v>824</v>
      </c>
    </row>
    <row r="1603" spans="20:31" ht="14.4">
      <c r="T1603" s="25" t="s">
        <v>861</v>
      </c>
      <c r="U1603" s="25" t="s">
        <v>880</v>
      </c>
      <c r="V1603" t="s">
        <v>1017</v>
      </c>
      <c r="W1603" s="25" t="str">
        <f t="shared" si="44" ref="W1603:W1666">CONCATENATE(T1603,U1603,V1603)</f>
        <v>Shaped Upholstered PelmetInside Window MountSunboss Chain Winder 43mm Tube</v>
      </c>
      <c r="X1603" s="25">
        <v>0</v>
      </c>
      <c r="Y1603" s="25" t="s">
        <v>824</v>
      </c>
      <c r="Z1603" s="25" t="s">
        <v>824</v>
      </c>
      <c r="AA1603" s="25" t="s">
        <v>824</v>
      </c>
      <c r="AB1603" s="25" t="s">
        <v>824</v>
      </c>
      <c r="AC1603" s="25" t="s">
        <v>821</v>
      </c>
      <c r="AD1603" s="25" t="s">
        <v>824</v>
      </c>
      <c r="AE1603" s="25" t="s">
        <v>824</v>
      </c>
    </row>
    <row r="1604" spans="20:31" ht="14.4">
      <c r="T1604" s="25" t="s">
        <v>861</v>
      </c>
      <c r="U1604" s="25" t="s">
        <v>880</v>
      </c>
      <c r="V1604" s="25" t="s">
        <v>1012</v>
      </c>
      <c r="W1604" s="25" t="str">
        <f t="shared" si="44"/>
        <v>Shaped Upholstered PelmetInside Window MountTBS Remote Motor</v>
      </c>
      <c r="X1604" s="25">
        <v>0</v>
      </c>
      <c r="Y1604" s="25" t="s">
        <v>824</v>
      </c>
      <c r="Z1604" s="25" t="s">
        <v>824</v>
      </c>
      <c r="AA1604" s="25" t="s">
        <v>824</v>
      </c>
      <c r="AB1604" s="25" t="s">
        <v>824</v>
      </c>
      <c r="AC1604" s="25" t="s">
        <v>821</v>
      </c>
      <c r="AD1604" s="25" t="s">
        <v>824</v>
      </c>
      <c r="AE1604" s="25" t="s">
        <v>824</v>
      </c>
    </row>
    <row r="1605" spans="20:31" ht="14.4">
      <c r="T1605" s="25" t="s">
        <v>861</v>
      </c>
      <c r="U1605" s="25" t="s">
        <v>880</v>
      </c>
      <c r="V1605" t="s">
        <v>1009</v>
      </c>
      <c r="W1605" s="25" t="str">
        <f t="shared" si="44"/>
        <v>Shaped Upholstered PelmetInside Window MountTBS Cbus Motor</v>
      </c>
      <c r="X1605" s="25">
        <v>0</v>
      </c>
      <c r="Y1605" s="25" t="s">
        <v>824</v>
      </c>
      <c r="Z1605" s="25" t="s">
        <v>824</v>
      </c>
      <c r="AA1605" s="25" t="s">
        <v>824</v>
      </c>
      <c r="AB1605" s="25" t="s">
        <v>824</v>
      </c>
      <c r="AC1605" s="25" t="s">
        <v>821</v>
      </c>
      <c r="AD1605" s="25" t="s">
        <v>824</v>
      </c>
      <c r="AE1605" s="25" t="s">
        <v>824</v>
      </c>
    </row>
    <row r="1606" spans="20:31" ht="14.4">
      <c r="T1606" s="25" t="s">
        <v>861</v>
      </c>
      <c r="U1606" s="25" t="s">
        <v>880</v>
      </c>
      <c r="V1606" t="s">
        <v>927</v>
      </c>
      <c r="W1606" s="25" t="str">
        <f t="shared" si="44"/>
        <v>Shaped Upholstered PelmetInside Window MountAcmeda External Motor</v>
      </c>
      <c r="X1606" s="25">
        <v>0</v>
      </c>
      <c r="Y1606" s="25" t="s">
        <v>824</v>
      </c>
      <c r="Z1606" s="25" t="s">
        <v>824</v>
      </c>
      <c r="AA1606" s="25" t="s">
        <v>824</v>
      </c>
      <c r="AB1606" s="25" t="s">
        <v>824</v>
      </c>
      <c r="AC1606" s="25" t="s">
        <v>821</v>
      </c>
      <c r="AD1606" s="25" t="s">
        <v>824</v>
      </c>
      <c r="AE1606" s="25" t="s">
        <v>824</v>
      </c>
    </row>
    <row r="1607" spans="20:31" ht="14.4">
      <c r="T1607" s="25" t="s">
        <v>861</v>
      </c>
      <c r="U1607" s="25" t="s">
        <v>880</v>
      </c>
      <c r="V1607" t="s">
        <v>918</v>
      </c>
      <c r="W1607" s="25" t="str">
        <f t="shared" si="44"/>
        <v>Shaped Upholstered PelmetInside Window MountAcmeda External 12v Motor</v>
      </c>
      <c r="X1607" s="25">
        <v>0</v>
      </c>
      <c r="Y1607" s="25" t="s">
        <v>824</v>
      </c>
      <c r="Z1607" s="25" t="s">
        <v>824</v>
      </c>
      <c r="AA1607" s="25" t="s">
        <v>824</v>
      </c>
      <c r="AB1607" s="25" t="s">
        <v>824</v>
      </c>
      <c r="AC1607" s="25" t="s">
        <v>821</v>
      </c>
      <c r="AD1607" s="25" t="s">
        <v>824</v>
      </c>
      <c r="AE1607" s="25" t="s">
        <v>824</v>
      </c>
    </row>
    <row r="1608" spans="20:31" ht="14.4">
      <c r="T1608" s="25" t="s">
        <v>861</v>
      </c>
      <c r="U1608" s="25" t="s">
        <v>880</v>
      </c>
      <c r="V1608" t="s">
        <v>979</v>
      </c>
      <c r="W1608" s="25" t="str">
        <f t="shared" si="44"/>
        <v>Shaped Upholstered PelmetInside Window MountSomfy External CBUS Motor</v>
      </c>
      <c r="X1608" s="25">
        <v>0</v>
      </c>
      <c r="Y1608" s="25" t="s">
        <v>824</v>
      </c>
      <c r="Z1608" s="25" t="s">
        <v>824</v>
      </c>
      <c r="AA1608" s="25" t="s">
        <v>824</v>
      </c>
      <c r="AB1608" s="25" t="s">
        <v>824</v>
      </c>
      <c r="AC1608" s="25" t="s">
        <v>821</v>
      </c>
      <c r="AD1608" s="25" t="s">
        <v>824</v>
      </c>
      <c r="AE1608" s="25" t="s">
        <v>824</v>
      </c>
    </row>
    <row r="1609" spans="20:31" ht="14.4">
      <c r="T1609" s="25" t="s">
        <v>861</v>
      </c>
      <c r="U1609" s="25" t="s">
        <v>880</v>
      </c>
      <c r="V1609" t="s">
        <v>983</v>
      </c>
      <c r="W1609" s="25" t="str">
        <f t="shared" si="44"/>
        <v>Shaped Upholstered PelmetInside Window MountSomfy External Remote Motor</v>
      </c>
      <c r="X1609" s="25">
        <v>0</v>
      </c>
      <c r="Y1609" s="25" t="s">
        <v>824</v>
      </c>
      <c r="Z1609" s="25" t="s">
        <v>824</v>
      </c>
      <c r="AA1609" s="25" t="s">
        <v>824</v>
      </c>
      <c r="AB1609" s="25" t="s">
        <v>824</v>
      </c>
      <c r="AC1609" s="25" t="s">
        <v>821</v>
      </c>
      <c r="AD1609" s="25" t="s">
        <v>824</v>
      </c>
      <c r="AE1609" s="25" t="s">
        <v>824</v>
      </c>
    </row>
    <row r="1610" spans="20:31" ht="14.4">
      <c r="T1610" s="25" t="s">
        <v>861</v>
      </c>
      <c r="U1610" s="25" t="s">
        <v>880</v>
      </c>
      <c r="V1610" t="s">
        <v>995</v>
      </c>
      <c r="W1610" s="25" t="str">
        <f t="shared" si="44"/>
        <v>Shaped Upholstered PelmetInside Window MountHD Somfy External CBUS Motor</v>
      </c>
      <c r="X1610" s="25">
        <v>0</v>
      </c>
      <c r="Y1610" s="25" t="s">
        <v>824</v>
      </c>
      <c r="Z1610" s="25" t="s">
        <v>824</v>
      </c>
      <c r="AA1610" s="25" t="s">
        <v>824</v>
      </c>
      <c r="AB1610" s="25" t="s">
        <v>824</v>
      </c>
      <c r="AC1610" s="25" t="s">
        <v>821</v>
      </c>
      <c r="AD1610" s="25" t="s">
        <v>824</v>
      </c>
      <c r="AE1610" s="25" t="s">
        <v>824</v>
      </c>
    </row>
    <row r="1611" spans="20:31" ht="14.4">
      <c r="T1611" s="25" t="s">
        <v>861</v>
      </c>
      <c r="U1611" s="25" t="s">
        <v>880</v>
      </c>
      <c r="V1611" t="s">
        <v>999</v>
      </c>
      <c r="W1611" s="25" t="str">
        <f t="shared" si="44"/>
        <v>Shaped Upholstered PelmetInside Window MountHD Somfy External Remote Motor</v>
      </c>
      <c r="X1611" s="25">
        <v>0</v>
      </c>
      <c r="Y1611" s="25" t="s">
        <v>824</v>
      </c>
      <c r="Z1611" s="25" t="s">
        <v>824</v>
      </c>
      <c r="AA1611" s="25" t="s">
        <v>824</v>
      </c>
      <c r="AB1611" s="25" t="s">
        <v>824</v>
      </c>
      <c r="AC1611" s="25" t="s">
        <v>821</v>
      </c>
      <c r="AD1611" s="25" t="s">
        <v>824</v>
      </c>
      <c r="AE1611" s="25" t="s">
        <v>824</v>
      </c>
    </row>
    <row r="1612" spans="20:31" ht="14.4">
      <c r="T1612" s="25" t="s">
        <v>861</v>
      </c>
      <c r="U1612" s="25" t="s">
        <v>867</v>
      </c>
      <c r="V1612" s="25" t="s">
        <v>823</v>
      </c>
      <c r="W1612" s="25" t="str">
        <f t="shared" si="44"/>
        <v>Shaped Upholstered PelmetOutside Window MountChain Winder</v>
      </c>
      <c r="X1612" s="25">
        <v>0</v>
      </c>
      <c r="Y1612" s="25" t="s">
        <v>824</v>
      </c>
      <c r="Z1612" s="25" t="s">
        <v>824</v>
      </c>
      <c r="AA1612" s="25" t="s">
        <v>824</v>
      </c>
      <c r="AB1612" s="25" t="s">
        <v>824</v>
      </c>
      <c r="AC1612" s="25" t="s">
        <v>821</v>
      </c>
      <c r="AD1612" s="25" t="s">
        <v>824</v>
      </c>
      <c r="AE1612" s="25" t="s">
        <v>824</v>
      </c>
    </row>
    <row r="1613" spans="20:31" ht="14.4">
      <c r="T1613" s="25" t="s">
        <v>861</v>
      </c>
      <c r="U1613" s="25" t="s">
        <v>867</v>
      </c>
      <c r="V1613" s="25" t="s">
        <v>841</v>
      </c>
      <c r="W1613" s="25" t="str">
        <f t="shared" si="44"/>
        <v>Shaped Upholstered PelmetOutside Window MountHD Chain Winder</v>
      </c>
      <c r="X1613" s="25">
        <v>0</v>
      </c>
      <c r="Y1613" s="25" t="s">
        <v>824</v>
      </c>
      <c r="Z1613" s="25" t="s">
        <v>824</v>
      </c>
      <c r="AA1613" s="25" t="s">
        <v>824</v>
      </c>
      <c r="AB1613" s="25" t="s">
        <v>824</v>
      </c>
      <c r="AC1613" s="25" t="s">
        <v>821</v>
      </c>
      <c r="AD1613" s="25" t="s">
        <v>824</v>
      </c>
      <c r="AE1613" s="25" t="s">
        <v>824</v>
      </c>
    </row>
    <row r="1614" spans="20:31" ht="14.4">
      <c r="T1614" s="25" t="s">
        <v>861</v>
      </c>
      <c r="U1614" s="25" t="s">
        <v>867</v>
      </c>
      <c r="V1614" s="25" t="s">
        <v>858</v>
      </c>
      <c r="W1614" s="25" t="str">
        <f t="shared" si="44"/>
        <v>Shaped Upholstered PelmetOutside Window MountChain Winder 60mm</v>
      </c>
      <c r="X1614" s="25">
        <v>0</v>
      </c>
      <c r="Y1614" s="25" t="s">
        <v>824</v>
      </c>
      <c r="Z1614" s="25" t="s">
        <v>824</v>
      </c>
      <c r="AA1614" s="25" t="s">
        <v>824</v>
      </c>
      <c r="AB1614" s="25" t="s">
        <v>824</v>
      </c>
      <c r="AC1614" s="25" t="s">
        <v>821</v>
      </c>
      <c r="AD1614" s="25" t="s">
        <v>824</v>
      </c>
      <c r="AE1614" s="25" t="s">
        <v>824</v>
      </c>
    </row>
    <row r="1615" spans="20:31" ht="14.4">
      <c r="T1615" s="25" t="s">
        <v>861</v>
      </c>
      <c r="U1615" s="25" t="s">
        <v>867</v>
      </c>
      <c r="V1615" s="25" t="s">
        <v>865</v>
      </c>
      <c r="W1615" s="25" t="str">
        <f t="shared" si="44"/>
        <v>Shaped Upholstered PelmetOutside Window MountChain Winder Fixed Guide</v>
      </c>
      <c r="X1615" s="25">
        <v>0</v>
      </c>
      <c r="Y1615" s="25" t="s">
        <v>824</v>
      </c>
      <c r="Z1615" s="25" t="s">
        <v>824</v>
      </c>
      <c r="AA1615" s="25" t="s">
        <v>824</v>
      </c>
      <c r="AB1615" s="25" t="s">
        <v>824</v>
      </c>
      <c r="AC1615" s="25" t="s">
        <v>821</v>
      </c>
      <c r="AD1615" s="25" t="s">
        <v>824</v>
      </c>
      <c r="AE1615" s="25" t="s">
        <v>824</v>
      </c>
    </row>
    <row r="1616" spans="20:31" ht="14.4">
      <c r="T1616" s="25" t="s">
        <v>861</v>
      </c>
      <c r="U1616" s="25" t="s">
        <v>867</v>
      </c>
      <c r="V1616" s="25" t="s">
        <v>181</v>
      </c>
      <c r="W1616" s="25" t="str">
        <f t="shared" si="44"/>
        <v>Shaped Upholstered PelmetOutside Window MountLinked</v>
      </c>
      <c r="X1616" s="25">
        <v>0</v>
      </c>
      <c r="Y1616" s="25" t="s">
        <v>824</v>
      </c>
      <c r="Z1616" s="25" t="s">
        <v>824</v>
      </c>
      <c r="AA1616" s="25" t="s">
        <v>824</v>
      </c>
      <c r="AB1616" s="25" t="s">
        <v>824</v>
      </c>
      <c r="AC1616" s="25" t="s">
        <v>821</v>
      </c>
      <c r="AD1616" s="25" t="s">
        <v>824</v>
      </c>
      <c r="AE1616" s="25" t="s">
        <v>824</v>
      </c>
    </row>
    <row r="1617" spans="20:31" ht="14.4">
      <c r="T1617" s="25" t="s">
        <v>861</v>
      </c>
      <c r="U1617" s="25" t="s">
        <v>867</v>
      </c>
      <c r="V1617" s="25" t="s">
        <v>898</v>
      </c>
      <c r="W1617" s="25" t="str">
        <f t="shared" si="44"/>
        <v>Shaped Upholstered PelmetOutside Window MountLinked - HD</v>
      </c>
      <c r="X1617" s="25">
        <v>0</v>
      </c>
      <c r="Y1617" s="25" t="s">
        <v>824</v>
      </c>
      <c r="Z1617" s="25" t="s">
        <v>824</v>
      </c>
      <c r="AA1617" s="25" t="s">
        <v>824</v>
      </c>
      <c r="AB1617" s="25" t="s">
        <v>824</v>
      </c>
      <c r="AC1617" s="25" t="s">
        <v>821</v>
      </c>
      <c r="AD1617" s="25" t="s">
        <v>824</v>
      </c>
      <c r="AE1617" s="25" t="s">
        <v>824</v>
      </c>
    </row>
    <row r="1618" spans="20:31" ht="14.4">
      <c r="T1618" s="25" t="s">
        <v>861</v>
      </c>
      <c r="U1618" s="25" t="s">
        <v>867</v>
      </c>
      <c r="V1618" s="25" t="s">
        <v>925</v>
      </c>
      <c r="W1618" s="25" t="str">
        <f t="shared" si="44"/>
        <v>Shaped Upholstered PelmetOutside Window MountLinked 60mm</v>
      </c>
      <c r="X1618" s="25">
        <v>0</v>
      </c>
      <c r="Y1618" s="25" t="s">
        <v>824</v>
      </c>
      <c r="Z1618" s="25" t="s">
        <v>824</v>
      </c>
      <c r="AA1618" s="25" t="s">
        <v>824</v>
      </c>
      <c r="AB1618" s="25" t="s">
        <v>824</v>
      </c>
      <c r="AC1618" s="25" t="s">
        <v>821</v>
      </c>
      <c r="AD1618" s="25" t="s">
        <v>824</v>
      </c>
      <c r="AE1618" s="25" t="s">
        <v>824</v>
      </c>
    </row>
    <row r="1619" spans="20:31" ht="14.4">
      <c r="T1619" s="25" t="s">
        <v>861</v>
      </c>
      <c r="U1619" s="25" t="s">
        <v>867</v>
      </c>
      <c r="V1619" s="25" t="s">
        <v>910</v>
      </c>
      <c r="W1619" s="25" t="str">
        <f t="shared" si="44"/>
        <v>Shaped Upholstered PelmetOutside Window MountStandard Spring</v>
      </c>
      <c r="X1619" s="25">
        <v>0</v>
      </c>
      <c r="Y1619" s="25" t="s">
        <v>824</v>
      </c>
      <c r="Z1619" s="25" t="s">
        <v>824</v>
      </c>
      <c r="AA1619" s="25" t="s">
        <v>824</v>
      </c>
      <c r="AB1619" s="25" t="s">
        <v>824</v>
      </c>
      <c r="AC1619" s="25" t="s">
        <v>821</v>
      </c>
      <c r="AD1619" s="25" t="s">
        <v>824</v>
      </c>
      <c r="AE1619" s="25" t="s">
        <v>824</v>
      </c>
    </row>
    <row r="1620" spans="20:31" ht="14.4">
      <c r="T1620" s="25" t="s">
        <v>861</v>
      </c>
      <c r="U1620" s="25" t="s">
        <v>867</v>
      </c>
      <c r="V1620" s="25" t="s">
        <v>920</v>
      </c>
      <c r="W1620" s="25" t="str">
        <f t="shared" si="44"/>
        <v>Shaped Upholstered PelmetOutside Window MountSmall Spring</v>
      </c>
      <c r="X1620" s="25">
        <v>0</v>
      </c>
      <c r="Y1620" s="25" t="s">
        <v>824</v>
      </c>
      <c r="Z1620" s="25" t="s">
        <v>824</v>
      </c>
      <c r="AA1620" s="25" t="s">
        <v>824</v>
      </c>
      <c r="AB1620" s="25" t="s">
        <v>824</v>
      </c>
      <c r="AC1620" s="25" t="s">
        <v>821</v>
      </c>
      <c r="AD1620" s="25" t="s">
        <v>824</v>
      </c>
      <c r="AE1620" s="25" t="s">
        <v>824</v>
      </c>
    </row>
    <row r="1621" spans="20:31" ht="14.4">
      <c r="T1621" s="25" t="s">
        <v>861</v>
      </c>
      <c r="U1621" s="25" t="s">
        <v>867</v>
      </c>
      <c r="V1621" s="25" t="s">
        <v>929</v>
      </c>
      <c r="W1621" s="25" t="str">
        <f t="shared" si="44"/>
        <v>Shaped Upholstered PelmetOutside Window MountUniline Spring (Old Style)</v>
      </c>
      <c r="X1621" s="25">
        <v>0</v>
      </c>
      <c r="Y1621" s="25" t="s">
        <v>824</v>
      </c>
      <c r="Z1621" s="25" t="s">
        <v>824</v>
      </c>
      <c r="AA1621" s="25" t="s">
        <v>824</v>
      </c>
      <c r="AB1621" s="25" t="s">
        <v>824</v>
      </c>
      <c r="AC1621" s="25" t="s">
        <v>821</v>
      </c>
      <c r="AD1621" s="25" t="s">
        <v>824</v>
      </c>
      <c r="AE1621" s="25" t="s">
        <v>824</v>
      </c>
    </row>
    <row r="1622" spans="20:31" ht="14.4">
      <c r="T1622" s="25" t="s">
        <v>861</v>
      </c>
      <c r="U1622" s="25" t="s">
        <v>867</v>
      </c>
      <c r="V1622" s="25" t="s">
        <v>935</v>
      </c>
      <c r="W1622" s="25" t="str">
        <f t="shared" si="44"/>
        <v>Shaped Upholstered PelmetOutside Window MountBecker Remote Motor</v>
      </c>
      <c r="X1622" s="25">
        <v>0</v>
      </c>
      <c r="Y1622" s="25" t="s">
        <v>824</v>
      </c>
      <c r="Z1622" s="25" t="s">
        <v>824</v>
      </c>
      <c r="AA1622" s="25" t="s">
        <v>824</v>
      </c>
      <c r="AB1622" s="25" t="s">
        <v>824</v>
      </c>
      <c r="AC1622" s="25" t="s">
        <v>821</v>
      </c>
      <c r="AD1622" s="25" t="s">
        <v>824</v>
      </c>
      <c r="AE1622" s="25" t="s">
        <v>824</v>
      </c>
    </row>
    <row r="1623" spans="20:31" ht="14.4">
      <c r="T1623" s="25" t="s">
        <v>861</v>
      </c>
      <c r="U1623" s="25" t="s">
        <v>867</v>
      </c>
      <c r="V1623" s="25" t="s">
        <v>939</v>
      </c>
      <c r="W1623" s="25" t="str">
        <f t="shared" si="44"/>
        <v>Shaped Upholstered PelmetOutside Window MountBecker CBUS Motor</v>
      </c>
      <c r="X1623" s="25">
        <v>0</v>
      </c>
      <c r="Y1623" s="25" t="s">
        <v>824</v>
      </c>
      <c r="Z1623" s="25" t="s">
        <v>824</v>
      </c>
      <c r="AA1623" s="25" t="s">
        <v>824</v>
      </c>
      <c r="AB1623" s="25" t="s">
        <v>824</v>
      </c>
      <c r="AC1623" s="25" t="s">
        <v>821</v>
      </c>
      <c r="AD1623" s="25" t="s">
        <v>824</v>
      </c>
      <c r="AE1623" s="25" t="s">
        <v>824</v>
      </c>
    </row>
    <row r="1624" spans="20:31" ht="14.4">
      <c r="T1624" s="25" t="s">
        <v>861</v>
      </c>
      <c r="U1624" s="25" t="s">
        <v>867</v>
      </c>
      <c r="V1624" s="25" t="s">
        <v>946</v>
      </c>
      <c r="W1624" s="25" t="str">
        <f t="shared" si="44"/>
        <v>Shaped Upholstered PelmetOutside Window MountBecker External Remote Motor</v>
      </c>
      <c r="X1624" s="25">
        <v>0</v>
      </c>
      <c r="Y1624" s="25" t="s">
        <v>824</v>
      </c>
      <c r="Z1624" s="25" t="s">
        <v>824</v>
      </c>
      <c r="AA1624" s="25" t="s">
        <v>824</v>
      </c>
      <c r="AB1624" s="25" t="s">
        <v>824</v>
      </c>
      <c r="AC1624" s="25" t="s">
        <v>821</v>
      </c>
      <c r="AD1624" s="25" t="s">
        <v>824</v>
      </c>
      <c r="AE1624" s="25" t="s">
        <v>824</v>
      </c>
    </row>
    <row r="1625" spans="20:31" ht="14.4">
      <c r="T1625" s="25" t="s">
        <v>861</v>
      </c>
      <c r="U1625" s="25" t="s">
        <v>867</v>
      </c>
      <c r="V1625" s="25" t="s">
        <v>951</v>
      </c>
      <c r="W1625" s="25" t="str">
        <f t="shared" si="44"/>
        <v>Shaped Upholstered PelmetOutside Window MountBecker External CBUS Motor</v>
      </c>
      <c r="X1625" s="25">
        <v>0</v>
      </c>
      <c r="Y1625" s="25" t="s">
        <v>824</v>
      </c>
      <c r="Z1625" s="25" t="s">
        <v>824</v>
      </c>
      <c r="AA1625" s="25" t="s">
        <v>824</v>
      </c>
      <c r="AB1625" s="25" t="s">
        <v>824</v>
      </c>
      <c r="AC1625" s="25" t="s">
        <v>821</v>
      </c>
      <c r="AD1625" s="25" t="s">
        <v>824</v>
      </c>
      <c r="AE1625" s="25" t="s">
        <v>824</v>
      </c>
    </row>
    <row r="1626" spans="20:31" ht="14.4">
      <c r="T1626" s="25" t="s">
        <v>861</v>
      </c>
      <c r="U1626" s="25" t="s">
        <v>867</v>
      </c>
      <c r="V1626" s="25" t="s">
        <v>838</v>
      </c>
      <c r="W1626" s="25" t="str">
        <f t="shared" si="44"/>
        <v>Shaped Upholstered PelmetOutside Window Mount1.1nm 12v Acmeda Motor</v>
      </c>
      <c r="X1626" s="25">
        <v>0</v>
      </c>
      <c r="Y1626" s="25" t="s">
        <v>824</v>
      </c>
      <c r="Z1626" s="25" t="s">
        <v>824</v>
      </c>
      <c r="AA1626" s="25" t="s">
        <v>824</v>
      </c>
      <c r="AB1626" s="25" t="s">
        <v>824</v>
      </c>
      <c r="AC1626" s="25" t="s">
        <v>821</v>
      </c>
      <c r="AD1626" s="25" t="s">
        <v>824</v>
      </c>
      <c r="AE1626" s="25" t="s">
        <v>824</v>
      </c>
    </row>
    <row r="1627" spans="20:31" ht="14.4">
      <c r="T1627" s="25" t="s">
        <v>861</v>
      </c>
      <c r="U1627" s="25" t="s">
        <v>867</v>
      </c>
      <c r="V1627" t="s">
        <v>882</v>
      </c>
      <c r="W1627" s="25" t="str">
        <f t="shared" si="44"/>
        <v>Shaped Upholstered PelmetOutside Window Mount2nm 12v Acmeda Motor</v>
      </c>
      <c r="X1627" s="25">
        <v>0</v>
      </c>
      <c r="Y1627" s="25" t="s">
        <v>824</v>
      </c>
      <c r="Z1627" s="25" t="s">
        <v>824</v>
      </c>
      <c r="AA1627" s="25" t="s">
        <v>824</v>
      </c>
      <c r="AB1627" s="25" t="s">
        <v>824</v>
      </c>
      <c r="AC1627" s="25" t="s">
        <v>821</v>
      </c>
      <c r="AD1627" s="25" t="s">
        <v>824</v>
      </c>
      <c r="AE1627" s="25" t="s">
        <v>824</v>
      </c>
    </row>
    <row r="1628" spans="20:31" ht="14.4">
      <c r="T1628" s="25" t="s">
        <v>861</v>
      </c>
      <c r="U1628" s="25" t="s">
        <v>867</v>
      </c>
      <c r="V1628" t="s">
        <v>896</v>
      </c>
      <c r="W1628" s="25" t="str">
        <f t="shared" si="44"/>
        <v>Shaped Upholstered PelmetOutside Window MountAcmeda 12v 6nm Motor</v>
      </c>
      <c r="X1628" s="25">
        <v>0</v>
      </c>
      <c r="Y1628" s="25" t="s">
        <v>824</v>
      </c>
      <c r="Z1628" s="25" t="s">
        <v>824</v>
      </c>
      <c r="AA1628" s="25" t="s">
        <v>824</v>
      </c>
      <c r="AB1628" s="25" t="s">
        <v>824</v>
      </c>
      <c r="AC1628" s="25" t="s">
        <v>821</v>
      </c>
      <c r="AD1628" s="25" t="s">
        <v>824</v>
      </c>
      <c r="AE1628" s="25" t="s">
        <v>824</v>
      </c>
    </row>
    <row r="1629" spans="20:31" ht="14.4">
      <c r="T1629" s="25" t="s">
        <v>861</v>
      </c>
      <c r="U1629" s="25" t="s">
        <v>867</v>
      </c>
      <c r="V1629" t="s">
        <v>855</v>
      </c>
      <c r="W1629" s="25" t="str">
        <f t="shared" si="44"/>
        <v>Shaped Upholstered PelmetOutside Window Mount0.7nm 12v Acmeda Motor</v>
      </c>
      <c r="X1629" s="25">
        <v>0</v>
      </c>
      <c r="Y1629" s="25" t="s">
        <v>824</v>
      </c>
      <c r="Z1629" s="25" t="s">
        <v>824</v>
      </c>
      <c r="AA1629" s="25" t="s">
        <v>824</v>
      </c>
      <c r="AB1629" s="25" t="s">
        <v>824</v>
      </c>
      <c r="AC1629" s="25" t="s">
        <v>821</v>
      </c>
      <c r="AD1629" s="25" t="s">
        <v>824</v>
      </c>
      <c r="AE1629" s="25" t="s">
        <v>824</v>
      </c>
    </row>
    <row r="1630" spans="20:31" ht="14.4">
      <c r="T1630" s="25" t="s">
        <v>861</v>
      </c>
      <c r="U1630" s="25" t="s">
        <v>867</v>
      </c>
      <c r="V1630" s="25" t="s">
        <v>849</v>
      </c>
      <c r="W1630" s="25" t="str">
        <f t="shared" si="44"/>
        <v>Shaped Upholstered PelmetOutside Window Mount1.1nm 12v Acmeda DCRF Motor with External Battery</v>
      </c>
      <c r="X1630" s="25">
        <v>0</v>
      </c>
      <c r="Y1630" s="25" t="s">
        <v>824</v>
      </c>
      <c r="Z1630" s="25" t="s">
        <v>824</v>
      </c>
      <c r="AA1630" s="25" t="s">
        <v>824</v>
      </c>
      <c r="AB1630" s="25" t="s">
        <v>824</v>
      </c>
      <c r="AC1630" s="25" t="s">
        <v>821</v>
      </c>
      <c r="AD1630" s="25" t="s">
        <v>824</v>
      </c>
      <c r="AE1630" s="25" t="s">
        <v>824</v>
      </c>
    </row>
    <row r="1631" spans="20:31" ht="14.4">
      <c r="T1631" s="25" t="s">
        <v>861</v>
      </c>
      <c r="U1631" s="25" t="s">
        <v>867</v>
      </c>
      <c r="V1631" s="25" t="s">
        <v>817</v>
      </c>
      <c r="W1631" s="25" t="str">
        <f t="shared" si="44"/>
        <v>Shaped Upholstered PelmetOutside Window Mount1.1nm 12v Acmeda DCRF Motor</v>
      </c>
      <c r="X1631" s="25">
        <v>0</v>
      </c>
      <c r="Y1631" s="25" t="s">
        <v>824</v>
      </c>
      <c r="Z1631" s="25" t="s">
        <v>824</v>
      </c>
      <c r="AA1631" s="25" t="s">
        <v>824</v>
      </c>
      <c r="AB1631" s="25" t="s">
        <v>824</v>
      </c>
      <c r="AC1631" s="25" t="s">
        <v>821</v>
      </c>
      <c r="AD1631" s="25" t="s">
        <v>824</v>
      </c>
      <c r="AE1631" s="25" t="s">
        <v>824</v>
      </c>
    </row>
    <row r="1632" spans="20:31" ht="14.4">
      <c r="T1632" s="25" t="s">
        <v>861</v>
      </c>
      <c r="U1632" s="25" t="s">
        <v>867</v>
      </c>
      <c r="V1632" s="25" t="s">
        <v>868</v>
      </c>
      <c r="W1632" s="25" t="str">
        <f t="shared" si="44"/>
        <v>Shaped Upholstered PelmetOutside Window Mount2nm 12v Acmeda DCRF Motor</v>
      </c>
      <c r="X1632" s="25">
        <v>0</v>
      </c>
      <c r="Y1632" s="25" t="s">
        <v>824</v>
      </c>
      <c r="Z1632" s="25" t="s">
        <v>824</v>
      </c>
      <c r="AA1632" s="25" t="s">
        <v>824</v>
      </c>
      <c r="AB1632" s="25" t="s">
        <v>824</v>
      </c>
      <c r="AC1632" s="25" t="s">
        <v>821</v>
      </c>
      <c r="AD1632" s="25" t="s">
        <v>824</v>
      </c>
      <c r="AE1632" s="25" t="s">
        <v>824</v>
      </c>
    </row>
    <row r="1633" spans="20:31" ht="14.4">
      <c r="T1633" s="25" t="s">
        <v>861</v>
      </c>
      <c r="U1633" s="25" t="s">
        <v>867</v>
      </c>
      <c r="V1633" t="s">
        <v>973</v>
      </c>
      <c r="W1633" s="25" t="str">
        <f t="shared" si="44"/>
        <v>Shaped Upholstered PelmetOutside Window MountSomfy Remote Sonesse Motor</v>
      </c>
      <c r="X1633" s="25">
        <v>0</v>
      </c>
      <c r="Y1633" s="25" t="s">
        <v>824</v>
      </c>
      <c r="Z1633" s="25" t="s">
        <v>824</v>
      </c>
      <c r="AA1633" s="25" t="s">
        <v>824</v>
      </c>
      <c r="AB1633" s="25" t="s">
        <v>824</v>
      </c>
      <c r="AC1633" s="25" t="s">
        <v>821</v>
      </c>
      <c r="AD1633" s="25" t="s">
        <v>824</v>
      </c>
      <c r="AE1633" s="25" t="s">
        <v>824</v>
      </c>
    </row>
    <row r="1634" spans="20:31" ht="14.4">
      <c r="T1634" s="25" t="s">
        <v>861</v>
      </c>
      <c r="U1634" s="25" t="s">
        <v>867</v>
      </c>
      <c r="V1634" t="s">
        <v>637</v>
      </c>
      <c r="W1634" s="25" t="str">
        <f t="shared" si="44"/>
        <v>Shaped Upholstered PelmetOutside Window MountSomfy 12v Remote Sonesse Motor</v>
      </c>
      <c r="X1634" s="25">
        <v>0</v>
      </c>
      <c r="Y1634" s="25" t="s">
        <v>824</v>
      </c>
      <c r="Z1634" s="25" t="s">
        <v>824</v>
      </c>
      <c r="AA1634" s="25" t="s">
        <v>824</v>
      </c>
      <c r="AB1634" s="25" t="s">
        <v>824</v>
      </c>
      <c r="AC1634" s="25" t="s">
        <v>821</v>
      </c>
      <c r="AD1634" s="25" t="s">
        <v>824</v>
      </c>
      <c r="AE1634" s="25" t="s">
        <v>824</v>
      </c>
    </row>
    <row r="1635" spans="20:31" ht="14.4">
      <c r="T1635" s="25" t="s">
        <v>861</v>
      </c>
      <c r="U1635" s="25" t="s">
        <v>867</v>
      </c>
      <c r="V1635" s="25" t="s">
        <v>974</v>
      </c>
      <c r="W1635" s="25" t="str">
        <f t="shared" si="44"/>
        <v>Shaped Upholstered PelmetOutside Window MountSomfy CBUS Motor</v>
      </c>
      <c r="X1635" s="25">
        <v>0</v>
      </c>
      <c r="Y1635" s="25" t="s">
        <v>824</v>
      </c>
      <c r="Z1635" s="25" t="s">
        <v>824</v>
      </c>
      <c r="AA1635" s="25" t="s">
        <v>824</v>
      </c>
      <c r="AB1635" s="25" t="s">
        <v>824</v>
      </c>
      <c r="AC1635" s="25" t="s">
        <v>821</v>
      </c>
      <c r="AD1635" s="25" t="s">
        <v>824</v>
      </c>
      <c r="AE1635" s="25" t="s">
        <v>824</v>
      </c>
    </row>
    <row r="1636" spans="20:31" ht="14.4">
      <c r="T1636" s="25" t="s">
        <v>861</v>
      </c>
      <c r="U1636" s="25" t="s">
        <v>867</v>
      </c>
      <c r="V1636" t="s">
        <v>986</v>
      </c>
      <c r="W1636" s="25" t="str">
        <f t="shared" si="44"/>
        <v>Shaped Upholstered PelmetOutside Window MountHD Somfy Remote Sonesse Motor</v>
      </c>
      <c r="X1636" s="25">
        <v>0</v>
      </c>
      <c r="Y1636" s="25" t="s">
        <v>824</v>
      </c>
      <c r="Z1636" s="25" t="s">
        <v>824</v>
      </c>
      <c r="AA1636" s="25" t="s">
        <v>824</v>
      </c>
      <c r="AB1636" s="25" t="s">
        <v>824</v>
      </c>
      <c r="AC1636" s="25" t="s">
        <v>821</v>
      </c>
      <c r="AD1636" s="25" t="s">
        <v>824</v>
      </c>
      <c r="AE1636" s="25" t="s">
        <v>824</v>
      </c>
    </row>
    <row r="1637" spans="20:31" ht="14.4">
      <c r="T1637" s="25" t="s">
        <v>861</v>
      </c>
      <c r="U1637" s="25" t="s">
        <v>867</v>
      </c>
      <c r="V1637" t="s">
        <v>989</v>
      </c>
      <c r="W1637" s="25" t="str">
        <f t="shared" si="44"/>
        <v>Shaped Upholstered PelmetOutside Window MountHD Somfy 12v Remote Sonesse Motor</v>
      </c>
      <c r="X1637" s="25">
        <v>0</v>
      </c>
      <c r="Y1637" s="25" t="s">
        <v>824</v>
      </c>
      <c r="Z1637" s="25" t="s">
        <v>824</v>
      </c>
      <c r="AA1637" s="25" t="s">
        <v>824</v>
      </c>
      <c r="AB1637" s="25" t="s">
        <v>824</v>
      </c>
      <c r="AC1637" s="25" t="s">
        <v>821</v>
      </c>
      <c r="AD1637" s="25" t="s">
        <v>824</v>
      </c>
      <c r="AE1637" s="25" t="s">
        <v>824</v>
      </c>
    </row>
    <row r="1638" spans="20:31" ht="14.4">
      <c r="T1638" s="25" t="s">
        <v>861</v>
      </c>
      <c r="U1638" s="25" t="s">
        <v>867</v>
      </c>
      <c r="V1638" s="25" t="s">
        <v>992</v>
      </c>
      <c r="W1638" s="25" t="str">
        <f t="shared" si="44"/>
        <v>Shaped Upholstered PelmetOutside Window MountHD Somfy CBUS Motor</v>
      </c>
      <c r="X1638" s="25">
        <v>0</v>
      </c>
      <c r="Y1638" s="25" t="s">
        <v>824</v>
      </c>
      <c r="Z1638" s="25" t="s">
        <v>824</v>
      </c>
      <c r="AA1638" s="25" t="s">
        <v>824</v>
      </c>
      <c r="AB1638" s="25" t="s">
        <v>824</v>
      </c>
      <c r="AC1638" s="25" t="s">
        <v>821</v>
      </c>
      <c r="AD1638" s="25" t="s">
        <v>824</v>
      </c>
      <c r="AE1638" s="25" t="s">
        <v>824</v>
      </c>
    </row>
    <row r="1639" spans="20:31" ht="14.4">
      <c r="T1639" s="25" t="s">
        <v>861</v>
      </c>
      <c r="U1639" s="25" t="s">
        <v>867</v>
      </c>
      <c r="V1639" s="25" t="s">
        <v>625</v>
      </c>
      <c r="W1639" s="25" t="str">
        <f t="shared" si="44"/>
        <v>Shaped Upholstered PelmetOutside Window MountAcmeda E6 Motor</v>
      </c>
      <c r="X1639" s="25">
        <v>0</v>
      </c>
      <c r="Y1639" s="25" t="s">
        <v>824</v>
      </c>
      <c r="Z1639" s="25" t="s">
        <v>824</v>
      </c>
      <c r="AA1639" s="25" t="s">
        <v>824</v>
      </c>
      <c r="AB1639" s="25" t="s">
        <v>824</v>
      </c>
      <c r="AC1639" s="25" t="s">
        <v>821</v>
      </c>
      <c r="AD1639" s="25" t="s">
        <v>824</v>
      </c>
      <c r="AE1639" s="25" t="s">
        <v>824</v>
      </c>
    </row>
    <row r="1640" spans="20:31" ht="14.4">
      <c r="T1640" s="25" t="s">
        <v>861</v>
      </c>
      <c r="U1640" s="25" t="s">
        <v>867</v>
      </c>
      <c r="V1640" s="25" t="s">
        <v>626</v>
      </c>
      <c r="W1640" s="25" t="str">
        <f t="shared" si="44"/>
        <v>Shaped Upholstered PelmetOutside Window MountAcmeda M6 Motor</v>
      </c>
      <c r="X1640" s="25">
        <v>0</v>
      </c>
      <c r="Y1640" s="25" t="s">
        <v>824</v>
      </c>
      <c r="Z1640" s="25" t="s">
        <v>824</v>
      </c>
      <c r="AA1640" s="25" t="s">
        <v>824</v>
      </c>
      <c r="AB1640" s="25" t="s">
        <v>824</v>
      </c>
      <c r="AC1640" s="25" t="s">
        <v>821</v>
      </c>
      <c r="AD1640" s="25" t="s">
        <v>824</v>
      </c>
      <c r="AE1640" s="25" t="s">
        <v>824</v>
      </c>
    </row>
    <row r="1641" spans="20:31" ht="14.4">
      <c r="T1641" s="25" t="s">
        <v>861</v>
      </c>
      <c r="U1641" s="25" t="s">
        <v>867</v>
      </c>
      <c r="V1641" s="25" t="s">
        <v>1002</v>
      </c>
      <c r="W1641" s="25" t="str">
        <f t="shared" si="44"/>
        <v>Shaped Upholstered PelmetOutside Window MountUniline Remote Motor</v>
      </c>
      <c r="X1641" s="25">
        <v>0</v>
      </c>
      <c r="Y1641" s="25" t="s">
        <v>824</v>
      </c>
      <c r="Z1641" s="25" t="s">
        <v>824</v>
      </c>
      <c r="AA1641" s="25" t="s">
        <v>824</v>
      </c>
      <c r="AB1641" s="25" t="s">
        <v>824</v>
      </c>
      <c r="AC1641" s="25" t="s">
        <v>821</v>
      </c>
      <c r="AD1641" s="25" t="s">
        <v>824</v>
      </c>
      <c r="AE1641" s="25" t="s">
        <v>824</v>
      </c>
    </row>
    <row r="1642" spans="20:31" ht="14.4">
      <c r="T1642" s="25" t="s">
        <v>861</v>
      </c>
      <c r="U1642" s="25" t="s">
        <v>867</v>
      </c>
      <c r="V1642" s="25" t="s">
        <v>1005</v>
      </c>
      <c r="W1642" s="25" t="str">
        <f t="shared" si="44"/>
        <v>Shaped Upholstered PelmetOutside Window MountUniline Cbus Motor</v>
      </c>
      <c r="X1642" s="25">
        <v>0</v>
      </c>
      <c r="Y1642" s="25" t="s">
        <v>824</v>
      </c>
      <c r="Z1642" s="25" t="s">
        <v>824</v>
      </c>
      <c r="AA1642" s="25" t="s">
        <v>824</v>
      </c>
      <c r="AB1642" s="25" t="s">
        <v>824</v>
      </c>
      <c r="AC1642" s="25" t="s">
        <v>821</v>
      </c>
      <c r="AD1642" s="25" t="s">
        <v>824</v>
      </c>
      <c r="AE1642" s="25" t="s">
        <v>824</v>
      </c>
    </row>
    <row r="1643" spans="20:31" ht="14.4">
      <c r="T1643" s="25" t="s">
        <v>861</v>
      </c>
      <c r="U1643" s="25" t="s">
        <v>867</v>
      </c>
      <c r="V1643" s="25" t="s">
        <v>981</v>
      </c>
      <c r="W1643" s="25" t="str">
        <f t="shared" si="44"/>
        <v>Shaped Upholstered PelmetOutside Window MountNice Remote Motor</v>
      </c>
      <c r="X1643" s="25">
        <v>0</v>
      </c>
      <c r="Y1643" s="25" t="s">
        <v>824</v>
      </c>
      <c r="Z1643" s="25" t="s">
        <v>824</v>
      </c>
      <c r="AA1643" s="25" t="s">
        <v>824</v>
      </c>
      <c r="AB1643" s="25" t="s">
        <v>824</v>
      </c>
      <c r="AC1643" s="25" t="s">
        <v>821</v>
      </c>
      <c r="AD1643" s="25" t="s">
        <v>824</v>
      </c>
      <c r="AE1643" s="25" t="s">
        <v>824</v>
      </c>
    </row>
    <row r="1644" spans="20:31" ht="14.4">
      <c r="T1644" s="25" t="s">
        <v>861</v>
      </c>
      <c r="U1644" s="25" t="s">
        <v>867</v>
      </c>
      <c r="V1644" s="25" t="s">
        <v>976</v>
      </c>
      <c r="W1644" s="25" t="str">
        <f t="shared" si="44"/>
        <v>Shaped Upholstered PelmetOutside Window MountNice CBus Motor</v>
      </c>
      <c r="X1644" s="25">
        <v>0</v>
      </c>
      <c r="Y1644" s="25" t="s">
        <v>824</v>
      </c>
      <c r="Z1644" s="25" t="s">
        <v>824</v>
      </c>
      <c r="AA1644" s="25" t="s">
        <v>824</v>
      </c>
      <c r="AB1644" s="25" t="s">
        <v>824</v>
      </c>
      <c r="AC1644" s="25" t="s">
        <v>821</v>
      </c>
      <c r="AD1644" s="25" t="s">
        <v>824</v>
      </c>
      <c r="AE1644" s="25" t="s">
        <v>824</v>
      </c>
    </row>
    <row r="1645" spans="20:31" ht="14.4">
      <c r="T1645" s="25" t="s">
        <v>861</v>
      </c>
      <c r="U1645" s="25" t="s">
        <v>867</v>
      </c>
      <c r="V1645" t="s">
        <v>1006</v>
      </c>
      <c r="W1645" s="25" t="str">
        <f t="shared" si="44"/>
        <v>Shaped Upholstered PelmetOutside Window MountSunboss Chain Winder 38mm Tube</v>
      </c>
      <c r="X1645" s="25">
        <v>0</v>
      </c>
      <c r="Y1645" s="25" t="s">
        <v>824</v>
      </c>
      <c r="Z1645" s="25" t="s">
        <v>824</v>
      </c>
      <c r="AA1645" s="25" t="s">
        <v>824</v>
      </c>
      <c r="AB1645" s="25" t="s">
        <v>824</v>
      </c>
      <c r="AC1645" s="25" t="s">
        <v>821</v>
      </c>
      <c r="AD1645" s="25" t="s">
        <v>824</v>
      </c>
      <c r="AE1645" s="25" t="s">
        <v>824</v>
      </c>
    </row>
    <row r="1646" spans="20:31" ht="14.4">
      <c r="T1646" s="25" t="s">
        <v>861</v>
      </c>
      <c r="U1646" s="25" t="s">
        <v>867</v>
      </c>
      <c r="V1646" t="s">
        <v>1017</v>
      </c>
      <c r="W1646" s="25" t="str">
        <f t="shared" si="44"/>
        <v>Shaped Upholstered PelmetOutside Window MountSunboss Chain Winder 43mm Tube</v>
      </c>
      <c r="X1646" s="25">
        <v>0</v>
      </c>
      <c r="Y1646" s="25" t="s">
        <v>824</v>
      </c>
      <c r="Z1646" s="25" t="s">
        <v>824</v>
      </c>
      <c r="AA1646" s="25" t="s">
        <v>824</v>
      </c>
      <c r="AB1646" s="25" t="s">
        <v>824</v>
      </c>
      <c r="AC1646" s="25" t="s">
        <v>821</v>
      </c>
      <c r="AD1646" s="25" t="s">
        <v>824</v>
      </c>
      <c r="AE1646" s="25" t="s">
        <v>824</v>
      </c>
    </row>
    <row r="1647" spans="20:31" ht="14.4">
      <c r="T1647" s="25" t="s">
        <v>861</v>
      </c>
      <c r="U1647" s="25" t="s">
        <v>867</v>
      </c>
      <c r="V1647" s="25" t="s">
        <v>1012</v>
      </c>
      <c r="W1647" s="25" t="str">
        <f t="shared" si="44"/>
        <v>Shaped Upholstered PelmetOutside Window MountTBS Remote Motor</v>
      </c>
      <c r="X1647" s="25">
        <v>0</v>
      </c>
      <c r="Y1647" s="25" t="s">
        <v>824</v>
      </c>
      <c r="Z1647" s="25" t="s">
        <v>824</v>
      </c>
      <c r="AA1647" s="25" t="s">
        <v>824</v>
      </c>
      <c r="AB1647" s="25" t="s">
        <v>824</v>
      </c>
      <c r="AC1647" s="25" t="s">
        <v>821</v>
      </c>
      <c r="AD1647" s="25" t="s">
        <v>824</v>
      </c>
      <c r="AE1647" s="25" t="s">
        <v>824</v>
      </c>
    </row>
    <row r="1648" spans="20:31" ht="14.4">
      <c r="T1648" s="25" t="s">
        <v>861</v>
      </c>
      <c r="U1648" s="25" t="s">
        <v>867</v>
      </c>
      <c r="V1648" t="s">
        <v>1009</v>
      </c>
      <c r="W1648" s="25" t="str">
        <f t="shared" si="44"/>
        <v>Shaped Upholstered PelmetOutside Window MountTBS Cbus Motor</v>
      </c>
      <c r="X1648" s="25">
        <v>0</v>
      </c>
      <c r="Y1648" s="25" t="s">
        <v>824</v>
      </c>
      <c r="Z1648" s="25" t="s">
        <v>824</v>
      </c>
      <c r="AA1648" s="25" t="s">
        <v>824</v>
      </c>
      <c r="AB1648" s="25" t="s">
        <v>824</v>
      </c>
      <c r="AC1648" s="25" t="s">
        <v>821</v>
      </c>
      <c r="AE1648" s="25" t="s">
        <v>824</v>
      </c>
    </row>
    <row r="1649" spans="20:31" ht="14.4">
      <c r="T1649" s="25" t="s">
        <v>861</v>
      </c>
      <c r="U1649" s="25" t="s">
        <v>867</v>
      </c>
      <c r="V1649" t="s">
        <v>927</v>
      </c>
      <c r="W1649" s="25" t="str">
        <f t="shared" si="44"/>
        <v>Shaped Upholstered PelmetOutside Window MountAcmeda External Motor</v>
      </c>
      <c r="X1649" s="25">
        <v>0</v>
      </c>
      <c r="Y1649" s="25" t="s">
        <v>824</v>
      </c>
      <c r="Z1649" s="25" t="s">
        <v>824</v>
      </c>
      <c r="AA1649" s="25" t="s">
        <v>824</v>
      </c>
      <c r="AB1649" s="25" t="s">
        <v>824</v>
      </c>
      <c r="AC1649" s="25" t="s">
        <v>821</v>
      </c>
      <c r="AE1649" s="25" t="s">
        <v>824</v>
      </c>
    </row>
    <row r="1650" spans="20:31" ht="14.4">
      <c r="T1650" s="25" t="s">
        <v>861</v>
      </c>
      <c r="U1650" s="25" t="s">
        <v>867</v>
      </c>
      <c r="V1650" t="s">
        <v>918</v>
      </c>
      <c r="W1650" s="25" t="str">
        <f t="shared" si="44"/>
        <v>Shaped Upholstered PelmetOutside Window MountAcmeda External 12v Motor</v>
      </c>
      <c r="X1650" s="25">
        <v>0</v>
      </c>
      <c r="Y1650" s="25" t="s">
        <v>824</v>
      </c>
      <c r="Z1650" s="25" t="s">
        <v>824</v>
      </c>
      <c r="AA1650" s="25" t="s">
        <v>824</v>
      </c>
      <c r="AB1650" s="25" t="s">
        <v>824</v>
      </c>
      <c r="AC1650" s="25" t="s">
        <v>821</v>
      </c>
      <c r="AD1650" s="25" t="s">
        <v>824</v>
      </c>
      <c r="AE1650" s="25" t="s">
        <v>824</v>
      </c>
    </row>
    <row r="1651" spans="20:31" ht="14.4">
      <c r="T1651" s="25" t="s">
        <v>861</v>
      </c>
      <c r="U1651" s="25" t="s">
        <v>867</v>
      </c>
      <c r="V1651" t="s">
        <v>979</v>
      </c>
      <c r="W1651" s="25" t="str">
        <f t="shared" si="44"/>
        <v>Shaped Upholstered PelmetOutside Window MountSomfy External CBUS Motor</v>
      </c>
      <c r="X1651" s="25">
        <v>0</v>
      </c>
      <c r="Y1651" s="25" t="s">
        <v>824</v>
      </c>
      <c r="Z1651" s="25" t="s">
        <v>824</v>
      </c>
      <c r="AA1651" s="25" t="s">
        <v>824</v>
      </c>
      <c r="AB1651" s="25" t="s">
        <v>824</v>
      </c>
      <c r="AC1651" s="25" t="s">
        <v>821</v>
      </c>
      <c r="AD1651" s="25" t="s">
        <v>824</v>
      </c>
      <c r="AE1651" s="25" t="s">
        <v>824</v>
      </c>
    </row>
    <row r="1652" spans="20:31" ht="14.4">
      <c r="T1652" s="25" t="s">
        <v>861</v>
      </c>
      <c r="U1652" s="25" t="s">
        <v>867</v>
      </c>
      <c r="V1652" t="s">
        <v>983</v>
      </c>
      <c r="W1652" s="25" t="str">
        <f t="shared" si="44"/>
        <v>Shaped Upholstered PelmetOutside Window MountSomfy External Remote Motor</v>
      </c>
      <c r="X1652" s="25">
        <v>0</v>
      </c>
      <c r="Y1652" s="25" t="s">
        <v>824</v>
      </c>
      <c r="Z1652" s="25" t="s">
        <v>824</v>
      </c>
      <c r="AA1652" s="25" t="s">
        <v>824</v>
      </c>
      <c r="AB1652" s="25" t="s">
        <v>824</v>
      </c>
      <c r="AC1652" s="25" t="s">
        <v>821</v>
      </c>
      <c r="AD1652" s="25" t="s">
        <v>824</v>
      </c>
      <c r="AE1652" s="25" t="s">
        <v>824</v>
      </c>
    </row>
    <row r="1653" spans="20:31" ht="14.4">
      <c r="T1653" s="25" t="s">
        <v>861</v>
      </c>
      <c r="U1653" s="25" t="s">
        <v>867</v>
      </c>
      <c r="V1653" t="s">
        <v>995</v>
      </c>
      <c r="W1653" s="25" t="str">
        <f t="shared" si="44"/>
        <v>Shaped Upholstered PelmetOutside Window MountHD Somfy External CBUS Motor</v>
      </c>
      <c r="X1653" s="25">
        <v>0</v>
      </c>
      <c r="Y1653" s="25" t="s">
        <v>824</v>
      </c>
      <c r="Z1653" s="25" t="s">
        <v>824</v>
      </c>
      <c r="AA1653" s="25" t="s">
        <v>824</v>
      </c>
      <c r="AB1653" s="25" t="s">
        <v>824</v>
      </c>
      <c r="AC1653" s="25" t="s">
        <v>821</v>
      </c>
      <c r="AD1653" s="25" t="s">
        <v>824</v>
      </c>
      <c r="AE1653" s="25" t="s">
        <v>824</v>
      </c>
    </row>
    <row r="1654" spans="20:31" ht="14.4">
      <c r="T1654" s="25" t="s">
        <v>861</v>
      </c>
      <c r="U1654" s="25" t="s">
        <v>867</v>
      </c>
      <c r="V1654" t="s">
        <v>999</v>
      </c>
      <c r="W1654" s="25" t="str">
        <f t="shared" si="44"/>
        <v>Shaped Upholstered PelmetOutside Window MountHD Somfy External Remote Motor</v>
      </c>
      <c r="X1654" s="25">
        <v>0</v>
      </c>
      <c r="Y1654" s="25" t="s">
        <v>824</v>
      </c>
      <c r="Z1654" s="25" t="s">
        <v>824</v>
      </c>
      <c r="AA1654" s="25" t="s">
        <v>824</v>
      </c>
      <c r="AB1654" s="25" t="s">
        <v>824</v>
      </c>
      <c r="AC1654" s="25" t="s">
        <v>821</v>
      </c>
      <c r="AD1654" s="25" t="s">
        <v>824</v>
      </c>
      <c r="AE1654" s="25" t="s">
        <v>824</v>
      </c>
    </row>
    <row r="1655" spans="20:31" ht="14.4">
      <c r="T1655" s="25" t="s">
        <v>861</v>
      </c>
      <c r="U1655" s="25" t="s">
        <v>837</v>
      </c>
      <c r="V1655" s="25" t="s">
        <v>823</v>
      </c>
      <c r="W1655" s="25" t="str">
        <f t="shared" si="44"/>
        <v>Shaped Upholstered PelmetRevealChain Winder</v>
      </c>
      <c r="X1655" s="25">
        <v>0</v>
      </c>
      <c r="Y1655" s="25" t="s">
        <v>824</v>
      </c>
      <c r="Z1655" s="25" t="s">
        <v>824</v>
      </c>
      <c r="AA1655" s="25" t="s">
        <v>824</v>
      </c>
      <c r="AB1655" s="25" t="s">
        <v>824</v>
      </c>
      <c r="AC1655" s="25" t="s">
        <v>821</v>
      </c>
      <c r="AD1655" s="25" t="s">
        <v>824</v>
      </c>
      <c r="AE1655" s="25" t="s">
        <v>824</v>
      </c>
    </row>
    <row r="1656" spans="20:31" ht="14.4">
      <c r="T1656" s="25" t="s">
        <v>861</v>
      </c>
      <c r="U1656" s="25" t="s">
        <v>837</v>
      </c>
      <c r="V1656" s="25" t="s">
        <v>841</v>
      </c>
      <c r="W1656" s="25" t="str">
        <f t="shared" si="44"/>
        <v>Shaped Upholstered PelmetRevealHD Chain Winder</v>
      </c>
      <c r="X1656" s="25">
        <v>0</v>
      </c>
      <c r="Y1656" s="25" t="s">
        <v>824</v>
      </c>
      <c r="Z1656" s="25" t="s">
        <v>824</v>
      </c>
      <c r="AA1656" s="25" t="s">
        <v>824</v>
      </c>
      <c r="AB1656" s="25" t="s">
        <v>824</v>
      </c>
      <c r="AC1656" s="25" t="s">
        <v>821</v>
      </c>
      <c r="AD1656" s="25" t="s">
        <v>824</v>
      </c>
      <c r="AE1656" s="25" t="s">
        <v>824</v>
      </c>
    </row>
    <row r="1657" spans="20:31" ht="14.4">
      <c r="T1657" s="25" t="s">
        <v>861</v>
      </c>
      <c r="U1657" s="25" t="s">
        <v>837</v>
      </c>
      <c r="V1657" s="25" t="s">
        <v>858</v>
      </c>
      <c r="W1657" s="25" t="str">
        <f t="shared" si="44"/>
        <v>Shaped Upholstered PelmetRevealChain Winder 60mm</v>
      </c>
      <c r="X1657" s="25">
        <v>0</v>
      </c>
      <c r="Y1657" s="25" t="s">
        <v>824</v>
      </c>
      <c r="Z1657" s="25" t="s">
        <v>824</v>
      </c>
      <c r="AA1657" s="25" t="s">
        <v>824</v>
      </c>
      <c r="AB1657" s="25" t="s">
        <v>824</v>
      </c>
      <c r="AC1657" s="25" t="s">
        <v>821</v>
      </c>
      <c r="AD1657" s="25" t="s">
        <v>824</v>
      </c>
      <c r="AE1657" s="25" t="s">
        <v>824</v>
      </c>
    </row>
    <row r="1658" spans="20:31" ht="14.4">
      <c r="T1658" s="25" t="s">
        <v>861</v>
      </c>
      <c r="U1658" s="25" t="s">
        <v>837</v>
      </c>
      <c r="V1658" s="25" t="s">
        <v>865</v>
      </c>
      <c r="W1658" s="25" t="str">
        <f t="shared" si="44"/>
        <v>Shaped Upholstered PelmetRevealChain Winder Fixed Guide</v>
      </c>
      <c r="X1658" s="25">
        <v>0</v>
      </c>
      <c r="Y1658" s="25" t="s">
        <v>824</v>
      </c>
      <c r="Z1658" s="25" t="s">
        <v>824</v>
      </c>
      <c r="AA1658" s="25" t="s">
        <v>824</v>
      </c>
      <c r="AB1658" s="25" t="s">
        <v>824</v>
      </c>
      <c r="AC1658" s="25" t="s">
        <v>821</v>
      </c>
      <c r="AD1658" s="25" t="s">
        <v>824</v>
      </c>
      <c r="AE1658" s="25" t="s">
        <v>824</v>
      </c>
    </row>
    <row r="1659" spans="20:31" ht="14.4">
      <c r="T1659" s="25" t="s">
        <v>861</v>
      </c>
      <c r="U1659" s="25" t="s">
        <v>837</v>
      </c>
      <c r="V1659" s="25" t="s">
        <v>181</v>
      </c>
      <c r="W1659" s="25" t="str">
        <f t="shared" si="44"/>
        <v>Shaped Upholstered PelmetRevealLinked</v>
      </c>
      <c r="X1659" s="25">
        <v>0</v>
      </c>
      <c r="Y1659" s="25" t="s">
        <v>824</v>
      </c>
      <c r="Z1659" s="25" t="s">
        <v>824</v>
      </c>
      <c r="AA1659" s="25" t="s">
        <v>824</v>
      </c>
      <c r="AB1659" s="25" t="s">
        <v>824</v>
      </c>
      <c r="AC1659" s="25" t="s">
        <v>821</v>
      </c>
      <c r="AD1659" s="25" t="s">
        <v>824</v>
      </c>
      <c r="AE1659" s="25" t="s">
        <v>824</v>
      </c>
    </row>
    <row r="1660" spans="20:31" ht="14.4">
      <c r="T1660" s="25" t="s">
        <v>861</v>
      </c>
      <c r="U1660" s="25" t="s">
        <v>837</v>
      </c>
      <c r="V1660" s="25" t="s">
        <v>898</v>
      </c>
      <c r="W1660" s="25" t="str">
        <f t="shared" si="44"/>
        <v>Shaped Upholstered PelmetRevealLinked - HD</v>
      </c>
      <c r="X1660" s="25">
        <v>0</v>
      </c>
      <c r="Y1660" s="25" t="s">
        <v>824</v>
      </c>
      <c r="Z1660" s="25" t="s">
        <v>824</v>
      </c>
      <c r="AA1660" s="25" t="s">
        <v>824</v>
      </c>
      <c r="AB1660" s="25" t="s">
        <v>824</v>
      </c>
      <c r="AC1660" s="25" t="s">
        <v>821</v>
      </c>
      <c r="AD1660" s="25" t="s">
        <v>824</v>
      </c>
      <c r="AE1660" s="25" t="s">
        <v>824</v>
      </c>
    </row>
    <row r="1661" spans="20:31" ht="14.4">
      <c r="T1661" s="25" t="s">
        <v>861</v>
      </c>
      <c r="U1661" s="25" t="s">
        <v>837</v>
      </c>
      <c r="V1661" s="25" t="s">
        <v>925</v>
      </c>
      <c r="W1661" s="25" t="str">
        <f t="shared" si="44"/>
        <v>Shaped Upholstered PelmetRevealLinked 60mm</v>
      </c>
      <c r="X1661" s="25">
        <v>0</v>
      </c>
      <c r="Y1661" s="25" t="s">
        <v>824</v>
      </c>
      <c r="Z1661" s="25" t="s">
        <v>824</v>
      </c>
      <c r="AA1661" s="25" t="s">
        <v>824</v>
      </c>
      <c r="AB1661" s="25" t="s">
        <v>824</v>
      </c>
      <c r="AC1661" s="25" t="s">
        <v>821</v>
      </c>
      <c r="AD1661" s="25" t="s">
        <v>824</v>
      </c>
      <c r="AE1661" s="25" t="s">
        <v>824</v>
      </c>
    </row>
    <row r="1662" spans="20:31" ht="14.4">
      <c r="T1662" s="25" t="s">
        <v>861</v>
      </c>
      <c r="U1662" s="25" t="s">
        <v>837</v>
      </c>
      <c r="V1662" s="25" t="s">
        <v>910</v>
      </c>
      <c r="W1662" s="25" t="str">
        <f t="shared" si="44"/>
        <v>Shaped Upholstered PelmetRevealStandard Spring</v>
      </c>
      <c r="X1662" s="25">
        <v>0</v>
      </c>
      <c r="Y1662" s="25" t="s">
        <v>824</v>
      </c>
      <c r="Z1662" s="25" t="s">
        <v>824</v>
      </c>
      <c r="AA1662" s="25" t="s">
        <v>824</v>
      </c>
      <c r="AB1662" s="25" t="s">
        <v>824</v>
      </c>
      <c r="AC1662" s="25" t="s">
        <v>821</v>
      </c>
      <c r="AD1662" s="25" t="s">
        <v>824</v>
      </c>
      <c r="AE1662" s="25" t="s">
        <v>824</v>
      </c>
    </row>
    <row r="1663" spans="20:31" ht="14.4">
      <c r="T1663" s="25" t="s">
        <v>861</v>
      </c>
      <c r="U1663" s="25" t="s">
        <v>837</v>
      </c>
      <c r="V1663" s="25" t="s">
        <v>920</v>
      </c>
      <c r="W1663" s="25" t="str">
        <f t="shared" si="44"/>
        <v>Shaped Upholstered PelmetRevealSmall Spring</v>
      </c>
      <c r="X1663" s="25">
        <v>0</v>
      </c>
      <c r="Y1663" s="25" t="s">
        <v>824</v>
      </c>
      <c r="Z1663" s="25" t="s">
        <v>824</v>
      </c>
      <c r="AA1663" s="25" t="s">
        <v>824</v>
      </c>
      <c r="AB1663" s="25" t="s">
        <v>824</v>
      </c>
      <c r="AC1663" s="25" t="s">
        <v>821</v>
      </c>
      <c r="AD1663" s="25" t="s">
        <v>824</v>
      </c>
      <c r="AE1663" s="25" t="s">
        <v>824</v>
      </c>
    </row>
    <row r="1664" spans="20:31" ht="14.4">
      <c r="T1664" s="25" t="s">
        <v>861</v>
      </c>
      <c r="U1664" s="25" t="s">
        <v>837</v>
      </c>
      <c r="V1664" s="25" t="s">
        <v>929</v>
      </c>
      <c r="W1664" s="25" t="str">
        <f t="shared" si="44"/>
        <v>Shaped Upholstered PelmetRevealUniline Spring (Old Style)</v>
      </c>
      <c r="X1664" s="25">
        <v>0</v>
      </c>
      <c r="Y1664" s="25" t="s">
        <v>824</v>
      </c>
      <c r="Z1664" s="25" t="s">
        <v>824</v>
      </c>
      <c r="AA1664" s="25" t="s">
        <v>824</v>
      </c>
      <c r="AB1664" s="25" t="s">
        <v>824</v>
      </c>
      <c r="AC1664" s="25" t="s">
        <v>821</v>
      </c>
      <c r="AD1664" s="25" t="s">
        <v>824</v>
      </c>
      <c r="AE1664" s="25" t="s">
        <v>824</v>
      </c>
    </row>
    <row r="1665" spans="20:31" ht="14.4">
      <c r="T1665" s="25" t="s">
        <v>861</v>
      </c>
      <c r="U1665" s="25" t="s">
        <v>837</v>
      </c>
      <c r="V1665" s="25" t="s">
        <v>935</v>
      </c>
      <c r="W1665" s="25" t="str">
        <f t="shared" si="44"/>
        <v>Shaped Upholstered PelmetRevealBecker Remote Motor</v>
      </c>
      <c r="X1665" s="25">
        <v>0</v>
      </c>
      <c r="Y1665" s="25" t="s">
        <v>824</v>
      </c>
      <c r="Z1665" s="25" t="s">
        <v>824</v>
      </c>
      <c r="AA1665" s="25" t="s">
        <v>824</v>
      </c>
      <c r="AB1665" s="25" t="s">
        <v>824</v>
      </c>
      <c r="AC1665" s="25" t="s">
        <v>821</v>
      </c>
      <c r="AD1665" s="25" t="s">
        <v>824</v>
      </c>
      <c r="AE1665" s="25" t="s">
        <v>824</v>
      </c>
    </row>
    <row r="1666" spans="20:31" ht="14.4">
      <c r="T1666" s="25" t="s">
        <v>861</v>
      </c>
      <c r="U1666" s="25" t="s">
        <v>837</v>
      </c>
      <c r="V1666" s="25" t="s">
        <v>939</v>
      </c>
      <c r="W1666" s="25" t="str">
        <f t="shared" si="44"/>
        <v>Shaped Upholstered PelmetRevealBecker CBUS Motor</v>
      </c>
      <c r="X1666" s="25">
        <v>0</v>
      </c>
      <c r="Y1666" s="25" t="s">
        <v>824</v>
      </c>
      <c r="Z1666" s="25" t="s">
        <v>824</v>
      </c>
      <c r="AA1666" s="25" t="s">
        <v>824</v>
      </c>
      <c r="AB1666" s="25" t="s">
        <v>824</v>
      </c>
      <c r="AC1666" s="25" t="s">
        <v>821</v>
      </c>
      <c r="AD1666" s="25" t="s">
        <v>824</v>
      </c>
      <c r="AE1666" s="25" t="s">
        <v>824</v>
      </c>
    </row>
    <row r="1667" spans="20:31" ht="14.4">
      <c r="T1667" s="25" t="s">
        <v>861</v>
      </c>
      <c r="U1667" s="25" t="s">
        <v>837</v>
      </c>
      <c r="V1667" s="25" t="s">
        <v>946</v>
      </c>
      <c r="W1667" s="25" t="str">
        <f t="shared" si="45" ref="W1667:W1730">CONCATENATE(T1667,U1667,V1667)</f>
        <v>Shaped Upholstered PelmetRevealBecker External Remote Motor</v>
      </c>
      <c r="X1667" s="25">
        <v>0</v>
      </c>
      <c r="Y1667" s="25" t="s">
        <v>824</v>
      </c>
      <c r="Z1667" s="25" t="s">
        <v>824</v>
      </c>
      <c r="AA1667" s="25" t="s">
        <v>824</v>
      </c>
      <c r="AB1667" s="25" t="s">
        <v>824</v>
      </c>
      <c r="AC1667" s="25" t="s">
        <v>821</v>
      </c>
      <c r="AD1667" s="25" t="s">
        <v>824</v>
      </c>
      <c r="AE1667" s="25" t="s">
        <v>824</v>
      </c>
    </row>
    <row r="1668" spans="20:31" ht="14.4">
      <c r="T1668" s="25" t="s">
        <v>861</v>
      </c>
      <c r="U1668" s="25" t="s">
        <v>837</v>
      </c>
      <c r="V1668" s="25" t="s">
        <v>951</v>
      </c>
      <c r="W1668" s="25" t="str">
        <f t="shared" si="45"/>
        <v>Shaped Upholstered PelmetRevealBecker External CBUS Motor</v>
      </c>
      <c r="X1668" s="25">
        <v>0</v>
      </c>
      <c r="Y1668" s="25" t="s">
        <v>824</v>
      </c>
      <c r="Z1668" s="25" t="s">
        <v>824</v>
      </c>
      <c r="AA1668" s="25" t="s">
        <v>824</v>
      </c>
      <c r="AB1668" s="25" t="s">
        <v>824</v>
      </c>
      <c r="AC1668" s="25" t="s">
        <v>821</v>
      </c>
      <c r="AD1668" s="25" t="s">
        <v>824</v>
      </c>
      <c r="AE1668" s="25" t="s">
        <v>824</v>
      </c>
    </row>
    <row r="1669" spans="20:31" ht="14.4">
      <c r="T1669" s="25" t="s">
        <v>861</v>
      </c>
      <c r="U1669" s="25" t="s">
        <v>837</v>
      </c>
      <c r="V1669" s="25" t="s">
        <v>838</v>
      </c>
      <c r="W1669" s="25" t="str">
        <f t="shared" si="45"/>
        <v>Shaped Upholstered PelmetReveal1.1nm 12v Acmeda Motor</v>
      </c>
      <c r="X1669" s="25">
        <v>0</v>
      </c>
      <c r="Y1669" s="25" t="s">
        <v>824</v>
      </c>
      <c r="Z1669" s="25" t="s">
        <v>824</v>
      </c>
      <c r="AA1669" s="25" t="s">
        <v>824</v>
      </c>
      <c r="AB1669" s="25" t="s">
        <v>824</v>
      </c>
      <c r="AC1669" s="25" t="s">
        <v>821</v>
      </c>
      <c r="AD1669" s="25" t="s">
        <v>824</v>
      </c>
      <c r="AE1669" s="25" t="s">
        <v>824</v>
      </c>
    </row>
    <row r="1670" spans="20:31" ht="14.4">
      <c r="T1670" s="25" t="s">
        <v>861</v>
      </c>
      <c r="U1670" s="25" t="s">
        <v>837</v>
      </c>
      <c r="V1670" t="s">
        <v>882</v>
      </c>
      <c r="W1670" s="25" t="str">
        <f t="shared" si="45"/>
        <v>Shaped Upholstered PelmetReveal2nm 12v Acmeda Motor</v>
      </c>
      <c r="X1670" s="25">
        <v>0</v>
      </c>
      <c r="Y1670" s="25" t="s">
        <v>824</v>
      </c>
      <c r="Z1670" s="25" t="s">
        <v>824</v>
      </c>
      <c r="AA1670" s="25" t="s">
        <v>824</v>
      </c>
      <c r="AB1670" s="25" t="s">
        <v>824</v>
      </c>
      <c r="AC1670" s="25" t="s">
        <v>821</v>
      </c>
      <c r="AD1670" s="25" t="s">
        <v>824</v>
      </c>
      <c r="AE1670" s="25" t="s">
        <v>824</v>
      </c>
    </row>
    <row r="1671" spans="20:31" ht="14.4">
      <c r="T1671" s="25" t="s">
        <v>861</v>
      </c>
      <c r="U1671" s="25" t="s">
        <v>837</v>
      </c>
      <c r="V1671" t="s">
        <v>896</v>
      </c>
      <c r="W1671" s="25" t="str">
        <f t="shared" si="45"/>
        <v>Shaped Upholstered PelmetRevealAcmeda 12v 6nm Motor</v>
      </c>
      <c r="X1671" s="25">
        <v>0</v>
      </c>
      <c r="Y1671" s="25" t="s">
        <v>824</v>
      </c>
      <c r="Z1671" s="25" t="s">
        <v>824</v>
      </c>
      <c r="AA1671" s="25" t="s">
        <v>824</v>
      </c>
      <c r="AB1671" s="25" t="s">
        <v>824</v>
      </c>
      <c r="AC1671" s="25" t="s">
        <v>821</v>
      </c>
      <c r="AD1671" s="25" t="s">
        <v>824</v>
      </c>
      <c r="AE1671" s="25" t="s">
        <v>824</v>
      </c>
    </row>
    <row r="1672" spans="20:31" ht="14.4">
      <c r="T1672" s="25" t="s">
        <v>861</v>
      </c>
      <c r="U1672" s="25" t="s">
        <v>837</v>
      </c>
      <c r="V1672" t="s">
        <v>855</v>
      </c>
      <c r="W1672" s="25" t="str">
        <f t="shared" si="45"/>
        <v>Shaped Upholstered PelmetReveal0.7nm 12v Acmeda Motor</v>
      </c>
      <c r="X1672" s="25">
        <v>0</v>
      </c>
      <c r="Y1672" s="25" t="s">
        <v>824</v>
      </c>
      <c r="Z1672" s="25" t="s">
        <v>824</v>
      </c>
      <c r="AA1672" s="25" t="s">
        <v>824</v>
      </c>
      <c r="AB1672" s="25" t="s">
        <v>824</v>
      </c>
      <c r="AC1672" s="25" t="s">
        <v>821</v>
      </c>
      <c r="AD1672" s="25" t="s">
        <v>824</v>
      </c>
      <c r="AE1672" s="25" t="s">
        <v>824</v>
      </c>
    </row>
    <row r="1673" spans="20:31" ht="14.4">
      <c r="T1673" s="25" t="s">
        <v>861</v>
      </c>
      <c r="U1673" s="25" t="s">
        <v>837</v>
      </c>
      <c r="V1673" s="25" t="s">
        <v>849</v>
      </c>
      <c r="W1673" s="25" t="str">
        <f t="shared" si="45"/>
        <v>Shaped Upholstered PelmetReveal1.1nm 12v Acmeda DCRF Motor with External Battery</v>
      </c>
      <c r="X1673" s="25">
        <v>0</v>
      </c>
      <c r="Y1673" s="25" t="s">
        <v>824</v>
      </c>
      <c r="Z1673" s="25" t="s">
        <v>824</v>
      </c>
      <c r="AA1673" s="25" t="s">
        <v>824</v>
      </c>
      <c r="AB1673" s="25" t="s">
        <v>824</v>
      </c>
      <c r="AC1673" s="25" t="s">
        <v>821</v>
      </c>
      <c r="AD1673" s="25" t="s">
        <v>824</v>
      </c>
      <c r="AE1673" s="25" t="s">
        <v>824</v>
      </c>
    </row>
    <row r="1674" spans="20:31" ht="14.4">
      <c r="T1674" s="25" t="s">
        <v>861</v>
      </c>
      <c r="U1674" s="25" t="s">
        <v>837</v>
      </c>
      <c r="V1674" s="25" t="s">
        <v>817</v>
      </c>
      <c r="W1674" s="25" t="str">
        <f t="shared" si="45"/>
        <v>Shaped Upholstered PelmetReveal1.1nm 12v Acmeda DCRF Motor</v>
      </c>
      <c r="X1674" s="25">
        <v>0</v>
      </c>
      <c r="Y1674" s="25" t="s">
        <v>824</v>
      </c>
      <c r="Z1674" s="25" t="s">
        <v>824</v>
      </c>
      <c r="AA1674" s="25" t="s">
        <v>824</v>
      </c>
      <c r="AB1674" s="25" t="s">
        <v>824</v>
      </c>
      <c r="AC1674" s="25" t="s">
        <v>821</v>
      </c>
      <c r="AD1674" s="25" t="s">
        <v>824</v>
      </c>
      <c r="AE1674" s="25" t="s">
        <v>824</v>
      </c>
    </row>
    <row r="1675" spans="20:31" ht="14.4">
      <c r="T1675" s="25" t="s">
        <v>861</v>
      </c>
      <c r="U1675" s="25" t="s">
        <v>837</v>
      </c>
      <c r="V1675" s="25" t="s">
        <v>868</v>
      </c>
      <c r="W1675" s="25" t="str">
        <f t="shared" si="45"/>
        <v>Shaped Upholstered PelmetReveal2nm 12v Acmeda DCRF Motor</v>
      </c>
      <c r="X1675" s="25">
        <v>0</v>
      </c>
      <c r="Y1675" s="25" t="s">
        <v>824</v>
      </c>
      <c r="Z1675" s="25" t="s">
        <v>824</v>
      </c>
      <c r="AA1675" s="25" t="s">
        <v>824</v>
      </c>
      <c r="AB1675" s="25" t="s">
        <v>824</v>
      </c>
      <c r="AC1675" s="25" t="s">
        <v>821</v>
      </c>
      <c r="AD1675" s="25" t="s">
        <v>824</v>
      </c>
      <c r="AE1675" s="25" t="s">
        <v>824</v>
      </c>
    </row>
    <row r="1676" spans="20:31" ht="14.4">
      <c r="T1676" s="25" t="s">
        <v>861</v>
      </c>
      <c r="U1676" s="25" t="s">
        <v>837</v>
      </c>
      <c r="V1676" t="s">
        <v>973</v>
      </c>
      <c r="W1676" s="25" t="str">
        <f t="shared" si="45"/>
        <v>Shaped Upholstered PelmetRevealSomfy Remote Sonesse Motor</v>
      </c>
      <c r="X1676" s="25">
        <v>0</v>
      </c>
      <c r="Y1676" s="25" t="s">
        <v>824</v>
      </c>
      <c r="Z1676" s="25" t="s">
        <v>824</v>
      </c>
      <c r="AA1676" s="25" t="s">
        <v>824</v>
      </c>
      <c r="AB1676" s="25" t="s">
        <v>824</v>
      </c>
      <c r="AC1676" s="25" t="s">
        <v>821</v>
      </c>
      <c r="AD1676" s="25" t="s">
        <v>824</v>
      </c>
      <c r="AE1676" s="25" t="s">
        <v>824</v>
      </c>
    </row>
    <row r="1677" spans="20:31" ht="14.4">
      <c r="T1677" s="25" t="s">
        <v>861</v>
      </c>
      <c r="U1677" s="25" t="s">
        <v>837</v>
      </c>
      <c r="V1677" t="s">
        <v>637</v>
      </c>
      <c r="W1677" s="25" t="str">
        <f t="shared" si="45"/>
        <v>Shaped Upholstered PelmetRevealSomfy 12v Remote Sonesse Motor</v>
      </c>
      <c r="X1677" s="25">
        <v>0</v>
      </c>
      <c r="Y1677" s="25" t="s">
        <v>824</v>
      </c>
      <c r="Z1677" s="25" t="s">
        <v>824</v>
      </c>
      <c r="AA1677" s="25" t="s">
        <v>824</v>
      </c>
      <c r="AB1677" s="25" t="s">
        <v>824</v>
      </c>
      <c r="AC1677" s="25" t="s">
        <v>821</v>
      </c>
      <c r="AD1677" s="25" t="s">
        <v>824</v>
      </c>
      <c r="AE1677" s="25" t="s">
        <v>824</v>
      </c>
    </row>
    <row r="1678" spans="20:31" ht="14.4">
      <c r="T1678" s="25" t="s">
        <v>861</v>
      </c>
      <c r="U1678" s="25" t="s">
        <v>837</v>
      </c>
      <c r="V1678" s="25" t="s">
        <v>974</v>
      </c>
      <c r="W1678" s="25" t="str">
        <f t="shared" si="45"/>
        <v>Shaped Upholstered PelmetRevealSomfy CBUS Motor</v>
      </c>
      <c r="X1678" s="25">
        <v>0</v>
      </c>
      <c r="Y1678" s="25" t="s">
        <v>824</v>
      </c>
      <c r="Z1678" s="25" t="s">
        <v>824</v>
      </c>
      <c r="AA1678" s="25" t="s">
        <v>824</v>
      </c>
      <c r="AB1678" s="25" t="s">
        <v>824</v>
      </c>
      <c r="AC1678" s="25" t="s">
        <v>821</v>
      </c>
      <c r="AD1678" s="25" t="s">
        <v>824</v>
      </c>
      <c r="AE1678" s="25" t="s">
        <v>824</v>
      </c>
    </row>
    <row r="1679" spans="20:31" ht="14.4">
      <c r="T1679" s="25" t="s">
        <v>861</v>
      </c>
      <c r="U1679" s="25" t="s">
        <v>837</v>
      </c>
      <c r="V1679" t="s">
        <v>986</v>
      </c>
      <c r="W1679" s="25" t="str">
        <f t="shared" si="45"/>
        <v>Shaped Upholstered PelmetRevealHD Somfy Remote Sonesse Motor</v>
      </c>
      <c r="X1679" s="25">
        <v>0</v>
      </c>
      <c r="Y1679" s="25" t="s">
        <v>824</v>
      </c>
      <c r="Z1679" s="25" t="s">
        <v>824</v>
      </c>
      <c r="AA1679" s="25" t="s">
        <v>824</v>
      </c>
      <c r="AB1679" s="25" t="s">
        <v>824</v>
      </c>
      <c r="AC1679" s="25" t="s">
        <v>821</v>
      </c>
      <c r="AD1679" s="25" t="s">
        <v>824</v>
      </c>
      <c r="AE1679" s="25" t="s">
        <v>824</v>
      </c>
    </row>
    <row r="1680" spans="20:31" ht="14.4">
      <c r="T1680" s="25" t="s">
        <v>861</v>
      </c>
      <c r="U1680" s="25" t="s">
        <v>837</v>
      </c>
      <c r="V1680" t="s">
        <v>989</v>
      </c>
      <c r="W1680" s="25" t="str">
        <f t="shared" si="45"/>
        <v>Shaped Upholstered PelmetRevealHD Somfy 12v Remote Sonesse Motor</v>
      </c>
      <c r="X1680" s="25">
        <v>0</v>
      </c>
      <c r="Y1680" s="25" t="s">
        <v>824</v>
      </c>
      <c r="Z1680" s="25" t="s">
        <v>824</v>
      </c>
      <c r="AA1680" s="25" t="s">
        <v>824</v>
      </c>
      <c r="AB1680" s="25" t="s">
        <v>824</v>
      </c>
      <c r="AC1680" s="25" t="s">
        <v>821</v>
      </c>
      <c r="AD1680" s="25" t="s">
        <v>824</v>
      </c>
      <c r="AE1680" s="25" t="s">
        <v>824</v>
      </c>
    </row>
    <row r="1681" spans="20:31" ht="14.4">
      <c r="T1681" s="25" t="s">
        <v>861</v>
      </c>
      <c r="U1681" s="25" t="s">
        <v>837</v>
      </c>
      <c r="V1681" s="25" t="s">
        <v>992</v>
      </c>
      <c r="W1681" s="25" t="str">
        <f t="shared" si="45"/>
        <v>Shaped Upholstered PelmetRevealHD Somfy CBUS Motor</v>
      </c>
      <c r="X1681" s="25">
        <v>0</v>
      </c>
      <c r="Y1681" s="25" t="s">
        <v>824</v>
      </c>
      <c r="Z1681" s="25" t="s">
        <v>824</v>
      </c>
      <c r="AA1681" s="25" t="s">
        <v>824</v>
      </c>
      <c r="AB1681" s="25" t="s">
        <v>824</v>
      </c>
      <c r="AC1681" s="25" t="s">
        <v>821</v>
      </c>
      <c r="AD1681" s="25" t="s">
        <v>824</v>
      </c>
      <c r="AE1681" s="25" t="s">
        <v>824</v>
      </c>
    </row>
    <row r="1682" spans="20:31" ht="14.4">
      <c r="T1682" s="25" t="s">
        <v>861</v>
      </c>
      <c r="U1682" s="25" t="s">
        <v>837</v>
      </c>
      <c r="V1682" s="25" t="s">
        <v>625</v>
      </c>
      <c r="W1682" s="25" t="str">
        <f t="shared" si="45"/>
        <v>Shaped Upholstered PelmetRevealAcmeda E6 Motor</v>
      </c>
      <c r="X1682" s="25">
        <v>0</v>
      </c>
      <c r="Y1682" s="25" t="s">
        <v>824</v>
      </c>
      <c r="Z1682" s="25" t="s">
        <v>824</v>
      </c>
      <c r="AA1682" s="25" t="s">
        <v>824</v>
      </c>
      <c r="AB1682" s="25" t="s">
        <v>824</v>
      </c>
      <c r="AC1682" s="25" t="s">
        <v>821</v>
      </c>
      <c r="AD1682" s="25" t="s">
        <v>824</v>
      </c>
      <c r="AE1682" s="25" t="s">
        <v>824</v>
      </c>
    </row>
    <row r="1683" spans="20:31" ht="14.4">
      <c r="T1683" s="25" t="s">
        <v>861</v>
      </c>
      <c r="U1683" s="25" t="s">
        <v>837</v>
      </c>
      <c r="V1683" s="25" t="s">
        <v>626</v>
      </c>
      <c r="W1683" s="25" t="str">
        <f t="shared" si="45"/>
        <v>Shaped Upholstered PelmetRevealAcmeda M6 Motor</v>
      </c>
      <c r="X1683" s="25">
        <v>0</v>
      </c>
      <c r="Y1683" s="25" t="s">
        <v>824</v>
      </c>
      <c r="Z1683" s="25" t="s">
        <v>824</v>
      </c>
      <c r="AA1683" s="25" t="s">
        <v>824</v>
      </c>
      <c r="AB1683" s="25" t="s">
        <v>824</v>
      </c>
      <c r="AC1683" s="25" t="s">
        <v>821</v>
      </c>
      <c r="AD1683" s="25" t="s">
        <v>824</v>
      </c>
      <c r="AE1683" s="25" t="s">
        <v>824</v>
      </c>
    </row>
    <row r="1684" spans="20:31" ht="14.4">
      <c r="T1684" s="25" t="s">
        <v>861</v>
      </c>
      <c r="U1684" s="25" t="s">
        <v>837</v>
      </c>
      <c r="V1684" s="25" t="s">
        <v>1002</v>
      </c>
      <c r="W1684" s="25" t="str">
        <f t="shared" si="45"/>
        <v>Shaped Upholstered PelmetRevealUniline Remote Motor</v>
      </c>
      <c r="X1684" s="25">
        <v>0</v>
      </c>
      <c r="Y1684" s="25" t="s">
        <v>824</v>
      </c>
      <c r="Z1684" s="25" t="s">
        <v>824</v>
      </c>
      <c r="AA1684" s="25" t="s">
        <v>824</v>
      </c>
      <c r="AB1684" s="25" t="s">
        <v>824</v>
      </c>
      <c r="AC1684" s="25" t="s">
        <v>821</v>
      </c>
      <c r="AD1684" s="25" t="s">
        <v>824</v>
      </c>
      <c r="AE1684" s="25" t="s">
        <v>824</v>
      </c>
    </row>
    <row r="1685" spans="20:31" ht="14.4">
      <c r="T1685" s="25" t="s">
        <v>861</v>
      </c>
      <c r="U1685" s="25" t="s">
        <v>837</v>
      </c>
      <c r="V1685" s="25" t="s">
        <v>1005</v>
      </c>
      <c r="W1685" s="25" t="str">
        <f t="shared" si="45"/>
        <v>Shaped Upholstered PelmetRevealUniline Cbus Motor</v>
      </c>
      <c r="X1685" s="25">
        <v>0</v>
      </c>
      <c r="Y1685" s="25" t="s">
        <v>824</v>
      </c>
      <c r="Z1685" s="25" t="s">
        <v>824</v>
      </c>
      <c r="AA1685" s="25" t="s">
        <v>824</v>
      </c>
      <c r="AB1685" s="25" t="s">
        <v>824</v>
      </c>
      <c r="AC1685" s="25" t="s">
        <v>821</v>
      </c>
      <c r="AD1685" s="25" t="s">
        <v>824</v>
      </c>
      <c r="AE1685" s="25" t="s">
        <v>824</v>
      </c>
    </row>
    <row r="1686" spans="20:31" ht="14.4">
      <c r="T1686" s="25" t="s">
        <v>861</v>
      </c>
      <c r="U1686" s="25" t="s">
        <v>837</v>
      </c>
      <c r="V1686" s="25" t="s">
        <v>981</v>
      </c>
      <c r="W1686" s="25" t="str">
        <f t="shared" si="45"/>
        <v>Shaped Upholstered PelmetRevealNice Remote Motor</v>
      </c>
      <c r="X1686" s="25">
        <v>0</v>
      </c>
      <c r="Y1686" s="25" t="s">
        <v>824</v>
      </c>
      <c r="Z1686" s="25" t="s">
        <v>824</v>
      </c>
      <c r="AA1686" s="25" t="s">
        <v>824</v>
      </c>
      <c r="AB1686" s="25" t="s">
        <v>824</v>
      </c>
      <c r="AC1686" s="25" t="s">
        <v>821</v>
      </c>
      <c r="AD1686" s="25" t="s">
        <v>824</v>
      </c>
      <c r="AE1686" s="25" t="s">
        <v>824</v>
      </c>
    </row>
    <row r="1687" spans="20:31" ht="14.4">
      <c r="T1687" s="25" t="s">
        <v>861</v>
      </c>
      <c r="U1687" s="25" t="s">
        <v>837</v>
      </c>
      <c r="V1687" s="25" t="s">
        <v>976</v>
      </c>
      <c r="W1687" s="25" t="str">
        <f t="shared" si="45"/>
        <v>Shaped Upholstered PelmetRevealNice CBus Motor</v>
      </c>
      <c r="X1687" s="25">
        <v>0</v>
      </c>
      <c r="Y1687" s="25" t="s">
        <v>824</v>
      </c>
      <c r="Z1687" s="25" t="s">
        <v>824</v>
      </c>
      <c r="AA1687" s="25" t="s">
        <v>824</v>
      </c>
      <c r="AB1687" s="25" t="s">
        <v>824</v>
      </c>
      <c r="AC1687" s="25" t="s">
        <v>821</v>
      </c>
      <c r="AD1687" s="25" t="s">
        <v>824</v>
      </c>
      <c r="AE1687" s="25" t="s">
        <v>824</v>
      </c>
    </row>
    <row r="1688" spans="20:31" ht="14.4">
      <c r="T1688" s="25" t="s">
        <v>861</v>
      </c>
      <c r="U1688" s="25" t="s">
        <v>837</v>
      </c>
      <c r="V1688" t="s">
        <v>1006</v>
      </c>
      <c r="W1688" s="25" t="str">
        <f t="shared" si="45"/>
        <v>Shaped Upholstered PelmetRevealSunboss Chain Winder 38mm Tube</v>
      </c>
      <c r="X1688" s="25">
        <v>0</v>
      </c>
      <c r="Y1688" s="25" t="s">
        <v>824</v>
      </c>
      <c r="Z1688" s="25" t="s">
        <v>824</v>
      </c>
      <c r="AA1688" s="25" t="s">
        <v>824</v>
      </c>
      <c r="AB1688" s="25" t="s">
        <v>824</v>
      </c>
      <c r="AC1688" s="25" t="s">
        <v>821</v>
      </c>
      <c r="AD1688" s="25" t="s">
        <v>824</v>
      </c>
      <c r="AE1688" s="25" t="s">
        <v>824</v>
      </c>
    </row>
    <row r="1689" spans="20:31" ht="14.4">
      <c r="T1689" s="25" t="s">
        <v>861</v>
      </c>
      <c r="U1689" s="25" t="s">
        <v>837</v>
      </c>
      <c r="V1689" t="s">
        <v>1017</v>
      </c>
      <c r="W1689" s="25" t="str">
        <f t="shared" si="45"/>
        <v>Shaped Upholstered PelmetRevealSunboss Chain Winder 43mm Tube</v>
      </c>
      <c r="X1689" s="25">
        <v>0</v>
      </c>
      <c r="Y1689" s="25" t="s">
        <v>824</v>
      </c>
      <c r="Z1689" s="25" t="s">
        <v>824</v>
      </c>
      <c r="AA1689" s="25" t="s">
        <v>824</v>
      </c>
      <c r="AB1689" s="25" t="s">
        <v>824</v>
      </c>
      <c r="AC1689" s="25" t="s">
        <v>821</v>
      </c>
      <c r="AD1689" s="25" t="s">
        <v>824</v>
      </c>
      <c r="AE1689" s="25" t="s">
        <v>824</v>
      </c>
    </row>
    <row r="1690" spans="20:31" ht="14.4">
      <c r="T1690" s="25" t="s">
        <v>861</v>
      </c>
      <c r="U1690" s="25" t="s">
        <v>837</v>
      </c>
      <c r="V1690" s="25" t="s">
        <v>1012</v>
      </c>
      <c r="W1690" s="25" t="str">
        <f t="shared" si="45"/>
        <v>Shaped Upholstered PelmetRevealTBS Remote Motor</v>
      </c>
      <c r="X1690" s="25">
        <v>0</v>
      </c>
      <c r="Y1690" s="25" t="s">
        <v>824</v>
      </c>
      <c r="Z1690" s="25" t="s">
        <v>824</v>
      </c>
      <c r="AA1690" s="25" t="s">
        <v>824</v>
      </c>
      <c r="AB1690" s="25" t="s">
        <v>824</v>
      </c>
      <c r="AC1690" s="25" t="s">
        <v>821</v>
      </c>
      <c r="AD1690" s="25" t="s">
        <v>824</v>
      </c>
      <c r="AE1690" s="25" t="s">
        <v>824</v>
      </c>
    </row>
    <row r="1691" spans="20:31" ht="14.4">
      <c r="T1691" s="25" t="s">
        <v>861</v>
      </c>
      <c r="U1691" s="25" t="s">
        <v>837</v>
      </c>
      <c r="V1691" t="s">
        <v>1009</v>
      </c>
      <c r="W1691" s="25" t="str">
        <f t="shared" si="45"/>
        <v>Shaped Upholstered PelmetRevealTBS Cbus Motor</v>
      </c>
      <c r="X1691" s="25">
        <v>0</v>
      </c>
      <c r="Y1691" s="25" t="s">
        <v>824</v>
      </c>
      <c r="Z1691" s="25" t="s">
        <v>824</v>
      </c>
      <c r="AA1691" s="25" t="s">
        <v>824</v>
      </c>
      <c r="AB1691" s="25" t="s">
        <v>824</v>
      </c>
      <c r="AC1691" s="25" t="s">
        <v>821</v>
      </c>
      <c r="AD1691" s="25" t="s">
        <v>824</v>
      </c>
      <c r="AE1691" s="25" t="s">
        <v>824</v>
      </c>
    </row>
    <row r="1692" spans="20:31" ht="14.4">
      <c r="T1692" s="25" t="s">
        <v>861</v>
      </c>
      <c r="U1692" s="25" t="s">
        <v>837</v>
      </c>
      <c r="V1692" t="s">
        <v>927</v>
      </c>
      <c r="W1692" s="25" t="str">
        <f t="shared" si="45"/>
        <v>Shaped Upholstered PelmetRevealAcmeda External Motor</v>
      </c>
      <c r="X1692" s="25">
        <v>0</v>
      </c>
      <c r="Y1692" s="25" t="s">
        <v>824</v>
      </c>
      <c r="Z1692" s="25" t="s">
        <v>824</v>
      </c>
      <c r="AA1692" s="25" t="s">
        <v>824</v>
      </c>
      <c r="AB1692" s="25" t="s">
        <v>824</v>
      </c>
      <c r="AC1692" s="25" t="s">
        <v>821</v>
      </c>
      <c r="AD1692" s="25" t="s">
        <v>824</v>
      </c>
      <c r="AE1692" s="25" t="s">
        <v>824</v>
      </c>
    </row>
    <row r="1693" spans="20:31" ht="14.4">
      <c r="T1693" s="25" t="s">
        <v>861</v>
      </c>
      <c r="U1693" s="25" t="s">
        <v>837</v>
      </c>
      <c r="V1693" t="s">
        <v>918</v>
      </c>
      <c r="W1693" s="25" t="str">
        <f t="shared" si="45"/>
        <v>Shaped Upholstered PelmetRevealAcmeda External 12v Motor</v>
      </c>
      <c r="X1693" s="25">
        <v>0</v>
      </c>
      <c r="Y1693" s="25" t="s">
        <v>824</v>
      </c>
      <c r="Z1693" s="25" t="s">
        <v>824</v>
      </c>
      <c r="AA1693" s="25" t="s">
        <v>824</v>
      </c>
      <c r="AB1693" s="25" t="s">
        <v>824</v>
      </c>
      <c r="AC1693" s="25" t="s">
        <v>821</v>
      </c>
      <c r="AD1693" s="25" t="s">
        <v>824</v>
      </c>
      <c r="AE1693" s="25" t="s">
        <v>824</v>
      </c>
    </row>
    <row r="1694" spans="20:31" ht="14.4">
      <c r="T1694" s="25" t="s">
        <v>861</v>
      </c>
      <c r="U1694" s="25" t="s">
        <v>837</v>
      </c>
      <c r="V1694" t="s">
        <v>979</v>
      </c>
      <c r="W1694" s="25" t="str">
        <f t="shared" si="45"/>
        <v>Shaped Upholstered PelmetRevealSomfy External CBUS Motor</v>
      </c>
      <c r="X1694" s="25">
        <v>0</v>
      </c>
      <c r="Y1694" s="25" t="s">
        <v>824</v>
      </c>
      <c r="Z1694" s="25" t="s">
        <v>824</v>
      </c>
      <c r="AA1694" s="25" t="s">
        <v>824</v>
      </c>
      <c r="AB1694" s="25" t="s">
        <v>824</v>
      </c>
      <c r="AC1694" s="25" t="s">
        <v>821</v>
      </c>
      <c r="AD1694" s="25" t="s">
        <v>824</v>
      </c>
      <c r="AE1694" s="25" t="s">
        <v>824</v>
      </c>
    </row>
    <row r="1695" spans="20:31" ht="14.4">
      <c r="T1695" s="25" t="s">
        <v>861</v>
      </c>
      <c r="U1695" s="25" t="s">
        <v>837</v>
      </c>
      <c r="V1695" t="s">
        <v>983</v>
      </c>
      <c r="W1695" s="25" t="str">
        <f t="shared" si="45"/>
        <v>Shaped Upholstered PelmetRevealSomfy External Remote Motor</v>
      </c>
      <c r="X1695" s="25">
        <v>0</v>
      </c>
      <c r="Y1695" s="25" t="s">
        <v>824</v>
      </c>
      <c r="Z1695" s="25" t="s">
        <v>824</v>
      </c>
      <c r="AA1695" s="25" t="s">
        <v>824</v>
      </c>
      <c r="AB1695" s="25" t="s">
        <v>824</v>
      </c>
      <c r="AC1695" s="25" t="s">
        <v>821</v>
      </c>
      <c r="AD1695" s="25" t="s">
        <v>824</v>
      </c>
      <c r="AE1695" s="25" t="s">
        <v>824</v>
      </c>
    </row>
    <row r="1696" spans="20:31" ht="14.4">
      <c r="T1696" s="25" t="s">
        <v>861</v>
      </c>
      <c r="U1696" s="25" t="s">
        <v>837</v>
      </c>
      <c r="V1696" t="s">
        <v>995</v>
      </c>
      <c r="W1696" s="25" t="str">
        <f t="shared" si="45"/>
        <v>Shaped Upholstered PelmetRevealHD Somfy External CBUS Motor</v>
      </c>
      <c r="X1696" s="25">
        <v>0</v>
      </c>
      <c r="Y1696" s="25" t="s">
        <v>824</v>
      </c>
      <c r="Z1696" s="25" t="s">
        <v>824</v>
      </c>
      <c r="AA1696" s="25" t="s">
        <v>824</v>
      </c>
      <c r="AB1696" s="25" t="s">
        <v>824</v>
      </c>
      <c r="AC1696" s="25" t="s">
        <v>821</v>
      </c>
      <c r="AD1696" s="25" t="s">
        <v>824</v>
      </c>
      <c r="AE1696" s="25" t="s">
        <v>824</v>
      </c>
    </row>
    <row r="1697" spans="20:31" ht="14.4">
      <c r="T1697" s="25" t="s">
        <v>861</v>
      </c>
      <c r="U1697" s="25" t="s">
        <v>837</v>
      </c>
      <c r="V1697" t="s">
        <v>999</v>
      </c>
      <c r="W1697" s="25" t="str">
        <f t="shared" si="45"/>
        <v>Shaped Upholstered PelmetRevealHD Somfy External Remote Motor</v>
      </c>
      <c r="X1697" s="25">
        <v>0</v>
      </c>
      <c r="Y1697" s="25" t="s">
        <v>824</v>
      </c>
      <c r="Z1697" s="25" t="s">
        <v>824</v>
      </c>
      <c r="AA1697" s="25" t="s">
        <v>824</v>
      </c>
      <c r="AB1697" s="25" t="s">
        <v>824</v>
      </c>
      <c r="AC1697" s="25" t="s">
        <v>821</v>
      </c>
      <c r="AD1697" s="25" t="s">
        <v>824</v>
      </c>
      <c r="AE1697" s="25" t="s">
        <v>824</v>
      </c>
    </row>
    <row r="1698" spans="20:31" ht="14.4">
      <c r="T1698" s="25" t="s">
        <v>955</v>
      </c>
      <c r="U1698" s="25" t="s">
        <v>816</v>
      </c>
      <c r="V1698" s="25" t="s">
        <v>823</v>
      </c>
      <c r="W1698" s="25" t="str">
        <f t="shared" si="45"/>
        <v>Side ChannelsFaceChain Winder</v>
      </c>
      <c r="X1698" s="25">
        <v>10</v>
      </c>
      <c r="Y1698" s="25" t="s">
        <v>824</v>
      </c>
      <c r="Z1698" s="25" t="s">
        <v>824</v>
      </c>
      <c r="AA1698" s="25">
        <v>60</v>
      </c>
      <c r="AB1698" s="25" t="s">
        <v>824</v>
      </c>
      <c r="AC1698" s="25" t="s">
        <v>821</v>
      </c>
      <c r="AD1698" s="25" t="s">
        <v>824</v>
      </c>
      <c r="AE1698" s="25" t="s">
        <v>824</v>
      </c>
    </row>
    <row r="1699" spans="20:31" ht="14.4">
      <c r="T1699" s="25" t="s">
        <v>955</v>
      </c>
      <c r="U1699" s="25" t="s">
        <v>816</v>
      </c>
      <c r="V1699" s="25" t="s">
        <v>841</v>
      </c>
      <c r="W1699" s="25" t="str">
        <f t="shared" si="45"/>
        <v>Side ChannelsFaceHD Chain Winder</v>
      </c>
      <c r="X1699" s="25">
        <v>10</v>
      </c>
      <c r="Y1699" s="25" t="s">
        <v>824</v>
      </c>
      <c r="Z1699" s="25" t="s">
        <v>824</v>
      </c>
      <c r="AA1699" s="25">
        <v>60</v>
      </c>
      <c r="AB1699" s="25" t="s">
        <v>824</v>
      </c>
      <c r="AC1699" s="25" t="s">
        <v>821</v>
      </c>
      <c r="AD1699" s="25" t="s">
        <v>824</v>
      </c>
      <c r="AE1699" s="25" t="s">
        <v>824</v>
      </c>
    </row>
    <row r="1700" spans="20:31" ht="14.4">
      <c r="T1700" s="25" t="s">
        <v>955</v>
      </c>
      <c r="U1700" s="25" t="s">
        <v>816</v>
      </c>
      <c r="V1700" s="25" t="s">
        <v>858</v>
      </c>
      <c r="W1700" s="25" t="str">
        <f t="shared" si="45"/>
        <v>Side ChannelsFaceChain Winder 60mm</v>
      </c>
      <c r="X1700" s="25">
        <v>10</v>
      </c>
      <c r="Y1700" s="25" t="s">
        <v>824</v>
      </c>
      <c r="Z1700" s="25" t="s">
        <v>824</v>
      </c>
      <c r="AA1700" s="25">
        <v>60</v>
      </c>
      <c r="AB1700" s="25" t="s">
        <v>824</v>
      </c>
      <c r="AC1700" s="25" t="s">
        <v>821</v>
      </c>
      <c r="AD1700" s="25" t="s">
        <v>824</v>
      </c>
      <c r="AE1700" s="25" t="s">
        <v>824</v>
      </c>
    </row>
    <row r="1701" spans="20:31" ht="14.4">
      <c r="T1701" s="25" t="s">
        <v>955</v>
      </c>
      <c r="U1701" s="25" t="s">
        <v>816</v>
      </c>
      <c r="V1701" s="25" t="s">
        <v>865</v>
      </c>
      <c r="W1701" s="25" t="str">
        <f t="shared" si="45"/>
        <v>Side ChannelsFaceChain Winder Fixed Guide</v>
      </c>
      <c r="X1701" s="25">
        <v>10</v>
      </c>
      <c r="Y1701" s="25" t="s">
        <v>824</v>
      </c>
      <c r="Z1701" s="25" t="s">
        <v>824</v>
      </c>
      <c r="AA1701" s="25">
        <v>60</v>
      </c>
      <c r="AB1701" s="25" t="s">
        <v>824</v>
      </c>
      <c r="AC1701" s="25" t="s">
        <v>821</v>
      </c>
      <c r="AD1701" s="25" t="s">
        <v>824</v>
      </c>
      <c r="AE1701" s="25" t="s">
        <v>824</v>
      </c>
    </row>
    <row r="1702" spans="20:31" ht="14.4">
      <c r="T1702" s="25" t="s">
        <v>955</v>
      </c>
      <c r="U1702" s="25" t="s">
        <v>816</v>
      </c>
      <c r="V1702" s="25" t="s">
        <v>181</v>
      </c>
      <c r="W1702" s="25" t="str">
        <f t="shared" si="45"/>
        <v>Side ChannelsFaceLinked</v>
      </c>
      <c r="X1702" s="25">
        <v>10</v>
      </c>
      <c r="Y1702" s="25" t="s">
        <v>824</v>
      </c>
      <c r="Z1702" s="25" t="s">
        <v>824</v>
      </c>
      <c r="AA1702" s="25">
        <v>60</v>
      </c>
      <c r="AB1702" s="25" t="s">
        <v>824</v>
      </c>
      <c r="AC1702" s="25" t="s">
        <v>821</v>
      </c>
      <c r="AD1702" s="25" t="s">
        <v>824</v>
      </c>
      <c r="AE1702" s="25" t="s">
        <v>824</v>
      </c>
    </row>
    <row r="1703" spans="20:31" ht="14.4">
      <c r="T1703" s="25" t="s">
        <v>955</v>
      </c>
      <c r="U1703" s="25" t="s">
        <v>816</v>
      </c>
      <c r="V1703" s="25" t="s">
        <v>898</v>
      </c>
      <c r="W1703" s="25" t="str">
        <f t="shared" si="45"/>
        <v>Side ChannelsFaceLinked - HD</v>
      </c>
      <c r="X1703" s="25">
        <v>10</v>
      </c>
      <c r="Y1703" s="25" t="s">
        <v>824</v>
      </c>
      <c r="Z1703" s="25" t="s">
        <v>824</v>
      </c>
      <c r="AA1703" s="25">
        <v>60</v>
      </c>
      <c r="AB1703" s="25" t="s">
        <v>824</v>
      </c>
      <c r="AC1703" s="25" t="s">
        <v>821</v>
      </c>
      <c r="AD1703" s="25" t="s">
        <v>824</v>
      </c>
      <c r="AE1703" s="25" t="s">
        <v>824</v>
      </c>
    </row>
    <row r="1704" spans="20:31" ht="14.4">
      <c r="T1704" s="25" t="s">
        <v>955</v>
      </c>
      <c r="U1704" s="25" t="s">
        <v>816</v>
      </c>
      <c r="V1704" s="25" t="s">
        <v>925</v>
      </c>
      <c r="W1704" s="25" t="str">
        <f t="shared" si="45"/>
        <v>Side ChannelsFaceLinked 60mm</v>
      </c>
      <c r="X1704" s="25">
        <v>10</v>
      </c>
      <c r="Y1704" s="25" t="s">
        <v>824</v>
      </c>
      <c r="Z1704" s="25" t="s">
        <v>824</v>
      </c>
      <c r="AA1704" s="25">
        <v>60</v>
      </c>
      <c r="AB1704" s="25" t="s">
        <v>824</v>
      </c>
      <c r="AC1704" s="25" t="s">
        <v>821</v>
      </c>
      <c r="AD1704" s="25" t="s">
        <v>824</v>
      </c>
      <c r="AE1704" s="25" t="s">
        <v>824</v>
      </c>
    </row>
    <row r="1705" spans="20:31" ht="14.4">
      <c r="T1705" s="25" t="s">
        <v>955</v>
      </c>
      <c r="U1705" s="25" t="s">
        <v>816</v>
      </c>
      <c r="V1705" s="25" t="s">
        <v>910</v>
      </c>
      <c r="W1705" s="25" t="str">
        <f t="shared" si="45"/>
        <v>Side ChannelsFaceStandard Spring</v>
      </c>
      <c r="X1705" s="25">
        <v>10</v>
      </c>
      <c r="Y1705" s="25" t="s">
        <v>824</v>
      </c>
      <c r="Z1705" s="25" t="s">
        <v>824</v>
      </c>
      <c r="AA1705" s="25">
        <v>60</v>
      </c>
      <c r="AB1705" s="25" t="s">
        <v>824</v>
      </c>
      <c r="AC1705" s="25" t="s">
        <v>821</v>
      </c>
      <c r="AD1705" s="25" t="s">
        <v>824</v>
      </c>
      <c r="AE1705" s="25" t="s">
        <v>824</v>
      </c>
    </row>
    <row r="1706" spans="20:31" ht="14.4">
      <c r="T1706" s="25" t="s">
        <v>955</v>
      </c>
      <c r="U1706" s="25" t="s">
        <v>816</v>
      </c>
      <c r="V1706" s="25" t="s">
        <v>920</v>
      </c>
      <c r="W1706" s="25" t="str">
        <f t="shared" si="45"/>
        <v>Side ChannelsFaceSmall Spring</v>
      </c>
      <c r="X1706" s="25">
        <v>10</v>
      </c>
      <c r="Y1706" s="25" t="s">
        <v>824</v>
      </c>
      <c r="Z1706" s="25" t="s">
        <v>824</v>
      </c>
      <c r="AA1706" s="25">
        <v>60</v>
      </c>
      <c r="AB1706" s="25" t="s">
        <v>824</v>
      </c>
      <c r="AC1706" s="25" t="s">
        <v>821</v>
      </c>
      <c r="AD1706" s="25" t="s">
        <v>824</v>
      </c>
      <c r="AE1706" s="25" t="s">
        <v>824</v>
      </c>
    </row>
    <row r="1707" spans="20:31" ht="14.4">
      <c r="T1707" s="25" t="s">
        <v>955</v>
      </c>
      <c r="U1707" s="25" t="s">
        <v>816</v>
      </c>
      <c r="V1707" s="25" t="s">
        <v>929</v>
      </c>
      <c r="W1707" s="25" t="str">
        <f t="shared" si="45"/>
        <v>Side ChannelsFaceUniline Spring (Old Style)</v>
      </c>
      <c r="X1707" s="25">
        <v>10</v>
      </c>
      <c r="Y1707" s="25" t="s">
        <v>824</v>
      </c>
      <c r="Z1707" s="25" t="s">
        <v>824</v>
      </c>
      <c r="AA1707" s="25">
        <v>60</v>
      </c>
      <c r="AB1707" s="25" t="s">
        <v>824</v>
      </c>
      <c r="AC1707" s="25" t="s">
        <v>821</v>
      </c>
      <c r="AD1707" s="25" t="s">
        <v>824</v>
      </c>
      <c r="AE1707" s="25" t="s">
        <v>824</v>
      </c>
    </row>
    <row r="1708" spans="20:31" ht="14.4">
      <c r="T1708" s="25" t="s">
        <v>955</v>
      </c>
      <c r="U1708" s="25" t="s">
        <v>816</v>
      </c>
      <c r="V1708" s="25" t="s">
        <v>935</v>
      </c>
      <c r="W1708" s="25" t="str">
        <f t="shared" si="45"/>
        <v>Side ChannelsFaceBecker Remote Motor</v>
      </c>
      <c r="X1708" s="25">
        <v>10</v>
      </c>
      <c r="Y1708" s="25" t="s">
        <v>824</v>
      </c>
      <c r="Z1708" s="25" t="s">
        <v>824</v>
      </c>
      <c r="AA1708" s="25">
        <v>60</v>
      </c>
      <c r="AB1708" s="25" t="s">
        <v>824</v>
      </c>
      <c r="AC1708" s="25" t="s">
        <v>821</v>
      </c>
      <c r="AD1708" s="25" t="s">
        <v>824</v>
      </c>
      <c r="AE1708" s="25" t="s">
        <v>824</v>
      </c>
    </row>
    <row r="1709" spans="20:31" ht="14.4">
      <c r="T1709" s="25" t="s">
        <v>955</v>
      </c>
      <c r="U1709" s="25" t="s">
        <v>816</v>
      </c>
      <c r="V1709" s="25" t="s">
        <v>939</v>
      </c>
      <c r="W1709" s="25" t="str">
        <f t="shared" si="45"/>
        <v>Side ChannelsFaceBecker CBUS Motor</v>
      </c>
      <c r="X1709" s="25">
        <v>10</v>
      </c>
      <c r="Y1709" s="25" t="s">
        <v>824</v>
      </c>
      <c r="Z1709" s="25" t="s">
        <v>824</v>
      </c>
      <c r="AA1709" s="25">
        <v>60</v>
      </c>
      <c r="AB1709" s="25" t="s">
        <v>824</v>
      </c>
      <c r="AC1709" s="25" t="s">
        <v>821</v>
      </c>
      <c r="AD1709" s="25" t="s">
        <v>824</v>
      </c>
      <c r="AE1709" s="25" t="s">
        <v>824</v>
      </c>
    </row>
    <row r="1710" spans="20:31" ht="14.4">
      <c r="T1710" s="25" t="s">
        <v>955</v>
      </c>
      <c r="U1710" s="25" t="s">
        <v>816</v>
      </c>
      <c r="V1710" s="25" t="s">
        <v>946</v>
      </c>
      <c r="W1710" s="25" t="str">
        <f t="shared" si="45"/>
        <v>Side ChannelsFaceBecker External Remote Motor</v>
      </c>
      <c r="X1710" s="25">
        <v>0</v>
      </c>
      <c r="Y1710" s="25" t="s">
        <v>824</v>
      </c>
      <c r="Z1710" s="25" t="s">
        <v>824</v>
      </c>
      <c r="AA1710" s="25">
        <v>60</v>
      </c>
      <c r="AB1710" s="25" t="s">
        <v>824</v>
      </c>
      <c r="AC1710" s="25" t="s">
        <v>821</v>
      </c>
      <c r="AD1710" s="25" t="s">
        <v>824</v>
      </c>
      <c r="AE1710" s="25" t="s">
        <v>824</v>
      </c>
    </row>
    <row r="1711" spans="20:31" ht="14.4">
      <c r="T1711" s="25" t="s">
        <v>955</v>
      </c>
      <c r="U1711" s="25" t="s">
        <v>816</v>
      </c>
      <c r="V1711" s="25" t="s">
        <v>951</v>
      </c>
      <c r="W1711" s="25" t="str">
        <f t="shared" si="45"/>
        <v>Side ChannelsFaceBecker External CBUS Motor</v>
      </c>
      <c r="X1711" s="25">
        <v>0</v>
      </c>
      <c r="Y1711" s="25" t="s">
        <v>824</v>
      </c>
      <c r="Z1711" s="25" t="s">
        <v>824</v>
      </c>
      <c r="AA1711" s="25">
        <v>60</v>
      </c>
      <c r="AB1711" s="25" t="s">
        <v>824</v>
      </c>
      <c r="AC1711" s="25" t="s">
        <v>821</v>
      </c>
      <c r="AD1711" s="25" t="s">
        <v>824</v>
      </c>
      <c r="AE1711" s="25" t="s">
        <v>824</v>
      </c>
    </row>
    <row r="1712" spans="20:31" ht="14.4">
      <c r="T1712" s="25" t="s">
        <v>955</v>
      </c>
      <c r="U1712" s="25" t="s">
        <v>816</v>
      </c>
      <c r="V1712" s="25" t="s">
        <v>838</v>
      </c>
      <c r="W1712" s="25" t="str">
        <f t="shared" si="45"/>
        <v>Side ChannelsFace1.1nm 12v Acmeda Motor</v>
      </c>
      <c r="X1712" s="25">
        <v>10</v>
      </c>
      <c r="Y1712" s="25" t="s">
        <v>824</v>
      </c>
      <c r="Z1712" s="25" t="s">
        <v>824</v>
      </c>
      <c r="AA1712" s="25">
        <v>60</v>
      </c>
      <c r="AB1712" s="25" t="s">
        <v>824</v>
      </c>
      <c r="AC1712" s="25" t="s">
        <v>821</v>
      </c>
      <c r="AD1712" s="25" t="s">
        <v>824</v>
      </c>
      <c r="AE1712" s="25" t="s">
        <v>824</v>
      </c>
    </row>
    <row r="1713" spans="20:31" ht="14.4">
      <c r="T1713" s="25" t="s">
        <v>955</v>
      </c>
      <c r="U1713" s="25" t="s">
        <v>816</v>
      </c>
      <c r="V1713" t="s">
        <v>882</v>
      </c>
      <c r="W1713" s="25" t="str">
        <f t="shared" si="45"/>
        <v>Side ChannelsFace2nm 12v Acmeda Motor</v>
      </c>
      <c r="X1713" s="25">
        <v>10</v>
      </c>
      <c r="Y1713" s="25" t="s">
        <v>824</v>
      </c>
      <c r="Z1713" s="25" t="s">
        <v>824</v>
      </c>
      <c r="AA1713" s="25">
        <v>60</v>
      </c>
      <c r="AB1713" s="25" t="s">
        <v>824</v>
      </c>
      <c r="AC1713" s="25" t="s">
        <v>821</v>
      </c>
      <c r="AD1713" s="25" t="s">
        <v>824</v>
      </c>
      <c r="AE1713" s="25" t="s">
        <v>824</v>
      </c>
    </row>
    <row r="1714" spans="20:31" ht="14.4">
      <c r="T1714" s="25" t="s">
        <v>955</v>
      </c>
      <c r="U1714" s="25" t="s">
        <v>816</v>
      </c>
      <c r="V1714" t="s">
        <v>896</v>
      </c>
      <c r="W1714" s="25" t="str">
        <f t="shared" si="45"/>
        <v>Side ChannelsFaceAcmeda 12v 6nm Motor</v>
      </c>
      <c r="X1714" s="25">
        <v>10</v>
      </c>
      <c r="Y1714" s="25" t="s">
        <v>824</v>
      </c>
      <c r="Z1714" s="25" t="s">
        <v>824</v>
      </c>
      <c r="AA1714" s="25">
        <v>60</v>
      </c>
      <c r="AB1714" s="25" t="s">
        <v>824</v>
      </c>
      <c r="AC1714" s="25" t="s">
        <v>821</v>
      </c>
      <c r="AD1714" s="25" t="s">
        <v>824</v>
      </c>
      <c r="AE1714" s="25" t="s">
        <v>824</v>
      </c>
    </row>
    <row r="1715" spans="20:31" ht="14.4">
      <c r="T1715" s="25" t="s">
        <v>955</v>
      </c>
      <c r="U1715" s="25" t="s">
        <v>816</v>
      </c>
      <c r="V1715" t="s">
        <v>855</v>
      </c>
      <c r="W1715" s="25" t="str">
        <f t="shared" si="45"/>
        <v>Side ChannelsFace0.7nm 12v Acmeda Motor</v>
      </c>
      <c r="X1715" s="25">
        <v>10</v>
      </c>
      <c r="Y1715" s="25" t="s">
        <v>824</v>
      </c>
      <c r="Z1715" s="25" t="s">
        <v>824</v>
      </c>
      <c r="AA1715" s="25">
        <v>60</v>
      </c>
      <c r="AB1715" s="25" t="s">
        <v>824</v>
      </c>
      <c r="AC1715" s="25" t="s">
        <v>821</v>
      </c>
      <c r="AD1715" s="25" t="s">
        <v>824</v>
      </c>
      <c r="AE1715" s="25" t="s">
        <v>824</v>
      </c>
    </row>
    <row r="1716" spans="20:31" ht="14.4">
      <c r="T1716" s="25" t="s">
        <v>955</v>
      </c>
      <c r="U1716" s="25" t="s">
        <v>816</v>
      </c>
      <c r="V1716" s="25" t="s">
        <v>849</v>
      </c>
      <c r="W1716" s="25" t="str">
        <f t="shared" si="45"/>
        <v>Side ChannelsFace1.1nm 12v Acmeda DCRF Motor with External Battery</v>
      </c>
      <c r="X1716" s="25">
        <v>10</v>
      </c>
      <c r="Y1716" s="25" t="s">
        <v>824</v>
      </c>
      <c r="Z1716" s="25" t="s">
        <v>824</v>
      </c>
      <c r="AA1716" s="25">
        <v>60</v>
      </c>
      <c r="AB1716" s="25" t="s">
        <v>824</v>
      </c>
      <c r="AC1716" s="25" t="s">
        <v>821</v>
      </c>
      <c r="AD1716" s="25" t="s">
        <v>824</v>
      </c>
      <c r="AE1716" s="25" t="s">
        <v>824</v>
      </c>
    </row>
    <row r="1717" spans="20:31" ht="14.4">
      <c r="T1717" s="25" t="s">
        <v>955</v>
      </c>
      <c r="U1717" s="25" t="s">
        <v>816</v>
      </c>
      <c r="V1717" s="25" t="s">
        <v>817</v>
      </c>
      <c r="W1717" s="25" t="str">
        <f t="shared" si="45"/>
        <v>Side ChannelsFace1.1nm 12v Acmeda DCRF Motor</v>
      </c>
      <c r="X1717" s="25">
        <v>10</v>
      </c>
      <c r="Y1717" s="25" t="s">
        <v>824</v>
      </c>
      <c r="Z1717" s="25" t="s">
        <v>824</v>
      </c>
      <c r="AA1717" s="25">
        <v>60</v>
      </c>
      <c r="AB1717" s="25" t="s">
        <v>824</v>
      </c>
      <c r="AC1717" s="25" t="s">
        <v>821</v>
      </c>
      <c r="AD1717" s="25" t="s">
        <v>824</v>
      </c>
      <c r="AE1717" s="25" t="s">
        <v>824</v>
      </c>
    </row>
    <row r="1718" spans="20:31" ht="14.4">
      <c r="T1718" s="25" t="s">
        <v>955</v>
      </c>
      <c r="U1718" s="25" t="s">
        <v>816</v>
      </c>
      <c r="V1718" s="25" t="s">
        <v>868</v>
      </c>
      <c r="W1718" s="25" t="str">
        <f t="shared" si="45"/>
        <v>Side ChannelsFace2nm 12v Acmeda DCRF Motor</v>
      </c>
      <c r="X1718" s="25">
        <v>10</v>
      </c>
      <c r="Y1718" s="25" t="s">
        <v>824</v>
      </c>
      <c r="Z1718" s="25" t="s">
        <v>824</v>
      </c>
      <c r="AA1718" s="25">
        <v>60</v>
      </c>
      <c r="AB1718" s="25" t="s">
        <v>824</v>
      </c>
      <c r="AC1718" s="25" t="s">
        <v>821</v>
      </c>
      <c r="AD1718" s="25" t="s">
        <v>824</v>
      </c>
      <c r="AE1718" s="25" t="s">
        <v>824</v>
      </c>
    </row>
    <row r="1719" spans="20:31" ht="14.4">
      <c r="T1719" s="25" t="s">
        <v>955</v>
      </c>
      <c r="U1719" s="25" t="s">
        <v>816</v>
      </c>
      <c r="V1719" t="s">
        <v>973</v>
      </c>
      <c r="W1719" s="25" t="str">
        <f t="shared" si="45"/>
        <v>Side ChannelsFaceSomfy Remote Sonesse Motor</v>
      </c>
      <c r="X1719" s="25">
        <v>10</v>
      </c>
      <c r="Y1719" s="25" t="s">
        <v>824</v>
      </c>
      <c r="Z1719" s="25" t="s">
        <v>824</v>
      </c>
      <c r="AA1719" s="25">
        <v>60</v>
      </c>
      <c r="AB1719" s="25" t="s">
        <v>824</v>
      </c>
      <c r="AC1719" s="25" t="s">
        <v>821</v>
      </c>
      <c r="AD1719" s="25" t="s">
        <v>824</v>
      </c>
      <c r="AE1719" s="25" t="s">
        <v>824</v>
      </c>
    </row>
    <row r="1720" spans="20:31" ht="14.4">
      <c r="T1720" s="25" t="s">
        <v>955</v>
      </c>
      <c r="U1720" s="25" t="s">
        <v>816</v>
      </c>
      <c r="V1720" t="s">
        <v>637</v>
      </c>
      <c r="W1720" s="25" t="str">
        <f t="shared" si="45"/>
        <v>Side ChannelsFaceSomfy 12v Remote Sonesse Motor</v>
      </c>
      <c r="X1720" s="25">
        <v>10</v>
      </c>
      <c r="Y1720" s="25" t="s">
        <v>824</v>
      </c>
      <c r="Z1720" s="25" t="s">
        <v>824</v>
      </c>
      <c r="AA1720" s="25">
        <v>60</v>
      </c>
      <c r="AB1720" s="25" t="s">
        <v>824</v>
      </c>
      <c r="AC1720" s="25" t="s">
        <v>821</v>
      </c>
      <c r="AD1720" s="25" t="s">
        <v>824</v>
      </c>
      <c r="AE1720" s="25" t="s">
        <v>824</v>
      </c>
    </row>
    <row r="1721" spans="20:31" ht="14.4">
      <c r="T1721" s="25" t="s">
        <v>955</v>
      </c>
      <c r="U1721" s="25" t="s">
        <v>816</v>
      </c>
      <c r="V1721" s="25" t="s">
        <v>974</v>
      </c>
      <c r="W1721" s="25" t="str">
        <f t="shared" si="45"/>
        <v>Side ChannelsFaceSomfy CBUS Motor</v>
      </c>
      <c r="X1721" s="25">
        <v>10</v>
      </c>
      <c r="Y1721" s="25" t="s">
        <v>824</v>
      </c>
      <c r="Z1721" s="25" t="s">
        <v>824</v>
      </c>
      <c r="AA1721" s="25">
        <v>60</v>
      </c>
      <c r="AB1721" s="25" t="s">
        <v>824</v>
      </c>
      <c r="AC1721" s="25" t="s">
        <v>821</v>
      </c>
      <c r="AD1721" s="25" t="s">
        <v>824</v>
      </c>
      <c r="AE1721" s="25" t="s">
        <v>824</v>
      </c>
    </row>
    <row r="1722" spans="20:31" ht="14.4">
      <c r="T1722" s="25" t="s">
        <v>955</v>
      </c>
      <c r="U1722" s="25" t="s">
        <v>816</v>
      </c>
      <c r="V1722" t="s">
        <v>986</v>
      </c>
      <c r="W1722" s="25" t="str">
        <f t="shared" si="45"/>
        <v>Side ChannelsFaceHD Somfy Remote Sonesse Motor</v>
      </c>
      <c r="X1722" s="25">
        <v>10</v>
      </c>
      <c r="Y1722" s="25" t="s">
        <v>824</v>
      </c>
      <c r="Z1722" s="25" t="s">
        <v>824</v>
      </c>
      <c r="AA1722" s="25">
        <v>60</v>
      </c>
      <c r="AB1722" s="25" t="s">
        <v>824</v>
      </c>
      <c r="AC1722" s="25" t="s">
        <v>821</v>
      </c>
      <c r="AD1722" s="25" t="s">
        <v>824</v>
      </c>
      <c r="AE1722" s="25" t="s">
        <v>824</v>
      </c>
    </row>
    <row r="1723" spans="20:31" ht="14.4">
      <c r="T1723" s="25" t="s">
        <v>955</v>
      </c>
      <c r="U1723" s="25" t="s">
        <v>816</v>
      </c>
      <c r="V1723" t="s">
        <v>989</v>
      </c>
      <c r="W1723" s="25" t="str">
        <f t="shared" si="45"/>
        <v>Side ChannelsFaceHD Somfy 12v Remote Sonesse Motor</v>
      </c>
      <c r="X1723" s="25">
        <v>10</v>
      </c>
      <c r="Y1723" s="25" t="s">
        <v>824</v>
      </c>
      <c r="Z1723" s="25" t="s">
        <v>824</v>
      </c>
      <c r="AA1723" s="25">
        <v>60</v>
      </c>
      <c r="AB1723" s="25" t="s">
        <v>824</v>
      </c>
      <c r="AC1723" s="25" t="s">
        <v>821</v>
      </c>
      <c r="AD1723" s="25" t="s">
        <v>824</v>
      </c>
      <c r="AE1723" s="25" t="s">
        <v>824</v>
      </c>
    </row>
    <row r="1724" spans="20:31" ht="14.4">
      <c r="T1724" s="25" t="s">
        <v>955</v>
      </c>
      <c r="U1724" s="25" t="s">
        <v>816</v>
      </c>
      <c r="V1724" s="25" t="s">
        <v>992</v>
      </c>
      <c r="W1724" s="25" t="str">
        <f t="shared" si="45"/>
        <v>Side ChannelsFaceHD Somfy CBUS Motor</v>
      </c>
      <c r="X1724" s="25">
        <v>10</v>
      </c>
      <c r="Y1724" s="25" t="s">
        <v>824</v>
      </c>
      <c r="Z1724" s="25" t="s">
        <v>824</v>
      </c>
      <c r="AA1724" s="25">
        <v>60</v>
      </c>
      <c r="AB1724" s="25" t="s">
        <v>824</v>
      </c>
      <c r="AC1724" s="25" t="s">
        <v>821</v>
      </c>
      <c r="AD1724" s="25" t="s">
        <v>824</v>
      </c>
      <c r="AE1724" s="25" t="s">
        <v>824</v>
      </c>
    </row>
    <row r="1725" spans="20:31" ht="14.4">
      <c r="T1725" s="25" t="s">
        <v>955</v>
      </c>
      <c r="U1725" s="25" t="s">
        <v>816</v>
      </c>
      <c r="V1725" s="25" t="s">
        <v>625</v>
      </c>
      <c r="W1725" s="25" t="str">
        <f t="shared" si="45"/>
        <v>Side ChannelsFaceAcmeda E6 Motor</v>
      </c>
      <c r="X1725" s="25">
        <v>10</v>
      </c>
      <c r="Y1725" s="25" t="s">
        <v>824</v>
      </c>
      <c r="Z1725" s="25" t="s">
        <v>824</v>
      </c>
      <c r="AA1725" s="25">
        <v>60</v>
      </c>
      <c r="AB1725" s="25" t="s">
        <v>824</v>
      </c>
      <c r="AC1725" s="25" t="s">
        <v>821</v>
      </c>
      <c r="AD1725" s="25" t="s">
        <v>824</v>
      </c>
      <c r="AE1725" s="25" t="s">
        <v>824</v>
      </c>
    </row>
    <row r="1726" spans="20:31" ht="14.4">
      <c r="T1726" s="25" t="s">
        <v>955</v>
      </c>
      <c r="U1726" s="25" t="s">
        <v>816</v>
      </c>
      <c r="V1726" s="25" t="s">
        <v>626</v>
      </c>
      <c r="W1726" s="25" t="str">
        <f t="shared" si="45"/>
        <v>Side ChannelsFaceAcmeda M6 Motor</v>
      </c>
      <c r="X1726" s="25">
        <v>10</v>
      </c>
      <c r="Y1726" s="25" t="s">
        <v>824</v>
      </c>
      <c r="Z1726" s="25" t="s">
        <v>824</v>
      </c>
      <c r="AA1726" s="25">
        <v>60</v>
      </c>
      <c r="AB1726" s="25" t="s">
        <v>824</v>
      </c>
      <c r="AC1726" s="25" t="s">
        <v>821</v>
      </c>
      <c r="AD1726" s="25" t="s">
        <v>824</v>
      </c>
      <c r="AE1726" s="25" t="s">
        <v>824</v>
      </c>
    </row>
    <row r="1727" spans="20:31" ht="14.4">
      <c r="T1727" s="25" t="s">
        <v>955</v>
      </c>
      <c r="U1727" s="25" t="s">
        <v>816</v>
      </c>
      <c r="V1727" s="25" t="s">
        <v>1002</v>
      </c>
      <c r="W1727" s="25" t="str">
        <f t="shared" si="45"/>
        <v>Side ChannelsFaceUniline Remote Motor</v>
      </c>
      <c r="X1727" s="25">
        <v>10</v>
      </c>
      <c r="Y1727" s="25" t="s">
        <v>824</v>
      </c>
      <c r="Z1727" s="25" t="s">
        <v>824</v>
      </c>
      <c r="AA1727" s="25">
        <v>60</v>
      </c>
      <c r="AB1727" s="25" t="s">
        <v>824</v>
      </c>
      <c r="AC1727" s="25" t="s">
        <v>821</v>
      </c>
      <c r="AD1727" s="25" t="s">
        <v>824</v>
      </c>
      <c r="AE1727" s="25" t="s">
        <v>824</v>
      </c>
    </row>
    <row r="1728" spans="20:31" ht="14.4">
      <c r="T1728" s="25" t="s">
        <v>955</v>
      </c>
      <c r="U1728" s="25" t="s">
        <v>816</v>
      </c>
      <c r="V1728" s="25" t="s">
        <v>1005</v>
      </c>
      <c r="W1728" s="25" t="str">
        <f t="shared" si="45"/>
        <v>Side ChannelsFaceUniline Cbus Motor</v>
      </c>
      <c r="X1728" s="25">
        <v>10</v>
      </c>
      <c r="Y1728" s="25" t="s">
        <v>824</v>
      </c>
      <c r="Z1728" s="25" t="s">
        <v>824</v>
      </c>
      <c r="AA1728" s="25">
        <v>60</v>
      </c>
      <c r="AB1728" s="25" t="s">
        <v>824</v>
      </c>
      <c r="AC1728" s="25" t="s">
        <v>821</v>
      </c>
      <c r="AD1728" s="25" t="s">
        <v>824</v>
      </c>
      <c r="AE1728" s="25" t="s">
        <v>824</v>
      </c>
    </row>
    <row r="1729" spans="20:31" ht="14.4">
      <c r="T1729" s="25" t="s">
        <v>955</v>
      </c>
      <c r="U1729" s="25" t="s">
        <v>816</v>
      </c>
      <c r="V1729" s="25" t="s">
        <v>981</v>
      </c>
      <c r="W1729" s="25" t="str">
        <f t="shared" si="45"/>
        <v>Side ChannelsFaceNice Remote Motor</v>
      </c>
      <c r="X1729" s="25">
        <v>10</v>
      </c>
      <c r="Y1729" s="25" t="s">
        <v>824</v>
      </c>
      <c r="Z1729" s="25" t="s">
        <v>824</v>
      </c>
      <c r="AA1729" s="25">
        <v>60</v>
      </c>
      <c r="AB1729" s="25" t="s">
        <v>824</v>
      </c>
      <c r="AC1729" s="25" t="s">
        <v>821</v>
      </c>
      <c r="AD1729" s="25" t="s">
        <v>824</v>
      </c>
      <c r="AE1729" s="25" t="s">
        <v>824</v>
      </c>
    </row>
    <row r="1730" spans="20:31" ht="14.4">
      <c r="T1730" s="25" t="s">
        <v>955</v>
      </c>
      <c r="U1730" s="25" t="s">
        <v>816</v>
      </c>
      <c r="V1730" s="25" t="s">
        <v>976</v>
      </c>
      <c r="W1730" s="25" t="str">
        <f t="shared" si="45"/>
        <v>Side ChannelsFaceNice CBus Motor</v>
      </c>
      <c r="X1730" s="25">
        <v>10</v>
      </c>
      <c r="Y1730" s="25" t="s">
        <v>824</v>
      </c>
      <c r="Z1730" s="25" t="s">
        <v>824</v>
      </c>
      <c r="AA1730" s="25">
        <v>60</v>
      </c>
      <c r="AB1730" s="25" t="s">
        <v>824</v>
      </c>
      <c r="AC1730" s="25" t="s">
        <v>821</v>
      </c>
      <c r="AD1730" s="25" t="s">
        <v>824</v>
      </c>
      <c r="AE1730" s="25" t="s">
        <v>824</v>
      </c>
    </row>
    <row r="1731" spans="20:31" ht="14.4">
      <c r="T1731" s="25" t="s">
        <v>955</v>
      </c>
      <c r="U1731" s="25" t="s">
        <v>816</v>
      </c>
      <c r="V1731" t="s">
        <v>1006</v>
      </c>
      <c r="W1731" s="25" t="str">
        <f t="shared" si="46" ref="W1731:W1794">CONCATENATE(T1731,U1731,V1731)</f>
        <v>Side ChannelsFaceSunboss Chain Winder 38mm Tube</v>
      </c>
      <c r="X1731" s="25">
        <v>10</v>
      </c>
      <c r="Y1731" s="25" t="s">
        <v>824</v>
      </c>
      <c r="Z1731" s="25" t="s">
        <v>824</v>
      </c>
      <c r="AA1731" s="25">
        <v>60</v>
      </c>
      <c r="AB1731" s="25" t="s">
        <v>824</v>
      </c>
      <c r="AC1731" s="25" t="s">
        <v>821</v>
      </c>
      <c r="AD1731" s="25" t="s">
        <v>824</v>
      </c>
      <c r="AE1731" s="25" t="s">
        <v>824</v>
      </c>
    </row>
    <row r="1732" spans="20:31" ht="14.4">
      <c r="T1732" s="25" t="s">
        <v>955</v>
      </c>
      <c r="U1732" s="25" t="s">
        <v>816</v>
      </c>
      <c r="V1732" t="s">
        <v>1017</v>
      </c>
      <c r="W1732" s="25" t="str">
        <f t="shared" si="46"/>
        <v>Side ChannelsFaceSunboss Chain Winder 43mm Tube</v>
      </c>
      <c r="X1732" s="25">
        <v>10</v>
      </c>
      <c r="Y1732" s="25" t="s">
        <v>824</v>
      </c>
      <c r="Z1732" s="25" t="s">
        <v>824</v>
      </c>
      <c r="AA1732" s="25">
        <v>60</v>
      </c>
      <c r="AB1732" s="25" t="s">
        <v>824</v>
      </c>
      <c r="AC1732" s="25" t="s">
        <v>821</v>
      </c>
      <c r="AD1732" s="25" t="s">
        <v>824</v>
      </c>
      <c r="AE1732" s="25" t="s">
        <v>824</v>
      </c>
    </row>
    <row r="1733" spans="20:31" ht="14.4">
      <c r="T1733" s="25" t="s">
        <v>955</v>
      </c>
      <c r="U1733" s="25" t="s">
        <v>816</v>
      </c>
      <c r="V1733" s="25" t="s">
        <v>1012</v>
      </c>
      <c r="W1733" s="25" t="str">
        <f t="shared" si="46"/>
        <v>Side ChannelsFaceTBS Remote Motor</v>
      </c>
      <c r="X1733" s="25">
        <v>10</v>
      </c>
      <c r="Y1733" s="25" t="s">
        <v>824</v>
      </c>
      <c r="Z1733" s="25" t="s">
        <v>824</v>
      </c>
      <c r="AA1733" s="25">
        <v>60</v>
      </c>
      <c r="AB1733" s="25" t="s">
        <v>824</v>
      </c>
      <c r="AC1733" s="25" t="s">
        <v>821</v>
      </c>
      <c r="AD1733" s="25" t="s">
        <v>824</v>
      </c>
      <c r="AE1733" s="25" t="s">
        <v>824</v>
      </c>
    </row>
    <row r="1734" spans="20:31" ht="14.4">
      <c r="T1734" s="25" t="s">
        <v>955</v>
      </c>
      <c r="U1734" s="25" t="s">
        <v>816</v>
      </c>
      <c r="V1734" t="s">
        <v>1009</v>
      </c>
      <c r="W1734" s="25" t="str">
        <f t="shared" si="46"/>
        <v>Side ChannelsFaceTBS Cbus Motor</v>
      </c>
      <c r="X1734" s="25">
        <v>10</v>
      </c>
      <c r="Y1734" s="25" t="s">
        <v>824</v>
      </c>
      <c r="Z1734" s="25" t="s">
        <v>824</v>
      </c>
      <c r="AA1734" s="25">
        <v>60</v>
      </c>
      <c r="AB1734" s="25" t="s">
        <v>824</v>
      </c>
      <c r="AC1734" s="25" t="s">
        <v>821</v>
      </c>
      <c r="AD1734" s="25" t="s">
        <v>824</v>
      </c>
      <c r="AE1734" s="25" t="s">
        <v>824</v>
      </c>
    </row>
    <row r="1735" spans="20:31" ht="14.4">
      <c r="T1735" s="25" t="s">
        <v>955</v>
      </c>
      <c r="U1735" s="25" t="s">
        <v>816</v>
      </c>
      <c r="V1735" t="s">
        <v>927</v>
      </c>
      <c r="W1735" s="25" t="str">
        <f t="shared" si="46"/>
        <v>Side ChannelsFaceAcmeda External Motor</v>
      </c>
      <c r="X1735" s="25">
        <v>0</v>
      </c>
      <c r="Y1735" s="25" t="s">
        <v>824</v>
      </c>
      <c r="Z1735" s="25" t="s">
        <v>824</v>
      </c>
      <c r="AA1735" s="25">
        <v>60</v>
      </c>
      <c r="AB1735" s="25" t="s">
        <v>824</v>
      </c>
      <c r="AC1735" s="25" t="s">
        <v>821</v>
      </c>
      <c r="AD1735" s="25" t="s">
        <v>824</v>
      </c>
      <c r="AE1735" s="25" t="s">
        <v>824</v>
      </c>
    </row>
    <row r="1736" spans="20:31" ht="14.4">
      <c r="T1736" s="25" t="s">
        <v>955</v>
      </c>
      <c r="U1736" s="25" t="s">
        <v>816</v>
      </c>
      <c r="V1736" t="s">
        <v>918</v>
      </c>
      <c r="W1736" s="25" t="str">
        <f t="shared" si="46"/>
        <v>Side ChannelsFaceAcmeda External 12v Motor</v>
      </c>
      <c r="X1736" s="25">
        <v>0</v>
      </c>
      <c r="Y1736" s="25" t="s">
        <v>824</v>
      </c>
      <c r="Z1736" s="25" t="s">
        <v>824</v>
      </c>
      <c r="AA1736" s="25">
        <v>60</v>
      </c>
      <c r="AB1736" s="25" t="s">
        <v>824</v>
      </c>
      <c r="AC1736" s="25" t="s">
        <v>821</v>
      </c>
      <c r="AD1736" s="25" t="s">
        <v>824</v>
      </c>
      <c r="AE1736" s="25" t="s">
        <v>824</v>
      </c>
    </row>
    <row r="1737" spans="20:31" ht="14.4">
      <c r="T1737" s="25" t="s">
        <v>955</v>
      </c>
      <c r="U1737" s="25" t="s">
        <v>816</v>
      </c>
      <c r="V1737" t="s">
        <v>979</v>
      </c>
      <c r="W1737" s="25" t="str">
        <f t="shared" si="46"/>
        <v>Side ChannelsFaceSomfy External CBUS Motor</v>
      </c>
      <c r="X1737" s="25">
        <v>0</v>
      </c>
      <c r="Y1737" s="25" t="s">
        <v>824</v>
      </c>
      <c r="Z1737" s="25" t="s">
        <v>824</v>
      </c>
      <c r="AA1737" s="25">
        <v>60</v>
      </c>
      <c r="AB1737" s="25" t="s">
        <v>824</v>
      </c>
      <c r="AC1737" s="25" t="s">
        <v>821</v>
      </c>
      <c r="AD1737" s="25" t="s">
        <v>824</v>
      </c>
      <c r="AE1737" s="25" t="s">
        <v>824</v>
      </c>
    </row>
    <row r="1738" spans="20:31" ht="14.4">
      <c r="T1738" s="25" t="s">
        <v>955</v>
      </c>
      <c r="U1738" s="25" t="s">
        <v>816</v>
      </c>
      <c r="V1738" t="s">
        <v>983</v>
      </c>
      <c r="W1738" s="25" t="str">
        <f t="shared" si="46"/>
        <v>Side ChannelsFaceSomfy External Remote Motor</v>
      </c>
      <c r="X1738" s="25">
        <v>0</v>
      </c>
      <c r="Y1738" s="25" t="s">
        <v>824</v>
      </c>
      <c r="Z1738" s="25" t="s">
        <v>824</v>
      </c>
      <c r="AA1738" s="25">
        <v>60</v>
      </c>
      <c r="AB1738" s="25" t="s">
        <v>824</v>
      </c>
      <c r="AC1738" s="25" t="s">
        <v>821</v>
      </c>
      <c r="AD1738" s="25" t="s">
        <v>824</v>
      </c>
      <c r="AE1738" s="25" t="s">
        <v>824</v>
      </c>
    </row>
    <row r="1739" spans="20:31" ht="14.4">
      <c r="T1739" s="25" t="s">
        <v>955</v>
      </c>
      <c r="U1739" s="25" t="s">
        <v>816</v>
      </c>
      <c r="V1739" t="s">
        <v>995</v>
      </c>
      <c r="W1739" s="25" t="str">
        <f t="shared" si="46"/>
        <v>Side ChannelsFaceHD Somfy External CBUS Motor</v>
      </c>
      <c r="X1739" s="25">
        <v>0</v>
      </c>
      <c r="Y1739" s="25" t="s">
        <v>824</v>
      </c>
      <c r="Z1739" s="25" t="s">
        <v>824</v>
      </c>
      <c r="AA1739" s="25">
        <v>60</v>
      </c>
      <c r="AB1739" s="25" t="s">
        <v>824</v>
      </c>
      <c r="AC1739" s="25" t="s">
        <v>821</v>
      </c>
      <c r="AD1739" s="25" t="s">
        <v>824</v>
      </c>
      <c r="AE1739" s="25" t="s">
        <v>824</v>
      </c>
    </row>
    <row r="1740" spans="20:31" ht="14.4">
      <c r="T1740" s="25" t="s">
        <v>955</v>
      </c>
      <c r="U1740" s="25" t="s">
        <v>816</v>
      </c>
      <c r="V1740" t="s">
        <v>999</v>
      </c>
      <c r="W1740" s="25" t="str">
        <f t="shared" si="46"/>
        <v>Side ChannelsFaceHD Somfy External Remote Motor</v>
      </c>
      <c r="X1740" s="25">
        <v>0</v>
      </c>
      <c r="Y1740" s="25" t="s">
        <v>824</v>
      </c>
      <c r="Z1740" s="25" t="s">
        <v>824</v>
      </c>
      <c r="AA1740" s="25">
        <v>60</v>
      </c>
      <c r="AB1740" s="25" t="s">
        <v>824</v>
      </c>
      <c r="AC1740" s="25" t="s">
        <v>821</v>
      </c>
      <c r="AD1740" s="25" t="s">
        <v>824</v>
      </c>
      <c r="AE1740" s="25" t="s">
        <v>824</v>
      </c>
    </row>
    <row r="1741" spans="20:31" ht="14.4">
      <c r="T1741" s="25" t="s">
        <v>955</v>
      </c>
      <c r="U1741" s="25" t="s">
        <v>854</v>
      </c>
      <c r="V1741" s="25" t="s">
        <v>823</v>
      </c>
      <c r="W1741" s="25" t="str">
        <f t="shared" si="46"/>
        <v>Side ChannelsTop FixChain Winder</v>
      </c>
      <c r="X1741" s="25">
        <v>10</v>
      </c>
      <c r="Y1741" s="25" t="s">
        <v>824</v>
      </c>
      <c r="Z1741" s="25" t="s">
        <v>824</v>
      </c>
      <c r="AA1741" s="25">
        <v>60</v>
      </c>
      <c r="AB1741" s="25" t="s">
        <v>824</v>
      </c>
      <c r="AC1741" s="25" t="s">
        <v>821</v>
      </c>
      <c r="AD1741" s="25" t="s">
        <v>824</v>
      </c>
      <c r="AE1741" s="25" t="s">
        <v>824</v>
      </c>
    </row>
    <row r="1742" spans="20:31" ht="14.4">
      <c r="T1742" s="25" t="s">
        <v>955</v>
      </c>
      <c r="U1742" s="25" t="s">
        <v>854</v>
      </c>
      <c r="V1742" s="25" t="s">
        <v>841</v>
      </c>
      <c r="W1742" s="25" t="str">
        <f t="shared" si="46"/>
        <v>Side ChannelsTop FixHD Chain Winder</v>
      </c>
      <c r="X1742" s="25">
        <v>10</v>
      </c>
      <c r="Y1742" s="25" t="s">
        <v>824</v>
      </c>
      <c r="Z1742" s="25" t="s">
        <v>824</v>
      </c>
      <c r="AA1742" s="25">
        <v>60</v>
      </c>
      <c r="AB1742" s="25" t="s">
        <v>824</v>
      </c>
      <c r="AC1742" s="25" t="s">
        <v>821</v>
      </c>
      <c r="AD1742" s="25" t="s">
        <v>824</v>
      </c>
      <c r="AE1742" s="25" t="s">
        <v>824</v>
      </c>
    </row>
    <row r="1743" spans="20:31" ht="14.4">
      <c r="T1743" s="25" t="s">
        <v>955</v>
      </c>
      <c r="U1743" s="25" t="s">
        <v>854</v>
      </c>
      <c r="V1743" s="25" t="s">
        <v>858</v>
      </c>
      <c r="W1743" s="25" t="str">
        <f t="shared" si="46"/>
        <v>Side ChannelsTop FixChain Winder 60mm</v>
      </c>
      <c r="X1743" s="25">
        <v>10</v>
      </c>
      <c r="Y1743" s="25" t="s">
        <v>824</v>
      </c>
      <c r="Z1743" s="25" t="s">
        <v>824</v>
      </c>
      <c r="AA1743" s="25">
        <v>60</v>
      </c>
      <c r="AB1743" s="25" t="s">
        <v>824</v>
      </c>
      <c r="AC1743" s="25" t="s">
        <v>821</v>
      </c>
      <c r="AD1743" s="25" t="s">
        <v>824</v>
      </c>
      <c r="AE1743" s="25" t="s">
        <v>824</v>
      </c>
    </row>
    <row r="1744" spans="20:31" ht="14.4">
      <c r="T1744" s="25" t="s">
        <v>955</v>
      </c>
      <c r="U1744" s="25" t="s">
        <v>854</v>
      </c>
      <c r="V1744" s="25" t="s">
        <v>865</v>
      </c>
      <c r="W1744" s="25" t="str">
        <f t="shared" si="46"/>
        <v>Side ChannelsTop FixChain Winder Fixed Guide</v>
      </c>
      <c r="X1744" s="25">
        <v>10</v>
      </c>
      <c r="Y1744" s="25" t="s">
        <v>824</v>
      </c>
      <c r="Z1744" s="25" t="s">
        <v>824</v>
      </c>
      <c r="AA1744" s="25">
        <v>60</v>
      </c>
      <c r="AB1744" s="25" t="s">
        <v>824</v>
      </c>
      <c r="AC1744" s="25" t="s">
        <v>821</v>
      </c>
      <c r="AD1744" s="25" t="s">
        <v>824</v>
      </c>
      <c r="AE1744" s="25" t="s">
        <v>824</v>
      </c>
    </row>
    <row r="1745" spans="20:31" ht="14.4">
      <c r="T1745" s="25" t="s">
        <v>955</v>
      </c>
      <c r="U1745" s="25" t="s">
        <v>854</v>
      </c>
      <c r="V1745" s="25" t="s">
        <v>181</v>
      </c>
      <c r="W1745" s="25" t="str">
        <f t="shared" si="46"/>
        <v>Side ChannelsTop FixLinked</v>
      </c>
      <c r="X1745" s="25">
        <v>10</v>
      </c>
      <c r="Y1745" s="25" t="s">
        <v>824</v>
      </c>
      <c r="Z1745" s="25" t="s">
        <v>824</v>
      </c>
      <c r="AA1745" s="25">
        <v>60</v>
      </c>
      <c r="AB1745" s="25" t="s">
        <v>824</v>
      </c>
      <c r="AC1745" s="25" t="s">
        <v>821</v>
      </c>
      <c r="AD1745" s="25" t="s">
        <v>824</v>
      </c>
      <c r="AE1745" s="25" t="s">
        <v>824</v>
      </c>
    </row>
    <row r="1746" spans="20:31" ht="14.4">
      <c r="T1746" s="25" t="s">
        <v>955</v>
      </c>
      <c r="U1746" s="25" t="s">
        <v>854</v>
      </c>
      <c r="V1746" s="25" t="s">
        <v>898</v>
      </c>
      <c r="W1746" s="25" t="str">
        <f t="shared" si="46"/>
        <v>Side ChannelsTop FixLinked - HD</v>
      </c>
      <c r="X1746" s="25">
        <v>10</v>
      </c>
      <c r="Y1746" s="25" t="s">
        <v>824</v>
      </c>
      <c r="Z1746" s="25" t="s">
        <v>824</v>
      </c>
      <c r="AA1746" s="25">
        <v>60</v>
      </c>
      <c r="AB1746" s="25" t="s">
        <v>824</v>
      </c>
      <c r="AC1746" s="25" t="s">
        <v>821</v>
      </c>
      <c r="AD1746" s="25" t="s">
        <v>824</v>
      </c>
      <c r="AE1746" s="25" t="s">
        <v>824</v>
      </c>
    </row>
    <row r="1747" spans="20:31" ht="14.4">
      <c r="T1747" s="25" t="s">
        <v>955</v>
      </c>
      <c r="U1747" s="25" t="s">
        <v>854</v>
      </c>
      <c r="V1747" s="25" t="s">
        <v>925</v>
      </c>
      <c r="W1747" s="25" t="str">
        <f t="shared" si="46"/>
        <v>Side ChannelsTop FixLinked 60mm</v>
      </c>
      <c r="X1747" s="25">
        <v>10</v>
      </c>
      <c r="Y1747" s="25" t="s">
        <v>824</v>
      </c>
      <c r="Z1747" s="25" t="s">
        <v>824</v>
      </c>
      <c r="AA1747" s="25">
        <v>60</v>
      </c>
      <c r="AB1747" s="25" t="s">
        <v>824</v>
      </c>
      <c r="AC1747" s="25" t="s">
        <v>821</v>
      </c>
      <c r="AD1747" s="25" t="s">
        <v>824</v>
      </c>
      <c r="AE1747" s="25" t="s">
        <v>824</v>
      </c>
    </row>
    <row r="1748" spans="20:31" ht="14.4">
      <c r="T1748" s="25" t="s">
        <v>955</v>
      </c>
      <c r="U1748" s="25" t="s">
        <v>854</v>
      </c>
      <c r="V1748" s="25" t="s">
        <v>910</v>
      </c>
      <c r="W1748" s="25" t="str">
        <f t="shared" si="46"/>
        <v>Side ChannelsTop FixStandard Spring</v>
      </c>
      <c r="X1748" s="25">
        <v>10</v>
      </c>
      <c r="Y1748" s="25" t="s">
        <v>824</v>
      </c>
      <c r="Z1748" s="25" t="s">
        <v>824</v>
      </c>
      <c r="AA1748" s="25">
        <v>60</v>
      </c>
      <c r="AB1748" s="25" t="s">
        <v>824</v>
      </c>
      <c r="AC1748" s="25" t="s">
        <v>821</v>
      </c>
      <c r="AD1748" s="25" t="s">
        <v>824</v>
      </c>
      <c r="AE1748" s="25" t="s">
        <v>824</v>
      </c>
    </row>
    <row r="1749" spans="20:31" ht="14.4">
      <c r="T1749" s="25" t="s">
        <v>955</v>
      </c>
      <c r="U1749" s="25" t="s">
        <v>854</v>
      </c>
      <c r="V1749" s="25" t="s">
        <v>920</v>
      </c>
      <c r="W1749" s="25" t="str">
        <f t="shared" si="46"/>
        <v>Side ChannelsTop FixSmall Spring</v>
      </c>
      <c r="X1749" s="25">
        <v>10</v>
      </c>
      <c r="Y1749" s="25" t="s">
        <v>824</v>
      </c>
      <c r="Z1749" s="25" t="s">
        <v>824</v>
      </c>
      <c r="AA1749" s="25">
        <v>60</v>
      </c>
      <c r="AB1749" s="25" t="s">
        <v>824</v>
      </c>
      <c r="AC1749" s="25" t="s">
        <v>821</v>
      </c>
      <c r="AD1749" s="25" t="s">
        <v>824</v>
      </c>
      <c r="AE1749" s="25" t="s">
        <v>824</v>
      </c>
    </row>
    <row r="1750" spans="20:31" ht="14.4">
      <c r="T1750" s="25" t="s">
        <v>955</v>
      </c>
      <c r="U1750" s="25" t="s">
        <v>854</v>
      </c>
      <c r="V1750" s="25" t="s">
        <v>929</v>
      </c>
      <c r="W1750" s="25" t="str">
        <f t="shared" si="46"/>
        <v>Side ChannelsTop FixUniline Spring (Old Style)</v>
      </c>
      <c r="X1750" s="25">
        <v>10</v>
      </c>
      <c r="Y1750" s="25" t="s">
        <v>824</v>
      </c>
      <c r="Z1750" s="25" t="s">
        <v>824</v>
      </c>
      <c r="AA1750" s="25">
        <v>60</v>
      </c>
      <c r="AB1750" s="25" t="s">
        <v>824</v>
      </c>
      <c r="AC1750" s="25" t="s">
        <v>821</v>
      </c>
      <c r="AD1750" s="25" t="s">
        <v>824</v>
      </c>
      <c r="AE1750" s="25" t="s">
        <v>824</v>
      </c>
    </row>
    <row r="1751" spans="20:31" ht="14.4">
      <c r="T1751" s="25" t="s">
        <v>955</v>
      </c>
      <c r="U1751" s="25" t="s">
        <v>854</v>
      </c>
      <c r="V1751" s="25" t="s">
        <v>935</v>
      </c>
      <c r="W1751" s="25" t="str">
        <f t="shared" si="46"/>
        <v>Side ChannelsTop FixBecker Remote Motor</v>
      </c>
      <c r="X1751" s="25">
        <v>10</v>
      </c>
      <c r="Y1751" s="25" t="s">
        <v>824</v>
      </c>
      <c r="Z1751" s="25" t="s">
        <v>824</v>
      </c>
      <c r="AA1751" s="25">
        <v>60</v>
      </c>
      <c r="AB1751" s="25" t="s">
        <v>824</v>
      </c>
      <c r="AC1751" s="25" t="s">
        <v>821</v>
      </c>
      <c r="AD1751" s="25" t="s">
        <v>824</v>
      </c>
      <c r="AE1751" s="25" t="s">
        <v>824</v>
      </c>
    </row>
    <row r="1752" spans="20:31" ht="14.4">
      <c r="T1752" s="25" t="s">
        <v>955</v>
      </c>
      <c r="U1752" s="25" t="s">
        <v>854</v>
      </c>
      <c r="V1752" s="25" t="s">
        <v>939</v>
      </c>
      <c r="W1752" s="25" t="str">
        <f t="shared" si="46"/>
        <v>Side ChannelsTop FixBecker CBUS Motor</v>
      </c>
      <c r="X1752" s="25">
        <v>10</v>
      </c>
      <c r="Y1752" s="25" t="s">
        <v>824</v>
      </c>
      <c r="Z1752" s="25" t="s">
        <v>824</v>
      </c>
      <c r="AA1752" s="25">
        <v>60</v>
      </c>
      <c r="AB1752" s="25" t="s">
        <v>824</v>
      </c>
      <c r="AC1752" s="25" t="s">
        <v>821</v>
      </c>
      <c r="AD1752" s="25" t="s">
        <v>824</v>
      </c>
      <c r="AE1752" s="25" t="s">
        <v>824</v>
      </c>
    </row>
    <row r="1753" spans="20:31" ht="14.4">
      <c r="T1753" s="25" t="s">
        <v>955</v>
      </c>
      <c r="U1753" s="25" t="s">
        <v>854</v>
      </c>
      <c r="V1753" s="25" t="s">
        <v>946</v>
      </c>
      <c r="W1753" s="25" t="str">
        <f t="shared" si="46"/>
        <v>Side ChannelsTop FixBecker External Remote Motor</v>
      </c>
      <c r="X1753" s="25">
        <v>0</v>
      </c>
      <c r="Y1753" s="25" t="s">
        <v>824</v>
      </c>
      <c r="Z1753" s="25" t="s">
        <v>824</v>
      </c>
      <c r="AA1753" s="25">
        <v>60</v>
      </c>
      <c r="AB1753" s="25" t="s">
        <v>824</v>
      </c>
      <c r="AC1753" s="25" t="s">
        <v>821</v>
      </c>
      <c r="AD1753" s="25" t="s">
        <v>824</v>
      </c>
      <c r="AE1753" s="25" t="s">
        <v>824</v>
      </c>
    </row>
    <row r="1754" spans="20:31" ht="14.4">
      <c r="T1754" s="25" t="s">
        <v>955</v>
      </c>
      <c r="U1754" s="25" t="s">
        <v>854</v>
      </c>
      <c r="V1754" s="25" t="s">
        <v>951</v>
      </c>
      <c r="W1754" s="25" t="str">
        <f t="shared" si="46"/>
        <v>Side ChannelsTop FixBecker External CBUS Motor</v>
      </c>
      <c r="X1754" s="25">
        <v>0</v>
      </c>
      <c r="Y1754" s="25" t="s">
        <v>824</v>
      </c>
      <c r="Z1754" s="25" t="s">
        <v>824</v>
      </c>
      <c r="AA1754" s="25">
        <v>60</v>
      </c>
      <c r="AB1754" s="25" t="s">
        <v>824</v>
      </c>
      <c r="AC1754" s="25" t="s">
        <v>821</v>
      </c>
      <c r="AD1754" s="25" t="s">
        <v>824</v>
      </c>
      <c r="AE1754" s="25" t="s">
        <v>824</v>
      </c>
    </row>
    <row r="1755" spans="20:31" ht="14.4">
      <c r="T1755" s="25" t="s">
        <v>955</v>
      </c>
      <c r="U1755" s="25" t="s">
        <v>854</v>
      </c>
      <c r="V1755" s="25" t="s">
        <v>838</v>
      </c>
      <c r="W1755" s="25" t="str">
        <f t="shared" si="46"/>
        <v>Side ChannelsTop Fix1.1nm 12v Acmeda Motor</v>
      </c>
      <c r="X1755" s="25">
        <v>10</v>
      </c>
      <c r="Y1755" s="25" t="s">
        <v>824</v>
      </c>
      <c r="Z1755" s="25" t="s">
        <v>824</v>
      </c>
      <c r="AA1755" s="25">
        <v>60</v>
      </c>
      <c r="AB1755" s="25" t="s">
        <v>824</v>
      </c>
      <c r="AC1755" s="25" t="s">
        <v>821</v>
      </c>
      <c r="AD1755" s="25" t="s">
        <v>824</v>
      </c>
      <c r="AE1755" s="25" t="s">
        <v>824</v>
      </c>
    </row>
    <row r="1756" spans="20:31" ht="14.4">
      <c r="T1756" s="25" t="s">
        <v>955</v>
      </c>
      <c r="U1756" s="25" t="s">
        <v>854</v>
      </c>
      <c r="V1756" t="s">
        <v>882</v>
      </c>
      <c r="W1756" s="25" t="str">
        <f t="shared" si="46"/>
        <v>Side ChannelsTop Fix2nm 12v Acmeda Motor</v>
      </c>
      <c r="X1756" s="25">
        <v>10</v>
      </c>
      <c r="Y1756" s="25" t="s">
        <v>824</v>
      </c>
      <c r="Z1756" s="25" t="s">
        <v>824</v>
      </c>
      <c r="AA1756" s="25">
        <v>60</v>
      </c>
      <c r="AB1756" s="25" t="s">
        <v>824</v>
      </c>
      <c r="AC1756" s="25" t="s">
        <v>821</v>
      </c>
      <c r="AD1756" s="25" t="s">
        <v>824</v>
      </c>
      <c r="AE1756" s="25" t="s">
        <v>824</v>
      </c>
    </row>
    <row r="1757" spans="20:31" ht="14.4">
      <c r="T1757" s="25" t="s">
        <v>955</v>
      </c>
      <c r="U1757" s="25" t="s">
        <v>854</v>
      </c>
      <c r="V1757" t="s">
        <v>896</v>
      </c>
      <c r="W1757" s="25" t="str">
        <f t="shared" si="46"/>
        <v>Side ChannelsTop FixAcmeda 12v 6nm Motor</v>
      </c>
      <c r="X1757" s="25">
        <v>10</v>
      </c>
      <c r="Y1757" s="25" t="s">
        <v>824</v>
      </c>
      <c r="Z1757" s="25" t="s">
        <v>824</v>
      </c>
      <c r="AA1757" s="25">
        <v>60</v>
      </c>
      <c r="AB1757" s="25" t="s">
        <v>824</v>
      </c>
      <c r="AC1757" s="25" t="s">
        <v>821</v>
      </c>
      <c r="AD1757" s="25" t="s">
        <v>824</v>
      </c>
      <c r="AE1757" s="25" t="s">
        <v>824</v>
      </c>
    </row>
    <row r="1758" spans="20:31" ht="14.4">
      <c r="T1758" s="25" t="s">
        <v>955</v>
      </c>
      <c r="U1758" s="25" t="s">
        <v>854</v>
      </c>
      <c r="V1758" t="s">
        <v>855</v>
      </c>
      <c r="W1758" s="25" t="str">
        <f t="shared" si="46"/>
        <v>Side ChannelsTop Fix0.7nm 12v Acmeda Motor</v>
      </c>
      <c r="X1758" s="25">
        <v>10</v>
      </c>
      <c r="Y1758" s="25" t="s">
        <v>824</v>
      </c>
      <c r="Z1758" s="25" t="s">
        <v>824</v>
      </c>
      <c r="AA1758" s="25">
        <v>60</v>
      </c>
      <c r="AB1758" s="25" t="s">
        <v>824</v>
      </c>
      <c r="AC1758" s="25" t="s">
        <v>821</v>
      </c>
      <c r="AD1758" s="25" t="s">
        <v>824</v>
      </c>
      <c r="AE1758" s="25" t="s">
        <v>824</v>
      </c>
    </row>
    <row r="1759" spans="20:31" ht="14.4">
      <c r="T1759" s="25" t="s">
        <v>955</v>
      </c>
      <c r="U1759" s="25" t="s">
        <v>854</v>
      </c>
      <c r="V1759" s="25" t="s">
        <v>849</v>
      </c>
      <c r="W1759" s="25" t="str">
        <f t="shared" si="46"/>
        <v>Side ChannelsTop Fix1.1nm 12v Acmeda DCRF Motor with External Battery</v>
      </c>
      <c r="X1759" s="25">
        <v>10</v>
      </c>
      <c r="Y1759" s="25" t="s">
        <v>824</v>
      </c>
      <c r="Z1759" s="25" t="s">
        <v>824</v>
      </c>
      <c r="AA1759" s="25">
        <v>60</v>
      </c>
      <c r="AB1759" s="25" t="s">
        <v>824</v>
      </c>
      <c r="AC1759" s="25" t="s">
        <v>821</v>
      </c>
      <c r="AD1759" s="25" t="s">
        <v>824</v>
      </c>
      <c r="AE1759" s="25" t="s">
        <v>824</v>
      </c>
    </row>
    <row r="1760" spans="20:31" ht="14.4">
      <c r="T1760" s="25" t="s">
        <v>955</v>
      </c>
      <c r="U1760" s="25" t="s">
        <v>854</v>
      </c>
      <c r="V1760" s="25" t="s">
        <v>817</v>
      </c>
      <c r="W1760" s="25" t="str">
        <f t="shared" si="46"/>
        <v>Side ChannelsTop Fix1.1nm 12v Acmeda DCRF Motor</v>
      </c>
      <c r="X1760" s="25">
        <v>10</v>
      </c>
      <c r="Y1760" s="25" t="s">
        <v>824</v>
      </c>
      <c r="Z1760" s="25" t="s">
        <v>824</v>
      </c>
      <c r="AA1760" s="25">
        <v>60</v>
      </c>
      <c r="AB1760" s="25" t="s">
        <v>824</v>
      </c>
      <c r="AC1760" s="25" t="s">
        <v>821</v>
      </c>
      <c r="AD1760" s="25" t="s">
        <v>824</v>
      </c>
      <c r="AE1760" s="25" t="s">
        <v>824</v>
      </c>
    </row>
    <row r="1761" spans="20:31" ht="14.4">
      <c r="T1761" s="25" t="s">
        <v>955</v>
      </c>
      <c r="U1761" s="25" t="s">
        <v>854</v>
      </c>
      <c r="V1761" s="25" t="s">
        <v>868</v>
      </c>
      <c r="W1761" s="25" t="str">
        <f t="shared" si="46"/>
        <v>Side ChannelsTop Fix2nm 12v Acmeda DCRF Motor</v>
      </c>
      <c r="X1761" s="25">
        <v>10</v>
      </c>
      <c r="Y1761" s="25" t="s">
        <v>824</v>
      </c>
      <c r="Z1761" s="25" t="s">
        <v>824</v>
      </c>
      <c r="AA1761" s="25">
        <v>60</v>
      </c>
      <c r="AB1761" s="25" t="s">
        <v>824</v>
      </c>
      <c r="AC1761" s="25" t="s">
        <v>821</v>
      </c>
      <c r="AD1761" s="25" t="s">
        <v>824</v>
      </c>
      <c r="AE1761" s="25" t="s">
        <v>824</v>
      </c>
    </row>
    <row r="1762" spans="20:31" ht="14.4">
      <c r="T1762" s="25" t="s">
        <v>955</v>
      </c>
      <c r="U1762" s="25" t="s">
        <v>854</v>
      </c>
      <c r="V1762" t="s">
        <v>973</v>
      </c>
      <c r="W1762" s="25" t="str">
        <f t="shared" si="46"/>
        <v>Side ChannelsTop FixSomfy Remote Sonesse Motor</v>
      </c>
      <c r="X1762" s="25">
        <v>10</v>
      </c>
      <c r="Y1762" s="25" t="s">
        <v>824</v>
      </c>
      <c r="Z1762" s="25" t="s">
        <v>824</v>
      </c>
      <c r="AA1762" s="25">
        <v>60</v>
      </c>
      <c r="AB1762" s="25" t="s">
        <v>824</v>
      </c>
      <c r="AC1762" s="25" t="s">
        <v>821</v>
      </c>
      <c r="AD1762" s="25" t="s">
        <v>824</v>
      </c>
      <c r="AE1762" s="25" t="s">
        <v>824</v>
      </c>
    </row>
    <row r="1763" spans="20:31" ht="14.4">
      <c r="T1763" s="25" t="s">
        <v>955</v>
      </c>
      <c r="U1763" s="25" t="s">
        <v>854</v>
      </c>
      <c r="V1763" t="s">
        <v>637</v>
      </c>
      <c r="W1763" s="25" t="str">
        <f t="shared" si="46"/>
        <v>Side ChannelsTop FixSomfy 12v Remote Sonesse Motor</v>
      </c>
      <c r="X1763" s="25">
        <v>10</v>
      </c>
      <c r="Y1763" s="25" t="s">
        <v>824</v>
      </c>
      <c r="Z1763" s="25" t="s">
        <v>824</v>
      </c>
      <c r="AA1763" s="25">
        <v>60</v>
      </c>
      <c r="AB1763" s="25" t="s">
        <v>824</v>
      </c>
      <c r="AC1763" s="25" t="s">
        <v>821</v>
      </c>
      <c r="AD1763" s="25" t="s">
        <v>824</v>
      </c>
      <c r="AE1763" s="25" t="s">
        <v>824</v>
      </c>
    </row>
    <row r="1764" spans="20:31" ht="14.4">
      <c r="T1764" s="25" t="s">
        <v>955</v>
      </c>
      <c r="U1764" s="25" t="s">
        <v>854</v>
      </c>
      <c r="V1764" s="25" t="s">
        <v>974</v>
      </c>
      <c r="W1764" s="25" t="str">
        <f t="shared" si="46"/>
        <v>Side ChannelsTop FixSomfy CBUS Motor</v>
      </c>
      <c r="X1764" s="25">
        <v>10</v>
      </c>
      <c r="Y1764" s="25" t="s">
        <v>824</v>
      </c>
      <c r="Z1764" s="25" t="s">
        <v>824</v>
      </c>
      <c r="AA1764" s="25">
        <v>60</v>
      </c>
      <c r="AB1764" s="25" t="s">
        <v>824</v>
      </c>
      <c r="AC1764" s="25" t="s">
        <v>821</v>
      </c>
      <c r="AD1764" s="25" t="s">
        <v>824</v>
      </c>
      <c r="AE1764" s="25" t="s">
        <v>824</v>
      </c>
    </row>
    <row r="1765" spans="20:31" ht="14.4">
      <c r="T1765" s="25" t="s">
        <v>955</v>
      </c>
      <c r="U1765" s="25" t="s">
        <v>854</v>
      </c>
      <c r="V1765" t="s">
        <v>986</v>
      </c>
      <c r="W1765" s="25" t="str">
        <f t="shared" si="46"/>
        <v>Side ChannelsTop FixHD Somfy Remote Sonesse Motor</v>
      </c>
      <c r="X1765" s="25">
        <v>10</v>
      </c>
      <c r="Y1765" s="25" t="s">
        <v>824</v>
      </c>
      <c r="Z1765" s="25" t="s">
        <v>824</v>
      </c>
      <c r="AA1765" s="25">
        <v>60</v>
      </c>
      <c r="AB1765" s="25" t="s">
        <v>824</v>
      </c>
      <c r="AC1765" s="25" t="s">
        <v>821</v>
      </c>
      <c r="AD1765" s="25" t="s">
        <v>824</v>
      </c>
      <c r="AE1765" s="25" t="s">
        <v>824</v>
      </c>
    </row>
    <row r="1766" spans="20:31" ht="14.4">
      <c r="T1766" s="25" t="s">
        <v>955</v>
      </c>
      <c r="U1766" s="25" t="s">
        <v>854</v>
      </c>
      <c r="V1766" t="s">
        <v>989</v>
      </c>
      <c r="W1766" s="25" t="str">
        <f t="shared" si="46"/>
        <v>Side ChannelsTop FixHD Somfy 12v Remote Sonesse Motor</v>
      </c>
      <c r="X1766" s="25">
        <v>10</v>
      </c>
      <c r="Y1766" s="25" t="s">
        <v>824</v>
      </c>
      <c r="Z1766" s="25" t="s">
        <v>824</v>
      </c>
      <c r="AA1766" s="25">
        <v>60</v>
      </c>
      <c r="AB1766" s="25" t="s">
        <v>824</v>
      </c>
      <c r="AC1766" s="25" t="s">
        <v>821</v>
      </c>
      <c r="AD1766" s="25" t="s">
        <v>824</v>
      </c>
      <c r="AE1766" s="25" t="s">
        <v>824</v>
      </c>
    </row>
    <row r="1767" spans="20:31" ht="14.4">
      <c r="T1767" s="25" t="s">
        <v>955</v>
      </c>
      <c r="U1767" s="25" t="s">
        <v>854</v>
      </c>
      <c r="V1767" s="25" t="s">
        <v>992</v>
      </c>
      <c r="W1767" s="25" t="str">
        <f t="shared" si="46"/>
        <v>Side ChannelsTop FixHD Somfy CBUS Motor</v>
      </c>
      <c r="X1767" s="25">
        <v>10</v>
      </c>
      <c r="Y1767" s="25" t="s">
        <v>824</v>
      </c>
      <c r="Z1767" s="25" t="s">
        <v>824</v>
      </c>
      <c r="AA1767" s="25">
        <v>60</v>
      </c>
      <c r="AB1767" s="25" t="s">
        <v>824</v>
      </c>
      <c r="AC1767" s="25" t="s">
        <v>821</v>
      </c>
      <c r="AD1767" s="25" t="s">
        <v>824</v>
      </c>
      <c r="AE1767" s="25" t="s">
        <v>824</v>
      </c>
    </row>
    <row r="1768" spans="20:31" ht="14.4">
      <c r="T1768" s="25" t="s">
        <v>955</v>
      </c>
      <c r="U1768" s="25" t="s">
        <v>854</v>
      </c>
      <c r="V1768" s="25" t="s">
        <v>625</v>
      </c>
      <c r="W1768" s="25" t="str">
        <f t="shared" si="46"/>
        <v>Side ChannelsTop FixAcmeda E6 Motor</v>
      </c>
      <c r="X1768" s="25">
        <v>10</v>
      </c>
      <c r="Y1768" s="25" t="s">
        <v>824</v>
      </c>
      <c r="Z1768" s="25" t="s">
        <v>824</v>
      </c>
      <c r="AA1768" s="25">
        <v>60</v>
      </c>
      <c r="AB1768" s="25" t="s">
        <v>824</v>
      </c>
      <c r="AC1768" s="25" t="s">
        <v>821</v>
      </c>
      <c r="AD1768" s="25" t="s">
        <v>824</v>
      </c>
      <c r="AE1768" s="25" t="s">
        <v>824</v>
      </c>
    </row>
    <row r="1769" spans="20:31" ht="14.4">
      <c r="T1769" s="25" t="s">
        <v>955</v>
      </c>
      <c r="U1769" s="25" t="s">
        <v>854</v>
      </c>
      <c r="V1769" s="25" t="s">
        <v>626</v>
      </c>
      <c r="W1769" s="25" t="str">
        <f t="shared" si="46"/>
        <v>Side ChannelsTop FixAcmeda M6 Motor</v>
      </c>
      <c r="X1769" s="25">
        <v>10</v>
      </c>
      <c r="Y1769" s="25" t="s">
        <v>824</v>
      </c>
      <c r="Z1769" s="25" t="s">
        <v>824</v>
      </c>
      <c r="AA1769" s="25">
        <v>60</v>
      </c>
      <c r="AB1769" s="25" t="s">
        <v>824</v>
      </c>
      <c r="AC1769" s="25" t="s">
        <v>821</v>
      </c>
      <c r="AD1769" s="25" t="s">
        <v>824</v>
      </c>
      <c r="AE1769" s="25" t="s">
        <v>824</v>
      </c>
    </row>
    <row r="1770" spans="20:31" ht="14.4">
      <c r="T1770" s="25" t="s">
        <v>955</v>
      </c>
      <c r="U1770" s="25" t="s">
        <v>854</v>
      </c>
      <c r="V1770" s="25" t="s">
        <v>1002</v>
      </c>
      <c r="W1770" s="25" t="str">
        <f t="shared" si="46"/>
        <v>Side ChannelsTop FixUniline Remote Motor</v>
      </c>
      <c r="X1770" s="25">
        <v>10</v>
      </c>
      <c r="Y1770" s="25" t="s">
        <v>824</v>
      </c>
      <c r="Z1770" s="25" t="s">
        <v>824</v>
      </c>
      <c r="AA1770" s="25">
        <v>60</v>
      </c>
      <c r="AB1770" s="25" t="s">
        <v>824</v>
      </c>
      <c r="AC1770" s="25" t="s">
        <v>821</v>
      </c>
      <c r="AD1770" s="25" t="s">
        <v>824</v>
      </c>
      <c r="AE1770" s="25" t="s">
        <v>824</v>
      </c>
    </row>
    <row r="1771" spans="20:31" ht="14.4">
      <c r="T1771" s="25" t="s">
        <v>955</v>
      </c>
      <c r="U1771" s="25" t="s">
        <v>854</v>
      </c>
      <c r="V1771" s="25" t="s">
        <v>1005</v>
      </c>
      <c r="W1771" s="25" t="str">
        <f t="shared" si="46"/>
        <v>Side ChannelsTop FixUniline Cbus Motor</v>
      </c>
      <c r="X1771" s="25">
        <v>10</v>
      </c>
      <c r="Y1771" s="25" t="s">
        <v>824</v>
      </c>
      <c r="Z1771" s="25" t="s">
        <v>824</v>
      </c>
      <c r="AA1771" s="25">
        <v>60</v>
      </c>
      <c r="AB1771" s="25" t="s">
        <v>824</v>
      </c>
      <c r="AC1771" s="25" t="s">
        <v>821</v>
      </c>
      <c r="AD1771" s="25" t="s">
        <v>824</v>
      </c>
      <c r="AE1771" s="25" t="s">
        <v>824</v>
      </c>
    </row>
    <row r="1772" spans="20:31" ht="14.4">
      <c r="T1772" s="25" t="s">
        <v>955</v>
      </c>
      <c r="U1772" s="25" t="s">
        <v>854</v>
      </c>
      <c r="V1772" s="25" t="s">
        <v>981</v>
      </c>
      <c r="W1772" s="25" t="str">
        <f t="shared" si="46"/>
        <v>Side ChannelsTop FixNice Remote Motor</v>
      </c>
      <c r="X1772" s="25">
        <v>10</v>
      </c>
      <c r="Y1772" s="25" t="s">
        <v>824</v>
      </c>
      <c r="Z1772" s="25" t="s">
        <v>824</v>
      </c>
      <c r="AA1772" s="25">
        <v>60</v>
      </c>
      <c r="AB1772" s="25" t="s">
        <v>824</v>
      </c>
      <c r="AC1772" s="25" t="s">
        <v>821</v>
      </c>
      <c r="AD1772" s="25" t="s">
        <v>824</v>
      </c>
      <c r="AE1772" s="25" t="s">
        <v>824</v>
      </c>
    </row>
    <row r="1773" spans="20:31" ht="14.4">
      <c r="T1773" s="25" t="s">
        <v>955</v>
      </c>
      <c r="U1773" s="25" t="s">
        <v>854</v>
      </c>
      <c r="V1773" s="25" t="s">
        <v>976</v>
      </c>
      <c r="W1773" s="25" t="str">
        <f t="shared" si="46"/>
        <v>Side ChannelsTop FixNice CBus Motor</v>
      </c>
      <c r="X1773" s="25">
        <v>10</v>
      </c>
      <c r="Y1773" s="25" t="s">
        <v>824</v>
      </c>
      <c r="Z1773" s="25" t="s">
        <v>824</v>
      </c>
      <c r="AA1773" s="25">
        <v>60</v>
      </c>
      <c r="AB1773" s="25" t="s">
        <v>824</v>
      </c>
      <c r="AC1773" s="25" t="s">
        <v>821</v>
      </c>
      <c r="AD1773" s="25" t="s">
        <v>824</v>
      </c>
      <c r="AE1773" s="25" t="s">
        <v>824</v>
      </c>
    </row>
    <row r="1774" spans="20:31" ht="14.4">
      <c r="T1774" s="25" t="s">
        <v>955</v>
      </c>
      <c r="U1774" s="25" t="s">
        <v>854</v>
      </c>
      <c r="V1774" t="s">
        <v>1006</v>
      </c>
      <c r="W1774" s="25" t="str">
        <f t="shared" si="46"/>
        <v>Side ChannelsTop FixSunboss Chain Winder 38mm Tube</v>
      </c>
      <c r="X1774" s="25">
        <v>10</v>
      </c>
      <c r="Y1774" s="25" t="s">
        <v>824</v>
      </c>
      <c r="Z1774" s="25" t="s">
        <v>824</v>
      </c>
      <c r="AA1774" s="25">
        <v>60</v>
      </c>
      <c r="AB1774" s="25" t="s">
        <v>824</v>
      </c>
      <c r="AC1774" s="25" t="s">
        <v>821</v>
      </c>
      <c r="AD1774" s="25" t="s">
        <v>824</v>
      </c>
      <c r="AE1774" s="25" t="s">
        <v>824</v>
      </c>
    </row>
    <row r="1775" spans="20:31" ht="14.4">
      <c r="T1775" s="25" t="s">
        <v>955</v>
      </c>
      <c r="U1775" s="25" t="s">
        <v>854</v>
      </c>
      <c r="V1775" t="s">
        <v>1017</v>
      </c>
      <c r="W1775" s="25" t="str">
        <f t="shared" si="46"/>
        <v>Side ChannelsTop FixSunboss Chain Winder 43mm Tube</v>
      </c>
      <c r="X1775" s="25">
        <v>10</v>
      </c>
      <c r="Y1775" s="25" t="s">
        <v>824</v>
      </c>
      <c r="Z1775" s="25" t="s">
        <v>824</v>
      </c>
      <c r="AA1775" s="25">
        <v>60</v>
      </c>
      <c r="AB1775" s="25" t="s">
        <v>824</v>
      </c>
      <c r="AC1775" s="25" t="s">
        <v>821</v>
      </c>
      <c r="AD1775" s="25" t="s">
        <v>824</v>
      </c>
      <c r="AE1775" s="25" t="s">
        <v>824</v>
      </c>
    </row>
    <row r="1776" spans="20:31" ht="14.4">
      <c r="T1776" s="25" t="s">
        <v>955</v>
      </c>
      <c r="U1776" s="25" t="s">
        <v>854</v>
      </c>
      <c r="V1776" s="25" t="s">
        <v>1012</v>
      </c>
      <c r="W1776" s="25" t="str">
        <f t="shared" si="46"/>
        <v>Side ChannelsTop FixTBS Remote Motor</v>
      </c>
      <c r="X1776" s="25">
        <v>10</v>
      </c>
      <c r="Y1776" s="25" t="s">
        <v>824</v>
      </c>
      <c r="Z1776" s="25" t="s">
        <v>824</v>
      </c>
      <c r="AA1776" s="25">
        <v>60</v>
      </c>
      <c r="AB1776" s="25" t="s">
        <v>824</v>
      </c>
      <c r="AC1776" s="25" t="s">
        <v>821</v>
      </c>
      <c r="AD1776" s="25" t="s">
        <v>824</v>
      </c>
      <c r="AE1776" s="25" t="s">
        <v>824</v>
      </c>
    </row>
    <row r="1777" spans="20:31" ht="14.4">
      <c r="T1777" s="25" t="s">
        <v>955</v>
      </c>
      <c r="U1777" s="25" t="s">
        <v>854</v>
      </c>
      <c r="V1777" t="s">
        <v>1009</v>
      </c>
      <c r="W1777" s="25" t="str">
        <f t="shared" si="46"/>
        <v>Side ChannelsTop FixTBS Cbus Motor</v>
      </c>
      <c r="X1777" s="25">
        <v>10</v>
      </c>
      <c r="Y1777" s="25" t="s">
        <v>824</v>
      </c>
      <c r="Z1777" s="25" t="s">
        <v>824</v>
      </c>
      <c r="AA1777" s="25">
        <v>60</v>
      </c>
      <c r="AB1777" s="25" t="s">
        <v>824</v>
      </c>
      <c r="AC1777" s="25" t="s">
        <v>821</v>
      </c>
      <c r="AD1777" s="25" t="s">
        <v>824</v>
      </c>
      <c r="AE1777" s="25" t="s">
        <v>824</v>
      </c>
    </row>
    <row r="1778" spans="20:31" ht="14.4">
      <c r="T1778" s="25" t="s">
        <v>955</v>
      </c>
      <c r="U1778" s="25" t="s">
        <v>854</v>
      </c>
      <c r="V1778" t="s">
        <v>927</v>
      </c>
      <c r="W1778" s="25" t="str">
        <f t="shared" si="46"/>
        <v>Side ChannelsTop FixAcmeda External Motor</v>
      </c>
      <c r="X1778" s="25">
        <v>0</v>
      </c>
      <c r="Y1778" s="25" t="s">
        <v>824</v>
      </c>
      <c r="Z1778" s="25" t="s">
        <v>824</v>
      </c>
      <c r="AA1778" s="25">
        <v>60</v>
      </c>
      <c r="AB1778" s="25" t="s">
        <v>824</v>
      </c>
      <c r="AC1778" s="25" t="s">
        <v>821</v>
      </c>
      <c r="AD1778" s="25" t="s">
        <v>824</v>
      </c>
      <c r="AE1778" s="25" t="s">
        <v>824</v>
      </c>
    </row>
    <row r="1779" spans="20:31" ht="14.4">
      <c r="T1779" s="25" t="s">
        <v>955</v>
      </c>
      <c r="U1779" s="25" t="s">
        <v>854</v>
      </c>
      <c r="V1779" t="s">
        <v>918</v>
      </c>
      <c r="W1779" s="25" t="str">
        <f t="shared" si="46"/>
        <v>Side ChannelsTop FixAcmeda External 12v Motor</v>
      </c>
      <c r="X1779" s="25">
        <v>0</v>
      </c>
      <c r="Y1779" s="25" t="s">
        <v>824</v>
      </c>
      <c r="Z1779" s="25" t="s">
        <v>824</v>
      </c>
      <c r="AA1779" s="25">
        <v>60</v>
      </c>
      <c r="AB1779" s="25" t="s">
        <v>824</v>
      </c>
      <c r="AC1779" s="25" t="s">
        <v>821</v>
      </c>
      <c r="AD1779" s="25" t="s">
        <v>824</v>
      </c>
      <c r="AE1779" s="25" t="s">
        <v>824</v>
      </c>
    </row>
    <row r="1780" spans="20:31" ht="14.4">
      <c r="T1780" s="25" t="s">
        <v>955</v>
      </c>
      <c r="U1780" s="25" t="s">
        <v>854</v>
      </c>
      <c r="V1780" t="s">
        <v>979</v>
      </c>
      <c r="W1780" s="25" t="str">
        <f t="shared" si="46"/>
        <v>Side ChannelsTop FixSomfy External CBUS Motor</v>
      </c>
      <c r="X1780" s="25">
        <v>0</v>
      </c>
      <c r="Y1780" s="25" t="s">
        <v>824</v>
      </c>
      <c r="Z1780" s="25" t="s">
        <v>824</v>
      </c>
      <c r="AA1780" s="25">
        <v>60</v>
      </c>
      <c r="AB1780" s="25" t="s">
        <v>824</v>
      </c>
      <c r="AC1780" s="25" t="s">
        <v>821</v>
      </c>
      <c r="AD1780" s="25" t="s">
        <v>824</v>
      </c>
      <c r="AE1780" s="25" t="s">
        <v>824</v>
      </c>
    </row>
    <row r="1781" spans="20:31" ht="14.4">
      <c r="T1781" s="25" t="s">
        <v>955</v>
      </c>
      <c r="U1781" s="25" t="s">
        <v>854</v>
      </c>
      <c r="V1781" t="s">
        <v>983</v>
      </c>
      <c r="W1781" s="25" t="str">
        <f t="shared" si="46"/>
        <v>Side ChannelsTop FixSomfy External Remote Motor</v>
      </c>
      <c r="X1781" s="25">
        <v>0</v>
      </c>
      <c r="Y1781" s="25" t="s">
        <v>824</v>
      </c>
      <c r="Z1781" s="25" t="s">
        <v>824</v>
      </c>
      <c r="AA1781" s="25">
        <v>60</v>
      </c>
      <c r="AB1781" s="25" t="s">
        <v>824</v>
      </c>
      <c r="AC1781" s="25" t="s">
        <v>821</v>
      </c>
      <c r="AD1781" s="25" t="s">
        <v>824</v>
      </c>
      <c r="AE1781" s="25" t="s">
        <v>824</v>
      </c>
    </row>
    <row r="1782" spans="20:31" ht="14.4">
      <c r="T1782" s="25" t="s">
        <v>955</v>
      </c>
      <c r="U1782" s="25" t="s">
        <v>854</v>
      </c>
      <c r="V1782" t="s">
        <v>979</v>
      </c>
      <c r="W1782" s="25" t="str">
        <f t="shared" si="46"/>
        <v>Side ChannelsTop FixSomfy External CBUS Motor</v>
      </c>
      <c r="X1782" s="25">
        <v>0</v>
      </c>
      <c r="Y1782" s="25" t="s">
        <v>824</v>
      </c>
      <c r="Z1782" s="25" t="s">
        <v>824</v>
      </c>
      <c r="AA1782" s="25">
        <v>60</v>
      </c>
      <c r="AB1782" s="25" t="s">
        <v>824</v>
      </c>
      <c r="AC1782" s="25" t="s">
        <v>821</v>
      </c>
      <c r="AD1782" s="25" t="s">
        <v>824</v>
      </c>
      <c r="AE1782" s="25" t="s">
        <v>824</v>
      </c>
    </row>
    <row r="1783" spans="20:31" ht="14.4">
      <c r="T1783" s="25" t="s">
        <v>955</v>
      </c>
      <c r="U1783" s="25" t="s">
        <v>854</v>
      </c>
      <c r="V1783" t="s">
        <v>999</v>
      </c>
      <c r="W1783" s="25" t="str">
        <f t="shared" si="46"/>
        <v>Side ChannelsTop FixHD Somfy External Remote Motor</v>
      </c>
      <c r="X1783" s="25">
        <v>0</v>
      </c>
      <c r="Y1783" s="25" t="s">
        <v>824</v>
      </c>
      <c r="Z1783" s="25" t="s">
        <v>824</v>
      </c>
      <c r="AA1783" s="25">
        <v>60</v>
      </c>
      <c r="AB1783" s="25" t="s">
        <v>824</v>
      </c>
      <c r="AC1783" s="25" t="s">
        <v>821</v>
      </c>
      <c r="AD1783" s="25" t="s">
        <v>824</v>
      </c>
      <c r="AE1783" s="25" t="s">
        <v>824</v>
      </c>
    </row>
    <row r="1784" spans="20:31" ht="14.4">
      <c r="T1784" s="25" t="s">
        <v>955</v>
      </c>
      <c r="U1784" s="25" t="s">
        <v>880</v>
      </c>
      <c r="V1784" s="25" t="s">
        <v>823</v>
      </c>
      <c r="W1784" s="25" t="str">
        <f t="shared" si="46"/>
        <v>Side ChannelsInside Window MountChain Winder</v>
      </c>
      <c r="X1784" s="25">
        <v>10</v>
      </c>
      <c r="Y1784" s="25" t="s">
        <v>824</v>
      </c>
      <c r="Z1784" s="25" t="s">
        <v>824</v>
      </c>
      <c r="AA1784" s="25">
        <v>60</v>
      </c>
      <c r="AB1784" s="25" t="s">
        <v>824</v>
      </c>
      <c r="AC1784" s="25" t="s">
        <v>821</v>
      </c>
      <c r="AD1784" s="25" t="s">
        <v>824</v>
      </c>
      <c r="AE1784" s="25" t="s">
        <v>824</v>
      </c>
    </row>
    <row r="1785" spans="20:31" ht="14.4">
      <c r="T1785" s="25" t="s">
        <v>955</v>
      </c>
      <c r="U1785" s="25" t="s">
        <v>880</v>
      </c>
      <c r="V1785" s="25" t="s">
        <v>841</v>
      </c>
      <c r="W1785" s="25" t="str">
        <f t="shared" si="46"/>
        <v>Side ChannelsInside Window MountHD Chain Winder</v>
      </c>
      <c r="X1785" s="25">
        <v>10</v>
      </c>
      <c r="Y1785" s="25" t="s">
        <v>824</v>
      </c>
      <c r="Z1785" s="25" t="s">
        <v>824</v>
      </c>
      <c r="AA1785" s="25">
        <v>60</v>
      </c>
      <c r="AB1785" s="25" t="s">
        <v>824</v>
      </c>
      <c r="AC1785" s="25" t="s">
        <v>821</v>
      </c>
      <c r="AD1785" s="25" t="s">
        <v>824</v>
      </c>
      <c r="AE1785" s="25" t="s">
        <v>824</v>
      </c>
    </row>
    <row r="1786" spans="20:31" ht="14.4">
      <c r="T1786" s="25" t="s">
        <v>955</v>
      </c>
      <c r="U1786" s="25" t="s">
        <v>880</v>
      </c>
      <c r="V1786" s="25" t="s">
        <v>858</v>
      </c>
      <c r="W1786" s="25" t="str">
        <f t="shared" si="46"/>
        <v>Side ChannelsInside Window MountChain Winder 60mm</v>
      </c>
      <c r="X1786" s="25">
        <v>10</v>
      </c>
      <c r="Y1786" s="25" t="s">
        <v>824</v>
      </c>
      <c r="Z1786" s="25" t="s">
        <v>824</v>
      </c>
      <c r="AA1786" s="25">
        <v>60</v>
      </c>
      <c r="AB1786" s="25" t="s">
        <v>824</v>
      </c>
      <c r="AC1786" s="25" t="s">
        <v>821</v>
      </c>
      <c r="AD1786" s="25" t="s">
        <v>824</v>
      </c>
      <c r="AE1786" s="25" t="s">
        <v>824</v>
      </c>
    </row>
    <row r="1787" spans="20:31" ht="14.4">
      <c r="T1787" s="25" t="s">
        <v>955</v>
      </c>
      <c r="U1787" s="25" t="s">
        <v>880</v>
      </c>
      <c r="V1787" s="25" t="s">
        <v>865</v>
      </c>
      <c r="W1787" s="25" t="str">
        <f t="shared" si="46"/>
        <v>Side ChannelsInside Window MountChain Winder Fixed Guide</v>
      </c>
      <c r="X1787" s="25">
        <v>10</v>
      </c>
      <c r="Y1787" s="25" t="s">
        <v>824</v>
      </c>
      <c r="Z1787" s="25" t="s">
        <v>824</v>
      </c>
      <c r="AA1787" s="25">
        <v>60</v>
      </c>
      <c r="AB1787" s="25" t="s">
        <v>824</v>
      </c>
      <c r="AC1787" s="25" t="s">
        <v>821</v>
      </c>
      <c r="AD1787" s="25" t="s">
        <v>824</v>
      </c>
      <c r="AE1787" s="25" t="s">
        <v>824</v>
      </c>
    </row>
    <row r="1788" spans="20:31" ht="14.4">
      <c r="T1788" s="25" t="s">
        <v>955</v>
      </c>
      <c r="U1788" s="25" t="s">
        <v>880</v>
      </c>
      <c r="V1788" s="25" t="s">
        <v>181</v>
      </c>
      <c r="W1788" s="25" t="str">
        <f t="shared" si="46"/>
        <v>Side ChannelsInside Window MountLinked</v>
      </c>
      <c r="X1788" s="25">
        <v>10</v>
      </c>
      <c r="Y1788" s="25" t="s">
        <v>824</v>
      </c>
      <c r="Z1788" s="25" t="s">
        <v>824</v>
      </c>
      <c r="AA1788" s="25">
        <v>60</v>
      </c>
      <c r="AB1788" s="25" t="s">
        <v>824</v>
      </c>
      <c r="AC1788" s="25" t="s">
        <v>821</v>
      </c>
      <c r="AD1788" s="25" t="s">
        <v>824</v>
      </c>
      <c r="AE1788" s="25" t="s">
        <v>824</v>
      </c>
    </row>
    <row r="1789" spans="20:31" ht="14.4">
      <c r="T1789" s="25" t="s">
        <v>955</v>
      </c>
      <c r="U1789" s="25" t="s">
        <v>880</v>
      </c>
      <c r="V1789" s="25" t="s">
        <v>898</v>
      </c>
      <c r="W1789" s="25" t="str">
        <f t="shared" si="46"/>
        <v>Side ChannelsInside Window MountLinked - HD</v>
      </c>
      <c r="X1789" s="25">
        <v>10</v>
      </c>
      <c r="Y1789" s="25" t="s">
        <v>824</v>
      </c>
      <c r="Z1789" s="25" t="s">
        <v>824</v>
      </c>
      <c r="AA1789" s="25">
        <v>60</v>
      </c>
      <c r="AB1789" s="25" t="s">
        <v>824</v>
      </c>
      <c r="AC1789" s="25" t="s">
        <v>821</v>
      </c>
      <c r="AD1789" s="25" t="s">
        <v>824</v>
      </c>
      <c r="AE1789" s="25" t="s">
        <v>824</v>
      </c>
    </row>
    <row r="1790" spans="20:31" ht="14.4">
      <c r="T1790" s="25" t="s">
        <v>955</v>
      </c>
      <c r="U1790" s="25" t="s">
        <v>880</v>
      </c>
      <c r="V1790" s="25" t="s">
        <v>925</v>
      </c>
      <c r="W1790" s="25" t="str">
        <f t="shared" si="46"/>
        <v>Side ChannelsInside Window MountLinked 60mm</v>
      </c>
      <c r="X1790" s="25">
        <v>10</v>
      </c>
      <c r="Y1790" s="25" t="s">
        <v>824</v>
      </c>
      <c r="Z1790" s="25" t="s">
        <v>824</v>
      </c>
      <c r="AA1790" s="25">
        <v>60</v>
      </c>
      <c r="AB1790" s="25" t="s">
        <v>824</v>
      </c>
      <c r="AC1790" s="25" t="s">
        <v>821</v>
      </c>
      <c r="AD1790" s="25" t="s">
        <v>824</v>
      </c>
      <c r="AE1790" s="25" t="s">
        <v>824</v>
      </c>
    </row>
    <row r="1791" spans="20:31" ht="14.4">
      <c r="T1791" s="25" t="s">
        <v>955</v>
      </c>
      <c r="U1791" s="25" t="s">
        <v>880</v>
      </c>
      <c r="V1791" s="25" t="s">
        <v>910</v>
      </c>
      <c r="W1791" s="25" t="str">
        <f t="shared" si="46"/>
        <v>Side ChannelsInside Window MountStandard Spring</v>
      </c>
      <c r="X1791" s="25">
        <v>10</v>
      </c>
      <c r="Y1791" s="25" t="s">
        <v>824</v>
      </c>
      <c r="Z1791" s="25" t="s">
        <v>824</v>
      </c>
      <c r="AA1791" s="25">
        <v>60</v>
      </c>
      <c r="AB1791" s="25" t="s">
        <v>824</v>
      </c>
      <c r="AC1791" s="25" t="s">
        <v>821</v>
      </c>
      <c r="AD1791" s="25" t="s">
        <v>824</v>
      </c>
      <c r="AE1791" s="25" t="s">
        <v>824</v>
      </c>
    </row>
    <row r="1792" spans="20:31" ht="14.4">
      <c r="T1792" s="25" t="s">
        <v>955</v>
      </c>
      <c r="U1792" s="25" t="s">
        <v>880</v>
      </c>
      <c r="V1792" s="25" t="s">
        <v>920</v>
      </c>
      <c r="W1792" s="25" t="str">
        <f t="shared" si="46"/>
        <v>Side ChannelsInside Window MountSmall Spring</v>
      </c>
      <c r="X1792" s="25">
        <v>10</v>
      </c>
      <c r="Y1792" s="25" t="s">
        <v>824</v>
      </c>
      <c r="Z1792" s="25" t="s">
        <v>824</v>
      </c>
      <c r="AA1792" s="25">
        <v>60</v>
      </c>
      <c r="AB1792" s="25" t="s">
        <v>824</v>
      </c>
      <c r="AC1792" s="25" t="s">
        <v>821</v>
      </c>
      <c r="AD1792" s="25" t="s">
        <v>824</v>
      </c>
      <c r="AE1792" s="25" t="s">
        <v>824</v>
      </c>
    </row>
    <row r="1793" spans="20:31" ht="14.4">
      <c r="T1793" s="25" t="s">
        <v>955</v>
      </c>
      <c r="U1793" s="25" t="s">
        <v>880</v>
      </c>
      <c r="V1793" s="25" t="s">
        <v>929</v>
      </c>
      <c r="W1793" s="25" t="str">
        <f t="shared" si="46"/>
        <v>Side ChannelsInside Window MountUniline Spring (Old Style)</v>
      </c>
      <c r="X1793" s="25">
        <v>10</v>
      </c>
      <c r="Y1793" s="25" t="s">
        <v>824</v>
      </c>
      <c r="Z1793" s="25" t="s">
        <v>824</v>
      </c>
      <c r="AA1793" s="25">
        <v>60</v>
      </c>
      <c r="AB1793" s="25" t="s">
        <v>824</v>
      </c>
      <c r="AC1793" s="25" t="s">
        <v>821</v>
      </c>
      <c r="AD1793" s="25" t="s">
        <v>824</v>
      </c>
      <c r="AE1793" s="25" t="s">
        <v>824</v>
      </c>
    </row>
    <row r="1794" spans="20:31" ht="14.4">
      <c r="T1794" s="25" t="s">
        <v>955</v>
      </c>
      <c r="U1794" s="25" t="s">
        <v>880</v>
      </c>
      <c r="V1794" s="25" t="s">
        <v>935</v>
      </c>
      <c r="W1794" s="25" t="str">
        <f t="shared" si="46"/>
        <v>Side ChannelsInside Window MountBecker Remote Motor</v>
      </c>
      <c r="X1794" s="25">
        <v>10</v>
      </c>
      <c r="Y1794" s="25" t="s">
        <v>824</v>
      </c>
      <c r="Z1794" s="25" t="s">
        <v>824</v>
      </c>
      <c r="AA1794" s="25">
        <v>60</v>
      </c>
      <c r="AB1794" s="25" t="s">
        <v>824</v>
      </c>
      <c r="AC1794" s="25" t="s">
        <v>821</v>
      </c>
      <c r="AD1794" s="25" t="s">
        <v>824</v>
      </c>
      <c r="AE1794" s="25" t="s">
        <v>824</v>
      </c>
    </row>
    <row r="1795" spans="20:31" ht="14.4">
      <c r="T1795" s="25" t="s">
        <v>955</v>
      </c>
      <c r="U1795" s="25" t="s">
        <v>880</v>
      </c>
      <c r="V1795" s="25" t="s">
        <v>939</v>
      </c>
      <c r="W1795" s="25" t="str">
        <f t="shared" si="47" ref="W1795:W1858">CONCATENATE(T1795,U1795,V1795)</f>
        <v>Side ChannelsInside Window MountBecker CBUS Motor</v>
      </c>
      <c r="X1795" s="25">
        <v>10</v>
      </c>
      <c r="Y1795" s="25" t="s">
        <v>824</v>
      </c>
      <c r="Z1795" s="25" t="s">
        <v>824</v>
      </c>
      <c r="AA1795" s="25">
        <v>60</v>
      </c>
      <c r="AB1795" s="25" t="s">
        <v>824</v>
      </c>
      <c r="AC1795" s="25" t="s">
        <v>821</v>
      </c>
      <c r="AD1795" s="25" t="s">
        <v>824</v>
      </c>
      <c r="AE1795" s="25" t="s">
        <v>824</v>
      </c>
    </row>
    <row r="1796" spans="20:31" ht="14.4">
      <c r="T1796" s="25" t="s">
        <v>955</v>
      </c>
      <c r="U1796" s="25" t="s">
        <v>880</v>
      </c>
      <c r="V1796" s="25" t="s">
        <v>946</v>
      </c>
      <c r="W1796" s="25" t="str">
        <f t="shared" si="47"/>
        <v>Side ChannelsInside Window MountBecker External Remote Motor</v>
      </c>
      <c r="X1796" s="25">
        <v>0</v>
      </c>
      <c r="Y1796" s="25" t="s">
        <v>824</v>
      </c>
      <c r="Z1796" s="25" t="s">
        <v>824</v>
      </c>
      <c r="AA1796" s="25">
        <v>60</v>
      </c>
      <c r="AB1796" s="25" t="s">
        <v>824</v>
      </c>
      <c r="AC1796" s="25" t="s">
        <v>821</v>
      </c>
      <c r="AD1796" s="25" t="s">
        <v>824</v>
      </c>
      <c r="AE1796" s="25" t="s">
        <v>824</v>
      </c>
    </row>
    <row r="1797" spans="20:31" ht="14.4">
      <c r="T1797" s="25" t="s">
        <v>955</v>
      </c>
      <c r="U1797" s="25" t="s">
        <v>880</v>
      </c>
      <c r="V1797" s="25" t="s">
        <v>951</v>
      </c>
      <c r="W1797" s="25" t="str">
        <f t="shared" si="47"/>
        <v>Side ChannelsInside Window MountBecker External CBUS Motor</v>
      </c>
      <c r="X1797" s="25">
        <v>0</v>
      </c>
      <c r="Y1797" s="25" t="s">
        <v>824</v>
      </c>
      <c r="Z1797" s="25" t="s">
        <v>824</v>
      </c>
      <c r="AA1797" s="25">
        <v>60</v>
      </c>
      <c r="AB1797" s="25" t="s">
        <v>824</v>
      </c>
      <c r="AC1797" s="25" t="s">
        <v>821</v>
      </c>
      <c r="AD1797" s="25" t="s">
        <v>824</v>
      </c>
      <c r="AE1797" s="25" t="s">
        <v>824</v>
      </c>
    </row>
    <row r="1798" spans="20:31" ht="14.4">
      <c r="T1798" s="25" t="s">
        <v>955</v>
      </c>
      <c r="U1798" s="25" t="s">
        <v>880</v>
      </c>
      <c r="V1798" s="25" t="s">
        <v>838</v>
      </c>
      <c r="W1798" s="25" t="str">
        <f t="shared" si="47"/>
        <v>Side ChannelsInside Window Mount1.1nm 12v Acmeda Motor</v>
      </c>
      <c r="X1798" s="25">
        <v>10</v>
      </c>
      <c r="Y1798" s="25" t="s">
        <v>824</v>
      </c>
      <c r="Z1798" s="25" t="s">
        <v>824</v>
      </c>
      <c r="AA1798" s="25">
        <v>60</v>
      </c>
      <c r="AB1798" s="25" t="s">
        <v>824</v>
      </c>
      <c r="AC1798" s="25" t="s">
        <v>821</v>
      </c>
      <c r="AD1798" s="25" t="s">
        <v>824</v>
      </c>
      <c r="AE1798" s="25" t="s">
        <v>824</v>
      </c>
    </row>
    <row r="1799" spans="20:31" ht="14.4">
      <c r="T1799" s="25" t="s">
        <v>955</v>
      </c>
      <c r="U1799" s="25" t="s">
        <v>880</v>
      </c>
      <c r="V1799" t="s">
        <v>882</v>
      </c>
      <c r="W1799" s="25" t="str">
        <f t="shared" si="47"/>
        <v>Side ChannelsInside Window Mount2nm 12v Acmeda Motor</v>
      </c>
      <c r="X1799" s="25">
        <v>10</v>
      </c>
      <c r="Y1799" s="25" t="s">
        <v>824</v>
      </c>
      <c r="Z1799" s="25" t="s">
        <v>824</v>
      </c>
      <c r="AA1799" s="25">
        <v>60</v>
      </c>
      <c r="AB1799" s="25" t="s">
        <v>824</v>
      </c>
      <c r="AC1799" s="25" t="s">
        <v>821</v>
      </c>
      <c r="AD1799" s="25" t="s">
        <v>824</v>
      </c>
      <c r="AE1799" s="25" t="s">
        <v>824</v>
      </c>
    </row>
    <row r="1800" spans="20:31" ht="14.4">
      <c r="T1800" s="25" t="s">
        <v>955</v>
      </c>
      <c r="U1800" s="25" t="s">
        <v>880</v>
      </c>
      <c r="V1800" t="s">
        <v>896</v>
      </c>
      <c r="W1800" s="25" t="str">
        <f t="shared" si="47"/>
        <v>Side ChannelsInside Window MountAcmeda 12v 6nm Motor</v>
      </c>
      <c r="X1800" s="25">
        <v>10</v>
      </c>
      <c r="Y1800" s="25" t="s">
        <v>824</v>
      </c>
      <c r="Z1800" s="25" t="s">
        <v>824</v>
      </c>
      <c r="AA1800" s="25">
        <v>60</v>
      </c>
      <c r="AB1800" s="25" t="s">
        <v>824</v>
      </c>
      <c r="AC1800" s="25" t="s">
        <v>821</v>
      </c>
      <c r="AD1800" s="25" t="s">
        <v>824</v>
      </c>
      <c r="AE1800" s="25" t="s">
        <v>824</v>
      </c>
    </row>
    <row r="1801" spans="20:31" ht="14.4">
      <c r="T1801" s="25" t="s">
        <v>955</v>
      </c>
      <c r="U1801" s="25" t="s">
        <v>880</v>
      </c>
      <c r="V1801" t="s">
        <v>855</v>
      </c>
      <c r="W1801" s="25" t="str">
        <f t="shared" si="47"/>
        <v>Side ChannelsInside Window Mount0.7nm 12v Acmeda Motor</v>
      </c>
      <c r="X1801" s="25">
        <v>10</v>
      </c>
      <c r="Y1801" s="25" t="s">
        <v>824</v>
      </c>
      <c r="Z1801" s="25" t="s">
        <v>824</v>
      </c>
      <c r="AA1801" s="25">
        <v>60</v>
      </c>
      <c r="AB1801" s="25" t="s">
        <v>824</v>
      </c>
      <c r="AC1801" s="25" t="s">
        <v>821</v>
      </c>
      <c r="AD1801" s="25" t="s">
        <v>824</v>
      </c>
      <c r="AE1801" s="25" t="s">
        <v>824</v>
      </c>
    </row>
    <row r="1802" spans="20:31" ht="14.4">
      <c r="T1802" s="25" t="s">
        <v>955</v>
      </c>
      <c r="U1802" s="25" t="s">
        <v>880</v>
      </c>
      <c r="V1802" s="25" t="s">
        <v>849</v>
      </c>
      <c r="W1802" s="25" t="str">
        <f t="shared" si="47"/>
        <v>Side ChannelsInside Window Mount1.1nm 12v Acmeda DCRF Motor with External Battery</v>
      </c>
      <c r="X1802" s="25">
        <v>10</v>
      </c>
      <c r="Y1802" s="25" t="s">
        <v>824</v>
      </c>
      <c r="Z1802" s="25" t="s">
        <v>824</v>
      </c>
      <c r="AA1802" s="25">
        <v>60</v>
      </c>
      <c r="AB1802" s="25" t="s">
        <v>824</v>
      </c>
      <c r="AC1802" s="25" t="s">
        <v>821</v>
      </c>
      <c r="AD1802" s="25" t="s">
        <v>824</v>
      </c>
      <c r="AE1802" s="25" t="s">
        <v>824</v>
      </c>
    </row>
    <row r="1803" spans="20:31" ht="14.4">
      <c r="T1803" s="25" t="s">
        <v>955</v>
      </c>
      <c r="U1803" s="25" t="s">
        <v>880</v>
      </c>
      <c r="V1803" s="25" t="s">
        <v>817</v>
      </c>
      <c r="W1803" s="25" t="str">
        <f t="shared" si="47"/>
        <v>Side ChannelsInside Window Mount1.1nm 12v Acmeda DCRF Motor</v>
      </c>
      <c r="X1803" s="25">
        <v>10</v>
      </c>
      <c r="Y1803" s="25" t="s">
        <v>824</v>
      </c>
      <c r="Z1803" s="25" t="s">
        <v>824</v>
      </c>
      <c r="AA1803" s="25">
        <v>60</v>
      </c>
      <c r="AB1803" s="25" t="s">
        <v>824</v>
      </c>
      <c r="AC1803" s="25" t="s">
        <v>821</v>
      </c>
      <c r="AD1803" s="25" t="s">
        <v>824</v>
      </c>
      <c r="AE1803" s="25" t="s">
        <v>824</v>
      </c>
    </row>
    <row r="1804" spans="20:31" ht="14.4">
      <c r="T1804" s="25" t="s">
        <v>955</v>
      </c>
      <c r="U1804" s="25" t="s">
        <v>880</v>
      </c>
      <c r="V1804" s="25" t="s">
        <v>868</v>
      </c>
      <c r="W1804" s="25" t="str">
        <f t="shared" si="47"/>
        <v>Side ChannelsInside Window Mount2nm 12v Acmeda DCRF Motor</v>
      </c>
      <c r="X1804" s="25">
        <v>10</v>
      </c>
      <c r="Y1804" s="25" t="s">
        <v>824</v>
      </c>
      <c r="Z1804" s="25" t="s">
        <v>824</v>
      </c>
      <c r="AA1804" s="25">
        <v>60</v>
      </c>
      <c r="AB1804" s="25" t="s">
        <v>824</v>
      </c>
      <c r="AC1804" s="25" t="s">
        <v>821</v>
      </c>
      <c r="AD1804" s="25" t="s">
        <v>824</v>
      </c>
      <c r="AE1804" s="25" t="s">
        <v>824</v>
      </c>
    </row>
    <row r="1805" spans="20:31" ht="14.4">
      <c r="T1805" s="25" t="s">
        <v>955</v>
      </c>
      <c r="U1805" s="25" t="s">
        <v>880</v>
      </c>
      <c r="V1805" t="s">
        <v>973</v>
      </c>
      <c r="W1805" s="25" t="str">
        <f t="shared" si="47"/>
        <v>Side ChannelsInside Window MountSomfy Remote Sonesse Motor</v>
      </c>
      <c r="X1805" s="25">
        <v>10</v>
      </c>
      <c r="Y1805" s="25" t="s">
        <v>824</v>
      </c>
      <c r="Z1805" s="25" t="s">
        <v>824</v>
      </c>
      <c r="AA1805" s="25">
        <v>60</v>
      </c>
      <c r="AB1805" s="25" t="s">
        <v>824</v>
      </c>
      <c r="AC1805" s="25" t="s">
        <v>821</v>
      </c>
      <c r="AD1805" s="25" t="s">
        <v>824</v>
      </c>
      <c r="AE1805" s="25" t="s">
        <v>824</v>
      </c>
    </row>
    <row r="1806" spans="20:31" ht="14.4">
      <c r="T1806" s="25" t="s">
        <v>955</v>
      </c>
      <c r="U1806" s="25" t="s">
        <v>880</v>
      </c>
      <c r="V1806" t="s">
        <v>637</v>
      </c>
      <c r="W1806" s="25" t="str">
        <f t="shared" si="47"/>
        <v>Side ChannelsInside Window MountSomfy 12v Remote Sonesse Motor</v>
      </c>
      <c r="X1806" s="25">
        <v>10</v>
      </c>
      <c r="Y1806" s="25" t="s">
        <v>824</v>
      </c>
      <c r="Z1806" s="25" t="s">
        <v>824</v>
      </c>
      <c r="AA1806" s="25">
        <v>60</v>
      </c>
      <c r="AB1806" s="25" t="s">
        <v>824</v>
      </c>
      <c r="AC1806" s="25" t="s">
        <v>821</v>
      </c>
      <c r="AD1806" s="25" t="s">
        <v>824</v>
      </c>
      <c r="AE1806" s="25" t="s">
        <v>824</v>
      </c>
    </row>
    <row r="1807" spans="20:31" ht="14.4">
      <c r="T1807" s="25" t="s">
        <v>955</v>
      </c>
      <c r="U1807" s="25" t="s">
        <v>880</v>
      </c>
      <c r="V1807" s="25" t="s">
        <v>974</v>
      </c>
      <c r="W1807" s="25" t="str">
        <f t="shared" si="47"/>
        <v>Side ChannelsInside Window MountSomfy CBUS Motor</v>
      </c>
      <c r="X1807" s="25">
        <v>10</v>
      </c>
      <c r="Y1807" s="25" t="s">
        <v>824</v>
      </c>
      <c r="Z1807" s="25" t="s">
        <v>824</v>
      </c>
      <c r="AA1807" s="25">
        <v>60</v>
      </c>
      <c r="AB1807" s="25" t="s">
        <v>824</v>
      </c>
      <c r="AC1807" s="25" t="s">
        <v>821</v>
      </c>
      <c r="AD1807" s="25" t="s">
        <v>824</v>
      </c>
      <c r="AE1807" s="25" t="s">
        <v>824</v>
      </c>
    </row>
    <row r="1808" spans="20:31" ht="14.4">
      <c r="T1808" s="25" t="s">
        <v>955</v>
      </c>
      <c r="U1808" s="25" t="s">
        <v>880</v>
      </c>
      <c r="V1808" t="s">
        <v>986</v>
      </c>
      <c r="W1808" s="25" t="str">
        <f t="shared" si="47"/>
        <v>Side ChannelsInside Window MountHD Somfy Remote Sonesse Motor</v>
      </c>
      <c r="X1808" s="25">
        <v>10</v>
      </c>
      <c r="Y1808" s="25" t="s">
        <v>824</v>
      </c>
      <c r="Z1808" s="25" t="s">
        <v>824</v>
      </c>
      <c r="AA1808" s="25">
        <v>60</v>
      </c>
      <c r="AB1808" s="25" t="s">
        <v>824</v>
      </c>
      <c r="AC1808" s="25" t="s">
        <v>821</v>
      </c>
      <c r="AD1808" s="25" t="s">
        <v>824</v>
      </c>
      <c r="AE1808" s="25" t="s">
        <v>824</v>
      </c>
    </row>
    <row r="1809" spans="20:31" ht="14.4">
      <c r="T1809" s="25" t="s">
        <v>955</v>
      </c>
      <c r="U1809" s="25" t="s">
        <v>880</v>
      </c>
      <c r="V1809" t="s">
        <v>989</v>
      </c>
      <c r="W1809" s="25" t="str">
        <f t="shared" si="47"/>
        <v>Side ChannelsInside Window MountHD Somfy 12v Remote Sonesse Motor</v>
      </c>
      <c r="X1809" s="25">
        <v>10</v>
      </c>
      <c r="Y1809" s="25" t="s">
        <v>824</v>
      </c>
      <c r="Z1809" s="25" t="s">
        <v>824</v>
      </c>
      <c r="AA1809" s="25">
        <v>60</v>
      </c>
      <c r="AB1809" s="25" t="s">
        <v>824</v>
      </c>
      <c r="AC1809" s="25" t="s">
        <v>821</v>
      </c>
      <c r="AD1809" s="25" t="s">
        <v>824</v>
      </c>
      <c r="AE1809" s="25" t="s">
        <v>824</v>
      </c>
    </row>
    <row r="1810" spans="20:31" ht="14.4">
      <c r="T1810" s="25" t="s">
        <v>955</v>
      </c>
      <c r="U1810" s="25" t="s">
        <v>880</v>
      </c>
      <c r="V1810" s="25" t="s">
        <v>992</v>
      </c>
      <c r="W1810" s="25" t="str">
        <f t="shared" si="47"/>
        <v>Side ChannelsInside Window MountHD Somfy CBUS Motor</v>
      </c>
      <c r="X1810" s="25">
        <v>10</v>
      </c>
      <c r="Y1810" s="25" t="s">
        <v>824</v>
      </c>
      <c r="Z1810" s="25" t="s">
        <v>824</v>
      </c>
      <c r="AA1810" s="25">
        <v>60</v>
      </c>
      <c r="AB1810" s="25" t="s">
        <v>824</v>
      </c>
      <c r="AC1810" s="25" t="s">
        <v>821</v>
      </c>
      <c r="AD1810" s="25" t="s">
        <v>824</v>
      </c>
      <c r="AE1810" s="25" t="s">
        <v>824</v>
      </c>
    </row>
    <row r="1811" spans="20:31" ht="14.4">
      <c r="T1811" s="25" t="s">
        <v>955</v>
      </c>
      <c r="U1811" s="25" t="s">
        <v>880</v>
      </c>
      <c r="V1811" s="25" t="s">
        <v>625</v>
      </c>
      <c r="W1811" s="25" t="str">
        <f t="shared" si="47"/>
        <v>Side ChannelsInside Window MountAcmeda E6 Motor</v>
      </c>
      <c r="X1811" s="25">
        <v>10</v>
      </c>
      <c r="Y1811" s="25" t="s">
        <v>824</v>
      </c>
      <c r="Z1811" s="25" t="s">
        <v>824</v>
      </c>
      <c r="AA1811" s="25">
        <v>60</v>
      </c>
      <c r="AB1811" s="25" t="s">
        <v>824</v>
      </c>
      <c r="AC1811" s="25" t="s">
        <v>821</v>
      </c>
      <c r="AD1811" s="25" t="s">
        <v>824</v>
      </c>
      <c r="AE1811" s="25" t="s">
        <v>824</v>
      </c>
    </row>
    <row r="1812" spans="20:31" ht="14.4">
      <c r="T1812" s="25" t="s">
        <v>955</v>
      </c>
      <c r="U1812" s="25" t="s">
        <v>880</v>
      </c>
      <c r="V1812" s="25" t="s">
        <v>626</v>
      </c>
      <c r="W1812" s="25" t="str">
        <f t="shared" si="47"/>
        <v>Side ChannelsInside Window MountAcmeda M6 Motor</v>
      </c>
      <c r="X1812" s="25">
        <v>10</v>
      </c>
      <c r="Y1812" s="25" t="s">
        <v>824</v>
      </c>
      <c r="Z1812" s="25" t="s">
        <v>824</v>
      </c>
      <c r="AA1812" s="25">
        <v>60</v>
      </c>
      <c r="AB1812" s="25" t="s">
        <v>824</v>
      </c>
      <c r="AC1812" s="25" t="s">
        <v>821</v>
      </c>
      <c r="AD1812" s="25" t="s">
        <v>824</v>
      </c>
      <c r="AE1812" s="25" t="s">
        <v>824</v>
      </c>
    </row>
    <row r="1813" spans="20:31" ht="14.4">
      <c r="T1813" s="25" t="s">
        <v>955</v>
      </c>
      <c r="U1813" s="25" t="s">
        <v>880</v>
      </c>
      <c r="V1813" s="25" t="s">
        <v>1002</v>
      </c>
      <c r="W1813" s="25" t="str">
        <f t="shared" si="47"/>
        <v>Side ChannelsInside Window MountUniline Remote Motor</v>
      </c>
      <c r="X1813" s="25">
        <v>10</v>
      </c>
      <c r="Y1813" s="25" t="s">
        <v>824</v>
      </c>
      <c r="Z1813" s="25" t="s">
        <v>824</v>
      </c>
      <c r="AA1813" s="25">
        <v>60</v>
      </c>
      <c r="AB1813" s="25" t="s">
        <v>824</v>
      </c>
      <c r="AC1813" s="25" t="s">
        <v>821</v>
      </c>
      <c r="AD1813" s="25" t="s">
        <v>824</v>
      </c>
      <c r="AE1813" s="25" t="s">
        <v>824</v>
      </c>
    </row>
    <row r="1814" spans="20:31" ht="14.4">
      <c r="T1814" s="25" t="s">
        <v>955</v>
      </c>
      <c r="U1814" s="25" t="s">
        <v>880</v>
      </c>
      <c r="V1814" s="25" t="s">
        <v>1005</v>
      </c>
      <c r="W1814" s="25" t="str">
        <f t="shared" si="47"/>
        <v>Side ChannelsInside Window MountUniline Cbus Motor</v>
      </c>
      <c r="X1814" s="25">
        <v>10</v>
      </c>
      <c r="Y1814" s="25" t="s">
        <v>824</v>
      </c>
      <c r="Z1814" s="25" t="s">
        <v>824</v>
      </c>
      <c r="AA1814" s="25">
        <v>60</v>
      </c>
      <c r="AB1814" s="25" t="s">
        <v>824</v>
      </c>
      <c r="AC1814" s="25" t="s">
        <v>821</v>
      </c>
      <c r="AD1814" s="25" t="s">
        <v>824</v>
      </c>
      <c r="AE1814" s="25" t="s">
        <v>824</v>
      </c>
    </row>
    <row r="1815" spans="20:31" ht="14.4">
      <c r="T1815" s="25" t="s">
        <v>955</v>
      </c>
      <c r="U1815" s="25" t="s">
        <v>880</v>
      </c>
      <c r="V1815" s="25" t="s">
        <v>981</v>
      </c>
      <c r="W1815" s="25" t="str">
        <f t="shared" si="47"/>
        <v>Side ChannelsInside Window MountNice Remote Motor</v>
      </c>
      <c r="X1815" s="25">
        <v>10</v>
      </c>
      <c r="Y1815" s="25" t="s">
        <v>824</v>
      </c>
      <c r="Z1815" s="25" t="s">
        <v>824</v>
      </c>
      <c r="AA1815" s="25">
        <v>60</v>
      </c>
      <c r="AB1815" s="25" t="s">
        <v>824</v>
      </c>
      <c r="AC1815" s="25" t="s">
        <v>821</v>
      </c>
      <c r="AD1815" s="25" t="s">
        <v>824</v>
      </c>
      <c r="AE1815" s="25" t="s">
        <v>824</v>
      </c>
    </row>
    <row r="1816" spans="20:31" ht="14.4">
      <c r="T1816" s="25" t="s">
        <v>955</v>
      </c>
      <c r="U1816" s="25" t="s">
        <v>880</v>
      </c>
      <c r="V1816" s="25" t="s">
        <v>976</v>
      </c>
      <c r="W1816" s="25" t="str">
        <f t="shared" si="47"/>
        <v>Side ChannelsInside Window MountNice CBus Motor</v>
      </c>
      <c r="X1816" s="25">
        <v>0</v>
      </c>
      <c r="Y1816" s="25" t="s">
        <v>824</v>
      </c>
      <c r="Z1816" s="25" t="s">
        <v>824</v>
      </c>
      <c r="AA1816" s="25">
        <v>60</v>
      </c>
      <c r="AB1816" s="25" t="s">
        <v>824</v>
      </c>
      <c r="AC1816" s="25" t="s">
        <v>821</v>
      </c>
      <c r="AD1816" s="25" t="s">
        <v>824</v>
      </c>
      <c r="AE1816" s="25" t="s">
        <v>824</v>
      </c>
    </row>
    <row r="1817" spans="20:31" ht="14.4">
      <c r="T1817" s="25" t="s">
        <v>955</v>
      </c>
      <c r="U1817" s="25" t="s">
        <v>880</v>
      </c>
      <c r="V1817" t="s">
        <v>1006</v>
      </c>
      <c r="W1817" s="25" t="str">
        <f t="shared" si="47"/>
        <v>Side ChannelsInside Window MountSunboss Chain Winder 38mm Tube</v>
      </c>
      <c r="X1817" s="25">
        <v>10</v>
      </c>
      <c r="Y1817" s="25" t="s">
        <v>824</v>
      </c>
      <c r="Z1817" s="25" t="s">
        <v>824</v>
      </c>
      <c r="AA1817" s="25">
        <v>60</v>
      </c>
      <c r="AB1817" s="25" t="s">
        <v>824</v>
      </c>
      <c r="AC1817" s="25" t="s">
        <v>821</v>
      </c>
      <c r="AD1817" s="25" t="s">
        <v>824</v>
      </c>
      <c r="AE1817" s="25" t="s">
        <v>824</v>
      </c>
    </row>
    <row r="1818" spans="20:31" ht="14.4">
      <c r="T1818" s="25" t="s">
        <v>955</v>
      </c>
      <c r="U1818" s="25" t="s">
        <v>880</v>
      </c>
      <c r="V1818" t="s">
        <v>1017</v>
      </c>
      <c r="W1818" s="25" t="str">
        <f t="shared" si="47"/>
        <v>Side ChannelsInside Window MountSunboss Chain Winder 43mm Tube</v>
      </c>
      <c r="X1818" s="25">
        <v>10</v>
      </c>
      <c r="Y1818" s="25" t="s">
        <v>824</v>
      </c>
      <c r="Z1818" s="25" t="s">
        <v>824</v>
      </c>
      <c r="AA1818" s="25">
        <v>60</v>
      </c>
      <c r="AB1818" s="25" t="s">
        <v>824</v>
      </c>
      <c r="AC1818" s="25" t="s">
        <v>821</v>
      </c>
      <c r="AD1818" s="25" t="s">
        <v>824</v>
      </c>
      <c r="AE1818" s="25" t="s">
        <v>824</v>
      </c>
    </row>
    <row r="1819" spans="20:31" ht="14.4">
      <c r="T1819" s="25" t="s">
        <v>955</v>
      </c>
      <c r="U1819" s="25" t="s">
        <v>880</v>
      </c>
      <c r="V1819" s="25" t="s">
        <v>1012</v>
      </c>
      <c r="W1819" s="25" t="str">
        <f t="shared" si="47"/>
        <v>Side ChannelsInside Window MountTBS Remote Motor</v>
      </c>
      <c r="X1819" s="25">
        <v>10</v>
      </c>
      <c r="Y1819" s="25" t="s">
        <v>824</v>
      </c>
      <c r="Z1819" s="25" t="s">
        <v>824</v>
      </c>
      <c r="AA1819" s="25">
        <v>60</v>
      </c>
      <c r="AB1819" s="25" t="s">
        <v>824</v>
      </c>
      <c r="AC1819" s="25" t="s">
        <v>821</v>
      </c>
      <c r="AD1819" s="25" t="s">
        <v>824</v>
      </c>
      <c r="AE1819" s="25" t="s">
        <v>824</v>
      </c>
    </row>
    <row r="1820" spans="20:31" ht="14.4">
      <c r="T1820" s="25" t="s">
        <v>955</v>
      </c>
      <c r="U1820" s="25" t="s">
        <v>880</v>
      </c>
      <c r="V1820" t="s">
        <v>1009</v>
      </c>
      <c r="W1820" s="25" t="str">
        <f t="shared" si="47"/>
        <v>Side ChannelsInside Window MountTBS Cbus Motor</v>
      </c>
      <c r="X1820" s="25">
        <v>10</v>
      </c>
      <c r="Y1820" s="25" t="s">
        <v>824</v>
      </c>
      <c r="Z1820" s="25" t="s">
        <v>824</v>
      </c>
      <c r="AA1820" s="25">
        <v>60</v>
      </c>
      <c r="AB1820" s="25" t="s">
        <v>824</v>
      </c>
      <c r="AC1820" s="25" t="s">
        <v>821</v>
      </c>
      <c r="AD1820" s="25" t="s">
        <v>824</v>
      </c>
      <c r="AE1820" s="25" t="s">
        <v>824</v>
      </c>
    </row>
    <row r="1821" spans="20:31" ht="14.4">
      <c r="T1821" s="25" t="s">
        <v>955</v>
      </c>
      <c r="U1821" s="25" t="s">
        <v>880</v>
      </c>
      <c r="V1821" t="s">
        <v>927</v>
      </c>
      <c r="W1821" s="25" t="str">
        <f t="shared" si="47"/>
        <v>Side ChannelsInside Window MountAcmeda External Motor</v>
      </c>
      <c r="X1821" s="25">
        <v>0</v>
      </c>
      <c r="Y1821" s="25" t="s">
        <v>824</v>
      </c>
      <c r="Z1821" s="25" t="s">
        <v>824</v>
      </c>
      <c r="AA1821" s="25">
        <v>60</v>
      </c>
      <c r="AB1821" s="25" t="s">
        <v>824</v>
      </c>
      <c r="AC1821" s="25" t="s">
        <v>821</v>
      </c>
      <c r="AD1821" s="25" t="s">
        <v>824</v>
      </c>
      <c r="AE1821" s="25" t="s">
        <v>824</v>
      </c>
    </row>
    <row r="1822" spans="20:31" ht="14.4">
      <c r="T1822" s="25" t="s">
        <v>955</v>
      </c>
      <c r="U1822" s="25" t="s">
        <v>880</v>
      </c>
      <c r="V1822" t="s">
        <v>918</v>
      </c>
      <c r="W1822" s="25" t="str">
        <f t="shared" si="47"/>
        <v>Side ChannelsInside Window MountAcmeda External 12v Motor</v>
      </c>
      <c r="X1822" s="25">
        <v>0</v>
      </c>
      <c r="Y1822" s="25" t="s">
        <v>824</v>
      </c>
      <c r="Z1822" s="25" t="s">
        <v>824</v>
      </c>
      <c r="AA1822" s="25">
        <v>60</v>
      </c>
      <c r="AB1822" s="25" t="s">
        <v>824</v>
      </c>
      <c r="AC1822" s="25" t="s">
        <v>821</v>
      </c>
      <c r="AD1822" s="25" t="s">
        <v>824</v>
      </c>
      <c r="AE1822" s="25" t="s">
        <v>824</v>
      </c>
    </row>
    <row r="1823" spans="20:31" ht="14.4">
      <c r="T1823" s="25" t="s">
        <v>955</v>
      </c>
      <c r="U1823" s="25" t="s">
        <v>880</v>
      </c>
      <c r="V1823" t="s">
        <v>979</v>
      </c>
      <c r="W1823" s="25" t="str">
        <f t="shared" si="47"/>
        <v>Side ChannelsInside Window MountSomfy External CBUS Motor</v>
      </c>
      <c r="X1823" s="25">
        <v>0</v>
      </c>
      <c r="Y1823" s="25" t="s">
        <v>824</v>
      </c>
      <c r="Z1823" s="25" t="s">
        <v>824</v>
      </c>
      <c r="AA1823" s="25">
        <v>60</v>
      </c>
      <c r="AB1823" s="25" t="s">
        <v>824</v>
      </c>
      <c r="AC1823" s="25" t="s">
        <v>821</v>
      </c>
      <c r="AD1823" s="25" t="s">
        <v>824</v>
      </c>
      <c r="AE1823" s="25" t="s">
        <v>824</v>
      </c>
    </row>
    <row r="1824" spans="20:31" ht="14.4">
      <c r="T1824" s="25" t="s">
        <v>955</v>
      </c>
      <c r="U1824" s="25" t="s">
        <v>880</v>
      </c>
      <c r="V1824" t="s">
        <v>983</v>
      </c>
      <c r="W1824" s="25" t="str">
        <f t="shared" si="47"/>
        <v>Side ChannelsInside Window MountSomfy External Remote Motor</v>
      </c>
      <c r="X1824" s="25">
        <v>0</v>
      </c>
      <c r="Y1824" s="25" t="s">
        <v>824</v>
      </c>
      <c r="Z1824" s="25" t="s">
        <v>824</v>
      </c>
      <c r="AA1824" s="25">
        <v>60</v>
      </c>
      <c r="AB1824" s="25" t="s">
        <v>824</v>
      </c>
      <c r="AC1824" s="25" t="s">
        <v>821</v>
      </c>
      <c r="AD1824" s="25" t="s">
        <v>824</v>
      </c>
      <c r="AE1824" s="25" t="s">
        <v>824</v>
      </c>
    </row>
    <row r="1825" spans="20:31" ht="14.4">
      <c r="T1825" s="25" t="s">
        <v>955</v>
      </c>
      <c r="U1825" s="25" t="s">
        <v>880</v>
      </c>
      <c r="V1825" t="s">
        <v>995</v>
      </c>
      <c r="W1825" s="25" t="str">
        <f t="shared" si="47"/>
        <v>Side ChannelsInside Window MountHD Somfy External CBUS Motor</v>
      </c>
      <c r="X1825" s="25">
        <v>0</v>
      </c>
      <c r="Y1825" s="25" t="s">
        <v>824</v>
      </c>
      <c r="Z1825" s="25" t="s">
        <v>824</v>
      </c>
      <c r="AA1825" s="25">
        <v>60</v>
      </c>
      <c r="AB1825" s="25" t="s">
        <v>824</v>
      </c>
      <c r="AC1825" s="25" t="s">
        <v>821</v>
      </c>
      <c r="AD1825" s="25" t="s">
        <v>824</v>
      </c>
      <c r="AE1825" s="25" t="s">
        <v>824</v>
      </c>
    </row>
    <row r="1826" spans="20:31" ht="14.4">
      <c r="T1826" s="25" t="s">
        <v>955</v>
      </c>
      <c r="U1826" s="25" t="s">
        <v>880</v>
      </c>
      <c r="V1826" t="s">
        <v>999</v>
      </c>
      <c r="W1826" s="25" t="str">
        <f t="shared" si="47"/>
        <v>Side ChannelsInside Window MountHD Somfy External Remote Motor</v>
      </c>
      <c r="X1826" s="25">
        <v>0</v>
      </c>
      <c r="Y1826" s="25" t="s">
        <v>824</v>
      </c>
      <c r="Z1826" s="25" t="s">
        <v>824</v>
      </c>
      <c r="AA1826" s="25">
        <v>60</v>
      </c>
      <c r="AB1826" s="25" t="s">
        <v>824</v>
      </c>
      <c r="AC1826" s="25" t="s">
        <v>821</v>
      </c>
      <c r="AD1826" s="25" t="s">
        <v>824</v>
      </c>
      <c r="AE1826" s="25" t="s">
        <v>824</v>
      </c>
    </row>
    <row r="1827" spans="20:31" ht="14.4">
      <c r="T1827" s="25" t="s">
        <v>955</v>
      </c>
      <c r="U1827" s="25" t="s">
        <v>867</v>
      </c>
      <c r="V1827" s="25" t="s">
        <v>823</v>
      </c>
      <c r="W1827" s="25" t="str">
        <f t="shared" si="47"/>
        <v>Side ChannelsOutside Window MountChain Winder</v>
      </c>
      <c r="X1827" s="25">
        <v>0</v>
      </c>
      <c r="Y1827" s="25" t="s">
        <v>824</v>
      </c>
      <c r="Z1827" s="25" t="s">
        <v>824</v>
      </c>
      <c r="AA1827" s="25">
        <v>60</v>
      </c>
      <c r="AB1827" s="25" t="s">
        <v>824</v>
      </c>
      <c r="AC1827" s="25" t="s">
        <v>821</v>
      </c>
      <c r="AD1827" s="25" t="s">
        <v>824</v>
      </c>
      <c r="AE1827" s="25" t="s">
        <v>824</v>
      </c>
    </row>
    <row r="1828" spans="20:31" ht="14.4">
      <c r="T1828" s="25" t="s">
        <v>955</v>
      </c>
      <c r="U1828" s="25" t="s">
        <v>867</v>
      </c>
      <c r="V1828" s="25" t="s">
        <v>841</v>
      </c>
      <c r="W1828" s="25" t="str">
        <f t="shared" si="47"/>
        <v>Side ChannelsOutside Window MountHD Chain Winder</v>
      </c>
      <c r="X1828" s="25">
        <v>0</v>
      </c>
      <c r="Y1828" s="25" t="s">
        <v>824</v>
      </c>
      <c r="Z1828" s="25" t="s">
        <v>824</v>
      </c>
      <c r="AA1828" s="25">
        <v>60</v>
      </c>
      <c r="AB1828" s="25" t="s">
        <v>824</v>
      </c>
      <c r="AC1828" s="25" t="s">
        <v>821</v>
      </c>
      <c r="AD1828" s="25" t="s">
        <v>824</v>
      </c>
      <c r="AE1828" s="25" t="s">
        <v>824</v>
      </c>
    </row>
    <row r="1829" spans="20:31" ht="14.4">
      <c r="T1829" s="25" t="s">
        <v>955</v>
      </c>
      <c r="U1829" s="25" t="s">
        <v>867</v>
      </c>
      <c r="V1829" s="25" t="s">
        <v>858</v>
      </c>
      <c r="W1829" s="25" t="str">
        <f t="shared" si="47"/>
        <v>Side ChannelsOutside Window MountChain Winder 60mm</v>
      </c>
      <c r="X1829" s="25">
        <v>10</v>
      </c>
      <c r="Y1829" s="25" t="s">
        <v>824</v>
      </c>
      <c r="Z1829" s="25" t="s">
        <v>824</v>
      </c>
      <c r="AA1829" s="25">
        <v>60</v>
      </c>
      <c r="AB1829" s="25" t="s">
        <v>824</v>
      </c>
      <c r="AC1829" s="25" t="s">
        <v>821</v>
      </c>
      <c r="AD1829" s="25" t="s">
        <v>824</v>
      </c>
      <c r="AE1829" s="25" t="s">
        <v>824</v>
      </c>
    </row>
    <row r="1830" spans="20:31" ht="14.4">
      <c r="T1830" s="25" t="s">
        <v>955</v>
      </c>
      <c r="U1830" s="25" t="s">
        <v>867</v>
      </c>
      <c r="V1830" s="25" t="s">
        <v>865</v>
      </c>
      <c r="W1830" s="25" t="str">
        <f t="shared" si="47"/>
        <v>Side ChannelsOutside Window MountChain Winder Fixed Guide</v>
      </c>
      <c r="X1830" s="25">
        <v>10</v>
      </c>
      <c r="Y1830" s="25" t="s">
        <v>824</v>
      </c>
      <c r="Z1830" s="25" t="s">
        <v>824</v>
      </c>
      <c r="AA1830" s="25">
        <v>60</v>
      </c>
      <c r="AB1830" s="25" t="s">
        <v>824</v>
      </c>
      <c r="AC1830" s="25" t="s">
        <v>821</v>
      </c>
      <c r="AD1830" s="25" t="s">
        <v>824</v>
      </c>
      <c r="AE1830" s="25" t="s">
        <v>824</v>
      </c>
    </row>
    <row r="1831" spans="20:31" ht="14.4">
      <c r="T1831" s="25" t="s">
        <v>955</v>
      </c>
      <c r="U1831" s="25" t="s">
        <v>867</v>
      </c>
      <c r="V1831" s="25" t="s">
        <v>181</v>
      </c>
      <c r="W1831" s="25" t="str">
        <f t="shared" si="47"/>
        <v>Side ChannelsOutside Window MountLinked</v>
      </c>
      <c r="X1831" s="25">
        <v>10</v>
      </c>
      <c r="Y1831" s="25" t="s">
        <v>824</v>
      </c>
      <c r="Z1831" s="25" t="s">
        <v>824</v>
      </c>
      <c r="AA1831" s="25">
        <v>60</v>
      </c>
      <c r="AB1831" s="25" t="s">
        <v>824</v>
      </c>
      <c r="AC1831" s="25" t="s">
        <v>821</v>
      </c>
      <c r="AD1831" s="25" t="s">
        <v>824</v>
      </c>
      <c r="AE1831" s="25" t="s">
        <v>824</v>
      </c>
    </row>
    <row r="1832" spans="20:31" ht="14.4">
      <c r="T1832" s="25" t="s">
        <v>955</v>
      </c>
      <c r="U1832" s="25" t="s">
        <v>867</v>
      </c>
      <c r="V1832" s="25" t="s">
        <v>898</v>
      </c>
      <c r="W1832" s="25" t="str">
        <f t="shared" si="47"/>
        <v>Side ChannelsOutside Window MountLinked - HD</v>
      </c>
      <c r="X1832" s="25">
        <v>10</v>
      </c>
      <c r="Y1832" s="25" t="s">
        <v>824</v>
      </c>
      <c r="Z1832" s="25" t="s">
        <v>824</v>
      </c>
      <c r="AA1832" s="25">
        <v>60</v>
      </c>
      <c r="AB1832" s="25" t="s">
        <v>824</v>
      </c>
      <c r="AC1832" s="25" t="s">
        <v>821</v>
      </c>
      <c r="AD1832" s="25" t="s">
        <v>824</v>
      </c>
      <c r="AE1832" s="25" t="s">
        <v>824</v>
      </c>
    </row>
    <row r="1833" spans="20:31" ht="14.4">
      <c r="T1833" s="25" t="s">
        <v>955</v>
      </c>
      <c r="U1833" s="25" t="s">
        <v>867</v>
      </c>
      <c r="V1833" s="25" t="s">
        <v>925</v>
      </c>
      <c r="W1833" s="25" t="str">
        <f t="shared" si="47"/>
        <v>Side ChannelsOutside Window MountLinked 60mm</v>
      </c>
      <c r="X1833" s="25">
        <v>10</v>
      </c>
      <c r="Y1833" s="25" t="s">
        <v>824</v>
      </c>
      <c r="Z1833" s="25" t="s">
        <v>824</v>
      </c>
      <c r="AA1833" s="25">
        <v>60</v>
      </c>
      <c r="AB1833" s="25" t="s">
        <v>824</v>
      </c>
      <c r="AC1833" s="25" t="s">
        <v>821</v>
      </c>
      <c r="AD1833" s="25" t="s">
        <v>824</v>
      </c>
      <c r="AE1833" s="25" t="s">
        <v>824</v>
      </c>
    </row>
    <row r="1834" spans="20:31" ht="14.4">
      <c r="T1834" s="25" t="s">
        <v>955</v>
      </c>
      <c r="U1834" s="25" t="s">
        <v>867</v>
      </c>
      <c r="V1834" s="25" t="s">
        <v>910</v>
      </c>
      <c r="W1834" s="25" t="str">
        <f t="shared" si="47"/>
        <v>Side ChannelsOutside Window MountStandard Spring</v>
      </c>
      <c r="X1834" s="25">
        <v>10</v>
      </c>
      <c r="Y1834" s="25" t="s">
        <v>824</v>
      </c>
      <c r="Z1834" s="25" t="s">
        <v>824</v>
      </c>
      <c r="AA1834" s="25">
        <v>60</v>
      </c>
      <c r="AB1834" s="25" t="s">
        <v>824</v>
      </c>
      <c r="AC1834" s="25" t="s">
        <v>821</v>
      </c>
      <c r="AD1834" s="25" t="s">
        <v>824</v>
      </c>
      <c r="AE1834" s="25" t="s">
        <v>824</v>
      </c>
    </row>
    <row r="1835" spans="20:31" ht="14.4">
      <c r="T1835" s="25" t="s">
        <v>955</v>
      </c>
      <c r="U1835" s="25" t="s">
        <v>867</v>
      </c>
      <c r="V1835" s="25" t="s">
        <v>920</v>
      </c>
      <c r="W1835" s="25" t="str">
        <f t="shared" si="47"/>
        <v>Side ChannelsOutside Window MountSmall Spring</v>
      </c>
      <c r="X1835" s="25">
        <v>10</v>
      </c>
      <c r="Y1835" s="25" t="s">
        <v>824</v>
      </c>
      <c r="Z1835" s="25" t="s">
        <v>824</v>
      </c>
      <c r="AA1835" s="25">
        <v>60</v>
      </c>
      <c r="AB1835" s="25" t="s">
        <v>824</v>
      </c>
      <c r="AC1835" s="25" t="s">
        <v>821</v>
      </c>
      <c r="AD1835" s="25" t="s">
        <v>824</v>
      </c>
      <c r="AE1835" s="25" t="s">
        <v>824</v>
      </c>
    </row>
    <row r="1836" spans="20:31" ht="14.4">
      <c r="T1836" s="25" t="s">
        <v>955</v>
      </c>
      <c r="U1836" s="25" t="s">
        <v>867</v>
      </c>
      <c r="V1836" s="25" t="s">
        <v>929</v>
      </c>
      <c r="W1836" s="25" t="str">
        <f t="shared" si="47"/>
        <v>Side ChannelsOutside Window MountUniline Spring (Old Style)</v>
      </c>
      <c r="X1836" s="25">
        <v>10</v>
      </c>
      <c r="Y1836" s="25" t="s">
        <v>824</v>
      </c>
      <c r="Z1836" s="25" t="s">
        <v>824</v>
      </c>
      <c r="AA1836" s="25">
        <v>60</v>
      </c>
      <c r="AB1836" s="25" t="s">
        <v>824</v>
      </c>
      <c r="AC1836" s="25" t="s">
        <v>821</v>
      </c>
      <c r="AD1836" s="25" t="s">
        <v>824</v>
      </c>
      <c r="AE1836" s="25" t="s">
        <v>824</v>
      </c>
    </row>
    <row r="1837" spans="20:31" ht="14.4">
      <c r="T1837" s="25" t="s">
        <v>955</v>
      </c>
      <c r="U1837" s="25" t="s">
        <v>867</v>
      </c>
      <c r="V1837" s="25" t="s">
        <v>935</v>
      </c>
      <c r="W1837" s="25" t="str">
        <f t="shared" si="47"/>
        <v>Side ChannelsOutside Window MountBecker Remote Motor</v>
      </c>
      <c r="X1837" s="25">
        <v>10</v>
      </c>
      <c r="Y1837" s="25" t="s">
        <v>824</v>
      </c>
      <c r="Z1837" s="25" t="s">
        <v>824</v>
      </c>
      <c r="AA1837" s="25">
        <v>60</v>
      </c>
      <c r="AB1837" s="25" t="s">
        <v>824</v>
      </c>
      <c r="AC1837" s="25" t="s">
        <v>821</v>
      </c>
      <c r="AD1837" s="25" t="s">
        <v>824</v>
      </c>
      <c r="AE1837" s="25" t="s">
        <v>824</v>
      </c>
    </row>
    <row r="1838" spans="20:31" ht="14.4">
      <c r="T1838" s="25" t="s">
        <v>955</v>
      </c>
      <c r="U1838" s="25" t="s">
        <v>867</v>
      </c>
      <c r="V1838" s="25" t="s">
        <v>939</v>
      </c>
      <c r="W1838" s="25" t="str">
        <f t="shared" si="47"/>
        <v>Side ChannelsOutside Window MountBecker CBUS Motor</v>
      </c>
      <c r="X1838" s="25">
        <v>10</v>
      </c>
      <c r="Y1838" s="25" t="s">
        <v>824</v>
      </c>
      <c r="Z1838" s="25" t="s">
        <v>824</v>
      </c>
      <c r="AA1838" s="25">
        <v>60</v>
      </c>
      <c r="AB1838" s="25" t="s">
        <v>824</v>
      </c>
      <c r="AC1838" s="25" t="s">
        <v>821</v>
      </c>
      <c r="AD1838" s="25" t="s">
        <v>824</v>
      </c>
      <c r="AE1838" s="25" t="s">
        <v>824</v>
      </c>
    </row>
    <row r="1839" spans="20:31" ht="14.4">
      <c r="T1839" s="25" t="s">
        <v>955</v>
      </c>
      <c r="U1839" s="25" t="s">
        <v>867</v>
      </c>
      <c r="V1839" s="25" t="s">
        <v>946</v>
      </c>
      <c r="W1839" s="25" t="str">
        <f t="shared" si="47"/>
        <v>Side ChannelsOutside Window MountBecker External Remote Motor</v>
      </c>
      <c r="X1839" s="25">
        <v>0</v>
      </c>
      <c r="Y1839" s="25" t="s">
        <v>824</v>
      </c>
      <c r="Z1839" s="25" t="s">
        <v>824</v>
      </c>
      <c r="AA1839" s="25">
        <v>60</v>
      </c>
      <c r="AB1839" s="25" t="s">
        <v>824</v>
      </c>
      <c r="AC1839" s="25" t="s">
        <v>821</v>
      </c>
      <c r="AD1839" s="25" t="s">
        <v>824</v>
      </c>
      <c r="AE1839" s="25" t="s">
        <v>824</v>
      </c>
    </row>
    <row r="1840" spans="20:31" ht="14.4">
      <c r="T1840" s="25" t="s">
        <v>955</v>
      </c>
      <c r="U1840" s="25" t="s">
        <v>867</v>
      </c>
      <c r="V1840" s="25" t="s">
        <v>951</v>
      </c>
      <c r="W1840" s="25" t="str">
        <f t="shared" si="47"/>
        <v>Side ChannelsOutside Window MountBecker External CBUS Motor</v>
      </c>
      <c r="X1840" s="25">
        <v>0</v>
      </c>
      <c r="Y1840" s="25" t="s">
        <v>824</v>
      </c>
      <c r="Z1840" s="25" t="s">
        <v>824</v>
      </c>
      <c r="AA1840" s="25">
        <v>60</v>
      </c>
      <c r="AB1840" s="25" t="s">
        <v>824</v>
      </c>
      <c r="AC1840" s="25" t="s">
        <v>821</v>
      </c>
      <c r="AD1840" s="25" t="s">
        <v>824</v>
      </c>
      <c r="AE1840" s="25" t="s">
        <v>824</v>
      </c>
    </row>
    <row r="1841" spans="20:31" ht="14.4">
      <c r="T1841" s="25" t="s">
        <v>955</v>
      </c>
      <c r="U1841" s="25" t="s">
        <v>867</v>
      </c>
      <c r="V1841" s="25" t="s">
        <v>838</v>
      </c>
      <c r="W1841" s="25" t="str">
        <f t="shared" si="47"/>
        <v>Side ChannelsOutside Window Mount1.1nm 12v Acmeda Motor</v>
      </c>
      <c r="X1841" s="25">
        <v>10</v>
      </c>
      <c r="Y1841" s="25" t="s">
        <v>824</v>
      </c>
      <c r="Z1841" s="25" t="s">
        <v>824</v>
      </c>
      <c r="AA1841" s="25">
        <v>60</v>
      </c>
      <c r="AB1841" s="25" t="s">
        <v>824</v>
      </c>
      <c r="AC1841" s="25" t="s">
        <v>821</v>
      </c>
      <c r="AD1841" s="25" t="s">
        <v>824</v>
      </c>
      <c r="AE1841" s="25" t="s">
        <v>824</v>
      </c>
    </row>
    <row r="1842" spans="20:31" ht="14.4">
      <c r="T1842" s="25" t="s">
        <v>955</v>
      </c>
      <c r="U1842" s="25" t="s">
        <v>867</v>
      </c>
      <c r="V1842" t="s">
        <v>882</v>
      </c>
      <c r="W1842" s="25" t="str">
        <f t="shared" si="47"/>
        <v>Side ChannelsOutside Window Mount2nm 12v Acmeda Motor</v>
      </c>
      <c r="X1842" s="25">
        <v>10</v>
      </c>
      <c r="Y1842" s="25" t="s">
        <v>824</v>
      </c>
      <c r="Z1842" s="25" t="s">
        <v>824</v>
      </c>
      <c r="AA1842" s="25">
        <v>60</v>
      </c>
      <c r="AB1842" s="25" t="s">
        <v>824</v>
      </c>
      <c r="AC1842" s="25" t="s">
        <v>821</v>
      </c>
      <c r="AD1842" s="25" t="s">
        <v>824</v>
      </c>
      <c r="AE1842" s="25" t="s">
        <v>824</v>
      </c>
    </row>
    <row r="1843" spans="20:31" ht="14.4">
      <c r="T1843" s="25" t="s">
        <v>955</v>
      </c>
      <c r="U1843" s="25" t="s">
        <v>867</v>
      </c>
      <c r="V1843" t="s">
        <v>896</v>
      </c>
      <c r="W1843" s="25" t="str">
        <f t="shared" si="47"/>
        <v>Side ChannelsOutside Window MountAcmeda 12v 6nm Motor</v>
      </c>
      <c r="X1843" s="25">
        <v>10</v>
      </c>
      <c r="Y1843" s="25" t="s">
        <v>824</v>
      </c>
      <c r="Z1843" s="25" t="s">
        <v>824</v>
      </c>
      <c r="AA1843" s="25">
        <v>60</v>
      </c>
      <c r="AB1843" s="25" t="s">
        <v>824</v>
      </c>
      <c r="AC1843" s="25" t="s">
        <v>821</v>
      </c>
      <c r="AD1843" s="25" t="s">
        <v>824</v>
      </c>
      <c r="AE1843" s="25" t="s">
        <v>824</v>
      </c>
    </row>
    <row r="1844" spans="20:31" ht="14.4">
      <c r="T1844" s="25" t="s">
        <v>955</v>
      </c>
      <c r="U1844" s="25" t="s">
        <v>867</v>
      </c>
      <c r="V1844" t="s">
        <v>855</v>
      </c>
      <c r="W1844" s="25" t="str">
        <f t="shared" si="47"/>
        <v>Side ChannelsOutside Window Mount0.7nm 12v Acmeda Motor</v>
      </c>
      <c r="X1844" s="25">
        <v>10</v>
      </c>
      <c r="Y1844" s="25" t="s">
        <v>824</v>
      </c>
      <c r="Z1844" s="25" t="s">
        <v>824</v>
      </c>
      <c r="AA1844" s="25">
        <v>60</v>
      </c>
      <c r="AB1844" s="25" t="s">
        <v>824</v>
      </c>
      <c r="AC1844" s="25" t="s">
        <v>821</v>
      </c>
      <c r="AD1844" s="25" t="s">
        <v>824</v>
      </c>
      <c r="AE1844" s="25" t="s">
        <v>824</v>
      </c>
    </row>
    <row r="1845" spans="20:31" ht="14.4">
      <c r="T1845" s="25" t="s">
        <v>955</v>
      </c>
      <c r="U1845" s="25" t="s">
        <v>867</v>
      </c>
      <c r="V1845" s="25" t="s">
        <v>849</v>
      </c>
      <c r="W1845" s="25" t="str">
        <f t="shared" si="47"/>
        <v>Side ChannelsOutside Window Mount1.1nm 12v Acmeda DCRF Motor with External Battery</v>
      </c>
      <c r="X1845" s="25">
        <v>10</v>
      </c>
      <c r="Y1845" s="25" t="s">
        <v>824</v>
      </c>
      <c r="Z1845" s="25" t="s">
        <v>824</v>
      </c>
      <c r="AA1845" s="25">
        <v>60</v>
      </c>
      <c r="AB1845" s="25" t="s">
        <v>824</v>
      </c>
      <c r="AC1845" s="25" t="s">
        <v>821</v>
      </c>
      <c r="AD1845" s="25" t="s">
        <v>824</v>
      </c>
      <c r="AE1845" s="25" t="s">
        <v>824</v>
      </c>
    </row>
    <row r="1846" spans="20:31" ht="14.4">
      <c r="T1846" s="25" t="s">
        <v>955</v>
      </c>
      <c r="U1846" s="25" t="s">
        <v>867</v>
      </c>
      <c r="V1846" s="25" t="s">
        <v>817</v>
      </c>
      <c r="W1846" s="25" t="str">
        <f t="shared" si="47"/>
        <v>Side ChannelsOutside Window Mount1.1nm 12v Acmeda DCRF Motor</v>
      </c>
      <c r="X1846" s="25">
        <v>10</v>
      </c>
      <c r="Y1846" s="25" t="s">
        <v>824</v>
      </c>
      <c r="Z1846" s="25" t="s">
        <v>824</v>
      </c>
      <c r="AA1846" s="25">
        <v>60</v>
      </c>
      <c r="AB1846" s="25" t="s">
        <v>824</v>
      </c>
      <c r="AC1846" s="25" t="s">
        <v>821</v>
      </c>
      <c r="AD1846" s="25" t="s">
        <v>824</v>
      </c>
      <c r="AE1846" s="25" t="s">
        <v>824</v>
      </c>
    </row>
    <row r="1847" spans="20:31" ht="14.4">
      <c r="T1847" s="25" t="s">
        <v>955</v>
      </c>
      <c r="U1847" s="25" t="s">
        <v>867</v>
      </c>
      <c r="V1847" s="25" t="s">
        <v>868</v>
      </c>
      <c r="W1847" s="25" t="str">
        <f t="shared" si="47"/>
        <v>Side ChannelsOutside Window Mount2nm 12v Acmeda DCRF Motor</v>
      </c>
      <c r="X1847" s="25">
        <v>10</v>
      </c>
      <c r="Y1847" s="25" t="s">
        <v>824</v>
      </c>
      <c r="Z1847" s="25" t="s">
        <v>824</v>
      </c>
      <c r="AA1847" s="25">
        <v>60</v>
      </c>
      <c r="AB1847" s="25" t="s">
        <v>824</v>
      </c>
      <c r="AC1847" s="25" t="s">
        <v>821</v>
      </c>
      <c r="AD1847" s="25" t="s">
        <v>824</v>
      </c>
      <c r="AE1847" s="25" t="s">
        <v>824</v>
      </c>
    </row>
    <row r="1848" spans="20:31" ht="14.4">
      <c r="T1848" s="25" t="s">
        <v>955</v>
      </c>
      <c r="U1848" s="25" t="s">
        <v>867</v>
      </c>
      <c r="V1848" t="s">
        <v>973</v>
      </c>
      <c r="W1848" s="25" t="str">
        <f t="shared" si="47"/>
        <v>Side ChannelsOutside Window MountSomfy Remote Sonesse Motor</v>
      </c>
      <c r="X1848" s="25">
        <v>10</v>
      </c>
      <c r="Y1848" s="25" t="s">
        <v>824</v>
      </c>
      <c r="Z1848" s="25" t="s">
        <v>824</v>
      </c>
      <c r="AA1848" s="25">
        <v>60</v>
      </c>
      <c r="AB1848" s="25" t="s">
        <v>824</v>
      </c>
      <c r="AC1848" s="25" t="s">
        <v>821</v>
      </c>
      <c r="AD1848" s="25" t="s">
        <v>824</v>
      </c>
      <c r="AE1848" s="25" t="s">
        <v>824</v>
      </c>
    </row>
    <row r="1849" spans="20:31" ht="14.4">
      <c r="T1849" s="25" t="s">
        <v>955</v>
      </c>
      <c r="U1849" s="25" t="s">
        <v>867</v>
      </c>
      <c r="V1849" t="s">
        <v>637</v>
      </c>
      <c r="W1849" s="25" t="str">
        <f t="shared" si="47"/>
        <v>Side ChannelsOutside Window MountSomfy 12v Remote Sonesse Motor</v>
      </c>
      <c r="X1849" s="25">
        <v>10</v>
      </c>
      <c r="Y1849" s="25" t="s">
        <v>824</v>
      </c>
      <c r="Z1849" s="25" t="s">
        <v>824</v>
      </c>
      <c r="AA1849" s="25">
        <v>60</v>
      </c>
      <c r="AB1849" s="25" t="s">
        <v>824</v>
      </c>
      <c r="AC1849" s="25" t="s">
        <v>821</v>
      </c>
      <c r="AD1849" s="25" t="s">
        <v>824</v>
      </c>
      <c r="AE1849" s="25" t="s">
        <v>824</v>
      </c>
    </row>
    <row r="1850" spans="20:31" ht="14.4">
      <c r="T1850" s="25" t="s">
        <v>955</v>
      </c>
      <c r="U1850" s="25" t="s">
        <v>867</v>
      </c>
      <c r="V1850" s="25" t="s">
        <v>974</v>
      </c>
      <c r="W1850" s="25" t="str">
        <f t="shared" si="47"/>
        <v>Side ChannelsOutside Window MountSomfy CBUS Motor</v>
      </c>
      <c r="X1850" s="25">
        <v>10</v>
      </c>
      <c r="Y1850" s="25" t="s">
        <v>824</v>
      </c>
      <c r="Z1850" s="25" t="s">
        <v>824</v>
      </c>
      <c r="AA1850" s="25">
        <v>60</v>
      </c>
      <c r="AB1850" s="25" t="s">
        <v>824</v>
      </c>
      <c r="AC1850" s="25" t="s">
        <v>821</v>
      </c>
      <c r="AD1850" s="25" t="s">
        <v>824</v>
      </c>
      <c r="AE1850" s="25" t="s">
        <v>824</v>
      </c>
    </row>
    <row r="1851" spans="20:31" ht="14.4">
      <c r="T1851" s="25" t="s">
        <v>955</v>
      </c>
      <c r="U1851" s="25" t="s">
        <v>867</v>
      </c>
      <c r="V1851" t="s">
        <v>986</v>
      </c>
      <c r="W1851" s="25" t="str">
        <f t="shared" si="47"/>
        <v>Side ChannelsOutside Window MountHD Somfy Remote Sonesse Motor</v>
      </c>
      <c r="X1851" s="25">
        <v>10</v>
      </c>
      <c r="Y1851" s="25" t="s">
        <v>824</v>
      </c>
      <c r="Z1851" s="25" t="s">
        <v>824</v>
      </c>
      <c r="AA1851" s="25">
        <v>60</v>
      </c>
      <c r="AB1851" s="25" t="s">
        <v>824</v>
      </c>
      <c r="AC1851" s="25" t="s">
        <v>821</v>
      </c>
      <c r="AD1851" s="25" t="s">
        <v>824</v>
      </c>
      <c r="AE1851" s="25" t="s">
        <v>824</v>
      </c>
    </row>
    <row r="1852" spans="20:31" ht="14.4">
      <c r="T1852" s="25" t="s">
        <v>955</v>
      </c>
      <c r="U1852" s="25" t="s">
        <v>867</v>
      </c>
      <c r="V1852" t="s">
        <v>989</v>
      </c>
      <c r="W1852" s="25" t="str">
        <f t="shared" si="47"/>
        <v>Side ChannelsOutside Window MountHD Somfy 12v Remote Sonesse Motor</v>
      </c>
      <c r="X1852" s="25">
        <v>10</v>
      </c>
      <c r="Y1852" s="25" t="s">
        <v>824</v>
      </c>
      <c r="Z1852" s="25" t="s">
        <v>824</v>
      </c>
      <c r="AA1852" s="25">
        <v>60</v>
      </c>
      <c r="AB1852" s="25" t="s">
        <v>824</v>
      </c>
      <c r="AC1852" s="25" t="s">
        <v>821</v>
      </c>
      <c r="AD1852" s="25" t="s">
        <v>824</v>
      </c>
      <c r="AE1852" s="25" t="s">
        <v>824</v>
      </c>
    </row>
    <row r="1853" spans="20:31" ht="14.4">
      <c r="T1853" s="25" t="s">
        <v>955</v>
      </c>
      <c r="U1853" s="25" t="s">
        <v>867</v>
      </c>
      <c r="V1853" s="25" t="s">
        <v>992</v>
      </c>
      <c r="W1853" s="25" t="str">
        <f t="shared" si="47"/>
        <v>Side ChannelsOutside Window MountHD Somfy CBUS Motor</v>
      </c>
      <c r="X1853" s="25">
        <v>10</v>
      </c>
      <c r="Y1853" s="25" t="s">
        <v>824</v>
      </c>
      <c r="Z1853" s="25" t="s">
        <v>824</v>
      </c>
      <c r="AA1853" s="25">
        <v>60</v>
      </c>
      <c r="AB1853" s="25" t="s">
        <v>824</v>
      </c>
      <c r="AC1853" s="25" t="s">
        <v>821</v>
      </c>
      <c r="AD1853" s="25" t="s">
        <v>824</v>
      </c>
      <c r="AE1853" s="25" t="s">
        <v>824</v>
      </c>
    </row>
    <row r="1854" spans="20:31" ht="14.4">
      <c r="T1854" s="25" t="s">
        <v>955</v>
      </c>
      <c r="U1854" s="25" t="s">
        <v>867</v>
      </c>
      <c r="V1854" s="25" t="s">
        <v>625</v>
      </c>
      <c r="W1854" s="25" t="str">
        <f t="shared" si="47"/>
        <v>Side ChannelsOutside Window MountAcmeda E6 Motor</v>
      </c>
      <c r="X1854" s="25">
        <v>10</v>
      </c>
      <c r="Y1854" s="25" t="s">
        <v>824</v>
      </c>
      <c r="Z1854" s="25" t="s">
        <v>824</v>
      </c>
      <c r="AA1854" s="25">
        <v>60</v>
      </c>
      <c r="AB1854" s="25" t="s">
        <v>824</v>
      </c>
      <c r="AC1854" s="25" t="s">
        <v>821</v>
      </c>
      <c r="AD1854" s="25" t="s">
        <v>824</v>
      </c>
      <c r="AE1854" s="25" t="s">
        <v>824</v>
      </c>
    </row>
    <row r="1855" spans="20:31" ht="14.4">
      <c r="T1855" s="25" t="s">
        <v>955</v>
      </c>
      <c r="U1855" s="25" t="s">
        <v>867</v>
      </c>
      <c r="V1855" s="25" t="s">
        <v>626</v>
      </c>
      <c r="W1855" s="25" t="str">
        <f t="shared" si="47"/>
        <v>Side ChannelsOutside Window MountAcmeda M6 Motor</v>
      </c>
      <c r="X1855" s="25">
        <v>10</v>
      </c>
      <c r="Y1855" s="25" t="s">
        <v>824</v>
      </c>
      <c r="Z1855" s="25" t="s">
        <v>824</v>
      </c>
      <c r="AA1855" s="25">
        <v>60</v>
      </c>
      <c r="AB1855" s="25" t="s">
        <v>824</v>
      </c>
      <c r="AC1855" s="25" t="s">
        <v>821</v>
      </c>
      <c r="AD1855" s="25" t="s">
        <v>824</v>
      </c>
      <c r="AE1855" s="25" t="s">
        <v>824</v>
      </c>
    </row>
    <row r="1856" spans="20:31" ht="14.4">
      <c r="T1856" s="25" t="s">
        <v>955</v>
      </c>
      <c r="U1856" s="25" t="s">
        <v>867</v>
      </c>
      <c r="V1856" s="25" t="s">
        <v>1002</v>
      </c>
      <c r="W1856" s="25" t="str">
        <f t="shared" si="47"/>
        <v>Side ChannelsOutside Window MountUniline Remote Motor</v>
      </c>
      <c r="X1856" s="25">
        <v>10</v>
      </c>
      <c r="Y1856" s="25" t="s">
        <v>824</v>
      </c>
      <c r="Z1856" s="25" t="s">
        <v>824</v>
      </c>
      <c r="AA1856" s="25">
        <v>60</v>
      </c>
      <c r="AB1856" s="25" t="s">
        <v>824</v>
      </c>
      <c r="AC1856" s="25" t="s">
        <v>821</v>
      </c>
      <c r="AD1856" s="25" t="s">
        <v>824</v>
      </c>
      <c r="AE1856" s="25" t="s">
        <v>824</v>
      </c>
    </row>
    <row r="1857" spans="20:31" ht="14.4">
      <c r="T1857" s="25" t="s">
        <v>955</v>
      </c>
      <c r="U1857" s="25" t="s">
        <v>867</v>
      </c>
      <c r="V1857" s="25" t="s">
        <v>1005</v>
      </c>
      <c r="W1857" s="25" t="str">
        <f t="shared" si="47"/>
        <v>Side ChannelsOutside Window MountUniline Cbus Motor</v>
      </c>
      <c r="X1857" s="25">
        <v>10</v>
      </c>
      <c r="Y1857" s="25" t="s">
        <v>824</v>
      </c>
      <c r="Z1857" s="25" t="s">
        <v>824</v>
      </c>
      <c r="AA1857" s="25">
        <v>60</v>
      </c>
      <c r="AB1857" s="25" t="s">
        <v>824</v>
      </c>
      <c r="AC1857" s="25" t="s">
        <v>821</v>
      </c>
      <c r="AD1857" s="25" t="s">
        <v>824</v>
      </c>
      <c r="AE1857" s="25" t="s">
        <v>824</v>
      </c>
    </row>
    <row r="1858" spans="20:31" ht="14.4">
      <c r="T1858" s="25" t="s">
        <v>955</v>
      </c>
      <c r="U1858" s="25" t="s">
        <v>867</v>
      </c>
      <c r="V1858" s="25" t="s">
        <v>981</v>
      </c>
      <c r="W1858" s="25" t="str">
        <f t="shared" si="47"/>
        <v>Side ChannelsOutside Window MountNice Remote Motor</v>
      </c>
      <c r="X1858" s="25">
        <v>10</v>
      </c>
      <c r="Y1858" s="25" t="s">
        <v>824</v>
      </c>
      <c r="Z1858" s="25" t="s">
        <v>824</v>
      </c>
      <c r="AA1858" s="25">
        <v>60</v>
      </c>
      <c r="AB1858" s="25" t="s">
        <v>824</v>
      </c>
      <c r="AC1858" s="25" t="s">
        <v>821</v>
      </c>
      <c r="AD1858" s="25" t="s">
        <v>824</v>
      </c>
      <c r="AE1858" s="25" t="s">
        <v>824</v>
      </c>
    </row>
    <row r="1859" spans="20:31" ht="14.4">
      <c r="T1859" s="25" t="s">
        <v>955</v>
      </c>
      <c r="U1859" s="25" t="s">
        <v>867</v>
      </c>
      <c r="V1859" s="25" t="s">
        <v>976</v>
      </c>
      <c r="W1859" s="25" t="str">
        <f t="shared" si="48" ref="W1859:W1922">CONCATENATE(T1859,U1859,V1859)</f>
        <v>Side ChannelsOutside Window MountNice CBus Motor</v>
      </c>
      <c r="X1859" s="25">
        <v>10</v>
      </c>
      <c r="Y1859" s="25" t="s">
        <v>824</v>
      </c>
      <c r="Z1859" s="25" t="s">
        <v>824</v>
      </c>
      <c r="AA1859" s="25">
        <v>60</v>
      </c>
      <c r="AB1859" s="25" t="s">
        <v>824</v>
      </c>
      <c r="AC1859" s="25" t="s">
        <v>821</v>
      </c>
      <c r="AD1859" s="25" t="s">
        <v>824</v>
      </c>
      <c r="AE1859" s="25" t="s">
        <v>824</v>
      </c>
    </row>
    <row r="1860" spans="20:31" ht="14.4">
      <c r="T1860" s="25" t="s">
        <v>955</v>
      </c>
      <c r="U1860" s="25" t="s">
        <v>867</v>
      </c>
      <c r="V1860" t="s">
        <v>1006</v>
      </c>
      <c r="W1860" s="25" t="str">
        <f t="shared" si="48"/>
        <v>Side ChannelsOutside Window MountSunboss Chain Winder 38mm Tube</v>
      </c>
      <c r="X1860" s="25">
        <v>10</v>
      </c>
      <c r="Y1860" s="25" t="s">
        <v>824</v>
      </c>
      <c r="Z1860" s="25" t="s">
        <v>824</v>
      </c>
      <c r="AA1860" s="25">
        <v>60</v>
      </c>
      <c r="AB1860" s="25" t="s">
        <v>824</v>
      </c>
      <c r="AC1860" s="25" t="s">
        <v>821</v>
      </c>
      <c r="AD1860" s="25" t="s">
        <v>824</v>
      </c>
      <c r="AE1860" s="25" t="s">
        <v>824</v>
      </c>
    </row>
    <row r="1861" spans="20:31" ht="14.4">
      <c r="T1861" s="25" t="s">
        <v>955</v>
      </c>
      <c r="U1861" s="25" t="s">
        <v>867</v>
      </c>
      <c r="V1861" t="s">
        <v>1017</v>
      </c>
      <c r="W1861" s="25" t="str">
        <f t="shared" si="48"/>
        <v>Side ChannelsOutside Window MountSunboss Chain Winder 43mm Tube</v>
      </c>
      <c r="X1861" s="25">
        <v>10</v>
      </c>
      <c r="Y1861" s="25" t="s">
        <v>824</v>
      </c>
      <c r="Z1861" s="25" t="s">
        <v>824</v>
      </c>
      <c r="AA1861" s="25">
        <v>60</v>
      </c>
      <c r="AB1861" s="25" t="s">
        <v>824</v>
      </c>
      <c r="AC1861" s="25" t="s">
        <v>821</v>
      </c>
      <c r="AD1861" s="25" t="s">
        <v>824</v>
      </c>
      <c r="AE1861" s="25" t="s">
        <v>824</v>
      </c>
    </row>
    <row r="1862" spans="20:31" ht="14.4">
      <c r="T1862" s="25" t="s">
        <v>955</v>
      </c>
      <c r="U1862" s="25" t="s">
        <v>867</v>
      </c>
      <c r="V1862" s="25" t="s">
        <v>1012</v>
      </c>
      <c r="W1862" s="25" t="str">
        <f t="shared" si="48"/>
        <v>Side ChannelsOutside Window MountTBS Remote Motor</v>
      </c>
      <c r="X1862" s="25">
        <v>10</v>
      </c>
      <c r="Y1862" s="25" t="s">
        <v>824</v>
      </c>
      <c r="Z1862" s="25" t="s">
        <v>824</v>
      </c>
      <c r="AA1862" s="25">
        <v>60</v>
      </c>
      <c r="AB1862" s="25" t="s">
        <v>824</v>
      </c>
      <c r="AC1862" s="25" t="s">
        <v>821</v>
      </c>
      <c r="AD1862" s="25" t="s">
        <v>824</v>
      </c>
      <c r="AE1862" s="25" t="s">
        <v>824</v>
      </c>
    </row>
    <row r="1863" spans="20:31" ht="14.4">
      <c r="T1863" s="25" t="s">
        <v>955</v>
      </c>
      <c r="U1863" s="25" t="s">
        <v>867</v>
      </c>
      <c r="V1863" t="s">
        <v>1009</v>
      </c>
      <c r="W1863" s="25" t="str">
        <f t="shared" si="48"/>
        <v>Side ChannelsOutside Window MountTBS Cbus Motor</v>
      </c>
      <c r="X1863" s="25">
        <v>10</v>
      </c>
      <c r="Y1863" s="25" t="s">
        <v>824</v>
      </c>
      <c r="Z1863" s="25" t="s">
        <v>824</v>
      </c>
      <c r="AA1863" s="25">
        <v>60</v>
      </c>
      <c r="AB1863" s="25" t="s">
        <v>824</v>
      </c>
      <c r="AC1863" s="25" t="s">
        <v>821</v>
      </c>
      <c r="AE1863" s="25" t="s">
        <v>824</v>
      </c>
    </row>
    <row r="1864" spans="20:31" ht="14.4">
      <c r="T1864" s="25" t="s">
        <v>955</v>
      </c>
      <c r="U1864" s="25" t="s">
        <v>867</v>
      </c>
      <c r="V1864" t="s">
        <v>927</v>
      </c>
      <c r="W1864" s="25" t="str">
        <f t="shared" si="48"/>
        <v>Side ChannelsOutside Window MountAcmeda External Motor</v>
      </c>
      <c r="X1864" s="25">
        <v>0</v>
      </c>
      <c r="Y1864" s="25" t="s">
        <v>824</v>
      </c>
      <c r="Z1864" s="25" t="s">
        <v>824</v>
      </c>
      <c r="AA1864" s="25">
        <v>60</v>
      </c>
      <c r="AB1864" s="25" t="s">
        <v>824</v>
      </c>
      <c r="AC1864" s="25" t="s">
        <v>821</v>
      </c>
      <c r="AE1864" s="25" t="s">
        <v>824</v>
      </c>
    </row>
    <row r="1865" spans="20:31" ht="14.4">
      <c r="T1865" s="25" t="s">
        <v>955</v>
      </c>
      <c r="U1865" s="25" t="s">
        <v>867</v>
      </c>
      <c r="V1865" t="s">
        <v>918</v>
      </c>
      <c r="W1865" s="25" t="str">
        <f t="shared" si="48"/>
        <v>Side ChannelsOutside Window MountAcmeda External 12v Motor</v>
      </c>
      <c r="X1865" s="25">
        <v>0</v>
      </c>
      <c r="Y1865" s="25" t="s">
        <v>824</v>
      </c>
      <c r="Z1865" s="25" t="s">
        <v>824</v>
      </c>
      <c r="AA1865" s="25">
        <v>60</v>
      </c>
      <c r="AB1865" s="25" t="s">
        <v>824</v>
      </c>
      <c r="AC1865" s="25" t="s">
        <v>821</v>
      </c>
      <c r="AD1865" s="25" t="s">
        <v>824</v>
      </c>
      <c r="AE1865" s="25" t="s">
        <v>824</v>
      </c>
    </row>
    <row r="1866" spans="20:31" ht="14.4">
      <c r="T1866" s="25" t="s">
        <v>955</v>
      </c>
      <c r="U1866" s="25" t="s">
        <v>867</v>
      </c>
      <c r="V1866" t="s">
        <v>979</v>
      </c>
      <c r="W1866" s="25" t="str">
        <f t="shared" si="48"/>
        <v>Side ChannelsOutside Window MountSomfy External CBUS Motor</v>
      </c>
      <c r="X1866" s="25">
        <v>0</v>
      </c>
      <c r="Y1866" s="25" t="s">
        <v>824</v>
      </c>
      <c r="Z1866" s="25" t="s">
        <v>824</v>
      </c>
      <c r="AA1866" s="25">
        <v>60</v>
      </c>
      <c r="AB1866" s="25" t="s">
        <v>824</v>
      </c>
      <c r="AC1866" s="25" t="s">
        <v>821</v>
      </c>
      <c r="AD1866" s="25" t="s">
        <v>824</v>
      </c>
      <c r="AE1866" s="25" t="s">
        <v>824</v>
      </c>
    </row>
    <row r="1867" spans="20:31" ht="14.4">
      <c r="T1867" s="25" t="s">
        <v>955</v>
      </c>
      <c r="U1867" s="25" t="s">
        <v>867</v>
      </c>
      <c r="V1867" t="s">
        <v>983</v>
      </c>
      <c r="W1867" s="25" t="str">
        <f t="shared" si="48"/>
        <v>Side ChannelsOutside Window MountSomfy External Remote Motor</v>
      </c>
      <c r="X1867" s="25">
        <v>0</v>
      </c>
      <c r="Y1867" s="25" t="s">
        <v>824</v>
      </c>
      <c r="Z1867" s="25" t="s">
        <v>824</v>
      </c>
      <c r="AA1867" s="25">
        <v>60</v>
      </c>
      <c r="AB1867" s="25" t="s">
        <v>824</v>
      </c>
      <c r="AC1867" s="25" t="s">
        <v>821</v>
      </c>
      <c r="AD1867" s="25" t="s">
        <v>824</v>
      </c>
      <c r="AE1867" s="25" t="s">
        <v>824</v>
      </c>
    </row>
    <row r="1868" spans="20:31" ht="14.4">
      <c r="T1868" s="25" t="s">
        <v>955</v>
      </c>
      <c r="U1868" s="25" t="s">
        <v>867</v>
      </c>
      <c r="V1868" t="s">
        <v>995</v>
      </c>
      <c r="W1868" s="25" t="str">
        <f t="shared" si="48"/>
        <v>Side ChannelsOutside Window MountHD Somfy External CBUS Motor</v>
      </c>
      <c r="X1868" s="25">
        <v>0</v>
      </c>
      <c r="Y1868" s="25" t="s">
        <v>824</v>
      </c>
      <c r="Z1868" s="25" t="s">
        <v>824</v>
      </c>
      <c r="AA1868" s="25">
        <v>60</v>
      </c>
      <c r="AB1868" s="25" t="s">
        <v>824</v>
      </c>
      <c r="AC1868" s="25" t="s">
        <v>821</v>
      </c>
      <c r="AD1868" s="25" t="s">
        <v>824</v>
      </c>
      <c r="AE1868" s="25" t="s">
        <v>824</v>
      </c>
    </row>
    <row r="1869" spans="20:31" ht="14.4">
      <c r="T1869" s="25" t="s">
        <v>955</v>
      </c>
      <c r="U1869" s="25" t="s">
        <v>867</v>
      </c>
      <c r="V1869" t="s">
        <v>999</v>
      </c>
      <c r="W1869" s="25" t="str">
        <f t="shared" si="48"/>
        <v>Side ChannelsOutside Window MountHD Somfy External Remote Motor</v>
      </c>
      <c r="X1869" s="25">
        <v>0</v>
      </c>
      <c r="Y1869" s="25" t="s">
        <v>824</v>
      </c>
      <c r="Z1869" s="25" t="s">
        <v>824</v>
      </c>
      <c r="AA1869" s="25">
        <v>60</v>
      </c>
      <c r="AB1869" s="25" t="s">
        <v>824</v>
      </c>
      <c r="AC1869" s="25" t="s">
        <v>821</v>
      </c>
      <c r="AD1869" s="25" t="s">
        <v>824</v>
      </c>
      <c r="AE1869" s="25" t="s">
        <v>824</v>
      </c>
    </row>
    <row r="1870" spans="20:31" ht="14.4">
      <c r="T1870" s="25" t="s">
        <v>955</v>
      </c>
      <c r="U1870" s="25" t="s">
        <v>837</v>
      </c>
      <c r="V1870" s="25" t="s">
        <v>823</v>
      </c>
      <c r="W1870" s="25" t="str">
        <f t="shared" si="48"/>
        <v>Side ChannelsRevealChain Winder</v>
      </c>
      <c r="X1870" s="25">
        <v>10</v>
      </c>
      <c r="Y1870" s="25" t="s">
        <v>824</v>
      </c>
      <c r="Z1870" s="25" t="s">
        <v>824</v>
      </c>
      <c r="AA1870" s="25">
        <v>60</v>
      </c>
      <c r="AB1870" s="25" t="s">
        <v>824</v>
      </c>
      <c r="AC1870" s="25" t="s">
        <v>821</v>
      </c>
      <c r="AD1870" s="25" t="s">
        <v>824</v>
      </c>
      <c r="AE1870" s="25" t="s">
        <v>824</v>
      </c>
    </row>
    <row r="1871" spans="20:31" ht="14.4">
      <c r="T1871" s="25" t="s">
        <v>955</v>
      </c>
      <c r="U1871" s="25" t="s">
        <v>837</v>
      </c>
      <c r="V1871" s="25" t="s">
        <v>841</v>
      </c>
      <c r="W1871" s="25" t="str">
        <f t="shared" si="48"/>
        <v>Side ChannelsRevealHD Chain Winder</v>
      </c>
      <c r="X1871" s="25">
        <v>10</v>
      </c>
      <c r="Y1871" s="25" t="s">
        <v>824</v>
      </c>
      <c r="Z1871" s="25" t="s">
        <v>824</v>
      </c>
      <c r="AA1871" s="25">
        <v>60</v>
      </c>
      <c r="AB1871" s="25" t="s">
        <v>824</v>
      </c>
      <c r="AC1871" s="25" t="s">
        <v>821</v>
      </c>
      <c r="AD1871" s="25" t="s">
        <v>824</v>
      </c>
      <c r="AE1871" s="25" t="s">
        <v>824</v>
      </c>
    </row>
    <row r="1872" spans="20:31" ht="14.4">
      <c r="T1872" s="25" t="s">
        <v>955</v>
      </c>
      <c r="U1872" s="25" t="s">
        <v>837</v>
      </c>
      <c r="V1872" s="25" t="s">
        <v>858</v>
      </c>
      <c r="W1872" s="25" t="str">
        <f t="shared" si="48"/>
        <v>Side ChannelsRevealChain Winder 60mm</v>
      </c>
      <c r="X1872" s="25">
        <v>10</v>
      </c>
      <c r="Y1872" s="25" t="s">
        <v>824</v>
      </c>
      <c r="Z1872" s="25" t="s">
        <v>824</v>
      </c>
      <c r="AA1872" s="25">
        <v>60</v>
      </c>
      <c r="AB1872" s="25" t="s">
        <v>824</v>
      </c>
      <c r="AC1872" s="25" t="s">
        <v>821</v>
      </c>
      <c r="AD1872" s="25" t="s">
        <v>824</v>
      </c>
      <c r="AE1872" s="25" t="s">
        <v>824</v>
      </c>
    </row>
    <row r="1873" spans="20:31" ht="14.4">
      <c r="T1873" s="25" t="s">
        <v>955</v>
      </c>
      <c r="U1873" s="25" t="s">
        <v>837</v>
      </c>
      <c r="V1873" s="25" t="s">
        <v>865</v>
      </c>
      <c r="W1873" s="25" t="str">
        <f t="shared" si="48"/>
        <v>Side ChannelsRevealChain Winder Fixed Guide</v>
      </c>
      <c r="X1873" s="25">
        <v>10</v>
      </c>
      <c r="Y1873" s="25" t="s">
        <v>824</v>
      </c>
      <c r="Z1873" s="25" t="s">
        <v>824</v>
      </c>
      <c r="AA1873" s="25">
        <v>60</v>
      </c>
      <c r="AB1873" s="25" t="s">
        <v>824</v>
      </c>
      <c r="AC1873" s="25" t="s">
        <v>821</v>
      </c>
      <c r="AD1873" s="25" t="s">
        <v>824</v>
      </c>
      <c r="AE1873" s="25" t="s">
        <v>824</v>
      </c>
    </row>
    <row r="1874" spans="20:31" ht="14.4">
      <c r="T1874" s="25" t="s">
        <v>955</v>
      </c>
      <c r="U1874" s="25" t="s">
        <v>837</v>
      </c>
      <c r="V1874" s="25" t="s">
        <v>181</v>
      </c>
      <c r="W1874" s="25" t="str">
        <f t="shared" si="48"/>
        <v>Side ChannelsRevealLinked</v>
      </c>
      <c r="X1874" s="25">
        <v>10</v>
      </c>
      <c r="Y1874" s="25" t="s">
        <v>824</v>
      </c>
      <c r="Z1874" s="25" t="s">
        <v>824</v>
      </c>
      <c r="AA1874" s="25">
        <v>60</v>
      </c>
      <c r="AB1874" s="25" t="s">
        <v>824</v>
      </c>
      <c r="AC1874" s="25" t="s">
        <v>821</v>
      </c>
      <c r="AD1874" s="25" t="s">
        <v>824</v>
      </c>
      <c r="AE1874" s="25" t="s">
        <v>824</v>
      </c>
    </row>
    <row r="1875" spans="20:31" ht="14.4">
      <c r="T1875" s="25" t="s">
        <v>955</v>
      </c>
      <c r="U1875" s="25" t="s">
        <v>837</v>
      </c>
      <c r="V1875" s="25" t="s">
        <v>898</v>
      </c>
      <c r="W1875" s="25" t="str">
        <f t="shared" si="48"/>
        <v>Side ChannelsRevealLinked - HD</v>
      </c>
      <c r="X1875" s="25">
        <v>10</v>
      </c>
      <c r="Y1875" s="25" t="s">
        <v>824</v>
      </c>
      <c r="Z1875" s="25" t="s">
        <v>824</v>
      </c>
      <c r="AA1875" s="25">
        <v>60</v>
      </c>
      <c r="AB1875" s="25" t="s">
        <v>824</v>
      </c>
      <c r="AC1875" s="25" t="s">
        <v>821</v>
      </c>
      <c r="AD1875" s="25" t="s">
        <v>824</v>
      </c>
      <c r="AE1875" s="25" t="s">
        <v>824</v>
      </c>
    </row>
    <row r="1876" spans="20:31" ht="14.4">
      <c r="T1876" s="25" t="s">
        <v>955</v>
      </c>
      <c r="U1876" s="25" t="s">
        <v>837</v>
      </c>
      <c r="V1876" s="25" t="s">
        <v>925</v>
      </c>
      <c r="W1876" s="25" t="str">
        <f t="shared" si="48"/>
        <v>Side ChannelsRevealLinked 60mm</v>
      </c>
      <c r="X1876" s="25">
        <v>10</v>
      </c>
      <c r="Y1876" s="25" t="s">
        <v>824</v>
      </c>
      <c r="Z1876" s="25" t="s">
        <v>824</v>
      </c>
      <c r="AA1876" s="25">
        <v>60</v>
      </c>
      <c r="AB1876" s="25" t="s">
        <v>824</v>
      </c>
      <c r="AC1876" s="25" t="s">
        <v>821</v>
      </c>
      <c r="AD1876" s="25" t="s">
        <v>824</v>
      </c>
      <c r="AE1876" s="25" t="s">
        <v>824</v>
      </c>
    </row>
    <row r="1877" spans="20:31" ht="14.4">
      <c r="T1877" s="25" t="s">
        <v>955</v>
      </c>
      <c r="U1877" s="25" t="s">
        <v>837</v>
      </c>
      <c r="V1877" s="25" t="s">
        <v>910</v>
      </c>
      <c r="W1877" s="25" t="str">
        <f t="shared" si="48"/>
        <v>Side ChannelsRevealStandard Spring</v>
      </c>
      <c r="X1877" s="25">
        <v>10</v>
      </c>
      <c r="Y1877" s="25" t="s">
        <v>824</v>
      </c>
      <c r="Z1877" s="25" t="s">
        <v>824</v>
      </c>
      <c r="AA1877" s="25">
        <v>60</v>
      </c>
      <c r="AB1877" s="25" t="s">
        <v>824</v>
      </c>
      <c r="AC1877" s="25" t="s">
        <v>821</v>
      </c>
      <c r="AD1877" s="25" t="s">
        <v>824</v>
      </c>
      <c r="AE1877" s="25" t="s">
        <v>824</v>
      </c>
    </row>
    <row r="1878" spans="20:31" ht="14.4">
      <c r="T1878" s="25" t="s">
        <v>955</v>
      </c>
      <c r="U1878" s="25" t="s">
        <v>837</v>
      </c>
      <c r="V1878" s="25" t="s">
        <v>920</v>
      </c>
      <c r="W1878" s="25" t="str">
        <f t="shared" si="48"/>
        <v>Side ChannelsRevealSmall Spring</v>
      </c>
      <c r="X1878" s="25">
        <v>10</v>
      </c>
      <c r="Y1878" s="25" t="s">
        <v>824</v>
      </c>
      <c r="Z1878" s="25" t="s">
        <v>824</v>
      </c>
      <c r="AA1878" s="25">
        <v>60</v>
      </c>
      <c r="AB1878" s="25" t="s">
        <v>824</v>
      </c>
      <c r="AC1878" s="25" t="s">
        <v>821</v>
      </c>
      <c r="AD1878" s="25" t="s">
        <v>824</v>
      </c>
      <c r="AE1878" s="25" t="s">
        <v>824</v>
      </c>
    </row>
    <row r="1879" spans="20:31" ht="14.4">
      <c r="T1879" s="25" t="s">
        <v>955</v>
      </c>
      <c r="U1879" s="25" t="s">
        <v>837</v>
      </c>
      <c r="V1879" s="25" t="s">
        <v>929</v>
      </c>
      <c r="W1879" s="25" t="str">
        <f t="shared" si="48"/>
        <v>Side ChannelsRevealUniline Spring (Old Style)</v>
      </c>
      <c r="X1879" s="25">
        <v>10</v>
      </c>
      <c r="Y1879" s="25" t="s">
        <v>824</v>
      </c>
      <c r="Z1879" s="25" t="s">
        <v>824</v>
      </c>
      <c r="AA1879" s="25">
        <v>60</v>
      </c>
      <c r="AB1879" s="25" t="s">
        <v>824</v>
      </c>
      <c r="AC1879" s="25" t="s">
        <v>821</v>
      </c>
      <c r="AD1879" s="25" t="s">
        <v>824</v>
      </c>
      <c r="AE1879" s="25" t="s">
        <v>824</v>
      </c>
    </row>
    <row r="1880" spans="20:31" ht="14.4">
      <c r="T1880" s="25" t="s">
        <v>955</v>
      </c>
      <c r="U1880" s="25" t="s">
        <v>837</v>
      </c>
      <c r="V1880" s="25" t="s">
        <v>935</v>
      </c>
      <c r="W1880" s="25" t="str">
        <f t="shared" si="48"/>
        <v>Side ChannelsRevealBecker Remote Motor</v>
      </c>
      <c r="X1880" s="25">
        <v>10</v>
      </c>
      <c r="Y1880" s="25" t="s">
        <v>824</v>
      </c>
      <c r="Z1880" s="25" t="s">
        <v>824</v>
      </c>
      <c r="AA1880" s="25">
        <v>60</v>
      </c>
      <c r="AB1880" s="25" t="s">
        <v>824</v>
      </c>
      <c r="AC1880" s="25" t="s">
        <v>821</v>
      </c>
      <c r="AD1880" s="25" t="s">
        <v>824</v>
      </c>
      <c r="AE1880" s="25" t="s">
        <v>824</v>
      </c>
    </row>
    <row r="1881" spans="20:31" ht="14.4">
      <c r="T1881" s="25" t="s">
        <v>955</v>
      </c>
      <c r="U1881" s="25" t="s">
        <v>837</v>
      </c>
      <c r="V1881" s="25" t="s">
        <v>939</v>
      </c>
      <c r="W1881" s="25" t="str">
        <f t="shared" si="48"/>
        <v>Side ChannelsRevealBecker CBUS Motor</v>
      </c>
      <c r="X1881" s="25">
        <v>10</v>
      </c>
      <c r="Y1881" s="25" t="s">
        <v>824</v>
      </c>
      <c r="Z1881" s="25" t="s">
        <v>824</v>
      </c>
      <c r="AA1881" s="25">
        <v>60</v>
      </c>
      <c r="AB1881" s="25" t="s">
        <v>824</v>
      </c>
      <c r="AC1881" s="25" t="s">
        <v>821</v>
      </c>
      <c r="AD1881" s="25" t="s">
        <v>824</v>
      </c>
      <c r="AE1881" s="25" t="s">
        <v>824</v>
      </c>
    </row>
    <row r="1882" spans="20:31" ht="14.4">
      <c r="T1882" s="25" t="s">
        <v>955</v>
      </c>
      <c r="U1882" s="25" t="s">
        <v>837</v>
      </c>
      <c r="V1882" s="25" t="s">
        <v>946</v>
      </c>
      <c r="W1882" s="25" t="str">
        <f t="shared" si="48"/>
        <v>Side ChannelsRevealBecker External Remote Motor</v>
      </c>
      <c r="X1882" s="25">
        <v>0</v>
      </c>
      <c r="Y1882" s="25" t="s">
        <v>824</v>
      </c>
      <c r="Z1882" s="25" t="s">
        <v>824</v>
      </c>
      <c r="AA1882" s="25">
        <v>60</v>
      </c>
      <c r="AB1882" s="25" t="s">
        <v>824</v>
      </c>
      <c r="AC1882" s="25" t="s">
        <v>821</v>
      </c>
      <c r="AD1882" s="25" t="s">
        <v>824</v>
      </c>
      <c r="AE1882" s="25" t="s">
        <v>824</v>
      </c>
    </row>
    <row r="1883" spans="20:31" ht="14.4">
      <c r="T1883" s="25" t="s">
        <v>955</v>
      </c>
      <c r="U1883" s="25" t="s">
        <v>837</v>
      </c>
      <c r="V1883" s="25" t="s">
        <v>951</v>
      </c>
      <c r="W1883" s="25" t="str">
        <f t="shared" si="48"/>
        <v>Side ChannelsRevealBecker External CBUS Motor</v>
      </c>
      <c r="X1883" s="25">
        <v>0</v>
      </c>
      <c r="Y1883" s="25" t="s">
        <v>824</v>
      </c>
      <c r="Z1883" s="25" t="s">
        <v>824</v>
      </c>
      <c r="AA1883" s="25">
        <v>60</v>
      </c>
      <c r="AB1883" s="25" t="s">
        <v>824</v>
      </c>
      <c r="AC1883" s="25" t="s">
        <v>821</v>
      </c>
      <c r="AD1883" s="25" t="s">
        <v>824</v>
      </c>
      <c r="AE1883" s="25" t="s">
        <v>824</v>
      </c>
    </row>
    <row r="1884" spans="20:31" ht="14.4">
      <c r="T1884" s="25" t="s">
        <v>955</v>
      </c>
      <c r="U1884" s="25" t="s">
        <v>837</v>
      </c>
      <c r="V1884" s="25" t="s">
        <v>838</v>
      </c>
      <c r="W1884" s="25" t="str">
        <f t="shared" si="48"/>
        <v>Side ChannelsReveal1.1nm 12v Acmeda Motor</v>
      </c>
      <c r="X1884" s="25">
        <v>10</v>
      </c>
      <c r="Y1884" s="25" t="s">
        <v>824</v>
      </c>
      <c r="Z1884" s="25" t="s">
        <v>824</v>
      </c>
      <c r="AA1884" s="25">
        <v>60</v>
      </c>
      <c r="AB1884" s="25" t="s">
        <v>824</v>
      </c>
      <c r="AC1884" s="25" t="s">
        <v>821</v>
      </c>
      <c r="AD1884" s="25" t="s">
        <v>824</v>
      </c>
      <c r="AE1884" s="25" t="s">
        <v>824</v>
      </c>
    </row>
    <row r="1885" spans="20:31" ht="14.4">
      <c r="T1885" s="25" t="s">
        <v>955</v>
      </c>
      <c r="U1885" s="25" t="s">
        <v>837</v>
      </c>
      <c r="V1885" t="s">
        <v>882</v>
      </c>
      <c r="W1885" s="25" t="str">
        <f t="shared" si="48"/>
        <v>Side ChannelsReveal2nm 12v Acmeda Motor</v>
      </c>
      <c r="X1885" s="25">
        <v>10</v>
      </c>
      <c r="Y1885" s="25" t="s">
        <v>824</v>
      </c>
      <c r="Z1885" s="25" t="s">
        <v>824</v>
      </c>
      <c r="AA1885" s="25">
        <v>60</v>
      </c>
      <c r="AB1885" s="25" t="s">
        <v>824</v>
      </c>
      <c r="AC1885" s="25" t="s">
        <v>821</v>
      </c>
      <c r="AD1885" s="25" t="s">
        <v>824</v>
      </c>
      <c r="AE1885" s="25" t="s">
        <v>824</v>
      </c>
    </row>
    <row r="1886" spans="20:31" ht="14.4">
      <c r="T1886" s="25" t="s">
        <v>955</v>
      </c>
      <c r="U1886" s="25" t="s">
        <v>837</v>
      </c>
      <c r="V1886" t="s">
        <v>896</v>
      </c>
      <c r="W1886" s="25" t="str">
        <f t="shared" si="48"/>
        <v>Side ChannelsRevealAcmeda 12v 6nm Motor</v>
      </c>
      <c r="X1886" s="25">
        <v>10</v>
      </c>
      <c r="Y1886" s="25" t="s">
        <v>824</v>
      </c>
      <c r="Z1886" s="25" t="s">
        <v>824</v>
      </c>
      <c r="AA1886" s="25">
        <v>60</v>
      </c>
      <c r="AB1886" s="25" t="s">
        <v>824</v>
      </c>
      <c r="AC1886" s="25" t="s">
        <v>821</v>
      </c>
      <c r="AD1886" s="25" t="s">
        <v>824</v>
      </c>
      <c r="AE1886" s="25" t="s">
        <v>824</v>
      </c>
    </row>
    <row r="1887" spans="20:31" ht="14.4">
      <c r="T1887" s="25" t="s">
        <v>955</v>
      </c>
      <c r="U1887" s="25" t="s">
        <v>837</v>
      </c>
      <c r="V1887" t="s">
        <v>855</v>
      </c>
      <c r="W1887" s="25" t="str">
        <f t="shared" si="48"/>
        <v>Side ChannelsReveal0.7nm 12v Acmeda Motor</v>
      </c>
      <c r="X1887" s="25">
        <v>10</v>
      </c>
      <c r="Y1887" s="25" t="s">
        <v>824</v>
      </c>
      <c r="Z1887" s="25" t="s">
        <v>824</v>
      </c>
      <c r="AA1887" s="25">
        <v>60</v>
      </c>
      <c r="AB1887" s="25" t="s">
        <v>824</v>
      </c>
      <c r="AC1887" s="25" t="s">
        <v>821</v>
      </c>
      <c r="AD1887" s="25" t="s">
        <v>824</v>
      </c>
      <c r="AE1887" s="25" t="s">
        <v>824</v>
      </c>
    </row>
    <row r="1888" spans="20:31" ht="14.4">
      <c r="T1888" s="25" t="s">
        <v>955</v>
      </c>
      <c r="U1888" s="25" t="s">
        <v>837</v>
      </c>
      <c r="V1888" s="25" t="s">
        <v>849</v>
      </c>
      <c r="W1888" s="25" t="str">
        <f t="shared" si="48"/>
        <v>Side ChannelsReveal1.1nm 12v Acmeda DCRF Motor with External Battery</v>
      </c>
      <c r="X1888" s="25">
        <v>10</v>
      </c>
      <c r="Y1888" s="25" t="s">
        <v>824</v>
      </c>
      <c r="Z1888" s="25" t="s">
        <v>824</v>
      </c>
      <c r="AA1888" s="25">
        <v>60</v>
      </c>
      <c r="AB1888" s="25" t="s">
        <v>824</v>
      </c>
      <c r="AC1888" s="25" t="s">
        <v>821</v>
      </c>
      <c r="AD1888" s="25" t="s">
        <v>824</v>
      </c>
      <c r="AE1888" s="25" t="s">
        <v>824</v>
      </c>
    </row>
    <row r="1889" spans="20:31" ht="14.4">
      <c r="T1889" s="25" t="s">
        <v>955</v>
      </c>
      <c r="U1889" s="25" t="s">
        <v>837</v>
      </c>
      <c r="V1889" s="25" t="s">
        <v>817</v>
      </c>
      <c r="W1889" s="25" t="str">
        <f t="shared" si="48"/>
        <v>Side ChannelsReveal1.1nm 12v Acmeda DCRF Motor</v>
      </c>
      <c r="X1889" s="25">
        <v>10</v>
      </c>
      <c r="Y1889" s="25" t="s">
        <v>824</v>
      </c>
      <c r="Z1889" s="25" t="s">
        <v>824</v>
      </c>
      <c r="AA1889" s="25">
        <v>60</v>
      </c>
      <c r="AB1889" s="25" t="s">
        <v>824</v>
      </c>
      <c r="AC1889" s="25" t="s">
        <v>821</v>
      </c>
      <c r="AD1889" s="25" t="s">
        <v>824</v>
      </c>
      <c r="AE1889" s="25" t="s">
        <v>824</v>
      </c>
    </row>
    <row r="1890" spans="20:31" ht="14.4">
      <c r="T1890" s="25" t="s">
        <v>955</v>
      </c>
      <c r="U1890" s="25" t="s">
        <v>837</v>
      </c>
      <c r="V1890" s="25" t="s">
        <v>868</v>
      </c>
      <c r="W1890" s="25" t="str">
        <f t="shared" si="48"/>
        <v>Side ChannelsReveal2nm 12v Acmeda DCRF Motor</v>
      </c>
      <c r="X1890" s="25">
        <v>10</v>
      </c>
      <c r="Y1890" s="25" t="s">
        <v>824</v>
      </c>
      <c r="Z1890" s="25" t="s">
        <v>824</v>
      </c>
      <c r="AA1890" s="25">
        <v>60</v>
      </c>
      <c r="AB1890" s="25" t="s">
        <v>824</v>
      </c>
      <c r="AC1890" s="25" t="s">
        <v>821</v>
      </c>
      <c r="AD1890" s="25" t="s">
        <v>824</v>
      </c>
      <c r="AE1890" s="25" t="s">
        <v>824</v>
      </c>
    </row>
    <row r="1891" spans="20:31" ht="14.4">
      <c r="T1891" s="25" t="s">
        <v>955</v>
      </c>
      <c r="U1891" s="25" t="s">
        <v>837</v>
      </c>
      <c r="V1891" t="s">
        <v>973</v>
      </c>
      <c r="W1891" s="25" t="str">
        <f t="shared" si="48"/>
        <v>Side ChannelsRevealSomfy Remote Sonesse Motor</v>
      </c>
      <c r="X1891" s="25">
        <v>10</v>
      </c>
      <c r="Y1891" s="25" t="s">
        <v>824</v>
      </c>
      <c r="Z1891" s="25" t="s">
        <v>824</v>
      </c>
      <c r="AA1891" s="25">
        <v>60</v>
      </c>
      <c r="AB1891" s="25" t="s">
        <v>824</v>
      </c>
      <c r="AC1891" s="25" t="s">
        <v>821</v>
      </c>
      <c r="AD1891" s="25" t="s">
        <v>824</v>
      </c>
      <c r="AE1891" s="25" t="s">
        <v>824</v>
      </c>
    </row>
    <row r="1892" spans="20:31" ht="14.4">
      <c r="T1892" s="25" t="s">
        <v>955</v>
      </c>
      <c r="U1892" s="25" t="s">
        <v>837</v>
      </c>
      <c r="V1892" t="s">
        <v>637</v>
      </c>
      <c r="W1892" s="25" t="str">
        <f t="shared" si="48"/>
        <v>Side ChannelsRevealSomfy 12v Remote Sonesse Motor</v>
      </c>
      <c r="X1892" s="25">
        <v>10</v>
      </c>
      <c r="Y1892" s="25" t="s">
        <v>824</v>
      </c>
      <c r="Z1892" s="25" t="s">
        <v>824</v>
      </c>
      <c r="AA1892" s="25">
        <v>60</v>
      </c>
      <c r="AB1892" s="25" t="s">
        <v>824</v>
      </c>
      <c r="AC1892" s="25" t="s">
        <v>821</v>
      </c>
      <c r="AD1892" s="25" t="s">
        <v>824</v>
      </c>
      <c r="AE1892" s="25" t="s">
        <v>824</v>
      </c>
    </row>
    <row r="1893" spans="20:31" ht="14.4">
      <c r="T1893" s="25" t="s">
        <v>955</v>
      </c>
      <c r="U1893" s="25" t="s">
        <v>837</v>
      </c>
      <c r="V1893" s="25" t="s">
        <v>974</v>
      </c>
      <c r="W1893" s="25" t="str">
        <f t="shared" si="48"/>
        <v>Side ChannelsRevealSomfy CBUS Motor</v>
      </c>
      <c r="X1893" s="25">
        <v>10</v>
      </c>
      <c r="Y1893" s="25" t="s">
        <v>824</v>
      </c>
      <c r="Z1893" s="25" t="s">
        <v>824</v>
      </c>
      <c r="AA1893" s="25">
        <v>60</v>
      </c>
      <c r="AB1893" s="25" t="s">
        <v>824</v>
      </c>
      <c r="AC1893" s="25" t="s">
        <v>821</v>
      </c>
      <c r="AD1893" s="25" t="s">
        <v>824</v>
      </c>
      <c r="AE1893" s="25" t="s">
        <v>824</v>
      </c>
    </row>
    <row r="1894" spans="20:31" ht="14.4">
      <c r="T1894" s="25" t="s">
        <v>955</v>
      </c>
      <c r="U1894" s="25" t="s">
        <v>837</v>
      </c>
      <c r="V1894" t="s">
        <v>986</v>
      </c>
      <c r="W1894" s="25" t="str">
        <f t="shared" si="48"/>
        <v>Side ChannelsRevealHD Somfy Remote Sonesse Motor</v>
      </c>
      <c r="X1894" s="25">
        <v>10</v>
      </c>
      <c r="Y1894" s="25" t="s">
        <v>824</v>
      </c>
      <c r="Z1894" s="25" t="s">
        <v>824</v>
      </c>
      <c r="AA1894" s="25">
        <v>60</v>
      </c>
      <c r="AB1894" s="25" t="s">
        <v>824</v>
      </c>
      <c r="AC1894" s="25" t="s">
        <v>821</v>
      </c>
      <c r="AD1894" s="25" t="s">
        <v>824</v>
      </c>
      <c r="AE1894" s="25" t="s">
        <v>824</v>
      </c>
    </row>
    <row r="1895" spans="20:31" ht="14.4">
      <c r="T1895" s="25" t="s">
        <v>955</v>
      </c>
      <c r="U1895" s="25" t="s">
        <v>837</v>
      </c>
      <c r="V1895" t="s">
        <v>989</v>
      </c>
      <c r="W1895" s="25" t="str">
        <f t="shared" si="48"/>
        <v>Side ChannelsRevealHD Somfy 12v Remote Sonesse Motor</v>
      </c>
      <c r="X1895" s="25">
        <v>10</v>
      </c>
      <c r="Y1895" s="25" t="s">
        <v>824</v>
      </c>
      <c r="Z1895" s="25" t="s">
        <v>824</v>
      </c>
      <c r="AA1895" s="25">
        <v>60</v>
      </c>
      <c r="AB1895" s="25" t="s">
        <v>824</v>
      </c>
      <c r="AC1895" s="25" t="s">
        <v>821</v>
      </c>
      <c r="AD1895" s="25" t="s">
        <v>824</v>
      </c>
      <c r="AE1895" s="25" t="s">
        <v>824</v>
      </c>
    </row>
    <row r="1896" spans="20:31" ht="14.4">
      <c r="T1896" s="25" t="s">
        <v>955</v>
      </c>
      <c r="U1896" s="25" t="s">
        <v>837</v>
      </c>
      <c r="V1896" s="25" t="s">
        <v>992</v>
      </c>
      <c r="W1896" s="25" t="str">
        <f t="shared" si="48"/>
        <v>Side ChannelsRevealHD Somfy CBUS Motor</v>
      </c>
      <c r="X1896" s="25">
        <v>10</v>
      </c>
      <c r="Y1896" s="25" t="s">
        <v>824</v>
      </c>
      <c r="Z1896" s="25" t="s">
        <v>824</v>
      </c>
      <c r="AA1896" s="25">
        <v>60</v>
      </c>
      <c r="AB1896" s="25" t="s">
        <v>824</v>
      </c>
      <c r="AC1896" s="25" t="s">
        <v>821</v>
      </c>
      <c r="AD1896" s="25" t="s">
        <v>824</v>
      </c>
      <c r="AE1896" s="25" t="s">
        <v>824</v>
      </c>
    </row>
    <row r="1897" spans="20:31" ht="14.4">
      <c r="T1897" s="25" t="s">
        <v>955</v>
      </c>
      <c r="U1897" s="25" t="s">
        <v>837</v>
      </c>
      <c r="V1897" s="25" t="s">
        <v>625</v>
      </c>
      <c r="W1897" s="25" t="str">
        <f t="shared" si="48"/>
        <v>Side ChannelsRevealAcmeda E6 Motor</v>
      </c>
      <c r="X1897" s="25">
        <v>10</v>
      </c>
      <c r="Y1897" s="25" t="s">
        <v>824</v>
      </c>
      <c r="Z1897" s="25" t="s">
        <v>824</v>
      </c>
      <c r="AA1897" s="25">
        <v>60</v>
      </c>
      <c r="AB1897" s="25" t="s">
        <v>824</v>
      </c>
      <c r="AC1897" s="25" t="s">
        <v>821</v>
      </c>
      <c r="AD1897" s="25" t="s">
        <v>824</v>
      </c>
      <c r="AE1897" s="25" t="s">
        <v>824</v>
      </c>
    </row>
    <row r="1898" spans="20:31" ht="14.4">
      <c r="T1898" s="25" t="s">
        <v>955</v>
      </c>
      <c r="U1898" s="25" t="s">
        <v>837</v>
      </c>
      <c r="V1898" s="25" t="s">
        <v>626</v>
      </c>
      <c r="W1898" s="25" t="str">
        <f t="shared" si="48"/>
        <v>Side ChannelsRevealAcmeda M6 Motor</v>
      </c>
      <c r="X1898" s="25">
        <v>10</v>
      </c>
      <c r="Y1898" s="25" t="s">
        <v>824</v>
      </c>
      <c r="Z1898" s="25" t="s">
        <v>824</v>
      </c>
      <c r="AA1898" s="25">
        <v>60</v>
      </c>
      <c r="AB1898" s="25" t="s">
        <v>824</v>
      </c>
      <c r="AC1898" s="25" t="s">
        <v>821</v>
      </c>
      <c r="AD1898" s="25" t="s">
        <v>824</v>
      </c>
      <c r="AE1898" s="25" t="s">
        <v>824</v>
      </c>
    </row>
    <row r="1899" spans="20:31" ht="14.4">
      <c r="T1899" s="25" t="s">
        <v>955</v>
      </c>
      <c r="U1899" s="25" t="s">
        <v>837</v>
      </c>
      <c r="V1899" s="25" t="s">
        <v>1002</v>
      </c>
      <c r="W1899" s="25" t="str">
        <f t="shared" si="48"/>
        <v>Side ChannelsRevealUniline Remote Motor</v>
      </c>
      <c r="X1899" s="25">
        <v>10</v>
      </c>
      <c r="Y1899" s="25" t="s">
        <v>824</v>
      </c>
      <c r="Z1899" s="25" t="s">
        <v>824</v>
      </c>
      <c r="AA1899" s="25">
        <v>60</v>
      </c>
      <c r="AB1899" s="25" t="s">
        <v>824</v>
      </c>
      <c r="AC1899" s="25" t="s">
        <v>821</v>
      </c>
      <c r="AD1899" s="25" t="s">
        <v>824</v>
      </c>
      <c r="AE1899" s="25" t="s">
        <v>824</v>
      </c>
    </row>
    <row r="1900" spans="20:31" ht="14.4">
      <c r="T1900" s="25" t="s">
        <v>955</v>
      </c>
      <c r="U1900" s="25" t="s">
        <v>837</v>
      </c>
      <c r="V1900" s="25" t="s">
        <v>1005</v>
      </c>
      <c r="W1900" s="25" t="str">
        <f t="shared" si="48"/>
        <v>Side ChannelsRevealUniline Cbus Motor</v>
      </c>
      <c r="X1900" s="25">
        <v>10</v>
      </c>
      <c r="Y1900" s="25" t="s">
        <v>824</v>
      </c>
      <c r="Z1900" s="25" t="s">
        <v>824</v>
      </c>
      <c r="AA1900" s="25">
        <v>60</v>
      </c>
      <c r="AB1900" s="25" t="s">
        <v>824</v>
      </c>
      <c r="AC1900" s="25" t="s">
        <v>821</v>
      </c>
      <c r="AD1900" s="25" t="s">
        <v>824</v>
      </c>
      <c r="AE1900" s="25" t="s">
        <v>824</v>
      </c>
    </row>
    <row r="1901" spans="20:31" ht="14.4">
      <c r="T1901" s="25" t="s">
        <v>955</v>
      </c>
      <c r="U1901" s="25" t="s">
        <v>837</v>
      </c>
      <c r="V1901" s="25" t="s">
        <v>981</v>
      </c>
      <c r="W1901" s="25" t="str">
        <f t="shared" si="48"/>
        <v>Side ChannelsRevealNice Remote Motor</v>
      </c>
      <c r="X1901" s="25">
        <v>10</v>
      </c>
      <c r="Y1901" s="25" t="s">
        <v>824</v>
      </c>
      <c r="Z1901" s="25" t="s">
        <v>824</v>
      </c>
      <c r="AA1901" s="25">
        <v>60</v>
      </c>
      <c r="AB1901" s="25" t="s">
        <v>824</v>
      </c>
      <c r="AC1901" s="25" t="s">
        <v>821</v>
      </c>
      <c r="AD1901" s="25" t="s">
        <v>824</v>
      </c>
      <c r="AE1901" s="25" t="s">
        <v>824</v>
      </c>
    </row>
    <row r="1902" spans="20:31" ht="14.4">
      <c r="T1902" s="25" t="s">
        <v>955</v>
      </c>
      <c r="U1902" s="25" t="s">
        <v>837</v>
      </c>
      <c r="V1902" s="25" t="s">
        <v>976</v>
      </c>
      <c r="W1902" s="25" t="str">
        <f t="shared" si="48"/>
        <v>Side ChannelsRevealNice CBus Motor</v>
      </c>
      <c r="X1902" s="25">
        <v>10</v>
      </c>
      <c r="Y1902" s="25" t="s">
        <v>824</v>
      </c>
      <c r="Z1902" s="25" t="s">
        <v>824</v>
      </c>
      <c r="AA1902" s="25">
        <v>60</v>
      </c>
      <c r="AB1902" s="25" t="s">
        <v>824</v>
      </c>
      <c r="AC1902" s="25" t="s">
        <v>821</v>
      </c>
      <c r="AD1902" s="25" t="s">
        <v>824</v>
      </c>
      <c r="AE1902" s="25" t="s">
        <v>824</v>
      </c>
    </row>
    <row r="1903" spans="20:31" ht="14.4">
      <c r="T1903" s="25" t="s">
        <v>955</v>
      </c>
      <c r="U1903" s="25" t="s">
        <v>837</v>
      </c>
      <c r="V1903" t="s">
        <v>1006</v>
      </c>
      <c r="W1903" s="25" t="str">
        <f t="shared" si="48"/>
        <v>Side ChannelsRevealSunboss Chain Winder 38mm Tube</v>
      </c>
      <c r="X1903" s="25">
        <v>10</v>
      </c>
      <c r="Y1903" s="25" t="s">
        <v>824</v>
      </c>
      <c r="Z1903" s="25" t="s">
        <v>824</v>
      </c>
      <c r="AA1903" s="25">
        <v>60</v>
      </c>
      <c r="AB1903" s="25" t="s">
        <v>824</v>
      </c>
      <c r="AC1903" s="25" t="s">
        <v>821</v>
      </c>
      <c r="AD1903" s="25" t="s">
        <v>824</v>
      </c>
      <c r="AE1903" s="25" t="s">
        <v>824</v>
      </c>
    </row>
    <row r="1904" spans="20:31" ht="14.4">
      <c r="T1904" s="25" t="s">
        <v>955</v>
      </c>
      <c r="U1904" s="25" t="s">
        <v>837</v>
      </c>
      <c r="V1904" t="s">
        <v>1017</v>
      </c>
      <c r="W1904" s="25" t="str">
        <f t="shared" si="48"/>
        <v>Side ChannelsRevealSunboss Chain Winder 43mm Tube</v>
      </c>
      <c r="X1904" s="25">
        <v>10</v>
      </c>
      <c r="Y1904" s="25" t="s">
        <v>824</v>
      </c>
      <c r="Z1904" s="25" t="s">
        <v>824</v>
      </c>
      <c r="AA1904" s="25">
        <v>60</v>
      </c>
      <c r="AB1904" s="25" t="s">
        <v>824</v>
      </c>
      <c r="AC1904" s="25" t="s">
        <v>821</v>
      </c>
      <c r="AD1904" s="25" t="s">
        <v>824</v>
      </c>
      <c r="AE1904" s="25" t="s">
        <v>824</v>
      </c>
    </row>
    <row r="1905" spans="20:31" ht="14.4">
      <c r="T1905" s="25" t="s">
        <v>955</v>
      </c>
      <c r="U1905" s="25" t="s">
        <v>837</v>
      </c>
      <c r="V1905" s="25" t="s">
        <v>1012</v>
      </c>
      <c r="W1905" s="25" t="str">
        <f t="shared" si="48"/>
        <v>Side ChannelsRevealTBS Remote Motor</v>
      </c>
      <c r="X1905" s="25">
        <v>10</v>
      </c>
      <c r="Y1905" s="25" t="s">
        <v>824</v>
      </c>
      <c r="Z1905" s="25" t="s">
        <v>824</v>
      </c>
      <c r="AA1905" s="25">
        <v>60</v>
      </c>
      <c r="AB1905" s="25" t="s">
        <v>824</v>
      </c>
      <c r="AC1905" s="25" t="s">
        <v>821</v>
      </c>
      <c r="AD1905" s="25" t="s">
        <v>824</v>
      </c>
      <c r="AE1905" s="25" t="s">
        <v>824</v>
      </c>
    </row>
    <row r="1906" spans="20:31" ht="14.4">
      <c r="T1906" s="25" t="s">
        <v>955</v>
      </c>
      <c r="U1906" s="25" t="s">
        <v>837</v>
      </c>
      <c r="V1906" t="s">
        <v>1009</v>
      </c>
      <c r="W1906" s="25" t="str">
        <f t="shared" si="48"/>
        <v>Side ChannelsRevealTBS Cbus Motor</v>
      </c>
      <c r="X1906" s="25">
        <v>10</v>
      </c>
      <c r="Y1906" s="25" t="s">
        <v>824</v>
      </c>
      <c r="Z1906" s="25" t="s">
        <v>824</v>
      </c>
      <c r="AA1906" s="25">
        <v>60</v>
      </c>
      <c r="AB1906" s="25" t="s">
        <v>824</v>
      </c>
      <c r="AC1906" s="25" t="s">
        <v>821</v>
      </c>
      <c r="AD1906" s="25" t="s">
        <v>824</v>
      </c>
      <c r="AE1906" s="25" t="s">
        <v>824</v>
      </c>
    </row>
    <row r="1907" spans="20:31" ht="14.4">
      <c r="T1907" s="25" t="s">
        <v>955</v>
      </c>
      <c r="U1907" s="25" t="s">
        <v>837</v>
      </c>
      <c r="V1907" t="s">
        <v>927</v>
      </c>
      <c r="W1907" s="25" t="str">
        <f t="shared" si="48"/>
        <v>Side ChannelsRevealAcmeda External Motor</v>
      </c>
      <c r="X1907" s="25">
        <v>0</v>
      </c>
      <c r="Y1907" s="25" t="s">
        <v>824</v>
      </c>
      <c r="Z1907" s="25" t="s">
        <v>824</v>
      </c>
      <c r="AA1907" s="25">
        <v>60</v>
      </c>
      <c r="AB1907" s="25" t="s">
        <v>824</v>
      </c>
      <c r="AC1907" s="25" t="s">
        <v>821</v>
      </c>
      <c r="AD1907" s="25" t="s">
        <v>824</v>
      </c>
      <c r="AE1907" s="25" t="s">
        <v>824</v>
      </c>
    </row>
    <row r="1908" spans="20:31" ht="14.4">
      <c r="T1908" s="25" t="s">
        <v>955</v>
      </c>
      <c r="U1908" s="25" t="s">
        <v>837</v>
      </c>
      <c r="V1908" t="s">
        <v>918</v>
      </c>
      <c r="W1908" s="25" t="str">
        <f t="shared" si="48"/>
        <v>Side ChannelsRevealAcmeda External 12v Motor</v>
      </c>
      <c r="X1908" s="25">
        <v>0</v>
      </c>
      <c r="Y1908" s="25" t="s">
        <v>824</v>
      </c>
      <c r="Z1908" s="25" t="s">
        <v>824</v>
      </c>
      <c r="AA1908" s="25">
        <v>60</v>
      </c>
      <c r="AB1908" s="25" t="s">
        <v>824</v>
      </c>
      <c r="AC1908" s="25" t="s">
        <v>821</v>
      </c>
      <c r="AD1908" s="25" t="s">
        <v>824</v>
      </c>
      <c r="AE1908" s="25" t="s">
        <v>824</v>
      </c>
    </row>
    <row r="1909" spans="20:31" ht="14.4">
      <c r="T1909" s="25" t="s">
        <v>955</v>
      </c>
      <c r="U1909" s="25" t="s">
        <v>837</v>
      </c>
      <c r="V1909" t="s">
        <v>979</v>
      </c>
      <c r="W1909" s="25" t="str">
        <f t="shared" si="48"/>
        <v>Side ChannelsRevealSomfy External CBUS Motor</v>
      </c>
      <c r="X1909" s="25">
        <v>0</v>
      </c>
      <c r="Y1909" s="25" t="s">
        <v>824</v>
      </c>
      <c r="Z1909" s="25" t="s">
        <v>824</v>
      </c>
      <c r="AA1909" s="25">
        <v>60</v>
      </c>
      <c r="AB1909" s="25" t="s">
        <v>824</v>
      </c>
      <c r="AC1909" s="25" t="s">
        <v>821</v>
      </c>
      <c r="AD1909" s="25" t="s">
        <v>824</v>
      </c>
      <c r="AE1909" s="25" t="s">
        <v>824</v>
      </c>
    </row>
    <row r="1910" spans="20:31" ht="14.4">
      <c r="T1910" s="25" t="s">
        <v>955</v>
      </c>
      <c r="U1910" s="25" t="s">
        <v>837</v>
      </c>
      <c r="V1910" t="s">
        <v>983</v>
      </c>
      <c r="W1910" s="25" t="str">
        <f t="shared" si="48"/>
        <v>Side ChannelsRevealSomfy External Remote Motor</v>
      </c>
      <c r="X1910" s="25">
        <v>0</v>
      </c>
      <c r="Y1910" s="25" t="s">
        <v>824</v>
      </c>
      <c r="Z1910" s="25" t="s">
        <v>824</v>
      </c>
      <c r="AA1910" s="25">
        <v>60</v>
      </c>
      <c r="AB1910" s="25" t="s">
        <v>824</v>
      </c>
      <c r="AC1910" s="25" t="s">
        <v>821</v>
      </c>
      <c r="AD1910" s="25" t="s">
        <v>824</v>
      </c>
      <c r="AE1910" s="25" t="s">
        <v>824</v>
      </c>
    </row>
    <row r="1911" spans="20:31" ht="14.4">
      <c r="T1911" s="25" t="s">
        <v>955</v>
      </c>
      <c r="U1911" s="25" t="s">
        <v>837</v>
      </c>
      <c r="V1911" t="s">
        <v>995</v>
      </c>
      <c r="W1911" s="25" t="str">
        <f t="shared" si="48"/>
        <v>Side ChannelsRevealHD Somfy External CBUS Motor</v>
      </c>
      <c r="X1911" s="25">
        <v>0</v>
      </c>
      <c r="Y1911" s="25" t="s">
        <v>824</v>
      </c>
      <c r="Z1911" s="25" t="s">
        <v>824</v>
      </c>
      <c r="AA1911" s="25">
        <v>60</v>
      </c>
      <c r="AB1911" s="25" t="s">
        <v>824</v>
      </c>
      <c r="AC1911" s="25" t="s">
        <v>821</v>
      </c>
      <c r="AD1911" s="25" t="s">
        <v>824</v>
      </c>
      <c r="AE1911" s="25" t="s">
        <v>824</v>
      </c>
    </row>
    <row r="1912" spans="20:31" ht="14.4">
      <c r="T1912" s="25" t="s">
        <v>955</v>
      </c>
      <c r="U1912" s="25" t="s">
        <v>837</v>
      </c>
      <c r="V1912" t="s">
        <v>999</v>
      </c>
      <c r="W1912" s="25" t="str">
        <f t="shared" si="48"/>
        <v>Side ChannelsRevealHD Somfy External Remote Motor</v>
      </c>
      <c r="X1912" s="25">
        <v>0</v>
      </c>
      <c r="Y1912" s="25" t="s">
        <v>824</v>
      </c>
      <c r="Z1912" s="25" t="s">
        <v>824</v>
      </c>
      <c r="AA1912" s="25">
        <v>60</v>
      </c>
      <c r="AB1912" s="25" t="s">
        <v>824</v>
      </c>
      <c r="AC1912" s="25" t="s">
        <v>821</v>
      </c>
      <c r="AD1912" s="25" t="s">
        <v>824</v>
      </c>
      <c r="AE1912" s="25" t="s">
        <v>824</v>
      </c>
    </row>
    <row r="1913" spans="20:31" ht="14.4">
      <c r="T1913" s="25" t="s">
        <v>922</v>
      </c>
      <c r="U1913" s="25" t="s">
        <v>816</v>
      </c>
      <c r="V1913" s="25" t="s">
        <v>823</v>
      </c>
      <c r="W1913" s="25" t="str">
        <f t="shared" si="48"/>
        <v>Square CassetteFaceChain Winder</v>
      </c>
      <c r="X1913" s="25">
        <v>10</v>
      </c>
      <c r="Y1913" s="25">
        <v>14</v>
      </c>
      <c r="Z1913" s="25">
        <v>29</v>
      </c>
      <c r="AA1913" s="25" t="s">
        <v>824</v>
      </c>
      <c r="AB1913" s="25" t="s">
        <v>818</v>
      </c>
      <c r="AC1913" s="25" t="s">
        <v>821</v>
      </c>
      <c r="AD1913" s="25" t="s">
        <v>821</v>
      </c>
      <c r="AE1913" s="25" t="s">
        <v>818</v>
      </c>
    </row>
    <row r="1914" spans="20:31" ht="14.4">
      <c r="T1914" s="25" t="s">
        <v>922</v>
      </c>
      <c r="U1914" s="25" t="s">
        <v>816</v>
      </c>
      <c r="V1914" s="25" t="s">
        <v>841</v>
      </c>
      <c r="W1914" s="25" t="str">
        <f t="shared" si="48"/>
        <v>Square CassetteFaceHD Chain Winder</v>
      </c>
      <c r="X1914" s="25">
        <v>10</v>
      </c>
      <c r="Y1914" s="25">
        <v>14</v>
      </c>
      <c r="Z1914" s="25">
        <v>29</v>
      </c>
      <c r="AA1914" s="25" t="s">
        <v>824</v>
      </c>
      <c r="AB1914" s="25" t="s">
        <v>818</v>
      </c>
      <c r="AC1914" s="25" t="s">
        <v>821</v>
      </c>
      <c r="AD1914" s="25" t="s">
        <v>821</v>
      </c>
      <c r="AE1914" s="25" t="s">
        <v>818</v>
      </c>
    </row>
    <row r="1915" spans="20:31" ht="14.4">
      <c r="T1915" s="25" t="s">
        <v>922</v>
      </c>
      <c r="U1915" s="25" t="s">
        <v>816</v>
      </c>
      <c r="V1915" s="25" t="s">
        <v>858</v>
      </c>
      <c r="W1915" s="25" t="str">
        <f t="shared" si="48"/>
        <v>Square CassetteFaceChain Winder 60mm</v>
      </c>
      <c r="X1915" s="25">
        <v>10</v>
      </c>
      <c r="Y1915" s="25">
        <v>14</v>
      </c>
      <c r="Z1915" s="25">
        <v>29</v>
      </c>
      <c r="AA1915" s="25" t="s">
        <v>824</v>
      </c>
      <c r="AB1915" s="25" t="s">
        <v>821</v>
      </c>
      <c r="AC1915" s="25" t="s">
        <v>821</v>
      </c>
      <c r="AD1915" s="25" t="s">
        <v>821</v>
      </c>
      <c r="AE1915" s="25" t="s">
        <v>818</v>
      </c>
    </row>
    <row r="1916" spans="20:31" ht="14.4">
      <c r="T1916" s="25" t="s">
        <v>922</v>
      </c>
      <c r="U1916" s="25" t="s">
        <v>816</v>
      </c>
      <c r="V1916" s="25" t="s">
        <v>865</v>
      </c>
      <c r="W1916" s="25" t="str">
        <f t="shared" si="48"/>
        <v>Square CassetteFaceChain Winder Fixed Guide</v>
      </c>
      <c r="X1916" s="25">
        <v>10</v>
      </c>
      <c r="Y1916" s="25">
        <v>14</v>
      </c>
      <c r="Z1916" s="25">
        <v>29</v>
      </c>
      <c r="AA1916" s="25" t="s">
        <v>824</v>
      </c>
      <c r="AB1916" s="25" t="s">
        <v>821</v>
      </c>
      <c r="AC1916" s="25" t="s">
        <v>821</v>
      </c>
      <c r="AD1916" s="25" t="s">
        <v>821</v>
      </c>
      <c r="AE1916" s="25" t="s">
        <v>818</v>
      </c>
    </row>
    <row r="1917" spans="20:31" ht="14.4">
      <c r="T1917" s="25" t="s">
        <v>922</v>
      </c>
      <c r="U1917" s="25" t="s">
        <v>816</v>
      </c>
      <c r="V1917" s="25" t="s">
        <v>181</v>
      </c>
      <c r="W1917" s="25" t="str">
        <f t="shared" si="48"/>
        <v>Square CassetteFaceLinked</v>
      </c>
      <c r="X1917" s="25">
        <v>10</v>
      </c>
      <c r="Y1917" s="25">
        <v>14</v>
      </c>
      <c r="Z1917" s="25">
        <v>14</v>
      </c>
      <c r="AA1917" s="25" t="s">
        <v>824</v>
      </c>
      <c r="AB1917" s="25" t="s">
        <v>821</v>
      </c>
      <c r="AC1917" s="25" t="s">
        <v>821</v>
      </c>
      <c r="AD1917" s="25" t="s">
        <v>821</v>
      </c>
      <c r="AE1917" s="25" t="s">
        <v>818</v>
      </c>
    </row>
    <row r="1918" spans="20:31" ht="14.4">
      <c r="T1918" s="25" t="s">
        <v>922</v>
      </c>
      <c r="U1918" s="25" t="s">
        <v>816</v>
      </c>
      <c r="V1918" s="25" t="s">
        <v>898</v>
      </c>
      <c r="W1918" s="25" t="str">
        <f t="shared" si="48"/>
        <v>Square CassetteFaceLinked - HD</v>
      </c>
      <c r="X1918" s="25">
        <v>10</v>
      </c>
      <c r="Y1918" s="25">
        <v>14</v>
      </c>
      <c r="Z1918" s="25">
        <v>14</v>
      </c>
      <c r="AA1918" s="25" t="s">
        <v>824</v>
      </c>
      <c r="AB1918" s="25" t="s">
        <v>821</v>
      </c>
      <c r="AC1918" s="25" t="s">
        <v>821</v>
      </c>
      <c r="AD1918" s="25" t="s">
        <v>821</v>
      </c>
      <c r="AE1918" s="25" t="s">
        <v>818</v>
      </c>
    </row>
    <row r="1919" spans="20:31" ht="14.4">
      <c r="T1919" s="25" t="s">
        <v>922</v>
      </c>
      <c r="U1919" s="25" t="s">
        <v>816</v>
      </c>
      <c r="V1919" s="25" t="s">
        <v>910</v>
      </c>
      <c r="W1919" s="25" t="str">
        <f t="shared" si="48"/>
        <v>Square CassetteFaceStandard Spring</v>
      </c>
      <c r="X1919" s="25">
        <v>10</v>
      </c>
      <c r="Y1919" s="25">
        <v>14</v>
      </c>
      <c r="Z1919" s="25">
        <v>14</v>
      </c>
      <c r="AA1919" s="25" t="s">
        <v>824</v>
      </c>
      <c r="AB1919" s="25" t="s">
        <v>821</v>
      </c>
      <c r="AC1919" s="25" t="s">
        <v>821</v>
      </c>
      <c r="AD1919" s="25" t="s">
        <v>821</v>
      </c>
      <c r="AE1919" s="25" t="s">
        <v>818</v>
      </c>
    </row>
    <row r="1920" spans="20:31" ht="14.4">
      <c r="T1920" s="25" t="s">
        <v>922</v>
      </c>
      <c r="U1920" s="25" t="s">
        <v>816</v>
      </c>
      <c r="V1920" s="25" t="s">
        <v>920</v>
      </c>
      <c r="W1920" s="25" t="str">
        <f t="shared" si="48"/>
        <v>Square CassetteFaceSmall Spring</v>
      </c>
      <c r="X1920" s="25">
        <v>10</v>
      </c>
      <c r="Y1920" s="25">
        <v>14</v>
      </c>
      <c r="Z1920" s="25">
        <v>14</v>
      </c>
      <c r="AA1920" s="25" t="s">
        <v>824</v>
      </c>
      <c r="AB1920" s="25" t="s">
        <v>821</v>
      </c>
      <c r="AC1920" s="25" t="s">
        <v>821</v>
      </c>
      <c r="AD1920" s="25" t="s">
        <v>821</v>
      </c>
      <c r="AE1920" s="25" t="s">
        <v>818</v>
      </c>
    </row>
    <row r="1921" spans="20:31" ht="14.4">
      <c r="T1921" s="25" t="s">
        <v>922</v>
      </c>
      <c r="U1921" s="25" t="s">
        <v>816</v>
      </c>
      <c r="V1921" s="25" t="s">
        <v>929</v>
      </c>
      <c r="W1921" s="25" t="str">
        <f t="shared" si="48"/>
        <v>Square CassetteFaceUniline Spring (Old Style)</v>
      </c>
      <c r="X1921" s="25">
        <v>10</v>
      </c>
      <c r="Y1921" s="25">
        <v>14</v>
      </c>
      <c r="Z1921" s="25">
        <v>14</v>
      </c>
      <c r="AA1921" s="25" t="s">
        <v>824</v>
      </c>
      <c r="AB1921" s="25" t="s">
        <v>821</v>
      </c>
      <c r="AC1921" s="25" t="s">
        <v>821</v>
      </c>
      <c r="AD1921" s="25" t="s">
        <v>821</v>
      </c>
      <c r="AE1921" s="25" t="s">
        <v>818</v>
      </c>
    </row>
    <row r="1922" spans="20:31" ht="14.4">
      <c r="T1922" s="25" t="s">
        <v>922</v>
      </c>
      <c r="U1922" s="25" t="s">
        <v>816</v>
      </c>
      <c r="V1922" s="25" t="s">
        <v>935</v>
      </c>
      <c r="W1922" s="25" t="str">
        <f t="shared" si="48"/>
        <v>Square CassetteFaceBecker Remote Motor</v>
      </c>
      <c r="X1922" s="25">
        <v>10</v>
      </c>
      <c r="Y1922" s="25">
        <v>14</v>
      </c>
      <c r="Z1922" s="25">
        <v>14</v>
      </c>
      <c r="AA1922" s="25" t="s">
        <v>824</v>
      </c>
      <c r="AB1922" s="25" t="s">
        <v>821</v>
      </c>
      <c r="AC1922" s="25" t="s">
        <v>821</v>
      </c>
      <c r="AD1922" s="25" t="s">
        <v>821</v>
      </c>
      <c r="AE1922" s="25" t="s">
        <v>818</v>
      </c>
    </row>
    <row r="1923" spans="20:31" ht="14.4">
      <c r="T1923" s="25" t="s">
        <v>922</v>
      </c>
      <c r="U1923" s="25" t="s">
        <v>816</v>
      </c>
      <c r="V1923" s="25" t="s">
        <v>939</v>
      </c>
      <c r="W1923" s="25" t="str">
        <f t="shared" si="49" ref="W1923:W1986">CONCATENATE(T1923,U1923,V1923)</f>
        <v>Square CassetteFaceBecker CBUS Motor</v>
      </c>
      <c r="X1923" s="25">
        <v>10</v>
      </c>
      <c r="Y1923" s="25">
        <v>14</v>
      </c>
      <c r="Z1923" s="25">
        <v>14</v>
      </c>
      <c r="AA1923" s="25" t="s">
        <v>824</v>
      </c>
      <c r="AB1923" s="25" t="s">
        <v>821</v>
      </c>
      <c r="AC1923" s="25" t="s">
        <v>821</v>
      </c>
      <c r="AD1923" s="25" t="s">
        <v>821</v>
      </c>
      <c r="AE1923" s="25" t="s">
        <v>818</v>
      </c>
    </row>
    <row r="1924" spans="20:31" ht="14.4">
      <c r="T1924" s="25" t="s">
        <v>922</v>
      </c>
      <c r="U1924" s="25" t="s">
        <v>816</v>
      </c>
      <c r="V1924" s="25" t="s">
        <v>946</v>
      </c>
      <c r="W1924" s="25" t="str">
        <f t="shared" si="49"/>
        <v>Square CassetteFaceBecker External Remote Motor</v>
      </c>
      <c r="X1924" s="25">
        <v>10</v>
      </c>
      <c r="Y1924" s="25">
        <v>14</v>
      </c>
      <c r="Z1924" s="25">
        <v>14</v>
      </c>
      <c r="AA1924" s="25" t="s">
        <v>824</v>
      </c>
      <c r="AB1924" s="25" t="s">
        <v>821</v>
      </c>
      <c r="AC1924" s="25" t="s">
        <v>821</v>
      </c>
      <c r="AD1924" s="25" t="s">
        <v>821</v>
      </c>
      <c r="AE1924" s="25" t="s">
        <v>818</v>
      </c>
    </row>
    <row r="1925" spans="20:31" ht="14.4">
      <c r="T1925" s="25" t="s">
        <v>922</v>
      </c>
      <c r="U1925" s="25" t="s">
        <v>816</v>
      </c>
      <c r="V1925" s="25" t="s">
        <v>951</v>
      </c>
      <c r="W1925" s="25" t="str">
        <f t="shared" si="49"/>
        <v>Square CassetteFaceBecker External CBUS Motor</v>
      </c>
      <c r="X1925" s="25">
        <v>10</v>
      </c>
      <c r="Y1925" s="25">
        <v>14</v>
      </c>
      <c r="Z1925" s="25">
        <v>14</v>
      </c>
      <c r="AA1925" s="25" t="s">
        <v>824</v>
      </c>
      <c r="AB1925" s="25" t="s">
        <v>821</v>
      </c>
      <c r="AC1925" s="25" t="s">
        <v>821</v>
      </c>
      <c r="AD1925" s="25" t="s">
        <v>821</v>
      </c>
      <c r="AE1925" s="25" t="s">
        <v>818</v>
      </c>
    </row>
    <row r="1926" spans="20:31" ht="14.4">
      <c r="T1926" s="25" t="s">
        <v>922</v>
      </c>
      <c r="U1926" s="25" t="s">
        <v>816</v>
      </c>
      <c r="V1926" s="25" t="s">
        <v>838</v>
      </c>
      <c r="W1926" s="25" t="str">
        <f t="shared" si="49"/>
        <v>Square CassetteFace1.1nm 12v Acmeda Motor</v>
      </c>
      <c r="X1926" s="25">
        <v>10</v>
      </c>
      <c r="Y1926" s="25">
        <v>14</v>
      </c>
      <c r="Z1926" s="25">
        <v>14</v>
      </c>
      <c r="AA1926" s="25" t="s">
        <v>824</v>
      </c>
      <c r="AB1926" s="25" t="s">
        <v>821</v>
      </c>
      <c r="AC1926" s="25" t="s">
        <v>821</v>
      </c>
      <c r="AD1926" s="25" t="s">
        <v>821</v>
      </c>
      <c r="AE1926" s="25" t="s">
        <v>818</v>
      </c>
    </row>
    <row r="1927" spans="20:31" ht="14.4">
      <c r="T1927" s="25" t="s">
        <v>922</v>
      </c>
      <c r="U1927" s="25" t="s">
        <v>816</v>
      </c>
      <c r="V1927" t="s">
        <v>882</v>
      </c>
      <c r="W1927" s="25" t="str">
        <f t="shared" si="49"/>
        <v>Square CassetteFace2nm 12v Acmeda Motor</v>
      </c>
      <c r="X1927" s="25">
        <v>10</v>
      </c>
      <c r="Y1927" s="25">
        <v>14</v>
      </c>
      <c r="Z1927" s="25">
        <v>14</v>
      </c>
      <c r="AA1927" s="25" t="s">
        <v>824</v>
      </c>
      <c r="AB1927" s="25" t="s">
        <v>821</v>
      </c>
      <c r="AC1927" s="25" t="s">
        <v>821</v>
      </c>
      <c r="AD1927" s="25" t="s">
        <v>821</v>
      </c>
      <c r="AE1927" s="25" t="s">
        <v>818</v>
      </c>
    </row>
    <row r="1928" spans="20:31" ht="14.4">
      <c r="T1928" s="25" t="s">
        <v>922</v>
      </c>
      <c r="U1928" s="25" t="s">
        <v>816</v>
      </c>
      <c r="V1928" t="s">
        <v>896</v>
      </c>
      <c r="W1928" s="25" t="str">
        <f t="shared" si="49"/>
        <v>Square CassetteFaceAcmeda 12v 6nm Motor</v>
      </c>
      <c r="X1928" s="25">
        <v>10</v>
      </c>
      <c r="Y1928" s="25">
        <v>14</v>
      </c>
      <c r="Z1928" s="25">
        <v>14</v>
      </c>
      <c r="AA1928" s="25" t="s">
        <v>824</v>
      </c>
      <c r="AB1928" s="25" t="s">
        <v>821</v>
      </c>
      <c r="AC1928" s="25" t="s">
        <v>821</v>
      </c>
      <c r="AD1928" s="25" t="s">
        <v>821</v>
      </c>
      <c r="AE1928" s="25" t="s">
        <v>818</v>
      </c>
    </row>
    <row r="1929" spans="20:31" ht="14.4">
      <c r="T1929" s="25" t="s">
        <v>922</v>
      </c>
      <c r="U1929" s="25" t="s">
        <v>816</v>
      </c>
      <c r="V1929" t="s">
        <v>855</v>
      </c>
      <c r="W1929" s="25" t="str">
        <f t="shared" si="49"/>
        <v>Square CassetteFace0.7nm 12v Acmeda Motor</v>
      </c>
      <c r="X1929" s="25">
        <v>10</v>
      </c>
      <c r="Y1929" s="25">
        <v>14</v>
      </c>
      <c r="Z1929" s="25">
        <v>14</v>
      </c>
      <c r="AA1929" s="25" t="s">
        <v>824</v>
      </c>
      <c r="AB1929" s="25" t="s">
        <v>821</v>
      </c>
      <c r="AC1929" s="25" t="s">
        <v>821</v>
      </c>
      <c r="AD1929" s="25" t="s">
        <v>821</v>
      </c>
      <c r="AE1929" s="25" t="s">
        <v>818</v>
      </c>
    </row>
    <row r="1930" spans="20:31" ht="14.4">
      <c r="T1930" s="25" t="s">
        <v>922</v>
      </c>
      <c r="U1930" s="25" t="s">
        <v>816</v>
      </c>
      <c r="V1930" s="25" t="s">
        <v>849</v>
      </c>
      <c r="W1930" s="25" t="str">
        <f t="shared" si="49"/>
        <v>Square CassetteFace1.1nm 12v Acmeda DCRF Motor with External Battery</v>
      </c>
      <c r="X1930" s="25">
        <v>10</v>
      </c>
      <c r="Y1930" s="25">
        <v>14</v>
      </c>
      <c r="Z1930" s="25">
        <v>14</v>
      </c>
      <c r="AA1930" s="25" t="s">
        <v>824</v>
      </c>
      <c r="AB1930" s="25" t="s">
        <v>821</v>
      </c>
      <c r="AC1930" s="25" t="s">
        <v>821</v>
      </c>
      <c r="AD1930" s="25" t="s">
        <v>821</v>
      </c>
      <c r="AE1930" s="25" t="s">
        <v>818</v>
      </c>
    </row>
    <row r="1931" spans="20:31" ht="14.4">
      <c r="T1931" s="25" t="s">
        <v>922</v>
      </c>
      <c r="U1931" s="25" t="s">
        <v>816</v>
      </c>
      <c r="V1931" s="25" t="s">
        <v>817</v>
      </c>
      <c r="W1931" s="25" t="str">
        <f t="shared" si="49"/>
        <v>Square CassetteFace1.1nm 12v Acmeda DCRF Motor</v>
      </c>
      <c r="X1931" s="25">
        <v>10</v>
      </c>
      <c r="Y1931" s="25">
        <v>14</v>
      </c>
      <c r="Z1931" s="25">
        <v>14</v>
      </c>
      <c r="AA1931" s="25" t="s">
        <v>824</v>
      </c>
      <c r="AB1931" s="25" t="s">
        <v>821</v>
      </c>
      <c r="AC1931" s="25" t="s">
        <v>821</v>
      </c>
      <c r="AD1931" s="25" t="s">
        <v>821</v>
      </c>
      <c r="AE1931" s="25" t="s">
        <v>818</v>
      </c>
    </row>
    <row r="1932" spans="20:31" ht="14.4">
      <c r="T1932" s="25" t="s">
        <v>922</v>
      </c>
      <c r="U1932" s="25" t="s">
        <v>816</v>
      </c>
      <c r="V1932" s="25" t="s">
        <v>868</v>
      </c>
      <c r="W1932" s="25" t="str">
        <f t="shared" si="49"/>
        <v>Square CassetteFace2nm 12v Acmeda DCRF Motor</v>
      </c>
      <c r="X1932" s="25">
        <v>10</v>
      </c>
      <c r="Y1932" s="25">
        <v>14</v>
      </c>
      <c r="Z1932" s="25">
        <v>14</v>
      </c>
      <c r="AA1932" s="25" t="s">
        <v>824</v>
      </c>
      <c r="AB1932" s="25" t="s">
        <v>821</v>
      </c>
      <c r="AC1932" s="25" t="s">
        <v>821</v>
      </c>
      <c r="AD1932" s="25" t="s">
        <v>821</v>
      </c>
      <c r="AE1932" s="25" t="s">
        <v>818</v>
      </c>
    </row>
    <row r="1933" spans="20:31" ht="14.4">
      <c r="T1933" s="25" t="s">
        <v>922</v>
      </c>
      <c r="U1933" s="25" t="s">
        <v>816</v>
      </c>
      <c r="V1933" t="s">
        <v>973</v>
      </c>
      <c r="W1933" s="25" t="str">
        <f t="shared" si="49"/>
        <v>Square CassetteFaceSomfy Remote Sonesse Motor</v>
      </c>
      <c r="X1933" s="25">
        <v>10</v>
      </c>
      <c r="Y1933" s="25">
        <v>14</v>
      </c>
      <c r="Z1933" s="25">
        <v>14</v>
      </c>
      <c r="AA1933" s="25" t="s">
        <v>824</v>
      </c>
      <c r="AB1933" s="25" t="s">
        <v>821</v>
      </c>
      <c r="AC1933" s="25" t="s">
        <v>821</v>
      </c>
      <c r="AD1933" s="25" t="s">
        <v>821</v>
      </c>
      <c r="AE1933" s="25" t="s">
        <v>818</v>
      </c>
    </row>
    <row r="1934" spans="20:31" ht="14.4">
      <c r="T1934" s="25" t="s">
        <v>922</v>
      </c>
      <c r="U1934" s="25" t="s">
        <v>816</v>
      </c>
      <c r="V1934" t="s">
        <v>637</v>
      </c>
      <c r="W1934" s="25" t="str">
        <f t="shared" si="49"/>
        <v>Square CassetteFaceSomfy 12v Remote Sonesse Motor</v>
      </c>
      <c r="X1934" s="25">
        <v>10</v>
      </c>
      <c r="Y1934" s="25">
        <v>14</v>
      </c>
      <c r="Z1934" s="25">
        <v>14</v>
      </c>
      <c r="AA1934" s="25" t="s">
        <v>824</v>
      </c>
      <c r="AB1934" s="25" t="s">
        <v>821</v>
      </c>
      <c r="AC1934" s="25" t="s">
        <v>821</v>
      </c>
      <c r="AD1934" s="25" t="s">
        <v>821</v>
      </c>
      <c r="AE1934" s="25" t="s">
        <v>818</v>
      </c>
    </row>
    <row r="1935" spans="20:31" ht="14.4">
      <c r="T1935" s="25" t="s">
        <v>922</v>
      </c>
      <c r="U1935" s="25" t="s">
        <v>816</v>
      </c>
      <c r="V1935" s="25" t="s">
        <v>974</v>
      </c>
      <c r="W1935" s="25" t="str">
        <f t="shared" si="49"/>
        <v>Square CassetteFaceSomfy CBUS Motor</v>
      </c>
      <c r="X1935" s="25">
        <v>10</v>
      </c>
      <c r="Y1935" s="25">
        <v>14</v>
      </c>
      <c r="Z1935" s="25">
        <v>14</v>
      </c>
      <c r="AA1935" s="25" t="s">
        <v>824</v>
      </c>
      <c r="AB1935" s="25" t="s">
        <v>821</v>
      </c>
      <c r="AC1935" s="25" t="s">
        <v>821</v>
      </c>
      <c r="AD1935" s="25" t="s">
        <v>821</v>
      </c>
      <c r="AE1935" s="25" t="s">
        <v>818</v>
      </c>
    </row>
    <row r="1936" spans="20:31" ht="14.4">
      <c r="T1936" s="25" t="s">
        <v>922</v>
      </c>
      <c r="U1936" s="25" t="s">
        <v>816</v>
      </c>
      <c r="V1936" t="s">
        <v>986</v>
      </c>
      <c r="W1936" s="25" t="str">
        <f t="shared" si="49"/>
        <v>Square CassetteFaceHD Somfy Remote Sonesse Motor</v>
      </c>
      <c r="X1936" s="25">
        <v>10</v>
      </c>
      <c r="Y1936" s="25">
        <v>14</v>
      </c>
      <c r="Z1936" s="25">
        <v>14</v>
      </c>
      <c r="AA1936" s="25" t="s">
        <v>824</v>
      </c>
      <c r="AB1936" s="25" t="s">
        <v>821</v>
      </c>
      <c r="AC1936" s="25" t="s">
        <v>821</v>
      </c>
      <c r="AD1936" s="25" t="s">
        <v>821</v>
      </c>
      <c r="AE1936" s="25" t="s">
        <v>818</v>
      </c>
    </row>
    <row r="1937" spans="20:31" ht="14.4">
      <c r="T1937" s="25" t="s">
        <v>922</v>
      </c>
      <c r="U1937" s="25" t="s">
        <v>816</v>
      </c>
      <c r="V1937" t="s">
        <v>989</v>
      </c>
      <c r="W1937" s="25" t="str">
        <f t="shared" si="49"/>
        <v>Square CassetteFaceHD Somfy 12v Remote Sonesse Motor</v>
      </c>
      <c r="X1937" s="25">
        <v>10</v>
      </c>
      <c r="Y1937" s="25">
        <v>14</v>
      </c>
      <c r="Z1937" s="25">
        <v>14</v>
      </c>
      <c r="AA1937" s="25" t="s">
        <v>824</v>
      </c>
      <c r="AB1937" s="25" t="s">
        <v>821</v>
      </c>
      <c r="AC1937" s="25" t="s">
        <v>821</v>
      </c>
      <c r="AD1937" s="25" t="s">
        <v>821</v>
      </c>
      <c r="AE1937" s="25" t="s">
        <v>818</v>
      </c>
    </row>
    <row r="1938" spans="20:31" ht="14.4">
      <c r="T1938" s="25" t="s">
        <v>922</v>
      </c>
      <c r="U1938" s="25" t="s">
        <v>816</v>
      </c>
      <c r="V1938" s="25" t="s">
        <v>992</v>
      </c>
      <c r="W1938" s="25" t="str">
        <f t="shared" si="49"/>
        <v>Square CassetteFaceHD Somfy CBUS Motor</v>
      </c>
      <c r="X1938" s="25">
        <v>10</v>
      </c>
      <c r="Y1938" s="25">
        <v>14</v>
      </c>
      <c r="Z1938" s="25">
        <v>14</v>
      </c>
      <c r="AA1938" s="25" t="s">
        <v>824</v>
      </c>
      <c r="AB1938" s="25" t="s">
        <v>821</v>
      </c>
      <c r="AC1938" s="25" t="s">
        <v>821</v>
      </c>
      <c r="AD1938" s="25" t="s">
        <v>821</v>
      </c>
      <c r="AE1938" s="25" t="s">
        <v>818</v>
      </c>
    </row>
    <row r="1939" spans="20:31" ht="14.4">
      <c r="T1939" s="25" t="s">
        <v>922</v>
      </c>
      <c r="U1939" s="25" t="s">
        <v>816</v>
      </c>
      <c r="V1939" s="25" t="s">
        <v>625</v>
      </c>
      <c r="W1939" s="25" t="str">
        <f t="shared" si="49"/>
        <v>Square CassetteFaceAcmeda E6 Motor</v>
      </c>
      <c r="X1939" s="25">
        <v>10</v>
      </c>
      <c r="Y1939" s="25">
        <v>14</v>
      </c>
      <c r="Z1939" s="25">
        <v>14</v>
      </c>
      <c r="AA1939" s="25" t="s">
        <v>824</v>
      </c>
      <c r="AB1939" s="25" t="s">
        <v>821</v>
      </c>
      <c r="AC1939" s="25" t="s">
        <v>821</v>
      </c>
      <c r="AD1939" s="25" t="s">
        <v>821</v>
      </c>
      <c r="AE1939" s="25" t="s">
        <v>818</v>
      </c>
    </row>
    <row r="1940" spans="20:31" ht="14.4">
      <c r="T1940" s="25" t="s">
        <v>922</v>
      </c>
      <c r="U1940" s="25" t="s">
        <v>816</v>
      </c>
      <c r="V1940" s="25" t="s">
        <v>626</v>
      </c>
      <c r="W1940" s="25" t="str">
        <f t="shared" si="49"/>
        <v>Square CassetteFaceAcmeda M6 Motor</v>
      </c>
      <c r="X1940" s="25">
        <v>10</v>
      </c>
      <c r="Y1940" s="25">
        <v>14</v>
      </c>
      <c r="Z1940" s="25">
        <v>14</v>
      </c>
      <c r="AA1940" s="25" t="s">
        <v>824</v>
      </c>
      <c r="AB1940" s="25" t="s">
        <v>821</v>
      </c>
      <c r="AC1940" s="25" t="s">
        <v>821</v>
      </c>
      <c r="AD1940" s="25" t="s">
        <v>821</v>
      </c>
      <c r="AE1940" s="25" t="s">
        <v>818</v>
      </c>
    </row>
    <row r="1941" spans="20:31" ht="14.4">
      <c r="T1941" s="25" t="s">
        <v>922</v>
      </c>
      <c r="U1941" s="25" t="s">
        <v>816</v>
      </c>
      <c r="V1941" s="25" t="s">
        <v>1002</v>
      </c>
      <c r="W1941" s="25" t="str">
        <f t="shared" si="49"/>
        <v>Square CassetteFaceUniline Remote Motor</v>
      </c>
      <c r="X1941" s="25">
        <v>10</v>
      </c>
      <c r="Y1941" s="25">
        <v>14</v>
      </c>
      <c r="Z1941" s="25">
        <v>14</v>
      </c>
      <c r="AA1941" s="25" t="s">
        <v>824</v>
      </c>
      <c r="AB1941" s="25" t="s">
        <v>821</v>
      </c>
      <c r="AC1941" s="25" t="s">
        <v>821</v>
      </c>
      <c r="AD1941" s="25" t="s">
        <v>821</v>
      </c>
      <c r="AE1941" s="25" t="s">
        <v>818</v>
      </c>
    </row>
    <row r="1942" spans="20:31" ht="14.4">
      <c r="T1942" s="25" t="s">
        <v>922</v>
      </c>
      <c r="U1942" s="25" t="s">
        <v>816</v>
      </c>
      <c r="V1942" s="25" t="s">
        <v>1005</v>
      </c>
      <c r="W1942" s="25" t="str">
        <f t="shared" si="49"/>
        <v>Square CassetteFaceUniline Cbus Motor</v>
      </c>
      <c r="X1942" s="25">
        <v>10</v>
      </c>
      <c r="Y1942" s="25">
        <v>14</v>
      </c>
      <c r="Z1942" s="25">
        <v>14</v>
      </c>
      <c r="AA1942" s="25" t="s">
        <v>824</v>
      </c>
      <c r="AB1942" s="25" t="s">
        <v>821</v>
      </c>
      <c r="AC1942" s="25" t="s">
        <v>821</v>
      </c>
      <c r="AD1942" s="25" t="s">
        <v>821</v>
      </c>
      <c r="AE1942" s="25" t="s">
        <v>818</v>
      </c>
    </row>
    <row r="1943" spans="20:31" ht="14.4">
      <c r="T1943" s="25" t="s">
        <v>922</v>
      </c>
      <c r="U1943" s="25" t="s">
        <v>816</v>
      </c>
      <c r="V1943" s="25" t="s">
        <v>981</v>
      </c>
      <c r="W1943" s="25" t="str">
        <f t="shared" si="49"/>
        <v>Square CassetteFaceNice Remote Motor</v>
      </c>
      <c r="X1943" s="25">
        <v>10</v>
      </c>
      <c r="Y1943" s="25">
        <v>14</v>
      </c>
      <c r="Z1943" s="25">
        <v>14</v>
      </c>
      <c r="AA1943" s="25" t="s">
        <v>824</v>
      </c>
      <c r="AB1943" s="25" t="s">
        <v>821</v>
      </c>
      <c r="AC1943" s="25" t="s">
        <v>821</v>
      </c>
      <c r="AD1943" s="25" t="s">
        <v>821</v>
      </c>
      <c r="AE1943" s="25" t="s">
        <v>818</v>
      </c>
    </row>
    <row r="1944" spans="20:31" ht="14.4">
      <c r="T1944" s="25" t="s">
        <v>922</v>
      </c>
      <c r="U1944" s="25" t="s">
        <v>816</v>
      </c>
      <c r="V1944" s="25" t="s">
        <v>976</v>
      </c>
      <c r="W1944" s="25" t="str">
        <f t="shared" si="49"/>
        <v>Square CassetteFaceNice CBus Motor</v>
      </c>
      <c r="X1944" s="25">
        <v>10</v>
      </c>
      <c r="Y1944" s="25">
        <v>14</v>
      </c>
      <c r="Z1944" s="25">
        <v>14</v>
      </c>
      <c r="AA1944" s="25" t="s">
        <v>824</v>
      </c>
      <c r="AB1944" s="25" t="s">
        <v>821</v>
      </c>
      <c r="AC1944" s="25" t="s">
        <v>821</v>
      </c>
      <c r="AD1944" s="25" t="s">
        <v>821</v>
      </c>
      <c r="AE1944" s="25" t="s">
        <v>818</v>
      </c>
    </row>
    <row r="1945" spans="20:31" ht="14.4">
      <c r="T1945" s="25" t="s">
        <v>922</v>
      </c>
      <c r="U1945" s="25" t="s">
        <v>816</v>
      </c>
      <c r="V1945" t="s">
        <v>1006</v>
      </c>
      <c r="W1945" s="25" t="str">
        <f t="shared" si="49"/>
        <v>Square CassetteFaceSunboss Chain Winder 38mm Tube</v>
      </c>
      <c r="X1945" s="25">
        <v>10</v>
      </c>
      <c r="Y1945" s="25">
        <v>14</v>
      </c>
      <c r="Z1945" s="25">
        <v>14</v>
      </c>
      <c r="AA1945" s="25" t="s">
        <v>824</v>
      </c>
      <c r="AB1945" s="25" t="s">
        <v>821</v>
      </c>
      <c r="AC1945" s="25" t="s">
        <v>821</v>
      </c>
      <c r="AD1945" s="25" t="s">
        <v>821</v>
      </c>
      <c r="AE1945" s="25" t="s">
        <v>818</v>
      </c>
    </row>
    <row r="1946" spans="20:31" ht="14.4">
      <c r="T1946" s="25" t="s">
        <v>922</v>
      </c>
      <c r="U1946" s="25" t="s">
        <v>816</v>
      </c>
      <c r="V1946" t="s">
        <v>1017</v>
      </c>
      <c r="W1946" s="25" t="str">
        <f t="shared" si="49"/>
        <v>Square CassetteFaceSunboss Chain Winder 43mm Tube</v>
      </c>
      <c r="X1946" s="25">
        <v>10</v>
      </c>
      <c r="Y1946" s="25">
        <v>14</v>
      </c>
      <c r="Z1946" s="25">
        <v>14</v>
      </c>
      <c r="AA1946" s="25" t="s">
        <v>824</v>
      </c>
      <c r="AB1946" s="25" t="s">
        <v>821</v>
      </c>
      <c r="AC1946" s="25" t="s">
        <v>821</v>
      </c>
      <c r="AD1946" s="25" t="s">
        <v>821</v>
      </c>
      <c r="AE1946" s="25" t="s">
        <v>818</v>
      </c>
    </row>
    <row r="1947" spans="20:31" ht="14.4">
      <c r="T1947" s="25" t="s">
        <v>922</v>
      </c>
      <c r="U1947" s="25" t="s">
        <v>816</v>
      </c>
      <c r="V1947" s="25" t="s">
        <v>1012</v>
      </c>
      <c r="W1947" s="25" t="str">
        <f t="shared" si="49"/>
        <v>Square CassetteFaceTBS Remote Motor</v>
      </c>
      <c r="X1947" s="25">
        <v>10</v>
      </c>
      <c r="Y1947" s="25">
        <v>14</v>
      </c>
      <c r="Z1947" s="25">
        <v>14</v>
      </c>
      <c r="AA1947" s="25" t="s">
        <v>824</v>
      </c>
      <c r="AB1947" s="25" t="s">
        <v>821</v>
      </c>
      <c r="AC1947" s="25" t="s">
        <v>821</v>
      </c>
      <c r="AD1947" s="25" t="s">
        <v>821</v>
      </c>
      <c r="AE1947" s="25" t="s">
        <v>818</v>
      </c>
    </row>
    <row r="1948" spans="20:31" ht="14.4">
      <c r="T1948" s="25" t="s">
        <v>922</v>
      </c>
      <c r="U1948" s="25" t="s">
        <v>816</v>
      </c>
      <c r="V1948" t="s">
        <v>1009</v>
      </c>
      <c r="W1948" s="25" t="str">
        <f t="shared" si="49"/>
        <v>Square CassetteFaceTBS Cbus Motor</v>
      </c>
      <c r="X1948" s="25">
        <v>10</v>
      </c>
      <c r="Y1948" s="25">
        <v>14</v>
      </c>
      <c r="Z1948" s="25">
        <v>14</v>
      </c>
      <c r="AA1948" s="25" t="s">
        <v>824</v>
      </c>
      <c r="AB1948" s="25" t="s">
        <v>821</v>
      </c>
      <c r="AC1948" s="25" t="s">
        <v>821</v>
      </c>
      <c r="AD1948" s="25" t="s">
        <v>821</v>
      </c>
      <c r="AE1948" s="25" t="s">
        <v>818</v>
      </c>
    </row>
    <row r="1949" spans="20:31" ht="14.4">
      <c r="T1949" s="25" t="s">
        <v>922</v>
      </c>
      <c r="U1949" s="25" t="s">
        <v>816</v>
      </c>
      <c r="V1949" t="s">
        <v>927</v>
      </c>
      <c r="W1949" s="25" t="str">
        <f t="shared" si="49"/>
        <v>Square CassetteFaceAcmeda External Motor</v>
      </c>
      <c r="X1949" s="25">
        <v>10</v>
      </c>
      <c r="Y1949" s="25">
        <v>14</v>
      </c>
      <c r="Z1949" s="25">
        <v>14</v>
      </c>
      <c r="AA1949" s="25" t="s">
        <v>824</v>
      </c>
      <c r="AB1949" s="25" t="s">
        <v>821</v>
      </c>
      <c r="AC1949" s="25" t="s">
        <v>821</v>
      </c>
      <c r="AD1949" s="25" t="s">
        <v>821</v>
      </c>
      <c r="AE1949" s="25" t="s">
        <v>818</v>
      </c>
    </row>
    <row r="1950" spans="20:31" ht="14.4">
      <c r="T1950" s="25" t="s">
        <v>922</v>
      </c>
      <c r="U1950" s="25" t="s">
        <v>816</v>
      </c>
      <c r="V1950" t="s">
        <v>918</v>
      </c>
      <c r="W1950" s="25" t="str">
        <f t="shared" si="49"/>
        <v>Square CassetteFaceAcmeda External 12v Motor</v>
      </c>
      <c r="X1950" s="25">
        <v>10</v>
      </c>
      <c r="Y1950" s="25">
        <v>14</v>
      </c>
      <c r="Z1950" s="25">
        <v>14</v>
      </c>
      <c r="AA1950" s="25" t="s">
        <v>824</v>
      </c>
      <c r="AB1950" s="25" t="s">
        <v>821</v>
      </c>
      <c r="AC1950" s="25" t="s">
        <v>821</v>
      </c>
      <c r="AD1950" s="25" t="s">
        <v>821</v>
      </c>
      <c r="AE1950" s="25" t="s">
        <v>818</v>
      </c>
    </row>
    <row r="1951" spans="20:31" ht="14.4">
      <c r="T1951" s="25" t="s">
        <v>922</v>
      </c>
      <c r="U1951" s="25" t="s">
        <v>816</v>
      </c>
      <c r="V1951" t="s">
        <v>979</v>
      </c>
      <c r="W1951" s="25" t="str">
        <f t="shared" si="49"/>
        <v>Square CassetteFaceSomfy External CBUS Motor</v>
      </c>
      <c r="X1951" s="25">
        <v>10</v>
      </c>
      <c r="Y1951" s="25">
        <v>14</v>
      </c>
      <c r="Z1951" s="25">
        <v>14</v>
      </c>
      <c r="AA1951" s="25" t="s">
        <v>824</v>
      </c>
      <c r="AB1951" s="25" t="s">
        <v>821</v>
      </c>
      <c r="AC1951" s="25" t="s">
        <v>821</v>
      </c>
      <c r="AD1951" s="25" t="s">
        <v>821</v>
      </c>
      <c r="AE1951" s="25" t="s">
        <v>818</v>
      </c>
    </row>
    <row r="1952" spans="20:31" ht="14.4">
      <c r="T1952" s="25" t="s">
        <v>922</v>
      </c>
      <c r="U1952" s="25" t="s">
        <v>816</v>
      </c>
      <c r="V1952" t="s">
        <v>983</v>
      </c>
      <c r="W1952" s="25" t="str">
        <f t="shared" si="49"/>
        <v>Square CassetteFaceSomfy External Remote Motor</v>
      </c>
      <c r="X1952" s="25">
        <v>10</v>
      </c>
      <c r="Y1952" s="25">
        <v>14</v>
      </c>
      <c r="Z1952" s="25">
        <v>14</v>
      </c>
      <c r="AA1952" s="25" t="s">
        <v>824</v>
      </c>
      <c r="AB1952" s="25" t="s">
        <v>821</v>
      </c>
      <c r="AC1952" s="25" t="s">
        <v>821</v>
      </c>
      <c r="AD1952" s="25" t="s">
        <v>821</v>
      </c>
      <c r="AE1952" s="25" t="s">
        <v>818</v>
      </c>
    </row>
    <row r="1953" spans="20:31" ht="14.4">
      <c r="T1953" s="25" t="s">
        <v>922</v>
      </c>
      <c r="U1953" s="25" t="s">
        <v>816</v>
      </c>
      <c r="V1953" t="s">
        <v>995</v>
      </c>
      <c r="W1953" s="25" t="str">
        <f t="shared" si="49"/>
        <v>Square CassetteFaceHD Somfy External CBUS Motor</v>
      </c>
      <c r="X1953" s="25">
        <v>10</v>
      </c>
      <c r="Y1953" s="25">
        <v>14</v>
      </c>
      <c r="Z1953" s="25">
        <v>14</v>
      </c>
      <c r="AA1953" s="25" t="s">
        <v>824</v>
      </c>
      <c r="AB1953" s="25" t="s">
        <v>821</v>
      </c>
      <c r="AC1953" s="25" t="s">
        <v>821</v>
      </c>
      <c r="AD1953" s="25" t="s">
        <v>821</v>
      </c>
      <c r="AE1953" s="25" t="s">
        <v>818</v>
      </c>
    </row>
    <row r="1954" spans="20:31" ht="14.4">
      <c r="T1954" s="25" t="s">
        <v>922</v>
      </c>
      <c r="U1954" s="25" t="s">
        <v>816</v>
      </c>
      <c r="V1954" t="s">
        <v>999</v>
      </c>
      <c r="W1954" s="25" t="str">
        <f t="shared" si="49"/>
        <v>Square CassetteFaceHD Somfy External Remote Motor</v>
      </c>
      <c r="X1954" s="25">
        <v>10</v>
      </c>
      <c r="Y1954" s="25">
        <v>14</v>
      </c>
      <c r="Z1954" s="25">
        <v>14</v>
      </c>
      <c r="AA1954" s="25" t="s">
        <v>824</v>
      </c>
      <c r="AB1954" s="25" t="s">
        <v>821</v>
      </c>
      <c r="AC1954" s="25" t="s">
        <v>821</v>
      </c>
      <c r="AD1954" s="25" t="s">
        <v>821</v>
      </c>
      <c r="AE1954" s="25" t="s">
        <v>818</v>
      </c>
    </row>
    <row r="1955" spans="20:31" ht="14.4">
      <c r="T1955" s="25" t="s">
        <v>922</v>
      </c>
      <c r="U1955" s="25" t="s">
        <v>854</v>
      </c>
      <c r="V1955" s="25" t="s">
        <v>823</v>
      </c>
      <c r="W1955" s="25" t="str">
        <f t="shared" si="49"/>
        <v>Square CassetteTop FixChain Winder</v>
      </c>
      <c r="X1955" s="25">
        <v>10</v>
      </c>
      <c r="Y1955" s="25">
        <v>14</v>
      </c>
      <c r="Z1955" s="25">
        <v>29</v>
      </c>
      <c r="AA1955" s="25" t="s">
        <v>824</v>
      </c>
      <c r="AB1955" s="25" t="s">
        <v>818</v>
      </c>
      <c r="AC1955" s="25" t="s">
        <v>821</v>
      </c>
      <c r="AD1955" s="25" t="s">
        <v>821</v>
      </c>
      <c r="AE1955" s="25" t="s">
        <v>818</v>
      </c>
    </row>
    <row r="1956" spans="20:31" ht="14.4">
      <c r="T1956" s="25" t="s">
        <v>922</v>
      </c>
      <c r="U1956" s="25" t="s">
        <v>854</v>
      </c>
      <c r="V1956" s="25" t="s">
        <v>841</v>
      </c>
      <c r="W1956" s="25" t="str">
        <f t="shared" si="49"/>
        <v>Square CassetteTop FixHD Chain Winder</v>
      </c>
      <c r="X1956" s="25">
        <v>10</v>
      </c>
      <c r="Y1956" s="25">
        <v>14</v>
      </c>
      <c r="Z1956" s="25">
        <v>29</v>
      </c>
      <c r="AA1956" s="25" t="s">
        <v>824</v>
      </c>
      <c r="AB1956" s="25" t="s">
        <v>818</v>
      </c>
      <c r="AC1956" s="25" t="s">
        <v>821</v>
      </c>
      <c r="AD1956" s="25" t="s">
        <v>821</v>
      </c>
      <c r="AE1956" s="25" t="s">
        <v>818</v>
      </c>
    </row>
    <row r="1957" spans="20:31" ht="14.4">
      <c r="T1957" s="25" t="s">
        <v>922</v>
      </c>
      <c r="U1957" s="25" t="s">
        <v>854</v>
      </c>
      <c r="V1957" s="25" t="s">
        <v>858</v>
      </c>
      <c r="W1957" s="25" t="str">
        <f t="shared" si="49"/>
        <v>Square CassetteTop FixChain Winder 60mm</v>
      </c>
      <c r="X1957" s="25">
        <v>10</v>
      </c>
      <c r="Y1957" s="25">
        <v>14</v>
      </c>
      <c r="Z1957" s="25">
        <v>29</v>
      </c>
      <c r="AA1957" s="25" t="s">
        <v>824</v>
      </c>
      <c r="AB1957" s="25" t="s">
        <v>821</v>
      </c>
      <c r="AC1957" s="25" t="s">
        <v>821</v>
      </c>
      <c r="AD1957" s="25" t="s">
        <v>821</v>
      </c>
      <c r="AE1957" s="25" t="s">
        <v>818</v>
      </c>
    </row>
    <row r="1958" spans="20:31" ht="14.4">
      <c r="T1958" s="25" t="s">
        <v>922</v>
      </c>
      <c r="U1958" s="25" t="s">
        <v>854</v>
      </c>
      <c r="V1958" s="25" t="s">
        <v>865</v>
      </c>
      <c r="W1958" s="25" t="str">
        <f t="shared" si="49"/>
        <v>Square CassetteTop FixChain Winder Fixed Guide</v>
      </c>
      <c r="X1958" s="25">
        <v>10</v>
      </c>
      <c r="Y1958" s="25">
        <v>14</v>
      </c>
      <c r="Z1958" s="25">
        <v>29</v>
      </c>
      <c r="AA1958" s="25" t="s">
        <v>824</v>
      </c>
      <c r="AB1958" s="25" t="s">
        <v>821</v>
      </c>
      <c r="AC1958" s="25" t="s">
        <v>821</v>
      </c>
      <c r="AD1958" s="25" t="s">
        <v>821</v>
      </c>
      <c r="AE1958" s="25" t="s">
        <v>818</v>
      </c>
    </row>
    <row r="1959" spans="20:31" ht="14.4">
      <c r="T1959" s="25" t="s">
        <v>922</v>
      </c>
      <c r="U1959" s="25" t="s">
        <v>854</v>
      </c>
      <c r="V1959" s="25" t="s">
        <v>181</v>
      </c>
      <c r="W1959" s="25" t="str">
        <f t="shared" si="49"/>
        <v>Square CassetteTop FixLinked</v>
      </c>
      <c r="X1959" s="25">
        <v>10</v>
      </c>
      <c r="Y1959" s="25">
        <v>14</v>
      </c>
      <c r="Z1959" s="25">
        <v>14</v>
      </c>
      <c r="AA1959" s="25" t="s">
        <v>824</v>
      </c>
      <c r="AB1959" s="25" t="s">
        <v>821</v>
      </c>
      <c r="AC1959" s="25" t="s">
        <v>821</v>
      </c>
      <c r="AD1959" s="25" t="s">
        <v>821</v>
      </c>
      <c r="AE1959" s="25" t="s">
        <v>818</v>
      </c>
    </row>
    <row r="1960" spans="20:31" ht="14.4">
      <c r="T1960" s="25" t="s">
        <v>922</v>
      </c>
      <c r="U1960" s="25" t="s">
        <v>854</v>
      </c>
      <c r="V1960" s="25" t="s">
        <v>898</v>
      </c>
      <c r="W1960" s="25" t="str">
        <f t="shared" si="49"/>
        <v>Square CassetteTop FixLinked - HD</v>
      </c>
      <c r="X1960" s="25">
        <v>10</v>
      </c>
      <c r="Y1960" s="25">
        <v>14</v>
      </c>
      <c r="Z1960" s="25">
        <v>14</v>
      </c>
      <c r="AA1960" s="25" t="s">
        <v>824</v>
      </c>
      <c r="AB1960" s="25" t="s">
        <v>821</v>
      </c>
      <c r="AC1960" s="25" t="s">
        <v>821</v>
      </c>
      <c r="AD1960" s="25" t="s">
        <v>821</v>
      </c>
      <c r="AE1960" s="25" t="s">
        <v>818</v>
      </c>
    </row>
    <row r="1961" spans="20:31" ht="14.4">
      <c r="T1961" s="25" t="s">
        <v>922</v>
      </c>
      <c r="U1961" s="25" t="s">
        <v>854</v>
      </c>
      <c r="V1961" s="25" t="s">
        <v>910</v>
      </c>
      <c r="W1961" s="25" t="str">
        <f t="shared" si="49"/>
        <v>Square CassetteTop FixStandard Spring</v>
      </c>
      <c r="X1961" s="25">
        <v>10</v>
      </c>
      <c r="Y1961" s="25">
        <v>14</v>
      </c>
      <c r="Z1961" s="25">
        <v>14</v>
      </c>
      <c r="AA1961" s="25" t="s">
        <v>824</v>
      </c>
      <c r="AB1961" s="25" t="s">
        <v>821</v>
      </c>
      <c r="AC1961" s="25" t="s">
        <v>821</v>
      </c>
      <c r="AD1961" s="25" t="s">
        <v>821</v>
      </c>
      <c r="AE1961" s="25" t="s">
        <v>818</v>
      </c>
    </row>
    <row r="1962" spans="20:31" ht="14.4">
      <c r="T1962" s="25" t="s">
        <v>922</v>
      </c>
      <c r="U1962" s="25" t="s">
        <v>854</v>
      </c>
      <c r="V1962" s="25" t="s">
        <v>920</v>
      </c>
      <c r="W1962" s="25" t="str">
        <f t="shared" si="49"/>
        <v>Square CassetteTop FixSmall Spring</v>
      </c>
      <c r="X1962" s="25">
        <v>10</v>
      </c>
      <c r="Y1962" s="25">
        <v>14</v>
      </c>
      <c r="Z1962" s="25">
        <v>14</v>
      </c>
      <c r="AA1962" s="25" t="s">
        <v>824</v>
      </c>
      <c r="AB1962" s="25" t="s">
        <v>821</v>
      </c>
      <c r="AC1962" s="25" t="s">
        <v>821</v>
      </c>
      <c r="AD1962" s="25" t="s">
        <v>821</v>
      </c>
      <c r="AE1962" s="25" t="s">
        <v>818</v>
      </c>
    </row>
    <row r="1963" spans="20:31" ht="14.4">
      <c r="T1963" s="25" t="s">
        <v>922</v>
      </c>
      <c r="U1963" s="25" t="s">
        <v>854</v>
      </c>
      <c r="V1963" s="25" t="s">
        <v>929</v>
      </c>
      <c r="W1963" s="25" t="str">
        <f t="shared" si="49"/>
        <v>Square CassetteTop FixUniline Spring (Old Style)</v>
      </c>
      <c r="X1963" s="25">
        <v>10</v>
      </c>
      <c r="Y1963" s="25">
        <v>14</v>
      </c>
      <c r="Z1963" s="25">
        <v>14</v>
      </c>
      <c r="AA1963" s="25" t="s">
        <v>824</v>
      </c>
      <c r="AB1963" s="25" t="s">
        <v>821</v>
      </c>
      <c r="AC1963" s="25" t="s">
        <v>821</v>
      </c>
      <c r="AD1963" s="25" t="s">
        <v>821</v>
      </c>
      <c r="AE1963" s="25" t="s">
        <v>818</v>
      </c>
    </row>
    <row r="1964" spans="20:31" ht="14.4">
      <c r="T1964" s="25" t="s">
        <v>922</v>
      </c>
      <c r="U1964" s="25" t="s">
        <v>854</v>
      </c>
      <c r="V1964" s="25" t="s">
        <v>935</v>
      </c>
      <c r="W1964" s="25" t="str">
        <f t="shared" si="49"/>
        <v>Square CassetteTop FixBecker Remote Motor</v>
      </c>
      <c r="X1964" s="25">
        <v>10</v>
      </c>
      <c r="Y1964" s="25">
        <v>14</v>
      </c>
      <c r="Z1964" s="25">
        <v>14</v>
      </c>
      <c r="AA1964" s="25" t="s">
        <v>824</v>
      </c>
      <c r="AB1964" s="25" t="s">
        <v>821</v>
      </c>
      <c r="AC1964" s="25" t="s">
        <v>821</v>
      </c>
      <c r="AD1964" s="25" t="s">
        <v>821</v>
      </c>
      <c r="AE1964" s="25" t="s">
        <v>818</v>
      </c>
    </row>
    <row r="1965" spans="20:31" ht="14.4">
      <c r="T1965" s="25" t="s">
        <v>922</v>
      </c>
      <c r="U1965" s="25" t="s">
        <v>854</v>
      </c>
      <c r="V1965" s="25" t="s">
        <v>939</v>
      </c>
      <c r="W1965" s="25" t="str">
        <f t="shared" si="49"/>
        <v>Square CassetteTop FixBecker CBUS Motor</v>
      </c>
      <c r="X1965" s="25">
        <v>10</v>
      </c>
      <c r="Y1965" s="25">
        <v>14</v>
      </c>
      <c r="Z1965" s="25">
        <v>14</v>
      </c>
      <c r="AA1965" s="25" t="s">
        <v>824</v>
      </c>
      <c r="AB1965" s="25" t="s">
        <v>821</v>
      </c>
      <c r="AC1965" s="25" t="s">
        <v>821</v>
      </c>
      <c r="AD1965" s="25" t="s">
        <v>821</v>
      </c>
      <c r="AE1965" s="25" t="s">
        <v>818</v>
      </c>
    </row>
    <row r="1966" spans="20:31" ht="14.4">
      <c r="T1966" s="25" t="s">
        <v>922</v>
      </c>
      <c r="U1966" s="25" t="s">
        <v>854</v>
      </c>
      <c r="V1966" s="25" t="s">
        <v>946</v>
      </c>
      <c r="W1966" s="25" t="str">
        <f t="shared" si="49"/>
        <v>Square CassetteTop FixBecker External Remote Motor</v>
      </c>
      <c r="X1966" s="25">
        <v>10</v>
      </c>
      <c r="Y1966" s="25">
        <v>14</v>
      </c>
      <c r="Z1966" s="25">
        <v>14</v>
      </c>
      <c r="AA1966" s="25" t="s">
        <v>824</v>
      </c>
      <c r="AB1966" s="25" t="s">
        <v>821</v>
      </c>
      <c r="AC1966" s="25" t="s">
        <v>821</v>
      </c>
      <c r="AD1966" s="25" t="s">
        <v>821</v>
      </c>
      <c r="AE1966" s="25" t="s">
        <v>818</v>
      </c>
    </row>
    <row r="1967" spans="20:31" ht="14.4">
      <c r="T1967" s="25" t="s">
        <v>922</v>
      </c>
      <c r="U1967" s="25" t="s">
        <v>854</v>
      </c>
      <c r="V1967" s="25" t="s">
        <v>951</v>
      </c>
      <c r="W1967" s="25" t="str">
        <f t="shared" si="49"/>
        <v>Square CassetteTop FixBecker External CBUS Motor</v>
      </c>
      <c r="X1967" s="25">
        <v>10</v>
      </c>
      <c r="Y1967" s="25">
        <v>14</v>
      </c>
      <c r="Z1967" s="25">
        <v>14</v>
      </c>
      <c r="AA1967" s="25" t="s">
        <v>824</v>
      </c>
      <c r="AB1967" s="25" t="s">
        <v>821</v>
      </c>
      <c r="AC1967" s="25" t="s">
        <v>821</v>
      </c>
      <c r="AD1967" s="25" t="s">
        <v>821</v>
      </c>
      <c r="AE1967" s="25" t="s">
        <v>818</v>
      </c>
    </row>
    <row r="1968" spans="20:31" ht="14.4">
      <c r="T1968" s="25" t="s">
        <v>922</v>
      </c>
      <c r="U1968" s="25" t="s">
        <v>854</v>
      </c>
      <c r="V1968" s="25" t="s">
        <v>838</v>
      </c>
      <c r="W1968" s="25" t="str">
        <f t="shared" si="49"/>
        <v>Square CassetteTop Fix1.1nm 12v Acmeda Motor</v>
      </c>
      <c r="X1968" s="25">
        <v>10</v>
      </c>
      <c r="Y1968" s="25">
        <v>14</v>
      </c>
      <c r="Z1968" s="25">
        <v>14</v>
      </c>
      <c r="AA1968" s="25" t="s">
        <v>824</v>
      </c>
      <c r="AB1968" s="25" t="s">
        <v>821</v>
      </c>
      <c r="AC1968" s="25" t="s">
        <v>821</v>
      </c>
      <c r="AD1968" s="25" t="s">
        <v>821</v>
      </c>
      <c r="AE1968" s="25" t="s">
        <v>818</v>
      </c>
    </row>
    <row r="1969" spans="20:31" ht="14.4">
      <c r="T1969" s="25" t="s">
        <v>922</v>
      </c>
      <c r="U1969" s="25" t="s">
        <v>854</v>
      </c>
      <c r="V1969" t="s">
        <v>882</v>
      </c>
      <c r="W1969" s="25" t="str">
        <f t="shared" si="49"/>
        <v>Square CassetteTop Fix2nm 12v Acmeda Motor</v>
      </c>
      <c r="X1969" s="25">
        <v>10</v>
      </c>
      <c r="Y1969" s="25">
        <v>14</v>
      </c>
      <c r="Z1969" s="25">
        <v>14</v>
      </c>
      <c r="AA1969" s="25" t="s">
        <v>824</v>
      </c>
      <c r="AB1969" s="25" t="s">
        <v>821</v>
      </c>
      <c r="AC1969" s="25" t="s">
        <v>821</v>
      </c>
      <c r="AD1969" s="25" t="s">
        <v>821</v>
      </c>
      <c r="AE1969" s="25" t="s">
        <v>818</v>
      </c>
    </row>
    <row r="1970" spans="20:31" ht="14.4">
      <c r="T1970" s="25" t="s">
        <v>922</v>
      </c>
      <c r="U1970" s="25" t="s">
        <v>854</v>
      </c>
      <c r="V1970" t="s">
        <v>896</v>
      </c>
      <c r="W1970" s="25" t="str">
        <f t="shared" si="49"/>
        <v>Square CassetteTop FixAcmeda 12v 6nm Motor</v>
      </c>
      <c r="X1970" s="25">
        <v>10</v>
      </c>
      <c r="Y1970" s="25">
        <v>14</v>
      </c>
      <c r="Z1970" s="25">
        <v>14</v>
      </c>
      <c r="AA1970" s="25" t="s">
        <v>824</v>
      </c>
      <c r="AB1970" s="25" t="s">
        <v>821</v>
      </c>
      <c r="AC1970" s="25" t="s">
        <v>821</v>
      </c>
      <c r="AD1970" s="25" t="s">
        <v>821</v>
      </c>
      <c r="AE1970" s="25" t="s">
        <v>818</v>
      </c>
    </row>
    <row r="1971" spans="20:31" ht="14.4">
      <c r="T1971" s="25" t="s">
        <v>922</v>
      </c>
      <c r="U1971" s="25" t="s">
        <v>854</v>
      </c>
      <c r="V1971" t="s">
        <v>855</v>
      </c>
      <c r="W1971" s="25" t="str">
        <f t="shared" si="49"/>
        <v>Square CassetteTop Fix0.7nm 12v Acmeda Motor</v>
      </c>
      <c r="X1971" s="25">
        <v>10</v>
      </c>
      <c r="Y1971" s="25">
        <v>14</v>
      </c>
      <c r="Z1971" s="25">
        <v>14</v>
      </c>
      <c r="AA1971" s="25" t="s">
        <v>824</v>
      </c>
      <c r="AB1971" s="25" t="s">
        <v>821</v>
      </c>
      <c r="AC1971" s="25" t="s">
        <v>821</v>
      </c>
      <c r="AD1971" s="25" t="s">
        <v>821</v>
      </c>
      <c r="AE1971" s="25" t="s">
        <v>818</v>
      </c>
    </row>
    <row r="1972" spans="20:31" ht="14.4">
      <c r="T1972" s="25" t="s">
        <v>922</v>
      </c>
      <c r="U1972" s="25" t="s">
        <v>854</v>
      </c>
      <c r="V1972" s="25" t="s">
        <v>849</v>
      </c>
      <c r="W1972" s="25" t="str">
        <f t="shared" si="49"/>
        <v>Square CassetteTop Fix1.1nm 12v Acmeda DCRF Motor with External Battery</v>
      </c>
      <c r="X1972" s="25">
        <v>10</v>
      </c>
      <c r="Y1972" s="25">
        <v>14</v>
      </c>
      <c r="Z1972" s="25">
        <v>14</v>
      </c>
      <c r="AA1972" s="25" t="s">
        <v>824</v>
      </c>
      <c r="AB1972" s="25" t="s">
        <v>821</v>
      </c>
      <c r="AC1972" s="25" t="s">
        <v>821</v>
      </c>
      <c r="AD1972" s="25" t="s">
        <v>821</v>
      </c>
      <c r="AE1972" s="25" t="s">
        <v>818</v>
      </c>
    </row>
    <row r="1973" spans="20:31" ht="14.4">
      <c r="T1973" s="25" t="s">
        <v>922</v>
      </c>
      <c r="U1973" s="25" t="s">
        <v>854</v>
      </c>
      <c r="V1973" s="25" t="s">
        <v>817</v>
      </c>
      <c r="W1973" s="25" t="str">
        <f t="shared" si="49"/>
        <v>Square CassetteTop Fix1.1nm 12v Acmeda DCRF Motor</v>
      </c>
      <c r="X1973" s="25">
        <v>10</v>
      </c>
      <c r="Y1973" s="25">
        <v>14</v>
      </c>
      <c r="Z1973" s="25">
        <v>14</v>
      </c>
      <c r="AA1973" s="25" t="s">
        <v>824</v>
      </c>
      <c r="AB1973" s="25" t="s">
        <v>821</v>
      </c>
      <c r="AC1973" s="25" t="s">
        <v>821</v>
      </c>
      <c r="AD1973" s="25" t="s">
        <v>821</v>
      </c>
      <c r="AE1973" s="25" t="s">
        <v>818</v>
      </c>
    </row>
    <row r="1974" spans="20:31" ht="14.4">
      <c r="T1974" s="25" t="s">
        <v>922</v>
      </c>
      <c r="U1974" s="25" t="s">
        <v>854</v>
      </c>
      <c r="V1974" s="25" t="s">
        <v>868</v>
      </c>
      <c r="W1974" s="25" t="str">
        <f t="shared" si="49"/>
        <v>Square CassetteTop Fix2nm 12v Acmeda DCRF Motor</v>
      </c>
      <c r="X1974" s="25">
        <v>10</v>
      </c>
      <c r="Y1974" s="25">
        <v>14</v>
      </c>
      <c r="Z1974" s="25">
        <v>14</v>
      </c>
      <c r="AA1974" s="25" t="s">
        <v>824</v>
      </c>
      <c r="AB1974" s="25" t="s">
        <v>821</v>
      </c>
      <c r="AC1974" s="25" t="s">
        <v>821</v>
      </c>
      <c r="AD1974" s="25" t="s">
        <v>821</v>
      </c>
      <c r="AE1974" s="25" t="s">
        <v>818</v>
      </c>
    </row>
    <row r="1975" spans="20:31" ht="14.4">
      <c r="T1975" s="25" t="s">
        <v>922</v>
      </c>
      <c r="U1975" s="25" t="s">
        <v>854</v>
      </c>
      <c r="V1975" t="s">
        <v>973</v>
      </c>
      <c r="W1975" s="25" t="str">
        <f t="shared" si="49"/>
        <v>Square CassetteTop FixSomfy Remote Sonesse Motor</v>
      </c>
      <c r="X1975" s="25">
        <v>10</v>
      </c>
      <c r="Y1975" s="25">
        <v>14</v>
      </c>
      <c r="Z1975" s="25">
        <v>14</v>
      </c>
      <c r="AA1975" s="25" t="s">
        <v>824</v>
      </c>
      <c r="AB1975" s="25" t="s">
        <v>821</v>
      </c>
      <c r="AC1975" s="25" t="s">
        <v>821</v>
      </c>
      <c r="AD1975" s="25" t="s">
        <v>821</v>
      </c>
      <c r="AE1975" s="25" t="s">
        <v>818</v>
      </c>
    </row>
    <row r="1976" spans="20:31" ht="14.4">
      <c r="T1976" s="25" t="s">
        <v>922</v>
      </c>
      <c r="U1976" s="25" t="s">
        <v>854</v>
      </c>
      <c r="V1976" t="s">
        <v>637</v>
      </c>
      <c r="W1976" s="25" t="str">
        <f t="shared" si="49"/>
        <v>Square CassetteTop FixSomfy 12v Remote Sonesse Motor</v>
      </c>
      <c r="X1976" s="25">
        <v>10</v>
      </c>
      <c r="Y1976" s="25">
        <v>14</v>
      </c>
      <c r="Z1976" s="25">
        <v>14</v>
      </c>
      <c r="AA1976" s="25" t="s">
        <v>824</v>
      </c>
      <c r="AB1976" s="25" t="s">
        <v>821</v>
      </c>
      <c r="AC1976" s="25" t="s">
        <v>821</v>
      </c>
      <c r="AD1976" s="25" t="s">
        <v>821</v>
      </c>
      <c r="AE1976" s="25" t="s">
        <v>818</v>
      </c>
    </row>
    <row r="1977" spans="20:31" ht="14.4">
      <c r="T1977" s="25" t="s">
        <v>922</v>
      </c>
      <c r="U1977" s="25" t="s">
        <v>854</v>
      </c>
      <c r="V1977" s="25" t="s">
        <v>974</v>
      </c>
      <c r="W1977" s="25" t="str">
        <f t="shared" si="49"/>
        <v>Square CassetteTop FixSomfy CBUS Motor</v>
      </c>
      <c r="X1977" s="25">
        <v>10</v>
      </c>
      <c r="Y1977" s="25">
        <v>14</v>
      </c>
      <c r="Z1977" s="25">
        <v>14</v>
      </c>
      <c r="AA1977" s="25" t="s">
        <v>824</v>
      </c>
      <c r="AB1977" s="25" t="s">
        <v>821</v>
      </c>
      <c r="AC1977" s="25" t="s">
        <v>821</v>
      </c>
      <c r="AD1977" s="25" t="s">
        <v>821</v>
      </c>
      <c r="AE1977" s="25" t="s">
        <v>818</v>
      </c>
    </row>
    <row r="1978" spans="20:31" ht="14.4">
      <c r="T1978" s="25" t="s">
        <v>922</v>
      </c>
      <c r="U1978" s="25" t="s">
        <v>854</v>
      </c>
      <c r="V1978" t="s">
        <v>986</v>
      </c>
      <c r="W1978" s="25" t="str">
        <f t="shared" si="49"/>
        <v>Square CassetteTop FixHD Somfy Remote Sonesse Motor</v>
      </c>
      <c r="X1978" s="25">
        <v>10</v>
      </c>
      <c r="Y1978" s="25">
        <v>14</v>
      </c>
      <c r="Z1978" s="25">
        <v>14</v>
      </c>
      <c r="AA1978" s="25" t="s">
        <v>824</v>
      </c>
      <c r="AB1978" s="25" t="s">
        <v>821</v>
      </c>
      <c r="AC1978" s="25" t="s">
        <v>821</v>
      </c>
      <c r="AD1978" s="25" t="s">
        <v>821</v>
      </c>
      <c r="AE1978" s="25" t="s">
        <v>818</v>
      </c>
    </row>
    <row r="1979" spans="20:31" ht="14.4">
      <c r="T1979" s="25" t="s">
        <v>922</v>
      </c>
      <c r="U1979" s="25" t="s">
        <v>854</v>
      </c>
      <c r="V1979" t="s">
        <v>989</v>
      </c>
      <c r="W1979" s="25" t="str">
        <f t="shared" si="49"/>
        <v>Square CassetteTop FixHD Somfy 12v Remote Sonesse Motor</v>
      </c>
      <c r="X1979" s="25">
        <v>10</v>
      </c>
      <c r="Y1979" s="25">
        <v>14</v>
      </c>
      <c r="Z1979" s="25">
        <v>14</v>
      </c>
      <c r="AA1979" s="25" t="s">
        <v>824</v>
      </c>
      <c r="AB1979" s="25" t="s">
        <v>821</v>
      </c>
      <c r="AC1979" s="25" t="s">
        <v>821</v>
      </c>
      <c r="AD1979" s="25" t="s">
        <v>821</v>
      </c>
      <c r="AE1979" s="25" t="s">
        <v>818</v>
      </c>
    </row>
    <row r="1980" spans="20:31" ht="14.4">
      <c r="T1980" s="25" t="s">
        <v>922</v>
      </c>
      <c r="U1980" s="25" t="s">
        <v>854</v>
      </c>
      <c r="V1980" s="25" t="s">
        <v>992</v>
      </c>
      <c r="W1980" s="25" t="str">
        <f t="shared" si="49"/>
        <v>Square CassetteTop FixHD Somfy CBUS Motor</v>
      </c>
      <c r="X1980" s="25">
        <v>10</v>
      </c>
      <c r="Y1980" s="25">
        <v>14</v>
      </c>
      <c r="Z1980" s="25">
        <v>14</v>
      </c>
      <c r="AA1980" s="25" t="s">
        <v>824</v>
      </c>
      <c r="AB1980" s="25" t="s">
        <v>821</v>
      </c>
      <c r="AC1980" s="25" t="s">
        <v>821</v>
      </c>
      <c r="AD1980" s="25" t="s">
        <v>821</v>
      </c>
      <c r="AE1980" s="25" t="s">
        <v>818</v>
      </c>
    </row>
    <row r="1981" spans="20:31" ht="14.4">
      <c r="T1981" s="25" t="s">
        <v>922</v>
      </c>
      <c r="U1981" s="25" t="s">
        <v>854</v>
      </c>
      <c r="V1981" s="25" t="s">
        <v>625</v>
      </c>
      <c r="W1981" s="25" t="str">
        <f t="shared" si="49"/>
        <v>Square CassetteTop FixAcmeda E6 Motor</v>
      </c>
      <c r="X1981" s="25">
        <v>10</v>
      </c>
      <c r="Y1981" s="25">
        <v>14</v>
      </c>
      <c r="Z1981" s="25">
        <v>14</v>
      </c>
      <c r="AA1981" s="25" t="s">
        <v>824</v>
      </c>
      <c r="AB1981" s="25" t="s">
        <v>821</v>
      </c>
      <c r="AC1981" s="25" t="s">
        <v>821</v>
      </c>
      <c r="AD1981" s="25" t="s">
        <v>821</v>
      </c>
      <c r="AE1981" s="25" t="s">
        <v>818</v>
      </c>
    </row>
    <row r="1982" spans="20:31" ht="14.4">
      <c r="T1982" s="25" t="s">
        <v>922</v>
      </c>
      <c r="U1982" s="25" t="s">
        <v>854</v>
      </c>
      <c r="V1982" s="25" t="s">
        <v>626</v>
      </c>
      <c r="W1982" s="25" t="str">
        <f t="shared" si="49"/>
        <v>Square CassetteTop FixAcmeda M6 Motor</v>
      </c>
      <c r="X1982" s="25">
        <v>10</v>
      </c>
      <c r="Y1982" s="25">
        <v>14</v>
      </c>
      <c r="Z1982" s="25">
        <v>14</v>
      </c>
      <c r="AA1982" s="25" t="s">
        <v>824</v>
      </c>
      <c r="AB1982" s="25" t="s">
        <v>821</v>
      </c>
      <c r="AC1982" s="25" t="s">
        <v>821</v>
      </c>
      <c r="AD1982" s="25" t="s">
        <v>821</v>
      </c>
      <c r="AE1982" s="25" t="s">
        <v>818</v>
      </c>
    </row>
    <row r="1983" spans="20:31" ht="14.4">
      <c r="T1983" s="25" t="s">
        <v>922</v>
      </c>
      <c r="U1983" s="25" t="s">
        <v>854</v>
      </c>
      <c r="V1983" s="25" t="s">
        <v>1002</v>
      </c>
      <c r="W1983" s="25" t="str">
        <f t="shared" si="49"/>
        <v>Square CassetteTop FixUniline Remote Motor</v>
      </c>
      <c r="X1983" s="25">
        <v>10</v>
      </c>
      <c r="Y1983" s="25">
        <v>14</v>
      </c>
      <c r="Z1983" s="25">
        <v>14</v>
      </c>
      <c r="AA1983" s="25" t="s">
        <v>824</v>
      </c>
      <c r="AB1983" s="25" t="s">
        <v>821</v>
      </c>
      <c r="AC1983" s="25" t="s">
        <v>821</v>
      </c>
      <c r="AD1983" s="25" t="s">
        <v>821</v>
      </c>
      <c r="AE1983" s="25" t="s">
        <v>818</v>
      </c>
    </row>
    <row r="1984" spans="20:31" ht="14.4">
      <c r="T1984" s="25" t="s">
        <v>922</v>
      </c>
      <c r="U1984" s="25" t="s">
        <v>854</v>
      </c>
      <c r="V1984" s="25" t="s">
        <v>1005</v>
      </c>
      <c r="W1984" s="25" t="str">
        <f t="shared" si="49"/>
        <v>Square CassetteTop FixUniline Cbus Motor</v>
      </c>
      <c r="X1984" s="25">
        <v>10</v>
      </c>
      <c r="Y1984" s="25">
        <v>14</v>
      </c>
      <c r="Z1984" s="25">
        <v>14</v>
      </c>
      <c r="AA1984" s="25" t="s">
        <v>824</v>
      </c>
      <c r="AB1984" s="25" t="s">
        <v>821</v>
      </c>
      <c r="AC1984" s="25" t="s">
        <v>821</v>
      </c>
      <c r="AD1984" s="25" t="s">
        <v>821</v>
      </c>
      <c r="AE1984" s="25" t="s">
        <v>818</v>
      </c>
    </row>
    <row r="1985" spans="20:31" ht="14.4">
      <c r="T1985" s="25" t="s">
        <v>922</v>
      </c>
      <c r="U1985" s="25" t="s">
        <v>854</v>
      </c>
      <c r="V1985" s="25" t="s">
        <v>981</v>
      </c>
      <c r="W1985" s="25" t="str">
        <f t="shared" si="49"/>
        <v>Square CassetteTop FixNice Remote Motor</v>
      </c>
      <c r="X1985" s="25">
        <v>10</v>
      </c>
      <c r="Y1985" s="25">
        <v>14</v>
      </c>
      <c r="Z1985" s="25">
        <v>14</v>
      </c>
      <c r="AA1985" s="25" t="s">
        <v>824</v>
      </c>
      <c r="AB1985" s="25" t="s">
        <v>821</v>
      </c>
      <c r="AC1985" s="25" t="s">
        <v>821</v>
      </c>
      <c r="AD1985" s="25" t="s">
        <v>821</v>
      </c>
      <c r="AE1985" s="25" t="s">
        <v>818</v>
      </c>
    </row>
    <row r="1986" spans="20:31" ht="14.4">
      <c r="T1986" s="25" t="s">
        <v>922</v>
      </c>
      <c r="U1986" s="25" t="s">
        <v>854</v>
      </c>
      <c r="V1986" s="25" t="s">
        <v>976</v>
      </c>
      <c r="W1986" s="25" t="str">
        <f t="shared" si="49"/>
        <v>Square CassetteTop FixNice CBus Motor</v>
      </c>
      <c r="X1986" s="25">
        <v>10</v>
      </c>
      <c r="Y1986" s="25">
        <v>14</v>
      </c>
      <c r="Z1986" s="25">
        <v>14</v>
      </c>
      <c r="AA1986" s="25" t="s">
        <v>824</v>
      </c>
      <c r="AB1986" s="25" t="s">
        <v>821</v>
      </c>
      <c r="AC1986" s="25" t="s">
        <v>821</v>
      </c>
      <c r="AD1986" s="25" t="s">
        <v>821</v>
      </c>
      <c r="AE1986" s="25" t="s">
        <v>818</v>
      </c>
    </row>
    <row r="1987" spans="20:31" ht="14.4">
      <c r="T1987" s="25" t="s">
        <v>922</v>
      </c>
      <c r="U1987" s="25" t="s">
        <v>854</v>
      </c>
      <c r="V1987" t="s">
        <v>1006</v>
      </c>
      <c r="W1987" s="25" t="str">
        <f t="shared" si="50" ref="W1987:W2050">CONCATENATE(T1987,U1987,V1987)</f>
        <v>Square CassetteTop FixSunboss Chain Winder 38mm Tube</v>
      </c>
      <c r="X1987" s="25">
        <v>10</v>
      </c>
      <c r="Y1987" s="25">
        <v>14</v>
      </c>
      <c r="Z1987" s="25">
        <v>14</v>
      </c>
      <c r="AA1987" s="25" t="s">
        <v>824</v>
      </c>
      <c r="AB1987" s="25" t="s">
        <v>821</v>
      </c>
      <c r="AC1987" s="25" t="s">
        <v>821</v>
      </c>
      <c r="AD1987" s="25" t="s">
        <v>821</v>
      </c>
      <c r="AE1987" s="25" t="s">
        <v>818</v>
      </c>
    </row>
    <row r="1988" spans="20:31" ht="14.4">
      <c r="T1988" s="25" t="s">
        <v>922</v>
      </c>
      <c r="U1988" s="25" t="s">
        <v>854</v>
      </c>
      <c r="V1988" t="s">
        <v>1017</v>
      </c>
      <c r="W1988" s="25" t="str">
        <f t="shared" si="50"/>
        <v>Square CassetteTop FixSunboss Chain Winder 43mm Tube</v>
      </c>
      <c r="X1988" s="25">
        <v>10</v>
      </c>
      <c r="Y1988" s="25">
        <v>14</v>
      </c>
      <c r="Z1988" s="25">
        <v>14</v>
      </c>
      <c r="AA1988" s="25" t="s">
        <v>824</v>
      </c>
      <c r="AB1988" s="25" t="s">
        <v>821</v>
      </c>
      <c r="AC1988" s="25" t="s">
        <v>821</v>
      </c>
      <c r="AD1988" s="25" t="s">
        <v>821</v>
      </c>
      <c r="AE1988" s="25" t="s">
        <v>818</v>
      </c>
    </row>
    <row r="1989" spans="20:31" ht="14.4">
      <c r="T1989" s="25" t="s">
        <v>922</v>
      </c>
      <c r="U1989" s="25" t="s">
        <v>854</v>
      </c>
      <c r="V1989" s="25" t="s">
        <v>1012</v>
      </c>
      <c r="W1989" s="25" t="str">
        <f t="shared" si="50"/>
        <v>Square CassetteTop FixTBS Remote Motor</v>
      </c>
      <c r="X1989" s="25">
        <v>10</v>
      </c>
      <c r="Y1989" s="25">
        <v>14</v>
      </c>
      <c r="Z1989" s="25">
        <v>14</v>
      </c>
      <c r="AA1989" s="25" t="s">
        <v>824</v>
      </c>
      <c r="AB1989" s="25" t="s">
        <v>821</v>
      </c>
      <c r="AC1989" s="25" t="s">
        <v>821</v>
      </c>
      <c r="AD1989" s="25" t="s">
        <v>821</v>
      </c>
      <c r="AE1989" s="25" t="s">
        <v>818</v>
      </c>
    </row>
    <row r="1990" spans="20:31" ht="14.4">
      <c r="T1990" s="25" t="s">
        <v>922</v>
      </c>
      <c r="U1990" s="25" t="s">
        <v>854</v>
      </c>
      <c r="V1990" t="s">
        <v>1009</v>
      </c>
      <c r="W1990" s="25" t="str">
        <f t="shared" si="50"/>
        <v>Square CassetteTop FixTBS Cbus Motor</v>
      </c>
      <c r="X1990" s="25">
        <v>10</v>
      </c>
      <c r="Y1990" s="25">
        <v>14</v>
      </c>
      <c r="Z1990" s="25">
        <v>14</v>
      </c>
      <c r="AA1990" s="25" t="s">
        <v>824</v>
      </c>
      <c r="AB1990" s="25" t="s">
        <v>821</v>
      </c>
      <c r="AC1990" s="25" t="s">
        <v>821</v>
      </c>
      <c r="AD1990" s="25" t="s">
        <v>821</v>
      </c>
      <c r="AE1990" s="25" t="s">
        <v>818</v>
      </c>
    </row>
    <row r="1991" spans="20:31" ht="14.4">
      <c r="T1991" s="25" t="s">
        <v>922</v>
      </c>
      <c r="U1991" s="25" t="s">
        <v>854</v>
      </c>
      <c r="V1991" t="s">
        <v>927</v>
      </c>
      <c r="W1991" s="25" t="str">
        <f t="shared" si="50"/>
        <v>Square CassetteTop FixAcmeda External Motor</v>
      </c>
      <c r="X1991" s="25">
        <v>10</v>
      </c>
      <c r="Y1991" s="25">
        <v>14</v>
      </c>
      <c r="Z1991" s="25">
        <v>14</v>
      </c>
      <c r="AA1991" s="25" t="s">
        <v>824</v>
      </c>
      <c r="AB1991" s="25" t="s">
        <v>821</v>
      </c>
      <c r="AC1991" s="25" t="s">
        <v>821</v>
      </c>
      <c r="AD1991" s="25" t="s">
        <v>821</v>
      </c>
      <c r="AE1991" s="25" t="s">
        <v>818</v>
      </c>
    </row>
    <row r="1992" spans="20:31" ht="14.4">
      <c r="T1992" s="25" t="s">
        <v>922</v>
      </c>
      <c r="U1992" s="25" t="s">
        <v>854</v>
      </c>
      <c r="V1992" t="s">
        <v>918</v>
      </c>
      <c r="W1992" s="25" t="str">
        <f t="shared" si="50"/>
        <v>Square CassetteTop FixAcmeda External 12v Motor</v>
      </c>
      <c r="X1992" s="25">
        <v>10</v>
      </c>
      <c r="Y1992" s="25">
        <v>14</v>
      </c>
      <c r="Z1992" s="25">
        <v>14</v>
      </c>
      <c r="AA1992" s="25" t="s">
        <v>824</v>
      </c>
      <c r="AB1992" s="25" t="s">
        <v>821</v>
      </c>
      <c r="AC1992" s="25" t="s">
        <v>821</v>
      </c>
      <c r="AD1992" s="25" t="s">
        <v>821</v>
      </c>
      <c r="AE1992" s="25" t="s">
        <v>818</v>
      </c>
    </row>
    <row r="1993" spans="20:31" ht="14.4">
      <c r="T1993" s="25" t="s">
        <v>922</v>
      </c>
      <c r="U1993" s="25" t="s">
        <v>854</v>
      </c>
      <c r="V1993" t="s">
        <v>979</v>
      </c>
      <c r="W1993" s="25" t="str">
        <f t="shared" si="50"/>
        <v>Square CassetteTop FixSomfy External CBUS Motor</v>
      </c>
      <c r="X1993" s="25">
        <v>10</v>
      </c>
      <c r="Y1993" s="25">
        <v>14</v>
      </c>
      <c r="Z1993" s="25">
        <v>14</v>
      </c>
      <c r="AA1993" s="25" t="s">
        <v>824</v>
      </c>
      <c r="AB1993" s="25" t="s">
        <v>821</v>
      </c>
      <c r="AC1993" s="25" t="s">
        <v>821</v>
      </c>
      <c r="AD1993" s="25" t="s">
        <v>821</v>
      </c>
      <c r="AE1993" s="25" t="s">
        <v>818</v>
      </c>
    </row>
    <row r="1994" spans="20:31" ht="14.4">
      <c r="T1994" s="25" t="s">
        <v>922</v>
      </c>
      <c r="U1994" s="25" t="s">
        <v>854</v>
      </c>
      <c r="V1994" t="s">
        <v>983</v>
      </c>
      <c r="W1994" s="25" t="str">
        <f t="shared" si="50"/>
        <v>Square CassetteTop FixSomfy External Remote Motor</v>
      </c>
      <c r="X1994" s="25">
        <v>10</v>
      </c>
      <c r="Y1994" s="25">
        <v>14</v>
      </c>
      <c r="Z1994" s="25">
        <v>14</v>
      </c>
      <c r="AA1994" s="25" t="s">
        <v>824</v>
      </c>
      <c r="AB1994" s="25" t="s">
        <v>821</v>
      </c>
      <c r="AC1994" s="25" t="s">
        <v>821</v>
      </c>
      <c r="AD1994" s="25" t="s">
        <v>821</v>
      </c>
      <c r="AE1994" s="25" t="s">
        <v>818</v>
      </c>
    </row>
    <row r="1995" spans="20:31" ht="14.4">
      <c r="T1995" s="25" t="s">
        <v>922</v>
      </c>
      <c r="U1995" s="25" t="s">
        <v>854</v>
      </c>
      <c r="V1995" t="s">
        <v>979</v>
      </c>
      <c r="W1995" s="25" t="str">
        <f t="shared" si="50"/>
        <v>Square CassetteTop FixSomfy External CBUS Motor</v>
      </c>
      <c r="X1995" s="25">
        <v>10</v>
      </c>
      <c r="Y1995" s="25">
        <v>14</v>
      </c>
      <c r="Z1995" s="25">
        <v>14</v>
      </c>
      <c r="AA1995" s="25" t="s">
        <v>824</v>
      </c>
      <c r="AB1995" s="25" t="s">
        <v>821</v>
      </c>
      <c r="AC1995" s="25" t="s">
        <v>821</v>
      </c>
      <c r="AD1995" s="25" t="s">
        <v>821</v>
      </c>
      <c r="AE1995" s="25" t="s">
        <v>818</v>
      </c>
    </row>
    <row r="1996" spans="20:31" ht="14.4">
      <c r="T1996" s="25" t="s">
        <v>922</v>
      </c>
      <c r="U1996" s="25" t="s">
        <v>854</v>
      </c>
      <c r="V1996" t="s">
        <v>999</v>
      </c>
      <c r="W1996" s="25" t="str">
        <f t="shared" si="50"/>
        <v>Square CassetteTop FixHD Somfy External Remote Motor</v>
      </c>
      <c r="X1996" s="25">
        <v>10</v>
      </c>
      <c r="Y1996" s="25">
        <v>14</v>
      </c>
      <c r="Z1996" s="25">
        <v>14</v>
      </c>
      <c r="AA1996" s="25" t="s">
        <v>824</v>
      </c>
      <c r="AB1996" s="25" t="s">
        <v>821</v>
      </c>
      <c r="AC1996" s="25" t="s">
        <v>821</v>
      </c>
      <c r="AD1996" s="25" t="s">
        <v>821</v>
      </c>
      <c r="AE1996" s="25" t="s">
        <v>818</v>
      </c>
    </row>
    <row r="1997" spans="20:31" ht="14.4">
      <c r="T1997" s="25" t="s">
        <v>922</v>
      </c>
      <c r="U1997" s="25" t="s">
        <v>880</v>
      </c>
      <c r="V1997" s="25" t="s">
        <v>823</v>
      </c>
      <c r="W1997" s="25" t="str">
        <f t="shared" si="50"/>
        <v>Square CassetteInside Window MountChain Winder</v>
      </c>
      <c r="X1997" s="25">
        <v>10</v>
      </c>
      <c r="Y1997" s="25">
        <v>14</v>
      </c>
      <c r="Z1997" s="25">
        <v>29</v>
      </c>
      <c r="AA1997" s="25" t="s">
        <v>824</v>
      </c>
      <c r="AB1997" s="25" t="s">
        <v>821</v>
      </c>
      <c r="AC1997" s="25" t="s">
        <v>821</v>
      </c>
      <c r="AD1997" s="25" t="s">
        <v>821</v>
      </c>
      <c r="AE1997" s="25" t="s">
        <v>818</v>
      </c>
    </row>
    <row r="1998" spans="20:31" ht="14.4">
      <c r="T1998" s="25" t="s">
        <v>922</v>
      </c>
      <c r="U1998" s="25" t="s">
        <v>880</v>
      </c>
      <c r="V1998" s="25" t="s">
        <v>841</v>
      </c>
      <c r="W1998" s="25" t="str">
        <f t="shared" si="50"/>
        <v>Square CassetteInside Window MountHD Chain Winder</v>
      </c>
      <c r="X1998" s="25">
        <v>10</v>
      </c>
      <c r="Y1998" s="25">
        <v>14</v>
      </c>
      <c r="Z1998" s="25">
        <v>29</v>
      </c>
      <c r="AA1998" s="25" t="s">
        <v>824</v>
      </c>
      <c r="AB1998" s="25" t="s">
        <v>821</v>
      </c>
      <c r="AC1998" s="25" t="s">
        <v>821</v>
      </c>
      <c r="AD1998" s="25" t="s">
        <v>821</v>
      </c>
      <c r="AE1998" s="25" t="s">
        <v>818</v>
      </c>
    </row>
    <row r="1999" spans="20:31" ht="14.4">
      <c r="T1999" s="25" t="s">
        <v>922</v>
      </c>
      <c r="U1999" s="25" t="s">
        <v>880</v>
      </c>
      <c r="V1999" s="25" t="s">
        <v>858</v>
      </c>
      <c r="W1999" s="25" t="str">
        <f t="shared" si="50"/>
        <v>Square CassetteInside Window MountChain Winder 60mm</v>
      </c>
      <c r="X1999" s="25">
        <v>10</v>
      </c>
      <c r="Y1999" s="25">
        <v>14</v>
      </c>
      <c r="Z1999" s="25">
        <v>29</v>
      </c>
      <c r="AA1999" s="25" t="s">
        <v>824</v>
      </c>
      <c r="AB1999" s="25" t="s">
        <v>821</v>
      </c>
      <c r="AC1999" s="25" t="s">
        <v>821</v>
      </c>
      <c r="AD1999" s="25" t="s">
        <v>821</v>
      </c>
      <c r="AE1999" s="25" t="s">
        <v>818</v>
      </c>
    </row>
    <row r="2000" spans="20:31" ht="14.4">
      <c r="T2000" s="25" t="s">
        <v>922</v>
      </c>
      <c r="U2000" s="25" t="s">
        <v>880</v>
      </c>
      <c r="V2000" s="25" t="s">
        <v>865</v>
      </c>
      <c r="W2000" s="25" t="str">
        <f t="shared" si="50"/>
        <v>Square CassetteInside Window MountChain Winder Fixed Guide</v>
      </c>
      <c r="X2000" s="25">
        <v>10</v>
      </c>
      <c r="Y2000" s="25">
        <v>14</v>
      </c>
      <c r="Z2000" s="25">
        <v>29</v>
      </c>
      <c r="AA2000" s="25" t="s">
        <v>824</v>
      </c>
      <c r="AB2000" s="25" t="s">
        <v>821</v>
      </c>
      <c r="AC2000" s="25" t="s">
        <v>821</v>
      </c>
      <c r="AD2000" s="25" t="s">
        <v>821</v>
      </c>
      <c r="AE2000" s="25" t="s">
        <v>818</v>
      </c>
    </row>
    <row r="2001" spans="20:31" ht="14.4">
      <c r="T2001" s="25" t="s">
        <v>922</v>
      </c>
      <c r="U2001" s="25" t="s">
        <v>880</v>
      </c>
      <c r="V2001" s="25" t="s">
        <v>181</v>
      </c>
      <c r="W2001" s="25" t="str">
        <f t="shared" si="50"/>
        <v>Square CassetteInside Window MountLinked</v>
      </c>
      <c r="X2001" s="25">
        <v>10</v>
      </c>
      <c r="Y2001" s="25">
        <v>14</v>
      </c>
      <c r="Z2001" s="25">
        <v>14</v>
      </c>
      <c r="AA2001" s="25" t="s">
        <v>824</v>
      </c>
      <c r="AB2001" s="25" t="s">
        <v>821</v>
      </c>
      <c r="AC2001" s="25" t="s">
        <v>821</v>
      </c>
      <c r="AD2001" s="25" t="s">
        <v>821</v>
      </c>
      <c r="AE2001" s="25" t="s">
        <v>818</v>
      </c>
    </row>
    <row r="2002" spans="20:31" ht="14.4">
      <c r="T2002" s="25" t="s">
        <v>922</v>
      </c>
      <c r="U2002" s="25" t="s">
        <v>880</v>
      </c>
      <c r="V2002" s="25" t="s">
        <v>898</v>
      </c>
      <c r="W2002" s="25" t="str">
        <f t="shared" si="50"/>
        <v>Square CassetteInside Window MountLinked - HD</v>
      </c>
      <c r="X2002" s="25">
        <v>10</v>
      </c>
      <c r="Y2002" s="25">
        <v>14</v>
      </c>
      <c r="Z2002" s="25">
        <v>14</v>
      </c>
      <c r="AA2002" s="25" t="s">
        <v>824</v>
      </c>
      <c r="AB2002" s="25" t="s">
        <v>821</v>
      </c>
      <c r="AC2002" s="25" t="s">
        <v>821</v>
      </c>
      <c r="AD2002" s="25" t="s">
        <v>821</v>
      </c>
      <c r="AE2002" s="25" t="s">
        <v>818</v>
      </c>
    </row>
    <row r="2003" spans="20:31" ht="14.4">
      <c r="T2003" s="25" t="s">
        <v>922</v>
      </c>
      <c r="U2003" s="25" t="s">
        <v>880</v>
      </c>
      <c r="V2003" s="25" t="s">
        <v>910</v>
      </c>
      <c r="W2003" s="25" t="str">
        <f t="shared" si="50"/>
        <v>Square CassetteInside Window MountStandard Spring</v>
      </c>
      <c r="X2003" s="25">
        <v>10</v>
      </c>
      <c r="Y2003" s="25">
        <v>14</v>
      </c>
      <c r="Z2003" s="25">
        <v>14</v>
      </c>
      <c r="AA2003" s="25" t="s">
        <v>824</v>
      </c>
      <c r="AB2003" s="25" t="s">
        <v>821</v>
      </c>
      <c r="AC2003" s="25" t="s">
        <v>821</v>
      </c>
      <c r="AD2003" s="25" t="s">
        <v>821</v>
      </c>
      <c r="AE2003" s="25" t="s">
        <v>818</v>
      </c>
    </row>
    <row r="2004" spans="20:31" ht="14.4">
      <c r="T2004" s="25" t="s">
        <v>922</v>
      </c>
      <c r="U2004" s="25" t="s">
        <v>880</v>
      </c>
      <c r="V2004" s="25" t="s">
        <v>920</v>
      </c>
      <c r="W2004" s="25" t="str">
        <f t="shared" si="50"/>
        <v>Square CassetteInside Window MountSmall Spring</v>
      </c>
      <c r="X2004" s="25">
        <v>10</v>
      </c>
      <c r="Y2004" s="25">
        <v>14</v>
      </c>
      <c r="Z2004" s="25">
        <v>14</v>
      </c>
      <c r="AA2004" s="25" t="s">
        <v>824</v>
      </c>
      <c r="AB2004" s="25" t="s">
        <v>821</v>
      </c>
      <c r="AC2004" s="25" t="s">
        <v>821</v>
      </c>
      <c r="AD2004" s="25" t="s">
        <v>821</v>
      </c>
      <c r="AE2004" s="25" t="s">
        <v>818</v>
      </c>
    </row>
    <row r="2005" spans="20:31" ht="14.4">
      <c r="T2005" s="25" t="s">
        <v>922</v>
      </c>
      <c r="U2005" s="25" t="s">
        <v>880</v>
      </c>
      <c r="V2005" s="25" t="s">
        <v>929</v>
      </c>
      <c r="W2005" s="25" t="str">
        <f t="shared" si="50"/>
        <v>Square CassetteInside Window MountUniline Spring (Old Style)</v>
      </c>
      <c r="X2005" s="25">
        <v>10</v>
      </c>
      <c r="Y2005" s="25">
        <v>14</v>
      </c>
      <c r="Z2005" s="25">
        <v>14</v>
      </c>
      <c r="AA2005" s="25" t="s">
        <v>824</v>
      </c>
      <c r="AB2005" s="25" t="s">
        <v>821</v>
      </c>
      <c r="AC2005" s="25" t="s">
        <v>821</v>
      </c>
      <c r="AD2005" s="25" t="s">
        <v>821</v>
      </c>
      <c r="AE2005" s="25" t="s">
        <v>818</v>
      </c>
    </row>
    <row r="2006" spans="20:31" ht="14.4">
      <c r="T2006" s="25" t="s">
        <v>922</v>
      </c>
      <c r="U2006" s="25" t="s">
        <v>880</v>
      </c>
      <c r="V2006" s="25" t="s">
        <v>935</v>
      </c>
      <c r="W2006" s="25" t="str">
        <f t="shared" si="50"/>
        <v>Square CassetteInside Window MountBecker Remote Motor</v>
      </c>
      <c r="X2006" s="25">
        <v>10</v>
      </c>
      <c r="Y2006" s="25">
        <v>14</v>
      </c>
      <c r="Z2006" s="25">
        <v>14</v>
      </c>
      <c r="AA2006" s="25" t="s">
        <v>824</v>
      </c>
      <c r="AB2006" s="25" t="s">
        <v>821</v>
      </c>
      <c r="AC2006" s="25" t="s">
        <v>821</v>
      </c>
      <c r="AD2006" s="25" t="s">
        <v>821</v>
      </c>
      <c r="AE2006" s="25" t="s">
        <v>818</v>
      </c>
    </row>
    <row r="2007" spans="20:31" ht="14.4">
      <c r="T2007" s="25" t="s">
        <v>922</v>
      </c>
      <c r="U2007" s="25" t="s">
        <v>880</v>
      </c>
      <c r="V2007" s="25" t="s">
        <v>939</v>
      </c>
      <c r="W2007" s="25" t="str">
        <f t="shared" si="50"/>
        <v>Square CassetteInside Window MountBecker CBUS Motor</v>
      </c>
      <c r="X2007" s="25">
        <v>10</v>
      </c>
      <c r="Y2007" s="25">
        <v>14</v>
      </c>
      <c r="Z2007" s="25">
        <v>14</v>
      </c>
      <c r="AA2007" s="25" t="s">
        <v>824</v>
      </c>
      <c r="AB2007" s="25" t="s">
        <v>821</v>
      </c>
      <c r="AC2007" s="25" t="s">
        <v>821</v>
      </c>
      <c r="AD2007" s="25" t="s">
        <v>821</v>
      </c>
      <c r="AE2007" s="25" t="s">
        <v>818</v>
      </c>
    </row>
    <row r="2008" spans="20:31" ht="14.4">
      <c r="T2008" s="25" t="s">
        <v>922</v>
      </c>
      <c r="U2008" s="25" t="s">
        <v>880</v>
      </c>
      <c r="V2008" s="25" t="s">
        <v>946</v>
      </c>
      <c r="W2008" s="25" t="str">
        <f t="shared" si="50"/>
        <v>Square CassetteInside Window MountBecker External Remote Motor</v>
      </c>
      <c r="X2008" s="25">
        <v>10</v>
      </c>
      <c r="Y2008" s="25">
        <v>14</v>
      </c>
      <c r="Z2008" s="25">
        <v>14</v>
      </c>
      <c r="AA2008" s="25" t="s">
        <v>824</v>
      </c>
      <c r="AB2008" s="25" t="s">
        <v>821</v>
      </c>
      <c r="AC2008" s="25" t="s">
        <v>821</v>
      </c>
      <c r="AD2008" s="25" t="s">
        <v>821</v>
      </c>
      <c r="AE2008" s="25" t="s">
        <v>818</v>
      </c>
    </row>
    <row r="2009" spans="20:31" ht="14.4">
      <c r="T2009" s="25" t="s">
        <v>922</v>
      </c>
      <c r="U2009" s="25" t="s">
        <v>880</v>
      </c>
      <c r="V2009" s="25" t="s">
        <v>951</v>
      </c>
      <c r="W2009" s="25" t="str">
        <f t="shared" si="50"/>
        <v>Square CassetteInside Window MountBecker External CBUS Motor</v>
      </c>
      <c r="X2009" s="25">
        <v>10</v>
      </c>
      <c r="Y2009" s="25">
        <v>14</v>
      </c>
      <c r="Z2009" s="25">
        <v>14</v>
      </c>
      <c r="AA2009" s="25" t="s">
        <v>824</v>
      </c>
      <c r="AB2009" s="25" t="s">
        <v>821</v>
      </c>
      <c r="AC2009" s="25" t="s">
        <v>821</v>
      </c>
      <c r="AD2009" s="25" t="s">
        <v>821</v>
      </c>
      <c r="AE2009" s="25" t="s">
        <v>818</v>
      </c>
    </row>
    <row r="2010" spans="20:31" ht="14.4">
      <c r="T2010" s="25" t="s">
        <v>922</v>
      </c>
      <c r="U2010" s="25" t="s">
        <v>880</v>
      </c>
      <c r="V2010" s="25" t="s">
        <v>838</v>
      </c>
      <c r="W2010" s="25" t="str">
        <f t="shared" si="50"/>
        <v>Square CassetteInside Window Mount1.1nm 12v Acmeda Motor</v>
      </c>
      <c r="X2010" s="25">
        <v>10</v>
      </c>
      <c r="Y2010" s="25">
        <v>14</v>
      </c>
      <c r="Z2010" s="25">
        <v>14</v>
      </c>
      <c r="AA2010" s="25" t="s">
        <v>824</v>
      </c>
      <c r="AB2010" s="25" t="s">
        <v>821</v>
      </c>
      <c r="AC2010" s="25" t="s">
        <v>821</v>
      </c>
      <c r="AD2010" s="25" t="s">
        <v>821</v>
      </c>
      <c r="AE2010" s="25" t="s">
        <v>818</v>
      </c>
    </row>
    <row r="2011" spans="20:31" ht="14.4">
      <c r="T2011" s="25" t="s">
        <v>922</v>
      </c>
      <c r="U2011" s="25" t="s">
        <v>880</v>
      </c>
      <c r="V2011" t="s">
        <v>882</v>
      </c>
      <c r="W2011" s="25" t="str">
        <f t="shared" si="50"/>
        <v>Square CassetteInside Window Mount2nm 12v Acmeda Motor</v>
      </c>
      <c r="X2011" s="25">
        <v>10</v>
      </c>
      <c r="Y2011" s="25">
        <v>14</v>
      </c>
      <c r="Z2011" s="25">
        <v>14</v>
      </c>
      <c r="AA2011" s="25" t="s">
        <v>824</v>
      </c>
      <c r="AB2011" s="25" t="s">
        <v>821</v>
      </c>
      <c r="AC2011" s="25" t="s">
        <v>821</v>
      </c>
      <c r="AD2011" s="25" t="s">
        <v>821</v>
      </c>
      <c r="AE2011" s="25" t="s">
        <v>818</v>
      </c>
    </row>
    <row r="2012" spans="20:31" ht="14.4">
      <c r="T2012" s="25" t="s">
        <v>922</v>
      </c>
      <c r="U2012" s="25" t="s">
        <v>880</v>
      </c>
      <c r="V2012" t="s">
        <v>896</v>
      </c>
      <c r="W2012" s="25" t="str">
        <f t="shared" si="50"/>
        <v>Square CassetteInside Window MountAcmeda 12v 6nm Motor</v>
      </c>
      <c r="X2012" s="25">
        <v>10</v>
      </c>
      <c r="Y2012" s="25">
        <v>14</v>
      </c>
      <c r="Z2012" s="25">
        <v>14</v>
      </c>
      <c r="AA2012" s="25" t="s">
        <v>824</v>
      </c>
      <c r="AB2012" s="25" t="s">
        <v>821</v>
      </c>
      <c r="AC2012" s="25" t="s">
        <v>821</v>
      </c>
      <c r="AD2012" s="25" t="s">
        <v>821</v>
      </c>
      <c r="AE2012" s="25" t="s">
        <v>818</v>
      </c>
    </row>
    <row r="2013" spans="20:31" ht="14.4">
      <c r="T2013" s="25" t="s">
        <v>922</v>
      </c>
      <c r="U2013" s="25" t="s">
        <v>880</v>
      </c>
      <c r="V2013" t="s">
        <v>855</v>
      </c>
      <c r="W2013" s="25" t="str">
        <f t="shared" si="50"/>
        <v>Square CassetteInside Window Mount0.7nm 12v Acmeda Motor</v>
      </c>
      <c r="X2013" s="25">
        <v>10</v>
      </c>
      <c r="Y2013" s="25">
        <v>14</v>
      </c>
      <c r="Z2013" s="25">
        <v>14</v>
      </c>
      <c r="AA2013" s="25" t="s">
        <v>824</v>
      </c>
      <c r="AB2013" s="25" t="s">
        <v>821</v>
      </c>
      <c r="AC2013" s="25" t="s">
        <v>821</v>
      </c>
      <c r="AD2013" s="25" t="s">
        <v>821</v>
      </c>
      <c r="AE2013" s="25" t="s">
        <v>818</v>
      </c>
    </row>
    <row r="2014" spans="20:31" ht="14.4">
      <c r="T2014" s="25" t="s">
        <v>922</v>
      </c>
      <c r="U2014" s="25" t="s">
        <v>880</v>
      </c>
      <c r="V2014" s="25" t="s">
        <v>849</v>
      </c>
      <c r="W2014" s="25" t="str">
        <f t="shared" si="50"/>
        <v>Square CassetteInside Window Mount1.1nm 12v Acmeda DCRF Motor with External Battery</v>
      </c>
      <c r="X2014" s="25">
        <v>10</v>
      </c>
      <c r="Y2014" s="25">
        <v>14</v>
      </c>
      <c r="Z2014" s="25">
        <v>14</v>
      </c>
      <c r="AA2014" s="25" t="s">
        <v>824</v>
      </c>
      <c r="AB2014" s="25" t="s">
        <v>821</v>
      </c>
      <c r="AC2014" s="25" t="s">
        <v>821</v>
      </c>
      <c r="AD2014" s="25" t="s">
        <v>821</v>
      </c>
      <c r="AE2014" s="25" t="s">
        <v>818</v>
      </c>
    </row>
    <row r="2015" spans="20:31" ht="14.4">
      <c r="T2015" s="25" t="s">
        <v>922</v>
      </c>
      <c r="U2015" s="25" t="s">
        <v>880</v>
      </c>
      <c r="V2015" s="25" t="s">
        <v>817</v>
      </c>
      <c r="W2015" s="25" t="str">
        <f t="shared" si="50"/>
        <v>Square CassetteInside Window Mount1.1nm 12v Acmeda DCRF Motor</v>
      </c>
      <c r="X2015" s="25">
        <v>10</v>
      </c>
      <c r="Y2015" s="25">
        <v>14</v>
      </c>
      <c r="Z2015" s="25">
        <v>14</v>
      </c>
      <c r="AA2015" s="25" t="s">
        <v>824</v>
      </c>
      <c r="AB2015" s="25" t="s">
        <v>821</v>
      </c>
      <c r="AC2015" s="25" t="s">
        <v>821</v>
      </c>
      <c r="AD2015" s="25" t="s">
        <v>821</v>
      </c>
      <c r="AE2015" s="25" t="s">
        <v>818</v>
      </c>
    </row>
    <row r="2016" spans="20:31" ht="14.4">
      <c r="T2016" s="25" t="s">
        <v>922</v>
      </c>
      <c r="U2016" s="25" t="s">
        <v>880</v>
      </c>
      <c r="V2016" s="25" t="s">
        <v>868</v>
      </c>
      <c r="W2016" s="25" t="str">
        <f t="shared" si="50"/>
        <v>Square CassetteInside Window Mount2nm 12v Acmeda DCRF Motor</v>
      </c>
      <c r="X2016" s="25">
        <v>10</v>
      </c>
      <c r="Y2016" s="25">
        <v>14</v>
      </c>
      <c r="Z2016" s="25">
        <v>14</v>
      </c>
      <c r="AA2016" s="25" t="s">
        <v>824</v>
      </c>
      <c r="AB2016" s="25" t="s">
        <v>821</v>
      </c>
      <c r="AC2016" s="25" t="s">
        <v>821</v>
      </c>
      <c r="AD2016" s="25" t="s">
        <v>821</v>
      </c>
      <c r="AE2016" s="25" t="s">
        <v>818</v>
      </c>
    </row>
    <row r="2017" spans="20:31" ht="14.4">
      <c r="T2017" s="25" t="s">
        <v>922</v>
      </c>
      <c r="U2017" s="25" t="s">
        <v>880</v>
      </c>
      <c r="V2017" t="s">
        <v>973</v>
      </c>
      <c r="W2017" s="25" t="str">
        <f t="shared" si="50"/>
        <v>Square CassetteInside Window MountSomfy Remote Sonesse Motor</v>
      </c>
      <c r="X2017" s="25">
        <v>10</v>
      </c>
      <c r="Y2017" s="25">
        <v>14</v>
      </c>
      <c r="Z2017" s="25">
        <v>14</v>
      </c>
      <c r="AA2017" s="25" t="s">
        <v>824</v>
      </c>
      <c r="AB2017" s="25" t="s">
        <v>821</v>
      </c>
      <c r="AC2017" s="25" t="s">
        <v>821</v>
      </c>
      <c r="AD2017" s="25" t="s">
        <v>821</v>
      </c>
      <c r="AE2017" s="25" t="s">
        <v>818</v>
      </c>
    </row>
    <row r="2018" spans="20:31" ht="14.4">
      <c r="T2018" s="25" t="s">
        <v>922</v>
      </c>
      <c r="U2018" s="25" t="s">
        <v>880</v>
      </c>
      <c r="V2018" t="s">
        <v>637</v>
      </c>
      <c r="W2018" s="25" t="str">
        <f t="shared" si="50"/>
        <v>Square CassetteInside Window MountSomfy 12v Remote Sonesse Motor</v>
      </c>
      <c r="X2018" s="25">
        <v>10</v>
      </c>
      <c r="Y2018" s="25">
        <v>14</v>
      </c>
      <c r="Z2018" s="25">
        <v>14</v>
      </c>
      <c r="AA2018" s="25" t="s">
        <v>824</v>
      </c>
      <c r="AB2018" s="25" t="s">
        <v>821</v>
      </c>
      <c r="AC2018" s="25" t="s">
        <v>821</v>
      </c>
      <c r="AD2018" s="25" t="s">
        <v>821</v>
      </c>
      <c r="AE2018" s="25" t="s">
        <v>818</v>
      </c>
    </row>
    <row r="2019" spans="20:31" ht="14.4">
      <c r="T2019" s="25" t="s">
        <v>922</v>
      </c>
      <c r="U2019" s="25" t="s">
        <v>880</v>
      </c>
      <c r="V2019" s="25" t="s">
        <v>974</v>
      </c>
      <c r="W2019" s="25" t="str">
        <f t="shared" si="50"/>
        <v>Square CassetteInside Window MountSomfy CBUS Motor</v>
      </c>
      <c r="X2019" s="25">
        <v>10</v>
      </c>
      <c r="Y2019" s="25">
        <v>14</v>
      </c>
      <c r="Z2019" s="25">
        <v>14</v>
      </c>
      <c r="AA2019" s="25" t="s">
        <v>824</v>
      </c>
      <c r="AB2019" s="25" t="s">
        <v>821</v>
      </c>
      <c r="AC2019" s="25" t="s">
        <v>821</v>
      </c>
      <c r="AD2019" s="25" t="s">
        <v>821</v>
      </c>
      <c r="AE2019" s="25" t="s">
        <v>818</v>
      </c>
    </row>
    <row r="2020" spans="20:31" ht="14.4">
      <c r="T2020" s="25" t="s">
        <v>922</v>
      </c>
      <c r="U2020" s="25" t="s">
        <v>880</v>
      </c>
      <c r="V2020" t="s">
        <v>986</v>
      </c>
      <c r="W2020" s="25" t="str">
        <f t="shared" si="50"/>
        <v>Square CassetteInside Window MountHD Somfy Remote Sonesse Motor</v>
      </c>
      <c r="X2020" s="25">
        <v>10</v>
      </c>
      <c r="Y2020" s="25">
        <v>14</v>
      </c>
      <c r="Z2020" s="25">
        <v>14</v>
      </c>
      <c r="AA2020" s="25" t="s">
        <v>824</v>
      </c>
      <c r="AB2020" s="25" t="s">
        <v>821</v>
      </c>
      <c r="AC2020" s="25" t="s">
        <v>821</v>
      </c>
      <c r="AD2020" s="25" t="s">
        <v>821</v>
      </c>
      <c r="AE2020" s="25" t="s">
        <v>818</v>
      </c>
    </row>
    <row r="2021" spans="20:31" ht="14.4">
      <c r="T2021" s="25" t="s">
        <v>922</v>
      </c>
      <c r="U2021" s="25" t="s">
        <v>880</v>
      </c>
      <c r="V2021" t="s">
        <v>989</v>
      </c>
      <c r="W2021" s="25" t="str">
        <f t="shared" si="50"/>
        <v>Square CassetteInside Window MountHD Somfy 12v Remote Sonesse Motor</v>
      </c>
      <c r="X2021" s="25">
        <v>10</v>
      </c>
      <c r="Y2021" s="25">
        <v>14</v>
      </c>
      <c r="Z2021" s="25">
        <v>14</v>
      </c>
      <c r="AA2021" s="25" t="s">
        <v>824</v>
      </c>
      <c r="AB2021" s="25" t="s">
        <v>821</v>
      </c>
      <c r="AC2021" s="25" t="s">
        <v>821</v>
      </c>
      <c r="AD2021" s="25" t="s">
        <v>821</v>
      </c>
      <c r="AE2021" s="25" t="s">
        <v>818</v>
      </c>
    </row>
    <row r="2022" spans="20:31" ht="14.4">
      <c r="T2022" s="25" t="s">
        <v>922</v>
      </c>
      <c r="U2022" s="25" t="s">
        <v>880</v>
      </c>
      <c r="V2022" s="25" t="s">
        <v>992</v>
      </c>
      <c r="W2022" s="25" t="str">
        <f t="shared" si="50"/>
        <v>Square CassetteInside Window MountHD Somfy CBUS Motor</v>
      </c>
      <c r="X2022" s="25">
        <v>10</v>
      </c>
      <c r="Y2022" s="25">
        <v>14</v>
      </c>
      <c r="Z2022" s="25">
        <v>14</v>
      </c>
      <c r="AA2022" s="25" t="s">
        <v>824</v>
      </c>
      <c r="AB2022" s="25" t="s">
        <v>821</v>
      </c>
      <c r="AC2022" s="25" t="s">
        <v>821</v>
      </c>
      <c r="AD2022" s="25" t="s">
        <v>821</v>
      </c>
      <c r="AE2022" s="25" t="s">
        <v>818</v>
      </c>
    </row>
    <row r="2023" spans="20:31" ht="14.4">
      <c r="T2023" s="25" t="s">
        <v>922</v>
      </c>
      <c r="U2023" s="25" t="s">
        <v>880</v>
      </c>
      <c r="V2023" s="25" t="s">
        <v>625</v>
      </c>
      <c r="W2023" s="25" t="str">
        <f t="shared" si="50"/>
        <v>Square CassetteInside Window MountAcmeda E6 Motor</v>
      </c>
      <c r="X2023" s="25">
        <v>10</v>
      </c>
      <c r="Y2023" s="25">
        <v>14</v>
      </c>
      <c r="Z2023" s="25">
        <v>14</v>
      </c>
      <c r="AA2023" s="25" t="s">
        <v>824</v>
      </c>
      <c r="AB2023" s="25" t="s">
        <v>821</v>
      </c>
      <c r="AC2023" s="25" t="s">
        <v>821</v>
      </c>
      <c r="AD2023" s="25" t="s">
        <v>821</v>
      </c>
      <c r="AE2023" s="25" t="s">
        <v>818</v>
      </c>
    </row>
    <row r="2024" spans="20:31" ht="14.4">
      <c r="T2024" s="25" t="s">
        <v>922</v>
      </c>
      <c r="U2024" s="25" t="s">
        <v>880</v>
      </c>
      <c r="V2024" s="25" t="s">
        <v>626</v>
      </c>
      <c r="W2024" s="25" t="str">
        <f t="shared" si="50"/>
        <v>Square CassetteInside Window MountAcmeda M6 Motor</v>
      </c>
      <c r="X2024" s="25">
        <v>10</v>
      </c>
      <c r="Y2024" s="25">
        <v>14</v>
      </c>
      <c r="Z2024" s="25">
        <v>14</v>
      </c>
      <c r="AA2024" s="25" t="s">
        <v>824</v>
      </c>
      <c r="AB2024" s="25" t="s">
        <v>821</v>
      </c>
      <c r="AC2024" s="25" t="s">
        <v>821</v>
      </c>
      <c r="AD2024" s="25" t="s">
        <v>821</v>
      </c>
      <c r="AE2024" s="25" t="s">
        <v>818</v>
      </c>
    </row>
    <row r="2025" spans="20:31" ht="14.4">
      <c r="T2025" s="25" t="s">
        <v>922</v>
      </c>
      <c r="U2025" s="25" t="s">
        <v>880</v>
      </c>
      <c r="V2025" s="25" t="s">
        <v>1002</v>
      </c>
      <c r="W2025" s="25" t="str">
        <f t="shared" si="50"/>
        <v>Square CassetteInside Window MountUniline Remote Motor</v>
      </c>
      <c r="X2025" s="25">
        <v>10</v>
      </c>
      <c r="Y2025" s="25">
        <v>14</v>
      </c>
      <c r="Z2025" s="25">
        <v>14</v>
      </c>
      <c r="AA2025" s="25" t="s">
        <v>824</v>
      </c>
      <c r="AB2025" s="25" t="s">
        <v>821</v>
      </c>
      <c r="AC2025" s="25" t="s">
        <v>821</v>
      </c>
      <c r="AD2025" s="25" t="s">
        <v>821</v>
      </c>
      <c r="AE2025" s="25" t="s">
        <v>818</v>
      </c>
    </row>
    <row r="2026" spans="20:31" ht="14.4">
      <c r="T2026" s="25" t="s">
        <v>922</v>
      </c>
      <c r="U2026" s="25" t="s">
        <v>880</v>
      </c>
      <c r="V2026" s="25" t="s">
        <v>1005</v>
      </c>
      <c r="W2026" s="25" t="str">
        <f t="shared" si="50"/>
        <v>Square CassetteInside Window MountUniline Cbus Motor</v>
      </c>
      <c r="X2026" s="25">
        <v>10</v>
      </c>
      <c r="Y2026" s="25">
        <v>14</v>
      </c>
      <c r="Z2026" s="25">
        <v>14</v>
      </c>
      <c r="AA2026" s="25" t="s">
        <v>824</v>
      </c>
      <c r="AB2026" s="25" t="s">
        <v>821</v>
      </c>
      <c r="AC2026" s="25" t="s">
        <v>821</v>
      </c>
      <c r="AD2026" s="25" t="s">
        <v>821</v>
      </c>
      <c r="AE2026" s="25" t="s">
        <v>818</v>
      </c>
    </row>
    <row r="2027" spans="20:31" ht="14.4">
      <c r="T2027" s="25" t="s">
        <v>922</v>
      </c>
      <c r="U2027" s="25" t="s">
        <v>880</v>
      </c>
      <c r="V2027" s="25" t="s">
        <v>981</v>
      </c>
      <c r="W2027" s="25" t="str">
        <f t="shared" si="50"/>
        <v>Square CassetteInside Window MountNice Remote Motor</v>
      </c>
      <c r="X2027" s="25">
        <v>10</v>
      </c>
      <c r="Y2027" s="25">
        <v>14</v>
      </c>
      <c r="Z2027" s="25">
        <v>14</v>
      </c>
      <c r="AA2027" s="25" t="s">
        <v>824</v>
      </c>
      <c r="AB2027" s="25" t="s">
        <v>821</v>
      </c>
      <c r="AC2027" s="25" t="s">
        <v>821</v>
      </c>
      <c r="AD2027" s="25" t="s">
        <v>821</v>
      </c>
      <c r="AE2027" s="25" t="s">
        <v>818</v>
      </c>
    </row>
    <row r="2028" spans="20:31" ht="14.4">
      <c r="T2028" s="25" t="s">
        <v>922</v>
      </c>
      <c r="U2028" s="25" t="s">
        <v>880</v>
      </c>
      <c r="V2028" s="25" t="s">
        <v>976</v>
      </c>
      <c r="W2028" s="25" t="str">
        <f t="shared" si="50"/>
        <v>Square CassetteInside Window MountNice CBus Motor</v>
      </c>
      <c r="X2028" s="25">
        <v>10</v>
      </c>
      <c r="Y2028" s="25">
        <v>14</v>
      </c>
      <c r="Z2028" s="25">
        <v>14</v>
      </c>
      <c r="AA2028" s="25" t="s">
        <v>824</v>
      </c>
      <c r="AB2028" s="25" t="s">
        <v>821</v>
      </c>
      <c r="AC2028" s="25" t="s">
        <v>821</v>
      </c>
      <c r="AD2028" s="25" t="s">
        <v>821</v>
      </c>
      <c r="AE2028" s="25" t="s">
        <v>818</v>
      </c>
    </row>
    <row r="2029" spans="20:31" ht="14.4">
      <c r="T2029" s="25" t="s">
        <v>922</v>
      </c>
      <c r="U2029" s="25" t="s">
        <v>880</v>
      </c>
      <c r="V2029" t="s">
        <v>1006</v>
      </c>
      <c r="W2029" s="25" t="str">
        <f t="shared" si="50"/>
        <v>Square CassetteInside Window MountSunboss Chain Winder 38mm Tube</v>
      </c>
      <c r="X2029" s="25">
        <v>10</v>
      </c>
      <c r="Y2029" s="25">
        <v>14</v>
      </c>
      <c r="Z2029" s="25">
        <v>14</v>
      </c>
      <c r="AA2029" s="25" t="s">
        <v>824</v>
      </c>
      <c r="AB2029" s="25" t="s">
        <v>821</v>
      </c>
      <c r="AC2029" s="25" t="s">
        <v>821</v>
      </c>
      <c r="AD2029" s="25" t="s">
        <v>821</v>
      </c>
      <c r="AE2029" s="25" t="s">
        <v>818</v>
      </c>
    </row>
    <row r="2030" spans="20:31" ht="14.4">
      <c r="T2030" s="25" t="s">
        <v>922</v>
      </c>
      <c r="U2030" s="25" t="s">
        <v>880</v>
      </c>
      <c r="V2030" t="s">
        <v>1017</v>
      </c>
      <c r="W2030" s="25" t="str">
        <f t="shared" si="50"/>
        <v>Square CassetteInside Window MountSunboss Chain Winder 43mm Tube</v>
      </c>
      <c r="X2030" s="25">
        <v>10</v>
      </c>
      <c r="Y2030" s="25">
        <v>14</v>
      </c>
      <c r="Z2030" s="25">
        <v>14</v>
      </c>
      <c r="AA2030" s="25" t="s">
        <v>824</v>
      </c>
      <c r="AB2030" s="25" t="s">
        <v>821</v>
      </c>
      <c r="AC2030" s="25" t="s">
        <v>821</v>
      </c>
      <c r="AD2030" s="25" t="s">
        <v>821</v>
      </c>
      <c r="AE2030" s="25" t="s">
        <v>818</v>
      </c>
    </row>
    <row r="2031" spans="20:31" ht="14.4">
      <c r="T2031" s="25" t="s">
        <v>922</v>
      </c>
      <c r="U2031" s="25" t="s">
        <v>880</v>
      </c>
      <c r="V2031" s="25" t="s">
        <v>1012</v>
      </c>
      <c r="W2031" s="25" t="str">
        <f t="shared" si="50"/>
        <v>Square CassetteInside Window MountTBS Remote Motor</v>
      </c>
      <c r="X2031" s="25">
        <v>10</v>
      </c>
      <c r="Y2031" s="25">
        <v>14</v>
      </c>
      <c r="Z2031" s="25">
        <v>14</v>
      </c>
      <c r="AA2031" s="25" t="s">
        <v>824</v>
      </c>
      <c r="AB2031" s="25" t="s">
        <v>821</v>
      </c>
      <c r="AC2031" s="25" t="s">
        <v>821</v>
      </c>
      <c r="AD2031" s="25" t="s">
        <v>821</v>
      </c>
      <c r="AE2031" s="25" t="s">
        <v>818</v>
      </c>
    </row>
    <row r="2032" spans="20:31" ht="14.4">
      <c r="T2032" s="25" t="s">
        <v>922</v>
      </c>
      <c r="U2032" s="25" t="s">
        <v>880</v>
      </c>
      <c r="V2032" t="s">
        <v>1009</v>
      </c>
      <c r="W2032" s="25" t="str">
        <f t="shared" si="50"/>
        <v>Square CassetteInside Window MountTBS Cbus Motor</v>
      </c>
      <c r="X2032" s="25">
        <v>10</v>
      </c>
      <c r="Y2032" s="25">
        <v>14</v>
      </c>
      <c r="Z2032" s="25">
        <v>14</v>
      </c>
      <c r="AA2032" s="25" t="s">
        <v>824</v>
      </c>
      <c r="AB2032" s="25" t="s">
        <v>821</v>
      </c>
      <c r="AC2032" s="25" t="s">
        <v>821</v>
      </c>
      <c r="AD2032" s="25" t="s">
        <v>821</v>
      </c>
      <c r="AE2032" s="25" t="s">
        <v>818</v>
      </c>
    </row>
    <row r="2033" spans="20:31" ht="14.4">
      <c r="T2033" s="25" t="s">
        <v>922</v>
      </c>
      <c r="U2033" s="25" t="s">
        <v>880</v>
      </c>
      <c r="V2033" t="s">
        <v>927</v>
      </c>
      <c r="W2033" s="25" t="str">
        <f t="shared" si="50"/>
        <v>Square CassetteInside Window MountAcmeda External Motor</v>
      </c>
      <c r="X2033" s="25">
        <v>10</v>
      </c>
      <c r="Y2033" s="25">
        <v>14</v>
      </c>
      <c r="Z2033" s="25">
        <v>14</v>
      </c>
      <c r="AA2033" s="25" t="s">
        <v>824</v>
      </c>
      <c r="AB2033" s="25" t="s">
        <v>821</v>
      </c>
      <c r="AC2033" s="25" t="s">
        <v>821</v>
      </c>
      <c r="AD2033" s="25" t="s">
        <v>821</v>
      </c>
      <c r="AE2033" s="25" t="s">
        <v>818</v>
      </c>
    </row>
    <row r="2034" spans="20:31" ht="14.4">
      <c r="T2034" s="25" t="s">
        <v>922</v>
      </c>
      <c r="U2034" s="25" t="s">
        <v>880</v>
      </c>
      <c r="V2034" t="s">
        <v>918</v>
      </c>
      <c r="W2034" s="25" t="str">
        <f t="shared" si="50"/>
        <v>Square CassetteInside Window MountAcmeda External 12v Motor</v>
      </c>
      <c r="X2034" s="25">
        <v>10</v>
      </c>
      <c r="Y2034" s="25">
        <v>14</v>
      </c>
      <c r="Z2034" s="25">
        <v>14</v>
      </c>
      <c r="AA2034" s="25" t="s">
        <v>824</v>
      </c>
      <c r="AB2034" s="25" t="s">
        <v>821</v>
      </c>
      <c r="AC2034" s="25" t="s">
        <v>821</v>
      </c>
      <c r="AD2034" s="25" t="s">
        <v>821</v>
      </c>
      <c r="AE2034" s="25" t="s">
        <v>818</v>
      </c>
    </row>
    <row r="2035" spans="20:31" ht="14.4">
      <c r="T2035" s="25" t="s">
        <v>922</v>
      </c>
      <c r="U2035" s="25" t="s">
        <v>880</v>
      </c>
      <c r="V2035" t="s">
        <v>979</v>
      </c>
      <c r="W2035" s="25" t="str">
        <f t="shared" si="50"/>
        <v>Square CassetteInside Window MountSomfy External CBUS Motor</v>
      </c>
      <c r="X2035" s="25">
        <v>10</v>
      </c>
      <c r="Y2035" s="25">
        <v>14</v>
      </c>
      <c r="Z2035" s="25">
        <v>14</v>
      </c>
      <c r="AA2035" s="25" t="s">
        <v>824</v>
      </c>
      <c r="AB2035" s="25" t="s">
        <v>821</v>
      </c>
      <c r="AC2035" s="25" t="s">
        <v>821</v>
      </c>
      <c r="AD2035" s="25" t="s">
        <v>821</v>
      </c>
      <c r="AE2035" s="25" t="s">
        <v>818</v>
      </c>
    </row>
    <row r="2036" spans="20:31" ht="14.4">
      <c r="T2036" s="25" t="s">
        <v>922</v>
      </c>
      <c r="U2036" s="25" t="s">
        <v>880</v>
      </c>
      <c r="V2036" t="s">
        <v>983</v>
      </c>
      <c r="W2036" s="25" t="str">
        <f t="shared" si="50"/>
        <v>Square CassetteInside Window MountSomfy External Remote Motor</v>
      </c>
      <c r="X2036" s="25">
        <v>10</v>
      </c>
      <c r="Y2036" s="25">
        <v>14</v>
      </c>
      <c r="Z2036" s="25">
        <v>14</v>
      </c>
      <c r="AA2036" s="25" t="s">
        <v>824</v>
      </c>
      <c r="AB2036" s="25" t="s">
        <v>821</v>
      </c>
      <c r="AC2036" s="25" t="s">
        <v>821</v>
      </c>
      <c r="AD2036" s="25" t="s">
        <v>821</v>
      </c>
      <c r="AE2036" s="25" t="s">
        <v>818</v>
      </c>
    </row>
    <row r="2037" spans="20:31" ht="14.4">
      <c r="T2037" s="25" t="s">
        <v>922</v>
      </c>
      <c r="U2037" s="25" t="s">
        <v>880</v>
      </c>
      <c r="V2037" t="s">
        <v>995</v>
      </c>
      <c r="W2037" s="25" t="str">
        <f t="shared" si="50"/>
        <v>Square CassetteInside Window MountHD Somfy External CBUS Motor</v>
      </c>
      <c r="X2037" s="25">
        <v>10</v>
      </c>
      <c r="Y2037" s="25">
        <v>14</v>
      </c>
      <c r="Z2037" s="25">
        <v>14</v>
      </c>
      <c r="AA2037" s="25" t="s">
        <v>824</v>
      </c>
      <c r="AB2037" s="25" t="s">
        <v>821</v>
      </c>
      <c r="AC2037" s="25" t="s">
        <v>821</v>
      </c>
      <c r="AD2037" s="25" t="s">
        <v>821</v>
      </c>
      <c r="AE2037" s="25" t="s">
        <v>818</v>
      </c>
    </row>
    <row r="2038" spans="20:31" ht="14.4">
      <c r="T2038" s="25" t="s">
        <v>922</v>
      </c>
      <c r="U2038" s="25" t="s">
        <v>880</v>
      </c>
      <c r="V2038" t="s">
        <v>999</v>
      </c>
      <c r="W2038" s="25" t="str">
        <f t="shared" si="50"/>
        <v>Square CassetteInside Window MountHD Somfy External Remote Motor</v>
      </c>
      <c r="X2038" s="25">
        <v>10</v>
      </c>
      <c r="Y2038" s="25">
        <v>14</v>
      </c>
      <c r="Z2038" s="25">
        <v>14</v>
      </c>
      <c r="AA2038" s="25" t="s">
        <v>824</v>
      </c>
      <c r="AB2038" s="25" t="s">
        <v>821</v>
      </c>
      <c r="AC2038" s="25" t="s">
        <v>821</v>
      </c>
      <c r="AD2038" s="25" t="s">
        <v>821</v>
      </c>
      <c r="AE2038" s="25" t="s">
        <v>818</v>
      </c>
    </row>
    <row r="2039" spans="20:31" ht="14.4">
      <c r="T2039" s="25" t="s">
        <v>922</v>
      </c>
      <c r="U2039" s="25" t="s">
        <v>867</v>
      </c>
      <c r="V2039" s="25" t="s">
        <v>823</v>
      </c>
      <c r="W2039" s="25" t="str">
        <f t="shared" si="50"/>
        <v>Square CassetteOutside Window MountChain Winder</v>
      </c>
      <c r="X2039" s="25">
        <v>10</v>
      </c>
      <c r="Y2039" s="25">
        <v>14</v>
      </c>
      <c r="Z2039" s="25">
        <v>29</v>
      </c>
      <c r="AA2039" s="25" t="s">
        <v>824</v>
      </c>
      <c r="AB2039" s="25" t="s">
        <v>821</v>
      </c>
      <c r="AC2039" s="25" t="s">
        <v>821</v>
      </c>
      <c r="AD2039" s="25" t="s">
        <v>821</v>
      </c>
      <c r="AE2039" s="25" t="s">
        <v>818</v>
      </c>
    </row>
    <row r="2040" spans="20:31" ht="14.4">
      <c r="T2040" s="25" t="s">
        <v>922</v>
      </c>
      <c r="U2040" s="25" t="s">
        <v>867</v>
      </c>
      <c r="V2040" s="25" t="s">
        <v>841</v>
      </c>
      <c r="W2040" s="25" t="str">
        <f t="shared" si="50"/>
        <v>Square CassetteOutside Window MountHD Chain Winder</v>
      </c>
      <c r="X2040" s="25">
        <v>10</v>
      </c>
      <c r="Y2040" s="25">
        <v>14</v>
      </c>
      <c r="Z2040" s="25">
        <v>29</v>
      </c>
      <c r="AA2040" s="25" t="s">
        <v>824</v>
      </c>
      <c r="AB2040" s="25" t="s">
        <v>821</v>
      </c>
      <c r="AC2040" s="25" t="s">
        <v>821</v>
      </c>
      <c r="AD2040" s="25" t="s">
        <v>821</v>
      </c>
      <c r="AE2040" s="25" t="s">
        <v>818</v>
      </c>
    </row>
    <row r="2041" spans="20:31" ht="14.4">
      <c r="T2041" s="25" t="s">
        <v>922</v>
      </c>
      <c r="U2041" s="25" t="s">
        <v>867</v>
      </c>
      <c r="V2041" s="25" t="s">
        <v>858</v>
      </c>
      <c r="W2041" s="25" t="str">
        <f t="shared" si="50"/>
        <v>Square CassetteOutside Window MountChain Winder 60mm</v>
      </c>
      <c r="X2041" s="25">
        <v>10</v>
      </c>
      <c r="Y2041" s="25">
        <v>14</v>
      </c>
      <c r="Z2041" s="25">
        <v>29</v>
      </c>
      <c r="AA2041" s="25" t="s">
        <v>824</v>
      </c>
      <c r="AB2041" s="25" t="s">
        <v>821</v>
      </c>
      <c r="AC2041" s="25" t="s">
        <v>821</v>
      </c>
      <c r="AD2041" s="25" t="s">
        <v>821</v>
      </c>
      <c r="AE2041" s="25" t="s">
        <v>818</v>
      </c>
    </row>
    <row r="2042" spans="20:31" ht="14.4">
      <c r="T2042" s="25" t="s">
        <v>922</v>
      </c>
      <c r="U2042" s="25" t="s">
        <v>867</v>
      </c>
      <c r="V2042" s="25" t="s">
        <v>865</v>
      </c>
      <c r="W2042" s="25" t="str">
        <f t="shared" si="50"/>
        <v>Square CassetteOutside Window MountChain Winder Fixed Guide</v>
      </c>
      <c r="X2042" s="25">
        <v>10</v>
      </c>
      <c r="Y2042" s="25">
        <v>14</v>
      </c>
      <c r="Z2042" s="25">
        <v>29</v>
      </c>
      <c r="AA2042" s="25" t="s">
        <v>824</v>
      </c>
      <c r="AB2042" s="25" t="s">
        <v>821</v>
      </c>
      <c r="AC2042" s="25" t="s">
        <v>821</v>
      </c>
      <c r="AD2042" s="25" t="s">
        <v>821</v>
      </c>
      <c r="AE2042" s="25" t="s">
        <v>818</v>
      </c>
    </row>
    <row r="2043" spans="20:31" ht="14.4">
      <c r="T2043" s="25" t="s">
        <v>922</v>
      </c>
      <c r="U2043" s="25" t="s">
        <v>867</v>
      </c>
      <c r="V2043" s="25" t="s">
        <v>181</v>
      </c>
      <c r="W2043" s="25" t="str">
        <f t="shared" si="50"/>
        <v>Square CassetteOutside Window MountLinked</v>
      </c>
      <c r="X2043" s="25">
        <v>10</v>
      </c>
      <c r="Y2043" s="25">
        <v>14</v>
      </c>
      <c r="Z2043" s="25">
        <v>14</v>
      </c>
      <c r="AA2043" s="25" t="s">
        <v>824</v>
      </c>
      <c r="AB2043" s="25" t="s">
        <v>821</v>
      </c>
      <c r="AC2043" s="25" t="s">
        <v>821</v>
      </c>
      <c r="AD2043" s="25" t="s">
        <v>821</v>
      </c>
      <c r="AE2043" s="25" t="s">
        <v>818</v>
      </c>
    </row>
    <row r="2044" spans="20:31" ht="14.4">
      <c r="T2044" s="25" t="s">
        <v>922</v>
      </c>
      <c r="U2044" s="25" t="s">
        <v>867</v>
      </c>
      <c r="V2044" s="25" t="s">
        <v>898</v>
      </c>
      <c r="W2044" s="25" t="str">
        <f t="shared" si="50"/>
        <v>Square CassetteOutside Window MountLinked - HD</v>
      </c>
      <c r="X2044" s="25">
        <v>10</v>
      </c>
      <c r="Y2044" s="25">
        <v>14</v>
      </c>
      <c r="Z2044" s="25">
        <v>14</v>
      </c>
      <c r="AA2044" s="25" t="s">
        <v>824</v>
      </c>
      <c r="AB2044" s="25" t="s">
        <v>821</v>
      </c>
      <c r="AC2044" s="25" t="s">
        <v>821</v>
      </c>
      <c r="AD2044" s="25" t="s">
        <v>821</v>
      </c>
      <c r="AE2044" s="25" t="s">
        <v>818</v>
      </c>
    </row>
    <row r="2045" spans="20:31" ht="14.4">
      <c r="T2045" s="25" t="s">
        <v>922</v>
      </c>
      <c r="U2045" s="25" t="s">
        <v>867</v>
      </c>
      <c r="V2045" s="25" t="s">
        <v>910</v>
      </c>
      <c r="W2045" s="25" t="str">
        <f t="shared" si="50"/>
        <v>Square CassetteOutside Window MountStandard Spring</v>
      </c>
      <c r="X2045" s="25">
        <v>10</v>
      </c>
      <c r="Y2045" s="25">
        <v>14</v>
      </c>
      <c r="Z2045" s="25">
        <v>14</v>
      </c>
      <c r="AA2045" s="25" t="s">
        <v>824</v>
      </c>
      <c r="AB2045" s="25" t="s">
        <v>821</v>
      </c>
      <c r="AC2045" s="25" t="s">
        <v>821</v>
      </c>
      <c r="AD2045" s="25" t="s">
        <v>821</v>
      </c>
      <c r="AE2045" s="25" t="s">
        <v>818</v>
      </c>
    </row>
    <row r="2046" spans="20:31" ht="14.4">
      <c r="T2046" s="25" t="s">
        <v>922</v>
      </c>
      <c r="U2046" s="25" t="s">
        <v>867</v>
      </c>
      <c r="V2046" s="25" t="s">
        <v>920</v>
      </c>
      <c r="W2046" s="25" t="str">
        <f t="shared" si="50"/>
        <v>Square CassetteOutside Window MountSmall Spring</v>
      </c>
      <c r="X2046" s="25">
        <v>10</v>
      </c>
      <c r="Y2046" s="25">
        <v>14</v>
      </c>
      <c r="Z2046" s="25">
        <v>14</v>
      </c>
      <c r="AA2046" s="25" t="s">
        <v>824</v>
      </c>
      <c r="AB2046" s="25" t="s">
        <v>821</v>
      </c>
      <c r="AC2046" s="25" t="s">
        <v>821</v>
      </c>
      <c r="AD2046" s="25" t="s">
        <v>821</v>
      </c>
      <c r="AE2046" s="25" t="s">
        <v>818</v>
      </c>
    </row>
    <row r="2047" spans="20:31" ht="14.4">
      <c r="T2047" s="25" t="s">
        <v>922</v>
      </c>
      <c r="U2047" s="25" t="s">
        <v>867</v>
      </c>
      <c r="V2047" s="25" t="s">
        <v>929</v>
      </c>
      <c r="W2047" s="25" t="str">
        <f t="shared" si="50"/>
        <v>Square CassetteOutside Window MountUniline Spring (Old Style)</v>
      </c>
      <c r="X2047" s="25">
        <v>10</v>
      </c>
      <c r="Y2047" s="25">
        <v>14</v>
      </c>
      <c r="Z2047" s="25">
        <v>14</v>
      </c>
      <c r="AA2047" s="25" t="s">
        <v>824</v>
      </c>
      <c r="AB2047" s="25" t="s">
        <v>821</v>
      </c>
      <c r="AC2047" s="25" t="s">
        <v>821</v>
      </c>
      <c r="AD2047" s="25" t="s">
        <v>821</v>
      </c>
      <c r="AE2047" s="25" t="s">
        <v>818</v>
      </c>
    </row>
    <row r="2048" spans="20:31" ht="14.4">
      <c r="T2048" s="25" t="s">
        <v>922</v>
      </c>
      <c r="U2048" s="25" t="s">
        <v>867</v>
      </c>
      <c r="V2048" s="25" t="s">
        <v>935</v>
      </c>
      <c r="W2048" s="25" t="str">
        <f t="shared" si="50"/>
        <v>Square CassetteOutside Window MountBecker Remote Motor</v>
      </c>
      <c r="X2048" s="25">
        <v>10</v>
      </c>
      <c r="Y2048" s="25">
        <v>14</v>
      </c>
      <c r="Z2048" s="25">
        <v>14</v>
      </c>
      <c r="AA2048" s="25" t="s">
        <v>824</v>
      </c>
      <c r="AB2048" s="25" t="s">
        <v>821</v>
      </c>
      <c r="AC2048" s="25" t="s">
        <v>821</v>
      </c>
      <c r="AD2048" s="25" t="s">
        <v>821</v>
      </c>
      <c r="AE2048" s="25" t="s">
        <v>818</v>
      </c>
    </row>
    <row r="2049" spans="20:31" ht="14.4">
      <c r="T2049" s="25" t="s">
        <v>922</v>
      </c>
      <c r="U2049" s="25" t="s">
        <v>867</v>
      </c>
      <c r="V2049" s="25" t="s">
        <v>939</v>
      </c>
      <c r="W2049" s="25" t="str">
        <f t="shared" si="50"/>
        <v>Square CassetteOutside Window MountBecker CBUS Motor</v>
      </c>
      <c r="X2049" s="25">
        <v>10</v>
      </c>
      <c r="Y2049" s="25">
        <v>14</v>
      </c>
      <c r="Z2049" s="25">
        <v>14</v>
      </c>
      <c r="AA2049" s="25" t="s">
        <v>824</v>
      </c>
      <c r="AB2049" s="25" t="s">
        <v>821</v>
      </c>
      <c r="AC2049" s="25" t="s">
        <v>821</v>
      </c>
      <c r="AD2049" s="25" t="s">
        <v>821</v>
      </c>
      <c r="AE2049" s="25" t="s">
        <v>818</v>
      </c>
    </row>
    <row r="2050" spans="20:31" ht="14.4">
      <c r="T2050" s="25" t="s">
        <v>922</v>
      </c>
      <c r="U2050" s="25" t="s">
        <v>867</v>
      </c>
      <c r="V2050" s="25" t="s">
        <v>946</v>
      </c>
      <c r="W2050" s="25" t="str">
        <f t="shared" si="50"/>
        <v>Square CassetteOutside Window MountBecker External Remote Motor</v>
      </c>
      <c r="X2050" s="25">
        <v>10</v>
      </c>
      <c r="Y2050" s="25">
        <v>14</v>
      </c>
      <c r="Z2050" s="25">
        <v>14</v>
      </c>
      <c r="AA2050" s="25" t="s">
        <v>824</v>
      </c>
      <c r="AB2050" s="25" t="s">
        <v>821</v>
      </c>
      <c r="AC2050" s="25" t="s">
        <v>821</v>
      </c>
      <c r="AD2050" s="25" t="s">
        <v>821</v>
      </c>
      <c r="AE2050" s="25" t="s">
        <v>818</v>
      </c>
    </row>
    <row r="2051" spans="20:31" ht="14.4">
      <c r="T2051" s="25" t="s">
        <v>922</v>
      </c>
      <c r="U2051" s="25" t="s">
        <v>867</v>
      </c>
      <c r="V2051" s="25" t="s">
        <v>951</v>
      </c>
      <c r="W2051" s="25" t="str">
        <f t="shared" si="51" ref="W2051:W2114">CONCATENATE(T2051,U2051,V2051)</f>
        <v>Square CassetteOutside Window MountBecker External CBUS Motor</v>
      </c>
      <c r="X2051" s="25">
        <v>10</v>
      </c>
      <c r="Y2051" s="25">
        <v>14</v>
      </c>
      <c r="Z2051" s="25">
        <v>14</v>
      </c>
      <c r="AA2051" s="25" t="s">
        <v>824</v>
      </c>
      <c r="AB2051" s="25" t="s">
        <v>821</v>
      </c>
      <c r="AC2051" s="25" t="s">
        <v>821</v>
      </c>
      <c r="AD2051" s="25" t="s">
        <v>821</v>
      </c>
      <c r="AE2051" s="25" t="s">
        <v>818</v>
      </c>
    </row>
    <row r="2052" spans="20:31" ht="14.4">
      <c r="T2052" s="25" t="s">
        <v>922</v>
      </c>
      <c r="U2052" s="25" t="s">
        <v>867</v>
      </c>
      <c r="V2052" s="25" t="s">
        <v>838</v>
      </c>
      <c r="W2052" s="25" t="str">
        <f t="shared" si="51"/>
        <v>Square CassetteOutside Window Mount1.1nm 12v Acmeda Motor</v>
      </c>
      <c r="X2052" s="25">
        <v>10</v>
      </c>
      <c r="Y2052" s="25">
        <v>14</v>
      </c>
      <c r="Z2052" s="25">
        <v>14</v>
      </c>
      <c r="AA2052" s="25" t="s">
        <v>824</v>
      </c>
      <c r="AB2052" s="25" t="s">
        <v>821</v>
      </c>
      <c r="AC2052" s="25" t="s">
        <v>821</v>
      </c>
      <c r="AD2052" s="25" t="s">
        <v>821</v>
      </c>
      <c r="AE2052" s="25" t="s">
        <v>818</v>
      </c>
    </row>
    <row r="2053" spans="20:31" ht="14.4">
      <c r="T2053" s="25" t="s">
        <v>922</v>
      </c>
      <c r="U2053" s="25" t="s">
        <v>867</v>
      </c>
      <c r="V2053" t="s">
        <v>882</v>
      </c>
      <c r="W2053" s="25" t="str">
        <f t="shared" si="51"/>
        <v>Square CassetteOutside Window Mount2nm 12v Acmeda Motor</v>
      </c>
      <c r="X2053" s="25">
        <v>10</v>
      </c>
      <c r="Y2053" s="25">
        <v>14</v>
      </c>
      <c r="Z2053" s="25">
        <v>14</v>
      </c>
      <c r="AA2053" s="25" t="s">
        <v>824</v>
      </c>
      <c r="AB2053" s="25" t="s">
        <v>821</v>
      </c>
      <c r="AC2053" s="25" t="s">
        <v>821</v>
      </c>
      <c r="AD2053" s="25" t="s">
        <v>821</v>
      </c>
      <c r="AE2053" s="25" t="s">
        <v>818</v>
      </c>
    </row>
    <row r="2054" spans="20:31" ht="14.4">
      <c r="T2054" s="25" t="s">
        <v>922</v>
      </c>
      <c r="U2054" s="25" t="s">
        <v>867</v>
      </c>
      <c r="V2054" t="s">
        <v>896</v>
      </c>
      <c r="W2054" s="25" t="str">
        <f t="shared" si="51"/>
        <v>Square CassetteOutside Window MountAcmeda 12v 6nm Motor</v>
      </c>
      <c r="X2054" s="25">
        <v>10</v>
      </c>
      <c r="Y2054" s="25">
        <v>14</v>
      </c>
      <c r="Z2054" s="25">
        <v>14</v>
      </c>
      <c r="AA2054" s="25" t="s">
        <v>824</v>
      </c>
      <c r="AB2054" s="25" t="s">
        <v>821</v>
      </c>
      <c r="AC2054" s="25" t="s">
        <v>821</v>
      </c>
      <c r="AD2054" s="25" t="s">
        <v>821</v>
      </c>
      <c r="AE2054" s="25" t="s">
        <v>818</v>
      </c>
    </row>
    <row r="2055" spans="20:31" ht="14.4">
      <c r="T2055" s="25" t="s">
        <v>922</v>
      </c>
      <c r="U2055" s="25" t="s">
        <v>867</v>
      </c>
      <c r="V2055" t="s">
        <v>855</v>
      </c>
      <c r="W2055" s="25" t="str">
        <f t="shared" si="51"/>
        <v>Square CassetteOutside Window Mount0.7nm 12v Acmeda Motor</v>
      </c>
      <c r="X2055" s="25">
        <v>10</v>
      </c>
      <c r="Y2055" s="25">
        <v>14</v>
      </c>
      <c r="Z2055" s="25">
        <v>14</v>
      </c>
      <c r="AA2055" s="25" t="s">
        <v>824</v>
      </c>
      <c r="AB2055" s="25" t="s">
        <v>821</v>
      </c>
      <c r="AC2055" s="25" t="s">
        <v>821</v>
      </c>
      <c r="AD2055" s="25" t="s">
        <v>821</v>
      </c>
      <c r="AE2055" s="25" t="s">
        <v>818</v>
      </c>
    </row>
    <row r="2056" spans="20:31" ht="14.4">
      <c r="T2056" s="25" t="s">
        <v>922</v>
      </c>
      <c r="U2056" s="25" t="s">
        <v>867</v>
      </c>
      <c r="V2056" s="25" t="s">
        <v>849</v>
      </c>
      <c r="W2056" s="25" t="str">
        <f t="shared" si="51"/>
        <v>Square CassetteOutside Window Mount1.1nm 12v Acmeda DCRF Motor with External Battery</v>
      </c>
      <c r="X2056" s="25">
        <v>10</v>
      </c>
      <c r="Y2056" s="25">
        <v>14</v>
      </c>
      <c r="Z2056" s="25">
        <v>14</v>
      </c>
      <c r="AA2056" s="25" t="s">
        <v>824</v>
      </c>
      <c r="AB2056" s="25" t="s">
        <v>821</v>
      </c>
      <c r="AC2056" s="25" t="s">
        <v>821</v>
      </c>
      <c r="AD2056" s="25" t="s">
        <v>821</v>
      </c>
      <c r="AE2056" s="25" t="s">
        <v>818</v>
      </c>
    </row>
    <row r="2057" spans="20:31" ht="14.4">
      <c r="T2057" s="25" t="s">
        <v>922</v>
      </c>
      <c r="U2057" s="25" t="s">
        <v>867</v>
      </c>
      <c r="V2057" s="25" t="s">
        <v>817</v>
      </c>
      <c r="W2057" s="25" t="str">
        <f t="shared" si="51"/>
        <v>Square CassetteOutside Window Mount1.1nm 12v Acmeda DCRF Motor</v>
      </c>
      <c r="X2057" s="25">
        <v>10</v>
      </c>
      <c r="Y2057" s="25">
        <v>14</v>
      </c>
      <c r="Z2057" s="25">
        <v>14</v>
      </c>
      <c r="AA2057" s="25" t="s">
        <v>824</v>
      </c>
      <c r="AB2057" s="25" t="s">
        <v>821</v>
      </c>
      <c r="AC2057" s="25" t="s">
        <v>821</v>
      </c>
      <c r="AD2057" s="25" t="s">
        <v>821</v>
      </c>
      <c r="AE2057" s="25" t="s">
        <v>818</v>
      </c>
    </row>
    <row r="2058" spans="20:31" ht="14.4">
      <c r="T2058" s="25" t="s">
        <v>922</v>
      </c>
      <c r="U2058" s="25" t="s">
        <v>867</v>
      </c>
      <c r="V2058" s="25" t="s">
        <v>868</v>
      </c>
      <c r="W2058" s="25" t="str">
        <f t="shared" si="51"/>
        <v>Square CassetteOutside Window Mount2nm 12v Acmeda DCRF Motor</v>
      </c>
      <c r="X2058" s="25">
        <v>10</v>
      </c>
      <c r="Y2058" s="25">
        <v>14</v>
      </c>
      <c r="Z2058" s="25">
        <v>14</v>
      </c>
      <c r="AA2058" s="25" t="s">
        <v>824</v>
      </c>
      <c r="AB2058" s="25" t="s">
        <v>821</v>
      </c>
      <c r="AC2058" s="25" t="s">
        <v>821</v>
      </c>
      <c r="AD2058" s="25" t="s">
        <v>821</v>
      </c>
      <c r="AE2058" s="25" t="s">
        <v>818</v>
      </c>
    </row>
    <row r="2059" spans="20:31" ht="14.4">
      <c r="T2059" s="25" t="s">
        <v>922</v>
      </c>
      <c r="U2059" s="25" t="s">
        <v>867</v>
      </c>
      <c r="V2059" t="s">
        <v>973</v>
      </c>
      <c r="W2059" s="25" t="str">
        <f t="shared" si="51"/>
        <v>Square CassetteOutside Window MountSomfy Remote Sonesse Motor</v>
      </c>
      <c r="X2059" s="25">
        <v>10</v>
      </c>
      <c r="Y2059" s="25">
        <v>14</v>
      </c>
      <c r="Z2059" s="25">
        <v>14</v>
      </c>
      <c r="AA2059" s="25" t="s">
        <v>824</v>
      </c>
      <c r="AB2059" s="25" t="s">
        <v>821</v>
      </c>
      <c r="AC2059" s="25" t="s">
        <v>821</v>
      </c>
      <c r="AD2059" s="25" t="s">
        <v>821</v>
      </c>
      <c r="AE2059" s="25" t="s">
        <v>818</v>
      </c>
    </row>
    <row r="2060" spans="20:31" ht="14.4">
      <c r="T2060" s="25" t="s">
        <v>922</v>
      </c>
      <c r="U2060" s="25" t="s">
        <v>867</v>
      </c>
      <c r="V2060" t="s">
        <v>637</v>
      </c>
      <c r="W2060" s="25" t="str">
        <f t="shared" si="51"/>
        <v>Square CassetteOutside Window MountSomfy 12v Remote Sonesse Motor</v>
      </c>
      <c r="X2060" s="25">
        <v>10</v>
      </c>
      <c r="Y2060" s="25">
        <v>14</v>
      </c>
      <c r="Z2060" s="25">
        <v>14</v>
      </c>
      <c r="AA2060" s="25" t="s">
        <v>824</v>
      </c>
      <c r="AB2060" s="25" t="s">
        <v>821</v>
      </c>
      <c r="AC2060" s="25" t="s">
        <v>821</v>
      </c>
      <c r="AD2060" s="25" t="s">
        <v>821</v>
      </c>
      <c r="AE2060" s="25" t="s">
        <v>818</v>
      </c>
    </row>
    <row r="2061" spans="20:31" ht="14.4">
      <c r="T2061" s="25" t="s">
        <v>922</v>
      </c>
      <c r="U2061" s="25" t="s">
        <v>867</v>
      </c>
      <c r="V2061" s="25" t="s">
        <v>974</v>
      </c>
      <c r="W2061" s="25" t="str">
        <f t="shared" si="51"/>
        <v>Square CassetteOutside Window MountSomfy CBUS Motor</v>
      </c>
      <c r="X2061" s="25">
        <v>10</v>
      </c>
      <c r="Y2061" s="25">
        <v>14</v>
      </c>
      <c r="Z2061" s="25">
        <v>14</v>
      </c>
      <c r="AA2061" s="25" t="s">
        <v>824</v>
      </c>
      <c r="AB2061" s="25" t="s">
        <v>821</v>
      </c>
      <c r="AC2061" s="25" t="s">
        <v>821</v>
      </c>
      <c r="AD2061" s="25" t="s">
        <v>821</v>
      </c>
      <c r="AE2061" s="25" t="s">
        <v>818</v>
      </c>
    </row>
    <row r="2062" spans="20:31" ht="14.4">
      <c r="T2062" s="25" t="s">
        <v>922</v>
      </c>
      <c r="U2062" s="25" t="s">
        <v>867</v>
      </c>
      <c r="V2062" t="s">
        <v>986</v>
      </c>
      <c r="W2062" s="25" t="str">
        <f t="shared" si="51"/>
        <v>Square CassetteOutside Window MountHD Somfy Remote Sonesse Motor</v>
      </c>
      <c r="X2062" s="25">
        <v>10</v>
      </c>
      <c r="Y2062" s="25">
        <v>14</v>
      </c>
      <c r="Z2062" s="25">
        <v>14</v>
      </c>
      <c r="AA2062" s="25" t="s">
        <v>824</v>
      </c>
      <c r="AB2062" s="25" t="s">
        <v>821</v>
      </c>
      <c r="AC2062" s="25" t="s">
        <v>821</v>
      </c>
      <c r="AD2062" s="25" t="s">
        <v>821</v>
      </c>
      <c r="AE2062" s="25" t="s">
        <v>818</v>
      </c>
    </row>
    <row r="2063" spans="20:31" ht="14.4">
      <c r="T2063" s="25" t="s">
        <v>922</v>
      </c>
      <c r="U2063" s="25" t="s">
        <v>867</v>
      </c>
      <c r="V2063" t="s">
        <v>989</v>
      </c>
      <c r="W2063" s="25" t="str">
        <f t="shared" si="51"/>
        <v>Square CassetteOutside Window MountHD Somfy 12v Remote Sonesse Motor</v>
      </c>
      <c r="X2063" s="25">
        <v>10</v>
      </c>
      <c r="Y2063" s="25">
        <v>14</v>
      </c>
      <c r="Z2063" s="25">
        <v>14</v>
      </c>
      <c r="AA2063" s="25" t="s">
        <v>824</v>
      </c>
      <c r="AB2063" s="25" t="s">
        <v>821</v>
      </c>
      <c r="AC2063" s="25" t="s">
        <v>821</v>
      </c>
      <c r="AD2063" s="25" t="s">
        <v>821</v>
      </c>
      <c r="AE2063" s="25" t="s">
        <v>818</v>
      </c>
    </row>
    <row r="2064" spans="20:31" ht="14.4">
      <c r="T2064" s="25" t="s">
        <v>922</v>
      </c>
      <c r="U2064" s="25" t="s">
        <v>867</v>
      </c>
      <c r="V2064" s="25" t="s">
        <v>992</v>
      </c>
      <c r="W2064" s="25" t="str">
        <f t="shared" si="51"/>
        <v>Square CassetteOutside Window MountHD Somfy CBUS Motor</v>
      </c>
      <c r="X2064" s="25">
        <v>10</v>
      </c>
      <c r="Y2064" s="25">
        <v>14</v>
      </c>
      <c r="Z2064" s="25">
        <v>14</v>
      </c>
      <c r="AA2064" s="25" t="s">
        <v>824</v>
      </c>
      <c r="AB2064" s="25" t="s">
        <v>821</v>
      </c>
      <c r="AC2064" s="25" t="s">
        <v>821</v>
      </c>
      <c r="AD2064" s="25" t="s">
        <v>821</v>
      </c>
      <c r="AE2064" s="25" t="s">
        <v>818</v>
      </c>
    </row>
    <row r="2065" spans="20:31" ht="14.4">
      <c r="T2065" s="25" t="s">
        <v>922</v>
      </c>
      <c r="U2065" s="25" t="s">
        <v>867</v>
      </c>
      <c r="V2065" s="25" t="s">
        <v>625</v>
      </c>
      <c r="W2065" s="25" t="str">
        <f t="shared" si="51"/>
        <v>Square CassetteOutside Window MountAcmeda E6 Motor</v>
      </c>
      <c r="X2065" s="25">
        <v>10</v>
      </c>
      <c r="Y2065" s="25">
        <v>14</v>
      </c>
      <c r="Z2065" s="25">
        <v>14</v>
      </c>
      <c r="AA2065" s="25" t="s">
        <v>824</v>
      </c>
      <c r="AB2065" s="25" t="s">
        <v>821</v>
      </c>
      <c r="AC2065" s="25" t="s">
        <v>821</v>
      </c>
      <c r="AD2065" s="25" t="s">
        <v>821</v>
      </c>
      <c r="AE2065" s="25" t="s">
        <v>818</v>
      </c>
    </row>
    <row r="2066" spans="20:31" ht="14.4">
      <c r="T2066" s="25" t="s">
        <v>922</v>
      </c>
      <c r="U2066" s="25" t="s">
        <v>867</v>
      </c>
      <c r="V2066" s="25" t="s">
        <v>626</v>
      </c>
      <c r="W2066" s="25" t="str">
        <f t="shared" si="51"/>
        <v>Square CassetteOutside Window MountAcmeda M6 Motor</v>
      </c>
      <c r="X2066" s="25">
        <v>10</v>
      </c>
      <c r="Y2066" s="25">
        <v>14</v>
      </c>
      <c r="Z2066" s="25">
        <v>14</v>
      </c>
      <c r="AA2066" s="25" t="s">
        <v>824</v>
      </c>
      <c r="AB2066" s="25" t="s">
        <v>821</v>
      </c>
      <c r="AC2066" s="25" t="s">
        <v>821</v>
      </c>
      <c r="AD2066" s="25" t="s">
        <v>821</v>
      </c>
      <c r="AE2066" s="25" t="s">
        <v>818</v>
      </c>
    </row>
    <row r="2067" spans="20:31" ht="14.4">
      <c r="T2067" s="25" t="s">
        <v>922</v>
      </c>
      <c r="U2067" s="25" t="s">
        <v>867</v>
      </c>
      <c r="V2067" s="25" t="s">
        <v>1002</v>
      </c>
      <c r="W2067" s="25" t="str">
        <f t="shared" si="51"/>
        <v>Square CassetteOutside Window MountUniline Remote Motor</v>
      </c>
      <c r="X2067" s="25">
        <v>10</v>
      </c>
      <c r="Y2067" s="25">
        <v>14</v>
      </c>
      <c r="Z2067" s="25">
        <v>14</v>
      </c>
      <c r="AA2067" s="25" t="s">
        <v>824</v>
      </c>
      <c r="AB2067" s="25" t="s">
        <v>821</v>
      </c>
      <c r="AC2067" s="25" t="s">
        <v>821</v>
      </c>
      <c r="AD2067" s="25" t="s">
        <v>821</v>
      </c>
      <c r="AE2067" s="25" t="s">
        <v>818</v>
      </c>
    </row>
    <row r="2068" spans="20:31" ht="14.4">
      <c r="T2068" s="25" t="s">
        <v>922</v>
      </c>
      <c r="U2068" s="25" t="s">
        <v>867</v>
      </c>
      <c r="V2068" s="25" t="s">
        <v>1005</v>
      </c>
      <c r="W2068" s="25" t="str">
        <f t="shared" si="51"/>
        <v>Square CassetteOutside Window MountUniline Cbus Motor</v>
      </c>
      <c r="X2068" s="25">
        <v>10</v>
      </c>
      <c r="Y2068" s="25">
        <v>14</v>
      </c>
      <c r="Z2068" s="25">
        <v>14</v>
      </c>
      <c r="AA2068" s="25" t="s">
        <v>824</v>
      </c>
      <c r="AB2068" s="25" t="s">
        <v>821</v>
      </c>
      <c r="AC2068" s="25" t="s">
        <v>821</v>
      </c>
      <c r="AD2068" s="25" t="s">
        <v>821</v>
      </c>
      <c r="AE2068" s="25" t="s">
        <v>818</v>
      </c>
    </row>
    <row r="2069" spans="20:31" ht="14.4">
      <c r="T2069" s="25" t="s">
        <v>922</v>
      </c>
      <c r="U2069" s="25" t="s">
        <v>867</v>
      </c>
      <c r="V2069" s="25" t="s">
        <v>981</v>
      </c>
      <c r="W2069" s="25" t="str">
        <f t="shared" si="51"/>
        <v>Square CassetteOutside Window MountNice Remote Motor</v>
      </c>
      <c r="X2069" s="25">
        <v>10</v>
      </c>
      <c r="Y2069" s="25">
        <v>14</v>
      </c>
      <c r="Z2069" s="25">
        <v>14</v>
      </c>
      <c r="AA2069" s="25" t="s">
        <v>824</v>
      </c>
      <c r="AB2069" s="25" t="s">
        <v>821</v>
      </c>
      <c r="AC2069" s="25" t="s">
        <v>821</v>
      </c>
      <c r="AD2069" s="25" t="s">
        <v>821</v>
      </c>
      <c r="AE2069" s="25" t="s">
        <v>818</v>
      </c>
    </row>
    <row r="2070" spans="20:31" ht="14.4">
      <c r="T2070" s="25" t="s">
        <v>922</v>
      </c>
      <c r="U2070" s="25" t="s">
        <v>867</v>
      </c>
      <c r="V2070" s="25" t="s">
        <v>976</v>
      </c>
      <c r="W2070" s="25" t="str">
        <f t="shared" si="51"/>
        <v>Square CassetteOutside Window MountNice CBus Motor</v>
      </c>
      <c r="X2070" s="25">
        <v>10</v>
      </c>
      <c r="Y2070" s="25">
        <v>14</v>
      </c>
      <c r="Z2070" s="25">
        <v>14</v>
      </c>
      <c r="AA2070" s="25" t="s">
        <v>824</v>
      </c>
      <c r="AB2070" s="25" t="s">
        <v>821</v>
      </c>
      <c r="AC2070" s="25" t="s">
        <v>821</v>
      </c>
      <c r="AD2070" s="25" t="s">
        <v>821</v>
      </c>
      <c r="AE2070" s="25" t="s">
        <v>818</v>
      </c>
    </row>
    <row r="2071" spans="20:31" ht="14.4">
      <c r="T2071" s="25" t="s">
        <v>922</v>
      </c>
      <c r="U2071" s="25" t="s">
        <v>867</v>
      </c>
      <c r="V2071" t="s">
        <v>1006</v>
      </c>
      <c r="W2071" s="25" t="str">
        <f t="shared" si="51"/>
        <v>Square CassetteOutside Window MountSunboss Chain Winder 38mm Tube</v>
      </c>
      <c r="X2071" s="25">
        <v>10</v>
      </c>
      <c r="Y2071" s="25">
        <v>14</v>
      </c>
      <c r="Z2071" s="25">
        <v>14</v>
      </c>
      <c r="AA2071" s="25" t="s">
        <v>824</v>
      </c>
      <c r="AB2071" s="25" t="s">
        <v>821</v>
      </c>
      <c r="AC2071" s="25" t="s">
        <v>821</v>
      </c>
      <c r="AD2071" s="25" t="s">
        <v>821</v>
      </c>
      <c r="AE2071" s="25" t="s">
        <v>818</v>
      </c>
    </row>
    <row r="2072" spans="20:31" ht="14.4">
      <c r="T2072" s="25" t="s">
        <v>922</v>
      </c>
      <c r="U2072" s="25" t="s">
        <v>867</v>
      </c>
      <c r="V2072" t="s">
        <v>1017</v>
      </c>
      <c r="W2072" s="25" t="str">
        <f t="shared" si="51"/>
        <v>Square CassetteOutside Window MountSunboss Chain Winder 43mm Tube</v>
      </c>
      <c r="X2072" s="25">
        <v>10</v>
      </c>
      <c r="Y2072" s="25">
        <v>14</v>
      </c>
      <c r="Z2072" s="25">
        <v>14</v>
      </c>
      <c r="AA2072" s="25" t="s">
        <v>824</v>
      </c>
      <c r="AB2072" s="25" t="s">
        <v>821</v>
      </c>
      <c r="AC2072" s="25" t="s">
        <v>821</v>
      </c>
      <c r="AD2072" s="25" t="s">
        <v>821</v>
      </c>
      <c r="AE2072" s="25" t="s">
        <v>818</v>
      </c>
    </row>
    <row r="2073" spans="20:31" ht="14.4">
      <c r="T2073" s="25" t="s">
        <v>922</v>
      </c>
      <c r="U2073" s="25" t="s">
        <v>867</v>
      </c>
      <c r="V2073" s="25" t="s">
        <v>1012</v>
      </c>
      <c r="W2073" s="25" t="str">
        <f t="shared" si="51"/>
        <v>Square CassetteOutside Window MountTBS Remote Motor</v>
      </c>
      <c r="X2073" s="25">
        <v>10</v>
      </c>
      <c r="Y2073" s="25">
        <v>14</v>
      </c>
      <c r="Z2073" s="25">
        <v>14</v>
      </c>
      <c r="AA2073" s="25" t="s">
        <v>824</v>
      </c>
      <c r="AB2073" s="25" t="s">
        <v>821</v>
      </c>
      <c r="AC2073" s="25" t="s">
        <v>821</v>
      </c>
      <c r="AD2073" s="25" t="s">
        <v>821</v>
      </c>
      <c r="AE2073" s="25" t="s">
        <v>818</v>
      </c>
    </row>
    <row r="2074" spans="20:31" ht="14.4">
      <c r="T2074" s="25" t="s">
        <v>922</v>
      </c>
      <c r="U2074" s="25" t="s">
        <v>867</v>
      </c>
      <c r="V2074" t="s">
        <v>1009</v>
      </c>
      <c r="W2074" s="25" t="str">
        <f t="shared" si="51"/>
        <v>Square CassetteOutside Window MountTBS Cbus Motor</v>
      </c>
      <c r="X2074" s="25">
        <v>10</v>
      </c>
      <c r="Y2074" s="25">
        <v>14</v>
      </c>
      <c r="Z2074" s="25">
        <v>14</v>
      </c>
      <c r="AA2074" s="25" t="s">
        <v>824</v>
      </c>
      <c r="AB2074" s="25" t="s">
        <v>818</v>
      </c>
      <c r="AC2074" s="25" t="s">
        <v>821</v>
      </c>
      <c r="AE2074" s="25" t="s">
        <v>818</v>
      </c>
    </row>
    <row r="2075" spans="20:31" ht="14.4">
      <c r="T2075" s="25" t="s">
        <v>922</v>
      </c>
      <c r="U2075" s="25" t="s">
        <v>867</v>
      </c>
      <c r="V2075" t="s">
        <v>927</v>
      </c>
      <c r="W2075" s="25" t="str">
        <f t="shared" si="51"/>
        <v>Square CassetteOutside Window MountAcmeda External Motor</v>
      </c>
      <c r="X2075" s="25">
        <v>10</v>
      </c>
      <c r="Y2075" s="25">
        <v>14</v>
      </c>
      <c r="Z2075" s="25">
        <v>14</v>
      </c>
      <c r="AA2075" s="25" t="s">
        <v>824</v>
      </c>
      <c r="AB2075" s="25" t="s">
        <v>821</v>
      </c>
      <c r="AC2075" s="25" t="s">
        <v>821</v>
      </c>
      <c r="AE2075" s="25" t="s">
        <v>818</v>
      </c>
    </row>
    <row r="2076" spans="20:31" ht="14.4">
      <c r="T2076" s="25" t="s">
        <v>922</v>
      </c>
      <c r="U2076" s="25" t="s">
        <v>867</v>
      </c>
      <c r="V2076" t="s">
        <v>918</v>
      </c>
      <c r="W2076" s="25" t="str">
        <f t="shared" si="51"/>
        <v>Square CassetteOutside Window MountAcmeda External 12v Motor</v>
      </c>
      <c r="X2076" s="25">
        <v>10</v>
      </c>
      <c r="Y2076" s="25">
        <v>14</v>
      </c>
      <c r="Z2076" s="25">
        <v>14</v>
      </c>
      <c r="AA2076" s="25" t="s">
        <v>824</v>
      </c>
      <c r="AB2076" s="25" t="s">
        <v>821</v>
      </c>
      <c r="AC2076" s="25" t="s">
        <v>821</v>
      </c>
      <c r="AD2076" s="25" t="s">
        <v>821</v>
      </c>
      <c r="AE2076" s="25" t="s">
        <v>818</v>
      </c>
    </row>
    <row r="2077" spans="20:31" ht="14.4">
      <c r="T2077" s="25" t="s">
        <v>922</v>
      </c>
      <c r="U2077" s="25" t="s">
        <v>867</v>
      </c>
      <c r="V2077" t="s">
        <v>979</v>
      </c>
      <c r="W2077" s="25" t="str">
        <f t="shared" si="51"/>
        <v>Square CassetteOutside Window MountSomfy External CBUS Motor</v>
      </c>
      <c r="X2077" s="25">
        <v>10</v>
      </c>
      <c r="Y2077" s="25">
        <v>14</v>
      </c>
      <c r="Z2077" s="25">
        <v>14</v>
      </c>
      <c r="AA2077" s="25" t="s">
        <v>824</v>
      </c>
      <c r="AB2077" s="25" t="s">
        <v>821</v>
      </c>
      <c r="AC2077" s="25" t="s">
        <v>821</v>
      </c>
      <c r="AD2077" s="25" t="s">
        <v>821</v>
      </c>
      <c r="AE2077" s="25" t="s">
        <v>818</v>
      </c>
    </row>
    <row r="2078" spans="20:31" ht="14.4">
      <c r="T2078" s="25" t="s">
        <v>922</v>
      </c>
      <c r="U2078" s="25" t="s">
        <v>867</v>
      </c>
      <c r="V2078" t="s">
        <v>983</v>
      </c>
      <c r="W2078" s="25" t="str">
        <f t="shared" si="51"/>
        <v>Square CassetteOutside Window MountSomfy External Remote Motor</v>
      </c>
      <c r="X2078" s="25">
        <v>10</v>
      </c>
      <c r="Y2078" s="25">
        <v>14</v>
      </c>
      <c r="Z2078" s="25">
        <v>14</v>
      </c>
      <c r="AA2078" s="25" t="s">
        <v>824</v>
      </c>
      <c r="AB2078" s="25" t="s">
        <v>821</v>
      </c>
      <c r="AC2078" s="25" t="s">
        <v>821</v>
      </c>
      <c r="AD2078" s="25" t="s">
        <v>821</v>
      </c>
      <c r="AE2078" s="25" t="s">
        <v>818</v>
      </c>
    </row>
    <row r="2079" spans="20:31" ht="14.4">
      <c r="T2079" s="25" t="s">
        <v>922</v>
      </c>
      <c r="U2079" s="25" t="s">
        <v>867</v>
      </c>
      <c r="V2079" t="s">
        <v>995</v>
      </c>
      <c r="W2079" s="25" t="str">
        <f t="shared" si="51"/>
        <v>Square CassetteOutside Window MountHD Somfy External CBUS Motor</v>
      </c>
      <c r="X2079" s="25">
        <v>10</v>
      </c>
      <c r="Y2079" s="25">
        <v>14</v>
      </c>
      <c r="Z2079" s="25">
        <v>14</v>
      </c>
      <c r="AA2079" s="25" t="s">
        <v>824</v>
      </c>
      <c r="AB2079" s="25" t="s">
        <v>821</v>
      </c>
      <c r="AC2079" s="25" t="s">
        <v>821</v>
      </c>
      <c r="AD2079" s="25" t="s">
        <v>821</v>
      </c>
      <c r="AE2079" s="25" t="s">
        <v>818</v>
      </c>
    </row>
    <row r="2080" spans="20:31" ht="14.4">
      <c r="T2080" s="25" t="s">
        <v>922</v>
      </c>
      <c r="U2080" s="25" t="s">
        <v>867</v>
      </c>
      <c r="V2080" t="s">
        <v>999</v>
      </c>
      <c r="W2080" s="25" t="str">
        <f t="shared" si="51"/>
        <v>Square CassetteOutside Window MountHD Somfy External Remote Motor</v>
      </c>
      <c r="X2080" s="25">
        <v>10</v>
      </c>
      <c r="Y2080" s="25">
        <v>14</v>
      </c>
      <c r="Z2080" s="25">
        <v>14</v>
      </c>
      <c r="AA2080" s="25" t="s">
        <v>824</v>
      </c>
      <c r="AB2080" s="25" t="s">
        <v>821</v>
      </c>
      <c r="AC2080" s="25" t="s">
        <v>821</v>
      </c>
      <c r="AD2080" s="25" t="s">
        <v>821</v>
      </c>
      <c r="AE2080" s="25" t="s">
        <v>818</v>
      </c>
    </row>
    <row r="2081" spans="20:31" ht="14.4">
      <c r="T2081" s="25" t="s">
        <v>922</v>
      </c>
      <c r="U2081" s="25" t="s">
        <v>837</v>
      </c>
      <c r="V2081" s="25" t="s">
        <v>823</v>
      </c>
      <c r="W2081" s="25" t="str">
        <f t="shared" si="51"/>
        <v>Square CassetteRevealChain Winder</v>
      </c>
      <c r="X2081" s="25">
        <v>10</v>
      </c>
      <c r="Y2081" s="25">
        <v>14</v>
      </c>
      <c r="Z2081" s="25">
        <v>29</v>
      </c>
      <c r="AA2081" s="25" t="s">
        <v>824</v>
      </c>
      <c r="AB2081" s="25" t="s">
        <v>818</v>
      </c>
      <c r="AC2081" s="25" t="s">
        <v>821</v>
      </c>
      <c r="AD2081" s="25" t="s">
        <v>821</v>
      </c>
      <c r="AE2081" s="25" t="s">
        <v>818</v>
      </c>
    </row>
    <row r="2082" spans="20:31" ht="14.4">
      <c r="T2082" s="25" t="s">
        <v>922</v>
      </c>
      <c r="U2082" s="25" t="s">
        <v>837</v>
      </c>
      <c r="V2082" s="25" t="s">
        <v>841</v>
      </c>
      <c r="W2082" s="25" t="str">
        <f t="shared" si="51"/>
        <v>Square CassetteRevealHD Chain Winder</v>
      </c>
      <c r="X2082" s="25">
        <v>10</v>
      </c>
      <c r="Y2082" s="25">
        <v>14</v>
      </c>
      <c r="Z2082" s="25">
        <v>29</v>
      </c>
      <c r="AA2082" s="25" t="s">
        <v>824</v>
      </c>
      <c r="AB2082" s="25" t="s">
        <v>818</v>
      </c>
      <c r="AC2082" s="25" t="s">
        <v>821</v>
      </c>
      <c r="AD2082" s="25" t="s">
        <v>821</v>
      </c>
      <c r="AE2082" s="25" t="s">
        <v>818</v>
      </c>
    </row>
    <row r="2083" spans="20:31" ht="14.4">
      <c r="T2083" s="25" t="s">
        <v>922</v>
      </c>
      <c r="U2083" s="25" t="s">
        <v>837</v>
      </c>
      <c r="V2083" s="25" t="s">
        <v>858</v>
      </c>
      <c r="W2083" s="25" t="str">
        <f t="shared" si="51"/>
        <v>Square CassetteRevealChain Winder 60mm</v>
      </c>
      <c r="X2083" s="25">
        <v>10</v>
      </c>
      <c r="Y2083" s="25">
        <v>14</v>
      </c>
      <c r="Z2083" s="25">
        <v>29</v>
      </c>
      <c r="AA2083" s="25" t="s">
        <v>824</v>
      </c>
      <c r="AB2083" s="25" t="s">
        <v>821</v>
      </c>
      <c r="AC2083" s="25" t="s">
        <v>821</v>
      </c>
      <c r="AD2083" s="25" t="s">
        <v>821</v>
      </c>
      <c r="AE2083" s="25" t="s">
        <v>818</v>
      </c>
    </row>
    <row r="2084" spans="20:31" ht="14.4">
      <c r="T2084" s="25" t="s">
        <v>922</v>
      </c>
      <c r="U2084" s="25" t="s">
        <v>837</v>
      </c>
      <c r="V2084" s="25" t="s">
        <v>865</v>
      </c>
      <c r="W2084" s="25" t="str">
        <f t="shared" si="51"/>
        <v>Square CassetteRevealChain Winder Fixed Guide</v>
      </c>
      <c r="X2084" s="25">
        <v>10</v>
      </c>
      <c r="Y2084" s="25">
        <v>14</v>
      </c>
      <c r="Z2084" s="25">
        <v>29</v>
      </c>
      <c r="AA2084" s="25" t="s">
        <v>824</v>
      </c>
      <c r="AB2084" s="25" t="s">
        <v>821</v>
      </c>
      <c r="AC2084" s="25" t="s">
        <v>821</v>
      </c>
      <c r="AD2084" s="25" t="s">
        <v>821</v>
      </c>
      <c r="AE2084" s="25" t="s">
        <v>818</v>
      </c>
    </row>
    <row r="2085" spans="20:31" ht="14.4">
      <c r="T2085" s="25" t="s">
        <v>922</v>
      </c>
      <c r="U2085" s="25" t="s">
        <v>837</v>
      </c>
      <c r="V2085" s="25" t="s">
        <v>181</v>
      </c>
      <c r="W2085" s="25" t="str">
        <f t="shared" si="51"/>
        <v>Square CassetteRevealLinked</v>
      </c>
      <c r="X2085" s="25">
        <v>10</v>
      </c>
      <c r="Y2085" s="25">
        <v>14</v>
      </c>
      <c r="Z2085" s="25">
        <v>14</v>
      </c>
      <c r="AA2085" s="25" t="s">
        <v>824</v>
      </c>
      <c r="AB2085" s="25" t="s">
        <v>821</v>
      </c>
      <c r="AC2085" s="25" t="s">
        <v>821</v>
      </c>
      <c r="AD2085" s="25" t="s">
        <v>821</v>
      </c>
      <c r="AE2085" s="25" t="s">
        <v>818</v>
      </c>
    </row>
    <row r="2086" spans="20:31" ht="14.4">
      <c r="T2086" s="25" t="s">
        <v>922</v>
      </c>
      <c r="U2086" s="25" t="s">
        <v>837</v>
      </c>
      <c r="V2086" s="25" t="s">
        <v>898</v>
      </c>
      <c r="W2086" s="25" t="str">
        <f t="shared" si="51"/>
        <v>Square CassetteRevealLinked - HD</v>
      </c>
      <c r="X2086" s="25">
        <v>10</v>
      </c>
      <c r="Y2086" s="25">
        <v>14</v>
      </c>
      <c r="Z2086" s="25">
        <v>14</v>
      </c>
      <c r="AA2086" s="25" t="s">
        <v>824</v>
      </c>
      <c r="AB2086" s="25" t="s">
        <v>821</v>
      </c>
      <c r="AC2086" s="25" t="s">
        <v>821</v>
      </c>
      <c r="AD2086" s="25" t="s">
        <v>821</v>
      </c>
      <c r="AE2086" s="25" t="s">
        <v>818</v>
      </c>
    </row>
    <row r="2087" spans="20:31" ht="14.4">
      <c r="T2087" s="25" t="s">
        <v>922</v>
      </c>
      <c r="U2087" s="25" t="s">
        <v>837</v>
      </c>
      <c r="V2087" s="25" t="s">
        <v>910</v>
      </c>
      <c r="W2087" s="25" t="str">
        <f t="shared" si="51"/>
        <v>Square CassetteRevealStandard Spring</v>
      </c>
      <c r="X2087" s="25">
        <v>10</v>
      </c>
      <c r="Y2087" s="25">
        <v>14</v>
      </c>
      <c r="Z2087" s="25">
        <v>14</v>
      </c>
      <c r="AA2087" s="25" t="s">
        <v>824</v>
      </c>
      <c r="AB2087" s="25" t="s">
        <v>821</v>
      </c>
      <c r="AC2087" s="25" t="s">
        <v>821</v>
      </c>
      <c r="AD2087" s="25" t="s">
        <v>821</v>
      </c>
      <c r="AE2087" s="25" t="s">
        <v>818</v>
      </c>
    </row>
    <row r="2088" spans="20:31" ht="14.4">
      <c r="T2088" s="25" t="s">
        <v>922</v>
      </c>
      <c r="U2088" s="25" t="s">
        <v>837</v>
      </c>
      <c r="V2088" s="25" t="s">
        <v>920</v>
      </c>
      <c r="W2088" s="25" t="str">
        <f t="shared" si="51"/>
        <v>Square CassetteRevealSmall Spring</v>
      </c>
      <c r="X2088" s="25">
        <v>10</v>
      </c>
      <c r="Y2088" s="25">
        <v>14</v>
      </c>
      <c r="Z2088" s="25">
        <v>14</v>
      </c>
      <c r="AA2088" s="25" t="s">
        <v>824</v>
      </c>
      <c r="AB2088" s="25" t="s">
        <v>821</v>
      </c>
      <c r="AC2088" s="25" t="s">
        <v>821</v>
      </c>
      <c r="AD2088" s="25" t="s">
        <v>821</v>
      </c>
      <c r="AE2088" s="25" t="s">
        <v>818</v>
      </c>
    </row>
    <row r="2089" spans="20:31" ht="14.4">
      <c r="T2089" s="25" t="s">
        <v>922</v>
      </c>
      <c r="U2089" s="25" t="s">
        <v>837</v>
      </c>
      <c r="V2089" s="25" t="s">
        <v>929</v>
      </c>
      <c r="W2089" s="25" t="str">
        <f t="shared" si="51"/>
        <v>Square CassetteRevealUniline Spring (Old Style)</v>
      </c>
      <c r="X2089" s="25">
        <v>10</v>
      </c>
      <c r="Y2089" s="25">
        <v>14</v>
      </c>
      <c r="Z2089" s="25">
        <v>14</v>
      </c>
      <c r="AA2089" s="25" t="s">
        <v>824</v>
      </c>
      <c r="AB2089" s="25" t="s">
        <v>821</v>
      </c>
      <c r="AC2089" s="25" t="s">
        <v>821</v>
      </c>
      <c r="AD2089" s="25" t="s">
        <v>821</v>
      </c>
      <c r="AE2089" s="25" t="s">
        <v>818</v>
      </c>
    </row>
    <row r="2090" spans="20:31" ht="14.4">
      <c r="T2090" s="25" t="s">
        <v>922</v>
      </c>
      <c r="U2090" s="25" t="s">
        <v>837</v>
      </c>
      <c r="V2090" s="25" t="s">
        <v>935</v>
      </c>
      <c r="W2090" s="25" t="str">
        <f t="shared" si="51"/>
        <v>Square CassetteRevealBecker Remote Motor</v>
      </c>
      <c r="X2090" s="25">
        <v>10</v>
      </c>
      <c r="Y2090" s="25">
        <v>14</v>
      </c>
      <c r="Z2090" s="25">
        <v>14</v>
      </c>
      <c r="AA2090" s="25" t="s">
        <v>824</v>
      </c>
      <c r="AB2090" s="25" t="s">
        <v>821</v>
      </c>
      <c r="AC2090" s="25" t="s">
        <v>821</v>
      </c>
      <c r="AD2090" s="25" t="s">
        <v>821</v>
      </c>
      <c r="AE2090" s="25" t="s">
        <v>818</v>
      </c>
    </row>
    <row r="2091" spans="20:31" ht="14.4">
      <c r="T2091" s="25" t="s">
        <v>922</v>
      </c>
      <c r="U2091" s="25" t="s">
        <v>837</v>
      </c>
      <c r="V2091" s="25" t="s">
        <v>939</v>
      </c>
      <c r="W2091" s="25" t="str">
        <f t="shared" si="51"/>
        <v>Square CassetteRevealBecker CBUS Motor</v>
      </c>
      <c r="X2091" s="25">
        <v>10</v>
      </c>
      <c r="Y2091" s="25">
        <v>14</v>
      </c>
      <c r="Z2091" s="25">
        <v>14</v>
      </c>
      <c r="AA2091" s="25" t="s">
        <v>824</v>
      </c>
      <c r="AB2091" s="25" t="s">
        <v>821</v>
      </c>
      <c r="AC2091" s="25" t="s">
        <v>821</v>
      </c>
      <c r="AD2091" s="25" t="s">
        <v>821</v>
      </c>
      <c r="AE2091" s="25" t="s">
        <v>818</v>
      </c>
    </row>
    <row r="2092" spans="20:31" ht="14.4">
      <c r="T2092" s="25" t="s">
        <v>922</v>
      </c>
      <c r="U2092" s="25" t="s">
        <v>837</v>
      </c>
      <c r="V2092" s="25" t="s">
        <v>946</v>
      </c>
      <c r="W2092" s="25" t="str">
        <f t="shared" si="51"/>
        <v>Square CassetteRevealBecker External Remote Motor</v>
      </c>
      <c r="X2092" s="25">
        <v>10</v>
      </c>
      <c r="Y2092" s="25">
        <v>14</v>
      </c>
      <c r="Z2092" s="25">
        <v>14</v>
      </c>
      <c r="AA2092" s="25" t="s">
        <v>824</v>
      </c>
      <c r="AB2092" s="25" t="s">
        <v>821</v>
      </c>
      <c r="AC2092" s="25" t="s">
        <v>821</v>
      </c>
      <c r="AD2092" s="25" t="s">
        <v>821</v>
      </c>
      <c r="AE2092" s="25" t="s">
        <v>818</v>
      </c>
    </row>
    <row r="2093" spans="20:31" ht="14.4">
      <c r="T2093" s="25" t="s">
        <v>922</v>
      </c>
      <c r="U2093" s="25" t="s">
        <v>837</v>
      </c>
      <c r="V2093" s="25" t="s">
        <v>951</v>
      </c>
      <c r="W2093" s="25" t="str">
        <f t="shared" si="51"/>
        <v>Square CassetteRevealBecker External CBUS Motor</v>
      </c>
      <c r="X2093" s="25">
        <v>10</v>
      </c>
      <c r="Y2093" s="25">
        <v>14</v>
      </c>
      <c r="Z2093" s="25">
        <v>14</v>
      </c>
      <c r="AA2093" s="25" t="s">
        <v>824</v>
      </c>
      <c r="AB2093" s="25" t="s">
        <v>821</v>
      </c>
      <c r="AC2093" s="25" t="s">
        <v>821</v>
      </c>
      <c r="AD2093" s="25" t="s">
        <v>821</v>
      </c>
      <c r="AE2093" s="25" t="s">
        <v>818</v>
      </c>
    </row>
    <row r="2094" spans="20:31" ht="14.4">
      <c r="T2094" s="25" t="s">
        <v>922</v>
      </c>
      <c r="U2094" s="25" t="s">
        <v>837</v>
      </c>
      <c r="V2094" s="25" t="s">
        <v>838</v>
      </c>
      <c r="W2094" s="25" t="str">
        <f t="shared" si="51"/>
        <v>Square CassetteReveal1.1nm 12v Acmeda Motor</v>
      </c>
      <c r="X2094" s="25">
        <v>10</v>
      </c>
      <c r="Y2094" s="25">
        <v>14</v>
      </c>
      <c r="Z2094" s="25">
        <v>14</v>
      </c>
      <c r="AA2094" s="25" t="s">
        <v>824</v>
      </c>
      <c r="AB2094" s="25" t="s">
        <v>821</v>
      </c>
      <c r="AC2094" s="25" t="s">
        <v>821</v>
      </c>
      <c r="AD2094" s="25" t="s">
        <v>821</v>
      </c>
      <c r="AE2094" s="25" t="s">
        <v>818</v>
      </c>
    </row>
    <row r="2095" spans="20:31" ht="14.4">
      <c r="T2095" s="25" t="s">
        <v>922</v>
      </c>
      <c r="U2095" s="25" t="s">
        <v>837</v>
      </c>
      <c r="V2095" t="s">
        <v>882</v>
      </c>
      <c r="W2095" s="25" t="str">
        <f t="shared" si="51"/>
        <v>Square CassetteReveal2nm 12v Acmeda Motor</v>
      </c>
      <c r="X2095" s="25">
        <v>10</v>
      </c>
      <c r="Y2095" s="25">
        <v>14</v>
      </c>
      <c r="Z2095" s="25">
        <v>14</v>
      </c>
      <c r="AA2095" s="25" t="s">
        <v>824</v>
      </c>
      <c r="AB2095" s="25" t="s">
        <v>821</v>
      </c>
      <c r="AC2095" s="25" t="s">
        <v>821</v>
      </c>
      <c r="AD2095" s="25" t="s">
        <v>821</v>
      </c>
      <c r="AE2095" s="25" t="s">
        <v>818</v>
      </c>
    </row>
    <row r="2096" spans="20:31" ht="14.4">
      <c r="T2096" s="25" t="s">
        <v>922</v>
      </c>
      <c r="U2096" s="25" t="s">
        <v>837</v>
      </c>
      <c r="V2096" t="s">
        <v>896</v>
      </c>
      <c r="W2096" s="25" t="str">
        <f t="shared" si="51"/>
        <v>Square CassetteRevealAcmeda 12v 6nm Motor</v>
      </c>
      <c r="X2096" s="25">
        <v>10</v>
      </c>
      <c r="Y2096" s="25">
        <v>14</v>
      </c>
      <c r="Z2096" s="25">
        <v>14</v>
      </c>
      <c r="AA2096" s="25" t="s">
        <v>824</v>
      </c>
      <c r="AB2096" s="25" t="s">
        <v>821</v>
      </c>
      <c r="AC2096" s="25" t="s">
        <v>821</v>
      </c>
      <c r="AD2096" s="25" t="s">
        <v>821</v>
      </c>
      <c r="AE2096" s="25" t="s">
        <v>818</v>
      </c>
    </row>
    <row r="2097" spans="20:31" ht="14.4">
      <c r="T2097" s="25" t="s">
        <v>922</v>
      </c>
      <c r="U2097" s="25" t="s">
        <v>837</v>
      </c>
      <c r="V2097" t="s">
        <v>855</v>
      </c>
      <c r="W2097" s="25" t="str">
        <f t="shared" si="51"/>
        <v>Square CassetteReveal0.7nm 12v Acmeda Motor</v>
      </c>
      <c r="X2097" s="25">
        <v>10</v>
      </c>
      <c r="Y2097" s="25">
        <v>14</v>
      </c>
      <c r="Z2097" s="25">
        <v>14</v>
      </c>
      <c r="AA2097" s="25" t="s">
        <v>824</v>
      </c>
      <c r="AB2097" s="25" t="s">
        <v>821</v>
      </c>
      <c r="AC2097" s="25" t="s">
        <v>821</v>
      </c>
      <c r="AD2097" s="25" t="s">
        <v>821</v>
      </c>
      <c r="AE2097" s="25" t="s">
        <v>818</v>
      </c>
    </row>
    <row r="2098" spans="20:31" ht="14.4">
      <c r="T2098" s="25" t="s">
        <v>922</v>
      </c>
      <c r="U2098" s="25" t="s">
        <v>837</v>
      </c>
      <c r="V2098" s="25" t="s">
        <v>849</v>
      </c>
      <c r="W2098" s="25" t="str">
        <f t="shared" si="51"/>
        <v>Square CassetteReveal1.1nm 12v Acmeda DCRF Motor with External Battery</v>
      </c>
      <c r="X2098" s="25">
        <v>10</v>
      </c>
      <c r="Y2098" s="25">
        <v>14</v>
      </c>
      <c r="Z2098" s="25">
        <v>14</v>
      </c>
      <c r="AA2098" s="25" t="s">
        <v>824</v>
      </c>
      <c r="AB2098" s="25" t="s">
        <v>821</v>
      </c>
      <c r="AC2098" s="25" t="s">
        <v>821</v>
      </c>
      <c r="AD2098" s="25" t="s">
        <v>821</v>
      </c>
      <c r="AE2098" s="25" t="s">
        <v>818</v>
      </c>
    </row>
    <row r="2099" spans="20:31" ht="14.4">
      <c r="T2099" s="25" t="s">
        <v>922</v>
      </c>
      <c r="U2099" s="25" t="s">
        <v>837</v>
      </c>
      <c r="V2099" s="25" t="s">
        <v>817</v>
      </c>
      <c r="W2099" s="25" t="str">
        <f t="shared" si="51"/>
        <v>Square CassetteReveal1.1nm 12v Acmeda DCRF Motor</v>
      </c>
      <c r="X2099" s="25">
        <v>10</v>
      </c>
      <c r="Y2099" s="25">
        <v>14</v>
      </c>
      <c r="Z2099" s="25">
        <v>14</v>
      </c>
      <c r="AA2099" s="25" t="s">
        <v>824</v>
      </c>
      <c r="AB2099" s="25" t="s">
        <v>821</v>
      </c>
      <c r="AC2099" s="25" t="s">
        <v>821</v>
      </c>
      <c r="AD2099" s="25" t="s">
        <v>821</v>
      </c>
      <c r="AE2099" s="25" t="s">
        <v>818</v>
      </c>
    </row>
    <row r="2100" spans="20:31" ht="14.4">
      <c r="T2100" s="25" t="s">
        <v>922</v>
      </c>
      <c r="U2100" s="25" t="s">
        <v>837</v>
      </c>
      <c r="V2100" s="25" t="s">
        <v>868</v>
      </c>
      <c r="W2100" s="25" t="str">
        <f t="shared" si="51"/>
        <v>Square CassetteReveal2nm 12v Acmeda DCRF Motor</v>
      </c>
      <c r="X2100" s="25">
        <v>10</v>
      </c>
      <c r="Y2100" s="25">
        <v>14</v>
      </c>
      <c r="Z2100" s="25">
        <v>14</v>
      </c>
      <c r="AA2100" s="25" t="s">
        <v>824</v>
      </c>
      <c r="AB2100" s="25" t="s">
        <v>821</v>
      </c>
      <c r="AC2100" s="25" t="s">
        <v>821</v>
      </c>
      <c r="AD2100" s="25" t="s">
        <v>821</v>
      </c>
      <c r="AE2100" s="25" t="s">
        <v>818</v>
      </c>
    </row>
    <row r="2101" spans="20:31" ht="14.4">
      <c r="T2101" s="25" t="s">
        <v>922</v>
      </c>
      <c r="U2101" s="25" t="s">
        <v>837</v>
      </c>
      <c r="V2101" t="s">
        <v>973</v>
      </c>
      <c r="W2101" s="25" t="str">
        <f t="shared" si="51"/>
        <v>Square CassetteRevealSomfy Remote Sonesse Motor</v>
      </c>
      <c r="X2101" s="25">
        <v>10</v>
      </c>
      <c r="Y2101" s="25">
        <v>14</v>
      </c>
      <c r="Z2101" s="25">
        <v>14</v>
      </c>
      <c r="AA2101" s="25" t="s">
        <v>824</v>
      </c>
      <c r="AB2101" s="25" t="s">
        <v>821</v>
      </c>
      <c r="AC2101" s="25" t="s">
        <v>821</v>
      </c>
      <c r="AD2101" s="25" t="s">
        <v>821</v>
      </c>
      <c r="AE2101" s="25" t="s">
        <v>818</v>
      </c>
    </row>
    <row r="2102" spans="20:31" ht="14.4">
      <c r="T2102" s="25" t="s">
        <v>922</v>
      </c>
      <c r="U2102" s="25" t="s">
        <v>837</v>
      </c>
      <c r="V2102" t="s">
        <v>637</v>
      </c>
      <c r="W2102" s="25" t="str">
        <f t="shared" si="51"/>
        <v>Square CassetteRevealSomfy 12v Remote Sonesse Motor</v>
      </c>
      <c r="X2102" s="25">
        <v>10</v>
      </c>
      <c r="Y2102" s="25">
        <v>14</v>
      </c>
      <c r="Z2102" s="25">
        <v>14</v>
      </c>
      <c r="AA2102" s="25" t="s">
        <v>824</v>
      </c>
      <c r="AB2102" s="25" t="s">
        <v>821</v>
      </c>
      <c r="AC2102" s="25" t="s">
        <v>821</v>
      </c>
      <c r="AD2102" s="25" t="s">
        <v>821</v>
      </c>
      <c r="AE2102" s="25" t="s">
        <v>818</v>
      </c>
    </row>
    <row r="2103" spans="20:31" ht="14.4">
      <c r="T2103" s="25" t="s">
        <v>922</v>
      </c>
      <c r="U2103" s="25" t="s">
        <v>837</v>
      </c>
      <c r="V2103" s="25" t="s">
        <v>974</v>
      </c>
      <c r="W2103" s="25" t="str">
        <f t="shared" si="51"/>
        <v>Square CassetteRevealSomfy CBUS Motor</v>
      </c>
      <c r="X2103" s="25">
        <v>10</v>
      </c>
      <c r="Y2103" s="25">
        <v>14</v>
      </c>
      <c r="Z2103" s="25">
        <v>14</v>
      </c>
      <c r="AA2103" s="25" t="s">
        <v>824</v>
      </c>
      <c r="AB2103" s="25" t="s">
        <v>821</v>
      </c>
      <c r="AC2103" s="25" t="s">
        <v>821</v>
      </c>
      <c r="AD2103" s="25" t="s">
        <v>821</v>
      </c>
      <c r="AE2103" s="25" t="s">
        <v>818</v>
      </c>
    </row>
    <row r="2104" spans="20:31" ht="14.4">
      <c r="T2104" s="25" t="s">
        <v>922</v>
      </c>
      <c r="U2104" s="25" t="s">
        <v>837</v>
      </c>
      <c r="V2104" t="s">
        <v>986</v>
      </c>
      <c r="W2104" s="25" t="str">
        <f t="shared" si="51"/>
        <v>Square CassetteRevealHD Somfy Remote Sonesse Motor</v>
      </c>
      <c r="X2104" s="25">
        <v>10</v>
      </c>
      <c r="Y2104" s="25">
        <v>14</v>
      </c>
      <c r="Z2104" s="25">
        <v>14</v>
      </c>
      <c r="AA2104" s="25" t="s">
        <v>824</v>
      </c>
      <c r="AB2104" s="25" t="s">
        <v>821</v>
      </c>
      <c r="AC2104" s="25" t="s">
        <v>821</v>
      </c>
      <c r="AD2104" s="25" t="s">
        <v>821</v>
      </c>
      <c r="AE2104" s="25" t="s">
        <v>818</v>
      </c>
    </row>
    <row r="2105" spans="20:31" ht="14.4">
      <c r="T2105" s="25" t="s">
        <v>922</v>
      </c>
      <c r="U2105" s="25" t="s">
        <v>837</v>
      </c>
      <c r="V2105" t="s">
        <v>989</v>
      </c>
      <c r="W2105" s="25" t="str">
        <f t="shared" si="51"/>
        <v>Square CassetteRevealHD Somfy 12v Remote Sonesse Motor</v>
      </c>
      <c r="X2105" s="25">
        <v>10</v>
      </c>
      <c r="Y2105" s="25">
        <v>14</v>
      </c>
      <c r="Z2105" s="25">
        <v>14</v>
      </c>
      <c r="AA2105" s="25" t="s">
        <v>824</v>
      </c>
      <c r="AB2105" s="25" t="s">
        <v>821</v>
      </c>
      <c r="AC2105" s="25" t="s">
        <v>821</v>
      </c>
      <c r="AD2105" s="25" t="s">
        <v>821</v>
      </c>
      <c r="AE2105" s="25" t="s">
        <v>818</v>
      </c>
    </row>
    <row r="2106" spans="20:31" ht="14.4">
      <c r="T2106" s="25" t="s">
        <v>922</v>
      </c>
      <c r="U2106" s="25" t="s">
        <v>837</v>
      </c>
      <c r="V2106" s="25" t="s">
        <v>992</v>
      </c>
      <c r="W2106" s="25" t="str">
        <f t="shared" si="51"/>
        <v>Square CassetteRevealHD Somfy CBUS Motor</v>
      </c>
      <c r="X2106" s="25">
        <v>10</v>
      </c>
      <c r="Y2106" s="25">
        <v>14</v>
      </c>
      <c r="Z2106" s="25">
        <v>14</v>
      </c>
      <c r="AA2106" s="25" t="s">
        <v>824</v>
      </c>
      <c r="AB2106" s="25" t="s">
        <v>821</v>
      </c>
      <c r="AC2106" s="25" t="s">
        <v>821</v>
      </c>
      <c r="AD2106" s="25" t="s">
        <v>821</v>
      </c>
      <c r="AE2106" s="25" t="s">
        <v>818</v>
      </c>
    </row>
    <row r="2107" spans="20:31" ht="14.4">
      <c r="T2107" s="25" t="s">
        <v>922</v>
      </c>
      <c r="U2107" s="25" t="s">
        <v>837</v>
      </c>
      <c r="V2107" s="25" t="s">
        <v>625</v>
      </c>
      <c r="W2107" s="25" t="str">
        <f t="shared" si="51"/>
        <v>Square CassetteRevealAcmeda E6 Motor</v>
      </c>
      <c r="X2107" s="25">
        <v>10</v>
      </c>
      <c r="Y2107" s="25">
        <v>14</v>
      </c>
      <c r="Z2107" s="25">
        <v>14</v>
      </c>
      <c r="AA2107" s="25" t="s">
        <v>824</v>
      </c>
      <c r="AB2107" s="25" t="s">
        <v>821</v>
      </c>
      <c r="AC2107" s="25" t="s">
        <v>821</v>
      </c>
      <c r="AD2107" s="25" t="s">
        <v>821</v>
      </c>
      <c r="AE2107" s="25" t="s">
        <v>818</v>
      </c>
    </row>
    <row r="2108" spans="20:31" ht="14.4">
      <c r="T2108" s="25" t="s">
        <v>922</v>
      </c>
      <c r="U2108" s="25" t="s">
        <v>837</v>
      </c>
      <c r="V2108" s="25" t="s">
        <v>626</v>
      </c>
      <c r="W2108" s="25" t="str">
        <f t="shared" si="51"/>
        <v>Square CassetteRevealAcmeda M6 Motor</v>
      </c>
      <c r="X2108" s="25">
        <v>10</v>
      </c>
      <c r="Y2108" s="25">
        <v>14</v>
      </c>
      <c r="Z2108" s="25">
        <v>14</v>
      </c>
      <c r="AA2108" s="25" t="s">
        <v>824</v>
      </c>
      <c r="AB2108" s="25" t="s">
        <v>821</v>
      </c>
      <c r="AC2108" s="25" t="s">
        <v>821</v>
      </c>
      <c r="AD2108" s="25" t="s">
        <v>821</v>
      </c>
      <c r="AE2108" s="25" t="s">
        <v>818</v>
      </c>
    </row>
    <row r="2109" spans="20:31" ht="14.4">
      <c r="T2109" s="25" t="s">
        <v>922</v>
      </c>
      <c r="U2109" s="25" t="s">
        <v>837</v>
      </c>
      <c r="V2109" s="25" t="s">
        <v>1002</v>
      </c>
      <c r="W2109" s="25" t="str">
        <f t="shared" si="51"/>
        <v>Square CassetteRevealUniline Remote Motor</v>
      </c>
      <c r="X2109" s="25">
        <v>10</v>
      </c>
      <c r="Y2109" s="25">
        <v>14</v>
      </c>
      <c r="Z2109" s="25">
        <v>14</v>
      </c>
      <c r="AA2109" s="25" t="s">
        <v>824</v>
      </c>
      <c r="AB2109" s="25" t="s">
        <v>821</v>
      </c>
      <c r="AC2109" s="25" t="s">
        <v>821</v>
      </c>
      <c r="AD2109" s="25" t="s">
        <v>821</v>
      </c>
      <c r="AE2109" s="25" t="s">
        <v>818</v>
      </c>
    </row>
    <row r="2110" spans="20:31" ht="14.4">
      <c r="T2110" s="25" t="s">
        <v>922</v>
      </c>
      <c r="U2110" s="25" t="s">
        <v>837</v>
      </c>
      <c r="V2110" s="25" t="s">
        <v>1005</v>
      </c>
      <c r="W2110" s="25" t="str">
        <f t="shared" si="51"/>
        <v>Square CassetteRevealUniline Cbus Motor</v>
      </c>
      <c r="X2110" s="25">
        <v>10</v>
      </c>
      <c r="Y2110" s="25">
        <v>14</v>
      </c>
      <c r="Z2110" s="25">
        <v>14</v>
      </c>
      <c r="AA2110" s="25" t="s">
        <v>824</v>
      </c>
      <c r="AB2110" s="25" t="s">
        <v>821</v>
      </c>
      <c r="AC2110" s="25" t="s">
        <v>821</v>
      </c>
      <c r="AD2110" s="25" t="s">
        <v>821</v>
      </c>
      <c r="AE2110" s="25" t="s">
        <v>818</v>
      </c>
    </row>
    <row r="2111" spans="20:31" ht="14.4">
      <c r="T2111" s="25" t="s">
        <v>922</v>
      </c>
      <c r="U2111" s="25" t="s">
        <v>837</v>
      </c>
      <c r="V2111" s="25" t="s">
        <v>981</v>
      </c>
      <c r="W2111" s="25" t="str">
        <f t="shared" si="51"/>
        <v>Square CassetteRevealNice Remote Motor</v>
      </c>
      <c r="X2111" s="25">
        <v>10</v>
      </c>
      <c r="Y2111" s="25">
        <v>14</v>
      </c>
      <c r="Z2111" s="25">
        <v>14</v>
      </c>
      <c r="AA2111" s="25" t="s">
        <v>824</v>
      </c>
      <c r="AB2111" s="25" t="s">
        <v>821</v>
      </c>
      <c r="AC2111" s="25" t="s">
        <v>821</v>
      </c>
      <c r="AD2111" s="25" t="s">
        <v>821</v>
      </c>
      <c r="AE2111" s="25" t="s">
        <v>818</v>
      </c>
    </row>
    <row r="2112" spans="20:31" ht="14.4">
      <c r="T2112" s="25" t="s">
        <v>922</v>
      </c>
      <c r="U2112" s="25" t="s">
        <v>837</v>
      </c>
      <c r="V2112" s="25" t="s">
        <v>976</v>
      </c>
      <c r="W2112" s="25" t="str">
        <f t="shared" si="51"/>
        <v>Square CassetteRevealNice CBus Motor</v>
      </c>
      <c r="X2112" s="25">
        <v>10</v>
      </c>
      <c r="Y2112" s="25">
        <v>14</v>
      </c>
      <c r="Z2112" s="25">
        <v>14</v>
      </c>
      <c r="AA2112" s="25" t="s">
        <v>824</v>
      </c>
      <c r="AB2112" s="25" t="s">
        <v>821</v>
      </c>
      <c r="AC2112" s="25" t="s">
        <v>821</v>
      </c>
      <c r="AD2112" s="25" t="s">
        <v>821</v>
      </c>
      <c r="AE2112" s="25" t="s">
        <v>818</v>
      </c>
    </row>
    <row r="2113" spans="20:31" ht="14.4">
      <c r="T2113" s="25" t="s">
        <v>922</v>
      </c>
      <c r="U2113" s="25" t="s">
        <v>837</v>
      </c>
      <c r="V2113" t="s">
        <v>1006</v>
      </c>
      <c r="W2113" s="25" t="str">
        <f t="shared" si="51"/>
        <v>Square CassetteRevealSunboss Chain Winder 38mm Tube</v>
      </c>
      <c r="X2113" s="25">
        <v>10</v>
      </c>
      <c r="Y2113" s="25">
        <v>14</v>
      </c>
      <c r="Z2113" s="25">
        <v>14</v>
      </c>
      <c r="AA2113" s="25" t="s">
        <v>824</v>
      </c>
      <c r="AB2113" s="25" t="s">
        <v>821</v>
      </c>
      <c r="AC2113" s="25" t="s">
        <v>821</v>
      </c>
      <c r="AD2113" s="25" t="s">
        <v>821</v>
      </c>
      <c r="AE2113" s="25" t="s">
        <v>818</v>
      </c>
    </row>
    <row r="2114" spans="20:31" ht="14.4">
      <c r="T2114" s="25" t="s">
        <v>922</v>
      </c>
      <c r="U2114" s="25" t="s">
        <v>837</v>
      </c>
      <c r="V2114" t="s">
        <v>1017</v>
      </c>
      <c r="W2114" s="25" t="str">
        <f t="shared" si="51"/>
        <v>Square CassetteRevealSunboss Chain Winder 43mm Tube</v>
      </c>
      <c r="X2114" s="25">
        <v>10</v>
      </c>
      <c r="Y2114" s="25">
        <v>14</v>
      </c>
      <c r="Z2114" s="25">
        <v>14</v>
      </c>
      <c r="AA2114" s="25" t="s">
        <v>824</v>
      </c>
      <c r="AB2114" s="25" t="s">
        <v>821</v>
      </c>
      <c r="AC2114" s="25" t="s">
        <v>821</v>
      </c>
      <c r="AD2114" s="25" t="s">
        <v>821</v>
      </c>
      <c r="AE2114" s="25" t="s">
        <v>818</v>
      </c>
    </row>
    <row r="2115" spans="20:31" ht="14.4">
      <c r="T2115" s="25" t="s">
        <v>922</v>
      </c>
      <c r="U2115" s="25" t="s">
        <v>837</v>
      </c>
      <c r="V2115" s="25" t="s">
        <v>1012</v>
      </c>
      <c r="W2115" s="25" t="str">
        <f t="shared" si="52" ref="W2115:W2178">CONCATENATE(T2115,U2115,V2115)</f>
        <v>Square CassetteRevealTBS Remote Motor</v>
      </c>
      <c r="X2115" s="25">
        <v>10</v>
      </c>
      <c r="Y2115" s="25">
        <v>14</v>
      </c>
      <c r="Z2115" s="25">
        <v>14</v>
      </c>
      <c r="AA2115" s="25" t="s">
        <v>824</v>
      </c>
      <c r="AB2115" s="25" t="s">
        <v>821</v>
      </c>
      <c r="AC2115" s="25" t="s">
        <v>821</v>
      </c>
      <c r="AD2115" s="25" t="s">
        <v>821</v>
      </c>
      <c r="AE2115" s="25" t="s">
        <v>818</v>
      </c>
    </row>
    <row r="2116" spans="20:31" ht="14.4">
      <c r="T2116" s="25" t="s">
        <v>922</v>
      </c>
      <c r="U2116" s="25" t="s">
        <v>837</v>
      </c>
      <c r="V2116" t="s">
        <v>1009</v>
      </c>
      <c r="W2116" s="25" t="str">
        <f t="shared" si="52"/>
        <v>Square CassetteRevealTBS Cbus Motor</v>
      </c>
      <c r="X2116" s="25">
        <v>10</v>
      </c>
      <c r="Y2116" s="25">
        <v>14</v>
      </c>
      <c r="Z2116" s="25">
        <v>14</v>
      </c>
      <c r="AA2116" s="25" t="s">
        <v>824</v>
      </c>
      <c r="AB2116" s="25" t="s">
        <v>821</v>
      </c>
      <c r="AC2116" s="25" t="s">
        <v>821</v>
      </c>
      <c r="AD2116" s="25" t="s">
        <v>821</v>
      </c>
      <c r="AE2116" s="25" t="s">
        <v>818</v>
      </c>
    </row>
    <row r="2117" spans="20:31" ht="14.4">
      <c r="T2117" s="25" t="s">
        <v>922</v>
      </c>
      <c r="U2117" s="25" t="s">
        <v>837</v>
      </c>
      <c r="V2117" t="s">
        <v>927</v>
      </c>
      <c r="W2117" s="25" t="str">
        <f t="shared" si="52"/>
        <v>Square CassetteRevealAcmeda External Motor</v>
      </c>
      <c r="X2117" s="25">
        <v>10</v>
      </c>
      <c r="Y2117" s="25">
        <v>14</v>
      </c>
      <c r="Z2117" s="25">
        <v>14</v>
      </c>
      <c r="AA2117" s="25" t="s">
        <v>824</v>
      </c>
      <c r="AB2117" s="25" t="s">
        <v>821</v>
      </c>
      <c r="AC2117" s="25" t="s">
        <v>821</v>
      </c>
      <c r="AD2117" s="25" t="s">
        <v>821</v>
      </c>
      <c r="AE2117" s="25" t="s">
        <v>818</v>
      </c>
    </row>
    <row r="2118" spans="20:31" ht="14.4">
      <c r="T2118" s="25" t="s">
        <v>922</v>
      </c>
      <c r="U2118" s="25" t="s">
        <v>837</v>
      </c>
      <c r="V2118" t="s">
        <v>918</v>
      </c>
      <c r="W2118" s="25" t="str">
        <f t="shared" si="52"/>
        <v>Square CassetteRevealAcmeda External 12v Motor</v>
      </c>
      <c r="X2118" s="25">
        <v>10</v>
      </c>
      <c r="Y2118" s="25">
        <v>14</v>
      </c>
      <c r="Z2118" s="25">
        <v>14</v>
      </c>
      <c r="AA2118" s="25" t="s">
        <v>824</v>
      </c>
      <c r="AB2118" s="25" t="s">
        <v>821</v>
      </c>
      <c r="AC2118" s="25" t="s">
        <v>821</v>
      </c>
      <c r="AD2118" s="25" t="s">
        <v>821</v>
      </c>
      <c r="AE2118" s="25" t="s">
        <v>818</v>
      </c>
    </row>
    <row r="2119" spans="20:31" ht="14.4">
      <c r="T2119" s="25" t="s">
        <v>922</v>
      </c>
      <c r="U2119" s="25" t="s">
        <v>837</v>
      </c>
      <c r="V2119" t="s">
        <v>979</v>
      </c>
      <c r="W2119" s="25" t="str">
        <f t="shared" si="52"/>
        <v>Square CassetteRevealSomfy External CBUS Motor</v>
      </c>
      <c r="X2119" s="25">
        <v>10</v>
      </c>
      <c r="Y2119" s="25">
        <v>14</v>
      </c>
      <c r="Z2119" s="25">
        <v>14</v>
      </c>
      <c r="AA2119" s="25" t="s">
        <v>824</v>
      </c>
      <c r="AB2119" s="25" t="s">
        <v>821</v>
      </c>
      <c r="AC2119" s="25" t="s">
        <v>821</v>
      </c>
      <c r="AD2119" s="25" t="s">
        <v>821</v>
      </c>
      <c r="AE2119" s="25" t="s">
        <v>818</v>
      </c>
    </row>
    <row r="2120" spans="20:31" ht="14.4">
      <c r="T2120" s="25" t="s">
        <v>922</v>
      </c>
      <c r="U2120" s="25" t="s">
        <v>837</v>
      </c>
      <c r="V2120" t="s">
        <v>983</v>
      </c>
      <c r="W2120" s="25" t="str">
        <f t="shared" si="52"/>
        <v>Square CassetteRevealSomfy External Remote Motor</v>
      </c>
      <c r="X2120" s="25">
        <v>10</v>
      </c>
      <c r="Y2120" s="25">
        <v>14</v>
      </c>
      <c r="Z2120" s="25">
        <v>14</v>
      </c>
      <c r="AA2120" s="25" t="s">
        <v>824</v>
      </c>
      <c r="AB2120" s="25" t="s">
        <v>821</v>
      </c>
      <c r="AC2120" s="25" t="s">
        <v>821</v>
      </c>
      <c r="AD2120" s="25" t="s">
        <v>821</v>
      </c>
      <c r="AE2120" s="25" t="s">
        <v>818</v>
      </c>
    </row>
    <row r="2121" spans="20:31" ht="14.4">
      <c r="T2121" s="25" t="s">
        <v>922</v>
      </c>
      <c r="U2121" s="25" t="s">
        <v>837</v>
      </c>
      <c r="V2121" t="s">
        <v>995</v>
      </c>
      <c r="W2121" s="25" t="str">
        <f t="shared" si="52"/>
        <v>Square CassetteRevealHD Somfy External CBUS Motor</v>
      </c>
      <c r="X2121" s="25">
        <v>10</v>
      </c>
      <c r="Y2121" s="25">
        <v>14</v>
      </c>
      <c r="Z2121" s="25">
        <v>14</v>
      </c>
      <c r="AA2121" s="25" t="s">
        <v>824</v>
      </c>
      <c r="AB2121" s="25" t="s">
        <v>821</v>
      </c>
      <c r="AC2121" s="25" t="s">
        <v>821</v>
      </c>
      <c r="AD2121" s="25" t="s">
        <v>821</v>
      </c>
      <c r="AE2121" s="25" t="s">
        <v>818</v>
      </c>
    </row>
    <row r="2122" spans="20:31" ht="14.4">
      <c r="T2122" s="25" t="s">
        <v>922</v>
      </c>
      <c r="U2122" s="25" t="s">
        <v>837</v>
      </c>
      <c r="V2122" t="s">
        <v>999</v>
      </c>
      <c r="W2122" s="25" t="str">
        <f t="shared" si="52"/>
        <v>Square CassetteRevealHD Somfy External Remote Motor</v>
      </c>
      <c r="X2122" s="25">
        <v>10</v>
      </c>
      <c r="Y2122" s="25">
        <v>14</v>
      </c>
      <c r="Z2122" s="25">
        <v>14</v>
      </c>
      <c r="AA2122" s="25" t="s">
        <v>824</v>
      </c>
      <c r="AB2122" s="25" t="s">
        <v>821</v>
      </c>
      <c r="AC2122" s="25" t="s">
        <v>821</v>
      </c>
      <c r="AD2122" s="25" t="s">
        <v>821</v>
      </c>
      <c r="AE2122" s="25" t="s">
        <v>818</v>
      </c>
    </row>
    <row r="2123" spans="20:31" ht="14.4">
      <c r="T2123" s="25" t="s">
        <v>931</v>
      </c>
      <c r="U2123" s="25" t="s">
        <v>816</v>
      </c>
      <c r="V2123" s="25" t="s">
        <v>823</v>
      </c>
      <c r="W2123" s="25" t="str">
        <f t="shared" si="52"/>
        <v>Square Cassette with Side ChannelsFaceChain Winder</v>
      </c>
      <c r="X2123" s="25">
        <v>10</v>
      </c>
      <c r="Y2123" s="25">
        <v>14</v>
      </c>
      <c r="Z2123" s="25">
        <v>29</v>
      </c>
      <c r="AA2123" s="25">
        <v>88</v>
      </c>
      <c r="AB2123" s="25" t="s">
        <v>821</v>
      </c>
      <c r="AC2123" s="25" t="s">
        <v>818</v>
      </c>
      <c r="AD2123" s="25" t="s">
        <v>821</v>
      </c>
      <c r="AE2123" s="25" t="s">
        <v>818</v>
      </c>
    </row>
    <row r="2124" spans="20:31" ht="14.4">
      <c r="T2124" s="25" t="s">
        <v>931</v>
      </c>
      <c r="U2124" s="25" t="s">
        <v>816</v>
      </c>
      <c r="V2124" s="25" t="s">
        <v>841</v>
      </c>
      <c r="W2124" s="25" t="str">
        <f t="shared" si="52"/>
        <v>Square Cassette with Side ChannelsFaceHD Chain Winder</v>
      </c>
      <c r="X2124" s="25">
        <v>10</v>
      </c>
      <c r="Y2124" s="25">
        <v>14</v>
      </c>
      <c r="Z2124" s="25">
        <v>29</v>
      </c>
      <c r="AA2124" s="25">
        <v>88</v>
      </c>
      <c r="AB2124" s="25" t="s">
        <v>821</v>
      </c>
      <c r="AC2124" s="25" t="s">
        <v>818</v>
      </c>
      <c r="AD2124" s="25" t="s">
        <v>821</v>
      </c>
      <c r="AE2124" s="25" t="s">
        <v>818</v>
      </c>
    </row>
    <row r="2125" spans="20:31" ht="14.4">
      <c r="T2125" s="25" t="s">
        <v>931</v>
      </c>
      <c r="U2125" s="25" t="s">
        <v>816</v>
      </c>
      <c r="V2125" s="25" t="s">
        <v>858</v>
      </c>
      <c r="W2125" s="25" t="str">
        <f t="shared" si="52"/>
        <v>Square Cassette with Side ChannelsFaceChain Winder 60mm</v>
      </c>
      <c r="X2125" s="25">
        <v>10</v>
      </c>
      <c r="Y2125" s="25">
        <v>14</v>
      </c>
      <c r="Z2125" s="25">
        <v>29</v>
      </c>
      <c r="AA2125" s="25">
        <v>88</v>
      </c>
      <c r="AB2125" s="25" t="s">
        <v>821</v>
      </c>
      <c r="AC2125" s="25" t="s">
        <v>818</v>
      </c>
      <c r="AD2125" s="25" t="s">
        <v>821</v>
      </c>
      <c r="AE2125" s="25" t="s">
        <v>818</v>
      </c>
    </row>
    <row r="2126" spans="20:31" ht="14.4">
      <c r="T2126" s="25" t="s">
        <v>931</v>
      </c>
      <c r="U2126" s="25" t="s">
        <v>816</v>
      </c>
      <c r="V2126" s="25" t="s">
        <v>865</v>
      </c>
      <c r="W2126" s="25" t="str">
        <f t="shared" si="52"/>
        <v>Square Cassette with Side ChannelsFaceChain Winder Fixed Guide</v>
      </c>
      <c r="X2126" s="25">
        <v>10</v>
      </c>
      <c r="Y2126" s="25">
        <v>14</v>
      </c>
      <c r="Z2126" s="25">
        <v>29</v>
      </c>
      <c r="AA2126" s="25">
        <v>88</v>
      </c>
      <c r="AB2126" s="25" t="s">
        <v>821</v>
      </c>
      <c r="AC2126" s="25" t="s">
        <v>818</v>
      </c>
      <c r="AD2126" s="25" t="s">
        <v>821</v>
      </c>
      <c r="AE2126" s="25" t="s">
        <v>818</v>
      </c>
    </row>
    <row r="2127" spans="20:31" ht="14.4">
      <c r="T2127" s="25" t="s">
        <v>931</v>
      </c>
      <c r="U2127" s="25" t="s">
        <v>816</v>
      </c>
      <c r="V2127" s="25" t="s">
        <v>181</v>
      </c>
      <c r="W2127" s="25" t="str">
        <f t="shared" si="52"/>
        <v>Square Cassette with Side ChannelsFaceLinked</v>
      </c>
      <c r="X2127" s="25">
        <v>10</v>
      </c>
      <c r="Y2127" s="25">
        <v>14</v>
      </c>
      <c r="Z2127" s="25">
        <v>14</v>
      </c>
      <c r="AA2127" s="25">
        <v>88</v>
      </c>
      <c r="AB2127" s="25" t="s">
        <v>821</v>
      </c>
      <c r="AC2127" s="25" t="s">
        <v>818</v>
      </c>
      <c r="AD2127" s="25" t="s">
        <v>821</v>
      </c>
      <c r="AE2127" s="25" t="s">
        <v>818</v>
      </c>
    </row>
    <row r="2128" spans="20:31" ht="14.4">
      <c r="T2128" s="25" t="s">
        <v>931</v>
      </c>
      <c r="U2128" s="25" t="s">
        <v>816</v>
      </c>
      <c r="V2128" s="25" t="s">
        <v>898</v>
      </c>
      <c r="W2128" s="25" t="str">
        <f t="shared" si="52"/>
        <v>Square Cassette with Side ChannelsFaceLinked - HD</v>
      </c>
      <c r="X2128" s="25">
        <v>10</v>
      </c>
      <c r="Y2128" s="25">
        <v>14</v>
      </c>
      <c r="Z2128" s="25">
        <v>14</v>
      </c>
      <c r="AA2128" s="25">
        <v>88</v>
      </c>
      <c r="AB2128" s="25" t="s">
        <v>821</v>
      </c>
      <c r="AC2128" s="25" t="s">
        <v>818</v>
      </c>
      <c r="AD2128" s="25" t="s">
        <v>821</v>
      </c>
      <c r="AE2128" s="25" t="s">
        <v>818</v>
      </c>
    </row>
    <row r="2129" spans="20:31" ht="14.4">
      <c r="T2129" s="25" t="s">
        <v>931</v>
      </c>
      <c r="U2129" s="25" t="s">
        <v>816</v>
      </c>
      <c r="V2129" s="25" t="s">
        <v>910</v>
      </c>
      <c r="W2129" s="25" t="str">
        <f t="shared" si="52"/>
        <v>Square Cassette with Side ChannelsFaceStandard Spring</v>
      </c>
      <c r="X2129" s="25">
        <v>10</v>
      </c>
      <c r="Y2129" s="25">
        <v>14</v>
      </c>
      <c r="Z2129" s="25">
        <v>14</v>
      </c>
      <c r="AA2129" s="25">
        <v>88</v>
      </c>
      <c r="AB2129" s="25" t="s">
        <v>821</v>
      </c>
      <c r="AC2129" s="25" t="s">
        <v>818</v>
      </c>
      <c r="AD2129" s="25" t="s">
        <v>821</v>
      </c>
      <c r="AE2129" s="25" t="s">
        <v>818</v>
      </c>
    </row>
    <row r="2130" spans="20:31" ht="14.4">
      <c r="T2130" s="25" t="s">
        <v>931</v>
      </c>
      <c r="U2130" s="25" t="s">
        <v>816</v>
      </c>
      <c r="V2130" s="25" t="s">
        <v>920</v>
      </c>
      <c r="W2130" s="25" t="str">
        <f t="shared" si="52"/>
        <v>Square Cassette with Side ChannelsFaceSmall Spring</v>
      </c>
      <c r="X2130" s="25">
        <v>10</v>
      </c>
      <c r="Y2130" s="25">
        <v>14</v>
      </c>
      <c r="Z2130" s="25">
        <v>14</v>
      </c>
      <c r="AA2130" s="25">
        <v>88</v>
      </c>
      <c r="AB2130" s="25" t="s">
        <v>821</v>
      </c>
      <c r="AC2130" s="25" t="s">
        <v>818</v>
      </c>
      <c r="AD2130" s="25" t="s">
        <v>821</v>
      </c>
      <c r="AE2130" s="25" t="s">
        <v>818</v>
      </c>
    </row>
    <row r="2131" spans="20:31" ht="14.4">
      <c r="T2131" s="25" t="s">
        <v>931</v>
      </c>
      <c r="U2131" s="25" t="s">
        <v>816</v>
      </c>
      <c r="V2131" s="25" t="s">
        <v>929</v>
      </c>
      <c r="W2131" s="25" t="str">
        <f t="shared" si="52"/>
        <v>Square Cassette with Side ChannelsFaceUniline Spring (Old Style)</v>
      </c>
      <c r="X2131" s="25">
        <v>10</v>
      </c>
      <c r="Y2131" s="25">
        <v>14</v>
      </c>
      <c r="Z2131" s="25">
        <v>14</v>
      </c>
      <c r="AA2131" s="25">
        <v>88</v>
      </c>
      <c r="AB2131" s="25" t="s">
        <v>821</v>
      </c>
      <c r="AC2131" s="25" t="s">
        <v>818</v>
      </c>
      <c r="AD2131" s="25" t="s">
        <v>821</v>
      </c>
      <c r="AE2131" s="25" t="s">
        <v>818</v>
      </c>
    </row>
    <row r="2132" spans="20:31" ht="14.4">
      <c r="T2132" s="25" t="s">
        <v>931</v>
      </c>
      <c r="U2132" s="25" t="s">
        <v>816</v>
      </c>
      <c r="V2132" s="25" t="s">
        <v>935</v>
      </c>
      <c r="W2132" s="25" t="str">
        <f t="shared" si="52"/>
        <v>Square Cassette with Side ChannelsFaceBecker Remote Motor</v>
      </c>
      <c r="X2132" s="25">
        <v>10</v>
      </c>
      <c r="Y2132" s="25">
        <v>14</v>
      </c>
      <c r="Z2132" s="25">
        <v>14</v>
      </c>
      <c r="AA2132" s="25">
        <v>88</v>
      </c>
      <c r="AB2132" s="25" t="s">
        <v>821</v>
      </c>
      <c r="AC2132" s="25" t="s">
        <v>818</v>
      </c>
      <c r="AD2132" s="25" t="s">
        <v>821</v>
      </c>
      <c r="AE2132" s="25" t="s">
        <v>818</v>
      </c>
    </row>
    <row r="2133" spans="20:31" ht="14.4">
      <c r="T2133" s="25" t="s">
        <v>931</v>
      </c>
      <c r="U2133" s="25" t="s">
        <v>816</v>
      </c>
      <c r="V2133" s="25" t="s">
        <v>939</v>
      </c>
      <c r="W2133" s="25" t="str">
        <f t="shared" si="52"/>
        <v>Square Cassette with Side ChannelsFaceBecker CBUS Motor</v>
      </c>
      <c r="X2133" s="25">
        <v>10</v>
      </c>
      <c r="Y2133" s="25">
        <v>14</v>
      </c>
      <c r="Z2133" s="25">
        <v>14</v>
      </c>
      <c r="AA2133" s="25">
        <v>88</v>
      </c>
      <c r="AB2133" s="25" t="s">
        <v>821</v>
      </c>
      <c r="AC2133" s="25" t="s">
        <v>818</v>
      </c>
      <c r="AD2133" s="25" t="s">
        <v>821</v>
      </c>
      <c r="AE2133" s="25" t="s">
        <v>818</v>
      </c>
    </row>
    <row r="2134" spans="20:31" ht="14.4">
      <c r="T2134" s="25" t="s">
        <v>931</v>
      </c>
      <c r="U2134" s="25" t="s">
        <v>816</v>
      </c>
      <c r="V2134" s="25" t="s">
        <v>946</v>
      </c>
      <c r="W2134" s="25" t="str">
        <f t="shared" si="52"/>
        <v>Square Cassette with Side ChannelsFaceBecker External Remote Motor</v>
      </c>
      <c r="X2134" s="25">
        <v>10</v>
      </c>
      <c r="Y2134" s="25">
        <v>14</v>
      </c>
      <c r="Z2134" s="25">
        <v>14</v>
      </c>
      <c r="AA2134" s="25">
        <v>88</v>
      </c>
      <c r="AB2134" s="25" t="s">
        <v>821</v>
      </c>
      <c r="AC2134" s="25" t="s">
        <v>818</v>
      </c>
      <c r="AD2134" s="25" t="s">
        <v>821</v>
      </c>
      <c r="AE2134" s="25" t="s">
        <v>818</v>
      </c>
    </row>
    <row r="2135" spans="20:31" ht="14.4">
      <c r="T2135" s="25" t="s">
        <v>931</v>
      </c>
      <c r="U2135" s="25" t="s">
        <v>816</v>
      </c>
      <c r="V2135" s="25" t="s">
        <v>951</v>
      </c>
      <c r="W2135" s="25" t="str">
        <f t="shared" si="52"/>
        <v>Square Cassette with Side ChannelsFaceBecker External CBUS Motor</v>
      </c>
      <c r="X2135" s="25">
        <v>10</v>
      </c>
      <c r="Y2135" s="25">
        <v>14</v>
      </c>
      <c r="Z2135" s="25">
        <v>14</v>
      </c>
      <c r="AA2135" s="25">
        <v>88</v>
      </c>
      <c r="AB2135" s="25" t="s">
        <v>821</v>
      </c>
      <c r="AC2135" s="25" t="s">
        <v>818</v>
      </c>
      <c r="AD2135" s="25" t="s">
        <v>821</v>
      </c>
      <c r="AE2135" s="25" t="s">
        <v>818</v>
      </c>
    </row>
    <row r="2136" spans="20:31" ht="14.4">
      <c r="T2136" s="25" t="s">
        <v>931</v>
      </c>
      <c r="U2136" s="25" t="s">
        <v>816</v>
      </c>
      <c r="V2136" s="25" t="s">
        <v>838</v>
      </c>
      <c r="W2136" s="25" t="str">
        <f t="shared" si="52"/>
        <v>Square Cassette with Side ChannelsFace1.1nm 12v Acmeda Motor</v>
      </c>
      <c r="X2136" s="25">
        <v>10</v>
      </c>
      <c r="Y2136" s="25">
        <v>14</v>
      </c>
      <c r="Z2136" s="25">
        <v>14</v>
      </c>
      <c r="AA2136" s="25">
        <v>88</v>
      </c>
      <c r="AB2136" s="25" t="s">
        <v>821</v>
      </c>
      <c r="AC2136" s="25" t="s">
        <v>818</v>
      </c>
      <c r="AD2136" s="25" t="s">
        <v>821</v>
      </c>
      <c r="AE2136" s="25" t="s">
        <v>818</v>
      </c>
    </row>
    <row r="2137" spans="20:31" ht="14.4">
      <c r="T2137" s="25" t="s">
        <v>931</v>
      </c>
      <c r="U2137" s="25" t="s">
        <v>816</v>
      </c>
      <c r="V2137" t="s">
        <v>882</v>
      </c>
      <c r="W2137" s="25" t="str">
        <f t="shared" si="52"/>
        <v>Square Cassette with Side ChannelsFace2nm 12v Acmeda Motor</v>
      </c>
      <c r="X2137" s="25">
        <v>10</v>
      </c>
      <c r="Y2137" s="25">
        <v>14</v>
      </c>
      <c r="Z2137" s="25">
        <v>14</v>
      </c>
      <c r="AA2137" s="25">
        <v>88</v>
      </c>
      <c r="AB2137" s="25" t="s">
        <v>821</v>
      </c>
      <c r="AC2137" s="25" t="s">
        <v>818</v>
      </c>
      <c r="AD2137" s="25" t="s">
        <v>821</v>
      </c>
      <c r="AE2137" s="25" t="s">
        <v>818</v>
      </c>
    </row>
    <row r="2138" spans="20:31" ht="14.4">
      <c r="T2138" s="25" t="s">
        <v>931</v>
      </c>
      <c r="U2138" s="25" t="s">
        <v>816</v>
      </c>
      <c r="V2138" t="s">
        <v>896</v>
      </c>
      <c r="W2138" s="25" t="str">
        <f t="shared" si="52"/>
        <v>Square Cassette with Side ChannelsFaceAcmeda 12v 6nm Motor</v>
      </c>
      <c r="X2138" s="25">
        <v>10</v>
      </c>
      <c r="Y2138" s="25">
        <v>14</v>
      </c>
      <c r="Z2138" s="25">
        <v>14</v>
      </c>
      <c r="AA2138" s="25">
        <v>88</v>
      </c>
      <c r="AB2138" s="25" t="s">
        <v>821</v>
      </c>
      <c r="AC2138" s="25" t="s">
        <v>818</v>
      </c>
      <c r="AD2138" s="25" t="s">
        <v>821</v>
      </c>
      <c r="AE2138" s="25" t="s">
        <v>818</v>
      </c>
    </row>
    <row r="2139" spans="20:31" ht="14.4">
      <c r="T2139" s="25" t="s">
        <v>931</v>
      </c>
      <c r="U2139" s="25" t="s">
        <v>816</v>
      </c>
      <c r="V2139" t="s">
        <v>855</v>
      </c>
      <c r="W2139" s="25" t="str">
        <f t="shared" si="52"/>
        <v>Square Cassette with Side ChannelsFace0.7nm 12v Acmeda Motor</v>
      </c>
      <c r="X2139" s="25">
        <v>10</v>
      </c>
      <c r="Y2139" s="25">
        <v>14</v>
      </c>
      <c r="Z2139" s="25">
        <v>14</v>
      </c>
      <c r="AA2139" s="25">
        <v>88</v>
      </c>
      <c r="AB2139" s="25" t="s">
        <v>821</v>
      </c>
      <c r="AC2139" s="25" t="s">
        <v>818</v>
      </c>
      <c r="AD2139" s="25" t="s">
        <v>821</v>
      </c>
      <c r="AE2139" s="25" t="s">
        <v>818</v>
      </c>
    </row>
    <row r="2140" spans="20:31" ht="14.4">
      <c r="T2140" s="25" t="s">
        <v>931</v>
      </c>
      <c r="U2140" s="25" t="s">
        <v>816</v>
      </c>
      <c r="V2140" s="25" t="s">
        <v>849</v>
      </c>
      <c r="W2140" s="25" t="str">
        <f t="shared" si="52"/>
        <v>Square Cassette with Side ChannelsFace1.1nm 12v Acmeda DCRF Motor with External Battery</v>
      </c>
      <c r="X2140" s="25">
        <v>10</v>
      </c>
      <c r="Y2140" s="25">
        <v>14</v>
      </c>
      <c r="Z2140" s="25">
        <v>14</v>
      </c>
      <c r="AA2140" s="25">
        <v>88</v>
      </c>
      <c r="AB2140" s="25" t="s">
        <v>821</v>
      </c>
      <c r="AC2140" s="25" t="s">
        <v>818</v>
      </c>
      <c r="AD2140" s="25" t="s">
        <v>821</v>
      </c>
      <c r="AE2140" s="25" t="s">
        <v>818</v>
      </c>
    </row>
    <row r="2141" spans="20:31" ht="14.4">
      <c r="T2141" s="25" t="s">
        <v>931</v>
      </c>
      <c r="U2141" s="25" t="s">
        <v>816</v>
      </c>
      <c r="V2141" s="25" t="s">
        <v>817</v>
      </c>
      <c r="W2141" s="25" t="str">
        <f t="shared" si="52"/>
        <v>Square Cassette with Side ChannelsFace1.1nm 12v Acmeda DCRF Motor</v>
      </c>
      <c r="X2141" s="25">
        <v>10</v>
      </c>
      <c r="Y2141" s="25">
        <v>14</v>
      </c>
      <c r="Z2141" s="25">
        <v>14</v>
      </c>
      <c r="AA2141" s="25">
        <v>88</v>
      </c>
      <c r="AB2141" s="25" t="s">
        <v>821</v>
      </c>
      <c r="AC2141" s="25" t="s">
        <v>818</v>
      </c>
      <c r="AD2141" s="25" t="s">
        <v>821</v>
      </c>
      <c r="AE2141" s="25" t="s">
        <v>818</v>
      </c>
    </row>
    <row r="2142" spans="20:31" ht="14.4">
      <c r="T2142" s="25" t="s">
        <v>931</v>
      </c>
      <c r="U2142" s="25" t="s">
        <v>816</v>
      </c>
      <c r="V2142" s="25" t="s">
        <v>868</v>
      </c>
      <c r="W2142" s="25" t="str">
        <f t="shared" si="52"/>
        <v>Square Cassette with Side ChannelsFace2nm 12v Acmeda DCRF Motor</v>
      </c>
      <c r="X2142" s="25">
        <v>10</v>
      </c>
      <c r="Y2142" s="25">
        <v>14</v>
      </c>
      <c r="Z2142" s="25">
        <v>14</v>
      </c>
      <c r="AA2142" s="25">
        <v>88</v>
      </c>
      <c r="AB2142" s="25" t="s">
        <v>821</v>
      </c>
      <c r="AC2142" s="25" t="s">
        <v>818</v>
      </c>
      <c r="AD2142" s="25" t="s">
        <v>821</v>
      </c>
      <c r="AE2142" s="25" t="s">
        <v>818</v>
      </c>
    </row>
    <row r="2143" spans="20:31" ht="14.4">
      <c r="T2143" s="25" t="s">
        <v>931</v>
      </c>
      <c r="U2143" s="25" t="s">
        <v>816</v>
      </c>
      <c r="V2143" t="s">
        <v>973</v>
      </c>
      <c r="W2143" s="25" t="str">
        <f t="shared" si="52"/>
        <v>Square Cassette with Side ChannelsFaceSomfy Remote Sonesse Motor</v>
      </c>
      <c r="X2143" s="25">
        <v>10</v>
      </c>
      <c r="Y2143" s="25">
        <v>14</v>
      </c>
      <c r="Z2143" s="25">
        <v>14</v>
      </c>
      <c r="AA2143" s="25">
        <v>88</v>
      </c>
      <c r="AB2143" s="25" t="s">
        <v>821</v>
      </c>
      <c r="AC2143" s="25" t="s">
        <v>818</v>
      </c>
      <c r="AD2143" s="25" t="s">
        <v>821</v>
      </c>
      <c r="AE2143" s="25" t="s">
        <v>818</v>
      </c>
    </row>
    <row r="2144" spans="20:31" ht="14.4">
      <c r="T2144" s="25" t="s">
        <v>931</v>
      </c>
      <c r="U2144" s="25" t="s">
        <v>816</v>
      </c>
      <c r="V2144" t="s">
        <v>637</v>
      </c>
      <c r="W2144" s="25" t="str">
        <f t="shared" si="52"/>
        <v>Square Cassette with Side ChannelsFaceSomfy 12v Remote Sonesse Motor</v>
      </c>
      <c r="X2144" s="25">
        <v>10</v>
      </c>
      <c r="Y2144" s="25">
        <v>14</v>
      </c>
      <c r="Z2144" s="25">
        <v>14</v>
      </c>
      <c r="AA2144" s="25">
        <v>88</v>
      </c>
      <c r="AB2144" s="25" t="s">
        <v>821</v>
      </c>
      <c r="AC2144" s="25" t="s">
        <v>818</v>
      </c>
      <c r="AD2144" s="25" t="s">
        <v>821</v>
      </c>
      <c r="AE2144" s="25" t="s">
        <v>818</v>
      </c>
    </row>
    <row r="2145" spans="20:31" ht="14.4">
      <c r="T2145" s="25" t="s">
        <v>931</v>
      </c>
      <c r="U2145" s="25" t="s">
        <v>816</v>
      </c>
      <c r="V2145" s="25" t="s">
        <v>974</v>
      </c>
      <c r="W2145" s="25" t="str">
        <f t="shared" si="52"/>
        <v>Square Cassette with Side ChannelsFaceSomfy CBUS Motor</v>
      </c>
      <c r="X2145" s="25">
        <v>10</v>
      </c>
      <c r="Y2145" s="25">
        <v>14</v>
      </c>
      <c r="Z2145" s="25">
        <v>14</v>
      </c>
      <c r="AA2145" s="25">
        <v>88</v>
      </c>
      <c r="AB2145" s="25" t="s">
        <v>821</v>
      </c>
      <c r="AC2145" s="25" t="s">
        <v>818</v>
      </c>
      <c r="AD2145" s="25" t="s">
        <v>821</v>
      </c>
      <c r="AE2145" s="25" t="s">
        <v>818</v>
      </c>
    </row>
    <row r="2146" spans="20:31" ht="14.4">
      <c r="T2146" s="25" t="s">
        <v>931</v>
      </c>
      <c r="U2146" s="25" t="s">
        <v>816</v>
      </c>
      <c r="V2146" t="s">
        <v>986</v>
      </c>
      <c r="W2146" s="25" t="str">
        <f t="shared" si="52"/>
        <v>Square Cassette with Side ChannelsFaceHD Somfy Remote Sonesse Motor</v>
      </c>
      <c r="X2146" s="25">
        <v>10</v>
      </c>
      <c r="Y2146" s="25">
        <v>14</v>
      </c>
      <c r="Z2146" s="25">
        <v>14</v>
      </c>
      <c r="AA2146" s="25">
        <v>88</v>
      </c>
      <c r="AB2146" s="25" t="s">
        <v>821</v>
      </c>
      <c r="AC2146" s="25" t="s">
        <v>818</v>
      </c>
      <c r="AD2146" s="25" t="s">
        <v>821</v>
      </c>
      <c r="AE2146" s="25" t="s">
        <v>818</v>
      </c>
    </row>
    <row r="2147" spans="20:31" ht="14.4">
      <c r="T2147" s="25" t="s">
        <v>931</v>
      </c>
      <c r="U2147" s="25" t="s">
        <v>816</v>
      </c>
      <c r="V2147" t="s">
        <v>989</v>
      </c>
      <c r="W2147" s="25" t="str">
        <f t="shared" si="52"/>
        <v>Square Cassette with Side ChannelsFaceHD Somfy 12v Remote Sonesse Motor</v>
      </c>
      <c r="X2147" s="25">
        <v>10</v>
      </c>
      <c r="Y2147" s="25">
        <v>14</v>
      </c>
      <c r="Z2147" s="25">
        <v>14</v>
      </c>
      <c r="AA2147" s="25">
        <v>88</v>
      </c>
      <c r="AB2147" s="25" t="s">
        <v>821</v>
      </c>
      <c r="AC2147" s="25" t="s">
        <v>818</v>
      </c>
      <c r="AD2147" s="25" t="s">
        <v>821</v>
      </c>
      <c r="AE2147" s="25" t="s">
        <v>818</v>
      </c>
    </row>
    <row r="2148" spans="20:31" ht="14.4">
      <c r="T2148" s="25" t="s">
        <v>931</v>
      </c>
      <c r="U2148" s="25" t="s">
        <v>816</v>
      </c>
      <c r="V2148" s="25" t="s">
        <v>992</v>
      </c>
      <c r="W2148" s="25" t="str">
        <f t="shared" si="52"/>
        <v>Square Cassette with Side ChannelsFaceHD Somfy CBUS Motor</v>
      </c>
      <c r="X2148" s="25">
        <v>10</v>
      </c>
      <c r="Y2148" s="25">
        <v>14</v>
      </c>
      <c r="Z2148" s="25">
        <v>14</v>
      </c>
      <c r="AA2148" s="25">
        <v>88</v>
      </c>
      <c r="AB2148" s="25" t="s">
        <v>821</v>
      </c>
      <c r="AC2148" s="25" t="s">
        <v>818</v>
      </c>
      <c r="AD2148" s="25" t="s">
        <v>821</v>
      </c>
      <c r="AE2148" s="25" t="s">
        <v>818</v>
      </c>
    </row>
    <row r="2149" spans="20:31" ht="14.4">
      <c r="T2149" s="25" t="s">
        <v>931</v>
      </c>
      <c r="U2149" s="25" t="s">
        <v>816</v>
      </c>
      <c r="V2149" s="25" t="s">
        <v>625</v>
      </c>
      <c r="W2149" s="25" t="str">
        <f t="shared" si="52"/>
        <v>Square Cassette with Side ChannelsFaceAcmeda E6 Motor</v>
      </c>
      <c r="X2149" s="25">
        <v>10</v>
      </c>
      <c r="Y2149" s="25">
        <v>14</v>
      </c>
      <c r="Z2149" s="25">
        <v>14</v>
      </c>
      <c r="AA2149" s="25">
        <v>88</v>
      </c>
      <c r="AB2149" s="25" t="s">
        <v>821</v>
      </c>
      <c r="AC2149" s="25" t="s">
        <v>818</v>
      </c>
      <c r="AD2149" s="25" t="s">
        <v>821</v>
      </c>
      <c r="AE2149" s="25" t="s">
        <v>818</v>
      </c>
    </row>
    <row r="2150" spans="20:31" ht="14.4">
      <c r="T2150" s="25" t="s">
        <v>931</v>
      </c>
      <c r="U2150" s="25" t="s">
        <v>816</v>
      </c>
      <c r="V2150" s="25" t="s">
        <v>626</v>
      </c>
      <c r="W2150" s="25" t="str">
        <f t="shared" si="52"/>
        <v>Square Cassette with Side ChannelsFaceAcmeda M6 Motor</v>
      </c>
      <c r="X2150" s="25">
        <v>10</v>
      </c>
      <c r="Y2150" s="25">
        <v>14</v>
      </c>
      <c r="Z2150" s="25">
        <v>14</v>
      </c>
      <c r="AA2150" s="25">
        <v>88</v>
      </c>
      <c r="AB2150" s="25" t="s">
        <v>821</v>
      </c>
      <c r="AC2150" s="25" t="s">
        <v>818</v>
      </c>
      <c r="AD2150" s="25" t="s">
        <v>821</v>
      </c>
      <c r="AE2150" s="25" t="s">
        <v>818</v>
      </c>
    </row>
    <row r="2151" spans="20:31" ht="14.4">
      <c r="T2151" s="25" t="s">
        <v>931</v>
      </c>
      <c r="U2151" s="25" t="s">
        <v>816</v>
      </c>
      <c r="V2151" s="25" t="s">
        <v>1002</v>
      </c>
      <c r="W2151" s="25" t="str">
        <f t="shared" si="52"/>
        <v>Square Cassette with Side ChannelsFaceUniline Remote Motor</v>
      </c>
      <c r="X2151" s="25">
        <v>10</v>
      </c>
      <c r="Y2151" s="25">
        <v>14</v>
      </c>
      <c r="Z2151" s="25">
        <v>14</v>
      </c>
      <c r="AA2151" s="25">
        <v>88</v>
      </c>
      <c r="AB2151" s="25" t="s">
        <v>821</v>
      </c>
      <c r="AC2151" s="25" t="s">
        <v>818</v>
      </c>
      <c r="AD2151" s="25" t="s">
        <v>821</v>
      </c>
      <c r="AE2151" s="25" t="s">
        <v>818</v>
      </c>
    </row>
    <row r="2152" spans="20:31" ht="14.4">
      <c r="T2152" s="25" t="s">
        <v>931</v>
      </c>
      <c r="U2152" s="25" t="s">
        <v>816</v>
      </c>
      <c r="V2152" s="25" t="s">
        <v>1005</v>
      </c>
      <c r="W2152" s="25" t="str">
        <f t="shared" si="52"/>
        <v>Square Cassette with Side ChannelsFaceUniline Cbus Motor</v>
      </c>
      <c r="X2152" s="25">
        <v>10</v>
      </c>
      <c r="Y2152" s="25">
        <v>14</v>
      </c>
      <c r="Z2152" s="25">
        <v>14</v>
      </c>
      <c r="AA2152" s="25">
        <v>88</v>
      </c>
      <c r="AB2152" s="25" t="s">
        <v>821</v>
      </c>
      <c r="AC2152" s="25" t="s">
        <v>818</v>
      </c>
      <c r="AD2152" s="25" t="s">
        <v>821</v>
      </c>
      <c r="AE2152" s="25" t="s">
        <v>818</v>
      </c>
    </row>
    <row r="2153" spans="20:31" ht="14.4">
      <c r="T2153" s="25" t="s">
        <v>931</v>
      </c>
      <c r="U2153" s="25" t="s">
        <v>816</v>
      </c>
      <c r="V2153" s="25" t="s">
        <v>981</v>
      </c>
      <c r="W2153" s="25" t="str">
        <f t="shared" si="52"/>
        <v>Square Cassette with Side ChannelsFaceNice Remote Motor</v>
      </c>
      <c r="X2153" s="25">
        <v>10</v>
      </c>
      <c r="Y2153" s="25">
        <v>14</v>
      </c>
      <c r="Z2153" s="25">
        <v>14</v>
      </c>
      <c r="AA2153" s="25">
        <v>88</v>
      </c>
      <c r="AB2153" s="25" t="s">
        <v>821</v>
      </c>
      <c r="AC2153" s="25" t="s">
        <v>818</v>
      </c>
      <c r="AD2153" s="25" t="s">
        <v>821</v>
      </c>
      <c r="AE2153" s="25" t="s">
        <v>818</v>
      </c>
    </row>
    <row r="2154" spans="20:31" ht="14.4">
      <c r="T2154" s="25" t="s">
        <v>931</v>
      </c>
      <c r="U2154" s="25" t="s">
        <v>816</v>
      </c>
      <c r="V2154" s="25" t="s">
        <v>976</v>
      </c>
      <c r="W2154" s="25" t="str">
        <f t="shared" si="52"/>
        <v>Square Cassette with Side ChannelsFaceNice CBus Motor</v>
      </c>
      <c r="X2154" s="25">
        <v>10</v>
      </c>
      <c r="Y2154" s="25">
        <v>14</v>
      </c>
      <c r="Z2154" s="25">
        <v>14</v>
      </c>
      <c r="AA2154" s="25">
        <v>88</v>
      </c>
      <c r="AB2154" s="25" t="s">
        <v>821</v>
      </c>
      <c r="AC2154" s="25" t="s">
        <v>818</v>
      </c>
      <c r="AD2154" s="25" t="s">
        <v>821</v>
      </c>
      <c r="AE2154" s="25" t="s">
        <v>818</v>
      </c>
    </row>
    <row r="2155" spans="20:31" ht="14.4">
      <c r="T2155" s="25" t="s">
        <v>931</v>
      </c>
      <c r="U2155" s="25" t="s">
        <v>816</v>
      </c>
      <c r="V2155" t="s">
        <v>1006</v>
      </c>
      <c r="W2155" s="25" t="str">
        <f t="shared" si="52"/>
        <v>Square Cassette with Side ChannelsFaceSunboss Chain Winder 38mm Tube</v>
      </c>
      <c r="X2155" s="25">
        <v>10</v>
      </c>
      <c r="Y2155" s="25">
        <v>14</v>
      </c>
      <c r="Z2155" s="25">
        <v>14</v>
      </c>
      <c r="AA2155" s="25">
        <v>88</v>
      </c>
      <c r="AB2155" s="25" t="s">
        <v>821</v>
      </c>
      <c r="AC2155" s="25" t="s">
        <v>818</v>
      </c>
      <c r="AD2155" s="25" t="s">
        <v>821</v>
      </c>
      <c r="AE2155" s="25" t="s">
        <v>818</v>
      </c>
    </row>
    <row r="2156" spans="20:31" ht="14.4">
      <c r="T2156" s="25" t="s">
        <v>931</v>
      </c>
      <c r="U2156" s="25" t="s">
        <v>816</v>
      </c>
      <c r="V2156" t="s">
        <v>1017</v>
      </c>
      <c r="W2156" s="25" t="str">
        <f t="shared" si="52"/>
        <v>Square Cassette with Side ChannelsFaceSunboss Chain Winder 43mm Tube</v>
      </c>
      <c r="X2156" s="25">
        <v>10</v>
      </c>
      <c r="Y2156" s="25">
        <v>14</v>
      </c>
      <c r="Z2156" s="25">
        <v>14</v>
      </c>
      <c r="AA2156" s="25">
        <v>88</v>
      </c>
      <c r="AB2156" s="25" t="s">
        <v>821</v>
      </c>
      <c r="AC2156" s="25" t="s">
        <v>818</v>
      </c>
      <c r="AD2156" s="25" t="s">
        <v>821</v>
      </c>
      <c r="AE2156" s="25" t="s">
        <v>818</v>
      </c>
    </row>
    <row r="2157" spans="20:31" ht="14.4">
      <c r="T2157" s="25" t="s">
        <v>931</v>
      </c>
      <c r="U2157" s="25" t="s">
        <v>816</v>
      </c>
      <c r="V2157" s="25" t="s">
        <v>1012</v>
      </c>
      <c r="W2157" s="25" t="str">
        <f t="shared" si="52"/>
        <v>Square Cassette with Side ChannelsFaceTBS Remote Motor</v>
      </c>
      <c r="X2157" s="25">
        <v>10</v>
      </c>
      <c r="Y2157" s="25">
        <v>14</v>
      </c>
      <c r="Z2157" s="25">
        <v>14</v>
      </c>
      <c r="AA2157" s="25">
        <v>88</v>
      </c>
      <c r="AB2157" s="25" t="s">
        <v>821</v>
      </c>
      <c r="AC2157" s="25" t="s">
        <v>818</v>
      </c>
      <c r="AD2157" s="25" t="s">
        <v>821</v>
      </c>
      <c r="AE2157" s="25" t="s">
        <v>818</v>
      </c>
    </row>
    <row r="2158" spans="20:31" ht="14.4">
      <c r="T2158" s="25" t="s">
        <v>931</v>
      </c>
      <c r="U2158" s="25" t="s">
        <v>816</v>
      </c>
      <c r="V2158" t="s">
        <v>1009</v>
      </c>
      <c r="W2158" s="25" t="str">
        <f t="shared" si="52"/>
        <v>Square Cassette with Side ChannelsFaceTBS Cbus Motor</v>
      </c>
      <c r="X2158" s="25">
        <v>10</v>
      </c>
      <c r="Y2158" s="25">
        <v>14</v>
      </c>
      <c r="Z2158" s="25">
        <v>14</v>
      </c>
      <c r="AA2158" s="25">
        <v>88</v>
      </c>
      <c r="AB2158" s="25" t="s">
        <v>821</v>
      </c>
      <c r="AC2158" s="25" t="s">
        <v>818</v>
      </c>
      <c r="AD2158" s="25" t="s">
        <v>821</v>
      </c>
      <c r="AE2158" s="25" t="s">
        <v>818</v>
      </c>
    </row>
    <row r="2159" spans="20:31" ht="14.4">
      <c r="T2159" s="25" t="s">
        <v>931</v>
      </c>
      <c r="U2159" s="25" t="s">
        <v>816</v>
      </c>
      <c r="V2159" t="s">
        <v>927</v>
      </c>
      <c r="W2159" s="25" t="str">
        <f t="shared" si="52"/>
        <v>Square Cassette with Side ChannelsFaceAcmeda External Motor</v>
      </c>
      <c r="X2159" s="25">
        <v>10</v>
      </c>
      <c r="Y2159" s="25">
        <v>14</v>
      </c>
      <c r="Z2159" s="25">
        <v>14</v>
      </c>
      <c r="AA2159" s="25">
        <v>88</v>
      </c>
      <c r="AB2159" s="25" t="s">
        <v>821</v>
      </c>
      <c r="AC2159" s="25" t="s">
        <v>818</v>
      </c>
      <c r="AD2159" s="25" t="s">
        <v>821</v>
      </c>
      <c r="AE2159" s="25" t="s">
        <v>818</v>
      </c>
    </row>
    <row r="2160" spans="20:31" ht="14.4">
      <c r="T2160" s="25" t="s">
        <v>931</v>
      </c>
      <c r="U2160" s="25" t="s">
        <v>816</v>
      </c>
      <c r="V2160" t="s">
        <v>918</v>
      </c>
      <c r="W2160" s="25" t="str">
        <f t="shared" si="52"/>
        <v>Square Cassette with Side ChannelsFaceAcmeda External 12v Motor</v>
      </c>
      <c r="X2160" s="25">
        <v>10</v>
      </c>
      <c r="Y2160" s="25">
        <v>14</v>
      </c>
      <c r="Z2160" s="25">
        <v>14</v>
      </c>
      <c r="AA2160" s="25">
        <v>88</v>
      </c>
      <c r="AB2160" s="25" t="s">
        <v>821</v>
      </c>
      <c r="AC2160" s="25" t="s">
        <v>818</v>
      </c>
      <c r="AD2160" s="25" t="s">
        <v>821</v>
      </c>
      <c r="AE2160" s="25" t="s">
        <v>818</v>
      </c>
    </row>
    <row r="2161" spans="20:31" ht="14.4">
      <c r="T2161" s="25" t="s">
        <v>931</v>
      </c>
      <c r="U2161" s="25" t="s">
        <v>816</v>
      </c>
      <c r="V2161" t="s">
        <v>979</v>
      </c>
      <c r="W2161" s="25" t="str">
        <f t="shared" si="52"/>
        <v>Square Cassette with Side ChannelsFaceSomfy External CBUS Motor</v>
      </c>
      <c r="X2161" s="25">
        <v>10</v>
      </c>
      <c r="Y2161" s="25">
        <v>14</v>
      </c>
      <c r="Z2161" s="25">
        <v>14</v>
      </c>
      <c r="AA2161" s="25">
        <v>88</v>
      </c>
      <c r="AB2161" s="25" t="s">
        <v>821</v>
      </c>
      <c r="AC2161" s="25" t="s">
        <v>818</v>
      </c>
      <c r="AD2161" s="25" t="s">
        <v>821</v>
      </c>
      <c r="AE2161" s="25" t="s">
        <v>818</v>
      </c>
    </row>
    <row r="2162" spans="20:31" ht="14.4">
      <c r="T2162" s="25" t="s">
        <v>931</v>
      </c>
      <c r="U2162" s="25" t="s">
        <v>816</v>
      </c>
      <c r="V2162" t="s">
        <v>983</v>
      </c>
      <c r="W2162" s="25" t="str">
        <f t="shared" si="52"/>
        <v>Square Cassette with Side ChannelsFaceSomfy External Remote Motor</v>
      </c>
      <c r="X2162" s="25">
        <v>10</v>
      </c>
      <c r="Y2162" s="25">
        <v>14</v>
      </c>
      <c r="Z2162" s="25">
        <v>14</v>
      </c>
      <c r="AA2162" s="25">
        <v>88</v>
      </c>
      <c r="AB2162" s="25" t="s">
        <v>821</v>
      </c>
      <c r="AC2162" s="25" t="s">
        <v>818</v>
      </c>
      <c r="AD2162" s="25" t="s">
        <v>821</v>
      </c>
      <c r="AE2162" s="25" t="s">
        <v>818</v>
      </c>
    </row>
    <row r="2163" spans="20:31" ht="14.4">
      <c r="T2163" s="25" t="s">
        <v>931</v>
      </c>
      <c r="U2163" s="25" t="s">
        <v>816</v>
      </c>
      <c r="V2163" t="s">
        <v>995</v>
      </c>
      <c r="W2163" s="25" t="str">
        <f t="shared" si="52"/>
        <v>Square Cassette with Side ChannelsFaceHD Somfy External CBUS Motor</v>
      </c>
      <c r="X2163" s="25">
        <v>10</v>
      </c>
      <c r="Y2163" s="25">
        <v>14</v>
      </c>
      <c r="Z2163" s="25">
        <v>14</v>
      </c>
      <c r="AA2163" s="25">
        <v>88</v>
      </c>
      <c r="AB2163" s="25" t="s">
        <v>821</v>
      </c>
      <c r="AC2163" s="25" t="s">
        <v>818</v>
      </c>
      <c r="AD2163" s="25" t="s">
        <v>821</v>
      </c>
      <c r="AE2163" s="25" t="s">
        <v>818</v>
      </c>
    </row>
    <row r="2164" spans="20:31" ht="14.4">
      <c r="T2164" s="25" t="s">
        <v>931</v>
      </c>
      <c r="U2164" s="25" t="s">
        <v>816</v>
      </c>
      <c r="V2164" t="s">
        <v>999</v>
      </c>
      <c r="W2164" s="25" t="str">
        <f t="shared" si="52"/>
        <v>Square Cassette with Side ChannelsFaceHD Somfy External Remote Motor</v>
      </c>
      <c r="X2164" s="25">
        <v>10</v>
      </c>
      <c r="Y2164" s="25">
        <v>14</v>
      </c>
      <c r="Z2164" s="25">
        <v>14</v>
      </c>
      <c r="AA2164" s="25">
        <v>88</v>
      </c>
      <c r="AB2164" s="25" t="s">
        <v>821</v>
      </c>
      <c r="AC2164" s="25" t="s">
        <v>818</v>
      </c>
      <c r="AD2164" s="25" t="s">
        <v>821</v>
      </c>
      <c r="AE2164" s="25" t="s">
        <v>818</v>
      </c>
    </row>
    <row r="2165" spans="20:31" ht="14.4">
      <c r="T2165" s="25" t="s">
        <v>931</v>
      </c>
      <c r="U2165" s="25" t="s">
        <v>854</v>
      </c>
      <c r="V2165" s="25" t="s">
        <v>823</v>
      </c>
      <c r="W2165" s="25" t="str">
        <f t="shared" si="52"/>
        <v>Square Cassette with Side ChannelsTop FixChain Winder</v>
      </c>
      <c r="X2165" s="25">
        <v>10</v>
      </c>
      <c r="Y2165" s="25">
        <v>14</v>
      </c>
      <c r="Z2165" s="25">
        <v>29</v>
      </c>
      <c r="AA2165" s="25">
        <v>88</v>
      </c>
      <c r="AB2165" s="25" t="s">
        <v>821</v>
      </c>
      <c r="AC2165" s="25" t="s">
        <v>818</v>
      </c>
      <c r="AD2165" s="25" t="s">
        <v>821</v>
      </c>
      <c r="AE2165" s="25" t="s">
        <v>818</v>
      </c>
    </row>
    <row r="2166" spans="20:31" ht="14.4">
      <c r="T2166" s="25" t="s">
        <v>931</v>
      </c>
      <c r="U2166" s="25" t="s">
        <v>854</v>
      </c>
      <c r="V2166" s="25" t="s">
        <v>841</v>
      </c>
      <c r="W2166" s="25" t="str">
        <f t="shared" si="52"/>
        <v>Square Cassette with Side ChannelsTop FixHD Chain Winder</v>
      </c>
      <c r="X2166" s="25">
        <v>10</v>
      </c>
      <c r="Y2166" s="25">
        <v>14</v>
      </c>
      <c r="Z2166" s="25">
        <v>29</v>
      </c>
      <c r="AA2166" s="25">
        <v>88</v>
      </c>
      <c r="AB2166" s="25" t="s">
        <v>821</v>
      </c>
      <c r="AC2166" s="25" t="s">
        <v>818</v>
      </c>
      <c r="AD2166" s="25" t="s">
        <v>821</v>
      </c>
      <c r="AE2166" s="25" t="s">
        <v>818</v>
      </c>
    </row>
    <row r="2167" spans="20:31" ht="14.4">
      <c r="T2167" s="25" t="s">
        <v>931</v>
      </c>
      <c r="U2167" s="25" t="s">
        <v>854</v>
      </c>
      <c r="V2167" s="25" t="s">
        <v>858</v>
      </c>
      <c r="W2167" s="25" t="str">
        <f t="shared" si="52"/>
        <v>Square Cassette with Side ChannelsTop FixChain Winder 60mm</v>
      </c>
      <c r="X2167" s="25">
        <v>10</v>
      </c>
      <c r="Y2167" s="25">
        <v>14</v>
      </c>
      <c r="Z2167" s="25">
        <v>29</v>
      </c>
      <c r="AA2167" s="25">
        <v>88</v>
      </c>
      <c r="AB2167" s="25" t="s">
        <v>821</v>
      </c>
      <c r="AC2167" s="25" t="s">
        <v>818</v>
      </c>
      <c r="AD2167" s="25" t="s">
        <v>821</v>
      </c>
      <c r="AE2167" s="25" t="s">
        <v>818</v>
      </c>
    </row>
    <row r="2168" spans="20:31" ht="14.4">
      <c r="T2168" s="25" t="s">
        <v>931</v>
      </c>
      <c r="U2168" s="25" t="s">
        <v>854</v>
      </c>
      <c r="V2168" s="25" t="s">
        <v>865</v>
      </c>
      <c r="W2168" s="25" t="str">
        <f t="shared" si="52"/>
        <v>Square Cassette with Side ChannelsTop FixChain Winder Fixed Guide</v>
      </c>
      <c r="X2168" s="25">
        <v>10</v>
      </c>
      <c r="Y2168" s="25">
        <v>14</v>
      </c>
      <c r="Z2168" s="25">
        <v>29</v>
      </c>
      <c r="AA2168" s="25">
        <v>88</v>
      </c>
      <c r="AB2168" s="25" t="s">
        <v>821</v>
      </c>
      <c r="AC2168" s="25" t="s">
        <v>818</v>
      </c>
      <c r="AD2168" s="25" t="s">
        <v>821</v>
      </c>
      <c r="AE2168" s="25" t="s">
        <v>818</v>
      </c>
    </row>
    <row r="2169" spans="20:31" ht="14.4">
      <c r="T2169" s="25" t="s">
        <v>931</v>
      </c>
      <c r="U2169" s="25" t="s">
        <v>854</v>
      </c>
      <c r="V2169" s="25" t="s">
        <v>181</v>
      </c>
      <c r="W2169" s="25" t="str">
        <f t="shared" si="52"/>
        <v>Square Cassette with Side ChannelsTop FixLinked</v>
      </c>
      <c r="X2169" s="25">
        <v>10</v>
      </c>
      <c r="Y2169" s="25">
        <v>14</v>
      </c>
      <c r="Z2169" s="25">
        <v>14</v>
      </c>
      <c r="AA2169" s="25">
        <v>88</v>
      </c>
      <c r="AB2169" s="25" t="s">
        <v>821</v>
      </c>
      <c r="AC2169" s="25" t="s">
        <v>818</v>
      </c>
      <c r="AD2169" s="25" t="s">
        <v>821</v>
      </c>
      <c r="AE2169" s="25" t="s">
        <v>818</v>
      </c>
    </row>
    <row r="2170" spans="20:31" ht="14.4">
      <c r="T2170" s="25" t="s">
        <v>931</v>
      </c>
      <c r="U2170" s="25" t="s">
        <v>854</v>
      </c>
      <c r="V2170" s="25" t="s">
        <v>898</v>
      </c>
      <c r="W2170" s="25" t="str">
        <f t="shared" si="52"/>
        <v>Square Cassette with Side ChannelsTop FixLinked - HD</v>
      </c>
      <c r="X2170" s="25">
        <v>10</v>
      </c>
      <c r="Y2170" s="25">
        <v>14</v>
      </c>
      <c r="Z2170" s="25">
        <v>14</v>
      </c>
      <c r="AA2170" s="25">
        <v>88</v>
      </c>
      <c r="AB2170" s="25" t="s">
        <v>821</v>
      </c>
      <c r="AC2170" s="25" t="s">
        <v>818</v>
      </c>
      <c r="AD2170" s="25" t="s">
        <v>821</v>
      </c>
      <c r="AE2170" s="25" t="s">
        <v>818</v>
      </c>
    </row>
    <row r="2171" spans="20:31" ht="14.4">
      <c r="T2171" s="25" t="s">
        <v>931</v>
      </c>
      <c r="U2171" s="25" t="s">
        <v>854</v>
      </c>
      <c r="V2171" s="25" t="s">
        <v>910</v>
      </c>
      <c r="W2171" s="25" t="str">
        <f t="shared" si="52"/>
        <v>Square Cassette with Side ChannelsTop FixStandard Spring</v>
      </c>
      <c r="X2171" s="25">
        <v>10</v>
      </c>
      <c r="Y2171" s="25">
        <v>14</v>
      </c>
      <c r="Z2171" s="25">
        <v>14</v>
      </c>
      <c r="AA2171" s="25">
        <v>88</v>
      </c>
      <c r="AB2171" s="25" t="s">
        <v>821</v>
      </c>
      <c r="AC2171" s="25" t="s">
        <v>818</v>
      </c>
      <c r="AD2171" s="25" t="s">
        <v>821</v>
      </c>
      <c r="AE2171" s="25" t="s">
        <v>818</v>
      </c>
    </row>
    <row r="2172" spans="20:31" ht="14.4">
      <c r="T2172" s="25" t="s">
        <v>931</v>
      </c>
      <c r="U2172" s="25" t="s">
        <v>854</v>
      </c>
      <c r="V2172" s="25" t="s">
        <v>920</v>
      </c>
      <c r="W2172" s="25" t="str">
        <f t="shared" si="52"/>
        <v>Square Cassette with Side ChannelsTop FixSmall Spring</v>
      </c>
      <c r="X2172" s="25">
        <v>10</v>
      </c>
      <c r="Y2172" s="25">
        <v>14</v>
      </c>
      <c r="Z2172" s="25">
        <v>14</v>
      </c>
      <c r="AA2172" s="25">
        <v>88</v>
      </c>
      <c r="AB2172" s="25" t="s">
        <v>821</v>
      </c>
      <c r="AC2172" s="25" t="s">
        <v>818</v>
      </c>
      <c r="AD2172" s="25" t="s">
        <v>821</v>
      </c>
      <c r="AE2172" s="25" t="s">
        <v>818</v>
      </c>
    </row>
    <row r="2173" spans="20:31" ht="14.4">
      <c r="T2173" s="25" t="s">
        <v>931</v>
      </c>
      <c r="U2173" s="25" t="s">
        <v>854</v>
      </c>
      <c r="V2173" s="25" t="s">
        <v>929</v>
      </c>
      <c r="W2173" s="25" t="str">
        <f t="shared" si="52"/>
        <v>Square Cassette with Side ChannelsTop FixUniline Spring (Old Style)</v>
      </c>
      <c r="X2173" s="25">
        <v>10</v>
      </c>
      <c r="Y2173" s="25">
        <v>14</v>
      </c>
      <c r="Z2173" s="25">
        <v>14</v>
      </c>
      <c r="AA2173" s="25">
        <v>88</v>
      </c>
      <c r="AB2173" s="25" t="s">
        <v>821</v>
      </c>
      <c r="AC2173" s="25" t="s">
        <v>818</v>
      </c>
      <c r="AD2173" s="25" t="s">
        <v>821</v>
      </c>
      <c r="AE2173" s="25" t="s">
        <v>818</v>
      </c>
    </row>
    <row r="2174" spans="20:31" ht="14.4">
      <c r="T2174" s="25" t="s">
        <v>931</v>
      </c>
      <c r="U2174" s="25" t="s">
        <v>854</v>
      </c>
      <c r="V2174" s="25" t="s">
        <v>935</v>
      </c>
      <c r="W2174" s="25" t="str">
        <f t="shared" si="52"/>
        <v>Square Cassette with Side ChannelsTop FixBecker Remote Motor</v>
      </c>
      <c r="X2174" s="25">
        <v>10</v>
      </c>
      <c r="Y2174" s="25">
        <v>14</v>
      </c>
      <c r="Z2174" s="25">
        <v>14</v>
      </c>
      <c r="AA2174" s="25">
        <v>88</v>
      </c>
      <c r="AB2174" s="25" t="s">
        <v>821</v>
      </c>
      <c r="AC2174" s="25" t="s">
        <v>818</v>
      </c>
      <c r="AD2174" s="25" t="s">
        <v>821</v>
      </c>
      <c r="AE2174" s="25" t="s">
        <v>818</v>
      </c>
    </row>
    <row r="2175" spans="20:31" ht="14.4">
      <c r="T2175" s="25" t="s">
        <v>931</v>
      </c>
      <c r="U2175" s="25" t="s">
        <v>854</v>
      </c>
      <c r="V2175" s="25" t="s">
        <v>939</v>
      </c>
      <c r="W2175" s="25" t="str">
        <f t="shared" si="52"/>
        <v>Square Cassette with Side ChannelsTop FixBecker CBUS Motor</v>
      </c>
      <c r="X2175" s="25">
        <v>10</v>
      </c>
      <c r="Y2175" s="25">
        <v>14</v>
      </c>
      <c r="Z2175" s="25">
        <v>14</v>
      </c>
      <c r="AA2175" s="25">
        <v>88</v>
      </c>
      <c r="AB2175" s="25" t="s">
        <v>821</v>
      </c>
      <c r="AC2175" s="25" t="s">
        <v>818</v>
      </c>
      <c r="AD2175" s="25" t="s">
        <v>821</v>
      </c>
      <c r="AE2175" s="25" t="s">
        <v>818</v>
      </c>
    </row>
    <row r="2176" spans="20:31" ht="14.4">
      <c r="T2176" s="25" t="s">
        <v>931</v>
      </c>
      <c r="U2176" s="25" t="s">
        <v>854</v>
      </c>
      <c r="V2176" s="25" t="s">
        <v>946</v>
      </c>
      <c r="W2176" s="25" t="str">
        <f t="shared" si="52"/>
        <v>Square Cassette with Side ChannelsTop FixBecker External Remote Motor</v>
      </c>
      <c r="X2176" s="25">
        <v>10</v>
      </c>
      <c r="Y2176" s="25">
        <v>14</v>
      </c>
      <c r="Z2176" s="25">
        <v>14</v>
      </c>
      <c r="AA2176" s="25">
        <v>88</v>
      </c>
      <c r="AB2176" s="25" t="s">
        <v>821</v>
      </c>
      <c r="AC2176" s="25" t="s">
        <v>818</v>
      </c>
      <c r="AD2176" s="25" t="s">
        <v>821</v>
      </c>
      <c r="AE2176" s="25" t="s">
        <v>818</v>
      </c>
    </row>
    <row r="2177" spans="20:31" ht="14.4">
      <c r="T2177" s="25" t="s">
        <v>931</v>
      </c>
      <c r="U2177" s="25" t="s">
        <v>854</v>
      </c>
      <c r="V2177" s="25" t="s">
        <v>951</v>
      </c>
      <c r="W2177" s="25" t="str">
        <f t="shared" si="52"/>
        <v>Square Cassette with Side ChannelsTop FixBecker External CBUS Motor</v>
      </c>
      <c r="X2177" s="25">
        <v>10</v>
      </c>
      <c r="Y2177" s="25">
        <v>14</v>
      </c>
      <c r="Z2177" s="25">
        <v>14</v>
      </c>
      <c r="AA2177" s="25">
        <v>88</v>
      </c>
      <c r="AB2177" s="25" t="s">
        <v>821</v>
      </c>
      <c r="AC2177" s="25" t="s">
        <v>818</v>
      </c>
      <c r="AD2177" s="25" t="s">
        <v>821</v>
      </c>
      <c r="AE2177" s="25" t="s">
        <v>818</v>
      </c>
    </row>
    <row r="2178" spans="20:31" ht="14.4">
      <c r="T2178" s="25" t="s">
        <v>931</v>
      </c>
      <c r="U2178" s="25" t="s">
        <v>854</v>
      </c>
      <c r="V2178" s="25" t="s">
        <v>838</v>
      </c>
      <c r="W2178" s="25" t="str">
        <f t="shared" si="52"/>
        <v>Square Cassette with Side ChannelsTop Fix1.1nm 12v Acmeda Motor</v>
      </c>
      <c r="X2178" s="25">
        <v>10</v>
      </c>
      <c r="Y2178" s="25">
        <v>14</v>
      </c>
      <c r="Z2178" s="25">
        <v>14</v>
      </c>
      <c r="AA2178" s="25">
        <v>88</v>
      </c>
      <c r="AB2178" s="25" t="s">
        <v>821</v>
      </c>
      <c r="AC2178" s="25" t="s">
        <v>818</v>
      </c>
      <c r="AD2178" s="25" t="s">
        <v>821</v>
      </c>
      <c r="AE2178" s="25" t="s">
        <v>818</v>
      </c>
    </row>
    <row r="2179" spans="20:31" ht="14.4">
      <c r="T2179" s="25" t="s">
        <v>931</v>
      </c>
      <c r="U2179" s="25" t="s">
        <v>854</v>
      </c>
      <c r="V2179" t="s">
        <v>882</v>
      </c>
      <c r="W2179" s="25" t="str">
        <f t="shared" si="53" ref="W2179:W2242">CONCATENATE(T2179,U2179,V2179)</f>
        <v>Square Cassette with Side ChannelsTop Fix2nm 12v Acmeda Motor</v>
      </c>
      <c r="X2179" s="25">
        <v>10</v>
      </c>
      <c r="Y2179" s="25">
        <v>14</v>
      </c>
      <c r="Z2179" s="25">
        <v>14</v>
      </c>
      <c r="AA2179" s="25">
        <v>88</v>
      </c>
      <c r="AB2179" s="25" t="s">
        <v>821</v>
      </c>
      <c r="AC2179" s="25" t="s">
        <v>818</v>
      </c>
      <c r="AD2179" s="25" t="s">
        <v>821</v>
      </c>
      <c r="AE2179" s="25" t="s">
        <v>818</v>
      </c>
    </row>
    <row r="2180" spans="20:31" ht="14.4">
      <c r="T2180" s="25" t="s">
        <v>931</v>
      </c>
      <c r="U2180" s="25" t="s">
        <v>854</v>
      </c>
      <c r="V2180" t="s">
        <v>896</v>
      </c>
      <c r="W2180" s="25" t="str">
        <f t="shared" si="53"/>
        <v>Square Cassette with Side ChannelsTop FixAcmeda 12v 6nm Motor</v>
      </c>
      <c r="X2180" s="25">
        <v>10</v>
      </c>
      <c r="Y2180" s="25">
        <v>14</v>
      </c>
      <c r="Z2180" s="25">
        <v>14</v>
      </c>
      <c r="AA2180" s="25">
        <v>88</v>
      </c>
      <c r="AB2180" s="25" t="s">
        <v>821</v>
      </c>
      <c r="AC2180" s="25" t="s">
        <v>818</v>
      </c>
      <c r="AD2180" s="25" t="s">
        <v>821</v>
      </c>
      <c r="AE2180" s="25" t="s">
        <v>818</v>
      </c>
    </row>
    <row r="2181" spans="20:31" ht="14.4">
      <c r="T2181" s="25" t="s">
        <v>931</v>
      </c>
      <c r="U2181" s="25" t="s">
        <v>854</v>
      </c>
      <c r="V2181" t="s">
        <v>855</v>
      </c>
      <c r="W2181" s="25" t="str">
        <f t="shared" si="53"/>
        <v>Square Cassette with Side ChannelsTop Fix0.7nm 12v Acmeda Motor</v>
      </c>
      <c r="X2181" s="25">
        <v>10</v>
      </c>
      <c r="Y2181" s="25">
        <v>14</v>
      </c>
      <c r="Z2181" s="25">
        <v>14</v>
      </c>
      <c r="AA2181" s="25">
        <v>88</v>
      </c>
      <c r="AB2181" s="25" t="s">
        <v>821</v>
      </c>
      <c r="AC2181" s="25" t="s">
        <v>818</v>
      </c>
      <c r="AD2181" s="25" t="s">
        <v>821</v>
      </c>
      <c r="AE2181" s="25" t="s">
        <v>818</v>
      </c>
    </row>
    <row r="2182" spans="20:31" ht="14.4">
      <c r="T2182" s="25" t="s">
        <v>931</v>
      </c>
      <c r="U2182" s="25" t="s">
        <v>854</v>
      </c>
      <c r="V2182" s="25" t="s">
        <v>849</v>
      </c>
      <c r="W2182" s="25" t="str">
        <f t="shared" si="53"/>
        <v>Square Cassette with Side ChannelsTop Fix1.1nm 12v Acmeda DCRF Motor with External Battery</v>
      </c>
      <c r="X2182" s="25">
        <v>10</v>
      </c>
      <c r="Y2182" s="25">
        <v>14</v>
      </c>
      <c r="Z2182" s="25">
        <v>14</v>
      </c>
      <c r="AA2182" s="25">
        <v>88</v>
      </c>
      <c r="AB2182" s="25" t="s">
        <v>821</v>
      </c>
      <c r="AC2182" s="25" t="s">
        <v>818</v>
      </c>
      <c r="AD2182" s="25" t="s">
        <v>821</v>
      </c>
      <c r="AE2182" s="25" t="s">
        <v>818</v>
      </c>
    </row>
    <row r="2183" spans="20:31" ht="14.4">
      <c r="T2183" s="25" t="s">
        <v>931</v>
      </c>
      <c r="U2183" s="25" t="s">
        <v>854</v>
      </c>
      <c r="V2183" s="25" t="s">
        <v>817</v>
      </c>
      <c r="W2183" s="25" t="str">
        <f t="shared" si="53"/>
        <v>Square Cassette with Side ChannelsTop Fix1.1nm 12v Acmeda DCRF Motor</v>
      </c>
      <c r="X2183" s="25">
        <v>10</v>
      </c>
      <c r="Y2183" s="25">
        <v>14</v>
      </c>
      <c r="Z2183" s="25">
        <v>14</v>
      </c>
      <c r="AA2183" s="25">
        <v>88</v>
      </c>
      <c r="AB2183" s="25" t="s">
        <v>821</v>
      </c>
      <c r="AC2183" s="25" t="s">
        <v>818</v>
      </c>
      <c r="AD2183" s="25" t="s">
        <v>821</v>
      </c>
      <c r="AE2183" s="25" t="s">
        <v>818</v>
      </c>
    </row>
    <row r="2184" spans="20:31" ht="14.4">
      <c r="T2184" s="25" t="s">
        <v>931</v>
      </c>
      <c r="U2184" s="25" t="s">
        <v>854</v>
      </c>
      <c r="V2184" s="25" t="s">
        <v>868</v>
      </c>
      <c r="W2184" s="25" t="str">
        <f t="shared" si="53"/>
        <v>Square Cassette with Side ChannelsTop Fix2nm 12v Acmeda DCRF Motor</v>
      </c>
      <c r="X2184" s="25">
        <v>10</v>
      </c>
      <c r="Y2184" s="25">
        <v>14</v>
      </c>
      <c r="Z2184" s="25">
        <v>14</v>
      </c>
      <c r="AA2184" s="25">
        <v>88</v>
      </c>
      <c r="AB2184" s="25" t="s">
        <v>821</v>
      </c>
      <c r="AC2184" s="25" t="s">
        <v>818</v>
      </c>
      <c r="AD2184" s="25" t="s">
        <v>821</v>
      </c>
      <c r="AE2184" s="25" t="s">
        <v>818</v>
      </c>
    </row>
    <row r="2185" spans="20:31" ht="14.4">
      <c r="T2185" s="25" t="s">
        <v>931</v>
      </c>
      <c r="U2185" s="25" t="s">
        <v>854</v>
      </c>
      <c r="V2185" t="s">
        <v>973</v>
      </c>
      <c r="W2185" s="25" t="str">
        <f t="shared" si="53"/>
        <v>Square Cassette with Side ChannelsTop FixSomfy Remote Sonesse Motor</v>
      </c>
      <c r="X2185" s="25">
        <v>10</v>
      </c>
      <c r="Y2185" s="25">
        <v>14</v>
      </c>
      <c r="Z2185" s="25">
        <v>14</v>
      </c>
      <c r="AA2185" s="25">
        <v>88</v>
      </c>
      <c r="AB2185" s="25" t="s">
        <v>821</v>
      </c>
      <c r="AC2185" s="25" t="s">
        <v>818</v>
      </c>
      <c r="AD2185" s="25" t="s">
        <v>821</v>
      </c>
      <c r="AE2185" s="25" t="s">
        <v>818</v>
      </c>
    </row>
    <row r="2186" spans="20:31" ht="14.4">
      <c r="T2186" s="25" t="s">
        <v>931</v>
      </c>
      <c r="U2186" s="25" t="s">
        <v>854</v>
      </c>
      <c r="V2186" t="s">
        <v>637</v>
      </c>
      <c r="W2186" s="25" t="str">
        <f t="shared" si="53"/>
        <v>Square Cassette with Side ChannelsTop FixSomfy 12v Remote Sonesse Motor</v>
      </c>
      <c r="X2186" s="25">
        <v>10</v>
      </c>
      <c r="Y2186" s="25">
        <v>14</v>
      </c>
      <c r="Z2186" s="25">
        <v>14</v>
      </c>
      <c r="AA2186" s="25">
        <v>88</v>
      </c>
      <c r="AB2186" s="25" t="s">
        <v>821</v>
      </c>
      <c r="AC2186" s="25" t="s">
        <v>818</v>
      </c>
      <c r="AD2186" s="25" t="s">
        <v>821</v>
      </c>
      <c r="AE2186" s="25" t="s">
        <v>818</v>
      </c>
    </row>
    <row r="2187" spans="20:31" ht="14.4">
      <c r="T2187" s="25" t="s">
        <v>931</v>
      </c>
      <c r="U2187" s="25" t="s">
        <v>854</v>
      </c>
      <c r="V2187" s="25" t="s">
        <v>974</v>
      </c>
      <c r="W2187" s="25" t="str">
        <f t="shared" si="53"/>
        <v>Square Cassette with Side ChannelsTop FixSomfy CBUS Motor</v>
      </c>
      <c r="X2187" s="25">
        <v>10</v>
      </c>
      <c r="Y2187" s="25">
        <v>14</v>
      </c>
      <c r="Z2187" s="25">
        <v>14</v>
      </c>
      <c r="AA2187" s="25">
        <v>88</v>
      </c>
      <c r="AB2187" s="25" t="s">
        <v>821</v>
      </c>
      <c r="AC2187" s="25" t="s">
        <v>818</v>
      </c>
      <c r="AD2187" s="25" t="s">
        <v>821</v>
      </c>
      <c r="AE2187" s="25" t="s">
        <v>818</v>
      </c>
    </row>
    <row r="2188" spans="20:31" ht="14.4">
      <c r="T2188" s="25" t="s">
        <v>931</v>
      </c>
      <c r="U2188" s="25" t="s">
        <v>854</v>
      </c>
      <c r="V2188" t="s">
        <v>986</v>
      </c>
      <c r="W2188" s="25" t="str">
        <f t="shared" si="53"/>
        <v>Square Cassette with Side ChannelsTop FixHD Somfy Remote Sonesse Motor</v>
      </c>
      <c r="X2188" s="25">
        <v>10</v>
      </c>
      <c r="Y2188" s="25">
        <v>14</v>
      </c>
      <c r="Z2188" s="25">
        <v>14</v>
      </c>
      <c r="AA2188" s="25">
        <v>88</v>
      </c>
      <c r="AB2188" s="25" t="s">
        <v>821</v>
      </c>
      <c r="AC2188" s="25" t="s">
        <v>818</v>
      </c>
      <c r="AD2188" s="25" t="s">
        <v>821</v>
      </c>
      <c r="AE2188" s="25" t="s">
        <v>818</v>
      </c>
    </row>
    <row r="2189" spans="20:31" ht="14.4">
      <c r="T2189" s="25" t="s">
        <v>931</v>
      </c>
      <c r="U2189" s="25" t="s">
        <v>854</v>
      </c>
      <c r="V2189" t="s">
        <v>989</v>
      </c>
      <c r="W2189" s="25" t="str">
        <f t="shared" si="53"/>
        <v>Square Cassette with Side ChannelsTop FixHD Somfy 12v Remote Sonesse Motor</v>
      </c>
      <c r="X2189" s="25">
        <v>10</v>
      </c>
      <c r="Y2189" s="25">
        <v>14</v>
      </c>
      <c r="Z2189" s="25">
        <v>14</v>
      </c>
      <c r="AA2189" s="25">
        <v>88</v>
      </c>
      <c r="AB2189" s="25" t="s">
        <v>821</v>
      </c>
      <c r="AC2189" s="25" t="s">
        <v>818</v>
      </c>
      <c r="AD2189" s="25" t="s">
        <v>821</v>
      </c>
      <c r="AE2189" s="25" t="s">
        <v>818</v>
      </c>
    </row>
    <row r="2190" spans="20:31" ht="14.4">
      <c r="T2190" s="25" t="s">
        <v>931</v>
      </c>
      <c r="U2190" s="25" t="s">
        <v>854</v>
      </c>
      <c r="V2190" s="25" t="s">
        <v>992</v>
      </c>
      <c r="W2190" s="25" t="str">
        <f t="shared" si="53"/>
        <v>Square Cassette with Side ChannelsTop FixHD Somfy CBUS Motor</v>
      </c>
      <c r="X2190" s="25">
        <v>10</v>
      </c>
      <c r="Y2190" s="25">
        <v>14</v>
      </c>
      <c r="Z2190" s="25">
        <v>14</v>
      </c>
      <c r="AA2190" s="25">
        <v>88</v>
      </c>
      <c r="AB2190" s="25" t="s">
        <v>821</v>
      </c>
      <c r="AC2190" s="25" t="s">
        <v>818</v>
      </c>
      <c r="AD2190" s="25" t="s">
        <v>821</v>
      </c>
      <c r="AE2190" s="25" t="s">
        <v>818</v>
      </c>
    </row>
    <row r="2191" spans="20:31" ht="14.4">
      <c r="T2191" s="25" t="s">
        <v>931</v>
      </c>
      <c r="U2191" s="25" t="s">
        <v>854</v>
      </c>
      <c r="V2191" s="25" t="s">
        <v>625</v>
      </c>
      <c r="W2191" s="25" t="str">
        <f t="shared" si="53"/>
        <v>Square Cassette with Side ChannelsTop FixAcmeda E6 Motor</v>
      </c>
      <c r="X2191" s="25">
        <v>10</v>
      </c>
      <c r="Y2191" s="25">
        <v>14</v>
      </c>
      <c r="Z2191" s="25">
        <v>14</v>
      </c>
      <c r="AA2191" s="25">
        <v>88</v>
      </c>
      <c r="AB2191" s="25" t="s">
        <v>821</v>
      </c>
      <c r="AC2191" s="25" t="s">
        <v>818</v>
      </c>
      <c r="AD2191" s="25" t="s">
        <v>821</v>
      </c>
      <c r="AE2191" s="25" t="s">
        <v>818</v>
      </c>
    </row>
    <row r="2192" spans="20:31" ht="14.4">
      <c r="T2192" s="25" t="s">
        <v>931</v>
      </c>
      <c r="U2192" s="25" t="s">
        <v>854</v>
      </c>
      <c r="V2192" s="25" t="s">
        <v>626</v>
      </c>
      <c r="W2192" s="25" t="str">
        <f t="shared" si="53"/>
        <v>Square Cassette with Side ChannelsTop FixAcmeda M6 Motor</v>
      </c>
      <c r="X2192" s="25">
        <v>10</v>
      </c>
      <c r="Y2192" s="25">
        <v>14</v>
      </c>
      <c r="Z2192" s="25">
        <v>14</v>
      </c>
      <c r="AA2192" s="25">
        <v>88</v>
      </c>
      <c r="AB2192" s="25" t="s">
        <v>821</v>
      </c>
      <c r="AC2192" s="25" t="s">
        <v>818</v>
      </c>
      <c r="AD2192" s="25" t="s">
        <v>821</v>
      </c>
      <c r="AE2192" s="25" t="s">
        <v>818</v>
      </c>
    </row>
    <row r="2193" spans="20:31" ht="14.4">
      <c r="T2193" s="25" t="s">
        <v>931</v>
      </c>
      <c r="U2193" s="25" t="s">
        <v>854</v>
      </c>
      <c r="V2193" s="25" t="s">
        <v>1002</v>
      </c>
      <c r="W2193" s="25" t="str">
        <f t="shared" si="53"/>
        <v>Square Cassette with Side ChannelsTop FixUniline Remote Motor</v>
      </c>
      <c r="X2193" s="25">
        <v>10</v>
      </c>
      <c r="Y2193" s="25">
        <v>14</v>
      </c>
      <c r="Z2193" s="25">
        <v>14</v>
      </c>
      <c r="AA2193" s="25">
        <v>88</v>
      </c>
      <c r="AB2193" s="25" t="s">
        <v>821</v>
      </c>
      <c r="AC2193" s="25" t="s">
        <v>818</v>
      </c>
      <c r="AD2193" s="25" t="s">
        <v>821</v>
      </c>
      <c r="AE2193" s="25" t="s">
        <v>818</v>
      </c>
    </row>
    <row r="2194" spans="20:31" ht="14.4">
      <c r="T2194" s="25" t="s">
        <v>931</v>
      </c>
      <c r="U2194" s="25" t="s">
        <v>854</v>
      </c>
      <c r="V2194" s="25" t="s">
        <v>1005</v>
      </c>
      <c r="W2194" s="25" t="str">
        <f t="shared" si="53"/>
        <v>Square Cassette with Side ChannelsTop FixUniline Cbus Motor</v>
      </c>
      <c r="X2194" s="25">
        <v>10</v>
      </c>
      <c r="Y2194" s="25">
        <v>14</v>
      </c>
      <c r="Z2194" s="25">
        <v>14</v>
      </c>
      <c r="AA2194" s="25">
        <v>88</v>
      </c>
      <c r="AB2194" s="25" t="s">
        <v>821</v>
      </c>
      <c r="AC2194" s="25" t="s">
        <v>818</v>
      </c>
      <c r="AD2194" s="25" t="s">
        <v>821</v>
      </c>
      <c r="AE2194" s="25" t="s">
        <v>818</v>
      </c>
    </row>
    <row r="2195" spans="20:31" ht="14.4">
      <c r="T2195" s="25" t="s">
        <v>931</v>
      </c>
      <c r="U2195" s="25" t="s">
        <v>854</v>
      </c>
      <c r="V2195" s="25" t="s">
        <v>981</v>
      </c>
      <c r="W2195" s="25" t="str">
        <f t="shared" si="53"/>
        <v>Square Cassette with Side ChannelsTop FixNice Remote Motor</v>
      </c>
      <c r="X2195" s="25">
        <v>10</v>
      </c>
      <c r="Y2195" s="25">
        <v>14</v>
      </c>
      <c r="Z2195" s="25">
        <v>14</v>
      </c>
      <c r="AA2195" s="25">
        <v>88</v>
      </c>
      <c r="AB2195" s="25" t="s">
        <v>821</v>
      </c>
      <c r="AC2195" s="25" t="s">
        <v>818</v>
      </c>
      <c r="AD2195" s="25" t="s">
        <v>821</v>
      </c>
      <c r="AE2195" s="25" t="s">
        <v>818</v>
      </c>
    </row>
    <row r="2196" spans="20:31" ht="14.4">
      <c r="T2196" s="25" t="s">
        <v>931</v>
      </c>
      <c r="U2196" s="25" t="s">
        <v>854</v>
      </c>
      <c r="V2196" s="25" t="s">
        <v>976</v>
      </c>
      <c r="W2196" s="25" t="str">
        <f t="shared" si="53"/>
        <v>Square Cassette with Side ChannelsTop FixNice CBus Motor</v>
      </c>
      <c r="X2196" s="25">
        <v>10</v>
      </c>
      <c r="Y2196" s="25">
        <v>14</v>
      </c>
      <c r="Z2196" s="25">
        <v>14</v>
      </c>
      <c r="AA2196" s="25">
        <v>88</v>
      </c>
      <c r="AB2196" s="25" t="s">
        <v>821</v>
      </c>
      <c r="AC2196" s="25" t="s">
        <v>818</v>
      </c>
      <c r="AD2196" s="25" t="s">
        <v>821</v>
      </c>
      <c r="AE2196" s="25" t="s">
        <v>818</v>
      </c>
    </row>
    <row r="2197" spans="20:31" ht="14.4">
      <c r="T2197" s="25" t="s">
        <v>931</v>
      </c>
      <c r="U2197" s="25" t="s">
        <v>854</v>
      </c>
      <c r="V2197" t="s">
        <v>1006</v>
      </c>
      <c r="W2197" s="25" t="str">
        <f t="shared" si="53"/>
        <v>Square Cassette with Side ChannelsTop FixSunboss Chain Winder 38mm Tube</v>
      </c>
      <c r="X2197" s="25">
        <v>10</v>
      </c>
      <c r="Y2197" s="25">
        <v>14</v>
      </c>
      <c r="Z2197" s="25">
        <v>14</v>
      </c>
      <c r="AA2197" s="25">
        <v>88</v>
      </c>
      <c r="AB2197" s="25" t="s">
        <v>821</v>
      </c>
      <c r="AC2197" s="25" t="s">
        <v>818</v>
      </c>
      <c r="AD2197" s="25" t="s">
        <v>821</v>
      </c>
      <c r="AE2197" s="25" t="s">
        <v>818</v>
      </c>
    </row>
    <row r="2198" spans="20:31" ht="14.4">
      <c r="T2198" s="25" t="s">
        <v>931</v>
      </c>
      <c r="U2198" s="25" t="s">
        <v>854</v>
      </c>
      <c r="V2198" t="s">
        <v>1017</v>
      </c>
      <c r="W2198" s="25" t="str">
        <f t="shared" si="53"/>
        <v>Square Cassette with Side ChannelsTop FixSunboss Chain Winder 43mm Tube</v>
      </c>
      <c r="X2198" s="25">
        <v>10</v>
      </c>
      <c r="Y2198" s="25">
        <v>14</v>
      </c>
      <c r="Z2198" s="25">
        <v>14</v>
      </c>
      <c r="AA2198" s="25">
        <v>88</v>
      </c>
      <c r="AB2198" s="25" t="s">
        <v>821</v>
      </c>
      <c r="AC2198" s="25" t="s">
        <v>818</v>
      </c>
      <c r="AD2198" s="25" t="s">
        <v>821</v>
      </c>
      <c r="AE2198" s="25" t="s">
        <v>818</v>
      </c>
    </row>
    <row r="2199" spans="20:31" ht="14.4">
      <c r="T2199" s="25" t="s">
        <v>931</v>
      </c>
      <c r="U2199" s="25" t="s">
        <v>854</v>
      </c>
      <c r="V2199" s="25" t="s">
        <v>1012</v>
      </c>
      <c r="W2199" s="25" t="str">
        <f t="shared" si="53"/>
        <v>Square Cassette with Side ChannelsTop FixTBS Remote Motor</v>
      </c>
      <c r="X2199" s="25">
        <v>10</v>
      </c>
      <c r="Y2199" s="25">
        <v>14</v>
      </c>
      <c r="Z2199" s="25">
        <v>14</v>
      </c>
      <c r="AA2199" s="25">
        <v>88</v>
      </c>
      <c r="AB2199" s="25" t="s">
        <v>821</v>
      </c>
      <c r="AC2199" s="25" t="s">
        <v>818</v>
      </c>
      <c r="AD2199" s="25" t="s">
        <v>821</v>
      </c>
      <c r="AE2199" s="25" t="s">
        <v>818</v>
      </c>
    </row>
    <row r="2200" spans="20:31" ht="14.4">
      <c r="T2200" s="25" t="s">
        <v>931</v>
      </c>
      <c r="U2200" s="25" t="s">
        <v>854</v>
      </c>
      <c r="V2200" t="s">
        <v>1009</v>
      </c>
      <c r="W2200" s="25" t="str">
        <f t="shared" si="53"/>
        <v>Square Cassette with Side ChannelsTop FixTBS Cbus Motor</v>
      </c>
      <c r="X2200" s="25">
        <v>10</v>
      </c>
      <c r="Y2200" s="25">
        <v>14</v>
      </c>
      <c r="Z2200" s="25">
        <v>14</v>
      </c>
      <c r="AA2200" s="25">
        <v>88</v>
      </c>
      <c r="AB2200" s="25" t="s">
        <v>821</v>
      </c>
      <c r="AC2200" s="25" t="s">
        <v>818</v>
      </c>
      <c r="AD2200" s="25" t="s">
        <v>821</v>
      </c>
      <c r="AE2200" s="25" t="s">
        <v>818</v>
      </c>
    </row>
    <row r="2201" spans="20:31" ht="14.4">
      <c r="T2201" s="25" t="s">
        <v>931</v>
      </c>
      <c r="U2201" s="25" t="s">
        <v>854</v>
      </c>
      <c r="V2201" t="s">
        <v>927</v>
      </c>
      <c r="W2201" s="25" t="str">
        <f t="shared" si="53"/>
        <v>Square Cassette with Side ChannelsTop FixAcmeda External Motor</v>
      </c>
      <c r="X2201" s="25">
        <v>10</v>
      </c>
      <c r="Y2201" s="25">
        <v>14</v>
      </c>
      <c r="Z2201" s="25">
        <v>14</v>
      </c>
      <c r="AA2201" s="25">
        <v>88</v>
      </c>
      <c r="AB2201" s="25" t="s">
        <v>821</v>
      </c>
      <c r="AC2201" s="25" t="s">
        <v>818</v>
      </c>
      <c r="AD2201" s="25" t="s">
        <v>821</v>
      </c>
      <c r="AE2201" s="25" t="s">
        <v>818</v>
      </c>
    </row>
    <row r="2202" spans="20:31" ht="14.4">
      <c r="T2202" s="25" t="s">
        <v>931</v>
      </c>
      <c r="U2202" s="25" t="s">
        <v>854</v>
      </c>
      <c r="V2202" t="s">
        <v>918</v>
      </c>
      <c r="W2202" s="25" t="str">
        <f t="shared" si="53"/>
        <v>Square Cassette with Side ChannelsTop FixAcmeda External 12v Motor</v>
      </c>
      <c r="X2202" s="25">
        <v>10</v>
      </c>
      <c r="Y2202" s="25">
        <v>14</v>
      </c>
      <c r="Z2202" s="25">
        <v>14</v>
      </c>
      <c r="AA2202" s="25">
        <v>88</v>
      </c>
      <c r="AB2202" s="25" t="s">
        <v>821</v>
      </c>
      <c r="AC2202" s="25" t="s">
        <v>818</v>
      </c>
      <c r="AD2202" s="25" t="s">
        <v>821</v>
      </c>
      <c r="AE2202" s="25" t="s">
        <v>818</v>
      </c>
    </row>
    <row r="2203" spans="20:31" ht="14.4">
      <c r="T2203" s="25" t="s">
        <v>931</v>
      </c>
      <c r="U2203" s="25" t="s">
        <v>854</v>
      </c>
      <c r="V2203" t="s">
        <v>979</v>
      </c>
      <c r="W2203" s="25" t="str">
        <f t="shared" si="53"/>
        <v>Square Cassette with Side ChannelsTop FixSomfy External CBUS Motor</v>
      </c>
      <c r="X2203" s="25">
        <v>10</v>
      </c>
      <c r="Y2203" s="25">
        <v>14</v>
      </c>
      <c r="Z2203" s="25">
        <v>14</v>
      </c>
      <c r="AA2203" s="25">
        <v>88</v>
      </c>
      <c r="AB2203" s="25" t="s">
        <v>821</v>
      </c>
      <c r="AC2203" s="25" t="s">
        <v>818</v>
      </c>
      <c r="AD2203" s="25" t="s">
        <v>821</v>
      </c>
      <c r="AE2203" s="25" t="s">
        <v>818</v>
      </c>
    </row>
    <row r="2204" spans="20:31" ht="14.4">
      <c r="T2204" s="25" t="s">
        <v>931</v>
      </c>
      <c r="U2204" s="25" t="s">
        <v>854</v>
      </c>
      <c r="V2204" t="s">
        <v>983</v>
      </c>
      <c r="W2204" s="25" t="str">
        <f t="shared" si="53"/>
        <v>Square Cassette with Side ChannelsTop FixSomfy External Remote Motor</v>
      </c>
      <c r="X2204" s="25">
        <v>10</v>
      </c>
      <c r="Y2204" s="25">
        <v>14</v>
      </c>
      <c r="Z2204" s="25">
        <v>14</v>
      </c>
      <c r="AA2204" s="25">
        <v>88</v>
      </c>
      <c r="AB2204" s="25" t="s">
        <v>821</v>
      </c>
      <c r="AC2204" s="25" t="s">
        <v>818</v>
      </c>
      <c r="AD2204" s="25" t="s">
        <v>821</v>
      </c>
      <c r="AE2204" s="25" t="s">
        <v>818</v>
      </c>
    </row>
    <row r="2205" spans="20:31" ht="14.4">
      <c r="T2205" s="25" t="s">
        <v>931</v>
      </c>
      <c r="U2205" s="25" t="s">
        <v>854</v>
      </c>
      <c r="V2205" t="s">
        <v>979</v>
      </c>
      <c r="W2205" s="25" t="str">
        <f t="shared" si="53"/>
        <v>Square Cassette with Side ChannelsTop FixSomfy External CBUS Motor</v>
      </c>
      <c r="X2205" s="25">
        <v>10</v>
      </c>
      <c r="Y2205" s="25">
        <v>14</v>
      </c>
      <c r="Z2205" s="25">
        <v>14</v>
      </c>
      <c r="AA2205" s="25">
        <v>88</v>
      </c>
      <c r="AB2205" s="25" t="s">
        <v>821</v>
      </c>
      <c r="AC2205" s="25" t="s">
        <v>818</v>
      </c>
      <c r="AD2205" s="25" t="s">
        <v>821</v>
      </c>
      <c r="AE2205" s="25" t="s">
        <v>818</v>
      </c>
    </row>
    <row r="2206" spans="20:31" ht="14.4">
      <c r="T2206" s="25" t="s">
        <v>931</v>
      </c>
      <c r="U2206" s="25" t="s">
        <v>854</v>
      </c>
      <c r="V2206" t="s">
        <v>999</v>
      </c>
      <c r="W2206" s="25" t="str">
        <f t="shared" si="53"/>
        <v>Square Cassette with Side ChannelsTop FixHD Somfy External Remote Motor</v>
      </c>
      <c r="X2206" s="25">
        <v>10</v>
      </c>
      <c r="Y2206" s="25">
        <v>14</v>
      </c>
      <c r="Z2206" s="25">
        <v>14</v>
      </c>
      <c r="AA2206" s="25">
        <v>88</v>
      </c>
      <c r="AB2206" s="25" t="s">
        <v>821</v>
      </c>
      <c r="AC2206" s="25" t="s">
        <v>818</v>
      </c>
      <c r="AD2206" s="25" t="s">
        <v>821</v>
      </c>
      <c r="AE2206" s="25" t="s">
        <v>818</v>
      </c>
    </row>
    <row r="2207" spans="20:31" ht="14.4">
      <c r="T2207" s="25" t="s">
        <v>931</v>
      </c>
      <c r="U2207" s="25" t="s">
        <v>880</v>
      </c>
      <c r="V2207" s="25" t="s">
        <v>823</v>
      </c>
      <c r="W2207" s="25" t="str">
        <f t="shared" si="53"/>
        <v>Square Cassette with Side ChannelsInside Window MountChain Winder</v>
      </c>
      <c r="X2207" s="25">
        <v>10</v>
      </c>
      <c r="Y2207" s="25">
        <v>14</v>
      </c>
      <c r="Z2207" s="25">
        <v>29</v>
      </c>
      <c r="AA2207" s="25">
        <v>88</v>
      </c>
      <c r="AB2207" s="25" t="s">
        <v>821</v>
      </c>
      <c r="AC2207" s="25" t="s">
        <v>818</v>
      </c>
      <c r="AD2207" s="25" t="s">
        <v>821</v>
      </c>
      <c r="AE2207" s="25" t="s">
        <v>818</v>
      </c>
    </row>
    <row r="2208" spans="20:31" ht="14.4">
      <c r="T2208" s="25" t="s">
        <v>931</v>
      </c>
      <c r="U2208" s="25" t="s">
        <v>880</v>
      </c>
      <c r="V2208" s="25" t="s">
        <v>841</v>
      </c>
      <c r="W2208" s="25" t="str">
        <f t="shared" si="53"/>
        <v>Square Cassette with Side ChannelsInside Window MountHD Chain Winder</v>
      </c>
      <c r="X2208" s="25">
        <v>10</v>
      </c>
      <c r="Y2208" s="25">
        <v>14</v>
      </c>
      <c r="Z2208" s="25">
        <v>29</v>
      </c>
      <c r="AA2208" s="25">
        <v>88</v>
      </c>
      <c r="AB2208" s="25" t="s">
        <v>821</v>
      </c>
      <c r="AC2208" s="25" t="s">
        <v>818</v>
      </c>
      <c r="AD2208" s="25" t="s">
        <v>821</v>
      </c>
      <c r="AE2208" s="25" t="s">
        <v>818</v>
      </c>
    </row>
    <row r="2209" spans="20:31" ht="14.4">
      <c r="T2209" s="25" t="s">
        <v>931</v>
      </c>
      <c r="U2209" s="25" t="s">
        <v>880</v>
      </c>
      <c r="V2209" s="25" t="s">
        <v>858</v>
      </c>
      <c r="W2209" s="25" t="str">
        <f t="shared" si="53"/>
        <v>Square Cassette with Side ChannelsInside Window MountChain Winder 60mm</v>
      </c>
      <c r="X2209" s="25">
        <v>10</v>
      </c>
      <c r="Y2209" s="25">
        <v>14</v>
      </c>
      <c r="Z2209" s="25">
        <v>29</v>
      </c>
      <c r="AA2209" s="25">
        <v>88</v>
      </c>
      <c r="AB2209" s="25" t="s">
        <v>821</v>
      </c>
      <c r="AC2209" s="25" t="s">
        <v>818</v>
      </c>
      <c r="AD2209" s="25" t="s">
        <v>821</v>
      </c>
      <c r="AE2209" s="25" t="s">
        <v>818</v>
      </c>
    </row>
    <row r="2210" spans="20:31" ht="14.4">
      <c r="T2210" s="25" t="s">
        <v>931</v>
      </c>
      <c r="U2210" s="25" t="s">
        <v>880</v>
      </c>
      <c r="V2210" s="25" t="s">
        <v>865</v>
      </c>
      <c r="W2210" s="25" t="str">
        <f t="shared" si="53"/>
        <v>Square Cassette with Side ChannelsInside Window MountChain Winder Fixed Guide</v>
      </c>
      <c r="X2210" s="25">
        <v>10</v>
      </c>
      <c r="Y2210" s="25">
        <v>14</v>
      </c>
      <c r="Z2210" s="25">
        <v>29</v>
      </c>
      <c r="AA2210" s="25">
        <v>88</v>
      </c>
      <c r="AB2210" s="25" t="s">
        <v>821</v>
      </c>
      <c r="AC2210" s="25" t="s">
        <v>818</v>
      </c>
      <c r="AD2210" s="25" t="s">
        <v>821</v>
      </c>
      <c r="AE2210" s="25" t="s">
        <v>818</v>
      </c>
    </row>
    <row r="2211" spans="20:31" ht="14.4">
      <c r="T2211" s="25" t="s">
        <v>931</v>
      </c>
      <c r="U2211" s="25" t="s">
        <v>880</v>
      </c>
      <c r="V2211" s="25" t="s">
        <v>181</v>
      </c>
      <c r="W2211" s="25" t="str">
        <f t="shared" si="53"/>
        <v>Square Cassette with Side ChannelsInside Window MountLinked</v>
      </c>
      <c r="X2211" s="25">
        <v>10</v>
      </c>
      <c r="Y2211" s="25">
        <v>14</v>
      </c>
      <c r="Z2211" s="25">
        <v>14</v>
      </c>
      <c r="AA2211" s="25">
        <v>88</v>
      </c>
      <c r="AB2211" s="25" t="s">
        <v>821</v>
      </c>
      <c r="AC2211" s="25" t="s">
        <v>818</v>
      </c>
      <c r="AD2211" s="25" t="s">
        <v>821</v>
      </c>
      <c r="AE2211" s="25" t="s">
        <v>818</v>
      </c>
    </row>
    <row r="2212" spans="20:31" ht="14.4">
      <c r="T2212" s="25" t="s">
        <v>931</v>
      </c>
      <c r="U2212" s="25" t="s">
        <v>880</v>
      </c>
      <c r="V2212" s="25" t="s">
        <v>898</v>
      </c>
      <c r="W2212" s="25" t="str">
        <f t="shared" si="53"/>
        <v>Square Cassette with Side ChannelsInside Window MountLinked - HD</v>
      </c>
      <c r="X2212" s="25">
        <v>10</v>
      </c>
      <c r="Y2212" s="25">
        <v>14</v>
      </c>
      <c r="Z2212" s="25">
        <v>14</v>
      </c>
      <c r="AA2212" s="25">
        <v>88</v>
      </c>
      <c r="AB2212" s="25" t="s">
        <v>821</v>
      </c>
      <c r="AC2212" s="25" t="s">
        <v>818</v>
      </c>
      <c r="AD2212" s="25" t="s">
        <v>821</v>
      </c>
      <c r="AE2212" s="25" t="s">
        <v>818</v>
      </c>
    </row>
    <row r="2213" spans="20:31" ht="14.4">
      <c r="T2213" s="25" t="s">
        <v>931</v>
      </c>
      <c r="U2213" s="25" t="s">
        <v>880</v>
      </c>
      <c r="V2213" s="25" t="s">
        <v>910</v>
      </c>
      <c r="W2213" s="25" t="str">
        <f t="shared" si="53"/>
        <v>Square Cassette with Side ChannelsInside Window MountStandard Spring</v>
      </c>
      <c r="X2213" s="25">
        <v>10</v>
      </c>
      <c r="Y2213" s="25">
        <v>14</v>
      </c>
      <c r="Z2213" s="25">
        <v>14</v>
      </c>
      <c r="AA2213" s="25">
        <v>88</v>
      </c>
      <c r="AB2213" s="25" t="s">
        <v>821</v>
      </c>
      <c r="AC2213" s="25" t="s">
        <v>818</v>
      </c>
      <c r="AD2213" s="25" t="s">
        <v>821</v>
      </c>
      <c r="AE2213" s="25" t="s">
        <v>818</v>
      </c>
    </row>
    <row r="2214" spans="20:31" ht="14.4">
      <c r="T2214" s="25" t="s">
        <v>931</v>
      </c>
      <c r="U2214" s="25" t="s">
        <v>880</v>
      </c>
      <c r="V2214" s="25" t="s">
        <v>920</v>
      </c>
      <c r="W2214" s="25" t="str">
        <f t="shared" si="53"/>
        <v>Square Cassette with Side ChannelsInside Window MountSmall Spring</v>
      </c>
      <c r="X2214" s="25">
        <v>10</v>
      </c>
      <c r="Y2214" s="25">
        <v>14</v>
      </c>
      <c r="Z2214" s="25">
        <v>14</v>
      </c>
      <c r="AA2214" s="25">
        <v>88</v>
      </c>
      <c r="AB2214" s="25" t="s">
        <v>821</v>
      </c>
      <c r="AC2214" s="25" t="s">
        <v>818</v>
      </c>
      <c r="AD2214" s="25" t="s">
        <v>821</v>
      </c>
      <c r="AE2214" s="25" t="s">
        <v>818</v>
      </c>
    </row>
    <row r="2215" spans="20:31" ht="14.4">
      <c r="T2215" s="25" t="s">
        <v>931</v>
      </c>
      <c r="U2215" s="25" t="s">
        <v>880</v>
      </c>
      <c r="V2215" s="25" t="s">
        <v>929</v>
      </c>
      <c r="W2215" s="25" t="str">
        <f t="shared" si="53"/>
        <v>Square Cassette with Side ChannelsInside Window MountUniline Spring (Old Style)</v>
      </c>
      <c r="X2215" s="25">
        <v>10</v>
      </c>
      <c r="Y2215" s="25">
        <v>14</v>
      </c>
      <c r="Z2215" s="25">
        <v>14</v>
      </c>
      <c r="AA2215" s="25">
        <v>88</v>
      </c>
      <c r="AB2215" s="25" t="s">
        <v>821</v>
      </c>
      <c r="AC2215" s="25" t="s">
        <v>818</v>
      </c>
      <c r="AD2215" s="25" t="s">
        <v>821</v>
      </c>
      <c r="AE2215" s="25" t="s">
        <v>818</v>
      </c>
    </row>
    <row r="2216" spans="20:31" ht="14.4">
      <c r="T2216" s="25" t="s">
        <v>931</v>
      </c>
      <c r="U2216" s="25" t="s">
        <v>880</v>
      </c>
      <c r="V2216" s="25" t="s">
        <v>935</v>
      </c>
      <c r="W2216" s="25" t="str">
        <f t="shared" si="53"/>
        <v>Square Cassette with Side ChannelsInside Window MountBecker Remote Motor</v>
      </c>
      <c r="X2216" s="25">
        <v>10</v>
      </c>
      <c r="Y2216" s="25">
        <v>14</v>
      </c>
      <c r="Z2216" s="25">
        <v>14</v>
      </c>
      <c r="AA2216" s="25">
        <v>88</v>
      </c>
      <c r="AB2216" s="25" t="s">
        <v>821</v>
      </c>
      <c r="AC2216" s="25" t="s">
        <v>818</v>
      </c>
      <c r="AD2216" s="25" t="s">
        <v>821</v>
      </c>
      <c r="AE2216" s="25" t="s">
        <v>818</v>
      </c>
    </row>
    <row r="2217" spans="20:31" ht="14.4">
      <c r="T2217" s="25" t="s">
        <v>931</v>
      </c>
      <c r="U2217" s="25" t="s">
        <v>880</v>
      </c>
      <c r="V2217" s="25" t="s">
        <v>939</v>
      </c>
      <c r="W2217" s="25" t="str">
        <f t="shared" si="53"/>
        <v>Square Cassette with Side ChannelsInside Window MountBecker CBUS Motor</v>
      </c>
      <c r="X2217" s="25">
        <v>10</v>
      </c>
      <c r="Y2217" s="25">
        <v>14</v>
      </c>
      <c r="Z2217" s="25">
        <v>14</v>
      </c>
      <c r="AA2217" s="25">
        <v>88</v>
      </c>
      <c r="AB2217" s="25" t="s">
        <v>821</v>
      </c>
      <c r="AC2217" s="25" t="s">
        <v>818</v>
      </c>
      <c r="AD2217" s="25" t="s">
        <v>821</v>
      </c>
      <c r="AE2217" s="25" t="s">
        <v>818</v>
      </c>
    </row>
    <row r="2218" spans="20:31" ht="14.4">
      <c r="T2218" s="25" t="s">
        <v>931</v>
      </c>
      <c r="U2218" s="25" t="s">
        <v>880</v>
      </c>
      <c r="V2218" s="25" t="s">
        <v>946</v>
      </c>
      <c r="W2218" s="25" t="str">
        <f t="shared" si="53"/>
        <v>Square Cassette with Side ChannelsInside Window MountBecker External Remote Motor</v>
      </c>
      <c r="X2218" s="25">
        <v>10</v>
      </c>
      <c r="Y2218" s="25">
        <v>14</v>
      </c>
      <c r="Z2218" s="25">
        <v>14</v>
      </c>
      <c r="AA2218" s="25">
        <v>88</v>
      </c>
      <c r="AB2218" s="25" t="s">
        <v>821</v>
      </c>
      <c r="AC2218" s="25" t="s">
        <v>818</v>
      </c>
      <c r="AD2218" s="25" t="s">
        <v>821</v>
      </c>
      <c r="AE2218" s="25" t="s">
        <v>818</v>
      </c>
    </row>
    <row r="2219" spans="20:31" ht="14.4">
      <c r="T2219" s="25" t="s">
        <v>931</v>
      </c>
      <c r="U2219" s="25" t="s">
        <v>880</v>
      </c>
      <c r="V2219" s="25" t="s">
        <v>951</v>
      </c>
      <c r="W2219" s="25" t="str">
        <f t="shared" si="53"/>
        <v>Square Cassette with Side ChannelsInside Window MountBecker External CBUS Motor</v>
      </c>
      <c r="X2219" s="25">
        <v>10</v>
      </c>
      <c r="Y2219" s="25">
        <v>14</v>
      </c>
      <c r="Z2219" s="25">
        <v>14</v>
      </c>
      <c r="AA2219" s="25">
        <v>88</v>
      </c>
      <c r="AB2219" s="25" t="s">
        <v>821</v>
      </c>
      <c r="AC2219" s="25" t="s">
        <v>818</v>
      </c>
      <c r="AD2219" s="25" t="s">
        <v>821</v>
      </c>
      <c r="AE2219" s="25" t="s">
        <v>818</v>
      </c>
    </row>
    <row r="2220" spans="20:31" ht="14.4">
      <c r="T2220" s="25" t="s">
        <v>931</v>
      </c>
      <c r="U2220" s="25" t="s">
        <v>880</v>
      </c>
      <c r="V2220" s="25" t="s">
        <v>838</v>
      </c>
      <c r="W2220" s="25" t="str">
        <f t="shared" si="53"/>
        <v>Square Cassette with Side ChannelsInside Window Mount1.1nm 12v Acmeda Motor</v>
      </c>
      <c r="X2220" s="25">
        <v>10</v>
      </c>
      <c r="Y2220" s="25">
        <v>14</v>
      </c>
      <c r="Z2220" s="25">
        <v>14</v>
      </c>
      <c r="AA2220" s="25">
        <v>88</v>
      </c>
      <c r="AB2220" s="25" t="s">
        <v>821</v>
      </c>
      <c r="AC2220" s="25" t="s">
        <v>818</v>
      </c>
      <c r="AD2220" s="25" t="s">
        <v>821</v>
      </c>
      <c r="AE2220" s="25" t="s">
        <v>818</v>
      </c>
    </row>
    <row r="2221" spans="20:31" ht="14.4">
      <c r="T2221" s="25" t="s">
        <v>931</v>
      </c>
      <c r="U2221" s="25" t="s">
        <v>880</v>
      </c>
      <c r="V2221" t="s">
        <v>882</v>
      </c>
      <c r="W2221" s="25" t="str">
        <f t="shared" si="53"/>
        <v>Square Cassette with Side ChannelsInside Window Mount2nm 12v Acmeda Motor</v>
      </c>
      <c r="X2221" s="25">
        <v>10</v>
      </c>
      <c r="Y2221" s="25">
        <v>14</v>
      </c>
      <c r="Z2221" s="25">
        <v>14</v>
      </c>
      <c r="AA2221" s="25">
        <v>88</v>
      </c>
      <c r="AB2221" s="25" t="s">
        <v>821</v>
      </c>
      <c r="AC2221" s="25" t="s">
        <v>818</v>
      </c>
      <c r="AD2221" s="25" t="s">
        <v>821</v>
      </c>
      <c r="AE2221" s="25" t="s">
        <v>818</v>
      </c>
    </row>
    <row r="2222" spans="20:31" ht="14.4">
      <c r="T2222" s="25" t="s">
        <v>931</v>
      </c>
      <c r="U2222" s="25" t="s">
        <v>880</v>
      </c>
      <c r="V2222" t="s">
        <v>896</v>
      </c>
      <c r="W2222" s="25" t="str">
        <f t="shared" si="53"/>
        <v>Square Cassette with Side ChannelsInside Window MountAcmeda 12v 6nm Motor</v>
      </c>
      <c r="X2222" s="25">
        <v>10</v>
      </c>
      <c r="Y2222" s="25">
        <v>14</v>
      </c>
      <c r="Z2222" s="25">
        <v>14</v>
      </c>
      <c r="AA2222" s="25">
        <v>88</v>
      </c>
      <c r="AB2222" s="25" t="s">
        <v>821</v>
      </c>
      <c r="AC2222" s="25" t="s">
        <v>818</v>
      </c>
      <c r="AD2222" s="25" t="s">
        <v>821</v>
      </c>
      <c r="AE2222" s="25" t="s">
        <v>818</v>
      </c>
    </row>
    <row r="2223" spans="20:31" ht="14.4">
      <c r="T2223" s="25" t="s">
        <v>931</v>
      </c>
      <c r="U2223" s="25" t="s">
        <v>880</v>
      </c>
      <c r="V2223" t="s">
        <v>855</v>
      </c>
      <c r="W2223" s="25" t="str">
        <f t="shared" si="53"/>
        <v>Square Cassette with Side ChannelsInside Window Mount0.7nm 12v Acmeda Motor</v>
      </c>
      <c r="X2223" s="25">
        <v>10</v>
      </c>
      <c r="Y2223" s="25">
        <v>14</v>
      </c>
      <c r="Z2223" s="25">
        <v>14</v>
      </c>
      <c r="AA2223" s="25">
        <v>88</v>
      </c>
      <c r="AB2223" s="25" t="s">
        <v>821</v>
      </c>
      <c r="AC2223" s="25" t="s">
        <v>818</v>
      </c>
      <c r="AD2223" s="25" t="s">
        <v>821</v>
      </c>
      <c r="AE2223" s="25" t="s">
        <v>818</v>
      </c>
    </row>
    <row r="2224" spans="20:31" ht="14.4">
      <c r="T2224" s="25" t="s">
        <v>931</v>
      </c>
      <c r="U2224" s="25" t="s">
        <v>880</v>
      </c>
      <c r="V2224" s="25" t="s">
        <v>849</v>
      </c>
      <c r="W2224" s="25" t="str">
        <f t="shared" si="53"/>
        <v>Square Cassette with Side ChannelsInside Window Mount1.1nm 12v Acmeda DCRF Motor with External Battery</v>
      </c>
      <c r="X2224" s="25">
        <v>10</v>
      </c>
      <c r="Y2224" s="25">
        <v>14</v>
      </c>
      <c r="Z2224" s="25">
        <v>14</v>
      </c>
      <c r="AA2224" s="25">
        <v>88</v>
      </c>
      <c r="AB2224" s="25" t="s">
        <v>821</v>
      </c>
      <c r="AC2224" s="25" t="s">
        <v>818</v>
      </c>
      <c r="AD2224" s="25" t="s">
        <v>821</v>
      </c>
      <c r="AE2224" s="25" t="s">
        <v>818</v>
      </c>
    </row>
    <row r="2225" spans="20:31" ht="14.4">
      <c r="T2225" s="25" t="s">
        <v>931</v>
      </c>
      <c r="U2225" s="25" t="s">
        <v>880</v>
      </c>
      <c r="V2225" s="25" t="s">
        <v>817</v>
      </c>
      <c r="W2225" s="25" t="str">
        <f t="shared" si="53"/>
        <v>Square Cassette with Side ChannelsInside Window Mount1.1nm 12v Acmeda DCRF Motor</v>
      </c>
      <c r="X2225" s="25">
        <v>10</v>
      </c>
      <c r="Y2225" s="25">
        <v>14</v>
      </c>
      <c r="Z2225" s="25">
        <v>14</v>
      </c>
      <c r="AA2225" s="25">
        <v>88</v>
      </c>
      <c r="AB2225" s="25" t="s">
        <v>821</v>
      </c>
      <c r="AC2225" s="25" t="s">
        <v>818</v>
      </c>
      <c r="AD2225" s="25" t="s">
        <v>821</v>
      </c>
      <c r="AE2225" s="25" t="s">
        <v>818</v>
      </c>
    </row>
    <row r="2226" spans="20:31" ht="14.4">
      <c r="T2226" s="25" t="s">
        <v>931</v>
      </c>
      <c r="U2226" s="25" t="s">
        <v>880</v>
      </c>
      <c r="V2226" s="25" t="s">
        <v>868</v>
      </c>
      <c r="W2226" s="25" t="str">
        <f t="shared" si="53"/>
        <v>Square Cassette with Side ChannelsInside Window Mount2nm 12v Acmeda DCRF Motor</v>
      </c>
      <c r="X2226" s="25">
        <v>10</v>
      </c>
      <c r="Y2226" s="25">
        <v>14</v>
      </c>
      <c r="Z2226" s="25">
        <v>14</v>
      </c>
      <c r="AA2226" s="25">
        <v>88</v>
      </c>
      <c r="AB2226" s="25" t="s">
        <v>821</v>
      </c>
      <c r="AC2226" s="25" t="s">
        <v>818</v>
      </c>
      <c r="AD2226" s="25" t="s">
        <v>821</v>
      </c>
      <c r="AE2226" s="25" t="s">
        <v>818</v>
      </c>
    </row>
    <row r="2227" spans="20:31" ht="14.4">
      <c r="T2227" s="25" t="s">
        <v>931</v>
      </c>
      <c r="U2227" s="25" t="s">
        <v>880</v>
      </c>
      <c r="V2227" t="s">
        <v>973</v>
      </c>
      <c r="W2227" s="25" t="str">
        <f t="shared" si="53"/>
        <v>Square Cassette with Side ChannelsInside Window MountSomfy Remote Sonesse Motor</v>
      </c>
      <c r="X2227" s="25">
        <v>10</v>
      </c>
      <c r="Y2227" s="25">
        <v>14</v>
      </c>
      <c r="Z2227" s="25">
        <v>14</v>
      </c>
      <c r="AA2227" s="25">
        <v>88</v>
      </c>
      <c r="AB2227" s="25" t="s">
        <v>821</v>
      </c>
      <c r="AC2227" s="25" t="s">
        <v>818</v>
      </c>
      <c r="AD2227" s="25" t="s">
        <v>821</v>
      </c>
      <c r="AE2227" s="25" t="s">
        <v>818</v>
      </c>
    </row>
    <row r="2228" spans="20:31" ht="14.4">
      <c r="T2228" s="25" t="s">
        <v>931</v>
      </c>
      <c r="U2228" s="25" t="s">
        <v>880</v>
      </c>
      <c r="V2228" t="s">
        <v>637</v>
      </c>
      <c r="W2228" s="25" t="str">
        <f t="shared" si="53"/>
        <v>Square Cassette with Side ChannelsInside Window MountSomfy 12v Remote Sonesse Motor</v>
      </c>
      <c r="X2228" s="25">
        <v>10</v>
      </c>
      <c r="Y2228" s="25">
        <v>14</v>
      </c>
      <c r="Z2228" s="25">
        <v>14</v>
      </c>
      <c r="AA2228" s="25">
        <v>88</v>
      </c>
      <c r="AB2228" s="25" t="s">
        <v>821</v>
      </c>
      <c r="AC2228" s="25" t="s">
        <v>818</v>
      </c>
      <c r="AD2228" s="25" t="s">
        <v>821</v>
      </c>
      <c r="AE2228" s="25" t="s">
        <v>818</v>
      </c>
    </row>
    <row r="2229" spans="20:31" ht="14.4">
      <c r="T2229" s="25" t="s">
        <v>931</v>
      </c>
      <c r="U2229" s="25" t="s">
        <v>880</v>
      </c>
      <c r="V2229" s="25" t="s">
        <v>974</v>
      </c>
      <c r="W2229" s="25" t="str">
        <f t="shared" si="53"/>
        <v>Square Cassette with Side ChannelsInside Window MountSomfy CBUS Motor</v>
      </c>
      <c r="X2229" s="25">
        <v>10</v>
      </c>
      <c r="Y2229" s="25">
        <v>14</v>
      </c>
      <c r="Z2229" s="25">
        <v>14</v>
      </c>
      <c r="AA2229" s="25">
        <v>88</v>
      </c>
      <c r="AB2229" s="25" t="s">
        <v>821</v>
      </c>
      <c r="AC2229" s="25" t="s">
        <v>818</v>
      </c>
      <c r="AD2229" s="25" t="s">
        <v>821</v>
      </c>
      <c r="AE2229" s="25" t="s">
        <v>818</v>
      </c>
    </row>
    <row r="2230" spans="20:31" ht="14.4">
      <c r="T2230" s="25" t="s">
        <v>931</v>
      </c>
      <c r="U2230" s="25" t="s">
        <v>880</v>
      </c>
      <c r="V2230" t="s">
        <v>986</v>
      </c>
      <c r="W2230" s="25" t="str">
        <f t="shared" si="53"/>
        <v>Square Cassette with Side ChannelsInside Window MountHD Somfy Remote Sonesse Motor</v>
      </c>
      <c r="X2230" s="25">
        <v>10</v>
      </c>
      <c r="Y2230" s="25">
        <v>14</v>
      </c>
      <c r="Z2230" s="25">
        <v>14</v>
      </c>
      <c r="AA2230" s="25">
        <v>88</v>
      </c>
      <c r="AB2230" s="25" t="s">
        <v>821</v>
      </c>
      <c r="AC2230" s="25" t="s">
        <v>818</v>
      </c>
      <c r="AD2230" s="25" t="s">
        <v>821</v>
      </c>
      <c r="AE2230" s="25" t="s">
        <v>818</v>
      </c>
    </row>
    <row r="2231" spans="20:31" ht="14.4">
      <c r="T2231" s="25" t="s">
        <v>931</v>
      </c>
      <c r="U2231" s="25" t="s">
        <v>880</v>
      </c>
      <c r="V2231" t="s">
        <v>989</v>
      </c>
      <c r="W2231" s="25" t="str">
        <f t="shared" si="53"/>
        <v>Square Cassette with Side ChannelsInside Window MountHD Somfy 12v Remote Sonesse Motor</v>
      </c>
      <c r="X2231" s="25">
        <v>10</v>
      </c>
      <c r="Y2231" s="25">
        <v>14</v>
      </c>
      <c r="Z2231" s="25">
        <v>14</v>
      </c>
      <c r="AA2231" s="25">
        <v>88</v>
      </c>
      <c r="AB2231" s="25" t="s">
        <v>821</v>
      </c>
      <c r="AC2231" s="25" t="s">
        <v>818</v>
      </c>
      <c r="AD2231" s="25" t="s">
        <v>821</v>
      </c>
      <c r="AE2231" s="25" t="s">
        <v>818</v>
      </c>
    </row>
    <row r="2232" spans="20:31" ht="14.4">
      <c r="T2232" s="25" t="s">
        <v>931</v>
      </c>
      <c r="U2232" s="25" t="s">
        <v>880</v>
      </c>
      <c r="V2232" s="25" t="s">
        <v>992</v>
      </c>
      <c r="W2232" s="25" t="str">
        <f t="shared" si="53"/>
        <v>Square Cassette with Side ChannelsInside Window MountHD Somfy CBUS Motor</v>
      </c>
      <c r="X2232" s="25">
        <v>10</v>
      </c>
      <c r="Y2232" s="25">
        <v>14</v>
      </c>
      <c r="Z2232" s="25">
        <v>14</v>
      </c>
      <c r="AA2232" s="25">
        <v>88</v>
      </c>
      <c r="AB2232" s="25" t="s">
        <v>821</v>
      </c>
      <c r="AC2232" s="25" t="s">
        <v>818</v>
      </c>
      <c r="AD2232" s="25" t="s">
        <v>821</v>
      </c>
      <c r="AE2232" s="25" t="s">
        <v>818</v>
      </c>
    </row>
    <row r="2233" spans="20:31" ht="14.4">
      <c r="T2233" s="25" t="s">
        <v>931</v>
      </c>
      <c r="U2233" s="25" t="s">
        <v>880</v>
      </c>
      <c r="V2233" s="25" t="s">
        <v>625</v>
      </c>
      <c r="W2233" s="25" t="str">
        <f t="shared" si="53"/>
        <v>Square Cassette with Side ChannelsInside Window MountAcmeda E6 Motor</v>
      </c>
      <c r="X2233" s="25">
        <v>10</v>
      </c>
      <c r="Y2233" s="25">
        <v>14</v>
      </c>
      <c r="Z2233" s="25">
        <v>14</v>
      </c>
      <c r="AA2233" s="25">
        <v>88</v>
      </c>
      <c r="AB2233" s="25" t="s">
        <v>821</v>
      </c>
      <c r="AC2233" s="25" t="s">
        <v>818</v>
      </c>
      <c r="AD2233" s="25" t="s">
        <v>821</v>
      </c>
      <c r="AE2233" s="25" t="s">
        <v>818</v>
      </c>
    </row>
    <row r="2234" spans="20:31" ht="14.4">
      <c r="T2234" s="25" t="s">
        <v>931</v>
      </c>
      <c r="U2234" s="25" t="s">
        <v>880</v>
      </c>
      <c r="V2234" s="25" t="s">
        <v>626</v>
      </c>
      <c r="W2234" s="25" t="str">
        <f t="shared" si="53"/>
        <v>Square Cassette with Side ChannelsInside Window MountAcmeda M6 Motor</v>
      </c>
      <c r="X2234" s="25">
        <v>10</v>
      </c>
      <c r="Y2234" s="25">
        <v>14</v>
      </c>
      <c r="Z2234" s="25">
        <v>14</v>
      </c>
      <c r="AA2234" s="25">
        <v>88</v>
      </c>
      <c r="AB2234" s="25" t="s">
        <v>821</v>
      </c>
      <c r="AC2234" s="25" t="s">
        <v>818</v>
      </c>
      <c r="AD2234" s="25" t="s">
        <v>821</v>
      </c>
      <c r="AE2234" s="25" t="s">
        <v>818</v>
      </c>
    </row>
    <row r="2235" spans="20:31" ht="14.4">
      <c r="T2235" s="25" t="s">
        <v>931</v>
      </c>
      <c r="U2235" s="25" t="s">
        <v>880</v>
      </c>
      <c r="V2235" s="25" t="s">
        <v>1002</v>
      </c>
      <c r="W2235" s="25" t="str">
        <f t="shared" si="53"/>
        <v>Square Cassette with Side ChannelsInside Window MountUniline Remote Motor</v>
      </c>
      <c r="X2235" s="25">
        <v>10</v>
      </c>
      <c r="Y2235" s="25">
        <v>14</v>
      </c>
      <c r="Z2235" s="25">
        <v>14</v>
      </c>
      <c r="AA2235" s="25">
        <v>88</v>
      </c>
      <c r="AB2235" s="25" t="s">
        <v>821</v>
      </c>
      <c r="AC2235" s="25" t="s">
        <v>818</v>
      </c>
      <c r="AD2235" s="25" t="s">
        <v>821</v>
      </c>
      <c r="AE2235" s="25" t="s">
        <v>818</v>
      </c>
    </row>
    <row r="2236" spans="20:31" ht="14.4">
      <c r="T2236" s="25" t="s">
        <v>931</v>
      </c>
      <c r="U2236" s="25" t="s">
        <v>880</v>
      </c>
      <c r="V2236" s="25" t="s">
        <v>1005</v>
      </c>
      <c r="W2236" s="25" t="str">
        <f t="shared" si="53"/>
        <v>Square Cassette with Side ChannelsInside Window MountUniline Cbus Motor</v>
      </c>
      <c r="X2236" s="25">
        <v>10</v>
      </c>
      <c r="Y2236" s="25">
        <v>14</v>
      </c>
      <c r="Z2236" s="25">
        <v>14</v>
      </c>
      <c r="AA2236" s="25">
        <v>88</v>
      </c>
      <c r="AB2236" s="25" t="s">
        <v>821</v>
      </c>
      <c r="AC2236" s="25" t="s">
        <v>818</v>
      </c>
      <c r="AD2236" s="25" t="s">
        <v>821</v>
      </c>
      <c r="AE2236" s="25" t="s">
        <v>818</v>
      </c>
    </row>
    <row r="2237" spans="20:31" ht="14.4">
      <c r="T2237" s="25" t="s">
        <v>931</v>
      </c>
      <c r="U2237" s="25" t="s">
        <v>880</v>
      </c>
      <c r="V2237" s="25" t="s">
        <v>981</v>
      </c>
      <c r="W2237" s="25" t="str">
        <f t="shared" si="53"/>
        <v>Square Cassette with Side ChannelsInside Window MountNice Remote Motor</v>
      </c>
      <c r="X2237" s="25">
        <v>10</v>
      </c>
      <c r="Y2237" s="25">
        <v>14</v>
      </c>
      <c r="Z2237" s="25">
        <v>14</v>
      </c>
      <c r="AA2237" s="25">
        <v>88</v>
      </c>
      <c r="AB2237" s="25" t="s">
        <v>821</v>
      </c>
      <c r="AC2237" s="25" t="s">
        <v>818</v>
      </c>
      <c r="AD2237" s="25" t="s">
        <v>821</v>
      </c>
      <c r="AE2237" s="25" t="s">
        <v>818</v>
      </c>
    </row>
    <row r="2238" spans="20:31" ht="14.4">
      <c r="T2238" s="25" t="s">
        <v>931</v>
      </c>
      <c r="U2238" s="25" t="s">
        <v>880</v>
      </c>
      <c r="V2238" s="25" t="s">
        <v>976</v>
      </c>
      <c r="W2238" s="25" t="str">
        <f t="shared" si="53"/>
        <v>Square Cassette with Side ChannelsInside Window MountNice CBus Motor</v>
      </c>
      <c r="X2238" s="25">
        <v>10</v>
      </c>
      <c r="Y2238" s="25">
        <v>14</v>
      </c>
      <c r="Z2238" s="25">
        <v>14</v>
      </c>
      <c r="AA2238" s="25">
        <v>88</v>
      </c>
      <c r="AB2238" s="25" t="s">
        <v>821</v>
      </c>
      <c r="AC2238" s="25" t="s">
        <v>818</v>
      </c>
      <c r="AD2238" s="25" t="s">
        <v>821</v>
      </c>
      <c r="AE2238" s="25" t="s">
        <v>818</v>
      </c>
    </row>
    <row r="2239" spans="20:31" ht="14.4">
      <c r="T2239" s="25" t="s">
        <v>931</v>
      </c>
      <c r="U2239" s="25" t="s">
        <v>880</v>
      </c>
      <c r="V2239" t="s">
        <v>1006</v>
      </c>
      <c r="W2239" s="25" t="str">
        <f t="shared" si="53"/>
        <v>Square Cassette with Side ChannelsInside Window MountSunboss Chain Winder 38mm Tube</v>
      </c>
      <c r="X2239" s="25">
        <v>10</v>
      </c>
      <c r="Y2239" s="25">
        <v>14</v>
      </c>
      <c r="Z2239" s="25">
        <v>14</v>
      </c>
      <c r="AA2239" s="25">
        <v>88</v>
      </c>
      <c r="AB2239" s="25" t="s">
        <v>821</v>
      </c>
      <c r="AC2239" s="25" t="s">
        <v>818</v>
      </c>
      <c r="AD2239" s="25" t="s">
        <v>821</v>
      </c>
      <c r="AE2239" s="25" t="s">
        <v>818</v>
      </c>
    </row>
    <row r="2240" spans="20:31" ht="14.4">
      <c r="T2240" s="25" t="s">
        <v>931</v>
      </c>
      <c r="U2240" s="25" t="s">
        <v>880</v>
      </c>
      <c r="V2240" t="s">
        <v>1017</v>
      </c>
      <c r="W2240" s="25" t="str">
        <f t="shared" si="53"/>
        <v>Square Cassette with Side ChannelsInside Window MountSunboss Chain Winder 43mm Tube</v>
      </c>
      <c r="X2240" s="25">
        <v>10</v>
      </c>
      <c r="Y2240" s="25">
        <v>14</v>
      </c>
      <c r="Z2240" s="25">
        <v>14</v>
      </c>
      <c r="AA2240" s="25">
        <v>88</v>
      </c>
      <c r="AB2240" s="25" t="s">
        <v>821</v>
      </c>
      <c r="AC2240" s="25" t="s">
        <v>818</v>
      </c>
      <c r="AD2240" s="25" t="s">
        <v>821</v>
      </c>
      <c r="AE2240" s="25" t="s">
        <v>818</v>
      </c>
    </row>
    <row r="2241" spans="20:31" ht="14.4">
      <c r="T2241" s="25" t="s">
        <v>931</v>
      </c>
      <c r="U2241" s="25" t="s">
        <v>880</v>
      </c>
      <c r="V2241" s="25" t="s">
        <v>1012</v>
      </c>
      <c r="W2241" s="25" t="str">
        <f t="shared" si="53"/>
        <v>Square Cassette with Side ChannelsInside Window MountTBS Remote Motor</v>
      </c>
      <c r="X2241" s="25">
        <v>10</v>
      </c>
      <c r="Y2241" s="25">
        <v>14</v>
      </c>
      <c r="Z2241" s="25">
        <v>14</v>
      </c>
      <c r="AA2241" s="25">
        <v>88</v>
      </c>
      <c r="AB2241" s="25" t="s">
        <v>821</v>
      </c>
      <c r="AC2241" s="25" t="s">
        <v>818</v>
      </c>
      <c r="AD2241" s="25" t="s">
        <v>821</v>
      </c>
      <c r="AE2241" s="25" t="s">
        <v>818</v>
      </c>
    </row>
    <row r="2242" spans="20:31" ht="14.4">
      <c r="T2242" s="25" t="s">
        <v>931</v>
      </c>
      <c r="U2242" s="25" t="s">
        <v>880</v>
      </c>
      <c r="V2242" t="s">
        <v>1009</v>
      </c>
      <c r="W2242" s="25" t="str">
        <f t="shared" si="53"/>
        <v>Square Cassette with Side ChannelsInside Window MountTBS Cbus Motor</v>
      </c>
      <c r="X2242" s="25">
        <v>10</v>
      </c>
      <c r="Y2242" s="25">
        <v>14</v>
      </c>
      <c r="Z2242" s="25">
        <v>14</v>
      </c>
      <c r="AA2242" s="25">
        <v>88</v>
      </c>
      <c r="AB2242" s="25" t="s">
        <v>821</v>
      </c>
      <c r="AC2242" s="25" t="s">
        <v>818</v>
      </c>
      <c r="AD2242" s="25" t="s">
        <v>821</v>
      </c>
      <c r="AE2242" s="25" t="s">
        <v>818</v>
      </c>
    </row>
    <row r="2243" spans="20:31" ht="14.4">
      <c r="T2243" s="25" t="s">
        <v>931</v>
      </c>
      <c r="U2243" s="25" t="s">
        <v>880</v>
      </c>
      <c r="V2243" t="s">
        <v>927</v>
      </c>
      <c r="W2243" s="25" t="str">
        <f t="shared" si="54" ref="W2243:W2306">CONCATENATE(T2243,U2243,V2243)</f>
        <v>Square Cassette with Side ChannelsInside Window MountAcmeda External Motor</v>
      </c>
      <c r="X2243" s="25">
        <v>10</v>
      </c>
      <c r="Y2243" s="25">
        <v>14</v>
      </c>
      <c r="Z2243" s="25">
        <v>14</v>
      </c>
      <c r="AA2243" s="25">
        <v>88</v>
      </c>
      <c r="AB2243" s="25" t="s">
        <v>821</v>
      </c>
      <c r="AC2243" s="25" t="s">
        <v>818</v>
      </c>
      <c r="AD2243" s="25" t="s">
        <v>821</v>
      </c>
      <c r="AE2243" s="25" t="s">
        <v>818</v>
      </c>
    </row>
    <row r="2244" spans="20:31" ht="14.4">
      <c r="T2244" s="25" t="s">
        <v>931</v>
      </c>
      <c r="U2244" s="25" t="s">
        <v>880</v>
      </c>
      <c r="V2244" t="s">
        <v>918</v>
      </c>
      <c r="W2244" s="25" t="str">
        <f t="shared" si="54"/>
        <v>Square Cassette with Side ChannelsInside Window MountAcmeda External 12v Motor</v>
      </c>
      <c r="X2244" s="25">
        <v>10</v>
      </c>
      <c r="Y2244" s="25">
        <v>14</v>
      </c>
      <c r="Z2244" s="25">
        <v>14</v>
      </c>
      <c r="AA2244" s="25">
        <v>88</v>
      </c>
      <c r="AB2244" s="25" t="s">
        <v>821</v>
      </c>
      <c r="AC2244" s="25" t="s">
        <v>818</v>
      </c>
      <c r="AD2244" s="25" t="s">
        <v>821</v>
      </c>
      <c r="AE2244" s="25" t="s">
        <v>818</v>
      </c>
    </row>
    <row r="2245" spans="20:31" ht="14.4">
      <c r="T2245" s="25" t="s">
        <v>931</v>
      </c>
      <c r="U2245" s="25" t="s">
        <v>880</v>
      </c>
      <c r="V2245" t="s">
        <v>979</v>
      </c>
      <c r="W2245" s="25" t="str">
        <f t="shared" si="54"/>
        <v>Square Cassette with Side ChannelsInside Window MountSomfy External CBUS Motor</v>
      </c>
      <c r="X2245" s="25">
        <v>10</v>
      </c>
      <c r="Y2245" s="25">
        <v>14</v>
      </c>
      <c r="Z2245" s="25">
        <v>14</v>
      </c>
      <c r="AA2245" s="25">
        <v>88</v>
      </c>
      <c r="AB2245" s="25" t="s">
        <v>821</v>
      </c>
      <c r="AC2245" s="25" t="s">
        <v>818</v>
      </c>
      <c r="AD2245" s="25" t="s">
        <v>821</v>
      </c>
      <c r="AE2245" s="25" t="s">
        <v>818</v>
      </c>
    </row>
    <row r="2246" spans="20:31" ht="14.4">
      <c r="T2246" s="25" t="s">
        <v>931</v>
      </c>
      <c r="U2246" s="25" t="s">
        <v>880</v>
      </c>
      <c r="V2246" t="s">
        <v>983</v>
      </c>
      <c r="W2246" s="25" t="str">
        <f t="shared" si="54"/>
        <v>Square Cassette with Side ChannelsInside Window MountSomfy External Remote Motor</v>
      </c>
      <c r="X2246" s="25">
        <v>10</v>
      </c>
      <c r="Y2246" s="25">
        <v>14</v>
      </c>
      <c r="Z2246" s="25">
        <v>14</v>
      </c>
      <c r="AA2246" s="25">
        <v>88</v>
      </c>
      <c r="AB2246" s="25" t="s">
        <v>821</v>
      </c>
      <c r="AC2246" s="25" t="s">
        <v>818</v>
      </c>
      <c r="AD2246" s="25" t="s">
        <v>821</v>
      </c>
      <c r="AE2246" s="25" t="s">
        <v>818</v>
      </c>
    </row>
    <row r="2247" spans="20:31" ht="14.4">
      <c r="T2247" s="25" t="s">
        <v>931</v>
      </c>
      <c r="U2247" s="25" t="s">
        <v>880</v>
      </c>
      <c r="V2247" t="s">
        <v>995</v>
      </c>
      <c r="W2247" s="25" t="str">
        <f t="shared" si="54"/>
        <v>Square Cassette with Side ChannelsInside Window MountHD Somfy External CBUS Motor</v>
      </c>
      <c r="X2247" s="25">
        <v>10</v>
      </c>
      <c r="Y2247" s="25">
        <v>14</v>
      </c>
      <c r="Z2247" s="25">
        <v>14</v>
      </c>
      <c r="AA2247" s="25">
        <v>88</v>
      </c>
      <c r="AB2247" s="25" t="s">
        <v>821</v>
      </c>
      <c r="AC2247" s="25" t="s">
        <v>818</v>
      </c>
      <c r="AD2247" s="25" t="s">
        <v>821</v>
      </c>
      <c r="AE2247" s="25" t="s">
        <v>818</v>
      </c>
    </row>
    <row r="2248" spans="20:31" ht="14.4">
      <c r="T2248" s="25" t="s">
        <v>931</v>
      </c>
      <c r="U2248" s="25" t="s">
        <v>880</v>
      </c>
      <c r="V2248" t="s">
        <v>999</v>
      </c>
      <c r="W2248" s="25" t="str">
        <f t="shared" si="54"/>
        <v>Square Cassette with Side ChannelsInside Window MountHD Somfy External Remote Motor</v>
      </c>
      <c r="X2248" s="25">
        <v>10</v>
      </c>
      <c r="Y2248" s="25">
        <v>14</v>
      </c>
      <c r="Z2248" s="25">
        <v>14</v>
      </c>
      <c r="AA2248" s="25">
        <v>88</v>
      </c>
      <c r="AB2248" s="25" t="s">
        <v>821</v>
      </c>
      <c r="AC2248" s="25" t="s">
        <v>818</v>
      </c>
      <c r="AD2248" s="25" t="s">
        <v>821</v>
      </c>
      <c r="AE2248" s="25" t="s">
        <v>818</v>
      </c>
    </row>
    <row r="2249" spans="20:31" ht="14.4">
      <c r="T2249" s="25" t="s">
        <v>931</v>
      </c>
      <c r="U2249" s="25" t="s">
        <v>867</v>
      </c>
      <c r="V2249" s="25" t="s">
        <v>823</v>
      </c>
      <c r="W2249" s="25" t="str">
        <f t="shared" si="54"/>
        <v>Square Cassette with Side ChannelsOutside Window MountChain Winder</v>
      </c>
      <c r="X2249" s="25">
        <v>10</v>
      </c>
      <c r="Y2249" s="25">
        <v>14</v>
      </c>
      <c r="Z2249" s="25">
        <v>29</v>
      </c>
      <c r="AA2249" s="25">
        <v>88</v>
      </c>
      <c r="AB2249" s="25" t="s">
        <v>821</v>
      </c>
      <c r="AC2249" s="25" t="s">
        <v>818</v>
      </c>
      <c r="AD2249" s="25" t="s">
        <v>821</v>
      </c>
      <c r="AE2249" s="25" t="s">
        <v>818</v>
      </c>
    </row>
    <row r="2250" spans="20:31" ht="14.4">
      <c r="T2250" s="25" t="s">
        <v>931</v>
      </c>
      <c r="U2250" s="25" t="s">
        <v>867</v>
      </c>
      <c r="V2250" s="25" t="s">
        <v>841</v>
      </c>
      <c r="W2250" s="25" t="str">
        <f t="shared" si="54"/>
        <v>Square Cassette with Side ChannelsOutside Window MountHD Chain Winder</v>
      </c>
      <c r="X2250" s="25">
        <v>10</v>
      </c>
      <c r="Y2250" s="25">
        <v>14</v>
      </c>
      <c r="Z2250" s="25">
        <v>29</v>
      </c>
      <c r="AA2250" s="25">
        <v>88</v>
      </c>
      <c r="AB2250" s="25" t="s">
        <v>821</v>
      </c>
      <c r="AC2250" s="25" t="s">
        <v>818</v>
      </c>
      <c r="AD2250" s="25" t="s">
        <v>821</v>
      </c>
      <c r="AE2250" s="25" t="s">
        <v>818</v>
      </c>
    </row>
    <row r="2251" spans="20:31" ht="14.4">
      <c r="T2251" s="25" t="s">
        <v>931</v>
      </c>
      <c r="U2251" s="25" t="s">
        <v>867</v>
      </c>
      <c r="V2251" s="25" t="s">
        <v>858</v>
      </c>
      <c r="W2251" s="25" t="str">
        <f t="shared" si="54"/>
        <v>Square Cassette with Side ChannelsOutside Window MountChain Winder 60mm</v>
      </c>
      <c r="X2251" s="25">
        <v>10</v>
      </c>
      <c r="Y2251" s="25">
        <v>14</v>
      </c>
      <c r="Z2251" s="25">
        <v>29</v>
      </c>
      <c r="AA2251" s="25">
        <v>88</v>
      </c>
      <c r="AB2251" s="25" t="s">
        <v>821</v>
      </c>
      <c r="AC2251" s="25" t="s">
        <v>818</v>
      </c>
      <c r="AD2251" s="25" t="s">
        <v>821</v>
      </c>
      <c r="AE2251" s="25" t="s">
        <v>818</v>
      </c>
    </row>
    <row r="2252" spans="20:31" ht="14.4">
      <c r="T2252" s="25" t="s">
        <v>931</v>
      </c>
      <c r="U2252" s="25" t="s">
        <v>867</v>
      </c>
      <c r="V2252" s="25" t="s">
        <v>865</v>
      </c>
      <c r="W2252" s="25" t="str">
        <f t="shared" si="54"/>
        <v>Square Cassette with Side ChannelsOutside Window MountChain Winder Fixed Guide</v>
      </c>
      <c r="X2252" s="25">
        <v>10</v>
      </c>
      <c r="Y2252" s="25">
        <v>14</v>
      </c>
      <c r="Z2252" s="25">
        <v>29</v>
      </c>
      <c r="AA2252" s="25">
        <v>88</v>
      </c>
      <c r="AB2252" s="25" t="s">
        <v>821</v>
      </c>
      <c r="AC2252" s="25" t="s">
        <v>818</v>
      </c>
      <c r="AD2252" s="25" t="s">
        <v>821</v>
      </c>
      <c r="AE2252" s="25" t="s">
        <v>818</v>
      </c>
    </row>
    <row r="2253" spans="20:31" ht="14.4">
      <c r="T2253" s="25" t="s">
        <v>931</v>
      </c>
      <c r="U2253" s="25" t="s">
        <v>867</v>
      </c>
      <c r="V2253" s="25" t="s">
        <v>181</v>
      </c>
      <c r="W2253" s="25" t="str">
        <f t="shared" si="54"/>
        <v>Square Cassette with Side ChannelsOutside Window MountLinked</v>
      </c>
      <c r="X2253" s="25">
        <v>10</v>
      </c>
      <c r="Y2253" s="25">
        <v>14</v>
      </c>
      <c r="Z2253" s="25">
        <v>14</v>
      </c>
      <c r="AA2253" s="25">
        <v>88</v>
      </c>
      <c r="AB2253" s="25" t="s">
        <v>821</v>
      </c>
      <c r="AC2253" s="25" t="s">
        <v>818</v>
      </c>
      <c r="AD2253" s="25" t="s">
        <v>821</v>
      </c>
      <c r="AE2253" s="25" t="s">
        <v>818</v>
      </c>
    </row>
    <row r="2254" spans="20:31" ht="14.4">
      <c r="T2254" s="25" t="s">
        <v>931</v>
      </c>
      <c r="U2254" s="25" t="s">
        <v>867</v>
      </c>
      <c r="V2254" s="25" t="s">
        <v>898</v>
      </c>
      <c r="W2254" s="25" t="str">
        <f t="shared" si="54"/>
        <v>Square Cassette with Side ChannelsOutside Window MountLinked - HD</v>
      </c>
      <c r="X2254" s="25">
        <v>10</v>
      </c>
      <c r="Y2254" s="25">
        <v>14</v>
      </c>
      <c r="Z2254" s="25">
        <v>14</v>
      </c>
      <c r="AA2254" s="25">
        <v>88</v>
      </c>
      <c r="AB2254" s="25" t="s">
        <v>821</v>
      </c>
      <c r="AC2254" s="25" t="s">
        <v>818</v>
      </c>
      <c r="AD2254" s="25" t="s">
        <v>821</v>
      </c>
      <c r="AE2254" s="25" t="s">
        <v>818</v>
      </c>
    </row>
    <row r="2255" spans="20:31" ht="14.4">
      <c r="T2255" s="25" t="s">
        <v>931</v>
      </c>
      <c r="U2255" s="25" t="s">
        <v>867</v>
      </c>
      <c r="V2255" s="25" t="s">
        <v>910</v>
      </c>
      <c r="W2255" s="25" t="str">
        <f t="shared" si="54"/>
        <v>Square Cassette with Side ChannelsOutside Window MountStandard Spring</v>
      </c>
      <c r="X2255" s="25">
        <v>10</v>
      </c>
      <c r="Y2255" s="25">
        <v>14</v>
      </c>
      <c r="Z2255" s="25">
        <v>14</v>
      </c>
      <c r="AA2255" s="25">
        <v>88</v>
      </c>
      <c r="AB2255" s="25" t="s">
        <v>821</v>
      </c>
      <c r="AC2255" s="25" t="s">
        <v>818</v>
      </c>
      <c r="AD2255" s="25" t="s">
        <v>821</v>
      </c>
      <c r="AE2255" s="25" t="s">
        <v>818</v>
      </c>
    </row>
    <row r="2256" spans="20:31" ht="14.4">
      <c r="T2256" s="25" t="s">
        <v>931</v>
      </c>
      <c r="U2256" s="25" t="s">
        <v>867</v>
      </c>
      <c r="V2256" s="25" t="s">
        <v>920</v>
      </c>
      <c r="W2256" s="25" t="str">
        <f t="shared" si="54"/>
        <v>Square Cassette with Side ChannelsOutside Window MountSmall Spring</v>
      </c>
      <c r="X2256" s="25">
        <v>10</v>
      </c>
      <c r="Y2256" s="25">
        <v>14</v>
      </c>
      <c r="Z2256" s="25">
        <v>14</v>
      </c>
      <c r="AA2256" s="25">
        <v>88</v>
      </c>
      <c r="AB2256" s="25" t="s">
        <v>821</v>
      </c>
      <c r="AC2256" s="25" t="s">
        <v>818</v>
      </c>
      <c r="AD2256" s="25" t="s">
        <v>821</v>
      </c>
      <c r="AE2256" s="25" t="s">
        <v>818</v>
      </c>
    </row>
    <row r="2257" spans="20:31" ht="14.4">
      <c r="T2257" s="25" t="s">
        <v>931</v>
      </c>
      <c r="U2257" s="25" t="s">
        <v>867</v>
      </c>
      <c r="V2257" s="25" t="s">
        <v>929</v>
      </c>
      <c r="W2257" s="25" t="str">
        <f t="shared" si="54"/>
        <v>Square Cassette with Side ChannelsOutside Window MountUniline Spring (Old Style)</v>
      </c>
      <c r="X2257" s="25">
        <v>10</v>
      </c>
      <c r="Y2257" s="25">
        <v>14</v>
      </c>
      <c r="Z2257" s="25">
        <v>14</v>
      </c>
      <c r="AA2257" s="25">
        <v>88</v>
      </c>
      <c r="AB2257" s="25" t="s">
        <v>821</v>
      </c>
      <c r="AC2257" s="25" t="s">
        <v>818</v>
      </c>
      <c r="AD2257" s="25" t="s">
        <v>821</v>
      </c>
      <c r="AE2257" s="25" t="s">
        <v>818</v>
      </c>
    </row>
    <row r="2258" spans="20:31" ht="14.4">
      <c r="T2258" s="25" t="s">
        <v>931</v>
      </c>
      <c r="U2258" s="25" t="s">
        <v>867</v>
      </c>
      <c r="V2258" s="25" t="s">
        <v>935</v>
      </c>
      <c r="W2258" s="25" t="str">
        <f t="shared" si="54"/>
        <v>Square Cassette with Side ChannelsOutside Window MountBecker Remote Motor</v>
      </c>
      <c r="X2258" s="25">
        <v>10</v>
      </c>
      <c r="Y2258" s="25">
        <v>14</v>
      </c>
      <c r="Z2258" s="25">
        <v>14</v>
      </c>
      <c r="AA2258" s="25">
        <v>88</v>
      </c>
      <c r="AB2258" s="25" t="s">
        <v>821</v>
      </c>
      <c r="AC2258" s="25" t="s">
        <v>818</v>
      </c>
      <c r="AD2258" s="25" t="s">
        <v>821</v>
      </c>
      <c r="AE2258" s="25" t="s">
        <v>818</v>
      </c>
    </row>
    <row r="2259" spans="20:31" ht="14.4">
      <c r="T2259" s="25" t="s">
        <v>931</v>
      </c>
      <c r="U2259" s="25" t="s">
        <v>867</v>
      </c>
      <c r="V2259" s="25" t="s">
        <v>939</v>
      </c>
      <c r="W2259" s="25" t="str">
        <f t="shared" si="54"/>
        <v>Square Cassette with Side ChannelsOutside Window MountBecker CBUS Motor</v>
      </c>
      <c r="X2259" s="25">
        <v>10</v>
      </c>
      <c r="Y2259" s="25">
        <v>14</v>
      </c>
      <c r="Z2259" s="25">
        <v>14</v>
      </c>
      <c r="AA2259" s="25">
        <v>88</v>
      </c>
      <c r="AB2259" s="25" t="s">
        <v>821</v>
      </c>
      <c r="AC2259" s="25" t="s">
        <v>818</v>
      </c>
      <c r="AD2259" s="25" t="s">
        <v>821</v>
      </c>
      <c r="AE2259" s="25" t="s">
        <v>818</v>
      </c>
    </row>
    <row r="2260" spans="20:31" ht="14.4">
      <c r="T2260" s="25" t="s">
        <v>931</v>
      </c>
      <c r="U2260" s="25" t="s">
        <v>867</v>
      </c>
      <c r="V2260" s="25" t="s">
        <v>946</v>
      </c>
      <c r="W2260" s="25" t="str">
        <f t="shared" si="54"/>
        <v>Square Cassette with Side ChannelsOutside Window MountBecker External Remote Motor</v>
      </c>
      <c r="X2260" s="25">
        <v>10</v>
      </c>
      <c r="Y2260" s="25">
        <v>14</v>
      </c>
      <c r="Z2260" s="25">
        <v>14</v>
      </c>
      <c r="AA2260" s="25">
        <v>88</v>
      </c>
      <c r="AB2260" s="25" t="s">
        <v>821</v>
      </c>
      <c r="AC2260" s="25" t="s">
        <v>818</v>
      </c>
      <c r="AD2260" s="25" t="s">
        <v>821</v>
      </c>
      <c r="AE2260" s="25" t="s">
        <v>818</v>
      </c>
    </row>
    <row r="2261" spans="20:31" ht="14.4">
      <c r="T2261" s="25" t="s">
        <v>931</v>
      </c>
      <c r="U2261" s="25" t="s">
        <v>867</v>
      </c>
      <c r="V2261" s="25" t="s">
        <v>951</v>
      </c>
      <c r="W2261" s="25" t="str">
        <f t="shared" si="54"/>
        <v>Square Cassette with Side ChannelsOutside Window MountBecker External CBUS Motor</v>
      </c>
      <c r="X2261" s="25">
        <v>10</v>
      </c>
      <c r="Y2261" s="25">
        <v>14</v>
      </c>
      <c r="Z2261" s="25">
        <v>14</v>
      </c>
      <c r="AA2261" s="25">
        <v>88</v>
      </c>
      <c r="AB2261" s="25" t="s">
        <v>821</v>
      </c>
      <c r="AC2261" s="25" t="s">
        <v>818</v>
      </c>
      <c r="AD2261" s="25" t="s">
        <v>821</v>
      </c>
      <c r="AE2261" s="25" t="s">
        <v>818</v>
      </c>
    </row>
    <row r="2262" spans="20:31" ht="14.4">
      <c r="T2262" s="25" t="s">
        <v>931</v>
      </c>
      <c r="U2262" s="25" t="s">
        <v>867</v>
      </c>
      <c r="V2262" s="25" t="s">
        <v>838</v>
      </c>
      <c r="W2262" s="25" t="str">
        <f t="shared" si="54"/>
        <v>Square Cassette with Side ChannelsOutside Window Mount1.1nm 12v Acmeda Motor</v>
      </c>
      <c r="X2262" s="25">
        <v>10</v>
      </c>
      <c r="Y2262" s="25">
        <v>14</v>
      </c>
      <c r="Z2262" s="25">
        <v>14</v>
      </c>
      <c r="AA2262" s="25">
        <v>88</v>
      </c>
      <c r="AB2262" s="25" t="s">
        <v>821</v>
      </c>
      <c r="AC2262" s="25" t="s">
        <v>818</v>
      </c>
      <c r="AD2262" s="25" t="s">
        <v>821</v>
      </c>
      <c r="AE2262" s="25" t="s">
        <v>818</v>
      </c>
    </row>
    <row r="2263" spans="20:31" ht="14.4">
      <c r="T2263" s="25" t="s">
        <v>931</v>
      </c>
      <c r="U2263" s="25" t="s">
        <v>867</v>
      </c>
      <c r="V2263" t="s">
        <v>882</v>
      </c>
      <c r="W2263" s="25" t="str">
        <f t="shared" si="54"/>
        <v>Square Cassette with Side ChannelsOutside Window Mount2nm 12v Acmeda Motor</v>
      </c>
      <c r="X2263" s="25">
        <v>10</v>
      </c>
      <c r="Y2263" s="25">
        <v>14</v>
      </c>
      <c r="Z2263" s="25">
        <v>14</v>
      </c>
      <c r="AA2263" s="25">
        <v>88</v>
      </c>
      <c r="AB2263" s="25" t="s">
        <v>821</v>
      </c>
      <c r="AC2263" s="25" t="s">
        <v>818</v>
      </c>
      <c r="AD2263" s="25" t="s">
        <v>821</v>
      </c>
      <c r="AE2263" s="25" t="s">
        <v>818</v>
      </c>
    </row>
    <row r="2264" spans="20:31" ht="14.4">
      <c r="T2264" s="25" t="s">
        <v>931</v>
      </c>
      <c r="U2264" s="25" t="s">
        <v>867</v>
      </c>
      <c r="V2264" t="s">
        <v>896</v>
      </c>
      <c r="W2264" s="25" t="str">
        <f t="shared" si="54"/>
        <v>Square Cassette with Side ChannelsOutside Window MountAcmeda 12v 6nm Motor</v>
      </c>
      <c r="X2264" s="25">
        <v>10</v>
      </c>
      <c r="Y2264" s="25">
        <v>14</v>
      </c>
      <c r="Z2264" s="25">
        <v>14</v>
      </c>
      <c r="AA2264" s="25">
        <v>88</v>
      </c>
      <c r="AB2264" s="25" t="s">
        <v>821</v>
      </c>
      <c r="AC2264" s="25" t="s">
        <v>818</v>
      </c>
      <c r="AD2264" s="25" t="s">
        <v>821</v>
      </c>
      <c r="AE2264" s="25" t="s">
        <v>818</v>
      </c>
    </row>
    <row r="2265" spans="20:31" ht="14.4">
      <c r="T2265" s="25" t="s">
        <v>931</v>
      </c>
      <c r="U2265" s="25" t="s">
        <v>867</v>
      </c>
      <c r="V2265" t="s">
        <v>855</v>
      </c>
      <c r="W2265" s="25" t="str">
        <f t="shared" si="54"/>
        <v>Square Cassette with Side ChannelsOutside Window Mount0.7nm 12v Acmeda Motor</v>
      </c>
      <c r="X2265" s="25">
        <v>10</v>
      </c>
      <c r="Y2265" s="25">
        <v>14</v>
      </c>
      <c r="Z2265" s="25">
        <v>14</v>
      </c>
      <c r="AA2265" s="25">
        <v>88</v>
      </c>
      <c r="AB2265" s="25" t="s">
        <v>821</v>
      </c>
      <c r="AC2265" s="25" t="s">
        <v>818</v>
      </c>
      <c r="AD2265" s="25" t="s">
        <v>821</v>
      </c>
      <c r="AE2265" s="25" t="s">
        <v>818</v>
      </c>
    </row>
    <row r="2266" spans="20:31" ht="14.4">
      <c r="T2266" s="25" t="s">
        <v>931</v>
      </c>
      <c r="U2266" s="25" t="s">
        <v>867</v>
      </c>
      <c r="V2266" s="25" t="s">
        <v>849</v>
      </c>
      <c r="W2266" s="25" t="str">
        <f t="shared" si="54"/>
        <v>Square Cassette with Side ChannelsOutside Window Mount1.1nm 12v Acmeda DCRF Motor with External Battery</v>
      </c>
      <c r="X2266" s="25">
        <v>10</v>
      </c>
      <c r="Y2266" s="25">
        <v>14</v>
      </c>
      <c r="Z2266" s="25">
        <v>14</v>
      </c>
      <c r="AA2266" s="25">
        <v>88</v>
      </c>
      <c r="AB2266" s="25" t="s">
        <v>821</v>
      </c>
      <c r="AC2266" s="25" t="s">
        <v>818</v>
      </c>
      <c r="AD2266" s="25" t="s">
        <v>821</v>
      </c>
      <c r="AE2266" s="25" t="s">
        <v>818</v>
      </c>
    </row>
    <row r="2267" spans="20:31" ht="14.4">
      <c r="T2267" s="25" t="s">
        <v>931</v>
      </c>
      <c r="U2267" s="25" t="s">
        <v>867</v>
      </c>
      <c r="V2267" s="25" t="s">
        <v>817</v>
      </c>
      <c r="W2267" s="25" t="str">
        <f t="shared" si="54"/>
        <v>Square Cassette with Side ChannelsOutside Window Mount1.1nm 12v Acmeda DCRF Motor</v>
      </c>
      <c r="X2267" s="25">
        <v>10</v>
      </c>
      <c r="Y2267" s="25">
        <v>14</v>
      </c>
      <c r="Z2267" s="25">
        <v>14</v>
      </c>
      <c r="AA2267" s="25">
        <v>88</v>
      </c>
      <c r="AB2267" s="25" t="s">
        <v>821</v>
      </c>
      <c r="AC2267" s="25" t="s">
        <v>818</v>
      </c>
      <c r="AD2267" s="25" t="s">
        <v>821</v>
      </c>
      <c r="AE2267" s="25" t="s">
        <v>818</v>
      </c>
    </row>
    <row r="2268" spans="20:31" ht="14.4">
      <c r="T2268" s="25" t="s">
        <v>931</v>
      </c>
      <c r="U2268" s="25" t="s">
        <v>867</v>
      </c>
      <c r="V2268" s="25" t="s">
        <v>868</v>
      </c>
      <c r="W2268" s="25" t="str">
        <f t="shared" si="54"/>
        <v>Square Cassette with Side ChannelsOutside Window Mount2nm 12v Acmeda DCRF Motor</v>
      </c>
      <c r="X2268" s="25">
        <v>10</v>
      </c>
      <c r="Y2268" s="25">
        <v>14</v>
      </c>
      <c r="Z2268" s="25">
        <v>14</v>
      </c>
      <c r="AA2268" s="25">
        <v>88</v>
      </c>
      <c r="AB2268" s="25" t="s">
        <v>821</v>
      </c>
      <c r="AC2268" s="25" t="s">
        <v>818</v>
      </c>
      <c r="AD2268" s="25" t="s">
        <v>821</v>
      </c>
      <c r="AE2268" s="25" t="s">
        <v>818</v>
      </c>
    </row>
    <row r="2269" spans="20:31" ht="14.4">
      <c r="T2269" s="25" t="s">
        <v>931</v>
      </c>
      <c r="U2269" s="25" t="s">
        <v>867</v>
      </c>
      <c r="V2269" t="s">
        <v>973</v>
      </c>
      <c r="W2269" s="25" t="str">
        <f t="shared" si="54"/>
        <v>Square Cassette with Side ChannelsOutside Window MountSomfy Remote Sonesse Motor</v>
      </c>
      <c r="X2269" s="25">
        <v>10</v>
      </c>
      <c r="Y2269" s="25">
        <v>14</v>
      </c>
      <c r="Z2269" s="25">
        <v>14</v>
      </c>
      <c r="AA2269" s="25">
        <v>88</v>
      </c>
      <c r="AB2269" s="25" t="s">
        <v>821</v>
      </c>
      <c r="AC2269" s="25" t="s">
        <v>818</v>
      </c>
      <c r="AD2269" s="25" t="s">
        <v>821</v>
      </c>
      <c r="AE2269" s="25" t="s">
        <v>818</v>
      </c>
    </row>
    <row r="2270" spans="20:31" ht="14.4">
      <c r="T2270" s="25" t="s">
        <v>931</v>
      </c>
      <c r="U2270" s="25" t="s">
        <v>867</v>
      </c>
      <c r="V2270" t="s">
        <v>637</v>
      </c>
      <c r="W2270" s="25" t="str">
        <f t="shared" si="54"/>
        <v>Square Cassette with Side ChannelsOutside Window MountSomfy 12v Remote Sonesse Motor</v>
      </c>
      <c r="X2270" s="25">
        <v>10</v>
      </c>
      <c r="Y2270" s="25">
        <v>14</v>
      </c>
      <c r="Z2270" s="25">
        <v>14</v>
      </c>
      <c r="AA2270" s="25">
        <v>88</v>
      </c>
      <c r="AB2270" s="25" t="s">
        <v>821</v>
      </c>
      <c r="AC2270" s="25" t="s">
        <v>818</v>
      </c>
      <c r="AD2270" s="25" t="s">
        <v>821</v>
      </c>
      <c r="AE2270" s="25" t="s">
        <v>818</v>
      </c>
    </row>
    <row r="2271" spans="20:31" ht="14.4">
      <c r="T2271" s="25" t="s">
        <v>931</v>
      </c>
      <c r="U2271" s="25" t="s">
        <v>867</v>
      </c>
      <c r="V2271" s="25" t="s">
        <v>974</v>
      </c>
      <c r="W2271" s="25" t="str">
        <f t="shared" si="54"/>
        <v>Square Cassette with Side ChannelsOutside Window MountSomfy CBUS Motor</v>
      </c>
      <c r="X2271" s="25">
        <v>10</v>
      </c>
      <c r="Y2271" s="25">
        <v>14</v>
      </c>
      <c r="Z2271" s="25">
        <v>14</v>
      </c>
      <c r="AA2271" s="25">
        <v>88</v>
      </c>
      <c r="AB2271" s="25" t="s">
        <v>821</v>
      </c>
      <c r="AC2271" s="25" t="s">
        <v>818</v>
      </c>
      <c r="AD2271" s="25" t="s">
        <v>821</v>
      </c>
      <c r="AE2271" s="25" t="s">
        <v>818</v>
      </c>
    </row>
    <row r="2272" spans="20:31" ht="14.4">
      <c r="T2272" s="25" t="s">
        <v>931</v>
      </c>
      <c r="U2272" s="25" t="s">
        <v>867</v>
      </c>
      <c r="V2272" t="s">
        <v>986</v>
      </c>
      <c r="W2272" s="25" t="str">
        <f t="shared" si="54"/>
        <v>Square Cassette with Side ChannelsOutside Window MountHD Somfy Remote Sonesse Motor</v>
      </c>
      <c r="X2272" s="25">
        <v>10</v>
      </c>
      <c r="Y2272" s="25">
        <v>14</v>
      </c>
      <c r="Z2272" s="25">
        <v>14</v>
      </c>
      <c r="AA2272" s="25">
        <v>88</v>
      </c>
      <c r="AB2272" s="25" t="s">
        <v>821</v>
      </c>
      <c r="AC2272" s="25" t="s">
        <v>818</v>
      </c>
      <c r="AD2272" s="25" t="s">
        <v>821</v>
      </c>
      <c r="AE2272" s="25" t="s">
        <v>818</v>
      </c>
    </row>
    <row r="2273" spans="20:31" ht="14.4">
      <c r="T2273" s="25" t="s">
        <v>931</v>
      </c>
      <c r="U2273" s="25" t="s">
        <v>867</v>
      </c>
      <c r="V2273" t="s">
        <v>989</v>
      </c>
      <c r="W2273" s="25" t="str">
        <f t="shared" si="54"/>
        <v>Square Cassette with Side ChannelsOutside Window MountHD Somfy 12v Remote Sonesse Motor</v>
      </c>
      <c r="X2273" s="25">
        <v>10</v>
      </c>
      <c r="Y2273" s="25">
        <v>14</v>
      </c>
      <c r="Z2273" s="25">
        <v>14</v>
      </c>
      <c r="AA2273" s="25">
        <v>88</v>
      </c>
      <c r="AB2273" s="25" t="s">
        <v>821</v>
      </c>
      <c r="AC2273" s="25" t="s">
        <v>818</v>
      </c>
      <c r="AD2273" s="25" t="s">
        <v>821</v>
      </c>
      <c r="AE2273" s="25" t="s">
        <v>818</v>
      </c>
    </row>
    <row r="2274" spans="20:31" ht="14.4">
      <c r="T2274" s="25" t="s">
        <v>931</v>
      </c>
      <c r="U2274" s="25" t="s">
        <v>867</v>
      </c>
      <c r="V2274" s="25" t="s">
        <v>992</v>
      </c>
      <c r="W2274" s="25" t="str">
        <f t="shared" si="54"/>
        <v>Square Cassette with Side ChannelsOutside Window MountHD Somfy CBUS Motor</v>
      </c>
      <c r="X2274" s="25">
        <v>10</v>
      </c>
      <c r="Y2274" s="25">
        <v>14</v>
      </c>
      <c r="Z2274" s="25">
        <v>14</v>
      </c>
      <c r="AA2274" s="25">
        <v>88</v>
      </c>
      <c r="AB2274" s="25" t="s">
        <v>821</v>
      </c>
      <c r="AC2274" s="25" t="s">
        <v>818</v>
      </c>
      <c r="AD2274" s="25" t="s">
        <v>821</v>
      </c>
      <c r="AE2274" s="25" t="s">
        <v>818</v>
      </c>
    </row>
    <row r="2275" spans="20:31" ht="14.4">
      <c r="T2275" s="25" t="s">
        <v>931</v>
      </c>
      <c r="U2275" s="25" t="s">
        <v>867</v>
      </c>
      <c r="V2275" s="25" t="s">
        <v>625</v>
      </c>
      <c r="W2275" s="25" t="str">
        <f t="shared" si="54"/>
        <v>Square Cassette with Side ChannelsOutside Window MountAcmeda E6 Motor</v>
      </c>
      <c r="X2275" s="25">
        <v>10</v>
      </c>
      <c r="Y2275" s="25">
        <v>14</v>
      </c>
      <c r="Z2275" s="25">
        <v>14</v>
      </c>
      <c r="AA2275" s="25">
        <v>88</v>
      </c>
      <c r="AB2275" s="25" t="s">
        <v>821</v>
      </c>
      <c r="AC2275" s="25" t="s">
        <v>818</v>
      </c>
      <c r="AD2275" s="25" t="s">
        <v>821</v>
      </c>
      <c r="AE2275" s="25" t="s">
        <v>818</v>
      </c>
    </row>
    <row r="2276" spans="20:31" ht="14.4">
      <c r="T2276" s="25" t="s">
        <v>931</v>
      </c>
      <c r="U2276" s="25" t="s">
        <v>867</v>
      </c>
      <c r="V2276" s="25" t="s">
        <v>626</v>
      </c>
      <c r="W2276" s="25" t="str">
        <f t="shared" si="54"/>
        <v>Square Cassette with Side ChannelsOutside Window MountAcmeda M6 Motor</v>
      </c>
      <c r="X2276" s="25">
        <v>10</v>
      </c>
      <c r="Y2276" s="25">
        <v>14</v>
      </c>
      <c r="Z2276" s="25">
        <v>14</v>
      </c>
      <c r="AA2276" s="25">
        <v>88</v>
      </c>
      <c r="AB2276" s="25" t="s">
        <v>821</v>
      </c>
      <c r="AC2276" s="25" t="s">
        <v>818</v>
      </c>
      <c r="AD2276" s="25" t="s">
        <v>821</v>
      </c>
      <c r="AE2276" s="25" t="s">
        <v>818</v>
      </c>
    </row>
    <row r="2277" spans="20:31" ht="14.4">
      <c r="T2277" s="25" t="s">
        <v>931</v>
      </c>
      <c r="U2277" s="25" t="s">
        <v>867</v>
      </c>
      <c r="V2277" s="25" t="s">
        <v>1002</v>
      </c>
      <c r="W2277" s="25" t="str">
        <f t="shared" si="54"/>
        <v>Square Cassette with Side ChannelsOutside Window MountUniline Remote Motor</v>
      </c>
      <c r="X2277" s="25">
        <v>10</v>
      </c>
      <c r="Y2277" s="25">
        <v>14</v>
      </c>
      <c r="Z2277" s="25">
        <v>14</v>
      </c>
      <c r="AA2277" s="25">
        <v>88</v>
      </c>
      <c r="AB2277" s="25" t="s">
        <v>821</v>
      </c>
      <c r="AC2277" s="25" t="s">
        <v>818</v>
      </c>
      <c r="AD2277" s="25" t="s">
        <v>821</v>
      </c>
      <c r="AE2277" s="25" t="s">
        <v>818</v>
      </c>
    </row>
    <row r="2278" spans="20:31" ht="14.4">
      <c r="T2278" s="25" t="s">
        <v>931</v>
      </c>
      <c r="U2278" s="25" t="s">
        <v>867</v>
      </c>
      <c r="V2278" s="25" t="s">
        <v>1005</v>
      </c>
      <c r="W2278" s="25" t="str">
        <f t="shared" si="54"/>
        <v>Square Cassette with Side ChannelsOutside Window MountUniline Cbus Motor</v>
      </c>
      <c r="X2278" s="25">
        <v>10</v>
      </c>
      <c r="Y2278" s="25">
        <v>14</v>
      </c>
      <c r="Z2278" s="25">
        <v>14</v>
      </c>
      <c r="AA2278" s="25">
        <v>88</v>
      </c>
      <c r="AB2278" s="25" t="s">
        <v>821</v>
      </c>
      <c r="AC2278" s="25" t="s">
        <v>818</v>
      </c>
      <c r="AD2278" s="25" t="s">
        <v>821</v>
      </c>
      <c r="AE2278" s="25" t="s">
        <v>818</v>
      </c>
    </row>
    <row r="2279" spans="20:31" ht="14.4">
      <c r="T2279" s="25" t="s">
        <v>931</v>
      </c>
      <c r="U2279" s="25" t="s">
        <v>867</v>
      </c>
      <c r="V2279" s="25" t="s">
        <v>981</v>
      </c>
      <c r="W2279" s="25" t="str">
        <f t="shared" si="54"/>
        <v>Square Cassette with Side ChannelsOutside Window MountNice Remote Motor</v>
      </c>
      <c r="X2279" s="25">
        <v>10</v>
      </c>
      <c r="Y2279" s="25">
        <v>14</v>
      </c>
      <c r="Z2279" s="25">
        <v>14</v>
      </c>
      <c r="AA2279" s="25">
        <v>88</v>
      </c>
      <c r="AB2279" s="25" t="s">
        <v>821</v>
      </c>
      <c r="AC2279" s="25" t="s">
        <v>818</v>
      </c>
      <c r="AD2279" s="25" t="s">
        <v>821</v>
      </c>
      <c r="AE2279" s="25" t="s">
        <v>818</v>
      </c>
    </row>
    <row r="2280" spans="20:31" ht="14.4">
      <c r="T2280" s="25" t="s">
        <v>931</v>
      </c>
      <c r="U2280" s="25" t="s">
        <v>867</v>
      </c>
      <c r="V2280" s="25" t="s">
        <v>976</v>
      </c>
      <c r="W2280" s="25" t="str">
        <f t="shared" si="54"/>
        <v>Square Cassette with Side ChannelsOutside Window MountNice CBus Motor</v>
      </c>
      <c r="X2280" s="25">
        <v>10</v>
      </c>
      <c r="Y2280" s="25">
        <v>14</v>
      </c>
      <c r="Z2280" s="25">
        <v>14</v>
      </c>
      <c r="AA2280" s="25">
        <v>88</v>
      </c>
      <c r="AB2280" s="25" t="s">
        <v>821</v>
      </c>
      <c r="AC2280" s="25" t="s">
        <v>818</v>
      </c>
      <c r="AD2280" s="25" t="s">
        <v>821</v>
      </c>
      <c r="AE2280" s="25" t="s">
        <v>818</v>
      </c>
    </row>
    <row r="2281" spans="20:31" ht="14.4">
      <c r="T2281" s="25" t="s">
        <v>931</v>
      </c>
      <c r="U2281" s="25" t="s">
        <v>867</v>
      </c>
      <c r="V2281" t="s">
        <v>1006</v>
      </c>
      <c r="W2281" s="25" t="str">
        <f t="shared" si="54"/>
        <v>Square Cassette with Side ChannelsOutside Window MountSunboss Chain Winder 38mm Tube</v>
      </c>
      <c r="X2281" s="25">
        <v>10</v>
      </c>
      <c r="Y2281" s="25">
        <v>14</v>
      </c>
      <c r="Z2281" s="25">
        <v>14</v>
      </c>
      <c r="AA2281" s="25">
        <v>88</v>
      </c>
      <c r="AB2281" s="25" t="s">
        <v>821</v>
      </c>
      <c r="AC2281" s="25" t="s">
        <v>818</v>
      </c>
      <c r="AD2281" s="25" t="s">
        <v>821</v>
      </c>
      <c r="AE2281" s="25" t="s">
        <v>818</v>
      </c>
    </row>
    <row r="2282" spans="20:31" ht="14.4">
      <c r="T2282" s="25" t="s">
        <v>931</v>
      </c>
      <c r="U2282" s="25" t="s">
        <v>867</v>
      </c>
      <c r="V2282" t="s">
        <v>1017</v>
      </c>
      <c r="W2282" s="25" t="str">
        <f t="shared" si="54"/>
        <v>Square Cassette with Side ChannelsOutside Window MountSunboss Chain Winder 43mm Tube</v>
      </c>
      <c r="X2282" s="25">
        <v>10</v>
      </c>
      <c r="Y2282" s="25">
        <v>14</v>
      </c>
      <c r="Z2282" s="25">
        <v>14</v>
      </c>
      <c r="AA2282" s="25">
        <v>88</v>
      </c>
      <c r="AB2282" s="25" t="s">
        <v>821</v>
      </c>
      <c r="AC2282" s="25" t="s">
        <v>818</v>
      </c>
      <c r="AD2282" s="25" t="s">
        <v>821</v>
      </c>
      <c r="AE2282" s="25" t="s">
        <v>818</v>
      </c>
    </row>
    <row r="2283" spans="20:31" ht="14.4">
      <c r="T2283" s="25" t="s">
        <v>931</v>
      </c>
      <c r="U2283" s="25" t="s">
        <v>867</v>
      </c>
      <c r="V2283" s="25" t="s">
        <v>1012</v>
      </c>
      <c r="W2283" s="25" t="str">
        <f t="shared" si="54"/>
        <v>Square Cassette with Side ChannelsOutside Window MountTBS Remote Motor</v>
      </c>
      <c r="X2283" s="25">
        <v>10</v>
      </c>
      <c r="Y2283" s="25">
        <v>14</v>
      </c>
      <c r="Z2283" s="25">
        <v>14</v>
      </c>
      <c r="AA2283" s="25">
        <v>88</v>
      </c>
      <c r="AB2283" s="25" t="s">
        <v>821</v>
      </c>
      <c r="AC2283" s="25" t="s">
        <v>818</v>
      </c>
      <c r="AD2283" s="25" t="s">
        <v>821</v>
      </c>
      <c r="AE2283" s="25" t="s">
        <v>818</v>
      </c>
    </row>
    <row r="2284" spans="20:31" ht="14.4">
      <c r="T2284" s="25" t="s">
        <v>931</v>
      </c>
      <c r="U2284" s="25" t="s">
        <v>867</v>
      </c>
      <c r="V2284" t="s">
        <v>1009</v>
      </c>
      <c r="W2284" s="25" t="str">
        <f t="shared" si="54"/>
        <v>Square Cassette with Side ChannelsOutside Window MountTBS Cbus Motor</v>
      </c>
      <c r="X2284" s="25">
        <v>10</v>
      </c>
      <c r="Y2284" s="25">
        <v>14</v>
      </c>
      <c r="Z2284" s="25">
        <v>14</v>
      </c>
      <c r="AA2284" s="25">
        <v>88</v>
      </c>
      <c r="AB2284" s="25" t="s">
        <v>821</v>
      </c>
      <c r="AC2284" s="25" t="s">
        <v>818</v>
      </c>
      <c r="AE2284" s="25" t="s">
        <v>818</v>
      </c>
    </row>
    <row r="2285" spans="20:31" ht="14.4">
      <c r="T2285" s="25" t="s">
        <v>931</v>
      </c>
      <c r="U2285" s="25" t="s">
        <v>867</v>
      </c>
      <c r="V2285" t="s">
        <v>927</v>
      </c>
      <c r="W2285" s="25" t="str">
        <f t="shared" si="54"/>
        <v>Square Cassette with Side ChannelsOutside Window MountAcmeda External Motor</v>
      </c>
      <c r="X2285" s="25">
        <v>10</v>
      </c>
      <c r="Y2285" s="25">
        <v>14</v>
      </c>
      <c r="Z2285" s="25">
        <v>14</v>
      </c>
      <c r="AA2285" s="25">
        <v>88</v>
      </c>
      <c r="AB2285" s="25" t="s">
        <v>821</v>
      </c>
      <c r="AC2285" s="25" t="s">
        <v>818</v>
      </c>
      <c r="AE2285" s="25" t="s">
        <v>818</v>
      </c>
    </row>
    <row r="2286" spans="20:31" ht="14.4">
      <c r="T2286" s="25" t="s">
        <v>931</v>
      </c>
      <c r="U2286" s="25" t="s">
        <v>867</v>
      </c>
      <c r="V2286" t="s">
        <v>918</v>
      </c>
      <c r="W2286" s="25" t="str">
        <f t="shared" si="54"/>
        <v>Square Cassette with Side ChannelsOutside Window MountAcmeda External 12v Motor</v>
      </c>
      <c r="X2286" s="25">
        <v>10</v>
      </c>
      <c r="Y2286" s="25">
        <v>14</v>
      </c>
      <c r="Z2286" s="25">
        <v>14</v>
      </c>
      <c r="AA2286" s="25">
        <v>88</v>
      </c>
      <c r="AB2286" s="25" t="s">
        <v>821</v>
      </c>
      <c r="AC2286" s="25" t="s">
        <v>818</v>
      </c>
      <c r="AD2286" s="25" t="s">
        <v>821</v>
      </c>
      <c r="AE2286" s="25" t="s">
        <v>818</v>
      </c>
    </row>
    <row r="2287" spans="20:31" ht="14.4">
      <c r="T2287" s="25" t="s">
        <v>931</v>
      </c>
      <c r="U2287" s="25" t="s">
        <v>867</v>
      </c>
      <c r="V2287" t="s">
        <v>979</v>
      </c>
      <c r="W2287" s="25" t="str">
        <f t="shared" si="54"/>
        <v>Square Cassette with Side ChannelsOutside Window MountSomfy External CBUS Motor</v>
      </c>
      <c r="X2287" s="25">
        <v>10</v>
      </c>
      <c r="Y2287" s="25">
        <v>14</v>
      </c>
      <c r="Z2287" s="25">
        <v>14</v>
      </c>
      <c r="AA2287" s="25">
        <v>88</v>
      </c>
      <c r="AB2287" s="25" t="s">
        <v>821</v>
      </c>
      <c r="AC2287" s="25" t="s">
        <v>818</v>
      </c>
      <c r="AD2287" s="25" t="s">
        <v>821</v>
      </c>
      <c r="AE2287" s="25" t="s">
        <v>818</v>
      </c>
    </row>
    <row r="2288" spans="20:31" ht="14.4">
      <c r="T2288" s="25" t="s">
        <v>931</v>
      </c>
      <c r="U2288" s="25" t="s">
        <v>867</v>
      </c>
      <c r="V2288" t="s">
        <v>983</v>
      </c>
      <c r="W2288" s="25" t="str">
        <f t="shared" si="54"/>
        <v>Square Cassette with Side ChannelsOutside Window MountSomfy External Remote Motor</v>
      </c>
      <c r="X2288" s="25">
        <v>10</v>
      </c>
      <c r="Y2288" s="25">
        <v>14</v>
      </c>
      <c r="Z2288" s="25">
        <v>14</v>
      </c>
      <c r="AA2288" s="25">
        <v>88</v>
      </c>
      <c r="AB2288" s="25" t="s">
        <v>821</v>
      </c>
      <c r="AC2288" s="25" t="s">
        <v>818</v>
      </c>
      <c r="AD2288" s="25" t="s">
        <v>821</v>
      </c>
      <c r="AE2288" s="25" t="s">
        <v>818</v>
      </c>
    </row>
    <row r="2289" spans="20:31" ht="14.4">
      <c r="T2289" s="25" t="s">
        <v>931</v>
      </c>
      <c r="U2289" s="25" t="s">
        <v>867</v>
      </c>
      <c r="V2289" t="s">
        <v>995</v>
      </c>
      <c r="W2289" s="25" t="str">
        <f t="shared" si="54"/>
        <v>Square Cassette with Side ChannelsOutside Window MountHD Somfy External CBUS Motor</v>
      </c>
      <c r="X2289" s="25">
        <v>10</v>
      </c>
      <c r="Y2289" s="25">
        <v>14</v>
      </c>
      <c r="Z2289" s="25">
        <v>14</v>
      </c>
      <c r="AA2289" s="25">
        <v>88</v>
      </c>
      <c r="AB2289" s="25" t="s">
        <v>821</v>
      </c>
      <c r="AC2289" s="25" t="s">
        <v>818</v>
      </c>
      <c r="AD2289" s="25" t="s">
        <v>821</v>
      </c>
      <c r="AE2289" s="25" t="s">
        <v>818</v>
      </c>
    </row>
    <row r="2290" spans="20:31" ht="14.4">
      <c r="T2290" s="25" t="s">
        <v>931</v>
      </c>
      <c r="U2290" s="25" t="s">
        <v>867</v>
      </c>
      <c r="V2290" t="s">
        <v>999</v>
      </c>
      <c r="W2290" s="25" t="str">
        <f t="shared" si="54"/>
        <v>Square Cassette with Side ChannelsOutside Window MountHD Somfy External Remote Motor</v>
      </c>
      <c r="X2290" s="25">
        <v>10</v>
      </c>
      <c r="Y2290" s="25">
        <v>14</v>
      </c>
      <c r="Z2290" s="25">
        <v>14</v>
      </c>
      <c r="AA2290" s="25">
        <v>88</v>
      </c>
      <c r="AB2290" s="25" t="s">
        <v>821</v>
      </c>
      <c r="AC2290" s="25" t="s">
        <v>818</v>
      </c>
      <c r="AD2290" s="25" t="s">
        <v>821</v>
      </c>
      <c r="AE2290" s="25" t="s">
        <v>818</v>
      </c>
    </row>
    <row r="2291" spans="20:31" ht="14.4">
      <c r="T2291" s="25" t="s">
        <v>931</v>
      </c>
      <c r="U2291" s="25" t="s">
        <v>837</v>
      </c>
      <c r="V2291" s="25" t="s">
        <v>823</v>
      </c>
      <c r="W2291" s="25" t="str">
        <f t="shared" si="54"/>
        <v>Square Cassette with Side ChannelsRevealChain Winder</v>
      </c>
      <c r="X2291" s="25">
        <v>10</v>
      </c>
      <c r="Y2291" s="25">
        <v>14</v>
      </c>
      <c r="Z2291" s="25">
        <v>29</v>
      </c>
      <c r="AA2291" s="25">
        <v>88</v>
      </c>
      <c r="AB2291" s="25" t="s">
        <v>821</v>
      </c>
      <c r="AC2291" s="25" t="s">
        <v>818</v>
      </c>
      <c r="AD2291" s="25" t="s">
        <v>821</v>
      </c>
      <c r="AE2291" s="25" t="s">
        <v>818</v>
      </c>
    </row>
    <row r="2292" spans="20:31" ht="14.4">
      <c r="T2292" s="25" t="s">
        <v>931</v>
      </c>
      <c r="U2292" s="25" t="s">
        <v>837</v>
      </c>
      <c r="V2292" s="25" t="s">
        <v>841</v>
      </c>
      <c r="W2292" s="25" t="str">
        <f t="shared" si="54"/>
        <v>Square Cassette with Side ChannelsRevealHD Chain Winder</v>
      </c>
      <c r="X2292" s="25">
        <v>10</v>
      </c>
      <c r="Y2292" s="25">
        <v>14</v>
      </c>
      <c r="Z2292" s="25">
        <v>29</v>
      </c>
      <c r="AA2292" s="25">
        <v>88</v>
      </c>
      <c r="AB2292" s="25" t="s">
        <v>821</v>
      </c>
      <c r="AC2292" s="25" t="s">
        <v>818</v>
      </c>
      <c r="AD2292" s="25" t="s">
        <v>821</v>
      </c>
      <c r="AE2292" s="25" t="s">
        <v>818</v>
      </c>
    </row>
    <row r="2293" spans="20:31" ht="14.4">
      <c r="T2293" s="25" t="s">
        <v>931</v>
      </c>
      <c r="U2293" s="25" t="s">
        <v>837</v>
      </c>
      <c r="V2293" s="25" t="s">
        <v>858</v>
      </c>
      <c r="W2293" s="25" t="str">
        <f t="shared" si="54"/>
        <v>Square Cassette with Side ChannelsRevealChain Winder 60mm</v>
      </c>
      <c r="X2293" s="25">
        <v>10</v>
      </c>
      <c r="Y2293" s="25">
        <v>14</v>
      </c>
      <c r="Z2293" s="25">
        <v>29</v>
      </c>
      <c r="AA2293" s="25">
        <v>88</v>
      </c>
      <c r="AB2293" s="25" t="s">
        <v>821</v>
      </c>
      <c r="AC2293" s="25" t="s">
        <v>818</v>
      </c>
      <c r="AD2293" s="25" t="s">
        <v>821</v>
      </c>
      <c r="AE2293" s="25" t="s">
        <v>818</v>
      </c>
    </row>
    <row r="2294" spans="20:31" ht="14.4">
      <c r="T2294" s="25" t="s">
        <v>931</v>
      </c>
      <c r="U2294" s="25" t="s">
        <v>837</v>
      </c>
      <c r="V2294" s="25" t="s">
        <v>865</v>
      </c>
      <c r="W2294" s="25" t="str">
        <f t="shared" si="54"/>
        <v>Square Cassette with Side ChannelsRevealChain Winder Fixed Guide</v>
      </c>
      <c r="X2294" s="25">
        <v>10</v>
      </c>
      <c r="Y2294" s="25">
        <v>14</v>
      </c>
      <c r="Z2294" s="25">
        <v>29</v>
      </c>
      <c r="AA2294" s="25">
        <v>88</v>
      </c>
      <c r="AB2294" s="25" t="s">
        <v>821</v>
      </c>
      <c r="AC2294" s="25" t="s">
        <v>818</v>
      </c>
      <c r="AD2294" s="25" t="s">
        <v>821</v>
      </c>
      <c r="AE2294" s="25" t="s">
        <v>818</v>
      </c>
    </row>
    <row r="2295" spans="20:31" ht="14.4">
      <c r="T2295" s="25" t="s">
        <v>931</v>
      </c>
      <c r="U2295" s="25" t="s">
        <v>837</v>
      </c>
      <c r="V2295" s="25" t="s">
        <v>181</v>
      </c>
      <c r="W2295" s="25" t="str">
        <f t="shared" si="54"/>
        <v>Square Cassette with Side ChannelsRevealLinked</v>
      </c>
      <c r="X2295" s="25">
        <v>10</v>
      </c>
      <c r="Y2295" s="25">
        <v>14</v>
      </c>
      <c r="Z2295" s="25">
        <v>14</v>
      </c>
      <c r="AA2295" s="25">
        <v>88</v>
      </c>
      <c r="AB2295" s="25" t="s">
        <v>821</v>
      </c>
      <c r="AC2295" s="25" t="s">
        <v>818</v>
      </c>
      <c r="AD2295" s="25" t="s">
        <v>821</v>
      </c>
      <c r="AE2295" s="25" t="s">
        <v>818</v>
      </c>
    </row>
    <row r="2296" spans="20:31" ht="14.4">
      <c r="T2296" s="25" t="s">
        <v>931</v>
      </c>
      <c r="U2296" s="25" t="s">
        <v>837</v>
      </c>
      <c r="V2296" s="25" t="s">
        <v>898</v>
      </c>
      <c r="W2296" s="25" t="str">
        <f t="shared" si="54"/>
        <v>Square Cassette with Side ChannelsRevealLinked - HD</v>
      </c>
      <c r="X2296" s="25">
        <v>10</v>
      </c>
      <c r="Y2296" s="25">
        <v>14</v>
      </c>
      <c r="Z2296" s="25">
        <v>14</v>
      </c>
      <c r="AA2296" s="25">
        <v>88</v>
      </c>
      <c r="AB2296" s="25" t="s">
        <v>821</v>
      </c>
      <c r="AC2296" s="25" t="s">
        <v>818</v>
      </c>
      <c r="AD2296" s="25" t="s">
        <v>821</v>
      </c>
      <c r="AE2296" s="25" t="s">
        <v>818</v>
      </c>
    </row>
    <row r="2297" spans="20:31" ht="14.4">
      <c r="T2297" s="25" t="s">
        <v>931</v>
      </c>
      <c r="U2297" s="25" t="s">
        <v>837</v>
      </c>
      <c r="V2297" s="25" t="s">
        <v>910</v>
      </c>
      <c r="W2297" s="25" t="str">
        <f t="shared" si="54"/>
        <v>Square Cassette with Side ChannelsRevealStandard Spring</v>
      </c>
      <c r="X2297" s="25">
        <v>10</v>
      </c>
      <c r="Y2297" s="25">
        <v>14</v>
      </c>
      <c r="Z2297" s="25">
        <v>14</v>
      </c>
      <c r="AA2297" s="25">
        <v>88</v>
      </c>
      <c r="AB2297" s="25" t="s">
        <v>821</v>
      </c>
      <c r="AC2297" s="25" t="s">
        <v>818</v>
      </c>
      <c r="AD2297" s="25" t="s">
        <v>821</v>
      </c>
      <c r="AE2297" s="25" t="s">
        <v>818</v>
      </c>
    </row>
    <row r="2298" spans="20:31" ht="14.4">
      <c r="T2298" s="25" t="s">
        <v>931</v>
      </c>
      <c r="U2298" s="25" t="s">
        <v>837</v>
      </c>
      <c r="V2298" s="25" t="s">
        <v>920</v>
      </c>
      <c r="W2298" s="25" t="str">
        <f t="shared" si="54"/>
        <v>Square Cassette with Side ChannelsRevealSmall Spring</v>
      </c>
      <c r="X2298" s="25">
        <v>10</v>
      </c>
      <c r="Y2298" s="25">
        <v>14</v>
      </c>
      <c r="Z2298" s="25">
        <v>14</v>
      </c>
      <c r="AA2298" s="25">
        <v>88</v>
      </c>
      <c r="AB2298" s="25" t="s">
        <v>821</v>
      </c>
      <c r="AC2298" s="25" t="s">
        <v>818</v>
      </c>
      <c r="AD2298" s="25" t="s">
        <v>821</v>
      </c>
      <c r="AE2298" s="25" t="s">
        <v>818</v>
      </c>
    </row>
    <row r="2299" spans="20:31" ht="14.4">
      <c r="T2299" s="25" t="s">
        <v>931</v>
      </c>
      <c r="U2299" s="25" t="s">
        <v>837</v>
      </c>
      <c r="V2299" s="25" t="s">
        <v>929</v>
      </c>
      <c r="W2299" s="25" t="str">
        <f t="shared" si="54"/>
        <v>Square Cassette with Side ChannelsRevealUniline Spring (Old Style)</v>
      </c>
      <c r="X2299" s="25">
        <v>10</v>
      </c>
      <c r="Y2299" s="25">
        <v>14</v>
      </c>
      <c r="Z2299" s="25">
        <v>14</v>
      </c>
      <c r="AA2299" s="25">
        <v>88</v>
      </c>
      <c r="AB2299" s="25" t="s">
        <v>821</v>
      </c>
      <c r="AC2299" s="25" t="s">
        <v>818</v>
      </c>
      <c r="AD2299" s="25" t="s">
        <v>821</v>
      </c>
      <c r="AE2299" s="25" t="s">
        <v>818</v>
      </c>
    </row>
    <row r="2300" spans="20:31" ht="14.4">
      <c r="T2300" s="25" t="s">
        <v>931</v>
      </c>
      <c r="U2300" s="25" t="s">
        <v>837</v>
      </c>
      <c r="V2300" s="25" t="s">
        <v>935</v>
      </c>
      <c r="W2300" s="25" t="str">
        <f t="shared" si="54"/>
        <v>Square Cassette with Side ChannelsRevealBecker Remote Motor</v>
      </c>
      <c r="X2300" s="25">
        <v>10</v>
      </c>
      <c r="Y2300" s="25">
        <v>14</v>
      </c>
      <c r="Z2300" s="25">
        <v>14</v>
      </c>
      <c r="AA2300" s="25">
        <v>88</v>
      </c>
      <c r="AB2300" s="25" t="s">
        <v>821</v>
      </c>
      <c r="AC2300" s="25" t="s">
        <v>818</v>
      </c>
      <c r="AD2300" s="25" t="s">
        <v>821</v>
      </c>
      <c r="AE2300" s="25" t="s">
        <v>818</v>
      </c>
    </row>
    <row r="2301" spans="20:31" ht="14.4">
      <c r="T2301" s="25" t="s">
        <v>931</v>
      </c>
      <c r="U2301" s="25" t="s">
        <v>837</v>
      </c>
      <c r="V2301" s="25" t="s">
        <v>939</v>
      </c>
      <c r="W2301" s="25" t="str">
        <f t="shared" si="54"/>
        <v>Square Cassette with Side ChannelsRevealBecker CBUS Motor</v>
      </c>
      <c r="X2301" s="25">
        <v>10</v>
      </c>
      <c r="Y2301" s="25">
        <v>14</v>
      </c>
      <c r="Z2301" s="25">
        <v>14</v>
      </c>
      <c r="AA2301" s="25">
        <v>88</v>
      </c>
      <c r="AB2301" s="25" t="s">
        <v>821</v>
      </c>
      <c r="AC2301" s="25" t="s">
        <v>818</v>
      </c>
      <c r="AD2301" s="25" t="s">
        <v>821</v>
      </c>
      <c r="AE2301" s="25" t="s">
        <v>818</v>
      </c>
    </row>
    <row r="2302" spans="20:31" ht="14.4">
      <c r="T2302" s="25" t="s">
        <v>931</v>
      </c>
      <c r="U2302" s="25" t="s">
        <v>837</v>
      </c>
      <c r="V2302" s="25" t="s">
        <v>946</v>
      </c>
      <c r="W2302" s="25" t="str">
        <f t="shared" si="54"/>
        <v>Square Cassette with Side ChannelsRevealBecker External Remote Motor</v>
      </c>
      <c r="X2302" s="25">
        <v>10</v>
      </c>
      <c r="Y2302" s="25">
        <v>14</v>
      </c>
      <c r="Z2302" s="25">
        <v>14</v>
      </c>
      <c r="AA2302" s="25">
        <v>88</v>
      </c>
      <c r="AB2302" s="25" t="s">
        <v>821</v>
      </c>
      <c r="AC2302" s="25" t="s">
        <v>818</v>
      </c>
      <c r="AD2302" s="25" t="s">
        <v>821</v>
      </c>
      <c r="AE2302" s="25" t="s">
        <v>818</v>
      </c>
    </row>
    <row r="2303" spans="20:31" ht="14.4">
      <c r="T2303" s="25" t="s">
        <v>931</v>
      </c>
      <c r="U2303" s="25" t="s">
        <v>837</v>
      </c>
      <c r="V2303" s="25" t="s">
        <v>951</v>
      </c>
      <c r="W2303" s="25" t="str">
        <f t="shared" si="54"/>
        <v>Square Cassette with Side ChannelsRevealBecker External CBUS Motor</v>
      </c>
      <c r="X2303" s="25">
        <v>10</v>
      </c>
      <c r="Y2303" s="25">
        <v>14</v>
      </c>
      <c r="Z2303" s="25">
        <v>14</v>
      </c>
      <c r="AA2303" s="25">
        <v>88</v>
      </c>
      <c r="AB2303" s="25" t="s">
        <v>821</v>
      </c>
      <c r="AC2303" s="25" t="s">
        <v>818</v>
      </c>
      <c r="AD2303" s="25" t="s">
        <v>821</v>
      </c>
      <c r="AE2303" s="25" t="s">
        <v>818</v>
      </c>
    </row>
    <row r="2304" spans="20:31" ht="14.4">
      <c r="T2304" s="25" t="s">
        <v>931</v>
      </c>
      <c r="U2304" s="25" t="s">
        <v>837</v>
      </c>
      <c r="V2304" s="25" t="s">
        <v>838</v>
      </c>
      <c r="W2304" s="25" t="str">
        <f t="shared" si="54"/>
        <v>Square Cassette with Side ChannelsReveal1.1nm 12v Acmeda Motor</v>
      </c>
      <c r="X2304" s="25">
        <v>10</v>
      </c>
      <c r="Y2304" s="25">
        <v>14</v>
      </c>
      <c r="Z2304" s="25">
        <v>14</v>
      </c>
      <c r="AA2304" s="25">
        <v>88</v>
      </c>
      <c r="AB2304" s="25" t="s">
        <v>821</v>
      </c>
      <c r="AC2304" s="25" t="s">
        <v>818</v>
      </c>
      <c r="AD2304" s="25" t="s">
        <v>821</v>
      </c>
      <c r="AE2304" s="25" t="s">
        <v>818</v>
      </c>
    </row>
    <row r="2305" spans="20:31" ht="14.4">
      <c r="T2305" s="25" t="s">
        <v>931</v>
      </c>
      <c r="U2305" s="25" t="s">
        <v>837</v>
      </c>
      <c r="V2305" t="s">
        <v>882</v>
      </c>
      <c r="W2305" s="25" t="str">
        <f t="shared" si="54"/>
        <v>Square Cassette with Side ChannelsReveal2nm 12v Acmeda Motor</v>
      </c>
      <c r="X2305" s="25">
        <v>10</v>
      </c>
      <c r="Y2305" s="25">
        <v>14</v>
      </c>
      <c r="Z2305" s="25">
        <v>14</v>
      </c>
      <c r="AA2305" s="25">
        <v>88</v>
      </c>
      <c r="AB2305" s="25" t="s">
        <v>821</v>
      </c>
      <c r="AC2305" s="25" t="s">
        <v>818</v>
      </c>
      <c r="AD2305" s="25" t="s">
        <v>821</v>
      </c>
      <c r="AE2305" s="25" t="s">
        <v>818</v>
      </c>
    </row>
    <row r="2306" spans="20:31" ht="14.4">
      <c r="T2306" s="25" t="s">
        <v>931</v>
      </c>
      <c r="U2306" s="25" t="s">
        <v>837</v>
      </c>
      <c r="V2306" t="s">
        <v>896</v>
      </c>
      <c r="W2306" s="25" t="str">
        <f t="shared" si="54"/>
        <v>Square Cassette with Side ChannelsRevealAcmeda 12v 6nm Motor</v>
      </c>
      <c r="X2306" s="25">
        <v>10</v>
      </c>
      <c r="Y2306" s="25">
        <v>14</v>
      </c>
      <c r="Z2306" s="25">
        <v>14</v>
      </c>
      <c r="AA2306" s="25">
        <v>88</v>
      </c>
      <c r="AB2306" s="25" t="s">
        <v>821</v>
      </c>
      <c r="AC2306" s="25" t="s">
        <v>818</v>
      </c>
      <c r="AD2306" s="25" t="s">
        <v>821</v>
      </c>
      <c r="AE2306" s="25" t="s">
        <v>818</v>
      </c>
    </row>
    <row r="2307" spans="20:31" ht="14.4">
      <c r="T2307" s="25" t="s">
        <v>931</v>
      </c>
      <c r="U2307" s="25" t="s">
        <v>837</v>
      </c>
      <c r="V2307" t="s">
        <v>855</v>
      </c>
      <c r="W2307" s="25" t="str">
        <f t="shared" si="55" ref="W2307:W2370">CONCATENATE(T2307,U2307,V2307)</f>
        <v>Square Cassette with Side ChannelsReveal0.7nm 12v Acmeda Motor</v>
      </c>
      <c r="X2307" s="25">
        <v>10</v>
      </c>
      <c r="Y2307" s="25">
        <v>14</v>
      </c>
      <c r="Z2307" s="25">
        <v>14</v>
      </c>
      <c r="AA2307" s="25">
        <v>88</v>
      </c>
      <c r="AB2307" s="25" t="s">
        <v>821</v>
      </c>
      <c r="AC2307" s="25" t="s">
        <v>818</v>
      </c>
      <c r="AD2307" s="25" t="s">
        <v>821</v>
      </c>
      <c r="AE2307" s="25" t="s">
        <v>818</v>
      </c>
    </row>
    <row r="2308" spans="20:31" ht="14.4">
      <c r="T2308" s="25" t="s">
        <v>931</v>
      </c>
      <c r="U2308" s="25" t="s">
        <v>837</v>
      </c>
      <c r="V2308" s="25" t="s">
        <v>849</v>
      </c>
      <c r="W2308" s="25" t="str">
        <f t="shared" si="55"/>
        <v>Square Cassette with Side ChannelsReveal1.1nm 12v Acmeda DCRF Motor with External Battery</v>
      </c>
      <c r="X2308" s="25">
        <v>10</v>
      </c>
      <c r="Y2308" s="25">
        <v>14</v>
      </c>
      <c r="Z2308" s="25">
        <v>14</v>
      </c>
      <c r="AA2308" s="25">
        <v>88</v>
      </c>
      <c r="AB2308" s="25" t="s">
        <v>821</v>
      </c>
      <c r="AC2308" s="25" t="s">
        <v>818</v>
      </c>
      <c r="AD2308" s="25" t="s">
        <v>821</v>
      </c>
      <c r="AE2308" s="25" t="s">
        <v>818</v>
      </c>
    </row>
    <row r="2309" spans="20:31" ht="14.4">
      <c r="T2309" s="25" t="s">
        <v>931</v>
      </c>
      <c r="U2309" s="25" t="s">
        <v>837</v>
      </c>
      <c r="V2309" s="25" t="s">
        <v>817</v>
      </c>
      <c r="W2309" s="25" t="str">
        <f t="shared" si="55"/>
        <v>Square Cassette with Side ChannelsReveal1.1nm 12v Acmeda DCRF Motor</v>
      </c>
      <c r="X2309" s="25">
        <v>10</v>
      </c>
      <c r="Y2309" s="25">
        <v>14</v>
      </c>
      <c r="Z2309" s="25">
        <v>14</v>
      </c>
      <c r="AA2309" s="25">
        <v>88</v>
      </c>
      <c r="AB2309" s="25" t="s">
        <v>821</v>
      </c>
      <c r="AC2309" s="25" t="s">
        <v>818</v>
      </c>
      <c r="AD2309" s="25" t="s">
        <v>821</v>
      </c>
      <c r="AE2309" s="25" t="s">
        <v>818</v>
      </c>
    </row>
    <row r="2310" spans="20:31" ht="14.4">
      <c r="T2310" s="25" t="s">
        <v>931</v>
      </c>
      <c r="U2310" s="25" t="s">
        <v>837</v>
      </c>
      <c r="V2310" s="25" t="s">
        <v>868</v>
      </c>
      <c r="W2310" s="25" t="str">
        <f t="shared" si="55"/>
        <v>Square Cassette with Side ChannelsReveal2nm 12v Acmeda DCRF Motor</v>
      </c>
      <c r="X2310" s="25">
        <v>10</v>
      </c>
      <c r="Y2310" s="25">
        <v>14</v>
      </c>
      <c r="Z2310" s="25">
        <v>14</v>
      </c>
      <c r="AA2310" s="25">
        <v>88</v>
      </c>
      <c r="AB2310" s="25" t="s">
        <v>821</v>
      </c>
      <c r="AC2310" s="25" t="s">
        <v>818</v>
      </c>
      <c r="AD2310" s="25" t="s">
        <v>821</v>
      </c>
      <c r="AE2310" s="25" t="s">
        <v>818</v>
      </c>
    </row>
    <row r="2311" spans="20:31" ht="14.4">
      <c r="T2311" s="25" t="s">
        <v>931</v>
      </c>
      <c r="U2311" s="25" t="s">
        <v>837</v>
      </c>
      <c r="V2311" t="s">
        <v>973</v>
      </c>
      <c r="W2311" s="25" t="str">
        <f t="shared" si="55"/>
        <v>Square Cassette with Side ChannelsRevealSomfy Remote Sonesse Motor</v>
      </c>
      <c r="X2311" s="25">
        <v>10</v>
      </c>
      <c r="Y2311" s="25">
        <v>14</v>
      </c>
      <c r="Z2311" s="25">
        <v>14</v>
      </c>
      <c r="AA2311" s="25">
        <v>88</v>
      </c>
      <c r="AB2311" s="25" t="s">
        <v>821</v>
      </c>
      <c r="AC2311" s="25" t="s">
        <v>818</v>
      </c>
      <c r="AD2311" s="25" t="s">
        <v>821</v>
      </c>
      <c r="AE2311" s="25" t="s">
        <v>818</v>
      </c>
    </row>
    <row r="2312" spans="20:31" ht="14.4">
      <c r="T2312" s="25" t="s">
        <v>931</v>
      </c>
      <c r="U2312" s="25" t="s">
        <v>837</v>
      </c>
      <c r="V2312" t="s">
        <v>637</v>
      </c>
      <c r="W2312" s="25" t="str">
        <f t="shared" si="55"/>
        <v>Square Cassette with Side ChannelsRevealSomfy 12v Remote Sonesse Motor</v>
      </c>
      <c r="X2312" s="25">
        <v>10</v>
      </c>
      <c r="Y2312" s="25">
        <v>14</v>
      </c>
      <c r="Z2312" s="25">
        <v>14</v>
      </c>
      <c r="AA2312" s="25">
        <v>88</v>
      </c>
      <c r="AB2312" s="25" t="s">
        <v>821</v>
      </c>
      <c r="AC2312" s="25" t="s">
        <v>818</v>
      </c>
      <c r="AD2312" s="25" t="s">
        <v>821</v>
      </c>
      <c r="AE2312" s="25" t="s">
        <v>818</v>
      </c>
    </row>
    <row r="2313" spans="20:31" ht="14.4">
      <c r="T2313" s="25" t="s">
        <v>931</v>
      </c>
      <c r="U2313" s="25" t="s">
        <v>837</v>
      </c>
      <c r="V2313" s="25" t="s">
        <v>974</v>
      </c>
      <c r="W2313" s="25" t="str">
        <f t="shared" si="55"/>
        <v>Square Cassette with Side ChannelsRevealSomfy CBUS Motor</v>
      </c>
      <c r="X2313" s="25">
        <v>10</v>
      </c>
      <c r="Y2313" s="25">
        <v>14</v>
      </c>
      <c r="Z2313" s="25">
        <v>14</v>
      </c>
      <c r="AA2313" s="25">
        <v>88</v>
      </c>
      <c r="AB2313" s="25" t="s">
        <v>821</v>
      </c>
      <c r="AC2313" s="25" t="s">
        <v>818</v>
      </c>
      <c r="AD2313" s="25" t="s">
        <v>821</v>
      </c>
      <c r="AE2313" s="25" t="s">
        <v>818</v>
      </c>
    </row>
    <row r="2314" spans="20:31" ht="14.4">
      <c r="T2314" s="25" t="s">
        <v>931</v>
      </c>
      <c r="U2314" s="25" t="s">
        <v>837</v>
      </c>
      <c r="V2314" t="s">
        <v>986</v>
      </c>
      <c r="W2314" s="25" t="str">
        <f t="shared" si="55"/>
        <v>Square Cassette with Side ChannelsRevealHD Somfy Remote Sonesse Motor</v>
      </c>
      <c r="X2314" s="25">
        <v>10</v>
      </c>
      <c r="Y2314" s="25">
        <v>14</v>
      </c>
      <c r="Z2314" s="25">
        <v>14</v>
      </c>
      <c r="AA2314" s="25">
        <v>88</v>
      </c>
      <c r="AB2314" s="25" t="s">
        <v>821</v>
      </c>
      <c r="AC2314" s="25" t="s">
        <v>818</v>
      </c>
      <c r="AD2314" s="25" t="s">
        <v>821</v>
      </c>
      <c r="AE2314" s="25" t="s">
        <v>818</v>
      </c>
    </row>
    <row r="2315" spans="20:31" ht="14.4">
      <c r="T2315" s="25" t="s">
        <v>931</v>
      </c>
      <c r="U2315" s="25" t="s">
        <v>837</v>
      </c>
      <c r="V2315" t="s">
        <v>989</v>
      </c>
      <c r="W2315" s="25" t="str">
        <f t="shared" si="55"/>
        <v>Square Cassette with Side ChannelsRevealHD Somfy 12v Remote Sonesse Motor</v>
      </c>
      <c r="X2315" s="25">
        <v>10</v>
      </c>
      <c r="Y2315" s="25">
        <v>14</v>
      </c>
      <c r="Z2315" s="25">
        <v>14</v>
      </c>
      <c r="AA2315" s="25">
        <v>88</v>
      </c>
      <c r="AB2315" s="25" t="s">
        <v>821</v>
      </c>
      <c r="AC2315" s="25" t="s">
        <v>818</v>
      </c>
      <c r="AD2315" s="25" t="s">
        <v>821</v>
      </c>
      <c r="AE2315" s="25" t="s">
        <v>818</v>
      </c>
    </row>
    <row r="2316" spans="20:31" ht="14.4">
      <c r="T2316" s="25" t="s">
        <v>931</v>
      </c>
      <c r="U2316" s="25" t="s">
        <v>837</v>
      </c>
      <c r="V2316" s="25" t="s">
        <v>992</v>
      </c>
      <c r="W2316" s="25" t="str">
        <f t="shared" si="55"/>
        <v>Square Cassette with Side ChannelsRevealHD Somfy CBUS Motor</v>
      </c>
      <c r="X2316" s="25">
        <v>10</v>
      </c>
      <c r="Y2316" s="25">
        <v>14</v>
      </c>
      <c r="Z2316" s="25">
        <v>14</v>
      </c>
      <c r="AA2316" s="25">
        <v>88</v>
      </c>
      <c r="AB2316" s="25" t="s">
        <v>821</v>
      </c>
      <c r="AC2316" s="25" t="s">
        <v>818</v>
      </c>
      <c r="AD2316" s="25" t="s">
        <v>821</v>
      </c>
      <c r="AE2316" s="25" t="s">
        <v>818</v>
      </c>
    </row>
    <row r="2317" spans="20:31" ht="14.4">
      <c r="T2317" s="25" t="s">
        <v>931</v>
      </c>
      <c r="U2317" s="25" t="s">
        <v>837</v>
      </c>
      <c r="V2317" s="25" t="s">
        <v>625</v>
      </c>
      <c r="W2317" s="25" t="str">
        <f t="shared" si="55"/>
        <v>Square Cassette with Side ChannelsRevealAcmeda E6 Motor</v>
      </c>
      <c r="X2317" s="25">
        <v>10</v>
      </c>
      <c r="Y2317" s="25">
        <v>14</v>
      </c>
      <c r="Z2317" s="25">
        <v>14</v>
      </c>
      <c r="AA2317" s="25">
        <v>88</v>
      </c>
      <c r="AB2317" s="25" t="s">
        <v>821</v>
      </c>
      <c r="AC2317" s="25" t="s">
        <v>818</v>
      </c>
      <c r="AD2317" s="25" t="s">
        <v>821</v>
      </c>
      <c r="AE2317" s="25" t="s">
        <v>818</v>
      </c>
    </row>
    <row r="2318" spans="20:31" ht="14.4">
      <c r="T2318" s="25" t="s">
        <v>931</v>
      </c>
      <c r="U2318" s="25" t="s">
        <v>837</v>
      </c>
      <c r="V2318" s="25" t="s">
        <v>626</v>
      </c>
      <c r="W2318" s="25" t="str">
        <f t="shared" si="55"/>
        <v>Square Cassette with Side ChannelsRevealAcmeda M6 Motor</v>
      </c>
      <c r="X2318" s="25">
        <v>10</v>
      </c>
      <c r="Y2318" s="25">
        <v>14</v>
      </c>
      <c r="Z2318" s="25">
        <v>14</v>
      </c>
      <c r="AA2318" s="25">
        <v>88</v>
      </c>
      <c r="AB2318" s="25" t="s">
        <v>821</v>
      </c>
      <c r="AC2318" s="25" t="s">
        <v>818</v>
      </c>
      <c r="AD2318" s="25" t="s">
        <v>821</v>
      </c>
      <c r="AE2318" s="25" t="s">
        <v>818</v>
      </c>
    </row>
    <row r="2319" spans="20:31" ht="14.4">
      <c r="T2319" s="25" t="s">
        <v>931</v>
      </c>
      <c r="U2319" s="25" t="s">
        <v>837</v>
      </c>
      <c r="V2319" s="25" t="s">
        <v>1002</v>
      </c>
      <c r="W2319" s="25" t="str">
        <f t="shared" si="55"/>
        <v>Square Cassette with Side ChannelsRevealUniline Remote Motor</v>
      </c>
      <c r="X2319" s="25">
        <v>10</v>
      </c>
      <c r="Y2319" s="25">
        <v>14</v>
      </c>
      <c r="Z2319" s="25">
        <v>14</v>
      </c>
      <c r="AA2319" s="25">
        <v>88</v>
      </c>
      <c r="AB2319" s="25" t="s">
        <v>821</v>
      </c>
      <c r="AC2319" s="25" t="s">
        <v>818</v>
      </c>
      <c r="AD2319" s="25" t="s">
        <v>821</v>
      </c>
      <c r="AE2319" s="25" t="s">
        <v>818</v>
      </c>
    </row>
    <row r="2320" spans="20:31" ht="14.4">
      <c r="T2320" s="25" t="s">
        <v>931</v>
      </c>
      <c r="U2320" s="25" t="s">
        <v>837</v>
      </c>
      <c r="V2320" s="25" t="s">
        <v>1005</v>
      </c>
      <c r="W2320" s="25" t="str">
        <f t="shared" si="55"/>
        <v>Square Cassette with Side ChannelsRevealUniline Cbus Motor</v>
      </c>
      <c r="X2320" s="25">
        <v>10</v>
      </c>
      <c r="Y2320" s="25">
        <v>14</v>
      </c>
      <c r="Z2320" s="25">
        <v>14</v>
      </c>
      <c r="AA2320" s="25">
        <v>88</v>
      </c>
      <c r="AB2320" s="25" t="s">
        <v>821</v>
      </c>
      <c r="AC2320" s="25" t="s">
        <v>818</v>
      </c>
      <c r="AD2320" s="25" t="s">
        <v>821</v>
      </c>
      <c r="AE2320" s="25" t="s">
        <v>818</v>
      </c>
    </row>
    <row r="2321" spans="20:31" ht="14.4">
      <c r="T2321" s="25" t="s">
        <v>931</v>
      </c>
      <c r="U2321" s="25" t="s">
        <v>837</v>
      </c>
      <c r="V2321" s="25" t="s">
        <v>981</v>
      </c>
      <c r="W2321" s="25" t="str">
        <f t="shared" si="55"/>
        <v>Square Cassette with Side ChannelsRevealNice Remote Motor</v>
      </c>
      <c r="X2321" s="25">
        <v>10</v>
      </c>
      <c r="Y2321" s="25">
        <v>14</v>
      </c>
      <c r="Z2321" s="25">
        <v>14</v>
      </c>
      <c r="AA2321" s="25">
        <v>88</v>
      </c>
      <c r="AB2321" s="25" t="s">
        <v>821</v>
      </c>
      <c r="AC2321" s="25" t="s">
        <v>818</v>
      </c>
      <c r="AD2321" s="25" t="s">
        <v>821</v>
      </c>
      <c r="AE2321" s="25" t="s">
        <v>818</v>
      </c>
    </row>
    <row r="2322" spans="20:31" ht="14.4">
      <c r="T2322" s="25" t="s">
        <v>931</v>
      </c>
      <c r="U2322" s="25" t="s">
        <v>837</v>
      </c>
      <c r="V2322" s="25" t="s">
        <v>976</v>
      </c>
      <c r="W2322" s="25" t="str">
        <f t="shared" si="55"/>
        <v>Square Cassette with Side ChannelsRevealNice CBus Motor</v>
      </c>
      <c r="X2322" s="25">
        <v>10</v>
      </c>
      <c r="Y2322" s="25">
        <v>14</v>
      </c>
      <c r="Z2322" s="25">
        <v>14</v>
      </c>
      <c r="AA2322" s="25">
        <v>88</v>
      </c>
      <c r="AB2322" s="25" t="s">
        <v>821</v>
      </c>
      <c r="AC2322" s="25" t="s">
        <v>818</v>
      </c>
      <c r="AD2322" s="25" t="s">
        <v>821</v>
      </c>
      <c r="AE2322" s="25" t="s">
        <v>818</v>
      </c>
    </row>
    <row r="2323" spans="20:31" ht="14.4">
      <c r="T2323" s="25" t="s">
        <v>931</v>
      </c>
      <c r="U2323" s="25" t="s">
        <v>837</v>
      </c>
      <c r="V2323" t="s">
        <v>1006</v>
      </c>
      <c r="W2323" s="25" t="str">
        <f t="shared" si="55"/>
        <v>Square Cassette with Side ChannelsRevealSunboss Chain Winder 38mm Tube</v>
      </c>
      <c r="X2323" s="25">
        <v>10</v>
      </c>
      <c r="Y2323" s="25">
        <v>14</v>
      </c>
      <c r="Z2323" s="25">
        <v>14</v>
      </c>
      <c r="AA2323" s="25">
        <v>88</v>
      </c>
      <c r="AB2323" s="25" t="s">
        <v>821</v>
      </c>
      <c r="AC2323" s="25" t="s">
        <v>818</v>
      </c>
      <c r="AD2323" s="25" t="s">
        <v>821</v>
      </c>
      <c r="AE2323" s="25" t="s">
        <v>818</v>
      </c>
    </row>
    <row r="2324" spans="20:31" ht="14.4">
      <c r="T2324" s="25" t="s">
        <v>931</v>
      </c>
      <c r="U2324" s="25" t="s">
        <v>837</v>
      </c>
      <c r="V2324" t="s">
        <v>1017</v>
      </c>
      <c r="W2324" s="25" t="str">
        <f t="shared" si="55"/>
        <v>Square Cassette with Side ChannelsRevealSunboss Chain Winder 43mm Tube</v>
      </c>
      <c r="X2324" s="25">
        <v>10</v>
      </c>
      <c r="Y2324" s="25">
        <v>14</v>
      </c>
      <c r="Z2324" s="25">
        <v>14</v>
      </c>
      <c r="AA2324" s="25">
        <v>88</v>
      </c>
      <c r="AB2324" s="25" t="s">
        <v>821</v>
      </c>
      <c r="AC2324" s="25" t="s">
        <v>818</v>
      </c>
      <c r="AD2324" s="25" t="s">
        <v>821</v>
      </c>
      <c r="AE2324" s="25" t="s">
        <v>818</v>
      </c>
    </row>
    <row r="2325" spans="20:31" ht="14.4">
      <c r="T2325" s="25" t="s">
        <v>931</v>
      </c>
      <c r="U2325" s="25" t="s">
        <v>837</v>
      </c>
      <c r="V2325" s="25" t="s">
        <v>1012</v>
      </c>
      <c r="W2325" s="25" t="str">
        <f t="shared" si="55"/>
        <v>Square Cassette with Side ChannelsRevealTBS Remote Motor</v>
      </c>
      <c r="X2325" s="25">
        <v>10</v>
      </c>
      <c r="Y2325" s="25">
        <v>14</v>
      </c>
      <c r="Z2325" s="25">
        <v>14</v>
      </c>
      <c r="AA2325" s="25">
        <v>88</v>
      </c>
      <c r="AB2325" s="25" t="s">
        <v>821</v>
      </c>
      <c r="AC2325" s="25" t="s">
        <v>818</v>
      </c>
      <c r="AD2325" s="25" t="s">
        <v>821</v>
      </c>
      <c r="AE2325" s="25" t="s">
        <v>818</v>
      </c>
    </row>
    <row r="2326" spans="20:31" ht="14.4">
      <c r="T2326" s="25" t="s">
        <v>931</v>
      </c>
      <c r="U2326" s="25" t="s">
        <v>837</v>
      </c>
      <c r="V2326" t="s">
        <v>1009</v>
      </c>
      <c r="W2326" s="25" t="str">
        <f t="shared" si="55"/>
        <v>Square Cassette with Side ChannelsRevealTBS Cbus Motor</v>
      </c>
      <c r="X2326" s="25">
        <v>10</v>
      </c>
      <c r="Y2326" s="25">
        <v>14</v>
      </c>
      <c r="Z2326" s="25">
        <v>14</v>
      </c>
      <c r="AA2326" s="25">
        <v>88</v>
      </c>
      <c r="AB2326" s="25" t="s">
        <v>821</v>
      </c>
      <c r="AC2326" s="25" t="s">
        <v>818</v>
      </c>
      <c r="AD2326" s="25" t="s">
        <v>821</v>
      </c>
      <c r="AE2326" s="25" t="s">
        <v>818</v>
      </c>
    </row>
    <row r="2327" spans="20:31" ht="14.4">
      <c r="T2327" s="25" t="s">
        <v>931</v>
      </c>
      <c r="U2327" s="25" t="s">
        <v>837</v>
      </c>
      <c r="V2327" t="s">
        <v>927</v>
      </c>
      <c r="W2327" s="25" t="str">
        <f t="shared" si="55"/>
        <v>Square Cassette with Side ChannelsRevealAcmeda External Motor</v>
      </c>
      <c r="X2327" s="25">
        <v>10</v>
      </c>
      <c r="Y2327" s="25">
        <v>14</v>
      </c>
      <c r="Z2327" s="25">
        <v>14</v>
      </c>
      <c r="AA2327" s="25">
        <v>88</v>
      </c>
      <c r="AB2327" s="25" t="s">
        <v>821</v>
      </c>
      <c r="AC2327" s="25" t="s">
        <v>818</v>
      </c>
      <c r="AD2327" s="25" t="s">
        <v>821</v>
      </c>
      <c r="AE2327" s="25" t="s">
        <v>818</v>
      </c>
    </row>
    <row r="2328" spans="20:31" ht="14.4">
      <c r="T2328" s="25" t="s">
        <v>931</v>
      </c>
      <c r="U2328" s="25" t="s">
        <v>837</v>
      </c>
      <c r="V2328" t="s">
        <v>918</v>
      </c>
      <c r="W2328" s="25" t="str">
        <f t="shared" si="55"/>
        <v>Square Cassette with Side ChannelsRevealAcmeda External 12v Motor</v>
      </c>
      <c r="X2328" s="25">
        <v>10</v>
      </c>
      <c r="Y2328" s="25">
        <v>14</v>
      </c>
      <c r="Z2328" s="25">
        <v>14</v>
      </c>
      <c r="AA2328" s="25">
        <v>88</v>
      </c>
      <c r="AB2328" s="25" t="s">
        <v>821</v>
      </c>
      <c r="AC2328" s="25" t="s">
        <v>818</v>
      </c>
      <c r="AD2328" s="25" t="s">
        <v>821</v>
      </c>
      <c r="AE2328" s="25" t="s">
        <v>818</v>
      </c>
    </row>
    <row r="2329" spans="20:31" ht="14.4">
      <c r="T2329" s="25" t="s">
        <v>931</v>
      </c>
      <c r="U2329" s="25" t="s">
        <v>837</v>
      </c>
      <c r="V2329" t="s">
        <v>979</v>
      </c>
      <c r="W2329" s="25" t="str">
        <f t="shared" si="55"/>
        <v>Square Cassette with Side ChannelsRevealSomfy External CBUS Motor</v>
      </c>
      <c r="X2329" s="25">
        <v>10</v>
      </c>
      <c r="Y2329" s="25">
        <v>14</v>
      </c>
      <c r="Z2329" s="25">
        <v>14</v>
      </c>
      <c r="AA2329" s="25">
        <v>88</v>
      </c>
      <c r="AB2329" s="25" t="s">
        <v>821</v>
      </c>
      <c r="AC2329" s="25" t="s">
        <v>818</v>
      </c>
      <c r="AD2329" s="25" t="s">
        <v>821</v>
      </c>
      <c r="AE2329" s="25" t="s">
        <v>818</v>
      </c>
    </row>
    <row r="2330" spans="20:31" ht="14.4">
      <c r="T2330" s="25" t="s">
        <v>931</v>
      </c>
      <c r="U2330" s="25" t="s">
        <v>837</v>
      </c>
      <c r="V2330" t="s">
        <v>983</v>
      </c>
      <c r="W2330" s="25" t="str">
        <f t="shared" si="55"/>
        <v>Square Cassette with Side ChannelsRevealSomfy External Remote Motor</v>
      </c>
      <c r="X2330" s="25">
        <v>10</v>
      </c>
      <c r="Y2330" s="25">
        <v>14</v>
      </c>
      <c r="Z2330" s="25">
        <v>14</v>
      </c>
      <c r="AA2330" s="25">
        <v>88</v>
      </c>
      <c r="AB2330" s="25" t="s">
        <v>821</v>
      </c>
      <c r="AC2330" s="25" t="s">
        <v>818</v>
      </c>
      <c r="AD2330" s="25" t="s">
        <v>821</v>
      </c>
      <c r="AE2330" s="25" t="s">
        <v>818</v>
      </c>
    </row>
    <row r="2331" spans="20:31" ht="14.4">
      <c r="T2331" s="25" t="s">
        <v>931</v>
      </c>
      <c r="U2331" s="25" t="s">
        <v>837</v>
      </c>
      <c r="V2331" t="s">
        <v>995</v>
      </c>
      <c r="W2331" s="25" t="str">
        <f t="shared" si="55"/>
        <v>Square Cassette with Side ChannelsRevealHD Somfy External CBUS Motor</v>
      </c>
      <c r="X2331" s="25">
        <v>10</v>
      </c>
      <c r="Y2331" s="25">
        <v>14</v>
      </c>
      <c r="Z2331" s="25">
        <v>14</v>
      </c>
      <c r="AA2331" s="25">
        <v>88</v>
      </c>
      <c r="AB2331" s="25" t="s">
        <v>821</v>
      </c>
      <c r="AC2331" s="25" t="s">
        <v>818</v>
      </c>
      <c r="AD2331" s="25" t="s">
        <v>821</v>
      </c>
      <c r="AE2331" s="25" t="s">
        <v>818</v>
      </c>
    </row>
    <row r="2332" spans="20:31" ht="14.4">
      <c r="T2332" s="25" t="s">
        <v>931</v>
      </c>
      <c r="U2332" s="25" t="s">
        <v>837</v>
      </c>
      <c r="V2332" t="s">
        <v>999</v>
      </c>
      <c r="W2332" s="25" t="str">
        <f t="shared" si="55"/>
        <v>Square Cassette with Side ChannelsRevealHD Somfy External Remote Motor</v>
      </c>
      <c r="X2332" s="25">
        <v>10</v>
      </c>
      <c r="Y2332" s="25">
        <v>14</v>
      </c>
      <c r="Z2332" s="25">
        <v>14</v>
      </c>
      <c r="AA2332" s="25">
        <v>88</v>
      </c>
      <c r="AB2332" s="25" t="s">
        <v>821</v>
      </c>
      <c r="AC2332" s="25" t="s">
        <v>818</v>
      </c>
      <c r="AD2332" s="25" t="s">
        <v>821</v>
      </c>
      <c r="AE2332" s="25" t="s">
        <v>818</v>
      </c>
    </row>
    <row r="2333" spans="20:31" ht="14.4">
      <c r="T2333" s="25" t="s">
        <v>937</v>
      </c>
      <c r="U2333" s="25" t="s">
        <v>816</v>
      </c>
      <c r="V2333" s="25" t="s">
        <v>823</v>
      </c>
      <c r="W2333" s="25" t="str">
        <f t="shared" si="55"/>
        <v>Square Cassette with Side &amp; Bottom ChannelsFaceChain Winder</v>
      </c>
      <c r="X2333" s="25">
        <v>10</v>
      </c>
      <c r="Y2333" s="25">
        <v>14</v>
      </c>
      <c r="Z2333" s="25">
        <v>29</v>
      </c>
      <c r="AA2333" s="25">
        <v>88</v>
      </c>
      <c r="AB2333" s="25" t="s">
        <v>821</v>
      </c>
      <c r="AC2333" s="25" t="s">
        <v>818</v>
      </c>
      <c r="AD2333" s="25" t="s">
        <v>821</v>
      </c>
      <c r="AE2333" s="25" t="s">
        <v>818</v>
      </c>
    </row>
    <row r="2334" spans="20:31" ht="14.4">
      <c r="T2334" s="25" t="s">
        <v>937</v>
      </c>
      <c r="U2334" s="25" t="s">
        <v>816</v>
      </c>
      <c r="V2334" s="25" t="s">
        <v>841</v>
      </c>
      <c r="W2334" s="25" t="str">
        <f t="shared" si="55"/>
        <v>Square Cassette with Side &amp; Bottom ChannelsFaceHD Chain Winder</v>
      </c>
      <c r="X2334" s="25">
        <v>10</v>
      </c>
      <c r="Y2334" s="25">
        <v>14</v>
      </c>
      <c r="Z2334" s="25">
        <v>29</v>
      </c>
      <c r="AA2334" s="25">
        <v>88</v>
      </c>
      <c r="AB2334" s="25" t="s">
        <v>821</v>
      </c>
      <c r="AC2334" s="25" t="s">
        <v>818</v>
      </c>
      <c r="AD2334" s="25" t="s">
        <v>821</v>
      </c>
      <c r="AE2334" s="25" t="s">
        <v>818</v>
      </c>
    </row>
    <row r="2335" spans="20:31" ht="14.4">
      <c r="T2335" s="25" t="s">
        <v>937</v>
      </c>
      <c r="U2335" s="25" t="s">
        <v>816</v>
      </c>
      <c r="V2335" s="25" t="s">
        <v>858</v>
      </c>
      <c r="W2335" s="25" t="str">
        <f t="shared" si="55"/>
        <v>Square Cassette with Side &amp; Bottom ChannelsFaceChain Winder 60mm</v>
      </c>
      <c r="X2335" s="25">
        <v>10</v>
      </c>
      <c r="Y2335" s="25">
        <v>14</v>
      </c>
      <c r="Z2335" s="25">
        <v>29</v>
      </c>
      <c r="AA2335" s="25">
        <v>88</v>
      </c>
      <c r="AB2335" s="25" t="s">
        <v>821</v>
      </c>
      <c r="AC2335" s="25" t="s">
        <v>818</v>
      </c>
      <c r="AD2335" s="25" t="s">
        <v>821</v>
      </c>
      <c r="AE2335" s="25" t="s">
        <v>818</v>
      </c>
    </row>
    <row r="2336" spans="20:31" ht="14.4">
      <c r="T2336" s="25" t="s">
        <v>937</v>
      </c>
      <c r="U2336" s="25" t="s">
        <v>816</v>
      </c>
      <c r="V2336" s="25" t="s">
        <v>865</v>
      </c>
      <c r="W2336" s="25" t="str">
        <f t="shared" si="55"/>
        <v>Square Cassette with Side &amp; Bottom ChannelsFaceChain Winder Fixed Guide</v>
      </c>
      <c r="X2336" s="25">
        <v>10</v>
      </c>
      <c r="Y2336" s="25">
        <v>14</v>
      </c>
      <c r="Z2336" s="25">
        <v>29</v>
      </c>
      <c r="AA2336" s="25">
        <v>88</v>
      </c>
      <c r="AB2336" s="25" t="s">
        <v>821</v>
      </c>
      <c r="AC2336" s="25" t="s">
        <v>818</v>
      </c>
      <c r="AD2336" s="25" t="s">
        <v>821</v>
      </c>
      <c r="AE2336" s="25" t="s">
        <v>818</v>
      </c>
    </row>
    <row r="2337" spans="20:31" ht="14.4">
      <c r="T2337" s="25" t="s">
        <v>937</v>
      </c>
      <c r="U2337" s="25" t="s">
        <v>816</v>
      </c>
      <c r="V2337" s="25" t="s">
        <v>181</v>
      </c>
      <c r="W2337" s="25" t="str">
        <f t="shared" si="55"/>
        <v>Square Cassette with Side &amp; Bottom ChannelsFaceLinked</v>
      </c>
      <c r="X2337" s="25">
        <v>10</v>
      </c>
      <c r="Y2337" s="25">
        <v>14</v>
      </c>
      <c r="Z2337" s="25">
        <v>14</v>
      </c>
      <c r="AA2337" s="25">
        <v>88</v>
      </c>
      <c r="AB2337" s="25" t="s">
        <v>821</v>
      </c>
      <c r="AC2337" s="25" t="s">
        <v>818</v>
      </c>
      <c r="AD2337" s="25" t="s">
        <v>821</v>
      </c>
      <c r="AE2337" s="25" t="s">
        <v>818</v>
      </c>
    </row>
    <row r="2338" spans="20:31" ht="14.4">
      <c r="T2338" s="25" t="s">
        <v>937</v>
      </c>
      <c r="U2338" s="25" t="s">
        <v>816</v>
      </c>
      <c r="V2338" s="25" t="s">
        <v>898</v>
      </c>
      <c r="W2338" s="25" t="str">
        <f t="shared" si="55"/>
        <v>Square Cassette with Side &amp; Bottom ChannelsFaceLinked - HD</v>
      </c>
      <c r="X2338" s="25">
        <v>10</v>
      </c>
      <c r="Y2338" s="25">
        <v>14</v>
      </c>
      <c r="Z2338" s="25">
        <v>14</v>
      </c>
      <c r="AA2338" s="25">
        <v>88</v>
      </c>
      <c r="AB2338" s="25" t="s">
        <v>821</v>
      </c>
      <c r="AC2338" s="25" t="s">
        <v>818</v>
      </c>
      <c r="AD2338" s="25" t="s">
        <v>821</v>
      </c>
      <c r="AE2338" s="25" t="s">
        <v>818</v>
      </c>
    </row>
    <row r="2339" spans="20:31" ht="14.4">
      <c r="T2339" s="25" t="s">
        <v>937</v>
      </c>
      <c r="U2339" s="25" t="s">
        <v>816</v>
      </c>
      <c r="V2339" s="25" t="s">
        <v>910</v>
      </c>
      <c r="W2339" s="25" t="str">
        <f t="shared" si="55"/>
        <v>Square Cassette with Side &amp; Bottom ChannelsFaceStandard Spring</v>
      </c>
      <c r="X2339" s="25">
        <v>10</v>
      </c>
      <c r="Y2339" s="25">
        <v>14</v>
      </c>
      <c r="Z2339" s="25">
        <v>14</v>
      </c>
      <c r="AA2339" s="25">
        <v>88</v>
      </c>
      <c r="AB2339" s="25" t="s">
        <v>821</v>
      </c>
      <c r="AC2339" s="25" t="s">
        <v>818</v>
      </c>
      <c r="AD2339" s="25" t="s">
        <v>821</v>
      </c>
      <c r="AE2339" s="25" t="s">
        <v>818</v>
      </c>
    </row>
    <row r="2340" spans="20:31" ht="14.4">
      <c r="T2340" s="25" t="s">
        <v>937</v>
      </c>
      <c r="U2340" s="25" t="s">
        <v>816</v>
      </c>
      <c r="V2340" s="25" t="s">
        <v>920</v>
      </c>
      <c r="W2340" s="25" t="str">
        <f t="shared" si="55"/>
        <v>Square Cassette with Side &amp; Bottom ChannelsFaceSmall Spring</v>
      </c>
      <c r="X2340" s="25">
        <v>10</v>
      </c>
      <c r="Y2340" s="25">
        <v>14</v>
      </c>
      <c r="Z2340" s="25">
        <v>14</v>
      </c>
      <c r="AA2340" s="25">
        <v>88</v>
      </c>
      <c r="AB2340" s="25" t="s">
        <v>821</v>
      </c>
      <c r="AC2340" s="25" t="s">
        <v>818</v>
      </c>
      <c r="AD2340" s="25" t="s">
        <v>821</v>
      </c>
      <c r="AE2340" s="25" t="s">
        <v>818</v>
      </c>
    </row>
    <row r="2341" spans="20:31" ht="14.4">
      <c r="T2341" s="25" t="s">
        <v>937</v>
      </c>
      <c r="U2341" s="25" t="s">
        <v>816</v>
      </c>
      <c r="V2341" s="25" t="s">
        <v>929</v>
      </c>
      <c r="W2341" s="25" t="str">
        <f t="shared" si="55"/>
        <v>Square Cassette with Side &amp; Bottom ChannelsFaceUniline Spring (Old Style)</v>
      </c>
      <c r="X2341" s="25">
        <v>10</v>
      </c>
      <c r="Y2341" s="25">
        <v>14</v>
      </c>
      <c r="Z2341" s="25">
        <v>14</v>
      </c>
      <c r="AA2341" s="25">
        <v>88</v>
      </c>
      <c r="AB2341" s="25" t="s">
        <v>821</v>
      </c>
      <c r="AC2341" s="25" t="s">
        <v>818</v>
      </c>
      <c r="AD2341" s="25" t="s">
        <v>821</v>
      </c>
      <c r="AE2341" s="25" t="s">
        <v>818</v>
      </c>
    </row>
    <row r="2342" spans="20:31" ht="14.4">
      <c r="T2342" s="25" t="s">
        <v>937</v>
      </c>
      <c r="U2342" s="25" t="s">
        <v>816</v>
      </c>
      <c r="V2342" s="25" t="s">
        <v>935</v>
      </c>
      <c r="W2342" s="25" t="str">
        <f t="shared" si="55"/>
        <v>Square Cassette with Side &amp; Bottom ChannelsFaceBecker Remote Motor</v>
      </c>
      <c r="X2342" s="25">
        <v>10</v>
      </c>
      <c r="Y2342" s="25">
        <v>14</v>
      </c>
      <c r="Z2342" s="25">
        <v>14</v>
      </c>
      <c r="AA2342" s="25">
        <v>88</v>
      </c>
      <c r="AB2342" s="25" t="s">
        <v>821</v>
      </c>
      <c r="AC2342" s="25" t="s">
        <v>818</v>
      </c>
      <c r="AD2342" s="25" t="s">
        <v>821</v>
      </c>
      <c r="AE2342" s="25" t="s">
        <v>818</v>
      </c>
    </row>
    <row r="2343" spans="20:31" ht="14.4">
      <c r="T2343" s="25" t="s">
        <v>937</v>
      </c>
      <c r="U2343" s="25" t="s">
        <v>816</v>
      </c>
      <c r="V2343" s="25" t="s">
        <v>939</v>
      </c>
      <c r="W2343" s="25" t="str">
        <f t="shared" si="55"/>
        <v>Square Cassette with Side &amp; Bottom ChannelsFaceBecker CBUS Motor</v>
      </c>
      <c r="X2343" s="25">
        <v>10</v>
      </c>
      <c r="Y2343" s="25">
        <v>14</v>
      </c>
      <c r="Z2343" s="25">
        <v>14</v>
      </c>
      <c r="AA2343" s="25">
        <v>88</v>
      </c>
      <c r="AB2343" s="25" t="s">
        <v>821</v>
      </c>
      <c r="AC2343" s="25" t="s">
        <v>818</v>
      </c>
      <c r="AD2343" s="25" t="s">
        <v>821</v>
      </c>
      <c r="AE2343" s="25" t="s">
        <v>818</v>
      </c>
    </row>
    <row r="2344" spans="20:31" ht="14.4">
      <c r="T2344" s="25" t="s">
        <v>937</v>
      </c>
      <c r="U2344" s="25" t="s">
        <v>816</v>
      </c>
      <c r="V2344" s="25" t="s">
        <v>946</v>
      </c>
      <c r="W2344" s="25" t="str">
        <f t="shared" si="55"/>
        <v>Square Cassette with Side &amp; Bottom ChannelsFaceBecker External Remote Motor</v>
      </c>
      <c r="X2344" s="25">
        <v>10</v>
      </c>
      <c r="Y2344" s="25">
        <v>14</v>
      </c>
      <c r="Z2344" s="25">
        <v>14</v>
      </c>
      <c r="AA2344" s="25">
        <v>88</v>
      </c>
      <c r="AB2344" s="25" t="s">
        <v>821</v>
      </c>
      <c r="AC2344" s="25" t="s">
        <v>818</v>
      </c>
      <c r="AD2344" s="25" t="s">
        <v>821</v>
      </c>
      <c r="AE2344" s="25" t="s">
        <v>818</v>
      </c>
    </row>
    <row r="2345" spans="20:31" ht="14.4">
      <c r="T2345" s="25" t="s">
        <v>937</v>
      </c>
      <c r="U2345" s="25" t="s">
        <v>816</v>
      </c>
      <c r="V2345" s="25" t="s">
        <v>951</v>
      </c>
      <c r="W2345" s="25" t="str">
        <f t="shared" si="55"/>
        <v>Square Cassette with Side &amp; Bottom ChannelsFaceBecker External CBUS Motor</v>
      </c>
      <c r="X2345" s="25">
        <v>10</v>
      </c>
      <c r="Y2345" s="25">
        <v>14</v>
      </c>
      <c r="Z2345" s="25">
        <v>14</v>
      </c>
      <c r="AA2345" s="25">
        <v>88</v>
      </c>
      <c r="AB2345" s="25" t="s">
        <v>821</v>
      </c>
      <c r="AC2345" s="25" t="s">
        <v>818</v>
      </c>
      <c r="AD2345" s="25" t="s">
        <v>821</v>
      </c>
      <c r="AE2345" s="25" t="s">
        <v>818</v>
      </c>
    </row>
    <row r="2346" spans="20:31" ht="14.4">
      <c r="T2346" s="25" t="s">
        <v>937</v>
      </c>
      <c r="U2346" s="25" t="s">
        <v>816</v>
      </c>
      <c r="V2346" s="25" t="s">
        <v>838</v>
      </c>
      <c r="W2346" s="25" t="str">
        <f t="shared" si="55"/>
        <v>Square Cassette with Side &amp; Bottom ChannelsFace1.1nm 12v Acmeda Motor</v>
      </c>
      <c r="X2346" s="25">
        <v>10</v>
      </c>
      <c r="Y2346" s="25">
        <v>14</v>
      </c>
      <c r="Z2346" s="25">
        <v>14</v>
      </c>
      <c r="AA2346" s="25">
        <v>88</v>
      </c>
      <c r="AB2346" s="25" t="s">
        <v>821</v>
      </c>
      <c r="AC2346" s="25" t="s">
        <v>818</v>
      </c>
      <c r="AD2346" s="25" t="s">
        <v>821</v>
      </c>
      <c r="AE2346" s="25" t="s">
        <v>818</v>
      </c>
    </row>
    <row r="2347" spans="20:31" ht="14.4">
      <c r="T2347" s="25" t="s">
        <v>937</v>
      </c>
      <c r="U2347" s="25" t="s">
        <v>816</v>
      </c>
      <c r="V2347" t="s">
        <v>882</v>
      </c>
      <c r="W2347" s="25" t="str">
        <f t="shared" si="55"/>
        <v>Square Cassette with Side &amp; Bottom ChannelsFace2nm 12v Acmeda Motor</v>
      </c>
      <c r="X2347" s="25">
        <v>10</v>
      </c>
      <c r="Y2347" s="25">
        <v>14</v>
      </c>
      <c r="Z2347" s="25">
        <v>14</v>
      </c>
      <c r="AA2347" s="25">
        <v>88</v>
      </c>
      <c r="AB2347" s="25" t="s">
        <v>821</v>
      </c>
      <c r="AC2347" s="25" t="s">
        <v>818</v>
      </c>
      <c r="AD2347" s="25" t="s">
        <v>821</v>
      </c>
      <c r="AE2347" s="25" t="s">
        <v>818</v>
      </c>
    </row>
    <row r="2348" spans="20:31" ht="14.4">
      <c r="T2348" s="25" t="s">
        <v>937</v>
      </c>
      <c r="U2348" s="25" t="s">
        <v>816</v>
      </c>
      <c r="V2348" t="s">
        <v>896</v>
      </c>
      <c r="W2348" s="25" t="str">
        <f t="shared" si="55"/>
        <v>Square Cassette with Side &amp; Bottom ChannelsFaceAcmeda 12v 6nm Motor</v>
      </c>
      <c r="X2348" s="25">
        <v>10</v>
      </c>
      <c r="Y2348" s="25">
        <v>14</v>
      </c>
      <c r="Z2348" s="25">
        <v>14</v>
      </c>
      <c r="AA2348" s="25">
        <v>88</v>
      </c>
      <c r="AB2348" s="25" t="s">
        <v>821</v>
      </c>
      <c r="AC2348" s="25" t="s">
        <v>818</v>
      </c>
      <c r="AD2348" s="25" t="s">
        <v>821</v>
      </c>
      <c r="AE2348" s="25" t="s">
        <v>818</v>
      </c>
    </row>
    <row r="2349" spans="20:31" ht="14.4">
      <c r="T2349" s="25" t="s">
        <v>937</v>
      </c>
      <c r="U2349" s="25" t="s">
        <v>816</v>
      </c>
      <c r="V2349" t="s">
        <v>855</v>
      </c>
      <c r="W2349" s="25" t="str">
        <f t="shared" si="55"/>
        <v>Square Cassette with Side &amp; Bottom ChannelsFace0.7nm 12v Acmeda Motor</v>
      </c>
      <c r="X2349" s="25">
        <v>10</v>
      </c>
      <c r="Y2349" s="25">
        <v>14</v>
      </c>
      <c r="Z2349" s="25">
        <v>14</v>
      </c>
      <c r="AA2349" s="25">
        <v>88</v>
      </c>
      <c r="AB2349" s="25" t="s">
        <v>821</v>
      </c>
      <c r="AC2349" s="25" t="s">
        <v>818</v>
      </c>
      <c r="AD2349" s="25" t="s">
        <v>821</v>
      </c>
      <c r="AE2349" s="25" t="s">
        <v>818</v>
      </c>
    </row>
    <row r="2350" spans="20:31" ht="14.4">
      <c r="T2350" s="25" t="s">
        <v>937</v>
      </c>
      <c r="U2350" s="25" t="s">
        <v>816</v>
      </c>
      <c r="V2350" s="25" t="s">
        <v>849</v>
      </c>
      <c r="W2350" s="25" t="str">
        <f t="shared" si="55"/>
        <v>Square Cassette with Side &amp; Bottom ChannelsFace1.1nm 12v Acmeda DCRF Motor with External Battery</v>
      </c>
      <c r="X2350" s="25">
        <v>10</v>
      </c>
      <c r="Y2350" s="25">
        <v>14</v>
      </c>
      <c r="Z2350" s="25">
        <v>14</v>
      </c>
      <c r="AA2350" s="25">
        <v>88</v>
      </c>
      <c r="AB2350" s="25" t="s">
        <v>821</v>
      </c>
      <c r="AC2350" s="25" t="s">
        <v>818</v>
      </c>
      <c r="AD2350" s="25" t="s">
        <v>821</v>
      </c>
      <c r="AE2350" s="25" t="s">
        <v>818</v>
      </c>
    </row>
    <row r="2351" spans="20:31" ht="14.4">
      <c r="T2351" s="25" t="s">
        <v>937</v>
      </c>
      <c r="U2351" s="25" t="s">
        <v>816</v>
      </c>
      <c r="V2351" s="25" t="s">
        <v>817</v>
      </c>
      <c r="W2351" s="25" t="str">
        <f t="shared" si="55"/>
        <v>Square Cassette with Side &amp; Bottom ChannelsFace1.1nm 12v Acmeda DCRF Motor</v>
      </c>
      <c r="X2351" s="25">
        <v>10</v>
      </c>
      <c r="Y2351" s="25">
        <v>14</v>
      </c>
      <c r="Z2351" s="25">
        <v>14</v>
      </c>
      <c r="AA2351" s="25">
        <v>88</v>
      </c>
      <c r="AB2351" s="25" t="s">
        <v>821</v>
      </c>
      <c r="AC2351" s="25" t="s">
        <v>818</v>
      </c>
      <c r="AD2351" s="25" t="s">
        <v>821</v>
      </c>
      <c r="AE2351" s="25" t="s">
        <v>818</v>
      </c>
    </row>
    <row r="2352" spans="20:31" ht="14.4">
      <c r="T2352" s="25" t="s">
        <v>937</v>
      </c>
      <c r="U2352" s="25" t="s">
        <v>816</v>
      </c>
      <c r="V2352" s="25" t="s">
        <v>868</v>
      </c>
      <c r="W2352" s="25" t="str">
        <f t="shared" si="55"/>
        <v>Square Cassette with Side &amp; Bottom ChannelsFace2nm 12v Acmeda DCRF Motor</v>
      </c>
      <c r="X2352" s="25">
        <v>10</v>
      </c>
      <c r="Y2352" s="25">
        <v>14</v>
      </c>
      <c r="Z2352" s="25">
        <v>14</v>
      </c>
      <c r="AA2352" s="25">
        <v>88</v>
      </c>
      <c r="AB2352" s="25" t="s">
        <v>821</v>
      </c>
      <c r="AC2352" s="25" t="s">
        <v>818</v>
      </c>
      <c r="AD2352" s="25" t="s">
        <v>821</v>
      </c>
      <c r="AE2352" s="25" t="s">
        <v>818</v>
      </c>
    </row>
    <row r="2353" spans="20:31" ht="14.4">
      <c r="T2353" s="25" t="s">
        <v>937</v>
      </c>
      <c r="U2353" s="25" t="s">
        <v>816</v>
      </c>
      <c r="V2353" t="s">
        <v>973</v>
      </c>
      <c r="W2353" s="25" t="str">
        <f t="shared" si="55"/>
        <v>Square Cassette with Side &amp; Bottom ChannelsFaceSomfy Remote Sonesse Motor</v>
      </c>
      <c r="X2353" s="25">
        <v>10</v>
      </c>
      <c r="Y2353" s="25">
        <v>14</v>
      </c>
      <c r="Z2353" s="25">
        <v>14</v>
      </c>
      <c r="AA2353" s="25">
        <v>88</v>
      </c>
      <c r="AB2353" s="25" t="s">
        <v>821</v>
      </c>
      <c r="AC2353" s="25" t="s">
        <v>818</v>
      </c>
      <c r="AD2353" s="25" t="s">
        <v>821</v>
      </c>
      <c r="AE2353" s="25" t="s">
        <v>818</v>
      </c>
    </row>
    <row r="2354" spans="20:31" ht="14.4">
      <c r="T2354" s="25" t="s">
        <v>937</v>
      </c>
      <c r="U2354" s="25" t="s">
        <v>816</v>
      </c>
      <c r="V2354" t="s">
        <v>637</v>
      </c>
      <c r="W2354" s="25" t="str">
        <f t="shared" si="55"/>
        <v>Square Cassette with Side &amp; Bottom ChannelsFaceSomfy 12v Remote Sonesse Motor</v>
      </c>
      <c r="X2354" s="25">
        <v>10</v>
      </c>
      <c r="Y2354" s="25">
        <v>14</v>
      </c>
      <c r="Z2354" s="25">
        <v>14</v>
      </c>
      <c r="AA2354" s="25">
        <v>88</v>
      </c>
      <c r="AB2354" s="25" t="s">
        <v>821</v>
      </c>
      <c r="AC2354" s="25" t="s">
        <v>818</v>
      </c>
      <c r="AD2354" s="25" t="s">
        <v>821</v>
      </c>
      <c r="AE2354" s="25" t="s">
        <v>818</v>
      </c>
    </row>
    <row r="2355" spans="20:31" ht="14.4">
      <c r="T2355" s="25" t="s">
        <v>937</v>
      </c>
      <c r="U2355" s="25" t="s">
        <v>816</v>
      </c>
      <c r="V2355" s="25" t="s">
        <v>974</v>
      </c>
      <c r="W2355" s="25" t="str">
        <f t="shared" si="55"/>
        <v>Square Cassette with Side &amp; Bottom ChannelsFaceSomfy CBUS Motor</v>
      </c>
      <c r="X2355" s="25">
        <v>10</v>
      </c>
      <c r="Y2355" s="25">
        <v>14</v>
      </c>
      <c r="Z2355" s="25">
        <v>14</v>
      </c>
      <c r="AA2355" s="25">
        <v>88</v>
      </c>
      <c r="AB2355" s="25" t="s">
        <v>821</v>
      </c>
      <c r="AC2355" s="25" t="s">
        <v>818</v>
      </c>
      <c r="AD2355" s="25" t="s">
        <v>821</v>
      </c>
      <c r="AE2355" s="25" t="s">
        <v>818</v>
      </c>
    </row>
    <row r="2356" spans="20:31" ht="14.4">
      <c r="T2356" s="25" t="s">
        <v>937</v>
      </c>
      <c r="U2356" s="25" t="s">
        <v>816</v>
      </c>
      <c r="V2356" t="s">
        <v>986</v>
      </c>
      <c r="W2356" s="25" t="str">
        <f t="shared" si="55"/>
        <v>Square Cassette with Side &amp; Bottom ChannelsFaceHD Somfy Remote Sonesse Motor</v>
      </c>
      <c r="X2356" s="25">
        <v>10</v>
      </c>
      <c r="Y2356" s="25">
        <v>14</v>
      </c>
      <c r="Z2356" s="25">
        <v>14</v>
      </c>
      <c r="AA2356" s="25">
        <v>88</v>
      </c>
      <c r="AB2356" s="25" t="s">
        <v>821</v>
      </c>
      <c r="AC2356" s="25" t="s">
        <v>818</v>
      </c>
      <c r="AD2356" s="25" t="s">
        <v>821</v>
      </c>
      <c r="AE2356" s="25" t="s">
        <v>818</v>
      </c>
    </row>
    <row r="2357" spans="20:31" ht="14.4">
      <c r="T2357" s="25" t="s">
        <v>937</v>
      </c>
      <c r="U2357" s="25" t="s">
        <v>816</v>
      </c>
      <c r="V2357" t="s">
        <v>989</v>
      </c>
      <c r="W2357" s="25" t="str">
        <f t="shared" si="55"/>
        <v>Square Cassette with Side &amp; Bottom ChannelsFaceHD Somfy 12v Remote Sonesse Motor</v>
      </c>
      <c r="X2357" s="25">
        <v>10</v>
      </c>
      <c r="Y2357" s="25">
        <v>14</v>
      </c>
      <c r="Z2357" s="25">
        <v>14</v>
      </c>
      <c r="AA2357" s="25">
        <v>88</v>
      </c>
      <c r="AB2357" s="25" t="s">
        <v>821</v>
      </c>
      <c r="AC2357" s="25" t="s">
        <v>818</v>
      </c>
      <c r="AD2357" s="25" t="s">
        <v>821</v>
      </c>
      <c r="AE2357" s="25" t="s">
        <v>818</v>
      </c>
    </row>
    <row r="2358" spans="20:31" ht="14.4">
      <c r="T2358" s="25" t="s">
        <v>937</v>
      </c>
      <c r="U2358" s="25" t="s">
        <v>816</v>
      </c>
      <c r="V2358" s="25" t="s">
        <v>992</v>
      </c>
      <c r="W2358" s="25" t="str">
        <f t="shared" si="55"/>
        <v>Square Cassette with Side &amp; Bottom ChannelsFaceHD Somfy CBUS Motor</v>
      </c>
      <c r="X2358" s="25">
        <v>10</v>
      </c>
      <c r="Y2358" s="25">
        <v>14</v>
      </c>
      <c r="Z2358" s="25">
        <v>14</v>
      </c>
      <c r="AA2358" s="25">
        <v>88</v>
      </c>
      <c r="AB2358" s="25" t="s">
        <v>821</v>
      </c>
      <c r="AC2358" s="25" t="s">
        <v>818</v>
      </c>
      <c r="AD2358" s="25" t="s">
        <v>821</v>
      </c>
      <c r="AE2358" s="25" t="s">
        <v>818</v>
      </c>
    </row>
    <row r="2359" spans="20:31" ht="14.4">
      <c r="T2359" s="25" t="s">
        <v>937</v>
      </c>
      <c r="U2359" s="25" t="s">
        <v>816</v>
      </c>
      <c r="V2359" s="25" t="s">
        <v>625</v>
      </c>
      <c r="W2359" s="25" t="str">
        <f t="shared" si="55"/>
        <v>Square Cassette with Side &amp; Bottom ChannelsFaceAcmeda E6 Motor</v>
      </c>
      <c r="X2359" s="25">
        <v>10</v>
      </c>
      <c r="Y2359" s="25">
        <v>14</v>
      </c>
      <c r="Z2359" s="25">
        <v>14</v>
      </c>
      <c r="AA2359" s="25">
        <v>88</v>
      </c>
      <c r="AB2359" s="25" t="s">
        <v>821</v>
      </c>
      <c r="AC2359" s="25" t="s">
        <v>818</v>
      </c>
      <c r="AD2359" s="25" t="s">
        <v>821</v>
      </c>
      <c r="AE2359" s="25" t="s">
        <v>818</v>
      </c>
    </row>
    <row r="2360" spans="20:31" ht="14.4">
      <c r="T2360" s="25" t="s">
        <v>937</v>
      </c>
      <c r="U2360" s="25" t="s">
        <v>816</v>
      </c>
      <c r="V2360" s="25" t="s">
        <v>626</v>
      </c>
      <c r="W2360" s="25" t="str">
        <f t="shared" si="55"/>
        <v>Square Cassette with Side &amp; Bottom ChannelsFaceAcmeda M6 Motor</v>
      </c>
      <c r="X2360" s="25">
        <v>10</v>
      </c>
      <c r="Y2360" s="25">
        <v>14</v>
      </c>
      <c r="Z2360" s="25">
        <v>14</v>
      </c>
      <c r="AA2360" s="25">
        <v>88</v>
      </c>
      <c r="AB2360" s="25" t="s">
        <v>821</v>
      </c>
      <c r="AC2360" s="25" t="s">
        <v>818</v>
      </c>
      <c r="AD2360" s="25" t="s">
        <v>821</v>
      </c>
      <c r="AE2360" s="25" t="s">
        <v>818</v>
      </c>
    </row>
    <row r="2361" spans="20:31" ht="14.4">
      <c r="T2361" s="25" t="s">
        <v>937</v>
      </c>
      <c r="U2361" s="25" t="s">
        <v>816</v>
      </c>
      <c r="V2361" s="25" t="s">
        <v>1002</v>
      </c>
      <c r="W2361" s="25" t="str">
        <f t="shared" si="55"/>
        <v>Square Cassette with Side &amp; Bottom ChannelsFaceUniline Remote Motor</v>
      </c>
      <c r="X2361" s="25">
        <v>10</v>
      </c>
      <c r="Y2361" s="25">
        <v>14</v>
      </c>
      <c r="Z2361" s="25">
        <v>14</v>
      </c>
      <c r="AA2361" s="25">
        <v>88</v>
      </c>
      <c r="AB2361" s="25" t="s">
        <v>821</v>
      </c>
      <c r="AC2361" s="25" t="s">
        <v>818</v>
      </c>
      <c r="AD2361" s="25" t="s">
        <v>821</v>
      </c>
      <c r="AE2361" s="25" t="s">
        <v>818</v>
      </c>
    </row>
    <row r="2362" spans="20:31" ht="14.4">
      <c r="T2362" s="25" t="s">
        <v>937</v>
      </c>
      <c r="U2362" s="25" t="s">
        <v>816</v>
      </c>
      <c r="V2362" s="25" t="s">
        <v>1005</v>
      </c>
      <c r="W2362" s="25" t="str">
        <f t="shared" si="55"/>
        <v>Square Cassette with Side &amp; Bottom ChannelsFaceUniline Cbus Motor</v>
      </c>
      <c r="X2362" s="25">
        <v>10</v>
      </c>
      <c r="Y2362" s="25">
        <v>14</v>
      </c>
      <c r="Z2362" s="25">
        <v>14</v>
      </c>
      <c r="AA2362" s="25">
        <v>88</v>
      </c>
      <c r="AB2362" s="25" t="s">
        <v>821</v>
      </c>
      <c r="AC2362" s="25" t="s">
        <v>818</v>
      </c>
      <c r="AD2362" s="25" t="s">
        <v>821</v>
      </c>
      <c r="AE2362" s="25" t="s">
        <v>818</v>
      </c>
    </row>
    <row r="2363" spans="20:31" ht="14.4">
      <c r="T2363" s="25" t="s">
        <v>937</v>
      </c>
      <c r="U2363" s="25" t="s">
        <v>816</v>
      </c>
      <c r="V2363" s="25" t="s">
        <v>981</v>
      </c>
      <c r="W2363" s="25" t="str">
        <f t="shared" si="55"/>
        <v>Square Cassette with Side &amp; Bottom ChannelsFaceNice Remote Motor</v>
      </c>
      <c r="X2363" s="25">
        <v>10</v>
      </c>
      <c r="Y2363" s="25">
        <v>14</v>
      </c>
      <c r="Z2363" s="25">
        <v>14</v>
      </c>
      <c r="AA2363" s="25">
        <v>88</v>
      </c>
      <c r="AB2363" s="25" t="s">
        <v>821</v>
      </c>
      <c r="AC2363" s="25" t="s">
        <v>818</v>
      </c>
      <c r="AD2363" s="25" t="s">
        <v>821</v>
      </c>
      <c r="AE2363" s="25" t="s">
        <v>818</v>
      </c>
    </row>
    <row r="2364" spans="20:31" ht="14.4">
      <c r="T2364" s="25" t="s">
        <v>937</v>
      </c>
      <c r="U2364" s="25" t="s">
        <v>816</v>
      </c>
      <c r="V2364" s="25" t="s">
        <v>976</v>
      </c>
      <c r="W2364" s="25" t="str">
        <f t="shared" si="55"/>
        <v>Square Cassette with Side &amp; Bottom ChannelsFaceNice CBus Motor</v>
      </c>
      <c r="X2364" s="25">
        <v>10</v>
      </c>
      <c r="Y2364" s="25">
        <v>14</v>
      </c>
      <c r="Z2364" s="25">
        <v>14</v>
      </c>
      <c r="AA2364" s="25">
        <v>88</v>
      </c>
      <c r="AB2364" s="25" t="s">
        <v>821</v>
      </c>
      <c r="AC2364" s="25" t="s">
        <v>818</v>
      </c>
      <c r="AD2364" s="25" t="s">
        <v>821</v>
      </c>
      <c r="AE2364" s="25" t="s">
        <v>818</v>
      </c>
    </row>
    <row r="2365" spans="20:31" ht="14.4">
      <c r="T2365" s="25" t="s">
        <v>937</v>
      </c>
      <c r="U2365" s="25" t="s">
        <v>816</v>
      </c>
      <c r="V2365" t="s">
        <v>1006</v>
      </c>
      <c r="W2365" s="25" t="str">
        <f t="shared" si="55"/>
        <v>Square Cassette with Side &amp; Bottom ChannelsFaceSunboss Chain Winder 38mm Tube</v>
      </c>
      <c r="X2365" s="25">
        <v>10</v>
      </c>
      <c r="Y2365" s="25">
        <v>14</v>
      </c>
      <c r="Z2365" s="25">
        <v>14</v>
      </c>
      <c r="AA2365" s="25">
        <v>88</v>
      </c>
      <c r="AB2365" s="25" t="s">
        <v>821</v>
      </c>
      <c r="AC2365" s="25" t="s">
        <v>818</v>
      </c>
      <c r="AD2365" s="25" t="s">
        <v>821</v>
      </c>
      <c r="AE2365" s="25" t="s">
        <v>818</v>
      </c>
    </row>
    <row r="2366" spans="20:31" ht="14.4">
      <c r="T2366" s="25" t="s">
        <v>937</v>
      </c>
      <c r="U2366" s="25" t="s">
        <v>816</v>
      </c>
      <c r="V2366" t="s">
        <v>1017</v>
      </c>
      <c r="W2366" s="25" t="str">
        <f t="shared" si="55"/>
        <v>Square Cassette with Side &amp; Bottom ChannelsFaceSunboss Chain Winder 43mm Tube</v>
      </c>
      <c r="X2366" s="25">
        <v>10</v>
      </c>
      <c r="Y2366" s="25">
        <v>14</v>
      </c>
      <c r="Z2366" s="25">
        <v>14</v>
      </c>
      <c r="AA2366" s="25">
        <v>88</v>
      </c>
      <c r="AB2366" s="25" t="s">
        <v>821</v>
      </c>
      <c r="AC2366" s="25" t="s">
        <v>818</v>
      </c>
      <c r="AD2366" s="25" t="s">
        <v>821</v>
      </c>
      <c r="AE2366" s="25" t="s">
        <v>818</v>
      </c>
    </row>
    <row r="2367" spans="20:31" ht="14.4">
      <c r="T2367" s="25" t="s">
        <v>937</v>
      </c>
      <c r="U2367" s="25" t="s">
        <v>816</v>
      </c>
      <c r="V2367" s="25" t="s">
        <v>1012</v>
      </c>
      <c r="W2367" s="25" t="str">
        <f t="shared" si="55"/>
        <v>Square Cassette with Side &amp; Bottom ChannelsFaceTBS Remote Motor</v>
      </c>
      <c r="X2367" s="25">
        <v>10</v>
      </c>
      <c r="Y2367" s="25">
        <v>14</v>
      </c>
      <c r="Z2367" s="25">
        <v>14</v>
      </c>
      <c r="AA2367" s="25">
        <v>88</v>
      </c>
      <c r="AB2367" s="25" t="s">
        <v>821</v>
      </c>
      <c r="AC2367" s="25" t="s">
        <v>818</v>
      </c>
      <c r="AD2367" s="25" t="s">
        <v>821</v>
      </c>
      <c r="AE2367" s="25" t="s">
        <v>818</v>
      </c>
    </row>
    <row r="2368" spans="20:31" ht="14.4">
      <c r="T2368" s="25" t="s">
        <v>937</v>
      </c>
      <c r="U2368" s="25" t="s">
        <v>816</v>
      </c>
      <c r="V2368" t="s">
        <v>1009</v>
      </c>
      <c r="W2368" s="25" t="str">
        <f t="shared" si="55"/>
        <v>Square Cassette with Side &amp; Bottom ChannelsFaceTBS Cbus Motor</v>
      </c>
      <c r="X2368" s="25">
        <v>10</v>
      </c>
      <c r="Y2368" s="25">
        <v>14</v>
      </c>
      <c r="Z2368" s="25">
        <v>14</v>
      </c>
      <c r="AA2368" s="25">
        <v>88</v>
      </c>
      <c r="AB2368" s="25" t="s">
        <v>821</v>
      </c>
      <c r="AC2368" s="25" t="s">
        <v>818</v>
      </c>
      <c r="AD2368" s="25" t="s">
        <v>821</v>
      </c>
      <c r="AE2368" s="25" t="s">
        <v>818</v>
      </c>
    </row>
    <row r="2369" spans="20:31" ht="14.4">
      <c r="T2369" s="25" t="s">
        <v>937</v>
      </c>
      <c r="U2369" s="25" t="s">
        <v>816</v>
      </c>
      <c r="V2369" t="s">
        <v>927</v>
      </c>
      <c r="W2369" s="25" t="str">
        <f t="shared" si="55"/>
        <v>Square Cassette with Side &amp; Bottom ChannelsFaceAcmeda External Motor</v>
      </c>
      <c r="X2369" s="25">
        <v>10</v>
      </c>
      <c r="Y2369" s="25">
        <v>14</v>
      </c>
      <c r="Z2369" s="25">
        <v>14</v>
      </c>
      <c r="AA2369" s="25">
        <v>88</v>
      </c>
      <c r="AB2369" s="25" t="s">
        <v>821</v>
      </c>
      <c r="AC2369" s="25" t="s">
        <v>818</v>
      </c>
      <c r="AD2369" s="25" t="s">
        <v>821</v>
      </c>
      <c r="AE2369" s="25" t="s">
        <v>818</v>
      </c>
    </row>
    <row r="2370" spans="20:31" ht="14.4">
      <c r="T2370" s="25" t="s">
        <v>937</v>
      </c>
      <c r="U2370" s="25" t="s">
        <v>816</v>
      </c>
      <c r="V2370" t="s">
        <v>918</v>
      </c>
      <c r="W2370" s="25" t="str">
        <f t="shared" si="55"/>
        <v>Square Cassette with Side &amp; Bottom ChannelsFaceAcmeda External 12v Motor</v>
      </c>
      <c r="X2370" s="25">
        <v>10</v>
      </c>
      <c r="Y2370" s="25">
        <v>14</v>
      </c>
      <c r="Z2370" s="25">
        <v>14</v>
      </c>
      <c r="AA2370" s="25">
        <v>88</v>
      </c>
      <c r="AB2370" s="25" t="s">
        <v>821</v>
      </c>
      <c r="AC2370" s="25" t="s">
        <v>818</v>
      </c>
      <c r="AD2370" s="25" t="s">
        <v>821</v>
      </c>
      <c r="AE2370" s="25" t="s">
        <v>818</v>
      </c>
    </row>
    <row r="2371" spans="20:31" ht="14.4">
      <c r="T2371" s="25" t="s">
        <v>937</v>
      </c>
      <c r="U2371" s="25" t="s">
        <v>816</v>
      </c>
      <c r="V2371" t="s">
        <v>979</v>
      </c>
      <c r="W2371" s="25" t="str">
        <f t="shared" si="56" ref="W2371:W2434">CONCATENATE(T2371,U2371,V2371)</f>
        <v>Square Cassette with Side &amp; Bottom ChannelsFaceSomfy External CBUS Motor</v>
      </c>
      <c r="X2371" s="25">
        <v>10</v>
      </c>
      <c r="Y2371" s="25">
        <v>14</v>
      </c>
      <c r="Z2371" s="25">
        <v>14</v>
      </c>
      <c r="AA2371" s="25">
        <v>88</v>
      </c>
      <c r="AB2371" s="25" t="s">
        <v>821</v>
      </c>
      <c r="AC2371" s="25" t="s">
        <v>818</v>
      </c>
      <c r="AD2371" s="25" t="s">
        <v>821</v>
      </c>
      <c r="AE2371" s="25" t="s">
        <v>818</v>
      </c>
    </row>
    <row r="2372" spans="20:31" ht="14.4">
      <c r="T2372" s="25" t="s">
        <v>937</v>
      </c>
      <c r="U2372" s="25" t="s">
        <v>816</v>
      </c>
      <c r="V2372" t="s">
        <v>983</v>
      </c>
      <c r="W2372" s="25" t="str">
        <f t="shared" si="56"/>
        <v>Square Cassette with Side &amp; Bottom ChannelsFaceSomfy External Remote Motor</v>
      </c>
      <c r="X2372" s="25">
        <v>10</v>
      </c>
      <c r="Y2372" s="25">
        <v>14</v>
      </c>
      <c r="Z2372" s="25">
        <v>14</v>
      </c>
      <c r="AA2372" s="25">
        <v>88</v>
      </c>
      <c r="AB2372" s="25" t="s">
        <v>821</v>
      </c>
      <c r="AC2372" s="25" t="s">
        <v>818</v>
      </c>
      <c r="AD2372" s="25" t="s">
        <v>821</v>
      </c>
      <c r="AE2372" s="25" t="s">
        <v>818</v>
      </c>
    </row>
    <row r="2373" spans="20:31" ht="14.4">
      <c r="T2373" s="25" t="s">
        <v>937</v>
      </c>
      <c r="U2373" s="25" t="s">
        <v>816</v>
      </c>
      <c r="V2373" t="s">
        <v>995</v>
      </c>
      <c r="W2373" s="25" t="str">
        <f t="shared" si="56"/>
        <v>Square Cassette with Side &amp; Bottom ChannelsFaceHD Somfy External CBUS Motor</v>
      </c>
      <c r="X2373" s="25">
        <v>10</v>
      </c>
      <c r="Y2373" s="25">
        <v>14</v>
      </c>
      <c r="Z2373" s="25">
        <v>14</v>
      </c>
      <c r="AA2373" s="25">
        <v>88</v>
      </c>
      <c r="AB2373" s="25" t="s">
        <v>821</v>
      </c>
      <c r="AC2373" s="25" t="s">
        <v>818</v>
      </c>
      <c r="AD2373" s="25" t="s">
        <v>821</v>
      </c>
      <c r="AE2373" s="25" t="s">
        <v>818</v>
      </c>
    </row>
    <row r="2374" spans="20:31" ht="14.4">
      <c r="T2374" s="25" t="s">
        <v>937</v>
      </c>
      <c r="U2374" s="25" t="s">
        <v>816</v>
      </c>
      <c r="V2374" t="s">
        <v>999</v>
      </c>
      <c r="W2374" s="25" t="str">
        <f t="shared" si="56"/>
        <v>Square Cassette with Side &amp; Bottom ChannelsFaceHD Somfy External Remote Motor</v>
      </c>
      <c r="X2374" s="25">
        <v>10</v>
      </c>
      <c r="Y2374" s="25">
        <v>14</v>
      </c>
      <c r="Z2374" s="25">
        <v>14</v>
      </c>
      <c r="AA2374" s="25">
        <v>88</v>
      </c>
      <c r="AB2374" s="25" t="s">
        <v>821</v>
      </c>
      <c r="AC2374" s="25" t="s">
        <v>818</v>
      </c>
      <c r="AD2374" s="25" t="s">
        <v>821</v>
      </c>
      <c r="AE2374" s="25" t="s">
        <v>818</v>
      </c>
    </row>
    <row r="2375" spans="20:31" ht="14.4">
      <c r="T2375" s="25" t="s">
        <v>937</v>
      </c>
      <c r="U2375" s="25" t="s">
        <v>854</v>
      </c>
      <c r="V2375" s="25" t="s">
        <v>823</v>
      </c>
      <c r="W2375" s="25" t="str">
        <f t="shared" si="56"/>
        <v>Square Cassette with Side &amp; Bottom ChannelsTop FixChain Winder</v>
      </c>
      <c r="X2375" s="25">
        <v>10</v>
      </c>
      <c r="Y2375" s="25">
        <v>14</v>
      </c>
      <c r="Z2375" s="25">
        <v>29</v>
      </c>
      <c r="AA2375" s="25">
        <v>88</v>
      </c>
      <c r="AB2375" s="25" t="s">
        <v>821</v>
      </c>
      <c r="AC2375" s="25" t="s">
        <v>818</v>
      </c>
      <c r="AD2375" s="25" t="s">
        <v>821</v>
      </c>
      <c r="AE2375" s="25" t="s">
        <v>818</v>
      </c>
    </row>
    <row r="2376" spans="20:31" ht="14.4">
      <c r="T2376" s="25" t="s">
        <v>937</v>
      </c>
      <c r="U2376" s="25" t="s">
        <v>854</v>
      </c>
      <c r="V2376" s="25" t="s">
        <v>841</v>
      </c>
      <c r="W2376" s="25" t="str">
        <f t="shared" si="56"/>
        <v>Square Cassette with Side &amp; Bottom ChannelsTop FixHD Chain Winder</v>
      </c>
      <c r="X2376" s="25">
        <v>10</v>
      </c>
      <c r="Y2376" s="25">
        <v>14</v>
      </c>
      <c r="Z2376" s="25">
        <v>29</v>
      </c>
      <c r="AA2376" s="25">
        <v>88</v>
      </c>
      <c r="AB2376" s="25" t="s">
        <v>821</v>
      </c>
      <c r="AC2376" s="25" t="s">
        <v>818</v>
      </c>
      <c r="AD2376" s="25" t="s">
        <v>821</v>
      </c>
      <c r="AE2376" s="25" t="s">
        <v>818</v>
      </c>
    </row>
    <row r="2377" spans="20:31" ht="14.4">
      <c r="T2377" s="25" t="s">
        <v>937</v>
      </c>
      <c r="U2377" s="25" t="s">
        <v>854</v>
      </c>
      <c r="V2377" s="25" t="s">
        <v>858</v>
      </c>
      <c r="W2377" s="25" t="str">
        <f t="shared" si="56"/>
        <v>Square Cassette with Side &amp; Bottom ChannelsTop FixChain Winder 60mm</v>
      </c>
      <c r="X2377" s="25">
        <v>10</v>
      </c>
      <c r="Y2377" s="25">
        <v>14</v>
      </c>
      <c r="Z2377" s="25">
        <v>29</v>
      </c>
      <c r="AA2377" s="25">
        <v>88</v>
      </c>
      <c r="AB2377" s="25" t="s">
        <v>821</v>
      </c>
      <c r="AC2377" s="25" t="s">
        <v>818</v>
      </c>
      <c r="AD2377" s="25" t="s">
        <v>821</v>
      </c>
      <c r="AE2377" s="25" t="s">
        <v>818</v>
      </c>
    </row>
    <row r="2378" spans="20:31" ht="14.4">
      <c r="T2378" s="25" t="s">
        <v>937</v>
      </c>
      <c r="U2378" s="25" t="s">
        <v>854</v>
      </c>
      <c r="V2378" s="25" t="s">
        <v>865</v>
      </c>
      <c r="W2378" s="25" t="str">
        <f t="shared" si="56"/>
        <v>Square Cassette with Side &amp; Bottom ChannelsTop FixChain Winder Fixed Guide</v>
      </c>
      <c r="X2378" s="25">
        <v>10</v>
      </c>
      <c r="Y2378" s="25">
        <v>14</v>
      </c>
      <c r="Z2378" s="25">
        <v>29</v>
      </c>
      <c r="AA2378" s="25">
        <v>88</v>
      </c>
      <c r="AB2378" s="25" t="s">
        <v>821</v>
      </c>
      <c r="AC2378" s="25" t="s">
        <v>818</v>
      </c>
      <c r="AD2378" s="25" t="s">
        <v>821</v>
      </c>
      <c r="AE2378" s="25" t="s">
        <v>818</v>
      </c>
    </row>
    <row r="2379" spans="20:31" ht="14.4">
      <c r="T2379" s="25" t="s">
        <v>937</v>
      </c>
      <c r="U2379" s="25" t="s">
        <v>854</v>
      </c>
      <c r="V2379" s="25" t="s">
        <v>181</v>
      </c>
      <c r="W2379" s="25" t="str">
        <f t="shared" si="56"/>
        <v>Square Cassette with Side &amp; Bottom ChannelsTop FixLinked</v>
      </c>
      <c r="X2379" s="25">
        <v>10</v>
      </c>
      <c r="Y2379" s="25">
        <v>14</v>
      </c>
      <c r="Z2379" s="25">
        <v>14</v>
      </c>
      <c r="AA2379" s="25">
        <v>88</v>
      </c>
      <c r="AB2379" s="25" t="s">
        <v>821</v>
      </c>
      <c r="AC2379" s="25" t="s">
        <v>818</v>
      </c>
      <c r="AD2379" s="25" t="s">
        <v>821</v>
      </c>
      <c r="AE2379" s="25" t="s">
        <v>818</v>
      </c>
    </row>
    <row r="2380" spans="20:31" ht="14.4">
      <c r="T2380" s="25" t="s">
        <v>937</v>
      </c>
      <c r="U2380" s="25" t="s">
        <v>854</v>
      </c>
      <c r="V2380" s="25" t="s">
        <v>898</v>
      </c>
      <c r="W2380" s="25" t="str">
        <f t="shared" si="56"/>
        <v>Square Cassette with Side &amp; Bottom ChannelsTop FixLinked - HD</v>
      </c>
      <c r="X2380" s="25">
        <v>10</v>
      </c>
      <c r="Y2380" s="25">
        <v>14</v>
      </c>
      <c r="Z2380" s="25">
        <v>14</v>
      </c>
      <c r="AA2380" s="25">
        <v>88</v>
      </c>
      <c r="AB2380" s="25" t="s">
        <v>821</v>
      </c>
      <c r="AC2380" s="25" t="s">
        <v>818</v>
      </c>
      <c r="AD2380" s="25" t="s">
        <v>821</v>
      </c>
      <c r="AE2380" s="25" t="s">
        <v>818</v>
      </c>
    </row>
    <row r="2381" spans="20:31" ht="14.4">
      <c r="T2381" s="25" t="s">
        <v>937</v>
      </c>
      <c r="U2381" s="25" t="s">
        <v>854</v>
      </c>
      <c r="V2381" s="25" t="s">
        <v>910</v>
      </c>
      <c r="W2381" s="25" t="str">
        <f t="shared" si="56"/>
        <v>Square Cassette with Side &amp; Bottom ChannelsTop FixStandard Spring</v>
      </c>
      <c r="X2381" s="25">
        <v>10</v>
      </c>
      <c r="Y2381" s="25">
        <v>14</v>
      </c>
      <c r="Z2381" s="25">
        <v>14</v>
      </c>
      <c r="AA2381" s="25">
        <v>88</v>
      </c>
      <c r="AB2381" s="25" t="s">
        <v>821</v>
      </c>
      <c r="AC2381" s="25" t="s">
        <v>818</v>
      </c>
      <c r="AD2381" s="25" t="s">
        <v>821</v>
      </c>
      <c r="AE2381" s="25" t="s">
        <v>818</v>
      </c>
    </row>
    <row r="2382" spans="20:31" ht="14.4">
      <c r="T2382" s="25" t="s">
        <v>937</v>
      </c>
      <c r="U2382" s="25" t="s">
        <v>854</v>
      </c>
      <c r="V2382" s="25" t="s">
        <v>920</v>
      </c>
      <c r="W2382" s="25" t="str">
        <f t="shared" si="56"/>
        <v>Square Cassette with Side &amp; Bottom ChannelsTop FixSmall Spring</v>
      </c>
      <c r="X2382" s="25">
        <v>10</v>
      </c>
      <c r="Y2382" s="25">
        <v>14</v>
      </c>
      <c r="Z2382" s="25">
        <v>14</v>
      </c>
      <c r="AA2382" s="25">
        <v>88</v>
      </c>
      <c r="AB2382" s="25" t="s">
        <v>821</v>
      </c>
      <c r="AC2382" s="25" t="s">
        <v>818</v>
      </c>
      <c r="AD2382" s="25" t="s">
        <v>821</v>
      </c>
      <c r="AE2382" s="25" t="s">
        <v>818</v>
      </c>
    </row>
    <row r="2383" spans="20:31" ht="14.4">
      <c r="T2383" s="25" t="s">
        <v>937</v>
      </c>
      <c r="U2383" s="25" t="s">
        <v>854</v>
      </c>
      <c r="V2383" s="25" t="s">
        <v>929</v>
      </c>
      <c r="W2383" s="25" t="str">
        <f t="shared" si="56"/>
        <v>Square Cassette with Side &amp; Bottom ChannelsTop FixUniline Spring (Old Style)</v>
      </c>
      <c r="X2383" s="25">
        <v>10</v>
      </c>
      <c r="Y2383" s="25">
        <v>14</v>
      </c>
      <c r="Z2383" s="25">
        <v>14</v>
      </c>
      <c r="AA2383" s="25">
        <v>88</v>
      </c>
      <c r="AB2383" s="25" t="s">
        <v>821</v>
      </c>
      <c r="AC2383" s="25" t="s">
        <v>818</v>
      </c>
      <c r="AD2383" s="25" t="s">
        <v>821</v>
      </c>
      <c r="AE2383" s="25" t="s">
        <v>818</v>
      </c>
    </row>
    <row r="2384" spans="20:31" ht="14.4">
      <c r="T2384" s="25" t="s">
        <v>937</v>
      </c>
      <c r="U2384" s="25" t="s">
        <v>854</v>
      </c>
      <c r="V2384" s="25" t="s">
        <v>935</v>
      </c>
      <c r="W2384" s="25" t="str">
        <f t="shared" si="56"/>
        <v>Square Cassette with Side &amp; Bottom ChannelsTop FixBecker Remote Motor</v>
      </c>
      <c r="X2384" s="25">
        <v>10</v>
      </c>
      <c r="Y2384" s="25">
        <v>14</v>
      </c>
      <c r="Z2384" s="25">
        <v>14</v>
      </c>
      <c r="AA2384" s="25">
        <v>88</v>
      </c>
      <c r="AB2384" s="25" t="s">
        <v>821</v>
      </c>
      <c r="AC2384" s="25" t="s">
        <v>818</v>
      </c>
      <c r="AD2384" s="25" t="s">
        <v>821</v>
      </c>
      <c r="AE2384" s="25" t="s">
        <v>818</v>
      </c>
    </row>
    <row r="2385" spans="20:31" ht="14.4">
      <c r="T2385" s="25" t="s">
        <v>937</v>
      </c>
      <c r="U2385" s="25" t="s">
        <v>854</v>
      </c>
      <c r="V2385" s="25" t="s">
        <v>939</v>
      </c>
      <c r="W2385" s="25" t="str">
        <f t="shared" si="56"/>
        <v>Square Cassette with Side &amp; Bottom ChannelsTop FixBecker CBUS Motor</v>
      </c>
      <c r="X2385" s="25">
        <v>10</v>
      </c>
      <c r="Y2385" s="25">
        <v>14</v>
      </c>
      <c r="Z2385" s="25">
        <v>14</v>
      </c>
      <c r="AA2385" s="25">
        <v>88</v>
      </c>
      <c r="AB2385" s="25" t="s">
        <v>821</v>
      </c>
      <c r="AC2385" s="25" t="s">
        <v>818</v>
      </c>
      <c r="AD2385" s="25" t="s">
        <v>821</v>
      </c>
      <c r="AE2385" s="25" t="s">
        <v>818</v>
      </c>
    </row>
    <row r="2386" spans="20:31" ht="14.4">
      <c r="T2386" s="25" t="s">
        <v>937</v>
      </c>
      <c r="U2386" s="25" t="s">
        <v>854</v>
      </c>
      <c r="V2386" s="25" t="s">
        <v>946</v>
      </c>
      <c r="W2386" s="25" t="str">
        <f t="shared" si="56"/>
        <v>Square Cassette with Side &amp; Bottom ChannelsTop FixBecker External Remote Motor</v>
      </c>
      <c r="X2386" s="25">
        <v>10</v>
      </c>
      <c r="Y2386" s="25">
        <v>14</v>
      </c>
      <c r="Z2386" s="25">
        <v>14</v>
      </c>
      <c r="AA2386" s="25">
        <v>88</v>
      </c>
      <c r="AB2386" s="25" t="s">
        <v>821</v>
      </c>
      <c r="AC2386" s="25" t="s">
        <v>818</v>
      </c>
      <c r="AD2386" s="25" t="s">
        <v>821</v>
      </c>
      <c r="AE2386" s="25" t="s">
        <v>818</v>
      </c>
    </row>
    <row r="2387" spans="20:31" ht="14.4">
      <c r="T2387" s="25" t="s">
        <v>937</v>
      </c>
      <c r="U2387" s="25" t="s">
        <v>854</v>
      </c>
      <c r="V2387" s="25" t="s">
        <v>951</v>
      </c>
      <c r="W2387" s="25" t="str">
        <f t="shared" si="56"/>
        <v>Square Cassette with Side &amp; Bottom ChannelsTop FixBecker External CBUS Motor</v>
      </c>
      <c r="X2387" s="25">
        <v>10</v>
      </c>
      <c r="Y2387" s="25">
        <v>14</v>
      </c>
      <c r="Z2387" s="25">
        <v>14</v>
      </c>
      <c r="AA2387" s="25">
        <v>88</v>
      </c>
      <c r="AB2387" s="25" t="s">
        <v>821</v>
      </c>
      <c r="AC2387" s="25" t="s">
        <v>818</v>
      </c>
      <c r="AD2387" s="25" t="s">
        <v>821</v>
      </c>
      <c r="AE2387" s="25" t="s">
        <v>818</v>
      </c>
    </row>
    <row r="2388" spans="20:31" ht="14.4">
      <c r="T2388" s="25" t="s">
        <v>937</v>
      </c>
      <c r="U2388" s="25" t="s">
        <v>854</v>
      </c>
      <c r="V2388" s="25" t="s">
        <v>838</v>
      </c>
      <c r="W2388" s="25" t="str">
        <f t="shared" si="56"/>
        <v>Square Cassette with Side &amp; Bottom ChannelsTop Fix1.1nm 12v Acmeda Motor</v>
      </c>
      <c r="X2388" s="25">
        <v>10</v>
      </c>
      <c r="Y2388" s="25">
        <v>14</v>
      </c>
      <c r="Z2388" s="25">
        <v>14</v>
      </c>
      <c r="AA2388" s="25">
        <v>88</v>
      </c>
      <c r="AB2388" s="25" t="s">
        <v>821</v>
      </c>
      <c r="AC2388" s="25" t="s">
        <v>818</v>
      </c>
      <c r="AD2388" s="25" t="s">
        <v>821</v>
      </c>
      <c r="AE2388" s="25" t="s">
        <v>818</v>
      </c>
    </row>
    <row r="2389" spans="20:31" ht="14.4">
      <c r="T2389" s="25" t="s">
        <v>937</v>
      </c>
      <c r="U2389" s="25" t="s">
        <v>854</v>
      </c>
      <c r="V2389" t="s">
        <v>882</v>
      </c>
      <c r="W2389" s="25" t="str">
        <f t="shared" si="56"/>
        <v>Square Cassette with Side &amp; Bottom ChannelsTop Fix2nm 12v Acmeda Motor</v>
      </c>
      <c r="X2389" s="25">
        <v>10</v>
      </c>
      <c r="Y2389" s="25">
        <v>14</v>
      </c>
      <c r="Z2389" s="25">
        <v>14</v>
      </c>
      <c r="AA2389" s="25">
        <v>88</v>
      </c>
      <c r="AB2389" s="25" t="s">
        <v>821</v>
      </c>
      <c r="AC2389" s="25" t="s">
        <v>818</v>
      </c>
      <c r="AD2389" s="25" t="s">
        <v>821</v>
      </c>
      <c r="AE2389" s="25" t="s">
        <v>818</v>
      </c>
    </row>
    <row r="2390" spans="20:31" ht="14.4">
      <c r="T2390" s="25" t="s">
        <v>937</v>
      </c>
      <c r="U2390" s="25" t="s">
        <v>854</v>
      </c>
      <c r="V2390" t="s">
        <v>896</v>
      </c>
      <c r="W2390" s="25" t="str">
        <f t="shared" si="56"/>
        <v>Square Cassette with Side &amp; Bottom ChannelsTop FixAcmeda 12v 6nm Motor</v>
      </c>
      <c r="X2390" s="25">
        <v>10</v>
      </c>
      <c r="Y2390" s="25">
        <v>14</v>
      </c>
      <c r="Z2390" s="25">
        <v>14</v>
      </c>
      <c r="AA2390" s="25">
        <v>88</v>
      </c>
      <c r="AB2390" s="25" t="s">
        <v>821</v>
      </c>
      <c r="AC2390" s="25" t="s">
        <v>818</v>
      </c>
      <c r="AD2390" s="25" t="s">
        <v>821</v>
      </c>
      <c r="AE2390" s="25" t="s">
        <v>818</v>
      </c>
    </row>
    <row r="2391" spans="20:31" ht="14.4">
      <c r="T2391" s="25" t="s">
        <v>937</v>
      </c>
      <c r="U2391" s="25" t="s">
        <v>854</v>
      </c>
      <c r="V2391" t="s">
        <v>855</v>
      </c>
      <c r="W2391" s="25" t="str">
        <f t="shared" si="56"/>
        <v>Square Cassette with Side &amp; Bottom ChannelsTop Fix0.7nm 12v Acmeda Motor</v>
      </c>
      <c r="X2391" s="25">
        <v>10</v>
      </c>
      <c r="Y2391" s="25">
        <v>14</v>
      </c>
      <c r="Z2391" s="25">
        <v>14</v>
      </c>
      <c r="AA2391" s="25">
        <v>88</v>
      </c>
      <c r="AB2391" s="25" t="s">
        <v>821</v>
      </c>
      <c r="AC2391" s="25" t="s">
        <v>818</v>
      </c>
      <c r="AD2391" s="25" t="s">
        <v>821</v>
      </c>
      <c r="AE2391" s="25" t="s">
        <v>818</v>
      </c>
    </row>
    <row r="2392" spans="20:31" ht="14.4">
      <c r="T2392" s="25" t="s">
        <v>937</v>
      </c>
      <c r="U2392" s="25" t="s">
        <v>854</v>
      </c>
      <c r="V2392" s="25" t="s">
        <v>849</v>
      </c>
      <c r="W2392" s="25" t="str">
        <f t="shared" si="56"/>
        <v>Square Cassette with Side &amp; Bottom ChannelsTop Fix1.1nm 12v Acmeda DCRF Motor with External Battery</v>
      </c>
      <c r="X2392" s="25">
        <v>10</v>
      </c>
      <c r="Y2392" s="25">
        <v>14</v>
      </c>
      <c r="Z2392" s="25">
        <v>14</v>
      </c>
      <c r="AA2392" s="25">
        <v>88</v>
      </c>
      <c r="AB2392" s="25" t="s">
        <v>821</v>
      </c>
      <c r="AC2392" s="25" t="s">
        <v>818</v>
      </c>
      <c r="AD2392" s="25" t="s">
        <v>821</v>
      </c>
      <c r="AE2392" s="25" t="s">
        <v>818</v>
      </c>
    </row>
    <row r="2393" spans="20:31" ht="14.4">
      <c r="T2393" s="25" t="s">
        <v>937</v>
      </c>
      <c r="U2393" s="25" t="s">
        <v>854</v>
      </c>
      <c r="V2393" s="25" t="s">
        <v>817</v>
      </c>
      <c r="W2393" s="25" t="str">
        <f t="shared" si="56"/>
        <v>Square Cassette with Side &amp; Bottom ChannelsTop Fix1.1nm 12v Acmeda DCRF Motor</v>
      </c>
      <c r="X2393" s="25">
        <v>10</v>
      </c>
      <c r="Y2393" s="25">
        <v>14</v>
      </c>
      <c r="Z2393" s="25">
        <v>14</v>
      </c>
      <c r="AA2393" s="25">
        <v>88</v>
      </c>
      <c r="AB2393" s="25" t="s">
        <v>821</v>
      </c>
      <c r="AC2393" s="25" t="s">
        <v>818</v>
      </c>
      <c r="AD2393" s="25" t="s">
        <v>821</v>
      </c>
      <c r="AE2393" s="25" t="s">
        <v>818</v>
      </c>
    </row>
    <row r="2394" spans="20:31" ht="14.4">
      <c r="T2394" s="25" t="s">
        <v>937</v>
      </c>
      <c r="U2394" s="25" t="s">
        <v>854</v>
      </c>
      <c r="V2394" s="25" t="s">
        <v>868</v>
      </c>
      <c r="W2394" s="25" t="str">
        <f t="shared" si="56"/>
        <v>Square Cassette with Side &amp; Bottom ChannelsTop Fix2nm 12v Acmeda DCRF Motor</v>
      </c>
      <c r="X2394" s="25">
        <v>10</v>
      </c>
      <c r="Y2394" s="25">
        <v>14</v>
      </c>
      <c r="Z2394" s="25">
        <v>14</v>
      </c>
      <c r="AA2394" s="25">
        <v>88</v>
      </c>
      <c r="AB2394" s="25" t="s">
        <v>821</v>
      </c>
      <c r="AC2394" s="25" t="s">
        <v>818</v>
      </c>
      <c r="AD2394" s="25" t="s">
        <v>821</v>
      </c>
      <c r="AE2394" s="25" t="s">
        <v>818</v>
      </c>
    </row>
    <row r="2395" spans="20:31" ht="14.4">
      <c r="T2395" s="25" t="s">
        <v>937</v>
      </c>
      <c r="U2395" s="25" t="s">
        <v>854</v>
      </c>
      <c r="V2395" t="s">
        <v>973</v>
      </c>
      <c r="W2395" s="25" t="str">
        <f t="shared" si="56"/>
        <v>Square Cassette with Side &amp; Bottom ChannelsTop FixSomfy Remote Sonesse Motor</v>
      </c>
      <c r="X2395" s="25">
        <v>10</v>
      </c>
      <c r="Y2395" s="25">
        <v>14</v>
      </c>
      <c r="Z2395" s="25">
        <v>14</v>
      </c>
      <c r="AA2395" s="25">
        <v>88</v>
      </c>
      <c r="AB2395" s="25" t="s">
        <v>821</v>
      </c>
      <c r="AC2395" s="25" t="s">
        <v>818</v>
      </c>
      <c r="AD2395" s="25" t="s">
        <v>821</v>
      </c>
      <c r="AE2395" s="25" t="s">
        <v>818</v>
      </c>
    </row>
    <row r="2396" spans="20:31" ht="14.4">
      <c r="T2396" s="25" t="s">
        <v>937</v>
      </c>
      <c r="U2396" s="25" t="s">
        <v>854</v>
      </c>
      <c r="V2396" t="s">
        <v>637</v>
      </c>
      <c r="W2396" s="25" t="str">
        <f t="shared" si="56"/>
        <v>Square Cassette with Side &amp; Bottom ChannelsTop FixSomfy 12v Remote Sonesse Motor</v>
      </c>
      <c r="X2396" s="25">
        <v>10</v>
      </c>
      <c r="Y2396" s="25">
        <v>14</v>
      </c>
      <c r="Z2396" s="25">
        <v>14</v>
      </c>
      <c r="AA2396" s="25">
        <v>88</v>
      </c>
      <c r="AB2396" s="25" t="s">
        <v>821</v>
      </c>
      <c r="AC2396" s="25" t="s">
        <v>818</v>
      </c>
      <c r="AD2396" s="25" t="s">
        <v>821</v>
      </c>
      <c r="AE2396" s="25" t="s">
        <v>818</v>
      </c>
    </row>
    <row r="2397" spans="20:31" ht="14.4">
      <c r="T2397" s="25" t="s">
        <v>937</v>
      </c>
      <c r="U2397" s="25" t="s">
        <v>854</v>
      </c>
      <c r="V2397" s="25" t="s">
        <v>974</v>
      </c>
      <c r="W2397" s="25" t="str">
        <f t="shared" si="56"/>
        <v>Square Cassette with Side &amp; Bottom ChannelsTop FixSomfy CBUS Motor</v>
      </c>
      <c r="X2397" s="25">
        <v>10</v>
      </c>
      <c r="Y2397" s="25">
        <v>14</v>
      </c>
      <c r="Z2397" s="25">
        <v>14</v>
      </c>
      <c r="AA2397" s="25">
        <v>88</v>
      </c>
      <c r="AB2397" s="25" t="s">
        <v>821</v>
      </c>
      <c r="AC2397" s="25" t="s">
        <v>818</v>
      </c>
      <c r="AD2397" s="25" t="s">
        <v>821</v>
      </c>
      <c r="AE2397" s="25" t="s">
        <v>818</v>
      </c>
    </row>
    <row r="2398" spans="20:31" ht="14.4">
      <c r="T2398" s="25" t="s">
        <v>937</v>
      </c>
      <c r="U2398" s="25" t="s">
        <v>854</v>
      </c>
      <c r="V2398" t="s">
        <v>986</v>
      </c>
      <c r="W2398" s="25" t="str">
        <f t="shared" si="56"/>
        <v>Square Cassette with Side &amp; Bottom ChannelsTop FixHD Somfy Remote Sonesse Motor</v>
      </c>
      <c r="X2398" s="25">
        <v>10</v>
      </c>
      <c r="Y2398" s="25">
        <v>14</v>
      </c>
      <c r="Z2398" s="25">
        <v>14</v>
      </c>
      <c r="AA2398" s="25">
        <v>88</v>
      </c>
      <c r="AB2398" s="25" t="s">
        <v>821</v>
      </c>
      <c r="AC2398" s="25" t="s">
        <v>818</v>
      </c>
      <c r="AD2398" s="25" t="s">
        <v>821</v>
      </c>
      <c r="AE2398" s="25" t="s">
        <v>818</v>
      </c>
    </row>
    <row r="2399" spans="20:31" ht="14.4">
      <c r="T2399" s="25" t="s">
        <v>937</v>
      </c>
      <c r="U2399" s="25" t="s">
        <v>854</v>
      </c>
      <c r="V2399" t="s">
        <v>989</v>
      </c>
      <c r="W2399" s="25" t="str">
        <f t="shared" si="56"/>
        <v>Square Cassette with Side &amp; Bottom ChannelsTop FixHD Somfy 12v Remote Sonesse Motor</v>
      </c>
      <c r="X2399" s="25">
        <v>10</v>
      </c>
      <c r="Y2399" s="25">
        <v>14</v>
      </c>
      <c r="Z2399" s="25">
        <v>14</v>
      </c>
      <c r="AA2399" s="25">
        <v>88</v>
      </c>
      <c r="AB2399" s="25" t="s">
        <v>821</v>
      </c>
      <c r="AC2399" s="25" t="s">
        <v>818</v>
      </c>
      <c r="AD2399" s="25" t="s">
        <v>821</v>
      </c>
      <c r="AE2399" s="25" t="s">
        <v>818</v>
      </c>
    </row>
    <row r="2400" spans="20:31" ht="14.4">
      <c r="T2400" s="25" t="s">
        <v>937</v>
      </c>
      <c r="U2400" s="25" t="s">
        <v>854</v>
      </c>
      <c r="V2400" s="25" t="s">
        <v>992</v>
      </c>
      <c r="W2400" s="25" t="str">
        <f t="shared" si="56"/>
        <v>Square Cassette with Side &amp; Bottom ChannelsTop FixHD Somfy CBUS Motor</v>
      </c>
      <c r="X2400" s="25">
        <v>10</v>
      </c>
      <c r="Y2400" s="25">
        <v>14</v>
      </c>
      <c r="Z2400" s="25">
        <v>14</v>
      </c>
      <c r="AA2400" s="25">
        <v>88</v>
      </c>
      <c r="AB2400" s="25" t="s">
        <v>821</v>
      </c>
      <c r="AC2400" s="25" t="s">
        <v>818</v>
      </c>
      <c r="AD2400" s="25" t="s">
        <v>821</v>
      </c>
      <c r="AE2400" s="25" t="s">
        <v>818</v>
      </c>
    </row>
    <row r="2401" spans="20:31" ht="14.4">
      <c r="T2401" s="25" t="s">
        <v>937</v>
      </c>
      <c r="U2401" s="25" t="s">
        <v>854</v>
      </c>
      <c r="V2401" s="25" t="s">
        <v>625</v>
      </c>
      <c r="W2401" s="25" t="str">
        <f t="shared" si="56"/>
        <v>Square Cassette with Side &amp; Bottom ChannelsTop FixAcmeda E6 Motor</v>
      </c>
      <c r="X2401" s="25">
        <v>10</v>
      </c>
      <c r="Y2401" s="25">
        <v>14</v>
      </c>
      <c r="Z2401" s="25">
        <v>14</v>
      </c>
      <c r="AA2401" s="25">
        <v>88</v>
      </c>
      <c r="AB2401" s="25" t="s">
        <v>821</v>
      </c>
      <c r="AC2401" s="25" t="s">
        <v>818</v>
      </c>
      <c r="AD2401" s="25" t="s">
        <v>821</v>
      </c>
      <c r="AE2401" s="25" t="s">
        <v>818</v>
      </c>
    </row>
    <row r="2402" spans="20:31" ht="14.4">
      <c r="T2402" s="25" t="s">
        <v>937</v>
      </c>
      <c r="U2402" s="25" t="s">
        <v>854</v>
      </c>
      <c r="V2402" s="25" t="s">
        <v>626</v>
      </c>
      <c r="W2402" s="25" t="str">
        <f t="shared" si="56"/>
        <v>Square Cassette with Side &amp; Bottom ChannelsTop FixAcmeda M6 Motor</v>
      </c>
      <c r="X2402" s="25">
        <v>10</v>
      </c>
      <c r="Y2402" s="25">
        <v>14</v>
      </c>
      <c r="Z2402" s="25">
        <v>14</v>
      </c>
      <c r="AA2402" s="25">
        <v>88</v>
      </c>
      <c r="AB2402" s="25" t="s">
        <v>821</v>
      </c>
      <c r="AC2402" s="25" t="s">
        <v>818</v>
      </c>
      <c r="AD2402" s="25" t="s">
        <v>821</v>
      </c>
      <c r="AE2402" s="25" t="s">
        <v>818</v>
      </c>
    </row>
    <row r="2403" spans="20:31" ht="14.4">
      <c r="T2403" s="25" t="s">
        <v>937</v>
      </c>
      <c r="U2403" s="25" t="s">
        <v>854</v>
      </c>
      <c r="V2403" s="25" t="s">
        <v>1002</v>
      </c>
      <c r="W2403" s="25" t="str">
        <f t="shared" si="56"/>
        <v>Square Cassette with Side &amp; Bottom ChannelsTop FixUniline Remote Motor</v>
      </c>
      <c r="X2403" s="25">
        <v>10</v>
      </c>
      <c r="Y2403" s="25">
        <v>14</v>
      </c>
      <c r="Z2403" s="25">
        <v>14</v>
      </c>
      <c r="AA2403" s="25">
        <v>88</v>
      </c>
      <c r="AB2403" s="25" t="s">
        <v>821</v>
      </c>
      <c r="AC2403" s="25" t="s">
        <v>818</v>
      </c>
      <c r="AD2403" s="25" t="s">
        <v>821</v>
      </c>
      <c r="AE2403" s="25" t="s">
        <v>818</v>
      </c>
    </row>
    <row r="2404" spans="20:31" ht="14.4">
      <c r="T2404" s="25" t="s">
        <v>937</v>
      </c>
      <c r="U2404" s="25" t="s">
        <v>854</v>
      </c>
      <c r="V2404" s="25" t="s">
        <v>1005</v>
      </c>
      <c r="W2404" s="25" t="str">
        <f t="shared" si="56"/>
        <v>Square Cassette with Side &amp; Bottom ChannelsTop FixUniline Cbus Motor</v>
      </c>
      <c r="X2404" s="25">
        <v>10</v>
      </c>
      <c r="Y2404" s="25">
        <v>14</v>
      </c>
      <c r="Z2404" s="25">
        <v>14</v>
      </c>
      <c r="AA2404" s="25">
        <v>88</v>
      </c>
      <c r="AB2404" s="25" t="s">
        <v>821</v>
      </c>
      <c r="AC2404" s="25" t="s">
        <v>818</v>
      </c>
      <c r="AD2404" s="25" t="s">
        <v>821</v>
      </c>
      <c r="AE2404" s="25" t="s">
        <v>818</v>
      </c>
    </row>
    <row r="2405" spans="20:31" ht="14.4">
      <c r="T2405" s="25" t="s">
        <v>937</v>
      </c>
      <c r="U2405" s="25" t="s">
        <v>854</v>
      </c>
      <c r="V2405" s="25" t="s">
        <v>981</v>
      </c>
      <c r="W2405" s="25" t="str">
        <f t="shared" si="56"/>
        <v>Square Cassette with Side &amp; Bottom ChannelsTop FixNice Remote Motor</v>
      </c>
      <c r="X2405" s="25">
        <v>10</v>
      </c>
      <c r="Y2405" s="25">
        <v>14</v>
      </c>
      <c r="Z2405" s="25">
        <v>14</v>
      </c>
      <c r="AA2405" s="25">
        <v>88</v>
      </c>
      <c r="AB2405" s="25" t="s">
        <v>821</v>
      </c>
      <c r="AC2405" s="25" t="s">
        <v>818</v>
      </c>
      <c r="AD2405" s="25" t="s">
        <v>821</v>
      </c>
      <c r="AE2405" s="25" t="s">
        <v>818</v>
      </c>
    </row>
    <row r="2406" spans="20:31" ht="14.4">
      <c r="T2406" s="25" t="s">
        <v>937</v>
      </c>
      <c r="U2406" s="25" t="s">
        <v>854</v>
      </c>
      <c r="V2406" s="25" t="s">
        <v>976</v>
      </c>
      <c r="W2406" s="25" t="str">
        <f t="shared" si="56"/>
        <v>Square Cassette with Side &amp; Bottom ChannelsTop FixNice CBus Motor</v>
      </c>
      <c r="X2406" s="25">
        <v>10</v>
      </c>
      <c r="Y2406" s="25">
        <v>14</v>
      </c>
      <c r="Z2406" s="25">
        <v>14</v>
      </c>
      <c r="AA2406" s="25">
        <v>88</v>
      </c>
      <c r="AB2406" s="25" t="s">
        <v>821</v>
      </c>
      <c r="AC2406" s="25" t="s">
        <v>818</v>
      </c>
      <c r="AD2406" s="25" t="s">
        <v>821</v>
      </c>
      <c r="AE2406" s="25" t="s">
        <v>818</v>
      </c>
    </row>
    <row r="2407" spans="20:31" ht="14.4">
      <c r="T2407" s="25" t="s">
        <v>937</v>
      </c>
      <c r="U2407" s="25" t="s">
        <v>854</v>
      </c>
      <c r="V2407" t="s">
        <v>1006</v>
      </c>
      <c r="W2407" s="25" t="str">
        <f t="shared" si="56"/>
        <v>Square Cassette with Side &amp; Bottom ChannelsTop FixSunboss Chain Winder 38mm Tube</v>
      </c>
      <c r="X2407" s="25">
        <v>10</v>
      </c>
      <c r="Y2407" s="25">
        <v>14</v>
      </c>
      <c r="Z2407" s="25">
        <v>14</v>
      </c>
      <c r="AA2407" s="25">
        <v>88</v>
      </c>
      <c r="AB2407" s="25" t="s">
        <v>821</v>
      </c>
      <c r="AC2407" s="25" t="s">
        <v>818</v>
      </c>
      <c r="AD2407" s="25" t="s">
        <v>821</v>
      </c>
      <c r="AE2407" s="25" t="s">
        <v>818</v>
      </c>
    </row>
    <row r="2408" spans="20:31" ht="14.4">
      <c r="T2408" s="25" t="s">
        <v>937</v>
      </c>
      <c r="U2408" s="25" t="s">
        <v>854</v>
      </c>
      <c r="V2408" t="s">
        <v>1017</v>
      </c>
      <c r="W2408" s="25" t="str">
        <f t="shared" si="56"/>
        <v>Square Cassette with Side &amp; Bottom ChannelsTop FixSunboss Chain Winder 43mm Tube</v>
      </c>
      <c r="X2408" s="25">
        <v>10</v>
      </c>
      <c r="Y2408" s="25">
        <v>14</v>
      </c>
      <c r="Z2408" s="25">
        <v>14</v>
      </c>
      <c r="AA2408" s="25">
        <v>88</v>
      </c>
      <c r="AB2408" s="25" t="s">
        <v>821</v>
      </c>
      <c r="AC2408" s="25" t="s">
        <v>818</v>
      </c>
      <c r="AD2408" s="25" t="s">
        <v>821</v>
      </c>
      <c r="AE2408" s="25" t="s">
        <v>818</v>
      </c>
    </row>
    <row r="2409" spans="20:31" ht="14.4">
      <c r="T2409" s="25" t="s">
        <v>937</v>
      </c>
      <c r="U2409" s="25" t="s">
        <v>854</v>
      </c>
      <c r="V2409" s="25" t="s">
        <v>1012</v>
      </c>
      <c r="W2409" s="25" t="str">
        <f t="shared" si="56"/>
        <v>Square Cassette with Side &amp; Bottom ChannelsTop FixTBS Remote Motor</v>
      </c>
      <c r="X2409" s="25">
        <v>10</v>
      </c>
      <c r="Y2409" s="25">
        <v>14</v>
      </c>
      <c r="Z2409" s="25">
        <v>14</v>
      </c>
      <c r="AA2409" s="25">
        <v>88</v>
      </c>
      <c r="AB2409" s="25" t="s">
        <v>821</v>
      </c>
      <c r="AC2409" s="25" t="s">
        <v>818</v>
      </c>
      <c r="AD2409" s="25" t="s">
        <v>821</v>
      </c>
      <c r="AE2409" s="25" t="s">
        <v>818</v>
      </c>
    </row>
    <row r="2410" spans="20:31" ht="14.4">
      <c r="T2410" s="25" t="s">
        <v>937</v>
      </c>
      <c r="U2410" s="25" t="s">
        <v>854</v>
      </c>
      <c r="V2410" t="s">
        <v>1009</v>
      </c>
      <c r="W2410" s="25" t="str">
        <f t="shared" si="56"/>
        <v>Square Cassette with Side &amp; Bottom ChannelsTop FixTBS Cbus Motor</v>
      </c>
      <c r="X2410" s="25">
        <v>10</v>
      </c>
      <c r="Y2410" s="25">
        <v>14</v>
      </c>
      <c r="Z2410" s="25">
        <v>14</v>
      </c>
      <c r="AA2410" s="25">
        <v>88</v>
      </c>
      <c r="AB2410" s="25" t="s">
        <v>821</v>
      </c>
      <c r="AC2410" s="25" t="s">
        <v>818</v>
      </c>
      <c r="AD2410" s="25" t="s">
        <v>821</v>
      </c>
      <c r="AE2410" s="25" t="s">
        <v>818</v>
      </c>
    </row>
    <row r="2411" spans="20:31" ht="14.4">
      <c r="T2411" s="25" t="s">
        <v>937</v>
      </c>
      <c r="U2411" s="25" t="s">
        <v>854</v>
      </c>
      <c r="V2411" t="s">
        <v>927</v>
      </c>
      <c r="W2411" s="25" t="str">
        <f t="shared" si="56"/>
        <v>Square Cassette with Side &amp; Bottom ChannelsTop FixAcmeda External Motor</v>
      </c>
      <c r="X2411" s="25">
        <v>10</v>
      </c>
      <c r="Y2411" s="25">
        <v>14</v>
      </c>
      <c r="Z2411" s="25">
        <v>14</v>
      </c>
      <c r="AA2411" s="25">
        <v>88</v>
      </c>
      <c r="AB2411" s="25" t="s">
        <v>821</v>
      </c>
      <c r="AC2411" s="25" t="s">
        <v>818</v>
      </c>
      <c r="AD2411" s="25" t="s">
        <v>821</v>
      </c>
      <c r="AE2411" s="25" t="s">
        <v>818</v>
      </c>
    </row>
    <row r="2412" spans="20:31" ht="14.4">
      <c r="T2412" s="25" t="s">
        <v>937</v>
      </c>
      <c r="U2412" s="25" t="s">
        <v>854</v>
      </c>
      <c r="V2412" t="s">
        <v>918</v>
      </c>
      <c r="W2412" s="25" t="str">
        <f t="shared" si="56"/>
        <v>Square Cassette with Side &amp; Bottom ChannelsTop FixAcmeda External 12v Motor</v>
      </c>
      <c r="X2412" s="25">
        <v>10</v>
      </c>
      <c r="Y2412" s="25">
        <v>14</v>
      </c>
      <c r="Z2412" s="25">
        <v>14</v>
      </c>
      <c r="AA2412" s="25">
        <v>88</v>
      </c>
      <c r="AB2412" s="25" t="s">
        <v>821</v>
      </c>
      <c r="AC2412" s="25" t="s">
        <v>818</v>
      </c>
      <c r="AD2412" s="25" t="s">
        <v>821</v>
      </c>
      <c r="AE2412" s="25" t="s">
        <v>818</v>
      </c>
    </row>
    <row r="2413" spans="20:31" ht="14.4">
      <c r="T2413" s="25" t="s">
        <v>937</v>
      </c>
      <c r="U2413" s="25" t="s">
        <v>854</v>
      </c>
      <c r="V2413" t="s">
        <v>979</v>
      </c>
      <c r="W2413" s="25" t="str">
        <f t="shared" si="56"/>
        <v>Square Cassette with Side &amp; Bottom ChannelsTop FixSomfy External CBUS Motor</v>
      </c>
      <c r="X2413" s="25">
        <v>10</v>
      </c>
      <c r="Y2413" s="25">
        <v>14</v>
      </c>
      <c r="Z2413" s="25">
        <v>14</v>
      </c>
      <c r="AA2413" s="25">
        <v>88</v>
      </c>
      <c r="AB2413" s="25" t="s">
        <v>821</v>
      </c>
      <c r="AC2413" s="25" t="s">
        <v>818</v>
      </c>
      <c r="AD2413" s="25" t="s">
        <v>821</v>
      </c>
      <c r="AE2413" s="25" t="s">
        <v>818</v>
      </c>
    </row>
    <row r="2414" spans="20:31" ht="14.4">
      <c r="T2414" s="25" t="s">
        <v>937</v>
      </c>
      <c r="U2414" s="25" t="s">
        <v>854</v>
      </c>
      <c r="V2414" t="s">
        <v>983</v>
      </c>
      <c r="W2414" s="25" t="str">
        <f t="shared" si="56"/>
        <v>Square Cassette with Side &amp; Bottom ChannelsTop FixSomfy External Remote Motor</v>
      </c>
      <c r="X2414" s="25">
        <v>10</v>
      </c>
      <c r="Y2414" s="25">
        <v>14</v>
      </c>
      <c r="Z2414" s="25">
        <v>14</v>
      </c>
      <c r="AA2414" s="25">
        <v>88</v>
      </c>
      <c r="AB2414" s="25" t="s">
        <v>821</v>
      </c>
      <c r="AC2414" s="25" t="s">
        <v>818</v>
      </c>
      <c r="AD2414" s="25" t="s">
        <v>821</v>
      </c>
      <c r="AE2414" s="25" t="s">
        <v>818</v>
      </c>
    </row>
    <row r="2415" spans="20:31" ht="14.4">
      <c r="T2415" s="25" t="s">
        <v>937</v>
      </c>
      <c r="U2415" s="25" t="s">
        <v>854</v>
      </c>
      <c r="V2415" t="s">
        <v>979</v>
      </c>
      <c r="W2415" s="25" t="str">
        <f t="shared" si="56"/>
        <v>Square Cassette with Side &amp; Bottom ChannelsTop FixSomfy External CBUS Motor</v>
      </c>
      <c r="X2415" s="25">
        <v>10</v>
      </c>
      <c r="Y2415" s="25">
        <v>14</v>
      </c>
      <c r="Z2415" s="25">
        <v>14</v>
      </c>
      <c r="AA2415" s="25">
        <v>88</v>
      </c>
      <c r="AB2415" s="25" t="s">
        <v>821</v>
      </c>
      <c r="AC2415" s="25" t="s">
        <v>818</v>
      </c>
      <c r="AD2415" s="25" t="s">
        <v>821</v>
      </c>
      <c r="AE2415" s="25" t="s">
        <v>818</v>
      </c>
    </row>
    <row r="2416" spans="20:31" ht="14.4">
      <c r="T2416" s="25" t="s">
        <v>937</v>
      </c>
      <c r="U2416" s="25" t="s">
        <v>854</v>
      </c>
      <c r="V2416" t="s">
        <v>999</v>
      </c>
      <c r="W2416" s="25" t="str">
        <f t="shared" si="56"/>
        <v>Square Cassette with Side &amp; Bottom ChannelsTop FixHD Somfy External Remote Motor</v>
      </c>
      <c r="X2416" s="25">
        <v>10</v>
      </c>
      <c r="Y2416" s="25">
        <v>14</v>
      </c>
      <c r="Z2416" s="25">
        <v>14</v>
      </c>
      <c r="AA2416" s="25">
        <v>88</v>
      </c>
      <c r="AB2416" s="25" t="s">
        <v>821</v>
      </c>
      <c r="AC2416" s="25" t="s">
        <v>818</v>
      </c>
      <c r="AD2416" s="25" t="s">
        <v>821</v>
      </c>
      <c r="AE2416" s="25" t="s">
        <v>818</v>
      </c>
    </row>
    <row r="2417" spans="20:31" ht="14.4">
      <c r="T2417" s="25" t="s">
        <v>937</v>
      </c>
      <c r="U2417" s="25" t="s">
        <v>880</v>
      </c>
      <c r="V2417" s="25" t="s">
        <v>823</v>
      </c>
      <c r="W2417" s="25" t="str">
        <f t="shared" si="56"/>
        <v>Square Cassette with Side &amp; Bottom ChannelsInside Window MountChain Winder</v>
      </c>
      <c r="X2417" s="25">
        <v>10</v>
      </c>
      <c r="Y2417" s="25">
        <v>14</v>
      </c>
      <c r="Z2417" s="25">
        <v>29</v>
      </c>
      <c r="AA2417" s="25">
        <v>88</v>
      </c>
      <c r="AB2417" s="25" t="s">
        <v>821</v>
      </c>
      <c r="AC2417" s="25" t="s">
        <v>818</v>
      </c>
      <c r="AD2417" s="25" t="s">
        <v>821</v>
      </c>
      <c r="AE2417" s="25" t="s">
        <v>818</v>
      </c>
    </row>
    <row r="2418" spans="20:31" ht="14.4">
      <c r="T2418" s="25" t="s">
        <v>937</v>
      </c>
      <c r="U2418" s="25" t="s">
        <v>880</v>
      </c>
      <c r="V2418" s="25" t="s">
        <v>841</v>
      </c>
      <c r="W2418" s="25" t="str">
        <f t="shared" si="56"/>
        <v>Square Cassette with Side &amp; Bottom ChannelsInside Window MountHD Chain Winder</v>
      </c>
      <c r="X2418" s="25">
        <v>10</v>
      </c>
      <c r="Y2418" s="25">
        <v>14</v>
      </c>
      <c r="Z2418" s="25">
        <v>29</v>
      </c>
      <c r="AA2418" s="25">
        <v>88</v>
      </c>
      <c r="AB2418" s="25" t="s">
        <v>821</v>
      </c>
      <c r="AC2418" s="25" t="s">
        <v>818</v>
      </c>
      <c r="AD2418" s="25" t="s">
        <v>821</v>
      </c>
      <c r="AE2418" s="25" t="s">
        <v>818</v>
      </c>
    </row>
    <row r="2419" spans="20:31" ht="14.4">
      <c r="T2419" s="25" t="s">
        <v>937</v>
      </c>
      <c r="U2419" s="25" t="s">
        <v>880</v>
      </c>
      <c r="V2419" s="25" t="s">
        <v>858</v>
      </c>
      <c r="W2419" s="25" t="str">
        <f t="shared" si="56"/>
        <v>Square Cassette with Side &amp; Bottom ChannelsInside Window MountChain Winder 60mm</v>
      </c>
      <c r="X2419" s="25">
        <v>10</v>
      </c>
      <c r="Y2419" s="25">
        <v>14</v>
      </c>
      <c r="Z2419" s="25">
        <v>29</v>
      </c>
      <c r="AA2419" s="25">
        <v>88</v>
      </c>
      <c r="AB2419" s="25" t="s">
        <v>821</v>
      </c>
      <c r="AC2419" s="25" t="s">
        <v>818</v>
      </c>
      <c r="AD2419" s="25" t="s">
        <v>821</v>
      </c>
      <c r="AE2419" s="25" t="s">
        <v>818</v>
      </c>
    </row>
    <row r="2420" spans="20:31" ht="14.4">
      <c r="T2420" s="25" t="s">
        <v>937</v>
      </c>
      <c r="U2420" s="25" t="s">
        <v>880</v>
      </c>
      <c r="V2420" s="25" t="s">
        <v>865</v>
      </c>
      <c r="W2420" s="25" t="str">
        <f t="shared" si="56"/>
        <v>Square Cassette with Side &amp; Bottom ChannelsInside Window MountChain Winder Fixed Guide</v>
      </c>
      <c r="X2420" s="25">
        <v>10</v>
      </c>
      <c r="Y2420" s="25">
        <v>14</v>
      </c>
      <c r="Z2420" s="25">
        <v>29</v>
      </c>
      <c r="AA2420" s="25">
        <v>88</v>
      </c>
      <c r="AB2420" s="25" t="s">
        <v>821</v>
      </c>
      <c r="AC2420" s="25" t="s">
        <v>818</v>
      </c>
      <c r="AD2420" s="25" t="s">
        <v>821</v>
      </c>
      <c r="AE2420" s="25" t="s">
        <v>818</v>
      </c>
    </row>
    <row r="2421" spans="20:31" ht="14.4">
      <c r="T2421" s="25" t="s">
        <v>937</v>
      </c>
      <c r="U2421" s="25" t="s">
        <v>880</v>
      </c>
      <c r="V2421" s="25" t="s">
        <v>181</v>
      </c>
      <c r="W2421" s="25" t="str">
        <f t="shared" si="56"/>
        <v>Square Cassette with Side &amp; Bottom ChannelsInside Window MountLinked</v>
      </c>
      <c r="X2421" s="25">
        <v>10</v>
      </c>
      <c r="Y2421" s="25">
        <v>14</v>
      </c>
      <c r="Z2421" s="25">
        <v>14</v>
      </c>
      <c r="AA2421" s="25">
        <v>88</v>
      </c>
      <c r="AB2421" s="25" t="s">
        <v>821</v>
      </c>
      <c r="AC2421" s="25" t="s">
        <v>818</v>
      </c>
      <c r="AD2421" s="25" t="s">
        <v>821</v>
      </c>
      <c r="AE2421" s="25" t="s">
        <v>818</v>
      </c>
    </row>
    <row r="2422" spans="20:31" ht="14.4">
      <c r="T2422" s="25" t="s">
        <v>937</v>
      </c>
      <c r="U2422" s="25" t="s">
        <v>880</v>
      </c>
      <c r="V2422" s="25" t="s">
        <v>898</v>
      </c>
      <c r="W2422" s="25" t="str">
        <f t="shared" si="56"/>
        <v>Square Cassette with Side &amp; Bottom ChannelsInside Window MountLinked - HD</v>
      </c>
      <c r="X2422" s="25">
        <v>10</v>
      </c>
      <c r="Y2422" s="25">
        <v>14</v>
      </c>
      <c r="Z2422" s="25">
        <v>14</v>
      </c>
      <c r="AA2422" s="25">
        <v>88</v>
      </c>
      <c r="AB2422" s="25" t="s">
        <v>821</v>
      </c>
      <c r="AC2422" s="25" t="s">
        <v>818</v>
      </c>
      <c r="AD2422" s="25" t="s">
        <v>821</v>
      </c>
      <c r="AE2422" s="25" t="s">
        <v>818</v>
      </c>
    </row>
    <row r="2423" spans="20:31" ht="14.4">
      <c r="T2423" s="25" t="s">
        <v>937</v>
      </c>
      <c r="U2423" s="25" t="s">
        <v>880</v>
      </c>
      <c r="V2423" s="25" t="s">
        <v>910</v>
      </c>
      <c r="W2423" s="25" t="str">
        <f t="shared" si="56"/>
        <v>Square Cassette with Side &amp; Bottom ChannelsInside Window MountStandard Spring</v>
      </c>
      <c r="X2423" s="25">
        <v>10</v>
      </c>
      <c r="Y2423" s="25">
        <v>14</v>
      </c>
      <c r="Z2423" s="25">
        <v>14</v>
      </c>
      <c r="AA2423" s="25">
        <v>88</v>
      </c>
      <c r="AB2423" s="25" t="s">
        <v>821</v>
      </c>
      <c r="AC2423" s="25" t="s">
        <v>818</v>
      </c>
      <c r="AD2423" s="25" t="s">
        <v>821</v>
      </c>
      <c r="AE2423" s="25" t="s">
        <v>818</v>
      </c>
    </row>
    <row r="2424" spans="20:31" ht="14.4">
      <c r="T2424" s="25" t="s">
        <v>937</v>
      </c>
      <c r="U2424" s="25" t="s">
        <v>880</v>
      </c>
      <c r="V2424" s="25" t="s">
        <v>920</v>
      </c>
      <c r="W2424" s="25" t="str">
        <f t="shared" si="56"/>
        <v>Square Cassette with Side &amp; Bottom ChannelsInside Window MountSmall Spring</v>
      </c>
      <c r="X2424" s="25">
        <v>10</v>
      </c>
      <c r="Y2424" s="25">
        <v>14</v>
      </c>
      <c r="Z2424" s="25">
        <v>14</v>
      </c>
      <c r="AA2424" s="25">
        <v>88</v>
      </c>
      <c r="AB2424" s="25" t="s">
        <v>821</v>
      </c>
      <c r="AC2424" s="25" t="s">
        <v>818</v>
      </c>
      <c r="AD2424" s="25" t="s">
        <v>821</v>
      </c>
      <c r="AE2424" s="25" t="s">
        <v>818</v>
      </c>
    </row>
    <row r="2425" spans="20:31" ht="14.4">
      <c r="T2425" s="25" t="s">
        <v>937</v>
      </c>
      <c r="U2425" s="25" t="s">
        <v>880</v>
      </c>
      <c r="V2425" s="25" t="s">
        <v>929</v>
      </c>
      <c r="W2425" s="25" t="str">
        <f t="shared" si="56"/>
        <v>Square Cassette with Side &amp; Bottom ChannelsInside Window MountUniline Spring (Old Style)</v>
      </c>
      <c r="X2425" s="25">
        <v>10</v>
      </c>
      <c r="Y2425" s="25">
        <v>14</v>
      </c>
      <c r="Z2425" s="25">
        <v>14</v>
      </c>
      <c r="AA2425" s="25">
        <v>88</v>
      </c>
      <c r="AB2425" s="25" t="s">
        <v>821</v>
      </c>
      <c r="AC2425" s="25" t="s">
        <v>818</v>
      </c>
      <c r="AD2425" s="25" t="s">
        <v>821</v>
      </c>
      <c r="AE2425" s="25" t="s">
        <v>818</v>
      </c>
    </row>
    <row r="2426" spans="20:31" ht="14.4">
      <c r="T2426" s="25" t="s">
        <v>937</v>
      </c>
      <c r="U2426" s="25" t="s">
        <v>880</v>
      </c>
      <c r="V2426" s="25" t="s">
        <v>935</v>
      </c>
      <c r="W2426" s="25" t="str">
        <f t="shared" si="56"/>
        <v>Square Cassette with Side &amp; Bottom ChannelsInside Window MountBecker Remote Motor</v>
      </c>
      <c r="X2426" s="25">
        <v>10</v>
      </c>
      <c r="Y2426" s="25">
        <v>14</v>
      </c>
      <c r="Z2426" s="25">
        <v>14</v>
      </c>
      <c r="AA2426" s="25">
        <v>88</v>
      </c>
      <c r="AB2426" s="25" t="s">
        <v>821</v>
      </c>
      <c r="AC2426" s="25" t="s">
        <v>818</v>
      </c>
      <c r="AD2426" s="25" t="s">
        <v>821</v>
      </c>
      <c r="AE2426" s="25" t="s">
        <v>818</v>
      </c>
    </row>
    <row r="2427" spans="20:31" ht="14.4">
      <c r="T2427" s="25" t="s">
        <v>937</v>
      </c>
      <c r="U2427" s="25" t="s">
        <v>880</v>
      </c>
      <c r="V2427" s="25" t="s">
        <v>939</v>
      </c>
      <c r="W2427" s="25" t="str">
        <f t="shared" si="56"/>
        <v>Square Cassette with Side &amp; Bottom ChannelsInside Window MountBecker CBUS Motor</v>
      </c>
      <c r="X2427" s="25">
        <v>10</v>
      </c>
      <c r="Y2427" s="25">
        <v>14</v>
      </c>
      <c r="Z2427" s="25">
        <v>14</v>
      </c>
      <c r="AA2427" s="25">
        <v>88</v>
      </c>
      <c r="AB2427" s="25" t="s">
        <v>821</v>
      </c>
      <c r="AC2427" s="25" t="s">
        <v>818</v>
      </c>
      <c r="AD2427" s="25" t="s">
        <v>821</v>
      </c>
      <c r="AE2427" s="25" t="s">
        <v>818</v>
      </c>
    </row>
    <row r="2428" spans="20:31" ht="14.4">
      <c r="T2428" s="25" t="s">
        <v>937</v>
      </c>
      <c r="U2428" s="25" t="s">
        <v>880</v>
      </c>
      <c r="V2428" s="25" t="s">
        <v>946</v>
      </c>
      <c r="W2428" s="25" t="str">
        <f t="shared" si="56"/>
        <v>Square Cassette with Side &amp; Bottom ChannelsInside Window MountBecker External Remote Motor</v>
      </c>
      <c r="X2428" s="25">
        <v>10</v>
      </c>
      <c r="Y2428" s="25">
        <v>14</v>
      </c>
      <c r="Z2428" s="25">
        <v>14</v>
      </c>
      <c r="AA2428" s="25">
        <v>88</v>
      </c>
      <c r="AB2428" s="25" t="s">
        <v>821</v>
      </c>
      <c r="AC2428" s="25" t="s">
        <v>818</v>
      </c>
      <c r="AD2428" s="25" t="s">
        <v>821</v>
      </c>
      <c r="AE2428" s="25" t="s">
        <v>818</v>
      </c>
    </row>
    <row r="2429" spans="20:31" ht="14.4">
      <c r="T2429" s="25" t="s">
        <v>937</v>
      </c>
      <c r="U2429" s="25" t="s">
        <v>880</v>
      </c>
      <c r="V2429" s="25" t="s">
        <v>951</v>
      </c>
      <c r="W2429" s="25" t="str">
        <f t="shared" si="56"/>
        <v>Square Cassette with Side &amp; Bottom ChannelsInside Window MountBecker External CBUS Motor</v>
      </c>
      <c r="X2429" s="25">
        <v>10</v>
      </c>
      <c r="Y2429" s="25">
        <v>14</v>
      </c>
      <c r="Z2429" s="25">
        <v>14</v>
      </c>
      <c r="AA2429" s="25">
        <v>88</v>
      </c>
      <c r="AB2429" s="25" t="s">
        <v>821</v>
      </c>
      <c r="AC2429" s="25" t="s">
        <v>818</v>
      </c>
      <c r="AD2429" s="25" t="s">
        <v>821</v>
      </c>
      <c r="AE2429" s="25" t="s">
        <v>818</v>
      </c>
    </row>
    <row r="2430" spans="20:31" ht="14.4">
      <c r="T2430" s="25" t="s">
        <v>937</v>
      </c>
      <c r="U2430" s="25" t="s">
        <v>880</v>
      </c>
      <c r="V2430" s="25" t="s">
        <v>838</v>
      </c>
      <c r="W2430" s="25" t="str">
        <f t="shared" si="56"/>
        <v>Square Cassette with Side &amp; Bottom ChannelsInside Window Mount1.1nm 12v Acmeda Motor</v>
      </c>
      <c r="X2430" s="25">
        <v>10</v>
      </c>
      <c r="Y2430" s="25">
        <v>14</v>
      </c>
      <c r="Z2430" s="25">
        <v>14</v>
      </c>
      <c r="AA2430" s="25">
        <v>88</v>
      </c>
      <c r="AB2430" s="25" t="s">
        <v>821</v>
      </c>
      <c r="AC2430" s="25" t="s">
        <v>818</v>
      </c>
      <c r="AD2430" s="25" t="s">
        <v>821</v>
      </c>
      <c r="AE2430" s="25" t="s">
        <v>818</v>
      </c>
    </row>
    <row r="2431" spans="20:31" ht="14.4">
      <c r="T2431" s="25" t="s">
        <v>937</v>
      </c>
      <c r="U2431" s="25" t="s">
        <v>880</v>
      </c>
      <c r="V2431" t="s">
        <v>882</v>
      </c>
      <c r="W2431" s="25" t="str">
        <f t="shared" si="56"/>
        <v>Square Cassette with Side &amp; Bottom ChannelsInside Window Mount2nm 12v Acmeda Motor</v>
      </c>
      <c r="X2431" s="25">
        <v>10</v>
      </c>
      <c r="Y2431" s="25">
        <v>14</v>
      </c>
      <c r="Z2431" s="25">
        <v>14</v>
      </c>
      <c r="AA2431" s="25">
        <v>88</v>
      </c>
      <c r="AB2431" s="25" t="s">
        <v>821</v>
      </c>
      <c r="AC2431" s="25" t="s">
        <v>818</v>
      </c>
      <c r="AD2431" s="25" t="s">
        <v>821</v>
      </c>
      <c r="AE2431" s="25" t="s">
        <v>818</v>
      </c>
    </row>
    <row r="2432" spans="20:31" ht="14.4">
      <c r="T2432" s="25" t="s">
        <v>937</v>
      </c>
      <c r="U2432" s="25" t="s">
        <v>880</v>
      </c>
      <c r="V2432" t="s">
        <v>896</v>
      </c>
      <c r="W2432" s="25" t="str">
        <f t="shared" si="56"/>
        <v>Square Cassette with Side &amp; Bottom ChannelsInside Window MountAcmeda 12v 6nm Motor</v>
      </c>
      <c r="X2432" s="25">
        <v>10</v>
      </c>
      <c r="Y2432" s="25">
        <v>14</v>
      </c>
      <c r="Z2432" s="25">
        <v>14</v>
      </c>
      <c r="AA2432" s="25">
        <v>88</v>
      </c>
      <c r="AB2432" s="25" t="s">
        <v>821</v>
      </c>
      <c r="AC2432" s="25" t="s">
        <v>818</v>
      </c>
      <c r="AD2432" s="25" t="s">
        <v>821</v>
      </c>
      <c r="AE2432" s="25" t="s">
        <v>818</v>
      </c>
    </row>
    <row r="2433" spans="20:31" ht="14.4">
      <c r="T2433" s="25" t="s">
        <v>937</v>
      </c>
      <c r="U2433" s="25" t="s">
        <v>880</v>
      </c>
      <c r="V2433" t="s">
        <v>855</v>
      </c>
      <c r="W2433" s="25" t="str">
        <f t="shared" si="56"/>
        <v>Square Cassette with Side &amp; Bottom ChannelsInside Window Mount0.7nm 12v Acmeda Motor</v>
      </c>
      <c r="X2433" s="25">
        <v>10</v>
      </c>
      <c r="Y2433" s="25">
        <v>14</v>
      </c>
      <c r="Z2433" s="25">
        <v>14</v>
      </c>
      <c r="AA2433" s="25">
        <v>88</v>
      </c>
      <c r="AB2433" s="25" t="s">
        <v>821</v>
      </c>
      <c r="AC2433" s="25" t="s">
        <v>818</v>
      </c>
      <c r="AD2433" s="25" t="s">
        <v>821</v>
      </c>
      <c r="AE2433" s="25" t="s">
        <v>818</v>
      </c>
    </row>
    <row r="2434" spans="20:31" ht="14.4">
      <c r="T2434" s="25" t="s">
        <v>937</v>
      </c>
      <c r="U2434" s="25" t="s">
        <v>880</v>
      </c>
      <c r="V2434" s="25" t="s">
        <v>849</v>
      </c>
      <c r="W2434" s="25" t="str">
        <f t="shared" si="56"/>
        <v>Square Cassette with Side &amp; Bottom ChannelsInside Window Mount1.1nm 12v Acmeda DCRF Motor with External Battery</v>
      </c>
      <c r="X2434" s="25">
        <v>10</v>
      </c>
      <c r="Y2434" s="25">
        <v>14</v>
      </c>
      <c r="Z2434" s="25">
        <v>14</v>
      </c>
      <c r="AA2434" s="25">
        <v>88</v>
      </c>
      <c r="AB2434" s="25" t="s">
        <v>821</v>
      </c>
      <c r="AC2434" s="25" t="s">
        <v>818</v>
      </c>
      <c r="AD2434" s="25" t="s">
        <v>821</v>
      </c>
      <c r="AE2434" s="25" t="s">
        <v>818</v>
      </c>
    </row>
    <row r="2435" spans="20:31" ht="14.4">
      <c r="T2435" s="25" t="s">
        <v>937</v>
      </c>
      <c r="U2435" s="25" t="s">
        <v>880</v>
      </c>
      <c r="V2435" s="25" t="s">
        <v>817</v>
      </c>
      <c r="W2435" s="25" t="str">
        <f t="shared" si="57" ref="W2435:W2498">CONCATENATE(T2435,U2435,V2435)</f>
        <v>Square Cassette with Side &amp; Bottom ChannelsInside Window Mount1.1nm 12v Acmeda DCRF Motor</v>
      </c>
      <c r="X2435" s="25">
        <v>10</v>
      </c>
      <c r="Y2435" s="25">
        <v>14</v>
      </c>
      <c r="Z2435" s="25">
        <v>14</v>
      </c>
      <c r="AA2435" s="25">
        <v>88</v>
      </c>
      <c r="AB2435" s="25" t="s">
        <v>821</v>
      </c>
      <c r="AC2435" s="25" t="s">
        <v>818</v>
      </c>
      <c r="AD2435" s="25" t="s">
        <v>821</v>
      </c>
      <c r="AE2435" s="25" t="s">
        <v>818</v>
      </c>
    </row>
    <row r="2436" spans="20:31" ht="14.4">
      <c r="T2436" s="25" t="s">
        <v>937</v>
      </c>
      <c r="U2436" s="25" t="s">
        <v>880</v>
      </c>
      <c r="V2436" s="25" t="s">
        <v>868</v>
      </c>
      <c r="W2436" s="25" t="str">
        <f t="shared" si="57"/>
        <v>Square Cassette with Side &amp; Bottom ChannelsInside Window Mount2nm 12v Acmeda DCRF Motor</v>
      </c>
      <c r="X2436" s="25">
        <v>10</v>
      </c>
      <c r="Y2436" s="25">
        <v>14</v>
      </c>
      <c r="Z2436" s="25">
        <v>14</v>
      </c>
      <c r="AA2436" s="25">
        <v>88</v>
      </c>
      <c r="AB2436" s="25" t="s">
        <v>821</v>
      </c>
      <c r="AC2436" s="25" t="s">
        <v>818</v>
      </c>
      <c r="AD2436" s="25" t="s">
        <v>821</v>
      </c>
      <c r="AE2436" s="25" t="s">
        <v>818</v>
      </c>
    </row>
    <row r="2437" spans="20:31" ht="14.4">
      <c r="T2437" s="25" t="s">
        <v>937</v>
      </c>
      <c r="U2437" s="25" t="s">
        <v>880</v>
      </c>
      <c r="V2437" t="s">
        <v>973</v>
      </c>
      <c r="W2437" s="25" t="str">
        <f t="shared" si="57"/>
        <v>Square Cassette with Side &amp; Bottom ChannelsInside Window MountSomfy Remote Sonesse Motor</v>
      </c>
      <c r="X2437" s="25">
        <v>10</v>
      </c>
      <c r="Y2437" s="25">
        <v>14</v>
      </c>
      <c r="Z2437" s="25">
        <v>14</v>
      </c>
      <c r="AA2437" s="25">
        <v>88</v>
      </c>
      <c r="AB2437" s="25" t="s">
        <v>821</v>
      </c>
      <c r="AC2437" s="25" t="s">
        <v>818</v>
      </c>
      <c r="AD2437" s="25" t="s">
        <v>821</v>
      </c>
      <c r="AE2437" s="25" t="s">
        <v>818</v>
      </c>
    </row>
    <row r="2438" spans="20:31" ht="14.4">
      <c r="T2438" s="25" t="s">
        <v>937</v>
      </c>
      <c r="U2438" s="25" t="s">
        <v>880</v>
      </c>
      <c r="V2438" t="s">
        <v>637</v>
      </c>
      <c r="W2438" s="25" t="str">
        <f t="shared" si="57"/>
        <v>Square Cassette with Side &amp; Bottom ChannelsInside Window MountSomfy 12v Remote Sonesse Motor</v>
      </c>
      <c r="X2438" s="25">
        <v>10</v>
      </c>
      <c r="Y2438" s="25">
        <v>14</v>
      </c>
      <c r="Z2438" s="25">
        <v>14</v>
      </c>
      <c r="AA2438" s="25">
        <v>88</v>
      </c>
      <c r="AB2438" s="25" t="s">
        <v>821</v>
      </c>
      <c r="AC2438" s="25" t="s">
        <v>818</v>
      </c>
      <c r="AD2438" s="25" t="s">
        <v>821</v>
      </c>
      <c r="AE2438" s="25" t="s">
        <v>818</v>
      </c>
    </row>
    <row r="2439" spans="20:31" ht="14.4">
      <c r="T2439" s="25" t="s">
        <v>937</v>
      </c>
      <c r="U2439" s="25" t="s">
        <v>880</v>
      </c>
      <c r="V2439" s="25" t="s">
        <v>974</v>
      </c>
      <c r="W2439" s="25" t="str">
        <f t="shared" si="57"/>
        <v>Square Cassette with Side &amp; Bottom ChannelsInside Window MountSomfy CBUS Motor</v>
      </c>
      <c r="X2439" s="25">
        <v>10</v>
      </c>
      <c r="Y2439" s="25">
        <v>14</v>
      </c>
      <c r="Z2439" s="25">
        <v>14</v>
      </c>
      <c r="AA2439" s="25">
        <v>88</v>
      </c>
      <c r="AB2439" s="25" t="s">
        <v>821</v>
      </c>
      <c r="AC2439" s="25" t="s">
        <v>818</v>
      </c>
      <c r="AD2439" s="25" t="s">
        <v>821</v>
      </c>
      <c r="AE2439" s="25" t="s">
        <v>818</v>
      </c>
    </row>
    <row r="2440" spans="20:31" ht="14.4">
      <c r="T2440" s="25" t="s">
        <v>937</v>
      </c>
      <c r="U2440" s="25" t="s">
        <v>880</v>
      </c>
      <c r="V2440" t="s">
        <v>986</v>
      </c>
      <c r="W2440" s="25" t="str">
        <f t="shared" si="57"/>
        <v>Square Cassette with Side &amp; Bottom ChannelsInside Window MountHD Somfy Remote Sonesse Motor</v>
      </c>
      <c r="X2440" s="25">
        <v>10</v>
      </c>
      <c r="Y2440" s="25">
        <v>14</v>
      </c>
      <c r="Z2440" s="25">
        <v>14</v>
      </c>
      <c r="AA2440" s="25">
        <v>88</v>
      </c>
      <c r="AB2440" s="25" t="s">
        <v>821</v>
      </c>
      <c r="AC2440" s="25" t="s">
        <v>818</v>
      </c>
      <c r="AD2440" s="25" t="s">
        <v>821</v>
      </c>
      <c r="AE2440" s="25" t="s">
        <v>818</v>
      </c>
    </row>
    <row r="2441" spans="20:31" ht="14.4">
      <c r="T2441" s="25" t="s">
        <v>937</v>
      </c>
      <c r="U2441" s="25" t="s">
        <v>880</v>
      </c>
      <c r="V2441" t="s">
        <v>989</v>
      </c>
      <c r="W2441" s="25" t="str">
        <f t="shared" si="57"/>
        <v>Square Cassette with Side &amp; Bottom ChannelsInside Window MountHD Somfy 12v Remote Sonesse Motor</v>
      </c>
      <c r="X2441" s="25">
        <v>10</v>
      </c>
      <c r="Y2441" s="25">
        <v>14</v>
      </c>
      <c r="Z2441" s="25">
        <v>14</v>
      </c>
      <c r="AA2441" s="25">
        <v>88</v>
      </c>
      <c r="AB2441" s="25" t="s">
        <v>821</v>
      </c>
      <c r="AC2441" s="25" t="s">
        <v>818</v>
      </c>
      <c r="AD2441" s="25" t="s">
        <v>821</v>
      </c>
      <c r="AE2441" s="25" t="s">
        <v>818</v>
      </c>
    </row>
    <row r="2442" spans="20:31" ht="14.4">
      <c r="T2442" s="25" t="s">
        <v>937</v>
      </c>
      <c r="U2442" s="25" t="s">
        <v>880</v>
      </c>
      <c r="V2442" s="25" t="s">
        <v>992</v>
      </c>
      <c r="W2442" s="25" t="str">
        <f t="shared" si="57"/>
        <v>Square Cassette with Side &amp; Bottom ChannelsInside Window MountHD Somfy CBUS Motor</v>
      </c>
      <c r="X2442" s="25">
        <v>10</v>
      </c>
      <c r="Y2442" s="25">
        <v>14</v>
      </c>
      <c r="Z2442" s="25">
        <v>14</v>
      </c>
      <c r="AA2442" s="25">
        <v>88</v>
      </c>
      <c r="AB2442" s="25" t="s">
        <v>821</v>
      </c>
      <c r="AC2442" s="25" t="s">
        <v>818</v>
      </c>
      <c r="AD2442" s="25" t="s">
        <v>821</v>
      </c>
      <c r="AE2442" s="25" t="s">
        <v>818</v>
      </c>
    </row>
    <row r="2443" spans="20:31" ht="14.4">
      <c r="T2443" s="25" t="s">
        <v>937</v>
      </c>
      <c r="U2443" s="25" t="s">
        <v>880</v>
      </c>
      <c r="V2443" s="25" t="s">
        <v>625</v>
      </c>
      <c r="W2443" s="25" t="str">
        <f t="shared" si="57"/>
        <v>Square Cassette with Side &amp; Bottom ChannelsInside Window MountAcmeda E6 Motor</v>
      </c>
      <c r="X2443" s="25">
        <v>10</v>
      </c>
      <c r="Y2443" s="25">
        <v>14</v>
      </c>
      <c r="Z2443" s="25">
        <v>14</v>
      </c>
      <c r="AA2443" s="25">
        <v>88</v>
      </c>
      <c r="AB2443" s="25" t="s">
        <v>821</v>
      </c>
      <c r="AC2443" s="25" t="s">
        <v>818</v>
      </c>
      <c r="AD2443" s="25" t="s">
        <v>821</v>
      </c>
      <c r="AE2443" s="25" t="s">
        <v>818</v>
      </c>
    </row>
    <row r="2444" spans="20:31" ht="14.4">
      <c r="T2444" s="25" t="s">
        <v>937</v>
      </c>
      <c r="U2444" s="25" t="s">
        <v>880</v>
      </c>
      <c r="V2444" s="25" t="s">
        <v>626</v>
      </c>
      <c r="W2444" s="25" t="str">
        <f t="shared" si="57"/>
        <v>Square Cassette with Side &amp; Bottom ChannelsInside Window MountAcmeda M6 Motor</v>
      </c>
      <c r="X2444" s="25">
        <v>10</v>
      </c>
      <c r="Y2444" s="25">
        <v>14</v>
      </c>
      <c r="Z2444" s="25">
        <v>14</v>
      </c>
      <c r="AA2444" s="25">
        <v>88</v>
      </c>
      <c r="AB2444" s="25" t="s">
        <v>821</v>
      </c>
      <c r="AC2444" s="25" t="s">
        <v>818</v>
      </c>
      <c r="AD2444" s="25" t="s">
        <v>821</v>
      </c>
      <c r="AE2444" s="25" t="s">
        <v>818</v>
      </c>
    </row>
    <row r="2445" spans="20:31" ht="14.4">
      <c r="T2445" s="25" t="s">
        <v>937</v>
      </c>
      <c r="U2445" s="25" t="s">
        <v>880</v>
      </c>
      <c r="V2445" s="25" t="s">
        <v>1002</v>
      </c>
      <c r="W2445" s="25" t="str">
        <f t="shared" si="57"/>
        <v>Square Cassette with Side &amp; Bottom ChannelsInside Window MountUniline Remote Motor</v>
      </c>
      <c r="X2445" s="25">
        <v>10</v>
      </c>
      <c r="Y2445" s="25">
        <v>14</v>
      </c>
      <c r="Z2445" s="25">
        <v>14</v>
      </c>
      <c r="AA2445" s="25">
        <v>88</v>
      </c>
      <c r="AB2445" s="25" t="s">
        <v>821</v>
      </c>
      <c r="AC2445" s="25" t="s">
        <v>818</v>
      </c>
      <c r="AD2445" s="25" t="s">
        <v>821</v>
      </c>
      <c r="AE2445" s="25" t="s">
        <v>818</v>
      </c>
    </row>
    <row r="2446" spans="20:31" ht="14.4">
      <c r="T2446" s="25" t="s">
        <v>937</v>
      </c>
      <c r="U2446" s="25" t="s">
        <v>880</v>
      </c>
      <c r="V2446" s="25" t="s">
        <v>1005</v>
      </c>
      <c r="W2446" s="25" t="str">
        <f t="shared" si="57"/>
        <v>Square Cassette with Side &amp; Bottom ChannelsInside Window MountUniline Cbus Motor</v>
      </c>
      <c r="X2446" s="25">
        <v>10</v>
      </c>
      <c r="Y2446" s="25">
        <v>14</v>
      </c>
      <c r="Z2446" s="25">
        <v>14</v>
      </c>
      <c r="AA2446" s="25">
        <v>88</v>
      </c>
      <c r="AB2446" s="25" t="s">
        <v>821</v>
      </c>
      <c r="AC2446" s="25" t="s">
        <v>818</v>
      </c>
      <c r="AD2446" s="25" t="s">
        <v>821</v>
      </c>
      <c r="AE2446" s="25" t="s">
        <v>818</v>
      </c>
    </row>
    <row r="2447" spans="20:31" ht="14.4">
      <c r="T2447" s="25" t="s">
        <v>937</v>
      </c>
      <c r="U2447" s="25" t="s">
        <v>880</v>
      </c>
      <c r="V2447" s="25" t="s">
        <v>981</v>
      </c>
      <c r="W2447" s="25" t="str">
        <f t="shared" si="57"/>
        <v>Square Cassette with Side &amp; Bottom ChannelsInside Window MountNice Remote Motor</v>
      </c>
      <c r="X2447" s="25">
        <v>10</v>
      </c>
      <c r="Y2447" s="25">
        <v>14</v>
      </c>
      <c r="Z2447" s="25">
        <v>14</v>
      </c>
      <c r="AA2447" s="25">
        <v>88</v>
      </c>
      <c r="AB2447" s="25" t="s">
        <v>821</v>
      </c>
      <c r="AC2447" s="25" t="s">
        <v>818</v>
      </c>
      <c r="AD2447" s="25" t="s">
        <v>821</v>
      </c>
      <c r="AE2447" s="25" t="s">
        <v>818</v>
      </c>
    </row>
    <row r="2448" spans="20:31" ht="14.4">
      <c r="T2448" s="25" t="s">
        <v>937</v>
      </c>
      <c r="U2448" s="25" t="s">
        <v>880</v>
      </c>
      <c r="V2448" s="25" t="s">
        <v>976</v>
      </c>
      <c r="W2448" s="25" t="str">
        <f t="shared" si="57"/>
        <v>Square Cassette with Side &amp; Bottom ChannelsInside Window MountNice CBus Motor</v>
      </c>
      <c r="X2448" s="25">
        <v>10</v>
      </c>
      <c r="Y2448" s="25">
        <v>14</v>
      </c>
      <c r="Z2448" s="25">
        <v>14</v>
      </c>
      <c r="AA2448" s="25">
        <v>88</v>
      </c>
      <c r="AB2448" s="25" t="s">
        <v>821</v>
      </c>
      <c r="AC2448" s="25" t="s">
        <v>818</v>
      </c>
      <c r="AD2448" s="25" t="s">
        <v>821</v>
      </c>
      <c r="AE2448" s="25" t="s">
        <v>818</v>
      </c>
    </row>
    <row r="2449" spans="20:31" ht="14.4">
      <c r="T2449" s="25" t="s">
        <v>937</v>
      </c>
      <c r="U2449" s="25" t="s">
        <v>880</v>
      </c>
      <c r="V2449" t="s">
        <v>1006</v>
      </c>
      <c r="W2449" s="25" t="str">
        <f t="shared" si="57"/>
        <v>Square Cassette with Side &amp; Bottom ChannelsInside Window MountSunboss Chain Winder 38mm Tube</v>
      </c>
      <c r="X2449" s="25">
        <v>10</v>
      </c>
      <c r="Y2449" s="25">
        <v>14</v>
      </c>
      <c r="Z2449" s="25">
        <v>14</v>
      </c>
      <c r="AA2449" s="25">
        <v>88</v>
      </c>
      <c r="AB2449" s="25" t="s">
        <v>821</v>
      </c>
      <c r="AC2449" s="25" t="s">
        <v>818</v>
      </c>
      <c r="AD2449" s="25" t="s">
        <v>821</v>
      </c>
      <c r="AE2449" s="25" t="s">
        <v>818</v>
      </c>
    </row>
    <row r="2450" spans="20:31" ht="14.4">
      <c r="T2450" s="25" t="s">
        <v>937</v>
      </c>
      <c r="U2450" s="25" t="s">
        <v>880</v>
      </c>
      <c r="V2450" t="s">
        <v>1017</v>
      </c>
      <c r="W2450" s="25" t="str">
        <f t="shared" si="57"/>
        <v>Square Cassette with Side &amp; Bottom ChannelsInside Window MountSunboss Chain Winder 43mm Tube</v>
      </c>
      <c r="X2450" s="25">
        <v>10</v>
      </c>
      <c r="Y2450" s="25">
        <v>14</v>
      </c>
      <c r="Z2450" s="25">
        <v>14</v>
      </c>
      <c r="AA2450" s="25">
        <v>88</v>
      </c>
      <c r="AB2450" s="25" t="s">
        <v>821</v>
      </c>
      <c r="AC2450" s="25" t="s">
        <v>818</v>
      </c>
      <c r="AD2450" s="25" t="s">
        <v>821</v>
      </c>
      <c r="AE2450" s="25" t="s">
        <v>818</v>
      </c>
    </row>
    <row r="2451" spans="20:31" ht="14.4">
      <c r="T2451" s="25" t="s">
        <v>937</v>
      </c>
      <c r="U2451" s="25" t="s">
        <v>880</v>
      </c>
      <c r="V2451" s="25" t="s">
        <v>1012</v>
      </c>
      <c r="W2451" s="25" t="str">
        <f t="shared" si="57"/>
        <v>Square Cassette with Side &amp; Bottom ChannelsInside Window MountTBS Remote Motor</v>
      </c>
      <c r="X2451" s="25">
        <v>10</v>
      </c>
      <c r="Y2451" s="25">
        <v>14</v>
      </c>
      <c r="Z2451" s="25">
        <v>14</v>
      </c>
      <c r="AA2451" s="25">
        <v>88</v>
      </c>
      <c r="AB2451" s="25" t="s">
        <v>821</v>
      </c>
      <c r="AC2451" s="25" t="s">
        <v>818</v>
      </c>
      <c r="AD2451" s="25" t="s">
        <v>821</v>
      </c>
      <c r="AE2451" s="25" t="s">
        <v>818</v>
      </c>
    </row>
    <row r="2452" spans="20:31" ht="14.4">
      <c r="T2452" s="25" t="s">
        <v>937</v>
      </c>
      <c r="U2452" s="25" t="s">
        <v>880</v>
      </c>
      <c r="V2452" t="s">
        <v>1009</v>
      </c>
      <c r="W2452" s="25" t="str">
        <f t="shared" si="57"/>
        <v>Square Cassette with Side &amp; Bottom ChannelsInside Window MountTBS Cbus Motor</v>
      </c>
      <c r="X2452" s="25">
        <v>10</v>
      </c>
      <c r="Y2452" s="25">
        <v>14</v>
      </c>
      <c r="Z2452" s="25">
        <v>14</v>
      </c>
      <c r="AA2452" s="25">
        <v>88</v>
      </c>
      <c r="AB2452" s="25" t="s">
        <v>821</v>
      </c>
      <c r="AC2452" s="25" t="s">
        <v>818</v>
      </c>
      <c r="AD2452" s="25" t="s">
        <v>821</v>
      </c>
      <c r="AE2452" s="25" t="s">
        <v>818</v>
      </c>
    </row>
    <row r="2453" spans="20:31" ht="14.4">
      <c r="T2453" s="25" t="s">
        <v>937</v>
      </c>
      <c r="U2453" s="25" t="s">
        <v>880</v>
      </c>
      <c r="V2453" t="s">
        <v>927</v>
      </c>
      <c r="W2453" s="25" t="str">
        <f t="shared" si="57"/>
        <v>Square Cassette with Side &amp; Bottom ChannelsInside Window MountAcmeda External Motor</v>
      </c>
      <c r="X2453" s="25">
        <v>10</v>
      </c>
      <c r="Y2453" s="25">
        <v>14</v>
      </c>
      <c r="Z2453" s="25">
        <v>14</v>
      </c>
      <c r="AA2453" s="25">
        <v>88</v>
      </c>
      <c r="AB2453" s="25" t="s">
        <v>821</v>
      </c>
      <c r="AC2453" s="25" t="s">
        <v>818</v>
      </c>
      <c r="AD2453" s="25" t="s">
        <v>821</v>
      </c>
      <c r="AE2453" s="25" t="s">
        <v>818</v>
      </c>
    </row>
    <row r="2454" spans="20:31" ht="14.4">
      <c r="T2454" s="25" t="s">
        <v>937</v>
      </c>
      <c r="U2454" s="25" t="s">
        <v>880</v>
      </c>
      <c r="V2454" t="s">
        <v>918</v>
      </c>
      <c r="W2454" s="25" t="str">
        <f t="shared" si="57"/>
        <v>Square Cassette with Side &amp; Bottom ChannelsInside Window MountAcmeda External 12v Motor</v>
      </c>
      <c r="X2454" s="25">
        <v>10</v>
      </c>
      <c r="Y2454" s="25">
        <v>14</v>
      </c>
      <c r="Z2454" s="25">
        <v>14</v>
      </c>
      <c r="AA2454" s="25">
        <v>88</v>
      </c>
      <c r="AB2454" s="25" t="s">
        <v>821</v>
      </c>
      <c r="AC2454" s="25" t="s">
        <v>818</v>
      </c>
      <c r="AD2454" s="25" t="s">
        <v>821</v>
      </c>
      <c r="AE2454" s="25" t="s">
        <v>818</v>
      </c>
    </row>
    <row r="2455" spans="20:31" ht="14.4">
      <c r="T2455" s="25" t="s">
        <v>937</v>
      </c>
      <c r="U2455" s="25" t="s">
        <v>880</v>
      </c>
      <c r="V2455" t="s">
        <v>979</v>
      </c>
      <c r="W2455" s="25" t="str">
        <f t="shared" si="57"/>
        <v>Square Cassette with Side &amp; Bottom ChannelsInside Window MountSomfy External CBUS Motor</v>
      </c>
      <c r="X2455" s="25">
        <v>10</v>
      </c>
      <c r="Y2455" s="25">
        <v>14</v>
      </c>
      <c r="Z2455" s="25">
        <v>14</v>
      </c>
      <c r="AA2455" s="25">
        <v>88</v>
      </c>
      <c r="AB2455" s="25" t="s">
        <v>821</v>
      </c>
      <c r="AC2455" s="25" t="s">
        <v>818</v>
      </c>
      <c r="AD2455" s="25" t="s">
        <v>821</v>
      </c>
      <c r="AE2455" s="25" t="s">
        <v>818</v>
      </c>
    </row>
    <row r="2456" spans="20:31" ht="14.4">
      <c r="T2456" s="25" t="s">
        <v>937</v>
      </c>
      <c r="U2456" s="25" t="s">
        <v>880</v>
      </c>
      <c r="V2456" t="s">
        <v>983</v>
      </c>
      <c r="W2456" s="25" t="str">
        <f t="shared" si="57"/>
        <v>Square Cassette with Side &amp; Bottom ChannelsInside Window MountSomfy External Remote Motor</v>
      </c>
      <c r="X2456" s="25">
        <v>10</v>
      </c>
      <c r="Y2456" s="25">
        <v>14</v>
      </c>
      <c r="Z2456" s="25">
        <v>14</v>
      </c>
      <c r="AA2456" s="25">
        <v>88</v>
      </c>
      <c r="AB2456" s="25" t="s">
        <v>821</v>
      </c>
      <c r="AC2456" s="25" t="s">
        <v>818</v>
      </c>
      <c r="AD2456" s="25" t="s">
        <v>821</v>
      </c>
      <c r="AE2456" s="25" t="s">
        <v>818</v>
      </c>
    </row>
    <row r="2457" spans="20:31" ht="14.4">
      <c r="T2457" s="25" t="s">
        <v>937</v>
      </c>
      <c r="U2457" s="25" t="s">
        <v>880</v>
      </c>
      <c r="V2457" t="s">
        <v>995</v>
      </c>
      <c r="W2457" s="25" t="str">
        <f t="shared" si="57"/>
        <v>Square Cassette with Side &amp; Bottom ChannelsInside Window MountHD Somfy External CBUS Motor</v>
      </c>
      <c r="X2457" s="25">
        <v>10</v>
      </c>
      <c r="Y2457" s="25">
        <v>14</v>
      </c>
      <c r="Z2457" s="25">
        <v>14</v>
      </c>
      <c r="AA2457" s="25">
        <v>88</v>
      </c>
      <c r="AB2457" s="25" t="s">
        <v>821</v>
      </c>
      <c r="AC2457" s="25" t="s">
        <v>818</v>
      </c>
      <c r="AD2457" s="25" t="s">
        <v>821</v>
      </c>
      <c r="AE2457" s="25" t="s">
        <v>818</v>
      </c>
    </row>
    <row r="2458" spans="20:31" ht="14.4">
      <c r="T2458" s="25" t="s">
        <v>937</v>
      </c>
      <c r="U2458" s="25" t="s">
        <v>880</v>
      </c>
      <c r="V2458" t="s">
        <v>999</v>
      </c>
      <c r="W2458" s="25" t="str">
        <f t="shared" si="57"/>
        <v>Square Cassette with Side &amp; Bottom ChannelsInside Window MountHD Somfy External Remote Motor</v>
      </c>
      <c r="X2458" s="25">
        <v>10</v>
      </c>
      <c r="Y2458" s="25">
        <v>14</v>
      </c>
      <c r="Z2458" s="25">
        <v>14</v>
      </c>
      <c r="AA2458" s="25">
        <v>88</v>
      </c>
      <c r="AB2458" s="25" t="s">
        <v>821</v>
      </c>
      <c r="AC2458" s="25" t="s">
        <v>818</v>
      </c>
      <c r="AD2458" s="25" t="s">
        <v>821</v>
      </c>
      <c r="AE2458" s="25" t="s">
        <v>818</v>
      </c>
    </row>
    <row r="2459" spans="20:31" ht="14.4">
      <c r="T2459" s="25" t="s">
        <v>937</v>
      </c>
      <c r="U2459" s="25" t="s">
        <v>867</v>
      </c>
      <c r="V2459" s="25" t="s">
        <v>823</v>
      </c>
      <c r="W2459" s="25" t="str">
        <f t="shared" si="57"/>
        <v>Square Cassette with Side &amp; Bottom ChannelsOutside Window MountChain Winder</v>
      </c>
      <c r="X2459" s="25">
        <v>10</v>
      </c>
      <c r="Y2459" s="25">
        <v>14</v>
      </c>
      <c r="Z2459" s="25">
        <v>29</v>
      </c>
      <c r="AA2459" s="25">
        <v>88</v>
      </c>
      <c r="AB2459" s="25" t="s">
        <v>821</v>
      </c>
      <c r="AC2459" s="25" t="s">
        <v>818</v>
      </c>
      <c r="AD2459" s="25" t="s">
        <v>821</v>
      </c>
      <c r="AE2459" s="25" t="s">
        <v>818</v>
      </c>
    </row>
    <row r="2460" spans="20:31" ht="14.4">
      <c r="T2460" s="25" t="s">
        <v>937</v>
      </c>
      <c r="U2460" s="25" t="s">
        <v>867</v>
      </c>
      <c r="V2460" s="25" t="s">
        <v>841</v>
      </c>
      <c r="W2460" s="25" t="str">
        <f t="shared" si="57"/>
        <v>Square Cassette with Side &amp; Bottom ChannelsOutside Window MountHD Chain Winder</v>
      </c>
      <c r="X2460" s="25">
        <v>10</v>
      </c>
      <c r="Y2460" s="25">
        <v>14</v>
      </c>
      <c r="Z2460" s="25">
        <v>29</v>
      </c>
      <c r="AA2460" s="25">
        <v>88</v>
      </c>
      <c r="AB2460" s="25" t="s">
        <v>821</v>
      </c>
      <c r="AC2460" s="25" t="s">
        <v>818</v>
      </c>
      <c r="AD2460" s="25" t="s">
        <v>821</v>
      </c>
      <c r="AE2460" s="25" t="s">
        <v>818</v>
      </c>
    </row>
    <row r="2461" spans="20:31" ht="14.4">
      <c r="T2461" s="25" t="s">
        <v>937</v>
      </c>
      <c r="U2461" s="25" t="s">
        <v>867</v>
      </c>
      <c r="V2461" s="25" t="s">
        <v>858</v>
      </c>
      <c r="W2461" s="25" t="str">
        <f t="shared" si="57"/>
        <v>Square Cassette with Side &amp; Bottom ChannelsOutside Window MountChain Winder 60mm</v>
      </c>
      <c r="X2461" s="25">
        <v>10</v>
      </c>
      <c r="Y2461" s="25">
        <v>14</v>
      </c>
      <c r="Z2461" s="25">
        <v>29</v>
      </c>
      <c r="AA2461" s="25">
        <v>88</v>
      </c>
      <c r="AB2461" s="25" t="s">
        <v>821</v>
      </c>
      <c r="AC2461" s="25" t="s">
        <v>818</v>
      </c>
      <c r="AD2461" s="25" t="s">
        <v>821</v>
      </c>
      <c r="AE2461" s="25" t="s">
        <v>818</v>
      </c>
    </row>
    <row r="2462" spans="20:31" ht="14.4">
      <c r="T2462" s="25" t="s">
        <v>937</v>
      </c>
      <c r="U2462" s="25" t="s">
        <v>867</v>
      </c>
      <c r="V2462" s="25" t="s">
        <v>865</v>
      </c>
      <c r="W2462" s="25" t="str">
        <f t="shared" si="57"/>
        <v>Square Cassette with Side &amp; Bottom ChannelsOutside Window MountChain Winder Fixed Guide</v>
      </c>
      <c r="X2462" s="25">
        <v>10</v>
      </c>
      <c r="Y2462" s="25">
        <v>14</v>
      </c>
      <c r="Z2462" s="25">
        <v>29</v>
      </c>
      <c r="AA2462" s="25">
        <v>88</v>
      </c>
      <c r="AB2462" s="25" t="s">
        <v>821</v>
      </c>
      <c r="AC2462" s="25" t="s">
        <v>818</v>
      </c>
      <c r="AD2462" s="25" t="s">
        <v>821</v>
      </c>
      <c r="AE2462" s="25" t="s">
        <v>818</v>
      </c>
    </row>
    <row r="2463" spans="20:31" ht="14.4">
      <c r="T2463" s="25" t="s">
        <v>937</v>
      </c>
      <c r="U2463" s="25" t="s">
        <v>867</v>
      </c>
      <c r="V2463" s="25" t="s">
        <v>181</v>
      </c>
      <c r="W2463" s="25" t="str">
        <f t="shared" si="57"/>
        <v>Square Cassette with Side &amp; Bottom ChannelsOutside Window MountLinked</v>
      </c>
      <c r="X2463" s="25">
        <v>10</v>
      </c>
      <c r="Y2463" s="25">
        <v>14</v>
      </c>
      <c r="Z2463" s="25">
        <v>14</v>
      </c>
      <c r="AA2463" s="25">
        <v>88</v>
      </c>
      <c r="AB2463" s="25" t="s">
        <v>821</v>
      </c>
      <c r="AC2463" s="25" t="s">
        <v>818</v>
      </c>
      <c r="AD2463" s="25" t="s">
        <v>821</v>
      </c>
      <c r="AE2463" s="25" t="s">
        <v>818</v>
      </c>
    </row>
    <row r="2464" spans="20:31" ht="14.4">
      <c r="T2464" s="25" t="s">
        <v>937</v>
      </c>
      <c r="U2464" s="25" t="s">
        <v>867</v>
      </c>
      <c r="V2464" s="25" t="s">
        <v>898</v>
      </c>
      <c r="W2464" s="25" t="str">
        <f t="shared" si="57"/>
        <v>Square Cassette with Side &amp; Bottom ChannelsOutside Window MountLinked - HD</v>
      </c>
      <c r="X2464" s="25">
        <v>10</v>
      </c>
      <c r="Y2464" s="25">
        <v>14</v>
      </c>
      <c r="Z2464" s="25">
        <v>14</v>
      </c>
      <c r="AA2464" s="25">
        <v>88</v>
      </c>
      <c r="AB2464" s="25" t="s">
        <v>821</v>
      </c>
      <c r="AC2464" s="25" t="s">
        <v>818</v>
      </c>
      <c r="AD2464" s="25" t="s">
        <v>821</v>
      </c>
      <c r="AE2464" s="25" t="s">
        <v>818</v>
      </c>
    </row>
    <row r="2465" spans="20:31" ht="14.4">
      <c r="T2465" s="25" t="s">
        <v>937</v>
      </c>
      <c r="U2465" s="25" t="s">
        <v>867</v>
      </c>
      <c r="V2465" s="25" t="s">
        <v>910</v>
      </c>
      <c r="W2465" s="25" t="str">
        <f t="shared" si="57"/>
        <v>Square Cassette with Side &amp; Bottom ChannelsOutside Window MountStandard Spring</v>
      </c>
      <c r="X2465" s="25">
        <v>10</v>
      </c>
      <c r="Y2465" s="25">
        <v>14</v>
      </c>
      <c r="Z2465" s="25">
        <v>14</v>
      </c>
      <c r="AA2465" s="25">
        <v>88</v>
      </c>
      <c r="AB2465" s="25" t="s">
        <v>821</v>
      </c>
      <c r="AC2465" s="25" t="s">
        <v>818</v>
      </c>
      <c r="AD2465" s="25" t="s">
        <v>821</v>
      </c>
      <c r="AE2465" s="25" t="s">
        <v>818</v>
      </c>
    </row>
    <row r="2466" spans="20:31" ht="14.4">
      <c r="T2466" s="25" t="s">
        <v>937</v>
      </c>
      <c r="U2466" s="25" t="s">
        <v>867</v>
      </c>
      <c r="V2466" s="25" t="s">
        <v>920</v>
      </c>
      <c r="W2466" s="25" t="str">
        <f t="shared" si="57"/>
        <v>Square Cassette with Side &amp; Bottom ChannelsOutside Window MountSmall Spring</v>
      </c>
      <c r="X2466" s="25">
        <v>10</v>
      </c>
      <c r="Y2466" s="25">
        <v>14</v>
      </c>
      <c r="Z2466" s="25">
        <v>14</v>
      </c>
      <c r="AA2466" s="25">
        <v>88</v>
      </c>
      <c r="AB2466" s="25" t="s">
        <v>821</v>
      </c>
      <c r="AC2466" s="25" t="s">
        <v>818</v>
      </c>
      <c r="AD2466" s="25" t="s">
        <v>821</v>
      </c>
      <c r="AE2466" s="25" t="s">
        <v>818</v>
      </c>
    </row>
    <row r="2467" spans="20:31" ht="14.4">
      <c r="T2467" s="25" t="s">
        <v>937</v>
      </c>
      <c r="U2467" s="25" t="s">
        <v>867</v>
      </c>
      <c r="V2467" s="25" t="s">
        <v>929</v>
      </c>
      <c r="W2467" s="25" t="str">
        <f t="shared" si="57"/>
        <v>Square Cassette with Side &amp; Bottom ChannelsOutside Window MountUniline Spring (Old Style)</v>
      </c>
      <c r="X2467" s="25">
        <v>10</v>
      </c>
      <c r="Y2467" s="25">
        <v>14</v>
      </c>
      <c r="Z2467" s="25">
        <v>14</v>
      </c>
      <c r="AA2467" s="25">
        <v>88</v>
      </c>
      <c r="AB2467" s="25" t="s">
        <v>821</v>
      </c>
      <c r="AC2467" s="25" t="s">
        <v>818</v>
      </c>
      <c r="AD2467" s="25" t="s">
        <v>821</v>
      </c>
      <c r="AE2467" s="25" t="s">
        <v>818</v>
      </c>
    </row>
    <row r="2468" spans="20:31" ht="14.4">
      <c r="T2468" s="25" t="s">
        <v>937</v>
      </c>
      <c r="U2468" s="25" t="s">
        <v>867</v>
      </c>
      <c r="V2468" s="25" t="s">
        <v>935</v>
      </c>
      <c r="W2468" s="25" t="str">
        <f t="shared" si="57"/>
        <v>Square Cassette with Side &amp; Bottom ChannelsOutside Window MountBecker Remote Motor</v>
      </c>
      <c r="X2468" s="25">
        <v>10</v>
      </c>
      <c r="Y2468" s="25">
        <v>14</v>
      </c>
      <c r="Z2468" s="25">
        <v>14</v>
      </c>
      <c r="AA2468" s="25">
        <v>88</v>
      </c>
      <c r="AB2468" s="25" t="s">
        <v>821</v>
      </c>
      <c r="AC2468" s="25" t="s">
        <v>818</v>
      </c>
      <c r="AD2468" s="25" t="s">
        <v>821</v>
      </c>
      <c r="AE2468" s="25" t="s">
        <v>818</v>
      </c>
    </row>
    <row r="2469" spans="20:31" ht="14.4">
      <c r="T2469" s="25" t="s">
        <v>937</v>
      </c>
      <c r="U2469" s="25" t="s">
        <v>867</v>
      </c>
      <c r="V2469" s="25" t="s">
        <v>939</v>
      </c>
      <c r="W2469" s="25" t="str">
        <f t="shared" si="57"/>
        <v>Square Cassette with Side &amp; Bottom ChannelsOutside Window MountBecker CBUS Motor</v>
      </c>
      <c r="X2469" s="25">
        <v>10</v>
      </c>
      <c r="Y2469" s="25">
        <v>14</v>
      </c>
      <c r="Z2469" s="25">
        <v>14</v>
      </c>
      <c r="AA2469" s="25">
        <v>88</v>
      </c>
      <c r="AB2469" s="25" t="s">
        <v>821</v>
      </c>
      <c r="AC2469" s="25" t="s">
        <v>818</v>
      </c>
      <c r="AD2469" s="25" t="s">
        <v>821</v>
      </c>
      <c r="AE2469" s="25" t="s">
        <v>818</v>
      </c>
    </row>
    <row r="2470" spans="20:31" ht="14.4">
      <c r="T2470" s="25" t="s">
        <v>937</v>
      </c>
      <c r="U2470" s="25" t="s">
        <v>867</v>
      </c>
      <c r="V2470" s="25" t="s">
        <v>946</v>
      </c>
      <c r="W2470" s="25" t="str">
        <f t="shared" si="57"/>
        <v>Square Cassette with Side &amp; Bottom ChannelsOutside Window MountBecker External Remote Motor</v>
      </c>
      <c r="X2470" s="25">
        <v>10</v>
      </c>
      <c r="Y2470" s="25">
        <v>14</v>
      </c>
      <c r="Z2470" s="25">
        <v>14</v>
      </c>
      <c r="AA2470" s="25">
        <v>88</v>
      </c>
      <c r="AB2470" s="25" t="s">
        <v>821</v>
      </c>
      <c r="AC2470" s="25" t="s">
        <v>818</v>
      </c>
      <c r="AD2470" s="25" t="s">
        <v>821</v>
      </c>
      <c r="AE2470" s="25" t="s">
        <v>818</v>
      </c>
    </row>
    <row r="2471" spans="20:31" ht="14.4">
      <c r="T2471" s="25" t="s">
        <v>937</v>
      </c>
      <c r="U2471" s="25" t="s">
        <v>867</v>
      </c>
      <c r="V2471" s="25" t="s">
        <v>951</v>
      </c>
      <c r="W2471" s="25" t="str">
        <f t="shared" si="57"/>
        <v>Square Cassette with Side &amp; Bottom ChannelsOutside Window MountBecker External CBUS Motor</v>
      </c>
      <c r="X2471" s="25">
        <v>10</v>
      </c>
      <c r="Y2471" s="25">
        <v>14</v>
      </c>
      <c r="Z2471" s="25">
        <v>14</v>
      </c>
      <c r="AA2471" s="25">
        <v>88</v>
      </c>
      <c r="AB2471" s="25" t="s">
        <v>821</v>
      </c>
      <c r="AC2471" s="25" t="s">
        <v>818</v>
      </c>
      <c r="AD2471" s="25" t="s">
        <v>821</v>
      </c>
      <c r="AE2471" s="25" t="s">
        <v>818</v>
      </c>
    </row>
    <row r="2472" spans="20:31" ht="14.4">
      <c r="T2472" s="25" t="s">
        <v>937</v>
      </c>
      <c r="U2472" s="25" t="s">
        <v>867</v>
      </c>
      <c r="V2472" s="25" t="s">
        <v>838</v>
      </c>
      <c r="W2472" s="25" t="str">
        <f t="shared" si="57"/>
        <v>Square Cassette with Side &amp; Bottom ChannelsOutside Window Mount1.1nm 12v Acmeda Motor</v>
      </c>
      <c r="X2472" s="25">
        <v>10</v>
      </c>
      <c r="Y2472" s="25">
        <v>14</v>
      </c>
      <c r="Z2472" s="25">
        <v>14</v>
      </c>
      <c r="AA2472" s="25">
        <v>88</v>
      </c>
      <c r="AB2472" s="25" t="s">
        <v>821</v>
      </c>
      <c r="AC2472" s="25" t="s">
        <v>818</v>
      </c>
      <c r="AD2472" s="25" t="s">
        <v>821</v>
      </c>
      <c r="AE2472" s="25" t="s">
        <v>818</v>
      </c>
    </row>
    <row r="2473" spans="20:31" ht="14.4">
      <c r="T2473" s="25" t="s">
        <v>937</v>
      </c>
      <c r="U2473" s="25" t="s">
        <v>867</v>
      </c>
      <c r="V2473" t="s">
        <v>882</v>
      </c>
      <c r="W2473" s="25" t="str">
        <f t="shared" si="57"/>
        <v>Square Cassette with Side &amp; Bottom ChannelsOutside Window Mount2nm 12v Acmeda Motor</v>
      </c>
      <c r="X2473" s="25">
        <v>10</v>
      </c>
      <c r="Y2473" s="25">
        <v>14</v>
      </c>
      <c r="Z2473" s="25">
        <v>14</v>
      </c>
      <c r="AA2473" s="25">
        <v>88</v>
      </c>
      <c r="AB2473" s="25" t="s">
        <v>821</v>
      </c>
      <c r="AC2473" s="25" t="s">
        <v>818</v>
      </c>
      <c r="AD2473" s="25" t="s">
        <v>821</v>
      </c>
      <c r="AE2473" s="25" t="s">
        <v>818</v>
      </c>
    </row>
    <row r="2474" spans="20:31" ht="14.4">
      <c r="T2474" s="25" t="s">
        <v>937</v>
      </c>
      <c r="U2474" s="25" t="s">
        <v>867</v>
      </c>
      <c r="V2474" t="s">
        <v>896</v>
      </c>
      <c r="W2474" s="25" t="str">
        <f t="shared" si="57"/>
        <v>Square Cassette with Side &amp; Bottom ChannelsOutside Window MountAcmeda 12v 6nm Motor</v>
      </c>
      <c r="X2474" s="25">
        <v>10</v>
      </c>
      <c r="Y2474" s="25">
        <v>14</v>
      </c>
      <c r="Z2474" s="25">
        <v>14</v>
      </c>
      <c r="AA2474" s="25">
        <v>88</v>
      </c>
      <c r="AB2474" s="25" t="s">
        <v>821</v>
      </c>
      <c r="AC2474" s="25" t="s">
        <v>818</v>
      </c>
      <c r="AD2474" s="25" t="s">
        <v>821</v>
      </c>
      <c r="AE2474" s="25" t="s">
        <v>818</v>
      </c>
    </row>
    <row r="2475" spans="20:31" ht="14.4">
      <c r="T2475" s="25" t="s">
        <v>937</v>
      </c>
      <c r="U2475" s="25" t="s">
        <v>867</v>
      </c>
      <c r="V2475" t="s">
        <v>855</v>
      </c>
      <c r="W2475" s="25" t="str">
        <f t="shared" si="57"/>
        <v>Square Cassette with Side &amp; Bottom ChannelsOutside Window Mount0.7nm 12v Acmeda Motor</v>
      </c>
      <c r="X2475" s="25">
        <v>10</v>
      </c>
      <c r="Y2475" s="25">
        <v>14</v>
      </c>
      <c r="Z2475" s="25">
        <v>14</v>
      </c>
      <c r="AA2475" s="25">
        <v>88</v>
      </c>
      <c r="AB2475" s="25" t="s">
        <v>821</v>
      </c>
      <c r="AC2475" s="25" t="s">
        <v>818</v>
      </c>
      <c r="AD2475" s="25" t="s">
        <v>821</v>
      </c>
      <c r="AE2475" s="25" t="s">
        <v>818</v>
      </c>
    </row>
    <row r="2476" spans="20:31" ht="14.4">
      <c r="T2476" s="25" t="s">
        <v>937</v>
      </c>
      <c r="U2476" s="25" t="s">
        <v>867</v>
      </c>
      <c r="V2476" s="25" t="s">
        <v>849</v>
      </c>
      <c r="W2476" s="25" t="str">
        <f t="shared" si="57"/>
        <v>Square Cassette with Side &amp; Bottom ChannelsOutside Window Mount1.1nm 12v Acmeda DCRF Motor with External Battery</v>
      </c>
      <c r="X2476" s="25">
        <v>10</v>
      </c>
      <c r="Y2476" s="25">
        <v>14</v>
      </c>
      <c r="Z2476" s="25">
        <v>14</v>
      </c>
      <c r="AA2476" s="25">
        <v>88</v>
      </c>
      <c r="AB2476" s="25" t="s">
        <v>821</v>
      </c>
      <c r="AC2476" s="25" t="s">
        <v>818</v>
      </c>
      <c r="AD2476" s="25" t="s">
        <v>821</v>
      </c>
      <c r="AE2476" s="25" t="s">
        <v>818</v>
      </c>
    </row>
    <row r="2477" spans="20:31" ht="14.4">
      <c r="T2477" s="25" t="s">
        <v>937</v>
      </c>
      <c r="U2477" s="25" t="s">
        <v>867</v>
      </c>
      <c r="V2477" s="25" t="s">
        <v>817</v>
      </c>
      <c r="W2477" s="25" t="str">
        <f t="shared" si="57"/>
        <v>Square Cassette with Side &amp; Bottom ChannelsOutside Window Mount1.1nm 12v Acmeda DCRF Motor</v>
      </c>
      <c r="X2477" s="25">
        <v>10</v>
      </c>
      <c r="Y2477" s="25">
        <v>14</v>
      </c>
      <c r="Z2477" s="25">
        <v>14</v>
      </c>
      <c r="AA2477" s="25">
        <v>88</v>
      </c>
      <c r="AB2477" s="25" t="s">
        <v>821</v>
      </c>
      <c r="AC2477" s="25" t="s">
        <v>818</v>
      </c>
      <c r="AD2477" s="25" t="s">
        <v>821</v>
      </c>
      <c r="AE2477" s="25" t="s">
        <v>818</v>
      </c>
    </row>
    <row r="2478" spans="20:31" ht="14.4">
      <c r="T2478" s="25" t="s">
        <v>937</v>
      </c>
      <c r="U2478" s="25" t="s">
        <v>867</v>
      </c>
      <c r="V2478" s="25" t="s">
        <v>868</v>
      </c>
      <c r="W2478" s="25" t="str">
        <f t="shared" si="57"/>
        <v>Square Cassette with Side &amp; Bottom ChannelsOutside Window Mount2nm 12v Acmeda DCRF Motor</v>
      </c>
      <c r="X2478" s="25">
        <v>10</v>
      </c>
      <c r="Y2478" s="25">
        <v>14</v>
      </c>
      <c r="Z2478" s="25">
        <v>14</v>
      </c>
      <c r="AA2478" s="25">
        <v>88</v>
      </c>
      <c r="AB2478" s="25" t="s">
        <v>821</v>
      </c>
      <c r="AC2478" s="25" t="s">
        <v>818</v>
      </c>
      <c r="AD2478" s="25" t="s">
        <v>821</v>
      </c>
      <c r="AE2478" s="25" t="s">
        <v>818</v>
      </c>
    </row>
    <row r="2479" spans="20:31" ht="14.4">
      <c r="T2479" s="25" t="s">
        <v>937</v>
      </c>
      <c r="U2479" s="25" t="s">
        <v>867</v>
      </c>
      <c r="V2479" t="s">
        <v>973</v>
      </c>
      <c r="W2479" s="25" t="str">
        <f t="shared" si="57"/>
        <v>Square Cassette with Side &amp; Bottom ChannelsOutside Window MountSomfy Remote Sonesse Motor</v>
      </c>
      <c r="X2479" s="25">
        <v>10</v>
      </c>
      <c r="Y2479" s="25">
        <v>14</v>
      </c>
      <c r="Z2479" s="25">
        <v>14</v>
      </c>
      <c r="AA2479" s="25">
        <v>88</v>
      </c>
      <c r="AB2479" s="25" t="s">
        <v>821</v>
      </c>
      <c r="AC2479" s="25" t="s">
        <v>818</v>
      </c>
      <c r="AD2479" s="25" t="s">
        <v>821</v>
      </c>
      <c r="AE2479" s="25" t="s">
        <v>818</v>
      </c>
    </row>
    <row r="2480" spans="20:31" ht="14.4">
      <c r="T2480" s="25" t="s">
        <v>937</v>
      </c>
      <c r="U2480" s="25" t="s">
        <v>867</v>
      </c>
      <c r="V2480" t="s">
        <v>637</v>
      </c>
      <c r="W2480" s="25" t="str">
        <f t="shared" si="57"/>
        <v>Square Cassette with Side &amp; Bottom ChannelsOutside Window MountSomfy 12v Remote Sonesse Motor</v>
      </c>
      <c r="X2480" s="25">
        <v>10</v>
      </c>
      <c r="Y2480" s="25">
        <v>14</v>
      </c>
      <c r="Z2480" s="25">
        <v>14</v>
      </c>
      <c r="AA2480" s="25">
        <v>88</v>
      </c>
      <c r="AB2480" s="25" t="s">
        <v>821</v>
      </c>
      <c r="AC2480" s="25" t="s">
        <v>818</v>
      </c>
      <c r="AD2480" s="25" t="s">
        <v>821</v>
      </c>
      <c r="AE2480" s="25" t="s">
        <v>818</v>
      </c>
    </row>
    <row r="2481" spans="20:31" ht="14.4">
      <c r="T2481" s="25" t="s">
        <v>937</v>
      </c>
      <c r="U2481" s="25" t="s">
        <v>867</v>
      </c>
      <c r="V2481" s="25" t="s">
        <v>974</v>
      </c>
      <c r="W2481" s="25" t="str">
        <f t="shared" si="57"/>
        <v>Square Cassette with Side &amp; Bottom ChannelsOutside Window MountSomfy CBUS Motor</v>
      </c>
      <c r="X2481" s="25">
        <v>10</v>
      </c>
      <c r="Y2481" s="25">
        <v>14</v>
      </c>
      <c r="Z2481" s="25">
        <v>14</v>
      </c>
      <c r="AA2481" s="25">
        <v>88</v>
      </c>
      <c r="AB2481" s="25" t="s">
        <v>821</v>
      </c>
      <c r="AC2481" s="25" t="s">
        <v>818</v>
      </c>
      <c r="AD2481" s="25" t="s">
        <v>821</v>
      </c>
      <c r="AE2481" s="25" t="s">
        <v>818</v>
      </c>
    </row>
    <row r="2482" spans="20:31" ht="14.4">
      <c r="T2482" s="25" t="s">
        <v>937</v>
      </c>
      <c r="U2482" s="25" t="s">
        <v>867</v>
      </c>
      <c r="V2482" t="s">
        <v>986</v>
      </c>
      <c r="W2482" s="25" t="str">
        <f t="shared" si="57"/>
        <v>Square Cassette with Side &amp; Bottom ChannelsOutside Window MountHD Somfy Remote Sonesse Motor</v>
      </c>
      <c r="X2482" s="25">
        <v>10</v>
      </c>
      <c r="Y2482" s="25">
        <v>14</v>
      </c>
      <c r="Z2482" s="25">
        <v>14</v>
      </c>
      <c r="AA2482" s="25">
        <v>88</v>
      </c>
      <c r="AB2482" s="25" t="s">
        <v>821</v>
      </c>
      <c r="AC2482" s="25" t="s">
        <v>818</v>
      </c>
      <c r="AD2482" s="25" t="s">
        <v>821</v>
      </c>
      <c r="AE2482" s="25" t="s">
        <v>818</v>
      </c>
    </row>
    <row r="2483" spans="20:31" ht="14.4">
      <c r="T2483" s="25" t="s">
        <v>937</v>
      </c>
      <c r="U2483" s="25" t="s">
        <v>867</v>
      </c>
      <c r="V2483" t="s">
        <v>989</v>
      </c>
      <c r="W2483" s="25" t="str">
        <f t="shared" si="57"/>
        <v>Square Cassette with Side &amp; Bottom ChannelsOutside Window MountHD Somfy 12v Remote Sonesse Motor</v>
      </c>
      <c r="X2483" s="25">
        <v>10</v>
      </c>
      <c r="Y2483" s="25">
        <v>14</v>
      </c>
      <c r="Z2483" s="25">
        <v>14</v>
      </c>
      <c r="AA2483" s="25">
        <v>88</v>
      </c>
      <c r="AB2483" s="25" t="s">
        <v>821</v>
      </c>
      <c r="AC2483" s="25" t="s">
        <v>818</v>
      </c>
      <c r="AD2483" s="25" t="s">
        <v>821</v>
      </c>
      <c r="AE2483" s="25" t="s">
        <v>818</v>
      </c>
    </row>
    <row r="2484" spans="20:31" ht="14.4">
      <c r="T2484" s="25" t="s">
        <v>937</v>
      </c>
      <c r="U2484" s="25" t="s">
        <v>867</v>
      </c>
      <c r="V2484" s="25" t="s">
        <v>992</v>
      </c>
      <c r="W2484" s="25" t="str">
        <f t="shared" si="57"/>
        <v>Square Cassette with Side &amp; Bottom ChannelsOutside Window MountHD Somfy CBUS Motor</v>
      </c>
      <c r="X2484" s="25">
        <v>10</v>
      </c>
      <c r="Y2484" s="25">
        <v>14</v>
      </c>
      <c r="Z2484" s="25">
        <v>14</v>
      </c>
      <c r="AA2484" s="25">
        <v>88</v>
      </c>
      <c r="AB2484" s="25" t="s">
        <v>821</v>
      </c>
      <c r="AC2484" s="25" t="s">
        <v>818</v>
      </c>
      <c r="AD2484" s="25" t="s">
        <v>821</v>
      </c>
      <c r="AE2484" s="25" t="s">
        <v>818</v>
      </c>
    </row>
    <row r="2485" spans="20:31" ht="14.4">
      <c r="T2485" s="25" t="s">
        <v>937</v>
      </c>
      <c r="U2485" s="25" t="s">
        <v>867</v>
      </c>
      <c r="V2485" s="25" t="s">
        <v>625</v>
      </c>
      <c r="W2485" s="25" t="str">
        <f t="shared" si="57"/>
        <v>Square Cassette with Side &amp; Bottom ChannelsOutside Window MountAcmeda E6 Motor</v>
      </c>
      <c r="X2485" s="25">
        <v>10</v>
      </c>
      <c r="Y2485" s="25">
        <v>14</v>
      </c>
      <c r="Z2485" s="25">
        <v>14</v>
      </c>
      <c r="AA2485" s="25">
        <v>88</v>
      </c>
      <c r="AB2485" s="25" t="s">
        <v>821</v>
      </c>
      <c r="AC2485" s="25" t="s">
        <v>818</v>
      </c>
      <c r="AD2485" s="25" t="s">
        <v>821</v>
      </c>
      <c r="AE2485" s="25" t="s">
        <v>818</v>
      </c>
    </row>
    <row r="2486" spans="20:31" ht="14.4">
      <c r="T2486" s="25" t="s">
        <v>937</v>
      </c>
      <c r="U2486" s="25" t="s">
        <v>867</v>
      </c>
      <c r="V2486" s="25" t="s">
        <v>626</v>
      </c>
      <c r="W2486" s="25" t="str">
        <f t="shared" si="57"/>
        <v>Square Cassette with Side &amp; Bottom ChannelsOutside Window MountAcmeda M6 Motor</v>
      </c>
      <c r="X2486" s="25">
        <v>10</v>
      </c>
      <c r="Y2486" s="25">
        <v>14</v>
      </c>
      <c r="Z2486" s="25">
        <v>14</v>
      </c>
      <c r="AA2486" s="25">
        <v>88</v>
      </c>
      <c r="AB2486" s="25" t="s">
        <v>821</v>
      </c>
      <c r="AC2486" s="25" t="s">
        <v>818</v>
      </c>
      <c r="AD2486" s="25" t="s">
        <v>821</v>
      </c>
      <c r="AE2486" s="25" t="s">
        <v>818</v>
      </c>
    </row>
    <row r="2487" spans="20:31" ht="14.4">
      <c r="T2487" s="25" t="s">
        <v>937</v>
      </c>
      <c r="U2487" s="25" t="s">
        <v>867</v>
      </c>
      <c r="V2487" s="25" t="s">
        <v>1002</v>
      </c>
      <c r="W2487" s="25" t="str">
        <f t="shared" si="57"/>
        <v>Square Cassette with Side &amp; Bottom ChannelsOutside Window MountUniline Remote Motor</v>
      </c>
      <c r="X2487" s="25">
        <v>10</v>
      </c>
      <c r="Y2487" s="25">
        <v>14</v>
      </c>
      <c r="Z2487" s="25">
        <v>14</v>
      </c>
      <c r="AA2487" s="25">
        <v>88</v>
      </c>
      <c r="AB2487" s="25" t="s">
        <v>821</v>
      </c>
      <c r="AC2487" s="25" t="s">
        <v>818</v>
      </c>
      <c r="AD2487" s="25" t="s">
        <v>821</v>
      </c>
      <c r="AE2487" s="25" t="s">
        <v>818</v>
      </c>
    </row>
    <row r="2488" spans="20:31" ht="14.4">
      <c r="T2488" s="25" t="s">
        <v>937</v>
      </c>
      <c r="U2488" s="25" t="s">
        <v>867</v>
      </c>
      <c r="V2488" s="25" t="s">
        <v>1005</v>
      </c>
      <c r="W2488" s="25" t="str">
        <f t="shared" si="57"/>
        <v>Square Cassette with Side &amp; Bottom ChannelsOutside Window MountUniline Cbus Motor</v>
      </c>
      <c r="X2488" s="25">
        <v>10</v>
      </c>
      <c r="Y2488" s="25">
        <v>14</v>
      </c>
      <c r="Z2488" s="25">
        <v>14</v>
      </c>
      <c r="AA2488" s="25">
        <v>88</v>
      </c>
      <c r="AB2488" s="25" t="s">
        <v>821</v>
      </c>
      <c r="AC2488" s="25" t="s">
        <v>818</v>
      </c>
      <c r="AD2488" s="25" t="s">
        <v>821</v>
      </c>
      <c r="AE2488" s="25" t="s">
        <v>818</v>
      </c>
    </row>
    <row r="2489" spans="20:31" ht="14.4">
      <c r="T2489" s="25" t="s">
        <v>937</v>
      </c>
      <c r="U2489" s="25" t="s">
        <v>867</v>
      </c>
      <c r="V2489" s="25" t="s">
        <v>981</v>
      </c>
      <c r="W2489" s="25" t="str">
        <f t="shared" si="57"/>
        <v>Square Cassette with Side &amp; Bottom ChannelsOutside Window MountNice Remote Motor</v>
      </c>
      <c r="X2489" s="25">
        <v>10</v>
      </c>
      <c r="Y2489" s="25">
        <v>14</v>
      </c>
      <c r="Z2489" s="25">
        <v>14</v>
      </c>
      <c r="AA2489" s="25">
        <v>88</v>
      </c>
      <c r="AB2489" s="25" t="s">
        <v>821</v>
      </c>
      <c r="AC2489" s="25" t="s">
        <v>818</v>
      </c>
      <c r="AD2489" s="25" t="s">
        <v>821</v>
      </c>
      <c r="AE2489" s="25" t="s">
        <v>818</v>
      </c>
    </row>
    <row r="2490" spans="20:31" ht="14.4">
      <c r="T2490" s="25" t="s">
        <v>937</v>
      </c>
      <c r="U2490" s="25" t="s">
        <v>867</v>
      </c>
      <c r="V2490" s="25" t="s">
        <v>976</v>
      </c>
      <c r="W2490" s="25" t="str">
        <f t="shared" si="57"/>
        <v>Square Cassette with Side &amp; Bottom ChannelsOutside Window MountNice CBus Motor</v>
      </c>
      <c r="X2490" s="25">
        <v>10</v>
      </c>
      <c r="Y2490" s="25">
        <v>14</v>
      </c>
      <c r="Z2490" s="25">
        <v>14</v>
      </c>
      <c r="AA2490" s="25">
        <v>88</v>
      </c>
      <c r="AB2490" s="25" t="s">
        <v>821</v>
      </c>
      <c r="AC2490" s="25" t="s">
        <v>818</v>
      </c>
      <c r="AD2490" s="25" t="s">
        <v>821</v>
      </c>
      <c r="AE2490" s="25" t="s">
        <v>818</v>
      </c>
    </row>
    <row r="2491" spans="20:31" ht="14.4">
      <c r="T2491" s="25" t="s">
        <v>937</v>
      </c>
      <c r="U2491" s="25" t="s">
        <v>867</v>
      </c>
      <c r="V2491" t="s">
        <v>1006</v>
      </c>
      <c r="W2491" s="25" t="str">
        <f t="shared" si="57"/>
        <v>Square Cassette with Side &amp; Bottom ChannelsOutside Window MountSunboss Chain Winder 38mm Tube</v>
      </c>
      <c r="X2491" s="25">
        <v>10</v>
      </c>
      <c r="Y2491" s="25">
        <v>14</v>
      </c>
      <c r="Z2491" s="25">
        <v>14</v>
      </c>
      <c r="AA2491" s="25">
        <v>88</v>
      </c>
      <c r="AB2491" s="25" t="s">
        <v>821</v>
      </c>
      <c r="AC2491" s="25" t="s">
        <v>818</v>
      </c>
      <c r="AD2491" s="25" t="s">
        <v>821</v>
      </c>
      <c r="AE2491" s="25" t="s">
        <v>818</v>
      </c>
    </row>
    <row r="2492" spans="20:31" ht="14.4">
      <c r="T2492" s="25" t="s">
        <v>937</v>
      </c>
      <c r="U2492" s="25" t="s">
        <v>867</v>
      </c>
      <c r="V2492" t="s">
        <v>1017</v>
      </c>
      <c r="W2492" s="25" t="str">
        <f t="shared" si="57"/>
        <v>Square Cassette with Side &amp; Bottom ChannelsOutside Window MountSunboss Chain Winder 43mm Tube</v>
      </c>
      <c r="X2492" s="25">
        <v>10</v>
      </c>
      <c r="Y2492" s="25">
        <v>14</v>
      </c>
      <c r="Z2492" s="25">
        <v>14</v>
      </c>
      <c r="AA2492" s="25">
        <v>88</v>
      </c>
      <c r="AB2492" s="25" t="s">
        <v>821</v>
      </c>
      <c r="AC2492" s="25" t="s">
        <v>818</v>
      </c>
      <c r="AD2492" s="25" t="s">
        <v>821</v>
      </c>
      <c r="AE2492" s="25" t="s">
        <v>818</v>
      </c>
    </row>
    <row r="2493" spans="20:31" ht="14.4">
      <c r="T2493" s="25" t="s">
        <v>937</v>
      </c>
      <c r="U2493" s="25" t="s">
        <v>867</v>
      </c>
      <c r="V2493" s="25" t="s">
        <v>1012</v>
      </c>
      <c r="W2493" s="25" t="str">
        <f t="shared" si="57"/>
        <v>Square Cassette with Side &amp; Bottom ChannelsOutside Window MountTBS Remote Motor</v>
      </c>
      <c r="X2493" s="25">
        <v>10</v>
      </c>
      <c r="Y2493" s="25">
        <v>14</v>
      </c>
      <c r="Z2493" s="25">
        <v>14</v>
      </c>
      <c r="AA2493" s="25">
        <v>88</v>
      </c>
      <c r="AB2493" s="25" t="s">
        <v>821</v>
      </c>
      <c r="AC2493" s="25" t="s">
        <v>818</v>
      </c>
      <c r="AD2493" s="25" t="s">
        <v>821</v>
      </c>
      <c r="AE2493" s="25" t="s">
        <v>818</v>
      </c>
    </row>
    <row r="2494" spans="20:31" ht="14.4">
      <c r="T2494" s="25" t="s">
        <v>937</v>
      </c>
      <c r="U2494" s="25" t="s">
        <v>867</v>
      </c>
      <c r="V2494" t="s">
        <v>1009</v>
      </c>
      <c r="W2494" s="25" t="str">
        <f t="shared" si="57"/>
        <v>Square Cassette with Side &amp; Bottom ChannelsOutside Window MountTBS Cbus Motor</v>
      </c>
      <c r="X2494" s="25">
        <v>10</v>
      </c>
      <c r="Y2494" s="25">
        <v>14</v>
      </c>
      <c r="Z2494" s="25">
        <v>14</v>
      </c>
      <c r="AA2494" s="25">
        <v>88</v>
      </c>
      <c r="AB2494" s="25" t="s">
        <v>821</v>
      </c>
      <c r="AC2494" s="25" t="s">
        <v>818</v>
      </c>
      <c r="AE2494" s="25" t="s">
        <v>818</v>
      </c>
    </row>
    <row r="2495" spans="20:31" ht="14.4">
      <c r="T2495" s="25" t="s">
        <v>937</v>
      </c>
      <c r="U2495" s="25" t="s">
        <v>867</v>
      </c>
      <c r="V2495" t="s">
        <v>927</v>
      </c>
      <c r="W2495" s="25" t="str">
        <f t="shared" si="57"/>
        <v>Square Cassette with Side &amp; Bottom ChannelsOutside Window MountAcmeda External Motor</v>
      </c>
      <c r="X2495" s="25">
        <v>10</v>
      </c>
      <c r="Y2495" s="25">
        <v>14</v>
      </c>
      <c r="Z2495" s="25">
        <v>14</v>
      </c>
      <c r="AA2495" s="25">
        <v>88</v>
      </c>
      <c r="AB2495" s="25" t="s">
        <v>821</v>
      </c>
      <c r="AC2495" s="25" t="s">
        <v>818</v>
      </c>
      <c r="AE2495" s="25" t="s">
        <v>818</v>
      </c>
    </row>
    <row r="2496" spans="20:31" ht="14.4">
      <c r="T2496" s="25" t="s">
        <v>937</v>
      </c>
      <c r="U2496" s="25" t="s">
        <v>867</v>
      </c>
      <c r="V2496" t="s">
        <v>918</v>
      </c>
      <c r="W2496" s="25" t="str">
        <f t="shared" si="57"/>
        <v>Square Cassette with Side &amp; Bottom ChannelsOutside Window MountAcmeda External 12v Motor</v>
      </c>
      <c r="X2496" s="25">
        <v>10</v>
      </c>
      <c r="Y2496" s="25">
        <v>14</v>
      </c>
      <c r="Z2496" s="25">
        <v>14</v>
      </c>
      <c r="AA2496" s="25">
        <v>88</v>
      </c>
      <c r="AB2496" s="25" t="s">
        <v>821</v>
      </c>
      <c r="AC2496" s="25" t="s">
        <v>818</v>
      </c>
      <c r="AD2496" s="25" t="s">
        <v>821</v>
      </c>
      <c r="AE2496" s="25" t="s">
        <v>818</v>
      </c>
    </row>
    <row r="2497" spans="20:31" ht="14.4">
      <c r="T2497" s="25" t="s">
        <v>937</v>
      </c>
      <c r="U2497" s="25" t="s">
        <v>867</v>
      </c>
      <c r="V2497" t="s">
        <v>979</v>
      </c>
      <c r="W2497" s="25" t="str">
        <f t="shared" si="57"/>
        <v>Square Cassette with Side &amp; Bottom ChannelsOutside Window MountSomfy External CBUS Motor</v>
      </c>
      <c r="X2497" s="25">
        <v>10</v>
      </c>
      <c r="Y2497" s="25">
        <v>14</v>
      </c>
      <c r="Z2497" s="25">
        <v>14</v>
      </c>
      <c r="AA2497" s="25">
        <v>88</v>
      </c>
      <c r="AB2497" s="25" t="s">
        <v>821</v>
      </c>
      <c r="AC2497" s="25" t="s">
        <v>818</v>
      </c>
      <c r="AD2497" s="25" t="s">
        <v>821</v>
      </c>
      <c r="AE2497" s="25" t="s">
        <v>818</v>
      </c>
    </row>
    <row r="2498" spans="20:31" ht="14.4">
      <c r="T2498" s="25" t="s">
        <v>937</v>
      </c>
      <c r="U2498" s="25" t="s">
        <v>867</v>
      </c>
      <c r="V2498" t="s">
        <v>983</v>
      </c>
      <c r="W2498" s="25" t="str">
        <f t="shared" si="57"/>
        <v>Square Cassette with Side &amp; Bottom ChannelsOutside Window MountSomfy External Remote Motor</v>
      </c>
      <c r="X2498" s="25">
        <v>10</v>
      </c>
      <c r="Y2498" s="25">
        <v>14</v>
      </c>
      <c r="Z2498" s="25">
        <v>14</v>
      </c>
      <c r="AA2498" s="25">
        <v>88</v>
      </c>
      <c r="AB2498" s="25" t="s">
        <v>821</v>
      </c>
      <c r="AC2498" s="25" t="s">
        <v>818</v>
      </c>
      <c r="AD2498" s="25" t="s">
        <v>821</v>
      </c>
      <c r="AE2498" s="25" t="s">
        <v>818</v>
      </c>
    </row>
    <row r="2499" spans="20:31" ht="14.4">
      <c r="T2499" s="25" t="s">
        <v>937</v>
      </c>
      <c r="U2499" s="25" t="s">
        <v>867</v>
      </c>
      <c r="V2499" t="s">
        <v>995</v>
      </c>
      <c r="W2499" s="25" t="str">
        <f t="shared" si="58" ref="W2499:W2562">CONCATENATE(T2499,U2499,V2499)</f>
        <v>Square Cassette with Side &amp; Bottom ChannelsOutside Window MountHD Somfy External CBUS Motor</v>
      </c>
      <c r="X2499" s="25">
        <v>10</v>
      </c>
      <c r="Y2499" s="25">
        <v>14</v>
      </c>
      <c r="Z2499" s="25">
        <v>14</v>
      </c>
      <c r="AA2499" s="25">
        <v>88</v>
      </c>
      <c r="AB2499" s="25" t="s">
        <v>821</v>
      </c>
      <c r="AC2499" s="25" t="s">
        <v>818</v>
      </c>
      <c r="AD2499" s="25" t="s">
        <v>821</v>
      </c>
      <c r="AE2499" s="25" t="s">
        <v>818</v>
      </c>
    </row>
    <row r="2500" spans="20:31" ht="14.4">
      <c r="T2500" s="25" t="s">
        <v>937</v>
      </c>
      <c r="U2500" s="25" t="s">
        <v>867</v>
      </c>
      <c r="V2500" t="s">
        <v>999</v>
      </c>
      <c r="W2500" s="25" t="str">
        <f t="shared" si="58"/>
        <v>Square Cassette with Side &amp; Bottom ChannelsOutside Window MountHD Somfy External Remote Motor</v>
      </c>
      <c r="X2500" s="25">
        <v>10</v>
      </c>
      <c r="Y2500" s="25">
        <v>14</v>
      </c>
      <c r="Z2500" s="25">
        <v>14</v>
      </c>
      <c r="AA2500" s="25">
        <v>88</v>
      </c>
      <c r="AB2500" s="25" t="s">
        <v>821</v>
      </c>
      <c r="AC2500" s="25" t="s">
        <v>818</v>
      </c>
      <c r="AD2500" s="25" t="s">
        <v>821</v>
      </c>
      <c r="AE2500" s="25" t="s">
        <v>818</v>
      </c>
    </row>
    <row r="2501" spans="20:31" ht="14.4">
      <c r="T2501" s="25" t="s">
        <v>937</v>
      </c>
      <c r="U2501" s="25" t="s">
        <v>837</v>
      </c>
      <c r="V2501" s="25" t="s">
        <v>823</v>
      </c>
      <c r="W2501" s="25" t="str">
        <f t="shared" si="58"/>
        <v>Square Cassette with Side &amp; Bottom ChannelsRevealChain Winder</v>
      </c>
      <c r="X2501" s="25">
        <v>10</v>
      </c>
      <c r="Y2501" s="25">
        <v>14</v>
      </c>
      <c r="Z2501" s="25">
        <v>29</v>
      </c>
      <c r="AA2501" s="25">
        <v>88</v>
      </c>
      <c r="AB2501" s="25" t="s">
        <v>821</v>
      </c>
      <c r="AC2501" s="25" t="s">
        <v>818</v>
      </c>
      <c r="AD2501" s="25" t="s">
        <v>821</v>
      </c>
      <c r="AE2501" s="25" t="s">
        <v>818</v>
      </c>
    </row>
    <row r="2502" spans="20:31" ht="14.4">
      <c r="T2502" s="25" t="s">
        <v>937</v>
      </c>
      <c r="U2502" s="25" t="s">
        <v>837</v>
      </c>
      <c r="V2502" s="25" t="s">
        <v>841</v>
      </c>
      <c r="W2502" s="25" t="str">
        <f t="shared" si="58"/>
        <v>Square Cassette with Side &amp; Bottom ChannelsRevealHD Chain Winder</v>
      </c>
      <c r="X2502" s="25">
        <v>10</v>
      </c>
      <c r="Y2502" s="25">
        <v>14</v>
      </c>
      <c r="Z2502" s="25">
        <v>29</v>
      </c>
      <c r="AA2502" s="25">
        <v>88</v>
      </c>
      <c r="AB2502" s="25" t="s">
        <v>821</v>
      </c>
      <c r="AC2502" s="25" t="s">
        <v>818</v>
      </c>
      <c r="AD2502" s="25" t="s">
        <v>821</v>
      </c>
      <c r="AE2502" s="25" t="s">
        <v>818</v>
      </c>
    </row>
    <row r="2503" spans="20:31" ht="14.4">
      <c r="T2503" s="25" t="s">
        <v>937</v>
      </c>
      <c r="U2503" s="25" t="s">
        <v>837</v>
      </c>
      <c r="V2503" s="25" t="s">
        <v>858</v>
      </c>
      <c r="W2503" s="25" t="str">
        <f t="shared" si="58"/>
        <v>Square Cassette with Side &amp; Bottom ChannelsRevealChain Winder 60mm</v>
      </c>
      <c r="X2503" s="25">
        <v>10</v>
      </c>
      <c r="Y2503" s="25">
        <v>14</v>
      </c>
      <c r="Z2503" s="25">
        <v>29</v>
      </c>
      <c r="AA2503" s="25">
        <v>88</v>
      </c>
      <c r="AB2503" s="25" t="s">
        <v>821</v>
      </c>
      <c r="AC2503" s="25" t="s">
        <v>818</v>
      </c>
      <c r="AD2503" s="25" t="s">
        <v>821</v>
      </c>
      <c r="AE2503" s="25" t="s">
        <v>818</v>
      </c>
    </row>
    <row r="2504" spans="20:31" ht="14.4">
      <c r="T2504" s="25" t="s">
        <v>937</v>
      </c>
      <c r="U2504" s="25" t="s">
        <v>837</v>
      </c>
      <c r="V2504" s="25" t="s">
        <v>865</v>
      </c>
      <c r="W2504" s="25" t="str">
        <f t="shared" si="58"/>
        <v>Square Cassette with Side &amp; Bottom ChannelsRevealChain Winder Fixed Guide</v>
      </c>
      <c r="X2504" s="25">
        <v>10</v>
      </c>
      <c r="Y2504" s="25">
        <v>14</v>
      </c>
      <c r="Z2504" s="25">
        <v>29</v>
      </c>
      <c r="AA2504" s="25">
        <v>88</v>
      </c>
      <c r="AB2504" s="25" t="s">
        <v>821</v>
      </c>
      <c r="AC2504" s="25" t="s">
        <v>818</v>
      </c>
      <c r="AD2504" s="25" t="s">
        <v>821</v>
      </c>
      <c r="AE2504" s="25" t="s">
        <v>818</v>
      </c>
    </row>
    <row r="2505" spans="20:31" ht="14.4">
      <c r="T2505" s="25" t="s">
        <v>937</v>
      </c>
      <c r="U2505" s="25" t="s">
        <v>837</v>
      </c>
      <c r="V2505" s="25" t="s">
        <v>181</v>
      </c>
      <c r="W2505" s="25" t="str">
        <f t="shared" si="58"/>
        <v>Square Cassette with Side &amp; Bottom ChannelsRevealLinked</v>
      </c>
      <c r="X2505" s="25">
        <v>10</v>
      </c>
      <c r="Y2505" s="25">
        <v>14</v>
      </c>
      <c r="Z2505" s="25">
        <v>14</v>
      </c>
      <c r="AA2505" s="25">
        <v>88</v>
      </c>
      <c r="AB2505" s="25" t="s">
        <v>821</v>
      </c>
      <c r="AC2505" s="25" t="s">
        <v>818</v>
      </c>
      <c r="AD2505" s="25" t="s">
        <v>821</v>
      </c>
      <c r="AE2505" s="25" t="s">
        <v>818</v>
      </c>
    </row>
    <row r="2506" spans="20:31" ht="14.4">
      <c r="T2506" s="25" t="s">
        <v>937</v>
      </c>
      <c r="U2506" s="25" t="s">
        <v>837</v>
      </c>
      <c r="V2506" s="25" t="s">
        <v>898</v>
      </c>
      <c r="W2506" s="25" t="str">
        <f t="shared" si="58"/>
        <v>Square Cassette with Side &amp; Bottom ChannelsRevealLinked - HD</v>
      </c>
      <c r="X2506" s="25">
        <v>10</v>
      </c>
      <c r="Y2506" s="25">
        <v>14</v>
      </c>
      <c r="Z2506" s="25">
        <v>14</v>
      </c>
      <c r="AA2506" s="25">
        <v>88</v>
      </c>
      <c r="AB2506" s="25" t="s">
        <v>821</v>
      </c>
      <c r="AC2506" s="25" t="s">
        <v>818</v>
      </c>
      <c r="AD2506" s="25" t="s">
        <v>821</v>
      </c>
      <c r="AE2506" s="25" t="s">
        <v>818</v>
      </c>
    </row>
    <row r="2507" spans="20:31" ht="14.4">
      <c r="T2507" s="25" t="s">
        <v>937</v>
      </c>
      <c r="U2507" s="25" t="s">
        <v>837</v>
      </c>
      <c r="V2507" s="25" t="s">
        <v>910</v>
      </c>
      <c r="W2507" s="25" t="str">
        <f t="shared" si="58"/>
        <v>Square Cassette with Side &amp; Bottom ChannelsRevealStandard Spring</v>
      </c>
      <c r="X2507" s="25">
        <v>10</v>
      </c>
      <c r="Y2507" s="25">
        <v>14</v>
      </c>
      <c r="Z2507" s="25">
        <v>14</v>
      </c>
      <c r="AA2507" s="25">
        <v>88</v>
      </c>
      <c r="AB2507" s="25" t="s">
        <v>821</v>
      </c>
      <c r="AC2507" s="25" t="s">
        <v>818</v>
      </c>
      <c r="AD2507" s="25" t="s">
        <v>821</v>
      </c>
      <c r="AE2507" s="25" t="s">
        <v>818</v>
      </c>
    </row>
    <row r="2508" spans="20:31" ht="14.4">
      <c r="T2508" s="25" t="s">
        <v>937</v>
      </c>
      <c r="U2508" s="25" t="s">
        <v>837</v>
      </c>
      <c r="V2508" s="25" t="s">
        <v>920</v>
      </c>
      <c r="W2508" s="25" t="str">
        <f t="shared" si="58"/>
        <v>Square Cassette with Side &amp; Bottom ChannelsRevealSmall Spring</v>
      </c>
      <c r="X2508" s="25">
        <v>10</v>
      </c>
      <c r="Y2508" s="25">
        <v>14</v>
      </c>
      <c r="Z2508" s="25">
        <v>14</v>
      </c>
      <c r="AA2508" s="25">
        <v>88</v>
      </c>
      <c r="AB2508" s="25" t="s">
        <v>821</v>
      </c>
      <c r="AC2508" s="25" t="s">
        <v>818</v>
      </c>
      <c r="AD2508" s="25" t="s">
        <v>821</v>
      </c>
      <c r="AE2508" s="25" t="s">
        <v>818</v>
      </c>
    </row>
    <row r="2509" spans="20:31" ht="14.4">
      <c r="T2509" s="25" t="s">
        <v>937</v>
      </c>
      <c r="U2509" s="25" t="s">
        <v>837</v>
      </c>
      <c r="V2509" s="25" t="s">
        <v>929</v>
      </c>
      <c r="W2509" s="25" t="str">
        <f t="shared" si="58"/>
        <v>Square Cassette with Side &amp; Bottom ChannelsRevealUniline Spring (Old Style)</v>
      </c>
      <c r="X2509" s="25">
        <v>10</v>
      </c>
      <c r="Y2509" s="25">
        <v>14</v>
      </c>
      <c r="Z2509" s="25">
        <v>14</v>
      </c>
      <c r="AA2509" s="25">
        <v>88</v>
      </c>
      <c r="AB2509" s="25" t="s">
        <v>821</v>
      </c>
      <c r="AC2509" s="25" t="s">
        <v>818</v>
      </c>
      <c r="AD2509" s="25" t="s">
        <v>821</v>
      </c>
      <c r="AE2509" s="25" t="s">
        <v>818</v>
      </c>
    </row>
    <row r="2510" spans="20:31" ht="14.4">
      <c r="T2510" s="25" t="s">
        <v>937</v>
      </c>
      <c r="U2510" s="25" t="s">
        <v>837</v>
      </c>
      <c r="V2510" s="25" t="s">
        <v>935</v>
      </c>
      <c r="W2510" s="25" t="str">
        <f t="shared" si="58"/>
        <v>Square Cassette with Side &amp; Bottom ChannelsRevealBecker Remote Motor</v>
      </c>
      <c r="X2510" s="25">
        <v>10</v>
      </c>
      <c r="Y2510" s="25">
        <v>14</v>
      </c>
      <c r="Z2510" s="25">
        <v>14</v>
      </c>
      <c r="AA2510" s="25">
        <v>88</v>
      </c>
      <c r="AB2510" s="25" t="s">
        <v>821</v>
      </c>
      <c r="AC2510" s="25" t="s">
        <v>818</v>
      </c>
      <c r="AD2510" s="25" t="s">
        <v>821</v>
      </c>
      <c r="AE2510" s="25" t="s">
        <v>818</v>
      </c>
    </row>
    <row r="2511" spans="20:31" ht="14.4">
      <c r="T2511" s="25" t="s">
        <v>937</v>
      </c>
      <c r="U2511" s="25" t="s">
        <v>837</v>
      </c>
      <c r="V2511" s="25" t="s">
        <v>939</v>
      </c>
      <c r="W2511" s="25" t="str">
        <f t="shared" si="58"/>
        <v>Square Cassette with Side &amp; Bottom ChannelsRevealBecker CBUS Motor</v>
      </c>
      <c r="X2511" s="25">
        <v>10</v>
      </c>
      <c r="Y2511" s="25">
        <v>14</v>
      </c>
      <c r="Z2511" s="25">
        <v>14</v>
      </c>
      <c r="AA2511" s="25">
        <v>88</v>
      </c>
      <c r="AB2511" s="25" t="s">
        <v>821</v>
      </c>
      <c r="AC2511" s="25" t="s">
        <v>818</v>
      </c>
      <c r="AD2511" s="25" t="s">
        <v>821</v>
      </c>
      <c r="AE2511" s="25" t="s">
        <v>818</v>
      </c>
    </row>
    <row r="2512" spans="20:31" ht="14.4">
      <c r="T2512" s="25" t="s">
        <v>937</v>
      </c>
      <c r="U2512" s="25" t="s">
        <v>837</v>
      </c>
      <c r="V2512" s="25" t="s">
        <v>946</v>
      </c>
      <c r="W2512" s="25" t="str">
        <f t="shared" si="58"/>
        <v>Square Cassette with Side &amp; Bottom ChannelsRevealBecker External Remote Motor</v>
      </c>
      <c r="X2512" s="25">
        <v>10</v>
      </c>
      <c r="Y2512" s="25">
        <v>14</v>
      </c>
      <c r="Z2512" s="25">
        <v>14</v>
      </c>
      <c r="AA2512" s="25">
        <v>88</v>
      </c>
      <c r="AB2512" s="25" t="s">
        <v>821</v>
      </c>
      <c r="AC2512" s="25" t="s">
        <v>818</v>
      </c>
      <c r="AD2512" s="25" t="s">
        <v>821</v>
      </c>
      <c r="AE2512" s="25" t="s">
        <v>818</v>
      </c>
    </row>
    <row r="2513" spans="20:31" ht="14.4">
      <c r="T2513" s="25" t="s">
        <v>937</v>
      </c>
      <c r="U2513" s="25" t="s">
        <v>837</v>
      </c>
      <c r="V2513" s="25" t="s">
        <v>951</v>
      </c>
      <c r="W2513" s="25" t="str">
        <f t="shared" si="58"/>
        <v>Square Cassette with Side &amp; Bottom ChannelsRevealBecker External CBUS Motor</v>
      </c>
      <c r="X2513" s="25">
        <v>10</v>
      </c>
      <c r="Y2513" s="25">
        <v>14</v>
      </c>
      <c r="Z2513" s="25">
        <v>14</v>
      </c>
      <c r="AA2513" s="25">
        <v>88</v>
      </c>
      <c r="AB2513" s="25" t="s">
        <v>821</v>
      </c>
      <c r="AC2513" s="25" t="s">
        <v>818</v>
      </c>
      <c r="AD2513" s="25" t="s">
        <v>821</v>
      </c>
      <c r="AE2513" s="25" t="s">
        <v>818</v>
      </c>
    </row>
    <row r="2514" spans="20:31" ht="14.4">
      <c r="T2514" s="25" t="s">
        <v>937</v>
      </c>
      <c r="U2514" s="25" t="s">
        <v>837</v>
      </c>
      <c r="V2514" s="25" t="s">
        <v>838</v>
      </c>
      <c r="W2514" s="25" t="str">
        <f t="shared" si="58"/>
        <v>Square Cassette with Side &amp; Bottom ChannelsReveal1.1nm 12v Acmeda Motor</v>
      </c>
      <c r="X2514" s="25">
        <v>10</v>
      </c>
      <c r="Y2514" s="25">
        <v>14</v>
      </c>
      <c r="Z2514" s="25">
        <v>14</v>
      </c>
      <c r="AA2514" s="25">
        <v>88</v>
      </c>
      <c r="AB2514" s="25" t="s">
        <v>821</v>
      </c>
      <c r="AC2514" s="25" t="s">
        <v>818</v>
      </c>
      <c r="AD2514" s="25" t="s">
        <v>821</v>
      </c>
      <c r="AE2514" s="25" t="s">
        <v>818</v>
      </c>
    </row>
    <row r="2515" spans="20:31" ht="14.4">
      <c r="T2515" s="25" t="s">
        <v>937</v>
      </c>
      <c r="U2515" s="25" t="s">
        <v>837</v>
      </c>
      <c r="V2515" t="s">
        <v>882</v>
      </c>
      <c r="W2515" s="25" t="str">
        <f t="shared" si="58"/>
        <v>Square Cassette with Side &amp; Bottom ChannelsReveal2nm 12v Acmeda Motor</v>
      </c>
      <c r="X2515" s="25">
        <v>10</v>
      </c>
      <c r="Y2515" s="25">
        <v>14</v>
      </c>
      <c r="Z2515" s="25">
        <v>14</v>
      </c>
      <c r="AA2515" s="25">
        <v>88</v>
      </c>
      <c r="AB2515" s="25" t="s">
        <v>821</v>
      </c>
      <c r="AC2515" s="25" t="s">
        <v>818</v>
      </c>
      <c r="AD2515" s="25" t="s">
        <v>821</v>
      </c>
      <c r="AE2515" s="25" t="s">
        <v>818</v>
      </c>
    </row>
    <row r="2516" spans="20:31" ht="14.4">
      <c r="T2516" s="25" t="s">
        <v>937</v>
      </c>
      <c r="U2516" s="25" t="s">
        <v>837</v>
      </c>
      <c r="V2516" t="s">
        <v>896</v>
      </c>
      <c r="W2516" s="25" t="str">
        <f t="shared" si="58"/>
        <v>Square Cassette with Side &amp; Bottom ChannelsRevealAcmeda 12v 6nm Motor</v>
      </c>
      <c r="X2516" s="25">
        <v>10</v>
      </c>
      <c r="Y2516" s="25">
        <v>14</v>
      </c>
      <c r="Z2516" s="25">
        <v>14</v>
      </c>
      <c r="AA2516" s="25">
        <v>88</v>
      </c>
      <c r="AB2516" s="25" t="s">
        <v>821</v>
      </c>
      <c r="AC2516" s="25" t="s">
        <v>818</v>
      </c>
      <c r="AD2516" s="25" t="s">
        <v>821</v>
      </c>
      <c r="AE2516" s="25" t="s">
        <v>818</v>
      </c>
    </row>
    <row r="2517" spans="20:31" ht="14.4">
      <c r="T2517" s="25" t="s">
        <v>937</v>
      </c>
      <c r="U2517" s="25" t="s">
        <v>837</v>
      </c>
      <c r="V2517" t="s">
        <v>855</v>
      </c>
      <c r="W2517" s="25" t="str">
        <f t="shared" si="58"/>
        <v>Square Cassette with Side &amp; Bottom ChannelsReveal0.7nm 12v Acmeda Motor</v>
      </c>
      <c r="X2517" s="25">
        <v>10</v>
      </c>
      <c r="Y2517" s="25">
        <v>14</v>
      </c>
      <c r="Z2517" s="25">
        <v>14</v>
      </c>
      <c r="AA2517" s="25">
        <v>88</v>
      </c>
      <c r="AB2517" s="25" t="s">
        <v>821</v>
      </c>
      <c r="AC2517" s="25" t="s">
        <v>818</v>
      </c>
      <c r="AD2517" s="25" t="s">
        <v>821</v>
      </c>
      <c r="AE2517" s="25" t="s">
        <v>818</v>
      </c>
    </row>
    <row r="2518" spans="20:31" ht="14.4">
      <c r="T2518" s="25" t="s">
        <v>937</v>
      </c>
      <c r="U2518" s="25" t="s">
        <v>837</v>
      </c>
      <c r="V2518" s="25" t="s">
        <v>849</v>
      </c>
      <c r="W2518" s="25" t="str">
        <f t="shared" si="58"/>
        <v>Square Cassette with Side &amp; Bottom ChannelsReveal1.1nm 12v Acmeda DCRF Motor with External Battery</v>
      </c>
      <c r="X2518" s="25">
        <v>10</v>
      </c>
      <c r="Y2518" s="25">
        <v>14</v>
      </c>
      <c r="Z2518" s="25">
        <v>14</v>
      </c>
      <c r="AA2518" s="25">
        <v>88</v>
      </c>
      <c r="AB2518" s="25" t="s">
        <v>821</v>
      </c>
      <c r="AC2518" s="25" t="s">
        <v>818</v>
      </c>
      <c r="AD2518" s="25" t="s">
        <v>821</v>
      </c>
      <c r="AE2518" s="25" t="s">
        <v>818</v>
      </c>
    </row>
    <row r="2519" spans="20:31" ht="14.4">
      <c r="T2519" s="25" t="s">
        <v>937</v>
      </c>
      <c r="U2519" s="25" t="s">
        <v>837</v>
      </c>
      <c r="V2519" s="25" t="s">
        <v>817</v>
      </c>
      <c r="W2519" s="25" t="str">
        <f t="shared" si="58"/>
        <v>Square Cassette with Side &amp; Bottom ChannelsReveal1.1nm 12v Acmeda DCRF Motor</v>
      </c>
      <c r="X2519" s="25">
        <v>10</v>
      </c>
      <c r="Y2519" s="25">
        <v>14</v>
      </c>
      <c r="Z2519" s="25">
        <v>14</v>
      </c>
      <c r="AA2519" s="25">
        <v>88</v>
      </c>
      <c r="AB2519" s="25" t="s">
        <v>821</v>
      </c>
      <c r="AC2519" s="25" t="s">
        <v>818</v>
      </c>
      <c r="AD2519" s="25" t="s">
        <v>821</v>
      </c>
      <c r="AE2519" s="25" t="s">
        <v>818</v>
      </c>
    </row>
    <row r="2520" spans="20:31" ht="14.4">
      <c r="T2520" s="25" t="s">
        <v>937</v>
      </c>
      <c r="U2520" s="25" t="s">
        <v>837</v>
      </c>
      <c r="V2520" s="25" t="s">
        <v>868</v>
      </c>
      <c r="W2520" s="25" t="str">
        <f t="shared" si="58"/>
        <v>Square Cassette with Side &amp; Bottom ChannelsReveal2nm 12v Acmeda DCRF Motor</v>
      </c>
      <c r="X2520" s="25">
        <v>10</v>
      </c>
      <c r="Y2520" s="25">
        <v>14</v>
      </c>
      <c r="Z2520" s="25">
        <v>14</v>
      </c>
      <c r="AA2520" s="25">
        <v>88</v>
      </c>
      <c r="AB2520" s="25" t="s">
        <v>821</v>
      </c>
      <c r="AC2520" s="25" t="s">
        <v>818</v>
      </c>
      <c r="AD2520" s="25" t="s">
        <v>821</v>
      </c>
      <c r="AE2520" s="25" t="s">
        <v>818</v>
      </c>
    </row>
    <row r="2521" spans="20:31" ht="14.4">
      <c r="T2521" s="25" t="s">
        <v>937</v>
      </c>
      <c r="U2521" s="25" t="s">
        <v>837</v>
      </c>
      <c r="V2521" t="s">
        <v>973</v>
      </c>
      <c r="W2521" s="25" t="str">
        <f t="shared" si="58"/>
        <v>Square Cassette with Side &amp; Bottom ChannelsRevealSomfy Remote Sonesse Motor</v>
      </c>
      <c r="X2521" s="25">
        <v>10</v>
      </c>
      <c r="Y2521" s="25">
        <v>14</v>
      </c>
      <c r="Z2521" s="25">
        <v>14</v>
      </c>
      <c r="AA2521" s="25">
        <v>88</v>
      </c>
      <c r="AB2521" s="25" t="s">
        <v>821</v>
      </c>
      <c r="AC2521" s="25" t="s">
        <v>818</v>
      </c>
      <c r="AD2521" s="25" t="s">
        <v>821</v>
      </c>
      <c r="AE2521" s="25" t="s">
        <v>818</v>
      </c>
    </row>
    <row r="2522" spans="20:31" ht="14.4">
      <c r="T2522" s="25" t="s">
        <v>937</v>
      </c>
      <c r="U2522" s="25" t="s">
        <v>837</v>
      </c>
      <c r="V2522" t="s">
        <v>637</v>
      </c>
      <c r="W2522" s="25" t="str">
        <f t="shared" si="58"/>
        <v>Square Cassette with Side &amp; Bottom ChannelsRevealSomfy 12v Remote Sonesse Motor</v>
      </c>
      <c r="X2522" s="25">
        <v>10</v>
      </c>
      <c r="Y2522" s="25">
        <v>14</v>
      </c>
      <c r="Z2522" s="25">
        <v>14</v>
      </c>
      <c r="AA2522" s="25">
        <v>88</v>
      </c>
      <c r="AB2522" s="25" t="s">
        <v>821</v>
      </c>
      <c r="AC2522" s="25" t="s">
        <v>818</v>
      </c>
      <c r="AD2522" s="25" t="s">
        <v>821</v>
      </c>
      <c r="AE2522" s="25" t="s">
        <v>818</v>
      </c>
    </row>
    <row r="2523" spans="20:31" ht="14.4">
      <c r="T2523" s="25" t="s">
        <v>937</v>
      </c>
      <c r="U2523" s="25" t="s">
        <v>837</v>
      </c>
      <c r="V2523" s="25" t="s">
        <v>974</v>
      </c>
      <c r="W2523" s="25" t="str">
        <f t="shared" si="58"/>
        <v>Square Cassette with Side &amp; Bottom ChannelsRevealSomfy CBUS Motor</v>
      </c>
      <c r="X2523" s="25">
        <v>10</v>
      </c>
      <c r="Y2523" s="25">
        <v>14</v>
      </c>
      <c r="Z2523" s="25">
        <v>14</v>
      </c>
      <c r="AA2523" s="25">
        <v>88</v>
      </c>
      <c r="AB2523" s="25" t="s">
        <v>821</v>
      </c>
      <c r="AC2523" s="25" t="s">
        <v>818</v>
      </c>
      <c r="AD2523" s="25" t="s">
        <v>821</v>
      </c>
      <c r="AE2523" s="25" t="s">
        <v>818</v>
      </c>
    </row>
    <row r="2524" spans="20:31" ht="14.4">
      <c r="T2524" s="25" t="s">
        <v>937</v>
      </c>
      <c r="U2524" s="25" t="s">
        <v>837</v>
      </c>
      <c r="V2524" t="s">
        <v>986</v>
      </c>
      <c r="W2524" s="25" t="str">
        <f t="shared" si="58"/>
        <v>Square Cassette with Side &amp; Bottom ChannelsRevealHD Somfy Remote Sonesse Motor</v>
      </c>
      <c r="X2524" s="25">
        <v>10</v>
      </c>
      <c r="Y2524" s="25">
        <v>14</v>
      </c>
      <c r="Z2524" s="25">
        <v>14</v>
      </c>
      <c r="AA2524" s="25">
        <v>88</v>
      </c>
      <c r="AB2524" s="25" t="s">
        <v>821</v>
      </c>
      <c r="AC2524" s="25" t="s">
        <v>818</v>
      </c>
      <c r="AD2524" s="25" t="s">
        <v>821</v>
      </c>
      <c r="AE2524" s="25" t="s">
        <v>818</v>
      </c>
    </row>
    <row r="2525" spans="20:31" ht="14.4">
      <c r="T2525" s="25" t="s">
        <v>937</v>
      </c>
      <c r="U2525" s="25" t="s">
        <v>837</v>
      </c>
      <c r="V2525" t="s">
        <v>989</v>
      </c>
      <c r="W2525" s="25" t="str">
        <f t="shared" si="58"/>
        <v>Square Cassette with Side &amp; Bottom ChannelsRevealHD Somfy 12v Remote Sonesse Motor</v>
      </c>
      <c r="X2525" s="25">
        <v>10</v>
      </c>
      <c r="Y2525" s="25">
        <v>14</v>
      </c>
      <c r="Z2525" s="25">
        <v>14</v>
      </c>
      <c r="AA2525" s="25">
        <v>88</v>
      </c>
      <c r="AB2525" s="25" t="s">
        <v>821</v>
      </c>
      <c r="AC2525" s="25" t="s">
        <v>818</v>
      </c>
      <c r="AD2525" s="25" t="s">
        <v>821</v>
      </c>
      <c r="AE2525" s="25" t="s">
        <v>818</v>
      </c>
    </row>
    <row r="2526" spans="20:31" ht="14.4">
      <c r="T2526" s="25" t="s">
        <v>937</v>
      </c>
      <c r="U2526" s="25" t="s">
        <v>837</v>
      </c>
      <c r="V2526" s="25" t="s">
        <v>992</v>
      </c>
      <c r="W2526" s="25" t="str">
        <f t="shared" si="58"/>
        <v>Square Cassette with Side &amp; Bottom ChannelsRevealHD Somfy CBUS Motor</v>
      </c>
      <c r="X2526" s="25">
        <v>10</v>
      </c>
      <c r="Y2526" s="25">
        <v>14</v>
      </c>
      <c r="Z2526" s="25">
        <v>14</v>
      </c>
      <c r="AA2526" s="25">
        <v>88</v>
      </c>
      <c r="AB2526" s="25" t="s">
        <v>821</v>
      </c>
      <c r="AC2526" s="25" t="s">
        <v>818</v>
      </c>
      <c r="AD2526" s="25" t="s">
        <v>821</v>
      </c>
      <c r="AE2526" s="25" t="s">
        <v>818</v>
      </c>
    </row>
    <row r="2527" spans="20:31" ht="14.4">
      <c r="T2527" s="25" t="s">
        <v>937</v>
      </c>
      <c r="U2527" s="25" t="s">
        <v>837</v>
      </c>
      <c r="V2527" s="25" t="s">
        <v>625</v>
      </c>
      <c r="W2527" s="25" t="str">
        <f t="shared" si="58"/>
        <v>Square Cassette with Side &amp; Bottom ChannelsRevealAcmeda E6 Motor</v>
      </c>
      <c r="X2527" s="25">
        <v>10</v>
      </c>
      <c r="Y2527" s="25">
        <v>14</v>
      </c>
      <c r="Z2527" s="25">
        <v>14</v>
      </c>
      <c r="AA2527" s="25">
        <v>88</v>
      </c>
      <c r="AB2527" s="25" t="s">
        <v>821</v>
      </c>
      <c r="AC2527" s="25" t="s">
        <v>818</v>
      </c>
      <c r="AD2527" s="25" t="s">
        <v>821</v>
      </c>
      <c r="AE2527" s="25" t="s">
        <v>818</v>
      </c>
    </row>
    <row r="2528" spans="20:31" ht="14.4">
      <c r="T2528" s="25" t="s">
        <v>937</v>
      </c>
      <c r="U2528" s="25" t="s">
        <v>837</v>
      </c>
      <c r="V2528" s="25" t="s">
        <v>626</v>
      </c>
      <c r="W2528" s="25" t="str">
        <f t="shared" si="58"/>
        <v>Square Cassette with Side &amp; Bottom ChannelsRevealAcmeda M6 Motor</v>
      </c>
      <c r="X2528" s="25">
        <v>10</v>
      </c>
      <c r="Y2528" s="25">
        <v>14</v>
      </c>
      <c r="Z2528" s="25">
        <v>14</v>
      </c>
      <c r="AA2528" s="25">
        <v>88</v>
      </c>
      <c r="AB2528" s="25" t="s">
        <v>821</v>
      </c>
      <c r="AC2528" s="25" t="s">
        <v>818</v>
      </c>
      <c r="AD2528" s="25" t="s">
        <v>821</v>
      </c>
      <c r="AE2528" s="25" t="s">
        <v>818</v>
      </c>
    </row>
    <row r="2529" spans="20:31" ht="14.4">
      <c r="T2529" s="25" t="s">
        <v>937</v>
      </c>
      <c r="U2529" s="25" t="s">
        <v>837</v>
      </c>
      <c r="V2529" s="25" t="s">
        <v>1002</v>
      </c>
      <c r="W2529" s="25" t="str">
        <f t="shared" si="58"/>
        <v>Square Cassette with Side &amp; Bottom ChannelsRevealUniline Remote Motor</v>
      </c>
      <c r="X2529" s="25">
        <v>10</v>
      </c>
      <c r="Y2529" s="25">
        <v>14</v>
      </c>
      <c r="Z2529" s="25">
        <v>14</v>
      </c>
      <c r="AA2529" s="25">
        <v>88</v>
      </c>
      <c r="AB2529" s="25" t="s">
        <v>821</v>
      </c>
      <c r="AC2529" s="25" t="s">
        <v>818</v>
      </c>
      <c r="AD2529" s="25" t="s">
        <v>821</v>
      </c>
      <c r="AE2529" s="25" t="s">
        <v>818</v>
      </c>
    </row>
    <row r="2530" spans="20:31" ht="14.4">
      <c r="T2530" s="25" t="s">
        <v>937</v>
      </c>
      <c r="U2530" s="25" t="s">
        <v>837</v>
      </c>
      <c r="V2530" s="25" t="s">
        <v>1005</v>
      </c>
      <c r="W2530" s="25" t="str">
        <f t="shared" si="58"/>
        <v>Square Cassette with Side &amp; Bottom ChannelsRevealUniline Cbus Motor</v>
      </c>
      <c r="X2530" s="25">
        <v>10</v>
      </c>
      <c r="Y2530" s="25">
        <v>14</v>
      </c>
      <c r="Z2530" s="25">
        <v>14</v>
      </c>
      <c r="AA2530" s="25">
        <v>88</v>
      </c>
      <c r="AB2530" s="25" t="s">
        <v>821</v>
      </c>
      <c r="AC2530" s="25" t="s">
        <v>818</v>
      </c>
      <c r="AD2530" s="25" t="s">
        <v>821</v>
      </c>
      <c r="AE2530" s="25" t="s">
        <v>818</v>
      </c>
    </row>
    <row r="2531" spans="20:31" ht="14.4">
      <c r="T2531" s="25" t="s">
        <v>937</v>
      </c>
      <c r="U2531" s="25" t="s">
        <v>837</v>
      </c>
      <c r="V2531" s="25" t="s">
        <v>981</v>
      </c>
      <c r="W2531" s="25" t="str">
        <f t="shared" si="58"/>
        <v>Square Cassette with Side &amp; Bottom ChannelsRevealNice Remote Motor</v>
      </c>
      <c r="X2531" s="25">
        <v>10</v>
      </c>
      <c r="Y2531" s="25">
        <v>14</v>
      </c>
      <c r="Z2531" s="25">
        <v>14</v>
      </c>
      <c r="AA2531" s="25">
        <v>88</v>
      </c>
      <c r="AB2531" s="25" t="s">
        <v>821</v>
      </c>
      <c r="AC2531" s="25" t="s">
        <v>818</v>
      </c>
      <c r="AD2531" s="25" t="s">
        <v>821</v>
      </c>
      <c r="AE2531" s="25" t="s">
        <v>818</v>
      </c>
    </row>
    <row r="2532" spans="20:31" ht="14.4">
      <c r="T2532" s="25" t="s">
        <v>937</v>
      </c>
      <c r="U2532" s="25" t="s">
        <v>837</v>
      </c>
      <c r="V2532" s="25" t="s">
        <v>976</v>
      </c>
      <c r="W2532" s="25" t="str">
        <f t="shared" si="58"/>
        <v>Square Cassette with Side &amp; Bottom ChannelsRevealNice CBus Motor</v>
      </c>
      <c r="X2532" s="25">
        <v>10</v>
      </c>
      <c r="Y2532" s="25">
        <v>14</v>
      </c>
      <c r="Z2532" s="25">
        <v>14</v>
      </c>
      <c r="AA2532" s="25">
        <v>88</v>
      </c>
      <c r="AB2532" s="25" t="s">
        <v>821</v>
      </c>
      <c r="AC2532" s="25" t="s">
        <v>818</v>
      </c>
      <c r="AD2532" s="25" t="s">
        <v>821</v>
      </c>
      <c r="AE2532" s="25" t="s">
        <v>818</v>
      </c>
    </row>
    <row r="2533" spans="20:31" ht="14.4">
      <c r="T2533" s="25" t="s">
        <v>937</v>
      </c>
      <c r="U2533" s="25" t="s">
        <v>837</v>
      </c>
      <c r="V2533" t="s">
        <v>1006</v>
      </c>
      <c r="W2533" s="25" t="str">
        <f t="shared" si="58"/>
        <v>Square Cassette with Side &amp; Bottom ChannelsRevealSunboss Chain Winder 38mm Tube</v>
      </c>
      <c r="X2533" s="25">
        <v>10</v>
      </c>
      <c r="Y2533" s="25">
        <v>14</v>
      </c>
      <c r="Z2533" s="25">
        <v>14</v>
      </c>
      <c r="AA2533" s="25">
        <v>88</v>
      </c>
      <c r="AB2533" s="25" t="s">
        <v>821</v>
      </c>
      <c r="AC2533" s="25" t="s">
        <v>818</v>
      </c>
      <c r="AD2533" s="25" t="s">
        <v>821</v>
      </c>
      <c r="AE2533" s="25" t="s">
        <v>818</v>
      </c>
    </row>
    <row r="2534" spans="20:31" ht="14.4">
      <c r="T2534" s="25" t="s">
        <v>937</v>
      </c>
      <c r="U2534" s="25" t="s">
        <v>837</v>
      </c>
      <c r="V2534" t="s">
        <v>1017</v>
      </c>
      <c r="W2534" s="25" t="str">
        <f t="shared" si="58"/>
        <v>Square Cassette with Side &amp; Bottom ChannelsRevealSunboss Chain Winder 43mm Tube</v>
      </c>
      <c r="X2534" s="25">
        <v>10</v>
      </c>
      <c r="Y2534" s="25">
        <v>14</v>
      </c>
      <c r="Z2534" s="25">
        <v>14</v>
      </c>
      <c r="AA2534" s="25">
        <v>88</v>
      </c>
      <c r="AB2534" s="25" t="s">
        <v>821</v>
      </c>
      <c r="AC2534" s="25" t="s">
        <v>818</v>
      </c>
      <c r="AD2534" s="25" t="s">
        <v>821</v>
      </c>
      <c r="AE2534" s="25" t="s">
        <v>818</v>
      </c>
    </row>
    <row r="2535" spans="20:31" ht="14.4">
      <c r="T2535" s="25" t="s">
        <v>937</v>
      </c>
      <c r="U2535" s="25" t="s">
        <v>837</v>
      </c>
      <c r="V2535" s="25" t="s">
        <v>1012</v>
      </c>
      <c r="W2535" s="25" t="str">
        <f t="shared" si="58"/>
        <v>Square Cassette with Side &amp; Bottom ChannelsRevealTBS Remote Motor</v>
      </c>
      <c r="X2535" s="25">
        <v>10</v>
      </c>
      <c r="Y2535" s="25">
        <v>14</v>
      </c>
      <c r="Z2535" s="25">
        <v>14</v>
      </c>
      <c r="AA2535" s="25">
        <v>88</v>
      </c>
      <c r="AB2535" s="25" t="s">
        <v>821</v>
      </c>
      <c r="AC2535" s="25" t="s">
        <v>818</v>
      </c>
      <c r="AD2535" s="25" t="s">
        <v>821</v>
      </c>
      <c r="AE2535" s="25" t="s">
        <v>818</v>
      </c>
    </row>
    <row r="2536" spans="20:31" ht="14.4">
      <c r="T2536" s="25" t="s">
        <v>937</v>
      </c>
      <c r="U2536" s="25" t="s">
        <v>837</v>
      </c>
      <c r="V2536" t="s">
        <v>1009</v>
      </c>
      <c r="W2536" s="25" t="str">
        <f t="shared" si="58"/>
        <v>Square Cassette with Side &amp; Bottom ChannelsRevealTBS Cbus Motor</v>
      </c>
      <c r="X2536" s="25">
        <v>10</v>
      </c>
      <c r="Y2536" s="25">
        <v>14</v>
      </c>
      <c r="Z2536" s="25">
        <v>14</v>
      </c>
      <c r="AA2536" s="25">
        <v>88</v>
      </c>
      <c r="AB2536" s="25" t="s">
        <v>821</v>
      </c>
      <c r="AC2536" s="25" t="s">
        <v>818</v>
      </c>
      <c r="AD2536" s="25" t="s">
        <v>821</v>
      </c>
      <c r="AE2536" s="25" t="s">
        <v>818</v>
      </c>
    </row>
    <row r="2537" spans="20:31" ht="14.4">
      <c r="T2537" s="25" t="s">
        <v>937</v>
      </c>
      <c r="U2537" s="25" t="s">
        <v>837</v>
      </c>
      <c r="V2537" t="s">
        <v>927</v>
      </c>
      <c r="W2537" s="25" t="str">
        <f t="shared" si="58"/>
        <v>Square Cassette with Side &amp; Bottom ChannelsRevealAcmeda External Motor</v>
      </c>
      <c r="X2537" s="25">
        <v>10</v>
      </c>
      <c r="Y2537" s="25">
        <v>14</v>
      </c>
      <c r="Z2537" s="25">
        <v>14</v>
      </c>
      <c r="AA2537" s="25">
        <v>88</v>
      </c>
      <c r="AB2537" s="25" t="s">
        <v>821</v>
      </c>
      <c r="AC2537" s="25" t="s">
        <v>818</v>
      </c>
      <c r="AD2537" s="25" t="s">
        <v>821</v>
      </c>
      <c r="AE2537" s="25" t="s">
        <v>818</v>
      </c>
    </row>
    <row r="2538" spans="20:31" ht="14.4">
      <c r="T2538" s="25" t="s">
        <v>937</v>
      </c>
      <c r="U2538" s="25" t="s">
        <v>837</v>
      </c>
      <c r="V2538" t="s">
        <v>918</v>
      </c>
      <c r="W2538" s="25" t="str">
        <f t="shared" si="58"/>
        <v>Square Cassette with Side &amp; Bottom ChannelsRevealAcmeda External 12v Motor</v>
      </c>
      <c r="X2538" s="25">
        <v>10</v>
      </c>
      <c r="Y2538" s="25">
        <v>14</v>
      </c>
      <c r="Z2538" s="25">
        <v>14</v>
      </c>
      <c r="AA2538" s="25">
        <v>88</v>
      </c>
      <c r="AB2538" s="25" t="s">
        <v>821</v>
      </c>
      <c r="AC2538" s="25" t="s">
        <v>818</v>
      </c>
      <c r="AD2538" s="25" t="s">
        <v>821</v>
      </c>
      <c r="AE2538" s="25" t="s">
        <v>818</v>
      </c>
    </row>
    <row r="2539" spans="20:31" ht="14.4">
      <c r="T2539" s="25" t="s">
        <v>937</v>
      </c>
      <c r="U2539" s="25" t="s">
        <v>837</v>
      </c>
      <c r="V2539" t="s">
        <v>979</v>
      </c>
      <c r="W2539" s="25" t="str">
        <f t="shared" si="58"/>
        <v>Square Cassette with Side &amp; Bottom ChannelsRevealSomfy External CBUS Motor</v>
      </c>
      <c r="X2539" s="25">
        <v>10</v>
      </c>
      <c r="Y2539" s="25">
        <v>14</v>
      </c>
      <c r="Z2539" s="25">
        <v>14</v>
      </c>
      <c r="AA2539" s="25">
        <v>88</v>
      </c>
      <c r="AB2539" s="25" t="s">
        <v>821</v>
      </c>
      <c r="AC2539" s="25" t="s">
        <v>818</v>
      </c>
      <c r="AD2539" s="25" t="s">
        <v>821</v>
      </c>
      <c r="AE2539" s="25" t="s">
        <v>818</v>
      </c>
    </row>
    <row r="2540" spans="20:31" ht="14.4">
      <c r="T2540" s="25" t="s">
        <v>937</v>
      </c>
      <c r="U2540" s="25" t="s">
        <v>837</v>
      </c>
      <c r="V2540" t="s">
        <v>983</v>
      </c>
      <c r="W2540" s="25" t="str">
        <f t="shared" si="58"/>
        <v>Square Cassette with Side &amp; Bottom ChannelsRevealSomfy External Remote Motor</v>
      </c>
      <c r="X2540" s="25">
        <v>10</v>
      </c>
      <c r="Y2540" s="25">
        <v>14</v>
      </c>
      <c r="Z2540" s="25">
        <v>14</v>
      </c>
      <c r="AA2540" s="25">
        <v>88</v>
      </c>
      <c r="AB2540" s="25" t="s">
        <v>821</v>
      </c>
      <c r="AC2540" s="25" t="s">
        <v>818</v>
      </c>
      <c r="AD2540" s="25" t="s">
        <v>821</v>
      </c>
      <c r="AE2540" s="25" t="s">
        <v>818</v>
      </c>
    </row>
    <row r="2541" spans="20:31" ht="14.4">
      <c r="T2541" s="25" t="s">
        <v>937</v>
      </c>
      <c r="U2541" s="25" t="s">
        <v>837</v>
      </c>
      <c r="V2541" t="s">
        <v>995</v>
      </c>
      <c r="W2541" s="25" t="str">
        <f t="shared" si="58"/>
        <v>Square Cassette with Side &amp; Bottom ChannelsRevealHD Somfy External CBUS Motor</v>
      </c>
      <c r="X2541" s="25">
        <v>10</v>
      </c>
      <c r="Y2541" s="25">
        <v>14</v>
      </c>
      <c r="Z2541" s="25">
        <v>14</v>
      </c>
      <c r="AA2541" s="25">
        <v>88</v>
      </c>
      <c r="AB2541" s="25" t="s">
        <v>821</v>
      </c>
      <c r="AC2541" s="25" t="s">
        <v>818</v>
      </c>
      <c r="AD2541" s="25" t="s">
        <v>821</v>
      </c>
      <c r="AE2541" s="25" t="s">
        <v>818</v>
      </c>
    </row>
    <row r="2542" spans="20:31" ht="14.4">
      <c r="T2542" s="25" t="s">
        <v>937</v>
      </c>
      <c r="U2542" s="25" t="s">
        <v>837</v>
      </c>
      <c r="V2542" t="s">
        <v>999</v>
      </c>
      <c r="W2542" s="25" t="str">
        <f t="shared" si="58"/>
        <v>Square Cassette with Side &amp; Bottom ChannelsRevealHD Somfy External Remote Motor</v>
      </c>
      <c r="X2542" s="25">
        <v>10</v>
      </c>
      <c r="Y2542" s="25">
        <v>14</v>
      </c>
      <c r="Z2542" s="25">
        <v>14</v>
      </c>
      <c r="AA2542" s="25">
        <v>88</v>
      </c>
      <c r="AB2542" s="25" t="s">
        <v>821</v>
      </c>
      <c r="AC2542" s="25" t="s">
        <v>818</v>
      </c>
      <c r="AD2542" s="25" t="s">
        <v>821</v>
      </c>
      <c r="AE2542" s="25" t="s">
        <v>818</v>
      </c>
    </row>
    <row r="2543" spans="20:31" ht="14.4">
      <c r="T2543" s="25" t="s">
        <v>875</v>
      </c>
      <c r="U2543" s="25" t="s">
        <v>816</v>
      </c>
      <c r="V2543" s="25" t="s">
        <v>823</v>
      </c>
      <c r="W2543" s="25" t="str">
        <f t="shared" si="58"/>
        <v>Straight Bonded PelmetFaceChain Winder</v>
      </c>
      <c r="X2543" s="25">
        <v>0</v>
      </c>
      <c r="Y2543" s="25" t="s">
        <v>824</v>
      </c>
      <c r="Z2543" s="25" t="s">
        <v>824</v>
      </c>
      <c r="AA2543" s="25" t="s">
        <v>824</v>
      </c>
      <c r="AB2543" s="25" t="s">
        <v>824</v>
      </c>
      <c r="AC2543" s="25" t="s">
        <v>821</v>
      </c>
      <c r="AD2543" s="25" t="s">
        <v>824</v>
      </c>
      <c r="AE2543" s="25" t="s">
        <v>824</v>
      </c>
    </row>
    <row r="2544" spans="20:31" ht="14.4">
      <c r="T2544" s="25" t="s">
        <v>875</v>
      </c>
      <c r="U2544" s="25" t="s">
        <v>816</v>
      </c>
      <c r="V2544" s="25" t="s">
        <v>841</v>
      </c>
      <c r="W2544" s="25" t="str">
        <f t="shared" si="58"/>
        <v>Straight Bonded PelmetFaceHD Chain Winder</v>
      </c>
      <c r="X2544" s="25">
        <v>0</v>
      </c>
      <c r="Y2544" s="25" t="s">
        <v>824</v>
      </c>
      <c r="Z2544" s="25" t="s">
        <v>824</v>
      </c>
      <c r="AA2544" s="25" t="s">
        <v>824</v>
      </c>
      <c r="AB2544" s="25" t="s">
        <v>824</v>
      </c>
      <c r="AC2544" s="25" t="s">
        <v>821</v>
      </c>
      <c r="AD2544" s="25" t="s">
        <v>824</v>
      </c>
      <c r="AE2544" s="25" t="s">
        <v>824</v>
      </c>
    </row>
    <row r="2545" spans="20:31" ht="14.4">
      <c r="T2545" s="25" t="s">
        <v>875</v>
      </c>
      <c r="U2545" s="25" t="s">
        <v>816</v>
      </c>
      <c r="V2545" s="25" t="s">
        <v>858</v>
      </c>
      <c r="W2545" s="25" t="str">
        <f t="shared" si="58"/>
        <v>Straight Bonded PelmetFaceChain Winder 60mm</v>
      </c>
      <c r="X2545" s="25">
        <v>0</v>
      </c>
      <c r="Y2545" s="25" t="s">
        <v>824</v>
      </c>
      <c r="Z2545" s="25" t="s">
        <v>824</v>
      </c>
      <c r="AA2545" s="25" t="s">
        <v>824</v>
      </c>
      <c r="AB2545" s="25" t="s">
        <v>824</v>
      </c>
      <c r="AC2545" s="25" t="s">
        <v>821</v>
      </c>
      <c r="AD2545" s="25" t="s">
        <v>824</v>
      </c>
      <c r="AE2545" s="25" t="s">
        <v>824</v>
      </c>
    </row>
    <row r="2546" spans="20:31" ht="14.4">
      <c r="T2546" s="25" t="s">
        <v>875</v>
      </c>
      <c r="U2546" s="25" t="s">
        <v>816</v>
      </c>
      <c r="V2546" s="25" t="s">
        <v>865</v>
      </c>
      <c r="W2546" s="25" t="str">
        <f t="shared" si="58"/>
        <v>Straight Bonded PelmetFaceChain Winder Fixed Guide</v>
      </c>
      <c r="X2546" s="25">
        <v>0</v>
      </c>
      <c r="Y2546" s="25" t="s">
        <v>824</v>
      </c>
      <c r="Z2546" s="25" t="s">
        <v>824</v>
      </c>
      <c r="AA2546" s="25" t="s">
        <v>824</v>
      </c>
      <c r="AB2546" s="25" t="s">
        <v>824</v>
      </c>
      <c r="AC2546" s="25" t="s">
        <v>821</v>
      </c>
      <c r="AD2546" s="25" t="s">
        <v>824</v>
      </c>
      <c r="AE2546" s="25" t="s">
        <v>824</v>
      </c>
    </row>
    <row r="2547" spans="20:31" ht="14.4">
      <c r="T2547" s="25" t="s">
        <v>875</v>
      </c>
      <c r="U2547" s="25" t="s">
        <v>816</v>
      </c>
      <c r="V2547" s="25" t="s">
        <v>181</v>
      </c>
      <c r="W2547" s="25" t="str">
        <f t="shared" si="58"/>
        <v>Straight Bonded PelmetFaceLinked</v>
      </c>
      <c r="X2547" s="25">
        <v>0</v>
      </c>
      <c r="Y2547" s="25" t="s">
        <v>824</v>
      </c>
      <c r="Z2547" s="25" t="s">
        <v>824</v>
      </c>
      <c r="AA2547" s="25" t="s">
        <v>824</v>
      </c>
      <c r="AB2547" s="25" t="s">
        <v>824</v>
      </c>
      <c r="AC2547" s="25" t="s">
        <v>821</v>
      </c>
      <c r="AD2547" s="25" t="s">
        <v>824</v>
      </c>
      <c r="AE2547" s="25" t="s">
        <v>824</v>
      </c>
    </row>
    <row r="2548" spans="20:31" ht="14.4">
      <c r="T2548" s="25" t="s">
        <v>875</v>
      </c>
      <c r="U2548" s="25" t="s">
        <v>816</v>
      </c>
      <c r="V2548" s="25" t="s">
        <v>898</v>
      </c>
      <c r="W2548" s="25" t="str">
        <f t="shared" si="58"/>
        <v>Straight Bonded PelmetFaceLinked - HD</v>
      </c>
      <c r="X2548" s="25">
        <v>0</v>
      </c>
      <c r="Y2548" s="25" t="s">
        <v>824</v>
      </c>
      <c r="Z2548" s="25" t="s">
        <v>824</v>
      </c>
      <c r="AA2548" s="25" t="s">
        <v>824</v>
      </c>
      <c r="AB2548" s="25" t="s">
        <v>824</v>
      </c>
      <c r="AC2548" s="25" t="s">
        <v>821</v>
      </c>
      <c r="AD2548" s="25" t="s">
        <v>824</v>
      </c>
      <c r="AE2548" s="25" t="s">
        <v>824</v>
      </c>
    </row>
    <row r="2549" spans="20:31" ht="14.4">
      <c r="T2549" s="25" t="s">
        <v>875</v>
      </c>
      <c r="U2549" s="25" t="s">
        <v>816</v>
      </c>
      <c r="V2549" s="25" t="s">
        <v>925</v>
      </c>
      <c r="W2549" s="25" t="str">
        <f t="shared" si="58"/>
        <v>Straight Bonded PelmetFaceLinked 60mm</v>
      </c>
      <c r="X2549" s="25">
        <v>0</v>
      </c>
      <c r="Y2549" s="25" t="s">
        <v>824</v>
      </c>
      <c r="Z2549" s="25" t="s">
        <v>824</v>
      </c>
      <c r="AA2549" s="25" t="s">
        <v>824</v>
      </c>
      <c r="AB2549" s="25" t="s">
        <v>824</v>
      </c>
      <c r="AC2549" s="25" t="s">
        <v>821</v>
      </c>
      <c r="AD2549" s="25" t="s">
        <v>824</v>
      </c>
      <c r="AE2549" s="25" t="s">
        <v>824</v>
      </c>
    </row>
    <row r="2550" spans="20:31" ht="14.4">
      <c r="T2550" s="25" t="s">
        <v>875</v>
      </c>
      <c r="U2550" s="25" t="s">
        <v>816</v>
      </c>
      <c r="V2550" s="25" t="s">
        <v>910</v>
      </c>
      <c r="W2550" s="25" t="str">
        <f t="shared" si="58"/>
        <v>Straight Bonded PelmetFaceStandard Spring</v>
      </c>
      <c r="X2550" s="25">
        <v>0</v>
      </c>
      <c r="Y2550" s="25" t="s">
        <v>824</v>
      </c>
      <c r="Z2550" s="25" t="s">
        <v>824</v>
      </c>
      <c r="AA2550" s="25" t="s">
        <v>824</v>
      </c>
      <c r="AB2550" s="25" t="s">
        <v>824</v>
      </c>
      <c r="AC2550" s="25" t="s">
        <v>821</v>
      </c>
      <c r="AD2550" s="25" t="s">
        <v>824</v>
      </c>
      <c r="AE2550" s="25" t="s">
        <v>824</v>
      </c>
    </row>
    <row r="2551" spans="20:31" ht="14.4">
      <c r="T2551" s="25" t="s">
        <v>875</v>
      </c>
      <c r="U2551" s="25" t="s">
        <v>816</v>
      </c>
      <c r="V2551" s="25" t="s">
        <v>920</v>
      </c>
      <c r="W2551" s="25" t="str">
        <f t="shared" si="58"/>
        <v>Straight Bonded PelmetFaceSmall Spring</v>
      </c>
      <c r="X2551" s="25">
        <v>0</v>
      </c>
      <c r="Y2551" s="25" t="s">
        <v>824</v>
      </c>
      <c r="Z2551" s="25" t="s">
        <v>824</v>
      </c>
      <c r="AA2551" s="25" t="s">
        <v>824</v>
      </c>
      <c r="AB2551" s="25" t="s">
        <v>824</v>
      </c>
      <c r="AC2551" s="25" t="s">
        <v>821</v>
      </c>
      <c r="AD2551" s="25" t="s">
        <v>824</v>
      </c>
      <c r="AE2551" s="25" t="s">
        <v>824</v>
      </c>
    </row>
    <row r="2552" spans="20:31" ht="14.4">
      <c r="T2552" s="25" t="s">
        <v>875</v>
      </c>
      <c r="U2552" s="25" t="s">
        <v>816</v>
      </c>
      <c r="V2552" s="25" t="s">
        <v>929</v>
      </c>
      <c r="W2552" s="25" t="str">
        <f t="shared" si="58"/>
        <v>Straight Bonded PelmetFaceUniline Spring (Old Style)</v>
      </c>
      <c r="X2552" s="25">
        <v>0</v>
      </c>
      <c r="Y2552" s="25" t="s">
        <v>824</v>
      </c>
      <c r="Z2552" s="25" t="s">
        <v>824</v>
      </c>
      <c r="AA2552" s="25" t="s">
        <v>824</v>
      </c>
      <c r="AB2552" s="25" t="s">
        <v>824</v>
      </c>
      <c r="AC2552" s="25" t="s">
        <v>821</v>
      </c>
      <c r="AD2552" s="25" t="s">
        <v>824</v>
      </c>
      <c r="AE2552" s="25" t="s">
        <v>824</v>
      </c>
    </row>
    <row r="2553" spans="20:31" ht="14.4">
      <c r="T2553" s="25" t="s">
        <v>875</v>
      </c>
      <c r="U2553" s="25" t="s">
        <v>816</v>
      </c>
      <c r="V2553" s="25" t="s">
        <v>935</v>
      </c>
      <c r="W2553" s="25" t="str">
        <f t="shared" si="58"/>
        <v>Straight Bonded PelmetFaceBecker Remote Motor</v>
      </c>
      <c r="X2553" s="25">
        <v>0</v>
      </c>
      <c r="Y2553" s="25" t="s">
        <v>824</v>
      </c>
      <c r="Z2553" s="25" t="s">
        <v>824</v>
      </c>
      <c r="AA2553" s="25" t="s">
        <v>824</v>
      </c>
      <c r="AB2553" s="25" t="s">
        <v>824</v>
      </c>
      <c r="AC2553" s="25" t="s">
        <v>821</v>
      </c>
      <c r="AD2553" s="25" t="s">
        <v>824</v>
      </c>
      <c r="AE2553" s="25" t="s">
        <v>824</v>
      </c>
    </row>
    <row r="2554" spans="20:31" ht="14.4">
      <c r="T2554" s="25" t="s">
        <v>875</v>
      </c>
      <c r="U2554" s="25" t="s">
        <v>816</v>
      </c>
      <c r="V2554" s="25" t="s">
        <v>939</v>
      </c>
      <c r="W2554" s="25" t="str">
        <f t="shared" si="58"/>
        <v>Straight Bonded PelmetFaceBecker CBUS Motor</v>
      </c>
      <c r="X2554" s="25">
        <v>0</v>
      </c>
      <c r="Y2554" s="25" t="s">
        <v>824</v>
      </c>
      <c r="Z2554" s="25" t="s">
        <v>824</v>
      </c>
      <c r="AA2554" s="25" t="s">
        <v>824</v>
      </c>
      <c r="AB2554" s="25" t="s">
        <v>824</v>
      </c>
      <c r="AC2554" s="25" t="s">
        <v>821</v>
      </c>
      <c r="AD2554" s="25" t="s">
        <v>824</v>
      </c>
      <c r="AE2554" s="25" t="s">
        <v>824</v>
      </c>
    </row>
    <row r="2555" spans="20:31" ht="14.4">
      <c r="T2555" s="25" t="s">
        <v>875</v>
      </c>
      <c r="U2555" s="25" t="s">
        <v>816</v>
      </c>
      <c r="V2555" s="25" t="s">
        <v>946</v>
      </c>
      <c r="W2555" s="25" t="str">
        <f t="shared" si="58"/>
        <v>Straight Bonded PelmetFaceBecker External Remote Motor</v>
      </c>
      <c r="X2555" s="25">
        <v>0</v>
      </c>
      <c r="Y2555" s="25" t="s">
        <v>824</v>
      </c>
      <c r="Z2555" s="25" t="s">
        <v>824</v>
      </c>
      <c r="AA2555" s="25" t="s">
        <v>824</v>
      </c>
      <c r="AB2555" s="25" t="s">
        <v>824</v>
      </c>
      <c r="AC2555" s="25" t="s">
        <v>821</v>
      </c>
      <c r="AD2555" s="25" t="s">
        <v>824</v>
      </c>
      <c r="AE2555" s="25" t="s">
        <v>824</v>
      </c>
    </row>
    <row r="2556" spans="20:31" ht="14.4">
      <c r="T2556" s="25" t="s">
        <v>875</v>
      </c>
      <c r="U2556" s="25" t="s">
        <v>816</v>
      </c>
      <c r="V2556" s="25" t="s">
        <v>951</v>
      </c>
      <c r="W2556" s="25" t="str">
        <f t="shared" si="58"/>
        <v>Straight Bonded PelmetFaceBecker External CBUS Motor</v>
      </c>
      <c r="X2556" s="25">
        <v>0</v>
      </c>
      <c r="Y2556" s="25" t="s">
        <v>824</v>
      </c>
      <c r="Z2556" s="25" t="s">
        <v>824</v>
      </c>
      <c r="AA2556" s="25" t="s">
        <v>824</v>
      </c>
      <c r="AB2556" s="25" t="s">
        <v>824</v>
      </c>
      <c r="AC2556" s="25" t="s">
        <v>821</v>
      </c>
      <c r="AD2556" s="25" t="s">
        <v>824</v>
      </c>
      <c r="AE2556" s="25" t="s">
        <v>824</v>
      </c>
    </row>
    <row r="2557" spans="20:31" ht="14.4">
      <c r="T2557" s="25" t="s">
        <v>875</v>
      </c>
      <c r="U2557" s="25" t="s">
        <v>816</v>
      </c>
      <c r="V2557" s="25" t="s">
        <v>838</v>
      </c>
      <c r="W2557" s="25" t="str">
        <f t="shared" si="58"/>
        <v>Straight Bonded PelmetFace1.1nm 12v Acmeda Motor</v>
      </c>
      <c r="X2557" s="25">
        <v>0</v>
      </c>
      <c r="Y2557" s="25" t="s">
        <v>824</v>
      </c>
      <c r="Z2557" s="25" t="s">
        <v>824</v>
      </c>
      <c r="AA2557" s="25" t="s">
        <v>824</v>
      </c>
      <c r="AB2557" s="25" t="s">
        <v>824</v>
      </c>
      <c r="AC2557" s="25" t="s">
        <v>821</v>
      </c>
      <c r="AD2557" s="25" t="s">
        <v>824</v>
      </c>
      <c r="AE2557" s="25" t="s">
        <v>824</v>
      </c>
    </row>
    <row r="2558" spans="20:31" ht="14.4">
      <c r="T2558" s="25" t="s">
        <v>875</v>
      </c>
      <c r="U2558" s="25" t="s">
        <v>816</v>
      </c>
      <c r="V2558" t="s">
        <v>882</v>
      </c>
      <c r="W2558" s="25" t="str">
        <f t="shared" si="58"/>
        <v>Straight Bonded PelmetFace2nm 12v Acmeda Motor</v>
      </c>
      <c r="X2558" s="25">
        <v>0</v>
      </c>
      <c r="Y2558" s="25" t="s">
        <v>824</v>
      </c>
      <c r="Z2558" s="25" t="s">
        <v>824</v>
      </c>
      <c r="AA2558" s="25" t="s">
        <v>824</v>
      </c>
      <c r="AB2558" s="25" t="s">
        <v>824</v>
      </c>
      <c r="AC2558" s="25" t="s">
        <v>821</v>
      </c>
      <c r="AD2558" s="25" t="s">
        <v>824</v>
      </c>
      <c r="AE2558" s="25" t="s">
        <v>824</v>
      </c>
    </row>
    <row r="2559" spans="20:31" ht="14.4">
      <c r="T2559" s="25" t="s">
        <v>875</v>
      </c>
      <c r="U2559" s="25" t="s">
        <v>816</v>
      </c>
      <c r="V2559" t="s">
        <v>896</v>
      </c>
      <c r="W2559" s="25" t="str">
        <f t="shared" si="58"/>
        <v>Straight Bonded PelmetFaceAcmeda 12v 6nm Motor</v>
      </c>
      <c r="X2559" s="25">
        <v>0</v>
      </c>
      <c r="Y2559" s="25" t="s">
        <v>824</v>
      </c>
      <c r="Z2559" s="25" t="s">
        <v>824</v>
      </c>
      <c r="AA2559" s="25" t="s">
        <v>824</v>
      </c>
      <c r="AB2559" s="25" t="s">
        <v>824</v>
      </c>
      <c r="AC2559" s="25" t="s">
        <v>821</v>
      </c>
      <c r="AD2559" s="25" t="s">
        <v>824</v>
      </c>
      <c r="AE2559" s="25" t="s">
        <v>824</v>
      </c>
    </row>
    <row r="2560" spans="20:31" ht="14.4">
      <c r="T2560" s="25" t="s">
        <v>875</v>
      </c>
      <c r="U2560" s="25" t="s">
        <v>816</v>
      </c>
      <c r="V2560" t="s">
        <v>855</v>
      </c>
      <c r="W2560" s="25" t="str">
        <f t="shared" si="58"/>
        <v>Straight Bonded PelmetFace0.7nm 12v Acmeda Motor</v>
      </c>
      <c r="X2560" s="25">
        <v>0</v>
      </c>
      <c r="Y2560" s="25" t="s">
        <v>824</v>
      </c>
      <c r="Z2560" s="25" t="s">
        <v>824</v>
      </c>
      <c r="AA2560" s="25" t="s">
        <v>824</v>
      </c>
      <c r="AB2560" s="25" t="s">
        <v>824</v>
      </c>
      <c r="AC2560" s="25" t="s">
        <v>821</v>
      </c>
      <c r="AD2560" s="25" t="s">
        <v>824</v>
      </c>
      <c r="AE2560" s="25" t="s">
        <v>824</v>
      </c>
    </row>
    <row r="2561" spans="20:31" ht="14.4">
      <c r="T2561" s="25" t="s">
        <v>875</v>
      </c>
      <c r="U2561" s="25" t="s">
        <v>816</v>
      </c>
      <c r="V2561" s="25" t="s">
        <v>849</v>
      </c>
      <c r="W2561" s="25" t="str">
        <f t="shared" si="58"/>
        <v>Straight Bonded PelmetFace1.1nm 12v Acmeda DCRF Motor with External Battery</v>
      </c>
      <c r="X2561" s="25">
        <v>0</v>
      </c>
      <c r="Y2561" s="25" t="s">
        <v>824</v>
      </c>
      <c r="Z2561" s="25" t="s">
        <v>824</v>
      </c>
      <c r="AA2561" s="25" t="s">
        <v>824</v>
      </c>
      <c r="AB2561" s="25" t="s">
        <v>824</v>
      </c>
      <c r="AC2561" s="25" t="s">
        <v>821</v>
      </c>
      <c r="AD2561" s="25" t="s">
        <v>824</v>
      </c>
      <c r="AE2561" s="25" t="s">
        <v>824</v>
      </c>
    </row>
    <row r="2562" spans="20:31" ht="14.4">
      <c r="T2562" s="25" t="s">
        <v>875</v>
      </c>
      <c r="U2562" s="25" t="s">
        <v>816</v>
      </c>
      <c r="V2562" s="25" t="s">
        <v>817</v>
      </c>
      <c r="W2562" s="25" t="str">
        <f t="shared" si="58"/>
        <v>Straight Bonded PelmetFace1.1nm 12v Acmeda DCRF Motor</v>
      </c>
      <c r="X2562" s="25">
        <v>0</v>
      </c>
      <c r="Y2562" s="25" t="s">
        <v>824</v>
      </c>
      <c r="Z2562" s="25" t="s">
        <v>824</v>
      </c>
      <c r="AA2562" s="25" t="s">
        <v>824</v>
      </c>
      <c r="AB2562" s="25" t="s">
        <v>824</v>
      </c>
      <c r="AC2562" s="25" t="s">
        <v>821</v>
      </c>
      <c r="AD2562" s="25" t="s">
        <v>824</v>
      </c>
      <c r="AE2562" s="25" t="s">
        <v>824</v>
      </c>
    </row>
    <row r="2563" spans="20:31" ht="14.4">
      <c r="T2563" s="25" t="s">
        <v>875</v>
      </c>
      <c r="U2563" s="25" t="s">
        <v>816</v>
      </c>
      <c r="V2563" s="25" t="s">
        <v>868</v>
      </c>
      <c r="W2563" s="25" t="str">
        <f t="shared" si="59" ref="W2563:W2626">CONCATENATE(T2563,U2563,V2563)</f>
        <v>Straight Bonded PelmetFace2nm 12v Acmeda DCRF Motor</v>
      </c>
      <c r="X2563" s="25">
        <v>0</v>
      </c>
      <c r="Y2563" s="25" t="s">
        <v>824</v>
      </c>
      <c r="Z2563" s="25" t="s">
        <v>824</v>
      </c>
      <c r="AA2563" s="25" t="s">
        <v>824</v>
      </c>
      <c r="AB2563" s="25" t="s">
        <v>824</v>
      </c>
      <c r="AC2563" s="25" t="s">
        <v>821</v>
      </c>
      <c r="AD2563" s="25" t="s">
        <v>824</v>
      </c>
      <c r="AE2563" s="25" t="s">
        <v>824</v>
      </c>
    </row>
    <row r="2564" spans="20:31" ht="14.4">
      <c r="T2564" s="25" t="s">
        <v>875</v>
      </c>
      <c r="U2564" s="25" t="s">
        <v>816</v>
      </c>
      <c r="V2564" t="s">
        <v>973</v>
      </c>
      <c r="W2564" s="25" t="str">
        <f t="shared" si="59"/>
        <v>Straight Bonded PelmetFaceSomfy Remote Sonesse Motor</v>
      </c>
      <c r="X2564" s="25">
        <v>0</v>
      </c>
      <c r="Y2564" s="25" t="s">
        <v>824</v>
      </c>
      <c r="Z2564" s="25" t="s">
        <v>824</v>
      </c>
      <c r="AA2564" s="25" t="s">
        <v>824</v>
      </c>
      <c r="AB2564" s="25" t="s">
        <v>824</v>
      </c>
      <c r="AC2564" s="25" t="s">
        <v>821</v>
      </c>
      <c r="AD2564" s="25" t="s">
        <v>824</v>
      </c>
      <c r="AE2564" s="25" t="s">
        <v>824</v>
      </c>
    </row>
    <row r="2565" spans="20:31" ht="14.4">
      <c r="T2565" s="25" t="s">
        <v>875</v>
      </c>
      <c r="U2565" s="25" t="s">
        <v>816</v>
      </c>
      <c r="V2565" t="s">
        <v>637</v>
      </c>
      <c r="W2565" s="25" t="str">
        <f t="shared" si="59"/>
        <v>Straight Bonded PelmetFaceSomfy 12v Remote Sonesse Motor</v>
      </c>
      <c r="X2565" s="25">
        <v>0</v>
      </c>
      <c r="Y2565" s="25" t="s">
        <v>824</v>
      </c>
      <c r="Z2565" s="25" t="s">
        <v>824</v>
      </c>
      <c r="AA2565" s="25" t="s">
        <v>824</v>
      </c>
      <c r="AB2565" s="25" t="s">
        <v>824</v>
      </c>
      <c r="AC2565" s="25" t="s">
        <v>821</v>
      </c>
      <c r="AD2565" s="25" t="s">
        <v>824</v>
      </c>
      <c r="AE2565" s="25" t="s">
        <v>824</v>
      </c>
    </row>
    <row r="2566" spans="20:31" ht="14.4">
      <c r="T2566" s="25" t="s">
        <v>875</v>
      </c>
      <c r="U2566" s="25" t="s">
        <v>816</v>
      </c>
      <c r="V2566" s="25" t="s">
        <v>974</v>
      </c>
      <c r="W2566" s="25" t="str">
        <f t="shared" si="59"/>
        <v>Straight Bonded PelmetFaceSomfy CBUS Motor</v>
      </c>
      <c r="X2566" s="25">
        <v>0</v>
      </c>
      <c r="Y2566" s="25" t="s">
        <v>824</v>
      </c>
      <c r="Z2566" s="25" t="s">
        <v>824</v>
      </c>
      <c r="AA2566" s="25" t="s">
        <v>824</v>
      </c>
      <c r="AB2566" s="25" t="s">
        <v>824</v>
      </c>
      <c r="AC2566" s="25" t="s">
        <v>821</v>
      </c>
      <c r="AD2566" s="25" t="s">
        <v>824</v>
      </c>
      <c r="AE2566" s="25" t="s">
        <v>824</v>
      </c>
    </row>
    <row r="2567" spans="20:31" ht="14.4">
      <c r="T2567" s="25" t="s">
        <v>875</v>
      </c>
      <c r="U2567" s="25" t="s">
        <v>816</v>
      </c>
      <c r="V2567" t="s">
        <v>986</v>
      </c>
      <c r="W2567" s="25" t="str">
        <f t="shared" si="59"/>
        <v>Straight Bonded PelmetFaceHD Somfy Remote Sonesse Motor</v>
      </c>
      <c r="X2567" s="25">
        <v>0</v>
      </c>
      <c r="Y2567" s="25" t="s">
        <v>824</v>
      </c>
      <c r="Z2567" s="25" t="s">
        <v>824</v>
      </c>
      <c r="AA2567" s="25" t="s">
        <v>824</v>
      </c>
      <c r="AB2567" s="25" t="s">
        <v>824</v>
      </c>
      <c r="AC2567" s="25" t="s">
        <v>821</v>
      </c>
      <c r="AD2567" s="25" t="s">
        <v>824</v>
      </c>
      <c r="AE2567" s="25" t="s">
        <v>824</v>
      </c>
    </row>
    <row r="2568" spans="20:31" ht="14.4">
      <c r="T2568" s="25" t="s">
        <v>875</v>
      </c>
      <c r="U2568" s="25" t="s">
        <v>816</v>
      </c>
      <c r="V2568" t="s">
        <v>989</v>
      </c>
      <c r="W2568" s="25" t="str">
        <f t="shared" si="59"/>
        <v>Straight Bonded PelmetFaceHD Somfy 12v Remote Sonesse Motor</v>
      </c>
      <c r="X2568" s="25">
        <v>0</v>
      </c>
      <c r="Y2568" s="25" t="s">
        <v>824</v>
      </c>
      <c r="Z2568" s="25" t="s">
        <v>824</v>
      </c>
      <c r="AA2568" s="25" t="s">
        <v>824</v>
      </c>
      <c r="AB2568" s="25" t="s">
        <v>824</v>
      </c>
      <c r="AC2568" s="25" t="s">
        <v>821</v>
      </c>
      <c r="AD2568" s="25" t="s">
        <v>824</v>
      </c>
      <c r="AE2568" s="25" t="s">
        <v>824</v>
      </c>
    </row>
    <row r="2569" spans="20:31" ht="14.4">
      <c r="T2569" s="25" t="s">
        <v>875</v>
      </c>
      <c r="U2569" s="25" t="s">
        <v>816</v>
      </c>
      <c r="V2569" s="25" t="s">
        <v>992</v>
      </c>
      <c r="W2569" s="25" t="str">
        <f t="shared" si="59"/>
        <v>Straight Bonded PelmetFaceHD Somfy CBUS Motor</v>
      </c>
      <c r="X2569" s="25">
        <v>0</v>
      </c>
      <c r="Y2569" s="25" t="s">
        <v>824</v>
      </c>
      <c r="Z2569" s="25" t="s">
        <v>824</v>
      </c>
      <c r="AA2569" s="25" t="s">
        <v>824</v>
      </c>
      <c r="AB2569" s="25" t="s">
        <v>824</v>
      </c>
      <c r="AC2569" s="25" t="s">
        <v>821</v>
      </c>
      <c r="AD2569" s="25" t="s">
        <v>824</v>
      </c>
      <c r="AE2569" s="25" t="s">
        <v>824</v>
      </c>
    </row>
    <row r="2570" spans="20:31" ht="14.4">
      <c r="T2570" s="25" t="s">
        <v>875</v>
      </c>
      <c r="U2570" s="25" t="s">
        <v>816</v>
      </c>
      <c r="V2570" s="25" t="s">
        <v>625</v>
      </c>
      <c r="W2570" s="25" t="str">
        <f t="shared" si="59"/>
        <v>Straight Bonded PelmetFaceAcmeda E6 Motor</v>
      </c>
      <c r="X2570" s="25">
        <v>0</v>
      </c>
      <c r="Y2570" s="25" t="s">
        <v>824</v>
      </c>
      <c r="Z2570" s="25" t="s">
        <v>824</v>
      </c>
      <c r="AA2570" s="25" t="s">
        <v>824</v>
      </c>
      <c r="AB2570" s="25" t="s">
        <v>824</v>
      </c>
      <c r="AC2570" s="25" t="s">
        <v>821</v>
      </c>
      <c r="AD2570" s="25" t="s">
        <v>824</v>
      </c>
      <c r="AE2570" s="25" t="s">
        <v>824</v>
      </c>
    </row>
    <row r="2571" spans="20:31" ht="14.4">
      <c r="T2571" s="25" t="s">
        <v>875</v>
      </c>
      <c r="U2571" s="25" t="s">
        <v>816</v>
      </c>
      <c r="V2571" s="25" t="s">
        <v>626</v>
      </c>
      <c r="W2571" s="25" t="str">
        <f t="shared" si="59"/>
        <v>Straight Bonded PelmetFaceAcmeda M6 Motor</v>
      </c>
      <c r="X2571" s="25">
        <v>0</v>
      </c>
      <c r="Y2571" s="25" t="s">
        <v>824</v>
      </c>
      <c r="Z2571" s="25" t="s">
        <v>824</v>
      </c>
      <c r="AA2571" s="25" t="s">
        <v>824</v>
      </c>
      <c r="AB2571" s="25" t="s">
        <v>824</v>
      </c>
      <c r="AC2571" s="25" t="s">
        <v>821</v>
      </c>
      <c r="AD2571" s="25" t="s">
        <v>824</v>
      </c>
      <c r="AE2571" s="25" t="s">
        <v>824</v>
      </c>
    </row>
    <row r="2572" spans="20:31" ht="14.4">
      <c r="T2572" s="25" t="s">
        <v>875</v>
      </c>
      <c r="U2572" s="25" t="s">
        <v>816</v>
      </c>
      <c r="V2572" s="25" t="s">
        <v>1002</v>
      </c>
      <c r="W2572" s="25" t="str">
        <f t="shared" si="59"/>
        <v>Straight Bonded PelmetFaceUniline Remote Motor</v>
      </c>
      <c r="X2572" s="25">
        <v>0</v>
      </c>
      <c r="Y2572" s="25" t="s">
        <v>824</v>
      </c>
      <c r="Z2572" s="25" t="s">
        <v>824</v>
      </c>
      <c r="AA2572" s="25" t="s">
        <v>824</v>
      </c>
      <c r="AB2572" s="25" t="s">
        <v>824</v>
      </c>
      <c r="AC2572" s="25" t="s">
        <v>821</v>
      </c>
      <c r="AD2572" s="25" t="s">
        <v>824</v>
      </c>
      <c r="AE2572" s="25" t="s">
        <v>824</v>
      </c>
    </row>
    <row r="2573" spans="20:31" ht="14.4">
      <c r="T2573" s="25" t="s">
        <v>875</v>
      </c>
      <c r="U2573" s="25" t="s">
        <v>816</v>
      </c>
      <c r="V2573" s="25" t="s">
        <v>1005</v>
      </c>
      <c r="W2573" s="25" t="str">
        <f t="shared" si="59"/>
        <v>Straight Bonded PelmetFaceUniline Cbus Motor</v>
      </c>
      <c r="X2573" s="25">
        <v>0</v>
      </c>
      <c r="Y2573" s="25" t="s">
        <v>824</v>
      </c>
      <c r="Z2573" s="25" t="s">
        <v>824</v>
      </c>
      <c r="AA2573" s="25" t="s">
        <v>824</v>
      </c>
      <c r="AB2573" s="25" t="s">
        <v>824</v>
      </c>
      <c r="AC2573" s="25" t="s">
        <v>821</v>
      </c>
      <c r="AD2573" s="25" t="s">
        <v>824</v>
      </c>
      <c r="AE2573" s="25" t="s">
        <v>824</v>
      </c>
    </row>
    <row r="2574" spans="20:31" ht="14.4">
      <c r="T2574" s="25" t="s">
        <v>875</v>
      </c>
      <c r="U2574" s="25" t="s">
        <v>816</v>
      </c>
      <c r="V2574" s="25" t="s">
        <v>981</v>
      </c>
      <c r="W2574" s="25" t="str">
        <f t="shared" si="59"/>
        <v>Straight Bonded PelmetFaceNice Remote Motor</v>
      </c>
      <c r="X2574" s="25">
        <v>0</v>
      </c>
      <c r="Y2574" s="25" t="s">
        <v>824</v>
      </c>
      <c r="Z2574" s="25" t="s">
        <v>824</v>
      </c>
      <c r="AA2574" s="25" t="s">
        <v>824</v>
      </c>
      <c r="AB2574" s="25" t="s">
        <v>824</v>
      </c>
      <c r="AC2574" s="25" t="s">
        <v>821</v>
      </c>
      <c r="AD2574" s="25" t="s">
        <v>824</v>
      </c>
      <c r="AE2574" s="25" t="s">
        <v>824</v>
      </c>
    </row>
    <row r="2575" spans="20:31" ht="14.4">
      <c r="T2575" s="25" t="s">
        <v>875</v>
      </c>
      <c r="U2575" s="25" t="s">
        <v>816</v>
      </c>
      <c r="V2575" s="25" t="s">
        <v>976</v>
      </c>
      <c r="W2575" s="25" t="str">
        <f t="shared" si="59"/>
        <v>Straight Bonded PelmetFaceNice CBus Motor</v>
      </c>
      <c r="X2575" s="25">
        <v>0</v>
      </c>
      <c r="Y2575" s="25" t="s">
        <v>824</v>
      </c>
      <c r="Z2575" s="25" t="s">
        <v>824</v>
      </c>
      <c r="AA2575" s="25" t="s">
        <v>824</v>
      </c>
      <c r="AB2575" s="25" t="s">
        <v>824</v>
      </c>
      <c r="AC2575" s="25" t="s">
        <v>821</v>
      </c>
      <c r="AD2575" s="25" t="s">
        <v>824</v>
      </c>
      <c r="AE2575" s="25" t="s">
        <v>824</v>
      </c>
    </row>
    <row r="2576" spans="20:31" ht="14.4">
      <c r="T2576" s="25" t="s">
        <v>875</v>
      </c>
      <c r="U2576" s="25" t="s">
        <v>816</v>
      </c>
      <c r="V2576" t="s">
        <v>1006</v>
      </c>
      <c r="W2576" s="25" t="str">
        <f t="shared" si="59"/>
        <v>Straight Bonded PelmetFaceSunboss Chain Winder 38mm Tube</v>
      </c>
      <c r="X2576" s="25">
        <v>0</v>
      </c>
      <c r="Y2576" s="25" t="s">
        <v>824</v>
      </c>
      <c r="Z2576" s="25" t="s">
        <v>824</v>
      </c>
      <c r="AA2576" s="25" t="s">
        <v>824</v>
      </c>
      <c r="AB2576" s="25" t="s">
        <v>824</v>
      </c>
      <c r="AC2576" s="25" t="s">
        <v>821</v>
      </c>
      <c r="AD2576" s="25" t="s">
        <v>824</v>
      </c>
      <c r="AE2576" s="25" t="s">
        <v>824</v>
      </c>
    </row>
    <row r="2577" spans="20:31" ht="14.4">
      <c r="T2577" s="25" t="s">
        <v>875</v>
      </c>
      <c r="U2577" s="25" t="s">
        <v>816</v>
      </c>
      <c r="V2577" t="s">
        <v>1017</v>
      </c>
      <c r="W2577" s="25" t="str">
        <f t="shared" si="59"/>
        <v>Straight Bonded PelmetFaceSunboss Chain Winder 43mm Tube</v>
      </c>
      <c r="X2577" s="25">
        <v>0</v>
      </c>
      <c r="Y2577" s="25" t="s">
        <v>824</v>
      </c>
      <c r="Z2577" s="25" t="s">
        <v>824</v>
      </c>
      <c r="AA2577" s="25" t="s">
        <v>824</v>
      </c>
      <c r="AB2577" s="25" t="s">
        <v>824</v>
      </c>
      <c r="AC2577" s="25" t="s">
        <v>821</v>
      </c>
      <c r="AD2577" s="25" t="s">
        <v>824</v>
      </c>
      <c r="AE2577" s="25" t="s">
        <v>824</v>
      </c>
    </row>
    <row r="2578" spans="20:31" ht="14.4">
      <c r="T2578" s="25" t="s">
        <v>875</v>
      </c>
      <c r="U2578" s="25" t="s">
        <v>816</v>
      </c>
      <c r="V2578" s="25" t="s">
        <v>1012</v>
      </c>
      <c r="W2578" s="25" t="str">
        <f t="shared" si="59"/>
        <v>Straight Bonded PelmetFaceTBS Remote Motor</v>
      </c>
      <c r="X2578" s="25">
        <v>0</v>
      </c>
      <c r="Y2578" s="25" t="s">
        <v>824</v>
      </c>
      <c r="Z2578" s="25" t="s">
        <v>824</v>
      </c>
      <c r="AA2578" s="25" t="s">
        <v>824</v>
      </c>
      <c r="AB2578" s="25" t="s">
        <v>824</v>
      </c>
      <c r="AC2578" s="25" t="s">
        <v>821</v>
      </c>
      <c r="AD2578" s="25" t="s">
        <v>824</v>
      </c>
      <c r="AE2578" s="25" t="s">
        <v>824</v>
      </c>
    </row>
    <row r="2579" spans="20:31" ht="14.4">
      <c r="T2579" s="25" t="s">
        <v>875</v>
      </c>
      <c r="U2579" s="25" t="s">
        <v>816</v>
      </c>
      <c r="V2579" t="s">
        <v>1009</v>
      </c>
      <c r="W2579" s="25" t="str">
        <f t="shared" si="59"/>
        <v>Straight Bonded PelmetFaceTBS Cbus Motor</v>
      </c>
      <c r="X2579" s="25">
        <v>0</v>
      </c>
      <c r="Y2579" s="25" t="s">
        <v>824</v>
      </c>
      <c r="Z2579" s="25" t="s">
        <v>824</v>
      </c>
      <c r="AA2579" s="25" t="s">
        <v>824</v>
      </c>
      <c r="AB2579" s="25" t="s">
        <v>824</v>
      </c>
      <c r="AC2579" s="25" t="s">
        <v>821</v>
      </c>
      <c r="AD2579" s="25" t="s">
        <v>824</v>
      </c>
      <c r="AE2579" s="25" t="s">
        <v>824</v>
      </c>
    </row>
    <row r="2580" spans="20:31" ht="14.4">
      <c r="T2580" s="25" t="s">
        <v>875</v>
      </c>
      <c r="U2580" s="25" t="s">
        <v>816</v>
      </c>
      <c r="V2580" t="s">
        <v>927</v>
      </c>
      <c r="W2580" s="25" t="str">
        <f t="shared" si="59"/>
        <v>Straight Bonded PelmetFaceAcmeda External Motor</v>
      </c>
      <c r="X2580" s="25">
        <v>0</v>
      </c>
      <c r="Y2580" s="25" t="s">
        <v>824</v>
      </c>
      <c r="Z2580" s="25" t="s">
        <v>824</v>
      </c>
      <c r="AA2580" s="25" t="s">
        <v>824</v>
      </c>
      <c r="AB2580" s="25" t="s">
        <v>824</v>
      </c>
      <c r="AC2580" s="25" t="s">
        <v>821</v>
      </c>
      <c r="AD2580" s="25" t="s">
        <v>824</v>
      </c>
      <c r="AE2580" s="25" t="s">
        <v>824</v>
      </c>
    </row>
    <row r="2581" spans="20:31" ht="14.4">
      <c r="T2581" s="25" t="s">
        <v>875</v>
      </c>
      <c r="U2581" s="25" t="s">
        <v>816</v>
      </c>
      <c r="V2581" t="s">
        <v>918</v>
      </c>
      <c r="W2581" s="25" t="str">
        <f t="shared" si="59"/>
        <v>Straight Bonded PelmetFaceAcmeda External 12v Motor</v>
      </c>
      <c r="X2581" s="25">
        <v>0</v>
      </c>
      <c r="Y2581" s="25" t="s">
        <v>824</v>
      </c>
      <c r="Z2581" s="25" t="s">
        <v>824</v>
      </c>
      <c r="AA2581" s="25" t="s">
        <v>824</v>
      </c>
      <c r="AB2581" s="25" t="s">
        <v>824</v>
      </c>
      <c r="AC2581" s="25" t="s">
        <v>821</v>
      </c>
      <c r="AD2581" s="25" t="s">
        <v>824</v>
      </c>
      <c r="AE2581" s="25" t="s">
        <v>824</v>
      </c>
    </row>
    <row r="2582" spans="20:31" ht="14.4">
      <c r="T2582" s="25" t="s">
        <v>875</v>
      </c>
      <c r="U2582" s="25" t="s">
        <v>816</v>
      </c>
      <c r="V2582" t="s">
        <v>979</v>
      </c>
      <c r="W2582" s="25" t="str">
        <f t="shared" si="59"/>
        <v>Straight Bonded PelmetFaceSomfy External CBUS Motor</v>
      </c>
      <c r="X2582" s="25">
        <v>0</v>
      </c>
      <c r="Y2582" s="25" t="s">
        <v>824</v>
      </c>
      <c r="Z2582" s="25" t="s">
        <v>824</v>
      </c>
      <c r="AA2582" s="25" t="s">
        <v>824</v>
      </c>
      <c r="AB2582" s="25" t="s">
        <v>824</v>
      </c>
      <c r="AC2582" s="25" t="s">
        <v>821</v>
      </c>
      <c r="AD2582" s="25" t="s">
        <v>824</v>
      </c>
      <c r="AE2582" s="25" t="s">
        <v>824</v>
      </c>
    </row>
    <row r="2583" spans="20:31" ht="14.4">
      <c r="T2583" s="25" t="s">
        <v>875</v>
      </c>
      <c r="U2583" s="25" t="s">
        <v>816</v>
      </c>
      <c r="V2583" t="s">
        <v>983</v>
      </c>
      <c r="W2583" s="25" t="str">
        <f t="shared" si="59"/>
        <v>Straight Bonded PelmetFaceSomfy External Remote Motor</v>
      </c>
      <c r="X2583" s="25">
        <v>0</v>
      </c>
      <c r="Y2583" s="25" t="s">
        <v>824</v>
      </c>
      <c r="Z2583" s="25" t="s">
        <v>824</v>
      </c>
      <c r="AA2583" s="25" t="s">
        <v>824</v>
      </c>
      <c r="AB2583" s="25" t="s">
        <v>824</v>
      </c>
      <c r="AC2583" s="25" t="s">
        <v>821</v>
      </c>
      <c r="AD2583" s="25" t="s">
        <v>824</v>
      </c>
      <c r="AE2583" s="25" t="s">
        <v>824</v>
      </c>
    </row>
    <row r="2584" spans="20:31" ht="14.4">
      <c r="T2584" s="25" t="s">
        <v>875</v>
      </c>
      <c r="U2584" s="25" t="s">
        <v>816</v>
      </c>
      <c r="V2584" t="s">
        <v>995</v>
      </c>
      <c r="W2584" s="25" t="str">
        <f t="shared" si="59"/>
        <v>Straight Bonded PelmetFaceHD Somfy External CBUS Motor</v>
      </c>
      <c r="X2584" s="25">
        <v>0</v>
      </c>
      <c r="Y2584" s="25" t="s">
        <v>824</v>
      </c>
      <c r="Z2584" s="25" t="s">
        <v>824</v>
      </c>
      <c r="AA2584" s="25" t="s">
        <v>824</v>
      </c>
      <c r="AB2584" s="25" t="s">
        <v>824</v>
      </c>
      <c r="AC2584" s="25" t="s">
        <v>821</v>
      </c>
      <c r="AD2584" s="25" t="s">
        <v>824</v>
      </c>
      <c r="AE2584" s="25" t="s">
        <v>824</v>
      </c>
    </row>
    <row r="2585" spans="20:31" ht="14.4">
      <c r="T2585" s="25" t="s">
        <v>875</v>
      </c>
      <c r="U2585" s="25" t="s">
        <v>816</v>
      </c>
      <c r="V2585" t="s">
        <v>999</v>
      </c>
      <c r="W2585" s="25" t="str">
        <f t="shared" si="59"/>
        <v>Straight Bonded PelmetFaceHD Somfy External Remote Motor</v>
      </c>
      <c r="X2585" s="25">
        <v>0</v>
      </c>
      <c r="Y2585" s="25" t="s">
        <v>824</v>
      </c>
      <c r="Z2585" s="25" t="s">
        <v>824</v>
      </c>
      <c r="AA2585" s="25" t="s">
        <v>824</v>
      </c>
      <c r="AB2585" s="25" t="s">
        <v>824</v>
      </c>
      <c r="AC2585" s="25" t="s">
        <v>821</v>
      </c>
      <c r="AD2585" s="25" t="s">
        <v>824</v>
      </c>
      <c r="AE2585" s="25" t="s">
        <v>824</v>
      </c>
    </row>
    <row r="2586" spans="20:31" ht="14.4">
      <c r="T2586" s="25" t="s">
        <v>875</v>
      </c>
      <c r="U2586" s="25" t="s">
        <v>854</v>
      </c>
      <c r="V2586" s="25" t="s">
        <v>823</v>
      </c>
      <c r="W2586" s="25" t="str">
        <f t="shared" si="59"/>
        <v>Straight Bonded PelmetTop FixChain Winder</v>
      </c>
      <c r="X2586" s="25">
        <v>0</v>
      </c>
      <c r="Y2586" s="25" t="s">
        <v>824</v>
      </c>
      <c r="Z2586" s="25" t="s">
        <v>824</v>
      </c>
      <c r="AA2586" s="25" t="s">
        <v>824</v>
      </c>
      <c r="AB2586" s="25" t="s">
        <v>824</v>
      </c>
      <c r="AC2586" s="25" t="s">
        <v>821</v>
      </c>
      <c r="AD2586" s="25" t="s">
        <v>824</v>
      </c>
      <c r="AE2586" s="25" t="s">
        <v>824</v>
      </c>
    </row>
    <row r="2587" spans="20:31" ht="14.4">
      <c r="T2587" s="25" t="s">
        <v>875</v>
      </c>
      <c r="U2587" s="25" t="s">
        <v>854</v>
      </c>
      <c r="V2587" s="25" t="s">
        <v>841</v>
      </c>
      <c r="W2587" s="25" t="str">
        <f t="shared" si="59"/>
        <v>Straight Bonded PelmetTop FixHD Chain Winder</v>
      </c>
      <c r="X2587" s="25">
        <v>0</v>
      </c>
      <c r="Y2587" s="25" t="s">
        <v>824</v>
      </c>
      <c r="Z2587" s="25" t="s">
        <v>824</v>
      </c>
      <c r="AA2587" s="25" t="s">
        <v>824</v>
      </c>
      <c r="AB2587" s="25" t="s">
        <v>824</v>
      </c>
      <c r="AC2587" s="25" t="s">
        <v>821</v>
      </c>
      <c r="AD2587" s="25" t="s">
        <v>824</v>
      </c>
      <c r="AE2587" s="25" t="s">
        <v>824</v>
      </c>
    </row>
    <row r="2588" spans="20:31" ht="14.4">
      <c r="T2588" s="25" t="s">
        <v>875</v>
      </c>
      <c r="U2588" s="25" t="s">
        <v>854</v>
      </c>
      <c r="V2588" s="25" t="s">
        <v>858</v>
      </c>
      <c r="W2588" s="25" t="str">
        <f t="shared" si="59"/>
        <v>Straight Bonded PelmetTop FixChain Winder 60mm</v>
      </c>
      <c r="X2588" s="25">
        <v>0</v>
      </c>
      <c r="Y2588" s="25" t="s">
        <v>824</v>
      </c>
      <c r="Z2588" s="25" t="s">
        <v>824</v>
      </c>
      <c r="AA2588" s="25" t="s">
        <v>824</v>
      </c>
      <c r="AB2588" s="25" t="s">
        <v>824</v>
      </c>
      <c r="AC2588" s="25" t="s">
        <v>821</v>
      </c>
      <c r="AD2588" s="25" t="s">
        <v>824</v>
      </c>
      <c r="AE2588" s="25" t="s">
        <v>824</v>
      </c>
    </row>
    <row r="2589" spans="20:31" ht="14.4">
      <c r="T2589" s="25" t="s">
        <v>875</v>
      </c>
      <c r="U2589" s="25" t="s">
        <v>854</v>
      </c>
      <c r="V2589" s="25" t="s">
        <v>865</v>
      </c>
      <c r="W2589" s="25" t="str">
        <f t="shared" si="59"/>
        <v>Straight Bonded PelmetTop FixChain Winder Fixed Guide</v>
      </c>
      <c r="X2589" s="25">
        <v>0</v>
      </c>
      <c r="Y2589" s="25" t="s">
        <v>824</v>
      </c>
      <c r="Z2589" s="25" t="s">
        <v>824</v>
      </c>
      <c r="AA2589" s="25" t="s">
        <v>824</v>
      </c>
      <c r="AB2589" s="25" t="s">
        <v>824</v>
      </c>
      <c r="AC2589" s="25" t="s">
        <v>821</v>
      </c>
      <c r="AD2589" s="25" t="s">
        <v>824</v>
      </c>
      <c r="AE2589" s="25" t="s">
        <v>824</v>
      </c>
    </row>
    <row r="2590" spans="20:31" ht="14.4">
      <c r="T2590" s="25" t="s">
        <v>875</v>
      </c>
      <c r="U2590" s="25" t="s">
        <v>854</v>
      </c>
      <c r="V2590" s="25" t="s">
        <v>181</v>
      </c>
      <c r="W2590" s="25" t="str">
        <f t="shared" si="59"/>
        <v>Straight Bonded PelmetTop FixLinked</v>
      </c>
      <c r="X2590" s="25">
        <v>0</v>
      </c>
      <c r="Y2590" s="25" t="s">
        <v>824</v>
      </c>
      <c r="Z2590" s="25" t="s">
        <v>824</v>
      </c>
      <c r="AA2590" s="25" t="s">
        <v>824</v>
      </c>
      <c r="AB2590" s="25" t="s">
        <v>824</v>
      </c>
      <c r="AC2590" s="25" t="s">
        <v>821</v>
      </c>
      <c r="AD2590" s="25" t="s">
        <v>824</v>
      </c>
      <c r="AE2590" s="25" t="s">
        <v>824</v>
      </c>
    </row>
    <row r="2591" spans="20:31" ht="14.4">
      <c r="T2591" s="25" t="s">
        <v>875</v>
      </c>
      <c r="U2591" s="25" t="s">
        <v>854</v>
      </c>
      <c r="V2591" s="25" t="s">
        <v>898</v>
      </c>
      <c r="W2591" s="25" t="str">
        <f t="shared" si="59"/>
        <v>Straight Bonded PelmetTop FixLinked - HD</v>
      </c>
      <c r="X2591" s="25">
        <v>0</v>
      </c>
      <c r="Y2591" s="25" t="s">
        <v>824</v>
      </c>
      <c r="Z2591" s="25" t="s">
        <v>824</v>
      </c>
      <c r="AA2591" s="25" t="s">
        <v>824</v>
      </c>
      <c r="AB2591" s="25" t="s">
        <v>824</v>
      </c>
      <c r="AC2591" s="25" t="s">
        <v>821</v>
      </c>
      <c r="AD2591" s="25" t="s">
        <v>824</v>
      </c>
      <c r="AE2591" s="25" t="s">
        <v>824</v>
      </c>
    </row>
    <row r="2592" spans="20:31" ht="14.4">
      <c r="T2592" s="25" t="s">
        <v>875</v>
      </c>
      <c r="U2592" s="25" t="s">
        <v>854</v>
      </c>
      <c r="V2592" s="25" t="s">
        <v>925</v>
      </c>
      <c r="W2592" s="25" t="str">
        <f t="shared" si="59"/>
        <v>Straight Bonded PelmetTop FixLinked 60mm</v>
      </c>
      <c r="X2592" s="25">
        <v>0</v>
      </c>
      <c r="Y2592" s="25" t="s">
        <v>824</v>
      </c>
      <c r="Z2592" s="25" t="s">
        <v>824</v>
      </c>
      <c r="AA2592" s="25" t="s">
        <v>824</v>
      </c>
      <c r="AB2592" s="25" t="s">
        <v>824</v>
      </c>
      <c r="AC2592" s="25" t="s">
        <v>821</v>
      </c>
      <c r="AD2592" s="25" t="s">
        <v>824</v>
      </c>
      <c r="AE2592" s="25" t="s">
        <v>824</v>
      </c>
    </row>
    <row r="2593" spans="20:31" ht="14.4">
      <c r="T2593" s="25" t="s">
        <v>875</v>
      </c>
      <c r="U2593" s="25" t="s">
        <v>854</v>
      </c>
      <c r="V2593" s="25" t="s">
        <v>910</v>
      </c>
      <c r="W2593" s="25" t="str">
        <f t="shared" si="59"/>
        <v>Straight Bonded PelmetTop FixStandard Spring</v>
      </c>
      <c r="X2593" s="25">
        <v>0</v>
      </c>
      <c r="Y2593" s="25" t="s">
        <v>824</v>
      </c>
      <c r="Z2593" s="25" t="s">
        <v>824</v>
      </c>
      <c r="AA2593" s="25" t="s">
        <v>824</v>
      </c>
      <c r="AB2593" s="25" t="s">
        <v>824</v>
      </c>
      <c r="AC2593" s="25" t="s">
        <v>821</v>
      </c>
      <c r="AD2593" s="25" t="s">
        <v>824</v>
      </c>
      <c r="AE2593" s="25" t="s">
        <v>824</v>
      </c>
    </row>
    <row r="2594" spans="20:31" ht="14.4">
      <c r="T2594" s="25" t="s">
        <v>875</v>
      </c>
      <c r="U2594" s="25" t="s">
        <v>854</v>
      </c>
      <c r="V2594" s="25" t="s">
        <v>920</v>
      </c>
      <c r="W2594" s="25" t="str">
        <f t="shared" si="59"/>
        <v>Straight Bonded PelmetTop FixSmall Spring</v>
      </c>
      <c r="X2594" s="25">
        <v>0</v>
      </c>
      <c r="Y2594" s="25" t="s">
        <v>824</v>
      </c>
      <c r="Z2594" s="25" t="s">
        <v>824</v>
      </c>
      <c r="AA2594" s="25" t="s">
        <v>824</v>
      </c>
      <c r="AB2594" s="25" t="s">
        <v>824</v>
      </c>
      <c r="AC2594" s="25" t="s">
        <v>821</v>
      </c>
      <c r="AD2594" s="25" t="s">
        <v>824</v>
      </c>
      <c r="AE2594" s="25" t="s">
        <v>824</v>
      </c>
    </row>
    <row r="2595" spans="20:31" ht="14.4">
      <c r="T2595" s="25" t="s">
        <v>875</v>
      </c>
      <c r="U2595" s="25" t="s">
        <v>854</v>
      </c>
      <c r="V2595" s="25" t="s">
        <v>929</v>
      </c>
      <c r="W2595" s="25" t="str">
        <f t="shared" si="59"/>
        <v>Straight Bonded PelmetTop FixUniline Spring (Old Style)</v>
      </c>
      <c r="X2595" s="25">
        <v>0</v>
      </c>
      <c r="Y2595" s="25" t="s">
        <v>824</v>
      </c>
      <c r="Z2595" s="25" t="s">
        <v>824</v>
      </c>
      <c r="AA2595" s="25" t="s">
        <v>824</v>
      </c>
      <c r="AB2595" s="25" t="s">
        <v>824</v>
      </c>
      <c r="AC2595" s="25" t="s">
        <v>821</v>
      </c>
      <c r="AD2595" s="25" t="s">
        <v>824</v>
      </c>
      <c r="AE2595" s="25" t="s">
        <v>824</v>
      </c>
    </row>
    <row r="2596" spans="20:31" ht="14.4">
      <c r="T2596" s="25" t="s">
        <v>875</v>
      </c>
      <c r="U2596" s="25" t="s">
        <v>854</v>
      </c>
      <c r="V2596" s="25" t="s">
        <v>935</v>
      </c>
      <c r="W2596" s="25" t="str">
        <f t="shared" si="59"/>
        <v>Straight Bonded PelmetTop FixBecker Remote Motor</v>
      </c>
      <c r="X2596" s="25">
        <v>0</v>
      </c>
      <c r="Y2596" s="25" t="s">
        <v>824</v>
      </c>
      <c r="Z2596" s="25" t="s">
        <v>824</v>
      </c>
      <c r="AA2596" s="25" t="s">
        <v>824</v>
      </c>
      <c r="AB2596" s="25" t="s">
        <v>824</v>
      </c>
      <c r="AC2596" s="25" t="s">
        <v>821</v>
      </c>
      <c r="AD2596" s="25" t="s">
        <v>824</v>
      </c>
      <c r="AE2596" s="25" t="s">
        <v>824</v>
      </c>
    </row>
    <row r="2597" spans="20:31" ht="14.4">
      <c r="T2597" s="25" t="s">
        <v>875</v>
      </c>
      <c r="U2597" s="25" t="s">
        <v>854</v>
      </c>
      <c r="V2597" s="25" t="s">
        <v>939</v>
      </c>
      <c r="W2597" s="25" t="str">
        <f t="shared" si="59"/>
        <v>Straight Bonded PelmetTop FixBecker CBUS Motor</v>
      </c>
      <c r="X2597" s="25">
        <v>0</v>
      </c>
      <c r="Y2597" s="25" t="s">
        <v>824</v>
      </c>
      <c r="Z2597" s="25" t="s">
        <v>824</v>
      </c>
      <c r="AA2597" s="25" t="s">
        <v>824</v>
      </c>
      <c r="AB2597" s="25" t="s">
        <v>824</v>
      </c>
      <c r="AC2597" s="25" t="s">
        <v>821</v>
      </c>
      <c r="AD2597" s="25" t="s">
        <v>824</v>
      </c>
      <c r="AE2597" s="25" t="s">
        <v>824</v>
      </c>
    </row>
    <row r="2598" spans="20:31" ht="14.4">
      <c r="T2598" s="25" t="s">
        <v>875</v>
      </c>
      <c r="U2598" s="25" t="s">
        <v>854</v>
      </c>
      <c r="V2598" s="25" t="s">
        <v>946</v>
      </c>
      <c r="W2598" s="25" t="str">
        <f t="shared" si="59"/>
        <v>Straight Bonded PelmetTop FixBecker External Remote Motor</v>
      </c>
      <c r="X2598" s="25">
        <v>0</v>
      </c>
      <c r="Y2598" s="25" t="s">
        <v>824</v>
      </c>
      <c r="Z2598" s="25" t="s">
        <v>824</v>
      </c>
      <c r="AA2598" s="25" t="s">
        <v>824</v>
      </c>
      <c r="AB2598" s="25" t="s">
        <v>824</v>
      </c>
      <c r="AC2598" s="25" t="s">
        <v>821</v>
      </c>
      <c r="AD2598" s="25" t="s">
        <v>824</v>
      </c>
      <c r="AE2598" s="25" t="s">
        <v>824</v>
      </c>
    </row>
    <row r="2599" spans="20:31" ht="14.4">
      <c r="T2599" s="25" t="s">
        <v>875</v>
      </c>
      <c r="U2599" s="25" t="s">
        <v>854</v>
      </c>
      <c r="V2599" s="25" t="s">
        <v>951</v>
      </c>
      <c r="W2599" s="25" t="str">
        <f t="shared" si="59"/>
        <v>Straight Bonded PelmetTop FixBecker External CBUS Motor</v>
      </c>
      <c r="X2599" s="25">
        <v>0</v>
      </c>
      <c r="Y2599" s="25" t="s">
        <v>824</v>
      </c>
      <c r="Z2599" s="25" t="s">
        <v>824</v>
      </c>
      <c r="AA2599" s="25" t="s">
        <v>824</v>
      </c>
      <c r="AB2599" s="25" t="s">
        <v>824</v>
      </c>
      <c r="AC2599" s="25" t="s">
        <v>821</v>
      </c>
      <c r="AD2599" s="25" t="s">
        <v>824</v>
      </c>
      <c r="AE2599" s="25" t="s">
        <v>824</v>
      </c>
    </row>
    <row r="2600" spans="20:31" ht="14.4">
      <c r="T2600" s="25" t="s">
        <v>875</v>
      </c>
      <c r="U2600" s="25" t="s">
        <v>854</v>
      </c>
      <c r="V2600" s="25" t="s">
        <v>838</v>
      </c>
      <c r="W2600" s="25" t="str">
        <f t="shared" si="59"/>
        <v>Straight Bonded PelmetTop Fix1.1nm 12v Acmeda Motor</v>
      </c>
      <c r="X2600" s="25">
        <v>0</v>
      </c>
      <c r="Y2600" s="25" t="s">
        <v>824</v>
      </c>
      <c r="Z2600" s="25" t="s">
        <v>824</v>
      </c>
      <c r="AA2600" s="25" t="s">
        <v>824</v>
      </c>
      <c r="AB2600" s="25" t="s">
        <v>824</v>
      </c>
      <c r="AC2600" s="25" t="s">
        <v>821</v>
      </c>
      <c r="AD2600" s="25" t="s">
        <v>824</v>
      </c>
      <c r="AE2600" s="25" t="s">
        <v>824</v>
      </c>
    </row>
    <row r="2601" spans="20:31" ht="14.4">
      <c r="T2601" s="25" t="s">
        <v>875</v>
      </c>
      <c r="U2601" s="25" t="s">
        <v>854</v>
      </c>
      <c r="V2601" t="s">
        <v>882</v>
      </c>
      <c r="W2601" s="25" t="str">
        <f t="shared" si="59"/>
        <v>Straight Bonded PelmetTop Fix2nm 12v Acmeda Motor</v>
      </c>
      <c r="X2601" s="25">
        <v>0</v>
      </c>
      <c r="Y2601" s="25" t="s">
        <v>824</v>
      </c>
      <c r="Z2601" s="25" t="s">
        <v>824</v>
      </c>
      <c r="AA2601" s="25" t="s">
        <v>824</v>
      </c>
      <c r="AB2601" s="25" t="s">
        <v>824</v>
      </c>
      <c r="AC2601" s="25" t="s">
        <v>821</v>
      </c>
      <c r="AD2601" s="25" t="s">
        <v>824</v>
      </c>
      <c r="AE2601" s="25" t="s">
        <v>824</v>
      </c>
    </row>
    <row r="2602" spans="20:31" ht="14.4">
      <c r="T2602" s="25" t="s">
        <v>875</v>
      </c>
      <c r="U2602" s="25" t="s">
        <v>854</v>
      </c>
      <c r="V2602" t="s">
        <v>896</v>
      </c>
      <c r="W2602" s="25" t="str">
        <f t="shared" si="59"/>
        <v>Straight Bonded PelmetTop FixAcmeda 12v 6nm Motor</v>
      </c>
      <c r="X2602" s="25">
        <v>0</v>
      </c>
      <c r="Y2602" s="25" t="s">
        <v>824</v>
      </c>
      <c r="Z2602" s="25" t="s">
        <v>824</v>
      </c>
      <c r="AA2602" s="25" t="s">
        <v>824</v>
      </c>
      <c r="AB2602" s="25" t="s">
        <v>824</v>
      </c>
      <c r="AC2602" s="25" t="s">
        <v>821</v>
      </c>
      <c r="AD2602" s="25" t="s">
        <v>824</v>
      </c>
      <c r="AE2602" s="25" t="s">
        <v>824</v>
      </c>
    </row>
    <row r="2603" spans="20:31" ht="14.4">
      <c r="T2603" s="25" t="s">
        <v>875</v>
      </c>
      <c r="U2603" s="25" t="s">
        <v>854</v>
      </c>
      <c r="V2603" t="s">
        <v>855</v>
      </c>
      <c r="W2603" s="25" t="str">
        <f t="shared" si="59"/>
        <v>Straight Bonded PelmetTop Fix0.7nm 12v Acmeda Motor</v>
      </c>
      <c r="X2603" s="25">
        <v>0</v>
      </c>
      <c r="Y2603" s="25" t="s">
        <v>824</v>
      </c>
      <c r="Z2603" s="25" t="s">
        <v>824</v>
      </c>
      <c r="AA2603" s="25" t="s">
        <v>824</v>
      </c>
      <c r="AB2603" s="25" t="s">
        <v>824</v>
      </c>
      <c r="AC2603" s="25" t="s">
        <v>821</v>
      </c>
      <c r="AD2603" s="25" t="s">
        <v>824</v>
      </c>
      <c r="AE2603" s="25" t="s">
        <v>824</v>
      </c>
    </row>
    <row r="2604" spans="20:31" ht="14.4">
      <c r="T2604" s="25" t="s">
        <v>875</v>
      </c>
      <c r="U2604" s="25" t="s">
        <v>854</v>
      </c>
      <c r="V2604" s="25" t="s">
        <v>849</v>
      </c>
      <c r="W2604" s="25" t="str">
        <f t="shared" si="59"/>
        <v>Straight Bonded PelmetTop Fix1.1nm 12v Acmeda DCRF Motor with External Battery</v>
      </c>
      <c r="X2604" s="25">
        <v>0</v>
      </c>
      <c r="Y2604" s="25" t="s">
        <v>824</v>
      </c>
      <c r="Z2604" s="25" t="s">
        <v>824</v>
      </c>
      <c r="AA2604" s="25" t="s">
        <v>824</v>
      </c>
      <c r="AB2604" s="25" t="s">
        <v>824</v>
      </c>
      <c r="AC2604" s="25" t="s">
        <v>821</v>
      </c>
      <c r="AD2604" s="25" t="s">
        <v>824</v>
      </c>
      <c r="AE2604" s="25" t="s">
        <v>824</v>
      </c>
    </row>
    <row r="2605" spans="20:31" ht="14.4">
      <c r="T2605" s="25" t="s">
        <v>875</v>
      </c>
      <c r="U2605" s="25" t="s">
        <v>854</v>
      </c>
      <c r="V2605" s="25" t="s">
        <v>817</v>
      </c>
      <c r="W2605" s="25" t="str">
        <f t="shared" si="59"/>
        <v>Straight Bonded PelmetTop Fix1.1nm 12v Acmeda DCRF Motor</v>
      </c>
      <c r="X2605" s="25">
        <v>0</v>
      </c>
      <c r="Y2605" s="25" t="s">
        <v>824</v>
      </c>
      <c r="Z2605" s="25" t="s">
        <v>824</v>
      </c>
      <c r="AA2605" s="25" t="s">
        <v>824</v>
      </c>
      <c r="AB2605" s="25" t="s">
        <v>824</v>
      </c>
      <c r="AC2605" s="25" t="s">
        <v>821</v>
      </c>
      <c r="AD2605" s="25" t="s">
        <v>824</v>
      </c>
      <c r="AE2605" s="25" t="s">
        <v>824</v>
      </c>
    </row>
    <row r="2606" spans="20:31" ht="14.4">
      <c r="T2606" s="25" t="s">
        <v>875</v>
      </c>
      <c r="U2606" s="25" t="s">
        <v>854</v>
      </c>
      <c r="V2606" s="25" t="s">
        <v>868</v>
      </c>
      <c r="W2606" s="25" t="str">
        <f t="shared" si="59"/>
        <v>Straight Bonded PelmetTop Fix2nm 12v Acmeda DCRF Motor</v>
      </c>
      <c r="X2606" s="25">
        <v>0</v>
      </c>
      <c r="Y2606" s="25" t="s">
        <v>824</v>
      </c>
      <c r="Z2606" s="25" t="s">
        <v>824</v>
      </c>
      <c r="AA2606" s="25" t="s">
        <v>824</v>
      </c>
      <c r="AB2606" s="25" t="s">
        <v>824</v>
      </c>
      <c r="AC2606" s="25" t="s">
        <v>821</v>
      </c>
      <c r="AD2606" s="25" t="s">
        <v>824</v>
      </c>
      <c r="AE2606" s="25" t="s">
        <v>824</v>
      </c>
    </row>
    <row r="2607" spans="20:31" ht="14.4">
      <c r="T2607" s="25" t="s">
        <v>875</v>
      </c>
      <c r="U2607" s="25" t="s">
        <v>854</v>
      </c>
      <c r="V2607" t="s">
        <v>973</v>
      </c>
      <c r="W2607" s="25" t="str">
        <f t="shared" si="59"/>
        <v>Straight Bonded PelmetTop FixSomfy Remote Sonesse Motor</v>
      </c>
      <c r="X2607" s="25">
        <v>0</v>
      </c>
      <c r="Y2607" s="25" t="s">
        <v>824</v>
      </c>
      <c r="Z2607" s="25" t="s">
        <v>824</v>
      </c>
      <c r="AA2607" s="25" t="s">
        <v>824</v>
      </c>
      <c r="AB2607" s="25" t="s">
        <v>824</v>
      </c>
      <c r="AC2607" s="25" t="s">
        <v>821</v>
      </c>
      <c r="AD2607" s="25" t="s">
        <v>824</v>
      </c>
      <c r="AE2607" s="25" t="s">
        <v>824</v>
      </c>
    </row>
    <row r="2608" spans="20:31" ht="14.4">
      <c r="T2608" s="25" t="s">
        <v>875</v>
      </c>
      <c r="U2608" s="25" t="s">
        <v>854</v>
      </c>
      <c r="V2608" t="s">
        <v>637</v>
      </c>
      <c r="W2608" s="25" t="str">
        <f t="shared" si="59"/>
        <v>Straight Bonded PelmetTop FixSomfy 12v Remote Sonesse Motor</v>
      </c>
      <c r="X2608" s="25">
        <v>0</v>
      </c>
      <c r="Y2608" s="25" t="s">
        <v>824</v>
      </c>
      <c r="Z2608" s="25" t="s">
        <v>824</v>
      </c>
      <c r="AA2608" s="25" t="s">
        <v>824</v>
      </c>
      <c r="AB2608" s="25" t="s">
        <v>824</v>
      </c>
      <c r="AC2608" s="25" t="s">
        <v>821</v>
      </c>
      <c r="AD2608" s="25" t="s">
        <v>824</v>
      </c>
      <c r="AE2608" s="25" t="s">
        <v>824</v>
      </c>
    </row>
    <row r="2609" spans="20:31" ht="14.4">
      <c r="T2609" s="25" t="s">
        <v>875</v>
      </c>
      <c r="U2609" s="25" t="s">
        <v>854</v>
      </c>
      <c r="V2609" s="25" t="s">
        <v>974</v>
      </c>
      <c r="W2609" s="25" t="str">
        <f t="shared" si="59"/>
        <v>Straight Bonded PelmetTop FixSomfy CBUS Motor</v>
      </c>
      <c r="X2609" s="25">
        <v>0</v>
      </c>
      <c r="Y2609" s="25" t="s">
        <v>824</v>
      </c>
      <c r="Z2609" s="25" t="s">
        <v>824</v>
      </c>
      <c r="AA2609" s="25" t="s">
        <v>824</v>
      </c>
      <c r="AB2609" s="25" t="s">
        <v>824</v>
      </c>
      <c r="AC2609" s="25" t="s">
        <v>821</v>
      </c>
      <c r="AD2609" s="25" t="s">
        <v>824</v>
      </c>
      <c r="AE2609" s="25" t="s">
        <v>824</v>
      </c>
    </row>
    <row r="2610" spans="20:31" ht="14.4">
      <c r="T2610" s="25" t="s">
        <v>875</v>
      </c>
      <c r="U2610" s="25" t="s">
        <v>854</v>
      </c>
      <c r="V2610" t="s">
        <v>986</v>
      </c>
      <c r="W2610" s="25" t="str">
        <f t="shared" si="59"/>
        <v>Straight Bonded PelmetTop FixHD Somfy Remote Sonesse Motor</v>
      </c>
      <c r="X2610" s="25">
        <v>0</v>
      </c>
      <c r="Y2610" s="25" t="s">
        <v>824</v>
      </c>
      <c r="Z2610" s="25" t="s">
        <v>824</v>
      </c>
      <c r="AA2610" s="25" t="s">
        <v>824</v>
      </c>
      <c r="AB2610" s="25" t="s">
        <v>824</v>
      </c>
      <c r="AC2610" s="25" t="s">
        <v>821</v>
      </c>
      <c r="AD2610" s="25" t="s">
        <v>824</v>
      </c>
      <c r="AE2610" s="25" t="s">
        <v>824</v>
      </c>
    </row>
    <row r="2611" spans="20:31" ht="14.4">
      <c r="T2611" s="25" t="s">
        <v>875</v>
      </c>
      <c r="U2611" s="25" t="s">
        <v>854</v>
      </c>
      <c r="V2611" t="s">
        <v>989</v>
      </c>
      <c r="W2611" s="25" t="str">
        <f t="shared" si="59"/>
        <v>Straight Bonded PelmetTop FixHD Somfy 12v Remote Sonesse Motor</v>
      </c>
      <c r="X2611" s="25">
        <v>0</v>
      </c>
      <c r="Y2611" s="25" t="s">
        <v>824</v>
      </c>
      <c r="Z2611" s="25" t="s">
        <v>824</v>
      </c>
      <c r="AA2611" s="25" t="s">
        <v>824</v>
      </c>
      <c r="AB2611" s="25" t="s">
        <v>824</v>
      </c>
      <c r="AC2611" s="25" t="s">
        <v>821</v>
      </c>
      <c r="AD2611" s="25" t="s">
        <v>824</v>
      </c>
      <c r="AE2611" s="25" t="s">
        <v>824</v>
      </c>
    </row>
    <row r="2612" spans="20:31" ht="14.4">
      <c r="T2612" s="25" t="s">
        <v>875</v>
      </c>
      <c r="U2612" s="25" t="s">
        <v>854</v>
      </c>
      <c r="V2612" s="25" t="s">
        <v>992</v>
      </c>
      <c r="W2612" s="25" t="str">
        <f t="shared" si="59"/>
        <v>Straight Bonded PelmetTop FixHD Somfy CBUS Motor</v>
      </c>
      <c r="X2612" s="25">
        <v>0</v>
      </c>
      <c r="Y2612" s="25" t="s">
        <v>824</v>
      </c>
      <c r="Z2612" s="25" t="s">
        <v>824</v>
      </c>
      <c r="AA2612" s="25" t="s">
        <v>824</v>
      </c>
      <c r="AB2612" s="25" t="s">
        <v>824</v>
      </c>
      <c r="AC2612" s="25" t="s">
        <v>821</v>
      </c>
      <c r="AD2612" s="25" t="s">
        <v>824</v>
      </c>
      <c r="AE2612" s="25" t="s">
        <v>824</v>
      </c>
    </row>
    <row r="2613" spans="20:31" ht="14.4">
      <c r="T2613" s="25" t="s">
        <v>875</v>
      </c>
      <c r="U2613" s="25" t="s">
        <v>854</v>
      </c>
      <c r="V2613" s="25" t="s">
        <v>625</v>
      </c>
      <c r="W2613" s="25" t="str">
        <f t="shared" si="59"/>
        <v>Straight Bonded PelmetTop FixAcmeda E6 Motor</v>
      </c>
      <c r="X2613" s="25">
        <v>0</v>
      </c>
      <c r="Y2613" s="25" t="s">
        <v>824</v>
      </c>
      <c r="Z2613" s="25" t="s">
        <v>824</v>
      </c>
      <c r="AA2613" s="25" t="s">
        <v>824</v>
      </c>
      <c r="AB2613" s="25" t="s">
        <v>824</v>
      </c>
      <c r="AC2613" s="25" t="s">
        <v>821</v>
      </c>
      <c r="AD2613" s="25" t="s">
        <v>824</v>
      </c>
      <c r="AE2613" s="25" t="s">
        <v>824</v>
      </c>
    </row>
    <row r="2614" spans="20:31" ht="14.4">
      <c r="T2614" s="25" t="s">
        <v>875</v>
      </c>
      <c r="U2614" s="25" t="s">
        <v>854</v>
      </c>
      <c r="V2614" s="25" t="s">
        <v>626</v>
      </c>
      <c r="W2614" s="25" t="str">
        <f t="shared" si="59"/>
        <v>Straight Bonded PelmetTop FixAcmeda M6 Motor</v>
      </c>
      <c r="X2614" s="25">
        <v>0</v>
      </c>
      <c r="Y2614" s="25" t="s">
        <v>824</v>
      </c>
      <c r="Z2614" s="25" t="s">
        <v>824</v>
      </c>
      <c r="AA2614" s="25" t="s">
        <v>824</v>
      </c>
      <c r="AB2614" s="25" t="s">
        <v>824</v>
      </c>
      <c r="AC2614" s="25" t="s">
        <v>821</v>
      </c>
      <c r="AD2614" s="25" t="s">
        <v>824</v>
      </c>
      <c r="AE2614" s="25" t="s">
        <v>824</v>
      </c>
    </row>
    <row r="2615" spans="20:31" ht="14.4">
      <c r="T2615" s="25" t="s">
        <v>875</v>
      </c>
      <c r="U2615" s="25" t="s">
        <v>854</v>
      </c>
      <c r="V2615" s="25" t="s">
        <v>1002</v>
      </c>
      <c r="W2615" s="25" t="str">
        <f t="shared" si="59"/>
        <v>Straight Bonded PelmetTop FixUniline Remote Motor</v>
      </c>
      <c r="X2615" s="25">
        <v>0</v>
      </c>
      <c r="Y2615" s="25" t="s">
        <v>824</v>
      </c>
      <c r="Z2615" s="25" t="s">
        <v>824</v>
      </c>
      <c r="AA2615" s="25" t="s">
        <v>824</v>
      </c>
      <c r="AB2615" s="25" t="s">
        <v>824</v>
      </c>
      <c r="AC2615" s="25" t="s">
        <v>821</v>
      </c>
      <c r="AD2615" s="25" t="s">
        <v>824</v>
      </c>
      <c r="AE2615" s="25" t="s">
        <v>824</v>
      </c>
    </row>
    <row r="2616" spans="20:31" ht="14.4">
      <c r="T2616" s="25" t="s">
        <v>875</v>
      </c>
      <c r="U2616" s="25" t="s">
        <v>854</v>
      </c>
      <c r="V2616" s="25" t="s">
        <v>1005</v>
      </c>
      <c r="W2616" s="25" t="str">
        <f t="shared" si="59"/>
        <v>Straight Bonded PelmetTop FixUniline Cbus Motor</v>
      </c>
      <c r="X2616" s="25">
        <v>0</v>
      </c>
      <c r="Y2616" s="25" t="s">
        <v>824</v>
      </c>
      <c r="Z2616" s="25" t="s">
        <v>824</v>
      </c>
      <c r="AA2616" s="25" t="s">
        <v>824</v>
      </c>
      <c r="AB2616" s="25" t="s">
        <v>824</v>
      </c>
      <c r="AC2616" s="25" t="s">
        <v>821</v>
      </c>
      <c r="AD2616" s="25" t="s">
        <v>824</v>
      </c>
      <c r="AE2616" s="25" t="s">
        <v>824</v>
      </c>
    </row>
    <row r="2617" spans="20:31" ht="14.4">
      <c r="T2617" s="25" t="s">
        <v>875</v>
      </c>
      <c r="U2617" s="25" t="s">
        <v>854</v>
      </c>
      <c r="V2617" s="25" t="s">
        <v>981</v>
      </c>
      <c r="W2617" s="25" t="str">
        <f t="shared" si="59"/>
        <v>Straight Bonded PelmetTop FixNice Remote Motor</v>
      </c>
      <c r="X2617" s="25">
        <v>0</v>
      </c>
      <c r="Y2617" s="25" t="s">
        <v>824</v>
      </c>
      <c r="Z2617" s="25" t="s">
        <v>824</v>
      </c>
      <c r="AA2617" s="25" t="s">
        <v>824</v>
      </c>
      <c r="AB2617" s="25" t="s">
        <v>824</v>
      </c>
      <c r="AC2617" s="25" t="s">
        <v>821</v>
      </c>
      <c r="AD2617" s="25" t="s">
        <v>824</v>
      </c>
      <c r="AE2617" s="25" t="s">
        <v>824</v>
      </c>
    </row>
    <row r="2618" spans="20:31" ht="14.4">
      <c r="T2618" s="25" t="s">
        <v>875</v>
      </c>
      <c r="U2618" s="25" t="s">
        <v>854</v>
      </c>
      <c r="V2618" s="25" t="s">
        <v>976</v>
      </c>
      <c r="W2618" s="25" t="str">
        <f t="shared" si="59"/>
        <v>Straight Bonded PelmetTop FixNice CBus Motor</v>
      </c>
      <c r="X2618" s="25">
        <v>0</v>
      </c>
      <c r="Y2618" s="25" t="s">
        <v>824</v>
      </c>
      <c r="Z2618" s="25" t="s">
        <v>824</v>
      </c>
      <c r="AA2618" s="25" t="s">
        <v>824</v>
      </c>
      <c r="AB2618" s="25" t="s">
        <v>824</v>
      </c>
      <c r="AC2618" s="25" t="s">
        <v>821</v>
      </c>
      <c r="AD2618" s="25" t="s">
        <v>824</v>
      </c>
      <c r="AE2618" s="25" t="s">
        <v>824</v>
      </c>
    </row>
    <row r="2619" spans="20:31" ht="14.4">
      <c r="T2619" s="25" t="s">
        <v>875</v>
      </c>
      <c r="U2619" s="25" t="s">
        <v>854</v>
      </c>
      <c r="V2619" t="s">
        <v>1006</v>
      </c>
      <c r="W2619" s="25" t="str">
        <f t="shared" si="59"/>
        <v>Straight Bonded PelmetTop FixSunboss Chain Winder 38mm Tube</v>
      </c>
      <c r="X2619" s="25">
        <v>0</v>
      </c>
      <c r="Y2619" s="25" t="s">
        <v>824</v>
      </c>
      <c r="Z2619" s="25" t="s">
        <v>824</v>
      </c>
      <c r="AA2619" s="25" t="s">
        <v>824</v>
      </c>
      <c r="AB2619" s="25" t="s">
        <v>824</v>
      </c>
      <c r="AC2619" s="25" t="s">
        <v>821</v>
      </c>
      <c r="AD2619" s="25" t="s">
        <v>824</v>
      </c>
      <c r="AE2619" s="25" t="s">
        <v>824</v>
      </c>
    </row>
    <row r="2620" spans="20:31" ht="14.4">
      <c r="T2620" s="25" t="s">
        <v>875</v>
      </c>
      <c r="U2620" s="25" t="s">
        <v>854</v>
      </c>
      <c r="V2620" t="s">
        <v>1017</v>
      </c>
      <c r="W2620" s="25" t="str">
        <f t="shared" si="59"/>
        <v>Straight Bonded PelmetTop FixSunboss Chain Winder 43mm Tube</v>
      </c>
      <c r="X2620" s="25">
        <v>0</v>
      </c>
      <c r="Y2620" s="25" t="s">
        <v>824</v>
      </c>
      <c r="Z2620" s="25" t="s">
        <v>824</v>
      </c>
      <c r="AA2620" s="25" t="s">
        <v>824</v>
      </c>
      <c r="AB2620" s="25" t="s">
        <v>824</v>
      </c>
      <c r="AC2620" s="25" t="s">
        <v>821</v>
      </c>
      <c r="AD2620" s="25" t="s">
        <v>824</v>
      </c>
      <c r="AE2620" s="25" t="s">
        <v>824</v>
      </c>
    </row>
    <row r="2621" spans="20:31" ht="14.4">
      <c r="T2621" s="25" t="s">
        <v>875</v>
      </c>
      <c r="U2621" s="25" t="s">
        <v>854</v>
      </c>
      <c r="V2621" s="25" t="s">
        <v>1012</v>
      </c>
      <c r="W2621" s="25" t="str">
        <f t="shared" si="59"/>
        <v>Straight Bonded PelmetTop FixTBS Remote Motor</v>
      </c>
      <c r="X2621" s="25">
        <v>0</v>
      </c>
      <c r="Y2621" s="25" t="s">
        <v>824</v>
      </c>
      <c r="Z2621" s="25" t="s">
        <v>824</v>
      </c>
      <c r="AA2621" s="25" t="s">
        <v>824</v>
      </c>
      <c r="AB2621" s="25" t="s">
        <v>824</v>
      </c>
      <c r="AC2621" s="25" t="s">
        <v>821</v>
      </c>
      <c r="AD2621" s="25" t="s">
        <v>824</v>
      </c>
      <c r="AE2621" s="25" t="s">
        <v>824</v>
      </c>
    </row>
    <row r="2622" spans="20:31" ht="14.4">
      <c r="T2622" s="25" t="s">
        <v>875</v>
      </c>
      <c r="U2622" s="25" t="s">
        <v>854</v>
      </c>
      <c r="V2622" t="s">
        <v>1009</v>
      </c>
      <c r="W2622" s="25" t="str">
        <f t="shared" si="59"/>
        <v>Straight Bonded PelmetTop FixTBS Cbus Motor</v>
      </c>
      <c r="X2622" s="25">
        <v>0</v>
      </c>
      <c r="Y2622" s="25" t="s">
        <v>824</v>
      </c>
      <c r="Z2622" s="25" t="s">
        <v>824</v>
      </c>
      <c r="AA2622" s="25" t="s">
        <v>824</v>
      </c>
      <c r="AB2622" s="25" t="s">
        <v>824</v>
      </c>
      <c r="AC2622" s="25" t="s">
        <v>821</v>
      </c>
      <c r="AD2622" s="25" t="s">
        <v>824</v>
      </c>
      <c r="AE2622" s="25" t="s">
        <v>824</v>
      </c>
    </row>
    <row r="2623" spans="20:31" ht="14.4">
      <c r="T2623" s="25" t="s">
        <v>875</v>
      </c>
      <c r="U2623" s="25" t="s">
        <v>854</v>
      </c>
      <c r="V2623" t="s">
        <v>927</v>
      </c>
      <c r="W2623" s="25" t="str">
        <f t="shared" si="59"/>
        <v>Straight Bonded PelmetTop FixAcmeda External Motor</v>
      </c>
      <c r="X2623" s="25">
        <v>0</v>
      </c>
      <c r="Y2623" s="25" t="s">
        <v>824</v>
      </c>
      <c r="Z2623" s="25" t="s">
        <v>824</v>
      </c>
      <c r="AA2623" s="25" t="s">
        <v>824</v>
      </c>
      <c r="AB2623" s="25" t="s">
        <v>824</v>
      </c>
      <c r="AC2623" s="25" t="s">
        <v>821</v>
      </c>
      <c r="AD2623" s="25" t="s">
        <v>824</v>
      </c>
      <c r="AE2623" s="25" t="s">
        <v>824</v>
      </c>
    </row>
    <row r="2624" spans="20:31" ht="14.4">
      <c r="T2624" s="25" t="s">
        <v>875</v>
      </c>
      <c r="U2624" s="25" t="s">
        <v>854</v>
      </c>
      <c r="V2624" t="s">
        <v>918</v>
      </c>
      <c r="W2624" s="25" t="str">
        <f t="shared" si="59"/>
        <v>Straight Bonded PelmetTop FixAcmeda External 12v Motor</v>
      </c>
      <c r="X2624" s="25">
        <v>0</v>
      </c>
      <c r="Y2624" s="25" t="s">
        <v>824</v>
      </c>
      <c r="Z2624" s="25" t="s">
        <v>824</v>
      </c>
      <c r="AA2624" s="25" t="s">
        <v>824</v>
      </c>
      <c r="AB2624" s="25" t="s">
        <v>824</v>
      </c>
      <c r="AC2624" s="25" t="s">
        <v>821</v>
      </c>
      <c r="AD2624" s="25" t="s">
        <v>824</v>
      </c>
      <c r="AE2624" s="25" t="s">
        <v>824</v>
      </c>
    </row>
    <row r="2625" spans="20:31" ht="14.4">
      <c r="T2625" s="25" t="s">
        <v>875</v>
      </c>
      <c r="U2625" s="25" t="s">
        <v>854</v>
      </c>
      <c r="V2625" t="s">
        <v>979</v>
      </c>
      <c r="W2625" s="25" t="str">
        <f t="shared" si="59"/>
        <v>Straight Bonded PelmetTop FixSomfy External CBUS Motor</v>
      </c>
      <c r="X2625" s="25">
        <v>0</v>
      </c>
      <c r="Y2625" s="25" t="s">
        <v>824</v>
      </c>
      <c r="Z2625" s="25" t="s">
        <v>824</v>
      </c>
      <c r="AA2625" s="25" t="s">
        <v>824</v>
      </c>
      <c r="AB2625" s="25" t="s">
        <v>824</v>
      </c>
      <c r="AC2625" s="25" t="s">
        <v>821</v>
      </c>
      <c r="AD2625" s="25" t="s">
        <v>824</v>
      </c>
      <c r="AE2625" s="25" t="s">
        <v>824</v>
      </c>
    </row>
    <row r="2626" spans="20:31" ht="14.4">
      <c r="T2626" s="25" t="s">
        <v>875</v>
      </c>
      <c r="U2626" s="25" t="s">
        <v>854</v>
      </c>
      <c r="V2626" t="s">
        <v>983</v>
      </c>
      <c r="W2626" s="25" t="str">
        <f t="shared" si="59"/>
        <v>Straight Bonded PelmetTop FixSomfy External Remote Motor</v>
      </c>
      <c r="X2626" s="25">
        <v>0</v>
      </c>
      <c r="Y2626" s="25" t="s">
        <v>824</v>
      </c>
      <c r="Z2626" s="25" t="s">
        <v>824</v>
      </c>
      <c r="AA2626" s="25" t="s">
        <v>824</v>
      </c>
      <c r="AB2626" s="25" t="s">
        <v>824</v>
      </c>
      <c r="AC2626" s="25" t="s">
        <v>821</v>
      </c>
      <c r="AD2626" s="25" t="s">
        <v>824</v>
      </c>
      <c r="AE2626" s="25" t="s">
        <v>824</v>
      </c>
    </row>
    <row r="2627" spans="20:31" ht="14.4">
      <c r="T2627" s="25" t="s">
        <v>875</v>
      </c>
      <c r="U2627" s="25" t="s">
        <v>854</v>
      </c>
      <c r="V2627" t="s">
        <v>979</v>
      </c>
      <c r="W2627" s="25" t="str">
        <f t="shared" si="60" ref="W2627:W2690">CONCATENATE(T2627,U2627,V2627)</f>
        <v>Straight Bonded PelmetTop FixSomfy External CBUS Motor</v>
      </c>
      <c r="X2627" s="25">
        <v>0</v>
      </c>
      <c r="Y2627" s="25" t="s">
        <v>824</v>
      </c>
      <c r="Z2627" s="25" t="s">
        <v>824</v>
      </c>
      <c r="AA2627" s="25" t="s">
        <v>824</v>
      </c>
      <c r="AB2627" s="25" t="s">
        <v>824</v>
      </c>
      <c r="AC2627" s="25" t="s">
        <v>821</v>
      </c>
      <c r="AD2627" s="25" t="s">
        <v>824</v>
      </c>
      <c r="AE2627" s="25" t="s">
        <v>824</v>
      </c>
    </row>
    <row r="2628" spans="20:31" ht="14.4">
      <c r="T2628" s="25" t="s">
        <v>875</v>
      </c>
      <c r="U2628" s="25" t="s">
        <v>854</v>
      </c>
      <c r="V2628" t="s">
        <v>999</v>
      </c>
      <c r="W2628" s="25" t="str">
        <f t="shared" si="60"/>
        <v>Straight Bonded PelmetTop FixHD Somfy External Remote Motor</v>
      </c>
      <c r="X2628" s="25">
        <v>0</v>
      </c>
      <c r="Y2628" s="25" t="s">
        <v>824</v>
      </c>
      <c r="Z2628" s="25" t="s">
        <v>824</v>
      </c>
      <c r="AA2628" s="25" t="s">
        <v>824</v>
      </c>
      <c r="AB2628" s="25" t="s">
        <v>824</v>
      </c>
      <c r="AC2628" s="25" t="s">
        <v>821</v>
      </c>
      <c r="AD2628" s="25" t="s">
        <v>824</v>
      </c>
      <c r="AE2628" s="25" t="s">
        <v>824</v>
      </c>
    </row>
    <row r="2629" spans="20:31" ht="14.4">
      <c r="T2629" s="25" t="s">
        <v>875</v>
      </c>
      <c r="U2629" s="25" t="s">
        <v>880</v>
      </c>
      <c r="V2629" s="25" t="s">
        <v>823</v>
      </c>
      <c r="W2629" s="25" t="str">
        <f t="shared" si="60"/>
        <v>Straight Bonded PelmetInside Window MountChain Winder</v>
      </c>
      <c r="X2629" s="25">
        <v>0</v>
      </c>
      <c r="Y2629" s="25" t="s">
        <v>824</v>
      </c>
      <c r="Z2629" s="25" t="s">
        <v>824</v>
      </c>
      <c r="AA2629" s="25" t="s">
        <v>824</v>
      </c>
      <c r="AB2629" s="25" t="s">
        <v>824</v>
      </c>
      <c r="AC2629" s="25" t="s">
        <v>821</v>
      </c>
      <c r="AD2629" s="25" t="s">
        <v>824</v>
      </c>
      <c r="AE2629" s="25" t="s">
        <v>824</v>
      </c>
    </row>
    <row r="2630" spans="20:31" ht="14.4">
      <c r="T2630" s="25" t="s">
        <v>875</v>
      </c>
      <c r="U2630" s="25" t="s">
        <v>880</v>
      </c>
      <c r="V2630" s="25" t="s">
        <v>841</v>
      </c>
      <c r="W2630" s="25" t="str">
        <f t="shared" si="60"/>
        <v>Straight Bonded PelmetInside Window MountHD Chain Winder</v>
      </c>
      <c r="X2630" s="25">
        <v>0</v>
      </c>
      <c r="Y2630" s="25" t="s">
        <v>824</v>
      </c>
      <c r="Z2630" s="25" t="s">
        <v>824</v>
      </c>
      <c r="AA2630" s="25" t="s">
        <v>824</v>
      </c>
      <c r="AB2630" s="25" t="s">
        <v>824</v>
      </c>
      <c r="AC2630" s="25" t="s">
        <v>821</v>
      </c>
      <c r="AD2630" s="25" t="s">
        <v>824</v>
      </c>
      <c r="AE2630" s="25" t="s">
        <v>824</v>
      </c>
    </row>
    <row r="2631" spans="20:31" ht="14.4">
      <c r="T2631" s="25" t="s">
        <v>875</v>
      </c>
      <c r="U2631" s="25" t="s">
        <v>880</v>
      </c>
      <c r="V2631" s="25" t="s">
        <v>858</v>
      </c>
      <c r="W2631" s="25" t="str">
        <f t="shared" si="60"/>
        <v>Straight Bonded PelmetInside Window MountChain Winder 60mm</v>
      </c>
      <c r="X2631" s="25">
        <v>0</v>
      </c>
      <c r="Y2631" s="25" t="s">
        <v>824</v>
      </c>
      <c r="Z2631" s="25" t="s">
        <v>824</v>
      </c>
      <c r="AA2631" s="25" t="s">
        <v>824</v>
      </c>
      <c r="AB2631" s="25" t="s">
        <v>824</v>
      </c>
      <c r="AC2631" s="25" t="s">
        <v>821</v>
      </c>
      <c r="AD2631" s="25" t="s">
        <v>824</v>
      </c>
      <c r="AE2631" s="25" t="s">
        <v>824</v>
      </c>
    </row>
    <row r="2632" spans="20:31" ht="14.4">
      <c r="T2632" s="25" t="s">
        <v>875</v>
      </c>
      <c r="U2632" s="25" t="s">
        <v>880</v>
      </c>
      <c r="V2632" s="25" t="s">
        <v>865</v>
      </c>
      <c r="W2632" s="25" t="str">
        <f t="shared" si="60"/>
        <v>Straight Bonded PelmetInside Window MountChain Winder Fixed Guide</v>
      </c>
      <c r="X2632" s="25">
        <v>0</v>
      </c>
      <c r="Y2632" s="25" t="s">
        <v>824</v>
      </c>
      <c r="Z2632" s="25" t="s">
        <v>824</v>
      </c>
      <c r="AA2632" s="25" t="s">
        <v>824</v>
      </c>
      <c r="AB2632" s="25" t="s">
        <v>824</v>
      </c>
      <c r="AC2632" s="25" t="s">
        <v>821</v>
      </c>
      <c r="AD2632" s="25" t="s">
        <v>824</v>
      </c>
      <c r="AE2632" s="25" t="s">
        <v>824</v>
      </c>
    </row>
    <row r="2633" spans="20:31" ht="14.4">
      <c r="T2633" s="25" t="s">
        <v>875</v>
      </c>
      <c r="U2633" s="25" t="s">
        <v>880</v>
      </c>
      <c r="V2633" s="25" t="s">
        <v>181</v>
      </c>
      <c r="W2633" s="25" t="str">
        <f t="shared" si="60"/>
        <v>Straight Bonded PelmetInside Window MountLinked</v>
      </c>
      <c r="X2633" s="25">
        <v>0</v>
      </c>
      <c r="Y2633" s="25" t="s">
        <v>824</v>
      </c>
      <c r="Z2633" s="25" t="s">
        <v>824</v>
      </c>
      <c r="AA2633" s="25" t="s">
        <v>824</v>
      </c>
      <c r="AB2633" s="25" t="s">
        <v>824</v>
      </c>
      <c r="AC2633" s="25" t="s">
        <v>821</v>
      </c>
      <c r="AD2633" s="25" t="s">
        <v>824</v>
      </c>
      <c r="AE2633" s="25" t="s">
        <v>824</v>
      </c>
    </row>
    <row r="2634" spans="20:31" ht="14.4">
      <c r="T2634" s="25" t="s">
        <v>875</v>
      </c>
      <c r="U2634" s="25" t="s">
        <v>880</v>
      </c>
      <c r="V2634" s="25" t="s">
        <v>898</v>
      </c>
      <c r="W2634" s="25" t="str">
        <f t="shared" si="60"/>
        <v>Straight Bonded PelmetInside Window MountLinked - HD</v>
      </c>
      <c r="X2634" s="25">
        <v>0</v>
      </c>
      <c r="Y2634" s="25" t="s">
        <v>824</v>
      </c>
      <c r="Z2634" s="25" t="s">
        <v>824</v>
      </c>
      <c r="AA2634" s="25" t="s">
        <v>824</v>
      </c>
      <c r="AB2634" s="25" t="s">
        <v>824</v>
      </c>
      <c r="AC2634" s="25" t="s">
        <v>821</v>
      </c>
      <c r="AD2634" s="25" t="s">
        <v>824</v>
      </c>
      <c r="AE2634" s="25" t="s">
        <v>824</v>
      </c>
    </row>
    <row r="2635" spans="20:31" ht="14.4">
      <c r="T2635" s="25" t="s">
        <v>875</v>
      </c>
      <c r="U2635" s="25" t="s">
        <v>880</v>
      </c>
      <c r="V2635" s="25" t="s">
        <v>925</v>
      </c>
      <c r="W2635" s="25" t="str">
        <f t="shared" si="60"/>
        <v>Straight Bonded PelmetInside Window MountLinked 60mm</v>
      </c>
      <c r="X2635" s="25">
        <v>0</v>
      </c>
      <c r="Y2635" s="25" t="s">
        <v>824</v>
      </c>
      <c r="Z2635" s="25" t="s">
        <v>824</v>
      </c>
      <c r="AA2635" s="25" t="s">
        <v>824</v>
      </c>
      <c r="AB2635" s="25" t="s">
        <v>824</v>
      </c>
      <c r="AC2635" s="25" t="s">
        <v>821</v>
      </c>
      <c r="AD2635" s="25" t="s">
        <v>824</v>
      </c>
      <c r="AE2635" s="25" t="s">
        <v>824</v>
      </c>
    </row>
    <row r="2636" spans="20:31" ht="14.4">
      <c r="T2636" s="25" t="s">
        <v>875</v>
      </c>
      <c r="U2636" s="25" t="s">
        <v>880</v>
      </c>
      <c r="V2636" s="25" t="s">
        <v>910</v>
      </c>
      <c r="W2636" s="25" t="str">
        <f t="shared" si="60"/>
        <v>Straight Bonded PelmetInside Window MountStandard Spring</v>
      </c>
      <c r="X2636" s="25">
        <v>0</v>
      </c>
      <c r="Y2636" s="25" t="s">
        <v>824</v>
      </c>
      <c r="Z2636" s="25" t="s">
        <v>824</v>
      </c>
      <c r="AA2636" s="25" t="s">
        <v>824</v>
      </c>
      <c r="AB2636" s="25" t="s">
        <v>824</v>
      </c>
      <c r="AC2636" s="25" t="s">
        <v>821</v>
      </c>
      <c r="AD2636" s="25" t="s">
        <v>824</v>
      </c>
      <c r="AE2636" s="25" t="s">
        <v>824</v>
      </c>
    </row>
    <row r="2637" spans="20:31" ht="14.4">
      <c r="T2637" s="25" t="s">
        <v>875</v>
      </c>
      <c r="U2637" s="25" t="s">
        <v>880</v>
      </c>
      <c r="V2637" s="25" t="s">
        <v>920</v>
      </c>
      <c r="W2637" s="25" t="str">
        <f t="shared" si="60"/>
        <v>Straight Bonded PelmetInside Window MountSmall Spring</v>
      </c>
      <c r="X2637" s="25">
        <v>0</v>
      </c>
      <c r="Y2637" s="25" t="s">
        <v>824</v>
      </c>
      <c r="Z2637" s="25" t="s">
        <v>824</v>
      </c>
      <c r="AA2637" s="25" t="s">
        <v>824</v>
      </c>
      <c r="AB2637" s="25" t="s">
        <v>824</v>
      </c>
      <c r="AC2637" s="25" t="s">
        <v>821</v>
      </c>
      <c r="AD2637" s="25" t="s">
        <v>824</v>
      </c>
      <c r="AE2637" s="25" t="s">
        <v>824</v>
      </c>
    </row>
    <row r="2638" spans="20:31" ht="14.4">
      <c r="T2638" s="25" t="s">
        <v>875</v>
      </c>
      <c r="U2638" s="25" t="s">
        <v>880</v>
      </c>
      <c r="V2638" s="25" t="s">
        <v>929</v>
      </c>
      <c r="W2638" s="25" t="str">
        <f t="shared" si="60"/>
        <v>Straight Bonded PelmetInside Window MountUniline Spring (Old Style)</v>
      </c>
      <c r="X2638" s="25">
        <v>0</v>
      </c>
      <c r="Y2638" s="25" t="s">
        <v>824</v>
      </c>
      <c r="Z2638" s="25" t="s">
        <v>824</v>
      </c>
      <c r="AA2638" s="25" t="s">
        <v>824</v>
      </c>
      <c r="AB2638" s="25" t="s">
        <v>824</v>
      </c>
      <c r="AC2638" s="25" t="s">
        <v>821</v>
      </c>
      <c r="AD2638" s="25" t="s">
        <v>824</v>
      </c>
      <c r="AE2638" s="25" t="s">
        <v>824</v>
      </c>
    </row>
    <row r="2639" spans="20:31" ht="14.4">
      <c r="T2639" s="25" t="s">
        <v>875</v>
      </c>
      <c r="U2639" s="25" t="s">
        <v>880</v>
      </c>
      <c r="V2639" s="25" t="s">
        <v>935</v>
      </c>
      <c r="W2639" s="25" t="str">
        <f t="shared" si="60"/>
        <v>Straight Bonded PelmetInside Window MountBecker Remote Motor</v>
      </c>
      <c r="X2639" s="25">
        <v>0</v>
      </c>
      <c r="Y2639" s="25" t="s">
        <v>824</v>
      </c>
      <c r="Z2639" s="25" t="s">
        <v>824</v>
      </c>
      <c r="AA2639" s="25" t="s">
        <v>824</v>
      </c>
      <c r="AB2639" s="25" t="s">
        <v>824</v>
      </c>
      <c r="AC2639" s="25" t="s">
        <v>821</v>
      </c>
      <c r="AD2639" s="25" t="s">
        <v>824</v>
      </c>
      <c r="AE2639" s="25" t="s">
        <v>824</v>
      </c>
    </row>
    <row r="2640" spans="20:31" ht="14.4">
      <c r="T2640" s="25" t="s">
        <v>875</v>
      </c>
      <c r="U2640" s="25" t="s">
        <v>880</v>
      </c>
      <c r="V2640" s="25" t="s">
        <v>939</v>
      </c>
      <c r="W2640" s="25" t="str">
        <f t="shared" si="60"/>
        <v>Straight Bonded PelmetInside Window MountBecker CBUS Motor</v>
      </c>
      <c r="X2640" s="25">
        <v>0</v>
      </c>
      <c r="Y2640" s="25" t="s">
        <v>824</v>
      </c>
      <c r="Z2640" s="25" t="s">
        <v>824</v>
      </c>
      <c r="AA2640" s="25" t="s">
        <v>824</v>
      </c>
      <c r="AB2640" s="25" t="s">
        <v>824</v>
      </c>
      <c r="AC2640" s="25" t="s">
        <v>821</v>
      </c>
      <c r="AD2640" s="25" t="s">
        <v>824</v>
      </c>
      <c r="AE2640" s="25" t="s">
        <v>824</v>
      </c>
    </row>
    <row r="2641" spans="20:31" ht="14.4">
      <c r="T2641" s="25" t="s">
        <v>875</v>
      </c>
      <c r="U2641" s="25" t="s">
        <v>880</v>
      </c>
      <c r="V2641" s="25" t="s">
        <v>946</v>
      </c>
      <c r="W2641" s="25" t="str">
        <f t="shared" si="60"/>
        <v>Straight Bonded PelmetInside Window MountBecker External Remote Motor</v>
      </c>
      <c r="X2641" s="25">
        <v>0</v>
      </c>
      <c r="Y2641" s="25" t="s">
        <v>824</v>
      </c>
      <c r="Z2641" s="25" t="s">
        <v>824</v>
      </c>
      <c r="AA2641" s="25" t="s">
        <v>824</v>
      </c>
      <c r="AB2641" s="25" t="s">
        <v>824</v>
      </c>
      <c r="AC2641" s="25" t="s">
        <v>821</v>
      </c>
      <c r="AD2641" s="25" t="s">
        <v>824</v>
      </c>
      <c r="AE2641" s="25" t="s">
        <v>824</v>
      </c>
    </row>
    <row r="2642" spans="20:31" ht="14.4">
      <c r="T2642" s="25" t="s">
        <v>875</v>
      </c>
      <c r="U2642" s="25" t="s">
        <v>880</v>
      </c>
      <c r="V2642" s="25" t="s">
        <v>951</v>
      </c>
      <c r="W2642" s="25" t="str">
        <f t="shared" si="60"/>
        <v>Straight Bonded PelmetInside Window MountBecker External CBUS Motor</v>
      </c>
      <c r="X2642" s="25">
        <v>0</v>
      </c>
      <c r="Y2642" s="25" t="s">
        <v>824</v>
      </c>
      <c r="Z2642" s="25" t="s">
        <v>824</v>
      </c>
      <c r="AA2642" s="25" t="s">
        <v>824</v>
      </c>
      <c r="AB2642" s="25" t="s">
        <v>824</v>
      </c>
      <c r="AC2642" s="25" t="s">
        <v>821</v>
      </c>
      <c r="AD2642" s="25" t="s">
        <v>824</v>
      </c>
      <c r="AE2642" s="25" t="s">
        <v>824</v>
      </c>
    </row>
    <row r="2643" spans="20:31" ht="14.4">
      <c r="T2643" s="25" t="s">
        <v>875</v>
      </c>
      <c r="U2643" s="25" t="s">
        <v>880</v>
      </c>
      <c r="V2643" s="25" t="s">
        <v>838</v>
      </c>
      <c r="W2643" s="25" t="str">
        <f t="shared" si="60"/>
        <v>Straight Bonded PelmetInside Window Mount1.1nm 12v Acmeda Motor</v>
      </c>
      <c r="X2643" s="25">
        <v>0</v>
      </c>
      <c r="Y2643" s="25" t="s">
        <v>824</v>
      </c>
      <c r="Z2643" s="25" t="s">
        <v>824</v>
      </c>
      <c r="AA2643" s="25" t="s">
        <v>824</v>
      </c>
      <c r="AB2643" s="25" t="s">
        <v>824</v>
      </c>
      <c r="AC2643" s="25" t="s">
        <v>821</v>
      </c>
      <c r="AD2643" s="25" t="s">
        <v>824</v>
      </c>
      <c r="AE2643" s="25" t="s">
        <v>824</v>
      </c>
    </row>
    <row r="2644" spans="20:31" ht="14.4">
      <c r="T2644" s="25" t="s">
        <v>875</v>
      </c>
      <c r="U2644" s="25" t="s">
        <v>880</v>
      </c>
      <c r="V2644" t="s">
        <v>882</v>
      </c>
      <c r="W2644" s="25" t="str">
        <f t="shared" si="60"/>
        <v>Straight Bonded PelmetInside Window Mount2nm 12v Acmeda Motor</v>
      </c>
      <c r="X2644" s="25">
        <v>0</v>
      </c>
      <c r="Y2644" s="25" t="s">
        <v>824</v>
      </c>
      <c r="Z2644" s="25" t="s">
        <v>824</v>
      </c>
      <c r="AA2644" s="25" t="s">
        <v>824</v>
      </c>
      <c r="AB2644" s="25" t="s">
        <v>824</v>
      </c>
      <c r="AC2644" s="25" t="s">
        <v>821</v>
      </c>
      <c r="AD2644" s="25" t="s">
        <v>824</v>
      </c>
      <c r="AE2644" s="25" t="s">
        <v>824</v>
      </c>
    </row>
    <row r="2645" spans="20:31" ht="14.4">
      <c r="T2645" s="25" t="s">
        <v>875</v>
      </c>
      <c r="U2645" s="25" t="s">
        <v>880</v>
      </c>
      <c r="V2645" t="s">
        <v>896</v>
      </c>
      <c r="W2645" s="25" t="str">
        <f t="shared" si="60"/>
        <v>Straight Bonded PelmetInside Window MountAcmeda 12v 6nm Motor</v>
      </c>
      <c r="X2645" s="25">
        <v>0</v>
      </c>
      <c r="Y2645" s="25" t="s">
        <v>824</v>
      </c>
      <c r="Z2645" s="25" t="s">
        <v>824</v>
      </c>
      <c r="AA2645" s="25" t="s">
        <v>824</v>
      </c>
      <c r="AB2645" s="25" t="s">
        <v>824</v>
      </c>
      <c r="AC2645" s="25" t="s">
        <v>821</v>
      </c>
      <c r="AD2645" s="25" t="s">
        <v>824</v>
      </c>
      <c r="AE2645" s="25" t="s">
        <v>824</v>
      </c>
    </row>
    <row r="2646" spans="20:31" ht="14.4">
      <c r="T2646" s="25" t="s">
        <v>875</v>
      </c>
      <c r="U2646" s="25" t="s">
        <v>880</v>
      </c>
      <c r="V2646" t="s">
        <v>855</v>
      </c>
      <c r="W2646" s="25" t="str">
        <f t="shared" si="60"/>
        <v>Straight Bonded PelmetInside Window Mount0.7nm 12v Acmeda Motor</v>
      </c>
      <c r="X2646" s="25">
        <v>0</v>
      </c>
      <c r="Y2646" s="25" t="s">
        <v>824</v>
      </c>
      <c r="Z2646" s="25" t="s">
        <v>824</v>
      </c>
      <c r="AA2646" s="25" t="s">
        <v>824</v>
      </c>
      <c r="AB2646" s="25" t="s">
        <v>824</v>
      </c>
      <c r="AC2646" s="25" t="s">
        <v>821</v>
      </c>
      <c r="AD2646" s="25" t="s">
        <v>824</v>
      </c>
      <c r="AE2646" s="25" t="s">
        <v>824</v>
      </c>
    </row>
    <row r="2647" spans="20:31" ht="14.4">
      <c r="T2647" s="25" t="s">
        <v>875</v>
      </c>
      <c r="U2647" s="25" t="s">
        <v>880</v>
      </c>
      <c r="V2647" s="25" t="s">
        <v>849</v>
      </c>
      <c r="W2647" s="25" t="str">
        <f t="shared" si="60"/>
        <v>Straight Bonded PelmetInside Window Mount1.1nm 12v Acmeda DCRF Motor with External Battery</v>
      </c>
      <c r="X2647" s="25">
        <v>0</v>
      </c>
      <c r="Y2647" s="25" t="s">
        <v>824</v>
      </c>
      <c r="Z2647" s="25" t="s">
        <v>824</v>
      </c>
      <c r="AA2647" s="25" t="s">
        <v>824</v>
      </c>
      <c r="AB2647" s="25" t="s">
        <v>824</v>
      </c>
      <c r="AC2647" s="25" t="s">
        <v>821</v>
      </c>
      <c r="AD2647" s="25" t="s">
        <v>824</v>
      </c>
      <c r="AE2647" s="25" t="s">
        <v>824</v>
      </c>
    </row>
    <row r="2648" spans="20:31" ht="14.4">
      <c r="T2648" s="25" t="s">
        <v>875</v>
      </c>
      <c r="U2648" s="25" t="s">
        <v>880</v>
      </c>
      <c r="V2648" s="25" t="s">
        <v>817</v>
      </c>
      <c r="W2648" s="25" t="str">
        <f t="shared" si="60"/>
        <v>Straight Bonded PelmetInside Window Mount1.1nm 12v Acmeda DCRF Motor</v>
      </c>
      <c r="X2648" s="25">
        <v>0</v>
      </c>
      <c r="Y2648" s="25" t="s">
        <v>824</v>
      </c>
      <c r="Z2648" s="25" t="s">
        <v>824</v>
      </c>
      <c r="AA2648" s="25" t="s">
        <v>824</v>
      </c>
      <c r="AB2648" s="25" t="s">
        <v>824</v>
      </c>
      <c r="AC2648" s="25" t="s">
        <v>821</v>
      </c>
      <c r="AD2648" s="25" t="s">
        <v>824</v>
      </c>
      <c r="AE2648" s="25" t="s">
        <v>824</v>
      </c>
    </row>
    <row r="2649" spans="20:31" ht="14.4">
      <c r="T2649" s="25" t="s">
        <v>875</v>
      </c>
      <c r="U2649" s="25" t="s">
        <v>880</v>
      </c>
      <c r="V2649" s="25" t="s">
        <v>868</v>
      </c>
      <c r="W2649" s="25" t="str">
        <f t="shared" si="60"/>
        <v>Straight Bonded PelmetInside Window Mount2nm 12v Acmeda DCRF Motor</v>
      </c>
      <c r="X2649" s="25">
        <v>0</v>
      </c>
      <c r="Y2649" s="25" t="s">
        <v>824</v>
      </c>
      <c r="Z2649" s="25" t="s">
        <v>824</v>
      </c>
      <c r="AA2649" s="25" t="s">
        <v>824</v>
      </c>
      <c r="AB2649" s="25" t="s">
        <v>824</v>
      </c>
      <c r="AC2649" s="25" t="s">
        <v>821</v>
      </c>
      <c r="AD2649" s="25" t="s">
        <v>824</v>
      </c>
      <c r="AE2649" s="25" t="s">
        <v>824</v>
      </c>
    </row>
    <row r="2650" spans="20:31" ht="14.4">
      <c r="T2650" s="25" t="s">
        <v>875</v>
      </c>
      <c r="U2650" s="25" t="s">
        <v>880</v>
      </c>
      <c r="V2650" t="s">
        <v>973</v>
      </c>
      <c r="W2650" s="25" t="str">
        <f t="shared" si="60"/>
        <v>Straight Bonded PelmetInside Window MountSomfy Remote Sonesse Motor</v>
      </c>
      <c r="X2650" s="25">
        <v>0</v>
      </c>
      <c r="Y2650" s="25" t="s">
        <v>824</v>
      </c>
      <c r="Z2650" s="25" t="s">
        <v>824</v>
      </c>
      <c r="AA2650" s="25" t="s">
        <v>824</v>
      </c>
      <c r="AB2650" s="25" t="s">
        <v>824</v>
      </c>
      <c r="AC2650" s="25" t="s">
        <v>821</v>
      </c>
      <c r="AD2650" s="25" t="s">
        <v>824</v>
      </c>
      <c r="AE2650" s="25" t="s">
        <v>824</v>
      </c>
    </row>
    <row r="2651" spans="20:31" ht="14.4">
      <c r="T2651" s="25" t="s">
        <v>875</v>
      </c>
      <c r="U2651" s="25" t="s">
        <v>880</v>
      </c>
      <c r="V2651" t="s">
        <v>637</v>
      </c>
      <c r="W2651" s="25" t="str">
        <f t="shared" si="60"/>
        <v>Straight Bonded PelmetInside Window MountSomfy 12v Remote Sonesse Motor</v>
      </c>
      <c r="X2651" s="25">
        <v>0</v>
      </c>
      <c r="Y2651" s="25" t="s">
        <v>824</v>
      </c>
      <c r="Z2651" s="25" t="s">
        <v>824</v>
      </c>
      <c r="AA2651" s="25" t="s">
        <v>824</v>
      </c>
      <c r="AB2651" s="25" t="s">
        <v>824</v>
      </c>
      <c r="AC2651" s="25" t="s">
        <v>821</v>
      </c>
      <c r="AD2651" s="25" t="s">
        <v>824</v>
      </c>
      <c r="AE2651" s="25" t="s">
        <v>824</v>
      </c>
    </row>
    <row r="2652" spans="20:31" ht="14.4">
      <c r="T2652" s="25" t="s">
        <v>875</v>
      </c>
      <c r="U2652" s="25" t="s">
        <v>880</v>
      </c>
      <c r="V2652" s="25" t="s">
        <v>974</v>
      </c>
      <c r="W2652" s="25" t="str">
        <f t="shared" si="60"/>
        <v>Straight Bonded PelmetInside Window MountSomfy CBUS Motor</v>
      </c>
      <c r="X2652" s="25">
        <v>0</v>
      </c>
      <c r="Y2652" s="25" t="s">
        <v>824</v>
      </c>
      <c r="Z2652" s="25" t="s">
        <v>824</v>
      </c>
      <c r="AA2652" s="25" t="s">
        <v>824</v>
      </c>
      <c r="AB2652" s="25" t="s">
        <v>824</v>
      </c>
      <c r="AC2652" s="25" t="s">
        <v>821</v>
      </c>
      <c r="AD2652" s="25" t="s">
        <v>824</v>
      </c>
      <c r="AE2652" s="25" t="s">
        <v>824</v>
      </c>
    </row>
    <row r="2653" spans="20:31" ht="14.4">
      <c r="T2653" s="25" t="s">
        <v>875</v>
      </c>
      <c r="U2653" s="25" t="s">
        <v>880</v>
      </c>
      <c r="V2653" t="s">
        <v>986</v>
      </c>
      <c r="W2653" s="25" t="str">
        <f t="shared" si="60"/>
        <v>Straight Bonded PelmetInside Window MountHD Somfy Remote Sonesse Motor</v>
      </c>
      <c r="X2653" s="25">
        <v>0</v>
      </c>
      <c r="Y2653" s="25" t="s">
        <v>824</v>
      </c>
      <c r="Z2653" s="25" t="s">
        <v>824</v>
      </c>
      <c r="AA2653" s="25" t="s">
        <v>824</v>
      </c>
      <c r="AB2653" s="25" t="s">
        <v>824</v>
      </c>
      <c r="AC2653" s="25" t="s">
        <v>821</v>
      </c>
      <c r="AD2653" s="25" t="s">
        <v>824</v>
      </c>
      <c r="AE2653" s="25" t="s">
        <v>824</v>
      </c>
    </row>
    <row r="2654" spans="20:31" ht="14.4">
      <c r="T2654" s="25" t="s">
        <v>875</v>
      </c>
      <c r="U2654" s="25" t="s">
        <v>880</v>
      </c>
      <c r="V2654" t="s">
        <v>989</v>
      </c>
      <c r="W2654" s="25" t="str">
        <f t="shared" si="60"/>
        <v>Straight Bonded PelmetInside Window MountHD Somfy 12v Remote Sonesse Motor</v>
      </c>
      <c r="X2654" s="25">
        <v>0</v>
      </c>
      <c r="Y2654" s="25" t="s">
        <v>824</v>
      </c>
      <c r="Z2654" s="25" t="s">
        <v>824</v>
      </c>
      <c r="AA2654" s="25" t="s">
        <v>824</v>
      </c>
      <c r="AB2654" s="25" t="s">
        <v>824</v>
      </c>
      <c r="AC2654" s="25" t="s">
        <v>821</v>
      </c>
      <c r="AD2654" s="25" t="s">
        <v>824</v>
      </c>
      <c r="AE2654" s="25" t="s">
        <v>824</v>
      </c>
    </row>
    <row r="2655" spans="20:31" ht="14.4">
      <c r="T2655" s="25" t="s">
        <v>875</v>
      </c>
      <c r="U2655" s="25" t="s">
        <v>880</v>
      </c>
      <c r="V2655" s="25" t="s">
        <v>992</v>
      </c>
      <c r="W2655" s="25" t="str">
        <f t="shared" si="60"/>
        <v>Straight Bonded PelmetInside Window MountHD Somfy CBUS Motor</v>
      </c>
      <c r="X2655" s="25">
        <v>0</v>
      </c>
      <c r="Y2655" s="25" t="s">
        <v>824</v>
      </c>
      <c r="Z2655" s="25" t="s">
        <v>824</v>
      </c>
      <c r="AA2655" s="25" t="s">
        <v>824</v>
      </c>
      <c r="AB2655" s="25" t="s">
        <v>824</v>
      </c>
      <c r="AC2655" s="25" t="s">
        <v>821</v>
      </c>
      <c r="AD2655" s="25" t="s">
        <v>824</v>
      </c>
      <c r="AE2655" s="25" t="s">
        <v>824</v>
      </c>
    </row>
    <row r="2656" spans="20:31" ht="14.4">
      <c r="T2656" s="25" t="s">
        <v>875</v>
      </c>
      <c r="U2656" s="25" t="s">
        <v>880</v>
      </c>
      <c r="V2656" s="25" t="s">
        <v>625</v>
      </c>
      <c r="W2656" s="25" t="str">
        <f t="shared" si="60"/>
        <v>Straight Bonded PelmetInside Window MountAcmeda E6 Motor</v>
      </c>
      <c r="X2656" s="25">
        <v>0</v>
      </c>
      <c r="Y2656" s="25" t="s">
        <v>824</v>
      </c>
      <c r="Z2656" s="25" t="s">
        <v>824</v>
      </c>
      <c r="AA2656" s="25" t="s">
        <v>824</v>
      </c>
      <c r="AB2656" s="25" t="s">
        <v>824</v>
      </c>
      <c r="AC2656" s="25" t="s">
        <v>821</v>
      </c>
      <c r="AD2656" s="25" t="s">
        <v>824</v>
      </c>
      <c r="AE2656" s="25" t="s">
        <v>824</v>
      </c>
    </row>
    <row r="2657" spans="20:31" ht="14.4">
      <c r="T2657" s="25" t="s">
        <v>875</v>
      </c>
      <c r="U2657" s="25" t="s">
        <v>880</v>
      </c>
      <c r="V2657" s="25" t="s">
        <v>626</v>
      </c>
      <c r="W2657" s="25" t="str">
        <f t="shared" si="60"/>
        <v>Straight Bonded PelmetInside Window MountAcmeda M6 Motor</v>
      </c>
      <c r="X2657" s="25">
        <v>0</v>
      </c>
      <c r="Y2657" s="25" t="s">
        <v>824</v>
      </c>
      <c r="Z2657" s="25" t="s">
        <v>824</v>
      </c>
      <c r="AA2657" s="25" t="s">
        <v>824</v>
      </c>
      <c r="AB2657" s="25" t="s">
        <v>824</v>
      </c>
      <c r="AC2657" s="25" t="s">
        <v>821</v>
      </c>
      <c r="AD2657" s="25" t="s">
        <v>824</v>
      </c>
      <c r="AE2657" s="25" t="s">
        <v>824</v>
      </c>
    </row>
    <row r="2658" spans="20:31" ht="14.4">
      <c r="T2658" s="25" t="s">
        <v>875</v>
      </c>
      <c r="U2658" s="25" t="s">
        <v>880</v>
      </c>
      <c r="V2658" s="25" t="s">
        <v>1002</v>
      </c>
      <c r="W2658" s="25" t="str">
        <f t="shared" si="60"/>
        <v>Straight Bonded PelmetInside Window MountUniline Remote Motor</v>
      </c>
      <c r="X2658" s="25">
        <v>0</v>
      </c>
      <c r="Y2658" s="25" t="s">
        <v>824</v>
      </c>
      <c r="Z2658" s="25" t="s">
        <v>824</v>
      </c>
      <c r="AA2658" s="25" t="s">
        <v>824</v>
      </c>
      <c r="AB2658" s="25" t="s">
        <v>824</v>
      </c>
      <c r="AC2658" s="25" t="s">
        <v>821</v>
      </c>
      <c r="AD2658" s="25" t="s">
        <v>824</v>
      </c>
      <c r="AE2658" s="25" t="s">
        <v>824</v>
      </c>
    </row>
    <row r="2659" spans="20:31" ht="14.4">
      <c r="T2659" s="25" t="s">
        <v>875</v>
      </c>
      <c r="U2659" s="25" t="s">
        <v>880</v>
      </c>
      <c r="V2659" s="25" t="s">
        <v>1005</v>
      </c>
      <c r="W2659" s="25" t="str">
        <f t="shared" si="60"/>
        <v>Straight Bonded PelmetInside Window MountUniline Cbus Motor</v>
      </c>
      <c r="X2659" s="25">
        <v>0</v>
      </c>
      <c r="Y2659" s="25" t="s">
        <v>824</v>
      </c>
      <c r="Z2659" s="25" t="s">
        <v>824</v>
      </c>
      <c r="AA2659" s="25" t="s">
        <v>824</v>
      </c>
      <c r="AB2659" s="25" t="s">
        <v>824</v>
      </c>
      <c r="AC2659" s="25" t="s">
        <v>821</v>
      </c>
      <c r="AD2659" s="25" t="s">
        <v>824</v>
      </c>
      <c r="AE2659" s="25" t="s">
        <v>824</v>
      </c>
    </row>
    <row r="2660" spans="20:31" ht="14.4">
      <c r="T2660" s="25" t="s">
        <v>875</v>
      </c>
      <c r="U2660" s="25" t="s">
        <v>880</v>
      </c>
      <c r="V2660" s="25" t="s">
        <v>981</v>
      </c>
      <c r="W2660" s="25" t="str">
        <f t="shared" si="60"/>
        <v>Straight Bonded PelmetInside Window MountNice Remote Motor</v>
      </c>
      <c r="X2660" s="25">
        <v>0</v>
      </c>
      <c r="Y2660" s="25" t="s">
        <v>824</v>
      </c>
      <c r="Z2660" s="25" t="s">
        <v>824</v>
      </c>
      <c r="AA2660" s="25" t="s">
        <v>824</v>
      </c>
      <c r="AB2660" s="25" t="s">
        <v>824</v>
      </c>
      <c r="AC2660" s="25" t="s">
        <v>821</v>
      </c>
      <c r="AD2660" s="25" t="s">
        <v>824</v>
      </c>
      <c r="AE2660" s="25" t="s">
        <v>824</v>
      </c>
    </row>
    <row r="2661" spans="20:31" ht="14.4">
      <c r="T2661" s="25" t="s">
        <v>875</v>
      </c>
      <c r="U2661" s="25" t="s">
        <v>880</v>
      </c>
      <c r="V2661" s="25" t="s">
        <v>976</v>
      </c>
      <c r="W2661" s="25" t="str">
        <f t="shared" si="60"/>
        <v>Straight Bonded PelmetInside Window MountNice CBus Motor</v>
      </c>
      <c r="X2661" s="25">
        <v>0</v>
      </c>
      <c r="Y2661" s="25" t="s">
        <v>824</v>
      </c>
      <c r="Z2661" s="25" t="s">
        <v>824</v>
      </c>
      <c r="AA2661" s="25" t="s">
        <v>824</v>
      </c>
      <c r="AB2661" s="25" t="s">
        <v>824</v>
      </c>
      <c r="AC2661" s="25" t="s">
        <v>821</v>
      </c>
      <c r="AD2661" s="25" t="s">
        <v>824</v>
      </c>
      <c r="AE2661" s="25" t="s">
        <v>824</v>
      </c>
    </row>
    <row r="2662" spans="20:31" ht="14.4">
      <c r="T2662" s="25" t="s">
        <v>875</v>
      </c>
      <c r="U2662" s="25" t="s">
        <v>880</v>
      </c>
      <c r="V2662" t="s">
        <v>1006</v>
      </c>
      <c r="W2662" s="25" t="str">
        <f t="shared" si="60"/>
        <v>Straight Bonded PelmetInside Window MountSunboss Chain Winder 38mm Tube</v>
      </c>
      <c r="X2662" s="25">
        <v>0</v>
      </c>
      <c r="Y2662" s="25" t="s">
        <v>824</v>
      </c>
      <c r="Z2662" s="25" t="s">
        <v>824</v>
      </c>
      <c r="AA2662" s="25" t="s">
        <v>824</v>
      </c>
      <c r="AB2662" s="25" t="s">
        <v>824</v>
      </c>
      <c r="AC2662" s="25" t="s">
        <v>821</v>
      </c>
      <c r="AD2662" s="25" t="s">
        <v>824</v>
      </c>
      <c r="AE2662" s="25" t="s">
        <v>824</v>
      </c>
    </row>
    <row r="2663" spans="20:31" ht="14.4">
      <c r="T2663" s="25" t="s">
        <v>875</v>
      </c>
      <c r="U2663" s="25" t="s">
        <v>880</v>
      </c>
      <c r="V2663" t="s">
        <v>1017</v>
      </c>
      <c r="W2663" s="25" t="str">
        <f t="shared" si="60"/>
        <v>Straight Bonded PelmetInside Window MountSunboss Chain Winder 43mm Tube</v>
      </c>
      <c r="X2663" s="25">
        <v>0</v>
      </c>
      <c r="Y2663" s="25" t="s">
        <v>824</v>
      </c>
      <c r="Z2663" s="25" t="s">
        <v>824</v>
      </c>
      <c r="AA2663" s="25" t="s">
        <v>824</v>
      </c>
      <c r="AB2663" s="25" t="s">
        <v>824</v>
      </c>
      <c r="AC2663" s="25" t="s">
        <v>821</v>
      </c>
      <c r="AD2663" s="25" t="s">
        <v>824</v>
      </c>
      <c r="AE2663" s="25" t="s">
        <v>824</v>
      </c>
    </row>
    <row r="2664" spans="20:31" ht="14.4">
      <c r="T2664" s="25" t="s">
        <v>875</v>
      </c>
      <c r="U2664" s="25" t="s">
        <v>880</v>
      </c>
      <c r="V2664" s="25" t="s">
        <v>1012</v>
      </c>
      <c r="W2664" s="25" t="str">
        <f t="shared" si="60"/>
        <v>Straight Bonded PelmetInside Window MountTBS Remote Motor</v>
      </c>
      <c r="X2664" s="25">
        <v>0</v>
      </c>
      <c r="Y2664" s="25" t="s">
        <v>824</v>
      </c>
      <c r="Z2664" s="25" t="s">
        <v>824</v>
      </c>
      <c r="AA2664" s="25" t="s">
        <v>824</v>
      </c>
      <c r="AB2664" s="25" t="s">
        <v>824</v>
      </c>
      <c r="AC2664" s="25" t="s">
        <v>821</v>
      </c>
      <c r="AD2664" s="25" t="s">
        <v>824</v>
      </c>
      <c r="AE2664" s="25" t="s">
        <v>824</v>
      </c>
    </row>
    <row r="2665" spans="20:31" ht="14.4">
      <c r="T2665" s="25" t="s">
        <v>875</v>
      </c>
      <c r="U2665" s="25" t="s">
        <v>880</v>
      </c>
      <c r="V2665" t="s">
        <v>1009</v>
      </c>
      <c r="W2665" s="25" t="str">
        <f t="shared" si="60"/>
        <v>Straight Bonded PelmetInside Window MountTBS Cbus Motor</v>
      </c>
      <c r="X2665" s="25">
        <v>0</v>
      </c>
      <c r="Y2665" s="25" t="s">
        <v>824</v>
      </c>
      <c r="Z2665" s="25" t="s">
        <v>824</v>
      </c>
      <c r="AA2665" s="25" t="s">
        <v>824</v>
      </c>
      <c r="AB2665" s="25" t="s">
        <v>824</v>
      </c>
      <c r="AC2665" s="25" t="s">
        <v>821</v>
      </c>
      <c r="AD2665" s="25" t="s">
        <v>824</v>
      </c>
      <c r="AE2665" s="25" t="s">
        <v>824</v>
      </c>
    </row>
    <row r="2666" spans="20:31" ht="14.4">
      <c r="T2666" s="25" t="s">
        <v>875</v>
      </c>
      <c r="U2666" s="25" t="s">
        <v>880</v>
      </c>
      <c r="V2666" t="s">
        <v>927</v>
      </c>
      <c r="W2666" s="25" t="str">
        <f t="shared" si="60"/>
        <v>Straight Bonded PelmetInside Window MountAcmeda External Motor</v>
      </c>
      <c r="X2666" s="25">
        <v>0</v>
      </c>
      <c r="Y2666" s="25" t="s">
        <v>824</v>
      </c>
      <c r="Z2666" s="25" t="s">
        <v>824</v>
      </c>
      <c r="AA2666" s="25" t="s">
        <v>824</v>
      </c>
      <c r="AB2666" s="25" t="s">
        <v>824</v>
      </c>
      <c r="AC2666" s="25" t="s">
        <v>821</v>
      </c>
      <c r="AD2666" s="25" t="s">
        <v>824</v>
      </c>
      <c r="AE2666" s="25" t="s">
        <v>824</v>
      </c>
    </row>
    <row r="2667" spans="20:31" ht="14.4">
      <c r="T2667" s="25" t="s">
        <v>875</v>
      </c>
      <c r="U2667" s="25" t="s">
        <v>880</v>
      </c>
      <c r="V2667" t="s">
        <v>918</v>
      </c>
      <c r="W2667" s="25" t="str">
        <f t="shared" si="60"/>
        <v>Straight Bonded PelmetInside Window MountAcmeda External 12v Motor</v>
      </c>
      <c r="X2667" s="25">
        <v>0</v>
      </c>
      <c r="Y2667" s="25" t="s">
        <v>824</v>
      </c>
      <c r="Z2667" s="25" t="s">
        <v>824</v>
      </c>
      <c r="AA2667" s="25" t="s">
        <v>824</v>
      </c>
      <c r="AB2667" s="25" t="s">
        <v>824</v>
      </c>
      <c r="AC2667" s="25" t="s">
        <v>821</v>
      </c>
      <c r="AD2667" s="25" t="s">
        <v>824</v>
      </c>
      <c r="AE2667" s="25" t="s">
        <v>824</v>
      </c>
    </row>
    <row r="2668" spans="20:31" ht="14.4">
      <c r="T2668" s="25" t="s">
        <v>875</v>
      </c>
      <c r="U2668" s="25" t="s">
        <v>880</v>
      </c>
      <c r="V2668" t="s">
        <v>979</v>
      </c>
      <c r="W2668" s="25" t="str">
        <f t="shared" si="60"/>
        <v>Straight Bonded PelmetInside Window MountSomfy External CBUS Motor</v>
      </c>
      <c r="X2668" s="25">
        <v>0</v>
      </c>
      <c r="Y2668" s="25" t="s">
        <v>824</v>
      </c>
      <c r="Z2668" s="25" t="s">
        <v>824</v>
      </c>
      <c r="AA2668" s="25" t="s">
        <v>824</v>
      </c>
      <c r="AB2668" s="25" t="s">
        <v>824</v>
      </c>
      <c r="AC2668" s="25" t="s">
        <v>821</v>
      </c>
      <c r="AD2668" s="25" t="s">
        <v>824</v>
      </c>
      <c r="AE2668" s="25" t="s">
        <v>824</v>
      </c>
    </row>
    <row r="2669" spans="20:31" ht="14.4">
      <c r="T2669" s="25" t="s">
        <v>875</v>
      </c>
      <c r="U2669" s="25" t="s">
        <v>880</v>
      </c>
      <c r="V2669" t="s">
        <v>983</v>
      </c>
      <c r="W2669" s="25" t="str">
        <f t="shared" si="60"/>
        <v>Straight Bonded PelmetInside Window MountSomfy External Remote Motor</v>
      </c>
      <c r="X2669" s="25">
        <v>0</v>
      </c>
      <c r="Y2669" s="25" t="s">
        <v>824</v>
      </c>
      <c r="Z2669" s="25" t="s">
        <v>824</v>
      </c>
      <c r="AA2669" s="25" t="s">
        <v>824</v>
      </c>
      <c r="AB2669" s="25" t="s">
        <v>824</v>
      </c>
      <c r="AC2669" s="25" t="s">
        <v>821</v>
      </c>
      <c r="AD2669" s="25" t="s">
        <v>824</v>
      </c>
      <c r="AE2669" s="25" t="s">
        <v>824</v>
      </c>
    </row>
    <row r="2670" spans="20:31" ht="14.4">
      <c r="T2670" s="25" t="s">
        <v>875</v>
      </c>
      <c r="U2670" s="25" t="s">
        <v>880</v>
      </c>
      <c r="V2670" t="s">
        <v>995</v>
      </c>
      <c r="W2670" s="25" t="str">
        <f t="shared" si="60"/>
        <v>Straight Bonded PelmetInside Window MountHD Somfy External CBUS Motor</v>
      </c>
      <c r="X2670" s="25">
        <v>0</v>
      </c>
      <c r="Y2670" s="25" t="s">
        <v>824</v>
      </c>
      <c r="Z2670" s="25" t="s">
        <v>824</v>
      </c>
      <c r="AA2670" s="25" t="s">
        <v>824</v>
      </c>
      <c r="AB2670" s="25" t="s">
        <v>824</v>
      </c>
      <c r="AC2670" s="25" t="s">
        <v>821</v>
      </c>
      <c r="AD2670" s="25" t="s">
        <v>824</v>
      </c>
      <c r="AE2670" s="25" t="s">
        <v>824</v>
      </c>
    </row>
    <row r="2671" spans="20:31" ht="14.4">
      <c r="T2671" s="25" t="s">
        <v>875</v>
      </c>
      <c r="U2671" s="25" t="s">
        <v>880</v>
      </c>
      <c r="V2671" t="s">
        <v>999</v>
      </c>
      <c r="W2671" s="25" t="str">
        <f t="shared" si="60"/>
        <v>Straight Bonded PelmetInside Window MountHD Somfy External Remote Motor</v>
      </c>
      <c r="X2671" s="25">
        <v>0</v>
      </c>
      <c r="Y2671" s="25" t="s">
        <v>824</v>
      </c>
      <c r="Z2671" s="25" t="s">
        <v>824</v>
      </c>
      <c r="AA2671" s="25" t="s">
        <v>824</v>
      </c>
      <c r="AB2671" s="25" t="s">
        <v>824</v>
      </c>
      <c r="AC2671" s="25" t="s">
        <v>821</v>
      </c>
      <c r="AD2671" s="25" t="s">
        <v>824</v>
      </c>
      <c r="AE2671" s="25" t="s">
        <v>824</v>
      </c>
    </row>
    <row r="2672" spans="20:31" ht="14.4">
      <c r="T2672" s="25" t="s">
        <v>875</v>
      </c>
      <c r="U2672" s="25" t="s">
        <v>867</v>
      </c>
      <c r="V2672" s="25" t="s">
        <v>823</v>
      </c>
      <c r="W2672" s="25" t="str">
        <f t="shared" si="60"/>
        <v>Straight Bonded PelmetOutside Window MountChain Winder</v>
      </c>
      <c r="X2672" s="25">
        <v>0</v>
      </c>
      <c r="Y2672" s="25" t="s">
        <v>824</v>
      </c>
      <c r="Z2672" s="25" t="s">
        <v>824</v>
      </c>
      <c r="AA2672" s="25" t="s">
        <v>824</v>
      </c>
      <c r="AB2672" s="25" t="s">
        <v>824</v>
      </c>
      <c r="AC2672" s="25" t="s">
        <v>821</v>
      </c>
      <c r="AD2672" s="25" t="s">
        <v>824</v>
      </c>
      <c r="AE2672" s="25" t="s">
        <v>824</v>
      </c>
    </row>
    <row r="2673" spans="20:31" ht="14.4">
      <c r="T2673" s="25" t="s">
        <v>875</v>
      </c>
      <c r="U2673" s="25" t="s">
        <v>867</v>
      </c>
      <c r="V2673" s="25" t="s">
        <v>841</v>
      </c>
      <c r="W2673" s="25" t="str">
        <f t="shared" si="60"/>
        <v>Straight Bonded PelmetOutside Window MountHD Chain Winder</v>
      </c>
      <c r="X2673" s="25">
        <v>0</v>
      </c>
      <c r="Y2673" s="25" t="s">
        <v>824</v>
      </c>
      <c r="Z2673" s="25" t="s">
        <v>824</v>
      </c>
      <c r="AA2673" s="25" t="s">
        <v>824</v>
      </c>
      <c r="AB2673" s="25" t="s">
        <v>824</v>
      </c>
      <c r="AC2673" s="25" t="s">
        <v>821</v>
      </c>
      <c r="AD2673" s="25" t="s">
        <v>824</v>
      </c>
      <c r="AE2673" s="25" t="s">
        <v>824</v>
      </c>
    </row>
    <row r="2674" spans="20:31" ht="14.4">
      <c r="T2674" s="25" t="s">
        <v>875</v>
      </c>
      <c r="U2674" s="25" t="s">
        <v>867</v>
      </c>
      <c r="V2674" s="25" t="s">
        <v>858</v>
      </c>
      <c r="W2674" s="25" t="str">
        <f t="shared" si="60"/>
        <v>Straight Bonded PelmetOutside Window MountChain Winder 60mm</v>
      </c>
      <c r="X2674" s="25">
        <v>0</v>
      </c>
      <c r="Y2674" s="25" t="s">
        <v>824</v>
      </c>
      <c r="Z2674" s="25" t="s">
        <v>824</v>
      </c>
      <c r="AA2674" s="25" t="s">
        <v>824</v>
      </c>
      <c r="AB2674" s="25" t="s">
        <v>824</v>
      </c>
      <c r="AC2674" s="25" t="s">
        <v>821</v>
      </c>
      <c r="AD2674" s="25" t="s">
        <v>824</v>
      </c>
      <c r="AE2674" s="25" t="s">
        <v>824</v>
      </c>
    </row>
    <row r="2675" spans="20:31" ht="14.4">
      <c r="T2675" s="25" t="s">
        <v>875</v>
      </c>
      <c r="U2675" s="25" t="s">
        <v>867</v>
      </c>
      <c r="V2675" s="25" t="s">
        <v>865</v>
      </c>
      <c r="W2675" s="25" t="str">
        <f t="shared" si="60"/>
        <v>Straight Bonded PelmetOutside Window MountChain Winder Fixed Guide</v>
      </c>
      <c r="X2675" s="25">
        <v>0</v>
      </c>
      <c r="Y2675" s="25" t="s">
        <v>824</v>
      </c>
      <c r="Z2675" s="25" t="s">
        <v>824</v>
      </c>
      <c r="AA2675" s="25" t="s">
        <v>824</v>
      </c>
      <c r="AB2675" s="25" t="s">
        <v>824</v>
      </c>
      <c r="AC2675" s="25" t="s">
        <v>821</v>
      </c>
      <c r="AD2675" s="25" t="s">
        <v>824</v>
      </c>
      <c r="AE2675" s="25" t="s">
        <v>824</v>
      </c>
    </row>
    <row r="2676" spans="20:31" ht="14.4">
      <c r="T2676" s="25" t="s">
        <v>875</v>
      </c>
      <c r="U2676" s="25" t="s">
        <v>867</v>
      </c>
      <c r="V2676" s="25" t="s">
        <v>181</v>
      </c>
      <c r="W2676" s="25" t="str">
        <f t="shared" si="60"/>
        <v>Straight Bonded PelmetOutside Window MountLinked</v>
      </c>
      <c r="X2676" s="25">
        <v>0</v>
      </c>
      <c r="Y2676" s="25" t="s">
        <v>824</v>
      </c>
      <c r="Z2676" s="25" t="s">
        <v>824</v>
      </c>
      <c r="AA2676" s="25" t="s">
        <v>824</v>
      </c>
      <c r="AB2676" s="25" t="s">
        <v>824</v>
      </c>
      <c r="AC2676" s="25" t="s">
        <v>821</v>
      </c>
      <c r="AD2676" s="25" t="s">
        <v>824</v>
      </c>
      <c r="AE2676" s="25" t="s">
        <v>824</v>
      </c>
    </row>
    <row r="2677" spans="20:31" ht="14.4">
      <c r="T2677" s="25" t="s">
        <v>875</v>
      </c>
      <c r="U2677" s="25" t="s">
        <v>867</v>
      </c>
      <c r="V2677" s="25" t="s">
        <v>898</v>
      </c>
      <c r="W2677" s="25" t="str">
        <f t="shared" si="60"/>
        <v>Straight Bonded PelmetOutside Window MountLinked - HD</v>
      </c>
      <c r="X2677" s="25">
        <v>0</v>
      </c>
      <c r="Y2677" s="25" t="s">
        <v>824</v>
      </c>
      <c r="Z2677" s="25" t="s">
        <v>824</v>
      </c>
      <c r="AA2677" s="25" t="s">
        <v>824</v>
      </c>
      <c r="AB2677" s="25" t="s">
        <v>824</v>
      </c>
      <c r="AC2677" s="25" t="s">
        <v>821</v>
      </c>
      <c r="AD2677" s="25" t="s">
        <v>824</v>
      </c>
      <c r="AE2677" s="25" t="s">
        <v>824</v>
      </c>
    </row>
    <row r="2678" spans="20:31" ht="14.4">
      <c r="T2678" s="25" t="s">
        <v>875</v>
      </c>
      <c r="U2678" s="25" t="s">
        <v>867</v>
      </c>
      <c r="V2678" s="25" t="s">
        <v>925</v>
      </c>
      <c r="W2678" s="25" t="str">
        <f t="shared" si="60"/>
        <v>Straight Bonded PelmetOutside Window MountLinked 60mm</v>
      </c>
      <c r="X2678" s="25">
        <v>0</v>
      </c>
      <c r="Y2678" s="25" t="s">
        <v>824</v>
      </c>
      <c r="Z2678" s="25" t="s">
        <v>824</v>
      </c>
      <c r="AA2678" s="25" t="s">
        <v>824</v>
      </c>
      <c r="AB2678" s="25" t="s">
        <v>824</v>
      </c>
      <c r="AC2678" s="25" t="s">
        <v>821</v>
      </c>
      <c r="AD2678" s="25" t="s">
        <v>824</v>
      </c>
      <c r="AE2678" s="25" t="s">
        <v>824</v>
      </c>
    </row>
    <row r="2679" spans="20:31" ht="14.4">
      <c r="T2679" s="25" t="s">
        <v>875</v>
      </c>
      <c r="U2679" s="25" t="s">
        <v>867</v>
      </c>
      <c r="V2679" s="25" t="s">
        <v>910</v>
      </c>
      <c r="W2679" s="25" t="str">
        <f t="shared" si="60"/>
        <v>Straight Bonded PelmetOutside Window MountStandard Spring</v>
      </c>
      <c r="X2679" s="25">
        <v>0</v>
      </c>
      <c r="Y2679" s="25" t="s">
        <v>824</v>
      </c>
      <c r="Z2679" s="25" t="s">
        <v>824</v>
      </c>
      <c r="AA2679" s="25" t="s">
        <v>824</v>
      </c>
      <c r="AB2679" s="25" t="s">
        <v>824</v>
      </c>
      <c r="AC2679" s="25" t="s">
        <v>821</v>
      </c>
      <c r="AD2679" s="25" t="s">
        <v>824</v>
      </c>
      <c r="AE2679" s="25" t="s">
        <v>824</v>
      </c>
    </row>
    <row r="2680" spans="20:31" ht="14.4">
      <c r="T2680" s="25" t="s">
        <v>875</v>
      </c>
      <c r="U2680" s="25" t="s">
        <v>867</v>
      </c>
      <c r="V2680" s="25" t="s">
        <v>920</v>
      </c>
      <c r="W2680" s="25" t="str">
        <f t="shared" si="60"/>
        <v>Straight Bonded PelmetOutside Window MountSmall Spring</v>
      </c>
      <c r="X2680" s="25">
        <v>0</v>
      </c>
      <c r="Y2680" s="25" t="s">
        <v>824</v>
      </c>
      <c r="Z2680" s="25" t="s">
        <v>824</v>
      </c>
      <c r="AA2680" s="25" t="s">
        <v>824</v>
      </c>
      <c r="AB2680" s="25" t="s">
        <v>824</v>
      </c>
      <c r="AC2680" s="25" t="s">
        <v>821</v>
      </c>
      <c r="AD2680" s="25" t="s">
        <v>824</v>
      </c>
      <c r="AE2680" s="25" t="s">
        <v>824</v>
      </c>
    </row>
    <row r="2681" spans="20:31" ht="14.4">
      <c r="T2681" s="25" t="s">
        <v>875</v>
      </c>
      <c r="U2681" s="25" t="s">
        <v>867</v>
      </c>
      <c r="V2681" s="25" t="s">
        <v>929</v>
      </c>
      <c r="W2681" s="25" t="str">
        <f t="shared" si="60"/>
        <v>Straight Bonded PelmetOutside Window MountUniline Spring (Old Style)</v>
      </c>
      <c r="X2681" s="25">
        <v>0</v>
      </c>
      <c r="Y2681" s="25" t="s">
        <v>824</v>
      </c>
      <c r="Z2681" s="25" t="s">
        <v>824</v>
      </c>
      <c r="AA2681" s="25" t="s">
        <v>824</v>
      </c>
      <c r="AB2681" s="25" t="s">
        <v>824</v>
      </c>
      <c r="AC2681" s="25" t="s">
        <v>821</v>
      </c>
      <c r="AD2681" s="25" t="s">
        <v>824</v>
      </c>
      <c r="AE2681" s="25" t="s">
        <v>824</v>
      </c>
    </row>
    <row r="2682" spans="20:31" ht="14.4">
      <c r="T2682" s="25" t="s">
        <v>875</v>
      </c>
      <c r="U2682" s="25" t="s">
        <v>867</v>
      </c>
      <c r="V2682" s="25" t="s">
        <v>935</v>
      </c>
      <c r="W2682" s="25" t="str">
        <f t="shared" si="60"/>
        <v>Straight Bonded PelmetOutside Window MountBecker Remote Motor</v>
      </c>
      <c r="X2682" s="25">
        <v>0</v>
      </c>
      <c r="Y2682" s="25" t="s">
        <v>824</v>
      </c>
      <c r="Z2682" s="25" t="s">
        <v>824</v>
      </c>
      <c r="AA2682" s="25" t="s">
        <v>824</v>
      </c>
      <c r="AB2682" s="25" t="s">
        <v>824</v>
      </c>
      <c r="AC2682" s="25" t="s">
        <v>821</v>
      </c>
      <c r="AD2682" s="25" t="s">
        <v>824</v>
      </c>
      <c r="AE2682" s="25" t="s">
        <v>824</v>
      </c>
    </row>
    <row r="2683" spans="20:31" ht="14.4">
      <c r="T2683" s="25" t="s">
        <v>875</v>
      </c>
      <c r="U2683" s="25" t="s">
        <v>867</v>
      </c>
      <c r="V2683" s="25" t="s">
        <v>939</v>
      </c>
      <c r="W2683" s="25" t="str">
        <f t="shared" si="60"/>
        <v>Straight Bonded PelmetOutside Window MountBecker CBUS Motor</v>
      </c>
      <c r="X2683" s="25">
        <v>0</v>
      </c>
      <c r="Y2683" s="25" t="s">
        <v>824</v>
      </c>
      <c r="Z2683" s="25" t="s">
        <v>824</v>
      </c>
      <c r="AA2683" s="25" t="s">
        <v>824</v>
      </c>
      <c r="AB2683" s="25" t="s">
        <v>824</v>
      </c>
      <c r="AC2683" s="25" t="s">
        <v>821</v>
      </c>
      <c r="AD2683" s="25" t="s">
        <v>824</v>
      </c>
      <c r="AE2683" s="25" t="s">
        <v>824</v>
      </c>
    </row>
    <row r="2684" spans="20:31" ht="14.4">
      <c r="T2684" s="25" t="s">
        <v>875</v>
      </c>
      <c r="U2684" s="25" t="s">
        <v>867</v>
      </c>
      <c r="V2684" s="25" t="s">
        <v>946</v>
      </c>
      <c r="W2684" s="25" t="str">
        <f t="shared" si="60"/>
        <v>Straight Bonded PelmetOutside Window MountBecker External Remote Motor</v>
      </c>
      <c r="X2684" s="25">
        <v>0</v>
      </c>
      <c r="Y2684" s="25" t="s">
        <v>824</v>
      </c>
      <c r="Z2684" s="25" t="s">
        <v>824</v>
      </c>
      <c r="AA2684" s="25" t="s">
        <v>824</v>
      </c>
      <c r="AB2684" s="25" t="s">
        <v>824</v>
      </c>
      <c r="AC2684" s="25" t="s">
        <v>821</v>
      </c>
      <c r="AD2684" s="25" t="s">
        <v>824</v>
      </c>
      <c r="AE2684" s="25" t="s">
        <v>824</v>
      </c>
    </row>
    <row r="2685" spans="20:31" ht="14.4">
      <c r="T2685" s="25" t="s">
        <v>875</v>
      </c>
      <c r="U2685" s="25" t="s">
        <v>867</v>
      </c>
      <c r="V2685" s="25" t="s">
        <v>951</v>
      </c>
      <c r="W2685" s="25" t="str">
        <f t="shared" si="60"/>
        <v>Straight Bonded PelmetOutside Window MountBecker External CBUS Motor</v>
      </c>
      <c r="X2685" s="25">
        <v>0</v>
      </c>
      <c r="Y2685" s="25" t="s">
        <v>824</v>
      </c>
      <c r="Z2685" s="25" t="s">
        <v>824</v>
      </c>
      <c r="AA2685" s="25" t="s">
        <v>824</v>
      </c>
      <c r="AB2685" s="25" t="s">
        <v>824</v>
      </c>
      <c r="AC2685" s="25" t="s">
        <v>821</v>
      </c>
      <c r="AD2685" s="25" t="s">
        <v>824</v>
      </c>
      <c r="AE2685" s="25" t="s">
        <v>824</v>
      </c>
    </row>
    <row r="2686" spans="20:31" ht="14.4">
      <c r="T2686" s="25" t="s">
        <v>875</v>
      </c>
      <c r="U2686" s="25" t="s">
        <v>867</v>
      </c>
      <c r="V2686" s="25" t="s">
        <v>838</v>
      </c>
      <c r="W2686" s="25" t="str">
        <f t="shared" si="60"/>
        <v>Straight Bonded PelmetOutside Window Mount1.1nm 12v Acmeda Motor</v>
      </c>
      <c r="X2686" s="25">
        <v>0</v>
      </c>
      <c r="Y2686" s="25" t="s">
        <v>824</v>
      </c>
      <c r="Z2686" s="25" t="s">
        <v>824</v>
      </c>
      <c r="AA2686" s="25" t="s">
        <v>824</v>
      </c>
      <c r="AB2686" s="25" t="s">
        <v>824</v>
      </c>
      <c r="AC2686" s="25" t="s">
        <v>821</v>
      </c>
      <c r="AD2686" s="25" t="s">
        <v>824</v>
      </c>
      <c r="AE2686" s="25" t="s">
        <v>824</v>
      </c>
    </row>
    <row r="2687" spans="20:31" ht="14.4">
      <c r="T2687" s="25" t="s">
        <v>875</v>
      </c>
      <c r="U2687" s="25" t="s">
        <v>867</v>
      </c>
      <c r="V2687" t="s">
        <v>882</v>
      </c>
      <c r="W2687" s="25" t="str">
        <f t="shared" si="60"/>
        <v>Straight Bonded PelmetOutside Window Mount2nm 12v Acmeda Motor</v>
      </c>
      <c r="X2687" s="25">
        <v>0</v>
      </c>
      <c r="Y2687" s="25" t="s">
        <v>824</v>
      </c>
      <c r="Z2687" s="25" t="s">
        <v>824</v>
      </c>
      <c r="AA2687" s="25" t="s">
        <v>824</v>
      </c>
      <c r="AB2687" s="25" t="s">
        <v>824</v>
      </c>
      <c r="AC2687" s="25" t="s">
        <v>821</v>
      </c>
      <c r="AD2687" s="25" t="s">
        <v>824</v>
      </c>
      <c r="AE2687" s="25" t="s">
        <v>824</v>
      </c>
    </row>
    <row r="2688" spans="20:31" ht="14.4">
      <c r="T2688" s="25" t="s">
        <v>875</v>
      </c>
      <c r="U2688" s="25" t="s">
        <v>867</v>
      </c>
      <c r="V2688" t="s">
        <v>896</v>
      </c>
      <c r="W2688" s="25" t="str">
        <f t="shared" si="60"/>
        <v>Straight Bonded PelmetOutside Window MountAcmeda 12v 6nm Motor</v>
      </c>
      <c r="X2688" s="25">
        <v>0</v>
      </c>
      <c r="Y2688" s="25" t="s">
        <v>824</v>
      </c>
      <c r="Z2688" s="25" t="s">
        <v>824</v>
      </c>
      <c r="AA2688" s="25" t="s">
        <v>824</v>
      </c>
      <c r="AB2688" s="25" t="s">
        <v>824</v>
      </c>
      <c r="AC2688" s="25" t="s">
        <v>821</v>
      </c>
      <c r="AD2688" s="25" t="s">
        <v>824</v>
      </c>
      <c r="AE2688" s="25" t="s">
        <v>824</v>
      </c>
    </row>
    <row r="2689" spans="20:31" ht="14.4">
      <c r="T2689" s="25" t="s">
        <v>875</v>
      </c>
      <c r="U2689" s="25" t="s">
        <v>867</v>
      </c>
      <c r="V2689" t="s">
        <v>855</v>
      </c>
      <c r="W2689" s="25" t="str">
        <f t="shared" si="60"/>
        <v>Straight Bonded PelmetOutside Window Mount0.7nm 12v Acmeda Motor</v>
      </c>
      <c r="X2689" s="25">
        <v>0</v>
      </c>
      <c r="Y2689" s="25" t="s">
        <v>824</v>
      </c>
      <c r="Z2689" s="25" t="s">
        <v>824</v>
      </c>
      <c r="AA2689" s="25" t="s">
        <v>824</v>
      </c>
      <c r="AB2689" s="25" t="s">
        <v>824</v>
      </c>
      <c r="AC2689" s="25" t="s">
        <v>821</v>
      </c>
      <c r="AD2689" s="25" t="s">
        <v>824</v>
      </c>
      <c r="AE2689" s="25" t="s">
        <v>824</v>
      </c>
    </row>
    <row r="2690" spans="20:31" ht="14.4">
      <c r="T2690" s="25" t="s">
        <v>875</v>
      </c>
      <c r="U2690" s="25" t="s">
        <v>867</v>
      </c>
      <c r="V2690" s="25" t="s">
        <v>849</v>
      </c>
      <c r="W2690" s="25" t="str">
        <f t="shared" si="60"/>
        <v>Straight Bonded PelmetOutside Window Mount1.1nm 12v Acmeda DCRF Motor with External Battery</v>
      </c>
      <c r="X2690" s="25">
        <v>0</v>
      </c>
      <c r="Y2690" s="25" t="s">
        <v>824</v>
      </c>
      <c r="Z2690" s="25" t="s">
        <v>824</v>
      </c>
      <c r="AA2690" s="25" t="s">
        <v>824</v>
      </c>
      <c r="AB2690" s="25" t="s">
        <v>824</v>
      </c>
      <c r="AC2690" s="25" t="s">
        <v>821</v>
      </c>
      <c r="AD2690" s="25" t="s">
        <v>824</v>
      </c>
      <c r="AE2690" s="25" t="s">
        <v>824</v>
      </c>
    </row>
    <row r="2691" spans="20:31" ht="14.4">
      <c r="T2691" s="25" t="s">
        <v>875</v>
      </c>
      <c r="U2691" s="25" t="s">
        <v>867</v>
      </c>
      <c r="V2691" s="25" t="s">
        <v>817</v>
      </c>
      <c r="W2691" s="25" t="str">
        <f t="shared" si="61" ref="W2691:W2754">CONCATENATE(T2691,U2691,V2691)</f>
        <v>Straight Bonded PelmetOutside Window Mount1.1nm 12v Acmeda DCRF Motor</v>
      </c>
      <c r="X2691" s="25">
        <v>0</v>
      </c>
      <c r="Y2691" s="25" t="s">
        <v>824</v>
      </c>
      <c r="Z2691" s="25" t="s">
        <v>824</v>
      </c>
      <c r="AA2691" s="25" t="s">
        <v>824</v>
      </c>
      <c r="AB2691" s="25" t="s">
        <v>824</v>
      </c>
      <c r="AC2691" s="25" t="s">
        <v>821</v>
      </c>
      <c r="AD2691" s="25" t="s">
        <v>824</v>
      </c>
      <c r="AE2691" s="25" t="s">
        <v>824</v>
      </c>
    </row>
    <row r="2692" spans="20:31" ht="14.4">
      <c r="T2692" s="25" t="s">
        <v>875</v>
      </c>
      <c r="U2692" s="25" t="s">
        <v>867</v>
      </c>
      <c r="V2692" s="25" t="s">
        <v>868</v>
      </c>
      <c r="W2692" s="25" t="str">
        <f t="shared" si="61"/>
        <v>Straight Bonded PelmetOutside Window Mount2nm 12v Acmeda DCRF Motor</v>
      </c>
      <c r="X2692" s="25">
        <v>0</v>
      </c>
      <c r="Y2692" s="25" t="s">
        <v>824</v>
      </c>
      <c r="Z2692" s="25" t="s">
        <v>824</v>
      </c>
      <c r="AA2692" s="25" t="s">
        <v>824</v>
      </c>
      <c r="AB2692" s="25" t="s">
        <v>824</v>
      </c>
      <c r="AC2692" s="25" t="s">
        <v>821</v>
      </c>
      <c r="AD2692" s="25" t="s">
        <v>824</v>
      </c>
      <c r="AE2692" s="25" t="s">
        <v>824</v>
      </c>
    </row>
    <row r="2693" spans="20:31" ht="14.4">
      <c r="T2693" s="25" t="s">
        <v>875</v>
      </c>
      <c r="U2693" s="25" t="s">
        <v>867</v>
      </c>
      <c r="V2693" t="s">
        <v>973</v>
      </c>
      <c r="W2693" s="25" t="str">
        <f t="shared" si="61"/>
        <v>Straight Bonded PelmetOutside Window MountSomfy Remote Sonesse Motor</v>
      </c>
      <c r="X2693" s="25">
        <v>0</v>
      </c>
      <c r="Y2693" s="25" t="s">
        <v>824</v>
      </c>
      <c r="Z2693" s="25" t="s">
        <v>824</v>
      </c>
      <c r="AA2693" s="25" t="s">
        <v>824</v>
      </c>
      <c r="AB2693" s="25" t="s">
        <v>824</v>
      </c>
      <c r="AC2693" s="25" t="s">
        <v>821</v>
      </c>
      <c r="AD2693" s="25" t="s">
        <v>824</v>
      </c>
      <c r="AE2693" s="25" t="s">
        <v>824</v>
      </c>
    </row>
    <row r="2694" spans="20:31" ht="14.4">
      <c r="T2694" s="25" t="s">
        <v>875</v>
      </c>
      <c r="U2694" s="25" t="s">
        <v>867</v>
      </c>
      <c r="V2694" t="s">
        <v>637</v>
      </c>
      <c r="W2694" s="25" t="str">
        <f t="shared" si="61"/>
        <v>Straight Bonded PelmetOutside Window MountSomfy 12v Remote Sonesse Motor</v>
      </c>
      <c r="X2694" s="25">
        <v>0</v>
      </c>
      <c r="Y2694" s="25" t="s">
        <v>824</v>
      </c>
      <c r="Z2694" s="25" t="s">
        <v>824</v>
      </c>
      <c r="AA2694" s="25" t="s">
        <v>824</v>
      </c>
      <c r="AB2694" s="25" t="s">
        <v>824</v>
      </c>
      <c r="AC2694" s="25" t="s">
        <v>821</v>
      </c>
      <c r="AD2694" s="25" t="s">
        <v>824</v>
      </c>
      <c r="AE2694" s="25" t="s">
        <v>824</v>
      </c>
    </row>
    <row r="2695" spans="20:31" ht="14.4">
      <c r="T2695" s="25" t="s">
        <v>875</v>
      </c>
      <c r="U2695" s="25" t="s">
        <v>867</v>
      </c>
      <c r="V2695" s="25" t="s">
        <v>974</v>
      </c>
      <c r="W2695" s="25" t="str">
        <f t="shared" si="61"/>
        <v>Straight Bonded PelmetOutside Window MountSomfy CBUS Motor</v>
      </c>
      <c r="X2695" s="25">
        <v>0</v>
      </c>
      <c r="Y2695" s="25" t="s">
        <v>824</v>
      </c>
      <c r="Z2695" s="25" t="s">
        <v>824</v>
      </c>
      <c r="AA2695" s="25" t="s">
        <v>824</v>
      </c>
      <c r="AB2695" s="25" t="s">
        <v>824</v>
      </c>
      <c r="AC2695" s="25" t="s">
        <v>821</v>
      </c>
      <c r="AD2695" s="25" t="s">
        <v>824</v>
      </c>
      <c r="AE2695" s="25" t="s">
        <v>824</v>
      </c>
    </row>
    <row r="2696" spans="20:31" ht="14.4">
      <c r="T2696" s="25" t="s">
        <v>875</v>
      </c>
      <c r="U2696" s="25" t="s">
        <v>867</v>
      </c>
      <c r="V2696" t="s">
        <v>986</v>
      </c>
      <c r="W2696" s="25" t="str">
        <f t="shared" si="61"/>
        <v>Straight Bonded PelmetOutside Window MountHD Somfy Remote Sonesse Motor</v>
      </c>
      <c r="X2696" s="25">
        <v>0</v>
      </c>
      <c r="Y2696" s="25" t="s">
        <v>824</v>
      </c>
      <c r="Z2696" s="25" t="s">
        <v>824</v>
      </c>
      <c r="AA2696" s="25" t="s">
        <v>824</v>
      </c>
      <c r="AB2696" s="25" t="s">
        <v>824</v>
      </c>
      <c r="AC2696" s="25" t="s">
        <v>821</v>
      </c>
      <c r="AD2696" s="25" t="s">
        <v>824</v>
      </c>
      <c r="AE2696" s="25" t="s">
        <v>824</v>
      </c>
    </row>
    <row r="2697" spans="20:31" ht="14.4">
      <c r="T2697" s="25" t="s">
        <v>875</v>
      </c>
      <c r="U2697" s="25" t="s">
        <v>867</v>
      </c>
      <c r="V2697" t="s">
        <v>989</v>
      </c>
      <c r="W2697" s="25" t="str">
        <f t="shared" si="61"/>
        <v>Straight Bonded PelmetOutside Window MountHD Somfy 12v Remote Sonesse Motor</v>
      </c>
      <c r="X2697" s="25">
        <v>0</v>
      </c>
      <c r="Y2697" s="25" t="s">
        <v>824</v>
      </c>
      <c r="Z2697" s="25" t="s">
        <v>824</v>
      </c>
      <c r="AA2697" s="25" t="s">
        <v>824</v>
      </c>
      <c r="AB2697" s="25" t="s">
        <v>824</v>
      </c>
      <c r="AC2697" s="25" t="s">
        <v>821</v>
      </c>
      <c r="AD2697" s="25" t="s">
        <v>824</v>
      </c>
      <c r="AE2697" s="25" t="s">
        <v>824</v>
      </c>
    </row>
    <row r="2698" spans="20:31" ht="14.4">
      <c r="T2698" s="25" t="s">
        <v>875</v>
      </c>
      <c r="U2698" s="25" t="s">
        <v>867</v>
      </c>
      <c r="V2698" s="25" t="s">
        <v>992</v>
      </c>
      <c r="W2698" s="25" t="str">
        <f t="shared" si="61"/>
        <v>Straight Bonded PelmetOutside Window MountHD Somfy CBUS Motor</v>
      </c>
      <c r="X2698" s="25">
        <v>0</v>
      </c>
      <c r="Y2698" s="25" t="s">
        <v>824</v>
      </c>
      <c r="Z2698" s="25" t="s">
        <v>824</v>
      </c>
      <c r="AA2698" s="25" t="s">
        <v>824</v>
      </c>
      <c r="AB2698" s="25" t="s">
        <v>824</v>
      </c>
      <c r="AC2698" s="25" t="s">
        <v>821</v>
      </c>
      <c r="AD2698" s="25" t="s">
        <v>824</v>
      </c>
      <c r="AE2698" s="25" t="s">
        <v>824</v>
      </c>
    </row>
    <row r="2699" spans="20:31" ht="14.4">
      <c r="T2699" s="25" t="s">
        <v>875</v>
      </c>
      <c r="U2699" s="25" t="s">
        <v>867</v>
      </c>
      <c r="V2699" s="25" t="s">
        <v>625</v>
      </c>
      <c r="W2699" s="25" t="str">
        <f t="shared" si="61"/>
        <v>Straight Bonded PelmetOutside Window MountAcmeda E6 Motor</v>
      </c>
      <c r="X2699" s="25">
        <v>0</v>
      </c>
      <c r="Y2699" s="25" t="s">
        <v>824</v>
      </c>
      <c r="Z2699" s="25" t="s">
        <v>824</v>
      </c>
      <c r="AA2699" s="25" t="s">
        <v>824</v>
      </c>
      <c r="AB2699" s="25" t="s">
        <v>824</v>
      </c>
      <c r="AC2699" s="25" t="s">
        <v>821</v>
      </c>
      <c r="AD2699" s="25" t="s">
        <v>824</v>
      </c>
      <c r="AE2699" s="25" t="s">
        <v>824</v>
      </c>
    </row>
    <row r="2700" spans="20:31" ht="14.4">
      <c r="T2700" s="25" t="s">
        <v>875</v>
      </c>
      <c r="U2700" s="25" t="s">
        <v>867</v>
      </c>
      <c r="V2700" s="25" t="s">
        <v>626</v>
      </c>
      <c r="W2700" s="25" t="str">
        <f t="shared" si="61"/>
        <v>Straight Bonded PelmetOutside Window MountAcmeda M6 Motor</v>
      </c>
      <c r="X2700" s="25">
        <v>0</v>
      </c>
      <c r="Y2700" s="25" t="s">
        <v>824</v>
      </c>
      <c r="Z2700" s="25" t="s">
        <v>824</v>
      </c>
      <c r="AA2700" s="25" t="s">
        <v>824</v>
      </c>
      <c r="AB2700" s="25" t="s">
        <v>824</v>
      </c>
      <c r="AC2700" s="25" t="s">
        <v>821</v>
      </c>
      <c r="AD2700" s="25" t="s">
        <v>824</v>
      </c>
      <c r="AE2700" s="25" t="s">
        <v>824</v>
      </c>
    </row>
    <row r="2701" spans="20:31" ht="14.4">
      <c r="T2701" s="25" t="s">
        <v>875</v>
      </c>
      <c r="U2701" s="25" t="s">
        <v>867</v>
      </c>
      <c r="V2701" s="25" t="s">
        <v>1002</v>
      </c>
      <c r="W2701" s="25" t="str">
        <f t="shared" si="61"/>
        <v>Straight Bonded PelmetOutside Window MountUniline Remote Motor</v>
      </c>
      <c r="X2701" s="25">
        <v>0</v>
      </c>
      <c r="Y2701" s="25" t="s">
        <v>824</v>
      </c>
      <c r="Z2701" s="25" t="s">
        <v>824</v>
      </c>
      <c r="AA2701" s="25" t="s">
        <v>824</v>
      </c>
      <c r="AB2701" s="25" t="s">
        <v>824</v>
      </c>
      <c r="AC2701" s="25" t="s">
        <v>821</v>
      </c>
      <c r="AD2701" s="25" t="s">
        <v>824</v>
      </c>
      <c r="AE2701" s="25" t="s">
        <v>824</v>
      </c>
    </row>
    <row r="2702" spans="20:31" ht="14.4">
      <c r="T2702" s="25" t="s">
        <v>875</v>
      </c>
      <c r="U2702" s="25" t="s">
        <v>867</v>
      </c>
      <c r="V2702" s="25" t="s">
        <v>1005</v>
      </c>
      <c r="W2702" s="25" t="str">
        <f t="shared" si="61"/>
        <v>Straight Bonded PelmetOutside Window MountUniline Cbus Motor</v>
      </c>
      <c r="X2702" s="25">
        <v>0</v>
      </c>
      <c r="Y2702" s="25" t="s">
        <v>824</v>
      </c>
      <c r="Z2702" s="25" t="s">
        <v>824</v>
      </c>
      <c r="AA2702" s="25" t="s">
        <v>824</v>
      </c>
      <c r="AB2702" s="25" t="s">
        <v>824</v>
      </c>
      <c r="AC2702" s="25" t="s">
        <v>821</v>
      </c>
      <c r="AD2702" s="25" t="s">
        <v>824</v>
      </c>
      <c r="AE2702" s="25" t="s">
        <v>824</v>
      </c>
    </row>
    <row r="2703" spans="20:31" ht="14.4">
      <c r="T2703" s="25" t="s">
        <v>875</v>
      </c>
      <c r="U2703" s="25" t="s">
        <v>867</v>
      </c>
      <c r="V2703" s="25" t="s">
        <v>981</v>
      </c>
      <c r="W2703" s="25" t="str">
        <f t="shared" si="61"/>
        <v>Straight Bonded PelmetOutside Window MountNice Remote Motor</v>
      </c>
      <c r="X2703" s="25">
        <v>0</v>
      </c>
      <c r="Y2703" s="25" t="s">
        <v>824</v>
      </c>
      <c r="Z2703" s="25" t="s">
        <v>824</v>
      </c>
      <c r="AA2703" s="25" t="s">
        <v>824</v>
      </c>
      <c r="AB2703" s="25" t="s">
        <v>824</v>
      </c>
      <c r="AC2703" s="25" t="s">
        <v>821</v>
      </c>
      <c r="AD2703" s="25" t="s">
        <v>824</v>
      </c>
      <c r="AE2703" s="25" t="s">
        <v>824</v>
      </c>
    </row>
    <row r="2704" spans="20:31" ht="14.4">
      <c r="T2704" s="25" t="s">
        <v>875</v>
      </c>
      <c r="U2704" s="25" t="s">
        <v>867</v>
      </c>
      <c r="V2704" s="25" t="s">
        <v>976</v>
      </c>
      <c r="W2704" s="25" t="str">
        <f t="shared" si="61"/>
        <v>Straight Bonded PelmetOutside Window MountNice CBus Motor</v>
      </c>
      <c r="X2704" s="25">
        <v>0</v>
      </c>
      <c r="Y2704" s="25" t="s">
        <v>824</v>
      </c>
      <c r="Z2704" s="25" t="s">
        <v>824</v>
      </c>
      <c r="AA2704" s="25" t="s">
        <v>824</v>
      </c>
      <c r="AB2704" s="25" t="s">
        <v>824</v>
      </c>
      <c r="AC2704" s="25" t="s">
        <v>821</v>
      </c>
      <c r="AD2704" s="25" t="s">
        <v>824</v>
      </c>
      <c r="AE2704" s="25" t="s">
        <v>824</v>
      </c>
    </row>
    <row r="2705" spans="20:31" ht="14.4">
      <c r="T2705" s="25" t="s">
        <v>875</v>
      </c>
      <c r="U2705" s="25" t="s">
        <v>867</v>
      </c>
      <c r="V2705" t="s">
        <v>1006</v>
      </c>
      <c r="W2705" s="25" t="str">
        <f t="shared" si="61"/>
        <v>Straight Bonded PelmetOutside Window MountSunboss Chain Winder 38mm Tube</v>
      </c>
      <c r="X2705" s="25">
        <v>0</v>
      </c>
      <c r="Y2705" s="25" t="s">
        <v>824</v>
      </c>
      <c r="Z2705" s="25" t="s">
        <v>824</v>
      </c>
      <c r="AA2705" s="25" t="s">
        <v>824</v>
      </c>
      <c r="AB2705" s="25" t="s">
        <v>824</v>
      </c>
      <c r="AC2705" s="25" t="s">
        <v>821</v>
      </c>
      <c r="AD2705" s="25" t="s">
        <v>824</v>
      </c>
      <c r="AE2705" s="25" t="s">
        <v>824</v>
      </c>
    </row>
    <row r="2706" spans="20:31" ht="14.4">
      <c r="T2706" s="25" t="s">
        <v>875</v>
      </c>
      <c r="U2706" s="25" t="s">
        <v>867</v>
      </c>
      <c r="V2706" t="s">
        <v>1017</v>
      </c>
      <c r="W2706" s="25" t="str">
        <f t="shared" si="61"/>
        <v>Straight Bonded PelmetOutside Window MountSunboss Chain Winder 43mm Tube</v>
      </c>
      <c r="X2706" s="25">
        <v>0</v>
      </c>
      <c r="Y2706" s="25" t="s">
        <v>824</v>
      </c>
      <c r="Z2706" s="25" t="s">
        <v>824</v>
      </c>
      <c r="AA2706" s="25" t="s">
        <v>824</v>
      </c>
      <c r="AB2706" s="25" t="s">
        <v>824</v>
      </c>
      <c r="AC2706" s="25" t="s">
        <v>821</v>
      </c>
      <c r="AD2706" s="25" t="s">
        <v>824</v>
      </c>
      <c r="AE2706" s="25" t="s">
        <v>824</v>
      </c>
    </row>
    <row r="2707" spans="20:31" ht="14.4">
      <c r="T2707" s="25" t="s">
        <v>875</v>
      </c>
      <c r="U2707" s="25" t="s">
        <v>867</v>
      </c>
      <c r="V2707" s="25" t="s">
        <v>1012</v>
      </c>
      <c r="W2707" s="25" t="str">
        <f t="shared" si="61"/>
        <v>Straight Bonded PelmetOutside Window MountTBS Remote Motor</v>
      </c>
      <c r="X2707" s="25">
        <v>0</v>
      </c>
      <c r="Y2707" s="25" t="s">
        <v>824</v>
      </c>
      <c r="Z2707" s="25" t="s">
        <v>824</v>
      </c>
      <c r="AA2707" s="25" t="s">
        <v>824</v>
      </c>
      <c r="AB2707" s="25" t="s">
        <v>824</v>
      </c>
      <c r="AC2707" s="25" t="s">
        <v>821</v>
      </c>
      <c r="AD2707" s="25" t="s">
        <v>824</v>
      </c>
      <c r="AE2707" s="25" t="s">
        <v>824</v>
      </c>
    </row>
    <row r="2708" spans="20:31" ht="14.4">
      <c r="T2708" s="25" t="s">
        <v>875</v>
      </c>
      <c r="U2708" s="25" t="s">
        <v>867</v>
      </c>
      <c r="V2708" t="s">
        <v>1009</v>
      </c>
      <c r="W2708" s="25" t="str">
        <f t="shared" si="61"/>
        <v>Straight Bonded PelmetOutside Window MountTBS Cbus Motor</v>
      </c>
      <c r="X2708" s="25">
        <v>0</v>
      </c>
      <c r="Y2708" s="25" t="s">
        <v>824</v>
      </c>
      <c r="Z2708" s="25" t="s">
        <v>824</v>
      </c>
      <c r="AA2708" s="25" t="s">
        <v>824</v>
      </c>
      <c r="AB2708" s="25" t="s">
        <v>824</v>
      </c>
      <c r="AC2708" s="25" t="s">
        <v>821</v>
      </c>
      <c r="AE2708" s="25" t="s">
        <v>824</v>
      </c>
    </row>
    <row r="2709" spans="20:31" ht="14.4">
      <c r="T2709" s="25" t="s">
        <v>875</v>
      </c>
      <c r="U2709" s="25" t="s">
        <v>867</v>
      </c>
      <c r="V2709" t="s">
        <v>927</v>
      </c>
      <c r="W2709" s="25" t="str">
        <f t="shared" si="61"/>
        <v>Straight Bonded PelmetOutside Window MountAcmeda External Motor</v>
      </c>
      <c r="X2709" s="25">
        <v>0</v>
      </c>
      <c r="Y2709" s="25" t="s">
        <v>824</v>
      </c>
      <c r="Z2709" s="25" t="s">
        <v>824</v>
      </c>
      <c r="AA2709" s="25" t="s">
        <v>824</v>
      </c>
      <c r="AB2709" s="25" t="s">
        <v>824</v>
      </c>
      <c r="AC2709" s="25" t="s">
        <v>821</v>
      </c>
      <c r="AE2709" s="25" t="s">
        <v>824</v>
      </c>
    </row>
    <row r="2710" spans="20:31" ht="14.4">
      <c r="T2710" s="25" t="s">
        <v>875</v>
      </c>
      <c r="U2710" s="25" t="s">
        <v>867</v>
      </c>
      <c r="V2710" t="s">
        <v>918</v>
      </c>
      <c r="W2710" s="25" t="str">
        <f t="shared" si="61"/>
        <v>Straight Bonded PelmetOutside Window MountAcmeda External 12v Motor</v>
      </c>
      <c r="X2710" s="25">
        <v>0</v>
      </c>
      <c r="Y2710" s="25" t="s">
        <v>824</v>
      </c>
      <c r="Z2710" s="25" t="s">
        <v>824</v>
      </c>
      <c r="AA2710" s="25" t="s">
        <v>824</v>
      </c>
      <c r="AB2710" s="25" t="s">
        <v>824</v>
      </c>
      <c r="AC2710" s="25" t="s">
        <v>821</v>
      </c>
      <c r="AD2710" s="25" t="s">
        <v>824</v>
      </c>
      <c r="AE2710" s="25" t="s">
        <v>824</v>
      </c>
    </row>
    <row r="2711" spans="20:31" ht="14.4">
      <c r="T2711" s="25" t="s">
        <v>875</v>
      </c>
      <c r="U2711" s="25" t="s">
        <v>867</v>
      </c>
      <c r="V2711" t="s">
        <v>979</v>
      </c>
      <c r="W2711" s="25" t="str">
        <f t="shared" si="61"/>
        <v>Straight Bonded PelmetOutside Window MountSomfy External CBUS Motor</v>
      </c>
      <c r="X2711" s="25">
        <v>0</v>
      </c>
      <c r="Y2711" s="25" t="s">
        <v>824</v>
      </c>
      <c r="Z2711" s="25" t="s">
        <v>824</v>
      </c>
      <c r="AA2711" s="25" t="s">
        <v>824</v>
      </c>
      <c r="AB2711" s="25" t="s">
        <v>824</v>
      </c>
      <c r="AC2711" s="25" t="s">
        <v>821</v>
      </c>
      <c r="AD2711" s="25" t="s">
        <v>824</v>
      </c>
      <c r="AE2711" s="25" t="s">
        <v>824</v>
      </c>
    </row>
    <row r="2712" spans="20:31" ht="14.4">
      <c r="T2712" s="25" t="s">
        <v>875</v>
      </c>
      <c r="U2712" s="25" t="s">
        <v>867</v>
      </c>
      <c r="V2712" t="s">
        <v>983</v>
      </c>
      <c r="W2712" s="25" t="str">
        <f t="shared" si="61"/>
        <v>Straight Bonded PelmetOutside Window MountSomfy External Remote Motor</v>
      </c>
      <c r="X2712" s="25">
        <v>0</v>
      </c>
      <c r="Y2712" s="25" t="s">
        <v>824</v>
      </c>
      <c r="Z2712" s="25" t="s">
        <v>824</v>
      </c>
      <c r="AA2712" s="25" t="s">
        <v>824</v>
      </c>
      <c r="AB2712" s="25" t="s">
        <v>824</v>
      </c>
      <c r="AC2712" s="25" t="s">
        <v>821</v>
      </c>
      <c r="AD2712" s="25" t="s">
        <v>824</v>
      </c>
      <c r="AE2712" s="25" t="s">
        <v>824</v>
      </c>
    </row>
    <row r="2713" spans="20:31" ht="14.4">
      <c r="T2713" s="25" t="s">
        <v>875</v>
      </c>
      <c r="U2713" s="25" t="s">
        <v>867</v>
      </c>
      <c r="V2713" t="s">
        <v>995</v>
      </c>
      <c r="W2713" s="25" t="str">
        <f t="shared" si="61"/>
        <v>Straight Bonded PelmetOutside Window MountHD Somfy External CBUS Motor</v>
      </c>
      <c r="X2713" s="25">
        <v>0</v>
      </c>
      <c r="Y2713" s="25" t="s">
        <v>824</v>
      </c>
      <c r="Z2713" s="25" t="s">
        <v>824</v>
      </c>
      <c r="AA2713" s="25" t="s">
        <v>824</v>
      </c>
      <c r="AB2713" s="25" t="s">
        <v>824</v>
      </c>
      <c r="AC2713" s="25" t="s">
        <v>821</v>
      </c>
      <c r="AD2713" s="25" t="s">
        <v>824</v>
      </c>
      <c r="AE2713" s="25" t="s">
        <v>824</v>
      </c>
    </row>
    <row r="2714" spans="20:31" ht="14.4">
      <c r="T2714" s="25" t="s">
        <v>875</v>
      </c>
      <c r="U2714" s="25" t="s">
        <v>867</v>
      </c>
      <c r="V2714" t="s">
        <v>999</v>
      </c>
      <c r="W2714" s="25" t="str">
        <f t="shared" si="61"/>
        <v>Straight Bonded PelmetOutside Window MountHD Somfy External Remote Motor</v>
      </c>
      <c r="X2714" s="25">
        <v>0</v>
      </c>
      <c r="Y2714" s="25" t="s">
        <v>824</v>
      </c>
      <c r="Z2714" s="25" t="s">
        <v>824</v>
      </c>
      <c r="AA2714" s="25" t="s">
        <v>824</v>
      </c>
      <c r="AB2714" s="25" t="s">
        <v>824</v>
      </c>
      <c r="AC2714" s="25" t="s">
        <v>821</v>
      </c>
      <c r="AD2714" s="25" t="s">
        <v>824</v>
      </c>
      <c r="AE2714" s="25" t="s">
        <v>824</v>
      </c>
    </row>
    <row r="2715" spans="20:31" ht="14.4">
      <c r="T2715" s="25" t="s">
        <v>875</v>
      </c>
      <c r="U2715" s="25" t="s">
        <v>837</v>
      </c>
      <c r="V2715" s="25" t="s">
        <v>823</v>
      </c>
      <c r="W2715" s="25" t="str">
        <f t="shared" si="61"/>
        <v>Straight Bonded PelmetRevealChain Winder</v>
      </c>
      <c r="X2715" s="25">
        <v>0</v>
      </c>
      <c r="Y2715" s="25" t="s">
        <v>824</v>
      </c>
      <c r="Z2715" s="25" t="s">
        <v>824</v>
      </c>
      <c r="AA2715" s="25" t="s">
        <v>824</v>
      </c>
      <c r="AB2715" s="25" t="s">
        <v>824</v>
      </c>
      <c r="AC2715" s="25" t="s">
        <v>821</v>
      </c>
      <c r="AD2715" s="25" t="s">
        <v>824</v>
      </c>
      <c r="AE2715" s="25" t="s">
        <v>824</v>
      </c>
    </row>
    <row r="2716" spans="20:31" ht="14.4">
      <c r="T2716" s="25" t="s">
        <v>875</v>
      </c>
      <c r="U2716" s="25" t="s">
        <v>837</v>
      </c>
      <c r="V2716" s="25" t="s">
        <v>841</v>
      </c>
      <c r="W2716" s="25" t="str">
        <f t="shared" si="61"/>
        <v>Straight Bonded PelmetRevealHD Chain Winder</v>
      </c>
      <c r="X2716" s="25">
        <v>0</v>
      </c>
      <c r="Y2716" s="25" t="s">
        <v>824</v>
      </c>
      <c r="Z2716" s="25" t="s">
        <v>824</v>
      </c>
      <c r="AA2716" s="25" t="s">
        <v>824</v>
      </c>
      <c r="AB2716" s="25" t="s">
        <v>824</v>
      </c>
      <c r="AC2716" s="25" t="s">
        <v>821</v>
      </c>
      <c r="AD2716" s="25" t="s">
        <v>824</v>
      </c>
      <c r="AE2716" s="25" t="s">
        <v>824</v>
      </c>
    </row>
    <row r="2717" spans="20:31" ht="14.4">
      <c r="T2717" s="25" t="s">
        <v>875</v>
      </c>
      <c r="U2717" s="25" t="s">
        <v>837</v>
      </c>
      <c r="V2717" s="25" t="s">
        <v>858</v>
      </c>
      <c r="W2717" s="25" t="str">
        <f t="shared" si="61"/>
        <v>Straight Bonded PelmetRevealChain Winder 60mm</v>
      </c>
      <c r="X2717" s="25">
        <v>0</v>
      </c>
      <c r="Y2717" s="25" t="s">
        <v>824</v>
      </c>
      <c r="Z2717" s="25" t="s">
        <v>824</v>
      </c>
      <c r="AA2717" s="25" t="s">
        <v>824</v>
      </c>
      <c r="AB2717" s="25" t="s">
        <v>824</v>
      </c>
      <c r="AC2717" s="25" t="s">
        <v>821</v>
      </c>
      <c r="AD2717" s="25" t="s">
        <v>824</v>
      </c>
      <c r="AE2717" s="25" t="s">
        <v>824</v>
      </c>
    </row>
    <row r="2718" spans="20:31" ht="14.4">
      <c r="T2718" s="25" t="s">
        <v>875</v>
      </c>
      <c r="U2718" s="25" t="s">
        <v>837</v>
      </c>
      <c r="V2718" s="25" t="s">
        <v>865</v>
      </c>
      <c r="W2718" s="25" t="str">
        <f t="shared" si="61"/>
        <v>Straight Bonded PelmetRevealChain Winder Fixed Guide</v>
      </c>
      <c r="X2718" s="25">
        <v>0</v>
      </c>
      <c r="Y2718" s="25" t="s">
        <v>824</v>
      </c>
      <c r="Z2718" s="25" t="s">
        <v>824</v>
      </c>
      <c r="AA2718" s="25" t="s">
        <v>824</v>
      </c>
      <c r="AB2718" s="25" t="s">
        <v>824</v>
      </c>
      <c r="AC2718" s="25" t="s">
        <v>821</v>
      </c>
      <c r="AD2718" s="25" t="s">
        <v>824</v>
      </c>
      <c r="AE2718" s="25" t="s">
        <v>824</v>
      </c>
    </row>
    <row r="2719" spans="20:31" ht="14.4">
      <c r="T2719" s="25" t="s">
        <v>875</v>
      </c>
      <c r="U2719" s="25" t="s">
        <v>837</v>
      </c>
      <c r="V2719" s="25" t="s">
        <v>181</v>
      </c>
      <c r="W2719" s="25" t="str">
        <f t="shared" si="61"/>
        <v>Straight Bonded PelmetRevealLinked</v>
      </c>
      <c r="X2719" s="25">
        <v>0</v>
      </c>
      <c r="Y2719" s="25" t="s">
        <v>824</v>
      </c>
      <c r="Z2719" s="25" t="s">
        <v>824</v>
      </c>
      <c r="AA2719" s="25" t="s">
        <v>824</v>
      </c>
      <c r="AB2719" s="25" t="s">
        <v>824</v>
      </c>
      <c r="AC2719" s="25" t="s">
        <v>821</v>
      </c>
      <c r="AD2719" s="25" t="s">
        <v>824</v>
      </c>
      <c r="AE2719" s="25" t="s">
        <v>824</v>
      </c>
    </row>
    <row r="2720" spans="20:31" ht="14.4">
      <c r="T2720" s="25" t="s">
        <v>875</v>
      </c>
      <c r="U2720" s="25" t="s">
        <v>837</v>
      </c>
      <c r="V2720" s="25" t="s">
        <v>898</v>
      </c>
      <c r="W2720" s="25" t="str">
        <f t="shared" si="61"/>
        <v>Straight Bonded PelmetRevealLinked - HD</v>
      </c>
      <c r="X2720" s="25">
        <v>0</v>
      </c>
      <c r="Y2720" s="25" t="s">
        <v>824</v>
      </c>
      <c r="Z2720" s="25" t="s">
        <v>824</v>
      </c>
      <c r="AA2720" s="25" t="s">
        <v>824</v>
      </c>
      <c r="AB2720" s="25" t="s">
        <v>824</v>
      </c>
      <c r="AC2720" s="25" t="s">
        <v>821</v>
      </c>
      <c r="AD2720" s="25" t="s">
        <v>824</v>
      </c>
      <c r="AE2720" s="25" t="s">
        <v>824</v>
      </c>
    </row>
    <row r="2721" spans="20:31" ht="14.4">
      <c r="T2721" s="25" t="s">
        <v>875</v>
      </c>
      <c r="U2721" s="25" t="s">
        <v>837</v>
      </c>
      <c r="V2721" s="25" t="s">
        <v>925</v>
      </c>
      <c r="W2721" s="25" t="str">
        <f t="shared" si="61"/>
        <v>Straight Bonded PelmetRevealLinked 60mm</v>
      </c>
      <c r="X2721" s="25">
        <v>0</v>
      </c>
      <c r="Y2721" s="25" t="s">
        <v>824</v>
      </c>
      <c r="Z2721" s="25" t="s">
        <v>824</v>
      </c>
      <c r="AA2721" s="25" t="s">
        <v>824</v>
      </c>
      <c r="AB2721" s="25" t="s">
        <v>824</v>
      </c>
      <c r="AC2721" s="25" t="s">
        <v>821</v>
      </c>
      <c r="AD2721" s="25" t="s">
        <v>824</v>
      </c>
      <c r="AE2721" s="25" t="s">
        <v>824</v>
      </c>
    </row>
    <row r="2722" spans="20:31" ht="14.4">
      <c r="T2722" s="25" t="s">
        <v>875</v>
      </c>
      <c r="U2722" s="25" t="s">
        <v>837</v>
      </c>
      <c r="V2722" s="25" t="s">
        <v>910</v>
      </c>
      <c r="W2722" s="25" t="str">
        <f t="shared" si="61"/>
        <v>Straight Bonded PelmetRevealStandard Spring</v>
      </c>
      <c r="X2722" s="25">
        <v>0</v>
      </c>
      <c r="Y2722" s="25" t="s">
        <v>824</v>
      </c>
      <c r="Z2722" s="25" t="s">
        <v>824</v>
      </c>
      <c r="AA2722" s="25" t="s">
        <v>824</v>
      </c>
      <c r="AB2722" s="25" t="s">
        <v>824</v>
      </c>
      <c r="AC2722" s="25" t="s">
        <v>821</v>
      </c>
      <c r="AD2722" s="25" t="s">
        <v>824</v>
      </c>
      <c r="AE2722" s="25" t="s">
        <v>824</v>
      </c>
    </row>
    <row r="2723" spans="20:31" ht="14.4">
      <c r="T2723" s="25" t="s">
        <v>875</v>
      </c>
      <c r="U2723" s="25" t="s">
        <v>837</v>
      </c>
      <c r="V2723" s="25" t="s">
        <v>920</v>
      </c>
      <c r="W2723" s="25" t="str">
        <f t="shared" si="61"/>
        <v>Straight Bonded PelmetRevealSmall Spring</v>
      </c>
      <c r="X2723" s="25">
        <v>0</v>
      </c>
      <c r="Y2723" s="25" t="s">
        <v>824</v>
      </c>
      <c r="Z2723" s="25" t="s">
        <v>824</v>
      </c>
      <c r="AA2723" s="25" t="s">
        <v>824</v>
      </c>
      <c r="AB2723" s="25" t="s">
        <v>824</v>
      </c>
      <c r="AC2723" s="25" t="s">
        <v>821</v>
      </c>
      <c r="AD2723" s="25" t="s">
        <v>824</v>
      </c>
      <c r="AE2723" s="25" t="s">
        <v>824</v>
      </c>
    </row>
    <row r="2724" spans="20:31" ht="14.4">
      <c r="T2724" s="25" t="s">
        <v>875</v>
      </c>
      <c r="U2724" s="25" t="s">
        <v>837</v>
      </c>
      <c r="V2724" s="25" t="s">
        <v>929</v>
      </c>
      <c r="W2724" s="25" t="str">
        <f t="shared" si="61"/>
        <v>Straight Bonded PelmetRevealUniline Spring (Old Style)</v>
      </c>
      <c r="X2724" s="25">
        <v>0</v>
      </c>
      <c r="Y2724" s="25" t="s">
        <v>824</v>
      </c>
      <c r="Z2724" s="25" t="s">
        <v>824</v>
      </c>
      <c r="AA2724" s="25" t="s">
        <v>824</v>
      </c>
      <c r="AB2724" s="25" t="s">
        <v>824</v>
      </c>
      <c r="AC2724" s="25" t="s">
        <v>821</v>
      </c>
      <c r="AD2724" s="25" t="s">
        <v>824</v>
      </c>
      <c r="AE2724" s="25" t="s">
        <v>824</v>
      </c>
    </row>
    <row r="2725" spans="20:31" ht="14.4">
      <c r="T2725" s="25" t="s">
        <v>875</v>
      </c>
      <c r="U2725" s="25" t="s">
        <v>837</v>
      </c>
      <c r="V2725" s="25" t="s">
        <v>935</v>
      </c>
      <c r="W2725" s="25" t="str">
        <f t="shared" si="61"/>
        <v>Straight Bonded PelmetRevealBecker Remote Motor</v>
      </c>
      <c r="X2725" s="25">
        <v>0</v>
      </c>
      <c r="Y2725" s="25" t="s">
        <v>824</v>
      </c>
      <c r="Z2725" s="25" t="s">
        <v>824</v>
      </c>
      <c r="AA2725" s="25" t="s">
        <v>824</v>
      </c>
      <c r="AB2725" s="25" t="s">
        <v>824</v>
      </c>
      <c r="AC2725" s="25" t="s">
        <v>821</v>
      </c>
      <c r="AD2725" s="25" t="s">
        <v>824</v>
      </c>
      <c r="AE2725" s="25" t="s">
        <v>824</v>
      </c>
    </row>
    <row r="2726" spans="20:31" ht="14.4">
      <c r="T2726" s="25" t="s">
        <v>875</v>
      </c>
      <c r="U2726" s="25" t="s">
        <v>837</v>
      </c>
      <c r="V2726" s="25" t="s">
        <v>939</v>
      </c>
      <c r="W2726" s="25" t="str">
        <f t="shared" si="61"/>
        <v>Straight Bonded PelmetRevealBecker CBUS Motor</v>
      </c>
      <c r="X2726" s="25">
        <v>0</v>
      </c>
      <c r="Y2726" s="25" t="s">
        <v>824</v>
      </c>
      <c r="Z2726" s="25" t="s">
        <v>824</v>
      </c>
      <c r="AA2726" s="25" t="s">
        <v>824</v>
      </c>
      <c r="AB2726" s="25" t="s">
        <v>824</v>
      </c>
      <c r="AC2726" s="25" t="s">
        <v>821</v>
      </c>
      <c r="AD2726" s="25" t="s">
        <v>824</v>
      </c>
      <c r="AE2726" s="25" t="s">
        <v>824</v>
      </c>
    </row>
    <row r="2727" spans="20:31" ht="14.4">
      <c r="T2727" s="25" t="s">
        <v>875</v>
      </c>
      <c r="U2727" s="25" t="s">
        <v>837</v>
      </c>
      <c r="V2727" s="25" t="s">
        <v>946</v>
      </c>
      <c r="W2727" s="25" t="str">
        <f t="shared" si="61"/>
        <v>Straight Bonded PelmetRevealBecker External Remote Motor</v>
      </c>
      <c r="X2727" s="25">
        <v>0</v>
      </c>
      <c r="Y2727" s="25" t="s">
        <v>824</v>
      </c>
      <c r="Z2727" s="25" t="s">
        <v>824</v>
      </c>
      <c r="AA2727" s="25" t="s">
        <v>824</v>
      </c>
      <c r="AB2727" s="25" t="s">
        <v>824</v>
      </c>
      <c r="AC2727" s="25" t="s">
        <v>821</v>
      </c>
      <c r="AD2727" s="25" t="s">
        <v>824</v>
      </c>
      <c r="AE2727" s="25" t="s">
        <v>824</v>
      </c>
    </row>
    <row r="2728" spans="20:31" ht="14.4">
      <c r="T2728" s="25" t="s">
        <v>875</v>
      </c>
      <c r="U2728" s="25" t="s">
        <v>837</v>
      </c>
      <c r="V2728" s="25" t="s">
        <v>951</v>
      </c>
      <c r="W2728" s="25" t="str">
        <f t="shared" si="61"/>
        <v>Straight Bonded PelmetRevealBecker External CBUS Motor</v>
      </c>
      <c r="X2728" s="25">
        <v>0</v>
      </c>
      <c r="Y2728" s="25" t="s">
        <v>824</v>
      </c>
      <c r="Z2728" s="25" t="s">
        <v>824</v>
      </c>
      <c r="AA2728" s="25" t="s">
        <v>824</v>
      </c>
      <c r="AB2728" s="25" t="s">
        <v>824</v>
      </c>
      <c r="AC2728" s="25" t="s">
        <v>821</v>
      </c>
      <c r="AD2728" s="25" t="s">
        <v>824</v>
      </c>
      <c r="AE2728" s="25" t="s">
        <v>824</v>
      </c>
    </row>
    <row r="2729" spans="20:31" ht="14.4">
      <c r="T2729" s="25" t="s">
        <v>875</v>
      </c>
      <c r="U2729" s="25" t="s">
        <v>837</v>
      </c>
      <c r="V2729" s="25" t="s">
        <v>838</v>
      </c>
      <c r="W2729" s="25" t="str">
        <f t="shared" si="61"/>
        <v>Straight Bonded PelmetReveal1.1nm 12v Acmeda Motor</v>
      </c>
      <c r="X2729" s="25">
        <v>0</v>
      </c>
      <c r="Y2729" s="25" t="s">
        <v>824</v>
      </c>
      <c r="Z2729" s="25" t="s">
        <v>824</v>
      </c>
      <c r="AA2729" s="25" t="s">
        <v>824</v>
      </c>
      <c r="AB2729" s="25" t="s">
        <v>824</v>
      </c>
      <c r="AC2729" s="25" t="s">
        <v>821</v>
      </c>
      <c r="AD2729" s="25" t="s">
        <v>824</v>
      </c>
      <c r="AE2729" s="25" t="s">
        <v>824</v>
      </c>
    </row>
    <row r="2730" spans="20:31" ht="14.4">
      <c r="T2730" s="25" t="s">
        <v>875</v>
      </c>
      <c r="U2730" s="25" t="s">
        <v>837</v>
      </c>
      <c r="V2730" t="s">
        <v>882</v>
      </c>
      <c r="W2730" s="25" t="str">
        <f t="shared" si="61"/>
        <v>Straight Bonded PelmetReveal2nm 12v Acmeda Motor</v>
      </c>
      <c r="X2730" s="25">
        <v>0</v>
      </c>
      <c r="Y2730" s="25" t="s">
        <v>824</v>
      </c>
      <c r="Z2730" s="25" t="s">
        <v>824</v>
      </c>
      <c r="AA2730" s="25" t="s">
        <v>824</v>
      </c>
      <c r="AB2730" s="25" t="s">
        <v>824</v>
      </c>
      <c r="AC2730" s="25" t="s">
        <v>821</v>
      </c>
      <c r="AD2730" s="25" t="s">
        <v>824</v>
      </c>
      <c r="AE2730" s="25" t="s">
        <v>824</v>
      </c>
    </row>
    <row r="2731" spans="20:31" ht="14.4">
      <c r="T2731" s="25" t="s">
        <v>875</v>
      </c>
      <c r="U2731" s="25" t="s">
        <v>837</v>
      </c>
      <c r="V2731" t="s">
        <v>896</v>
      </c>
      <c r="W2731" s="25" t="str">
        <f t="shared" si="61"/>
        <v>Straight Bonded PelmetRevealAcmeda 12v 6nm Motor</v>
      </c>
      <c r="X2731" s="25">
        <v>0</v>
      </c>
      <c r="Y2731" s="25" t="s">
        <v>824</v>
      </c>
      <c r="Z2731" s="25" t="s">
        <v>824</v>
      </c>
      <c r="AA2731" s="25" t="s">
        <v>824</v>
      </c>
      <c r="AB2731" s="25" t="s">
        <v>824</v>
      </c>
      <c r="AC2731" s="25" t="s">
        <v>821</v>
      </c>
      <c r="AD2731" s="25" t="s">
        <v>824</v>
      </c>
      <c r="AE2731" s="25" t="s">
        <v>824</v>
      </c>
    </row>
    <row r="2732" spans="20:31" ht="14.4">
      <c r="T2732" s="25" t="s">
        <v>875</v>
      </c>
      <c r="U2732" s="25" t="s">
        <v>837</v>
      </c>
      <c r="V2732" t="s">
        <v>855</v>
      </c>
      <c r="W2732" s="25" t="str">
        <f t="shared" si="61"/>
        <v>Straight Bonded PelmetReveal0.7nm 12v Acmeda Motor</v>
      </c>
      <c r="X2732" s="25">
        <v>0</v>
      </c>
      <c r="Y2732" s="25" t="s">
        <v>824</v>
      </c>
      <c r="Z2732" s="25" t="s">
        <v>824</v>
      </c>
      <c r="AA2732" s="25" t="s">
        <v>824</v>
      </c>
      <c r="AB2732" s="25" t="s">
        <v>824</v>
      </c>
      <c r="AC2732" s="25" t="s">
        <v>821</v>
      </c>
      <c r="AD2732" s="25" t="s">
        <v>824</v>
      </c>
      <c r="AE2732" s="25" t="s">
        <v>824</v>
      </c>
    </row>
    <row r="2733" spans="20:31" ht="14.4">
      <c r="T2733" s="25" t="s">
        <v>875</v>
      </c>
      <c r="U2733" s="25" t="s">
        <v>837</v>
      </c>
      <c r="V2733" s="25" t="s">
        <v>849</v>
      </c>
      <c r="W2733" s="25" t="str">
        <f t="shared" si="61"/>
        <v>Straight Bonded PelmetReveal1.1nm 12v Acmeda DCRF Motor with External Battery</v>
      </c>
      <c r="X2733" s="25">
        <v>0</v>
      </c>
      <c r="Y2733" s="25" t="s">
        <v>824</v>
      </c>
      <c r="Z2733" s="25" t="s">
        <v>824</v>
      </c>
      <c r="AA2733" s="25" t="s">
        <v>824</v>
      </c>
      <c r="AB2733" s="25" t="s">
        <v>824</v>
      </c>
      <c r="AC2733" s="25" t="s">
        <v>821</v>
      </c>
      <c r="AD2733" s="25" t="s">
        <v>824</v>
      </c>
      <c r="AE2733" s="25" t="s">
        <v>824</v>
      </c>
    </row>
    <row r="2734" spans="20:31" ht="14.4">
      <c r="T2734" s="25" t="s">
        <v>875</v>
      </c>
      <c r="U2734" s="25" t="s">
        <v>837</v>
      </c>
      <c r="V2734" s="25" t="s">
        <v>817</v>
      </c>
      <c r="W2734" s="25" t="str">
        <f t="shared" si="61"/>
        <v>Straight Bonded PelmetReveal1.1nm 12v Acmeda DCRF Motor</v>
      </c>
      <c r="X2734" s="25">
        <v>0</v>
      </c>
      <c r="Y2734" s="25" t="s">
        <v>824</v>
      </c>
      <c r="Z2734" s="25" t="s">
        <v>824</v>
      </c>
      <c r="AA2734" s="25" t="s">
        <v>824</v>
      </c>
      <c r="AB2734" s="25" t="s">
        <v>824</v>
      </c>
      <c r="AC2734" s="25" t="s">
        <v>821</v>
      </c>
      <c r="AD2734" s="25" t="s">
        <v>824</v>
      </c>
      <c r="AE2734" s="25" t="s">
        <v>824</v>
      </c>
    </row>
    <row r="2735" spans="20:31" ht="14.4">
      <c r="T2735" s="25" t="s">
        <v>875</v>
      </c>
      <c r="U2735" s="25" t="s">
        <v>837</v>
      </c>
      <c r="V2735" s="25" t="s">
        <v>868</v>
      </c>
      <c r="W2735" s="25" t="str">
        <f t="shared" si="61"/>
        <v>Straight Bonded PelmetReveal2nm 12v Acmeda DCRF Motor</v>
      </c>
      <c r="X2735" s="25">
        <v>0</v>
      </c>
      <c r="Y2735" s="25" t="s">
        <v>824</v>
      </c>
      <c r="Z2735" s="25" t="s">
        <v>824</v>
      </c>
      <c r="AA2735" s="25" t="s">
        <v>824</v>
      </c>
      <c r="AB2735" s="25" t="s">
        <v>824</v>
      </c>
      <c r="AC2735" s="25" t="s">
        <v>821</v>
      </c>
      <c r="AD2735" s="25" t="s">
        <v>824</v>
      </c>
      <c r="AE2735" s="25" t="s">
        <v>824</v>
      </c>
    </row>
    <row r="2736" spans="20:31" ht="14.4">
      <c r="T2736" s="25" t="s">
        <v>875</v>
      </c>
      <c r="U2736" s="25" t="s">
        <v>837</v>
      </c>
      <c r="V2736" t="s">
        <v>973</v>
      </c>
      <c r="W2736" s="25" t="str">
        <f t="shared" si="61"/>
        <v>Straight Bonded PelmetRevealSomfy Remote Sonesse Motor</v>
      </c>
      <c r="X2736" s="25">
        <v>0</v>
      </c>
      <c r="Y2736" s="25" t="s">
        <v>824</v>
      </c>
      <c r="Z2736" s="25" t="s">
        <v>824</v>
      </c>
      <c r="AA2736" s="25" t="s">
        <v>824</v>
      </c>
      <c r="AB2736" s="25" t="s">
        <v>824</v>
      </c>
      <c r="AC2736" s="25" t="s">
        <v>821</v>
      </c>
      <c r="AD2736" s="25" t="s">
        <v>824</v>
      </c>
      <c r="AE2736" s="25" t="s">
        <v>824</v>
      </c>
    </row>
    <row r="2737" spans="20:31" ht="14.4">
      <c r="T2737" s="25" t="s">
        <v>875</v>
      </c>
      <c r="U2737" s="25" t="s">
        <v>837</v>
      </c>
      <c r="V2737" t="s">
        <v>637</v>
      </c>
      <c r="W2737" s="25" t="str">
        <f t="shared" si="61"/>
        <v>Straight Bonded PelmetRevealSomfy 12v Remote Sonesse Motor</v>
      </c>
      <c r="X2737" s="25">
        <v>0</v>
      </c>
      <c r="Y2737" s="25" t="s">
        <v>824</v>
      </c>
      <c r="Z2737" s="25" t="s">
        <v>824</v>
      </c>
      <c r="AA2737" s="25" t="s">
        <v>824</v>
      </c>
      <c r="AB2737" s="25" t="s">
        <v>824</v>
      </c>
      <c r="AC2737" s="25" t="s">
        <v>821</v>
      </c>
      <c r="AD2737" s="25" t="s">
        <v>824</v>
      </c>
      <c r="AE2737" s="25" t="s">
        <v>824</v>
      </c>
    </row>
    <row r="2738" spans="20:31" ht="14.4">
      <c r="T2738" s="25" t="s">
        <v>875</v>
      </c>
      <c r="U2738" s="25" t="s">
        <v>837</v>
      </c>
      <c r="V2738" s="25" t="s">
        <v>974</v>
      </c>
      <c r="W2738" s="25" t="str">
        <f t="shared" si="61"/>
        <v>Straight Bonded PelmetRevealSomfy CBUS Motor</v>
      </c>
      <c r="X2738" s="25">
        <v>0</v>
      </c>
      <c r="Y2738" s="25" t="s">
        <v>824</v>
      </c>
      <c r="Z2738" s="25" t="s">
        <v>824</v>
      </c>
      <c r="AA2738" s="25" t="s">
        <v>824</v>
      </c>
      <c r="AB2738" s="25" t="s">
        <v>824</v>
      </c>
      <c r="AC2738" s="25" t="s">
        <v>821</v>
      </c>
      <c r="AD2738" s="25" t="s">
        <v>824</v>
      </c>
      <c r="AE2738" s="25" t="s">
        <v>824</v>
      </c>
    </row>
    <row r="2739" spans="20:31" ht="14.4">
      <c r="T2739" s="25" t="s">
        <v>875</v>
      </c>
      <c r="U2739" s="25" t="s">
        <v>837</v>
      </c>
      <c r="V2739" t="s">
        <v>986</v>
      </c>
      <c r="W2739" s="25" t="str">
        <f t="shared" si="61"/>
        <v>Straight Bonded PelmetRevealHD Somfy Remote Sonesse Motor</v>
      </c>
      <c r="X2739" s="25">
        <v>0</v>
      </c>
      <c r="Y2739" s="25" t="s">
        <v>824</v>
      </c>
      <c r="Z2739" s="25" t="s">
        <v>824</v>
      </c>
      <c r="AA2739" s="25" t="s">
        <v>824</v>
      </c>
      <c r="AB2739" s="25" t="s">
        <v>824</v>
      </c>
      <c r="AC2739" s="25" t="s">
        <v>821</v>
      </c>
      <c r="AD2739" s="25" t="s">
        <v>824</v>
      </c>
      <c r="AE2739" s="25" t="s">
        <v>824</v>
      </c>
    </row>
    <row r="2740" spans="20:31" ht="14.4">
      <c r="T2740" s="25" t="s">
        <v>875</v>
      </c>
      <c r="U2740" s="25" t="s">
        <v>837</v>
      </c>
      <c r="V2740" t="s">
        <v>989</v>
      </c>
      <c r="W2740" s="25" t="str">
        <f t="shared" si="61"/>
        <v>Straight Bonded PelmetRevealHD Somfy 12v Remote Sonesse Motor</v>
      </c>
      <c r="X2740" s="25">
        <v>0</v>
      </c>
      <c r="Y2740" s="25" t="s">
        <v>824</v>
      </c>
      <c r="Z2740" s="25" t="s">
        <v>824</v>
      </c>
      <c r="AA2740" s="25" t="s">
        <v>824</v>
      </c>
      <c r="AB2740" s="25" t="s">
        <v>824</v>
      </c>
      <c r="AC2740" s="25" t="s">
        <v>821</v>
      </c>
      <c r="AD2740" s="25" t="s">
        <v>824</v>
      </c>
      <c r="AE2740" s="25" t="s">
        <v>824</v>
      </c>
    </row>
    <row r="2741" spans="20:31" ht="14.4">
      <c r="T2741" s="25" t="s">
        <v>875</v>
      </c>
      <c r="U2741" s="25" t="s">
        <v>837</v>
      </c>
      <c r="V2741" s="25" t="s">
        <v>992</v>
      </c>
      <c r="W2741" s="25" t="str">
        <f t="shared" si="61"/>
        <v>Straight Bonded PelmetRevealHD Somfy CBUS Motor</v>
      </c>
      <c r="X2741" s="25">
        <v>0</v>
      </c>
      <c r="Y2741" s="25" t="s">
        <v>824</v>
      </c>
      <c r="Z2741" s="25" t="s">
        <v>824</v>
      </c>
      <c r="AA2741" s="25" t="s">
        <v>824</v>
      </c>
      <c r="AB2741" s="25" t="s">
        <v>824</v>
      </c>
      <c r="AC2741" s="25" t="s">
        <v>821</v>
      </c>
      <c r="AD2741" s="25" t="s">
        <v>824</v>
      </c>
      <c r="AE2741" s="25" t="s">
        <v>824</v>
      </c>
    </row>
    <row r="2742" spans="20:31" ht="14.4">
      <c r="T2742" s="25" t="s">
        <v>875</v>
      </c>
      <c r="U2742" s="25" t="s">
        <v>837</v>
      </c>
      <c r="V2742" s="25" t="s">
        <v>625</v>
      </c>
      <c r="W2742" s="25" t="str">
        <f t="shared" si="61"/>
        <v>Straight Bonded PelmetRevealAcmeda E6 Motor</v>
      </c>
      <c r="X2742" s="25">
        <v>0</v>
      </c>
      <c r="Y2742" s="25" t="s">
        <v>824</v>
      </c>
      <c r="Z2742" s="25" t="s">
        <v>824</v>
      </c>
      <c r="AA2742" s="25" t="s">
        <v>824</v>
      </c>
      <c r="AB2742" s="25" t="s">
        <v>824</v>
      </c>
      <c r="AC2742" s="25" t="s">
        <v>821</v>
      </c>
      <c r="AD2742" s="25" t="s">
        <v>824</v>
      </c>
      <c r="AE2742" s="25" t="s">
        <v>824</v>
      </c>
    </row>
    <row r="2743" spans="20:31" ht="14.4">
      <c r="T2743" s="25" t="s">
        <v>875</v>
      </c>
      <c r="U2743" s="25" t="s">
        <v>837</v>
      </c>
      <c r="V2743" s="25" t="s">
        <v>626</v>
      </c>
      <c r="W2743" s="25" t="str">
        <f t="shared" si="61"/>
        <v>Straight Bonded PelmetRevealAcmeda M6 Motor</v>
      </c>
      <c r="X2743" s="25">
        <v>0</v>
      </c>
      <c r="Y2743" s="25" t="s">
        <v>824</v>
      </c>
      <c r="Z2743" s="25" t="s">
        <v>824</v>
      </c>
      <c r="AA2743" s="25" t="s">
        <v>824</v>
      </c>
      <c r="AB2743" s="25" t="s">
        <v>824</v>
      </c>
      <c r="AC2743" s="25" t="s">
        <v>821</v>
      </c>
      <c r="AD2743" s="25" t="s">
        <v>824</v>
      </c>
      <c r="AE2743" s="25" t="s">
        <v>824</v>
      </c>
    </row>
    <row r="2744" spans="20:31" ht="14.4">
      <c r="T2744" s="25" t="s">
        <v>875</v>
      </c>
      <c r="U2744" s="25" t="s">
        <v>837</v>
      </c>
      <c r="V2744" s="25" t="s">
        <v>1002</v>
      </c>
      <c r="W2744" s="25" t="str">
        <f t="shared" si="61"/>
        <v>Straight Bonded PelmetRevealUniline Remote Motor</v>
      </c>
      <c r="X2744" s="25">
        <v>0</v>
      </c>
      <c r="Y2744" s="25" t="s">
        <v>824</v>
      </c>
      <c r="Z2744" s="25" t="s">
        <v>824</v>
      </c>
      <c r="AA2744" s="25" t="s">
        <v>824</v>
      </c>
      <c r="AB2744" s="25" t="s">
        <v>824</v>
      </c>
      <c r="AC2744" s="25" t="s">
        <v>821</v>
      </c>
      <c r="AD2744" s="25" t="s">
        <v>824</v>
      </c>
      <c r="AE2744" s="25" t="s">
        <v>824</v>
      </c>
    </row>
    <row r="2745" spans="20:31" ht="14.4">
      <c r="T2745" s="25" t="s">
        <v>875</v>
      </c>
      <c r="U2745" s="25" t="s">
        <v>837</v>
      </c>
      <c r="V2745" s="25" t="s">
        <v>1005</v>
      </c>
      <c r="W2745" s="25" t="str">
        <f t="shared" si="61"/>
        <v>Straight Bonded PelmetRevealUniline Cbus Motor</v>
      </c>
      <c r="X2745" s="25">
        <v>0</v>
      </c>
      <c r="Y2745" s="25" t="s">
        <v>824</v>
      </c>
      <c r="Z2745" s="25" t="s">
        <v>824</v>
      </c>
      <c r="AA2745" s="25" t="s">
        <v>824</v>
      </c>
      <c r="AB2745" s="25" t="s">
        <v>824</v>
      </c>
      <c r="AC2745" s="25" t="s">
        <v>821</v>
      </c>
      <c r="AD2745" s="25" t="s">
        <v>824</v>
      </c>
      <c r="AE2745" s="25" t="s">
        <v>824</v>
      </c>
    </row>
    <row r="2746" spans="20:31" ht="14.4">
      <c r="T2746" s="25" t="s">
        <v>875</v>
      </c>
      <c r="U2746" s="25" t="s">
        <v>837</v>
      </c>
      <c r="V2746" s="25" t="s">
        <v>981</v>
      </c>
      <c r="W2746" s="25" t="str">
        <f t="shared" si="61"/>
        <v>Straight Bonded PelmetRevealNice Remote Motor</v>
      </c>
      <c r="X2746" s="25">
        <v>0</v>
      </c>
      <c r="Y2746" s="25" t="s">
        <v>824</v>
      </c>
      <c r="Z2746" s="25" t="s">
        <v>824</v>
      </c>
      <c r="AA2746" s="25" t="s">
        <v>824</v>
      </c>
      <c r="AB2746" s="25" t="s">
        <v>824</v>
      </c>
      <c r="AC2746" s="25" t="s">
        <v>821</v>
      </c>
      <c r="AD2746" s="25" t="s">
        <v>824</v>
      </c>
      <c r="AE2746" s="25" t="s">
        <v>824</v>
      </c>
    </row>
    <row r="2747" spans="20:31" ht="14.4">
      <c r="T2747" s="25" t="s">
        <v>875</v>
      </c>
      <c r="U2747" s="25" t="s">
        <v>837</v>
      </c>
      <c r="V2747" s="25" t="s">
        <v>976</v>
      </c>
      <c r="W2747" s="25" t="str">
        <f t="shared" si="61"/>
        <v>Straight Bonded PelmetRevealNice CBus Motor</v>
      </c>
      <c r="X2747" s="25">
        <v>0</v>
      </c>
      <c r="Y2747" s="25" t="s">
        <v>824</v>
      </c>
      <c r="Z2747" s="25" t="s">
        <v>824</v>
      </c>
      <c r="AA2747" s="25" t="s">
        <v>824</v>
      </c>
      <c r="AB2747" s="25" t="s">
        <v>824</v>
      </c>
      <c r="AC2747" s="25" t="s">
        <v>821</v>
      </c>
      <c r="AD2747" s="25" t="s">
        <v>824</v>
      </c>
      <c r="AE2747" s="25" t="s">
        <v>824</v>
      </c>
    </row>
    <row r="2748" spans="20:31" ht="14.4">
      <c r="T2748" s="25" t="s">
        <v>875</v>
      </c>
      <c r="U2748" s="25" t="s">
        <v>837</v>
      </c>
      <c r="V2748" t="s">
        <v>1006</v>
      </c>
      <c r="W2748" s="25" t="str">
        <f t="shared" si="61"/>
        <v>Straight Bonded PelmetRevealSunboss Chain Winder 38mm Tube</v>
      </c>
      <c r="X2748" s="25">
        <v>0</v>
      </c>
      <c r="Y2748" s="25" t="s">
        <v>824</v>
      </c>
      <c r="Z2748" s="25" t="s">
        <v>824</v>
      </c>
      <c r="AA2748" s="25" t="s">
        <v>824</v>
      </c>
      <c r="AB2748" s="25" t="s">
        <v>824</v>
      </c>
      <c r="AC2748" s="25" t="s">
        <v>821</v>
      </c>
      <c r="AD2748" s="25" t="s">
        <v>824</v>
      </c>
      <c r="AE2748" s="25" t="s">
        <v>824</v>
      </c>
    </row>
    <row r="2749" spans="20:31" ht="14.4">
      <c r="T2749" s="25" t="s">
        <v>875</v>
      </c>
      <c r="U2749" s="25" t="s">
        <v>837</v>
      </c>
      <c r="V2749" t="s">
        <v>1017</v>
      </c>
      <c r="W2749" s="25" t="str">
        <f t="shared" si="61"/>
        <v>Straight Bonded PelmetRevealSunboss Chain Winder 43mm Tube</v>
      </c>
      <c r="X2749" s="25">
        <v>0</v>
      </c>
      <c r="Y2749" s="25" t="s">
        <v>824</v>
      </c>
      <c r="Z2749" s="25" t="s">
        <v>824</v>
      </c>
      <c r="AA2749" s="25" t="s">
        <v>824</v>
      </c>
      <c r="AB2749" s="25" t="s">
        <v>824</v>
      </c>
      <c r="AC2749" s="25" t="s">
        <v>821</v>
      </c>
      <c r="AD2749" s="25" t="s">
        <v>824</v>
      </c>
      <c r="AE2749" s="25" t="s">
        <v>824</v>
      </c>
    </row>
    <row r="2750" spans="20:31" ht="14.4">
      <c r="T2750" s="25" t="s">
        <v>875</v>
      </c>
      <c r="U2750" s="25" t="s">
        <v>837</v>
      </c>
      <c r="V2750" s="25" t="s">
        <v>1012</v>
      </c>
      <c r="W2750" s="25" t="str">
        <f t="shared" si="61"/>
        <v>Straight Bonded PelmetRevealTBS Remote Motor</v>
      </c>
      <c r="X2750" s="25">
        <v>0</v>
      </c>
      <c r="Y2750" s="25" t="s">
        <v>824</v>
      </c>
      <c r="Z2750" s="25" t="s">
        <v>824</v>
      </c>
      <c r="AA2750" s="25" t="s">
        <v>824</v>
      </c>
      <c r="AB2750" s="25" t="s">
        <v>824</v>
      </c>
      <c r="AC2750" s="25" t="s">
        <v>821</v>
      </c>
      <c r="AD2750" s="25" t="s">
        <v>824</v>
      </c>
      <c r="AE2750" s="25" t="s">
        <v>824</v>
      </c>
    </row>
    <row r="2751" spans="20:31" ht="14.4">
      <c r="T2751" s="25" t="s">
        <v>875</v>
      </c>
      <c r="U2751" s="25" t="s">
        <v>837</v>
      </c>
      <c r="V2751" t="s">
        <v>1009</v>
      </c>
      <c r="W2751" s="25" t="str">
        <f t="shared" si="61"/>
        <v>Straight Bonded PelmetRevealTBS Cbus Motor</v>
      </c>
      <c r="X2751" s="25">
        <v>0</v>
      </c>
      <c r="Y2751" s="25" t="s">
        <v>824</v>
      </c>
      <c r="Z2751" s="25" t="s">
        <v>824</v>
      </c>
      <c r="AA2751" s="25" t="s">
        <v>824</v>
      </c>
      <c r="AB2751" s="25" t="s">
        <v>824</v>
      </c>
      <c r="AC2751" s="25" t="s">
        <v>821</v>
      </c>
      <c r="AD2751" s="25" t="s">
        <v>824</v>
      </c>
      <c r="AE2751" s="25" t="s">
        <v>824</v>
      </c>
    </row>
    <row r="2752" spans="20:31" ht="14.4">
      <c r="T2752" s="25" t="s">
        <v>875</v>
      </c>
      <c r="U2752" s="25" t="s">
        <v>837</v>
      </c>
      <c r="V2752" t="s">
        <v>927</v>
      </c>
      <c r="W2752" s="25" t="str">
        <f t="shared" si="61"/>
        <v>Straight Bonded PelmetRevealAcmeda External Motor</v>
      </c>
      <c r="X2752" s="25">
        <v>0</v>
      </c>
      <c r="Y2752" s="25" t="s">
        <v>824</v>
      </c>
      <c r="Z2752" s="25" t="s">
        <v>824</v>
      </c>
      <c r="AA2752" s="25" t="s">
        <v>824</v>
      </c>
      <c r="AB2752" s="25" t="s">
        <v>824</v>
      </c>
      <c r="AC2752" s="25" t="s">
        <v>821</v>
      </c>
      <c r="AD2752" s="25" t="s">
        <v>824</v>
      </c>
      <c r="AE2752" s="25" t="s">
        <v>824</v>
      </c>
    </row>
    <row r="2753" spans="20:31" ht="14.4">
      <c r="T2753" s="25" t="s">
        <v>875</v>
      </c>
      <c r="U2753" s="25" t="s">
        <v>837</v>
      </c>
      <c r="V2753" t="s">
        <v>918</v>
      </c>
      <c r="W2753" s="25" t="str">
        <f t="shared" si="61"/>
        <v>Straight Bonded PelmetRevealAcmeda External 12v Motor</v>
      </c>
      <c r="X2753" s="25">
        <v>0</v>
      </c>
      <c r="Y2753" s="25" t="s">
        <v>824</v>
      </c>
      <c r="Z2753" s="25" t="s">
        <v>824</v>
      </c>
      <c r="AA2753" s="25" t="s">
        <v>824</v>
      </c>
      <c r="AB2753" s="25" t="s">
        <v>824</v>
      </c>
      <c r="AC2753" s="25" t="s">
        <v>821</v>
      </c>
      <c r="AD2753" s="25" t="s">
        <v>824</v>
      </c>
      <c r="AE2753" s="25" t="s">
        <v>824</v>
      </c>
    </row>
    <row r="2754" spans="20:31" ht="14.4">
      <c r="T2754" s="25" t="s">
        <v>875</v>
      </c>
      <c r="U2754" s="25" t="s">
        <v>837</v>
      </c>
      <c r="V2754" t="s">
        <v>979</v>
      </c>
      <c r="W2754" s="25" t="str">
        <f t="shared" si="61"/>
        <v>Straight Bonded PelmetRevealSomfy External CBUS Motor</v>
      </c>
      <c r="X2754" s="25">
        <v>0</v>
      </c>
      <c r="Y2754" s="25" t="s">
        <v>824</v>
      </c>
      <c r="Z2754" s="25" t="s">
        <v>824</v>
      </c>
      <c r="AA2754" s="25" t="s">
        <v>824</v>
      </c>
      <c r="AB2754" s="25" t="s">
        <v>824</v>
      </c>
      <c r="AC2754" s="25" t="s">
        <v>821</v>
      </c>
      <c r="AD2754" s="25" t="s">
        <v>824</v>
      </c>
      <c r="AE2754" s="25" t="s">
        <v>824</v>
      </c>
    </row>
    <row r="2755" spans="20:31" ht="14.4">
      <c r="T2755" s="25" t="s">
        <v>875</v>
      </c>
      <c r="U2755" s="25" t="s">
        <v>837</v>
      </c>
      <c r="V2755" t="s">
        <v>983</v>
      </c>
      <c r="W2755" s="25" t="str">
        <f t="shared" si="62" ref="W2755:W2818">CONCATENATE(T2755,U2755,V2755)</f>
        <v>Straight Bonded PelmetRevealSomfy External Remote Motor</v>
      </c>
      <c r="X2755" s="25">
        <v>0</v>
      </c>
      <c r="Y2755" s="25" t="s">
        <v>824</v>
      </c>
      <c r="Z2755" s="25" t="s">
        <v>824</v>
      </c>
      <c r="AA2755" s="25" t="s">
        <v>824</v>
      </c>
      <c r="AB2755" s="25" t="s">
        <v>824</v>
      </c>
      <c r="AC2755" s="25" t="s">
        <v>821</v>
      </c>
      <c r="AD2755" s="25" t="s">
        <v>824</v>
      </c>
      <c r="AE2755" s="25" t="s">
        <v>824</v>
      </c>
    </row>
    <row r="2756" spans="20:31" ht="14.4">
      <c r="T2756" s="25" t="s">
        <v>875</v>
      </c>
      <c r="U2756" s="25" t="s">
        <v>837</v>
      </c>
      <c r="V2756" t="s">
        <v>995</v>
      </c>
      <c r="W2756" s="25" t="str">
        <f t="shared" si="62"/>
        <v>Straight Bonded PelmetRevealHD Somfy External CBUS Motor</v>
      </c>
      <c r="X2756" s="25">
        <v>0</v>
      </c>
      <c r="Y2756" s="25" t="s">
        <v>824</v>
      </c>
      <c r="Z2756" s="25" t="s">
        <v>824</v>
      </c>
      <c r="AA2756" s="25" t="s">
        <v>824</v>
      </c>
      <c r="AB2756" s="25" t="s">
        <v>824</v>
      </c>
      <c r="AC2756" s="25" t="s">
        <v>821</v>
      </c>
      <c r="AD2756" s="25" t="s">
        <v>824</v>
      </c>
      <c r="AE2756" s="25" t="s">
        <v>824</v>
      </c>
    </row>
    <row r="2757" spans="20:31" ht="14.4">
      <c r="T2757" s="25" t="s">
        <v>875</v>
      </c>
      <c r="U2757" s="25" t="s">
        <v>837</v>
      </c>
      <c r="V2757" t="s">
        <v>999</v>
      </c>
      <c r="W2757" s="25" t="str">
        <f t="shared" si="62"/>
        <v>Straight Bonded PelmetRevealHD Somfy External Remote Motor</v>
      </c>
      <c r="X2757" s="25">
        <v>0</v>
      </c>
      <c r="Y2757" s="25" t="s">
        <v>824</v>
      </c>
      <c r="Z2757" s="25" t="s">
        <v>824</v>
      </c>
      <c r="AA2757" s="25" t="s">
        <v>824</v>
      </c>
      <c r="AB2757" s="25" t="s">
        <v>824</v>
      </c>
      <c r="AC2757" s="25" t="s">
        <v>821</v>
      </c>
      <c r="AD2757" s="25" t="s">
        <v>824</v>
      </c>
      <c r="AE2757" s="25" t="s">
        <v>824</v>
      </c>
    </row>
    <row r="2758" spans="20:31" ht="14.4">
      <c r="T2758" s="25" t="s">
        <v>847</v>
      </c>
      <c r="U2758" s="25" t="s">
        <v>816</v>
      </c>
      <c r="V2758" s="25" t="s">
        <v>823</v>
      </c>
      <c r="W2758" s="25" t="str">
        <f t="shared" si="62"/>
        <v>Straight Upholstered PelmetFaceChain Winder</v>
      </c>
      <c r="X2758" s="25">
        <v>0</v>
      </c>
      <c r="Y2758" s="25" t="s">
        <v>824</v>
      </c>
      <c r="Z2758" s="25" t="s">
        <v>824</v>
      </c>
      <c r="AA2758" s="25" t="s">
        <v>824</v>
      </c>
      <c r="AB2758" s="25" t="s">
        <v>824</v>
      </c>
      <c r="AC2758" s="25" t="s">
        <v>821</v>
      </c>
      <c r="AD2758" s="25" t="s">
        <v>824</v>
      </c>
      <c r="AE2758" s="25" t="s">
        <v>824</v>
      </c>
    </row>
    <row r="2759" spans="20:31" ht="14.4">
      <c r="T2759" s="25" t="s">
        <v>847</v>
      </c>
      <c r="U2759" s="25" t="s">
        <v>816</v>
      </c>
      <c r="V2759" s="25" t="s">
        <v>841</v>
      </c>
      <c r="W2759" s="25" t="str">
        <f t="shared" si="62"/>
        <v>Straight Upholstered PelmetFaceHD Chain Winder</v>
      </c>
      <c r="X2759" s="25">
        <v>0</v>
      </c>
      <c r="Y2759" s="25" t="s">
        <v>824</v>
      </c>
      <c r="Z2759" s="25" t="s">
        <v>824</v>
      </c>
      <c r="AA2759" s="25" t="s">
        <v>824</v>
      </c>
      <c r="AB2759" s="25" t="s">
        <v>824</v>
      </c>
      <c r="AC2759" s="25" t="s">
        <v>821</v>
      </c>
      <c r="AD2759" s="25" t="s">
        <v>824</v>
      </c>
      <c r="AE2759" s="25" t="s">
        <v>824</v>
      </c>
    </row>
    <row r="2760" spans="20:31" ht="14.4">
      <c r="T2760" s="25" t="s">
        <v>847</v>
      </c>
      <c r="U2760" s="25" t="s">
        <v>816</v>
      </c>
      <c r="V2760" s="25" t="s">
        <v>858</v>
      </c>
      <c r="W2760" s="25" t="str">
        <f t="shared" si="62"/>
        <v>Straight Upholstered PelmetFaceChain Winder 60mm</v>
      </c>
      <c r="X2760" s="25">
        <v>0</v>
      </c>
      <c r="Y2760" s="25" t="s">
        <v>824</v>
      </c>
      <c r="Z2760" s="25" t="s">
        <v>824</v>
      </c>
      <c r="AA2760" s="25" t="s">
        <v>824</v>
      </c>
      <c r="AB2760" s="25" t="s">
        <v>824</v>
      </c>
      <c r="AC2760" s="25" t="s">
        <v>821</v>
      </c>
      <c r="AD2760" s="25" t="s">
        <v>824</v>
      </c>
      <c r="AE2760" s="25" t="s">
        <v>824</v>
      </c>
    </row>
    <row r="2761" spans="20:31" ht="14.4">
      <c r="T2761" s="25" t="s">
        <v>847</v>
      </c>
      <c r="U2761" s="25" t="s">
        <v>816</v>
      </c>
      <c r="V2761" s="25" t="s">
        <v>865</v>
      </c>
      <c r="W2761" s="25" t="str">
        <f t="shared" si="62"/>
        <v>Straight Upholstered PelmetFaceChain Winder Fixed Guide</v>
      </c>
      <c r="X2761" s="25">
        <v>0</v>
      </c>
      <c r="Y2761" s="25" t="s">
        <v>824</v>
      </c>
      <c r="Z2761" s="25" t="s">
        <v>824</v>
      </c>
      <c r="AA2761" s="25" t="s">
        <v>824</v>
      </c>
      <c r="AB2761" s="25" t="s">
        <v>824</v>
      </c>
      <c r="AC2761" s="25" t="s">
        <v>821</v>
      </c>
      <c r="AD2761" s="25" t="s">
        <v>824</v>
      </c>
      <c r="AE2761" s="25" t="s">
        <v>824</v>
      </c>
    </row>
    <row r="2762" spans="20:31" ht="14.4">
      <c r="T2762" s="25" t="s">
        <v>847</v>
      </c>
      <c r="U2762" s="25" t="s">
        <v>816</v>
      </c>
      <c r="V2762" s="25" t="s">
        <v>181</v>
      </c>
      <c r="W2762" s="25" t="str">
        <f t="shared" si="62"/>
        <v>Straight Upholstered PelmetFaceLinked</v>
      </c>
      <c r="X2762" s="25">
        <v>0</v>
      </c>
      <c r="Y2762" s="25" t="s">
        <v>824</v>
      </c>
      <c r="Z2762" s="25" t="s">
        <v>824</v>
      </c>
      <c r="AA2762" s="25" t="s">
        <v>824</v>
      </c>
      <c r="AB2762" s="25" t="s">
        <v>824</v>
      </c>
      <c r="AC2762" s="25" t="s">
        <v>821</v>
      </c>
      <c r="AD2762" s="25" t="s">
        <v>824</v>
      </c>
      <c r="AE2762" s="25" t="s">
        <v>824</v>
      </c>
    </row>
    <row r="2763" spans="20:31" ht="14.4">
      <c r="T2763" s="25" t="s">
        <v>847</v>
      </c>
      <c r="U2763" s="25" t="s">
        <v>816</v>
      </c>
      <c r="V2763" s="25" t="s">
        <v>898</v>
      </c>
      <c r="W2763" s="25" t="str">
        <f t="shared" si="62"/>
        <v>Straight Upholstered PelmetFaceLinked - HD</v>
      </c>
      <c r="X2763" s="25">
        <v>0</v>
      </c>
      <c r="Y2763" s="25" t="s">
        <v>824</v>
      </c>
      <c r="Z2763" s="25" t="s">
        <v>824</v>
      </c>
      <c r="AA2763" s="25" t="s">
        <v>824</v>
      </c>
      <c r="AB2763" s="25" t="s">
        <v>824</v>
      </c>
      <c r="AC2763" s="25" t="s">
        <v>821</v>
      </c>
      <c r="AD2763" s="25" t="s">
        <v>824</v>
      </c>
      <c r="AE2763" s="25" t="s">
        <v>824</v>
      </c>
    </row>
    <row r="2764" spans="20:31" ht="14.4">
      <c r="T2764" s="25" t="s">
        <v>847</v>
      </c>
      <c r="U2764" s="25" t="s">
        <v>816</v>
      </c>
      <c r="V2764" s="25" t="s">
        <v>925</v>
      </c>
      <c r="W2764" s="25" t="str">
        <f t="shared" si="62"/>
        <v>Straight Upholstered PelmetFaceLinked 60mm</v>
      </c>
      <c r="X2764" s="25">
        <v>0</v>
      </c>
      <c r="Y2764" s="25" t="s">
        <v>824</v>
      </c>
      <c r="Z2764" s="25" t="s">
        <v>824</v>
      </c>
      <c r="AA2764" s="25" t="s">
        <v>824</v>
      </c>
      <c r="AB2764" s="25" t="s">
        <v>824</v>
      </c>
      <c r="AC2764" s="25" t="s">
        <v>821</v>
      </c>
      <c r="AD2764" s="25" t="s">
        <v>824</v>
      </c>
      <c r="AE2764" s="25" t="s">
        <v>824</v>
      </c>
    </row>
    <row r="2765" spans="20:31" ht="14.4">
      <c r="T2765" s="25" t="s">
        <v>847</v>
      </c>
      <c r="U2765" s="25" t="s">
        <v>816</v>
      </c>
      <c r="V2765" s="25" t="s">
        <v>910</v>
      </c>
      <c r="W2765" s="25" t="str">
        <f t="shared" si="62"/>
        <v>Straight Upholstered PelmetFaceStandard Spring</v>
      </c>
      <c r="X2765" s="25">
        <v>0</v>
      </c>
      <c r="Y2765" s="25" t="s">
        <v>824</v>
      </c>
      <c r="Z2765" s="25" t="s">
        <v>824</v>
      </c>
      <c r="AA2765" s="25" t="s">
        <v>824</v>
      </c>
      <c r="AB2765" s="25" t="s">
        <v>824</v>
      </c>
      <c r="AC2765" s="25" t="s">
        <v>821</v>
      </c>
      <c r="AD2765" s="25" t="s">
        <v>824</v>
      </c>
      <c r="AE2765" s="25" t="s">
        <v>824</v>
      </c>
    </row>
    <row r="2766" spans="20:31" ht="14.4">
      <c r="T2766" s="25" t="s">
        <v>847</v>
      </c>
      <c r="U2766" s="25" t="s">
        <v>816</v>
      </c>
      <c r="V2766" s="25" t="s">
        <v>920</v>
      </c>
      <c r="W2766" s="25" t="str">
        <f t="shared" si="62"/>
        <v>Straight Upholstered PelmetFaceSmall Spring</v>
      </c>
      <c r="X2766" s="25">
        <v>0</v>
      </c>
      <c r="Y2766" s="25" t="s">
        <v>824</v>
      </c>
      <c r="Z2766" s="25" t="s">
        <v>824</v>
      </c>
      <c r="AA2766" s="25" t="s">
        <v>824</v>
      </c>
      <c r="AB2766" s="25" t="s">
        <v>824</v>
      </c>
      <c r="AC2766" s="25" t="s">
        <v>821</v>
      </c>
      <c r="AD2766" s="25" t="s">
        <v>824</v>
      </c>
      <c r="AE2766" s="25" t="s">
        <v>824</v>
      </c>
    </row>
    <row r="2767" spans="20:31" ht="14.4">
      <c r="T2767" s="25" t="s">
        <v>847</v>
      </c>
      <c r="U2767" s="25" t="s">
        <v>816</v>
      </c>
      <c r="V2767" s="25" t="s">
        <v>929</v>
      </c>
      <c r="W2767" s="25" t="str">
        <f t="shared" si="62"/>
        <v>Straight Upholstered PelmetFaceUniline Spring (Old Style)</v>
      </c>
      <c r="X2767" s="25">
        <v>0</v>
      </c>
      <c r="Y2767" s="25" t="s">
        <v>824</v>
      </c>
      <c r="Z2767" s="25" t="s">
        <v>824</v>
      </c>
      <c r="AA2767" s="25" t="s">
        <v>824</v>
      </c>
      <c r="AB2767" s="25" t="s">
        <v>824</v>
      </c>
      <c r="AC2767" s="25" t="s">
        <v>821</v>
      </c>
      <c r="AD2767" s="25" t="s">
        <v>824</v>
      </c>
      <c r="AE2767" s="25" t="s">
        <v>824</v>
      </c>
    </row>
    <row r="2768" spans="20:31" ht="14.4">
      <c r="T2768" s="25" t="s">
        <v>847</v>
      </c>
      <c r="U2768" s="25" t="s">
        <v>816</v>
      </c>
      <c r="V2768" s="25" t="s">
        <v>935</v>
      </c>
      <c r="W2768" s="25" t="str">
        <f t="shared" si="62"/>
        <v>Straight Upholstered PelmetFaceBecker Remote Motor</v>
      </c>
      <c r="X2768" s="25">
        <v>0</v>
      </c>
      <c r="Y2768" s="25" t="s">
        <v>824</v>
      </c>
      <c r="Z2768" s="25" t="s">
        <v>824</v>
      </c>
      <c r="AA2768" s="25" t="s">
        <v>824</v>
      </c>
      <c r="AB2768" s="25" t="s">
        <v>824</v>
      </c>
      <c r="AC2768" s="25" t="s">
        <v>821</v>
      </c>
      <c r="AD2768" s="25" t="s">
        <v>824</v>
      </c>
      <c r="AE2768" s="25" t="s">
        <v>824</v>
      </c>
    </row>
    <row r="2769" spans="20:31" ht="14.4">
      <c r="T2769" s="25" t="s">
        <v>847</v>
      </c>
      <c r="U2769" s="25" t="s">
        <v>816</v>
      </c>
      <c r="V2769" s="25" t="s">
        <v>939</v>
      </c>
      <c r="W2769" s="25" t="str">
        <f t="shared" si="62"/>
        <v>Straight Upholstered PelmetFaceBecker CBUS Motor</v>
      </c>
      <c r="X2769" s="25">
        <v>0</v>
      </c>
      <c r="Y2769" s="25" t="s">
        <v>824</v>
      </c>
      <c r="Z2769" s="25" t="s">
        <v>824</v>
      </c>
      <c r="AA2769" s="25" t="s">
        <v>824</v>
      </c>
      <c r="AB2769" s="25" t="s">
        <v>824</v>
      </c>
      <c r="AC2769" s="25" t="s">
        <v>821</v>
      </c>
      <c r="AD2769" s="25" t="s">
        <v>824</v>
      </c>
      <c r="AE2769" s="25" t="s">
        <v>824</v>
      </c>
    </row>
    <row r="2770" spans="20:31" ht="14.4">
      <c r="T2770" s="25" t="s">
        <v>847</v>
      </c>
      <c r="U2770" s="25" t="s">
        <v>816</v>
      </c>
      <c r="V2770" s="25" t="s">
        <v>946</v>
      </c>
      <c r="W2770" s="25" t="str">
        <f t="shared" si="62"/>
        <v>Straight Upholstered PelmetFaceBecker External Remote Motor</v>
      </c>
      <c r="X2770" s="25">
        <v>0</v>
      </c>
      <c r="Y2770" s="25" t="s">
        <v>824</v>
      </c>
      <c r="Z2770" s="25" t="s">
        <v>824</v>
      </c>
      <c r="AA2770" s="25" t="s">
        <v>824</v>
      </c>
      <c r="AB2770" s="25" t="s">
        <v>824</v>
      </c>
      <c r="AC2770" s="25" t="s">
        <v>821</v>
      </c>
      <c r="AD2770" s="25" t="s">
        <v>824</v>
      </c>
      <c r="AE2770" s="25" t="s">
        <v>824</v>
      </c>
    </row>
    <row r="2771" spans="20:31" ht="14.4">
      <c r="T2771" s="25" t="s">
        <v>847</v>
      </c>
      <c r="U2771" s="25" t="s">
        <v>816</v>
      </c>
      <c r="V2771" s="25" t="s">
        <v>951</v>
      </c>
      <c r="W2771" s="25" t="str">
        <f t="shared" si="62"/>
        <v>Straight Upholstered PelmetFaceBecker External CBUS Motor</v>
      </c>
      <c r="X2771" s="25">
        <v>0</v>
      </c>
      <c r="Y2771" s="25" t="s">
        <v>824</v>
      </c>
      <c r="Z2771" s="25" t="s">
        <v>824</v>
      </c>
      <c r="AA2771" s="25" t="s">
        <v>824</v>
      </c>
      <c r="AB2771" s="25" t="s">
        <v>824</v>
      </c>
      <c r="AC2771" s="25" t="s">
        <v>821</v>
      </c>
      <c r="AD2771" s="25" t="s">
        <v>824</v>
      </c>
      <c r="AE2771" s="25" t="s">
        <v>824</v>
      </c>
    </row>
    <row r="2772" spans="20:31" ht="14.4">
      <c r="T2772" s="25" t="s">
        <v>847</v>
      </c>
      <c r="U2772" s="25" t="s">
        <v>816</v>
      </c>
      <c r="V2772" s="25" t="s">
        <v>838</v>
      </c>
      <c r="W2772" s="25" t="str">
        <f t="shared" si="62"/>
        <v>Straight Upholstered PelmetFace1.1nm 12v Acmeda Motor</v>
      </c>
      <c r="X2772" s="25">
        <v>0</v>
      </c>
      <c r="Y2772" s="25" t="s">
        <v>824</v>
      </c>
      <c r="Z2772" s="25" t="s">
        <v>824</v>
      </c>
      <c r="AA2772" s="25" t="s">
        <v>824</v>
      </c>
      <c r="AB2772" s="25" t="s">
        <v>824</v>
      </c>
      <c r="AC2772" s="25" t="s">
        <v>821</v>
      </c>
      <c r="AD2772" s="25" t="s">
        <v>824</v>
      </c>
      <c r="AE2772" s="25" t="s">
        <v>824</v>
      </c>
    </row>
    <row r="2773" spans="20:31" ht="14.4">
      <c r="T2773" s="25" t="s">
        <v>847</v>
      </c>
      <c r="U2773" s="25" t="s">
        <v>816</v>
      </c>
      <c r="V2773" t="s">
        <v>882</v>
      </c>
      <c r="W2773" s="25" t="str">
        <f t="shared" si="62"/>
        <v>Straight Upholstered PelmetFace2nm 12v Acmeda Motor</v>
      </c>
      <c r="X2773" s="25">
        <v>0</v>
      </c>
      <c r="Y2773" s="25" t="s">
        <v>824</v>
      </c>
      <c r="Z2773" s="25" t="s">
        <v>824</v>
      </c>
      <c r="AA2773" s="25" t="s">
        <v>824</v>
      </c>
      <c r="AB2773" s="25" t="s">
        <v>824</v>
      </c>
      <c r="AC2773" s="25" t="s">
        <v>821</v>
      </c>
      <c r="AD2773" s="25" t="s">
        <v>824</v>
      </c>
      <c r="AE2773" s="25" t="s">
        <v>824</v>
      </c>
    </row>
    <row r="2774" spans="20:31" ht="14.4">
      <c r="T2774" s="25" t="s">
        <v>847</v>
      </c>
      <c r="U2774" s="25" t="s">
        <v>816</v>
      </c>
      <c r="V2774" t="s">
        <v>896</v>
      </c>
      <c r="W2774" s="25" t="str">
        <f t="shared" si="62"/>
        <v>Straight Upholstered PelmetFaceAcmeda 12v 6nm Motor</v>
      </c>
      <c r="X2774" s="25">
        <v>0</v>
      </c>
      <c r="Y2774" s="25" t="s">
        <v>824</v>
      </c>
      <c r="Z2774" s="25" t="s">
        <v>824</v>
      </c>
      <c r="AA2774" s="25" t="s">
        <v>824</v>
      </c>
      <c r="AB2774" s="25" t="s">
        <v>824</v>
      </c>
      <c r="AC2774" s="25" t="s">
        <v>821</v>
      </c>
      <c r="AD2774" s="25" t="s">
        <v>824</v>
      </c>
      <c r="AE2774" s="25" t="s">
        <v>824</v>
      </c>
    </row>
    <row r="2775" spans="20:31" ht="14.4">
      <c r="T2775" s="25" t="s">
        <v>847</v>
      </c>
      <c r="U2775" s="25" t="s">
        <v>816</v>
      </c>
      <c r="V2775" t="s">
        <v>855</v>
      </c>
      <c r="W2775" s="25" t="str">
        <f t="shared" si="62"/>
        <v>Straight Upholstered PelmetFace0.7nm 12v Acmeda Motor</v>
      </c>
      <c r="X2775" s="25">
        <v>0</v>
      </c>
      <c r="Y2775" s="25" t="s">
        <v>824</v>
      </c>
      <c r="Z2775" s="25" t="s">
        <v>824</v>
      </c>
      <c r="AA2775" s="25" t="s">
        <v>824</v>
      </c>
      <c r="AB2775" s="25" t="s">
        <v>824</v>
      </c>
      <c r="AC2775" s="25" t="s">
        <v>821</v>
      </c>
      <c r="AD2775" s="25" t="s">
        <v>824</v>
      </c>
      <c r="AE2775" s="25" t="s">
        <v>824</v>
      </c>
    </row>
    <row r="2776" spans="20:31" ht="14.4">
      <c r="T2776" s="25" t="s">
        <v>847</v>
      </c>
      <c r="U2776" s="25" t="s">
        <v>816</v>
      </c>
      <c r="V2776" s="25" t="s">
        <v>849</v>
      </c>
      <c r="W2776" s="25" t="str">
        <f t="shared" si="62"/>
        <v>Straight Upholstered PelmetFace1.1nm 12v Acmeda DCRF Motor with External Battery</v>
      </c>
      <c r="X2776" s="25">
        <v>0</v>
      </c>
      <c r="Y2776" s="25" t="s">
        <v>824</v>
      </c>
      <c r="Z2776" s="25" t="s">
        <v>824</v>
      </c>
      <c r="AA2776" s="25" t="s">
        <v>824</v>
      </c>
      <c r="AB2776" s="25" t="s">
        <v>824</v>
      </c>
      <c r="AC2776" s="25" t="s">
        <v>821</v>
      </c>
      <c r="AD2776" s="25" t="s">
        <v>824</v>
      </c>
      <c r="AE2776" s="25" t="s">
        <v>824</v>
      </c>
    </row>
    <row r="2777" spans="20:31" ht="14.4">
      <c r="T2777" s="25" t="s">
        <v>847</v>
      </c>
      <c r="U2777" s="25" t="s">
        <v>816</v>
      </c>
      <c r="V2777" s="25" t="s">
        <v>817</v>
      </c>
      <c r="W2777" s="25" t="str">
        <f t="shared" si="62"/>
        <v>Straight Upholstered PelmetFace1.1nm 12v Acmeda DCRF Motor</v>
      </c>
      <c r="X2777" s="25">
        <v>0</v>
      </c>
      <c r="Y2777" s="25" t="s">
        <v>824</v>
      </c>
      <c r="Z2777" s="25" t="s">
        <v>824</v>
      </c>
      <c r="AA2777" s="25" t="s">
        <v>824</v>
      </c>
      <c r="AB2777" s="25" t="s">
        <v>824</v>
      </c>
      <c r="AC2777" s="25" t="s">
        <v>821</v>
      </c>
      <c r="AD2777" s="25" t="s">
        <v>824</v>
      </c>
      <c r="AE2777" s="25" t="s">
        <v>824</v>
      </c>
    </row>
    <row r="2778" spans="20:31" ht="14.4">
      <c r="T2778" s="25" t="s">
        <v>847</v>
      </c>
      <c r="U2778" s="25" t="s">
        <v>816</v>
      </c>
      <c r="V2778" s="25" t="s">
        <v>868</v>
      </c>
      <c r="W2778" s="25" t="str">
        <f t="shared" si="62"/>
        <v>Straight Upholstered PelmetFace2nm 12v Acmeda DCRF Motor</v>
      </c>
      <c r="X2778" s="25">
        <v>0</v>
      </c>
      <c r="Y2778" s="25" t="s">
        <v>824</v>
      </c>
      <c r="Z2778" s="25" t="s">
        <v>824</v>
      </c>
      <c r="AA2778" s="25" t="s">
        <v>824</v>
      </c>
      <c r="AB2778" s="25" t="s">
        <v>824</v>
      </c>
      <c r="AC2778" s="25" t="s">
        <v>821</v>
      </c>
      <c r="AD2778" s="25" t="s">
        <v>824</v>
      </c>
      <c r="AE2778" s="25" t="s">
        <v>824</v>
      </c>
    </row>
    <row r="2779" spans="20:31" ht="14.4">
      <c r="T2779" s="25" t="s">
        <v>847</v>
      </c>
      <c r="U2779" s="25" t="s">
        <v>816</v>
      </c>
      <c r="V2779" t="s">
        <v>973</v>
      </c>
      <c r="W2779" s="25" t="str">
        <f t="shared" si="62"/>
        <v>Straight Upholstered PelmetFaceSomfy Remote Sonesse Motor</v>
      </c>
      <c r="X2779" s="25">
        <v>0</v>
      </c>
      <c r="Y2779" s="25" t="s">
        <v>824</v>
      </c>
      <c r="Z2779" s="25" t="s">
        <v>824</v>
      </c>
      <c r="AA2779" s="25" t="s">
        <v>824</v>
      </c>
      <c r="AB2779" s="25" t="s">
        <v>824</v>
      </c>
      <c r="AC2779" s="25" t="s">
        <v>821</v>
      </c>
      <c r="AD2779" s="25" t="s">
        <v>824</v>
      </c>
      <c r="AE2779" s="25" t="s">
        <v>824</v>
      </c>
    </row>
    <row r="2780" spans="20:31" ht="14.4">
      <c r="T2780" s="25" t="s">
        <v>847</v>
      </c>
      <c r="U2780" s="25" t="s">
        <v>816</v>
      </c>
      <c r="V2780" t="s">
        <v>637</v>
      </c>
      <c r="W2780" s="25" t="str">
        <f t="shared" si="62"/>
        <v>Straight Upholstered PelmetFaceSomfy 12v Remote Sonesse Motor</v>
      </c>
      <c r="X2780" s="25">
        <v>0</v>
      </c>
      <c r="Y2780" s="25" t="s">
        <v>824</v>
      </c>
      <c r="Z2780" s="25" t="s">
        <v>824</v>
      </c>
      <c r="AA2780" s="25" t="s">
        <v>824</v>
      </c>
      <c r="AB2780" s="25" t="s">
        <v>824</v>
      </c>
      <c r="AC2780" s="25" t="s">
        <v>821</v>
      </c>
      <c r="AD2780" s="25" t="s">
        <v>824</v>
      </c>
      <c r="AE2780" s="25" t="s">
        <v>824</v>
      </c>
    </row>
    <row r="2781" spans="20:31" ht="14.4">
      <c r="T2781" s="25" t="s">
        <v>847</v>
      </c>
      <c r="U2781" s="25" t="s">
        <v>816</v>
      </c>
      <c r="V2781" s="25" t="s">
        <v>974</v>
      </c>
      <c r="W2781" s="25" t="str">
        <f t="shared" si="62"/>
        <v>Straight Upholstered PelmetFaceSomfy CBUS Motor</v>
      </c>
      <c r="X2781" s="25">
        <v>0</v>
      </c>
      <c r="Y2781" s="25" t="s">
        <v>824</v>
      </c>
      <c r="Z2781" s="25" t="s">
        <v>824</v>
      </c>
      <c r="AA2781" s="25" t="s">
        <v>824</v>
      </c>
      <c r="AB2781" s="25" t="s">
        <v>824</v>
      </c>
      <c r="AC2781" s="25" t="s">
        <v>821</v>
      </c>
      <c r="AD2781" s="25" t="s">
        <v>824</v>
      </c>
      <c r="AE2781" s="25" t="s">
        <v>824</v>
      </c>
    </row>
    <row r="2782" spans="20:31" ht="14.4">
      <c r="T2782" s="25" t="s">
        <v>847</v>
      </c>
      <c r="U2782" s="25" t="s">
        <v>816</v>
      </c>
      <c r="V2782" t="s">
        <v>986</v>
      </c>
      <c r="W2782" s="25" t="str">
        <f t="shared" si="62"/>
        <v>Straight Upholstered PelmetFaceHD Somfy Remote Sonesse Motor</v>
      </c>
      <c r="X2782" s="25">
        <v>0</v>
      </c>
      <c r="Y2782" s="25" t="s">
        <v>824</v>
      </c>
      <c r="Z2782" s="25" t="s">
        <v>824</v>
      </c>
      <c r="AA2782" s="25" t="s">
        <v>824</v>
      </c>
      <c r="AB2782" s="25" t="s">
        <v>824</v>
      </c>
      <c r="AC2782" s="25" t="s">
        <v>821</v>
      </c>
      <c r="AD2782" s="25" t="s">
        <v>824</v>
      </c>
      <c r="AE2782" s="25" t="s">
        <v>824</v>
      </c>
    </row>
    <row r="2783" spans="20:31" ht="14.4">
      <c r="T2783" s="25" t="s">
        <v>847</v>
      </c>
      <c r="U2783" s="25" t="s">
        <v>816</v>
      </c>
      <c r="V2783" t="s">
        <v>989</v>
      </c>
      <c r="W2783" s="25" t="str">
        <f t="shared" si="62"/>
        <v>Straight Upholstered PelmetFaceHD Somfy 12v Remote Sonesse Motor</v>
      </c>
      <c r="X2783" s="25">
        <v>0</v>
      </c>
      <c r="Y2783" s="25" t="s">
        <v>824</v>
      </c>
      <c r="Z2783" s="25" t="s">
        <v>824</v>
      </c>
      <c r="AA2783" s="25" t="s">
        <v>824</v>
      </c>
      <c r="AB2783" s="25" t="s">
        <v>824</v>
      </c>
      <c r="AC2783" s="25" t="s">
        <v>821</v>
      </c>
      <c r="AD2783" s="25" t="s">
        <v>824</v>
      </c>
      <c r="AE2783" s="25" t="s">
        <v>824</v>
      </c>
    </row>
    <row r="2784" spans="20:31" ht="14.4">
      <c r="T2784" s="25" t="s">
        <v>847</v>
      </c>
      <c r="U2784" s="25" t="s">
        <v>816</v>
      </c>
      <c r="V2784" s="25" t="s">
        <v>992</v>
      </c>
      <c r="W2784" s="25" t="str">
        <f t="shared" si="62"/>
        <v>Straight Upholstered PelmetFaceHD Somfy CBUS Motor</v>
      </c>
      <c r="X2784" s="25">
        <v>0</v>
      </c>
      <c r="Y2784" s="25" t="s">
        <v>824</v>
      </c>
      <c r="Z2784" s="25" t="s">
        <v>824</v>
      </c>
      <c r="AA2784" s="25" t="s">
        <v>824</v>
      </c>
      <c r="AB2784" s="25" t="s">
        <v>824</v>
      </c>
      <c r="AC2784" s="25" t="s">
        <v>821</v>
      </c>
      <c r="AD2784" s="25" t="s">
        <v>824</v>
      </c>
      <c r="AE2784" s="25" t="s">
        <v>824</v>
      </c>
    </row>
    <row r="2785" spans="20:31" ht="14.4">
      <c r="T2785" s="25" t="s">
        <v>847</v>
      </c>
      <c r="U2785" s="25" t="s">
        <v>816</v>
      </c>
      <c r="V2785" s="25" t="s">
        <v>625</v>
      </c>
      <c r="W2785" s="25" t="str">
        <f t="shared" si="62"/>
        <v>Straight Upholstered PelmetFaceAcmeda E6 Motor</v>
      </c>
      <c r="X2785" s="25">
        <v>0</v>
      </c>
      <c r="Y2785" s="25" t="s">
        <v>824</v>
      </c>
      <c r="Z2785" s="25" t="s">
        <v>824</v>
      </c>
      <c r="AA2785" s="25" t="s">
        <v>824</v>
      </c>
      <c r="AB2785" s="25" t="s">
        <v>824</v>
      </c>
      <c r="AC2785" s="25" t="s">
        <v>821</v>
      </c>
      <c r="AD2785" s="25" t="s">
        <v>824</v>
      </c>
      <c r="AE2785" s="25" t="s">
        <v>824</v>
      </c>
    </row>
    <row r="2786" spans="20:31" ht="14.4">
      <c r="T2786" s="25" t="s">
        <v>847</v>
      </c>
      <c r="U2786" s="25" t="s">
        <v>816</v>
      </c>
      <c r="V2786" s="25" t="s">
        <v>626</v>
      </c>
      <c r="W2786" s="25" t="str">
        <f t="shared" si="62"/>
        <v>Straight Upholstered PelmetFaceAcmeda M6 Motor</v>
      </c>
      <c r="X2786" s="25">
        <v>0</v>
      </c>
      <c r="Y2786" s="25" t="s">
        <v>824</v>
      </c>
      <c r="Z2786" s="25" t="s">
        <v>824</v>
      </c>
      <c r="AA2786" s="25" t="s">
        <v>824</v>
      </c>
      <c r="AB2786" s="25" t="s">
        <v>824</v>
      </c>
      <c r="AC2786" s="25" t="s">
        <v>821</v>
      </c>
      <c r="AD2786" s="25" t="s">
        <v>824</v>
      </c>
      <c r="AE2786" s="25" t="s">
        <v>824</v>
      </c>
    </row>
    <row r="2787" spans="20:31" ht="14.4">
      <c r="T2787" s="25" t="s">
        <v>847</v>
      </c>
      <c r="U2787" s="25" t="s">
        <v>816</v>
      </c>
      <c r="V2787" s="25" t="s">
        <v>1002</v>
      </c>
      <c r="W2787" s="25" t="str">
        <f t="shared" si="62"/>
        <v>Straight Upholstered PelmetFaceUniline Remote Motor</v>
      </c>
      <c r="X2787" s="25">
        <v>0</v>
      </c>
      <c r="Y2787" s="25" t="s">
        <v>824</v>
      </c>
      <c r="Z2787" s="25" t="s">
        <v>824</v>
      </c>
      <c r="AA2787" s="25" t="s">
        <v>824</v>
      </c>
      <c r="AB2787" s="25" t="s">
        <v>824</v>
      </c>
      <c r="AC2787" s="25" t="s">
        <v>821</v>
      </c>
      <c r="AD2787" s="25" t="s">
        <v>824</v>
      </c>
      <c r="AE2787" s="25" t="s">
        <v>824</v>
      </c>
    </row>
    <row r="2788" spans="20:31" ht="14.4">
      <c r="T2788" s="25" t="s">
        <v>847</v>
      </c>
      <c r="U2788" s="25" t="s">
        <v>816</v>
      </c>
      <c r="V2788" s="25" t="s">
        <v>1005</v>
      </c>
      <c r="W2788" s="25" t="str">
        <f t="shared" si="62"/>
        <v>Straight Upholstered PelmetFaceUniline Cbus Motor</v>
      </c>
      <c r="X2788" s="25">
        <v>0</v>
      </c>
      <c r="Y2788" s="25" t="s">
        <v>824</v>
      </c>
      <c r="Z2788" s="25" t="s">
        <v>824</v>
      </c>
      <c r="AA2788" s="25" t="s">
        <v>824</v>
      </c>
      <c r="AB2788" s="25" t="s">
        <v>824</v>
      </c>
      <c r="AC2788" s="25" t="s">
        <v>821</v>
      </c>
      <c r="AD2788" s="25" t="s">
        <v>824</v>
      </c>
      <c r="AE2788" s="25" t="s">
        <v>824</v>
      </c>
    </row>
    <row r="2789" spans="20:31" ht="14.4">
      <c r="T2789" s="25" t="s">
        <v>847</v>
      </c>
      <c r="U2789" s="25" t="s">
        <v>816</v>
      </c>
      <c r="V2789" s="25" t="s">
        <v>981</v>
      </c>
      <c r="W2789" s="25" t="str">
        <f t="shared" si="62"/>
        <v>Straight Upholstered PelmetFaceNice Remote Motor</v>
      </c>
      <c r="X2789" s="25">
        <v>0</v>
      </c>
      <c r="Y2789" s="25" t="s">
        <v>824</v>
      </c>
      <c r="Z2789" s="25" t="s">
        <v>824</v>
      </c>
      <c r="AA2789" s="25" t="s">
        <v>824</v>
      </c>
      <c r="AB2789" s="25" t="s">
        <v>824</v>
      </c>
      <c r="AC2789" s="25" t="s">
        <v>821</v>
      </c>
      <c r="AD2789" s="25" t="s">
        <v>824</v>
      </c>
      <c r="AE2789" s="25" t="s">
        <v>824</v>
      </c>
    </row>
    <row r="2790" spans="20:31" ht="14.4">
      <c r="T2790" s="25" t="s">
        <v>847</v>
      </c>
      <c r="U2790" s="25" t="s">
        <v>816</v>
      </c>
      <c r="V2790" s="25" t="s">
        <v>976</v>
      </c>
      <c r="W2790" s="25" t="str">
        <f t="shared" si="62"/>
        <v>Straight Upholstered PelmetFaceNice CBus Motor</v>
      </c>
      <c r="X2790" s="25">
        <v>0</v>
      </c>
      <c r="Y2790" s="25" t="s">
        <v>824</v>
      </c>
      <c r="Z2790" s="25" t="s">
        <v>824</v>
      </c>
      <c r="AA2790" s="25" t="s">
        <v>824</v>
      </c>
      <c r="AB2790" s="25" t="s">
        <v>824</v>
      </c>
      <c r="AC2790" s="25" t="s">
        <v>821</v>
      </c>
      <c r="AD2790" s="25" t="s">
        <v>824</v>
      </c>
      <c r="AE2790" s="25" t="s">
        <v>824</v>
      </c>
    </row>
    <row r="2791" spans="20:31" ht="14.4">
      <c r="T2791" s="25" t="s">
        <v>847</v>
      </c>
      <c r="U2791" s="25" t="s">
        <v>816</v>
      </c>
      <c r="V2791" t="s">
        <v>1006</v>
      </c>
      <c r="W2791" s="25" t="str">
        <f t="shared" si="62"/>
        <v>Straight Upholstered PelmetFaceSunboss Chain Winder 38mm Tube</v>
      </c>
      <c r="X2791" s="25">
        <v>0</v>
      </c>
      <c r="Y2791" s="25" t="s">
        <v>824</v>
      </c>
      <c r="Z2791" s="25" t="s">
        <v>824</v>
      </c>
      <c r="AA2791" s="25" t="s">
        <v>824</v>
      </c>
      <c r="AB2791" s="25" t="s">
        <v>824</v>
      </c>
      <c r="AC2791" s="25" t="s">
        <v>821</v>
      </c>
      <c r="AD2791" s="25" t="s">
        <v>824</v>
      </c>
      <c r="AE2791" s="25" t="s">
        <v>824</v>
      </c>
    </row>
    <row r="2792" spans="20:31" ht="14.4">
      <c r="T2792" s="25" t="s">
        <v>847</v>
      </c>
      <c r="U2792" s="25" t="s">
        <v>816</v>
      </c>
      <c r="V2792" t="s">
        <v>1017</v>
      </c>
      <c r="W2792" s="25" t="str">
        <f t="shared" si="62"/>
        <v>Straight Upholstered PelmetFaceSunboss Chain Winder 43mm Tube</v>
      </c>
      <c r="X2792" s="25">
        <v>0</v>
      </c>
      <c r="Y2792" s="25" t="s">
        <v>824</v>
      </c>
      <c r="Z2792" s="25" t="s">
        <v>824</v>
      </c>
      <c r="AA2792" s="25" t="s">
        <v>824</v>
      </c>
      <c r="AB2792" s="25" t="s">
        <v>824</v>
      </c>
      <c r="AC2792" s="25" t="s">
        <v>821</v>
      </c>
      <c r="AD2792" s="25" t="s">
        <v>824</v>
      </c>
      <c r="AE2792" s="25" t="s">
        <v>824</v>
      </c>
    </row>
    <row r="2793" spans="20:31" ht="14.4">
      <c r="T2793" s="25" t="s">
        <v>847</v>
      </c>
      <c r="U2793" s="25" t="s">
        <v>816</v>
      </c>
      <c r="V2793" s="25" t="s">
        <v>1012</v>
      </c>
      <c r="W2793" s="25" t="str">
        <f t="shared" si="62"/>
        <v>Straight Upholstered PelmetFaceTBS Remote Motor</v>
      </c>
      <c r="X2793" s="25">
        <v>0</v>
      </c>
      <c r="Y2793" s="25" t="s">
        <v>824</v>
      </c>
      <c r="Z2793" s="25" t="s">
        <v>824</v>
      </c>
      <c r="AA2793" s="25" t="s">
        <v>824</v>
      </c>
      <c r="AB2793" s="25" t="s">
        <v>824</v>
      </c>
      <c r="AC2793" s="25" t="s">
        <v>821</v>
      </c>
      <c r="AD2793" s="25" t="s">
        <v>824</v>
      </c>
      <c r="AE2793" s="25" t="s">
        <v>824</v>
      </c>
    </row>
    <row r="2794" spans="20:31" ht="14.4">
      <c r="T2794" s="25" t="s">
        <v>847</v>
      </c>
      <c r="U2794" s="25" t="s">
        <v>816</v>
      </c>
      <c r="V2794" t="s">
        <v>1009</v>
      </c>
      <c r="W2794" s="25" t="str">
        <f t="shared" si="62"/>
        <v>Straight Upholstered PelmetFaceTBS Cbus Motor</v>
      </c>
      <c r="X2794" s="25">
        <v>0</v>
      </c>
      <c r="Y2794" s="25" t="s">
        <v>824</v>
      </c>
      <c r="Z2794" s="25" t="s">
        <v>824</v>
      </c>
      <c r="AA2794" s="25" t="s">
        <v>824</v>
      </c>
      <c r="AB2794" s="25" t="s">
        <v>824</v>
      </c>
      <c r="AC2794" s="25" t="s">
        <v>821</v>
      </c>
      <c r="AD2794" s="25" t="s">
        <v>824</v>
      </c>
      <c r="AE2794" s="25" t="s">
        <v>824</v>
      </c>
    </row>
    <row r="2795" spans="20:31" ht="14.4">
      <c r="T2795" s="25" t="s">
        <v>847</v>
      </c>
      <c r="U2795" s="25" t="s">
        <v>816</v>
      </c>
      <c r="V2795" t="s">
        <v>927</v>
      </c>
      <c r="W2795" s="25" t="str">
        <f t="shared" si="62"/>
        <v>Straight Upholstered PelmetFaceAcmeda External Motor</v>
      </c>
      <c r="X2795" s="25">
        <v>0</v>
      </c>
      <c r="Y2795" s="25" t="s">
        <v>824</v>
      </c>
      <c r="Z2795" s="25" t="s">
        <v>824</v>
      </c>
      <c r="AA2795" s="25" t="s">
        <v>824</v>
      </c>
      <c r="AB2795" s="25" t="s">
        <v>824</v>
      </c>
      <c r="AC2795" s="25" t="s">
        <v>821</v>
      </c>
      <c r="AD2795" s="25" t="s">
        <v>824</v>
      </c>
      <c r="AE2795" s="25" t="s">
        <v>824</v>
      </c>
    </row>
    <row r="2796" spans="20:31" ht="14.4">
      <c r="T2796" s="25" t="s">
        <v>847</v>
      </c>
      <c r="U2796" s="25" t="s">
        <v>816</v>
      </c>
      <c r="V2796" t="s">
        <v>918</v>
      </c>
      <c r="W2796" s="25" t="str">
        <f t="shared" si="62"/>
        <v>Straight Upholstered PelmetFaceAcmeda External 12v Motor</v>
      </c>
      <c r="X2796" s="25">
        <v>0</v>
      </c>
      <c r="Y2796" s="25" t="s">
        <v>824</v>
      </c>
      <c r="Z2796" s="25" t="s">
        <v>824</v>
      </c>
      <c r="AA2796" s="25" t="s">
        <v>824</v>
      </c>
      <c r="AB2796" s="25" t="s">
        <v>824</v>
      </c>
      <c r="AC2796" s="25" t="s">
        <v>821</v>
      </c>
      <c r="AD2796" s="25" t="s">
        <v>824</v>
      </c>
      <c r="AE2796" s="25" t="s">
        <v>824</v>
      </c>
    </row>
    <row r="2797" spans="20:31" ht="14.4">
      <c r="T2797" s="25" t="s">
        <v>847</v>
      </c>
      <c r="U2797" s="25" t="s">
        <v>816</v>
      </c>
      <c r="V2797" t="s">
        <v>979</v>
      </c>
      <c r="W2797" s="25" t="str">
        <f t="shared" si="62"/>
        <v>Straight Upholstered PelmetFaceSomfy External CBUS Motor</v>
      </c>
      <c r="X2797" s="25">
        <v>0</v>
      </c>
      <c r="Y2797" s="25" t="s">
        <v>824</v>
      </c>
      <c r="Z2797" s="25" t="s">
        <v>824</v>
      </c>
      <c r="AA2797" s="25" t="s">
        <v>824</v>
      </c>
      <c r="AB2797" s="25" t="s">
        <v>824</v>
      </c>
      <c r="AC2797" s="25" t="s">
        <v>821</v>
      </c>
      <c r="AD2797" s="25" t="s">
        <v>824</v>
      </c>
      <c r="AE2797" s="25" t="s">
        <v>824</v>
      </c>
    </row>
    <row r="2798" spans="20:31" ht="14.4">
      <c r="T2798" s="25" t="s">
        <v>847</v>
      </c>
      <c r="U2798" s="25" t="s">
        <v>816</v>
      </c>
      <c r="V2798" t="s">
        <v>983</v>
      </c>
      <c r="W2798" s="25" t="str">
        <f t="shared" si="62"/>
        <v>Straight Upholstered PelmetFaceSomfy External Remote Motor</v>
      </c>
      <c r="X2798" s="25">
        <v>0</v>
      </c>
      <c r="Y2798" s="25" t="s">
        <v>824</v>
      </c>
      <c r="Z2798" s="25" t="s">
        <v>824</v>
      </c>
      <c r="AA2798" s="25" t="s">
        <v>824</v>
      </c>
      <c r="AB2798" s="25" t="s">
        <v>824</v>
      </c>
      <c r="AC2798" s="25" t="s">
        <v>821</v>
      </c>
      <c r="AD2798" s="25" t="s">
        <v>824</v>
      </c>
      <c r="AE2798" s="25" t="s">
        <v>824</v>
      </c>
    </row>
    <row r="2799" spans="20:31" ht="14.4">
      <c r="T2799" s="25" t="s">
        <v>847</v>
      </c>
      <c r="U2799" s="25" t="s">
        <v>816</v>
      </c>
      <c r="V2799" t="s">
        <v>995</v>
      </c>
      <c r="W2799" s="25" t="str">
        <f t="shared" si="62"/>
        <v>Straight Upholstered PelmetFaceHD Somfy External CBUS Motor</v>
      </c>
      <c r="X2799" s="25">
        <v>0</v>
      </c>
      <c r="Y2799" s="25" t="s">
        <v>824</v>
      </c>
      <c r="Z2799" s="25" t="s">
        <v>824</v>
      </c>
      <c r="AA2799" s="25" t="s">
        <v>824</v>
      </c>
      <c r="AB2799" s="25" t="s">
        <v>824</v>
      </c>
      <c r="AC2799" s="25" t="s">
        <v>821</v>
      </c>
      <c r="AD2799" s="25" t="s">
        <v>824</v>
      </c>
      <c r="AE2799" s="25" t="s">
        <v>824</v>
      </c>
    </row>
    <row r="2800" spans="20:31" ht="14.4">
      <c r="T2800" s="25" t="s">
        <v>847</v>
      </c>
      <c r="U2800" s="25" t="s">
        <v>816</v>
      </c>
      <c r="V2800" t="s">
        <v>999</v>
      </c>
      <c r="W2800" s="25" t="str">
        <f t="shared" si="62"/>
        <v>Straight Upholstered PelmetFaceHD Somfy External Remote Motor</v>
      </c>
      <c r="X2800" s="25">
        <v>0</v>
      </c>
      <c r="Y2800" s="25" t="s">
        <v>824</v>
      </c>
      <c r="Z2800" s="25" t="s">
        <v>824</v>
      </c>
      <c r="AA2800" s="25" t="s">
        <v>824</v>
      </c>
      <c r="AB2800" s="25" t="s">
        <v>824</v>
      </c>
      <c r="AC2800" s="25" t="s">
        <v>821</v>
      </c>
      <c r="AD2800" s="25" t="s">
        <v>824</v>
      </c>
      <c r="AE2800" s="25" t="s">
        <v>824</v>
      </c>
    </row>
    <row r="2801" spans="20:31" ht="14.4">
      <c r="T2801" s="25" t="s">
        <v>847</v>
      </c>
      <c r="U2801" s="25" t="s">
        <v>854</v>
      </c>
      <c r="V2801" s="25" t="s">
        <v>823</v>
      </c>
      <c r="W2801" s="25" t="str">
        <f t="shared" si="62"/>
        <v>Straight Upholstered PelmetTop FixChain Winder</v>
      </c>
      <c r="X2801" s="25">
        <v>0</v>
      </c>
      <c r="Y2801" s="25" t="s">
        <v>824</v>
      </c>
      <c r="Z2801" s="25" t="s">
        <v>824</v>
      </c>
      <c r="AA2801" s="25" t="s">
        <v>824</v>
      </c>
      <c r="AB2801" s="25" t="s">
        <v>824</v>
      </c>
      <c r="AC2801" s="25" t="s">
        <v>821</v>
      </c>
      <c r="AD2801" s="25" t="s">
        <v>824</v>
      </c>
      <c r="AE2801" s="25" t="s">
        <v>824</v>
      </c>
    </row>
    <row r="2802" spans="20:31" ht="14.4">
      <c r="T2802" s="25" t="s">
        <v>847</v>
      </c>
      <c r="U2802" s="25" t="s">
        <v>854</v>
      </c>
      <c r="V2802" s="25" t="s">
        <v>841</v>
      </c>
      <c r="W2802" s="25" t="str">
        <f t="shared" si="62"/>
        <v>Straight Upholstered PelmetTop FixHD Chain Winder</v>
      </c>
      <c r="X2802" s="25">
        <v>0</v>
      </c>
      <c r="Y2802" s="25" t="s">
        <v>824</v>
      </c>
      <c r="Z2802" s="25" t="s">
        <v>824</v>
      </c>
      <c r="AA2802" s="25" t="s">
        <v>824</v>
      </c>
      <c r="AB2802" s="25" t="s">
        <v>824</v>
      </c>
      <c r="AC2802" s="25" t="s">
        <v>821</v>
      </c>
      <c r="AD2802" s="25" t="s">
        <v>824</v>
      </c>
      <c r="AE2802" s="25" t="s">
        <v>824</v>
      </c>
    </row>
    <row r="2803" spans="20:31" ht="14.4">
      <c r="T2803" s="25" t="s">
        <v>847</v>
      </c>
      <c r="U2803" s="25" t="s">
        <v>854</v>
      </c>
      <c r="V2803" s="25" t="s">
        <v>858</v>
      </c>
      <c r="W2803" s="25" t="str">
        <f t="shared" si="62"/>
        <v>Straight Upholstered PelmetTop FixChain Winder 60mm</v>
      </c>
      <c r="X2803" s="25">
        <v>0</v>
      </c>
      <c r="Y2803" s="25" t="s">
        <v>824</v>
      </c>
      <c r="Z2803" s="25" t="s">
        <v>824</v>
      </c>
      <c r="AA2803" s="25" t="s">
        <v>824</v>
      </c>
      <c r="AB2803" s="25" t="s">
        <v>824</v>
      </c>
      <c r="AC2803" s="25" t="s">
        <v>821</v>
      </c>
      <c r="AD2803" s="25" t="s">
        <v>824</v>
      </c>
      <c r="AE2803" s="25" t="s">
        <v>824</v>
      </c>
    </row>
    <row r="2804" spans="20:31" ht="14.4">
      <c r="T2804" s="25" t="s">
        <v>847</v>
      </c>
      <c r="U2804" s="25" t="s">
        <v>854</v>
      </c>
      <c r="V2804" s="25" t="s">
        <v>865</v>
      </c>
      <c r="W2804" s="25" t="str">
        <f t="shared" si="62"/>
        <v>Straight Upholstered PelmetTop FixChain Winder Fixed Guide</v>
      </c>
      <c r="X2804" s="25">
        <v>0</v>
      </c>
      <c r="Y2804" s="25" t="s">
        <v>824</v>
      </c>
      <c r="Z2804" s="25" t="s">
        <v>824</v>
      </c>
      <c r="AA2804" s="25" t="s">
        <v>824</v>
      </c>
      <c r="AB2804" s="25" t="s">
        <v>824</v>
      </c>
      <c r="AC2804" s="25" t="s">
        <v>821</v>
      </c>
      <c r="AD2804" s="25" t="s">
        <v>824</v>
      </c>
      <c r="AE2804" s="25" t="s">
        <v>824</v>
      </c>
    </row>
    <row r="2805" spans="20:31" ht="14.4">
      <c r="T2805" s="25" t="s">
        <v>847</v>
      </c>
      <c r="U2805" s="25" t="s">
        <v>854</v>
      </c>
      <c r="V2805" s="25" t="s">
        <v>181</v>
      </c>
      <c r="W2805" s="25" t="str">
        <f t="shared" si="62"/>
        <v>Straight Upholstered PelmetTop FixLinked</v>
      </c>
      <c r="X2805" s="25">
        <v>0</v>
      </c>
      <c r="Y2805" s="25" t="s">
        <v>824</v>
      </c>
      <c r="Z2805" s="25" t="s">
        <v>824</v>
      </c>
      <c r="AA2805" s="25" t="s">
        <v>824</v>
      </c>
      <c r="AB2805" s="25" t="s">
        <v>824</v>
      </c>
      <c r="AC2805" s="25" t="s">
        <v>821</v>
      </c>
      <c r="AD2805" s="25" t="s">
        <v>824</v>
      </c>
      <c r="AE2805" s="25" t="s">
        <v>824</v>
      </c>
    </row>
    <row r="2806" spans="20:31" ht="14.4">
      <c r="T2806" s="25" t="s">
        <v>847</v>
      </c>
      <c r="U2806" s="25" t="s">
        <v>854</v>
      </c>
      <c r="V2806" s="25" t="s">
        <v>898</v>
      </c>
      <c r="W2806" s="25" t="str">
        <f t="shared" si="62"/>
        <v>Straight Upholstered PelmetTop FixLinked - HD</v>
      </c>
      <c r="X2806" s="25">
        <v>0</v>
      </c>
      <c r="Y2806" s="25" t="s">
        <v>824</v>
      </c>
      <c r="Z2806" s="25" t="s">
        <v>824</v>
      </c>
      <c r="AA2806" s="25" t="s">
        <v>824</v>
      </c>
      <c r="AB2806" s="25" t="s">
        <v>824</v>
      </c>
      <c r="AC2806" s="25" t="s">
        <v>821</v>
      </c>
      <c r="AD2806" s="25" t="s">
        <v>824</v>
      </c>
      <c r="AE2806" s="25" t="s">
        <v>824</v>
      </c>
    </row>
    <row r="2807" spans="20:31" ht="14.4">
      <c r="T2807" s="25" t="s">
        <v>847</v>
      </c>
      <c r="U2807" s="25" t="s">
        <v>854</v>
      </c>
      <c r="V2807" s="25" t="s">
        <v>925</v>
      </c>
      <c r="W2807" s="25" t="str">
        <f t="shared" si="62"/>
        <v>Straight Upholstered PelmetTop FixLinked 60mm</v>
      </c>
      <c r="X2807" s="25">
        <v>0</v>
      </c>
      <c r="Y2807" s="25" t="s">
        <v>824</v>
      </c>
      <c r="Z2807" s="25" t="s">
        <v>824</v>
      </c>
      <c r="AA2807" s="25" t="s">
        <v>824</v>
      </c>
      <c r="AB2807" s="25" t="s">
        <v>824</v>
      </c>
      <c r="AC2807" s="25" t="s">
        <v>821</v>
      </c>
      <c r="AD2807" s="25" t="s">
        <v>824</v>
      </c>
      <c r="AE2807" s="25" t="s">
        <v>824</v>
      </c>
    </row>
    <row r="2808" spans="20:31" ht="14.4">
      <c r="T2808" s="25" t="s">
        <v>847</v>
      </c>
      <c r="U2808" s="25" t="s">
        <v>854</v>
      </c>
      <c r="V2808" s="25" t="s">
        <v>910</v>
      </c>
      <c r="W2808" s="25" t="str">
        <f t="shared" si="62"/>
        <v>Straight Upholstered PelmetTop FixStandard Spring</v>
      </c>
      <c r="X2808" s="25">
        <v>0</v>
      </c>
      <c r="Y2808" s="25" t="s">
        <v>824</v>
      </c>
      <c r="Z2808" s="25" t="s">
        <v>824</v>
      </c>
      <c r="AA2808" s="25" t="s">
        <v>824</v>
      </c>
      <c r="AB2808" s="25" t="s">
        <v>824</v>
      </c>
      <c r="AC2808" s="25" t="s">
        <v>821</v>
      </c>
      <c r="AD2808" s="25" t="s">
        <v>824</v>
      </c>
      <c r="AE2808" s="25" t="s">
        <v>824</v>
      </c>
    </row>
    <row r="2809" spans="20:31" ht="14.4">
      <c r="T2809" s="25" t="s">
        <v>847</v>
      </c>
      <c r="U2809" s="25" t="s">
        <v>854</v>
      </c>
      <c r="V2809" s="25" t="s">
        <v>920</v>
      </c>
      <c r="W2809" s="25" t="str">
        <f t="shared" si="62"/>
        <v>Straight Upholstered PelmetTop FixSmall Spring</v>
      </c>
      <c r="X2809" s="25">
        <v>0</v>
      </c>
      <c r="Y2809" s="25" t="s">
        <v>824</v>
      </c>
      <c r="Z2809" s="25" t="s">
        <v>824</v>
      </c>
      <c r="AA2809" s="25" t="s">
        <v>824</v>
      </c>
      <c r="AB2809" s="25" t="s">
        <v>824</v>
      </c>
      <c r="AC2809" s="25" t="s">
        <v>821</v>
      </c>
      <c r="AD2809" s="25" t="s">
        <v>824</v>
      </c>
      <c r="AE2809" s="25" t="s">
        <v>824</v>
      </c>
    </row>
    <row r="2810" spans="20:31" ht="14.4">
      <c r="T2810" s="25" t="s">
        <v>847</v>
      </c>
      <c r="U2810" s="25" t="s">
        <v>854</v>
      </c>
      <c r="V2810" s="25" t="s">
        <v>929</v>
      </c>
      <c r="W2810" s="25" t="str">
        <f t="shared" si="62"/>
        <v>Straight Upholstered PelmetTop FixUniline Spring (Old Style)</v>
      </c>
      <c r="X2810" s="25">
        <v>0</v>
      </c>
      <c r="Y2810" s="25" t="s">
        <v>824</v>
      </c>
      <c r="Z2810" s="25" t="s">
        <v>824</v>
      </c>
      <c r="AA2810" s="25" t="s">
        <v>824</v>
      </c>
      <c r="AB2810" s="25" t="s">
        <v>824</v>
      </c>
      <c r="AC2810" s="25" t="s">
        <v>821</v>
      </c>
      <c r="AD2810" s="25" t="s">
        <v>824</v>
      </c>
      <c r="AE2810" s="25" t="s">
        <v>824</v>
      </c>
    </row>
    <row r="2811" spans="20:31" ht="14.4">
      <c r="T2811" s="25" t="s">
        <v>847</v>
      </c>
      <c r="U2811" s="25" t="s">
        <v>854</v>
      </c>
      <c r="V2811" s="25" t="s">
        <v>935</v>
      </c>
      <c r="W2811" s="25" t="str">
        <f t="shared" si="62"/>
        <v>Straight Upholstered PelmetTop FixBecker Remote Motor</v>
      </c>
      <c r="X2811" s="25">
        <v>0</v>
      </c>
      <c r="Y2811" s="25" t="s">
        <v>824</v>
      </c>
      <c r="Z2811" s="25" t="s">
        <v>824</v>
      </c>
      <c r="AA2811" s="25" t="s">
        <v>824</v>
      </c>
      <c r="AB2811" s="25" t="s">
        <v>824</v>
      </c>
      <c r="AC2811" s="25" t="s">
        <v>821</v>
      </c>
      <c r="AD2811" s="25" t="s">
        <v>824</v>
      </c>
      <c r="AE2811" s="25" t="s">
        <v>824</v>
      </c>
    </row>
    <row r="2812" spans="20:31" ht="14.4">
      <c r="T2812" s="25" t="s">
        <v>847</v>
      </c>
      <c r="U2812" s="25" t="s">
        <v>854</v>
      </c>
      <c r="V2812" s="25" t="s">
        <v>939</v>
      </c>
      <c r="W2812" s="25" t="str">
        <f t="shared" si="62"/>
        <v>Straight Upholstered PelmetTop FixBecker CBUS Motor</v>
      </c>
      <c r="X2812" s="25">
        <v>0</v>
      </c>
      <c r="Y2812" s="25" t="s">
        <v>824</v>
      </c>
      <c r="Z2812" s="25" t="s">
        <v>824</v>
      </c>
      <c r="AA2812" s="25" t="s">
        <v>824</v>
      </c>
      <c r="AB2812" s="25" t="s">
        <v>824</v>
      </c>
      <c r="AC2812" s="25" t="s">
        <v>821</v>
      </c>
      <c r="AD2812" s="25" t="s">
        <v>824</v>
      </c>
      <c r="AE2812" s="25" t="s">
        <v>824</v>
      </c>
    </row>
    <row r="2813" spans="20:31" ht="14.4">
      <c r="T2813" s="25" t="s">
        <v>847</v>
      </c>
      <c r="U2813" s="25" t="s">
        <v>854</v>
      </c>
      <c r="V2813" s="25" t="s">
        <v>946</v>
      </c>
      <c r="W2813" s="25" t="str">
        <f t="shared" si="62"/>
        <v>Straight Upholstered PelmetTop FixBecker External Remote Motor</v>
      </c>
      <c r="X2813" s="25">
        <v>0</v>
      </c>
      <c r="Y2813" s="25" t="s">
        <v>824</v>
      </c>
      <c r="Z2813" s="25" t="s">
        <v>824</v>
      </c>
      <c r="AA2813" s="25" t="s">
        <v>824</v>
      </c>
      <c r="AB2813" s="25" t="s">
        <v>824</v>
      </c>
      <c r="AC2813" s="25" t="s">
        <v>821</v>
      </c>
      <c r="AD2813" s="25" t="s">
        <v>824</v>
      </c>
      <c r="AE2813" s="25" t="s">
        <v>824</v>
      </c>
    </row>
    <row r="2814" spans="20:31" ht="14.4">
      <c r="T2814" s="25" t="s">
        <v>847</v>
      </c>
      <c r="U2814" s="25" t="s">
        <v>854</v>
      </c>
      <c r="V2814" s="25" t="s">
        <v>951</v>
      </c>
      <c r="W2814" s="25" t="str">
        <f t="shared" si="62"/>
        <v>Straight Upholstered PelmetTop FixBecker External CBUS Motor</v>
      </c>
      <c r="X2814" s="25">
        <v>0</v>
      </c>
      <c r="Y2814" s="25" t="s">
        <v>824</v>
      </c>
      <c r="Z2814" s="25" t="s">
        <v>824</v>
      </c>
      <c r="AA2814" s="25" t="s">
        <v>824</v>
      </c>
      <c r="AB2814" s="25" t="s">
        <v>824</v>
      </c>
      <c r="AC2814" s="25" t="s">
        <v>821</v>
      </c>
      <c r="AD2814" s="25" t="s">
        <v>824</v>
      </c>
      <c r="AE2814" s="25" t="s">
        <v>824</v>
      </c>
    </row>
    <row r="2815" spans="20:31" ht="14.4">
      <c r="T2815" s="25" t="s">
        <v>847</v>
      </c>
      <c r="U2815" s="25" t="s">
        <v>854</v>
      </c>
      <c r="V2815" s="25" t="s">
        <v>838</v>
      </c>
      <c r="W2815" s="25" t="str">
        <f t="shared" si="62"/>
        <v>Straight Upholstered PelmetTop Fix1.1nm 12v Acmeda Motor</v>
      </c>
      <c r="X2815" s="25">
        <v>0</v>
      </c>
      <c r="Y2815" s="25" t="s">
        <v>824</v>
      </c>
      <c r="Z2815" s="25" t="s">
        <v>824</v>
      </c>
      <c r="AA2815" s="25" t="s">
        <v>824</v>
      </c>
      <c r="AB2815" s="25" t="s">
        <v>824</v>
      </c>
      <c r="AC2815" s="25" t="s">
        <v>821</v>
      </c>
      <c r="AD2815" s="25" t="s">
        <v>824</v>
      </c>
      <c r="AE2815" s="25" t="s">
        <v>824</v>
      </c>
    </row>
    <row r="2816" spans="20:31" ht="14.4">
      <c r="T2816" s="25" t="s">
        <v>847</v>
      </c>
      <c r="U2816" s="25" t="s">
        <v>854</v>
      </c>
      <c r="V2816" t="s">
        <v>882</v>
      </c>
      <c r="W2816" s="25" t="str">
        <f t="shared" si="62"/>
        <v>Straight Upholstered PelmetTop Fix2nm 12v Acmeda Motor</v>
      </c>
      <c r="X2816" s="25">
        <v>0</v>
      </c>
      <c r="Y2816" s="25" t="s">
        <v>824</v>
      </c>
      <c r="Z2816" s="25" t="s">
        <v>824</v>
      </c>
      <c r="AA2816" s="25" t="s">
        <v>824</v>
      </c>
      <c r="AB2816" s="25" t="s">
        <v>824</v>
      </c>
      <c r="AC2816" s="25" t="s">
        <v>821</v>
      </c>
      <c r="AD2816" s="25" t="s">
        <v>824</v>
      </c>
      <c r="AE2816" s="25" t="s">
        <v>824</v>
      </c>
    </row>
    <row r="2817" spans="20:31" ht="14.4">
      <c r="T2817" s="25" t="s">
        <v>847</v>
      </c>
      <c r="U2817" s="25" t="s">
        <v>854</v>
      </c>
      <c r="V2817" t="s">
        <v>896</v>
      </c>
      <c r="W2817" s="25" t="str">
        <f t="shared" si="62"/>
        <v>Straight Upholstered PelmetTop FixAcmeda 12v 6nm Motor</v>
      </c>
      <c r="X2817" s="25">
        <v>0</v>
      </c>
      <c r="Y2817" s="25" t="s">
        <v>824</v>
      </c>
      <c r="Z2817" s="25" t="s">
        <v>824</v>
      </c>
      <c r="AA2817" s="25" t="s">
        <v>824</v>
      </c>
      <c r="AB2817" s="25" t="s">
        <v>824</v>
      </c>
      <c r="AC2817" s="25" t="s">
        <v>821</v>
      </c>
      <c r="AD2817" s="25" t="s">
        <v>824</v>
      </c>
      <c r="AE2817" s="25" t="s">
        <v>824</v>
      </c>
    </row>
    <row r="2818" spans="20:31" ht="14.4">
      <c r="T2818" s="25" t="s">
        <v>847</v>
      </c>
      <c r="U2818" s="25" t="s">
        <v>854</v>
      </c>
      <c r="V2818" t="s">
        <v>855</v>
      </c>
      <c r="W2818" s="25" t="str">
        <f t="shared" si="62"/>
        <v>Straight Upholstered PelmetTop Fix0.7nm 12v Acmeda Motor</v>
      </c>
      <c r="X2818" s="25">
        <v>0</v>
      </c>
      <c r="Y2818" s="25" t="s">
        <v>824</v>
      </c>
      <c r="Z2818" s="25" t="s">
        <v>824</v>
      </c>
      <c r="AA2818" s="25" t="s">
        <v>824</v>
      </c>
      <c r="AB2818" s="25" t="s">
        <v>824</v>
      </c>
      <c r="AC2818" s="25" t="s">
        <v>821</v>
      </c>
      <c r="AD2818" s="25" t="s">
        <v>824</v>
      </c>
      <c r="AE2818" s="25" t="s">
        <v>824</v>
      </c>
    </row>
    <row r="2819" spans="20:31" ht="14.4">
      <c r="T2819" s="25" t="s">
        <v>847</v>
      </c>
      <c r="U2819" s="25" t="s">
        <v>854</v>
      </c>
      <c r="V2819" s="25" t="s">
        <v>849</v>
      </c>
      <c r="W2819" s="25" t="str">
        <f t="shared" si="63" ref="W2819:W2882">CONCATENATE(T2819,U2819,V2819)</f>
        <v>Straight Upholstered PelmetTop Fix1.1nm 12v Acmeda DCRF Motor with External Battery</v>
      </c>
      <c r="X2819" s="25">
        <v>0</v>
      </c>
      <c r="Y2819" s="25" t="s">
        <v>824</v>
      </c>
      <c r="Z2819" s="25" t="s">
        <v>824</v>
      </c>
      <c r="AA2819" s="25" t="s">
        <v>824</v>
      </c>
      <c r="AB2819" s="25" t="s">
        <v>824</v>
      </c>
      <c r="AC2819" s="25" t="s">
        <v>821</v>
      </c>
      <c r="AD2819" s="25" t="s">
        <v>824</v>
      </c>
      <c r="AE2819" s="25" t="s">
        <v>824</v>
      </c>
    </row>
    <row r="2820" spans="20:31" ht="14.4">
      <c r="T2820" s="25" t="s">
        <v>847</v>
      </c>
      <c r="U2820" s="25" t="s">
        <v>854</v>
      </c>
      <c r="V2820" s="25" t="s">
        <v>817</v>
      </c>
      <c r="W2820" s="25" t="str">
        <f t="shared" si="63"/>
        <v>Straight Upholstered PelmetTop Fix1.1nm 12v Acmeda DCRF Motor</v>
      </c>
      <c r="X2820" s="25">
        <v>0</v>
      </c>
      <c r="Y2820" s="25" t="s">
        <v>824</v>
      </c>
      <c r="Z2820" s="25" t="s">
        <v>824</v>
      </c>
      <c r="AA2820" s="25" t="s">
        <v>824</v>
      </c>
      <c r="AB2820" s="25" t="s">
        <v>824</v>
      </c>
      <c r="AC2820" s="25" t="s">
        <v>821</v>
      </c>
      <c r="AD2820" s="25" t="s">
        <v>824</v>
      </c>
      <c r="AE2820" s="25" t="s">
        <v>824</v>
      </c>
    </row>
    <row r="2821" spans="20:31" ht="14.4">
      <c r="T2821" s="25" t="s">
        <v>847</v>
      </c>
      <c r="U2821" s="25" t="s">
        <v>854</v>
      </c>
      <c r="V2821" s="25" t="s">
        <v>868</v>
      </c>
      <c r="W2821" s="25" t="str">
        <f t="shared" si="63"/>
        <v>Straight Upholstered PelmetTop Fix2nm 12v Acmeda DCRF Motor</v>
      </c>
      <c r="X2821" s="25">
        <v>0</v>
      </c>
      <c r="Y2821" s="25" t="s">
        <v>824</v>
      </c>
      <c r="Z2821" s="25" t="s">
        <v>824</v>
      </c>
      <c r="AA2821" s="25" t="s">
        <v>824</v>
      </c>
      <c r="AB2821" s="25" t="s">
        <v>824</v>
      </c>
      <c r="AC2821" s="25" t="s">
        <v>821</v>
      </c>
      <c r="AD2821" s="25" t="s">
        <v>824</v>
      </c>
      <c r="AE2821" s="25" t="s">
        <v>824</v>
      </c>
    </row>
    <row r="2822" spans="20:31" ht="14.4">
      <c r="T2822" s="25" t="s">
        <v>847</v>
      </c>
      <c r="U2822" s="25" t="s">
        <v>854</v>
      </c>
      <c r="V2822" t="s">
        <v>973</v>
      </c>
      <c r="W2822" s="25" t="str">
        <f t="shared" si="63"/>
        <v>Straight Upholstered PelmetTop FixSomfy Remote Sonesse Motor</v>
      </c>
      <c r="X2822" s="25">
        <v>0</v>
      </c>
      <c r="Y2822" s="25" t="s">
        <v>824</v>
      </c>
      <c r="Z2822" s="25" t="s">
        <v>824</v>
      </c>
      <c r="AA2822" s="25" t="s">
        <v>824</v>
      </c>
      <c r="AB2822" s="25" t="s">
        <v>824</v>
      </c>
      <c r="AC2822" s="25" t="s">
        <v>821</v>
      </c>
      <c r="AD2822" s="25" t="s">
        <v>824</v>
      </c>
      <c r="AE2822" s="25" t="s">
        <v>824</v>
      </c>
    </row>
    <row r="2823" spans="20:31" ht="14.4">
      <c r="T2823" s="25" t="s">
        <v>847</v>
      </c>
      <c r="U2823" s="25" t="s">
        <v>854</v>
      </c>
      <c r="V2823" t="s">
        <v>637</v>
      </c>
      <c r="W2823" s="25" t="str">
        <f t="shared" si="63"/>
        <v>Straight Upholstered PelmetTop FixSomfy 12v Remote Sonesse Motor</v>
      </c>
      <c r="X2823" s="25">
        <v>0</v>
      </c>
      <c r="Y2823" s="25" t="s">
        <v>824</v>
      </c>
      <c r="Z2823" s="25" t="s">
        <v>824</v>
      </c>
      <c r="AA2823" s="25" t="s">
        <v>824</v>
      </c>
      <c r="AB2823" s="25" t="s">
        <v>824</v>
      </c>
      <c r="AC2823" s="25" t="s">
        <v>821</v>
      </c>
      <c r="AD2823" s="25" t="s">
        <v>824</v>
      </c>
      <c r="AE2823" s="25" t="s">
        <v>824</v>
      </c>
    </row>
    <row r="2824" spans="20:31" ht="14.4">
      <c r="T2824" s="25" t="s">
        <v>847</v>
      </c>
      <c r="U2824" s="25" t="s">
        <v>854</v>
      </c>
      <c r="V2824" s="25" t="s">
        <v>974</v>
      </c>
      <c r="W2824" s="25" t="str">
        <f t="shared" si="63"/>
        <v>Straight Upholstered PelmetTop FixSomfy CBUS Motor</v>
      </c>
      <c r="X2824" s="25">
        <v>0</v>
      </c>
      <c r="Y2824" s="25" t="s">
        <v>824</v>
      </c>
      <c r="Z2824" s="25" t="s">
        <v>824</v>
      </c>
      <c r="AA2824" s="25" t="s">
        <v>824</v>
      </c>
      <c r="AB2824" s="25" t="s">
        <v>824</v>
      </c>
      <c r="AC2824" s="25" t="s">
        <v>821</v>
      </c>
      <c r="AD2824" s="25" t="s">
        <v>824</v>
      </c>
      <c r="AE2824" s="25" t="s">
        <v>824</v>
      </c>
    </row>
    <row r="2825" spans="20:31" ht="14.4">
      <c r="T2825" s="25" t="s">
        <v>847</v>
      </c>
      <c r="U2825" s="25" t="s">
        <v>854</v>
      </c>
      <c r="V2825" t="s">
        <v>986</v>
      </c>
      <c r="W2825" s="25" t="str">
        <f t="shared" si="63"/>
        <v>Straight Upholstered PelmetTop FixHD Somfy Remote Sonesse Motor</v>
      </c>
      <c r="X2825" s="25">
        <v>0</v>
      </c>
      <c r="Y2825" s="25" t="s">
        <v>824</v>
      </c>
      <c r="Z2825" s="25" t="s">
        <v>824</v>
      </c>
      <c r="AA2825" s="25" t="s">
        <v>824</v>
      </c>
      <c r="AB2825" s="25" t="s">
        <v>824</v>
      </c>
      <c r="AC2825" s="25" t="s">
        <v>821</v>
      </c>
      <c r="AD2825" s="25" t="s">
        <v>824</v>
      </c>
      <c r="AE2825" s="25" t="s">
        <v>824</v>
      </c>
    </row>
    <row r="2826" spans="20:31" ht="14.4">
      <c r="T2826" s="25" t="s">
        <v>847</v>
      </c>
      <c r="U2826" s="25" t="s">
        <v>854</v>
      </c>
      <c r="V2826" t="s">
        <v>989</v>
      </c>
      <c r="W2826" s="25" t="str">
        <f t="shared" si="63"/>
        <v>Straight Upholstered PelmetTop FixHD Somfy 12v Remote Sonesse Motor</v>
      </c>
      <c r="X2826" s="25">
        <v>0</v>
      </c>
      <c r="Y2826" s="25" t="s">
        <v>824</v>
      </c>
      <c r="Z2826" s="25" t="s">
        <v>824</v>
      </c>
      <c r="AA2826" s="25" t="s">
        <v>824</v>
      </c>
      <c r="AB2826" s="25" t="s">
        <v>824</v>
      </c>
      <c r="AC2826" s="25" t="s">
        <v>821</v>
      </c>
      <c r="AD2826" s="25" t="s">
        <v>824</v>
      </c>
      <c r="AE2826" s="25" t="s">
        <v>824</v>
      </c>
    </row>
    <row r="2827" spans="20:31" ht="14.4">
      <c r="T2827" s="25" t="s">
        <v>847</v>
      </c>
      <c r="U2827" s="25" t="s">
        <v>854</v>
      </c>
      <c r="V2827" s="25" t="s">
        <v>992</v>
      </c>
      <c r="W2827" s="25" t="str">
        <f t="shared" si="63"/>
        <v>Straight Upholstered PelmetTop FixHD Somfy CBUS Motor</v>
      </c>
      <c r="X2827" s="25">
        <v>0</v>
      </c>
      <c r="Y2827" s="25" t="s">
        <v>824</v>
      </c>
      <c r="Z2827" s="25" t="s">
        <v>824</v>
      </c>
      <c r="AA2827" s="25" t="s">
        <v>824</v>
      </c>
      <c r="AB2827" s="25" t="s">
        <v>824</v>
      </c>
      <c r="AC2827" s="25" t="s">
        <v>821</v>
      </c>
      <c r="AD2827" s="25" t="s">
        <v>824</v>
      </c>
      <c r="AE2827" s="25" t="s">
        <v>824</v>
      </c>
    </row>
    <row r="2828" spans="20:31" ht="14.4">
      <c r="T2828" s="25" t="s">
        <v>847</v>
      </c>
      <c r="U2828" s="25" t="s">
        <v>854</v>
      </c>
      <c r="V2828" s="25" t="s">
        <v>625</v>
      </c>
      <c r="W2828" s="25" t="str">
        <f t="shared" si="63"/>
        <v>Straight Upholstered PelmetTop FixAcmeda E6 Motor</v>
      </c>
      <c r="X2828" s="25">
        <v>0</v>
      </c>
      <c r="Y2828" s="25" t="s">
        <v>824</v>
      </c>
      <c r="Z2828" s="25" t="s">
        <v>824</v>
      </c>
      <c r="AA2828" s="25" t="s">
        <v>824</v>
      </c>
      <c r="AB2828" s="25" t="s">
        <v>824</v>
      </c>
      <c r="AC2828" s="25" t="s">
        <v>821</v>
      </c>
      <c r="AD2828" s="25" t="s">
        <v>824</v>
      </c>
      <c r="AE2828" s="25" t="s">
        <v>824</v>
      </c>
    </row>
    <row r="2829" spans="20:31" ht="14.4">
      <c r="T2829" s="25" t="s">
        <v>847</v>
      </c>
      <c r="U2829" s="25" t="s">
        <v>854</v>
      </c>
      <c r="V2829" s="25" t="s">
        <v>626</v>
      </c>
      <c r="W2829" s="25" t="str">
        <f t="shared" si="63"/>
        <v>Straight Upholstered PelmetTop FixAcmeda M6 Motor</v>
      </c>
      <c r="X2829" s="25">
        <v>0</v>
      </c>
      <c r="Y2829" s="25" t="s">
        <v>824</v>
      </c>
      <c r="Z2829" s="25" t="s">
        <v>824</v>
      </c>
      <c r="AA2829" s="25" t="s">
        <v>824</v>
      </c>
      <c r="AB2829" s="25" t="s">
        <v>824</v>
      </c>
      <c r="AC2829" s="25" t="s">
        <v>821</v>
      </c>
      <c r="AD2829" s="25" t="s">
        <v>824</v>
      </c>
      <c r="AE2829" s="25" t="s">
        <v>824</v>
      </c>
    </row>
    <row r="2830" spans="20:31" ht="14.4">
      <c r="T2830" s="25" t="s">
        <v>847</v>
      </c>
      <c r="U2830" s="25" t="s">
        <v>854</v>
      </c>
      <c r="V2830" s="25" t="s">
        <v>1002</v>
      </c>
      <c r="W2830" s="25" t="str">
        <f t="shared" si="63"/>
        <v>Straight Upholstered PelmetTop FixUniline Remote Motor</v>
      </c>
      <c r="X2830" s="25">
        <v>0</v>
      </c>
      <c r="Y2830" s="25" t="s">
        <v>824</v>
      </c>
      <c r="Z2830" s="25" t="s">
        <v>824</v>
      </c>
      <c r="AA2830" s="25" t="s">
        <v>824</v>
      </c>
      <c r="AB2830" s="25" t="s">
        <v>824</v>
      </c>
      <c r="AC2830" s="25" t="s">
        <v>821</v>
      </c>
      <c r="AD2830" s="25" t="s">
        <v>824</v>
      </c>
      <c r="AE2830" s="25" t="s">
        <v>824</v>
      </c>
    </row>
    <row r="2831" spans="20:31" ht="14.4">
      <c r="T2831" s="25" t="s">
        <v>847</v>
      </c>
      <c r="U2831" s="25" t="s">
        <v>854</v>
      </c>
      <c r="V2831" s="25" t="s">
        <v>1005</v>
      </c>
      <c r="W2831" s="25" t="str">
        <f t="shared" si="63"/>
        <v>Straight Upholstered PelmetTop FixUniline Cbus Motor</v>
      </c>
      <c r="X2831" s="25">
        <v>0</v>
      </c>
      <c r="Y2831" s="25" t="s">
        <v>824</v>
      </c>
      <c r="Z2831" s="25" t="s">
        <v>824</v>
      </c>
      <c r="AA2831" s="25" t="s">
        <v>824</v>
      </c>
      <c r="AB2831" s="25" t="s">
        <v>824</v>
      </c>
      <c r="AC2831" s="25" t="s">
        <v>821</v>
      </c>
      <c r="AD2831" s="25" t="s">
        <v>824</v>
      </c>
      <c r="AE2831" s="25" t="s">
        <v>824</v>
      </c>
    </row>
    <row r="2832" spans="20:31" ht="14.4">
      <c r="T2832" s="25" t="s">
        <v>847</v>
      </c>
      <c r="U2832" s="25" t="s">
        <v>854</v>
      </c>
      <c r="V2832" s="25" t="s">
        <v>981</v>
      </c>
      <c r="W2832" s="25" t="str">
        <f t="shared" si="63"/>
        <v>Straight Upholstered PelmetTop FixNice Remote Motor</v>
      </c>
      <c r="X2832" s="25">
        <v>0</v>
      </c>
      <c r="Y2832" s="25" t="s">
        <v>824</v>
      </c>
      <c r="Z2832" s="25" t="s">
        <v>824</v>
      </c>
      <c r="AA2832" s="25" t="s">
        <v>824</v>
      </c>
      <c r="AB2832" s="25" t="s">
        <v>824</v>
      </c>
      <c r="AC2832" s="25" t="s">
        <v>821</v>
      </c>
      <c r="AD2832" s="25" t="s">
        <v>824</v>
      </c>
      <c r="AE2832" s="25" t="s">
        <v>824</v>
      </c>
    </row>
    <row r="2833" spans="20:31" ht="14.4">
      <c r="T2833" s="25" t="s">
        <v>847</v>
      </c>
      <c r="U2833" s="25" t="s">
        <v>854</v>
      </c>
      <c r="V2833" s="25" t="s">
        <v>976</v>
      </c>
      <c r="W2833" s="25" t="str">
        <f t="shared" si="63"/>
        <v>Straight Upholstered PelmetTop FixNice CBus Motor</v>
      </c>
      <c r="X2833" s="25">
        <v>0</v>
      </c>
      <c r="Y2833" s="25" t="s">
        <v>824</v>
      </c>
      <c r="Z2833" s="25" t="s">
        <v>824</v>
      </c>
      <c r="AA2833" s="25" t="s">
        <v>824</v>
      </c>
      <c r="AB2833" s="25" t="s">
        <v>824</v>
      </c>
      <c r="AC2833" s="25" t="s">
        <v>821</v>
      </c>
      <c r="AD2833" s="25" t="s">
        <v>824</v>
      </c>
      <c r="AE2833" s="25" t="s">
        <v>824</v>
      </c>
    </row>
    <row r="2834" spans="20:31" ht="14.4">
      <c r="T2834" s="25" t="s">
        <v>847</v>
      </c>
      <c r="U2834" s="25" t="s">
        <v>854</v>
      </c>
      <c r="V2834" t="s">
        <v>1006</v>
      </c>
      <c r="W2834" s="25" t="str">
        <f t="shared" si="63"/>
        <v>Straight Upholstered PelmetTop FixSunboss Chain Winder 38mm Tube</v>
      </c>
      <c r="X2834" s="25">
        <v>0</v>
      </c>
      <c r="Y2834" s="25" t="s">
        <v>824</v>
      </c>
      <c r="Z2834" s="25" t="s">
        <v>824</v>
      </c>
      <c r="AA2834" s="25" t="s">
        <v>824</v>
      </c>
      <c r="AB2834" s="25" t="s">
        <v>824</v>
      </c>
      <c r="AC2834" s="25" t="s">
        <v>821</v>
      </c>
      <c r="AD2834" s="25" t="s">
        <v>824</v>
      </c>
      <c r="AE2834" s="25" t="s">
        <v>824</v>
      </c>
    </row>
    <row r="2835" spans="20:31" ht="14.4">
      <c r="T2835" s="25" t="s">
        <v>847</v>
      </c>
      <c r="U2835" s="25" t="s">
        <v>854</v>
      </c>
      <c r="V2835" t="s">
        <v>1017</v>
      </c>
      <c r="W2835" s="25" t="str">
        <f t="shared" si="63"/>
        <v>Straight Upholstered PelmetTop FixSunboss Chain Winder 43mm Tube</v>
      </c>
      <c r="X2835" s="25">
        <v>0</v>
      </c>
      <c r="Y2835" s="25" t="s">
        <v>824</v>
      </c>
      <c r="Z2835" s="25" t="s">
        <v>824</v>
      </c>
      <c r="AA2835" s="25" t="s">
        <v>824</v>
      </c>
      <c r="AB2835" s="25" t="s">
        <v>824</v>
      </c>
      <c r="AC2835" s="25" t="s">
        <v>821</v>
      </c>
      <c r="AD2835" s="25" t="s">
        <v>824</v>
      </c>
      <c r="AE2835" s="25" t="s">
        <v>824</v>
      </c>
    </row>
    <row r="2836" spans="20:31" ht="14.4">
      <c r="T2836" s="25" t="s">
        <v>847</v>
      </c>
      <c r="U2836" s="25" t="s">
        <v>854</v>
      </c>
      <c r="V2836" s="25" t="s">
        <v>1012</v>
      </c>
      <c r="W2836" s="25" t="str">
        <f t="shared" si="63"/>
        <v>Straight Upholstered PelmetTop FixTBS Remote Motor</v>
      </c>
      <c r="X2836" s="25">
        <v>0</v>
      </c>
      <c r="Y2836" s="25" t="s">
        <v>824</v>
      </c>
      <c r="Z2836" s="25" t="s">
        <v>824</v>
      </c>
      <c r="AA2836" s="25" t="s">
        <v>824</v>
      </c>
      <c r="AB2836" s="25" t="s">
        <v>824</v>
      </c>
      <c r="AC2836" s="25" t="s">
        <v>821</v>
      </c>
      <c r="AD2836" s="25" t="s">
        <v>824</v>
      </c>
      <c r="AE2836" s="25" t="s">
        <v>824</v>
      </c>
    </row>
    <row r="2837" spans="20:31" ht="14.4">
      <c r="T2837" s="25" t="s">
        <v>847</v>
      </c>
      <c r="U2837" s="25" t="s">
        <v>854</v>
      </c>
      <c r="V2837" t="s">
        <v>1009</v>
      </c>
      <c r="W2837" s="25" t="str">
        <f t="shared" si="63"/>
        <v>Straight Upholstered PelmetTop FixTBS Cbus Motor</v>
      </c>
      <c r="X2837" s="25">
        <v>0</v>
      </c>
      <c r="Y2837" s="25" t="s">
        <v>824</v>
      </c>
      <c r="Z2837" s="25" t="s">
        <v>824</v>
      </c>
      <c r="AA2837" s="25" t="s">
        <v>824</v>
      </c>
      <c r="AB2837" s="25" t="s">
        <v>824</v>
      </c>
      <c r="AC2837" s="25" t="s">
        <v>821</v>
      </c>
      <c r="AD2837" s="25" t="s">
        <v>824</v>
      </c>
      <c r="AE2837" s="25" t="s">
        <v>824</v>
      </c>
    </row>
    <row r="2838" spans="20:31" ht="14.4">
      <c r="T2838" s="25" t="s">
        <v>847</v>
      </c>
      <c r="U2838" s="25" t="s">
        <v>854</v>
      </c>
      <c r="V2838" t="s">
        <v>927</v>
      </c>
      <c r="W2838" s="25" t="str">
        <f t="shared" si="63"/>
        <v>Straight Upholstered PelmetTop FixAcmeda External Motor</v>
      </c>
      <c r="X2838" s="25">
        <v>0</v>
      </c>
      <c r="Y2838" s="25" t="s">
        <v>824</v>
      </c>
      <c r="Z2838" s="25" t="s">
        <v>824</v>
      </c>
      <c r="AA2838" s="25" t="s">
        <v>824</v>
      </c>
      <c r="AB2838" s="25" t="s">
        <v>824</v>
      </c>
      <c r="AC2838" s="25" t="s">
        <v>821</v>
      </c>
      <c r="AD2838" s="25" t="s">
        <v>824</v>
      </c>
      <c r="AE2838" s="25" t="s">
        <v>824</v>
      </c>
    </row>
    <row r="2839" spans="20:31" ht="14.4">
      <c r="T2839" s="25" t="s">
        <v>847</v>
      </c>
      <c r="U2839" s="25" t="s">
        <v>854</v>
      </c>
      <c r="V2839" t="s">
        <v>918</v>
      </c>
      <c r="W2839" s="25" t="str">
        <f t="shared" si="63"/>
        <v>Straight Upholstered PelmetTop FixAcmeda External 12v Motor</v>
      </c>
      <c r="X2839" s="25">
        <v>0</v>
      </c>
      <c r="Y2839" s="25" t="s">
        <v>824</v>
      </c>
      <c r="Z2839" s="25" t="s">
        <v>824</v>
      </c>
      <c r="AA2839" s="25" t="s">
        <v>824</v>
      </c>
      <c r="AB2839" s="25" t="s">
        <v>824</v>
      </c>
      <c r="AC2839" s="25" t="s">
        <v>821</v>
      </c>
      <c r="AD2839" s="25" t="s">
        <v>824</v>
      </c>
      <c r="AE2839" s="25" t="s">
        <v>824</v>
      </c>
    </row>
    <row r="2840" spans="20:31" ht="14.4">
      <c r="T2840" s="25" t="s">
        <v>847</v>
      </c>
      <c r="U2840" s="25" t="s">
        <v>854</v>
      </c>
      <c r="V2840" t="s">
        <v>979</v>
      </c>
      <c r="W2840" s="25" t="str">
        <f t="shared" si="63"/>
        <v>Straight Upholstered PelmetTop FixSomfy External CBUS Motor</v>
      </c>
      <c r="X2840" s="25">
        <v>0</v>
      </c>
      <c r="Y2840" s="25" t="s">
        <v>824</v>
      </c>
      <c r="Z2840" s="25" t="s">
        <v>824</v>
      </c>
      <c r="AA2840" s="25" t="s">
        <v>824</v>
      </c>
      <c r="AB2840" s="25" t="s">
        <v>824</v>
      </c>
      <c r="AC2840" s="25" t="s">
        <v>821</v>
      </c>
      <c r="AD2840" s="25" t="s">
        <v>824</v>
      </c>
      <c r="AE2840" s="25" t="s">
        <v>824</v>
      </c>
    </row>
    <row r="2841" spans="20:31" ht="14.4">
      <c r="T2841" s="25" t="s">
        <v>847</v>
      </c>
      <c r="U2841" s="25" t="s">
        <v>854</v>
      </c>
      <c r="V2841" t="s">
        <v>983</v>
      </c>
      <c r="W2841" s="25" t="str">
        <f t="shared" si="63"/>
        <v>Straight Upholstered PelmetTop FixSomfy External Remote Motor</v>
      </c>
      <c r="X2841" s="25">
        <v>0</v>
      </c>
      <c r="Y2841" s="25" t="s">
        <v>824</v>
      </c>
      <c r="Z2841" s="25" t="s">
        <v>824</v>
      </c>
      <c r="AA2841" s="25" t="s">
        <v>824</v>
      </c>
      <c r="AB2841" s="25" t="s">
        <v>824</v>
      </c>
      <c r="AC2841" s="25" t="s">
        <v>821</v>
      </c>
      <c r="AD2841" s="25" t="s">
        <v>824</v>
      </c>
      <c r="AE2841" s="25" t="s">
        <v>824</v>
      </c>
    </row>
    <row r="2842" spans="20:31" ht="14.4">
      <c r="T2842" s="25" t="s">
        <v>847</v>
      </c>
      <c r="U2842" s="25" t="s">
        <v>854</v>
      </c>
      <c r="V2842" t="s">
        <v>979</v>
      </c>
      <c r="W2842" s="25" t="str">
        <f t="shared" si="63"/>
        <v>Straight Upholstered PelmetTop FixSomfy External CBUS Motor</v>
      </c>
      <c r="X2842" s="25">
        <v>0</v>
      </c>
      <c r="Y2842" s="25" t="s">
        <v>824</v>
      </c>
      <c r="Z2842" s="25" t="s">
        <v>824</v>
      </c>
      <c r="AA2842" s="25" t="s">
        <v>824</v>
      </c>
      <c r="AB2842" s="25" t="s">
        <v>824</v>
      </c>
      <c r="AC2842" s="25" t="s">
        <v>821</v>
      </c>
      <c r="AD2842" s="25" t="s">
        <v>824</v>
      </c>
      <c r="AE2842" s="25" t="s">
        <v>824</v>
      </c>
    </row>
    <row r="2843" spans="20:31" ht="14.4">
      <c r="T2843" s="25" t="s">
        <v>847</v>
      </c>
      <c r="U2843" s="25" t="s">
        <v>854</v>
      </c>
      <c r="V2843" t="s">
        <v>999</v>
      </c>
      <c r="W2843" s="25" t="str">
        <f t="shared" si="63"/>
        <v>Straight Upholstered PelmetTop FixHD Somfy External Remote Motor</v>
      </c>
      <c r="X2843" s="25">
        <v>0</v>
      </c>
      <c r="Y2843" s="25" t="s">
        <v>824</v>
      </c>
      <c r="Z2843" s="25" t="s">
        <v>824</v>
      </c>
      <c r="AA2843" s="25" t="s">
        <v>824</v>
      </c>
      <c r="AB2843" s="25" t="s">
        <v>824</v>
      </c>
      <c r="AC2843" s="25" t="s">
        <v>821</v>
      </c>
      <c r="AD2843" s="25" t="s">
        <v>824</v>
      </c>
      <c r="AE2843" s="25" t="s">
        <v>824</v>
      </c>
    </row>
    <row r="2844" spans="20:31" ht="14.4">
      <c r="T2844" s="25" t="s">
        <v>847</v>
      </c>
      <c r="U2844" s="25" t="s">
        <v>880</v>
      </c>
      <c r="V2844" s="25" t="s">
        <v>823</v>
      </c>
      <c r="W2844" s="25" t="str">
        <f t="shared" si="63"/>
        <v>Straight Upholstered PelmetInside Window MountChain Winder</v>
      </c>
      <c r="X2844" s="25">
        <v>0</v>
      </c>
      <c r="Y2844" s="25" t="s">
        <v>824</v>
      </c>
      <c r="Z2844" s="25" t="s">
        <v>824</v>
      </c>
      <c r="AA2844" s="25" t="s">
        <v>824</v>
      </c>
      <c r="AB2844" s="25" t="s">
        <v>824</v>
      </c>
      <c r="AC2844" s="25" t="s">
        <v>821</v>
      </c>
      <c r="AD2844" s="25" t="s">
        <v>824</v>
      </c>
      <c r="AE2844" s="25" t="s">
        <v>824</v>
      </c>
    </row>
    <row r="2845" spans="20:31" ht="14.4">
      <c r="T2845" s="25" t="s">
        <v>847</v>
      </c>
      <c r="U2845" s="25" t="s">
        <v>880</v>
      </c>
      <c r="V2845" s="25" t="s">
        <v>841</v>
      </c>
      <c r="W2845" s="25" t="str">
        <f t="shared" si="63"/>
        <v>Straight Upholstered PelmetInside Window MountHD Chain Winder</v>
      </c>
      <c r="X2845" s="25">
        <v>0</v>
      </c>
      <c r="Y2845" s="25" t="s">
        <v>824</v>
      </c>
      <c r="Z2845" s="25" t="s">
        <v>824</v>
      </c>
      <c r="AA2845" s="25" t="s">
        <v>824</v>
      </c>
      <c r="AB2845" s="25" t="s">
        <v>824</v>
      </c>
      <c r="AC2845" s="25" t="s">
        <v>821</v>
      </c>
      <c r="AD2845" s="25" t="s">
        <v>824</v>
      </c>
      <c r="AE2845" s="25" t="s">
        <v>824</v>
      </c>
    </row>
    <row r="2846" spans="20:31" ht="14.4">
      <c r="T2846" s="25" t="s">
        <v>847</v>
      </c>
      <c r="U2846" s="25" t="s">
        <v>880</v>
      </c>
      <c r="V2846" s="25" t="s">
        <v>858</v>
      </c>
      <c r="W2846" s="25" t="str">
        <f t="shared" si="63"/>
        <v>Straight Upholstered PelmetInside Window MountChain Winder 60mm</v>
      </c>
      <c r="X2846" s="25">
        <v>0</v>
      </c>
      <c r="Y2846" s="25" t="s">
        <v>824</v>
      </c>
      <c r="Z2846" s="25" t="s">
        <v>824</v>
      </c>
      <c r="AA2846" s="25" t="s">
        <v>824</v>
      </c>
      <c r="AB2846" s="25" t="s">
        <v>824</v>
      </c>
      <c r="AC2846" s="25" t="s">
        <v>821</v>
      </c>
      <c r="AD2846" s="25" t="s">
        <v>824</v>
      </c>
      <c r="AE2846" s="25" t="s">
        <v>824</v>
      </c>
    </row>
    <row r="2847" spans="20:31" ht="14.4">
      <c r="T2847" s="25" t="s">
        <v>847</v>
      </c>
      <c r="U2847" s="25" t="s">
        <v>880</v>
      </c>
      <c r="V2847" s="25" t="s">
        <v>865</v>
      </c>
      <c r="W2847" s="25" t="str">
        <f t="shared" si="63"/>
        <v>Straight Upholstered PelmetInside Window MountChain Winder Fixed Guide</v>
      </c>
      <c r="X2847" s="25">
        <v>0</v>
      </c>
      <c r="Y2847" s="25" t="s">
        <v>824</v>
      </c>
      <c r="Z2847" s="25" t="s">
        <v>824</v>
      </c>
      <c r="AA2847" s="25" t="s">
        <v>824</v>
      </c>
      <c r="AB2847" s="25" t="s">
        <v>824</v>
      </c>
      <c r="AC2847" s="25" t="s">
        <v>821</v>
      </c>
      <c r="AD2847" s="25" t="s">
        <v>824</v>
      </c>
      <c r="AE2847" s="25" t="s">
        <v>824</v>
      </c>
    </row>
    <row r="2848" spans="20:31" ht="14.4">
      <c r="T2848" s="25" t="s">
        <v>847</v>
      </c>
      <c r="U2848" s="25" t="s">
        <v>880</v>
      </c>
      <c r="V2848" s="25" t="s">
        <v>181</v>
      </c>
      <c r="W2848" s="25" t="str">
        <f t="shared" si="63"/>
        <v>Straight Upholstered PelmetInside Window MountLinked</v>
      </c>
      <c r="X2848" s="25">
        <v>0</v>
      </c>
      <c r="Y2848" s="25" t="s">
        <v>824</v>
      </c>
      <c r="Z2848" s="25" t="s">
        <v>824</v>
      </c>
      <c r="AA2848" s="25" t="s">
        <v>824</v>
      </c>
      <c r="AB2848" s="25" t="s">
        <v>824</v>
      </c>
      <c r="AC2848" s="25" t="s">
        <v>821</v>
      </c>
      <c r="AD2848" s="25" t="s">
        <v>824</v>
      </c>
      <c r="AE2848" s="25" t="s">
        <v>824</v>
      </c>
    </row>
    <row r="2849" spans="20:31" ht="14.4">
      <c r="T2849" s="25" t="s">
        <v>847</v>
      </c>
      <c r="U2849" s="25" t="s">
        <v>880</v>
      </c>
      <c r="V2849" s="25" t="s">
        <v>898</v>
      </c>
      <c r="W2849" s="25" t="str">
        <f t="shared" si="63"/>
        <v>Straight Upholstered PelmetInside Window MountLinked - HD</v>
      </c>
      <c r="X2849" s="25">
        <v>0</v>
      </c>
      <c r="Y2849" s="25" t="s">
        <v>824</v>
      </c>
      <c r="Z2849" s="25" t="s">
        <v>824</v>
      </c>
      <c r="AA2849" s="25" t="s">
        <v>824</v>
      </c>
      <c r="AB2849" s="25" t="s">
        <v>824</v>
      </c>
      <c r="AC2849" s="25" t="s">
        <v>821</v>
      </c>
      <c r="AD2849" s="25" t="s">
        <v>824</v>
      </c>
      <c r="AE2849" s="25" t="s">
        <v>824</v>
      </c>
    </row>
    <row r="2850" spans="20:31" ht="14.4">
      <c r="T2850" s="25" t="s">
        <v>847</v>
      </c>
      <c r="U2850" s="25" t="s">
        <v>880</v>
      </c>
      <c r="V2850" s="25" t="s">
        <v>925</v>
      </c>
      <c r="W2850" s="25" t="str">
        <f t="shared" si="63"/>
        <v>Straight Upholstered PelmetInside Window MountLinked 60mm</v>
      </c>
      <c r="X2850" s="25">
        <v>0</v>
      </c>
      <c r="Y2850" s="25" t="s">
        <v>824</v>
      </c>
      <c r="Z2850" s="25" t="s">
        <v>824</v>
      </c>
      <c r="AA2850" s="25" t="s">
        <v>824</v>
      </c>
      <c r="AB2850" s="25" t="s">
        <v>824</v>
      </c>
      <c r="AC2850" s="25" t="s">
        <v>821</v>
      </c>
      <c r="AD2850" s="25" t="s">
        <v>824</v>
      </c>
      <c r="AE2850" s="25" t="s">
        <v>824</v>
      </c>
    </row>
    <row r="2851" spans="20:31" ht="14.4">
      <c r="T2851" s="25" t="s">
        <v>847</v>
      </c>
      <c r="U2851" s="25" t="s">
        <v>880</v>
      </c>
      <c r="V2851" s="25" t="s">
        <v>910</v>
      </c>
      <c r="W2851" s="25" t="str">
        <f t="shared" si="63"/>
        <v>Straight Upholstered PelmetInside Window MountStandard Spring</v>
      </c>
      <c r="X2851" s="25">
        <v>0</v>
      </c>
      <c r="Y2851" s="25" t="s">
        <v>824</v>
      </c>
      <c r="Z2851" s="25" t="s">
        <v>824</v>
      </c>
      <c r="AA2851" s="25" t="s">
        <v>824</v>
      </c>
      <c r="AB2851" s="25" t="s">
        <v>824</v>
      </c>
      <c r="AC2851" s="25" t="s">
        <v>821</v>
      </c>
      <c r="AD2851" s="25" t="s">
        <v>824</v>
      </c>
      <c r="AE2851" s="25" t="s">
        <v>824</v>
      </c>
    </row>
    <row r="2852" spans="20:31" ht="14.4">
      <c r="T2852" s="25" t="s">
        <v>847</v>
      </c>
      <c r="U2852" s="25" t="s">
        <v>880</v>
      </c>
      <c r="V2852" s="25" t="s">
        <v>920</v>
      </c>
      <c r="W2852" s="25" t="str">
        <f t="shared" si="63"/>
        <v>Straight Upholstered PelmetInside Window MountSmall Spring</v>
      </c>
      <c r="X2852" s="25">
        <v>0</v>
      </c>
      <c r="Y2852" s="25" t="s">
        <v>824</v>
      </c>
      <c r="Z2852" s="25" t="s">
        <v>824</v>
      </c>
      <c r="AA2852" s="25" t="s">
        <v>824</v>
      </c>
      <c r="AB2852" s="25" t="s">
        <v>824</v>
      </c>
      <c r="AC2852" s="25" t="s">
        <v>821</v>
      </c>
      <c r="AD2852" s="25" t="s">
        <v>824</v>
      </c>
      <c r="AE2852" s="25" t="s">
        <v>824</v>
      </c>
    </row>
    <row r="2853" spans="20:31" ht="14.4">
      <c r="T2853" s="25" t="s">
        <v>847</v>
      </c>
      <c r="U2853" s="25" t="s">
        <v>880</v>
      </c>
      <c r="V2853" s="25" t="s">
        <v>929</v>
      </c>
      <c r="W2853" s="25" t="str">
        <f t="shared" si="63"/>
        <v>Straight Upholstered PelmetInside Window MountUniline Spring (Old Style)</v>
      </c>
      <c r="X2853" s="25">
        <v>0</v>
      </c>
      <c r="Y2853" s="25" t="s">
        <v>824</v>
      </c>
      <c r="Z2853" s="25" t="s">
        <v>824</v>
      </c>
      <c r="AA2853" s="25" t="s">
        <v>824</v>
      </c>
      <c r="AB2853" s="25" t="s">
        <v>824</v>
      </c>
      <c r="AC2853" s="25" t="s">
        <v>821</v>
      </c>
      <c r="AD2853" s="25" t="s">
        <v>824</v>
      </c>
      <c r="AE2853" s="25" t="s">
        <v>824</v>
      </c>
    </row>
    <row r="2854" spans="20:31" ht="14.4">
      <c r="T2854" s="25" t="s">
        <v>847</v>
      </c>
      <c r="U2854" s="25" t="s">
        <v>880</v>
      </c>
      <c r="V2854" s="25" t="s">
        <v>935</v>
      </c>
      <c r="W2854" s="25" t="str">
        <f t="shared" si="63"/>
        <v>Straight Upholstered PelmetInside Window MountBecker Remote Motor</v>
      </c>
      <c r="X2854" s="25">
        <v>0</v>
      </c>
      <c r="Y2854" s="25" t="s">
        <v>824</v>
      </c>
      <c r="Z2854" s="25" t="s">
        <v>824</v>
      </c>
      <c r="AA2854" s="25" t="s">
        <v>824</v>
      </c>
      <c r="AB2854" s="25" t="s">
        <v>824</v>
      </c>
      <c r="AC2854" s="25" t="s">
        <v>821</v>
      </c>
      <c r="AD2854" s="25" t="s">
        <v>824</v>
      </c>
      <c r="AE2854" s="25" t="s">
        <v>824</v>
      </c>
    </row>
    <row r="2855" spans="20:31" ht="14.4">
      <c r="T2855" s="25" t="s">
        <v>847</v>
      </c>
      <c r="U2855" s="25" t="s">
        <v>880</v>
      </c>
      <c r="V2855" s="25" t="s">
        <v>939</v>
      </c>
      <c r="W2855" s="25" t="str">
        <f t="shared" si="63"/>
        <v>Straight Upholstered PelmetInside Window MountBecker CBUS Motor</v>
      </c>
      <c r="X2855" s="25">
        <v>0</v>
      </c>
      <c r="Y2855" s="25" t="s">
        <v>824</v>
      </c>
      <c r="Z2855" s="25" t="s">
        <v>824</v>
      </c>
      <c r="AA2855" s="25" t="s">
        <v>824</v>
      </c>
      <c r="AB2855" s="25" t="s">
        <v>824</v>
      </c>
      <c r="AC2855" s="25" t="s">
        <v>821</v>
      </c>
      <c r="AD2855" s="25" t="s">
        <v>824</v>
      </c>
      <c r="AE2855" s="25" t="s">
        <v>824</v>
      </c>
    </row>
    <row r="2856" spans="20:31" ht="14.4">
      <c r="T2856" s="25" t="s">
        <v>847</v>
      </c>
      <c r="U2856" s="25" t="s">
        <v>880</v>
      </c>
      <c r="V2856" s="25" t="s">
        <v>946</v>
      </c>
      <c r="W2856" s="25" t="str">
        <f t="shared" si="63"/>
        <v>Straight Upholstered PelmetInside Window MountBecker External Remote Motor</v>
      </c>
      <c r="X2856" s="25">
        <v>0</v>
      </c>
      <c r="Y2856" s="25" t="s">
        <v>824</v>
      </c>
      <c r="Z2856" s="25" t="s">
        <v>824</v>
      </c>
      <c r="AA2856" s="25" t="s">
        <v>824</v>
      </c>
      <c r="AB2856" s="25" t="s">
        <v>824</v>
      </c>
      <c r="AC2856" s="25" t="s">
        <v>821</v>
      </c>
      <c r="AD2856" s="25" t="s">
        <v>824</v>
      </c>
      <c r="AE2856" s="25" t="s">
        <v>824</v>
      </c>
    </row>
    <row r="2857" spans="20:31" ht="14.4">
      <c r="T2857" s="25" t="s">
        <v>847</v>
      </c>
      <c r="U2857" s="25" t="s">
        <v>880</v>
      </c>
      <c r="V2857" s="25" t="s">
        <v>951</v>
      </c>
      <c r="W2857" s="25" t="str">
        <f t="shared" si="63"/>
        <v>Straight Upholstered PelmetInside Window MountBecker External CBUS Motor</v>
      </c>
      <c r="X2857" s="25">
        <v>0</v>
      </c>
      <c r="Y2857" s="25" t="s">
        <v>824</v>
      </c>
      <c r="Z2857" s="25" t="s">
        <v>824</v>
      </c>
      <c r="AA2857" s="25" t="s">
        <v>824</v>
      </c>
      <c r="AB2857" s="25" t="s">
        <v>824</v>
      </c>
      <c r="AC2857" s="25" t="s">
        <v>821</v>
      </c>
      <c r="AD2857" s="25" t="s">
        <v>824</v>
      </c>
      <c r="AE2857" s="25" t="s">
        <v>824</v>
      </c>
    </row>
    <row r="2858" spans="20:31" ht="14.4">
      <c r="T2858" s="25" t="s">
        <v>847</v>
      </c>
      <c r="U2858" s="25" t="s">
        <v>880</v>
      </c>
      <c r="V2858" s="25" t="s">
        <v>838</v>
      </c>
      <c r="W2858" s="25" t="str">
        <f t="shared" si="63"/>
        <v>Straight Upholstered PelmetInside Window Mount1.1nm 12v Acmeda Motor</v>
      </c>
      <c r="X2858" s="25">
        <v>0</v>
      </c>
      <c r="Y2858" s="25" t="s">
        <v>824</v>
      </c>
      <c r="Z2858" s="25" t="s">
        <v>824</v>
      </c>
      <c r="AA2858" s="25" t="s">
        <v>824</v>
      </c>
      <c r="AB2858" s="25" t="s">
        <v>824</v>
      </c>
      <c r="AC2858" s="25" t="s">
        <v>821</v>
      </c>
      <c r="AD2858" s="25" t="s">
        <v>824</v>
      </c>
      <c r="AE2858" s="25" t="s">
        <v>824</v>
      </c>
    </row>
    <row r="2859" spans="20:31" ht="14.4">
      <c r="T2859" s="25" t="s">
        <v>847</v>
      </c>
      <c r="U2859" s="25" t="s">
        <v>880</v>
      </c>
      <c r="V2859" t="s">
        <v>882</v>
      </c>
      <c r="W2859" s="25" t="str">
        <f t="shared" si="63"/>
        <v>Straight Upholstered PelmetInside Window Mount2nm 12v Acmeda Motor</v>
      </c>
      <c r="X2859" s="25">
        <v>0</v>
      </c>
      <c r="Y2859" s="25" t="s">
        <v>824</v>
      </c>
      <c r="Z2859" s="25" t="s">
        <v>824</v>
      </c>
      <c r="AA2859" s="25" t="s">
        <v>824</v>
      </c>
      <c r="AB2859" s="25" t="s">
        <v>824</v>
      </c>
      <c r="AC2859" s="25" t="s">
        <v>821</v>
      </c>
      <c r="AD2859" s="25" t="s">
        <v>824</v>
      </c>
      <c r="AE2859" s="25" t="s">
        <v>824</v>
      </c>
    </row>
    <row r="2860" spans="20:31" ht="14.4">
      <c r="T2860" s="25" t="s">
        <v>847</v>
      </c>
      <c r="U2860" s="25" t="s">
        <v>880</v>
      </c>
      <c r="V2860" t="s">
        <v>896</v>
      </c>
      <c r="W2860" s="25" t="str">
        <f t="shared" si="63"/>
        <v>Straight Upholstered PelmetInside Window MountAcmeda 12v 6nm Motor</v>
      </c>
      <c r="X2860" s="25">
        <v>0</v>
      </c>
      <c r="Y2860" s="25" t="s">
        <v>824</v>
      </c>
      <c r="Z2860" s="25" t="s">
        <v>824</v>
      </c>
      <c r="AA2860" s="25" t="s">
        <v>824</v>
      </c>
      <c r="AB2860" s="25" t="s">
        <v>824</v>
      </c>
      <c r="AC2860" s="25" t="s">
        <v>821</v>
      </c>
      <c r="AD2860" s="25" t="s">
        <v>824</v>
      </c>
      <c r="AE2860" s="25" t="s">
        <v>824</v>
      </c>
    </row>
    <row r="2861" spans="20:31" ht="14.4">
      <c r="T2861" s="25" t="s">
        <v>847</v>
      </c>
      <c r="U2861" s="25" t="s">
        <v>880</v>
      </c>
      <c r="V2861" t="s">
        <v>855</v>
      </c>
      <c r="W2861" s="25" t="str">
        <f t="shared" si="63"/>
        <v>Straight Upholstered PelmetInside Window Mount0.7nm 12v Acmeda Motor</v>
      </c>
      <c r="X2861" s="25">
        <v>0</v>
      </c>
      <c r="Y2861" s="25" t="s">
        <v>824</v>
      </c>
      <c r="Z2861" s="25" t="s">
        <v>824</v>
      </c>
      <c r="AA2861" s="25" t="s">
        <v>824</v>
      </c>
      <c r="AB2861" s="25" t="s">
        <v>824</v>
      </c>
      <c r="AC2861" s="25" t="s">
        <v>821</v>
      </c>
      <c r="AD2861" s="25" t="s">
        <v>824</v>
      </c>
      <c r="AE2861" s="25" t="s">
        <v>824</v>
      </c>
    </row>
    <row r="2862" spans="20:31" ht="14.4">
      <c r="T2862" s="25" t="s">
        <v>847</v>
      </c>
      <c r="U2862" s="25" t="s">
        <v>880</v>
      </c>
      <c r="V2862" s="25" t="s">
        <v>849</v>
      </c>
      <c r="W2862" s="25" t="str">
        <f t="shared" si="63"/>
        <v>Straight Upholstered PelmetInside Window Mount1.1nm 12v Acmeda DCRF Motor with External Battery</v>
      </c>
      <c r="X2862" s="25">
        <v>0</v>
      </c>
      <c r="Y2862" s="25" t="s">
        <v>824</v>
      </c>
      <c r="Z2862" s="25" t="s">
        <v>824</v>
      </c>
      <c r="AA2862" s="25" t="s">
        <v>824</v>
      </c>
      <c r="AB2862" s="25" t="s">
        <v>824</v>
      </c>
      <c r="AC2862" s="25" t="s">
        <v>821</v>
      </c>
      <c r="AD2862" s="25" t="s">
        <v>824</v>
      </c>
      <c r="AE2862" s="25" t="s">
        <v>824</v>
      </c>
    </row>
    <row r="2863" spans="20:31" ht="14.4">
      <c r="T2863" s="25" t="s">
        <v>847</v>
      </c>
      <c r="U2863" s="25" t="s">
        <v>880</v>
      </c>
      <c r="V2863" s="25" t="s">
        <v>817</v>
      </c>
      <c r="W2863" s="25" t="str">
        <f t="shared" si="63"/>
        <v>Straight Upholstered PelmetInside Window Mount1.1nm 12v Acmeda DCRF Motor</v>
      </c>
      <c r="X2863" s="25">
        <v>0</v>
      </c>
      <c r="Y2863" s="25" t="s">
        <v>824</v>
      </c>
      <c r="Z2863" s="25" t="s">
        <v>824</v>
      </c>
      <c r="AA2863" s="25" t="s">
        <v>824</v>
      </c>
      <c r="AB2863" s="25" t="s">
        <v>824</v>
      </c>
      <c r="AC2863" s="25" t="s">
        <v>821</v>
      </c>
      <c r="AD2863" s="25" t="s">
        <v>824</v>
      </c>
      <c r="AE2863" s="25" t="s">
        <v>824</v>
      </c>
    </row>
    <row r="2864" spans="20:31" ht="14.4">
      <c r="T2864" s="25" t="s">
        <v>847</v>
      </c>
      <c r="U2864" s="25" t="s">
        <v>880</v>
      </c>
      <c r="V2864" s="25" t="s">
        <v>868</v>
      </c>
      <c r="W2864" s="25" t="str">
        <f t="shared" si="63"/>
        <v>Straight Upholstered PelmetInside Window Mount2nm 12v Acmeda DCRF Motor</v>
      </c>
      <c r="X2864" s="25">
        <v>0</v>
      </c>
      <c r="Y2864" s="25" t="s">
        <v>824</v>
      </c>
      <c r="Z2864" s="25" t="s">
        <v>824</v>
      </c>
      <c r="AA2864" s="25" t="s">
        <v>824</v>
      </c>
      <c r="AB2864" s="25" t="s">
        <v>824</v>
      </c>
      <c r="AC2864" s="25" t="s">
        <v>821</v>
      </c>
      <c r="AD2864" s="25" t="s">
        <v>824</v>
      </c>
      <c r="AE2864" s="25" t="s">
        <v>824</v>
      </c>
    </row>
    <row r="2865" spans="20:31" ht="14.4">
      <c r="T2865" s="25" t="s">
        <v>847</v>
      </c>
      <c r="U2865" s="25" t="s">
        <v>880</v>
      </c>
      <c r="V2865" t="s">
        <v>973</v>
      </c>
      <c r="W2865" s="25" t="str">
        <f t="shared" si="63"/>
        <v>Straight Upholstered PelmetInside Window MountSomfy Remote Sonesse Motor</v>
      </c>
      <c r="X2865" s="25">
        <v>0</v>
      </c>
      <c r="Y2865" s="25" t="s">
        <v>824</v>
      </c>
      <c r="Z2865" s="25" t="s">
        <v>824</v>
      </c>
      <c r="AA2865" s="25" t="s">
        <v>824</v>
      </c>
      <c r="AB2865" s="25" t="s">
        <v>824</v>
      </c>
      <c r="AC2865" s="25" t="s">
        <v>821</v>
      </c>
      <c r="AD2865" s="25" t="s">
        <v>824</v>
      </c>
      <c r="AE2865" s="25" t="s">
        <v>824</v>
      </c>
    </row>
    <row r="2866" spans="20:31" ht="14.4">
      <c r="T2866" s="25" t="s">
        <v>847</v>
      </c>
      <c r="U2866" s="25" t="s">
        <v>880</v>
      </c>
      <c r="V2866" t="s">
        <v>637</v>
      </c>
      <c r="W2866" s="25" t="str">
        <f t="shared" si="63"/>
        <v>Straight Upholstered PelmetInside Window MountSomfy 12v Remote Sonesse Motor</v>
      </c>
      <c r="X2866" s="25">
        <v>0</v>
      </c>
      <c r="Y2866" s="25" t="s">
        <v>824</v>
      </c>
      <c r="Z2866" s="25" t="s">
        <v>824</v>
      </c>
      <c r="AA2866" s="25" t="s">
        <v>824</v>
      </c>
      <c r="AB2866" s="25" t="s">
        <v>824</v>
      </c>
      <c r="AC2866" s="25" t="s">
        <v>821</v>
      </c>
      <c r="AD2866" s="25" t="s">
        <v>824</v>
      </c>
      <c r="AE2866" s="25" t="s">
        <v>824</v>
      </c>
    </row>
    <row r="2867" spans="20:31" ht="14.4">
      <c r="T2867" s="25" t="s">
        <v>847</v>
      </c>
      <c r="U2867" s="25" t="s">
        <v>880</v>
      </c>
      <c r="V2867" s="25" t="s">
        <v>974</v>
      </c>
      <c r="W2867" s="25" t="str">
        <f t="shared" si="63"/>
        <v>Straight Upholstered PelmetInside Window MountSomfy CBUS Motor</v>
      </c>
      <c r="X2867" s="25">
        <v>0</v>
      </c>
      <c r="Y2867" s="25" t="s">
        <v>824</v>
      </c>
      <c r="Z2867" s="25" t="s">
        <v>824</v>
      </c>
      <c r="AA2867" s="25" t="s">
        <v>824</v>
      </c>
      <c r="AB2867" s="25" t="s">
        <v>824</v>
      </c>
      <c r="AC2867" s="25" t="s">
        <v>821</v>
      </c>
      <c r="AD2867" s="25" t="s">
        <v>824</v>
      </c>
      <c r="AE2867" s="25" t="s">
        <v>824</v>
      </c>
    </row>
    <row r="2868" spans="20:31" ht="14.4">
      <c r="T2868" s="25" t="s">
        <v>847</v>
      </c>
      <c r="U2868" s="25" t="s">
        <v>880</v>
      </c>
      <c r="V2868" t="s">
        <v>986</v>
      </c>
      <c r="W2868" s="25" t="str">
        <f t="shared" si="63"/>
        <v>Straight Upholstered PelmetInside Window MountHD Somfy Remote Sonesse Motor</v>
      </c>
      <c r="X2868" s="25">
        <v>0</v>
      </c>
      <c r="Y2868" s="25" t="s">
        <v>824</v>
      </c>
      <c r="Z2868" s="25" t="s">
        <v>824</v>
      </c>
      <c r="AA2868" s="25" t="s">
        <v>824</v>
      </c>
      <c r="AB2868" s="25" t="s">
        <v>824</v>
      </c>
      <c r="AC2868" s="25" t="s">
        <v>821</v>
      </c>
      <c r="AD2868" s="25" t="s">
        <v>824</v>
      </c>
      <c r="AE2868" s="25" t="s">
        <v>824</v>
      </c>
    </row>
    <row r="2869" spans="20:31" ht="14.4">
      <c r="T2869" s="25" t="s">
        <v>847</v>
      </c>
      <c r="U2869" s="25" t="s">
        <v>880</v>
      </c>
      <c r="V2869" t="s">
        <v>989</v>
      </c>
      <c r="W2869" s="25" t="str">
        <f t="shared" si="63"/>
        <v>Straight Upholstered PelmetInside Window MountHD Somfy 12v Remote Sonesse Motor</v>
      </c>
      <c r="X2869" s="25">
        <v>0</v>
      </c>
      <c r="Y2869" s="25" t="s">
        <v>824</v>
      </c>
      <c r="Z2869" s="25" t="s">
        <v>824</v>
      </c>
      <c r="AA2869" s="25" t="s">
        <v>824</v>
      </c>
      <c r="AB2869" s="25" t="s">
        <v>824</v>
      </c>
      <c r="AC2869" s="25" t="s">
        <v>821</v>
      </c>
      <c r="AD2869" s="25" t="s">
        <v>824</v>
      </c>
      <c r="AE2869" s="25" t="s">
        <v>824</v>
      </c>
    </row>
    <row r="2870" spans="20:31" ht="14.4">
      <c r="T2870" s="25" t="s">
        <v>847</v>
      </c>
      <c r="U2870" s="25" t="s">
        <v>880</v>
      </c>
      <c r="V2870" s="25" t="s">
        <v>992</v>
      </c>
      <c r="W2870" s="25" t="str">
        <f t="shared" si="63"/>
        <v>Straight Upholstered PelmetInside Window MountHD Somfy CBUS Motor</v>
      </c>
      <c r="X2870" s="25">
        <v>0</v>
      </c>
      <c r="Y2870" s="25" t="s">
        <v>824</v>
      </c>
      <c r="Z2870" s="25" t="s">
        <v>824</v>
      </c>
      <c r="AA2870" s="25" t="s">
        <v>824</v>
      </c>
      <c r="AB2870" s="25" t="s">
        <v>824</v>
      </c>
      <c r="AC2870" s="25" t="s">
        <v>821</v>
      </c>
      <c r="AD2870" s="25" t="s">
        <v>824</v>
      </c>
      <c r="AE2870" s="25" t="s">
        <v>824</v>
      </c>
    </row>
    <row r="2871" spans="20:31" ht="14.4">
      <c r="T2871" s="25" t="s">
        <v>847</v>
      </c>
      <c r="U2871" s="25" t="s">
        <v>880</v>
      </c>
      <c r="V2871" s="25" t="s">
        <v>625</v>
      </c>
      <c r="W2871" s="25" t="str">
        <f t="shared" si="63"/>
        <v>Straight Upholstered PelmetInside Window MountAcmeda E6 Motor</v>
      </c>
      <c r="X2871" s="25">
        <v>0</v>
      </c>
      <c r="Y2871" s="25" t="s">
        <v>824</v>
      </c>
      <c r="Z2871" s="25" t="s">
        <v>824</v>
      </c>
      <c r="AA2871" s="25" t="s">
        <v>824</v>
      </c>
      <c r="AB2871" s="25" t="s">
        <v>824</v>
      </c>
      <c r="AC2871" s="25" t="s">
        <v>821</v>
      </c>
      <c r="AD2871" s="25" t="s">
        <v>824</v>
      </c>
      <c r="AE2871" s="25" t="s">
        <v>824</v>
      </c>
    </row>
    <row r="2872" spans="20:31" ht="14.4">
      <c r="T2872" s="25" t="s">
        <v>847</v>
      </c>
      <c r="U2872" s="25" t="s">
        <v>880</v>
      </c>
      <c r="V2872" s="25" t="s">
        <v>626</v>
      </c>
      <c r="W2872" s="25" t="str">
        <f t="shared" si="63"/>
        <v>Straight Upholstered PelmetInside Window MountAcmeda M6 Motor</v>
      </c>
      <c r="X2872" s="25">
        <v>0</v>
      </c>
      <c r="Y2872" s="25" t="s">
        <v>824</v>
      </c>
      <c r="Z2872" s="25" t="s">
        <v>824</v>
      </c>
      <c r="AA2872" s="25" t="s">
        <v>824</v>
      </c>
      <c r="AB2872" s="25" t="s">
        <v>824</v>
      </c>
      <c r="AC2872" s="25" t="s">
        <v>821</v>
      </c>
      <c r="AD2872" s="25" t="s">
        <v>824</v>
      </c>
      <c r="AE2872" s="25" t="s">
        <v>824</v>
      </c>
    </row>
    <row r="2873" spans="20:31" ht="14.4">
      <c r="T2873" s="25" t="s">
        <v>847</v>
      </c>
      <c r="U2873" s="25" t="s">
        <v>880</v>
      </c>
      <c r="V2873" s="25" t="s">
        <v>1002</v>
      </c>
      <c r="W2873" s="25" t="str">
        <f t="shared" si="63"/>
        <v>Straight Upholstered PelmetInside Window MountUniline Remote Motor</v>
      </c>
      <c r="X2873" s="25">
        <v>0</v>
      </c>
      <c r="Y2873" s="25" t="s">
        <v>824</v>
      </c>
      <c r="Z2873" s="25" t="s">
        <v>824</v>
      </c>
      <c r="AA2873" s="25" t="s">
        <v>824</v>
      </c>
      <c r="AB2873" s="25" t="s">
        <v>824</v>
      </c>
      <c r="AC2873" s="25" t="s">
        <v>821</v>
      </c>
      <c r="AD2873" s="25" t="s">
        <v>824</v>
      </c>
      <c r="AE2873" s="25" t="s">
        <v>824</v>
      </c>
    </row>
    <row r="2874" spans="20:31" ht="14.4">
      <c r="T2874" s="25" t="s">
        <v>847</v>
      </c>
      <c r="U2874" s="25" t="s">
        <v>880</v>
      </c>
      <c r="V2874" s="25" t="s">
        <v>1005</v>
      </c>
      <c r="W2874" s="25" t="str">
        <f t="shared" si="63"/>
        <v>Straight Upholstered PelmetInside Window MountUniline Cbus Motor</v>
      </c>
      <c r="X2874" s="25">
        <v>0</v>
      </c>
      <c r="Y2874" s="25" t="s">
        <v>824</v>
      </c>
      <c r="Z2874" s="25" t="s">
        <v>824</v>
      </c>
      <c r="AA2874" s="25" t="s">
        <v>824</v>
      </c>
      <c r="AB2874" s="25" t="s">
        <v>824</v>
      </c>
      <c r="AC2874" s="25" t="s">
        <v>821</v>
      </c>
      <c r="AD2874" s="25" t="s">
        <v>824</v>
      </c>
      <c r="AE2874" s="25" t="s">
        <v>824</v>
      </c>
    </row>
    <row r="2875" spans="20:31" ht="14.4">
      <c r="T2875" s="25" t="s">
        <v>847</v>
      </c>
      <c r="U2875" s="25" t="s">
        <v>880</v>
      </c>
      <c r="V2875" s="25" t="s">
        <v>981</v>
      </c>
      <c r="W2875" s="25" t="str">
        <f t="shared" si="63"/>
        <v>Straight Upholstered PelmetInside Window MountNice Remote Motor</v>
      </c>
      <c r="X2875" s="25">
        <v>0</v>
      </c>
      <c r="Y2875" s="25" t="s">
        <v>824</v>
      </c>
      <c r="Z2875" s="25" t="s">
        <v>824</v>
      </c>
      <c r="AA2875" s="25" t="s">
        <v>824</v>
      </c>
      <c r="AB2875" s="25" t="s">
        <v>824</v>
      </c>
      <c r="AC2875" s="25" t="s">
        <v>821</v>
      </c>
      <c r="AD2875" s="25" t="s">
        <v>824</v>
      </c>
      <c r="AE2875" s="25" t="s">
        <v>824</v>
      </c>
    </row>
    <row r="2876" spans="20:31" ht="14.4">
      <c r="T2876" s="25" t="s">
        <v>847</v>
      </c>
      <c r="U2876" s="25" t="s">
        <v>880</v>
      </c>
      <c r="V2876" s="25" t="s">
        <v>976</v>
      </c>
      <c r="W2876" s="25" t="str">
        <f t="shared" si="63"/>
        <v>Straight Upholstered PelmetInside Window MountNice CBus Motor</v>
      </c>
      <c r="X2876" s="25">
        <v>0</v>
      </c>
      <c r="Y2876" s="25" t="s">
        <v>824</v>
      </c>
      <c r="Z2876" s="25" t="s">
        <v>824</v>
      </c>
      <c r="AA2876" s="25" t="s">
        <v>824</v>
      </c>
      <c r="AB2876" s="25" t="s">
        <v>824</v>
      </c>
      <c r="AC2876" s="25" t="s">
        <v>821</v>
      </c>
      <c r="AD2876" s="25" t="s">
        <v>824</v>
      </c>
      <c r="AE2876" s="25" t="s">
        <v>824</v>
      </c>
    </row>
    <row r="2877" spans="20:31" ht="14.4">
      <c r="T2877" s="25" t="s">
        <v>847</v>
      </c>
      <c r="U2877" s="25" t="s">
        <v>880</v>
      </c>
      <c r="V2877" t="s">
        <v>1006</v>
      </c>
      <c r="W2877" s="25" t="str">
        <f t="shared" si="63"/>
        <v>Straight Upholstered PelmetInside Window MountSunboss Chain Winder 38mm Tube</v>
      </c>
      <c r="X2877" s="25">
        <v>0</v>
      </c>
      <c r="Y2877" s="25" t="s">
        <v>824</v>
      </c>
      <c r="Z2877" s="25" t="s">
        <v>824</v>
      </c>
      <c r="AA2877" s="25" t="s">
        <v>824</v>
      </c>
      <c r="AB2877" s="25" t="s">
        <v>824</v>
      </c>
      <c r="AC2877" s="25" t="s">
        <v>821</v>
      </c>
      <c r="AD2877" s="25" t="s">
        <v>824</v>
      </c>
      <c r="AE2877" s="25" t="s">
        <v>824</v>
      </c>
    </row>
    <row r="2878" spans="20:31" ht="14.4">
      <c r="T2878" s="25" t="s">
        <v>847</v>
      </c>
      <c r="U2878" s="25" t="s">
        <v>880</v>
      </c>
      <c r="V2878" t="s">
        <v>1017</v>
      </c>
      <c r="W2878" s="25" t="str">
        <f t="shared" si="63"/>
        <v>Straight Upholstered PelmetInside Window MountSunboss Chain Winder 43mm Tube</v>
      </c>
      <c r="X2878" s="25">
        <v>0</v>
      </c>
      <c r="Y2878" s="25" t="s">
        <v>824</v>
      </c>
      <c r="Z2878" s="25" t="s">
        <v>824</v>
      </c>
      <c r="AA2878" s="25" t="s">
        <v>824</v>
      </c>
      <c r="AB2878" s="25" t="s">
        <v>824</v>
      </c>
      <c r="AC2878" s="25" t="s">
        <v>821</v>
      </c>
      <c r="AD2878" s="25" t="s">
        <v>824</v>
      </c>
      <c r="AE2878" s="25" t="s">
        <v>824</v>
      </c>
    </row>
    <row r="2879" spans="20:31" ht="14.4">
      <c r="T2879" s="25" t="s">
        <v>847</v>
      </c>
      <c r="U2879" s="25" t="s">
        <v>880</v>
      </c>
      <c r="V2879" s="25" t="s">
        <v>1012</v>
      </c>
      <c r="W2879" s="25" t="str">
        <f t="shared" si="63"/>
        <v>Straight Upholstered PelmetInside Window MountTBS Remote Motor</v>
      </c>
      <c r="X2879" s="25">
        <v>0</v>
      </c>
      <c r="Y2879" s="25" t="s">
        <v>824</v>
      </c>
      <c r="Z2879" s="25" t="s">
        <v>824</v>
      </c>
      <c r="AA2879" s="25" t="s">
        <v>824</v>
      </c>
      <c r="AB2879" s="25" t="s">
        <v>824</v>
      </c>
      <c r="AC2879" s="25" t="s">
        <v>821</v>
      </c>
      <c r="AD2879" s="25" t="s">
        <v>824</v>
      </c>
      <c r="AE2879" s="25" t="s">
        <v>824</v>
      </c>
    </row>
    <row r="2880" spans="20:31" ht="14.4">
      <c r="T2880" s="25" t="s">
        <v>847</v>
      </c>
      <c r="U2880" s="25" t="s">
        <v>880</v>
      </c>
      <c r="V2880" t="s">
        <v>1009</v>
      </c>
      <c r="W2880" s="25" t="str">
        <f t="shared" si="63"/>
        <v>Straight Upholstered PelmetInside Window MountTBS Cbus Motor</v>
      </c>
      <c r="X2880" s="25">
        <v>0</v>
      </c>
      <c r="Y2880" s="25" t="s">
        <v>824</v>
      </c>
      <c r="Z2880" s="25" t="s">
        <v>824</v>
      </c>
      <c r="AA2880" s="25" t="s">
        <v>824</v>
      </c>
      <c r="AB2880" s="25" t="s">
        <v>824</v>
      </c>
      <c r="AC2880" s="25" t="s">
        <v>821</v>
      </c>
      <c r="AD2880" s="25" t="s">
        <v>824</v>
      </c>
      <c r="AE2880" s="25" t="s">
        <v>824</v>
      </c>
    </row>
    <row r="2881" spans="20:31" ht="14.4">
      <c r="T2881" s="25" t="s">
        <v>847</v>
      </c>
      <c r="U2881" s="25" t="s">
        <v>880</v>
      </c>
      <c r="V2881" t="s">
        <v>927</v>
      </c>
      <c r="W2881" s="25" t="str">
        <f t="shared" si="63"/>
        <v>Straight Upholstered PelmetInside Window MountAcmeda External Motor</v>
      </c>
      <c r="X2881" s="25">
        <v>0</v>
      </c>
      <c r="Y2881" s="25" t="s">
        <v>824</v>
      </c>
      <c r="Z2881" s="25" t="s">
        <v>824</v>
      </c>
      <c r="AA2881" s="25" t="s">
        <v>824</v>
      </c>
      <c r="AB2881" s="25" t="s">
        <v>824</v>
      </c>
      <c r="AC2881" s="25" t="s">
        <v>821</v>
      </c>
      <c r="AD2881" s="25" t="s">
        <v>824</v>
      </c>
      <c r="AE2881" s="25" t="s">
        <v>824</v>
      </c>
    </row>
    <row r="2882" spans="20:31" ht="14.4">
      <c r="T2882" s="25" t="s">
        <v>847</v>
      </c>
      <c r="U2882" s="25" t="s">
        <v>880</v>
      </c>
      <c r="V2882" t="s">
        <v>918</v>
      </c>
      <c r="W2882" s="25" t="str">
        <f t="shared" si="63"/>
        <v>Straight Upholstered PelmetInside Window MountAcmeda External 12v Motor</v>
      </c>
      <c r="X2882" s="25">
        <v>0</v>
      </c>
      <c r="Y2882" s="25" t="s">
        <v>824</v>
      </c>
      <c r="Z2882" s="25" t="s">
        <v>824</v>
      </c>
      <c r="AA2882" s="25" t="s">
        <v>824</v>
      </c>
      <c r="AB2882" s="25" t="s">
        <v>824</v>
      </c>
      <c r="AC2882" s="25" t="s">
        <v>821</v>
      </c>
      <c r="AD2882" s="25" t="s">
        <v>824</v>
      </c>
      <c r="AE2882" s="25" t="s">
        <v>824</v>
      </c>
    </row>
    <row r="2883" spans="20:31" ht="14.4">
      <c r="T2883" s="25" t="s">
        <v>847</v>
      </c>
      <c r="U2883" s="25" t="s">
        <v>880</v>
      </c>
      <c r="V2883" t="s">
        <v>979</v>
      </c>
      <c r="W2883" s="25" t="str">
        <f t="shared" si="64" ref="W2883:W2946">CONCATENATE(T2883,U2883,V2883)</f>
        <v>Straight Upholstered PelmetInside Window MountSomfy External CBUS Motor</v>
      </c>
      <c r="X2883" s="25">
        <v>0</v>
      </c>
      <c r="Y2883" s="25" t="s">
        <v>824</v>
      </c>
      <c r="Z2883" s="25" t="s">
        <v>824</v>
      </c>
      <c r="AA2883" s="25" t="s">
        <v>824</v>
      </c>
      <c r="AB2883" s="25" t="s">
        <v>824</v>
      </c>
      <c r="AC2883" s="25" t="s">
        <v>821</v>
      </c>
      <c r="AD2883" s="25" t="s">
        <v>824</v>
      </c>
      <c r="AE2883" s="25" t="s">
        <v>824</v>
      </c>
    </row>
    <row r="2884" spans="20:31" ht="14.4">
      <c r="T2884" s="25" t="s">
        <v>847</v>
      </c>
      <c r="U2884" s="25" t="s">
        <v>880</v>
      </c>
      <c r="V2884" t="s">
        <v>983</v>
      </c>
      <c r="W2884" s="25" t="str">
        <f t="shared" si="64"/>
        <v>Straight Upholstered PelmetInside Window MountSomfy External Remote Motor</v>
      </c>
      <c r="X2884" s="25">
        <v>0</v>
      </c>
      <c r="Y2884" s="25" t="s">
        <v>824</v>
      </c>
      <c r="Z2884" s="25" t="s">
        <v>824</v>
      </c>
      <c r="AA2884" s="25" t="s">
        <v>824</v>
      </c>
      <c r="AB2884" s="25" t="s">
        <v>824</v>
      </c>
      <c r="AC2884" s="25" t="s">
        <v>821</v>
      </c>
      <c r="AD2884" s="25" t="s">
        <v>824</v>
      </c>
      <c r="AE2884" s="25" t="s">
        <v>824</v>
      </c>
    </row>
    <row r="2885" spans="20:31" ht="14.4">
      <c r="T2885" s="25" t="s">
        <v>847</v>
      </c>
      <c r="U2885" s="25" t="s">
        <v>880</v>
      </c>
      <c r="V2885" t="s">
        <v>995</v>
      </c>
      <c r="W2885" s="25" t="str">
        <f t="shared" si="64"/>
        <v>Straight Upholstered PelmetInside Window MountHD Somfy External CBUS Motor</v>
      </c>
      <c r="X2885" s="25">
        <v>0</v>
      </c>
      <c r="Y2885" s="25" t="s">
        <v>824</v>
      </c>
      <c r="Z2885" s="25" t="s">
        <v>824</v>
      </c>
      <c r="AA2885" s="25" t="s">
        <v>824</v>
      </c>
      <c r="AB2885" s="25" t="s">
        <v>824</v>
      </c>
      <c r="AC2885" s="25" t="s">
        <v>821</v>
      </c>
      <c r="AD2885" s="25" t="s">
        <v>824</v>
      </c>
      <c r="AE2885" s="25" t="s">
        <v>824</v>
      </c>
    </row>
    <row r="2886" spans="20:31" ht="14.4">
      <c r="T2886" s="25" t="s">
        <v>847</v>
      </c>
      <c r="U2886" s="25" t="s">
        <v>880</v>
      </c>
      <c r="V2886" t="s">
        <v>999</v>
      </c>
      <c r="W2886" s="25" t="str">
        <f t="shared" si="64"/>
        <v>Straight Upholstered PelmetInside Window MountHD Somfy External Remote Motor</v>
      </c>
      <c r="X2886" s="25">
        <v>0</v>
      </c>
      <c r="Y2886" s="25" t="s">
        <v>824</v>
      </c>
      <c r="Z2886" s="25" t="s">
        <v>824</v>
      </c>
      <c r="AA2886" s="25" t="s">
        <v>824</v>
      </c>
      <c r="AB2886" s="25" t="s">
        <v>824</v>
      </c>
      <c r="AC2886" s="25" t="s">
        <v>821</v>
      </c>
      <c r="AD2886" s="25" t="s">
        <v>824</v>
      </c>
      <c r="AE2886" s="25" t="s">
        <v>824</v>
      </c>
    </row>
    <row r="2887" spans="20:31" ht="14.4">
      <c r="T2887" s="25" t="s">
        <v>847</v>
      </c>
      <c r="U2887" s="25" t="s">
        <v>867</v>
      </c>
      <c r="V2887" s="25" t="s">
        <v>823</v>
      </c>
      <c r="W2887" s="25" t="str">
        <f t="shared" si="64"/>
        <v>Straight Upholstered PelmetOutside Window MountChain Winder</v>
      </c>
      <c r="X2887" s="25">
        <v>0</v>
      </c>
      <c r="Y2887" s="25" t="s">
        <v>824</v>
      </c>
      <c r="Z2887" s="25" t="s">
        <v>824</v>
      </c>
      <c r="AA2887" s="25" t="s">
        <v>824</v>
      </c>
      <c r="AB2887" s="25" t="s">
        <v>824</v>
      </c>
      <c r="AC2887" s="25" t="s">
        <v>821</v>
      </c>
      <c r="AD2887" s="25" t="s">
        <v>824</v>
      </c>
      <c r="AE2887" s="25" t="s">
        <v>824</v>
      </c>
    </row>
    <row r="2888" spans="20:31" ht="14.4">
      <c r="T2888" s="25" t="s">
        <v>847</v>
      </c>
      <c r="U2888" s="25" t="s">
        <v>867</v>
      </c>
      <c r="V2888" s="25" t="s">
        <v>841</v>
      </c>
      <c r="W2888" s="25" t="str">
        <f t="shared" si="64"/>
        <v>Straight Upholstered PelmetOutside Window MountHD Chain Winder</v>
      </c>
      <c r="X2888" s="25">
        <v>0</v>
      </c>
      <c r="Y2888" s="25" t="s">
        <v>824</v>
      </c>
      <c r="Z2888" s="25" t="s">
        <v>824</v>
      </c>
      <c r="AA2888" s="25" t="s">
        <v>824</v>
      </c>
      <c r="AB2888" s="25" t="s">
        <v>824</v>
      </c>
      <c r="AC2888" s="25" t="s">
        <v>821</v>
      </c>
      <c r="AD2888" s="25" t="s">
        <v>824</v>
      </c>
      <c r="AE2888" s="25" t="s">
        <v>824</v>
      </c>
    </row>
    <row r="2889" spans="20:31" ht="14.4">
      <c r="T2889" s="25" t="s">
        <v>847</v>
      </c>
      <c r="U2889" s="25" t="s">
        <v>867</v>
      </c>
      <c r="V2889" s="25" t="s">
        <v>858</v>
      </c>
      <c r="W2889" s="25" t="str">
        <f t="shared" si="64"/>
        <v>Straight Upholstered PelmetOutside Window MountChain Winder 60mm</v>
      </c>
      <c r="X2889" s="25">
        <v>0</v>
      </c>
      <c r="Y2889" s="25" t="s">
        <v>824</v>
      </c>
      <c r="Z2889" s="25" t="s">
        <v>824</v>
      </c>
      <c r="AA2889" s="25" t="s">
        <v>824</v>
      </c>
      <c r="AB2889" s="25" t="s">
        <v>824</v>
      </c>
      <c r="AC2889" s="25" t="s">
        <v>821</v>
      </c>
      <c r="AD2889" s="25" t="s">
        <v>824</v>
      </c>
      <c r="AE2889" s="25" t="s">
        <v>824</v>
      </c>
    </row>
    <row r="2890" spans="20:31" ht="14.4">
      <c r="T2890" s="25" t="s">
        <v>847</v>
      </c>
      <c r="U2890" s="25" t="s">
        <v>867</v>
      </c>
      <c r="V2890" s="25" t="s">
        <v>865</v>
      </c>
      <c r="W2890" s="25" t="str">
        <f t="shared" si="64"/>
        <v>Straight Upholstered PelmetOutside Window MountChain Winder Fixed Guide</v>
      </c>
      <c r="X2890" s="25">
        <v>0</v>
      </c>
      <c r="Y2890" s="25" t="s">
        <v>824</v>
      </c>
      <c r="Z2890" s="25" t="s">
        <v>824</v>
      </c>
      <c r="AA2890" s="25" t="s">
        <v>824</v>
      </c>
      <c r="AB2890" s="25" t="s">
        <v>824</v>
      </c>
      <c r="AC2890" s="25" t="s">
        <v>821</v>
      </c>
      <c r="AD2890" s="25" t="s">
        <v>824</v>
      </c>
      <c r="AE2890" s="25" t="s">
        <v>824</v>
      </c>
    </row>
    <row r="2891" spans="20:31" ht="14.4">
      <c r="T2891" s="25" t="s">
        <v>847</v>
      </c>
      <c r="U2891" s="25" t="s">
        <v>867</v>
      </c>
      <c r="V2891" s="25" t="s">
        <v>181</v>
      </c>
      <c r="W2891" s="25" t="str">
        <f t="shared" si="64"/>
        <v>Straight Upholstered PelmetOutside Window MountLinked</v>
      </c>
      <c r="X2891" s="25">
        <v>0</v>
      </c>
      <c r="Y2891" s="25" t="s">
        <v>824</v>
      </c>
      <c r="Z2891" s="25" t="s">
        <v>824</v>
      </c>
      <c r="AA2891" s="25" t="s">
        <v>824</v>
      </c>
      <c r="AB2891" s="25" t="s">
        <v>824</v>
      </c>
      <c r="AC2891" s="25" t="s">
        <v>821</v>
      </c>
      <c r="AD2891" s="25" t="s">
        <v>824</v>
      </c>
      <c r="AE2891" s="25" t="s">
        <v>824</v>
      </c>
    </row>
    <row r="2892" spans="20:31" ht="14.4">
      <c r="T2892" s="25" t="s">
        <v>847</v>
      </c>
      <c r="U2892" s="25" t="s">
        <v>867</v>
      </c>
      <c r="V2892" s="25" t="s">
        <v>898</v>
      </c>
      <c r="W2892" s="25" t="str">
        <f t="shared" si="64"/>
        <v>Straight Upholstered PelmetOutside Window MountLinked - HD</v>
      </c>
      <c r="X2892" s="25">
        <v>0</v>
      </c>
      <c r="Y2892" s="25" t="s">
        <v>824</v>
      </c>
      <c r="Z2892" s="25" t="s">
        <v>824</v>
      </c>
      <c r="AA2892" s="25" t="s">
        <v>824</v>
      </c>
      <c r="AB2892" s="25" t="s">
        <v>824</v>
      </c>
      <c r="AC2892" s="25" t="s">
        <v>821</v>
      </c>
      <c r="AD2892" s="25" t="s">
        <v>824</v>
      </c>
      <c r="AE2892" s="25" t="s">
        <v>824</v>
      </c>
    </row>
    <row r="2893" spans="20:31" ht="14.4">
      <c r="T2893" s="25" t="s">
        <v>847</v>
      </c>
      <c r="U2893" s="25" t="s">
        <v>867</v>
      </c>
      <c r="V2893" s="25" t="s">
        <v>925</v>
      </c>
      <c r="W2893" s="25" t="str">
        <f t="shared" si="64"/>
        <v>Straight Upholstered PelmetOutside Window MountLinked 60mm</v>
      </c>
      <c r="X2893" s="25">
        <v>0</v>
      </c>
      <c r="Y2893" s="25" t="s">
        <v>824</v>
      </c>
      <c r="Z2893" s="25" t="s">
        <v>824</v>
      </c>
      <c r="AA2893" s="25" t="s">
        <v>824</v>
      </c>
      <c r="AB2893" s="25" t="s">
        <v>824</v>
      </c>
      <c r="AC2893" s="25" t="s">
        <v>821</v>
      </c>
      <c r="AD2893" s="25" t="s">
        <v>824</v>
      </c>
      <c r="AE2893" s="25" t="s">
        <v>824</v>
      </c>
    </row>
    <row r="2894" spans="20:31" ht="14.4">
      <c r="T2894" s="25" t="s">
        <v>847</v>
      </c>
      <c r="U2894" s="25" t="s">
        <v>867</v>
      </c>
      <c r="V2894" s="25" t="s">
        <v>910</v>
      </c>
      <c r="W2894" s="25" t="str">
        <f t="shared" si="64"/>
        <v>Straight Upholstered PelmetOutside Window MountStandard Spring</v>
      </c>
      <c r="X2894" s="25">
        <v>0</v>
      </c>
      <c r="Y2894" s="25" t="s">
        <v>824</v>
      </c>
      <c r="Z2894" s="25" t="s">
        <v>824</v>
      </c>
      <c r="AA2894" s="25" t="s">
        <v>824</v>
      </c>
      <c r="AB2894" s="25" t="s">
        <v>824</v>
      </c>
      <c r="AC2894" s="25" t="s">
        <v>821</v>
      </c>
      <c r="AD2894" s="25" t="s">
        <v>824</v>
      </c>
      <c r="AE2894" s="25" t="s">
        <v>824</v>
      </c>
    </row>
    <row r="2895" spans="20:31" ht="14.4">
      <c r="T2895" s="25" t="s">
        <v>847</v>
      </c>
      <c r="U2895" s="25" t="s">
        <v>867</v>
      </c>
      <c r="V2895" s="25" t="s">
        <v>920</v>
      </c>
      <c r="W2895" s="25" t="str">
        <f t="shared" si="64"/>
        <v>Straight Upholstered PelmetOutside Window MountSmall Spring</v>
      </c>
      <c r="X2895" s="25">
        <v>0</v>
      </c>
      <c r="Y2895" s="25" t="s">
        <v>824</v>
      </c>
      <c r="Z2895" s="25" t="s">
        <v>824</v>
      </c>
      <c r="AA2895" s="25" t="s">
        <v>824</v>
      </c>
      <c r="AB2895" s="25" t="s">
        <v>824</v>
      </c>
      <c r="AC2895" s="25" t="s">
        <v>821</v>
      </c>
      <c r="AD2895" s="25" t="s">
        <v>824</v>
      </c>
      <c r="AE2895" s="25" t="s">
        <v>824</v>
      </c>
    </row>
    <row r="2896" spans="20:31" ht="14.4">
      <c r="T2896" s="25" t="s">
        <v>847</v>
      </c>
      <c r="U2896" s="25" t="s">
        <v>867</v>
      </c>
      <c r="V2896" s="25" t="s">
        <v>929</v>
      </c>
      <c r="W2896" s="25" t="str">
        <f t="shared" si="64"/>
        <v>Straight Upholstered PelmetOutside Window MountUniline Spring (Old Style)</v>
      </c>
      <c r="X2896" s="25">
        <v>0</v>
      </c>
      <c r="Y2896" s="25" t="s">
        <v>824</v>
      </c>
      <c r="Z2896" s="25" t="s">
        <v>824</v>
      </c>
      <c r="AA2896" s="25" t="s">
        <v>824</v>
      </c>
      <c r="AB2896" s="25" t="s">
        <v>824</v>
      </c>
      <c r="AC2896" s="25" t="s">
        <v>821</v>
      </c>
      <c r="AD2896" s="25" t="s">
        <v>824</v>
      </c>
      <c r="AE2896" s="25" t="s">
        <v>824</v>
      </c>
    </row>
    <row r="2897" spans="20:31" ht="14.4">
      <c r="T2897" s="25" t="s">
        <v>847</v>
      </c>
      <c r="U2897" s="25" t="s">
        <v>867</v>
      </c>
      <c r="V2897" s="25" t="s">
        <v>935</v>
      </c>
      <c r="W2897" s="25" t="str">
        <f t="shared" si="64"/>
        <v>Straight Upholstered PelmetOutside Window MountBecker Remote Motor</v>
      </c>
      <c r="X2897" s="25">
        <v>0</v>
      </c>
      <c r="Y2897" s="25" t="s">
        <v>824</v>
      </c>
      <c r="Z2897" s="25" t="s">
        <v>824</v>
      </c>
      <c r="AA2897" s="25" t="s">
        <v>824</v>
      </c>
      <c r="AB2897" s="25" t="s">
        <v>824</v>
      </c>
      <c r="AC2897" s="25" t="s">
        <v>821</v>
      </c>
      <c r="AD2897" s="25" t="s">
        <v>824</v>
      </c>
      <c r="AE2897" s="25" t="s">
        <v>824</v>
      </c>
    </row>
    <row r="2898" spans="20:31" ht="14.4">
      <c r="T2898" s="25" t="s">
        <v>847</v>
      </c>
      <c r="U2898" s="25" t="s">
        <v>867</v>
      </c>
      <c r="V2898" s="25" t="s">
        <v>939</v>
      </c>
      <c r="W2898" s="25" t="str">
        <f t="shared" si="64"/>
        <v>Straight Upholstered PelmetOutside Window MountBecker CBUS Motor</v>
      </c>
      <c r="X2898" s="25">
        <v>0</v>
      </c>
      <c r="Y2898" s="25" t="s">
        <v>824</v>
      </c>
      <c r="Z2898" s="25" t="s">
        <v>824</v>
      </c>
      <c r="AA2898" s="25" t="s">
        <v>824</v>
      </c>
      <c r="AB2898" s="25" t="s">
        <v>824</v>
      </c>
      <c r="AC2898" s="25" t="s">
        <v>821</v>
      </c>
      <c r="AD2898" s="25" t="s">
        <v>824</v>
      </c>
      <c r="AE2898" s="25" t="s">
        <v>824</v>
      </c>
    </row>
    <row r="2899" spans="20:31" ht="14.4">
      <c r="T2899" s="25" t="s">
        <v>847</v>
      </c>
      <c r="U2899" s="25" t="s">
        <v>867</v>
      </c>
      <c r="V2899" s="25" t="s">
        <v>946</v>
      </c>
      <c r="W2899" s="25" t="str">
        <f t="shared" si="64"/>
        <v>Straight Upholstered PelmetOutside Window MountBecker External Remote Motor</v>
      </c>
      <c r="X2899" s="25">
        <v>0</v>
      </c>
      <c r="Y2899" s="25" t="s">
        <v>824</v>
      </c>
      <c r="Z2899" s="25" t="s">
        <v>824</v>
      </c>
      <c r="AA2899" s="25" t="s">
        <v>824</v>
      </c>
      <c r="AB2899" s="25" t="s">
        <v>824</v>
      </c>
      <c r="AC2899" s="25" t="s">
        <v>821</v>
      </c>
      <c r="AD2899" s="25" t="s">
        <v>824</v>
      </c>
      <c r="AE2899" s="25" t="s">
        <v>824</v>
      </c>
    </row>
    <row r="2900" spans="20:31" ht="14.4">
      <c r="T2900" s="25" t="s">
        <v>847</v>
      </c>
      <c r="U2900" s="25" t="s">
        <v>867</v>
      </c>
      <c r="V2900" s="25" t="s">
        <v>951</v>
      </c>
      <c r="W2900" s="25" t="str">
        <f t="shared" si="64"/>
        <v>Straight Upholstered PelmetOutside Window MountBecker External CBUS Motor</v>
      </c>
      <c r="X2900" s="25">
        <v>0</v>
      </c>
      <c r="Y2900" s="25" t="s">
        <v>824</v>
      </c>
      <c r="Z2900" s="25" t="s">
        <v>824</v>
      </c>
      <c r="AA2900" s="25" t="s">
        <v>824</v>
      </c>
      <c r="AB2900" s="25" t="s">
        <v>824</v>
      </c>
      <c r="AC2900" s="25" t="s">
        <v>821</v>
      </c>
      <c r="AD2900" s="25" t="s">
        <v>824</v>
      </c>
      <c r="AE2900" s="25" t="s">
        <v>824</v>
      </c>
    </row>
    <row r="2901" spans="20:31" ht="14.4">
      <c r="T2901" s="25" t="s">
        <v>847</v>
      </c>
      <c r="U2901" s="25" t="s">
        <v>867</v>
      </c>
      <c r="V2901" s="25" t="s">
        <v>838</v>
      </c>
      <c r="W2901" s="25" t="str">
        <f t="shared" si="64"/>
        <v>Straight Upholstered PelmetOutside Window Mount1.1nm 12v Acmeda Motor</v>
      </c>
      <c r="X2901" s="25">
        <v>0</v>
      </c>
      <c r="Y2901" s="25" t="s">
        <v>824</v>
      </c>
      <c r="Z2901" s="25" t="s">
        <v>824</v>
      </c>
      <c r="AA2901" s="25" t="s">
        <v>824</v>
      </c>
      <c r="AB2901" s="25" t="s">
        <v>824</v>
      </c>
      <c r="AC2901" s="25" t="s">
        <v>821</v>
      </c>
      <c r="AD2901" s="25" t="s">
        <v>824</v>
      </c>
      <c r="AE2901" s="25" t="s">
        <v>824</v>
      </c>
    </row>
    <row r="2902" spans="20:31" ht="14.4">
      <c r="T2902" s="25" t="s">
        <v>847</v>
      </c>
      <c r="U2902" s="25" t="s">
        <v>867</v>
      </c>
      <c r="V2902" t="s">
        <v>882</v>
      </c>
      <c r="W2902" s="25" t="str">
        <f t="shared" si="64"/>
        <v>Straight Upholstered PelmetOutside Window Mount2nm 12v Acmeda Motor</v>
      </c>
      <c r="X2902" s="25">
        <v>0</v>
      </c>
      <c r="Y2902" s="25" t="s">
        <v>824</v>
      </c>
      <c r="Z2902" s="25" t="s">
        <v>824</v>
      </c>
      <c r="AA2902" s="25" t="s">
        <v>824</v>
      </c>
      <c r="AB2902" s="25" t="s">
        <v>824</v>
      </c>
      <c r="AC2902" s="25" t="s">
        <v>821</v>
      </c>
      <c r="AD2902" s="25" t="s">
        <v>824</v>
      </c>
      <c r="AE2902" s="25" t="s">
        <v>824</v>
      </c>
    </row>
    <row r="2903" spans="20:31" ht="14.4">
      <c r="T2903" s="25" t="s">
        <v>847</v>
      </c>
      <c r="U2903" s="25" t="s">
        <v>867</v>
      </c>
      <c r="V2903" t="s">
        <v>896</v>
      </c>
      <c r="W2903" s="25" t="str">
        <f t="shared" si="64"/>
        <v>Straight Upholstered PelmetOutside Window MountAcmeda 12v 6nm Motor</v>
      </c>
      <c r="X2903" s="25">
        <v>0</v>
      </c>
      <c r="Y2903" s="25" t="s">
        <v>824</v>
      </c>
      <c r="Z2903" s="25" t="s">
        <v>824</v>
      </c>
      <c r="AA2903" s="25" t="s">
        <v>824</v>
      </c>
      <c r="AB2903" s="25" t="s">
        <v>824</v>
      </c>
      <c r="AC2903" s="25" t="s">
        <v>821</v>
      </c>
      <c r="AD2903" s="25" t="s">
        <v>824</v>
      </c>
      <c r="AE2903" s="25" t="s">
        <v>824</v>
      </c>
    </row>
    <row r="2904" spans="20:31" ht="14.4">
      <c r="T2904" s="25" t="s">
        <v>847</v>
      </c>
      <c r="U2904" s="25" t="s">
        <v>867</v>
      </c>
      <c r="V2904" t="s">
        <v>855</v>
      </c>
      <c r="W2904" s="25" t="str">
        <f t="shared" si="64"/>
        <v>Straight Upholstered PelmetOutside Window Mount0.7nm 12v Acmeda Motor</v>
      </c>
      <c r="X2904" s="25">
        <v>0</v>
      </c>
      <c r="Y2904" s="25" t="s">
        <v>824</v>
      </c>
      <c r="Z2904" s="25" t="s">
        <v>824</v>
      </c>
      <c r="AA2904" s="25" t="s">
        <v>824</v>
      </c>
      <c r="AB2904" s="25" t="s">
        <v>824</v>
      </c>
      <c r="AC2904" s="25" t="s">
        <v>821</v>
      </c>
      <c r="AD2904" s="25" t="s">
        <v>824</v>
      </c>
      <c r="AE2904" s="25" t="s">
        <v>824</v>
      </c>
    </row>
    <row r="2905" spans="20:31" ht="14.4">
      <c r="T2905" s="25" t="s">
        <v>847</v>
      </c>
      <c r="U2905" s="25" t="s">
        <v>867</v>
      </c>
      <c r="V2905" s="25" t="s">
        <v>849</v>
      </c>
      <c r="W2905" s="25" t="str">
        <f t="shared" si="64"/>
        <v>Straight Upholstered PelmetOutside Window Mount1.1nm 12v Acmeda DCRF Motor with External Battery</v>
      </c>
      <c r="X2905" s="25">
        <v>0</v>
      </c>
      <c r="Y2905" s="25" t="s">
        <v>824</v>
      </c>
      <c r="Z2905" s="25" t="s">
        <v>824</v>
      </c>
      <c r="AA2905" s="25" t="s">
        <v>824</v>
      </c>
      <c r="AB2905" s="25" t="s">
        <v>824</v>
      </c>
      <c r="AC2905" s="25" t="s">
        <v>821</v>
      </c>
      <c r="AD2905" s="25" t="s">
        <v>824</v>
      </c>
      <c r="AE2905" s="25" t="s">
        <v>824</v>
      </c>
    </row>
    <row r="2906" spans="20:31" ht="14.4">
      <c r="T2906" s="25" t="s">
        <v>847</v>
      </c>
      <c r="U2906" s="25" t="s">
        <v>867</v>
      </c>
      <c r="V2906" s="25" t="s">
        <v>817</v>
      </c>
      <c r="W2906" s="25" t="str">
        <f t="shared" si="64"/>
        <v>Straight Upholstered PelmetOutside Window Mount1.1nm 12v Acmeda DCRF Motor</v>
      </c>
      <c r="X2906" s="25">
        <v>0</v>
      </c>
      <c r="Y2906" s="25" t="s">
        <v>824</v>
      </c>
      <c r="Z2906" s="25" t="s">
        <v>824</v>
      </c>
      <c r="AA2906" s="25" t="s">
        <v>824</v>
      </c>
      <c r="AB2906" s="25" t="s">
        <v>824</v>
      </c>
      <c r="AC2906" s="25" t="s">
        <v>821</v>
      </c>
      <c r="AD2906" s="25" t="s">
        <v>824</v>
      </c>
      <c r="AE2906" s="25" t="s">
        <v>824</v>
      </c>
    </row>
    <row r="2907" spans="20:31" ht="14.4">
      <c r="T2907" s="25" t="s">
        <v>847</v>
      </c>
      <c r="U2907" s="25" t="s">
        <v>867</v>
      </c>
      <c r="V2907" s="25" t="s">
        <v>868</v>
      </c>
      <c r="W2907" s="25" t="str">
        <f t="shared" si="64"/>
        <v>Straight Upholstered PelmetOutside Window Mount2nm 12v Acmeda DCRF Motor</v>
      </c>
      <c r="X2907" s="25">
        <v>0</v>
      </c>
      <c r="Y2907" s="25" t="s">
        <v>824</v>
      </c>
      <c r="Z2907" s="25" t="s">
        <v>824</v>
      </c>
      <c r="AA2907" s="25" t="s">
        <v>824</v>
      </c>
      <c r="AB2907" s="25" t="s">
        <v>824</v>
      </c>
      <c r="AC2907" s="25" t="s">
        <v>821</v>
      </c>
      <c r="AD2907" s="25" t="s">
        <v>824</v>
      </c>
      <c r="AE2907" s="25" t="s">
        <v>824</v>
      </c>
    </row>
    <row r="2908" spans="20:31" ht="14.4">
      <c r="T2908" s="25" t="s">
        <v>847</v>
      </c>
      <c r="U2908" s="25" t="s">
        <v>867</v>
      </c>
      <c r="V2908" t="s">
        <v>973</v>
      </c>
      <c r="W2908" s="25" t="str">
        <f t="shared" si="64"/>
        <v>Straight Upholstered PelmetOutside Window MountSomfy Remote Sonesse Motor</v>
      </c>
      <c r="X2908" s="25">
        <v>0</v>
      </c>
      <c r="Y2908" s="25" t="s">
        <v>824</v>
      </c>
      <c r="Z2908" s="25" t="s">
        <v>824</v>
      </c>
      <c r="AA2908" s="25" t="s">
        <v>824</v>
      </c>
      <c r="AB2908" s="25" t="s">
        <v>824</v>
      </c>
      <c r="AC2908" s="25" t="s">
        <v>821</v>
      </c>
      <c r="AD2908" s="25" t="s">
        <v>824</v>
      </c>
      <c r="AE2908" s="25" t="s">
        <v>824</v>
      </c>
    </row>
    <row r="2909" spans="20:31" ht="14.4">
      <c r="T2909" s="25" t="s">
        <v>847</v>
      </c>
      <c r="U2909" s="25" t="s">
        <v>867</v>
      </c>
      <c r="V2909" t="s">
        <v>637</v>
      </c>
      <c r="W2909" s="25" t="str">
        <f t="shared" si="64"/>
        <v>Straight Upholstered PelmetOutside Window MountSomfy 12v Remote Sonesse Motor</v>
      </c>
      <c r="X2909" s="25">
        <v>0</v>
      </c>
      <c r="Y2909" s="25" t="s">
        <v>824</v>
      </c>
      <c r="Z2909" s="25" t="s">
        <v>824</v>
      </c>
      <c r="AA2909" s="25" t="s">
        <v>824</v>
      </c>
      <c r="AB2909" s="25" t="s">
        <v>824</v>
      </c>
      <c r="AC2909" s="25" t="s">
        <v>821</v>
      </c>
      <c r="AD2909" s="25" t="s">
        <v>824</v>
      </c>
      <c r="AE2909" s="25" t="s">
        <v>824</v>
      </c>
    </row>
    <row r="2910" spans="20:31" ht="14.4">
      <c r="T2910" s="25" t="s">
        <v>847</v>
      </c>
      <c r="U2910" s="25" t="s">
        <v>867</v>
      </c>
      <c r="V2910" s="25" t="s">
        <v>974</v>
      </c>
      <c r="W2910" s="25" t="str">
        <f t="shared" si="64"/>
        <v>Straight Upholstered PelmetOutside Window MountSomfy CBUS Motor</v>
      </c>
      <c r="X2910" s="25">
        <v>0</v>
      </c>
      <c r="Y2910" s="25" t="s">
        <v>824</v>
      </c>
      <c r="Z2910" s="25" t="s">
        <v>824</v>
      </c>
      <c r="AA2910" s="25" t="s">
        <v>824</v>
      </c>
      <c r="AB2910" s="25" t="s">
        <v>824</v>
      </c>
      <c r="AC2910" s="25" t="s">
        <v>821</v>
      </c>
      <c r="AD2910" s="25" t="s">
        <v>824</v>
      </c>
      <c r="AE2910" s="25" t="s">
        <v>824</v>
      </c>
    </row>
    <row r="2911" spans="20:31" ht="14.4">
      <c r="T2911" s="25" t="s">
        <v>847</v>
      </c>
      <c r="U2911" s="25" t="s">
        <v>867</v>
      </c>
      <c r="V2911" t="s">
        <v>986</v>
      </c>
      <c r="W2911" s="25" t="str">
        <f t="shared" si="64"/>
        <v>Straight Upholstered PelmetOutside Window MountHD Somfy Remote Sonesse Motor</v>
      </c>
      <c r="X2911" s="25">
        <v>0</v>
      </c>
      <c r="Y2911" s="25" t="s">
        <v>824</v>
      </c>
      <c r="Z2911" s="25" t="s">
        <v>824</v>
      </c>
      <c r="AA2911" s="25" t="s">
        <v>824</v>
      </c>
      <c r="AB2911" s="25" t="s">
        <v>824</v>
      </c>
      <c r="AC2911" s="25" t="s">
        <v>821</v>
      </c>
      <c r="AD2911" s="25" t="s">
        <v>824</v>
      </c>
      <c r="AE2911" s="25" t="s">
        <v>824</v>
      </c>
    </row>
    <row r="2912" spans="20:31" ht="14.4">
      <c r="T2912" s="25" t="s">
        <v>847</v>
      </c>
      <c r="U2912" s="25" t="s">
        <v>867</v>
      </c>
      <c r="V2912" t="s">
        <v>989</v>
      </c>
      <c r="W2912" s="25" t="str">
        <f t="shared" si="64"/>
        <v>Straight Upholstered PelmetOutside Window MountHD Somfy 12v Remote Sonesse Motor</v>
      </c>
      <c r="X2912" s="25">
        <v>0</v>
      </c>
      <c r="Y2912" s="25" t="s">
        <v>824</v>
      </c>
      <c r="Z2912" s="25" t="s">
        <v>824</v>
      </c>
      <c r="AA2912" s="25" t="s">
        <v>824</v>
      </c>
      <c r="AB2912" s="25" t="s">
        <v>824</v>
      </c>
      <c r="AC2912" s="25" t="s">
        <v>821</v>
      </c>
      <c r="AD2912" s="25" t="s">
        <v>824</v>
      </c>
      <c r="AE2912" s="25" t="s">
        <v>824</v>
      </c>
    </row>
    <row r="2913" spans="20:31" ht="14.4">
      <c r="T2913" s="25" t="s">
        <v>847</v>
      </c>
      <c r="U2913" s="25" t="s">
        <v>867</v>
      </c>
      <c r="V2913" s="25" t="s">
        <v>992</v>
      </c>
      <c r="W2913" s="25" t="str">
        <f t="shared" si="64"/>
        <v>Straight Upholstered PelmetOutside Window MountHD Somfy CBUS Motor</v>
      </c>
      <c r="X2913" s="25">
        <v>0</v>
      </c>
      <c r="Y2913" s="25" t="s">
        <v>824</v>
      </c>
      <c r="Z2913" s="25" t="s">
        <v>824</v>
      </c>
      <c r="AA2913" s="25" t="s">
        <v>824</v>
      </c>
      <c r="AB2913" s="25" t="s">
        <v>824</v>
      </c>
      <c r="AC2913" s="25" t="s">
        <v>821</v>
      </c>
      <c r="AD2913" s="25" t="s">
        <v>824</v>
      </c>
      <c r="AE2913" s="25" t="s">
        <v>824</v>
      </c>
    </row>
    <row r="2914" spans="20:31" ht="14.4">
      <c r="T2914" s="25" t="s">
        <v>847</v>
      </c>
      <c r="U2914" s="25" t="s">
        <v>867</v>
      </c>
      <c r="V2914" s="25" t="s">
        <v>625</v>
      </c>
      <c r="W2914" s="25" t="str">
        <f t="shared" si="64"/>
        <v>Straight Upholstered PelmetOutside Window MountAcmeda E6 Motor</v>
      </c>
      <c r="X2914" s="25">
        <v>0</v>
      </c>
      <c r="Y2914" s="25" t="s">
        <v>824</v>
      </c>
      <c r="Z2914" s="25" t="s">
        <v>824</v>
      </c>
      <c r="AA2914" s="25" t="s">
        <v>824</v>
      </c>
      <c r="AB2914" s="25" t="s">
        <v>824</v>
      </c>
      <c r="AC2914" s="25" t="s">
        <v>821</v>
      </c>
      <c r="AD2914" s="25" t="s">
        <v>824</v>
      </c>
      <c r="AE2914" s="25" t="s">
        <v>824</v>
      </c>
    </row>
    <row r="2915" spans="20:31" ht="14.4">
      <c r="T2915" s="25" t="s">
        <v>847</v>
      </c>
      <c r="U2915" s="25" t="s">
        <v>867</v>
      </c>
      <c r="V2915" s="25" t="s">
        <v>626</v>
      </c>
      <c r="W2915" s="25" t="str">
        <f t="shared" si="64"/>
        <v>Straight Upholstered PelmetOutside Window MountAcmeda M6 Motor</v>
      </c>
      <c r="X2915" s="25">
        <v>0</v>
      </c>
      <c r="Y2915" s="25" t="s">
        <v>824</v>
      </c>
      <c r="Z2915" s="25" t="s">
        <v>824</v>
      </c>
      <c r="AA2915" s="25" t="s">
        <v>824</v>
      </c>
      <c r="AB2915" s="25" t="s">
        <v>824</v>
      </c>
      <c r="AC2915" s="25" t="s">
        <v>821</v>
      </c>
      <c r="AD2915" s="25" t="s">
        <v>824</v>
      </c>
      <c r="AE2915" s="25" t="s">
        <v>824</v>
      </c>
    </row>
    <row r="2916" spans="20:31" ht="14.4">
      <c r="T2916" s="25" t="s">
        <v>847</v>
      </c>
      <c r="U2916" s="25" t="s">
        <v>867</v>
      </c>
      <c r="V2916" s="25" t="s">
        <v>1002</v>
      </c>
      <c r="W2916" s="25" t="str">
        <f t="shared" si="64"/>
        <v>Straight Upholstered PelmetOutside Window MountUniline Remote Motor</v>
      </c>
      <c r="X2916" s="25">
        <v>0</v>
      </c>
      <c r="Y2916" s="25" t="s">
        <v>824</v>
      </c>
      <c r="Z2916" s="25" t="s">
        <v>824</v>
      </c>
      <c r="AA2916" s="25" t="s">
        <v>824</v>
      </c>
      <c r="AB2916" s="25" t="s">
        <v>824</v>
      </c>
      <c r="AC2916" s="25" t="s">
        <v>821</v>
      </c>
      <c r="AD2916" s="25" t="s">
        <v>824</v>
      </c>
      <c r="AE2916" s="25" t="s">
        <v>824</v>
      </c>
    </row>
    <row r="2917" spans="20:31" ht="14.4">
      <c r="T2917" s="25" t="s">
        <v>847</v>
      </c>
      <c r="U2917" s="25" t="s">
        <v>867</v>
      </c>
      <c r="V2917" s="25" t="s">
        <v>1005</v>
      </c>
      <c r="W2917" s="25" t="str">
        <f t="shared" si="64"/>
        <v>Straight Upholstered PelmetOutside Window MountUniline Cbus Motor</v>
      </c>
      <c r="X2917" s="25">
        <v>0</v>
      </c>
      <c r="Y2917" s="25" t="s">
        <v>824</v>
      </c>
      <c r="Z2917" s="25" t="s">
        <v>824</v>
      </c>
      <c r="AA2917" s="25" t="s">
        <v>824</v>
      </c>
      <c r="AB2917" s="25" t="s">
        <v>824</v>
      </c>
      <c r="AC2917" s="25" t="s">
        <v>821</v>
      </c>
      <c r="AD2917" s="25" t="s">
        <v>824</v>
      </c>
      <c r="AE2917" s="25" t="s">
        <v>824</v>
      </c>
    </row>
    <row r="2918" spans="20:31" ht="14.4">
      <c r="T2918" s="25" t="s">
        <v>847</v>
      </c>
      <c r="U2918" s="25" t="s">
        <v>867</v>
      </c>
      <c r="V2918" s="25" t="s">
        <v>981</v>
      </c>
      <c r="W2918" s="25" t="str">
        <f t="shared" si="64"/>
        <v>Straight Upholstered PelmetOutside Window MountNice Remote Motor</v>
      </c>
      <c r="X2918" s="25">
        <v>0</v>
      </c>
      <c r="Y2918" s="25" t="s">
        <v>824</v>
      </c>
      <c r="Z2918" s="25" t="s">
        <v>824</v>
      </c>
      <c r="AA2918" s="25" t="s">
        <v>824</v>
      </c>
      <c r="AB2918" s="25" t="s">
        <v>824</v>
      </c>
      <c r="AC2918" s="25" t="s">
        <v>821</v>
      </c>
      <c r="AD2918" s="25" t="s">
        <v>824</v>
      </c>
      <c r="AE2918" s="25" t="s">
        <v>824</v>
      </c>
    </row>
    <row r="2919" spans="20:31" ht="14.4">
      <c r="T2919" s="25" t="s">
        <v>847</v>
      </c>
      <c r="U2919" s="25" t="s">
        <v>867</v>
      </c>
      <c r="V2919" s="25" t="s">
        <v>976</v>
      </c>
      <c r="W2919" s="25" t="str">
        <f t="shared" si="64"/>
        <v>Straight Upholstered PelmetOutside Window MountNice CBus Motor</v>
      </c>
      <c r="X2919" s="25">
        <v>0</v>
      </c>
      <c r="Y2919" s="25" t="s">
        <v>824</v>
      </c>
      <c r="Z2919" s="25" t="s">
        <v>824</v>
      </c>
      <c r="AA2919" s="25" t="s">
        <v>824</v>
      </c>
      <c r="AB2919" s="25" t="s">
        <v>824</v>
      </c>
      <c r="AC2919" s="25" t="s">
        <v>821</v>
      </c>
      <c r="AD2919" s="25" t="s">
        <v>824</v>
      </c>
      <c r="AE2919" s="25" t="s">
        <v>824</v>
      </c>
    </row>
    <row r="2920" spans="20:31" ht="14.4">
      <c r="T2920" s="25" t="s">
        <v>847</v>
      </c>
      <c r="U2920" s="25" t="s">
        <v>867</v>
      </c>
      <c r="V2920" t="s">
        <v>1006</v>
      </c>
      <c r="W2920" s="25" t="str">
        <f t="shared" si="64"/>
        <v>Straight Upholstered PelmetOutside Window MountSunboss Chain Winder 38mm Tube</v>
      </c>
      <c r="X2920" s="25">
        <v>0</v>
      </c>
      <c r="Y2920" s="25" t="s">
        <v>824</v>
      </c>
      <c r="Z2920" s="25" t="s">
        <v>824</v>
      </c>
      <c r="AA2920" s="25" t="s">
        <v>824</v>
      </c>
      <c r="AB2920" s="25" t="s">
        <v>824</v>
      </c>
      <c r="AC2920" s="25" t="s">
        <v>821</v>
      </c>
      <c r="AD2920" s="25" t="s">
        <v>824</v>
      </c>
      <c r="AE2920" s="25" t="s">
        <v>824</v>
      </c>
    </row>
    <row r="2921" spans="20:31" ht="14.4">
      <c r="T2921" s="25" t="s">
        <v>847</v>
      </c>
      <c r="U2921" s="25" t="s">
        <v>867</v>
      </c>
      <c r="V2921" t="s">
        <v>1017</v>
      </c>
      <c r="W2921" s="25" t="str">
        <f t="shared" si="64"/>
        <v>Straight Upholstered PelmetOutside Window MountSunboss Chain Winder 43mm Tube</v>
      </c>
      <c r="X2921" s="25">
        <v>0</v>
      </c>
      <c r="Y2921" s="25" t="s">
        <v>824</v>
      </c>
      <c r="Z2921" s="25" t="s">
        <v>824</v>
      </c>
      <c r="AA2921" s="25" t="s">
        <v>824</v>
      </c>
      <c r="AB2921" s="25" t="s">
        <v>824</v>
      </c>
      <c r="AC2921" s="25" t="s">
        <v>821</v>
      </c>
      <c r="AD2921" s="25" t="s">
        <v>824</v>
      </c>
      <c r="AE2921" s="25" t="s">
        <v>824</v>
      </c>
    </row>
    <row r="2922" spans="20:31" ht="14.4">
      <c r="T2922" s="25" t="s">
        <v>847</v>
      </c>
      <c r="U2922" s="25" t="s">
        <v>867</v>
      </c>
      <c r="V2922" s="25" t="s">
        <v>1012</v>
      </c>
      <c r="W2922" s="25" t="str">
        <f t="shared" si="64"/>
        <v>Straight Upholstered PelmetOutside Window MountTBS Remote Motor</v>
      </c>
      <c r="X2922" s="25">
        <v>0</v>
      </c>
      <c r="Y2922" s="25" t="s">
        <v>824</v>
      </c>
      <c r="Z2922" s="25" t="s">
        <v>824</v>
      </c>
      <c r="AA2922" s="25" t="s">
        <v>824</v>
      </c>
      <c r="AB2922" s="25" t="s">
        <v>824</v>
      </c>
      <c r="AC2922" s="25" t="s">
        <v>821</v>
      </c>
      <c r="AD2922" s="25" t="s">
        <v>824</v>
      </c>
      <c r="AE2922" s="25" t="s">
        <v>824</v>
      </c>
    </row>
    <row r="2923" spans="20:31" ht="14.4">
      <c r="T2923" s="25" t="s">
        <v>847</v>
      </c>
      <c r="U2923" s="25" t="s">
        <v>867</v>
      </c>
      <c r="V2923" t="s">
        <v>1009</v>
      </c>
      <c r="W2923" s="25" t="str">
        <f t="shared" si="64"/>
        <v>Straight Upholstered PelmetOutside Window MountTBS Cbus Motor</v>
      </c>
      <c r="X2923" s="25">
        <v>0</v>
      </c>
      <c r="Y2923" s="25" t="s">
        <v>824</v>
      </c>
      <c r="Z2923" s="25" t="s">
        <v>824</v>
      </c>
      <c r="AA2923" s="25" t="s">
        <v>824</v>
      </c>
      <c r="AB2923" s="25" t="s">
        <v>824</v>
      </c>
      <c r="AC2923" s="25" t="s">
        <v>821</v>
      </c>
      <c r="AE2923" s="25" t="s">
        <v>824</v>
      </c>
    </row>
    <row r="2924" spans="20:31" ht="14.4">
      <c r="T2924" s="25" t="s">
        <v>847</v>
      </c>
      <c r="U2924" s="25" t="s">
        <v>867</v>
      </c>
      <c r="V2924" t="s">
        <v>927</v>
      </c>
      <c r="W2924" s="25" t="str">
        <f t="shared" si="64"/>
        <v>Straight Upholstered PelmetOutside Window MountAcmeda External Motor</v>
      </c>
      <c r="X2924" s="25">
        <v>0</v>
      </c>
      <c r="Y2924" s="25" t="s">
        <v>824</v>
      </c>
      <c r="Z2924" s="25" t="s">
        <v>824</v>
      </c>
      <c r="AA2924" s="25" t="s">
        <v>824</v>
      </c>
      <c r="AB2924" s="25" t="s">
        <v>824</v>
      </c>
      <c r="AC2924" s="25" t="s">
        <v>821</v>
      </c>
      <c r="AE2924" s="25" t="s">
        <v>824</v>
      </c>
    </row>
    <row r="2925" spans="20:31" ht="14.4">
      <c r="T2925" s="25" t="s">
        <v>847</v>
      </c>
      <c r="U2925" s="25" t="s">
        <v>867</v>
      </c>
      <c r="V2925" t="s">
        <v>918</v>
      </c>
      <c r="W2925" s="25" t="str">
        <f t="shared" si="64"/>
        <v>Straight Upholstered PelmetOutside Window MountAcmeda External 12v Motor</v>
      </c>
      <c r="X2925" s="25">
        <v>0</v>
      </c>
      <c r="Y2925" s="25" t="s">
        <v>824</v>
      </c>
      <c r="Z2925" s="25" t="s">
        <v>824</v>
      </c>
      <c r="AA2925" s="25" t="s">
        <v>824</v>
      </c>
      <c r="AB2925" s="25" t="s">
        <v>824</v>
      </c>
      <c r="AC2925" s="25" t="s">
        <v>821</v>
      </c>
      <c r="AD2925" s="25" t="s">
        <v>824</v>
      </c>
      <c r="AE2925" s="25" t="s">
        <v>824</v>
      </c>
    </row>
    <row r="2926" spans="20:31" ht="14.4">
      <c r="T2926" s="25" t="s">
        <v>847</v>
      </c>
      <c r="U2926" s="25" t="s">
        <v>867</v>
      </c>
      <c r="V2926" t="s">
        <v>979</v>
      </c>
      <c r="W2926" s="25" t="str">
        <f t="shared" si="64"/>
        <v>Straight Upholstered PelmetOutside Window MountSomfy External CBUS Motor</v>
      </c>
      <c r="X2926" s="25">
        <v>0</v>
      </c>
      <c r="Y2926" s="25" t="s">
        <v>824</v>
      </c>
      <c r="Z2926" s="25" t="s">
        <v>824</v>
      </c>
      <c r="AA2926" s="25" t="s">
        <v>824</v>
      </c>
      <c r="AB2926" s="25" t="s">
        <v>824</v>
      </c>
      <c r="AC2926" s="25" t="s">
        <v>821</v>
      </c>
      <c r="AD2926" s="25" t="s">
        <v>824</v>
      </c>
      <c r="AE2926" s="25" t="s">
        <v>824</v>
      </c>
    </row>
    <row r="2927" spans="20:31" ht="14.4">
      <c r="T2927" s="25" t="s">
        <v>847</v>
      </c>
      <c r="U2927" s="25" t="s">
        <v>867</v>
      </c>
      <c r="V2927" t="s">
        <v>983</v>
      </c>
      <c r="W2927" s="25" t="str">
        <f t="shared" si="64"/>
        <v>Straight Upholstered PelmetOutside Window MountSomfy External Remote Motor</v>
      </c>
      <c r="X2927" s="25">
        <v>0</v>
      </c>
      <c r="Y2927" s="25" t="s">
        <v>824</v>
      </c>
      <c r="Z2927" s="25" t="s">
        <v>824</v>
      </c>
      <c r="AA2927" s="25" t="s">
        <v>824</v>
      </c>
      <c r="AB2927" s="25" t="s">
        <v>824</v>
      </c>
      <c r="AC2927" s="25" t="s">
        <v>821</v>
      </c>
      <c r="AD2927" s="25" t="s">
        <v>824</v>
      </c>
      <c r="AE2927" s="25" t="s">
        <v>824</v>
      </c>
    </row>
    <row r="2928" spans="20:31" ht="14.4">
      <c r="T2928" s="25" t="s">
        <v>847</v>
      </c>
      <c r="U2928" s="25" t="s">
        <v>867</v>
      </c>
      <c r="V2928" t="s">
        <v>995</v>
      </c>
      <c r="W2928" s="25" t="str">
        <f t="shared" si="64"/>
        <v>Straight Upholstered PelmetOutside Window MountHD Somfy External CBUS Motor</v>
      </c>
      <c r="X2928" s="25">
        <v>0</v>
      </c>
      <c r="Y2928" s="25" t="s">
        <v>824</v>
      </c>
      <c r="Z2928" s="25" t="s">
        <v>824</v>
      </c>
      <c r="AA2928" s="25" t="s">
        <v>824</v>
      </c>
      <c r="AB2928" s="25" t="s">
        <v>824</v>
      </c>
      <c r="AC2928" s="25" t="s">
        <v>821</v>
      </c>
      <c r="AD2928" s="25" t="s">
        <v>824</v>
      </c>
      <c r="AE2928" s="25" t="s">
        <v>824</v>
      </c>
    </row>
    <row r="2929" spans="20:31" ht="14.4">
      <c r="T2929" s="25" t="s">
        <v>847</v>
      </c>
      <c r="U2929" s="25" t="s">
        <v>867</v>
      </c>
      <c r="V2929" t="s">
        <v>999</v>
      </c>
      <c r="W2929" s="25" t="str">
        <f t="shared" si="64"/>
        <v>Straight Upholstered PelmetOutside Window MountHD Somfy External Remote Motor</v>
      </c>
      <c r="X2929" s="25">
        <v>0</v>
      </c>
      <c r="Y2929" s="25" t="s">
        <v>824</v>
      </c>
      <c r="Z2929" s="25" t="s">
        <v>824</v>
      </c>
      <c r="AA2929" s="25" t="s">
        <v>824</v>
      </c>
      <c r="AB2929" s="25" t="s">
        <v>824</v>
      </c>
      <c r="AC2929" s="25" t="s">
        <v>821</v>
      </c>
      <c r="AD2929" s="25" t="s">
        <v>824</v>
      </c>
      <c r="AE2929" s="25" t="s">
        <v>824</v>
      </c>
    </row>
    <row r="2930" spans="20:31" ht="14.4">
      <c r="T2930" s="25" t="s">
        <v>847</v>
      </c>
      <c r="U2930" s="25" t="s">
        <v>837</v>
      </c>
      <c r="V2930" s="25" t="s">
        <v>823</v>
      </c>
      <c r="W2930" s="25" t="str">
        <f t="shared" si="64"/>
        <v>Straight Upholstered PelmetRevealChain Winder</v>
      </c>
      <c r="X2930" s="25">
        <v>0</v>
      </c>
      <c r="Y2930" s="25" t="s">
        <v>824</v>
      </c>
      <c r="Z2930" s="25" t="s">
        <v>824</v>
      </c>
      <c r="AA2930" s="25" t="s">
        <v>824</v>
      </c>
      <c r="AB2930" s="25" t="s">
        <v>824</v>
      </c>
      <c r="AC2930" s="25" t="s">
        <v>821</v>
      </c>
      <c r="AD2930" s="25" t="s">
        <v>824</v>
      </c>
      <c r="AE2930" s="25" t="s">
        <v>824</v>
      </c>
    </row>
    <row r="2931" spans="20:31" ht="14.4">
      <c r="T2931" s="25" t="s">
        <v>847</v>
      </c>
      <c r="U2931" s="25" t="s">
        <v>837</v>
      </c>
      <c r="V2931" s="25" t="s">
        <v>841</v>
      </c>
      <c r="W2931" s="25" t="str">
        <f t="shared" si="64"/>
        <v>Straight Upholstered PelmetRevealHD Chain Winder</v>
      </c>
      <c r="X2931" s="25">
        <v>0</v>
      </c>
      <c r="Y2931" s="25" t="s">
        <v>824</v>
      </c>
      <c r="Z2931" s="25" t="s">
        <v>824</v>
      </c>
      <c r="AA2931" s="25" t="s">
        <v>824</v>
      </c>
      <c r="AB2931" s="25" t="s">
        <v>824</v>
      </c>
      <c r="AC2931" s="25" t="s">
        <v>821</v>
      </c>
      <c r="AD2931" s="25" t="s">
        <v>824</v>
      </c>
      <c r="AE2931" s="25" t="s">
        <v>824</v>
      </c>
    </row>
    <row r="2932" spans="20:31" ht="14.4">
      <c r="T2932" s="25" t="s">
        <v>847</v>
      </c>
      <c r="U2932" s="25" t="s">
        <v>837</v>
      </c>
      <c r="V2932" s="25" t="s">
        <v>858</v>
      </c>
      <c r="W2932" s="25" t="str">
        <f t="shared" si="64"/>
        <v>Straight Upholstered PelmetRevealChain Winder 60mm</v>
      </c>
      <c r="X2932" s="25">
        <v>0</v>
      </c>
      <c r="Y2932" s="25" t="s">
        <v>824</v>
      </c>
      <c r="Z2932" s="25" t="s">
        <v>824</v>
      </c>
      <c r="AA2932" s="25" t="s">
        <v>824</v>
      </c>
      <c r="AB2932" s="25" t="s">
        <v>824</v>
      </c>
      <c r="AC2932" s="25" t="s">
        <v>821</v>
      </c>
      <c r="AD2932" s="25" t="s">
        <v>824</v>
      </c>
      <c r="AE2932" s="25" t="s">
        <v>824</v>
      </c>
    </row>
    <row r="2933" spans="20:31" ht="14.4">
      <c r="T2933" s="25" t="s">
        <v>847</v>
      </c>
      <c r="U2933" s="25" t="s">
        <v>837</v>
      </c>
      <c r="V2933" s="25" t="s">
        <v>865</v>
      </c>
      <c r="W2933" s="25" t="str">
        <f t="shared" si="64"/>
        <v>Straight Upholstered PelmetRevealChain Winder Fixed Guide</v>
      </c>
      <c r="X2933" s="25">
        <v>0</v>
      </c>
      <c r="Y2933" s="25" t="s">
        <v>824</v>
      </c>
      <c r="Z2933" s="25" t="s">
        <v>824</v>
      </c>
      <c r="AA2933" s="25" t="s">
        <v>824</v>
      </c>
      <c r="AB2933" s="25" t="s">
        <v>824</v>
      </c>
      <c r="AC2933" s="25" t="s">
        <v>821</v>
      </c>
      <c r="AD2933" s="25" t="s">
        <v>824</v>
      </c>
      <c r="AE2933" s="25" t="s">
        <v>824</v>
      </c>
    </row>
    <row r="2934" spans="20:31" ht="14.4">
      <c r="T2934" s="25" t="s">
        <v>847</v>
      </c>
      <c r="U2934" s="25" t="s">
        <v>837</v>
      </c>
      <c r="V2934" s="25" t="s">
        <v>181</v>
      </c>
      <c r="W2934" s="25" t="str">
        <f t="shared" si="64"/>
        <v>Straight Upholstered PelmetRevealLinked</v>
      </c>
      <c r="X2934" s="25">
        <v>0</v>
      </c>
      <c r="Y2934" s="25" t="s">
        <v>824</v>
      </c>
      <c r="Z2934" s="25" t="s">
        <v>824</v>
      </c>
      <c r="AA2934" s="25" t="s">
        <v>824</v>
      </c>
      <c r="AB2934" s="25" t="s">
        <v>824</v>
      </c>
      <c r="AC2934" s="25" t="s">
        <v>821</v>
      </c>
      <c r="AD2934" s="25" t="s">
        <v>824</v>
      </c>
      <c r="AE2934" s="25" t="s">
        <v>824</v>
      </c>
    </row>
    <row r="2935" spans="20:31" ht="14.4">
      <c r="T2935" s="25" t="s">
        <v>847</v>
      </c>
      <c r="U2935" s="25" t="s">
        <v>837</v>
      </c>
      <c r="V2935" s="25" t="s">
        <v>898</v>
      </c>
      <c r="W2935" s="25" t="str">
        <f t="shared" si="64"/>
        <v>Straight Upholstered PelmetRevealLinked - HD</v>
      </c>
      <c r="X2935" s="25">
        <v>0</v>
      </c>
      <c r="Y2935" s="25" t="s">
        <v>824</v>
      </c>
      <c r="Z2935" s="25" t="s">
        <v>824</v>
      </c>
      <c r="AA2935" s="25" t="s">
        <v>824</v>
      </c>
      <c r="AB2935" s="25" t="s">
        <v>824</v>
      </c>
      <c r="AC2935" s="25" t="s">
        <v>821</v>
      </c>
      <c r="AD2935" s="25" t="s">
        <v>824</v>
      </c>
      <c r="AE2935" s="25" t="s">
        <v>824</v>
      </c>
    </row>
    <row r="2936" spans="20:31" ht="14.4">
      <c r="T2936" s="25" t="s">
        <v>847</v>
      </c>
      <c r="U2936" s="25" t="s">
        <v>837</v>
      </c>
      <c r="V2936" s="25" t="s">
        <v>925</v>
      </c>
      <c r="W2936" s="25" t="str">
        <f t="shared" si="64"/>
        <v>Straight Upholstered PelmetRevealLinked 60mm</v>
      </c>
      <c r="X2936" s="25">
        <v>0</v>
      </c>
      <c r="Y2936" s="25" t="s">
        <v>824</v>
      </c>
      <c r="Z2936" s="25" t="s">
        <v>824</v>
      </c>
      <c r="AA2936" s="25" t="s">
        <v>824</v>
      </c>
      <c r="AB2936" s="25" t="s">
        <v>824</v>
      </c>
      <c r="AC2936" s="25" t="s">
        <v>821</v>
      </c>
      <c r="AD2936" s="25" t="s">
        <v>824</v>
      </c>
      <c r="AE2936" s="25" t="s">
        <v>824</v>
      </c>
    </row>
    <row r="2937" spans="20:31" ht="14.4">
      <c r="T2937" s="25" t="s">
        <v>847</v>
      </c>
      <c r="U2937" s="25" t="s">
        <v>837</v>
      </c>
      <c r="V2937" s="25" t="s">
        <v>910</v>
      </c>
      <c r="W2937" s="25" t="str">
        <f t="shared" si="64"/>
        <v>Straight Upholstered PelmetRevealStandard Spring</v>
      </c>
      <c r="X2937" s="25">
        <v>0</v>
      </c>
      <c r="Y2937" s="25" t="s">
        <v>824</v>
      </c>
      <c r="Z2937" s="25" t="s">
        <v>824</v>
      </c>
      <c r="AA2937" s="25" t="s">
        <v>824</v>
      </c>
      <c r="AB2937" s="25" t="s">
        <v>824</v>
      </c>
      <c r="AC2937" s="25" t="s">
        <v>821</v>
      </c>
      <c r="AD2937" s="25" t="s">
        <v>824</v>
      </c>
      <c r="AE2937" s="25" t="s">
        <v>824</v>
      </c>
    </row>
    <row r="2938" spans="20:31" ht="14.4">
      <c r="T2938" s="25" t="s">
        <v>847</v>
      </c>
      <c r="U2938" s="25" t="s">
        <v>837</v>
      </c>
      <c r="V2938" s="25" t="s">
        <v>920</v>
      </c>
      <c r="W2938" s="25" t="str">
        <f t="shared" si="64"/>
        <v>Straight Upholstered PelmetRevealSmall Spring</v>
      </c>
      <c r="X2938" s="25">
        <v>0</v>
      </c>
      <c r="Y2938" s="25" t="s">
        <v>824</v>
      </c>
      <c r="Z2938" s="25" t="s">
        <v>824</v>
      </c>
      <c r="AA2938" s="25" t="s">
        <v>824</v>
      </c>
      <c r="AB2938" s="25" t="s">
        <v>824</v>
      </c>
      <c r="AC2938" s="25" t="s">
        <v>821</v>
      </c>
      <c r="AD2938" s="25" t="s">
        <v>824</v>
      </c>
      <c r="AE2938" s="25" t="s">
        <v>824</v>
      </c>
    </row>
    <row r="2939" spans="20:31" ht="14.4">
      <c r="T2939" s="25" t="s">
        <v>847</v>
      </c>
      <c r="U2939" s="25" t="s">
        <v>837</v>
      </c>
      <c r="V2939" s="25" t="s">
        <v>929</v>
      </c>
      <c r="W2939" s="25" t="str">
        <f t="shared" si="64"/>
        <v>Straight Upholstered PelmetRevealUniline Spring (Old Style)</v>
      </c>
      <c r="X2939" s="25">
        <v>0</v>
      </c>
      <c r="Y2939" s="25" t="s">
        <v>824</v>
      </c>
      <c r="Z2939" s="25" t="s">
        <v>824</v>
      </c>
      <c r="AA2939" s="25" t="s">
        <v>824</v>
      </c>
      <c r="AB2939" s="25" t="s">
        <v>824</v>
      </c>
      <c r="AC2939" s="25" t="s">
        <v>821</v>
      </c>
      <c r="AD2939" s="25" t="s">
        <v>824</v>
      </c>
      <c r="AE2939" s="25" t="s">
        <v>824</v>
      </c>
    </row>
    <row r="2940" spans="20:31" ht="14.4">
      <c r="T2940" s="25" t="s">
        <v>847</v>
      </c>
      <c r="U2940" s="25" t="s">
        <v>837</v>
      </c>
      <c r="V2940" s="25" t="s">
        <v>935</v>
      </c>
      <c r="W2940" s="25" t="str">
        <f t="shared" si="64"/>
        <v>Straight Upholstered PelmetRevealBecker Remote Motor</v>
      </c>
      <c r="X2940" s="25">
        <v>0</v>
      </c>
      <c r="Y2940" s="25" t="s">
        <v>824</v>
      </c>
      <c r="Z2940" s="25" t="s">
        <v>824</v>
      </c>
      <c r="AA2940" s="25" t="s">
        <v>824</v>
      </c>
      <c r="AB2940" s="25" t="s">
        <v>824</v>
      </c>
      <c r="AC2940" s="25" t="s">
        <v>821</v>
      </c>
      <c r="AD2940" s="25" t="s">
        <v>824</v>
      </c>
      <c r="AE2940" s="25" t="s">
        <v>824</v>
      </c>
    </row>
    <row r="2941" spans="20:31" ht="14.4">
      <c r="T2941" s="25" t="s">
        <v>847</v>
      </c>
      <c r="U2941" s="25" t="s">
        <v>837</v>
      </c>
      <c r="V2941" s="25" t="s">
        <v>939</v>
      </c>
      <c r="W2941" s="25" t="str">
        <f t="shared" si="64"/>
        <v>Straight Upholstered PelmetRevealBecker CBUS Motor</v>
      </c>
      <c r="X2941" s="25">
        <v>0</v>
      </c>
      <c r="Y2941" s="25" t="s">
        <v>824</v>
      </c>
      <c r="Z2941" s="25" t="s">
        <v>824</v>
      </c>
      <c r="AA2941" s="25" t="s">
        <v>824</v>
      </c>
      <c r="AB2941" s="25" t="s">
        <v>824</v>
      </c>
      <c r="AC2941" s="25" t="s">
        <v>821</v>
      </c>
      <c r="AD2941" s="25" t="s">
        <v>824</v>
      </c>
      <c r="AE2941" s="25" t="s">
        <v>824</v>
      </c>
    </row>
    <row r="2942" spans="20:31" ht="14.4">
      <c r="T2942" s="25" t="s">
        <v>847</v>
      </c>
      <c r="U2942" s="25" t="s">
        <v>837</v>
      </c>
      <c r="V2942" s="25" t="s">
        <v>946</v>
      </c>
      <c r="W2942" s="25" t="str">
        <f t="shared" si="64"/>
        <v>Straight Upholstered PelmetRevealBecker External Remote Motor</v>
      </c>
      <c r="X2942" s="25">
        <v>0</v>
      </c>
      <c r="Y2942" s="25" t="s">
        <v>824</v>
      </c>
      <c r="Z2942" s="25" t="s">
        <v>824</v>
      </c>
      <c r="AA2942" s="25" t="s">
        <v>824</v>
      </c>
      <c r="AB2942" s="25" t="s">
        <v>824</v>
      </c>
      <c r="AC2942" s="25" t="s">
        <v>821</v>
      </c>
      <c r="AD2942" s="25" t="s">
        <v>824</v>
      </c>
      <c r="AE2942" s="25" t="s">
        <v>824</v>
      </c>
    </row>
    <row r="2943" spans="20:31" ht="14.4">
      <c r="T2943" s="25" t="s">
        <v>847</v>
      </c>
      <c r="U2943" s="25" t="s">
        <v>837</v>
      </c>
      <c r="V2943" s="25" t="s">
        <v>951</v>
      </c>
      <c r="W2943" s="25" t="str">
        <f t="shared" si="64"/>
        <v>Straight Upholstered PelmetRevealBecker External CBUS Motor</v>
      </c>
      <c r="X2943" s="25">
        <v>0</v>
      </c>
      <c r="Y2943" s="25" t="s">
        <v>824</v>
      </c>
      <c r="Z2943" s="25" t="s">
        <v>824</v>
      </c>
      <c r="AA2943" s="25" t="s">
        <v>824</v>
      </c>
      <c r="AB2943" s="25" t="s">
        <v>824</v>
      </c>
      <c r="AC2943" s="25" t="s">
        <v>821</v>
      </c>
      <c r="AD2943" s="25" t="s">
        <v>824</v>
      </c>
      <c r="AE2943" s="25" t="s">
        <v>824</v>
      </c>
    </row>
    <row r="2944" spans="20:31" ht="14.4">
      <c r="T2944" s="25" t="s">
        <v>847</v>
      </c>
      <c r="U2944" s="25" t="s">
        <v>837</v>
      </c>
      <c r="V2944" s="25" t="s">
        <v>838</v>
      </c>
      <c r="W2944" s="25" t="str">
        <f t="shared" si="64"/>
        <v>Straight Upholstered PelmetReveal1.1nm 12v Acmeda Motor</v>
      </c>
      <c r="X2944" s="25">
        <v>0</v>
      </c>
      <c r="Y2944" s="25" t="s">
        <v>824</v>
      </c>
      <c r="Z2944" s="25" t="s">
        <v>824</v>
      </c>
      <c r="AA2944" s="25" t="s">
        <v>824</v>
      </c>
      <c r="AB2944" s="25" t="s">
        <v>824</v>
      </c>
      <c r="AC2944" s="25" t="s">
        <v>821</v>
      </c>
      <c r="AD2944" s="25" t="s">
        <v>824</v>
      </c>
      <c r="AE2944" s="25" t="s">
        <v>824</v>
      </c>
    </row>
    <row r="2945" spans="20:31" ht="14.4">
      <c r="T2945" s="25" t="s">
        <v>847</v>
      </c>
      <c r="U2945" s="25" t="s">
        <v>837</v>
      </c>
      <c r="V2945" t="s">
        <v>882</v>
      </c>
      <c r="W2945" s="25" t="str">
        <f t="shared" si="64"/>
        <v>Straight Upholstered PelmetReveal2nm 12v Acmeda Motor</v>
      </c>
      <c r="X2945" s="25">
        <v>0</v>
      </c>
      <c r="Y2945" s="25" t="s">
        <v>824</v>
      </c>
      <c r="Z2945" s="25" t="s">
        <v>824</v>
      </c>
      <c r="AA2945" s="25" t="s">
        <v>824</v>
      </c>
      <c r="AB2945" s="25" t="s">
        <v>824</v>
      </c>
      <c r="AC2945" s="25" t="s">
        <v>821</v>
      </c>
      <c r="AD2945" s="25" t="s">
        <v>824</v>
      </c>
      <c r="AE2945" s="25" t="s">
        <v>824</v>
      </c>
    </row>
    <row r="2946" spans="20:31" ht="14.4">
      <c r="T2946" s="25" t="s">
        <v>847</v>
      </c>
      <c r="U2946" s="25" t="s">
        <v>837</v>
      </c>
      <c r="V2946" t="s">
        <v>896</v>
      </c>
      <c r="W2946" s="25" t="str">
        <f t="shared" si="64"/>
        <v>Straight Upholstered PelmetRevealAcmeda 12v 6nm Motor</v>
      </c>
      <c r="X2946" s="25">
        <v>0</v>
      </c>
      <c r="Y2946" s="25" t="s">
        <v>824</v>
      </c>
      <c r="Z2946" s="25" t="s">
        <v>824</v>
      </c>
      <c r="AA2946" s="25" t="s">
        <v>824</v>
      </c>
      <c r="AB2946" s="25" t="s">
        <v>824</v>
      </c>
      <c r="AC2946" s="25" t="s">
        <v>821</v>
      </c>
      <c r="AD2946" s="25" t="s">
        <v>824</v>
      </c>
      <c r="AE2946" s="25" t="s">
        <v>824</v>
      </c>
    </row>
    <row r="2947" spans="20:31" ht="14.4">
      <c r="T2947" s="25" t="s">
        <v>847</v>
      </c>
      <c r="U2947" s="25" t="s">
        <v>837</v>
      </c>
      <c r="V2947" t="s">
        <v>855</v>
      </c>
      <c r="W2947" s="25" t="str">
        <f t="shared" si="65" ref="W2947:W3010">CONCATENATE(T2947,U2947,V2947)</f>
        <v>Straight Upholstered PelmetReveal0.7nm 12v Acmeda Motor</v>
      </c>
      <c r="X2947" s="25">
        <v>0</v>
      </c>
      <c r="Y2947" s="25" t="s">
        <v>824</v>
      </c>
      <c r="Z2947" s="25" t="s">
        <v>824</v>
      </c>
      <c r="AA2947" s="25" t="s">
        <v>824</v>
      </c>
      <c r="AB2947" s="25" t="s">
        <v>824</v>
      </c>
      <c r="AC2947" s="25" t="s">
        <v>821</v>
      </c>
      <c r="AD2947" s="25" t="s">
        <v>824</v>
      </c>
      <c r="AE2947" s="25" t="s">
        <v>824</v>
      </c>
    </row>
    <row r="2948" spans="20:31" ht="14.4">
      <c r="T2948" s="25" t="s">
        <v>847</v>
      </c>
      <c r="U2948" s="25" t="s">
        <v>837</v>
      </c>
      <c r="V2948" s="25" t="s">
        <v>849</v>
      </c>
      <c r="W2948" s="25" t="str">
        <f t="shared" si="65"/>
        <v>Straight Upholstered PelmetReveal1.1nm 12v Acmeda DCRF Motor with External Battery</v>
      </c>
      <c r="X2948" s="25">
        <v>0</v>
      </c>
      <c r="Y2948" s="25" t="s">
        <v>824</v>
      </c>
      <c r="Z2948" s="25" t="s">
        <v>824</v>
      </c>
      <c r="AA2948" s="25" t="s">
        <v>824</v>
      </c>
      <c r="AB2948" s="25" t="s">
        <v>824</v>
      </c>
      <c r="AC2948" s="25" t="s">
        <v>821</v>
      </c>
      <c r="AD2948" s="25" t="s">
        <v>824</v>
      </c>
      <c r="AE2948" s="25" t="s">
        <v>824</v>
      </c>
    </row>
    <row r="2949" spans="20:31" ht="14.4">
      <c r="T2949" s="25" t="s">
        <v>847</v>
      </c>
      <c r="U2949" s="25" t="s">
        <v>837</v>
      </c>
      <c r="V2949" s="25" t="s">
        <v>817</v>
      </c>
      <c r="W2949" s="25" t="str">
        <f t="shared" si="65"/>
        <v>Straight Upholstered PelmetReveal1.1nm 12v Acmeda DCRF Motor</v>
      </c>
      <c r="X2949" s="25">
        <v>0</v>
      </c>
      <c r="Y2949" s="25" t="s">
        <v>824</v>
      </c>
      <c r="Z2949" s="25" t="s">
        <v>824</v>
      </c>
      <c r="AA2949" s="25" t="s">
        <v>824</v>
      </c>
      <c r="AB2949" s="25" t="s">
        <v>824</v>
      </c>
      <c r="AC2949" s="25" t="s">
        <v>821</v>
      </c>
      <c r="AD2949" s="25" t="s">
        <v>824</v>
      </c>
      <c r="AE2949" s="25" t="s">
        <v>824</v>
      </c>
    </row>
    <row r="2950" spans="20:31" ht="14.4">
      <c r="T2950" s="25" t="s">
        <v>847</v>
      </c>
      <c r="U2950" s="25" t="s">
        <v>837</v>
      </c>
      <c r="V2950" s="25" t="s">
        <v>868</v>
      </c>
      <c r="W2950" s="25" t="str">
        <f t="shared" si="65"/>
        <v>Straight Upholstered PelmetReveal2nm 12v Acmeda DCRF Motor</v>
      </c>
      <c r="X2950" s="25">
        <v>0</v>
      </c>
      <c r="Y2950" s="25" t="s">
        <v>824</v>
      </c>
      <c r="Z2950" s="25" t="s">
        <v>824</v>
      </c>
      <c r="AA2950" s="25" t="s">
        <v>824</v>
      </c>
      <c r="AB2950" s="25" t="s">
        <v>824</v>
      </c>
      <c r="AC2950" s="25" t="s">
        <v>821</v>
      </c>
      <c r="AD2950" s="25" t="s">
        <v>824</v>
      </c>
      <c r="AE2950" s="25" t="s">
        <v>824</v>
      </c>
    </row>
    <row r="2951" spans="20:31" ht="14.4">
      <c r="T2951" s="25" t="s">
        <v>847</v>
      </c>
      <c r="U2951" s="25" t="s">
        <v>837</v>
      </c>
      <c r="V2951" t="s">
        <v>973</v>
      </c>
      <c r="W2951" s="25" t="str">
        <f t="shared" si="65"/>
        <v>Straight Upholstered PelmetRevealSomfy Remote Sonesse Motor</v>
      </c>
      <c r="X2951" s="25">
        <v>0</v>
      </c>
      <c r="Y2951" s="25" t="s">
        <v>824</v>
      </c>
      <c r="Z2951" s="25" t="s">
        <v>824</v>
      </c>
      <c r="AA2951" s="25" t="s">
        <v>824</v>
      </c>
      <c r="AB2951" s="25" t="s">
        <v>824</v>
      </c>
      <c r="AC2951" s="25" t="s">
        <v>821</v>
      </c>
      <c r="AD2951" s="25" t="s">
        <v>824</v>
      </c>
      <c r="AE2951" s="25" t="s">
        <v>824</v>
      </c>
    </row>
    <row r="2952" spans="20:31" ht="14.4">
      <c r="T2952" s="25" t="s">
        <v>847</v>
      </c>
      <c r="U2952" s="25" t="s">
        <v>837</v>
      </c>
      <c r="V2952" t="s">
        <v>637</v>
      </c>
      <c r="W2952" s="25" t="str">
        <f t="shared" si="65"/>
        <v>Straight Upholstered PelmetRevealSomfy 12v Remote Sonesse Motor</v>
      </c>
      <c r="X2952" s="25">
        <v>0</v>
      </c>
      <c r="Y2952" s="25" t="s">
        <v>824</v>
      </c>
      <c r="Z2952" s="25" t="s">
        <v>824</v>
      </c>
      <c r="AA2952" s="25" t="s">
        <v>824</v>
      </c>
      <c r="AB2952" s="25" t="s">
        <v>824</v>
      </c>
      <c r="AC2952" s="25" t="s">
        <v>821</v>
      </c>
      <c r="AD2952" s="25" t="s">
        <v>824</v>
      </c>
      <c r="AE2952" s="25" t="s">
        <v>824</v>
      </c>
    </row>
    <row r="2953" spans="20:31" ht="14.4">
      <c r="T2953" s="25" t="s">
        <v>847</v>
      </c>
      <c r="U2953" s="25" t="s">
        <v>837</v>
      </c>
      <c r="V2953" s="25" t="s">
        <v>974</v>
      </c>
      <c r="W2953" s="25" t="str">
        <f t="shared" si="65"/>
        <v>Straight Upholstered PelmetRevealSomfy CBUS Motor</v>
      </c>
      <c r="X2953" s="25">
        <v>0</v>
      </c>
      <c r="Y2953" s="25" t="s">
        <v>824</v>
      </c>
      <c r="Z2953" s="25" t="s">
        <v>824</v>
      </c>
      <c r="AA2953" s="25" t="s">
        <v>824</v>
      </c>
      <c r="AB2953" s="25" t="s">
        <v>824</v>
      </c>
      <c r="AC2953" s="25" t="s">
        <v>821</v>
      </c>
      <c r="AD2953" s="25" t="s">
        <v>824</v>
      </c>
      <c r="AE2953" s="25" t="s">
        <v>824</v>
      </c>
    </row>
    <row r="2954" spans="20:31" ht="14.4">
      <c r="T2954" s="25" t="s">
        <v>847</v>
      </c>
      <c r="U2954" s="25" t="s">
        <v>837</v>
      </c>
      <c r="V2954" t="s">
        <v>986</v>
      </c>
      <c r="W2954" s="25" t="str">
        <f t="shared" si="65"/>
        <v>Straight Upholstered PelmetRevealHD Somfy Remote Sonesse Motor</v>
      </c>
      <c r="X2954" s="25">
        <v>0</v>
      </c>
      <c r="Y2954" s="25" t="s">
        <v>824</v>
      </c>
      <c r="Z2954" s="25" t="s">
        <v>824</v>
      </c>
      <c r="AA2954" s="25" t="s">
        <v>824</v>
      </c>
      <c r="AB2954" s="25" t="s">
        <v>824</v>
      </c>
      <c r="AC2954" s="25" t="s">
        <v>821</v>
      </c>
      <c r="AD2954" s="25" t="s">
        <v>824</v>
      </c>
      <c r="AE2954" s="25" t="s">
        <v>824</v>
      </c>
    </row>
    <row r="2955" spans="20:31" ht="14.4">
      <c r="T2955" s="25" t="s">
        <v>847</v>
      </c>
      <c r="U2955" s="25" t="s">
        <v>837</v>
      </c>
      <c r="V2955" t="s">
        <v>989</v>
      </c>
      <c r="W2955" s="25" t="str">
        <f t="shared" si="65"/>
        <v>Straight Upholstered PelmetRevealHD Somfy 12v Remote Sonesse Motor</v>
      </c>
      <c r="X2955" s="25">
        <v>0</v>
      </c>
      <c r="Y2955" s="25" t="s">
        <v>824</v>
      </c>
      <c r="Z2955" s="25" t="s">
        <v>824</v>
      </c>
      <c r="AA2955" s="25" t="s">
        <v>824</v>
      </c>
      <c r="AB2955" s="25" t="s">
        <v>824</v>
      </c>
      <c r="AC2955" s="25" t="s">
        <v>821</v>
      </c>
      <c r="AD2955" s="25" t="s">
        <v>824</v>
      </c>
      <c r="AE2955" s="25" t="s">
        <v>824</v>
      </c>
    </row>
    <row r="2956" spans="20:31" ht="14.4">
      <c r="T2956" s="25" t="s">
        <v>847</v>
      </c>
      <c r="U2956" s="25" t="s">
        <v>837</v>
      </c>
      <c r="V2956" s="25" t="s">
        <v>992</v>
      </c>
      <c r="W2956" s="25" t="str">
        <f t="shared" si="65"/>
        <v>Straight Upholstered PelmetRevealHD Somfy CBUS Motor</v>
      </c>
      <c r="X2956" s="25">
        <v>0</v>
      </c>
      <c r="Y2956" s="25" t="s">
        <v>824</v>
      </c>
      <c r="Z2956" s="25" t="s">
        <v>824</v>
      </c>
      <c r="AA2956" s="25" t="s">
        <v>824</v>
      </c>
      <c r="AB2956" s="25" t="s">
        <v>824</v>
      </c>
      <c r="AC2956" s="25" t="s">
        <v>821</v>
      </c>
      <c r="AD2956" s="25" t="s">
        <v>824</v>
      </c>
      <c r="AE2956" s="25" t="s">
        <v>824</v>
      </c>
    </row>
    <row r="2957" spans="20:31" ht="14.4">
      <c r="T2957" s="25" t="s">
        <v>847</v>
      </c>
      <c r="U2957" s="25" t="s">
        <v>837</v>
      </c>
      <c r="V2957" s="25" t="s">
        <v>625</v>
      </c>
      <c r="W2957" s="25" t="str">
        <f t="shared" si="65"/>
        <v>Straight Upholstered PelmetRevealAcmeda E6 Motor</v>
      </c>
      <c r="X2957" s="25">
        <v>0</v>
      </c>
      <c r="Y2957" s="25" t="s">
        <v>824</v>
      </c>
      <c r="Z2957" s="25" t="s">
        <v>824</v>
      </c>
      <c r="AA2957" s="25" t="s">
        <v>824</v>
      </c>
      <c r="AB2957" s="25" t="s">
        <v>824</v>
      </c>
      <c r="AC2957" s="25" t="s">
        <v>821</v>
      </c>
      <c r="AD2957" s="25" t="s">
        <v>824</v>
      </c>
      <c r="AE2957" s="25" t="s">
        <v>824</v>
      </c>
    </row>
    <row r="2958" spans="20:31" ht="14.4">
      <c r="T2958" s="25" t="s">
        <v>847</v>
      </c>
      <c r="U2958" s="25" t="s">
        <v>837</v>
      </c>
      <c r="V2958" s="25" t="s">
        <v>626</v>
      </c>
      <c r="W2958" s="25" t="str">
        <f t="shared" si="65"/>
        <v>Straight Upholstered PelmetRevealAcmeda M6 Motor</v>
      </c>
      <c r="X2958" s="25">
        <v>0</v>
      </c>
      <c r="Y2958" s="25" t="s">
        <v>824</v>
      </c>
      <c r="Z2958" s="25" t="s">
        <v>824</v>
      </c>
      <c r="AA2958" s="25" t="s">
        <v>824</v>
      </c>
      <c r="AB2958" s="25" t="s">
        <v>824</v>
      </c>
      <c r="AC2958" s="25" t="s">
        <v>821</v>
      </c>
      <c r="AD2958" s="25" t="s">
        <v>824</v>
      </c>
      <c r="AE2958" s="25" t="s">
        <v>824</v>
      </c>
    </row>
    <row r="2959" spans="20:31" ht="14.4">
      <c r="T2959" s="25" t="s">
        <v>847</v>
      </c>
      <c r="U2959" s="25" t="s">
        <v>837</v>
      </c>
      <c r="V2959" s="25" t="s">
        <v>1002</v>
      </c>
      <c r="W2959" s="25" t="str">
        <f t="shared" si="65"/>
        <v>Straight Upholstered PelmetRevealUniline Remote Motor</v>
      </c>
      <c r="X2959" s="25">
        <v>0</v>
      </c>
      <c r="Y2959" s="25" t="s">
        <v>824</v>
      </c>
      <c r="Z2959" s="25" t="s">
        <v>824</v>
      </c>
      <c r="AA2959" s="25" t="s">
        <v>824</v>
      </c>
      <c r="AB2959" s="25" t="s">
        <v>824</v>
      </c>
      <c r="AC2959" s="25" t="s">
        <v>821</v>
      </c>
      <c r="AD2959" s="25" t="s">
        <v>824</v>
      </c>
      <c r="AE2959" s="25" t="s">
        <v>824</v>
      </c>
    </row>
    <row r="2960" spans="20:31" ht="14.4">
      <c r="T2960" s="25" t="s">
        <v>847</v>
      </c>
      <c r="U2960" s="25" t="s">
        <v>837</v>
      </c>
      <c r="V2960" s="25" t="s">
        <v>1005</v>
      </c>
      <c r="W2960" s="25" t="str">
        <f t="shared" si="65"/>
        <v>Straight Upholstered PelmetRevealUniline Cbus Motor</v>
      </c>
      <c r="X2960" s="25">
        <v>0</v>
      </c>
      <c r="Y2960" s="25" t="s">
        <v>824</v>
      </c>
      <c r="Z2960" s="25" t="s">
        <v>824</v>
      </c>
      <c r="AA2960" s="25" t="s">
        <v>824</v>
      </c>
      <c r="AB2960" s="25" t="s">
        <v>824</v>
      </c>
      <c r="AC2960" s="25" t="s">
        <v>821</v>
      </c>
      <c r="AD2960" s="25" t="s">
        <v>824</v>
      </c>
      <c r="AE2960" s="25" t="s">
        <v>824</v>
      </c>
    </row>
    <row r="2961" spans="20:31" ht="14.4">
      <c r="T2961" s="25" t="s">
        <v>847</v>
      </c>
      <c r="U2961" s="25" t="s">
        <v>837</v>
      </c>
      <c r="V2961" s="25" t="s">
        <v>981</v>
      </c>
      <c r="W2961" s="25" t="str">
        <f t="shared" si="65"/>
        <v>Straight Upholstered PelmetRevealNice Remote Motor</v>
      </c>
      <c r="X2961" s="25">
        <v>0</v>
      </c>
      <c r="Y2961" s="25" t="s">
        <v>824</v>
      </c>
      <c r="Z2961" s="25" t="s">
        <v>824</v>
      </c>
      <c r="AA2961" s="25" t="s">
        <v>824</v>
      </c>
      <c r="AB2961" s="25" t="s">
        <v>824</v>
      </c>
      <c r="AC2961" s="25" t="s">
        <v>821</v>
      </c>
      <c r="AD2961" s="25" t="s">
        <v>824</v>
      </c>
      <c r="AE2961" s="25" t="s">
        <v>824</v>
      </c>
    </row>
    <row r="2962" spans="20:31" ht="14.4">
      <c r="T2962" s="25" t="s">
        <v>847</v>
      </c>
      <c r="U2962" s="25" t="s">
        <v>837</v>
      </c>
      <c r="V2962" s="25" t="s">
        <v>976</v>
      </c>
      <c r="W2962" s="25" t="str">
        <f t="shared" si="65"/>
        <v>Straight Upholstered PelmetRevealNice CBus Motor</v>
      </c>
      <c r="X2962" s="25">
        <v>0</v>
      </c>
      <c r="Y2962" s="25" t="s">
        <v>824</v>
      </c>
      <c r="Z2962" s="25" t="s">
        <v>824</v>
      </c>
      <c r="AA2962" s="25" t="s">
        <v>824</v>
      </c>
      <c r="AB2962" s="25" t="s">
        <v>824</v>
      </c>
      <c r="AC2962" s="25" t="s">
        <v>821</v>
      </c>
      <c r="AD2962" s="25" t="s">
        <v>824</v>
      </c>
      <c r="AE2962" s="25" t="s">
        <v>824</v>
      </c>
    </row>
    <row r="2963" spans="20:31" ht="14.4">
      <c r="T2963" s="25" t="s">
        <v>847</v>
      </c>
      <c r="U2963" s="25" t="s">
        <v>837</v>
      </c>
      <c r="V2963" t="s">
        <v>1006</v>
      </c>
      <c r="W2963" s="25" t="str">
        <f t="shared" si="65"/>
        <v>Straight Upholstered PelmetRevealSunboss Chain Winder 38mm Tube</v>
      </c>
      <c r="X2963" s="25">
        <v>0</v>
      </c>
      <c r="Y2963" s="25" t="s">
        <v>824</v>
      </c>
      <c r="Z2963" s="25" t="s">
        <v>824</v>
      </c>
      <c r="AA2963" s="25" t="s">
        <v>824</v>
      </c>
      <c r="AB2963" s="25" t="s">
        <v>824</v>
      </c>
      <c r="AC2963" s="25" t="s">
        <v>821</v>
      </c>
      <c r="AD2963" s="25" t="s">
        <v>824</v>
      </c>
      <c r="AE2963" s="25" t="s">
        <v>824</v>
      </c>
    </row>
    <row r="2964" spans="20:31" ht="14.4">
      <c r="T2964" s="25" t="s">
        <v>847</v>
      </c>
      <c r="U2964" s="25" t="s">
        <v>837</v>
      </c>
      <c r="V2964" t="s">
        <v>1017</v>
      </c>
      <c r="W2964" s="25" t="str">
        <f t="shared" si="65"/>
        <v>Straight Upholstered PelmetRevealSunboss Chain Winder 43mm Tube</v>
      </c>
      <c r="X2964" s="25">
        <v>0</v>
      </c>
      <c r="Y2964" s="25" t="s">
        <v>824</v>
      </c>
      <c r="Z2964" s="25" t="s">
        <v>824</v>
      </c>
      <c r="AA2964" s="25" t="s">
        <v>824</v>
      </c>
      <c r="AB2964" s="25" t="s">
        <v>824</v>
      </c>
      <c r="AC2964" s="25" t="s">
        <v>821</v>
      </c>
      <c r="AD2964" s="25" t="s">
        <v>824</v>
      </c>
      <c r="AE2964" s="25" t="s">
        <v>824</v>
      </c>
    </row>
    <row r="2965" spans="20:31" ht="14.4">
      <c r="T2965" s="25" t="s">
        <v>847</v>
      </c>
      <c r="U2965" s="25" t="s">
        <v>837</v>
      </c>
      <c r="V2965" s="25" t="s">
        <v>1012</v>
      </c>
      <c r="W2965" s="25" t="str">
        <f t="shared" si="65"/>
        <v>Straight Upholstered PelmetRevealTBS Remote Motor</v>
      </c>
      <c r="X2965" s="25">
        <v>0</v>
      </c>
      <c r="Y2965" s="25" t="s">
        <v>824</v>
      </c>
      <c r="Z2965" s="25" t="s">
        <v>824</v>
      </c>
      <c r="AA2965" s="25" t="s">
        <v>824</v>
      </c>
      <c r="AB2965" s="25" t="s">
        <v>824</v>
      </c>
      <c r="AC2965" s="25" t="s">
        <v>821</v>
      </c>
      <c r="AD2965" s="25" t="s">
        <v>824</v>
      </c>
      <c r="AE2965" s="25" t="s">
        <v>824</v>
      </c>
    </row>
    <row r="2966" spans="20:31" ht="14.4">
      <c r="T2966" s="25" t="s">
        <v>847</v>
      </c>
      <c r="U2966" s="25" t="s">
        <v>837</v>
      </c>
      <c r="V2966" t="s">
        <v>1009</v>
      </c>
      <c r="W2966" s="25" t="str">
        <f t="shared" si="65"/>
        <v>Straight Upholstered PelmetRevealTBS Cbus Motor</v>
      </c>
      <c r="X2966" s="25">
        <v>0</v>
      </c>
      <c r="Y2966" s="25" t="s">
        <v>824</v>
      </c>
      <c r="Z2966" s="25" t="s">
        <v>824</v>
      </c>
      <c r="AA2966" s="25" t="s">
        <v>824</v>
      </c>
      <c r="AB2966" s="25" t="s">
        <v>824</v>
      </c>
      <c r="AC2966" s="25" t="s">
        <v>821</v>
      </c>
      <c r="AD2966" s="25" t="s">
        <v>824</v>
      </c>
      <c r="AE2966" s="25" t="s">
        <v>824</v>
      </c>
    </row>
    <row r="2967" spans="20:31" ht="14.4">
      <c r="T2967" s="25" t="s">
        <v>847</v>
      </c>
      <c r="U2967" s="25" t="s">
        <v>837</v>
      </c>
      <c r="V2967" t="s">
        <v>927</v>
      </c>
      <c r="W2967" s="25" t="str">
        <f t="shared" si="65"/>
        <v>Straight Upholstered PelmetRevealAcmeda External Motor</v>
      </c>
      <c r="X2967" s="25">
        <v>0</v>
      </c>
      <c r="Y2967" s="25" t="s">
        <v>824</v>
      </c>
      <c r="Z2967" s="25" t="s">
        <v>824</v>
      </c>
      <c r="AA2967" s="25" t="s">
        <v>824</v>
      </c>
      <c r="AB2967" s="25" t="s">
        <v>824</v>
      </c>
      <c r="AC2967" s="25" t="s">
        <v>821</v>
      </c>
      <c r="AD2967" s="25" t="s">
        <v>824</v>
      </c>
      <c r="AE2967" s="25" t="s">
        <v>824</v>
      </c>
    </row>
    <row r="2968" spans="20:31" ht="14.4">
      <c r="T2968" s="25" t="s">
        <v>847</v>
      </c>
      <c r="U2968" s="25" t="s">
        <v>837</v>
      </c>
      <c r="V2968" t="s">
        <v>918</v>
      </c>
      <c r="W2968" s="25" t="str">
        <f t="shared" si="65"/>
        <v>Straight Upholstered PelmetRevealAcmeda External 12v Motor</v>
      </c>
      <c r="X2968" s="25">
        <v>0</v>
      </c>
      <c r="Y2968" s="25" t="s">
        <v>824</v>
      </c>
      <c r="Z2968" s="25" t="s">
        <v>824</v>
      </c>
      <c r="AA2968" s="25" t="s">
        <v>824</v>
      </c>
      <c r="AB2968" s="25" t="s">
        <v>824</v>
      </c>
      <c r="AC2968" s="25" t="s">
        <v>821</v>
      </c>
      <c r="AD2968" s="25" t="s">
        <v>824</v>
      </c>
      <c r="AE2968" s="25" t="s">
        <v>824</v>
      </c>
    </row>
    <row r="2969" spans="20:31" ht="14.4">
      <c r="T2969" s="25" t="s">
        <v>847</v>
      </c>
      <c r="U2969" s="25" t="s">
        <v>837</v>
      </c>
      <c r="V2969" t="s">
        <v>979</v>
      </c>
      <c r="W2969" s="25" t="str">
        <f t="shared" si="65"/>
        <v>Straight Upholstered PelmetRevealSomfy External CBUS Motor</v>
      </c>
      <c r="X2969" s="25">
        <v>0</v>
      </c>
      <c r="Y2969" s="25" t="s">
        <v>824</v>
      </c>
      <c r="Z2969" s="25" t="s">
        <v>824</v>
      </c>
      <c r="AA2969" s="25" t="s">
        <v>824</v>
      </c>
      <c r="AB2969" s="25" t="s">
        <v>824</v>
      </c>
      <c r="AC2969" s="25" t="s">
        <v>821</v>
      </c>
      <c r="AD2969" s="25" t="s">
        <v>824</v>
      </c>
      <c r="AE2969" s="25" t="s">
        <v>824</v>
      </c>
    </row>
    <row r="2970" spans="20:31" ht="14.4">
      <c r="T2970" s="25" t="s">
        <v>847</v>
      </c>
      <c r="U2970" s="25" t="s">
        <v>837</v>
      </c>
      <c r="V2970" t="s">
        <v>983</v>
      </c>
      <c r="W2970" s="25" t="str">
        <f t="shared" si="65"/>
        <v>Straight Upholstered PelmetRevealSomfy External Remote Motor</v>
      </c>
      <c r="X2970" s="25">
        <v>0</v>
      </c>
      <c r="Y2970" s="25" t="s">
        <v>824</v>
      </c>
      <c r="Z2970" s="25" t="s">
        <v>824</v>
      </c>
      <c r="AA2970" s="25" t="s">
        <v>824</v>
      </c>
      <c r="AB2970" s="25" t="s">
        <v>824</v>
      </c>
      <c r="AC2970" s="25" t="s">
        <v>821</v>
      </c>
      <c r="AD2970" s="25" t="s">
        <v>824</v>
      </c>
      <c r="AE2970" s="25" t="s">
        <v>824</v>
      </c>
    </row>
    <row r="2971" spans="20:31" ht="14.4">
      <c r="T2971" s="25" t="s">
        <v>847</v>
      </c>
      <c r="U2971" s="25" t="s">
        <v>837</v>
      </c>
      <c r="V2971" t="s">
        <v>995</v>
      </c>
      <c r="W2971" s="25" t="str">
        <f t="shared" si="65"/>
        <v>Straight Upholstered PelmetRevealHD Somfy External CBUS Motor</v>
      </c>
      <c r="X2971" s="25">
        <v>0</v>
      </c>
      <c r="Y2971" s="25" t="s">
        <v>824</v>
      </c>
      <c r="Z2971" s="25" t="s">
        <v>824</v>
      </c>
      <c r="AA2971" s="25" t="s">
        <v>824</v>
      </c>
      <c r="AB2971" s="25" t="s">
        <v>824</v>
      </c>
      <c r="AC2971" s="25" t="s">
        <v>821</v>
      </c>
      <c r="AD2971" s="25" t="s">
        <v>824</v>
      </c>
      <c r="AE2971" s="25" t="s">
        <v>824</v>
      </c>
    </row>
    <row r="2972" spans="20:31" ht="14.4">
      <c r="T2972" s="25" t="s">
        <v>847</v>
      </c>
      <c r="U2972" s="25" t="s">
        <v>837</v>
      </c>
      <c r="V2972" t="s">
        <v>999</v>
      </c>
      <c r="W2972" s="25" t="str">
        <f t="shared" si="65"/>
        <v>Straight Upholstered PelmetRevealHD Somfy External Remote Motor</v>
      </c>
      <c r="X2972" s="25">
        <v>0</v>
      </c>
      <c r="Y2972" s="25" t="s">
        <v>824</v>
      </c>
      <c r="Z2972" s="25" t="s">
        <v>824</v>
      </c>
      <c r="AA2972" s="25" t="s">
        <v>824</v>
      </c>
      <c r="AB2972" s="25" t="s">
        <v>824</v>
      </c>
      <c r="AC2972" s="25" t="s">
        <v>821</v>
      </c>
      <c r="AD2972" s="25" t="s">
        <v>824</v>
      </c>
      <c r="AE2972" s="25" t="s">
        <v>824</v>
      </c>
    </row>
    <row r="2973" spans="20:31" ht="14.4">
      <c r="T2973" s="25" t="s">
        <v>887</v>
      </c>
      <c r="U2973" s="25" t="s">
        <v>816</v>
      </c>
      <c r="V2973" s="25" t="s">
        <v>823</v>
      </c>
      <c r="W2973" s="25" t="str">
        <f t="shared" si="65"/>
        <v>Zipscreen HoodingFaceChain Winder</v>
      </c>
      <c r="X2973" s="25">
        <v>12</v>
      </c>
      <c r="Y2973" s="25">
        <v>12</v>
      </c>
      <c r="Z2973" s="25">
        <v>12</v>
      </c>
      <c r="AA2973" s="25" t="s">
        <v>824</v>
      </c>
      <c r="AB2973" s="25" t="s">
        <v>818</v>
      </c>
      <c r="AC2973" s="25" t="s">
        <v>821</v>
      </c>
      <c r="AD2973" s="25" t="s">
        <v>824</v>
      </c>
      <c r="AE2973" s="25" t="s">
        <v>818</v>
      </c>
    </row>
    <row r="2974" spans="20:31" ht="14.4">
      <c r="T2974" s="25" t="s">
        <v>887</v>
      </c>
      <c r="U2974" s="25" t="s">
        <v>816</v>
      </c>
      <c r="V2974" s="25" t="s">
        <v>841</v>
      </c>
      <c r="W2974" s="25" t="str">
        <f t="shared" si="65"/>
        <v>Zipscreen HoodingFaceHD Chain Winder</v>
      </c>
      <c r="X2974" s="25">
        <v>12</v>
      </c>
      <c r="Y2974" s="25">
        <v>12</v>
      </c>
      <c r="Z2974" s="25">
        <v>12</v>
      </c>
      <c r="AA2974" s="25" t="s">
        <v>824</v>
      </c>
      <c r="AB2974" s="25" t="s">
        <v>818</v>
      </c>
      <c r="AC2974" s="25" t="s">
        <v>821</v>
      </c>
      <c r="AD2974" s="25" t="s">
        <v>824</v>
      </c>
      <c r="AE2974" s="25" t="s">
        <v>818</v>
      </c>
    </row>
    <row r="2975" spans="20:31" ht="14.4">
      <c r="T2975" s="25" t="s">
        <v>887</v>
      </c>
      <c r="U2975" s="25" t="s">
        <v>816</v>
      </c>
      <c r="V2975" s="25" t="s">
        <v>858</v>
      </c>
      <c r="W2975" s="25" t="str">
        <f t="shared" si="65"/>
        <v>Zipscreen HoodingFaceChain Winder 60mm</v>
      </c>
      <c r="X2975" s="25">
        <v>12</v>
      </c>
      <c r="Y2975" s="25">
        <v>12</v>
      </c>
      <c r="Z2975" s="25">
        <v>12</v>
      </c>
      <c r="AA2975" s="25" t="s">
        <v>824</v>
      </c>
      <c r="AB2975" s="25" t="s">
        <v>818</v>
      </c>
      <c r="AC2975" s="25" t="s">
        <v>821</v>
      </c>
      <c r="AD2975" s="25" t="s">
        <v>824</v>
      </c>
      <c r="AE2975" s="25" t="s">
        <v>818</v>
      </c>
    </row>
    <row r="2976" spans="20:31" ht="14.4">
      <c r="T2976" s="25" t="s">
        <v>887</v>
      </c>
      <c r="U2976" s="25" t="s">
        <v>816</v>
      </c>
      <c r="V2976" s="25" t="s">
        <v>865</v>
      </c>
      <c r="W2976" s="25" t="str">
        <f t="shared" si="65"/>
        <v>Zipscreen HoodingFaceChain Winder Fixed Guide</v>
      </c>
      <c r="X2976" s="25">
        <v>12</v>
      </c>
      <c r="Y2976" s="25">
        <v>12</v>
      </c>
      <c r="Z2976" s="25">
        <v>12</v>
      </c>
      <c r="AA2976" s="25" t="s">
        <v>824</v>
      </c>
      <c r="AB2976" s="25" t="s">
        <v>818</v>
      </c>
      <c r="AC2976" s="25" t="s">
        <v>821</v>
      </c>
      <c r="AD2976" s="25" t="s">
        <v>824</v>
      </c>
      <c r="AE2976" s="25" t="s">
        <v>818</v>
      </c>
    </row>
    <row r="2977" spans="20:31" ht="14.4">
      <c r="T2977" s="25" t="s">
        <v>887</v>
      </c>
      <c r="U2977" s="25" t="s">
        <v>816</v>
      </c>
      <c r="V2977" s="25" t="s">
        <v>181</v>
      </c>
      <c r="W2977" s="25" t="str">
        <f t="shared" si="65"/>
        <v>Zipscreen HoodingFaceLinked</v>
      </c>
      <c r="X2977" s="25">
        <v>12</v>
      </c>
      <c r="Y2977" s="25">
        <v>12</v>
      </c>
      <c r="Z2977" s="25">
        <v>12</v>
      </c>
      <c r="AA2977" s="25" t="s">
        <v>824</v>
      </c>
      <c r="AB2977" s="25" t="s">
        <v>818</v>
      </c>
      <c r="AC2977" s="25" t="s">
        <v>821</v>
      </c>
      <c r="AD2977" s="25" t="s">
        <v>824</v>
      </c>
      <c r="AE2977" s="25" t="s">
        <v>818</v>
      </c>
    </row>
    <row r="2978" spans="20:31" ht="14.4">
      <c r="T2978" s="25" t="s">
        <v>887</v>
      </c>
      <c r="U2978" s="25" t="s">
        <v>816</v>
      </c>
      <c r="V2978" s="25" t="s">
        <v>898</v>
      </c>
      <c r="W2978" s="25" t="str">
        <f t="shared" si="65"/>
        <v>Zipscreen HoodingFaceLinked - HD</v>
      </c>
      <c r="X2978" s="25">
        <v>12</v>
      </c>
      <c r="Y2978" s="25">
        <v>12</v>
      </c>
      <c r="Z2978" s="25">
        <v>12</v>
      </c>
      <c r="AA2978" s="25" t="s">
        <v>824</v>
      </c>
      <c r="AB2978" s="25" t="s">
        <v>818</v>
      </c>
      <c r="AC2978" s="25" t="s">
        <v>821</v>
      </c>
      <c r="AD2978" s="25" t="s">
        <v>824</v>
      </c>
      <c r="AE2978" s="25" t="s">
        <v>818</v>
      </c>
    </row>
    <row r="2979" spans="20:31" ht="14.4">
      <c r="T2979" s="25" t="s">
        <v>887</v>
      </c>
      <c r="U2979" s="25" t="s">
        <v>816</v>
      </c>
      <c r="V2979" s="25" t="s">
        <v>910</v>
      </c>
      <c r="W2979" s="25" t="str">
        <f t="shared" si="65"/>
        <v>Zipscreen HoodingFaceStandard Spring</v>
      </c>
      <c r="X2979" s="25">
        <v>12</v>
      </c>
      <c r="Y2979" s="25">
        <v>12</v>
      </c>
      <c r="Z2979" s="25">
        <v>12</v>
      </c>
      <c r="AA2979" s="25" t="s">
        <v>824</v>
      </c>
      <c r="AB2979" s="25" t="s">
        <v>818</v>
      </c>
      <c r="AC2979" s="25" t="s">
        <v>821</v>
      </c>
      <c r="AD2979" s="25" t="s">
        <v>824</v>
      </c>
      <c r="AE2979" s="25" t="s">
        <v>818</v>
      </c>
    </row>
    <row r="2980" spans="20:31" ht="14.4">
      <c r="T2980" s="25" t="s">
        <v>887</v>
      </c>
      <c r="U2980" s="25" t="s">
        <v>816</v>
      </c>
      <c r="V2980" s="25" t="s">
        <v>920</v>
      </c>
      <c r="W2980" s="25" t="str">
        <f t="shared" si="65"/>
        <v>Zipscreen HoodingFaceSmall Spring</v>
      </c>
      <c r="X2980" s="25">
        <v>12</v>
      </c>
      <c r="Y2980" s="25">
        <v>12</v>
      </c>
      <c r="Z2980" s="25">
        <v>12</v>
      </c>
      <c r="AA2980" s="25" t="s">
        <v>824</v>
      </c>
      <c r="AB2980" s="25" t="s">
        <v>818</v>
      </c>
      <c r="AC2980" s="25" t="s">
        <v>821</v>
      </c>
      <c r="AD2980" s="25" t="s">
        <v>824</v>
      </c>
      <c r="AE2980" s="25" t="s">
        <v>818</v>
      </c>
    </row>
    <row r="2981" spans="20:31" ht="14.4">
      <c r="T2981" s="25" t="s">
        <v>887</v>
      </c>
      <c r="U2981" s="25" t="s">
        <v>816</v>
      </c>
      <c r="V2981" s="25" t="s">
        <v>929</v>
      </c>
      <c r="W2981" s="25" t="str">
        <f t="shared" si="65"/>
        <v>Zipscreen HoodingFaceUniline Spring (Old Style)</v>
      </c>
      <c r="X2981" s="25">
        <v>12</v>
      </c>
      <c r="Y2981" s="25">
        <v>12</v>
      </c>
      <c r="Z2981" s="25">
        <v>12</v>
      </c>
      <c r="AA2981" s="25" t="s">
        <v>824</v>
      </c>
      <c r="AB2981" s="25" t="s">
        <v>818</v>
      </c>
      <c r="AC2981" s="25" t="s">
        <v>821</v>
      </c>
      <c r="AD2981" s="25" t="s">
        <v>824</v>
      </c>
      <c r="AE2981" s="25" t="s">
        <v>818</v>
      </c>
    </row>
    <row r="2982" spans="20:31" ht="14.4">
      <c r="T2982" s="25" t="s">
        <v>887</v>
      </c>
      <c r="U2982" s="25" t="s">
        <v>816</v>
      </c>
      <c r="V2982" s="25" t="s">
        <v>935</v>
      </c>
      <c r="W2982" s="25" t="str">
        <f t="shared" si="65"/>
        <v>Zipscreen HoodingFaceBecker Remote Motor</v>
      </c>
      <c r="X2982" s="25">
        <v>12</v>
      </c>
      <c r="Y2982" s="25">
        <v>12</v>
      </c>
      <c r="Z2982" s="25">
        <v>12</v>
      </c>
      <c r="AA2982" s="25" t="s">
        <v>824</v>
      </c>
      <c r="AB2982" s="25" t="s">
        <v>818</v>
      </c>
      <c r="AC2982" s="25" t="s">
        <v>821</v>
      </c>
      <c r="AD2982" s="25" t="s">
        <v>824</v>
      </c>
      <c r="AE2982" s="25" t="s">
        <v>818</v>
      </c>
    </row>
    <row r="2983" spans="20:31" ht="14.4">
      <c r="T2983" s="25" t="s">
        <v>887</v>
      </c>
      <c r="U2983" s="25" t="s">
        <v>816</v>
      </c>
      <c r="V2983" s="25" t="s">
        <v>939</v>
      </c>
      <c r="W2983" s="25" t="str">
        <f t="shared" si="65"/>
        <v>Zipscreen HoodingFaceBecker CBUS Motor</v>
      </c>
      <c r="X2983" s="25">
        <v>12</v>
      </c>
      <c r="Y2983" s="25">
        <v>12</v>
      </c>
      <c r="Z2983" s="25">
        <v>12</v>
      </c>
      <c r="AA2983" s="25" t="s">
        <v>824</v>
      </c>
      <c r="AB2983" s="25" t="s">
        <v>818</v>
      </c>
      <c r="AC2983" s="25" t="s">
        <v>821</v>
      </c>
      <c r="AD2983" s="25" t="s">
        <v>824</v>
      </c>
      <c r="AE2983" s="25" t="s">
        <v>818</v>
      </c>
    </row>
    <row r="2984" spans="20:31" ht="14.4">
      <c r="T2984" s="25" t="s">
        <v>887</v>
      </c>
      <c r="U2984" s="25" t="s">
        <v>816</v>
      </c>
      <c r="V2984" s="25" t="s">
        <v>946</v>
      </c>
      <c r="W2984" s="25" t="str">
        <f t="shared" si="65"/>
        <v>Zipscreen HoodingFaceBecker External Remote Motor</v>
      </c>
      <c r="X2984" s="25">
        <v>12</v>
      </c>
      <c r="Y2984" s="25">
        <v>12</v>
      </c>
      <c r="Z2984" s="25">
        <v>12</v>
      </c>
      <c r="AA2984" s="25" t="s">
        <v>824</v>
      </c>
      <c r="AB2984" s="25" t="s">
        <v>818</v>
      </c>
      <c r="AC2984" s="25" t="s">
        <v>821</v>
      </c>
      <c r="AD2984" s="25" t="s">
        <v>824</v>
      </c>
      <c r="AE2984" s="25" t="s">
        <v>818</v>
      </c>
    </row>
    <row r="2985" spans="20:31" ht="14.4">
      <c r="T2985" s="25" t="s">
        <v>887</v>
      </c>
      <c r="U2985" s="25" t="s">
        <v>816</v>
      </c>
      <c r="V2985" s="25" t="s">
        <v>951</v>
      </c>
      <c r="W2985" s="25" t="str">
        <f t="shared" si="65"/>
        <v>Zipscreen HoodingFaceBecker External CBUS Motor</v>
      </c>
      <c r="X2985" s="25">
        <v>12</v>
      </c>
      <c r="Y2985" s="25">
        <v>12</v>
      </c>
      <c r="Z2985" s="25">
        <v>12</v>
      </c>
      <c r="AA2985" s="25" t="s">
        <v>824</v>
      </c>
      <c r="AB2985" s="25" t="s">
        <v>818</v>
      </c>
      <c r="AC2985" s="25" t="s">
        <v>821</v>
      </c>
      <c r="AD2985" s="25" t="s">
        <v>824</v>
      </c>
      <c r="AE2985" s="25" t="s">
        <v>818</v>
      </c>
    </row>
    <row r="2986" spans="20:31" ht="14.4">
      <c r="T2986" s="25" t="s">
        <v>887</v>
      </c>
      <c r="U2986" s="25" t="s">
        <v>816</v>
      </c>
      <c r="V2986" s="25" t="s">
        <v>838</v>
      </c>
      <c r="W2986" s="25" t="str">
        <f t="shared" si="65"/>
        <v>Zipscreen HoodingFace1.1nm 12v Acmeda Motor</v>
      </c>
      <c r="X2986" s="25">
        <v>12</v>
      </c>
      <c r="Y2986" s="25">
        <v>12</v>
      </c>
      <c r="Z2986" s="25">
        <v>12</v>
      </c>
      <c r="AA2986" s="25" t="s">
        <v>824</v>
      </c>
      <c r="AB2986" s="25" t="s">
        <v>818</v>
      </c>
      <c r="AC2986" s="25" t="s">
        <v>821</v>
      </c>
      <c r="AD2986" s="25" t="s">
        <v>824</v>
      </c>
      <c r="AE2986" s="25" t="s">
        <v>818</v>
      </c>
    </row>
    <row r="2987" spans="20:31" ht="14.4">
      <c r="T2987" s="25" t="s">
        <v>887</v>
      </c>
      <c r="U2987" s="25" t="s">
        <v>816</v>
      </c>
      <c r="V2987" t="s">
        <v>882</v>
      </c>
      <c r="W2987" s="25" t="str">
        <f t="shared" si="65"/>
        <v>Zipscreen HoodingFace2nm 12v Acmeda Motor</v>
      </c>
      <c r="X2987" s="25">
        <v>12</v>
      </c>
      <c r="Y2987" s="25">
        <v>12</v>
      </c>
      <c r="Z2987" s="25">
        <v>12</v>
      </c>
      <c r="AA2987" s="25" t="s">
        <v>824</v>
      </c>
      <c r="AB2987" s="25" t="s">
        <v>818</v>
      </c>
      <c r="AC2987" s="25" t="s">
        <v>821</v>
      </c>
      <c r="AD2987" s="25" t="s">
        <v>824</v>
      </c>
      <c r="AE2987" s="25" t="s">
        <v>818</v>
      </c>
    </row>
    <row r="2988" spans="20:31" ht="14.4">
      <c r="T2988" s="25" t="s">
        <v>887</v>
      </c>
      <c r="U2988" s="25" t="s">
        <v>816</v>
      </c>
      <c r="V2988" t="s">
        <v>896</v>
      </c>
      <c r="W2988" s="25" t="str">
        <f t="shared" si="65"/>
        <v>Zipscreen HoodingFaceAcmeda 12v 6nm Motor</v>
      </c>
      <c r="X2988" s="25">
        <v>12</v>
      </c>
      <c r="Y2988" s="25">
        <v>12</v>
      </c>
      <c r="Z2988" s="25">
        <v>12</v>
      </c>
      <c r="AA2988" s="25" t="s">
        <v>824</v>
      </c>
      <c r="AB2988" s="25" t="s">
        <v>818</v>
      </c>
      <c r="AC2988" s="25" t="s">
        <v>821</v>
      </c>
      <c r="AD2988" s="25" t="s">
        <v>824</v>
      </c>
      <c r="AE2988" s="25" t="s">
        <v>818</v>
      </c>
    </row>
    <row r="2989" spans="20:31" ht="14.4">
      <c r="T2989" s="25" t="s">
        <v>887</v>
      </c>
      <c r="U2989" s="25" t="s">
        <v>816</v>
      </c>
      <c r="V2989" t="s">
        <v>855</v>
      </c>
      <c r="W2989" s="25" t="str">
        <f t="shared" si="65"/>
        <v>Zipscreen HoodingFace0.7nm 12v Acmeda Motor</v>
      </c>
      <c r="X2989" s="25">
        <v>12</v>
      </c>
      <c r="Y2989" s="25">
        <v>12</v>
      </c>
      <c r="Z2989" s="25">
        <v>12</v>
      </c>
      <c r="AA2989" s="25" t="s">
        <v>824</v>
      </c>
      <c r="AB2989" s="25" t="s">
        <v>818</v>
      </c>
      <c r="AC2989" s="25" t="s">
        <v>821</v>
      </c>
      <c r="AD2989" s="25" t="s">
        <v>824</v>
      </c>
      <c r="AE2989" s="25" t="s">
        <v>818</v>
      </c>
    </row>
    <row r="2990" spans="20:31" ht="14.4">
      <c r="T2990" s="25" t="s">
        <v>887</v>
      </c>
      <c r="U2990" s="25" t="s">
        <v>816</v>
      </c>
      <c r="V2990" s="25" t="s">
        <v>849</v>
      </c>
      <c r="W2990" s="25" t="str">
        <f t="shared" si="65"/>
        <v>Zipscreen HoodingFace1.1nm 12v Acmeda DCRF Motor with External Battery</v>
      </c>
      <c r="X2990" s="25">
        <v>12</v>
      </c>
      <c r="Y2990" s="25">
        <v>12</v>
      </c>
      <c r="Z2990" s="25">
        <v>12</v>
      </c>
      <c r="AA2990" s="25" t="s">
        <v>824</v>
      </c>
      <c r="AB2990" s="25" t="s">
        <v>818</v>
      </c>
      <c r="AC2990" s="25" t="s">
        <v>821</v>
      </c>
      <c r="AD2990" s="25" t="s">
        <v>824</v>
      </c>
      <c r="AE2990" s="25" t="s">
        <v>818</v>
      </c>
    </row>
    <row r="2991" spans="20:31" ht="14.4">
      <c r="T2991" s="25" t="s">
        <v>887</v>
      </c>
      <c r="U2991" s="25" t="s">
        <v>816</v>
      </c>
      <c r="V2991" s="25" t="s">
        <v>817</v>
      </c>
      <c r="W2991" s="25" t="str">
        <f t="shared" si="65"/>
        <v>Zipscreen HoodingFace1.1nm 12v Acmeda DCRF Motor</v>
      </c>
      <c r="X2991" s="25">
        <v>12</v>
      </c>
      <c r="Y2991" s="25">
        <v>12</v>
      </c>
      <c r="Z2991" s="25">
        <v>12</v>
      </c>
      <c r="AA2991" s="25" t="s">
        <v>824</v>
      </c>
      <c r="AB2991" s="25" t="s">
        <v>818</v>
      </c>
      <c r="AC2991" s="25" t="s">
        <v>821</v>
      </c>
      <c r="AD2991" s="25" t="s">
        <v>824</v>
      </c>
      <c r="AE2991" s="25" t="s">
        <v>818</v>
      </c>
    </row>
    <row r="2992" spans="20:31" ht="14.4">
      <c r="T2992" s="25" t="s">
        <v>887</v>
      </c>
      <c r="U2992" s="25" t="s">
        <v>816</v>
      </c>
      <c r="V2992" s="25" t="s">
        <v>868</v>
      </c>
      <c r="W2992" s="25" t="str">
        <f t="shared" si="65"/>
        <v>Zipscreen HoodingFace2nm 12v Acmeda DCRF Motor</v>
      </c>
      <c r="X2992" s="25">
        <v>12</v>
      </c>
      <c r="Y2992" s="25">
        <v>12</v>
      </c>
      <c r="Z2992" s="25">
        <v>12</v>
      </c>
      <c r="AA2992" s="25" t="s">
        <v>824</v>
      </c>
      <c r="AB2992" s="25" t="s">
        <v>818</v>
      </c>
      <c r="AC2992" s="25" t="s">
        <v>821</v>
      </c>
      <c r="AD2992" s="25" t="s">
        <v>824</v>
      </c>
      <c r="AE2992" s="25" t="s">
        <v>818</v>
      </c>
    </row>
    <row r="2993" spans="20:31" ht="14.4">
      <c r="T2993" s="25" t="s">
        <v>887</v>
      </c>
      <c r="U2993" s="25" t="s">
        <v>816</v>
      </c>
      <c r="V2993" t="s">
        <v>973</v>
      </c>
      <c r="W2993" s="25" t="str">
        <f t="shared" si="65"/>
        <v>Zipscreen HoodingFaceSomfy Remote Sonesse Motor</v>
      </c>
      <c r="X2993" s="25">
        <v>12</v>
      </c>
      <c r="Y2993" s="25">
        <v>12</v>
      </c>
      <c r="Z2993" s="25">
        <v>12</v>
      </c>
      <c r="AA2993" s="25" t="s">
        <v>824</v>
      </c>
      <c r="AB2993" s="25" t="s">
        <v>818</v>
      </c>
      <c r="AC2993" s="25" t="s">
        <v>821</v>
      </c>
      <c r="AD2993" s="25" t="s">
        <v>824</v>
      </c>
      <c r="AE2993" s="25" t="s">
        <v>818</v>
      </c>
    </row>
    <row r="2994" spans="20:31" ht="14.4">
      <c r="T2994" s="25" t="s">
        <v>887</v>
      </c>
      <c r="U2994" s="25" t="s">
        <v>816</v>
      </c>
      <c r="V2994" t="s">
        <v>637</v>
      </c>
      <c r="W2994" s="25" t="str">
        <f t="shared" si="65"/>
        <v>Zipscreen HoodingFaceSomfy 12v Remote Sonesse Motor</v>
      </c>
      <c r="X2994" s="25">
        <v>12</v>
      </c>
      <c r="Y2994" s="25">
        <v>12</v>
      </c>
      <c r="Z2994" s="25">
        <v>12</v>
      </c>
      <c r="AA2994" s="25" t="s">
        <v>824</v>
      </c>
      <c r="AB2994" s="25" t="s">
        <v>818</v>
      </c>
      <c r="AC2994" s="25" t="s">
        <v>821</v>
      </c>
      <c r="AD2994" s="25" t="s">
        <v>824</v>
      </c>
      <c r="AE2994" s="25" t="s">
        <v>818</v>
      </c>
    </row>
    <row r="2995" spans="20:31" ht="14.4">
      <c r="T2995" s="25" t="s">
        <v>887</v>
      </c>
      <c r="U2995" s="25" t="s">
        <v>816</v>
      </c>
      <c r="V2995" s="25" t="s">
        <v>974</v>
      </c>
      <c r="W2995" s="25" t="str">
        <f t="shared" si="65"/>
        <v>Zipscreen HoodingFaceSomfy CBUS Motor</v>
      </c>
      <c r="X2995" s="25">
        <v>12</v>
      </c>
      <c r="Y2995" s="25">
        <v>12</v>
      </c>
      <c r="Z2995" s="25">
        <v>12</v>
      </c>
      <c r="AA2995" s="25" t="s">
        <v>824</v>
      </c>
      <c r="AB2995" s="25" t="s">
        <v>818</v>
      </c>
      <c r="AC2995" s="25" t="s">
        <v>821</v>
      </c>
      <c r="AD2995" s="25" t="s">
        <v>824</v>
      </c>
      <c r="AE2995" s="25" t="s">
        <v>818</v>
      </c>
    </row>
    <row r="2996" spans="20:31" ht="14.4">
      <c r="T2996" s="25" t="s">
        <v>887</v>
      </c>
      <c r="U2996" s="25" t="s">
        <v>816</v>
      </c>
      <c r="V2996" t="s">
        <v>986</v>
      </c>
      <c r="W2996" s="25" t="str">
        <f t="shared" si="65"/>
        <v>Zipscreen HoodingFaceHD Somfy Remote Sonesse Motor</v>
      </c>
      <c r="X2996" s="25">
        <v>12</v>
      </c>
      <c r="Y2996" s="25">
        <v>12</v>
      </c>
      <c r="Z2996" s="25">
        <v>12</v>
      </c>
      <c r="AA2996" s="25" t="s">
        <v>824</v>
      </c>
      <c r="AB2996" s="25" t="s">
        <v>818</v>
      </c>
      <c r="AC2996" s="25" t="s">
        <v>821</v>
      </c>
      <c r="AD2996" s="25" t="s">
        <v>824</v>
      </c>
      <c r="AE2996" s="25" t="s">
        <v>818</v>
      </c>
    </row>
    <row r="2997" spans="20:31" ht="14.4">
      <c r="T2997" s="25" t="s">
        <v>887</v>
      </c>
      <c r="U2997" s="25" t="s">
        <v>816</v>
      </c>
      <c r="V2997" t="s">
        <v>989</v>
      </c>
      <c r="W2997" s="25" t="str">
        <f t="shared" si="65"/>
        <v>Zipscreen HoodingFaceHD Somfy 12v Remote Sonesse Motor</v>
      </c>
      <c r="X2997" s="25">
        <v>12</v>
      </c>
      <c r="Y2997" s="25">
        <v>12</v>
      </c>
      <c r="Z2997" s="25">
        <v>12</v>
      </c>
      <c r="AA2997" s="25" t="s">
        <v>824</v>
      </c>
      <c r="AB2997" s="25" t="s">
        <v>818</v>
      </c>
      <c r="AC2997" s="25" t="s">
        <v>821</v>
      </c>
      <c r="AD2997" s="25" t="s">
        <v>824</v>
      </c>
      <c r="AE2997" s="25" t="s">
        <v>818</v>
      </c>
    </row>
    <row r="2998" spans="20:31" ht="14.4">
      <c r="T2998" s="25" t="s">
        <v>887</v>
      </c>
      <c r="U2998" s="25" t="s">
        <v>816</v>
      </c>
      <c r="V2998" s="25" t="s">
        <v>992</v>
      </c>
      <c r="W2998" s="25" t="str">
        <f t="shared" si="65"/>
        <v>Zipscreen HoodingFaceHD Somfy CBUS Motor</v>
      </c>
      <c r="X2998" s="25">
        <v>12</v>
      </c>
      <c r="Y2998" s="25">
        <v>12</v>
      </c>
      <c r="Z2998" s="25">
        <v>12</v>
      </c>
      <c r="AA2998" s="25" t="s">
        <v>824</v>
      </c>
      <c r="AB2998" s="25" t="s">
        <v>818</v>
      </c>
      <c r="AC2998" s="25" t="s">
        <v>821</v>
      </c>
      <c r="AD2998" s="25" t="s">
        <v>824</v>
      </c>
      <c r="AE2998" s="25" t="s">
        <v>818</v>
      </c>
    </row>
    <row r="2999" spans="20:31" ht="14.4">
      <c r="T2999" s="25" t="s">
        <v>887</v>
      </c>
      <c r="U2999" s="25" t="s">
        <v>816</v>
      </c>
      <c r="V2999" s="25" t="s">
        <v>625</v>
      </c>
      <c r="W2999" s="25" t="str">
        <f t="shared" si="65"/>
        <v>Zipscreen HoodingFaceAcmeda E6 Motor</v>
      </c>
      <c r="X2999" s="25">
        <v>12</v>
      </c>
      <c r="Y2999" s="25">
        <v>12</v>
      </c>
      <c r="Z2999" s="25">
        <v>12</v>
      </c>
      <c r="AA2999" s="25" t="s">
        <v>824</v>
      </c>
      <c r="AB2999" s="25" t="s">
        <v>818</v>
      </c>
      <c r="AC2999" s="25" t="s">
        <v>821</v>
      </c>
      <c r="AD2999" s="25" t="s">
        <v>824</v>
      </c>
      <c r="AE2999" s="25" t="s">
        <v>818</v>
      </c>
    </row>
    <row r="3000" spans="20:31" ht="14.4">
      <c r="T3000" s="25" t="s">
        <v>887</v>
      </c>
      <c r="U3000" s="25" t="s">
        <v>816</v>
      </c>
      <c r="V3000" s="25" t="s">
        <v>626</v>
      </c>
      <c r="W3000" s="25" t="str">
        <f t="shared" si="65"/>
        <v>Zipscreen HoodingFaceAcmeda M6 Motor</v>
      </c>
      <c r="X3000" s="25">
        <v>12</v>
      </c>
      <c r="Y3000" s="25">
        <v>12</v>
      </c>
      <c r="Z3000" s="25">
        <v>12</v>
      </c>
      <c r="AA3000" s="25" t="s">
        <v>824</v>
      </c>
      <c r="AB3000" s="25" t="s">
        <v>818</v>
      </c>
      <c r="AC3000" s="25" t="s">
        <v>821</v>
      </c>
      <c r="AD3000" s="25" t="s">
        <v>824</v>
      </c>
      <c r="AE3000" s="25" t="s">
        <v>818</v>
      </c>
    </row>
    <row r="3001" spans="20:31" ht="14.4">
      <c r="T3001" s="25" t="s">
        <v>887</v>
      </c>
      <c r="U3001" s="25" t="s">
        <v>816</v>
      </c>
      <c r="V3001" s="25" t="s">
        <v>1002</v>
      </c>
      <c r="W3001" s="25" t="str">
        <f t="shared" si="65"/>
        <v>Zipscreen HoodingFaceUniline Remote Motor</v>
      </c>
      <c r="X3001" s="25">
        <v>12</v>
      </c>
      <c r="Y3001" s="25">
        <v>12</v>
      </c>
      <c r="Z3001" s="25">
        <v>12</v>
      </c>
      <c r="AA3001" s="25" t="s">
        <v>824</v>
      </c>
      <c r="AB3001" s="25" t="s">
        <v>818</v>
      </c>
      <c r="AC3001" s="25" t="s">
        <v>821</v>
      </c>
      <c r="AD3001" s="25" t="s">
        <v>824</v>
      </c>
      <c r="AE3001" s="25" t="s">
        <v>818</v>
      </c>
    </row>
    <row r="3002" spans="20:31" ht="14.4">
      <c r="T3002" s="25" t="s">
        <v>887</v>
      </c>
      <c r="U3002" s="25" t="s">
        <v>816</v>
      </c>
      <c r="V3002" s="25" t="s">
        <v>1005</v>
      </c>
      <c r="W3002" s="25" t="str">
        <f t="shared" si="65"/>
        <v>Zipscreen HoodingFaceUniline Cbus Motor</v>
      </c>
      <c r="X3002" s="25">
        <v>12</v>
      </c>
      <c r="Y3002" s="25">
        <v>12</v>
      </c>
      <c r="Z3002" s="25">
        <v>12</v>
      </c>
      <c r="AA3002" s="25" t="s">
        <v>824</v>
      </c>
      <c r="AB3002" s="25" t="s">
        <v>818</v>
      </c>
      <c r="AC3002" s="25" t="s">
        <v>821</v>
      </c>
      <c r="AD3002" s="25" t="s">
        <v>824</v>
      </c>
      <c r="AE3002" s="25" t="s">
        <v>818</v>
      </c>
    </row>
    <row r="3003" spans="20:31" ht="14.4">
      <c r="T3003" s="25" t="s">
        <v>887</v>
      </c>
      <c r="U3003" s="25" t="s">
        <v>816</v>
      </c>
      <c r="V3003" s="25" t="s">
        <v>981</v>
      </c>
      <c r="W3003" s="25" t="str">
        <f t="shared" si="65"/>
        <v>Zipscreen HoodingFaceNice Remote Motor</v>
      </c>
      <c r="X3003" s="25">
        <v>12</v>
      </c>
      <c r="Y3003" s="25">
        <v>12</v>
      </c>
      <c r="Z3003" s="25">
        <v>12</v>
      </c>
      <c r="AA3003" s="25" t="s">
        <v>824</v>
      </c>
      <c r="AB3003" s="25" t="s">
        <v>818</v>
      </c>
      <c r="AC3003" s="25" t="s">
        <v>821</v>
      </c>
      <c r="AD3003" s="25" t="s">
        <v>824</v>
      </c>
      <c r="AE3003" s="25" t="s">
        <v>818</v>
      </c>
    </row>
    <row r="3004" spans="20:31" ht="14.4">
      <c r="T3004" s="25" t="s">
        <v>887</v>
      </c>
      <c r="U3004" s="25" t="s">
        <v>816</v>
      </c>
      <c r="V3004" s="25" t="s">
        <v>976</v>
      </c>
      <c r="W3004" s="25" t="str">
        <f t="shared" si="65"/>
        <v>Zipscreen HoodingFaceNice CBus Motor</v>
      </c>
      <c r="X3004" s="25">
        <v>12</v>
      </c>
      <c r="Y3004" s="25">
        <v>12</v>
      </c>
      <c r="Z3004" s="25">
        <v>12</v>
      </c>
      <c r="AA3004" s="25" t="s">
        <v>824</v>
      </c>
      <c r="AB3004" s="25" t="s">
        <v>818</v>
      </c>
      <c r="AC3004" s="25" t="s">
        <v>821</v>
      </c>
      <c r="AD3004" s="25" t="s">
        <v>824</v>
      </c>
      <c r="AE3004" s="25" t="s">
        <v>818</v>
      </c>
    </row>
    <row r="3005" spans="20:31" ht="14.4">
      <c r="T3005" s="25" t="s">
        <v>887</v>
      </c>
      <c r="U3005" s="25" t="s">
        <v>816</v>
      </c>
      <c r="V3005" t="s">
        <v>1006</v>
      </c>
      <c r="W3005" s="25" t="str">
        <f t="shared" si="65"/>
        <v>Zipscreen HoodingFaceSunboss Chain Winder 38mm Tube</v>
      </c>
      <c r="X3005" s="25">
        <v>12</v>
      </c>
      <c r="Y3005" s="25">
        <v>12</v>
      </c>
      <c r="Z3005" s="25">
        <v>12</v>
      </c>
      <c r="AA3005" s="25" t="s">
        <v>824</v>
      </c>
      <c r="AB3005" s="25" t="s">
        <v>818</v>
      </c>
      <c r="AC3005" s="25" t="s">
        <v>821</v>
      </c>
      <c r="AD3005" s="25" t="s">
        <v>824</v>
      </c>
      <c r="AE3005" s="25" t="s">
        <v>818</v>
      </c>
    </row>
    <row r="3006" spans="20:31" ht="14.4">
      <c r="T3006" s="25" t="s">
        <v>887</v>
      </c>
      <c r="U3006" s="25" t="s">
        <v>816</v>
      </c>
      <c r="V3006" t="s">
        <v>1017</v>
      </c>
      <c r="W3006" s="25" t="str">
        <f t="shared" si="65"/>
        <v>Zipscreen HoodingFaceSunboss Chain Winder 43mm Tube</v>
      </c>
      <c r="X3006" s="25">
        <v>12</v>
      </c>
      <c r="Y3006" s="25">
        <v>12</v>
      </c>
      <c r="Z3006" s="25">
        <v>12</v>
      </c>
      <c r="AA3006" s="25" t="s">
        <v>824</v>
      </c>
      <c r="AB3006" s="25" t="s">
        <v>818</v>
      </c>
      <c r="AC3006" s="25" t="s">
        <v>821</v>
      </c>
      <c r="AD3006" s="25" t="s">
        <v>824</v>
      </c>
      <c r="AE3006" s="25" t="s">
        <v>818</v>
      </c>
    </row>
    <row r="3007" spans="20:31" ht="14.4">
      <c r="T3007" s="25" t="s">
        <v>887</v>
      </c>
      <c r="U3007" s="25" t="s">
        <v>816</v>
      </c>
      <c r="V3007" s="25" t="s">
        <v>1012</v>
      </c>
      <c r="W3007" s="25" t="str">
        <f t="shared" si="65"/>
        <v>Zipscreen HoodingFaceTBS Remote Motor</v>
      </c>
      <c r="X3007" s="25">
        <v>12</v>
      </c>
      <c r="Y3007" s="25">
        <v>12</v>
      </c>
      <c r="Z3007" s="25">
        <v>12</v>
      </c>
      <c r="AA3007" s="25" t="s">
        <v>824</v>
      </c>
      <c r="AB3007" s="25" t="s">
        <v>818</v>
      </c>
      <c r="AC3007" s="25" t="s">
        <v>821</v>
      </c>
      <c r="AD3007" s="25" t="s">
        <v>824</v>
      </c>
      <c r="AE3007" s="25" t="s">
        <v>818</v>
      </c>
    </row>
    <row r="3008" spans="20:31" ht="14.4">
      <c r="T3008" s="25" t="s">
        <v>887</v>
      </c>
      <c r="U3008" s="25" t="s">
        <v>816</v>
      </c>
      <c r="V3008" t="s">
        <v>1009</v>
      </c>
      <c r="W3008" s="25" t="str">
        <f t="shared" si="65"/>
        <v>Zipscreen HoodingFaceTBS Cbus Motor</v>
      </c>
      <c r="X3008" s="25">
        <v>12</v>
      </c>
      <c r="Y3008" s="25">
        <v>12</v>
      </c>
      <c r="Z3008" s="25">
        <v>12</v>
      </c>
      <c r="AA3008" s="25" t="s">
        <v>824</v>
      </c>
      <c r="AB3008" s="25" t="s">
        <v>818</v>
      </c>
      <c r="AC3008" s="25" t="s">
        <v>821</v>
      </c>
      <c r="AD3008" s="25" t="s">
        <v>824</v>
      </c>
      <c r="AE3008" s="25" t="s">
        <v>818</v>
      </c>
    </row>
    <row r="3009" spans="20:31" ht="14.4">
      <c r="T3009" s="25" t="s">
        <v>887</v>
      </c>
      <c r="U3009" s="25" t="s">
        <v>816</v>
      </c>
      <c r="V3009" t="s">
        <v>927</v>
      </c>
      <c r="W3009" s="25" t="str">
        <f t="shared" si="65"/>
        <v>Zipscreen HoodingFaceAcmeda External Motor</v>
      </c>
      <c r="X3009" s="25">
        <v>12</v>
      </c>
      <c r="Y3009" s="25">
        <v>12</v>
      </c>
      <c r="Z3009" s="25">
        <v>12</v>
      </c>
      <c r="AA3009" s="25" t="s">
        <v>824</v>
      </c>
      <c r="AB3009" s="25" t="s">
        <v>818</v>
      </c>
      <c r="AC3009" s="25" t="s">
        <v>821</v>
      </c>
      <c r="AD3009" s="25" t="s">
        <v>824</v>
      </c>
      <c r="AE3009" s="25" t="s">
        <v>818</v>
      </c>
    </row>
    <row r="3010" spans="20:31" ht="14.4">
      <c r="T3010" s="25" t="s">
        <v>887</v>
      </c>
      <c r="U3010" s="25" t="s">
        <v>816</v>
      </c>
      <c r="V3010" t="s">
        <v>918</v>
      </c>
      <c r="W3010" s="25" t="str">
        <f t="shared" si="65"/>
        <v>Zipscreen HoodingFaceAcmeda External 12v Motor</v>
      </c>
      <c r="X3010" s="25">
        <v>12</v>
      </c>
      <c r="Y3010" s="25">
        <v>12</v>
      </c>
      <c r="Z3010" s="25">
        <v>12</v>
      </c>
      <c r="AA3010" s="25" t="s">
        <v>824</v>
      </c>
      <c r="AB3010" s="25" t="s">
        <v>818</v>
      </c>
      <c r="AC3010" s="25" t="s">
        <v>821</v>
      </c>
      <c r="AD3010" s="25" t="s">
        <v>824</v>
      </c>
      <c r="AE3010" s="25" t="s">
        <v>818</v>
      </c>
    </row>
    <row r="3011" spans="20:31" ht="14.4">
      <c r="T3011" s="25" t="s">
        <v>887</v>
      </c>
      <c r="U3011" s="25" t="s">
        <v>816</v>
      </c>
      <c r="V3011" t="s">
        <v>979</v>
      </c>
      <c r="W3011" s="25" t="str">
        <f t="shared" si="66" ref="W3011:W3074">CONCATENATE(T3011,U3011,V3011)</f>
        <v>Zipscreen HoodingFaceSomfy External CBUS Motor</v>
      </c>
      <c r="X3011" s="25">
        <v>12</v>
      </c>
      <c r="Y3011" s="25">
        <v>12</v>
      </c>
      <c r="Z3011" s="25">
        <v>12</v>
      </c>
      <c r="AA3011" s="25" t="s">
        <v>824</v>
      </c>
      <c r="AB3011" s="25" t="s">
        <v>818</v>
      </c>
      <c r="AC3011" s="25" t="s">
        <v>821</v>
      </c>
      <c r="AD3011" s="25" t="s">
        <v>824</v>
      </c>
      <c r="AE3011" s="25" t="s">
        <v>818</v>
      </c>
    </row>
    <row r="3012" spans="20:31" ht="14.4">
      <c r="T3012" s="25" t="s">
        <v>887</v>
      </c>
      <c r="U3012" s="25" t="s">
        <v>816</v>
      </c>
      <c r="V3012" t="s">
        <v>983</v>
      </c>
      <c r="W3012" s="25" t="str">
        <f t="shared" si="66"/>
        <v>Zipscreen HoodingFaceSomfy External Remote Motor</v>
      </c>
      <c r="X3012" s="25">
        <v>12</v>
      </c>
      <c r="Y3012" s="25">
        <v>12</v>
      </c>
      <c r="Z3012" s="25">
        <v>12</v>
      </c>
      <c r="AA3012" s="25" t="s">
        <v>824</v>
      </c>
      <c r="AB3012" s="25" t="s">
        <v>818</v>
      </c>
      <c r="AC3012" s="25" t="s">
        <v>821</v>
      </c>
      <c r="AD3012" s="25" t="s">
        <v>824</v>
      </c>
      <c r="AE3012" s="25" t="s">
        <v>818</v>
      </c>
    </row>
    <row r="3013" spans="20:31" ht="14.4">
      <c r="T3013" s="25" t="s">
        <v>887</v>
      </c>
      <c r="U3013" s="25" t="s">
        <v>816</v>
      </c>
      <c r="V3013" t="s">
        <v>995</v>
      </c>
      <c r="W3013" s="25" t="str">
        <f t="shared" si="66"/>
        <v>Zipscreen HoodingFaceHD Somfy External CBUS Motor</v>
      </c>
      <c r="X3013" s="25">
        <v>12</v>
      </c>
      <c r="Y3013" s="25">
        <v>12</v>
      </c>
      <c r="Z3013" s="25">
        <v>12</v>
      </c>
      <c r="AA3013" s="25" t="s">
        <v>824</v>
      </c>
      <c r="AB3013" s="25" t="s">
        <v>818</v>
      </c>
      <c r="AC3013" s="25" t="s">
        <v>821</v>
      </c>
      <c r="AD3013" s="25" t="s">
        <v>824</v>
      </c>
      <c r="AE3013" s="25" t="s">
        <v>818</v>
      </c>
    </row>
    <row r="3014" spans="20:31" ht="14.4">
      <c r="T3014" s="25" t="s">
        <v>887</v>
      </c>
      <c r="U3014" s="25" t="s">
        <v>816</v>
      </c>
      <c r="V3014" t="s">
        <v>999</v>
      </c>
      <c r="W3014" s="25" t="str">
        <f t="shared" si="66"/>
        <v>Zipscreen HoodingFaceHD Somfy External Remote Motor</v>
      </c>
      <c r="X3014" s="25">
        <v>12</v>
      </c>
      <c r="Y3014" s="25">
        <v>12</v>
      </c>
      <c r="Z3014" s="25">
        <v>12</v>
      </c>
      <c r="AA3014" s="25" t="s">
        <v>824</v>
      </c>
      <c r="AB3014" s="25" t="s">
        <v>818</v>
      </c>
      <c r="AC3014" s="25" t="s">
        <v>821</v>
      </c>
      <c r="AD3014" s="25" t="s">
        <v>824</v>
      </c>
      <c r="AE3014" s="25" t="s">
        <v>818</v>
      </c>
    </row>
    <row r="3015" spans="20:31" ht="14.4">
      <c r="T3015" s="25" t="s">
        <v>887</v>
      </c>
      <c r="U3015" s="25" t="s">
        <v>854</v>
      </c>
      <c r="V3015" s="25" t="s">
        <v>823</v>
      </c>
      <c r="W3015" s="25" t="str">
        <f t="shared" si="66"/>
        <v>Zipscreen HoodingTop FixChain Winder</v>
      </c>
      <c r="X3015" s="25">
        <v>12</v>
      </c>
      <c r="Y3015" s="25">
        <v>12</v>
      </c>
      <c r="Z3015" s="25">
        <v>12</v>
      </c>
      <c r="AA3015" s="25" t="s">
        <v>824</v>
      </c>
      <c r="AB3015" s="25" t="s">
        <v>818</v>
      </c>
      <c r="AC3015" s="25" t="s">
        <v>821</v>
      </c>
      <c r="AD3015" s="25" t="s">
        <v>824</v>
      </c>
      <c r="AE3015" s="25" t="s">
        <v>818</v>
      </c>
    </row>
    <row r="3016" spans="20:31" ht="14.4">
      <c r="T3016" s="25" t="s">
        <v>887</v>
      </c>
      <c r="U3016" s="25" t="s">
        <v>854</v>
      </c>
      <c r="V3016" s="25" t="s">
        <v>841</v>
      </c>
      <c r="W3016" s="25" t="str">
        <f t="shared" si="66"/>
        <v>Zipscreen HoodingTop FixHD Chain Winder</v>
      </c>
      <c r="X3016" s="25">
        <v>12</v>
      </c>
      <c r="Y3016" s="25">
        <v>12</v>
      </c>
      <c r="Z3016" s="25">
        <v>12</v>
      </c>
      <c r="AA3016" s="25" t="s">
        <v>824</v>
      </c>
      <c r="AB3016" s="25" t="s">
        <v>818</v>
      </c>
      <c r="AC3016" s="25" t="s">
        <v>821</v>
      </c>
      <c r="AD3016" s="25" t="s">
        <v>824</v>
      </c>
      <c r="AE3016" s="25" t="s">
        <v>818</v>
      </c>
    </row>
    <row r="3017" spans="20:31" ht="14.4">
      <c r="T3017" s="25" t="s">
        <v>887</v>
      </c>
      <c r="U3017" s="25" t="s">
        <v>854</v>
      </c>
      <c r="V3017" s="25" t="s">
        <v>858</v>
      </c>
      <c r="W3017" s="25" t="str">
        <f t="shared" si="66"/>
        <v>Zipscreen HoodingTop FixChain Winder 60mm</v>
      </c>
      <c r="X3017" s="25">
        <v>12</v>
      </c>
      <c r="Y3017" s="25">
        <v>12</v>
      </c>
      <c r="Z3017" s="25">
        <v>12</v>
      </c>
      <c r="AA3017" s="25" t="s">
        <v>824</v>
      </c>
      <c r="AB3017" s="25" t="s">
        <v>818</v>
      </c>
      <c r="AC3017" s="25" t="s">
        <v>821</v>
      </c>
      <c r="AD3017" s="25" t="s">
        <v>824</v>
      </c>
      <c r="AE3017" s="25" t="s">
        <v>818</v>
      </c>
    </row>
    <row r="3018" spans="20:31" ht="14.4">
      <c r="T3018" s="25" t="s">
        <v>887</v>
      </c>
      <c r="U3018" s="25" t="s">
        <v>854</v>
      </c>
      <c r="V3018" s="25" t="s">
        <v>865</v>
      </c>
      <c r="W3018" s="25" t="str">
        <f t="shared" si="66"/>
        <v>Zipscreen HoodingTop FixChain Winder Fixed Guide</v>
      </c>
      <c r="X3018" s="25">
        <v>12</v>
      </c>
      <c r="Y3018" s="25">
        <v>12</v>
      </c>
      <c r="Z3018" s="25">
        <v>12</v>
      </c>
      <c r="AA3018" s="25" t="s">
        <v>824</v>
      </c>
      <c r="AB3018" s="25" t="s">
        <v>818</v>
      </c>
      <c r="AC3018" s="25" t="s">
        <v>821</v>
      </c>
      <c r="AD3018" s="25" t="s">
        <v>824</v>
      </c>
      <c r="AE3018" s="25" t="s">
        <v>818</v>
      </c>
    </row>
    <row r="3019" spans="20:31" ht="14.4">
      <c r="T3019" s="25" t="s">
        <v>887</v>
      </c>
      <c r="U3019" s="25" t="s">
        <v>854</v>
      </c>
      <c r="V3019" s="25" t="s">
        <v>181</v>
      </c>
      <c r="W3019" s="25" t="str">
        <f t="shared" si="66"/>
        <v>Zipscreen HoodingTop FixLinked</v>
      </c>
      <c r="X3019" s="25">
        <v>12</v>
      </c>
      <c r="Y3019" s="25">
        <v>12</v>
      </c>
      <c r="Z3019" s="25">
        <v>12</v>
      </c>
      <c r="AA3019" s="25" t="s">
        <v>824</v>
      </c>
      <c r="AB3019" s="25" t="s">
        <v>818</v>
      </c>
      <c r="AC3019" s="25" t="s">
        <v>821</v>
      </c>
      <c r="AD3019" s="25" t="s">
        <v>824</v>
      </c>
      <c r="AE3019" s="25" t="s">
        <v>818</v>
      </c>
    </row>
    <row r="3020" spans="20:31" ht="14.4">
      <c r="T3020" s="25" t="s">
        <v>887</v>
      </c>
      <c r="U3020" s="25" t="s">
        <v>854</v>
      </c>
      <c r="V3020" s="25" t="s">
        <v>898</v>
      </c>
      <c r="W3020" s="25" t="str">
        <f t="shared" si="66"/>
        <v>Zipscreen HoodingTop FixLinked - HD</v>
      </c>
      <c r="X3020" s="25">
        <v>12</v>
      </c>
      <c r="Y3020" s="25">
        <v>12</v>
      </c>
      <c r="Z3020" s="25">
        <v>12</v>
      </c>
      <c r="AA3020" s="25" t="s">
        <v>824</v>
      </c>
      <c r="AB3020" s="25" t="s">
        <v>818</v>
      </c>
      <c r="AC3020" s="25" t="s">
        <v>821</v>
      </c>
      <c r="AD3020" s="25" t="s">
        <v>824</v>
      </c>
      <c r="AE3020" s="25" t="s">
        <v>818</v>
      </c>
    </row>
    <row r="3021" spans="20:31" ht="14.4">
      <c r="T3021" s="25" t="s">
        <v>887</v>
      </c>
      <c r="U3021" s="25" t="s">
        <v>854</v>
      </c>
      <c r="V3021" s="25" t="s">
        <v>910</v>
      </c>
      <c r="W3021" s="25" t="str">
        <f t="shared" si="66"/>
        <v>Zipscreen HoodingTop FixStandard Spring</v>
      </c>
      <c r="X3021" s="25">
        <v>12</v>
      </c>
      <c r="Y3021" s="25">
        <v>12</v>
      </c>
      <c r="Z3021" s="25">
        <v>12</v>
      </c>
      <c r="AA3021" s="25" t="s">
        <v>824</v>
      </c>
      <c r="AB3021" s="25" t="s">
        <v>818</v>
      </c>
      <c r="AC3021" s="25" t="s">
        <v>821</v>
      </c>
      <c r="AD3021" s="25" t="s">
        <v>824</v>
      </c>
      <c r="AE3021" s="25" t="s">
        <v>818</v>
      </c>
    </row>
    <row r="3022" spans="20:31" ht="14.4">
      <c r="T3022" s="25" t="s">
        <v>887</v>
      </c>
      <c r="U3022" s="25" t="s">
        <v>854</v>
      </c>
      <c r="V3022" s="25" t="s">
        <v>920</v>
      </c>
      <c r="W3022" s="25" t="str">
        <f t="shared" si="66"/>
        <v>Zipscreen HoodingTop FixSmall Spring</v>
      </c>
      <c r="X3022" s="25">
        <v>12</v>
      </c>
      <c r="Y3022" s="25">
        <v>12</v>
      </c>
      <c r="Z3022" s="25">
        <v>12</v>
      </c>
      <c r="AA3022" s="25" t="s">
        <v>824</v>
      </c>
      <c r="AB3022" s="25" t="s">
        <v>818</v>
      </c>
      <c r="AC3022" s="25" t="s">
        <v>821</v>
      </c>
      <c r="AD3022" s="25" t="s">
        <v>824</v>
      </c>
      <c r="AE3022" s="25" t="s">
        <v>818</v>
      </c>
    </row>
    <row r="3023" spans="20:31" ht="14.4">
      <c r="T3023" s="25" t="s">
        <v>887</v>
      </c>
      <c r="U3023" s="25" t="s">
        <v>854</v>
      </c>
      <c r="V3023" s="25" t="s">
        <v>929</v>
      </c>
      <c r="W3023" s="25" t="str">
        <f t="shared" si="66"/>
        <v>Zipscreen HoodingTop FixUniline Spring (Old Style)</v>
      </c>
      <c r="X3023" s="25">
        <v>12</v>
      </c>
      <c r="Y3023" s="25">
        <v>12</v>
      </c>
      <c r="Z3023" s="25">
        <v>12</v>
      </c>
      <c r="AA3023" s="25" t="s">
        <v>824</v>
      </c>
      <c r="AB3023" s="25" t="s">
        <v>818</v>
      </c>
      <c r="AC3023" s="25" t="s">
        <v>821</v>
      </c>
      <c r="AD3023" s="25" t="s">
        <v>824</v>
      </c>
      <c r="AE3023" s="25" t="s">
        <v>818</v>
      </c>
    </row>
    <row r="3024" spans="20:31" ht="14.4">
      <c r="T3024" s="25" t="s">
        <v>887</v>
      </c>
      <c r="U3024" s="25" t="s">
        <v>854</v>
      </c>
      <c r="V3024" s="25" t="s">
        <v>935</v>
      </c>
      <c r="W3024" s="25" t="str">
        <f t="shared" si="66"/>
        <v>Zipscreen HoodingTop FixBecker Remote Motor</v>
      </c>
      <c r="X3024" s="25">
        <v>12</v>
      </c>
      <c r="Y3024" s="25">
        <v>12</v>
      </c>
      <c r="Z3024" s="25">
        <v>12</v>
      </c>
      <c r="AA3024" s="25" t="s">
        <v>824</v>
      </c>
      <c r="AB3024" s="25" t="s">
        <v>818</v>
      </c>
      <c r="AC3024" s="25" t="s">
        <v>821</v>
      </c>
      <c r="AD3024" s="25" t="s">
        <v>824</v>
      </c>
      <c r="AE3024" s="25" t="s">
        <v>818</v>
      </c>
    </row>
    <row r="3025" spans="20:31" ht="14.4">
      <c r="T3025" s="25" t="s">
        <v>887</v>
      </c>
      <c r="U3025" s="25" t="s">
        <v>854</v>
      </c>
      <c r="V3025" s="25" t="s">
        <v>939</v>
      </c>
      <c r="W3025" s="25" t="str">
        <f t="shared" si="66"/>
        <v>Zipscreen HoodingTop FixBecker CBUS Motor</v>
      </c>
      <c r="X3025" s="25">
        <v>12</v>
      </c>
      <c r="Y3025" s="25">
        <v>12</v>
      </c>
      <c r="Z3025" s="25">
        <v>12</v>
      </c>
      <c r="AA3025" s="25" t="s">
        <v>824</v>
      </c>
      <c r="AB3025" s="25" t="s">
        <v>818</v>
      </c>
      <c r="AC3025" s="25" t="s">
        <v>821</v>
      </c>
      <c r="AD3025" s="25" t="s">
        <v>824</v>
      </c>
      <c r="AE3025" s="25" t="s">
        <v>818</v>
      </c>
    </row>
    <row r="3026" spans="20:31" ht="14.4">
      <c r="T3026" s="25" t="s">
        <v>887</v>
      </c>
      <c r="U3026" s="25" t="s">
        <v>854</v>
      </c>
      <c r="V3026" s="25" t="s">
        <v>946</v>
      </c>
      <c r="W3026" s="25" t="str">
        <f t="shared" si="66"/>
        <v>Zipscreen HoodingTop FixBecker External Remote Motor</v>
      </c>
      <c r="X3026" s="25">
        <v>12</v>
      </c>
      <c r="Y3026" s="25">
        <v>12</v>
      </c>
      <c r="Z3026" s="25">
        <v>12</v>
      </c>
      <c r="AA3026" s="25" t="s">
        <v>824</v>
      </c>
      <c r="AB3026" s="25" t="s">
        <v>818</v>
      </c>
      <c r="AC3026" s="25" t="s">
        <v>821</v>
      </c>
      <c r="AD3026" s="25" t="s">
        <v>824</v>
      </c>
      <c r="AE3026" s="25" t="s">
        <v>818</v>
      </c>
    </row>
    <row r="3027" spans="20:31" ht="14.4">
      <c r="T3027" s="25" t="s">
        <v>887</v>
      </c>
      <c r="U3027" s="25" t="s">
        <v>854</v>
      </c>
      <c r="V3027" s="25" t="s">
        <v>951</v>
      </c>
      <c r="W3027" s="25" t="str">
        <f t="shared" si="66"/>
        <v>Zipscreen HoodingTop FixBecker External CBUS Motor</v>
      </c>
      <c r="X3027" s="25">
        <v>12</v>
      </c>
      <c r="Y3027" s="25">
        <v>12</v>
      </c>
      <c r="Z3027" s="25">
        <v>12</v>
      </c>
      <c r="AA3027" s="25" t="s">
        <v>824</v>
      </c>
      <c r="AB3027" s="25" t="s">
        <v>818</v>
      </c>
      <c r="AC3027" s="25" t="s">
        <v>821</v>
      </c>
      <c r="AD3027" s="25" t="s">
        <v>824</v>
      </c>
      <c r="AE3027" s="25" t="s">
        <v>818</v>
      </c>
    </row>
    <row r="3028" spans="20:31" ht="14.4">
      <c r="T3028" s="25" t="s">
        <v>887</v>
      </c>
      <c r="U3028" s="25" t="s">
        <v>854</v>
      </c>
      <c r="V3028" s="25" t="s">
        <v>838</v>
      </c>
      <c r="W3028" s="25" t="str">
        <f t="shared" si="66"/>
        <v>Zipscreen HoodingTop Fix1.1nm 12v Acmeda Motor</v>
      </c>
      <c r="X3028" s="25">
        <v>12</v>
      </c>
      <c r="Y3028" s="25">
        <v>12</v>
      </c>
      <c r="Z3028" s="25">
        <v>12</v>
      </c>
      <c r="AA3028" s="25" t="s">
        <v>824</v>
      </c>
      <c r="AB3028" s="25" t="s">
        <v>818</v>
      </c>
      <c r="AC3028" s="25" t="s">
        <v>821</v>
      </c>
      <c r="AD3028" s="25" t="s">
        <v>824</v>
      </c>
      <c r="AE3028" s="25" t="s">
        <v>818</v>
      </c>
    </row>
    <row r="3029" spans="20:31" ht="14.4">
      <c r="T3029" s="25" t="s">
        <v>887</v>
      </c>
      <c r="U3029" s="25" t="s">
        <v>854</v>
      </c>
      <c r="V3029" t="s">
        <v>882</v>
      </c>
      <c r="W3029" s="25" t="str">
        <f t="shared" si="66"/>
        <v>Zipscreen HoodingTop Fix2nm 12v Acmeda Motor</v>
      </c>
      <c r="X3029" s="25">
        <v>12</v>
      </c>
      <c r="Y3029" s="25">
        <v>12</v>
      </c>
      <c r="Z3029" s="25">
        <v>12</v>
      </c>
      <c r="AA3029" s="25" t="s">
        <v>824</v>
      </c>
      <c r="AB3029" s="25" t="s">
        <v>818</v>
      </c>
      <c r="AC3029" s="25" t="s">
        <v>821</v>
      </c>
      <c r="AD3029" s="25" t="s">
        <v>824</v>
      </c>
      <c r="AE3029" s="25" t="s">
        <v>818</v>
      </c>
    </row>
    <row r="3030" spans="20:31" ht="14.4">
      <c r="T3030" s="25" t="s">
        <v>887</v>
      </c>
      <c r="U3030" s="25" t="s">
        <v>854</v>
      </c>
      <c r="V3030" t="s">
        <v>896</v>
      </c>
      <c r="W3030" s="25" t="str">
        <f t="shared" si="66"/>
        <v>Zipscreen HoodingTop FixAcmeda 12v 6nm Motor</v>
      </c>
      <c r="X3030" s="25">
        <v>12</v>
      </c>
      <c r="Y3030" s="25">
        <v>12</v>
      </c>
      <c r="Z3030" s="25">
        <v>12</v>
      </c>
      <c r="AA3030" s="25" t="s">
        <v>824</v>
      </c>
      <c r="AB3030" s="25" t="s">
        <v>818</v>
      </c>
      <c r="AC3030" s="25" t="s">
        <v>821</v>
      </c>
      <c r="AD3030" s="25" t="s">
        <v>824</v>
      </c>
      <c r="AE3030" s="25" t="s">
        <v>818</v>
      </c>
    </row>
    <row r="3031" spans="20:31" ht="14.4">
      <c r="T3031" s="25" t="s">
        <v>887</v>
      </c>
      <c r="U3031" s="25" t="s">
        <v>854</v>
      </c>
      <c r="V3031" t="s">
        <v>855</v>
      </c>
      <c r="W3031" s="25" t="str">
        <f t="shared" si="66"/>
        <v>Zipscreen HoodingTop Fix0.7nm 12v Acmeda Motor</v>
      </c>
      <c r="X3031" s="25">
        <v>12</v>
      </c>
      <c r="Y3031" s="25">
        <v>12</v>
      </c>
      <c r="Z3031" s="25">
        <v>12</v>
      </c>
      <c r="AA3031" s="25" t="s">
        <v>824</v>
      </c>
      <c r="AB3031" s="25" t="s">
        <v>818</v>
      </c>
      <c r="AC3031" s="25" t="s">
        <v>821</v>
      </c>
      <c r="AD3031" s="25" t="s">
        <v>824</v>
      </c>
      <c r="AE3031" s="25" t="s">
        <v>818</v>
      </c>
    </row>
    <row r="3032" spans="20:31" ht="14.4">
      <c r="T3032" s="25" t="s">
        <v>887</v>
      </c>
      <c r="U3032" s="25" t="s">
        <v>854</v>
      </c>
      <c r="V3032" s="25" t="s">
        <v>849</v>
      </c>
      <c r="W3032" s="25" t="str">
        <f t="shared" si="66"/>
        <v>Zipscreen HoodingTop Fix1.1nm 12v Acmeda DCRF Motor with External Battery</v>
      </c>
      <c r="X3032" s="25">
        <v>12</v>
      </c>
      <c r="Y3032" s="25">
        <v>12</v>
      </c>
      <c r="Z3032" s="25">
        <v>12</v>
      </c>
      <c r="AA3032" s="25" t="s">
        <v>824</v>
      </c>
      <c r="AB3032" s="25" t="s">
        <v>818</v>
      </c>
      <c r="AC3032" s="25" t="s">
        <v>821</v>
      </c>
      <c r="AD3032" s="25" t="s">
        <v>824</v>
      </c>
      <c r="AE3032" s="25" t="s">
        <v>818</v>
      </c>
    </row>
    <row r="3033" spans="20:31" ht="14.4">
      <c r="T3033" s="25" t="s">
        <v>887</v>
      </c>
      <c r="U3033" s="25" t="s">
        <v>854</v>
      </c>
      <c r="V3033" s="25" t="s">
        <v>817</v>
      </c>
      <c r="W3033" s="25" t="str">
        <f t="shared" si="66"/>
        <v>Zipscreen HoodingTop Fix1.1nm 12v Acmeda DCRF Motor</v>
      </c>
      <c r="X3033" s="25">
        <v>12</v>
      </c>
      <c r="Y3033" s="25">
        <v>12</v>
      </c>
      <c r="Z3033" s="25">
        <v>12</v>
      </c>
      <c r="AA3033" s="25" t="s">
        <v>824</v>
      </c>
      <c r="AB3033" s="25" t="s">
        <v>818</v>
      </c>
      <c r="AC3033" s="25" t="s">
        <v>821</v>
      </c>
      <c r="AD3033" s="25" t="s">
        <v>824</v>
      </c>
      <c r="AE3033" s="25" t="s">
        <v>818</v>
      </c>
    </row>
    <row r="3034" spans="20:31" ht="14.4">
      <c r="T3034" s="25" t="s">
        <v>887</v>
      </c>
      <c r="U3034" s="25" t="s">
        <v>854</v>
      </c>
      <c r="V3034" s="25" t="s">
        <v>868</v>
      </c>
      <c r="W3034" s="25" t="str">
        <f t="shared" si="66"/>
        <v>Zipscreen HoodingTop Fix2nm 12v Acmeda DCRF Motor</v>
      </c>
      <c r="X3034" s="25">
        <v>12</v>
      </c>
      <c r="Y3034" s="25">
        <v>12</v>
      </c>
      <c r="Z3034" s="25">
        <v>12</v>
      </c>
      <c r="AA3034" s="25" t="s">
        <v>824</v>
      </c>
      <c r="AB3034" s="25" t="s">
        <v>818</v>
      </c>
      <c r="AC3034" s="25" t="s">
        <v>821</v>
      </c>
      <c r="AD3034" s="25" t="s">
        <v>824</v>
      </c>
      <c r="AE3034" s="25" t="s">
        <v>818</v>
      </c>
    </row>
    <row r="3035" spans="20:31" ht="14.4">
      <c r="T3035" s="25" t="s">
        <v>887</v>
      </c>
      <c r="U3035" s="25" t="s">
        <v>854</v>
      </c>
      <c r="V3035" t="s">
        <v>973</v>
      </c>
      <c r="W3035" s="25" t="str">
        <f t="shared" si="66"/>
        <v>Zipscreen HoodingTop FixSomfy Remote Sonesse Motor</v>
      </c>
      <c r="X3035" s="25">
        <v>12</v>
      </c>
      <c r="Y3035" s="25">
        <v>12</v>
      </c>
      <c r="Z3035" s="25">
        <v>12</v>
      </c>
      <c r="AA3035" s="25" t="s">
        <v>824</v>
      </c>
      <c r="AB3035" s="25" t="s">
        <v>818</v>
      </c>
      <c r="AC3035" s="25" t="s">
        <v>821</v>
      </c>
      <c r="AD3035" s="25" t="s">
        <v>824</v>
      </c>
      <c r="AE3035" s="25" t="s">
        <v>818</v>
      </c>
    </row>
    <row r="3036" spans="20:31" ht="14.4">
      <c r="T3036" s="25" t="s">
        <v>887</v>
      </c>
      <c r="U3036" s="25" t="s">
        <v>854</v>
      </c>
      <c r="V3036" t="s">
        <v>637</v>
      </c>
      <c r="W3036" s="25" t="str">
        <f t="shared" si="66"/>
        <v>Zipscreen HoodingTop FixSomfy 12v Remote Sonesse Motor</v>
      </c>
      <c r="X3036" s="25">
        <v>12</v>
      </c>
      <c r="Y3036" s="25">
        <v>12</v>
      </c>
      <c r="Z3036" s="25">
        <v>12</v>
      </c>
      <c r="AA3036" s="25" t="s">
        <v>824</v>
      </c>
      <c r="AB3036" s="25" t="s">
        <v>818</v>
      </c>
      <c r="AC3036" s="25" t="s">
        <v>821</v>
      </c>
      <c r="AD3036" s="25" t="s">
        <v>824</v>
      </c>
      <c r="AE3036" s="25" t="s">
        <v>818</v>
      </c>
    </row>
    <row r="3037" spans="20:31" ht="14.4">
      <c r="T3037" s="25" t="s">
        <v>887</v>
      </c>
      <c r="U3037" s="25" t="s">
        <v>854</v>
      </c>
      <c r="V3037" s="25" t="s">
        <v>974</v>
      </c>
      <c r="W3037" s="25" t="str">
        <f t="shared" si="66"/>
        <v>Zipscreen HoodingTop FixSomfy CBUS Motor</v>
      </c>
      <c r="X3037" s="25">
        <v>12</v>
      </c>
      <c r="Y3037" s="25">
        <v>12</v>
      </c>
      <c r="Z3037" s="25">
        <v>12</v>
      </c>
      <c r="AA3037" s="25" t="s">
        <v>824</v>
      </c>
      <c r="AB3037" s="25" t="s">
        <v>818</v>
      </c>
      <c r="AC3037" s="25" t="s">
        <v>821</v>
      </c>
      <c r="AD3037" s="25" t="s">
        <v>824</v>
      </c>
      <c r="AE3037" s="25" t="s">
        <v>818</v>
      </c>
    </row>
    <row r="3038" spans="20:31" ht="14.4">
      <c r="T3038" s="25" t="s">
        <v>887</v>
      </c>
      <c r="U3038" s="25" t="s">
        <v>854</v>
      </c>
      <c r="V3038" t="s">
        <v>986</v>
      </c>
      <c r="W3038" s="25" t="str">
        <f t="shared" si="66"/>
        <v>Zipscreen HoodingTop FixHD Somfy Remote Sonesse Motor</v>
      </c>
      <c r="X3038" s="25">
        <v>12</v>
      </c>
      <c r="Y3038" s="25">
        <v>12</v>
      </c>
      <c r="Z3038" s="25">
        <v>12</v>
      </c>
      <c r="AA3038" s="25" t="s">
        <v>824</v>
      </c>
      <c r="AB3038" s="25" t="s">
        <v>818</v>
      </c>
      <c r="AC3038" s="25" t="s">
        <v>821</v>
      </c>
      <c r="AD3038" s="25" t="s">
        <v>824</v>
      </c>
      <c r="AE3038" s="25" t="s">
        <v>818</v>
      </c>
    </row>
    <row r="3039" spans="20:31" ht="14.4">
      <c r="T3039" s="25" t="s">
        <v>887</v>
      </c>
      <c r="U3039" s="25" t="s">
        <v>854</v>
      </c>
      <c r="V3039" t="s">
        <v>989</v>
      </c>
      <c r="W3039" s="25" t="str">
        <f t="shared" si="66"/>
        <v>Zipscreen HoodingTop FixHD Somfy 12v Remote Sonesse Motor</v>
      </c>
      <c r="X3039" s="25">
        <v>12</v>
      </c>
      <c r="Y3039" s="25">
        <v>12</v>
      </c>
      <c r="Z3039" s="25">
        <v>12</v>
      </c>
      <c r="AA3039" s="25" t="s">
        <v>824</v>
      </c>
      <c r="AB3039" s="25" t="s">
        <v>818</v>
      </c>
      <c r="AC3039" s="25" t="s">
        <v>821</v>
      </c>
      <c r="AD3039" s="25" t="s">
        <v>824</v>
      </c>
      <c r="AE3039" s="25" t="s">
        <v>818</v>
      </c>
    </row>
    <row r="3040" spans="20:31" ht="14.4">
      <c r="T3040" s="25" t="s">
        <v>887</v>
      </c>
      <c r="U3040" s="25" t="s">
        <v>854</v>
      </c>
      <c r="V3040" s="25" t="s">
        <v>992</v>
      </c>
      <c r="W3040" s="25" t="str">
        <f t="shared" si="66"/>
        <v>Zipscreen HoodingTop FixHD Somfy CBUS Motor</v>
      </c>
      <c r="X3040" s="25">
        <v>12</v>
      </c>
      <c r="Y3040" s="25">
        <v>12</v>
      </c>
      <c r="Z3040" s="25">
        <v>12</v>
      </c>
      <c r="AA3040" s="25" t="s">
        <v>824</v>
      </c>
      <c r="AB3040" s="25" t="s">
        <v>818</v>
      </c>
      <c r="AC3040" s="25" t="s">
        <v>821</v>
      </c>
      <c r="AD3040" s="25" t="s">
        <v>824</v>
      </c>
      <c r="AE3040" s="25" t="s">
        <v>818</v>
      </c>
    </row>
    <row r="3041" spans="20:31" ht="14.4">
      <c r="T3041" s="25" t="s">
        <v>887</v>
      </c>
      <c r="U3041" s="25" t="s">
        <v>854</v>
      </c>
      <c r="V3041" s="25" t="s">
        <v>625</v>
      </c>
      <c r="W3041" s="25" t="str">
        <f t="shared" si="66"/>
        <v>Zipscreen HoodingTop FixAcmeda E6 Motor</v>
      </c>
      <c r="X3041" s="25">
        <v>12</v>
      </c>
      <c r="Y3041" s="25">
        <v>12</v>
      </c>
      <c r="Z3041" s="25">
        <v>12</v>
      </c>
      <c r="AA3041" s="25" t="s">
        <v>824</v>
      </c>
      <c r="AB3041" s="25" t="s">
        <v>818</v>
      </c>
      <c r="AC3041" s="25" t="s">
        <v>821</v>
      </c>
      <c r="AD3041" s="25" t="s">
        <v>824</v>
      </c>
      <c r="AE3041" s="25" t="s">
        <v>818</v>
      </c>
    </row>
    <row r="3042" spans="20:31" ht="14.4">
      <c r="T3042" s="25" t="s">
        <v>887</v>
      </c>
      <c r="U3042" s="25" t="s">
        <v>854</v>
      </c>
      <c r="V3042" s="25" t="s">
        <v>626</v>
      </c>
      <c r="W3042" s="25" t="str">
        <f t="shared" si="66"/>
        <v>Zipscreen HoodingTop FixAcmeda M6 Motor</v>
      </c>
      <c r="X3042" s="25">
        <v>12</v>
      </c>
      <c r="Y3042" s="25">
        <v>12</v>
      </c>
      <c r="Z3042" s="25">
        <v>12</v>
      </c>
      <c r="AA3042" s="25" t="s">
        <v>824</v>
      </c>
      <c r="AB3042" s="25" t="s">
        <v>818</v>
      </c>
      <c r="AC3042" s="25" t="s">
        <v>821</v>
      </c>
      <c r="AD3042" s="25" t="s">
        <v>824</v>
      </c>
      <c r="AE3042" s="25" t="s">
        <v>818</v>
      </c>
    </row>
    <row r="3043" spans="20:31" ht="14.4">
      <c r="T3043" s="25" t="s">
        <v>887</v>
      </c>
      <c r="U3043" s="25" t="s">
        <v>854</v>
      </c>
      <c r="V3043" s="25" t="s">
        <v>1002</v>
      </c>
      <c r="W3043" s="25" t="str">
        <f t="shared" si="66"/>
        <v>Zipscreen HoodingTop FixUniline Remote Motor</v>
      </c>
      <c r="X3043" s="25">
        <v>12</v>
      </c>
      <c r="Y3043" s="25">
        <v>12</v>
      </c>
      <c r="Z3043" s="25">
        <v>12</v>
      </c>
      <c r="AA3043" s="25" t="s">
        <v>824</v>
      </c>
      <c r="AB3043" s="25" t="s">
        <v>818</v>
      </c>
      <c r="AC3043" s="25" t="s">
        <v>821</v>
      </c>
      <c r="AD3043" s="25" t="s">
        <v>824</v>
      </c>
      <c r="AE3043" s="25" t="s">
        <v>818</v>
      </c>
    </row>
    <row r="3044" spans="20:31" ht="14.4">
      <c r="T3044" s="25" t="s">
        <v>887</v>
      </c>
      <c r="U3044" s="25" t="s">
        <v>854</v>
      </c>
      <c r="V3044" s="25" t="s">
        <v>1005</v>
      </c>
      <c r="W3044" s="25" t="str">
        <f t="shared" si="66"/>
        <v>Zipscreen HoodingTop FixUniline Cbus Motor</v>
      </c>
      <c r="X3044" s="25">
        <v>12</v>
      </c>
      <c r="Y3044" s="25">
        <v>12</v>
      </c>
      <c r="Z3044" s="25">
        <v>12</v>
      </c>
      <c r="AA3044" s="25" t="s">
        <v>824</v>
      </c>
      <c r="AB3044" s="25" t="s">
        <v>818</v>
      </c>
      <c r="AC3044" s="25" t="s">
        <v>821</v>
      </c>
      <c r="AD3044" s="25" t="s">
        <v>824</v>
      </c>
      <c r="AE3044" s="25" t="s">
        <v>818</v>
      </c>
    </row>
    <row r="3045" spans="20:31" ht="14.4">
      <c r="T3045" s="25" t="s">
        <v>887</v>
      </c>
      <c r="U3045" s="25" t="s">
        <v>854</v>
      </c>
      <c r="V3045" s="25" t="s">
        <v>981</v>
      </c>
      <c r="W3045" s="25" t="str">
        <f t="shared" si="66"/>
        <v>Zipscreen HoodingTop FixNice Remote Motor</v>
      </c>
      <c r="X3045" s="25">
        <v>12</v>
      </c>
      <c r="Y3045" s="25">
        <v>12</v>
      </c>
      <c r="Z3045" s="25">
        <v>12</v>
      </c>
      <c r="AA3045" s="25" t="s">
        <v>824</v>
      </c>
      <c r="AB3045" s="25" t="s">
        <v>818</v>
      </c>
      <c r="AC3045" s="25" t="s">
        <v>821</v>
      </c>
      <c r="AD3045" s="25" t="s">
        <v>824</v>
      </c>
      <c r="AE3045" s="25" t="s">
        <v>818</v>
      </c>
    </row>
    <row r="3046" spans="20:31" ht="14.4">
      <c r="T3046" s="25" t="s">
        <v>887</v>
      </c>
      <c r="U3046" s="25" t="s">
        <v>854</v>
      </c>
      <c r="V3046" s="25" t="s">
        <v>976</v>
      </c>
      <c r="W3046" s="25" t="str">
        <f t="shared" si="66"/>
        <v>Zipscreen HoodingTop FixNice CBus Motor</v>
      </c>
      <c r="X3046" s="25">
        <v>12</v>
      </c>
      <c r="Y3046" s="25">
        <v>12</v>
      </c>
      <c r="Z3046" s="25">
        <v>12</v>
      </c>
      <c r="AA3046" s="25" t="s">
        <v>824</v>
      </c>
      <c r="AB3046" s="25" t="s">
        <v>818</v>
      </c>
      <c r="AC3046" s="25" t="s">
        <v>821</v>
      </c>
      <c r="AD3046" s="25" t="s">
        <v>824</v>
      </c>
      <c r="AE3046" s="25" t="s">
        <v>818</v>
      </c>
    </row>
    <row r="3047" spans="20:31" ht="14.4">
      <c r="T3047" s="25" t="s">
        <v>887</v>
      </c>
      <c r="U3047" s="25" t="s">
        <v>854</v>
      </c>
      <c r="V3047" t="s">
        <v>1006</v>
      </c>
      <c r="W3047" s="25" t="str">
        <f t="shared" si="66"/>
        <v>Zipscreen HoodingTop FixSunboss Chain Winder 38mm Tube</v>
      </c>
      <c r="X3047" s="25">
        <v>12</v>
      </c>
      <c r="Y3047" s="25">
        <v>12</v>
      </c>
      <c r="Z3047" s="25">
        <v>12</v>
      </c>
      <c r="AA3047" s="25" t="s">
        <v>824</v>
      </c>
      <c r="AB3047" s="25" t="s">
        <v>818</v>
      </c>
      <c r="AC3047" s="25" t="s">
        <v>821</v>
      </c>
      <c r="AD3047" s="25" t="s">
        <v>824</v>
      </c>
      <c r="AE3047" s="25" t="s">
        <v>818</v>
      </c>
    </row>
    <row r="3048" spans="20:31" ht="14.4">
      <c r="T3048" s="25" t="s">
        <v>887</v>
      </c>
      <c r="U3048" s="25" t="s">
        <v>854</v>
      </c>
      <c r="V3048" t="s">
        <v>1017</v>
      </c>
      <c r="W3048" s="25" t="str">
        <f t="shared" si="66"/>
        <v>Zipscreen HoodingTop FixSunboss Chain Winder 43mm Tube</v>
      </c>
      <c r="X3048" s="25">
        <v>12</v>
      </c>
      <c r="Y3048" s="25">
        <v>12</v>
      </c>
      <c r="Z3048" s="25">
        <v>12</v>
      </c>
      <c r="AA3048" s="25" t="s">
        <v>824</v>
      </c>
      <c r="AB3048" s="25" t="s">
        <v>818</v>
      </c>
      <c r="AC3048" s="25" t="s">
        <v>821</v>
      </c>
      <c r="AD3048" s="25" t="s">
        <v>824</v>
      </c>
      <c r="AE3048" s="25" t="s">
        <v>818</v>
      </c>
    </row>
    <row r="3049" spans="20:31" ht="14.4">
      <c r="T3049" s="25" t="s">
        <v>887</v>
      </c>
      <c r="U3049" s="25" t="s">
        <v>854</v>
      </c>
      <c r="V3049" s="25" t="s">
        <v>1012</v>
      </c>
      <c r="W3049" s="25" t="str">
        <f t="shared" si="66"/>
        <v>Zipscreen HoodingTop FixTBS Remote Motor</v>
      </c>
      <c r="X3049" s="25">
        <v>12</v>
      </c>
      <c r="Y3049" s="25">
        <v>12</v>
      </c>
      <c r="Z3049" s="25">
        <v>12</v>
      </c>
      <c r="AA3049" s="25" t="s">
        <v>824</v>
      </c>
      <c r="AB3049" s="25" t="s">
        <v>818</v>
      </c>
      <c r="AC3049" s="25" t="s">
        <v>821</v>
      </c>
      <c r="AD3049" s="25" t="s">
        <v>824</v>
      </c>
      <c r="AE3049" s="25" t="s">
        <v>818</v>
      </c>
    </row>
    <row r="3050" spans="20:31" ht="14.4">
      <c r="T3050" s="25" t="s">
        <v>887</v>
      </c>
      <c r="U3050" s="25" t="s">
        <v>854</v>
      </c>
      <c r="V3050" t="s">
        <v>1009</v>
      </c>
      <c r="W3050" s="25" t="str">
        <f t="shared" si="66"/>
        <v>Zipscreen HoodingTop FixTBS Cbus Motor</v>
      </c>
      <c r="X3050" s="25">
        <v>12</v>
      </c>
      <c r="Y3050" s="25">
        <v>12</v>
      </c>
      <c r="Z3050" s="25">
        <v>12</v>
      </c>
      <c r="AA3050" s="25" t="s">
        <v>824</v>
      </c>
      <c r="AB3050" s="25" t="s">
        <v>818</v>
      </c>
      <c r="AC3050" s="25" t="s">
        <v>821</v>
      </c>
      <c r="AD3050" s="25" t="s">
        <v>824</v>
      </c>
      <c r="AE3050" s="25" t="s">
        <v>818</v>
      </c>
    </row>
    <row r="3051" spans="20:31" ht="14.4">
      <c r="T3051" s="25" t="s">
        <v>887</v>
      </c>
      <c r="U3051" s="25" t="s">
        <v>854</v>
      </c>
      <c r="V3051" t="s">
        <v>927</v>
      </c>
      <c r="W3051" s="25" t="str">
        <f t="shared" si="66"/>
        <v>Zipscreen HoodingTop FixAcmeda External Motor</v>
      </c>
      <c r="X3051" s="25">
        <v>12</v>
      </c>
      <c r="Y3051" s="25">
        <v>12</v>
      </c>
      <c r="Z3051" s="25">
        <v>12</v>
      </c>
      <c r="AA3051" s="25" t="s">
        <v>824</v>
      </c>
      <c r="AB3051" s="25" t="s">
        <v>818</v>
      </c>
      <c r="AC3051" s="25" t="s">
        <v>821</v>
      </c>
      <c r="AD3051" s="25" t="s">
        <v>824</v>
      </c>
      <c r="AE3051" s="25" t="s">
        <v>818</v>
      </c>
    </row>
    <row r="3052" spans="20:31" ht="14.4">
      <c r="T3052" s="25" t="s">
        <v>887</v>
      </c>
      <c r="U3052" s="25" t="s">
        <v>854</v>
      </c>
      <c r="V3052" t="s">
        <v>918</v>
      </c>
      <c r="W3052" s="25" t="str">
        <f t="shared" si="66"/>
        <v>Zipscreen HoodingTop FixAcmeda External 12v Motor</v>
      </c>
      <c r="X3052" s="25">
        <v>12</v>
      </c>
      <c r="Y3052" s="25">
        <v>12</v>
      </c>
      <c r="Z3052" s="25">
        <v>12</v>
      </c>
      <c r="AA3052" s="25" t="s">
        <v>824</v>
      </c>
      <c r="AB3052" s="25" t="s">
        <v>818</v>
      </c>
      <c r="AC3052" s="25" t="s">
        <v>821</v>
      </c>
      <c r="AD3052" s="25" t="s">
        <v>824</v>
      </c>
      <c r="AE3052" s="25" t="s">
        <v>818</v>
      </c>
    </row>
    <row r="3053" spans="20:31" ht="14.4">
      <c r="T3053" s="25" t="s">
        <v>887</v>
      </c>
      <c r="U3053" s="25" t="s">
        <v>854</v>
      </c>
      <c r="V3053" t="s">
        <v>979</v>
      </c>
      <c r="W3053" s="25" t="str">
        <f t="shared" si="66"/>
        <v>Zipscreen HoodingTop FixSomfy External CBUS Motor</v>
      </c>
      <c r="X3053" s="25">
        <v>12</v>
      </c>
      <c r="Y3053" s="25">
        <v>12</v>
      </c>
      <c r="Z3053" s="25">
        <v>12</v>
      </c>
      <c r="AA3053" s="25" t="s">
        <v>824</v>
      </c>
      <c r="AB3053" s="25" t="s">
        <v>818</v>
      </c>
      <c r="AC3053" s="25" t="s">
        <v>821</v>
      </c>
      <c r="AD3053" s="25" t="s">
        <v>824</v>
      </c>
      <c r="AE3053" s="25" t="s">
        <v>818</v>
      </c>
    </row>
    <row r="3054" spans="20:31" ht="14.4">
      <c r="T3054" s="25" t="s">
        <v>887</v>
      </c>
      <c r="U3054" s="25" t="s">
        <v>854</v>
      </c>
      <c r="V3054" t="s">
        <v>983</v>
      </c>
      <c r="W3054" s="25" t="str">
        <f t="shared" si="66"/>
        <v>Zipscreen HoodingTop FixSomfy External Remote Motor</v>
      </c>
      <c r="X3054" s="25">
        <v>12</v>
      </c>
      <c r="Y3054" s="25">
        <v>12</v>
      </c>
      <c r="Z3054" s="25">
        <v>12</v>
      </c>
      <c r="AA3054" s="25" t="s">
        <v>824</v>
      </c>
      <c r="AB3054" s="25" t="s">
        <v>818</v>
      </c>
      <c r="AC3054" s="25" t="s">
        <v>821</v>
      </c>
      <c r="AD3054" s="25" t="s">
        <v>824</v>
      </c>
      <c r="AE3054" s="25" t="s">
        <v>818</v>
      </c>
    </row>
    <row r="3055" spans="20:31" ht="14.4">
      <c r="T3055" s="25" t="s">
        <v>887</v>
      </c>
      <c r="U3055" s="25" t="s">
        <v>854</v>
      </c>
      <c r="V3055" t="s">
        <v>979</v>
      </c>
      <c r="W3055" s="25" t="str">
        <f t="shared" si="66"/>
        <v>Zipscreen HoodingTop FixSomfy External CBUS Motor</v>
      </c>
      <c r="X3055" s="25">
        <v>12</v>
      </c>
      <c r="Y3055" s="25">
        <v>12</v>
      </c>
      <c r="Z3055" s="25">
        <v>12</v>
      </c>
      <c r="AA3055" s="25" t="s">
        <v>824</v>
      </c>
      <c r="AB3055" s="25" t="s">
        <v>818</v>
      </c>
      <c r="AC3055" s="25" t="s">
        <v>821</v>
      </c>
      <c r="AD3055" s="25" t="s">
        <v>824</v>
      </c>
      <c r="AE3055" s="25" t="s">
        <v>818</v>
      </c>
    </row>
    <row r="3056" spans="20:31" ht="14.4">
      <c r="T3056" s="25" t="s">
        <v>887</v>
      </c>
      <c r="U3056" s="25" t="s">
        <v>854</v>
      </c>
      <c r="V3056" t="s">
        <v>999</v>
      </c>
      <c r="W3056" s="25" t="str">
        <f t="shared" si="66"/>
        <v>Zipscreen HoodingTop FixHD Somfy External Remote Motor</v>
      </c>
      <c r="X3056" s="25">
        <v>12</v>
      </c>
      <c r="Y3056" s="25">
        <v>12</v>
      </c>
      <c r="Z3056" s="25">
        <v>12</v>
      </c>
      <c r="AA3056" s="25" t="s">
        <v>824</v>
      </c>
      <c r="AB3056" s="25" t="s">
        <v>818</v>
      </c>
      <c r="AC3056" s="25" t="s">
        <v>821</v>
      </c>
      <c r="AD3056" s="25" t="s">
        <v>824</v>
      </c>
      <c r="AE3056" s="25" t="s">
        <v>818</v>
      </c>
    </row>
    <row r="3057" spans="20:31" ht="14.4">
      <c r="T3057" s="25" t="s">
        <v>887</v>
      </c>
      <c r="U3057" s="25" t="s">
        <v>880</v>
      </c>
      <c r="V3057" s="25" t="s">
        <v>823</v>
      </c>
      <c r="W3057" s="25" t="str">
        <f t="shared" si="66"/>
        <v>Zipscreen HoodingInside Window MountChain Winder</v>
      </c>
      <c r="X3057" s="25">
        <v>12</v>
      </c>
      <c r="Y3057" s="25">
        <v>12</v>
      </c>
      <c r="Z3057" s="25">
        <v>12</v>
      </c>
      <c r="AA3057" s="25" t="s">
        <v>824</v>
      </c>
      <c r="AB3057" s="25" t="s">
        <v>818</v>
      </c>
      <c r="AC3057" s="25" t="s">
        <v>821</v>
      </c>
      <c r="AD3057" s="25" t="s">
        <v>824</v>
      </c>
      <c r="AE3057" s="25" t="s">
        <v>818</v>
      </c>
    </row>
    <row r="3058" spans="20:31" ht="14.4">
      <c r="T3058" s="25" t="s">
        <v>887</v>
      </c>
      <c r="U3058" s="25" t="s">
        <v>880</v>
      </c>
      <c r="V3058" s="25" t="s">
        <v>841</v>
      </c>
      <c r="W3058" s="25" t="str">
        <f t="shared" si="66"/>
        <v>Zipscreen HoodingInside Window MountHD Chain Winder</v>
      </c>
      <c r="X3058" s="25">
        <v>12</v>
      </c>
      <c r="Y3058" s="25">
        <v>12</v>
      </c>
      <c r="Z3058" s="25">
        <v>12</v>
      </c>
      <c r="AA3058" s="25" t="s">
        <v>824</v>
      </c>
      <c r="AB3058" s="25" t="s">
        <v>818</v>
      </c>
      <c r="AC3058" s="25" t="s">
        <v>821</v>
      </c>
      <c r="AD3058" s="25" t="s">
        <v>824</v>
      </c>
      <c r="AE3058" s="25" t="s">
        <v>818</v>
      </c>
    </row>
    <row r="3059" spans="20:31" ht="14.4">
      <c r="T3059" s="25" t="s">
        <v>887</v>
      </c>
      <c r="U3059" s="25" t="s">
        <v>880</v>
      </c>
      <c r="V3059" s="25" t="s">
        <v>858</v>
      </c>
      <c r="W3059" s="25" t="str">
        <f t="shared" si="66"/>
        <v>Zipscreen HoodingInside Window MountChain Winder 60mm</v>
      </c>
      <c r="X3059" s="25">
        <v>12</v>
      </c>
      <c r="Y3059" s="25">
        <v>12</v>
      </c>
      <c r="Z3059" s="25">
        <v>12</v>
      </c>
      <c r="AA3059" s="25" t="s">
        <v>824</v>
      </c>
      <c r="AB3059" s="25" t="s">
        <v>818</v>
      </c>
      <c r="AC3059" s="25" t="s">
        <v>821</v>
      </c>
      <c r="AD3059" s="25" t="s">
        <v>824</v>
      </c>
      <c r="AE3059" s="25" t="s">
        <v>818</v>
      </c>
    </row>
    <row r="3060" spans="20:31" ht="14.4">
      <c r="T3060" s="25" t="s">
        <v>887</v>
      </c>
      <c r="U3060" s="25" t="s">
        <v>880</v>
      </c>
      <c r="V3060" s="25" t="s">
        <v>865</v>
      </c>
      <c r="W3060" s="25" t="str">
        <f t="shared" si="66"/>
        <v>Zipscreen HoodingInside Window MountChain Winder Fixed Guide</v>
      </c>
      <c r="X3060" s="25">
        <v>12</v>
      </c>
      <c r="Y3060" s="25">
        <v>12</v>
      </c>
      <c r="Z3060" s="25">
        <v>12</v>
      </c>
      <c r="AA3060" s="25" t="s">
        <v>824</v>
      </c>
      <c r="AB3060" s="25" t="s">
        <v>818</v>
      </c>
      <c r="AC3060" s="25" t="s">
        <v>821</v>
      </c>
      <c r="AD3060" s="25" t="s">
        <v>824</v>
      </c>
      <c r="AE3060" s="25" t="s">
        <v>818</v>
      </c>
    </row>
    <row r="3061" spans="20:31" ht="14.4">
      <c r="T3061" s="25" t="s">
        <v>887</v>
      </c>
      <c r="U3061" s="25" t="s">
        <v>880</v>
      </c>
      <c r="V3061" s="25" t="s">
        <v>181</v>
      </c>
      <c r="W3061" s="25" t="str">
        <f t="shared" si="66"/>
        <v>Zipscreen HoodingInside Window MountLinked</v>
      </c>
      <c r="X3061" s="25">
        <v>12</v>
      </c>
      <c r="Y3061" s="25">
        <v>12</v>
      </c>
      <c r="Z3061" s="25">
        <v>12</v>
      </c>
      <c r="AA3061" s="25" t="s">
        <v>824</v>
      </c>
      <c r="AB3061" s="25" t="s">
        <v>818</v>
      </c>
      <c r="AC3061" s="25" t="s">
        <v>821</v>
      </c>
      <c r="AD3061" s="25" t="s">
        <v>824</v>
      </c>
      <c r="AE3061" s="25" t="s">
        <v>818</v>
      </c>
    </row>
    <row r="3062" spans="20:31" ht="14.4">
      <c r="T3062" s="25" t="s">
        <v>887</v>
      </c>
      <c r="U3062" s="25" t="s">
        <v>880</v>
      </c>
      <c r="V3062" s="25" t="s">
        <v>898</v>
      </c>
      <c r="W3062" s="25" t="str">
        <f t="shared" si="66"/>
        <v>Zipscreen HoodingInside Window MountLinked - HD</v>
      </c>
      <c r="X3062" s="25">
        <v>12</v>
      </c>
      <c r="Y3062" s="25">
        <v>12</v>
      </c>
      <c r="Z3062" s="25">
        <v>12</v>
      </c>
      <c r="AA3062" s="25" t="s">
        <v>824</v>
      </c>
      <c r="AB3062" s="25" t="s">
        <v>818</v>
      </c>
      <c r="AC3062" s="25" t="s">
        <v>821</v>
      </c>
      <c r="AD3062" s="25" t="s">
        <v>824</v>
      </c>
      <c r="AE3062" s="25" t="s">
        <v>818</v>
      </c>
    </row>
    <row r="3063" spans="20:31" ht="14.4">
      <c r="T3063" s="25" t="s">
        <v>887</v>
      </c>
      <c r="U3063" s="25" t="s">
        <v>880</v>
      </c>
      <c r="V3063" s="25" t="s">
        <v>910</v>
      </c>
      <c r="W3063" s="25" t="str">
        <f t="shared" si="66"/>
        <v>Zipscreen HoodingInside Window MountStandard Spring</v>
      </c>
      <c r="X3063" s="25">
        <v>12</v>
      </c>
      <c r="Y3063" s="25">
        <v>12</v>
      </c>
      <c r="Z3063" s="25">
        <v>12</v>
      </c>
      <c r="AA3063" s="25" t="s">
        <v>824</v>
      </c>
      <c r="AB3063" s="25" t="s">
        <v>818</v>
      </c>
      <c r="AC3063" s="25" t="s">
        <v>821</v>
      </c>
      <c r="AD3063" s="25" t="s">
        <v>824</v>
      </c>
      <c r="AE3063" s="25" t="s">
        <v>818</v>
      </c>
    </row>
    <row r="3064" spans="20:31" ht="14.4">
      <c r="T3064" s="25" t="s">
        <v>887</v>
      </c>
      <c r="U3064" s="25" t="s">
        <v>880</v>
      </c>
      <c r="V3064" s="25" t="s">
        <v>920</v>
      </c>
      <c r="W3064" s="25" t="str">
        <f t="shared" si="66"/>
        <v>Zipscreen HoodingInside Window MountSmall Spring</v>
      </c>
      <c r="X3064" s="25">
        <v>12</v>
      </c>
      <c r="Y3064" s="25">
        <v>12</v>
      </c>
      <c r="Z3064" s="25">
        <v>12</v>
      </c>
      <c r="AA3064" s="25" t="s">
        <v>824</v>
      </c>
      <c r="AB3064" s="25" t="s">
        <v>818</v>
      </c>
      <c r="AC3064" s="25" t="s">
        <v>821</v>
      </c>
      <c r="AD3064" s="25" t="s">
        <v>824</v>
      </c>
      <c r="AE3064" s="25" t="s">
        <v>818</v>
      </c>
    </row>
    <row r="3065" spans="20:31" ht="14.4">
      <c r="T3065" s="25" t="s">
        <v>887</v>
      </c>
      <c r="U3065" s="25" t="s">
        <v>880</v>
      </c>
      <c r="V3065" s="25" t="s">
        <v>929</v>
      </c>
      <c r="W3065" s="25" t="str">
        <f t="shared" si="66"/>
        <v>Zipscreen HoodingInside Window MountUniline Spring (Old Style)</v>
      </c>
      <c r="X3065" s="25">
        <v>12</v>
      </c>
      <c r="Y3065" s="25">
        <v>12</v>
      </c>
      <c r="Z3065" s="25">
        <v>12</v>
      </c>
      <c r="AA3065" s="25" t="s">
        <v>824</v>
      </c>
      <c r="AB3065" s="25" t="s">
        <v>818</v>
      </c>
      <c r="AC3065" s="25" t="s">
        <v>821</v>
      </c>
      <c r="AD3065" s="25" t="s">
        <v>824</v>
      </c>
      <c r="AE3065" s="25" t="s">
        <v>818</v>
      </c>
    </row>
    <row r="3066" spans="20:31" ht="14.4">
      <c r="T3066" s="25" t="s">
        <v>887</v>
      </c>
      <c r="U3066" s="25" t="s">
        <v>880</v>
      </c>
      <c r="V3066" s="25" t="s">
        <v>935</v>
      </c>
      <c r="W3066" s="25" t="str">
        <f t="shared" si="66"/>
        <v>Zipscreen HoodingInside Window MountBecker Remote Motor</v>
      </c>
      <c r="X3066" s="25">
        <v>12</v>
      </c>
      <c r="Y3066" s="25">
        <v>12</v>
      </c>
      <c r="Z3066" s="25">
        <v>12</v>
      </c>
      <c r="AA3066" s="25" t="s">
        <v>824</v>
      </c>
      <c r="AB3066" s="25" t="s">
        <v>818</v>
      </c>
      <c r="AC3066" s="25" t="s">
        <v>821</v>
      </c>
      <c r="AD3066" s="25" t="s">
        <v>824</v>
      </c>
      <c r="AE3066" s="25" t="s">
        <v>818</v>
      </c>
    </row>
    <row r="3067" spans="20:31" ht="14.4">
      <c r="T3067" s="25" t="s">
        <v>887</v>
      </c>
      <c r="U3067" s="25" t="s">
        <v>880</v>
      </c>
      <c r="V3067" s="25" t="s">
        <v>939</v>
      </c>
      <c r="W3067" s="25" t="str">
        <f t="shared" si="66"/>
        <v>Zipscreen HoodingInside Window MountBecker CBUS Motor</v>
      </c>
      <c r="X3067" s="25">
        <v>12</v>
      </c>
      <c r="Y3067" s="25">
        <v>12</v>
      </c>
      <c r="Z3067" s="25">
        <v>12</v>
      </c>
      <c r="AA3067" s="25" t="s">
        <v>824</v>
      </c>
      <c r="AB3067" s="25" t="s">
        <v>818</v>
      </c>
      <c r="AC3067" s="25" t="s">
        <v>821</v>
      </c>
      <c r="AD3067" s="25" t="s">
        <v>824</v>
      </c>
      <c r="AE3067" s="25" t="s">
        <v>818</v>
      </c>
    </row>
    <row r="3068" spans="20:31" ht="14.4">
      <c r="T3068" s="25" t="s">
        <v>887</v>
      </c>
      <c r="U3068" s="25" t="s">
        <v>880</v>
      </c>
      <c r="V3068" s="25" t="s">
        <v>946</v>
      </c>
      <c r="W3068" s="25" t="str">
        <f t="shared" si="66"/>
        <v>Zipscreen HoodingInside Window MountBecker External Remote Motor</v>
      </c>
      <c r="X3068" s="25">
        <v>12</v>
      </c>
      <c r="Y3068" s="25">
        <v>12</v>
      </c>
      <c r="Z3068" s="25">
        <v>12</v>
      </c>
      <c r="AA3068" s="25" t="s">
        <v>824</v>
      </c>
      <c r="AB3068" s="25" t="s">
        <v>818</v>
      </c>
      <c r="AC3068" s="25" t="s">
        <v>821</v>
      </c>
      <c r="AD3068" s="25" t="s">
        <v>824</v>
      </c>
      <c r="AE3068" s="25" t="s">
        <v>818</v>
      </c>
    </row>
    <row r="3069" spans="20:31" ht="14.4">
      <c r="T3069" s="25" t="s">
        <v>887</v>
      </c>
      <c r="U3069" s="25" t="s">
        <v>880</v>
      </c>
      <c r="V3069" s="25" t="s">
        <v>951</v>
      </c>
      <c r="W3069" s="25" t="str">
        <f t="shared" si="66"/>
        <v>Zipscreen HoodingInside Window MountBecker External CBUS Motor</v>
      </c>
      <c r="X3069" s="25">
        <v>12</v>
      </c>
      <c r="Y3069" s="25">
        <v>12</v>
      </c>
      <c r="Z3069" s="25">
        <v>12</v>
      </c>
      <c r="AA3069" s="25" t="s">
        <v>824</v>
      </c>
      <c r="AB3069" s="25" t="s">
        <v>818</v>
      </c>
      <c r="AC3069" s="25" t="s">
        <v>821</v>
      </c>
      <c r="AD3069" s="25" t="s">
        <v>824</v>
      </c>
      <c r="AE3069" s="25" t="s">
        <v>818</v>
      </c>
    </row>
    <row r="3070" spans="20:31" ht="14.4">
      <c r="T3070" s="25" t="s">
        <v>887</v>
      </c>
      <c r="U3070" s="25" t="s">
        <v>880</v>
      </c>
      <c r="V3070" s="25" t="s">
        <v>838</v>
      </c>
      <c r="W3070" s="25" t="str">
        <f t="shared" si="66"/>
        <v>Zipscreen HoodingInside Window Mount1.1nm 12v Acmeda Motor</v>
      </c>
      <c r="X3070" s="25">
        <v>12</v>
      </c>
      <c r="Y3070" s="25">
        <v>12</v>
      </c>
      <c r="Z3070" s="25">
        <v>12</v>
      </c>
      <c r="AA3070" s="25" t="s">
        <v>824</v>
      </c>
      <c r="AB3070" s="25" t="s">
        <v>818</v>
      </c>
      <c r="AC3070" s="25" t="s">
        <v>821</v>
      </c>
      <c r="AD3070" s="25" t="s">
        <v>824</v>
      </c>
      <c r="AE3070" s="25" t="s">
        <v>818</v>
      </c>
    </row>
    <row r="3071" spans="20:31" ht="14.4">
      <c r="T3071" s="25" t="s">
        <v>887</v>
      </c>
      <c r="U3071" s="25" t="s">
        <v>880</v>
      </c>
      <c r="V3071" t="s">
        <v>882</v>
      </c>
      <c r="W3071" s="25" t="str">
        <f t="shared" si="66"/>
        <v>Zipscreen HoodingInside Window Mount2nm 12v Acmeda Motor</v>
      </c>
      <c r="X3071" s="25">
        <v>12</v>
      </c>
      <c r="Y3071" s="25">
        <v>12</v>
      </c>
      <c r="Z3071" s="25">
        <v>12</v>
      </c>
      <c r="AA3071" s="25" t="s">
        <v>824</v>
      </c>
      <c r="AB3071" s="25" t="s">
        <v>818</v>
      </c>
      <c r="AC3071" s="25" t="s">
        <v>821</v>
      </c>
      <c r="AD3071" s="25" t="s">
        <v>824</v>
      </c>
      <c r="AE3071" s="25" t="s">
        <v>818</v>
      </c>
    </row>
    <row r="3072" spans="20:31" ht="14.4">
      <c r="T3072" s="25" t="s">
        <v>887</v>
      </c>
      <c r="U3072" s="25" t="s">
        <v>880</v>
      </c>
      <c r="V3072" t="s">
        <v>896</v>
      </c>
      <c r="W3072" s="25" t="str">
        <f t="shared" si="66"/>
        <v>Zipscreen HoodingInside Window MountAcmeda 12v 6nm Motor</v>
      </c>
      <c r="X3072" s="25">
        <v>12</v>
      </c>
      <c r="Y3072" s="25">
        <v>12</v>
      </c>
      <c r="Z3072" s="25">
        <v>12</v>
      </c>
      <c r="AA3072" s="25" t="s">
        <v>824</v>
      </c>
      <c r="AB3072" s="25" t="s">
        <v>818</v>
      </c>
      <c r="AC3072" s="25" t="s">
        <v>821</v>
      </c>
      <c r="AD3072" s="25" t="s">
        <v>824</v>
      </c>
      <c r="AE3072" s="25" t="s">
        <v>818</v>
      </c>
    </row>
    <row r="3073" spans="20:31" ht="14.4">
      <c r="T3073" s="25" t="s">
        <v>887</v>
      </c>
      <c r="U3073" s="25" t="s">
        <v>880</v>
      </c>
      <c r="V3073" t="s">
        <v>855</v>
      </c>
      <c r="W3073" s="25" t="str">
        <f t="shared" si="66"/>
        <v>Zipscreen HoodingInside Window Mount0.7nm 12v Acmeda Motor</v>
      </c>
      <c r="X3073" s="25">
        <v>12</v>
      </c>
      <c r="Y3073" s="25">
        <v>12</v>
      </c>
      <c r="Z3073" s="25">
        <v>12</v>
      </c>
      <c r="AA3073" s="25" t="s">
        <v>824</v>
      </c>
      <c r="AB3073" s="25" t="s">
        <v>818</v>
      </c>
      <c r="AC3073" s="25" t="s">
        <v>821</v>
      </c>
      <c r="AD3073" s="25" t="s">
        <v>824</v>
      </c>
      <c r="AE3073" s="25" t="s">
        <v>818</v>
      </c>
    </row>
    <row r="3074" spans="20:31" ht="14.4">
      <c r="T3074" s="25" t="s">
        <v>887</v>
      </c>
      <c r="U3074" s="25" t="s">
        <v>880</v>
      </c>
      <c r="V3074" s="25" t="s">
        <v>849</v>
      </c>
      <c r="W3074" s="25" t="str">
        <f t="shared" si="66"/>
        <v>Zipscreen HoodingInside Window Mount1.1nm 12v Acmeda DCRF Motor with External Battery</v>
      </c>
      <c r="X3074" s="25">
        <v>12</v>
      </c>
      <c r="Y3074" s="25">
        <v>12</v>
      </c>
      <c r="Z3074" s="25">
        <v>12</v>
      </c>
      <c r="AA3074" s="25" t="s">
        <v>824</v>
      </c>
      <c r="AB3074" s="25" t="s">
        <v>818</v>
      </c>
      <c r="AC3074" s="25" t="s">
        <v>821</v>
      </c>
      <c r="AD3074" s="25" t="s">
        <v>824</v>
      </c>
      <c r="AE3074" s="25" t="s">
        <v>818</v>
      </c>
    </row>
    <row r="3075" spans="20:31" ht="14.4">
      <c r="T3075" s="25" t="s">
        <v>887</v>
      </c>
      <c r="U3075" s="25" t="s">
        <v>880</v>
      </c>
      <c r="V3075" s="25" t="s">
        <v>817</v>
      </c>
      <c r="W3075" s="25" t="str">
        <f t="shared" si="67" ref="W3075:W3138">CONCATENATE(T3075,U3075,V3075)</f>
        <v>Zipscreen HoodingInside Window Mount1.1nm 12v Acmeda DCRF Motor</v>
      </c>
      <c r="X3075" s="25">
        <v>12</v>
      </c>
      <c r="Y3075" s="25">
        <v>12</v>
      </c>
      <c r="Z3075" s="25">
        <v>12</v>
      </c>
      <c r="AA3075" s="25" t="s">
        <v>824</v>
      </c>
      <c r="AB3075" s="25" t="s">
        <v>818</v>
      </c>
      <c r="AC3075" s="25" t="s">
        <v>821</v>
      </c>
      <c r="AD3075" s="25" t="s">
        <v>824</v>
      </c>
      <c r="AE3075" s="25" t="s">
        <v>818</v>
      </c>
    </row>
    <row r="3076" spans="20:31" ht="14.4">
      <c r="T3076" s="25" t="s">
        <v>887</v>
      </c>
      <c r="U3076" s="25" t="s">
        <v>880</v>
      </c>
      <c r="V3076" s="25" t="s">
        <v>868</v>
      </c>
      <c r="W3076" s="25" t="str">
        <f t="shared" si="67"/>
        <v>Zipscreen HoodingInside Window Mount2nm 12v Acmeda DCRF Motor</v>
      </c>
      <c r="X3076" s="25">
        <v>12</v>
      </c>
      <c r="Y3076" s="25">
        <v>12</v>
      </c>
      <c r="Z3076" s="25">
        <v>12</v>
      </c>
      <c r="AA3076" s="25" t="s">
        <v>824</v>
      </c>
      <c r="AB3076" s="25" t="s">
        <v>818</v>
      </c>
      <c r="AC3076" s="25" t="s">
        <v>821</v>
      </c>
      <c r="AD3076" s="25" t="s">
        <v>824</v>
      </c>
      <c r="AE3076" s="25" t="s">
        <v>818</v>
      </c>
    </row>
    <row r="3077" spans="20:31" ht="14.4">
      <c r="T3077" s="25" t="s">
        <v>887</v>
      </c>
      <c r="U3077" s="25" t="s">
        <v>880</v>
      </c>
      <c r="V3077" t="s">
        <v>973</v>
      </c>
      <c r="W3077" s="25" t="str">
        <f t="shared" si="67"/>
        <v>Zipscreen HoodingInside Window MountSomfy Remote Sonesse Motor</v>
      </c>
      <c r="X3077" s="25">
        <v>12</v>
      </c>
      <c r="Y3077" s="25">
        <v>12</v>
      </c>
      <c r="Z3077" s="25">
        <v>12</v>
      </c>
      <c r="AA3077" s="25" t="s">
        <v>824</v>
      </c>
      <c r="AB3077" s="25" t="s">
        <v>818</v>
      </c>
      <c r="AC3077" s="25" t="s">
        <v>821</v>
      </c>
      <c r="AD3077" s="25" t="s">
        <v>824</v>
      </c>
      <c r="AE3077" s="25" t="s">
        <v>818</v>
      </c>
    </row>
    <row r="3078" spans="20:31" ht="14.4">
      <c r="T3078" s="25" t="s">
        <v>887</v>
      </c>
      <c r="U3078" s="25" t="s">
        <v>880</v>
      </c>
      <c r="V3078" t="s">
        <v>637</v>
      </c>
      <c r="W3078" s="25" t="str">
        <f t="shared" si="67"/>
        <v>Zipscreen HoodingInside Window MountSomfy 12v Remote Sonesse Motor</v>
      </c>
      <c r="X3078" s="25">
        <v>12</v>
      </c>
      <c r="Y3078" s="25">
        <v>12</v>
      </c>
      <c r="Z3078" s="25">
        <v>12</v>
      </c>
      <c r="AA3078" s="25" t="s">
        <v>824</v>
      </c>
      <c r="AB3078" s="25" t="s">
        <v>818</v>
      </c>
      <c r="AC3078" s="25" t="s">
        <v>821</v>
      </c>
      <c r="AD3078" s="25" t="s">
        <v>824</v>
      </c>
      <c r="AE3078" s="25" t="s">
        <v>818</v>
      </c>
    </row>
    <row r="3079" spans="20:31" ht="14.4">
      <c r="T3079" s="25" t="s">
        <v>887</v>
      </c>
      <c r="U3079" s="25" t="s">
        <v>880</v>
      </c>
      <c r="V3079" s="25" t="s">
        <v>974</v>
      </c>
      <c r="W3079" s="25" t="str">
        <f t="shared" si="67"/>
        <v>Zipscreen HoodingInside Window MountSomfy CBUS Motor</v>
      </c>
      <c r="X3079" s="25">
        <v>12</v>
      </c>
      <c r="Y3079" s="25">
        <v>12</v>
      </c>
      <c r="Z3079" s="25">
        <v>12</v>
      </c>
      <c r="AA3079" s="25" t="s">
        <v>824</v>
      </c>
      <c r="AB3079" s="25" t="s">
        <v>818</v>
      </c>
      <c r="AC3079" s="25" t="s">
        <v>821</v>
      </c>
      <c r="AD3079" s="25" t="s">
        <v>824</v>
      </c>
      <c r="AE3079" s="25" t="s">
        <v>818</v>
      </c>
    </row>
    <row r="3080" spans="20:31" ht="14.4">
      <c r="T3080" s="25" t="s">
        <v>887</v>
      </c>
      <c r="U3080" s="25" t="s">
        <v>880</v>
      </c>
      <c r="V3080" t="s">
        <v>986</v>
      </c>
      <c r="W3080" s="25" t="str">
        <f t="shared" si="67"/>
        <v>Zipscreen HoodingInside Window MountHD Somfy Remote Sonesse Motor</v>
      </c>
      <c r="X3080" s="25">
        <v>12</v>
      </c>
      <c r="Y3080" s="25">
        <v>12</v>
      </c>
      <c r="Z3080" s="25">
        <v>12</v>
      </c>
      <c r="AA3080" s="25" t="s">
        <v>824</v>
      </c>
      <c r="AB3080" s="25" t="s">
        <v>818</v>
      </c>
      <c r="AC3080" s="25" t="s">
        <v>821</v>
      </c>
      <c r="AD3080" s="25" t="s">
        <v>824</v>
      </c>
      <c r="AE3080" s="25" t="s">
        <v>818</v>
      </c>
    </row>
    <row r="3081" spans="20:31" ht="14.4">
      <c r="T3081" s="25" t="s">
        <v>887</v>
      </c>
      <c r="U3081" s="25" t="s">
        <v>880</v>
      </c>
      <c r="V3081" t="s">
        <v>989</v>
      </c>
      <c r="W3081" s="25" t="str">
        <f t="shared" si="67"/>
        <v>Zipscreen HoodingInside Window MountHD Somfy 12v Remote Sonesse Motor</v>
      </c>
      <c r="X3081" s="25">
        <v>12</v>
      </c>
      <c r="Y3081" s="25">
        <v>12</v>
      </c>
      <c r="Z3081" s="25">
        <v>12</v>
      </c>
      <c r="AA3081" s="25" t="s">
        <v>824</v>
      </c>
      <c r="AB3081" s="25" t="s">
        <v>818</v>
      </c>
      <c r="AC3081" s="25" t="s">
        <v>821</v>
      </c>
      <c r="AD3081" s="25" t="s">
        <v>824</v>
      </c>
      <c r="AE3081" s="25" t="s">
        <v>818</v>
      </c>
    </row>
    <row r="3082" spans="20:31" ht="14.4">
      <c r="T3082" s="25" t="s">
        <v>887</v>
      </c>
      <c r="U3082" s="25" t="s">
        <v>880</v>
      </c>
      <c r="V3082" s="25" t="s">
        <v>992</v>
      </c>
      <c r="W3082" s="25" t="str">
        <f t="shared" si="67"/>
        <v>Zipscreen HoodingInside Window MountHD Somfy CBUS Motor</v>
      </c>
      <c r="X3082" s="25">
        <v>12</v>
      </c>
      <c r="Y3082" s="25">
        <v>12</v>
      </c>
      <c r="Z3082" s="25">
        <v>12</v>
      </c>
      <c r="AA3082" s="25" t="s">
        <v>824</v>
      </c>
      <c r="AB3082" s="25" t="s">
        <v>818</v>
      </c>
      <c r="AC3082" s="25" t="s">
        <v>821</v>
      </c>
      <c r="AD3082" s="25" t="s">
        <v>824</v>
      </c>
      <c r="AE3082" s="25" t="s">
        <v>818</v>
      </c>
    </row>
    <row r="3083" spans="20:31" ht="14.4">
      <c r="T3083" s="25" t="s">
        <v>887</v>
      </c>
      <c r="U3083" s="25" t="s">
        <v>880</v>
      </c>
      <c r="V3083" s="25" t="s">
        <v>625</v>
      </c>
      <c r="W3083" s="25" t="str">
        <f t="shared" si="67"/>
        <v>Zipscreen HoodingInside Window MountAcmeda E6 Motor</v>
      </c>
      <c r="X3083" s="25">
        <v>12</v>
      </c>
      <c r="Y3083" s="25">
        <v>12</v>
      </c>
      <c r="Z3083" s="25">
        <v>12</v>
      </c>
      <c r="AA3083" s="25" t="s">
        <v>824</v>
      </c>
      <c r="AB3083" s="25" t="s">
        <v>818</v>
      </c>
      <c r="AC3083" s="25" t="s">
        <v>821</v>
      </c>
      <c r="AD3083" s="25" t="s">
        <v>824</v>
      </c>
      <c r="AE3083" s="25" t="s">
        <v>818</v>
      </c>
    </row>
    <row r="3084" spans="20:31" ht="14.4">
      <c r="T3084" s="25" t="s">
        <v>887</v>
      </c>
      <c r="U3084" s="25" t="s">
        <v>880</v>
      </c>
      <c r="V3084" s="25" t="s">
        <v>626</v>
      </c>
      <c r="W3084" s="25" t="str">
        <f t="shared" si="67"/>
        <v>Zipscreen HoodingInside Window MountAcmeda M6 Motor</v>
      </c>
      <c r="X3084" s="25">
        <v>12</v>
      </c>
      <c r="Y3084" s="25">
        <v>12</v>
      </c>
      <c r="Z3084" s="25">
        <v>12</v>
      </c>
      <c r="AA3084" s="25" t="s">
        <v>824</v>
      </c>
      <c r="AB3084" s="25" t="s">
        <v>818</v>
      </c>
      <c r="AC3084" s="25" t="s">
        <v>821</v>
      </c>
      <c r="AD3084" s="25" t="s">
        <v>824</v>
      </c>
      <c r="AE3084" s="25" t="s">
        <v>818</v>
      </c>
    </row>
    <row r="3085" spans="20:31" ht="14.4">
      <c r="T3085" s="25" t="s">
        <v>887</v>
      </c>
      <c r="U3085" s="25" t="s">
        <v>880</v>
      </c>
      <c r="V3085" s="25" t="s">
        <v>1002</v>
      </c>
      <c r="W3085" s="25" t="str">
        <f t="shared" si="67"/>
        <v>Zipscreen HoodingInside Window MountUniline Remote Motor</v>
      </c>
      <c r="X3085" s="25">
        <v>12</v>
      </c>
      <c r="Y3085" s="25">
        <v>12</v>
      </c>
      <c r="Z3085" s="25">
        <v>12</v>
      </c>
      <c r="AA3085" s="25" t="s">
        <v>824</v>
      </c>
      <c r="AB3085" s="25" t="s">
        <v>818</v>
      </c>
      <c r="AC3085" s="25" t="s">
        <v>821</v>
      </c>
      <c r="AD3085" s="25" t="s">
        <v>824</v>
      </c>
      <c r="AE3085" s="25" t="s">
        <v>818</v>
      </c>
    </row>
    <row r="3086" spans="20:31" ht="14.4">
      <c r="T3086" s="25" t="s">
        <v>887</v>
      </c>
      <c r="U3086" s="25" t="s">
        <v>880</v>
      </c>
      <c r="V3086" s="25" t="s">
        <v>1005</v>
      </c>
      <c r="W3086" s="25" t="str">
        <f t="shared" si="67"/>
        <v>Zipscreen HoodingInside Window MountUniline Cbus Motor</v>
      </c>
      <c r="X3086" s="25">
        <v>12</v>
      </c>
      <c r="Y3086" s="25">
        <v>12</v>
      </c>
      <c r="Z3086" s="25">
        <v>12</v>
      </c>
      <c r="AA3086" s="25" t="s">
        <v>824</v>
      </c>
      <c r="AB3086" s="25" t="s">
        <v>818</v>
      </c>
      <c r="AC3086" s="25" t="s">
        <v>821</v>
      </c>
      <c r="AD3086" s="25" t="s">
        <v>824</v>
      </c>
      <c r="AE3086" s="25" t="s">
        <v>818</v>
      </c>
    </row>
    <row r="3087" spans="20:31" ht="14.4">
      <c r="T3087" s="25" t="s">
        <v>887</v>
      </c>
      <c r="U3087" s="25" t="s">
        <v>880</v>
      </c>
      <c r="V3087" s="25" t="s">
        <v>981</v>
      </c>
      <c r="W3087" s="25" t="str">
        <f t="shared" si="67"/>
        <v>Zipscreen HoodingInside Window MountNice Remote Motor</v>
      </c>
      <c r="X3087" s="25">
        <v>12</v>
      </c>
      <c r="Y3087" s="25">
        <v>12</v>
      </c>
      <c r="Z3087" s="25">
        <v>12</v>
      </c>
      <c r="AA3087" s="25" t="s">
        <v>824</v>
      </c>
      <c r="AB3087" s="25" t="s">
        <v>818</v>
      </c>
      <c r="AC3087" s="25" t="s">
        <v>821</v>
      </c>
      <c r="AD3087" s="25" t="s">
        <v>824</v>
      </c>
      <c r="AE3087" s="25" t="s">
        <v>818</v>
      </c>
    </row>
    <row r="3088" spans="20:31" ht="14.4">
      <c r="T3088" s="25" t="s">
        <v>887</v>
      </c>
      <c r="U3088" s="25" t="s">
        <v>880</v>
      </c>
      <c r="V3088" s="25" t="s">
        <v>976</v>
      </c>
      <c r="W3088" s="25" t="str">
        <f t="shared" si="67"/>
        <v>Zipscreen HoodingInside Window MountNice CBus Motor</v>
      </c>
      <c r="X3088" s="25">
        <v>12</v>
      </c>
      <c r="Y3088" s="25">
        <v>12</v>
      </c>
      <c r="Z3088" s="25">
        <v>12</v>
      </c>
      <c r="AA3088" s="25" t="s">
        <v>824</v>
      </c>
      <c r="AB3088" s="25" t="s">
        <v>818</v>
      </c>
      <c r="AC3088" s="25" t="s">
        <v>821</v>
      </c>
      <c r="AD3088" s="25" t="s">
        <v>824</v>
      </c>
      <c r="AE3088" s="25" t="s">
        <v>818</v>
      </c>
    </row>
    <row r="3089" spans="20:31" ht="14.4">
      <c r="T3089" s="25" t="s">
        <v>887</v>
      </c>
      <c r="U3089" s="25" t="s">
        <v>880</v>
      </c>
      <c r="V3089" t="s">
        <v>1006</v>
      </c>
      <c r="W3089" s="25" t="str">
        <f t="shared" si="67"/>
        <v>Zipscreen HoodingInside Window MountSunboss Chain Winder 38mm Tube</v>
      </c>
      <c r="X3089" s="25">
        <v>12</v>
      </c>
      <c r="Y3089" s="25">
        <v>12</v>
      </c>
      <c r="Z3089" s="25">
        <v>12</v>
      </c>
      <c r="AA3089" s="25" t="s">
        <v>824</v>
      </c>
      <c r="AB3089" s="25" t="s">
        <v>818</v>
      </c>
      <c r="AC3089" s="25" t="s">
        <v>821</v>
      </c>
      <c r="AD3089" s="25" t="s">
        <v>824</v>
      </c>
      <c r="AE3089" s="25" t="s">
        <v>818</v>
      </c>
    </row>
    <row r="3090" spans="20:31" ht="14.4">
      <c r="T3090" s="25" t="s">
        <v>887</v>
      </c>
      <c r="U3090" s="25" t="s">
        <v>880</v>
      </c>
      <c r="V3090" t="s">
        <v>1017</v>
      </c>
      <c r="W3090" s="25" t="str">
        <f t="shared" si="67"/>
        <v>Zipscreen HoodingInside Window MountSunboss Chain Winder 43mm Tube</v>
      </c>
      <c r="X3090" s="25">
        <v>12</v>
      </c>
      <c r="Y3090" s="25">
        <v>12</v>
      </c>
      <c r="Z3090" s="25">
        <v>12</v>
      </c>
      <c r="AA3090" s="25" t="s">
        <v>824</v>
      </c>
      <c r="AB3090" s="25" t="s">
        <v>818</v>
      </c>
      <c r="AC3090" s="25" t="s">
        <v>821</v>
      </c>
      <c r="AD3090" s="25" t="s">
        <v>824</v>
      </c>
      <c r="AE3090" s="25" t="s">
        <v>818</v>
      </c>
    </row>
    <row r="3091" spans="20:31" ht="14.4">
      <c r="T3091" s="25" t="s">
        <v>887</v>
      </c>
      <c r="U3091" s="25" t="s">
        <v>880</v>
      </c>
      <c r="V3091" s="25" t="s">
        <v>1012</v>
      </c>
      <c r="W3091" s="25" t="str">
        <f t="shared" si="67"/>
        <v>Zipscreen HoodingInside Window MountTBS Remote Motor</v>
      </c>
      <c r="X3091" s="25">
        <v>12</v>
      </c>
      <c r="Y3091" s="25">
        <v>12</v>
      </c>
      <c r="Z3091" s="25">
        <v>12</v>
      </c>
      <c r="AA3091" s="25" t="s">
        <v>824</v>
      </c>
      <c r="AB3091" s="25" t="s">
        <v>818</v>
      </c>
      <c r="AC3091" s="25" t="s">
        <v>821</v>
      </c>
      <c r="AD3091" s="25" t="s">
        <v>824</v>
      </c>
      <c r="AE3091" s="25" t="s">
        <v>818</v>
      </c>
    </row>
    <row r="3092" spans="20:31" ht="14.4">
      <c r="T3092" s="25" t="s">
        <v>887</v>
      </c>
      <c r="U3092" s="25" t="s">
        <v>880</v>
      </c>
      <c r="V3092" t="s">
        <v>1009</v>
      </c>
      <c r="W3092" s="25" t="str">
        <f t="shared" si="67"/>
        <v>Zipscreen HoodingInside Window MountTBS Cbus Motor</v>
      </c>
      <c r="X3092" s="25">
        <v>12</v>
      </c>
      <c r="Y3092" s="25">
        <v>12</v>
      </c>
      <c r="Z3092" s="25">
        <v>12</v>
      </c>
      <c r="AA3092" s="25" t="s">
        <v>824</v>
      </c>
      <c r="AB3092" s="25" t="s">
        <v>818</v>
      </c>
      <c r="AC3092" s="25" t="s">
        <v>821</v>
      </c>
      <c r="AD3092" s="25" t="s">
        <v>824</v>
      </c>
      <c r="AE3092" s="25" t="s">
        <v>818</v>
      </c>
    </row>
    <row r="3093" spans="20:31" ht="14.4">
      <c r="T3093" s="25" t="s">
        <v>887</v>
      </c>
      <c r="U3093" s="25" t="s">
        <v>880</v>
      </c>
      <c r="V3093" t="s">
        <v>927</v>
      </c>
      <c r="W3093" s="25" t="str">
        <f t="shared" si="67"/>
        <v>Zipscreen HoodingInside Window MountAcmeda External Motor</v>
      </c>
      <c r="X3093" s="25">
        <v>12</v>
      </c>
      <c r="Y3093" s="25">
        <v>12</v>
      </c>
      <c r="Z3093" s="25">
        <v>12</v>
      </c>
      <c r="AA3093" s="25" t="s">
        <v>824</v>
      </c>
      <c r="AB3093" s="25" t="s">
        <v>818</v>
      </c>
      <c r="AC3093" s="25" t="s">
        <v>821</v>
      </c>
      <c r="AD3093" s="25" t="s">
        <v>824</v>
      </c>
      <c r="AE3093" s="25" t="s">
        <v>818</v>
      </c>
    </row>
    <row r="3094" spans="20:31" ht="14.4">
      <c r="T3094" s="25" t="s">
        <v>887</v>
      </c>
      <c r="U3094" s="25" t="s">
        <v>880</v>
      </c>
      <c r="V3094" t="s">
        <v>918</v>
      </c>
      <c r="W3094" s="25" t="str">
        <f t="shared" si="67"/>
        <v>Zipscreen HoodingInside Window MountAcmeda External 12v Motor</v>
      </c>
      <c r="X3094" s="25">
        <v>12</v>
      </c>
      <c r="Y3094" s="25">
        <v>12</v>
      </c>
      <c r="Z3094" s="25">
        <v>12</v>
      </c>
      <c r="AA3094" s="25" t="s">
        <v>824</v>
      </c>
      <c r="AB3094" s="25" t="s">
        <v>818</v>
      </c>
      <c r="AC3094" s="25" t="s">
        <v>821</v>
      </c>
      <c r="AD3094" s="25" t="s">
        <v>824</v>
      </c>
      <c r="AE3094" s="25" t="s">
        <v>818</v>
      </c>
    </row>
    <row r="3095" spans="20:31" ht="14.4">
      <c r="T3095" s="25" t="s">
        <v>887</v>
      </c>
      <c r="U3095" s="25" t="s">
        <v>880</v>
      </c>
      <c r="V3095" t="s">
        <v>979</v>
      </c>
      <c r="W3095" s="25" t="str">
        <f t="shared" si="67"/>
        <v>Zipscreen HoodingInside Window MountSomfy External CBUS Motor</v>
      </c>
      <c r="X3095" s="25">
        <v>12</v>
      </c>
      <c r="Y3095" s="25">
        <v>12</v>
      </c>
      <c r="Z3095" s="25">
        <v>12</v>
      </c>
      <c r="AA3095" s="25" t="s">
        <v>824</v>
      </c>
      <c r="AB3095" s="25" t="s">
        <v>818</v>
      </c>
      <c r="AC3095" s="25" t="s">
        <v>821</v>
      </c>
      <c r="AD3095" s="25" t="s">
        <v>824</v>
      </c>
      <c r="AE3095" s="25" t="s">
        <v>818</v>
      </c>
    </row>
    <row r="3096" spans="20:31" ht="14.4">
      <c r="T3096" s="25" t="s">
        <v>887</v>
      </c>
      <c r="U3096" s="25" t="s">
        <v>880</v>
      </c>
      <c r="V3096" t="s">
        <v>983</v>
      </c>
      <c r="W3096" s="25" t="str">
        <f t="shared" si="67"/>
        <v>Zipscreen HoodingInside Window MountSomfy External Remote Motor</v>
      </c>
      <c r="X3096" s="25">
        <v>12</v>
      </c>
      <c r="Y3096" s="25">
        <v>12</v>
      </c>
      <c r="Z3096" s="25">
        <v>12</v>
      </c>
      <c r="AA3096" s="25" t="s">
        <v>824</v>
      </c>
      <c r="AB3096" s="25" t="s">
        <v>818</v>
      </c>
      <c r="AC3096" s="25" t="s">
        <v>821</v>
      </c>
      <c r="AD3096" s="25" t="s">
        <v>824</v>
      </c>
      <c r="AE3096" s="25" t="s">
        <v>818</v>
      </c>
    </row>
    <row r="3097" spans="20:31" ht="14.4">
      <c r="T3097" s="25" t="s">
        <v>887</v>
      </c>
      <c r="U3097" s="25" t="s">
        <v>880</v>
      </c>
      <c r="V3097" t="s">
        <v>995</v>
      </c>
      <c r="W3097" s="25" t="str">
        <f t="shared" si="67"/>
        <v>Zipscreen HoodingInside Window MountHD Somfy External CBUS Motor</v>
      </c>
      <c r="X3097" s="25">
        <v>12</v>
      </c>
      <c r="Y3097" s="25">
        <v>12</v>
      </c>
      <c r="Z3097" s="25">
        <v>12</v>
      </c>
      <c r="AA3097" s="25" t="s">
        <v>824</v>
      </c>
      <c r="AB3097" s="25" t="s">
        <v>818</v>
      </c>
      <c r="AC3097" s="25" t="s">
        <v>821</v>
      </c>
      <c r="AD3097" s="25" t="s">
        <v>824</v>
      </c>
      <c r="AE3097" s="25" t="s">
        <v>818</v>
      </c>
    </row>
    <row r="3098" spans="20:31" ht="14.4">
      <c r="T3098" s="25" t="s">
        <v>887</v>
      </c>
      <c r="U3098" s="25" t="s">
        <v>880</v>
      </c>
      <c r="V3098" t="s">
        <v>999</v>
      </c>
      <c r="W3098" s="25" t="str">
        <f t="shared" si="67"/>
        <v>Zipscreen HoodingInside Window MountHD Somfy External Remote Motor</v>
      </c>
      <c r="X3098" s="25">
        <v>12</v>
      </c>
      <c r="Y3098" s="25">
        <v>12</v>
      </c>
      <c r="Z3098" s="25">
        <v>12</v>
      </c>
      <c r="AA3098" s="25" t="s">
        <v>824</v>
      </c>
      <c r="AB3098" s="25" t="s">
        <v>818</v>
      </c>
      <c r="AC3098" s="25" t="s">
        <v>821</v>
      </c>
      <c r="AD3098" s="25" t="s">
        <v>824</v>
      </c>
      <c r="AE3098" s="25" t="s">
        <v>818</v>
      </c>
    </row>
    <row r="3099" spans="20:31" ht="14.4">
      <c r="T3099" s="25" t="s">
        <v>887</v>
      </c>
      <c r="U3099" s="25" t="s">
        <v>867</v>
      </c>
      <c r="V3099" s="25" t="s">
        <v>823</v>
      </c>
      <c r="W3099" s="25" t="str">
        <f t="shared" si="67"/>
        <v>Zipscreen HoodingOutside Window MountChain Winder</v>
      </c>
      <c r="X3099" s="25">
        <v>12</v>
      </c>
      <c r="Y3099" s="25">
        <v>12</v>
      </c>
      <c r="Z3099" s="25">
        <v>12</v>
      </c>
      <c r="AA3099" s="25" t="s">
        <v>824</v>
      </c>
      <c r="AB3099" s="25" t="s">
        <v>818</v>
      </c>
      <c r="AC3099" s="25" t="s">
        <v>821</v>
      </c>
      <c r="AD3099" s="25" t="s">
        <v>824</v>
      </c>
      <c r="AE3099" s="25" t="s">
        <v>818</v>
      </c>
    </row>
    <row r="3100" spans="20:31" ht="14.4">
      <c r="T3100" s="25" t="s">
        <v>887</v>
      </c>
      <c r="U3100" s="25" t="s">
        <v>867</v>
      </c>
      <c r="V3100" s="25" t="s">
        <v>841</v>
      </c>
      <c r="W3100" s="25" t="str">
        <f t="shared" si="67"/>
        <v>Zipscreen HoodingOutside Window MountHD Chain Winder</v>
      </c>
      <c r="X3100" s="25">
        <v>12</v>
      </c>
      <c r="Y3100" s="25">
        <v>12</v>
      </c>
      <c r="Z3100" s="25">
        <v>12</v>
      </c>
      <c r="AA3100" s="25" t="s">
        <v>824</v>
      </c>
      <c r="AB3100" s="25" t="s">
        <v>818</v>
      </c>
      <c r="AC3100" s="25" t="s">
        <v>821</v>
      </c>
      <c r="AD3100" s="25" t="s">
        <v>824</v>
      </c>
      <c r="AE3100" s="25" t="s">
        <v>818</v>
      </c>
    </row>
    <row r="3101" spans="20:31" ht="14.4">
      <c r="T3101" s="25" t="s">
        <v>887</v>
      </c>
      <c r="U3101" s="25" t="s">
        <v>867</v>
      </c>
      <c r="V3101" s="25" t="s">
        <v>858</v>
      </c>
      <c r="W3101" s="25" t="str">
        <f t="shared" si="67"/>
        <v>Zipscreen HoodingOutside Window MountChain Winder 60mm</v>
      </c>
      <c r="X3101" s="25">
        <v>12</v>
      </c>
      <c r="Y3101" s="25">
        <v>12</v>
      </c>
      <c r="Z3101" s="25">
        <v>12</v>
      </c>
      <c r="AA3101" s="25" t="s">
        <v>824</v>
      </c>
      <c r="AB3101" s="25" t="s">
        <v>818</v>
      </c>
      <c r="AC3101" s="25" t="s">
        <v>821</v>
      </c>
      <c r="AD3101" s="25" t="s">
        <v>824</v>
      </c>
      <c r="AE3101" s="25" t="s">
        <v>818</v>
      </c>
    </row>
    <row r="3102" spans="20:31" ht="14.4">
      <c r="T3102" s="25" t="s">
        <v>887</v>
      </c>
      <c r="U3102" s="25" t="s">
        <v>867</v>
      </c>
      <c r="V3102" s="25" t="s">
        <v>865</v>
      </c>
      <c r="W3102" s="25" t="str">
        <f t="shared" si="67"/>
        <v>Zipscreen HoodingOutside Window MountChain Winder Fixed Guide</v>
      </c>
      <c r="X3102" s="25">
        <v>12</v>
      </c>
      <c r="Y3102" s="25">
        <v>12</v>
      </c>
      <c r="Z3102" s="25">
        <v>12</v>
      </c>
      <c r="AA3102" s="25" t="s">
        <v>824</v>
      </c>
      <c r="AB3102" s="25" t="s">
        <v>818</v>
      </c>
      <c r="AC3102" s="25" t="s">
        <v>821</v>
      </c>
      <c r="AD3102" s="25" t="s">
        <v>824</v>
      </c>
      <c r="AE3102" s="25" t="s">
        <v>818</v>
      </c>
    </row>
    <row r="3103" spans="20:31" ht="14.4">
      <c r="T3103" s="25" t="s">
        <v>887</v>
      </c>
      <c r="U3103" s="25" t="s">
        <v>867</v>
      </c>
      <c r="V3103" s="25" t="s">
        <v>181</v>
      </c>
      <c r="W3103" s="25" t="str">
        <f t="shared" si="67"/>
        <v>Zipscreen HoodingOutside Window MountLinked</v>
      </c>
      <c r="X3103" s="25">
        <v>12</v>
      </c>
      <c r="Y3103" s="25">
        <v>12</v>
      </c>
      <c r="Z3103" s="25">
        <v>12</v>
      </c>
      <c r="AA3103" s="25" t="s">
        <v>824</v>
      </c>
      <c r="AB3103" s="25" t="s">
        <v>818</v>
      </c>
      <c r="AC3103" s="25" t="s">
        <v>821</v>
      </c>
      <c r="AD3103" s="25" t="s">
        <v>824</v>
      </c>
      <c r="AE3103" s="25" t="s">
        <v>818</v>
      </c>
    </row>
    <row r="3104" spans="20:31" ht="14.4">
      <c r="T3104" s="25" t="s">
        <v>887</v>
      </c>
      <c r="U3104" s="25" t="s">
        <v>867</v>
      </c>
      <c r="V3104" s="25" t="s">
        <v>898</v>
      </c>
      <c r="W3104" s="25" t="str">
        <f t="shared" si="67"/>
        <v>Zipscreen HoodingOutside Window MountLinked - HD</v>
      </c>
      <c r="X3104" s="25">
        <v>12</v>
      </c>
      <c r="Y3104" s="25">
        <v>12</v>
      </c>
      <c r="Z3104" s="25">
        <v>12</v>
      </c>
      <c r="AA3104" s="25" t="s">
        <v>824</v>
      </c>
      <c r="AB3104" s="25" t="s">
        <v>818</v>
      </c>
      <c r="AC3104" s="25" t="s">
        <v>821</v>
      </c>
      <c r="AD3104" s="25" t="s">
        <v>824</v>
      </c>
      <c r="AE3104" s="25" t="s">
        <v>818</v>
      </c>
    </row>
    <row r="3105" spans="20:31" ht="14.4">
      <c r="T3105" s="25" t="s">
        <v>887</v>
      </c>
      <c r="U3105" s="25" t="s">
        <v>867</v>
      </c>
      <c r="V3105" s="25" t="s">
        <v>910</v>
      </c>
      <c r="W3105" s="25" t="str">
        <f t="shared" si="67"/>
        <v>Zipscreen HoodingOutside Window MountStandard Spring</v>
      </c>
      <c r="X3105" s="25">
        <v>12</v>
      </c>
      <c r="Y3105" s="25">
        <v>12</v>
      </c>
      <c r="Z3105" s="25">
        <v>12</v>
      </c>
      <c r="AA3105" s="25" t="s">
        <v>824</v>
      </c>
      <c r="AB3105" s="25" t="s">
        <v>818</v>
      </c>
      <c r="AC3105" s="25" t="s">
        <v>821</v>
      </c>
      <c r="AD3105" s="25" t="s">
        <v>824</v>
      </c>
      <c r="AE3105" s="25" t="s">
        <v>818</v>
      </c>
    </row>
    <row r="3106" spans="20:31" ht="14.4">
      <c r="T3106" s="25" t="s">
        <v>887</v>
      </c>
      <c r="U3106" s="25" t="s">
        <v>867</v>
      </c>
      <c r="V3106" s="25" t="s">
        <v>920</v>
      </c>
      <c r="W3106" s="25" t="str">
        <f t="shared" si="67"/>
        <v>Zipscreen HoodingOutside Window MountSmall Spring</v>
      </c>
      <c r="X3106" s="25">
        <v>12</v>
      </c>
      <c r="Y3106" s="25">
        <v>12</v>
      </c>
      <c r="Z3106" s="25">
        <v>12</v>
      </c>
      <c r="AA3106" s="25" t="s">
        <v>824</v>
      </c>
      <c r="AB3106" s="25" t="s">
        <v>818</v>
      </c>
      <c r="AC3106" s="25" t="s">
        <v>821</v>
      </c>
      <c r="AD3106" s="25" t="s">
        <v>824</v>
      </c>
      <c r="AE3106" s="25" t="s">
        <v>818</v>
      </c>
    </row>
    <row r="3107" spans="20:31" ht="14.4">
      <c r="T3107" s="25" t="s">
        <v>887</v>
      </c>
      <c r="U3107" s="25" t="s">
        <v>867</v>
      </c>
      <c r="V3107" s="25" t="s">
        <v>929</v>
      </c>
      <c r="W3107" s="25" t="str">
        <f t="shared" si="67"/>
        <v>Zipscreen HoodingOutside Window MountUniline Spring (Old Style)</v>
      </c>
      <c r="X3107" s="25">
        <v>12</v>
      </c>
      <c r="Y3107" s="25">
        <v>12</v>
      </c>
      <c r="Z3107" s="25">
        <v>12</v>
      </c>
      <c r="AA3107" s="25" t="s">
        <v>824</v>
      </c>
      <c r="AB3107" s="25" t="s">
        <v>818</v>
      </c>
      <c r="AC3107" s="25" t="s">
        <v>821</v>
      </c>
      <c r="AD3107" s="25" t="s">
        <v>824</v>
      </c>
      <c r="AE3107" s="25" t="s">
        <v>818</v>
      </c>
    </row>
    <row r="3108" spans="20:31" ht="14.4">
      <c r="T3108" s="25" t="s">
        <v>887</v>
      </c>
      <c r="U3108" s="25" t="s">
        <v>867</v>
      </c>
      <c r="V3108" s="25" t="s">
        <v>935</v>
      </c>
      <c r="W3108" s="25" t="str">
        <f t="shared" si="67"/>
        <v>Zipscreen HoodingOutside Window MountBecker Remote Motor</v>
      </c>
      <c r="X3108" s="25">
        <v>12</v>
      </c>
      <c r="Y3108" s="25">
        <v>12</v>
      </c>
      <c r="Z3108" s="25">
        <v>12</v>
      </c>
      <c r="AA3108" s="25" t="s">
        <v>824</v>
      </c>
      <c r="AB3108" s="25" t="s">
        <v>818</v>
      </c>
      <c r="AC3108" s="25" t="s">
        <v>821</v>
      </c>
      <c r="AD3108" s="25" t="s">
        <v>824</v>
      </c>
      <c r="AE3108" s="25" t="s">
        <v>818</v>
      </c>
    </row>
    <row r="3109" spans="20:31" ht="14.4">
      <c r="T3109" s="25" t="s">
        <v>887</v>
      </c>
      <c r="U3109" s="25" t="s">
        <v>867</v>
      </c>
      <c r="V3109" s="25" t="s">
        <v>939</v>
      </c>
      <c r="W3109" s="25" t="str">
        <f t="shared" si="67"/>
        <v>Zipscreen HoodingOutside Window MountBecker CBUS Motor</v>
      </c>
      <c r="X3109" s="25">
        <v>12</v>
      </c>
      <c r="Y3109" s="25">
        <v>12</v>
      </c>
      <c r="Z3109" s="25">
        <v>12</v>
      </c>
      <c r="AA3109" s="25" t="s">
        <v>824</v>
      </c>
      <c r="AB3109" s="25" t="s">
        <v>818</v>
      </c>
      <c r="AC3109" s="25" t="s">
        <v>821</v>
      </c>
      <c r="AD3109" s="25" t="s">
        <v>824</v>
      </c>
      <c r="AE3109" s="25" t="s">
        <v>818</v>
      </c>
    </row>
    <row r="3110" spans="20:31" ht="14.4">
      <c r="T3110" s="25" t="s">
        <v>887</v>
      </c>
      <c r="U3110" s="25" t="s">
        <v>867</v>
      </c>
      <c r="V3110" s="25" t="s">
        <v>946</v>
      </c>
      <c r="W3110" s="25" t="str">
        <f t="shared" si="67"/>
        <v>Zipscreen HoodingOutside Window MountBecker External Remote Motor</v>
      </c>
      <c r="X3110" s="25">
        <v>12</v>
      </c>
      <c r="Y3110" s="25">
        <v>12</v>
      </c>
      <c r="Z3110" s="25">
        <v>12</v>
      </c>
      <c r="AA3110" s="25" t="s">
        <v>824</v>
      </c>
      <c r="AB3110" s="25" t="s">
        <v>818</v>
      </c>
      <c r="AC3110" s="25" t="s">
        <v>821</v>
      </c>
      <c r="AD3110" s="25" t="s">
        <v>824</v>
      </c>
      <c r="AE3110" s="25" t="s">
        <v>818</v>
      </c>
    </row>
    <row r="3111" spans="20:31" ht="14.4">
      <c r="T3111" s="25" t="s">
        <v>887</v>
      </c>
      <c r="U3111" s="25" t="s">
        <v>867</v>
      </c>
      <c r="V3111" s="25" t="s">
        <v>951</v>
      </c>
      <c r="W3111" s="25" t="str">
        <f t="shared" si="67"/>
        <v>Zipscreen HoodingOutside Window MountBecker External CBUS Motor</v>
      </c>
      <c r="X3111" s="25">
        <v>12</v>
      </c>
      <c r="Y3111" s="25">
        <v>12</v>
      </c>
      <c r="Z3111" s="25">
        <v>12</v>
      </c>
      <c r="AA3111" s="25" t="s">
        <v>824</v>
      </c>
      <c r="AB3111" s="25" t="s">
        <v>818</v>
      </c>
      <c r="AC3111" s="25" t="s">
        <v>821</v>
      </c>
      <c r="AD3111" s="25" t="s">
        <v>824</v>
      </c>
      <c r="AE3111" s="25" t="s">
        <v>818</v>
      </c>
    </row>
    <row r="3112" spans="20:31" ht="14.4">
      <c r="T3112" s="25" t="s">
        <v>887</v>
      </c>
      <c r="U3112" s="25" t="s">
        <v>867</v>
      </c>
      <c r="V3112" s="25" t="s">
        <v>838</v>
      </c>
      <c r="W3112" s="25" t="str">
        <f t="shared" si="67"/>
        <v>Zipscreen HoodingOutside Window Mount1.1nm 12v Acmeda Motor</v>
      </c>
      <c r="X3112" s="25">
        <v>12</v>
      </c>
      <c r="Y3112" s="25">
        <v>12</v>
      </c>
      <c r="Z3112" s="25">
        <v>12</v>
      </c>
      <c r="AA3112" s="25" t="s">
        <v>824</v>
      </c>
      <c r="AB3112" s="25" t="s">
        <v>818</v>
      </c>
      <c r="AC3112" s="25" t="s">
        <v>821</v>
      </c>
      <c r="AD3112" s="25" t="s">
        <v>824</v>
      </c>
      <c r="AE3112" s="25" t="s">
        <v>818</v>
      </c>
    </row>
    <row r="3113" spans="20:31" ht="14.4">
      <c r="T3113" s="25" t="s">
        <v>887</v>
      </c>
      <c r="U3113" s="25" t="s">
        <v>867</v>
      </c>
      <c r="V3113" t="s">
        <v>882</v>
      </c>
      <c r="W3113" s="25" t="str">
        <f t="shared" si="67"/>
        <v>Zipscreen HoodingOutside Window Mount2nm 12v Acmeda Motor</v>
      </c>
      <c r="X3113" s="25">
        <v>12</v>
      </c>
      <c r="Y3113" s="25">
        <v>12</v>
      </c>
      <c r="Z3113" s="25">
        <v>12</v>
      </c>
      <c r="AA3113" s="25" t="s">
        <v>824</v>
      </c>
      <c r="AB3113" s="25" t="s">
        <v>818</v>
      </c>
      <c r="AC3113" s="25" t="s">
        <v>821</v>
      </c>
      <c r="AD3113" s="25" t="s">
        <v>824</v>
      </c>
      <c r="AE3113" s="25" t="s">
        <v>818</v>
      </c>
    </row>
    <row r="3114" spans="20:31" ht="14.4">
      <c r="T3114" s="25" t="s">
        <v>887</v>
      </c>
      <c r="U3114" s="25" t="s">
        <v>867</v>
      </c>
      <c r="V3114" t="s">
        <v>896</v>
      </c>
      <c r="W3114" s="25" t="str">
        <f t="shared" si="67"/>
        <v>Zipscreen HoodingOutside Window MountAcmeda 12v 6nm Motor</v>
      </c>
      <c r="X3114" s="25">
        <v>12</v>
      </c>
      <c r="Y3114" s="25">
        <v>12</v>
      </c>
      <c r="Z3114" s="25">
        <v>12</v>
      </c>
      <c r="AA3114" s="25" t="s">
        <v>824</v>
      </c>
      <c r="AB3114" s="25" t="s">
        <v>818</v>
      </c>
      <c r="AC3114" s="25" t="s">
        <v>821</v>
      </c>
      <c r="AD3114" s="25" t="s">
        <v>824</v>
      </c>
      <c r="AE3114" s="25" t="s">
        <v>818</v>
      </c>
    </row>
    <row r="3115" spans="20:31" ht="14.4">
      <c r="T3115" s="25" t="s">
        <v>887</v>
      </c>
      <c r="U3115" s="25" t="s">
        <v>867</v>
      </c>
      <c r="V3115" t="s">
        <v>855</v>
      </c>
      <c r="W3115" s="25" t="str">
        <f t="shared" si="67"/>
        <v>Zipscreen HoodingOutside Window Mount0.7nm 12v Acmeda Motor</v>
      </c>
      <c r="X3115" s="25">
        <v>12</v>
      </c>
      <c r="Y3115" s="25">
        <v>12</v>
      </c>
      <c r="Z3115" s="25">
        <v>12</v>
      </c>
      <c r="AA3115" s="25" t="s">
        <v>824</v>
      </c>
      <c r="AB3115" s="25" t="s">
        <v>818</v>
      </c>
      <c r="AC3115" s="25" t="s">
        <v>821</v>
      </c>
      <c r="AD3115" s="25" t="s">
        <v>824</v>
      </c>
      <c r="AE3115" s="25" t="s">
        <v>818</v>
      </c>
    </row>
    <row r="3116" spans="20:31" ht="14.4">
      <c r="T3116" s="25" t="s">
        <v>887</v>
      </c>
      <c r="U3116" s="25" t="s">
        <v>867</v>
      </c>
      <c r="V3116" s="25" t="s">
        <v>849</v>
      </c>
      <c r="W3116" s="25" t="str">
        <f t="shared" si="67"/>
        <v>Zipscreen HoodingOutside Window Mount1.1nm 12v Acmeda DCRF Motor with External Battery</v>
      </c>
      <c r="X3116" s="25">
        <v>12</v>
      </c>
      <c r="Y3116" s="25">
        <v>12</v>
      </c>
      <c r="Z3116" s="25">
        <v>12</v>
      </c>
      <c r="AA3116" s="25" t="s">
        <v>824</v>
      </c>
      <c r="AB3116" s="25" t="s">
        <v>818</v>
      </c>
      <c r="AC3116" s="25" t="s">
        <v>821</v>
      </c>
      <c r="AD3116" s="25" t="s">
        <v>824</v>
      </c>
      <c r="AE3116" s="25" t="s">
        <v>818</v>
      </c>
    </row>
    <row r="3117" spans="20:31" ht="14.4">
      <c r="T3117" s="25" t="s">
        <v>887</v>
      </c>
      <c r="U3117" s="25" t="s">
        <v>867</v>
      </c>
      <c r="V3117" s="25" t="s">
        <v>817</v>
      </c>
      <c r="W3117" s="25" t="str">
        <f t="shared" si="67"/>
        <v>Zipscreen HoodingOutside Window Mount1.1nm 12v Acmeda DCRF Motor</v>
      </c>
      <c r="X3117" s="25">
        <v>12</v>
      </c>
      <c r="Y3117" s="25">
        <v>12</v>
      </c>
      <c r="Z3117" s="25">
        <v>12</v>
      </c>
      <c r="AA3117" s="25" t="s">
        <v>824</v>
      </c>
      <c r="AB3117" s="25" t="s">
        <v>818</v>
      </c>
      <c r="AC3117" s="25" t="s">
        <v>821</v>
      </c>
      <c r="AD3117" s="25" t="s">
        <v>824</v>
      </c>
      <c r="AE3117" s="25" t="s">
        <v>818</v>
      </c>
    </row>
    <row r="3118" spans="20:31" ht="14.4">
      <c r="T3118" s="25" t="s">
        <v>887</v>
      </c>
      <c r="U3118" s="25" t="s">
        <v>867</v>
      </c>
      <c r="V3118" s="25" t="s">
        <v>868</v>
      </c>
      <c r="W3118" s="25" t="str">
        <f t="shared" si="67"/>
        <v>Zipscreen HoodingOutside Window Mount2nm 12v Acmeda DCRF Motor</v>
      </c>
      <c r="X3118" s="25">
        <v>12</v>
      </c>
      <c r="Y3118" s="25">
        <v>12</v>
      </c>
      <c r="Z3118" s="25">
        <v>12</v>
      </c>
      <c r="AA3118" s="25" t="s">
        <v>824</v>
      </c>
      <c r="AB3118" s="25" t="s">
        <v>818</v>
      </c>
      <c r="AC3118" s="25" t="s">
        <v>821</v>
      </c>
      <c r="AD3118" s="25" t="s">
        <v>824</v>
      </c>
      <c r="AE3118" s="25" t="s">
        <v>818</v>
      </c>
    </row>
    <row r="3119" spans="20:31" ht="14.4">
      <c r="T3119" s="25" t="s">
        <v>887</v>
      </c>
      <c r="U3119" s="25" t="s">
        <v>867</v>
      </c>
      <c r="V3119" t="s">
        <v>973</v>
      </c>
      <c r="W3119" s="25" t="str">
        <f t="shared" si="67"/>
        <v>Zipscreen HoodingOutside Window MountSomfy Remote Sonesse Motor</v>
      </c>
      <c r="X3119" s="25">
        <v>12</v>
      </c>
      <c r="Y3119" s="25">
        <v>12</v>
      </c>
      <c r="Z3119" s="25">
        <v>12</v>
      </c>
      <c r="AA3119" s="25" t="s">
        <v>824</v>
      </c>
      <c r="AB3119" s="25" t="s">
        <v>818</v>
      </c>
      <c r="AC3119" s="25" t="s">
        <v>821</v>
      </c>
      <c r="AD3119" s="25" t="s">
        <v>824</v>
      </c>
      <c r="AE3119" s="25" t="s">
        <v>818</v>
      </c>
    </row>
    <row r="3120" spans="20:31" ht="14.4">
      <c r="T3120" s="25" t="s">
        <v>887</v>
      </c>
      <c r="U3120" s="25" t="s">
        <v>867</v>
      </c>
      <c r="V3120" t="s">
        <v>637</v>
      </c>
      <c r="W3120" s="25" t="str">
        <f t="shared" si="67"/>
        <v>Zipscreen HoodingOutside Window MountSomfy 12v Remote Sonesse Motor</v>
      </c>
      <c r="X3120" s="25">
        <v>12</v>
      </c>
      <c r="Y3120" s="25">
        <v>12</v>
      </c>
      <c r="Z3120" s="25">
        <v>12</v>
      </c>
      <c r="AA3120" s="25" t="s">
        <v>824</v>
      </c>
      <c r="AB3120" s="25" t="s">
        <v>818</v>
      </c>
      <c r="AC3120" s="25" t="s">
        <v>821</v>
      </c>
      <c r="AD3120" s="25" t="s">
        <v>824</v>
      </c>
      <c r="AE3120" s="25" t="s">
        <v>818</v>
      </c>
    </row>
    <row r="3121" spans="20:31" ht="14.4">
      <c r="T3121" s="25" t="s">
        <v>887</v>
      </c>
      <c r="U3121" s="25" t="s">
        <v>867</v>
      </c>
      <c r="V3121" s="25" t="s">
        <v>974</v>
      </c>
      <c r="W3121" s="25" t="str">
        <f t="shared" si="67"/>
        <v>Zipscreen HoodingOutside Window MountSomfy CBUS Motor</v>
      </c>
      <c r="X3121" s="25">
        <v>12</v>
      </c>
      <c r="Y3121" s="25">
        <v>12</v>
      </c>
      <c r="Z3121" s="25">
        <v>12</v>
      </c>
      <c r="AA3121" s="25" t="s">
        <v>824</v>
      </c>
      <c r="AB3121" s="25" t="s">
        <v>818</v>
      </c>
      <c r="AC3121" s="25" t="s">
        <v>821</v>
      </c>
      <c r="AD3121" s="25" t="s">
        <v>824</v>
      </c>
      <c r="AE3121" s="25" t="s">
        <v>818</v>
      </c>
    </row>
    <row r="3122" spans="20:31" ht="14.4">
      <c r="T3122" s="25" t="s">
        <v>887</v>
      </c>
      <c r="U3122" s="25" t="s">
        <v>867</v>
      </c>
      <c r="V3122" t="s">
        <v>986</v>
      </c>
      <c r="W3122" s="25" t="str">
        <f t="shared" si="67"/>
        <v>Zipscreen HoodingOutside Window MountHD Somfy Remote Sonesse Motor</v>
      </c>
      <c r="X3122" s="25">
        <v>12</v>
      </c>
      <c r="Y3122" s="25">
        <v>12</v>
      </c>
      <c r="Z3122" s="25">
        <v>12</v>
      </c>
      <c r="AA3122" s="25" t="s">
        <v>824</v>
      </c>
      <c r="AB3122" s="25" t="s">
        <v>818</v>
      </c>
      <c r="AC3122" s="25" t="s">
        <v>821</v>
      </c>
      <c r="AD3122" s="25" t="s">
        <v>824</v>
      </c>
      <c r="AE3122" s="25" t="s">
        <v>818</v>
      </c>
    </row>
    <row r="3123" spans="20:31" ht="14.4">
      <c r="T3123" s="25" t="s">
        <v>887</v>
      </c>
      <c r="U3123" s="25" t="s">
        <v>867</v>
      </c>
      <c r="V3123" t="s">
        <v>989</v>
      </c>
      <c r="W3123" s="25" t="str">
        <f t="shared" si="67"/>
        <v>Zipscreen HoodingOutside Window MountHD Somfy 12v Remote Sonesse Motor</v>
      </c>
      <c r="X3123" s="25">
        <v>12</v>
      </c>
      <c r="Y3123" s="25">
        <v>12</v>
      </c>
      <c r="Z3123" s="25">
        <v>12</v>
      </c>
      <c r="AA3123" s="25" t="s">
        <v>824</v>
      </c>
      <c r="AB3123" s="25" t="s">
        <v>818</v>
      </c>
      <c r="AC3123" s="25" t="s">
        <v>821</v>
      </c>
      <c r="AD3123" s="25" t="s">
        <v>824</v>
      </c>
      <c r="AE3123" s="25" t="s">
        <v>818</v>
      </c>
    </row>
    <row r="3124" spans="20:31" ht="14.4">
      <c r="T3124" s="25" t="s">
        <v>887</v>
      </c>
      <c r="U3124" s="25" t="s">
        <v>867</v>
      </c>
      <c r="V3124" s="25" t="s">
        <v>992</v>
      </c>
      <c r="W3124" s="25" t="str">
        <f t="shared" si="67"/>
        <v>Zipscreen HoodingOutside Window MountHD Somfy CBUS Motor</v>
      </c>
      <c r="X3124" s="25">
        <v>12</v>
      </c>
      <c r="Y3124" s="25">
        <v>12</v>
      </c>
      <c r="Z3124" s="25">
        <v>12</v>
      </c>
      <c r="AA3124" s="25" t="s">
        <v>824</v>
      </c>
      <c r="AB3124" s="25" t="s">
        <v>818</v>
      </c>
      <c r="AC3124" s="25" t="s">
        <v>821</v>
      </c>
      <c r="AD3124" s="25" t="s">
        <v>824</v>
      </c>
      <c r="AE3124" s="25" t="s">
        <v>818</v>
      </c>
    </row>
    <row r="3125" spans="20:31" ht="14.4">
      <c r="T3125" s="25" t="s">
        <v>887</v>
      </c>
      <c r="U3125" s="25" t="s">
        <v>867</v>
      </c>
      <c r="V3125" s="25" t="s">
        <v>625</v>
      </c>
      <c r="W3125" s="25" t="str">
        <f t="shared" si="67"/>
        <v>Zipscreen HoodingOutside Window MountAcmeda E6 Motor</v>
      </c>
      <c r="X3125" s="25">
        <v>12</v>
      </c>
      <c r="Y3125" s="25">
        <v>12</v>
      </c>
      <c r="Z3125" s="25">
        <v>12</v>
      </c>
      <c r="AA3125" s="25" t="s">
        <v>824</v>
      </c>
      <c r="AB3125" s="25" t="s">
        <v>818</v>
      </c>
      <c r="AC3125" s="25" t="s">
        <v>821</v>
      </c>
      <c r="AD3125" s="25" t="s">
        <v>824</v>
      </c>
      <c r="AE3125" s="25" t="s">
        <v>818</v>
      </c>
    </row>
    <row r="3126" spans="20:31" ht="14.4">
      <c r="T3126" s="25" t="s">
        <v>887</v>
      </c>
      <c r="U3126" s="25" t="s">
        <v>867</v>
      </c>
      <c r="V3126" s="25" t="s">
        <v>626</v>
      </c>
      <c r="W3126" s="25" t="str">
        <f t="shared" si="67"/>
        <v>Zipscreen HoodingOutside Window MountAcmeda M6 Motor</v>
      </c>
      <c r="X3126" s="25">
        <v>12</v>
      </c>
      <c r="Y3126" s="25">
        <v>12</v>
      </c>
      <c r="Z3126" s="25">
        <v>12</v>
      </c>
      <c r="AA3126" s="25" t="s">
        <v>824</v>
      </c>
      <c r="AB3126" s="25" t="s">
        <v>818</v>
      </c>
      <c r="AC3126" s="25" t="s">
        <v>821</v>
      </c>
      <c r="AD3126" s="25" t="s">
        <v>824</v>
      </c>
      <c r="AE3126" s="25" t="s">
        <v>818</v>
      </c>
    </row>
    <row r="3127" spans="20:31" ht="14.4">
      <c r="T3127" s="25" t="s">
        <v>887</v>
      </c>
      <c r="U3127" s="25" t="s">
        <v>867</v>
      </c>
      <c r="V3127" s="25" t="s">
        <v>1002</v>
      </c>
      <c r="W3127" s="25" t="str">
        <f t="shared" si="67"/>
        <v>Zipscreen HoodingOutside Window MountUniline Remote Motor</v>
      </c>
      <c r="X3127" s="25">
        <v>12</v>
      </c>
      <c r="Y3127" s="25">
        <v>12</v>
      </c>
      <c r="Z3127" s="25">
        <v>12</v>
      </c>
      <c r="AA3127" s="25" t="s">
        <v>824</v>
      </c>
      <c r="AB3127" s="25" t="s">
        <v>818</v>
      </c>
      <c r="AC3127" s="25" t="s">
        <v>821</v>
      </c>
      <c r="AD3127" s="25" t="s">
        <v>824</v>
      </c>
      <c r="AE3127" s="25" t="s">
        <v>818</v>
      </c>
    </row>
    <row r="3128" spans="20:31" ht="14.4">
      <c r="T3128" s="25" t="s">
        <v>887</v>
      </c>
      <c r="U3128" s="25" t="s">
        <v>867</v>
      </c>
      <c r="V3128" s="25" t="s">
        <v>1005</v>
      </c>
      <c r="W3128" s="25" t="str">
        <f t="shared" si="67"/>
        <v>Zipscreen HoodingOutside Window MountUniline Cbus Motor</v>
      </c>
      <c r="X3128" s="25">
        <v>12</v>
      </c>
      <c r="Y3128" s="25">
        <v>12</v>
      </c>
      <c r="Z3128" s="25">
        <v>12</v>
      </c>
      <c r="AA3128" s="25" t="s">
        <v>824</v>
      </c>
      <c r="AB3128" s="25" t="s">
        <v>818</v>
      </c>
      <c r="AC3128" s="25" t="s">
        <v>821</v>
      </c>
      <c r="AD3128" s="25" t="s">
        <v>824</v>
      </c>
      <c r="AE3128" s="25" t="s">
        <v>818</v>
      </c>
    </row>
    <row r="3129" spans="20:31" ht="14.4">
      <c r="T3129" s="25" t="s">
        <v>887</v>
      </c>
      <c r="U3129" s="25" t="s">
        <v>867</v>
      </c>
      <c r="V3129" s="25" t="s">
        <v>981</v>
      </c>
      <c r="W3129" s="25" t="str">
        <f t="shared" si="67"/>
        <v>Zipscreen HoodingOutside Window MountNice Remote Motor</v>
      </c>
      <c r="X3129" s="25">
        <v>12</v>
      </c>
      <c r="Y3129" s="25">
        <v>12</v>
      </c>
      <c r="Z3129" s="25">
        <v>12</v>
      </c>
      <c r="AA3129" s="25" t="s">
        <v>824</v>
      </c>
      <c r="AB3129" s="25" t="s">
        <v>818</v>
      </c>
      <c r="AC3129" s="25" t="s">
        <v>821</v>
      </c>
      <c r="AD3129" s="25" t="s">
        <v>824</v>
      </c>
      <c r="AE3129" s="25" t="s">
        <v>818</v>
      </c>
    </row>
    <row r="3130" spans="20:31" ht="14.4">
      <c r="T3130" s="25" t="s">
        <v>887</v>
      </c>
      <c r="U3130" s="25" t="s">
        <v>867</v>
      </c>
      <c r="V3130" s="25" t="s">
        <v>976</v>
      </c>
      <c r="W3130" s="25" t="str">
        <f t="shared" si="67"/>
        <v>Zipscreen HoodingOutside Window MountNice CBus Motor</v>
      </c>
      <c r="X3130" s="25">
        <v>12</v>
      </c>
      <c r="Y3130" s="25">
        <v>12</v>
      </c>
      <c r="Z3130" s="25">
        <v>12</v>
      </c>
      <c r="AA3130" s="25" t="s">
        <v>824</v>
      </c>
      <c r="AB3130" s="25" t="s">
        <v>818</v>
      </c>
      <c r="AC3130" s="25" t="s">
        <v>821</v>
      </c>
      <c r="AD3130" s="25" t="s">
        <v>824</v>
      </c>
      <c r="AE3130" s="25" t="s">
        <v>818</v>
      </c>
    </row>
    <row r="3131" spans="20:31" ht="14.4">
      <c r="T3131" s="25" t="s">
        <v>887</v>
      </c>
      <c r="U3131" s="25" t="s">
        <v>867</v>
      </c>
      <c r="V3131" t="s">
        <v>1006</v>
      </c>
      <c r="W3131" s="25" t="str">
        <f t="shared" si="67"/>
        <v>Zipscreen HoodingOutside Window MountSunboss Chain Winder 38mm Tube</v>
      </c>
      <c r="X3131" s="25">
        <v>12</v>
      </c>
      <c r="Y3131" s="25">
        <v>12</v>
      </c>
      <c r="Z3131" s="25">
        <v>12</v>
      </c>
      <c r="AA3131" s="25" t="s">
        <v>824</v>
      </c>
      <c r="AB3131" s="25" t="s">
        <v>818</v>
      </c>
      <c r="AC3131" s="25" t="s">
        <v>821</v>
      </c>
      <c r="AD3131" s="25" t="s">
        <v>824</v>
      </c>
      <c r="AE3131" s="25" t="s">
        <v>818</v>
      </c>
    </row>
    <row r="3132" spans="20:31" ht="14.4">
      <c r="T3132" s="25" t="s">
        <v>887</v>
      </c>
      <c r="U3132" s="25" t="s">
        <v>867</v>
      </c>
      <c r="V3132" t="s">
        <v>1017</v>
      </c>
      <c r="W3132" s="25" t="str">
        <f t="shared" si="67"/>
        <v>Zipscreen HoodingOutside Window MountSunboss Chain Winder 43mm Tube</v>
      </c>
      <c r="X3132" s="25">
        <v>12</v>
      </c>
      <c r="Y3132" s="25">
        <v>12</v>
      </c>
      <c r="Z3132" s="25">
        <v>12</v>
      </c>
      <c r="AA3132" s="25" t="s">
        <v>824</v>
      </c>
      <c r="AB3132" s="25" t="s">
        <v>818</v>
      </c>
      <c r="AC3132" s="25" t="s">
        <v>821</v>
      </c>
      <c r="AD3132" s="25" t="s">
        <v>824</v>
      </c>
      <c r="AE3132" s="25" t="s">
        <v>818</v>
      </c>
    </row>
    <row r="3133" spans="20:31" ht="14.4">
      <c r="T3133" s="25" t="s">
        <v>887</v>
      </c>
      <c r="U3133" s="25" t="s">
        <v>867</v>
      </c>
      <c r="V3133" s="25" t="s">
        <v>1012</v>
      </c>
      <c r="W3133" s="25" t="str">
        <f t="shared" si="67"/>
        <v>Zipscreen HoodingOutside Window MountTBS Remote Motor</v>
      </c>
      <c r="X3133" s="25">
        <v>12</v>
      </c>
      <c r="Y3133" s="25">
        <v>12</v>
      </c>
      <c r="Z3133" s="25">
        <v>12</v>
      </c>
      <c r="AA3133" s="25" t="s">
        <v>824</v>
      </c>
      <c r="AB3133" s="25" t="s">
        <v>818</v>
      </c>
      <c r="AC3133" s="25" t="s">
        <v>821</v>
      </c>
      <c r="AD3133" s="25" t="s">
        <v>824</v>
      </c>
      <c r="AE3133" s="25" t="s">
        <v>818</v>
      </c>
    </row>
    <row r="3134" spans="20:31" ht="14.4">
      <c r="T3134" s="25" t="s">
        <v>887</v>
      </c>
      <c r="U3134" s="25" t="s">
        <v>867</v>
      </c>
      <c r="V3134" t="s">
        <v>1009</v>
      </c>
      <c r="W3134" s="25" t="str">
        <f t="shared" si="67"/>
        <v>Zipscreen HoodingOutside Window MountTBS Cbus Motor</v>
      </c>
      <c r="X3134" s="25">
        <v>12</v>
      </c>
      <c r="Y3134" s="25">
        <v>12</v>
      </c>
      <c r="Z3134" s="25">
        <v>12</v>
      </c>
      <c r="AA3134" s="25" t="s">
        <v>824</v>
      </c>
      <c r="AB3134" s="25" t="s">
        <v>818</v>
      </c>
      <c r="AC3134" s="25" t="s">
        <v>821</v>
      </c>
      <c r="AE3134" s="25" t="s">
        <v>818</v>
      </c>
    </row>
    <row r="3135" spans="20:31" ht="14.4">
      <c r="T3135" s="25" t="s">
        <v>887</v>
      </c>
      <c r="U3135" s="25" t="s">
        <v>867</v>
      </c>
      <c r="V3135" t="s">
        <v>927</v>
      </c>
      <c r="W3135" s="25" t="str">
        <f t="shared" si="67"/>
        <v>Zipscreen HoodingOutside Window MountAcmeda External Motor</v>
      </c>
      <c r="X3135" s="25">
        <v>12</v>
      </c>
      <c r="Y3135" s="25">
        <v>12</v>
      </c>
      <c r="Z3135" s="25">
        <v>12</v>
      </c>
      <c r="AA3135" s="25" t="s">
        <v>824</v>
      </c>
      <c r="AB3135" s="25" t="s">
        <v>818</v>
      </c>
      <c r="AC3135" s="25" t="s">
        <v>821</v>
      </c>
      <c r="AE3135" s="25" t="s">
        <v>818</v>
      </c>
    </row>
    <row r="3136" spans="20:31" ht="14.4">
      <c r="T3136" s="25" t="s">
        <v>887</v>
      </c>
      <c r="U3136" s="25" t="s">
        <v>867</v>
      </c>
      <c r="V3136" t="s">
        <v>918</v>
      </c>
      <c r="W3136" s="25" t="str">
        <f t="shared" si="67"/>
        <v>Zipscreen HoodingOutside Window MountAcmeda External 12v Motor</v>
      </c>
      <c r="X3136" s="25">
        <v>12</v>
      </c>
      <c r="Y3136" s="25">
        <v>12</v>
      </c>
      <c r="Z3136" s="25">
        <v>12</v>
      </c>
      <c r="AA3136" s="25" t="s">
        <v>824</v>
      </c>
      <c r="AB3136" s="25" t="s">
        <v>818</v>
      </c>
      <c r="AC3136" s="25" t="s">
        <v>821</v>
      </c>
      <c r="AD3136" s="25" t="s">
        <v>824</v>
      </c>
      <c r="AE3136" s="25" t="s">
        <v>818</v>
      </c>
    </row>
    <row r="3137" spans="20:31" ht="14.4">
      <c r="T3137" s="25" t="s">
        <v>887</v>
      </c>
      <c r="U3137" s="25" t="s">
        <v>867</v>
      </c>
      <c r="V3137" t="s">
        <v>979</v>
      </c>
      <c r="W3137" s="25" t="str">
        <f t="shared" si="67"/>
        <v>Zipscreen HoodingOutside Window MountSomfy External CBUS Motor</v>
      </c>
      <c r="X3137" s="25">
        <v>12</v>
      </c>
      <c r="Y3137" s="25">
        <v>12</v>
      </c>
      <c r="Z3137" s="25">
        <v>12</v>
      </c>
      <c r="AA3137" s="25" t="s">
        <v>824</v>
      </c>
      <c r="AB3137" s="25" t="s">
        <v>818</v>
      </c>
      <c r="AC3137" s="25" t="s">
        <v>821</v>
      </c>
      <c r="AD3137" s="25" t="s">
        <v>824</v>
      </c>
      <c r="AE3137" s="25" t="s">
        <v>818</v>
      </c>
    </row>
    <row r="3138" spans="20:31" ht="14.4">
      <c r="T3138" s="25" t="s">
        <v>887</v>
      </c>
      <c r="U3138" s="25" t="s">
        <v>867</v>
      </c>
      <c r="V3138" t="s">
        <v>983</v>
      </c>
      <c r="W3138" s="25" t="str">
        <f t="shared" si="67"/>
        <v>Zipscreen HoodingOutside Window MountSomfy External Remote Motor</v>
      </c>
      <c r="X3138" s="25">
        <v>12</v>
      </c>
      <c r="Y3138" s="25">
        <v>12</v>
      </c>
      <c r="Z3138" s="25">
        <v>12</v>
      </c>
      <c r="AA3138" s="25" t="s">
        <v>824</v>
      </c>
      <c r="AB3138" s="25" t="s">
        <v>818</v>
      </c>
      <c r="AC3138" s="25" t="s">
        <v>821</v>
      </c>
      <c r="AD3138" s="25" t="s">
        <v>824</v>
      </c>
      <c r="AE3138" s="25" t="s">
        <v>818</v>
      </c>
    </row>
    <row r="3139" spans="20:31" ht="14.4">
      <c r="T3139" s="25" t="s">
        <v>887</v>
      </c>
      <c r="U3139" s="25" t="s">
        <v>867</v>
      </c>
      <c r="V3139" t="s">
        <v>995</v>
      </c>
      <c r="W3139" s="25" t="str">
        <f t="shared" si="68" ref="W3139:W3182">CONCATENATE(T3139,U3139,V3139)</f>
        <v>Zipscreen HoodingOutside Window MountHD Somfy External CBUS Motor</v>
      </c>
      <c r="X3139" s="25">
        <v>12</v>
      </c>
      <c r="Y3139" s="25">
        <v>12</v>
      </c>
      <c r="Z3139" s="25">
        <v>12</v>
      </c>
      <c r="AA3139" s="25" t="s">
        <v>824</v>
      </c>
      <c r="AB3139" s="25" t="s">
        <v>818</v>
      </c>
      <c r="AC3139" s="25" t="s">
        <v>821</v>
      </c>
      <c r="AD3139" s="25" t="s">
        <v>824</v>
      </c>
      <c r="AE3139" s="25" t="s">
        <v>818</v>
      </c>
    </row>
    <row r="3140" spans="20:31" ht="14.4">
      <c r="T3140" s="25" t="s">
        <v>887</v>
      </c>
      <c r="U3140" s="25" t="s">
        <v>867</v>
      </c>
      <c r="V3140" t="s">
        <v>999</v>
      </c>
      <c r="W3140" s="25" t="str">
        <f t="shared" si="68"/>
        <v>Zipscreen HoodingOutside Window MountHD Somfy External Remote Motor</v>
      </c>
      <c r="X3140" s="25">
        <v>12</v>
      </c>
      <c r="Y3140" s="25">
        <v>12</v>
      </c>
      <c r="Z3140" s="25">
        <v>12</v>
      </c>
      <c r="AA3140" s="25" t="s">
        <v>824</v>
      </c>
      <c r="AB3140" s="25" t="s">
        <v>818</v>
      </c>
      <c r="AC3140" s="25" t="s">
        <v>821</v>
      </c>
      <c r="AD3140" s="25" t="s">
        <v>824</v>
      </c>
      <c r="AE3140" s="25" t="s">
        <v>818</v>
      </c>
    </row>
    <row r="3141" spans="20:31" ht="14.4">
      <c r="T3141" s="25" t="s">
        <v>887</v>
      </c>
      <c r="U3141" s="25" t="s">
        <v>837</v>
      </c>
      <c r="V3141" s="25" t="s">
        <v>823</v>
      </c>
      <c r="W3141" s="25" t="str">
        <f t="shared" si="68"/>
        <v>Zipscreen HoodingRevealChain Winder</v>
      </c>
      <c r="X3141" s="25">
        <v>12</v>
      </c>
      <c r="Y3141" s="25">
        <v>12</v>
      </c>
      <c r="Z3141" s="25">
        <v>12</v>
      </c>
      <c r="AA3141" s="25" t="s">
        <v>824</v>
      </c>
      <c r="AB3141" s="25" t="s">
        <v>818</v>
      </c>
      <c r="AC3141" s="25" t="s">
        <v>821</v>
      </c>
      <c r="AD3141" s="25" t="s">
        <v>824</v>
      </c>
      <c r="AE3141" s="25" t="s">
        <v>818</v>
      </c>
    </row>
    <row r="3142" spans="20:31" ht="14.4">
      <c r="T3142" s="25" t="s">
        <v>887</v>
      </c>
      <c r="U3142" s="25" t="s">
        <v>837</v>
      </c>
      <c r="V3142" s="25" t="s">
        <v>841</v>
      </c>
      <c r="W3142" s="25" t="str">
        <f t="shared" si="68"/>
        <v>Zipscreen HoodingRevealHD Chain Winder</v>
      </c>
      <c r="X3142" s="25">
        <v>12</v>
      </c>
      <c r="Y3142" s="25">
        <v>12</v>
      </c>
      <c r="Z3142" s="25">
        <v>12</v>
      </c>
      <c r="AA3142" s="25" t="s">
        <v>824</v>
      </c>
      <c r="AB3142" s="25" t="s">
        <v>818</v>
      </c>
      <c r="AC3142" s="25" t="s">
        <v>821</v>
      </c>
      <c r="AD3142" s="25" t="s">
        <v>824</v>
      </c>
      <c r="AE3142" s="25" t="s">
        <v>818</v>
      </c>
    </row>
    <row r="3143" spans="20:31" ht="14.4">
      <c r="T3143" s="25" t="s">
        <v>887</v>
      </c>
      <c r="U3143" s="25" t="s">
        <v>837</v>
      </c>
      <c r="V3143" s="25" t="s">
        <v>858</v>
      </c>
      <c r="W3143" s="25" t="str">
        <f t="shared" si="68"/>
        <v>Zipscreen HoodingRevealChain Winder 60mm</v>
      </c>
      <c r="X3143" s="25">
        <v>12</v>
      </c>
      <c r="Y3143" s="25">
        <v>12</v>
      </c>
      <c r="Z3143" s="25">
        <v>12</v>
      </c>
      <c r="AA3143" s="25" t="s">
        <v>824</v>
      </c>
      <c r="AB3143" s="25" t="s">
        <v>818</v>
      </c>
      <c r="AC3143" s="25" t="s">
        <v>821</v>
      </c>
      <c r="AD3143" s="25" t="s">
        <v>824</v>
      </c>
      <c r="AE3143" s="25" t="s">
        <v>818</v>
      </c>
    </row>
    <row r="3144" spans="20:31" ht="14.4">
      <c r="T3144" s="25" t="s">
        <v>887</v>
      </c>
      <c r="U3144" s="25" t="s">
        <v>837</v>
      </c>
      <c r="V3144" s="25" t="s">
        <v>865</v>
      </c>
      <c r="W3144" s="25" t="str">
        <f t="shared" si="68"/>
        <v>Zipscreen HoodingRevealChain Winder Fixed Guide</v>
      </c>
      <c r="X3144" s="25">
        <v>12</v>
      </c>
      <c r="Y3144" s="25">
        <v>12</v>
      </c>
      <c r="Z3144" s="25">
        <v>12</v>
      </c>
      <c r="AA3144" s="25" t="s">
        <v>824</v>
      </c>
      <c r="AB3144" s="25" t="s">
        <v>818</v>
      </c>
      <c r="AC3144" s="25" t="s">
        <v>821</v>
      </c>
      <c r="AD3144" s="25" t="s">
        <v>824</v>
      </c>
      <c r="AE3144" s="25" t="s">
        <v>818</v>
      </c>
    </row>
    <row r="3145" spans="20:31" ht="14.4">
      <c r="T3145" s="25" t="s">
        <v>887</v>
      </c>
      <c r="U3145" s="25" t="s">
        <v>837</v>
      </c>
      <c r="V3145" s="25" t="s">
        <v>181</v>
      </c>
      <c r="W3145" s="25" t="str">
        <f t="shared" si="68"/>
        <v>Zipscreen HoodingRevealLinked</v>
      </c>
      <c r="X3145" s="25">
        <v>12</v>
      </c>
      <c r="Y3145" s="25">
        <v>12</v>
      </c>
      <c r="Z3145" s="25">
        <v>12</v>
      </c>
      <c r="AA3145" s="25" t="s">
        <v>824</v>
      </c>
      <c r="AB3145" s="25" t="s">
        <v>818</v>
      </c>
      <c r="AC3145" s="25" t="s">
        <v>821</v>
      </c>
      <c r="AD3145" s="25" t="s">
        <v>824</v>
      </c>
      <c r="AE3145" s="25" t="s">
        <v>818</v>
      </c>
    </row>
    <row r="3146" spans="20:31" ht="14.4">
      <c r="T3146" s="25" t="s">
        <v>887</v>
      </c>
      <c r="U3146" s="25" t="s">
        <v>837</v>
      </c>
      <c r="V3146" s="25" t="s">
        <v>898</v>
      </c>
      <c r="W3146" s="25" t="str">
        <f t="shared" si="68"/>
        <v>Zipscreen HoodingRevealLinked - HD</v>
      </c>
      <c r="X3146" s="25">
        <v>12</v>
      </c>
      <c r="Y3146" s="25">
        <v>12</v>
      </c>
      <c r="Z3146" s="25">
        <v>12</v>
      </c>
      <c r="AA3146" s="25" t="s">
        <v>824</v>
      </c>
      <c r="AB3146" s="25" t="s">
        <v>818</v>
      </c>
      <c r="AC3146" s="25" t="s">
        <v>821</v>
      </c>
      <c r="AD3146" s="25" t="s">
        <v>824</v>
      </c>
      <c r="AE3146" s="25" t="s">
        <v>818</v>
      </c>
    </row>
    <row r="3147" spans="20:31" ht="14.4">
      <c r="T3147" s="25" t="s">
        <v>887</v>
      </c>
      <c r="U3147" s="25" t="s">
        <v>837</v>
      </c>
      <c r="V3147" s="25" t="s">
        <v>910</v>
      </c>
      <c r="W3147" s="25" t="str">
        <f t="shared" si="68"/>
        <v>Zipscreen HoodingRevealStandard Spring</v>
      </c>
      <c r="X3147" s="25">
        <v>12</v>
      </c>
      <c r="Y3147" s="25">
        <v>12</v>
      </c>
      <c r="Z3147" s="25">
        <v>12</v>
      </c>
      <c r="AA3147" s="25" t="s">
        <v>824</v>
      </c>
      <c r="AB3147" s="25" t="s">
        <v>818</v>
      </c>
      <c r="AC3147" s="25" t="s">
        <v>821</v>
      </c>
      <c r="AD3147" s="25" t="s">
        <v>824</v>
      </c>
      <c r="AE3147" s="25" t="s">
        <v>818</v>
      </c>
    </row>
    <row r="3148" spans="20:31" ht="14.4">
      <c r="T3148" s="25" t="s">
        <v>887</v>
      </c>
      <c r="U3148" s="25" t="s">
        <v>837</v>
      </c>
      <c r="V3148" s="25" t="s">
        <v>920</v>
      </c>
      <c r="W3148" s="25" t="str">
        <f t="shared" si="68"/>
        <v>Zipscreen HoodingRevealSmall Spring</v>
      </c>
      <c r="X3148" s="25">
        <v>12</v>
      </c>
      <c r="Y3148" s="25">
        <v>12</v>
      </c>
      <c r="Z3148" s="25">
        <v>12</v>
      </c>
      <c r="AA3148" s="25" t="s">
        <v>824</v>
      </c>
      <c r="AB3148" s="25" t="s">
        <v>818</v>
      </c>
      <c r="AC3148" s="25" t="s">
        <v>821</v>
      </c>
      <c r="AD3148" s="25" t="s">
        <v>824</v>
      </c>
      <c r="AE3148" s="25" t="s">
        <v>818</v>
      </c>
    </row>
    <row r="3149" spans="20:31" ht="14.4">
      <c r="T3149" s="25" t="s">
        <v>887</v>
      </c>
      <c r="U3149" s="25" t="s">
        <v>837</v>
      </c>
      <c r="V3149" s="25" t="s">
        <v>929</v>
      </c>
      <c r="W3149" s="25" t="str">
        <f t="shared" si="68"/>
        <v>Zipscreen HoodingRevealUniline Spring (Old Style)</v>
      </c>
      <c r="X3149" s="25">
        <v>12</v>
      </c>
      <c r="Y3149" s="25">
        <v>12</v>
      </c>
      <c r="Z3149" s="25">
        <v>12</v>
      </c>
      <c r="AA3149" s="25" t="s">
        <v>824</v>
      </c>
      <c r="AB3149" s="25" t="s">
        <v>818</v>
      </c>
      <c r="AC3149" s="25" t="s">
        <v>821</v>
      </c>
      <c r="AD3149" s="25" t="s">
        <v>824</v>
      </c>
      <c r="AE3149" s="25" t="s">
        <v>818</v>
      </c>
    </row>
    <row r="3150" spans="20:31" ht="14.4">
      <c r="T3150" s="25" t="s">
        <v>887</v>
      </c>
      <c r="U3150" s="25" t="s">
        <v>837</v>
      </c>
      <c r="V3150" s="25" t="s">
        <v>935</v>
      </c>
      <c r="W3150" s="25" t="str">
        <f t="shared" si="68"/>
        <v>Zipscreen HoodingRevealBecker Remote Motor</v>
      </c>
      <c r="X3150" s="25">
        <v>12</v>
      </c>
      <c r="Y3150" s="25">
        <v>12</v>
      </c>
      <c r="Z3150" s="25">
        <v>12</v>
      </c>
      <c r="AA3150" s="25" t="s">
        <v>824</v>
      </c>
      <c r="AB3150" s="25" t="s">
        <v>818</v>
      </c>
      <c r="AC3150" s="25" t="s">
        <v>821</v>
      </c>
      <c r="AD3150" s="25" t="s">
        <v>824</v>
      </c>
      <c r="AE3150" s="25" t="s">
        <v>818</v>
      </c>
    </row>
    <row r="3151" spans="20:31" ht="14.4">
      <c r="T3151" s="25" t="s">
        <v>887</v>
      </c>
      <c r="U3151" s="25" t="s">
        <v>837</v>
      </c>
      <c r="V3151" s="25" t="s">
        <v>939</v>
      </c>
      <c r="W3151" s="25" t="str">
        <f t="shared" si="68"/>
        <v>Zipscreen HoodingRevealBecker CBUS Motor</v>
      </c>
      <c r="X3151" s="25">
        <v>12</v>
      </c>
      <c r="Y3151" s="25">
        <v>12</v>
      </c>
      <c r="Z3151" s="25">
        <v>12</v>
      </c>
      <c r="AA3151" s="25" t="s">
        <v>824</v>
      </c>
      <c r="AB3151" s="25" t="s">
        <v>818</v>
      </c>
      <c r="AC3151" s="25" t="s">
        <v>821</v>
      </c>
      <c r="AD3151" s="25" t="s">
        <v>824</v>
      </c>
      <c r="AE3151" s="25" t="s">
        <v>818</v>
      </c>
    </row>
    <row r="3152" spans="20:31" ht="14.4">
      <c r="T3152" s="25" t="s">
        <v>887</v>
      </c>
      <c r="U3152" s="25" t="s">
        <v>837</v>
      </c>
      <c r="V3152" s="25" t="s">
        <v>946</v>
      </c>
      <c r="W3152" s="25" t="str">
        <f t="shared" si="68"/>
        <v>Zipscreen HoodingRevealBecker External Remote Motor</v>
      </c>
      <c r="X3152" s="25">
        <v>12</v>
      </c>
      <c r="Y3152" s="25">
        <v>12</v>
      </c>
      <c r="Z3152" s="25">
        <v>12</v>
      </c>
      <c r="AA3152" s="25" t="s">
        <v>824</v>
      </c>
      <c r="AB3152" s="25" t="s">
        <v>818</v>
      </c>
      <c r="AC3152" s="25" t="s">
        <v>821</v>
      </c>
      <c r="AD3152" s="25" t="s">
        <v>824</v>
      </c>
      <c r="AE3152" s="25" t="s">
        <v>818</v>
      </c>
    </row>
    <row r="3153" spans="20:31" ht="14.4">
      <c r="T3153" s="25" t="s">
        <v>887</v>
      </c>
      <c r="U3153" s="25" t="s">
        <v>837</v>
      </c>
      <c r="V3153" s="25" t="s">
        <v>951</v>
      </c>
      <c r="W3153" s="25" t="str">
        <f t="shared" si="68"/>
        <v>Zipscreen HoodingRevealBecker External CBUS Motor</v>
      </c>
      <c r="X3153" s="25">
        <v>12</v>
      </c>
      <c r="Y3153" s="25">
        <v>12</v>
      </c>
      <c r="Z3153" s="25">
        <v>12</v>
      </c>
      <c r="AA3153" s="25" t="s">
        <v>824</v>
      </c>
      <c r="AB3153" s="25" t="s">
        <v>818</v>
      </c>
      <c r="AC3153" s="25" t="s">
        <v>821</v>
      </c>
      <c r="AD3153" s="25" t="s">
        <v>824</v>
      </c>
      <c r="AE3153" s="25" t="s">
        <v>818</v>
      </c>
    </row>
    <row r="3154" spans="20:31" ht="14.4">
      <c r="T3154" s="25" t="s">
        <v>887</v>
      </c>
      <c r="U3154" s="25" t="s">
        <v>837</v>
      </c>
      <c r="V3154" s="25" t="s">
        <v>838</v>
      </c>
      <c r="W3154" s="25" t="str">
        <f t="shared" si="68"/>
        <v>Zipscreen HoodingReveal1.1nm 12v Acmeda Motor</v>
      </c>
      <c r="X3154" s="25">
        <v>12</v>
      </c>
      <c r="Y3154" s="25">
        <v>12</v>
      </c>
      <c r="Z3154" s="25">
        <v>12</v>
      </c>
      <c r="AA3154" s="25" t="s">
        <v>824</v>
      </c>
      <c r="AB3154" s="25" t="s">
        <v>818</v>
      </c>
      <c r="AC3154" s="25" t="s">
        <v>821</v>
      </c>
      <c r="AD3154" s="25" t="s">
        <v>824</v>
      </c>
      <c r="AE3154" s="25" t="s">
        <v>818</v>
      </c>
    </row>
    <row r="3155" spans="20:31" ht="14.4">
      <c r="T3155" s="25" t="s">
        <v>887</v>
      </c>
      <c r="U3155" s="25" t="s">
        <v>837</v>
      </c>
      <c r="V3155" t="s">
        <v>882</v>
      </c>
      <c r="W3155" s="25" t="str">
        <f t="shared" si="68"/>
        <v>Zipscreen HoodingReveal2nm 12v Acmeda Motor</v>
      </c>
      <c r="X3155" s="25">
        <v>12</v>
      </c>
      <c r="Y3155" s="25">
        <v>12</v>
      </c>
      <c r="Z3155" s="25">
        <v>12</v>
      </c>
      <c r="AA3155" s="25" t="s">
        <v>824</v>
      </c>
      <c r="AB3155" s="25" t="s">
        <v>818</v>
      </c>
      <c r="AC3155" s="25" t="s">
        <v>821</v>
      </c>
      <c r="AD3155" s="25" t="s">
        <v>824</v>
      </c>
      <c r="AE3155" s="25" t="s">
        <v>818</v>
      </c>
    </row>
    <row r="3156" spans="20:31" ht="14.4">
      <c r="T3156" s="25" t="s">
        <v>887</v>
      </c>
      <c r="U3156" s="25" t="s">
        <v>837</v>
      </c>
      <c r="V3156" t="s">
        <v>896</v>
      </c>
      <c r="W3156" s="25" t="str">
        <f t="shared" si="68"/>
        <v>Zipscreen HoodingRevealAcmeda 12v 6nm Motor</v>
      </c>
      <c r="X3156" s="25">
        <v>12</v>
      </c>
      <c r="Y3156" s="25">
        <v>12</v>
      </c>
      <c r="Z3156" s="25">
        <v>12</v>
      </c>
      <c r="AA3156" s="25" t="s">
        <v>824</v>
      </c>
      <c r="AB3156" s="25" t="s">
        <v>818</v>
      </c>
      <c r="AC3156" s="25" t="s">
        <v>821</v>
      </c>
      <c r="AD3156" s="25" t="s">
        <v>824</v>
      </c>
      <c r="AE3156" s="25" t="s">
        <v>818</v>
      </c>
    </row>
    <row r="3157" spans="20:31" ht="14.4">
      <c r="T3157" s="25" t="s">
        <v>887</v>
      </c>
      <c r="U3157" s="25" t="s">
        <v>837</v>
      </c>
      <c r="V3157" t="s">
        <v>855</v>
      </c>
      <c r="W3157" s="25" t="str">
        <f t="shared" si="68"/>
        <v>Zipscreen HoodingReveal0.7nm 12v Acmeda Motor</v>
      </c>
      <c r="X3157" s="25">
        <v>12</v>
      </c>
      <c r="Y3157" s="25">
        <v>12</v>
      </c>
      <c r="Z3157" s="25">
        <v>12</v>
      </c>
      <c r="AA3157" s="25" t="s">
        <v>824</v>
      </c>
      <c r="AB3157" s="25" t="s">
        <v>818</v>
      </c>
      <c r="AC3157" s="25" t="s">
        <v>821</v>
      </c>
      <c r="AD3157" s="25" t="s">
        <v>824</v>
      </c>
      <c r="AE3157" s="25" t="s">
        <v>818</v>
      </c>
    </row>
    <row r="3158" spans="20:31" ht="14.4">
      <c r="T3158" s="25" t="s">
        <v>887</v>
      </c>
      <c r="U3158" s="25" t="s">
        <v>837</v>
      </c>
      <c r="V3158" s="25" t="s">
        <v>849</v>
      </c>
      <c r="W3158" s="25" t="str">
        <f t="shared" si="68"/>
        <v>Zipscreen HoodingReveal1.1nm 12v Acmeda DCRF Motor with External Battery</v>
      </c>
      <c r="X3158" s="25">
        <v>12</v>
      </c>
      <c r="Y3158" s="25">
        <v>12</v>
      </c>
      <c r="Z3158" s="25">
        <v>12</v>
      </c>
      <c r="AA3158" s="25" t="s">
        <v>824</v>
      </c>
      <c r="AB3158" s="25" t="s">
        <v>818</v>
      </c>
      <c r="AC3158" s="25" t="s">
        <v>821</v>
      </c>
      <c r="AD3158" s="25" t="s">
        <v>824</v>
      </c>
      <c r="AE3158" s="25" t="s">
        <v>818</v>
      </c>
    </row>
    <row r="3159" spans="20:31" ht="14.4">
      <c r="T3159" s="25" t="s">
        <v>887</v>
      </c>
      <c r="U3159" s="25" t="s">
        <v>837</v>
      </c>
      <c r="V3159" s="25" t="s">
        <v>817</v>
      </c>
      <c r="W3159" s="25" t="str">
        <f t="shared" si="68"/>
        <v>Zipscreen HoodingReveal1.1nm 12v Acmeda DCRF Motor</v>
      </c>
      <c r="X3159" s="25">
        <v>12</v>
      </c>
      <c r="Y3159" s="25">
        <v>12</v>
      </c>
      <c r="Z3159" s="25">
        <v>12</v>
      </c>
      <c r="AA3159" s="25" t="s">
        <v>824</v>
      </c>
      <c r="AB3159" s="25" t="s">
        <v>818</v>
      </c>
      <c r="AC3159" s="25" t="s">
        <v>821</v>
      </c>
      <c r="AD3159" s="25" t="s">
        <v>824</v>
      </c>
      <c r="AE3159" s="25" t="s">
        <v>818</v>
      </c>
    </row>
    <row r="3160" spans="20:31" ht="14.4">
      <c r="T3160" s="25" t="s">
        <v>887</v>
      </c>
      <c r="U3160" s="25" t="s">
        <v>837</v>
      </c>
      <c r="V3160" s="25" t="s">
        <v>868</v>
      </c>
      <c r="W3160" s="25" t="str">
        <f t="shared" si="68"/>
        <v>Zipscreen HoodingReveal2nm 12v Acmeda DCRF Motor</v>
      </c>
      <c r="X3160" s="25">
        <v>12</v>
      </c>
      <c r="Y3160" s="25">
        <v>12</v>
      </c>
      <c r="Z3160" s="25">
        <v>12</v>
      </c>
      <c r="AA3160" s="25" t="s">
        <v>824</v>
      </c>
      <c r="AB3160" s="25" t="s">
        <v>818</v>
      </c>
      <c r="AC3160" s="25" t="s">
        <v>821</v>
      </c>
      <c r="AD3160" s="25" t="s">
        <v>824</v>
      </c>
      <c r="AE3160" s="25" t="s">
        <v>818</v>
      </c>
    </row>
    <row r="3161" spans="20:31" ht="14.4">
      <c r="T3161" s="25" t="s">
        <v>887</v>
      </c>
      <c r="U3161" s="25" t="s">
        <v>837</v>
      </c>
      <c r="V3161" t="s">
        <v>973</v>
      </c>
      <c r="W3161" s="25" t="str">
        <f t="shared" si="68"/>
        <v>Zipscreen HoodingRevealSomfy Remote Sonesse Motor</v>
      </c>
      <c r="X3161" s="25">
        <v>12</v>
      </c>
      <c r="Y3161" s="25">
        <v>12</v>
      </c>
      <c r="Z3161" s="25">
        <v>12</v>
      </c>
      <c r="AA3161" s="25" t="s">
        <v>824</v>
      </c>
      <c r="AB3161" s="25" t="s">
        <v>818</v>
      </c>
      <c r="AC3161" s="25" t="s">
        <v>821</v>
      </c>
      <c r="AD3161" s="25" t="s">
        <v>824</v>
      </c>
      <c r="AE3161" s="25" t="s">
        <v>818</v>
      </c>
    </row>
    <row r="3162" spans="20:31" ht="14.4">
      <c r="T3162" s="25" t="s">
        <v>887</v>
      </c>
      <c r="U3162" s="25" t="s">
        <v>837</v>
      </c>
      <c r="V3162" t="s">
        <v>637</v>
      </c>
      <c r="W3162" s="25" t="str">
        <f t="shared" si="68"/>
        <v>Zipscreen HoodingRevealSomfy 12v Remote Sonesse Motor</v>
      </c>
      <c r="X3162" s="25">
        <v>12</v>
      </c>
      <c r="Y3162" s="25">
        <v>12</v>
      </c>
      <c r="Z3162" s="25">
        <v>12</v>
      </c>
      <c r="AA3162" s="25" t="s">
        <v>824</v>
      </c>
      <c r="AB3162" s="25" t="s">
        <v>818</v>
      </c>
      <c r="AC3162" s="25" t="s">
        <v>821</v>
      </c>
      <c r="AD3162" s="25" t="s">
        <v>824</v>
      </c>
      <c r="AE3162" s="25" t="s">
        <v>818</v>
      </c>
    </row>
    <row r="3163" spans="20:31" ht="14.4">
      <c r="T3163" s="25" t="s">
        <v>887</v>
      </c>
      <c r="U3163" s="25" t="s">
        <v>837</v>
      </c>
      <c r="V3163" s="25" t="s">
        <v>974</v>
      </c>
      <c r="W3163" s="25" t="str">
        <f t="shared" si="68"/>
        <v>Zipscreen HoodingRevealSomfy CBUS Motor</v>
      </c>
      <c r="X3163" s="25">
        <v>12</v>
      </c>
      <c r="Y3163" s="25">
        <v>12</v>
      </c>
      <c r="Z3163" s="25">
        <v>12</v>
      </c>
      <c r="AA3163" s="25" t="s">
        <v>824</v>
      </c>
      <c r="AB3163" s="25" t="s">
        <v>818</v>
      </c>
      <c r="AC3163" s="25" t="s">
        <v>821</v>
      </c>
      <c r="AD3163" s="25" t="s">
        <v>824</v>
      </c>
      <c r="AE3163" s="25" t="s">
        <v>818</v>
      </c>
    </row>
    <row r="3164" spans="20:31" ht="14.4">
      <c r="T3164" s="25" t="s">
        <v>887</v>
      </c>
      <c r="U3164" s="25" t="s">
        <v>837</v>
      </c>
      <c r="V3164" t="s">
        <v>986</v>
      </c>
      <c r="W3164" s="25" t="str">
        <f t="shared" si="68"/>
        <v>Zipscreen HoodingRevealHD Somfy Remote Sonesse Motor</v>
      </c>
      <c r="X3164" s="25">
        <v>12</v>
      </c>
      <c r="Y3164" s="25">
        <v>12</v>
      </c>
      <c r="Z3164" s="25">
        <v>12</v>
      </c>
      <c r="AA3164" s="25" t="s">
        <v>824</v>
      </c>
      <c r="AB3164" s="25" t="s">
        <v>818</v>
      </c>
      <c r="AC3164" s="25" t="s">
        <v>821</v>
      </c>
      <c r="AD3164" s="25" t="s">
        <v>824</v>
      </c>
      <c r="AE3164" s="25" t="s">
        <v>818</v>
      </c>
    </row>
    <row r="3165" spans="20:31" ht="14.4">
      <c r="T3165" s="25" t="s">
        <v>887</v>
      </c>
      <c r="U3165" s="25" t="s">
        <v>837</v>
      </c>
      <c r="V3165" t="s">
        <v>989</v>
      </c>
      <c r="W3165" s="25" t="str">
        <f t="shared" si="68"/>
        <v>Zipscreen HoodingRevealHD Somfy 12v Remote Sonesse Motor</v>
      </c>
      <c r="X3165" s="25">
        <v>12</v>
      </c>
      <c r="Y3165" s="25">
        <v>12</v>
      </c>
      <c r="Z3165" s="25">
        <v>12</v>
      </c>
      <c r="AA3165" s="25" t="s">
        <v>824</v>
      </c>
      <c r="AB3165" s="25" t="s">
        <v>818</v>
      </c>
      <c r="AC3165" s="25" t="s">
        <v>821</v>
      </c>
      <c r="AD3165" s="25" t="s">
        <v>824</v>
      </c>
      <c r="AE3165" s="25" t="s">
        <v>818</v>
      </c>
    </row>
    <row r="3166" spans="20:31" ht="14.4">
      <c r="T3166" s="25" t="s">
        <v>887</v>
      </c>
      <c r="U3166" s="25" t="s">
        <v>837</v>
      </c>
      <c r="V3166" s="25" t="s">
        <v>992</v>
      </c>
      <c r="W3166" s="25" t="str">
        <f t="shared" si="68"/>
        <v>Zipscreen HoodingRevealHD Somfy CBUS Motor</v>
      </c>
      <c r="X3166" s="25">
        <v>12</v>
      </c>
      <c r="Y3166" s="25">
        <v>12</v>
      </c>
      <c r="Z3166" s="25">
        <v>12</v>
      </c>
      <c r="AA3166" s="25" t="s">
        <v>824</v>
      </c>
      <c r="AB3166" s="25" t="s">
        <v>818</v>
      </c>
      <c r="AC3166" s="25" t="s">
        <v>821</v>
      </c>
      <c r="AD3166" s="25" t="s">
        <v>824</v>
      </c>
      <c r="AE3166" s="25" t="s">
        <v>818</v>
      </c>
    </row>
    <row r="3167" spans="20:31" ht="14.4">
      <c r="T3167" s="25" t="s">
        <v>887</v>
      </c>
      <c r="U3167" s="25" t="s">
        <v>837</v>
      </c>
      <c r="V3167" s="25" t="s">
        <v>625</v>
      </c>
      <c r="W3167" s="25" t="str">
        <f t="shared" si="68"/>
        <v>Zipscreen HoodingRevealAcmeda E6 Motor</v>
      </c>
      <c r="X3167" s="25">
        <v>12</v>
      </c>
      <c r="Y3167" s="25">
        <v>12</v>
      </c>
      <c r="Z3167" s="25">
        <v>12</v>
      </c>
      <c r="AA3167" s="25" t="s">
        <v>824</v>
      </c>
      <c r="AB3167" s="25" t="s">
        <v>818</v>
      </c>
      <c r="AC3167" s="25" t="s">
        <v>821</v>
      </c>
      <c r="AD3167" s="25" t="s">
        <v>824</v>
      </c>
      <c r="AE3167" s="25" t="s">
        <v>818</v>
      </c>
    </row>
    <row r="3168" spans="20:31" ht="14.4">
      <c r="T3168" s="25" t="s">
        <v>887</v>
      </c>
      <c r="U3168" s="25" t="s">
        <v>837</v>
      </c>
      <c r="V3168" s="25" t="s">
        <v>626</v>
      </c>
      <c r="W3168" s="25" t="str">
        <f t="shared" si="68"/>
        <v>Zipscreen HoodingRevealAcmeda M6 Motor</v>
      </c>
      <c r="X3168" s="25">
        <v>12</v>
      </c>
      <c r="Y3168" s="25">
        <v>12</v>
      </c>
      <c r="Z3168" s="25">
        <v>12</v>
      </c>
      <c r="AA3168" s="25" t="s">
        <v>824</v>
      </c>
      <c r="AB3168" s="25" t="s">
        <v>818</v>
      </c>
      <c r="AC3168" s="25" t="s">
        <v>821</v>
      </c>
      <c r="AD3168" s="25" t="s">
        <v>824</v>
      </c>
      <c r="AE3168" s="25" t="s">
        <v>818</v>
      </c>
    </row>
    <row r="3169" spans="20:31" ht="14.4">
      <c r="T3169" s="25" t="s">
        <v>887</v>
      </c>
      <c r="U3169" s="25" t="s">
        <v>837</v>
      </c>
      <c r="V3169" s="25" t="s">
        <v>1002</v>
      </c>
      <c r="W3169" s="25" t="str">
        <f t="shared" si="68"/>
        <v>Zipscreen HoodingRevealUniline Remote Motor</v>
      </c>
      <c r="X3169" s="25">
        <v>12</v>
      </c>
      <c r="Y3169" s="25">
        <v>12</v>
      </c>
      <c r="Z3169" s="25">
        <v>12</v>
      </c>
      <c r="AA3169" s="25" t="s">
        <v>824</v>
      </c>
      <c r="AB3169" s="25" t="s">
        <v>818</v>
      </c>
      <c r="AC3169" s="25" t="s">
        <v>821</v>
      </c>
      <c r="AD3169" s="25" t="s">
        <v>824</v>
      </c>
      <c r="AE3169" s="25" t="s">
        <v>818</v>
      </c>
    </row>
    <row r="3170" spans="20:31" ht="14.4">
      <c r="T3170" s="25" t="s">
        <v>887</v>
      </c>
      <c r="U3170" s="25" t="s">
        <v>837</v>
      </c>
      <c r="V3170" s="25" t="s">
        <v>1005</v>
      </c>
      <c r="W3170" s="25" t="str">
        <f t="shared" si="68"/>
        <v>Zipscreen HoodingRevealUniline Cbus Motor</v>
      </c>
      <c r="X3170" s="25">
        <v>12</v>
      </c>
      <c r="Y3170" s="25">
        <v>12</v>
      </c>
      <c r="Z3170" s="25">
        <v>12</v>
      </c>
      <c r="AA3170" s="25" t="s">
        <v>824</v>
      </c>
      <c r="AB3170" s="25" t="s">
        <v>818</v>
      </c>
      <c r="AC3170" s="25" t="s">
        <v>821</v>
      </c>
      <c r="AD3170" s="25" t="s">
        <v>824</v>
      </c>
      <c r="AE3170" s="25" t="s">
        <v>818</v>
      </c>
    </row>
    <row r="3171" spans="20:31" ht="14.4">
      <c r="T3171" s="25" t="s">
        <v>887</v>
      </c>
      <c r="U3171" s="25" t="s">
        <v>837</v>
      </c>
      <c r="V3171" s="25" t="s">
        <v>981</v>
      </c>
      <c r="W3171" s="25" t="str">
        <f t="shared" si="68"/>
        <v>Zipscreen HoodingRevealNice Remote Motor</v>
      </c>
      <c r="X3171" s="25">
        <v>12</v>
      </c>
      <c r="Y3171" s="25">
        <v>12</v>
      </c>
      <c r="Z3171" s="25">
        <v>12</v>
      </c>
      <c r="AA3171" s="25" t="s">
        <v>824</v>
      </c>
      <c r="AB3171" s="25" t="s">
        <v>818</v>
      </c>
      <c r="AC3171" s="25" t="s">
        <v>821</v>
      </c>
      <c r="AD3171" s="25" t="s">
        <v>824</v>
      </c>
      <c r="AE3171" s="25" t="s">
        <v>818</v>
      </c>
    </row>
    <row r="3172" spans="20:31" ht="14.4">
      <c r="T3172" s="25" t="s">
        <v>887</v>
      </c>
      <c r="U3172" s="25" t="s">
        <v>837</v>
      </c>
      <c r="V3172" s="25" t="s">
        <v>976</v>
      </c>
      <c r="W3172" s="25" t="str">
        <f t="shared" si="68"/>
        <v>Zipscreen HoodingRevealNice CBus Motor</v>
      </c>
      <c r="X3172" s="25">
        <v>12</v>
      </c>
      <c r="Y3172" s="25">
        <v>12</v>
      </c>
      <c r="Z3172" s="25">
        <v>12</v>
      </c>
      <c r="AA3172" s="25" t="s">
        <v>824</v>
      </c>
      <c r="AB3172" s="25" t="s">
        <v>818</v>
      </c>
      <c r="AC3172" s="25" t="s">
        <v>821</v>
      </c>
      <c r="AD3172" s="25" t="s">
        <v>824</v>
      </c>
      <c r="AE3172" s="25" t="s">
        <v>818</v>
      </c>
    </row>
    <row r="3173" spans="20:31" ht="14.4">
      <c r="T3173" s="25" t="s">
        <v>887</v>
      </c>
      <c r="U3173" s="25" t="s">
        <v>837</v>
      </c>
      <c r="V3173" t="s">
        <v>1006</v>
      </c>
      <c r="W3173" s="25" t="str">
        <f t="shared" si="68"/>
        <v>Zipscreen HoodingRevealSunboss Chain Winder 38mm Tube</v>
      </c>
      <c r="X3173" s="25">
        <v>12</v>
      </c>
      <c r="Y3173" s="25">
        <v>12</v>
      </c>
      <c r="Z3173" s="25">
        <v>12</v>
      </c>
      <c r="AA3173" s="25" t="s">
        <v>824</v>
      </c>
      <c r="AB3173" s="25" t="s">
        <v>818</v>
      </c>
      <c r="AC3173" s="25" t="s">
        <v>821</v>
      </c>
      <c r="AD3173" s="25" t="s">
        <v>824</v>
      </c>
      <c r="AE3173" s="25" t="s">
        <v>818</v>
      </c>
    </row>
    <row r="3174" spans="20:31" ht="14.4">
      <c r="T3174" s="25" t="s">
        <v>887</v>
      </c>
      <c r="U3174" s="25" t="s">
        <v>837</v>
      </c>
      <c r="V3174" t="s">
        <v>1017</v>
      </c>
      <c r="W3174" s="25" t="str">
        <f t="shared" si="68"/>
        <v>Zipscreen HoodingRevealSunboss Chain Winder 43mm Tube</v>
      </c>
      <c r="X3174" s="25">
        <v>12</v>
      </c>
      <c r="Y3174" s="25">
        <v>12</v>
      </c>
      <c r="Z3174" s="25">
        <v>12</v>
      </c>
      <c r="AA3174" s="25" t="s">
        <v>824</v>
      </c>
      <c r="AB3174" s="25" t="s">
        <v>818</v>
      </c>
      <c r="AC3174" s="25" t="s">
        <v>821</v>
      </c>
      <c r="AD3174" s="25" t="s">
        <v>824</v>
      </c>
      <c r="AE3174" s="25" t="s">
        <v>818</v>
      </c>
    </row>
    <row r="3175" spans="20:31" ht="14.4">
      <c r="T3175" s="25" t="s">
        <v>887</v>
      </c>
      <c r="U3175" s="25" t="s">
        <v>837</v>
      </c>
      <c r="V3175" s="25" t="s">
        <v>1012</v>
      </c>
      <c r="W3175" s="25" t="str">
        <f t="shared" si="68"/>
        <v>Zipscreen HoodingRevealTBS Remote Motor</v>
      </c>
      <c r="X3175" s="25">
        <v>12</v>
      </c>
      <c r="Y3175" s="25">
        <v>12</v>
      </c>
      <c r="Z3175" s="25">
        <v>12</v>
      </c>
      <c r="AA3175" s="25" t="s">
        <v>824</v>
      </c>
      <c r="AB3175" s="25" t="s">
        <v>818</v>
      </c>
      <c r="AC3175" s="25" t="s">
        <v>821</v>
      </c>
      <c r="AD3175" s="25" t="s">
        <v>824</v>
      </c>
      <c r="AE3175" s="25" t="s">
        <v>818</v>
      </c>
    </row>
    <row r="3176" spans="20:31" ht="14.4">
      <c r="T3176" s="25" t="s">
        <v>887</v>
      </c>
      <c r="U3176" s="25" t="s">
        <v>837</v>
      </c>
      <c r="V3176" t="s">
        <v>1009</v>
      </c>
      <c r="W3176" s="25" t="str">
        <f t="shared" si="68"/>
        <v>Zipscreen HoodingRevealTBS Cbus Motor</v>
      </c>
      <c r="X3176" s="25">
        <v>12</v>
      </c>
      <c r="Y3176" s="25">
        <v>12</v>
      </c>
      <c r="Z3176" s="25">
        <v>12</v>
      </c>
      <c r="AA3176" s="25" t="s">
        <v>824</v>
      </c>
      <c r="AB3176" s="25" t="s">
        <v>818</v>
      </c>
      <c r="AC3176" s="25" t="s">
        <v>821</v>
      </c>
      <c r="AD3176" s="25" t="s">
        <v>824</v>
      </c>
      <c r="AE3176" s="25" t="s">
        <v>818</v>
      </c>
    </row>
    <row r="3177" spans="20:31" ht="14.4">
      <c r="T3177" s="25" t="s">
        <v>887</v>
      </c>
      <c r="U3177" s="25" t="s">
        <v>837</v>
      </c>
      <c r="V3177" t="s">
        <v>927</v>
      </c>
      <c r="W3177" s="25" t="str">
        <f t="shared" si="68"/>
        <v>Zipscreen HoodingRevealAcmeda External Motor</v>
      </c>
      <c r="X3177" s="25">
        <v>12</v>
      </c>
      <c r="Y3177" s="25">
        <v>12</v>
      </c>
      <c r="Z3177" s="25">
        <v>12</v>
      </c>
      <c r="AA3177" s="25" t="s">
        <v>824</v>
      </c>
      <c r="AB3177" s="25" t="s">
        <v>818</v>
      </c>
      <c r="AC3177" s="25" t="s">
        <v>821</v>
      </c>
      <c r="AD3177" s="25" t="s">
        <v>824</v>
      </c>
      <c r="AE3177" s="25" t="s">
        <v>818</v>
      </c>
    </row>
    <row r="3178" spans="20:31" ht="14.4">
      <c r="T3178" s="25" t="s">
        <v>887</v>
      </c>
      <c r="U3178" s="25" t="s">
        <v>837</v>
      </c>
      <c r="V3178" t="s">
        <v>918</v>
      </c>
      <c r="W3178" s="25" t="str">
        <f t="shared" si="68"/>
        <v>Zipscreen HoodingRevealAcmeda External 12v Motor</v>
      </c>
      <c r="X3178" s="25">
        <v>12</v>
      </c>
      <c r="Y3178" s="25">
        <v>12</v>
      </c>
      <c r="Z3178" s="25">
        <v>12</v>
      </c>
      <c r="AA3178" s="25" t="s">
        <v>824</v>
      </c>
      <c r="AB3178" s="25" t="s">
        <v>818</v>
      </c>
      <c r="AC3178" s="25" t="s">
        <v>821</v>
      </c>
      <c r="AD3178" s="25" t="s">
        <v>824</v>
      </c>
      <c r="AE3178" s="25" t="s">
        <v>818</v>
      </c>
    </row>
    <row r="3179" spans="20:31" ht="14.4">
      <c r="T3179" s="25" t="s">
        <v>887</v>
      </c>
      <c r="U3179" s="25" t="s">
        <v>837</v>
      </c>
      <c r="V3179" t="s">
        <v>979</v>
      </c>
      <c r="W3179" s="25" t="str">
        <f t="shared" si="68"/>
        <v>Zipscreen HoodingRevealSomfy External CBUS Motor</v>
      </c>
      <c r="X3179" s="25">
        <v>12</v>
      </c>
      <c r="Y3179" s="25">
        <v>12</v>
      </c>
      <c r="Z3179" s="25">
        <v>12</v>
      </c>
      <c r="AA3179" s="25" t="s">
        <v>824</v>
      </c>
      <c r="AB3179" s="25" t="s">
        <v>818</v>
      </c>
      <c r="AC3179" s="25" t="s">
        <v>821</v>
      </c>
      <c r="AD3179" s="25" t="s">
        <v>824</v>
      </c>
      <c r="AE3179" s="25" t="s">
        <v>818</v>
      </c>
    </row>
    <row r="3180" spans="20:31" ht="14.4">
      <c r="T3180" s="25" t="s">
        <v>887</v>
      </c>
      <c r="U3180" s="25" t="s">
        <v>837</v>
      </c>
      <c r="V3180" t="s">
        <v>983</v>
      </c>
      <c r="W3180" s="25" t="str">
        <f t="shared" si="68"/>
        <v>Zipscreen HoodingRevealSomfy External Remote Motor</v>
      </c>
      <c r="X3180" s="25">
        <v>12</v>
      </c>
      <c r="Y3180" s="25">
        <v>12</v>
      </c>
      <c r="Z3180" s="25">
        <v>12</v>
      </c>
      <c r="AA3180" s="25" t="s">
        <v>824</v>
      </c>
      <c r="AB3180" s="25" t="s">
        <v>818</v>
      </c>
      <c r="AC3180" s="25" t="s">
        <v>821</v>
      </c>
      <c r="AD3180" s="25" t="s">
        <v>824</v>
      </c>
      <c r="AE3180" s="25" t="s">
        <v>818</v>
      </c>
    </row>
    <row r="3181" spans="20:31" ht="14.4">
      <c r="T3181" s="25" t="s">
        <v>887</v>
      </c>
      <c r="U3181" s="25" t="s">
        <v>837</v>
      </c>
      <c r="V3181" t="s">
        <v>995</v>
      </c>
      <c r="W3181" s="25" t="str">
        <f t="shared" si="68"/>
        <v>Zipscreen HoodingRevealHD Somfy External CBUS Motor</v>
      </c>
      <c r="X3181" s="25">
        <v>12</v>
      </c>
      <c r="Y3181" s="25">
        <v>12</v>
      </c>
      <c r="Z3181" s="25">
        <v>12</v>
      </c>
      <c r="AA3181" s="25" t="s">
        <v>824</v>
      </c>
      <c r="AB3181" s="25" t="s">
        <v>818</v>
      </c>
      <c r="AC3181" s="25" t="s">
        <v>821</v>
      </c>
      <c r="AD3181" s="25" t="s">
        <v>824</v>
      </c>
      <c r="AE3181" s="25" t="s">
        <v>818</v>
      </c>
    </row>
    <row r="3182" spans="20:31" ht="14.4">
      <c r="T3182" s="25" t="s">
        <v>887</v>
      </c>
      <c r="U3182" s="25" t="s">
        <v>837</v>
      </c>
      <c r="V3182" t="s">
        <v>999</v>
      </c>
      <c r="W3182" s="25" t="str">
        <f t="shared" si="68"/>
        <v>Zipscreen HoodingRevealHD Somfy External Remote Motor</v>
      </c>
      <c r="X3182" s="25">
        <v>12</v>
      </c>
      <c r="Y3182" s="25">
        <v>12</v>
      </c>
      <c r="Z3182" s="25">
        <v>12</v>
      </c>
      <c r="AA3182" s="25" t="s">
        <v>824</v>
      </c>
      <c r="AB3182" s="25" t="s">
        <v>818</v>
      </c>
      <c r="AC3182" s="25" t="s">
        <v>821</v>
      </c>
      <c r="AD3182" s="25" t="s">
        <v>824</v>
      </c>
      <c r="AE3182" s="25" t="s">
        <v>818</v>
      </c>
    </row>
  </sheetData>
  <mergeCells count="44">
    <mergeCell ref="BK1:CB1"/>
    <mergeCell ref="F1:F2"/>
    <mergeCell ref="I1:I2"/>
    <mergeCell ref="Z1:Z2"/>
    <mergeCell ref="AA1:AA2"/>
    <mergeCell ref="AO1:AO2"/>
    <mergeCell ref="J1:J2"/>
    <mergeCell ref="L1:L2"/>
    <mergeCell ref="M1:M2"/>
    <mergeCell ref="W1:W2"/>
    <mergeCell ref="X1:X2"/>
    <mergeCell ref="Y1:Y2"/>
    <mergeCell ref="AB1:AB2"/>
    <mergeCell ref="AD1:AD2"/>
    <mergeCell ref="AG1:AG2"/>
    <mergeCell ref="AH1:AH2"/>
    <mergeCell ref="AE1:AE2"/>
    <mergeCell ref="A1:A2"/>
    <mergeCell ref="B1:B2"/>
    <mergeCell ref="D1:D2"/>
    <mergeCell ref="E1:E2"/>
    <mergeCell ref="G1:G2"/>
    <mergeCell ref="O1:R1"/>
    <mergeCell ref="AC1:AC2"/>
    <mergeCell ref="AY1:AY2"/>
    <mergeCell ref="AZ1:AZ2"/>
    <mergeCell ref="BG1:BG2"/>
    <mergeCell ref="BH1:BH2"/>
    <mergeCell ref="BB1:BB2"/>
    <mergeCell ref="BE1:BE2"/>
    <mergeCell ref="BC1:BC2"/>
    <mergeCell ref="BD1:BD2"/>
    <mergeCell ref="AJ1:AJ2"/>
    <mergeCell ref="AK1:AK2"/>
    <mergeCell ref="AW1:AW2"/>
    <mergeCell ref="AV1:AV2"/>
    <mergeCell ref="AM1:AM2"/>
    <mergeCell ref="AP1:AP2"/>
    <mergeCell ref="AR1:AR2"/>
    <mergeCell ref="AT1:AT2"/>
    <mergeCell ref="AU1:AU2"/>
    <mergeCell ref="AQ1:AQ2"/>
    <mergeCell ref="AN1:AN2"/>
    <mergeCell ref="AS1:AS2"/>
  </mergeCells>
  <pageMargins left="1.73543307086695" right="1.73543307086695" top="0.75" bottom="0.75" header="0.3" footer="0.3"/>
  <pageSetup horizontalDpi="300" verticalDpi="300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/>
  <dimension ref="A1:L1760"/>
  <sheetViews>
    <sheetView workbookViewId="0" topLeftCell="A1">
      <pane ySplit="1" topLeftCell="A592" activePane="bottomLeft" state="frozen"/>
      <selection pane="bottomLeft" activeCell="C619" sqref="C619"/>
    </sheetView>
  </sheetViews>
  <sheetFormatPr defaultColWidth="9.109375" defaultRowHeight="13.5"/>
  <cols>
    <col min="1" max="1" width="66.5714285714286" bestFit="1" customWidth="1"/>
    <col min="3" max="3" width="13.7142857142857" customWidth="1"/>
    <col min="4" max="4" width="13.7142857142857" bestFit="1" customWidth="1"/>
    <col min="5" max="5" width="11.7142857142857" bestFit="1" customWidth="1"/>
    <col min="6" max="6" width="12.2857142857143" bestFit="1" customWidth="1"/>
    <col min="7" max="7" width="12.1428571428571" bestFit="1" customWidth="1"/>
    <col min="8" max="8" width="8.71428571428571" customWidth="1"/>
    <col min="9" max="9" width="8.42857142857143" customWidth="1"/>
    <col min="10" max="10" width="10.4285714285714" customWidth="1"/>
    <col min="11" max="11" width="16.4285714285714" bestFit="1" customWidth="1"/>
    <col min="12" max="12" width="11.7142857142857" customWidth="1"/>
  </cols>
  <sheetData>
    <row r="1" spans="1:12" ht="27" customHeight="1">
      <c r="A1" s="67" t="s">
        <v>349</v>
      </c>
      <c r="B1" s="67" t="s">
        <v>1060</v>
      </c>
      <c r="C1" s="66" t="s">
        <v>180</v>
      </c>
      <c r="D1" s="66" t="s">
        <v>1056</v>
      </c>
      <c r="E1" s="67" t="s">
        <v>212</v>
      </c>
      <c r="F1" s="67" t="s">
        <v>1057</v>
      </c>
      <c r="G1" s="67" t="s">
        <v>238</v>
      </c>
      <c r="H1" s="67" t="s">
        <v>1058</v>
      </c>
      <c r="I1" s="67" t="s">
        <v>1059</v>
      </c>
      <c r="J1" s="67" t="s">
        <v>2856</v>
      </c>
      <c r="K1" s="67" t="s">
        <v>121</v>
      </c>
      <c r="L1" s="67" t="s">
        <v>2927</v>
      </c>
    </row>
    <row r="2" spans="1:12" ht="13.2">
      <c r="A2" t="s">
        <v>1061</v>
      </c>
      <c r="B2" t="b">
        <v>0</v>
      </c>
      <c r="H2" t="s">
        <v>1062</v>
      </c>
      <c r="I2" t="s">
        <v>2855</v>
      </c>
      <c r="J2" t="s">
        <v>2857</v>
      </c>
      <c r="L2" t="s">
        <v>821</v>
      </c>
    </row>
    <row r="3" spans="1:12" ht="13.2">
      <c r="A3" t="s">
        <v>1063</v>
      </c>
      <c r="B3" t="b">
        <v>0</v>
      </c>
      <c r="H3" t="s">
        <v>1062</v>
      </c>
      <c r="I3" t="s">
        <v>2855</v>
      </c>
      <c r="J3" t="s">
        <v>2857</v>
      </c>
      <c r="L3" t="s">
        <v>821</v>
      </c>
    </row>
    <row r="4" spans="1:12" ht="13.2">
      <c r="A4" t="s">
        <v>1064</v>
      </c>
      <c r="B4" t="b">
        <v>0</v>
      </c>
      <c r="H4" t="s">
        <v>1062</v>
      </c>
      <c r="I4" t="s">
        <v>2855</v>
      </c>
      <c r="J4" t="s">
        <v>2857</v>
      </c>
      <c r="L4" t="s">
        <v>821</v>
      </c>
    </row>
    <row r="5" spans="1:12" ht="13.2">
      <c r="A5" t="s">
        <v>1065</v>
      </c>
      <c r="B5" t="b">
        <v>0</v>
      </c>
      <c r="H5" t="s">
        <v>1062</v>
      </c>
      <c r="I5" t="s">
        <v>2855</v>
      </c>
      <c r="J5" t="s">
        <v>2857</v>
      </c>
      <c r="L5" t="s">
        <v>821</v>
      </c>
    </row>
    <row r="6" spans="1:12" ht="13.2">
      <c r="A6" t="s">
        <v>1066</v>
      </c>
      <c r="B6" t="b">
        <v>0</v>
      </c>
      <c r="H6" t="s">
        <v>1062</v>
      </c>
      <c r="I6" t="s">
        <v>2855</v>
      </c>
      <c r="J6" t="s">
        <v>2857</v>
      </c>
      <c r="L6" t="s">
        <v>821</v>
      </c>
    </row>
    <row r="7" spans="1:12" ht="13.2">
      <c r="A7" t="s">
        <v>1067</v>
      </c>
      <c r="B7" t="b">
        <v>0</v>
      </c>
      <c r="H7" t="s">
        <v>1062</v>
      </c>
      <c r="I7" t="s">
        <v>2855</v>
      </c>
      <c r="J7" t="s">
        <v>2857</v>
      </c>
      <c r="L7" t="s">
        <v>821</v>
      </c>
    </row>
    <row r="8" spans="1:12" ht="13.2">
      <c r="A8" t="s">
        <v>1068</v>
      </c>
      <c r="B8" t="b">
        <v>0</v>
      </c>
      <c r="H8" t="s">
        <v>1062</v>
      </c>
      <c r="I8" t="s">
        <v>2855</v>
      </c>
      <c r="J8" t="s">
        <v>2857</v>
      </c>
      <c r="L8" t="s">
        <v>821</v>
      </c>
    </row>
    <row r="9" spans="1:12" ht="13.2">
      <c r="A9" t="s">
        <v>1069</v>
      </c>
      <c r="B9" t="b">
        <v>0</v>
      </c>
      <c r="H9" t="s">
        <v>1062</v>
      </c>
      <c r="I9" t="s">
        <v>2855</v>
      </c>
      <c r="J9" t="s">
        <v>2857</v>
      </c>
      <c r="L9" t="s">
        <v>821</v>
      </c>
    </row>
    <row r="10" spans="1:12" ht="13.2">
      <c r="A10" t="s">
        <v>1070</v>
      </c>
      <c r="B10" t="b">
        <v>0</v>
      </c>
      <c r="H10" t="s">
        <v>1062</v>
      </c>
      <c r="I10" t="s">
        <v>2855</v>
      </c>
      <c r="J10" t="s">
        <v>2857</v>
      </c>
      <c r="L10" t="s">
        <v>821</v>
      </c>
    </row>
    <row r="11" spans="1:12" ht="13.2">
      <c r="A11" t="s">
        <v>1071</v>
      </c>
      <c r="B11" t="b">
        <v>0</v>
      </c>
      <c r="H11" t="s">
        <v>1062</v>
      </c>
      <c r="I11" t="s">
        <v>2855</v>
      </c>
      <c r="J11" t="s">
        <v>2857</v>
      </c>
      <c r="L11" t="s">
        <v>821</v>
      </c>
    </row>
    <row r="12" spans="1:12" ht="13.2">
      <c r="A12" t="s">
        <v>1072</v>
      </c>
      <c r="B12" t="b">
        <v>0</v>
      </c>
      <c r="H12" t="s">
        <v>1062</v>
      </c>
      <c r="I12" t="s">
        <v>2855</v>
      </c>
      <c r="J12" t="s">
        <v>2857</v>
      </c>
      <c r="L12" t="s">
        <v>821</v>
      </c>
    </row>
    <row r="13" spans="1:12" ht="13.2">
      <c r="A13" t="s">
        <v>1073</v>
      </c>
      <c r="B13" t="b">
        <v>0</v>
      </c>
      <c r="H13" t="s">
        <v>1062</v>
      </c>
      <c r="I13" t="s">
        <v>2855</v>
      </c>
      <c r="J13" t="s">
        <v>2857</v>
      </c>
      <c r="L13" t="s">
        <v>821</v>
      </c>
    </row>
    <row r="14" spans="1:12" ht="13.2">
      <c r="A14" t="s">
        <v>1074</v>
      </c>
      <c r="B14" t="b">
        <v>0</v>
      </c>
      <c r="H14" t="s">
        <v>1062</v>
      </c>
      <c r="I14" t="s">
        <v>2855</v>
      </c>
      <c r="J14" t="s">
        <v>2857</v>
      </c>
      <c r="L14" t="s">
        <v>821</v>
      </c>
    </row>
    <row r="15" spans="1:12" ht="13.2">
      <c r="A15" t="s">
        <v>1075</v>
      </c>
      <c r="B15" t="b">
        <v>0</v>
      </c>
      <c r="H15" t="s">
        <v>1062</v>
      </c>
      <c r="I15" t="s">
        <v>2855</v>
      </c>
      <c r="J15" t="s">
        <v>2857</v>
      </c>
      <c r="L15" t="s">
        <v>821</v>
      </c>
    </row>
    <row r="16" spans="1:12" ht="13.2">
      <c r="A16" t="s">
        <v>1076</v>
      </c>
      <c r="B16" t="b">
        <v>0</v>
      </c>
      <c r="H16" t="s">
        <v>1062</v>
      </c>
      <c r="I16" t="s">
        <v>2855</v>
      </c>
      <c r="J16" t="s">
        <v>2857</v>
      </c>
      <c r="L16" t="s">
        <v>821</v>
      </c>
    </row>
    <row r="17" spans="1:12" ht="13.2">
      <c r="A17" t="s">
        <v>1077</v>
      </c>
      <c r="B17" t="b">
        <v>0</v>
      </c>
      <c r="H17" t="s">
        <v>1062</v>
      </c>
      <c r="I17" t="s">
        <v>2855</v>
      </c>
      <c r="J17" t="s">
        <v>2857</v>
      </c>
      <c r="L17" t="s">
        <v>821</v>
      </c>
    </row>
    <row r="18" spans="1:12" ht="13.2">
      <c r="A18" t="s">
        <v>1078</v>
      </c>
      <c r="B18" t="b">
        <v>0</v>
      </c>
      <c r="H18" t="s">
        <v>1062</v>
      </c>
      <c r="I18" t="s">
        <v>2855</v>
      </c>
      <c r="J18" t="s">
        <v>2857</v>
      </c>
      <c r="L18" t="s">
        <v>821</v>
      </c>
    </row>
    <row r="19" spans="1:12" ht="13.2">
      <c r="A19" t="s">
        <v>1079</v>
      </c>
      <c r="B19" t="b">
        <v>0</v>
      </c>
      <c r="C19" t="s">
        <v>903</v>
      </c>
      <c r="D19" t="s">
        <v>998</v>
      </c>
      <c r="E19" t="s">
        <v>1080</v>
      </c>
      <c r="F19" t="s">
        <v>1081</v>
      </c>
      <c r="H19" t="s">
        <v>1062</v>
      </c>
      <c r="I19" t="s">
        <v>2855</v>
      </c>
      <c r="J19" t="s">
        <v>2858</v>
      </c>
      <c r="L19" t="s">
        <v>821</v>
      </c>
    </row>
    <row r="20" spans="1:12" ht="13.2">
      <c r="A20" t="s">
        <v>1082</v>
      </c>
      <c r="B20" t="b">
        <v>0</v>
      </c>
      <c r="H20" t="s">
        <v>1062</v>
      </c>
      <c r="I20" t="s">
        <v>2855</v>
      </c>
      <c r="J20" t="s">
        <v>2858</v>
      </c>
      <c r="L20" t="s">
        <v>821</v>
      </c>
    </row>
    <row r="21" spans="1:12" ht="13.2">
      <c r="A21" t="s">
        <v>1083</v>
      </c>
      <c r="B21" t="b">
        <v>0</v>
      </c>
      <c r="H21" t="s">
        <v>1062</v>
      </c>
      <c r="I21" t="s">
        <v>2855</v>
      </c>
      <c r="J21" t="s">
        <v>2858</v>
      </c>
      <c r="L21" t="s">
        <v>821</v>
      </c>
    </row>
    <row r="22" spans="1:12" ht="13.2">
      <c r="A22" t="s">
        <v>1084</v>
      </c>
      <c r="B22" t="b">
        <v>0</v>
      </c>
      <c r="H22" t="s">
        <v>1062</v>
      </c>
      <c r="I22" t="s">
        <v>2855</v>
      </c>
      <c r="J22" t="s">
        <v>2858</v>
      </c>
      <c r="L22" t="s">
        <v>821</v>
      </c>
    </row>
    <row r="23" spans="1:12" ht="13.2">
      <c r="A23" t="s">
        <v>1085</v>
      </c>
      <c r="B23" t="b">
        <v>0</v>
      </c>
      <c r="C23" t="s">
        <v>1086</v>
      </c>
      <c r="D23" t="s">
        <v>998</v>
      </c>
      <c r="E23" t="s">
        <v>1086</v>
      </c>
      <c r="F23" t="s">
        <v>1087</v>
      </c>
      <c r="H23" t="s">
        <v>1062</v>
      </c>
      <c r="I23" t="s">
        <v>2855</v>
      </c>
      <c r="J23" t="s">
        <v>2858</v>
      </c>
      <c r="L23" t="s">
        <v>821</v>
      </c>
    </row>
    <row r="24" spans="1:12" ht="13.2">
      <c r="A24" t="s">
        <v>1088</v>
      </c>
      <c r="B24" t="b">
        <v>0</v>
      </c>
      <c r="H24" t="s">
        <v>1062</v>
      </c>
      <c r="I24" t="s">
        <v>2855</v>
      </c>
      <c r="J24" t="s">
        <v>2858</v>
      </c>
      <c r="L24" t="s">
        <v>821</v>
      </c>
    </row>
    <row r="25" spans="1:12" ht="13.2">
      <c r="A25" t="s">
        <v>1089</v>
      </c>
      <c r="B25" t="b">
        <v>0</v>
      </c>
      <c r="H25" t="s">
        <v>1062</v>
      </c>
      <c r="I25" t="s">
        <v>2855</v>
      </c>
      <c r="J25" t="s">
        <v>2858</v>
      </c>
      <c r="L25" t="s">
        <v>821</v>
      </c>
    </row>
    <row r="26" spans="1:12" ht="13.2">
      <c r="A26" t="s">
        <v>1090</v>
      </c>
      <c r="B26" t="b">
        <v>0</v>
      </c>
      <c r="H26" t="s">
        <v>1062</v>
      </c>
      <c r="I26" t="s">
        <v>2855</v>
      </c>
      <c r="J26" t="s">
        <v>2858</v>
      </c>
      <c r="L26" t="s">
        <v>821</v>
      </c>
    </row>
    <row r="27" spans="1:12" ht="13.2">
      <c r="A27" t="s">
        <v>1091</v>
      </c>
      <c r="B27" t="b">
        <v>0</v>
      </c>
      <c r="C27" t="s">
        <v>903</v>
      </c>
      <c r="D27" t="s">
        <v>998</v>
      </c>
      <c r="E27" t="s">
        <v>1080</v>
      </c>
      <c r="F27" t="s">
        <v>1092</v>
      </c>
      <c r="H27" t="s">
        <v>1062</v>
      </c>
      <c r="I27" t="s">
        <v>2855</v>
      </c>
      <c r="J27" t="s">
        <v>2858</v>
      </c>
      <c r="L27" t="s">
        <v>821</v>
      </c>
    </row>
    <row r="28" spans="1:12" ht="13.2">
      <c r="A28" t="s">
        <v>1093</v>
      </c>
      <c r="B28" t="b">
        <v>0</v>
      </c>
      <c r="C28" t="s">
        <v>903</v>
      </c>
      <c r="D28" t="s">
        <v>998</v>
      </c>
      <c r="E28" t="s">
        <v>1080</v>
      </c>
      <c r="F28" t="s">
        <v>1094</v>
      </c>
      <c r="H28" t="s">
        <v>1062</v>
      </c>
      <c r="I28" t="s">
        <v>2855</v>
      </c>
      <c r="J28" t="s">
        <v>2858</v>
      </c>
      <c r="L28" t="s">
        <v>821</v>
      </c>
    </row>
    <row r="29" spans="1:12" ht="13.2">
      <c r="A29" t="s">
        <v>1095</v>
      </c>
      <c r="B29" t="b">
        <v>0</v>
      </c>
      <c r="C29" t="s">
        <v>963</v>
      </c>
      <c r="D29" t="s">
        <v>963</v>
      </c>
      <c r="E29" t="s">
        <v>963</v>
      </c>
      <c r="F29" t="s">
        <v>1096</v>
      </c>
      <c r="H29" t="s">
        <v>1062</v>
      </c>
      <c r="I29" t="s">
        <v>2855</v>
      </c>
      <c r="J29" t="s">
        <v>2858</v>
      </c>
      <c r="L29" t="s">
        <v>821</v>
      </c>
    </row>
    <row r="30" spans="1:12" ht="13.2">
      <c r="A30" t="s">
        <v>1097</v>
      </c>
      <c r="B30" t="b">
        <v>0</v>
      </c>
      <c r="H30" t="s">
        <v>1062</v>
      </c>
      <c r="I30" t="s">
        <v>2855</v>
      </c>
      <c r="J30" t="s">
        <v>2858</v>
      </c>
      <c r="L30" t="s">
        <v>821</v>
      </c>
    </row>
    <row r="31" spans="1:12" ht="13.2">
      <c r="A31" t="s">
        <v>1098</v>
      </c>
      <c r="B31" t="b">
        <v>0</v>
      </c>
      <c r="C31" t="s">
        <v>903</v>
      </c>
      <c r="D31" t="s">
        <v>998</v>
      </c>
      <c r="E31" t="s">
        <v>1080</v>
      </c>
      <c r="F31" t="s">
        <v>1094</v>
      </c>
      <c r="H31" t="s">
        <v>1062</v>
      </c>
      <c r="I31" t="s">
        <v>2855</v>
      </c>
      <c r="J31" t="s">
        <v>2858</v>
      </c>
      <c r="L31" t="s">
        <v>821</v>
      </c>
    </row>
    <row r="32" spans="1:12" ht="13.2">
      <c r="A32" t="s">
        <v>1099</v>
      </c>
      <c r="B32" t="b">
        <v>0</v>
      </c>
      <c r="C32" t="s">
        <v>903</v>
      </c>
      <c r="D32" t="s">
        <v>998</v>
      </c>
      <c r="E32" t="s">
        <v>1080</v>
      </c>
      <c r="F32" t="s">
        <v>1100</v>
      </c>
      <c r="H32" t="s">
        <v>1062</v>
      </c>
      <c r="I32" t="s">
        <v>2855</v>
      </c>
      <c r="J32" t="s">
        <v>2858</v>
      </c>
      <c r="L32" t="s">
        <v>821</v>
      </c>
    </row>
    <row r="33" spans="1:12" ht="13.2">
      <c r="A33" t="s">
        <v>1101</v>
      </c>
      <c r="B33" t="b">
        <v>0</v>
      </c>
      <c r="C33" t="s">
        <v>903</v>
      </c>
      <c r="D33" t="s">
        <v>903</v>
      </c>
      <c r="E33" t="s">
        <v>903</v>
      </c>
      <c r="F33" t="s">
        <v>1092</v>
      </c>
      <c r="H33" t="s">
        <v>1062</v>
      </c>
      <c r="I33" t="s">
        <v>2855</v>
      </c>
      <c r="J33" t="s">
        <v>2858</v>
      </c>
      <c r="L33" t="s">
        <v>821</v>
      </c>
    </row>
    <row r="34" spans="1:12" ht="13.2">
      <c r="A34" t="s">
        <v>1102</v>
      </c>
      <c r="B34" t="b">
        <v>0</v>
      </c>
      <c r="H34" t="s">
        <v>1062</v>
      </c>
      <c r="I34" t="s">
        <v>2855</v>
      </c>
      <c r="J34" t="s">
        <v>2858</v>
      </c>
      <c r="L34" t="s">
        <v>821</v>
      </c>
    </row>
    <row r="35" spans="1:12" ht="13.2">
      <c r="A35" t="s">
        <v>1103</v>
      </c>
      <c r="B35" t="b">
        <v>0</v>
      </c>
      <c r="C35" t="s">
        <v>903</v>
      </c>
      <c r="D35" t="s">
        <v>998</v>
      </c>
      <c r="E35" t="s">
        <v>1080</v>
      </c>
      <c r="F35" t="s">
        <v>1104</v>
      </c>
      <c r="H35" t="s">
        <v>1062</v>
      </c>
      <c r="I35" t="s">
        <v>2855</v>
      </c>
      <c r="J35" t="s">
        <v>2858</v>
      </c>
      <c r="L35" t="s">
        <v>821</v>
      </c>
    </row>
    <row r="36" spans="1:12" ht="13.2">
      <c r="A36" t="s">
        <v>1105</v>
      </c>
      <c r="B36" t="b">
        <v>0</v>
      </c>
      <c r="H36" t="s">
        <v>1062</v>
      </c>
      <c r="I36" t="s">
        <v>2855</v>
      </c>
      <c r="J36" t="s">
        <v>2858</v>
      </c>
      <c r="L36" t="s">
        <v>821</v>
      </c>
    </row>
    <row r="37" spans="1:12" ht="13.2">
      <c r="A37" t="s">
        <v>1106</v>
      </c>
      <c r="B37" t="b">
        <v>0</v>
      </c>
      <c r="H37" t="s">
        <v>1062</v>
      </c>
      <c r="I37" t="s">
        <v>2855</v>
      </c>
      <c r="J37" t="s">
        <v>2858</v>
      </c>
      <c r="L37" t="s">
        <v>821</v>
      </c>
    </row>
    <row r="38" spans="1:12" ht="13.2">
      <c r="A38" t="s">
        <v>1107</v>
      </c>
      <c r="B38" t="b">
        <v>0</v>
      </c>
      <c r="C38" t="s">
        <v>1108</v>
      </c>
      <c r="D38" t="s">
        <v>1109</v>
      </c>
      <c r="E38" t="s">
        <v>1108</v>
      </c>
      <c r="F38" t="s">
        <v>1094</v>
      </c>
      <c r="H38" t="s">
        <v>1062</v>
      </c>
      <c r="I38" t="s">
        <v>2855</v>
      </c>
      <c r="J38" t="s">
        <v>2858</v>
      </c>
      <c r="L38" t="s">
        <v>821</v>
      </c>
    </row>
    <row r="39" spans="1:12" ht="13.2">
      <c r="A39" t="s">
        <v>1110</v>
      </c>
      <c r="B39" t="b">
        <v>0</v>
      </c>
      <c r="C39" t="s">
        <v>903</v>
      </c>
      <c r="D39" t="s">
        <v>998</v>
      </c>
      <c r="E39" t="s">
        <v>1080</v>
      </c>
      <c r="F39" t="s">
        <v>1100</v>
      </c>
      <c r="H39" t="s">
        <v>1062</v>
      </c>
      <c r="I39" t="s">
        <v>2855</v>
      </c>
      <c r="J39" t="s">
        <v>2858</v>
      </c>
      <c r="L39" t="s">
        <v>821</v>
      </c>
    </row>
    <row r="40" spans="1:12" ht="13.2">
      <c r="A40" t="s">
        <v>1111</v>
      </c>
      <c r="B40" t="b">
        <v>0</v>
      </c>
      <c r="C40" t="s">
        <v>903</v>
      </c>
      <c r="D40" t="s">
        <v>998</v>
      </c>
      <c r="E40" t="s">
        <v>1080</v>
      </c>
      <c r="F40" t="s">
        <v>1094</v>
      </c>
      <c r="H40" t="s">
        <v>1062</v>
      </c>
      <c r="I40" t="s">
        <v>2855</v>
      </c>
      <c r="J40" t="s">
        <v>2858</v>
      </c>
      <c r="L40" t="s">
        <v>821</v>
      </c>
    </row>
    <row r="41" spans="1:12" ht="13.2">
      <c r="A41" t="s">
        <v>1112</v>
      </c>
      <c r="B41" t="b">
        <v>0</v>
      </c>
      <c r="C41" t="s">
        <v>903</v>
      </c>
      <c r="D41" t="s">
        <v>998</v>
      </c>
      <c r="E41" t="s">
        <v>1080</v>
      </c>
      <c r="F41" t="s">
        <v>1094</v>
      </c>
      <c r="H41" t="s">
        <v>1062</v>
      </c>
      <c r="I41" t="s">
        <v>2855</v>
      </c>
      <c r="J41" t="s">
        <v>2858</v>
      </c>
      <c r="L41" t="s">
        <v>821</v>
      </c>
    </row>
    <row r="42" spans="1:12" ht="13.2">
      <c r="A42" t="s">
        <v>1113</v>
      </c>
      <c r="B42" t="b">
        <v>0</v>
      </c>
      <c r="C42" t="s">
        <v>903</v>
      </c>
      <c r="D42" t="s">
        <v>998</v>
      </c>
      <c r="E42" t="s">
        <v>1080</v>
      </c>
      <c r="F42" t="s">
        <v>1081</v>
      </c>
      <c r="H42" t="s">
        <v>1062</v>
      </c>
      <c r="I42" t="s">
        <v>2855</v>
      </c>
      <c r="J42" t="s">
        <v>2858</v>
      </c>
      <c r="L42" t="s">
        <v>821</v>
      </c>
    </row>
    <row r="43" spans="1:12" ht="13.2">
      <c r="A43" t="s">
        <v>1114</v>
      </c>
      <c r="B43" t="b">
        <v>0</v>
      </c>
      <c r="C43" t="s">
        <v>903</v>
      </c>
      <c r="D43" t="s">
        <v>998</v>
      </c>
      <c r="E43" t="s">
        <v>1080</v>
      </c>
      <c r="F43" t="s">
        <v>1094</v>
      </c>
      <c r="H43" t="s">
        <v>1062</v>
      </c>
      <c r="I43" t="s">
        <v>2855</v>
      </c>
      <c r="J43" t="s">
        <v>2858</v>
      </c>
      <c r="L43" t="s">
        <v>821</v>
      </c>
    </row>
    <row r="44" spans="1:12" ht="13.2">
      <c r="A44" t="s">
        <v>1115</v>
      </c>
      <c r="B44" t="b">
        <v>0</v>
      </c>
      <c r="C44" t="s">
        <v>903</v>
      </c>
      <c r="D44" t="s">
        <v>998</v>
      </c>
      <c r="E44" t="s">
        <v>1080</v>
      </c>
      <c r="F44" t="s">
        <v>1094</v>
      </c>
      <c r="H44" t="s">
        <v>1062</v>
      </c>
      <c r="I44" t="s">
        <v>2855</v>
      </c>
      <c r="J44" t="s">
        <v>2858</v>
      </c>
      <c r="L44" t="s">
        <v>821</v>
      </c>
    </row>
    <row r="45" spans="1:12" ht="13.2">
      <c r="A45" t="s">
        <v>1116</v>
      </c>
      <c r="B45" t="b">
        <v>0</v>
      </c>
      <c r="H45" t="s">
        <v>1062</v>
      </c>
      <c r="I45" t="s">
        <v>2855</v>
      </c>
      <c r="J45" t="s">
        <v>2858</v>
      </c>
      <c r="L45" t="s">
        <v>821</v>
      </c>
    </row>
    <row r="46" spans="1:12" ht="13.2">
      <c r="A46" t="s">
        <v>1117</v>
      </c>
      <c r="B46" t="b">
        <v>0</v>
      </c>
      <c r="H46" t="s">
        <v>1062</v>
      </c>
      <c r="I46" t="s">
        <v>2855</v>
      </c>
      <c r="J46" t="s">
        <v>2858</v>
      </c>
      <c r="L46" t="s">
        <v>821</v>
      </c>
    </row>
    <row r="47" spans="1:12" ht="13.2">
      <c r="A47" t="s">
        <v>1118</v>
      </c>
      <c r="B47" t="b">
        <v>0</v>
      </c>
      <c r="C47" t="s">
        <v>903</v>
      </c>
      <c r="D47" t="s">
        <v>903</v>
      </c>
      <c r="E47" t="s">
        <v>903</v>
      </c>
      <c r="F47" t="s">
        <v>1092</v>
      </c>
      <c r="H47" t="s">
        <v>1062</v>
      </c>
      <c r="I47" t="s">
        <v>2855</v>
      </c>
      <c r="J47" t="s">
        <v>2858</v>
      </c>
      <c r="L47" t="s">
        <v>821</v>
      </c>
    </row>
    <row r="48" spans="1:12" ht="13.2">
      <c r="A48" t="s">
        <v>1119</v>
      </c>
      <c r="B48" t="b">
        <v>0</v>
      </c>
      <c r="H48" t="s">
        <v>1062</v>
      </c>
      <c r="I48" t="s">
        <v>2855</v>
      </c>
      <c r="J48" t="s">
        <v>2858</v>
      </c>
      <c r="L48" t="s">
        <v>821</v>
      </c>
    </row>
    <row r="49" spans="1:12" ht="13.2">
      <c r="A49" t="s">
        <v>1120</v>
      </c>
      <c r="B49" t="b">
        <v>0</v>
      </c>
      <c r="H49" t="s">
        <v>1062</v>
      </c>
      <c r="I49" t="s">
        <v>2855</v>
      </c>
      <c r="J49" t="s">
        <v>2858</v>
      </c>
      <c r="L49" t="s">
        <v>821</v>
      </c>
    </row>
    <row r="50" spans="1:12" ht="13.2">
      <c r="A50" t="s">
        <v>1121</v>
      </c>
      <c r="B50" t="b">
        <v>0</v>
      </c>
      <c r="C50" t="s">
        <v>1086</v>
      </c>
      <c r="D50" t="s">
        <v>998</v>
      </c>
      <c r="E50" t="s">
        <v>1080</v>
      </c>
      <c r="F50" t="s">
        <v>1094</v>
      </c>
      <c r="H50" t="s">
        <v>1062</v>
      </c>
      <c r="I50" t="s">
        <v>2855</v>
      </c>
      <c r="J50" t="s">
        <v>2858</v>
      </c>
      <c r="L50" t="s">
        <v>821</v>
      </c>
    </row>
    <row r="51" spans="1:12" ht="13.2">
      <c r="A51" t="s">
        <v>1122</v>
      </c>
      <c r="B51" t="b">
        <v>0</v>
      </c>
      <c r="H51" t="s">
        <v>1062</v>
      </c>
      <c r="I51" t="s">
        <v>2855</v>
      </c>
      <c r="J51" t="s">
        <v>2858</v>
      </c>
      <c r="L51" t="s">
        <v>821</v>
      </c>
    </row>
    <row r="52" spans="1:12" ht="13.2">
      <c r="A52" t="s">
        <v>1123</v>
      </c>
      <c r="B52" t="b">
        <v>0</v>
      </c>
      <c r="H52" t="s">
        <v>1062</v>
      </c>
      <c r="I52" t="s">
        <v>2855</v>
      </c>
      <c r="J52" t="s">
        <v>2858</v>
      </c>
      <c r="L52" t="s">
        <v>821</v>
      </c>
    </row>
    <row r="53" spans="1:12" ht="13.2">
      <c r="A53" t="s">
        <v>1124</v>
      </c>
      <c r="B53" t="b">
        <v>0</v>
      </c>
      <c r="H53" t="s">
        <v>1062</v>
      </c>
      <c r="I53" t="s">
        <v>2855</v>
      </c>
      <c r="J53" t="s">
        <v>2858</v>
      </c>
      <c r="L53" t="s">
        <v>821</v>
      </c>
    </row>
    <row r="54" spans="1:12" ht="13.2">
      <c r="A54" t="s">
        <v>1125</v>
      </c>
      <c r="B54" t="b">
        <v>0</v>
      </c>
      <c r="H54" t="s">
        <v>1062</v>
      </c>
      <c r="I54" t="s">
        <v>2855</v>
      </c>
      <c r="J54" t="s">
        <v>2858</v>
      </c>
      <c r="L54" t="s">
        <v>821</v>
      </c>
    </row>
    <row r="55" spans="1:12" ht="13.2">
      <c r="A55" t="s">
        <v>1126</v>
      </c>
      <c r="B55" t="b">
        <v>0</v>
      </c>
      <c r="H55" t="s">
        <v>1062</v>
      </c>
      <c r="I55" t="s">
        <v>2855</v>
      </c>
      <c r="J55" t="s">
        <v>2858</v>
      </c>
      <c r="L55" t="s">
        <v>821</v>
      </c>
    </row>
    <row r="56" spans="1:12" ht="13.2">
      <c r="A56" t="s">
        <v>1127</v>
      </c>
      <c r="B56" t="b">
        <v>0</v>
      </c>
      <c r="H56" t="s">
        <v>1062</v>
      </c>
      <c r="I56" t="s">
        <v>2855</v>
      </c>
      <c r="J56" t="s">
        <v>2858</v>
      </c>
      <c r="L56" t="s">
        <v>821</v>
      </c>
    </row>
    <row r="57" spans="1:12" ht="13.2">
      <c r="A57" t="s">
        <v>1128</v>
      </c>
      <c r="B57" t="b">
        <v>0</v>
      </c>
      <c r="H57" t="s">
        <v>1062</v>
      </c>
      <c r="I57" t="s">
        <v>2855</v>
      </c>
      <c r="J57" t="s">
        <v>2858</v>
      </c>
      <c r="L57" t="s">
        <v>821</v>
      </c>
    </row>
    <row r="58" spans="1:12" ht="13.2">
      <c r="A58" t="s">
        <v>1129</v>
      </c>
      <c r="B58" t="b">
        <v>0</v>
      </c>
      <c r="C58" t="s">
        <v>903</v>
      </c>
      <c r="D58" t="s">
        <v>998</v>
      </c>
      <c r="E58" t="s">
        <v>1080</v>
      </c>
      <c r="F58" t="s">
        <v>1094</v>
      </c>
      <c r="H58" t="s">
        <v>1062</v>
      </c>
      <c r="I58" t="s">
        <v>2855</v>
      </c>
      <c r="J58" t="s">
        <v>2858</v>
      </c>
      <c r="L58" t="s">
        <v>821</v>
      </c>
    </row>
    <row r="59" spans="1:12" ht="13.2">
      <c r="A59" t="s">
        <v>1130</v>
      </c>
      <c r="B59" t="b">
        <v>0</v>
      </c>
      <c r="C59" t="s">
        <v>1131</v>
      </c>
      <c r="D59" t="s">
        <v>998</v>
      </c>
      <c r="E59" t="s">
        <v>1131</v>
      </c>
      <c r="F59" t="s">
        <v>1104</v>
      </c>
      <c r="H59" t="s">
        <v>903</v>
      </c>
      <c r="I59" t="s">
        <v>2855</v>
      </c>
      <c r="J59" t="s">
        <v>2859</v>
      </c>
      <c r="K59" t="s">
        <v>2921</v>
      </c>
      <c r="L59" t="s">
        <v>821</v>
      </c>
    </row>
    <row r="60" spans="1:12" ht="13.2">
      <c r="A60" t="s">
        <v>1132</v>
      </c>
      <c r="B60" t="b">
        <v>0</v>
      </c>
      <c r="C60" t="s">
        <v>903</v>
      </c>
      <c r="D60" t="s">
        <v>903</v>
      </c>
      <c r="E60" t="s">
        <v>903</v>
      </c>
      <c r="F60" t="s">
        <v>1081</v>
      </c>
      <c r="H60" t="s">
        <v>903</v>
      </c>
      <c r="I60" t="s">
        <v>2855</v>
      </c>
      <c r="J60" t="s">
        <v>2859</v>
      </c>
      <c r="K60" t="s">
        <v>2921</v>
      </c>
      <c r="L60" t="s">
        <v>821</v>
      </c>
    </row>
    <row r="61" spans="1:12" ht="13.2">
      <c r="A61" t="s">
        <v>1133</v>
      </c>
      <c r="B61" t="b">
        <v>0</v>
      </c>
      <c r="C61" t="s">
        <v>1131</v>
      </c>
      <c r="D61" t="s">
        <v>998</v>
      </c>
      <c r="E61" t="s">
        <v>1131</v>
      </c>
      <c r="H61" t="s">
        <v>903</v>
      </c>
      <c r="I61" t="s">
        <v>2855</v>
      </c>
      <c r="J61" t="s">
        <v>2859</v>
      </c>
      <c r="K61" t="s">
        <v>2921</v>
      </c>
      <c r="L61" t="s">
        <v>821</v>
      </c>
    </row>
    <row r="62" spans="1:12" ht="13.2">
      <c r="A62" t="s">
        <v>1134</v>
      </c>
      <c r="B62" t="b">
        <v>1</v>
      </c>
      <c r="C62" t="s">
        <v>963</v>
      </c>
      <c r="D62" t="s">
        <v>963</v>
      </c>
      <c r="E62" t="s">
        <v>963</v>
      </c>
      <c r="F62" t="s">
        <v>1096</v>
      </c>
      <c r="G62" t="s">
        <v>1135</v>
      </c>
      <c r="H62" t="s">
        <v>963</v>
      </c>
      <c r="I62" t="s">
        <v>2855</v>
      </c>
      <c r="J62" t="s">
        <v>2859</v>
      </c>
      <c r="K62" t="s">
        <v>2921</v>
      </c>
      <c r="L62" t="s">
        <v>821</v>
      </c>
    </row>
    <row r="63" spans="1:12" ht="13.2">
      <c r="A63" t="s">
        <v>1136</v>
      </c>
      <c r="B63" t="b">
        <v>0</v>
      </c>
      <c r="C63" t="s">
        <v>903</v>
      </c>
      <c r="D63" t="s">
        <v>998</v>
      </c>
      <c r="E63" t="s">
        <v>1080</v>
      </c>
      <c r="F63" t="s">
        <v>1081</v>
      </c>
      <c r="H63" t="s">
        <v>903</v>
      </c>
      <c r="I63" t="s">
        <v>2855</v>
      </c>
      <c r="J63" t="s">
        <v>2859</v>
      </c>
      <c r="K63" t="s">
        <v>2921</v>
      </c>
      <c r="L63" t="s">
        <v>821</v>
      </c>
    </row>
    <row r="64" spans="1:12" ht="13.2">
      <c r="A64" t="s">
        <v>1137</v>
      </c>
      <c r="B64" t="b">
        <v>0</v>
      </c>
      <c r="C64" t="s">
        <v>963</v>
      </c>
      <c r="D64" t="s">
        <v>963</v>
      </c>
      <c r="E64" t="s">
        <v>963</v>
      </c>
      <c r="F64" t="s">
        <v>1096</v>
      </c>
      <c r="H64" t="s">
        <v>963</v>
      </c>
      <c r="I64" t="s">
        <v>2855</v>
      </c>
      <c r="J64" t="s">
        <v>2859</v>
      </c>
      <c r="K64" t="s">
        <v>2921</v>
      </c>
      <c r="L64" t="s">
        <v>821</v>
      </c>
    </row>
    <row r="65" spans="1:12" ht="13.2">
      <c r="A65" t="s">
        <v>1138</v>
      </c>
      <c r="B65" t="b">
        <v>0</v>
      </c>
      <c r="C65" t="s">
        <v>963</v>
      </c>
      <c r="D65" t="s">
        <v>963</v>
      </c>
      <c r="E65" t="s">
        <v>963</v>
      </c>
      <c r="F65" t="s">
        <v>1139</v>
      </c>
      <c r="G65" t="s">
        <v>1135</v>
      </c>
      <c r="H65" t="s">
        <v>963</v>
      </c>
      <c r="I65" t="s">
        <v>2855</v>
      </c>
      <c r="J65" t="s">
        <v>2859</v>
      </c>
      <c r="K65" t="s">
        <v>2921</v>
      </c>
      <c r="L65" t="s">
        <v>821</v>
      </c>
    </row>
    <row r="66" spans="1:12" ht="13.2">
      <c r="A66" t="s">
        <v>1140</v>
      </c>
      <c r="B66" t="b">
        <v>0</v>
      </c>
      <c r="C66" t="s">
        <v>1131</v>
      </c>
      <c r="D66" t="s">
        <v>998</v>
      </c>
      <c r="E66" t="s">
        <v>1131</v>
      </c>
      <c r="H66" t="s">
        <v>903</v>
      </c>
      <c r="I66" t="s">
        <v>2855</v>
      </c>
      <c r="J66" t="s">
        <v>2859</v>
      </c>
      <c r="K66" t="s">
        <v>2921</v>
      </c>
      <c r="L66" t="s">
        <v>821</v>
      </c>
    </row>
    <row r="67" spans="1:12" ht="13.2">
      <c r="A67" t="s">
        <v>1141</v>
      </c>
      <c r="B67" t="b">
        <v>0</v>
      </c>
      <c r="C67" t="s">
        <v>1131</v>
      </c>
      <c r="D67" t="s">
        <v>998</v>
      </c>
      <c r="E67" t="s">
        <v>1131</v>
      </c>
      <c r="F67" t="s">
        <v>1100</v>
      </c>
      <c r="G67" t="s">
        <v>903</v>
      </c>
      <c r="H67" t="s">
        <v>903</v>
      </c>
      <c r="I67" t="s">
        <v>2855</v>
      </c>
      <c r="J67" t="s">
        <v>2859</v>
      </c>
      <c r="K67" t="s">
        <v>2921</v>
      </c>
      <c r="L67" t="s">
        <v>821</v>
      </c>
    </row>
    <row r="68" spans="1:12" ht="13.2">
      <c r="A68" t="s">
        <v>1142</v>
      </c>
      <c r="B68" t="b">
        <v>0</v>
      </c>
      <c r="C68" t="s">
        <v>903</v>
      </c>
      <c r="D68" t="s">
        <v>1143</v>
      </c>
      <c r="E68" t="s">
        <v>1080</v>
      </c>
      <c r="F68" t="s">
        <v>1081</v>
      </c>
      <c r="H68" t="s">
        <v>903</v>
      </c>
      <c r="I68" t="s">
        <v>2855</v>
      </c>
      <c r="J68" t="s">
        <v>2859</v>
      </c>
      <c r="K68" t="s">
        <v>2921</v>
      </c>
      <c r="L68" t="s">
        <v>821</v>
      </c>
    </row>
    <row r="69" spans="1:12" ht="13.2">
      <c r="A69" t="s">
        <v>1144</v>
      </c>
      <c r="B69" t="b">
        <v>0</v>
      </c>
      <c r="H69" t="s">
        <v>1062</v>
      </c>
      <c r="I69" t="s">
        <v>2855</v>
      </c>
      <c r="J69" t="s">
        <v>2859</v>
      </c>
      <c r="K69" t="s">
        <v>2921</v>
      </c>
      <c r="L69" t="s">
        <v>821</v>
      </c>
    </row>
    <row r="70" spans="1:12" ht="13.2">
      <c r="A70" t="s">
        <v>1145</v>
      </c>
      <c r="B70" t="b">
        <v>1</v>
      </c>
      <c r="C70" t="s">
        <v>1131</v>
      </c>
      <c r="D70" t="s">
        <v>963</v>
      </c>
      <c r="E70" t="s">
        <v>1131</v>
      </c>
      <c r="F70" t="s">
        <v>1104</v>
      </c>
      <c r="H70" t="s">
        <v>1062</v>
      </c>
      <c r="I70" t="s">
        <v>2855</v>
      </c>
      <c r="J70" t="s">
        <v>2859</v>
      </c>
      <c r="K70" t="s">
        <v>2921</v>
      </c>
      <c r="L70" t="s">
        <v>821</v>
      </c>
    </row>
    <row r="71" spans="1:12" ht="13.2">
      <c r="A71" t="s">
        <v>1146</v>
      </c>
      <c r="B71" t="b">
        <v>0</v>
      </c>
      <c r="C71" t="s">
        <v>903</v>
      </c>
      <c r="D71" t="s">
        <v>903</v>
      </c>
      <c r="E71" t="s">
        <v>903</v>
      </c>
      <c r="F71" t="s">
        <v>1092</v>
      </c>
      <c r="H71" t="s">
        <v>903</v>
      </c>
      <c r="I71" t="s">
        <v>2855</v>
      </c>
      <c r="J71" t="s">
        <v>2859</v>
      </c>
      <c r="K71" t="s">
        <v>2921</v>
      </c>
      <c r="L71" t="s">
        <v>821</v>
      </c>
    </row>
    <row r="72" spans="1:12" ht="13.2">
      <c r="A72" t="s">
        <v>1147</v>
      </c>
      <c r="B72" t="b">
        <v>1</v>
      </c>
      <c r="C72" t="s">
        <v>903</v>
      </c>
      <c r="D72" t="s">
        <v>903</v>
      </c>
      <c r="E72" t="s">
        <v>903</v>
      </c>
      <c r="H72" t="s">
        <v>903</v>
      </c>
      <c r="I72" t="s">
        <v>2855</v>
      </c>
      <c r="J72" t="s">
        <v>2859</v>
      </c>
      <c r="K72" t="s">
        <v>2921</v>
      </c>
      <c r="L72" t="s">
        <v>821</v>
      </c>
    </row>
    <row r="73" spans="1:12" ht="13.2">
      <c r="A73" t="s">
        <v>1148</v>
      </c>
      <c r="B73" t="b">
        <v>0</v>
      </c>
      <c r="C73" t="s">
        <v>1108</v>
      </c>
      <c r="D73" t="s">
        <v>1109</v>
      </c>
      <c r="E73" t="s">
        <v>1108</v>
      </c>
      <c r="H73" t="s">
        <v>903</v>
      </c>
      <c r="I73" t="s">
        <v>2855</v>
      </c>
      <c r="J73" t="s">
        <v>2859</v>
      </c>
      <c r="K73" t="s">
        <v>2921</v>
      </c>
      <c r="L73" t="s">
        <v>821</v>
      </c>
    </row>
    <row r="74" spans="1:12" ht="13.2">
      <c r="A74" t="s">
        <v>1149</v>
      </c>
      <c r="B74" t="b">
        <v>1</v>
      </c>
      <c r="C74" t="s">
        <v>1131</v>
      </c>
      <c r="D74" t="s">
        <v>998</v>
      </c>
      <c r="E74" t="s">
        <v>1131</v>
      </c>
      <c r="H74" t="s">
        <v>903</v>
      </c>
      <c r="I74" t="s">
        <v>2855</v>
      </c>
      <c r="J74" t="s">
        <v>2859</v>
      </c>
      <c r="K74" t="s">
        <v>2921</v>
      </c>
      <c r="L74" t="s">
        <v>821</v>
      </c>
    </row>
    <row r="75" spans="1:12" ht="13.2">
      <c r="A75" t="s">
        <v>1150</v>
      </c>
      <c r="B75" t="b">
        <v>0</v>
      </c>
      <c r="C75" t="s">
        <v>1131</v>
      </c>
      <c r="D75" t="s">
        <v>998</v>
      </c>
      <c r="E75" t="s">
        <v>1131</v>
      </c>
      <c r="H75" t="s">
        <v>903</v>
      </c>
      <c r="I75" t="s">
        <v>2855</v>
      </c>
      <c r="J75" t="s">
        <v>2859</v>
      </c>
      <c r="K75" t="s">
        <v>2921</v>
      </c>
      <c r="L75" t="s">
        <v>821</v>
      </c>
    </row>
    <row r="76" spans="1:12" ht="13.2">
      <c r="A76" t="s">
        <v>1151</v>
      </c>
      <c r="B76" t="b">
        <v>0</v>
      </c>
      <c r="C76" t="s">
        <v>963</v>
      </c>
      <c r="D76" t="s">
        <v>963</v>
      </c>
      <c r="E76" t="s">
        <v>963</v>
      </c>
      <c r="H76" t="s">
        <v>1062</v>
      </c>
      <c r="I76" t="s">
        <v>2855</v>
      </c>
      <c r="J76" t="s">
        <v>2859</v>
      </c>
      <c r="K76" t="s">
        <v>2921</v>
      </c>
      <c r="L76" t="s">
        <v>821</v>
      </c>
    </row>
    <row r="77" spans="1:12" ht="13.2">
      <c r="A77" t="s">
        <v>1152</v>
      </c>
      <c r="B77" t="b">
        <v>1</v>
      </c>
      <c r="C77" t="s">
        <v>963</v>
      </c>
      <c r="D77" t="s">
        <v>963</v>
      </c>
      <c r="E77" t="s">
        <v>963</v>
      </c>
      <c r="H77" t="s">
        <v>963</v>
      </c>
      <c r="I77" t="s">
        <v>2855</v>
      </c>
      <c r="J77" t="s">
        <v>2859</v>
      </c>
      <c r="K77" t="s">
        <v>2921</v>
      </c>
      <c r="L77" t="s">
        <v>821</v>
      </c>
    </row>
    <row r="78" spans="1:12" ht="13.2">
      <c r="A78" t="s">
        <v>1153</v>
      </c>
      <c r="B78" t="b">
        <v>0</v>
      </c>
      <c r="C78" t="s">
        <v>903</v>
      </c>
      <c r="D78" t="s">
        <v>998</v>
      </c>
      <c r="E78" t="s">
        <v>1080</v>
      </c>
      <c r="H78" t="s">
        <v>903</v>
      </c>
      <c r="I78" t="s">
        <v>2855</v>
      </c>
      <c r="J78" t="s">
        <v>2864</v>
      </c>
      <c r="K78" t="s">
        <v>2924</v>
      </c>
      <c r="L78" t="s">
        <v>821</v>
      </c>
    </row>
    <row r="79" spans="1:12" ht="13.2">
      <c r="A79" t="s">
        <v>1154</v>
      </c>
      <c r="B79" t="b">
        <v>0</v>
      </c>
      <c r="C79" t="s">
        <v>1108</v>
      </c>
      <c r="D79" t="s">
        <v>1109</v>
      </c>
      <c r="E79" t="s">
        <v>1108</v>
      </c>
      <c r="H79" t="s">
        <v>903</v>
      </c>
      <c r="I79" t="s">
        <v>2855</v>
      </c>
      <c r="J79" t="s">
        <v>2864</v>
      </c>
      <c r="K79" t="s">
        <v>2924</v>
      </c>
      <c r="L79" t="s">
        <v>821</v>
      </c>
    </row>
    <row r="80" spans="1:12" ht="13.2">
      <c r="A80" t="s">
        <v>1155</v>
      </c>
      <c r="B80" t="b">
        <v>0</v>
      </c>
      <c r="C80" t="s">
        <v>903</v>
      </c>
      <c r="D80" t="s">
        <v>998</v>
      </c>
      <c r="E80" t="s">
        <v>1080</v>
      </c>
      <c r="H80" t="s">
        <v>903</v>
      </c>
      <c r="I80" t="s">
        <v>2855</v>
      </c>
      <c r="J80" t="s">
        <v>2864</v>
      </c>
      <c r="K80" t="s">
        <v>2924</v>
      </c>
      <c r="L80" t="s">
        <v>821</v>
      </c>
    </row>
    <row r="81" spans="1:12" ht="13.2">
      <c r="A81" t="s">
        <v>1156</v>
      </c>
      <c r="B81" t="b">
        <v>0</v>
      </c>
      <c r="C81" t="s">
        <v>903</v>
      </c>
      <c r="D81" t="s">
        <v>998</v>
      </c>
      <c r="E81" t="s">
        <v>1080</v>
      </c>
      <c r="H81" t="s">
        <v>903</v>
      </c>
      <c r="I81" t="s">
        <v>2855</v>
      </c>
      <c r="J81" t="s">
        <v>2864</v>
      </c>
      <c r="K81" t="s">
        <v>2924</v>
      </c>
      <c r="L81" t="s">
        <v>821</v>
      </c>
    </row>
    <row r="82" spans="1:12" ht="13.2">
      <c r="A82" t="s">
        <v>1157</v>
      </c>
      <c r="B82" t="b">
        <v>0</v>
      </c>
      <c r="C82" t="s">
        <v>903</v>
      </c>
      <c r="D82" t="s">
        <v>998</v>
      </c>
      <c r="E82" t="s">
        <v>1080</v>
      </c>
      <c r="H82" t="s">
        <v>903</v>
      </c>
      <c r="I82" t="s">
        <v>2855</v>
      </c>
      <c r="J82" t="s">
        <v>2864</v>
      </c>
      <c r="K82" t="s">
        <v>2924</v>
      </c>
      <c r="L82" t="s">
        <v>821</v>
      </c>
    </row>
    <row r="83" spans="1:12" ht="13.2">
      <c r="A83" t="s">
        <v>1158</v>
      </c>
      <c r="B83" t="b">
        <v>0</v>
      </c>
      <c r="C83" t="s">
        <v>903</v>
      </c>
      <c r="D83" t="s">
        <v>998</v>
      </c>
      <c r="E83" t="s">
        <v>1080</v>
      </c>
      <c r="H83" t="s">
        <v>903</v>
      </c>
      <c r="I83" t="s">
        <v>2855</v>
      </c>
      <c r="J83" t="s">
        <v>2864</v>
      </c>
      <c r="K83" t="s">
        <v>2924</v>
      </c>
      <c r="L83" t="s">
        <v>821</v>
      </c>
    </row>
    <row r="84" spans="1:12" ht="13.2">
      <c r="A84" t="s">
        <v>1159</v>
      </c>
      <c r="B84" t="b">
        <v>0</v>
      </c>
      <c r="C84" t="s">
        <v>963</v>
      </c>
      <c r="D84" t="s">
        <v>963</v>
      </c>
      <c r="E84" t="s">
        <v>963</v>
      </c>
      <c r="H84" t="s">
        <v>963</v>
      </c>
      <c r="I84" t="s">
        <v>2855</v>
      </c>
      <c r="J84" t="s">
        <v>2864</v>
      </c>
      <c r="K84" t="s">
        <v>2924</v>
      </c>
      <c r="L84" t="s">
        <v>821</v>
      </c>
    </row>
    <row r="85" spans="1:12" ht="13.2">
      <c r="A85" t="s">
        <v>1160</v>
      </c>
      <c r="B85" t="b">
        <v>0</v>
      </c>
      <c r="C85" t="s">
        <v>903</v>
      </c>
      <c r="D85" t="s">
        <v>998</v>
      </c>
      <c r="E85" t="s">
        <v>1080</v>
      </c>
      <c r="H85" t="s">
        <v>903</v>
      </c>
      <c r="I85" t="s">
        <v>2855</v>
      </c>
      <c r="J85" t="s">
        <v>2864</v>
      </c>
      <c r="K85" t="s">
        <v>2924</v>
      </c>
      <c r="L85" t="s">
        <v>821</v>
      </c>
    </row>
    <row r="86" spans="1:12" ht="13.2">
      <c r="A86" t="s">
        <v>1161</v>
      </c>
      <c r="B86" t="b">
        <v>0</v>
      </c>
      <c r="C86" t="s">
        <v>903</v>
      </c>
      <c r="D86" t="s">
        <v>998</v>
      </c>
      <c r="E86" t="s">
        <v>1080</v>
      </c>
      <c r="H86" t="s">
        <v>903</v>
      </c>
      <c r="I86" t="s">
        <v>2855</v>
      </c>
      <c r="J86" t="s">
        <v>2864</v>
      </c>
      <c r="K86" t="s">
        <v>2924</v>
      </c>
      <c r="L86" t="s">
        <v>821</v>
      </c>
    </row>
    <row r="87" spans="1:12" ht="13.2">
      <c r="A87" t="s">
        <v>1162</v>
      </c>
      <c r="B87" t="b">
        <v>0</v>
      </c>
      <c r="C87" t="s">
        <v>903</v>
      </c>
      <c r="D87" t="s">
        <v>903</v>
      </c>
      <c r="E87" t="s">
        <v>903</v>
      </c>
      <c r="H87" t="s">
        <v>903</v>
      </c>
      <c r="I87" t="s">
        <v>2855</v>
      </c>
      <c r="J87" t="s">
        <v>2864</v>
      </c>
      <c r="K87" t="s">
        <v>2924</v>
      </c>
      <c r="L87" t="s">
        <v>821</v>
      </c>
    </row>
    <row r="88" spans="1:12" ht="13.2">
      <c r="A88" t="s">
        <v>1163</v>
      </c>
      <c r="B88" t="b">
        <v>0</v>
      </c>
      <c r="H88" t="s">
        <v>1062</v>
      </c>
      <c r="I88" t="s">
        <v>2855</v>
      </c>
      <c r="J88" t="s">
        <v>2864</v>
      </c>
      <c r="K88" t="s">
        <v>2924</v>
      </c>
      <c r="L88" t="s">
        <v>821</v>
      </c>
    </row>
    <row r="89" spans="1:12" ht="13.2">
      <c r="A89" t="s">
        <v>1164</v>
      </c>
      <c r="B89" t="b">
        <v>0</v>
      </c>
      <c r="C89" t="s">
        <v>1086</v>
      </c>
      <c r="D89" t="s">
        <v>998</v>
      </c>
      <c r="E89" t="s">
        <v>1086</v>
      </c>
      <c r="H89" t="s">
        <v>1062</v>
      </c>
      <c r="I89" t="s">
        <v>2855</v>
      </c>
      <c r="J89" t="s">
        <v>2860</v>
      </c>
      <c r="L89" t="s">
        <v>821</v>
      </c>
    </row>
    <row r="90" spans="1:12" ht="13.2">
      <c r="A90" t="s">
        <v>1165</v>
      </c>
      <c r="B90" t="b">
        <v>0</v>
      </c>
      <c r="H90" t="s">
        <v>1062</v>
      </c>
      <c r="I90" t="s">
        <v>2855</v>
      </c>
      <c r="J90" t="s">
        <v>2860</v>
      </c>
      <c r="L90" t="s">
        <v>821</v>
      </c>
    </row>
    <row r="91" spans="1:12" ht="13.2">
      <c r="A91" t="s">
        <v>1166</v>
      </c>
      <c r="B91" t="b">
        <v>0</v>
      </c>
      <c r="H91" t="s">
        <v>1062</v>
      </c>
      <c r="I91" t="s">
        <v>2855</v>
      </c>
      <c r="J91" t="s">
        <v>2860</v>
      </c>
      <c r="L91" t="s">
        <v>821</v>
      </c>
    </row>
    <row r="92" spans="1:12" ht="13.2">
      <c r="A92" t="s">
        <v>1167</v>
      </c>
      <c r="B92" t="b">
        <v>0</v>
      </c>
      <c r="C92" t="s">
        <v>903</v>
      </c>
      <c r="D92" t="s">
        <v>998</v>
      </c>
      <c r="E92" t="s">
        <v>1080</v>
      </c>
      <c r="H92" t="s">
        <v>1062</v>
      </c>
      <c r="I92" t="s">
        <v>2855</v>
      </c>
      <c r="J92" t="s">
        <v>2860</v>
      </c>
      <c r="L92" t="s">
        <v>821</v>
      </c>
    </row>
    <row r="93" spans="1:12" ht="13.2">
      <c r="A93" t="s">
        <v>1168</v>
      </c>
      <c r="B93" t="b">
        <v>0</v>
      </c>
      <c r="C93" t="s">
        <v>1086</v>
      </c>
      <c r="D93" t="s">
        <v>998</v>
      </c>
      <c r="E93" t="s">
        <v>1086</v>
      </c>
      <c r="H93" t="s">
        <v>1062</v>
      </c>
      <c r="I93" t="s">
        <v>2855</v>
      </c>
      <c r="J93" t="s">
        <v>2860</v>
      </c>
      <c r="L93" t="s">
        <v>821</v>
      </c>
    </row>
    <row r="94" spans="1:12" ht="13.2">
      <c r="A94" t="s">
        <v>1169</v>
      </c>
      <c r="B94" t="b">
        <v>0</v>
      </c>
      <c r="C94" t="s">
        <v>1108</v>
      </c>
      <c r="D94" t="s">
        <v>998</v>
      </c>
      <c r="E94" t="s">
        <v>1108</v>
      </c>
      <c r="F94" t="s">
        <v>1081</v>
      </c>
      <c r="H94" t="s">
        <v>1062</v>
      </c>
      <c r="I94" t="s">
        <v>2855</v>
      </c>
      <c r="J94" t="s">
        <v>2860</v>
      </c>
      <c r="L94" t="s">
        <v>821</v>
      </c>
    </row>
    <row r="95" spans="1:12" ht="13.2">
      <c r="A95" t="s">
        <v>1170</v>
      </c>
      <c r="B95" t="b">
        <v>0</v>
      </c>
      <c r="C95" t="s">
        <v>903</v>
      </c>
      <c r="D95" t="s">
        <v>998</v>
      </c>
      <c r="E95" t="s">
        <v>1080</v>
      </c>
      <c r="H95" t="s">
        <v>1062</v>
      </c>
      <c r="I95" t="s">
        <v>2855</v>
      </c>
      <c r="J95" t="s">
        <v>2860</v>
      </c>
      <c r="L95" t="s">
        <v>821</v>
      </c>
    </row>
    <row r="96" spans="1:12" ht="13.2">
      <c r="A96" t="s">
        <v>1171</v>
      </c>
      <c r="B96" t="b">
        <v>0</v>
      </c>
      <c r="H96" t="s">
        <v>1062</v>
      </c>
      <c r="I96" t="s">
        <v>2855</v>
      </c>
      <c r="J96" t="s">
        <v>2860</v>
      </c>
      <c r="L96" t="s">
        <v>821</v>
      </c>
    </row>
    <row r="97" spans="1:12" ht="13.2">
      <c r="A97" t="s">
        <v>1172</v>
      </c>
      <c r="B97" t="b">
        <v>0</v>
      </c>
      <c r="H97" t="s">
        <v>1062</v>
      </c>
      <c r="I97" t="s">
        <v>2855</v>
      </c>
      <c r="J97" t="s">
        <v>2860</v>
      </c>
      <c r="L97" t="s">
        <v>821</v>
      </c>
    </row>
    <row r="98" spans="1:12" ht="13.2">
      <c r="A98" t="s">
        <v>1173</v>
      </c>
      <c r="B98" t="b">
        <v>0</v>
      </c>
      <c r="H98" t="s">
        <v>1062</v>
      </c>
      <c r="I98" t="s">
        <v>2855</v>
      </c>
      <c r="J98" t="s">
        <v>2860</v>
      </c>
      <c r="L98" t="s">
        <v>821</v>
      </c>
    </row>
    <row r="99" spans="1:12" ht="13.2">
      <c r="A99" t="s">
        <v>1174</v>
      </c>
      <c r="B99" t="b">
        <v>0</v>
      </c>
      <c r="C99" t="s">
        <v>903</v>
      </c>
      <c r="D99" t="s">
        <v>998</v>
      </c>
      <c r="E99" t="s">
        <v>1080</v>
      </c>
      <c r="H99" t="s">
        <v>1062</v>
      </c>
      <c r="I99" t="s">
        <v>2855</v>
      </c>
      <c r="J99" t="s">
        <v>2860</v>
      </c>
      <c r="L99" t="s">
        <v>821</v>
      </c>
    </row>
    <row r="100" spans="1:12" ht="13.2">
      <c r="A100" t="s">
        <v>1175</v>
      </c>
      <c r="B100" t="b">
        <v>0</v>
      </c>
      <c r="H100" t="s">
        <v>1062</v>
      </c>
      <c r="I100" t="s">
        <v>2855</v>
      </c>
      <c r="J100" t="s">
        <v>2860</v>
      </c>
      <c r="L100" t="s">
        <v>821</v>
      </c>
    </row>
    <row r="101" spans="1:12" ht="13.2">
      <c r="A101" t="s">
        <v>1176</v>
      </c>
      <c r="B101" t="b">
        <v>0</v>
      </c>
      <c r="H101" t="s">
        <v>1062</v>
      </c>
      <c r="I101" t="s">
        <v>2855</v>
      </c>
      <c r="J101" t="s">
        <v>2860</v>
      </c>
      <c r="L101" t="s">
        <v>821</v>
      </c>
    </row>
    <row r="102" spans="1:12" ht="13.2">
      <c r="A102" t="s">
        <v>1177</v>
      </c>
      <c r="B102" t="b">
        <v>0</v>
      </c>
      <c r="H102" t="s">
        <v>1062</v>
      </c>
      <c r="I102" t="s">
        <v>2855</v>
      </c>
      <c r="J102" t="s">
        <v>2860</v>
      </c>
      <c r="L102" t="s">
        <v>821</v>
      </c>
    </row>
    <row r="103" spans="1:12" ht="13.2">
      <c r="A103" t="s">
        <v>1178</v>
      </c>
      <c r="B103" t="b">
        <v>0</v>
      </c>
      <c r="H103" t="s">
        <v>1062</v>
      </c>
      <c r="I103" t="s">
        <v>2855</v>
      </c>
      <c r="J103" t="s">
        <v>2860</v>
      </c>
      <c r="L103" t="s">
        <v>821</v>
      </c>
    </row>
    <row r="104" spans="1:12" ht="13.2">
      <c r="A104" t="s">
        <v>1179</v>
      </c>
      <c r="B104" t="b">
        <v>0</v>
      </c>
      <c r="H104" t="s">
        <v>1062</v>
      </c>
      <c r="I104" t="s">
        <v>2855</v>
      </c>
      <c r="J104" t="s">
        <v>2860</v>
      </c>
      <c r="L104" t="s">
        <v>821</v>
      </c>
    </row>
    <row r="105" spans="1:12" ht="13.2">
      <c r="A105" t="s">
        <v>1180</v>
      </c>
      <c r="B105" t="b">
        <v>0</v>
      </c>
      <c r="H105" t="s">
        <v>1062</v>
      </c>
      <c r="I105" t="s">
        <v>2855</v>
      </c>
      <c r="J105" t="s">
        <v>2860</v>
      </c>
      <c r="L105" t="s">
        <v>821</v>
      </c>
    </row>
    <row r="106" spans="1:12" ht="13.2">
      <c r="A106" t="s">
        <v>1181</v>
      </c>
      <c r="B106" t="b">
        <v>0</v>
      </c>
      <c r="H106" t="s">
        <v>1062</v>
      </c>
      <c r="I106" t="s">
        <v>2855</v>
      </c>
      <c r="J106" t="s">
        <v>2860</v>
      </c>
      <c r="L106" t="s">
        <v>821</v>
      </c>
    </row>
    <row r="107" spans="1:12" ht="13.2">
      <c r="A107" t="s">
        <v>1182</v>
      </c>
      <c r="B107" t="b">
        <v>0</v>
      </c>
      <c r="H107" t="s">
        <v>1062</v>
      </c>
      <c r="I107" t="s">
        <v>2855</v>
      </c>
      <c r="J107" t="s">
        <v>2860</v>
      </c>
      <c r="L107" t="s">
        <v>821</v>
      </c>
    </row>
    <row r="108" spans="1:12" ht="13.2">
      <c r="A108" t="s">
        <v>1183</v>
      </c>
      <c r="B108" t="b">
        <v>0</v>
      </c>
      <c r="H108" t="s">
        <v>1062</v>
      </c>
      <c r="I108" t="s">
        <v>2855</v>
      </c>
      <c r="J108" t="s">
        <v>2860</v>
      </c>
      <c r="L108" t="s">
        <v>821</v>
      </c>
    </row>
    <row r="109" spans="1:12" ht="13.2">
      <c r="A109" t="s">
        <v>1184</v>
      </c>
      <c r="B109" t="b">
        <v>0</v>
      </c>
      <c r="H109" t="s">
        <v>1062</v>
      </c>
      <c r="I109" t="s">
        <v>2855</v>
      </c>
      <c r="J109" t="s">
        <v>2860</v>
      </c>
      <c r="L109" t="s">
        <v>821</v>
      </c>
    </row>
    <row r="110" spans="1:12" ht="13.2">
      <c r="A110" t="s">
        <v>1185</v>
      </c>
      <c r="B110" t="b">
        <v>0</v>
      </c>
      <c r="H110" t="s">
        <v>1062</v>
      </c>
      <c r="I110" t="s">
        <v>2855</v>
      </c>
      <c r="J110" t="s">
        <v>2860</v>
      </c>
      <c r="L110" t="s">
        <v>821</v>
      </c>
    </row>
    <row r="111" spans="1:12" ht="13.2">
      <c r="A111" t="s">
        <v>1186</v>
      </c>
      <c r="B111" t="b">
        <v>0</v>
      </c>
      <c r="H111" t="s">
        <v>1062</v>
      </c>
      <c r="I111" t="s">
        <v>2855</v>
      </c>
      <c r="J111" t="s">
        <v>2860</v>
      </c>
      <c r="L111" t="s">
        <v>821</v>
      </c>
    </row>
    <row r="112" spans="1:12" ht="13.2">
      <c r="A112" t="s">
        <v>1187</v>
      </c>
      <c r="B112" t="b">
        <v>0</v>
      </c>
      <c r="H112" t="s">
        <v>1062</v>
      </c>
      <c r="I112" t="s">
        <v>2855</v>
      </c>
      <c r="J112" t="s">
        <v>2860</v>
      </c>
      <c r="L112" t="s">
        <v>821</v>
      </c>
    </row>
    <row r="113" spans="1:12" ht="13.2">
      <c r="A113" t="s">
        <v>1188</v>
      </c>
      <c r="B113" t="b">
        <v>0</v>
      </c>
      <c r="H113" t="s">
        <v>1062</v>
      </c>
      <c r="I113" t="s">
        <v>2855</v>
      </c>
      <c r="J113" t="s">
        <v>2860</v>
      </c>
      <c r="L113" t="s">
        <v>821</v>
      </c>
    </row>
    <row r="114" spans="1:12" ht="13.2">
      <c r="A114" t="s">
        <v>1189</v>
      </c>
      <c r="B114" t="b">
        <v>0</v>
      </c>
      <c r="H114" t="s">
        <v>1062</v>
      </c>
      <c r="I114" t="s">
        <v>2855</v>
      </c>
      <c r="J114" t="s">
        <v>2860</v>
      </c>
      <c r="L114" t="s">
        <v>821</v>
      </c>
    </row>
    <row r="115" spans="1:12" ht="13.2">
      <c r="A115" t="s">
        <v>1190</v>
      </c>
      <c r="B115" t="b">
        <v>0</v>
      </c>
      <c r="H115" t="s">
        <v>1062</v>
      </c>
      <c r="I115" t="s">
        <v>2855</v>
      </c>
      <c r="J115" t="s">
        <v>2860</v>
      </c>
      <c r="L115" t="s">
        <v>821</v>
      </c>
    </row>
    <row r="116" spans="1:12" ht="13.2">
      <c r="A116" t="s">
        <v>1191</v>
      </c>
      <c r="B116" t="b">
        <v>0</v>
      </c>
      <c r="H116" t="s">
        <v>1062</v>
      </c>
      <c r="I116" t="s">
        <v>2855</v>
      </c>
      <c r="J116" t="s">
        <v>2860</v>
      </c>
      <c r="L116" t="s">
        <v>821</v>
      </c>
    </row>
    <row r="117" spans="1:12" ht="13.2">
      <c r="A117" t="s">
        <v>1192</v>
      </c>
      <c r="B117" t="b">
        <v>0</v>
      </c>
      <c r="H117" t="s">
        <v>1062</v>
      </c>
      <c r="I117" t="s">
        <v>2855</v>
      </c>
      <c r="J117" t="s">
        <v>2857</v>
      </c>
      <c r="L117" t="s">
        <v>821</v>
      </c>
    </row>
    <row r="118" spans="1:12" ht="13.2">
      <c r="A118" t="s">
        <v>1193</v>
      </c>
      <c r="B118" t="b">
        <v>0</v>
      </c>
      <c r="H118" t="s">
        <v>1062</v>
      </c>
      <c r="I118" t="s">
        <v>2855</v>
      </c>
      <c r="J118" t="s">
        <v>2857</v>
      </c>
      <c r="L118" t="s">
        <v>821</v>
      </c>
    </row>
    <row r="119" spans="1:12" ht="13.2">
      <c r="A119" t="s">
        <v>1194</v>
      </c>
      <c r="B119" t="b">
        <v>0</v>
      </c>
      <c r="H119" t="s">
        <v>1062</v>
      </c>
      <c r="I119" t="s">
        <v>2855</v>
      </c>
      <c r="J119" t="s">
        <v>2857</v>
      </c>
      <c r="L119" t="s">
        <v>821</v>
      </c>
    </row>
    <row r="120" spans="1:12" ht="13.2">
      <c r="A120" t="s">
        <v>1195</v>
      </c>
      <c r="B120" t="b">
        <v>0</v>
      </c>
      <c r="H120" t="s">
        <v>1062</v>
      </c>
      <c r="I120" t="s">
        <v>2855</v>
      </c>
      <c r="J120" t="s">
        <v>2857</v>
      </c>
      <c r="L120" t="s">
        <v>821</v>
      </c>
    </row>
    <row r="121" spans="1:12" ht="13.2">
      <c r="A121" t="s">
        <v>1196</v>
      </c>
      <c r="B121" t="b">
        <v>0</v>
      </c>
      <c r="H121" t="s">
        <v>1062</v>
      </c>
      <c r="I121" t="s">
        <v>2855</v>
      </c>
      <c r="J121" t="s">
        <v>2857</v>
      </c>
      <c r="L121" t="s">
        <v>821</v>
      </c>
    </row>
    <row r="122" spans="1:12" ht="13.2">
      <c r="A122" t="s">
        <v>1197</v>
      </c>
      <c r="B122" t="b">
        <v>0</v>
      </c>
      <c r="H122" t="s">
        <v>1062</v>
      </c>
      <c r="I122" t="s">
        <v>2855</v>
      </c>
      <c r="J122" t="s">
        <v>2857</v>
      </c>
      <c r="L122" t="s">
        <v>821</v>
      </c>
    </row>
    <row r="123" spans="1:12" ht="13.2">
      <c r="A123" t="s">
        <v>1198</v>
      </c>
      <c r="B123" t="b">
        <v>0</v>
      </c>
      <c r="H123" t="s">
        <v>1062</v>
      </c>
      <c r="I123" t="s">
        <v>2855</v>
      </c>
      <c r="J123" t="s">
        <v>2857</v>
      </c>
      <c r="L123" t="s">
        <v>821</v>
      </c>
    </row>
    <row r="124" spans="1:12" ht="13.2">
      <c r="A124" t="s">
        <v>1199</v>
      </c>
      <c r="B124" t="b">
        <v>0</v>
      </c>
      <c r="H124" t="s">
        <v>1062</v>
      </c>
      <c r="I124" t="s">
        <v>2855</v>
      </c>
      <c r="J124" t="s">
        <v>2857</v>
      </c>
      <c r="L124" t="s">
        <v>821</v>
      </c>
    </row>
    <row r="125" spans="1:12" ht="13.2">
      <c r="A125" t="s">
        <v>1200</v>
      </c>
      <c r="B125" t="b">
        <v>0</v>
      </c>
      <c r="H125" t="s">
        <v>1062</v>
      </c>
      <c r="I125" t="s">
        <v>2855</v>
      </c>
      <c r="J125" t="s">
        <v>2857</v>
      </c>
      <c r="L125" t="s">
        <v>821</v>
      </c>
    </row>
    <row r="126" spans="1:12" ht="13.2">
      <c r="A126" t="s">
        <v>1201</v>
      </c>
      <c r="B126" t="b">
        <v>0</v>
      </c>
      <c r="H126" t="s">
        <v>1062</v>
      </c>
      <c r="I126" t="s">
        <v>2855</v>
      </c>
      <c r="J126" t="s">
        <v>2857</v>
      </c>
      <c r="L126" t="s">
        <v>821</v>
      </c>
    </row>
    <row r="127" spans="1:12" ht="13.2">
      <c r="A127" t="s">
        <v>1202</v>
      </c>
      <c r="B127" t="b">
        <v>0</v>
      </c>
      <c r="H127" t="s">
        <v>1062</v>
      </c>
      <c r="I127" t="s">
        <v>2855</v>
      </c>
      <c r="J127" t="s">
        <v>2857</v>
      </c>
      <c r="L127" t="s">
        <v>821</v>
      </c>
    </row>
    <row r="128" spans="1:12" ht="13.2">
      <c r="A128" t="s">
        <v>1203</v>
      </c>
      <c r="B128" t="b">
        <v>0</v>
      </c>
      <c r="H128" t="s">
        <v>1062</v>
      </c>
      <c r="I128" t="s">
        <v>2855</v>
      </c>
      <c r="J128" t="s">
        <v>2857</v>
      </c>
      <c r="L128" t="s">
        <v>821</v>
      </c>
    </row>
    <row r="129" spans="1:12" ht="13.2">
      <c r="A129" t="s">
        <v>1204</v>
      </c>
      <c r="B129" t="b">
        <v>0</v>
      </c>
      <c r="H129" t="s">
        <v>1062</v>
      </c>
      <c r="I129" t="s">
        <v>2855</v>
      </c>
      <c r="J129" t="s">
        <v>2857</v>
      </c>
      <c r="L129" t="s">
        <v>821</v>
      </c>
    </row>
    <row r="130" spans="1:12" ht="13.2">
      <c r="A130" t="s">
        <v>1205</v>
      </c>
      <c r="B130" t="b">
        <v>0</v>
      </c>
      <c r="H130" t="s">
        <v>1062</v>
      </c>
      <c r="I130" t="s">
        <v>2855</v>
      </c>
      <c r="J130" t="s">
        <v>2857</v>
      </c>
      <c r="L130" t="s">
        <v>821</v>
      </c>
    </row>
    <row r="131" spans="1:12" ht="13.2">
      <c r="A131" t="s">
        <v>1206</v>
      </c>
      <c r="B131" t="b">
        <v>0</v>
      </c>
      <c r="H131" t="s">
        <v>1062</v>
      </c>
      <c r="I131" t="s">
        <v>2855</v>
      </c>
      <c r="J131" t="s">
        <v>2857</v>
      </c>
      <c r="L131" t="s">
        <v>821</v>
      </c>
    </row>
    <row r="132" spans="1:12" ht="13.2">
      <c r="A132" t="s">
        <v>1207</v>
      </c>
      <c r="B132" t="b">
        <v>0</v>
      </c>
      <c r="H132" t="s">
        <v>1062</v>
      </c>
      <c r="I132" t="s">
        <v>2855</v>
      </c>
      <c r="J132" t="s">
        <v>2857</v>
      </c>
      <c r="L132" t="s">
        <v>821</v>
      </c>
    </row>
    <row r="133" spans="1:12" ht="13.2">
      <c r="A133" t="s">
        <v>1208</v>
      </c>
      <c r="B133" t="b">
        <v>0</v>
      </c>
      <c r="H133" t="s">
        <v>1062</v>
      </c>
      <c r="I133" t="s">
        <v>2855</v>
      </c>
      <c r="J133" t="s">
        <v>2857</v>
      </c>
      <c r="L133" t="s">
        <v>821</v>
      </c>
    </row>
    <row r="134" spans="1:12" ht="13.2">
      <c r="A134" t="s">
        <v>1209</v>
      </c>
      <c r="B134" t="b">
        <v>0</v>
      </c>
      <c r="H134" t="s">
        <v>1062</v>
      </c>
      <c r="I134" t="s">
        <v>2855</v>
      </c>
      <c r="J134" t="s">
        <v>2857</v>
      </c>
      <c r="L134" t="s">
        <v>821</v>
      </c>
    </row>
    <row r="135" spans="1:12" ht="13.2">
      <c r="A135" t="s">
        <v>1210</v>
      </c>
      <c r="B135" t="b">
        <v>0</v>
      </c>
      <c r="H135" t="s">
        <v>1062</v>
      </c>
      <c r="I135" t="s">
        <v>2855</v>
      </c>
      <c r="J135" t="s">
        <v>2857</v>
      </c>
      <c r="L135" t="s">
        <v>821</v>
      </c>
    </row>
    <row r="136" spans="1:12" ht="13.2">
      <c r="A136" t="s">
        <v>1211</v>
      </c>
      <c r="B136" t="b">
        <v>0</v>
      </c>
      <c r="H136" t="s">
        <v>1062</v>
      </c>
      <c r="I136" t="s">
        <v>2855</v>
      </c>
      <c r="J136" t="s">
        <v>2857</v>
      </c>
      <c r="L136" t="s">
        <v>821</v>
      </c>
    </row>
    <row r="137" spans="1:12" ht="13.2">
      <c r="A137" t="s">
        <v>1212</v>
      </c>
      <c r="B137" t="b">
        <v>0</v>
      </c>
      <c r="H137" t="s">
        <v>1062</v>
      </c>
      <c r="I137" t="s">
        <v>2855</v>
      </c>
      <c r="J137" t="s">
        <v>2857</v>
      </c>
      <c r="L137" t="s">
        <v>821</v>
      </c>
    </row>
    <row r="138" spans="1:12" ht="13.2">
      <c r="A138" t="s">
        <v>1213</v>
      </c>
      <c r="B138" t="b">
        <v>0</v>
      </c>
      <c r="H138" t="s">
        <v>1062</v>
      </c>
      <c r="I138" t="s">
        <v>2855</v>
      </c>
      <c r="J138" t="s">
        <v>2860</v>
      </c>
      <c r="L138" t="s">
        <v>821</v>
      </c>
    </row>
    <row r="139" spans="1:12" ht="13.2">
      <c r="A139" t="s">
        <v>1214</v>
      </c>
      <c r="B139" t="b">
        <v>0</v>
      </c>
      <c r="H139" t="s">
        <v>1062</v>
      </c>
      <c r="I139" t="s">
        <v>2855</v>
      </c>
      <c r="J139" t="s">
        <v>2860</v>
      </c>
      <c r="L139" t="s">
        <v>821</v>
      </c>
    </row>
    <row r="140" spans="1:12" ht="13.2">
      <c r="A140" t="s">
        <v>1215</v>
      </c>
      <c r="B140" t="b">
        <v>0</v>
      </c>
      <c r="H140" t="s">
        <v>1062</v>
      </c>
      <c r="I140" t="s">
        <v>2855</v>
      </c>
      <c r="J140" t="s">
        <v>2860</v>
      </c>
      <c r="L140" t="s">
        <v>821</v>
      </c>
    </row>
    <row r="141" spans="1:12" ht="13.2">
      <c r="A141" t="s">
        <v>1216</v>
      </c>
      <c r="B141" t="b">
        <v>0</v>
      </c>
      <c r="H141" t="s">
        <v>1062</v>
      </c>
      <c r="I141" t="s">
        <v>2855</v>
      </c>
      <c r="J141" t="s">
        <v>2860</v>
      </c>
      <c r="L141" t="s">
        <v>821</v>
      </c>
    </row>
    <row r="142" spans="1:12" ht="13.2">
      <c r="A142" t="s">
        <v>1217</v>
      </c>
      <c r="B142" t="b">
        <v>0</v>
      </c>
      <c r="H142" t="s">
        <v>1062</v>
      </c>
      <c r="I142" t="s">
        <v>2855</v>
      </c>
      <c r="J142" t="s">
        <v>2860</v>
      </c>
      <c r="L142" t="s">
        <v>821</v>
      </c>
    </row>
    <row r="143" spans="1:12" ht="13.2">
      <c r="A143" t="s">
        <v>1218</v>
      </c>
      <c r="B143" t="b">
        <v>0</v>
      </c>
      <c r="H143" t="s">
        <v>1062</v>
      </c>
      <c r="I143" t="s">
        <v>2855</v>
      </c>
      <c r="J143" t="s">
        <v>2860</v>
      </c>
      <c r="L143" t="s">
        <v>821</v>
      </c>
    </row>
    <row r="144" spans="1:12" ht="13.2">
      <c r="A144" t="s">
        <v>1219</v>
      </c>
      <c r="B144" t="b">
        <v>0</v>
      </c>
      <c r="H144" t="s">
        <v>1062</v>
      </c>
      <c r="I144" t="s">
        <v>2855</v>
      </c>
      <c r="J144" t="s">
        <v>2860</v>
      </c>
      <c r="L144" t="s">
        <v>821</v>
      </c>
    </row>
    <row r="145" spans="1:12" ht="13.2">
      <c r="A145" t="s">
        <v>1220</v>
      </c>
      <c r="B145" t="b">
        <v>0</v>
      </c>
      <c r="H145" t="s">
        <v>1062</v>
      </c>
      <c r="I145" t="s">
        <v>2855</v>
      </c>
      <c r="J145" t="s">
        <v>2860</v>
      </c>
      <c r="L145" t="s">
        <v>821</v>
      </c>
    </row>
    <row r="146" spans="1:12" ht="13.2">
      <c r="A146" t="s">
        <v>1221</v>
      </c>
      <c r="B146" t="b">
        <v>0</v>
      </c>
      <c r="H146" t="s">
        <v>1062</v>
      </c>
      <c r="I146" t="s">
        <v>2855</v>
      </c>
      <c r="J146" t="s">
        <v>2860</v>
      </c>
      <c r="L146" t="s">
        <v>821</v>
      </c>
    </row>
    <row r="147" spans="1:12" ht="13.2">
      <c r="A147" t="s">
        <v>1222</v>
      </c>
      <c r="B147" t="b">
        <v>0</v>
      </c>
      <c r="H147" t="s">
        <v>1062</v>
      </c>
      <c r="I147" t="s">
        <v>2855</v>
      </c>
      <c r="J147" t="s">
        <v>2860</v>
      </c>
      <c r="L147" t="s">
        <v>821</v>
      </c>
    </row>
    <row r="148" spans="1:12" ht="13.2">
      <c r="A148" t="s">
        <v>1223</v>
      </c>
      <c r="B148" t="b">
        <v>0</v>
      </c>
      <c r="H148" t="s">
        <v>1062</v>
      </c>
      <c r="I148" t="s">
        <v>2855</v>
      </c>
      <c r="J148" t="s">
        <v>2860</v>
      </c>
      <c r="L148" t="s">
        <v>821</v>
      </c>
    </row>
    <row r="149" spans="1:12" ht="13.2">
      <c r="A149" t="s">
        <v>1224</v>
      </c>
      <c r="B149" t="b">
        <v>0</v>
      </c>
      <c r="H149" t="s">
        <v>1062</v>
      </c>
      <c r="I149" t="s">
        <v>2855</v>
      </c>
      <c r="J149" t="s">
        <v>2860</v>
      </c>
      <c r="L149" t="s">
        <v>821</v>
      </c>
    </row>
    <row r="150" spans="1:12" ht="13.2">
      <c r="A150" t="s">
        <v>1225</v>
      </c>
      <c r="B150" t="b">
        <v>0</v>
      </c>
      <c r="H150" t="s">
        <v>1062</v>
      </c>
      <c r="I150" t="s">
        <v>2855</v>
      </c>
      <c r="J150" t="s">
        <v>2860</v>
      </c>
      <c r="L150" t="s">
        <v>821</v>
      </c>
    </row>
    <row r="151" spans="1:12" ht="13.2">
      <c r="A151" t="s">
        <v>1226</v>
      </c>
      <c r="B151" t="b">
        <v>0</v>
      </c>
      <c r="H151" t="s">
        <v>1062</v>
      </c>
      <c r="I151" t="s">
        <v>2855</v>
      </c>
      <c r="J151" t="s">
        <v>2860</v>
      </c>
      <c r="L151" t="s">
        <v>821</v>
      </c>
    </row>
    <row r="152" spans="1:12" ht="13.2">
      <c r="A152" t="s">
        <v>1227</v>
      </c>
      <c r="B152" t="b">
        <v>0</v>
      </c>
      <c r="H152" t="s">
        <v>1062</v>
      </c>
      <c r="I152" t="s">
        <v>2855</v>
      </c>
      <c r="J152" t="s">
        <v>2860</v>
      </c>
      <c r="L152" t="s">
        <v>821</v>
      </c>
    </row>
    <row r="153" spans="1:12" ht="13.2">
      <c r="A153" t="s">
        <v>1228</v>
      </c>
      <c r="B153" t="b">
        <v>0</v>
      </c>
      <c r="H153" t="s">
        <v>1062</v>
      </c>
      <c r="I153" t="s">
        <v>2855</v>
      </c>
      <c r="J153" t="s">
        <v>2860</v>
      </c>
      <c r="L153" t="s">
        <v>821</v>
      </c>
    </row>
    <row r="154" spans="1:12" ht="13.2">
      <c r="A154" t="s">
        <v>1229</v>
      </c>
      <c r="B154" t="b">
        <v>0</v>
      </c>
      <c r="H154" t="s">
        <v>1062</v>
      </c>
      <c r="I154" t="s">
        <v>2855</v>
      </c>
      <c r="J154" t="s">
        <v>2860</v>
      </c>
      <c r="L154" t="s">
        <v>821</v>
      </c>
    </row>
    <row r="155" spans="1:12" ht="13.2">
      <c r="A155" t="s">
        <v>1230</v>
      </c>
      <c r="B155" t="b">
        <v>0</v>
      </c>
      <c r="H155" t="s">
        <v>1062</v>
      </c>
      <c r="I155" t="s">
        <v>2855</v>
      </c>
      <c r="J155" t="s">
        <v>2860</v>
      </c>
      <c r="L155" t="s">
        <v>821</v>
      </c>
    </row>
    <row r="156" spans="1:12" ht="13.2">
      <c r="A156" t="s">
        <v>1231</v>
      </c>
      <c r="B156" t="b">
        <v>0</v>
      </c>
      <c r="H156" t="s">
        <v>1062</v>
      </c>
      <c r="I156" t="s">
        <v>2855</v>
      </c>
      <c r="J156" t="s">
        <v>2860</v>
      </c>
      <c r="L156" t="s">
        <v>821</v>
      </c>
    </row>
    <row r="157" spans="1:12" ht="13.2">
      <c r="A157" t="s">
        <v>1232</v>
      </c>
      <c r="B157" t="b">
        <v>0</v>
      </c>
      <c r="H157" t="s">
        <v>1062</v>
      </c>
      <c r="I157" t="s">
        <v>2855</v>
      </c>
      <c r="J157" t="s">
        <v>2860</v>
      </c>
      <c r="L157" t="s">
        <v>821</v>
      </c>
    </row>
    <row r="158" spans="1:12" ht="13.2">
      <c r="A158" t="s">
        <v>1233</v>
      </c>
      <c r="B158" t="b">
        <v>0</v>
      </c>
      <c r="H158" t="s">
        <v>1062</v>
      </c>
      <c r="I158" t="s">
        <v>2855</v>
      </c>
      <c r="J158" t="s">
        <v>2860</v>
      </c>
      <c r="L158" t="s">
        <v>821</v>
      </c>
    </row>
    <row r="159" spans="1:12" ht="13.2">
      <c r="A159" t="s">
        <v>1234</v>
      </c>
      <c r="B159" t="b">
        <v>0</v>
      </c>
      <c r="H159" t="s">
        <v>1062</v>
      </c>
      <c r="I159" t="s">
        <v>2855</v>
      </c>
      <c r="J159" t="s">
        <v>2860</v>
      </c>
      <c r="L159" t="s">
        <v>821</v>
      </c>
    </row>
    <row r="160" spans="1:12" ht="13.2">
      <c r="A160" t="s">
        <v>1235</v>
      </c>
      <c r="B160" t="b">
        <v>0</v>
      </c>
      <c r="H160" t="s">
        <v>1062</v>
      </c>
      <c r="I160" t="s">
        <v>2855</v>
      </c>
      <c r="J160" t="s">
        <v>2860</v>
      </c>
      <c r="L160" t="s">
        <v>821</v>
      </c>
    </row>
    <row r="161" spans="1:12" ht="13.2">
      <c r="A161" t="s">
        <v>1236</v>
      </c>
      <c r="B161" t="b">
        <v>0</v>
      </c>
      <c r="H161" t="s">
        <v>1062</v>
      </c>
      <c r="I161" t="s">
        <v>2855</v>
      </c>
      <c r="J161" t="s">
        <v>2860</v>
      </c>
      <c r="L161" t="s">
        <v>821</v>
      </c>
    </row>
    <row r="162" spans="1:12" ht="13.2">
      <c r="A162" t="s">
        <v>1237</v>
      </c>
      <c r="B162" t="b">
        <v>0</v>
      </c>
      <c r="H162" t="s">
        <v>1062</v>
      </c>
      <c r="I162" t="s">
        <v>2855</v>
      </c>
      <c r="J162" t="s">
        <v>2860</v>
      </c>
      <c r="K162" t="s">
        <v>2937</v>
      </c>
      <c r="L162" t="s">
        <v>821</v>
      </c>
    </row>
    <row r="163" spans="1:12" ht="13.2">
      <c r="A163" t="s">
        <v>1238</v>
      </c>
      <c r="B163" t="b">
        <v>0</v>
      </c>
      <c r="H163" t="s">
        <v>1062</v>
      </c>
      <c r="I163" t="s">
        <v>2855</v>
      </c>
      <c r="J163" t="s">
        <v>2860</v>
      </c>
      <c r="K163" t="s">
        <v>2937</v>
      </c>
      <c r="L163" t="s">
        <v>821</v>
      </c>
    </row>
    <row r="164" spans="1:12" ht="13.2">
      <c r="A164" t="s">
        <v>1239</v>
      </c>
      <c r="B164" t="b">
        <v>0</v>
      </c>
      <c r="H164" t="s">
        <v>1062</v>
      </c>
      <c r="I164" t="s">
        <v>2855</v>
      </c>
      <c r="J164" t="s">
        <v>2860</v>
      </c>
      <c r="K164" t="s">
        <v>2937</v>
      </c>
      <c r="L164" t="s">
        <v>821</v>
      </c>
    </row>
    <row r="165" spans="1:12" ht="13.2">
      <c r="A165" t="s">
        <v>1240</v>
      </c>
      <c r="B165" t="b">
        <v>0</v>
      </c>
      <c r="H165" t="s">
        <v>1062</v>
      </c>
      <c r="I165" t="s">
        <v>2855</v>
      </c>
      <c r="J165" t="s">
        <v>2860</v>
      </c>
      <c r="K165" t="s">
        <v>2937</v>
      </c>
      <c r="L165" t="s">
        <v>821</v>
      </c>
    </row>
    <row r="166" spans="1:12" ht="13.2">
      <c r="A166" t="s">
        <v>1241</v>
      </c>
      <c r="B166" t="b">
        <v>0</v>
      </c>
      <c r="H166" t="s">
        <v>1062</v>
      </c>
      <c r="I166" t="s">
        <v>2855</v>
      </c>
      <c r="J166" t="s">
        <v>2860</v>
      </c>
      <c r="K166" t="s">
        <v>2937</v>
      </c>
      <c r="L166" t="s">
        <v>821</v>
      </c>
    </row>
    <row r="167" spans="1:12" ht="13.2">
      <c r="A167" t="s">
        <v>1242</v>
      </c>
      <c r="B167" t="b">
        <v>0</v>
      </c>
      <c r="H167" t="s">
        <v>1062</v>
      </c>
      <c r="I167" t="s">
        <v>2855</v>
      </c>
      <c r="J167" t="s">
        <v>2860</v>
      </c>
      <c r="K167" t="s">
        <v>2937</v>
      </c>
      <c r="L167" t="s">
        <v>821</v>
      </c>
    </row>
    <row r="168" spans="1:12" ht="13.2">
      <c r="A168" t="s">
        <v>1243</v>
      </c>
      <c r="B168" t="b">
        <v>0</v>
      </c>
      <c r="H168" t="s">
        <v>1062</v>
      </c>
      <c r="I168" t="s">
        <v>2855</v>
      </c>
      <c r="J168" t="s">
        <v>2860</v>
      </c>
      <c r="K168" t="s">
        <v>2937</v>
      </c>
      <c r="L168" t="s">
        <v>821</v>
      </c>
    </row>
    <row r="169" spans="1:12" ht="13.2">
      <c r="A169" t="s">
        <v>1244</v>
      </c>
      <c r="B169" t="b">
        <v>0</v>
      </c>
      <c r="H169" t="s">
        <v>1062</v>
      </c>
      <c r="I169" t="s">
        <v>2855</v>
      </c>
      <c r="J169" t="s">
        <v>2860</v>
      </c>
      <c r="K169" t="s">
        <v>2937</v>
      </c>
      <c r="L169" t="s">
        <v>821</v>
      </c>
    </row>
    <row r="170" spans="1:12" ht="13.2">
      <c r="A170" t="s">
        <v>1245</v>
      </c>
      <c r="B170" t="b">
        <v>0</v>
      </c>
      <c r="H170" t="s">
        <v>1062</v>
      </c>
      <c r="I170" t="s">
        <v>2855</v>
      </c>
      <c r="J170" t="s">
        <v>2860</v>
      </c>
      <c r="K170" t="s">
        <v>2937</v>
      </c>
      <c r="L170" t="s">
        <v>821</v>
      </c>
    </row>
    <row r="171" spans="1:12" ht="13.2">
      <c r="A171" t="s">
        <v>1246</v>
      </c>
      <c r="B171" t="b">
        <v>0</v>
      </c>
      <c r="H171" t="s">
        <v>1062</v>
      </c>
      <c r="I171" t="s">
        <v>2855</v>
      </c>
      <c r="J171" t="s">
        <v>2860</v>
      </c>
      <c r="K171" t="s">
        <v>2937</v>
      </c>
      <c r="L171" t="s">
        <v>821</v>
      </c>
    </row>
    <row r="172" spans="1:12" ht="13.2">
      <c r="A172" t="s">
        <v>1247</v>
      </c>
      <c r="B172" t="b">
        <v>0</v>
      </c>
      <c r="H172" t="s">
        <v>1062</v>
      </c>
      <c r="I172" t="s">
        <v>2855</v>
      </c>
      <c r="J172" t="s">
        <v>2860</v>
      </c>
      <c r="K172" t="s">
        <v>2937</v>
      </c>
      <c r="L172" t="s">
        <v>821</v>
      </c>
    </row>
    <row r="173" spans="1:12" ht="13.2">
      <c r="A173" t="s">
        <v>1248</v>
      </c>
      <c r="B173" t="b">
        <v>0</v>
      </c>
      <c r="H173" t="s">
        <v>1062</v>
      </c>
      <c r="I173" t="s">
        <v>2855</v>
      </c>
      <c r="J173" t="s">
        <v>2860</v>
      </c>
      <c r="K173" t="s">
        <v>2937</v>
      </c>
      <c r="L173" t="s">
        <v>821</v>
      </c>
    </row>
    <row r="174" spans="1:12" ht="13.2">
      <c r="A174" t="s">
        <v>1249</v>
      </c>
      <c r="B174" t="b">
        <v>0</v>
      </c>
      <c r="H174" t="s">
        <v>1062</v>
      </c>
      <c r="I174" t="s">
        <v>2855</v>
      </c>
      <c r="J174" t="s">
        <v>2860</v>
      </c>
      <c r="K174" t="s">
        <v>2937</v>
      </c>
      <c r="L174" t="s">
        <v>821</v>
      </c>
    </row>
    <row r="175" spans="1:12" ht="13.2">
      <c r="A175" t="s">
        <v>1250</v>
      </c>
      <c r="B175" t="b">
        <v>0</v>
      </c>
      <c r="H175" t="s">
        <v>1062</v>
      </c>
      <c r="I175" t="s">
        <v>2855</v>
      </c>
      <c r="J175" t="s">
        <v>2860</v>
      </c>
      <c r="K175" t="s">
        <v>2937</v>
      </c>
      <c r="L175" t="s">
        <v>821</v>
      </c>
    </row>
    <row r="176" spans="1:12" ht="13.2">
      <c r="A176" t="s">
        <v>1251</v>
      </c>
      <c r="B176" t="b">
        <v>0</v>
      </c>
      <c r="H176" t="s">
        <v>1062</v>
      </c>
      <c r="I176" t="s">
        <v>2855</v>
      </c>
      <c r="J176" t="s">
        <v>2860</v>
      </c>
      <c r="K176" t="s">
        <v>2937</v>
      </c>
      <c r="L176" t="s">
        <v>821</v>
      </c>
    </row>
    <row r="177" spans="1:12" ht="13.2">
      <c r="A177" t="s">
        <v>1252</v>
      </c>
      <c r="B177" t="b">
        <v>0</v>
      </c>
      <c r="H177" t="s">
        <v>1062</v>
      </c>
      <c r="I177" t="s">
        <v>2855</v>
      </c>
      <c r="J177" t="s">
        <v>2860</v>
      </c>
      <c r="K177" t="s">
        <v>2937</v>
      </c>
      <c r="L177" t="s">
        <v>821</v>
      </c>
    </row>
    <row r="178" spans="1:12" ht="13.2">
      <c r="A178" t="s">
        <v>1253</v>
      </c>
      <c r="B178" t="b">
        <v>0</v>
      </c>
      <c r="H178" t="s">
        <v>1062</v>
      </c>
      <c r="I178" t="s">
        <v>2855</v>
      </c>
      <c r="J178" t="s">
        <v>2860</v>
      </c>
      <c r="K178" t="s">
        <v>2937</v>
      </c>
      <c r="L178" t="s">
        <v>821</v>
      </c>
    </row>
    <row r="179" spans="1:12" ht="13.2">
      <c r="A179" t="s">
        <v>1254</v>
      </c>
      <c r="B179" t="b">
        <v>0</v>
      </c>
      <c r="H179" t="s">
        <v>1062</v>
      </c>
      <c r="I179" t="s">
        <v>2855</v>
      </c>
      <c r="J179" t="s">
        <v>2860</v>
      </c>
      <c r="K179" t="s">
        <v>2937</v>
      </c>
      <c r="L179" t="s">
        <v>821</v>
      </c>
    </row>
    <row r="180" spans="1:12" ht="13.2">
      <c r="A180" t="s">
        <v>1255</v>
      </c>
      <c r="B180" t="b">
        <v>0</v>
      </c>
      <c r="H180" t="s">
        <v>1062</v>
      </c>
      <c r="I180" t="s">
        <v>2855</v>
      </c>
      <c r="J180" t="s">
        <v>2860</v>
      </c>
      <c r="K180" t="s">
        <v>2937</v>
      </c>
      <c r="L180" t="s">
        <v>821</v>
      </c>
    </row>
    <row r="181" spans="1:12" ht="13.2">
      <c r="A181" t="s">
        <v>1256</v>
      </c>
      <c r="B181" t="b">
        <v>0</v>
      </c>
      <c r="H181" t="s">
        <v>1062</v>
      </c>
      <c r="I181" t="s">
        <v>2855</v>
      </c>
      <c r="J181" t="s">
        <v>2860</v>
      </c>
      <c r="K181" t="s">
        <v>2937</v>
      </c>
      <c r="L181" t="s">
        <v>821</v>
      </c>
    </row>
    <row r="182" spans="1:12" ht="13.2">
      <c r="A182" t="s">
        <v>1257</v>
      </c>
      <c r="B182" t="b">
        <v>0</v>
      </c>
      <c r="H182" t="s">
        <v>1062</v>
      </c>
      <c r="I182" t="s">
        <v>2855</v>
      </c>
      <c r="J182" t="s">
        <v>2860</v>
      </c>
      <c r="K182" t="s">
        <v>2937</v>
      </c>
      <c r="L182" t="s">
        <v>821</v>
      </c>
    </row>
    <row r="183" spans="1:12" ht="13.2">
      <c r="A183" t="s">
        <v>1258</v>
      </c>
      <c r="B183" t="b">
        <v>0</v>
      </c>
      <c r="H183" t="s">
        <v>1062</v>
      </c>
      <c r="I183" t="s">
        <v>2855</v>
      </c>
      <c r="J183" t="s">
        <v>2860</v>
      </c>
      <c r="K183" t="s">
        <v>2937</v>
      </c>
      <c r="L183" t="s">
        <v>821</v>
      </c>
    </row>
    <row r="184" spans="1:12" ht="13.2">
      <c r="A184" t="s">
        <v>1259</v>
      </c>
      <c r="B184" t="b">
        <v>0</v>
      </c>
      <c r="H184" t="s">
        <v>1062</v>
      </c>
      <c r="I184" t="s">
        <v>2855</v>
      </c>
      <c r="J184" t="s">
        <v>2860</v>
      </c>
      <c r="K184" t="s">
        <v>2937</v>
      </c>
      <c r="L184" t="s">
        <v>821</v>
      </c>
    </row>
    <row r="185" spans="1:12" ht="13.2">
      <c r="A185" t="s">
        <v>1260</v>
      </c>
      <c r="B185" t="b">
        <v>0</v>
      </c>
      <c r="H185" t="s">
        <v>1062</v>
      </c>
      <c r="I185" t="s">
        <v>2855</v>
      </c>
      <c r="J185" t="s">
        <v>2860</v>
      </c>
      <c r="K185" t="s">
        <v>2937</v>
      </c>
      <c r="L185" t="s">
        <v>821</v>
      </c>
    </row>
    <row r="186" spans="1:12" ht="13.2">
      <c r="A186" t="s">
        <v>2947</v>
      </c>
      <c r="B186" t="b">
        <v>0</v>
      </c>
      <c r="H186" t="s">
        <v>1062</v>
      </c>
      <c r="I186" t="s">
        <v>2855</v>
      </c>
      <c r="J186" t="s">
        <v>2860</v>
      </c>
      <c r="K186" t="s">
        <v>2937</v>
      </c>
      <c r="L186" t="s">
        <v>821</v>
      </c>
    </row>
    <row r="187" spans="1:12" ht="13.2">
      <c r="A187" t="s">
        <v>1261</v>
      </c>
      <c r="B187" t="b">
        <v>0</v>
      </c>
      <c r="H187" t="s">
        <v>1062</v>
      </c>
      <c r="I187" t="s">
        <v>2855</v>
      </c>
      <c r="J187" t="s">
        <v>2860</v>
      </c>
      <c r="K187" t="s">
        <v>2937</v>
      </c>
      <c r="L187" t="s">
        <v>821</v>
      </c>
    </row>
    <row r="188" spans="1:12" ht="13.2">
      <c r="A188" t="s">
        <v>1262</v>
      </c>
      <c r="B188" t="b">
        <v>0</v>
      </c>
      <c r="H188" t="s">
        <v>1062</v>
      </c>
      <c r="I188" t="s">
        <v>2855</v>
      </c>
      <c r="J188" t="s">
        <v>2860</v>
      </c>
      <c r="K188" t="s">
        <v>2937</v>
      </c>
      <c r="L188" t="s">
        <v>821</v>
      </c>
    </row>
    <row r="189" spans="1:12" ht="13.2">
      <c r="A189" t="s">
        <v>1263</v>
      </c>
      <c r="B189" t="b">
        <v>0</v>
      </c>
      <c r="H189" t="s">
        <v>1062</v>
      </c>
      <c r="I189" t="s">
        <v>2855</v>
      </c>
      <c r="J189" t="s">
        <v>2860</v>
      </c>
      <c r="K189" t="s">
        <v>2937</v>
      </c>
      <c r="L189" t="s">
        <v>821</v>
      </c>
    </row>
    <row r="190" spans="1:12" ht="13.2">
      <c r="A190" t="s">
        <v>1264</v>
      </c>
      <c r="B190" t="b">
        <v>0</v>
      </c>
      <c r="H190" t="s">
        <v>1062</v>
      </c>
      <c r="I190" t="s">
        <v>2855</v>
      </c>
      <c r="J190" t="s">
        <v>2860</v>
      </c>
      <c r="K190" t="s">
        <v>2937</v>
      </c>
      <c r="L190" t="s">
        <v>821</v>
      </c>
    </row>
    <row r="191" spans="1:12" ht="13.2">
      <c r="A191" t="s">
        <v>1265</v>
      </c>
      <c r="B191" t="b">
        <v>0</v>
      </c>
      <c r="H191" t="s">
        <v>1062</v>
      </c>
      <c r="I191" t="s">
        <v>2855</v>
      </c>
      <c r="J191" t="s">
        <v>2860</v>
      </c>
      <c r="K191" t="s">
        <v>2937</v>
      </c>
      <c r="L191" t="s">
        <v>821</v>
      </c>
    </row>
    <row r="192" spans="1:12" ht="13.2">
      <c r="A192" t="s">
        <v>1266</v>
      </c>
      <c r="B192" t="b">
        <v>0</v>
      </c>
      <c r="H192" t="s">
        <v>1062</v>
      </c>
      <c r="I192" t="s">
        <v>2855</v>
      </c>
      <c r="J192" t="s">
        <v>2860</v>
      </c>
      <c r="K192" t="s">
        <v>2937</v>
      </c>
      <c r="L192" t="s">
        <v>821</v>
      </c>
    </row>
    <row r="193" spans="1:12" ht="13.2">
      <c r="A193" t="s">
        <v>1267</v>
      </c>
      <c r="B193" t="b">
        <v>0</v>
      </c>
      <c r="H193" t="s">
        <v>1062</v>
      </c>
      <c r="I193" t="s">
        <v>2855</v>
      </c>
      <c r="J193" t="s">
        <v>2860</v>
      </c>
      <c r="K193" t="s">
        <v>2937</v>
      </c>
      <c r="L193" t="s">
        <v>821</v>
      </c>
    </row>
    <row r="194" spans="1:12" ht="13.2">
      <c r="A194" t="s">
        <v>1172</v>
      </c>
      <c r="B194" t="b">
        <v>0</v>
      </c>
      <c r="H194" t="s">
        <v>1062</v>
      </c>
      <c r="I194" t="s">
        <v>2855</v>
      </c>
      <c r="J194" t="s">
        <v>2860</v>
      </c>
      <c r="K194" t="s">
        <v>2937</v>
      </c>
      <c r="L194" t="s">
        <v>821</v>
      </c>
    </row>
    <row r="195" spans="1:12" ht="13.2">
      <c r="A195" t="s">
        <v>1268</v>
      </c>
      <c r="B195" t="b">
        <v>0</v>
      </c>
      <c r="H195" t="s">
        <v>1062</v>
      </c>
      <c r="I195" t="s">
        <v>2855</v>
      </c>
      <c r="J195" t="s">
        <v>2860</v>
      </c>
      <c r="K195" t="s">
        <v>2937</v>
      </c>
      <c r="L195" t="s">
        <v>821</v>
      </c>
    </row>
    <row r="196" spans="1:12" ht="13.2">
      <c r="A196" t="s">
        <v>1269</v>
      </c>
      <c r="B196" t="b">
        <v>0</v>
      </c>
      <c r="H196" t="s">
        <v>1062</v>
      </c>
      <c r="I196" t="s">
        <v>2855</v>
      </c>
      <c r="J196" t="s">
        <v>2860</v>
      </c>
      <c r="K196" t="s">
        <v>2937</v>
      </c>
      <c r="L196" t="s">
        <v>821</v>
      </c>
    </row>
    <row r="197" spans="1:12" ht="13.2">
      <c r="A197" t="s">
        <v>1270</v>
      </c>
      <c r="B197" t="b">
        <v>0</v>
      </c>
      <c r="H197" t="s">
        <v>1062</v>
      </c>
      <c r="I197" t="s">
        <v>2855</v>
      </c>
      <c r="J197" t="s">
        <v>2861</v>
      </c>
      <c r="L197" t="s">
        <v>821</v>
      </c>
    </row>
    <row r="198" spans="1:12" ht="13.2">
      <c r="A198" t="s">
        <v>1271</v>
      </c>
      <c r="B198" t="b">
        <v>0</v>
      </c>
      <c r="H198" t="s">
        <v>1062</v>
      </c>
      <c r="I198" t="s">
        <v>2855</v>
      </c>
      <c r="J198" t="s">
        <v>2861</v>
      </c>
      <c r="L198" t="s">
        <v>821</v>
      </c>
    </row>
    <row r="199" spans="1:12" ht="13.2">
      <c r="A199" t="s">
        <v>1272</v>
      </c>
      <c r="B199" t="b">
        <v>0</v>
      </c>
      <c r="H199" t="s">
        <v>1062</v>
      </c>
      <c r="I199" t="s">
        <v>2855</v>
      </c>
      <c r="J199" t="s">
        <v>2861</v>
      </c>
      <c r="L199" t="s">
        <v>821</v>
      </c>
    </row>
    <row r="200" spans="1:12" ht="13.2">
      <c r="A200" t="s">
        <v>1273</v>
      </c>
      <c r="B200" t="b">
        <v>0</v>
      </c>
      <c r="H200" t="s">
        <v>1062</v>
      </c>
      <c r="I200" t="s">
        <v>2855</v>
      </c>
      <c r="J200" t="s">
        <v>2861</v>
      </c>
      <c r="L200" t="s">
        <v>821</v>
      </c>
    </row>
    <row r="201" spans="1:12" ht="13.2">
      <c r="A201" t="s">
        <v>1274</v>
      </c>
      <c r="B201" t="b">
        <v>0</v>
      </c>
      <c r="H201" t="s">
        <v>1062</v>
      </c>
      <c r="I201" t="s">
        <v>2855</v>
      </c>
      <c r="J201" t="s">
        <v>2861</v>
      </c>
      <c r="L201" t="s">
        <v>821</v>
      </c>
    </row>
    <row r="202" spans="1:12" ht="13.2">
      <c r="A202" t="s">
        <v>1275</v>
      </c>
      <c r="B202" t="b">
        <v>0</v>
      </c>
      <c r="H202" t="s">
        <v>1062</v>
      </c>
      <c r="I202" t="s">
        <v>2855</v>
      </c>
      <c r="J202" t="s">
        <v>2861</v>
      </c>
      <c r="L202" t="s">
        <v>821</v>
      </c>
    </row>
    <row r="203" spans="1:12" ht="13.2">
      <c r="A203" t="s">
        <v>1276</v>
      </c>
      <c r="B203" t="b">
        <v>0</v>
      </c>
      <c r="H203" t="s">
        <v>1062</v>
      </c>
      <c r="I203" t="s">
        <v>2855</v>
      </c>
      <c r="J203" t="s">
        <v>2861</v>
      </c>
      <c r="L203" t="s">
        <v>821</v>
      </c>
    </row>
    <row r="204" spans="1:12" ht="13.2">
      <c r="A204" t="s">
        <v>1277</v>
      </c>
      <c r="B204" t="b">
        <v>0</v>
      </c>
      <c r="H204" t="s">
        <v>1062</v>
      </c>
      <c r="I204" t="s">
        <v>2855</v>
      </c>
      <c r="J204" t="s">
        <v>2861</v>
      </c>
      <c r="L204" t="s">
        <v>821</v>
      </c>
    </row>
    <row r="205" spans="1:12" ht="13.2">
      <c r="A205" t="s">
        <v>1278</v>
      </c>
      <c r="B205" t="b">
        <v>0</v>
      </c>
      <c r="H205" t="s">
        <v>1062</v>
      </c>
      <c r="I205" t="s">
        <v>2855</v>
      </c>
      <c r="J205" t="s">
        <v>2861</v>
      </c>
      <c r="L205" t="s">
        <v>821</v>
      </c>
    </row>
    <row r="206" spans="1:12" ht="13.2">
      <c r="A206" t="s">
        <v>1279</v>
      </c>
      <c r="B206" t="b">
        <v>0</v>
      </c>
      <c r="H206" t="s">
        <v>1062</v>
      </c>
      <c r="I206" t="s">
        <v>2855</v>
      </c>
      <c r="J206" t="s">
        <v>2861</v>
      </c>
      <c r="L206" t="s">
        <v>821</v>
      </c>
    </row>
    <row r="207" spans="1:12" ht="13.2">
      <c r="A207" t="s">
        <v>1280</v>
      </c>
      <c r="B207" t="b">
        <v>0</v>
      </c>
      <c r="H207" t="s">
        <v>1062</v>
      </c>
      <c r="I207" t="s">
        <v>2855</v>
      </c>
      <c r="J207" t="s">
        <v>2861</v>
      </c>
      <c r="L207" t="s">
        <v>821</v>
      </c>
    </row>
    <row r="208" spans="1:12" ht="13.2">
      <c r="A208" t="s">
        <v>1281</v>
      </c>
      <c r="B208" t="b">
        <v>0</v>
      </c>
      <c r="H208" t="s">
        <v>1062</v>
      </c>
      <c r="I208" t="s">
        <v>2855</v>
      </c>
      <c r="J208" t="s">
        <v>2872</v>
      </c>
      <c r="L208" t="s">
        <v>818</v>
      </c>
    </row>
    <row r="209" spans="1:12" ht="13.2">
      <c r="A209" t="s">
        <v>1282</v>
      </c>
      <c r="B209" t="b">
        <v>0</v>
      </c>
      <c r="H209" t="s">
        <v>1062</v>
      </c>
      <c r="I209" t="s">
        <v>2855</v>
      </c>
      <c r="J209" t="s">
        <v>2872</v>
      </c>
      <c r="L209" t="s">
        <v>818</v>
      </c>
    </row>
    <row r="210" spans="1:12" ht="13.2">
      <c r="A210" t="s">
        <v>1283</v>
      </c>
      <c r="B210" t="b">
        <v>0</v>
      </c>
      <c r="H210" t="s">
        <v>1062</v>
      </c>
      <c r="I210" t="s">
        <v>2855</v>
      </c>
      <c r="J210" t="s">
        <v>2872</v>
      </c>
      <c r="L210" t="s">
        <v>818</v>
      </c>
    </row>
    <row r="211" spans="1:12" ht="13.2">
      <c r="A211" t="s">
        <v>1284</v>
      </c>
      <c r="B211" t="b">
        <v>0</v>
      </c>
      <c r="H211" t="s">
        <v>1062</v>
      </c>
      <c r="I211" t="s">
        <v>2855</v>
      </c>
      <c r="J211" t="s">
        <v>2872</v>
      </c>
      <c r="L211" t="s">
        <v>818</v>
      </c>
    </row>
    <row r="212" spans="1:12" ht="13.2">
      <c r="A212" t="s">
        <v>1285</v>
      </c>
      <c r="B212" t="b">
        <v>0</v>
      </c>
      <c r="H212" t="s">
        <v>1062</v>
      </c>
      <c r="I212" t="s">
        <v>2855</v>
      </c>
      <c r="J212" t="s">
        <v>2872</v>
      </c>
      <c r="L212" t="s">
        <v>818</v>
      </c>
    </row>
    <row r="213" spans="1:12" ht="13.2">
      <c r="A213" t="s">
        <v>1285</v>
      </c>
      <c r="B213" t="b">
        <v>0</v>
      </c>
      <c r="H213" t="s">
        <v>1062</v>
      </c>
      <c r="I213" t="s">
        <v>2855</v>
      </c>
      <c r="J213" t="s">
        <v>2872</v>
      </c>
      <c r="L213" t="s">
        <v>818</v>
      </c>
    </row>
    <row r="214" spans="1:12" ht="13.2">
      <c r="A214" t="s">
        <v>1286</v>
      </c>
      <c r="B214" t="b">
        <v>0</v>
      </c>
      <c r="H214" t="s">
        <v>1062</v>
      </c>
      <c r="I214" t="s">
        <v>2855</v>
      </c>
      <c r="J214" t="s">
        <v>2872</v>
      </c>
      <c r="L214" t="s">
        <v>818</v>
      </c>
    </row>
    <row r="215" spans="1:12" ht="13.2">
      <c r="A215" t="s">
        <v>1287</v>
      </c>
      <c r="B215" t="b">
        <v>0</v>
      </c>
      <c r="H215" t="s">
        <v>1062</v>
      </c>
      <c r="I215" t="s">
        <v>2855</v>
      </c>
      <c r="J215" t="s">
        <v>2872</v>
      </c>
      <c r="L215" t="s">
        <v>818</v>
      </c>
    </row>
    <row r="216" spans="1:12" ht="13.2">
      <c r="A216" t="s">
        <v>1288</v>
      </c>
      <c r="B216" t="b">
        <v>0</v>
      </c>
      <c r="H216" t="s">
        <v>1062</v>
      </c>
      <c r="I216" t="s">
        <v>2855</v>
      </c>
      <c r="J216" t="s">
        <v>2872</v>
      </c>
      <c r="L216" t="s">
        <v>818</v>
      </c>
    </row>
    <row r="217" spans="1:12" ht="13.2">
      <c r="A217" t="s">
        <v>1289</v>
      </c>
      <c r="B217" t="b">
        <v>0</v>
      </c>
      <c r="H217" t="s">
        <v>1062</v>
      </c>
      <c r="I217" t="s">
        <v>2855</v>
      </c>
      <c r="J217" t="s">
        <v>2872</v>
      </c>
      <c r="L217" t="s">
        <v>818</v>
      </c>
    </row>
    <row r="218" spans="1:12" ht="13.2">
      <c r="A218" t="s">
        <v>1290</v>
      </c>
      <c r="B218" t="b">
        <v>0</v>
      </c>
      <c r="H218" t="s">
        <v>1062</v>
      </c>
      <c r="I218" t="s">
        <v>2855</v>
      </c>
      <c r="J218" t="s">
        <v>2872</v>
      </c>
      <c r="L218" t="s">
        <v>818</v>
      </c>
    </row>
    <row r="219" spans="1:12" ht="13.2">
      <c r="A219" t="s">
        <v>1291</v>
      </c>
      <c r="B219" t="b">
        <v>0</v>
      </c>
      <c r="H219" t="s">
        <v>1062</v>
      </c>
      <c r="I219" t="s">
        <v>2855</v>
      </c>
      <c r="J219" t="s">
        <v>2872</v>
      </c>
      <c r="L219" t="s">
        <v>818</v>
      </c>
    </row>
    <row r="220" spans="1:12" ht="13.2">
      <c r="A220" t="s">
        <v>1292</v>
      </c>
      <c r="B220" t="b">
        <v>0</v>
      </c>
      <c r="H220" t="s">
        <v>1062</v>
      </c>
      <c r="I220" t="s">
        <v>2855</v>
      </c>
      <c r="J220" t="s">
        <v>2872</v>
      </c>
      <c r="L220" t="s">
        <v>818</v>
      </c>
    </row>
    <row r="221" spans="1:12" ht="13.2">
      <c r="A221" t="s">
        <v>1293</v>
      </c>
      <c r="B221" t="b">
        <v>0</v>
      </c>
      <c r="H221" t="s">
        <v>1062</v>
      </c>
      <c r="I221" t="s">
        <v>2855</v>
      </c>
      <c r="J221" t="s">
        <v>2872</v>
      </c>
      <c r="L221" t="s">
        <v>818</v>
      </c>
    </row>
    <row r="222" spans="1:12" ht="13.2">
      <c r="A222" t="s">
        <v>1294</v>
      </c>
      <c r="B222" t="b">
        <v>0</v>
      </c>
      <c r="H222" t="s">
        <v>1062</v>
      </c>
      <c r="I222" t="s">
        <v>2855</v>
      </c>
      <c r="J222" t="s">
        <v>2872</v>
      </c>
      <c r="L222" t="s">
        <v>818</v>
      </c>
    </row>
    <row r="223" spans="1:12" ht="13.2">
      <c r="A223" t="s">
        <v>1295</v>
      </c>
      <c r="B223" t="b">
        <v>0</v>
      </c>
      <c r="H223" t="s">
        <v>1062</v>
      </c>
      <c r="I223" t="s">
        <v>2855</v>
      </c>
      <c r="J223" t="s">
        <v>2872</v>
      </c>
      <c r="L223" t="s">
        <v>818</v>
      </c>
    </row>
    <row r="224" spans="1:12" ht="13.2">
      <c r="A224" t="s">
        <v>1296</v>
      </c>
      <c r="B224" t="b">
        <v>0</v>
      </c>
      <c r="H224" t="s">
        <v>1062</v>
      </c>
      <c r="I224" t="s">
        <v>2855</v>
      </c>
      <c r="J224" t="s">
        <v>2861</v>
      </c>
      <c r="L224" t="s">
        <v>818</v>
      </c>
    </row>
    <row r="225" spans="1:12" ht="13.2">
      <c r="A225" t="s">
        <v>1297</v>
      </c>
      <c r="B225" t="b">
        <v>0</v>
      </c>
      <c r="H225" t="s">
        <v>1062</v>
      </c>
      <c r="I225" t="s">
        <v>2855</v>
      </c>
      <c r="J225" t="s">
        <v>2861</v>
      </c>
      <c r="L225" t="s">
        <v>818</v>
      </c>
    </row>
    <row r="226" spans="1:12" ht="13.2">
      <c r="A226" t="s">
        <v>1298</v>
      </c>
      <c r="B226" t="b">
        <v>0</v>
      </c>
      <c r="H226" t="s">
        <v>1062</v>
      </c>
      <c r="I226" t="s">
        <v>2855</v>
      </c>
      <c r="J226" t="s">
        <v>2861</v>
      </c>
      <c r="L226" t="s">
        <v>818</v>
      </c>
    </row>
    <row r="227" spans="1:12" ht="13.2">
      <c r="A227" t="s">
        <v>1299</v>
      </c>
      <c r="B227" t="b">
        <v>0</v>
      </c>
      <c r="H227" t="s">
        <v>1062</v>
      </c>
      <c r="I227" t="s">
        <v>2855</v>
      </c>
      <c r="J227" t="s">
        <v>2861</v>
      </c>
      <c r="L227" t="s">
        <v>818</v>
      </c>
    </row>
    <row r="228" spans="1:12" ht="13.2">
      <c r="A228" t="s">
        <v>1300</v>
      </c>
      <c r="B228" t="b">
        <v>0</v>
      </c>
      <c r="H228" t="s">
        <v>1062</v>
      </c>
      <c r="I228" t="s">
        <v>2855</v>
      </c>
      <c r="J228" t="s">
        <v>2861</v>
      </c>
      <c r="L228" t="s">
        <v>818</v>
      </c>
    </row>
    <row r="229" spans="1:12" ht="13.2">
      <c r="A229" t="s">
        <v>1301</v>
      </c>
      <c r="B229" t="b">
        <v>0</v>
      </c>
      <c r="H229" t="s">
        <v>1062</v>
      </c>
      <c r="I229" t="s">
        <v>2855</v>
      </c>
      <c r="J229" t="s">
        <v>2861</v>
      </c>
      <c r="L229" t="s">
        <v>818</v>
      </c>
    </row>
    <row r="230" spans="1:12" ht="13.2">
      <c r="A230" t="s">
        <v>1302</v>
      </c>
      <c r="B230" t="b">
        <v>0</v>
      </c>
      <c r="H230" t="s">
        <v>1062</v>
      </c>
      <c r="I230" t="s">
        <v>2855</v>
      </c>
      <c r="J230" t="s">
        <v>2861</v>
      </c>
      <c r="L230" t="s">
        <v>818</v>
      </c>
    </row>
    <row r="231" spans="1:12" ht="13.2">
      <c r="A231" t="s">
        <v>1303</v>
      </c>
      <c r="B231" t="b">
        <v>0</v>
      </c>
      <c r="H231" t="s">
        <v>1062</v>
      </c>
      <c r="I231" t="s">
        <v>2855</v>
      </c>
      <c r="J231" t="s">
        <v>2861</v>
      </c>
      <c r="L231" t="s">
        <v>818</v>
      </c>
    </row>
    <row r="232" spans="1:12" ht="13.2">
      <c r="A232" t="s">
        <v>1304</v>
      </c>
      <c r="B232" t="b">
        <v>0</v>
      </c>
      <c r="H232" t="s">
        <v>1062</v>
      </c>
      <c r="I232" t="s">
        <v>2855</v>
      </c>
      <c r="J232" t="s">
        <v>2861</v>
      </c>
      <c r="L232" t="s">
        <v>818</v>
      </c>
    </row>
    <row r="233" spans="1:12" ht="13.2">
      <c r="A233" t="s">
        <v>1305</v>
      </c>
      <c r="B233" t="b">
        <v>0</v>
      </c>
      <c r="H233" t="s">
        <v>1062</v>
      </c>
      <c r="I233" t="s">
        <v>2855</v>
      </c>
      <c r="J233" t="s">
        <v>2861</v>
      </c>
      <c r="L233" t="s">
        <v>818</v>
      </c>
    </row>
    <row r="234" spans="1:12" ht="13.2">
      <c r="A234" t="s">
        <v>1306</v>
      </c>
      <c r="B234" t="b">
        <v>0</v>
      </c>
      <c r="H234" t="s">
        <v>1062</v>
      </c>
      <c r="I234" t="s">
        <v>2855</v>
      </c>
      <c r="J234" t="s">
        <v>2861</v>
      </c>
      <c r="L234" t="s">
        <v>818</v>
      </c>
    </row>
    <row r="235" spans="1:12" ht="13.2">
      <c r="A235" t="s">
        <v>1307</v>
      </c>
      <c r="B235" t="b">
        <v>0</v>
      </c>
      <c r="H235" t="s">
        <v>1062</v>
      </c>
      <c r="I235" t="s">
        <v>2855</v>
      </c>
      <c r="J235" t="s">
        <v>2861</v>
      </c>
      <c r="L235" t="s">
        <v>818</v>
      </c>
    </row>
    <row r="236" spans="1:12" ht="13.2">
      <c r="A236" t="s">
        <v>1308</v>
      </c>
      <c r="B236" t="b">
        <v>0</v>
      </c>
      <c r="H236" t="s">
        <v>1062</v>
      </c>
      <c r="I236" t="s">
        <v>2855</v>
      </c>
      <c r="J236" t="s">
        <v>2861</v>
      </c>
      <c r="L236" t="s">
        <v>818</v>
      </c>
    </row>
    <row r="237" spans="1:12" ht="13.2">
      <c r="A237" t="s">
        <v>1309</v>
      </c>
      <c r="B237" t="b">
        <v>0</v>
      </c>
      <c r="H237" t="s">
        <v>1062</v>
      </c>
      <c r="I237" t="s">
        <v>2855</v>
      </c>
      <c r="J237" t="s">
        <v>2861</v>
      </c>
      <c r="L237" t="s">
        <v>818</v>
      </c>
    </row>
    <row r="238" spans="1:12" ht="13.2">
      <c r="A238" t="s">
        <v>1310</v>
      </c>
      <c r="B238" t="b">
        <v>0</v>
      </c>
      <c r="H238" t="s">
        <v>1062</v>
      </c>
      <c r="I238" t="s">
        <v>2855</v>
      </c>
      <c r="J238" t="s">
        <v>2861</v>
      </c>
      <c r="L238" t="s">
        <v>818</v>
      </c>
    </row>
    <row r="239" spans="1:12" ht="13.2">
      <c r="A239" t="s">
        <v>1311</v>
      </c>
      <c r="B239" t="b">
        <v>0</v>
      </c>
      <c r="H239" t="s">
        <v>1062</v>
      </c>
      <c r="I239" t="s">
        <v>2855</v>
      </c>
      <c r="J239" t="s">
        <v>2861</v>
      </c>
      <c r="L239" t="s">
        <v>818</v>
      </c>
    </row>
    <row r="240" spans="1:12" ht="13.2">
      <c r="A240" t="s">
        <v>1312</v>
      </c>
      <c r="B240" t="b">
        <v>0</v>
      </c>
      <c r="H240" t="s">
        <v>1062</v>
      </c>
      <c r="I240" t="s">
        <v>2855</v>
      </c>
      <c r="J240" t="s">
        <v>2861</v>
      </c>
      <c r="L240" t="s">
        <v>818</v>
      </c>
    </row>
    <row r="241" spans="1:12" ht="13.2">
      <c r="A241" t="s">
        <v>1313</v>
      </c>
      <c r="B241" t="b">
        <v>0</v>
      </c>
      <c r="H241" t="s">
        <v>1062</v>
      </c>
      <c r="I241" t="s">
        <v>2855</v>
      </c>
      <c r="J241" t="s">
        <v>2861</v>
      </c>
      <c r="L241" t="s">
        <v>818</v>
      </c>
    </row>
    <row r="242" spans="1:12" ht="13.2">
      <c r="A242" t="s">
        <v>1314</v>
      </c>
      <c r="B242" t="b">
        <v>0</v>
      </c>
      <c r="H242" t="s">
        <v>1062</v>
      </c>
      <c r="I242" t="s">
        <v>2855</v>
      </c>
      <c r="J242" t="s">
        <v>2857</v>
      </c>
      <c r="L242" t="s">
        <v>818</v>
      </c>
    </row>
    <row r="243" spans="1:12" ht="13.2">
      <c r="A243" t="s">
        <v>1315</v>
      </c>
      <c r="B243" t="b">
        <v>0</v>
      </c>
      <c r="H243" t="s">
        <v>1062</v>
      </c>
      <c r="I243" t="s">
        <v>2855</v>
      </c>
      <c r="J243" t="s">
        <v>2857</v>
      </c>
      <c r="L243" t="s">
        <v>818</v>
      </c>
    </row>
    <row r="244" spans="1:12" ht="13.2">
      <c r="A244" t="s">
        <v>1316</v>
      </c>
      <c r="B244" t="b">
        <v>0</v>
      </c>
      <c r="H244" t="s">
        <v>1062</v>
      </c>
      <c r="I244" t="s">
        <v>2855</v>
      </c>
      <c r="J244" t="s">
        <v>2857</v>
      </c>
      <c r="L244" t="s">
        <v>818</v>
      </c>
    </row>
    <row r="245" spans="1:12" ht="13.2">
      <c r="A245" t="s">
        <v>1317</v>
      </c>
      <c r="B245" t="b">
        <v>0</v>
      </c>
      <c r="H245" t="s">
        <v>1062</v>
      </c>
      <c r="I245" t="s">
        <v>2855</v>
      </c>
      <c r="J245" t="s">
        <v>2857</v>
      </c>
      <c r="L245" t="s">
        <v>818</v>
      </c>
    </row>
    <row r="246" spans="1:12" ht="13.2">
      <c r="A246" t="s">
        <v>1318</v>
      </c>
      <c r="B246" t="b">
        <v>0</v>
      </c>
      <c r="H246" t="s">
        <v>1062</v>
      </c>
      <c r="I246" t="s">
        <v>2855</v>
      </c>
      <c r="J246" t="s">
        <v>2857</v>
      </c>
      <c r="L246" t="s">
        <v>818</v>
      </c>
    </row>
    <row r="247" spans="1:12" ht="13.2">
      <c r="A247" t="s">
        <v>1319</v>
      </c>
      <c r="B247" t="b">
        <v>0</v>
      </c>
      <c r="H247" t="s">
        <v>1062</v>
      </c>
      <c r="I247" t="s">
        <v>2855</v>
      </c>
      <c r="J247" t="s">
        <v>2857</v>
      </c>
      <c r="L247" t="s">
        <v>818</v>
      </c>
    </row>
    <row r="248" spans="1:12" ht="13.2">
      <c r="A248" t="s">
        <v>1320</v>
      </c>
      <c r="B248" t="b">
        <v>0</v>
      </c>
      <c r="H248" t="s">
        <v>1062</v>
      </c>
      <c r="I248" t="s">
        <v>2855</v>
      </c>
      <c r="J248" t="s">
        <v>2857</v>
      </c>
      <c r="L248" t="s">
        <v>818</v>
      </c>
    </row>
    <row r="249" spans="1:12" ht="13.2">
      <c r="A249" t="s">
        <v>1321</v>
      </c>
      <c r="B249" t="b">
        <v>0</v>
      </c>
      <c r="H249" t="s">
        <v>1062</v>
      </c>
      <c r="I249" t="s">
        <v>2855</v>
      </c>
      <c r="J249" t="s">
        <v>2857</v>
      </c>
      <c r="L249" t="s">
        <v>818</v>
      </c>
    </row>
    <row r="250" spans="1:12" ht="13.2">
      <c r="A250" t="s">
        <v>1322</v>
      </c>
      <c r="B250" t="b">
        <v>0</v>
      </c>
      <c r="H250" t="s">
        <v>1062</v>
      </c>
      <c r="I250" t="s">
        <v>2855</v>
      </c>
      <c r="J250" t="s">
        <v>2857</v>
      </c>
      <c r="L250" t="s">
        <v>818</v>
      </c>
    </row>
    <row r="251" spans="1:12" ht="13.2">
      <c r="A251" t="s">
        <v>1323</v>
      </c>
      <c r="B251" t="b">
        <v>0</v>
      </c>
      <c r="H251" t="s">
        <v>1062</v>
      </c>
      <c r="I251" t="s">
        <v>2855</v>
      </c>
      <c r="J251" t="s">
        <v>2857</v>
      </c>
      <c r="L251" t="s">
        <v>818</v>
      </c>
    </row>
    <row r="252" spans="1:12" ht="13.2">
      <c r="A252" t="s">
        <v>1324</v>
      </c>
      <c r="B252" t="b">
        <v>0</v>
      </c>
      <c r="C252" t="s">
        <v>903</v>
      </c>
      <c r="D252" t="s">
        <v>998</v>
      </c>
      <c r="E252" t="s">
        <v>1325</v>
      </c>
      <c r="H252" t="s">
        <v>903</v>
      </c>
      <c r="I252" t="s">
        <v>2855</v>
      </c>
      <c r="J252" t="s">
        <v>2862</v>
      </c>
      <c r="K252">
        <v>3000</v>
      </c>
      <c r="L252" t="s">
        <v>818</v>
      </c>
    </row>
    <row r="253" spans="1:12" ht="13.2">
      <c r="A253" t="s">
        <v>1326</v>
      </c>
      <c r="B253" t="b">
        <v>0</v>
      </c>
      <c r="C253" t="s">
        <v>903</v>
      </c>
      <c r="D253" t="s">
        <v>998</v>
      </c>
      <c r="E253" t="s">
        <v>1080</v>
      </c>
      <c r="H253" t="s">
        <v>903</v>
      </c>
      <c r="I253" t="s">
        <v>2855</v>
      </c>
      <c r="J253" t="s">
        <v>2862</v>
      </c>
      <c r="K253">
        <v>3000</v>
      </c>
      <c r="L253" t="s">
        <v>818</v>
      </c>
    </row>
    <row r="254" spans="1:12" ht="13.2">
      <c r="A254" t="s">
        <v>1327</v>
      </c>
      <c r="B254" t="b">
        <v>0</v>
      </c>
      <c r="C254" t="s">
        <v>903</v>
      </c>
      <c r="D254" t="s">
        <v>998</v>
      </c>
      <c r="E254" t="s">
        <v>1080</v>
      </c>
      <c r="H254" t="s">
        <v>903</v>
      </c>
      <c r="I254" t="s">
        <v>2855</v>
      </c>
      <c r="J254" t="s">
        <v>2862</v>
      </c>
      <c r="K254">
        <v>3000</v>
      </c>
      <c r="L254" t="s">
        <v>818</v>
      </c>
    </row>
    <row r="255" spans="1:12" ht="13.2">
      <c r="A255" t="s">
        <v>1328</v>
      </c>
      <c r="B255" t="b">
        <v>0</v>
      </c>
      <c r="C255" t="s">
        <v>903</v>
      </c>
      <c r="D255" t="s">
        <v>998</v>
      </c>
      <c r="E255" t="s">
        <v>1080</v>
      </c>
      <c r="H255" t="s">
        <v>903</v>
      </c>
      <c r="I255" t="s">
        <v>2855</v>
      </c>
      <c r="J255" t="s">
        <v>2862</v>
      </c>
      <c r="K255">
        <v>3000</v>
      </c>
      <c r="L255" t="s">
        <v>818</v>
      </c>
    </row>
    <row r="256" spans="1:12" ht="13.2">
      <c r="A256" t="s">
        <v>1329</v>
      </c>
      <c r="B256" t="b">
        <v>0</v>
      </c>
      <c r="C256" t="s">
        <v>903</v>
      </c>
      <c r="D256" t="s">
        <v>998</v>
      </c>
      <c r="E256" t="s">
        <v>1080</v>
      </c>
      <c r="H256" t="s">
        <v>903</v>
      </c>
      <c r="I256" t="s">
        <v>2855</v>
      </c>
      <c r="J256" t="s">
        <v>2862</v>
      </c>
      <c r="K256">
        <v>3000</v>
      </c>
      <c r="L256" t="s">
        <v>818</v>
      </c>
    </row>
    <row r="257" spans="1:12" ht="13.2">
      <c r="A257" t="s">
        <v>1330</v>
      </c>
      <c r="B257" t="b">
        <v>0</v>
      </c>
      <c r="C257" t="s">
        <v>903</v>
      </c>
      <c r="D257" t="s">
        <v>998</v>
      </c>
      <c r="E257" t="s">
        <v>1080</v>
      </c>
      <c r="H257" t="s">
        <v>903</v>
      </c>
      <c r="I257" t="s">
        <v>2855</v>
      </c>
      <c r="J257" t="s">
        <v>2862</v>
      </c>
      <c r="K257">
        <v>3000</v>
      </c>
      <c r="L257" t="s">
        <v>818</v>
      </c>
    </row>
    <row r="258" spans="1:12" ht="13.2">
      <c r="A258" t="s">
        <v>1331</v>
      </c>
      <c r="B258" t="b">
        <v>0</v>
      </c>
      <c r="C258" t="s">
        <v>963</v>
      </c>
      <c r="D258" t="s">
        <v>963</v>
      </c>
      <c r="E258" t="s">
        <v>963</v>
      </c>
      <c r="H258" t="s">
        <v>963</v>
      </c>
      <c r="I258" t="s">
        <v>2855</v>
      </c>
      <c r="J258" t="s">
        <v>2862</v>
      </c>
      <c r="K258">
        <v>3000</v>
      </c>
      <c r="L258" t="s">
        <v>818</v>
      </c>
    </row>
    <row r="259" spans="1:12" ht="13.2">
      <c r="A259" t="s">
        <v>1332</v>
      </c>
      <c r="B259" t="b">
        <v>0</v>
      </c>
      <c r="C259" t="s">
        <v>903</v>
      </c>
      <c r="D259" t="s">
        <v>903</v>
      </c>
      <c r="E259" t="s">
        <v>903</v>
      </c>
      <c r="H259" t="s">
        <v>903</v>
      </c>
      <c r="I259" t="s">
        <v>2855</v>
      </c>
      <c r="J259" t="s">
        <v>2862</v>
      </c>
      <c r="K259">
        <v>3000</v>
      </c>
      <c r="L259" t="s">
        <v>818</v>
      </c>
    </row>
    <row r="260" spans="1:12" ht="13.2">
      <c r="A260" t="s">
        <v>1333</v>
      </c>
      <c r="B260" t="b">
        <v>0</v>
      </c>
      <c r="C260" t="s">
        <v>903</v>
      </c>
      <c r="D260" t="s">
        <v>998</v>
      </c>
      <c r="E260" t="s">
        <v>1080</v>
      </c>
      <c r="H260" t="s">
        <v>903</v>
      </c>
      <c r="I260" t="s">
        <v>2855</v>
      </c>
      <c r="J260" t="s">
        <v>2862</v>
      </c>
      <c r="K260">
        <v>3000</v>
      </c>
      <c r="L260" t="s">
        <v>818</v>
      </c>
    </row>
    <row r="261" spans="1:12" ht="13.2">
      <c r="A261" t="s">
        <v>1334</v>
      </c>
      <c r="B261" t="b">
        <v>0</v>
      </c>
      <c r="C261" t="s">
        <v>903</v>
      </c>
      <c r="D261" t="s">
        <v>998</v>
      </c>
      <c r="E261" t="s">
        <v>1080</v>
      </c>
      <c r="H261" t="s">
        <v>903</v>
      </c>
      <c r="I261" t="s">
        <v>2855</v>
      </c>
      <c r="J261" t="s">
        <v>2862</v>
      </c>
      <c r="K261">
        <v>3000</v>
      </c>
      <c r="L261" t="s">
        <v>818</v>
      </c>
    </row>
    <row r="262" spans="1:12" ht="13.2">
      <c r="A262" t="s">
        <v>1335</v>
      </c>
      <c r="B262" t="b">
        <v>0</v>
      </c>
      <c r="C262" t="s">
        <v>903</v>
      </c>
      <c r="D262" t="s">
        <v>998</v>
      </c>
      <c r="E262" t="s">
        <v>1080</v>
      </c>
      <c r="H262" t="s">
        <v>903</v>
      </c>
      <c r="I262" t="s">
        <v>2855</v>
      </c>
      <c r="J262" t="s">
        <v>2862</v>
      </c>
      <c r="K262">
        <v>3000</v>
      </c>
      <c r="L262" t="s">
        <v>818</v>
      </c>
    </row>
    <row r="263" spans="1:12" ht="13.2">
      <c r="A263" t="s">
        <v>1336</v>
      </c>
      <c r="B263" t="b">
        <v>0</v>
      </c>
      <c r="C263" t="s">
        <v>963</v>
      </c>
      <c r="D263" t="s">
        <v>963</v>
      </c>
      <c r="E263" t="s">
        <v>963</v>
      </c>
      <c r="H263" t="s">
        <v>963</v>
      </c>
      <c r="I263" t="s">
        <v>2855</v>
      </c>
      <c r="J263" t="s">
        <v>2862</v>
      </c>
      <c r="K263">
        <v>3000</v>
      </c>
      <c r="L263" t="s">
        <v>818</v>
      </c>
    </row>
    <row r="264" spans="1:12" ht="13.2">
      <c r="A264" t="s">
        <v>1337</v>
      </c>
      <c r="B264" t="b">
        <v>0</v>
      </c>
      <c r="H264" t="s">
        <v>1062</v>
      </c>
      <c r="I264" t="s">
        <v>2855</v>
      </c>
      <c r="J264" t="s">
        <v>2862</v>
      </c>
      <c r="K264">
        <v>3000</v>
      </c>
      <c r="L264" t="s">
        <v>818</v>
      </c>
    </row>
    <row r="265" spans="1:12" ht="13.2">
      <c r="A265" t="s">
        <v>1338</v>
      </c>
      <c r="B265" t="b">
        <v>0</v>
      </c>
      <c r="C265" t="s">
        <v>903</v>
      </c>
      <c r="D265" t="s">
        <v>903</v>
      </c>
      <c r="E265" t="s">
        <v>903</v>
      </c>
      <c r="H265" t="s">
        <v>903</v>
      </c>
      <c r="I265" t="s">
        <v>2855</v>
      </c>
      <c r="J265" t="s">
        <v>2862</v>
      </c>
      <c r="K265">
        <v>3000</v>
      </c>
      <c r="L265" t="s">
        <v>818</v>
      </c>
    </row>
    <row r="266" spans="1:12" ht="13.2">
      <c r="A266" t="s">
        <v>1339</v>
      </c>
      <c r="B266" t="b">
        <v>0</v>
      </c>
      <c r="H266" t="s">
        <v>1062</v>
      </c>
      <c r="I266" t="s">
        <v>2855</v>
      </c>
      <c r="J266" t="s">
        <v>2857</v>
      </c>
      <c r="L266" t="s">
        <v>818</v>
      </c>
    </row>
    <row r="267" spans="1:12" ht="13.2">
      <c r="A267" t="s">
        <v>1340</v>
      </c>
      <c r="B267" t="b">
        <v>0</v>
      </c>
      <c r="H267" t="s">
        <v>1062</v>
      </c>
      <c r="I267" t="s">
        <v>2855</v>
      </c>
      <c r="J267" t="s">
        <v>2857</v>
      </c>
      <c r="L267" t="s">
        <v>818</v>
      </c>
    </row>
    <row r="268" spans="1:12" ht="13.2">
      <c r="A268" t="s">
        <v>1341</v>
      </c>
      <c r="B268" t="b">
        <v>0</v>
      </c>
      <c r="H268" t="s">
        <v>1062</v>
      </c>
      <c r="I268" t="s">
        <v>2855</v>
      </c>
      <c r="J268" t="s">
        <v>2857</v>
      </c>
      <c r="L268" t="s">
        <v>818</v>
      </c>
    </row>
    <row r="269" spans="1:12" ht="13.2">
      <c r="A269" t="s">
        <v>1342</v>
      </c>
      <c r="B269" t="b">
        <v>0</v>
      </c>
      <c r="H269" t="s">
        <v>1062</v>
      </c>
      <c r="I269" t="s">
        <v>2855</v>
      </c>
      <c r="J269" t="s">
        <v>2857</v>
      </c>
      <c r="L269" t="s">
        <v>818</v>
      </c>
    </row>
    <row r="270" spans="1:12" ht="13.2">
      <c r="A270" t="s">
        <v>1343</v>
      </c>
      <c r="B270" t="b">
        <v>0</v>
      </c>
      <c r="H270" t="s">
        <v>1062</v>
      </c>
      <c r="I270" t="s">
        <v>2855</v>
      </c>
      <c r="J270" t="s">
        <v>2857</v>
      </c>
      <c r="L270" t="s">
        <v>818</v>
      </c>
    </row>
    <row r="271" spans="1:12" ht="13.2">
      <c r="A271" t="s">
        <v>1344</v>
      </c>
      <c r="B271" t="b">
        <v>0</v>
      </c>
      <c r="H271" t="s">
        <v>1062</v>
      </c>
      <c r="I271" t="s">
        <v>2855</v>
      </c>
      <c r="J271" t="s">
        <v>2857</v>
      </c>
      <c r="L271" t="s">
        <v>818</v>
      </c>
    </row>
    <row r="272" spans="1:12" ht="13.2">
      <c r="A272" t="s">
        <v>1345</v>
      </c>
      <c r="B272" t="b">
        <v>0</v>
      </c>
      <c r="H272" t="s">
        <v>1062</v>
      </c>
      <c r="I272" t="s">
        <v>2855</v>
      </c>
      <c r="J272" t="s">
        <v>2857</v>
      </c>
      <c r="L272" t="s">
        <v>818</v>
      </c>
    </row>
    <row r="273" spans="1:12" ht="13.2">
      <c r="A273" t="s">
        <v>1346</v>
      </c>
      <c r="B273" t="b">
        <v>0</v>
      </c>
      <c r="H273" t="s">
        <v>1062</v>
      </c>
      <c r="I273" t="s">
        <v>2855</v>
      </c>
      <c r="J273" t="s">
        <v>2857</v>
      </c>
      <c r="L273" t="s">
        <v>818</v>
      </c>
    </row>
    <row r="274" spans="1:12" ht="13.2">
      <c r="A274" t="s">
        <v>1347</v>
      </c>
      <c r="B274" t="b">
        <v>0</v>
      </c>
      <c r="H274" t="s">
        <v>1062</v>
      </c>
      <c r="I274" t="s">
        <v>2855</v>
      </c>
      <c r="J274" t="s">
        <v>2857</v>
      </c>
      <c r="L274" t="s">
        <v>818</v>
      </c>
    </row>
    <row r="275" spans="1:12" ht="13.2">
      <c r="A275" t="s">
        <v>1348</v>
      </c>
      <c r="B275" t="b">
        <v>0</v>
      </c>
      <c r="H275" t="s">
        <v>1062</v>
      </c>
      <c r="I275" t="s">
        <v>2855</v>
      </c>
      <c r="J275" t="s">
        <v>2857</v>
      </c>
      <c r="L275" t="s">
        <v>818</v>
      </c>
    </row>
    <row r="276" spans="1:12" ht="13.2">
      <c r="A276" t="s">
        <v>1349</v>
      </c>
      <c r="B276" t="b">
        <v>0</v>
      </c>
      <c r="H276" t="s">
        <v>1062</v>
      </c>
      <c r="I276" t="s">
        <v>2855</v>
      </c>
      <c r="J276" t="s">
        <v>2857</v>
      </c>
      <c r="L276" t="s">
        <v>818</v>
      </c>
    </row>
    <row r="277" spans="1:12" ht="13.2">
      <c r="A277" t="s">
        <v>1350</v>
      </c>
      <c r="B277" t="b">
        <v>0</v>
      </c>
      <c r="C277" t="s">
        <v>903</v>
      </c>
      <c r="D277" t="s">
        <v>998</v>
      </c>
      <c r="E277" t="s">
        <v>1080</v>
      </c>
      <c r="H277" t="s">
        <v>903</v>
      </c>
      <c r="I277" t="s">
        <v>2855</v>
      </c>
      <c r="J277" t="s">
        <v>2863</v>
      </c>
      <c r="K277">
        <v>2800</v>
      </c>
      <c r="L277" t="s">
        <v>818</v>
      </c>
    </row>
    <row r="278" spans="1:12" ht="13.2">
      <c r="A278" t="s">
        <v>1351</v>
      </c>
      <c r="B278" t="b">
        <v>0</v>
      </c>
      <c r="C278" t="s">
        <v>903</v>
      </c>
      <c r="D278" t="s">
        <v>998</v>
      </c>
      <c r="E278" t="s">
        <v>1080</v>
      </c>
      <c r="H278" t="s">
        <v>903</v>
      </c>
      <c r="I278" t="s">
        <v>2855</v>
      </c>
      <c r="J278" t="s">
        <v>2863</v>
      </c>
      <c r="K278">
        <v>2800</v>
      </c>
      <c r="L278" t="s">
        <v>818</v>
      </c>
    </row>
    <row r="279" spans="1:12" ht="13.2">
      <c r="A279" t="s">
        <v>1352</v>
      </c>
      <c r="B279" t="b">
        <v>0</v>
      </c>
      <c r="C279" t="s">
        <v>903</v>
      </c>
      <c r="D279" t="s">
        <v>998</v>
      </c>
      <c r="E279" t="s">
        <v>1080</v>
      </c>
      <c r="H279" t="s">
        <v>903</v>
      </c>
      <c r="I279" t="s">
        <v>2855</v>
      </c>
      <c r="J279" t="s">
        <v>2863</v>
      </c>
      <c r="K279">
        <v>2800</v>
      </c>
      <c r="L279" t="s">
        <v>818</v>
      </c>
    </row>
    <row r="280" spans="1:12" ht="13.2">
      <c r="A280" t="s">
        <v>1353</v>
      </c>
      <c r="B280" t="b">
        <v>0</v>
      </c>
      <c r="C280" t="s">
        <v>903</v>
      </c>
      <c r="D280" t="s">
        <v>998</v>
      </c>
      <c r="E280" t="s">
        <v>1080</v>
      </c>
      <c r="H280" t="s">
        <v>903</v>
      </c>
      <c r="I280" t="s">
        <v>2855</v>
      </c>
      <c r="J280" t="s">
        <v>2863</v>
      </c>
      <c r="K280">
        <v>2800</v>
      </c>
      <c r="L280" t="s">
        <v>818</v>
      </c>
    </row>
    <row r="281" spans="1:12" ht="13.2">
      <c r="A281" t="s">
        <v>1354</v>
      </c>
      <c r="B281" t="b">
        <v>0</v>
      </c>
      <c r="C281" t="s">
        <v>1086</v>
      </c>
      <c r="D281" t="s">
        <v>998</v>
      </c>
      <c r="E281" t="s">
        <v>1086</v>
      </c>
      <c r="H281" t="s">
        <v>903</v>
      </c>
      <c r="I281" t="s">
        <v>2855</v>
      </c>
      <c r="J281" t="s">
        <v>2863</v>
      </c>
      <c r="K281">
        <v>2800</v>
      </c>
      <c r="L281" t="s">
        <v>818</v>
      </c>
    </row>
    <row r="282" spans="1:12" ht="13.2">
      <c r="A282" t="s">
        <v>1355</v>
      </c>
      <c r="B282" t="b">
        <v>0</v>
      </c>
      <c r="C282" t="s">
        <v>903</v>
      </c>
      <c r="D282" t="s">
        <v>998</v>
      </c>
      <c r="E282" t="s">
        <v>1080</v>
      </c>
      <c r="H282" t="s">
        <v>903</v>
      </c>
      <c r="I282" t="s">
        <v>2855</v>
      </c>
      <c r="J282" t="s">
        <v>2863</v>
      </c>
      <c r="K282">
        <v>2800</v>
      </c>
      <c r="L282" t="s">
        <v>818</v>
      </c>
    </row>
    <row r="283" spans="1:12" ht="13.2">
      <c r="A283" t="s">
        <v>1356</v>
      </c>
      <c r="B283" t="b">
        <v>0</v>
      </c>
      <c r="H283" t="s">
        <v>1062</v>
      </c>
      <c r="I283" t="s">
        <v>2855</v>
      </c>
      <c r="J283" t="s">
        <v>2863</v>
      </c>
      <c r="K283">
        <v>2800</v>
      </c>
      <c r="L283" t="s">
        <v>818</v>
      </c>
    </row>
    <row r="284" spans="1:12" ht="13.2">
      <c r="A284" t="s">
        <v>1357</v>
      </c>
      <c r="B284" t="b">
        <v>0</v>
      </c>
      <c r="H284" t="s">
        <v>1062</v>
      </c>
      <c r="I284" t="s">
        <v>2855</v>
      </c>
      <c r="J284" t="s">
        <v>2860</v>
      </c>
      <c r="L284" t="s">
        <v>818</v>
      </c>
    </row>
    <row r="285" spans="1:12" ht="13.2">
      <c r="A285" t="s">
        <v>1358</v>
      </c>
      <c r="B285" t="b">
        <v>0</v>
      </c>
      <c r="H285" t="s">
        <v>1062</v>
      </c>
      <c r="I285" t="s">
        <v>2855</v>
      </c>
      <c r="J285" t="s">
        <v>2860</v>
      </c>
      <c r="L285" t="s">
        <v>818</v>
      </c>
    </row>
    <row r="286" spans="1:12" ht="13.2">
      <c r="A286" t="s">
        <v>1359</v>
      </c>
      <c r="B286" t="b">
        <v>0</v>
      </c>
      <c r="H286" t="s">
        <v>1062</v>
      </c>
      <c r="I286" t="s">
        <v>2855</v>
      </c>
      <c r="J286" t="s">
        <v>2860</v>
      </c>
      <c r="L286" t="s">
        <v>818</v>
      </c>
    </row>
    <row r="287" spans="1:12" ht="13.2">
      <c r="A287" t="s">
        <v>1360</v>
      </c>
      <c r="B287" t="b">
        <v>0</v>
      </c>
      <c r="H287" t="s">
        <v>1062</v>
      </c>
      <c r="I287" t="s">
        <v>2855</v>
      </c>
      <c r="J287" t="s">
        <v>2860</v>
      </c>
      <c r="L287" t="s">
        <v>818</v>
      </c>
    </row>
    <row r="288" spans="1:12" ht="13.2">
      <c r="A288" t="s">
        <v>1361</v>
      </c>
      <c r="B288" t="b">
        <v>0</v>
      </c>
      <c r="H288" t="s">
        <v>1062</v>
      </c>
      <c r="I288" t="s">
        <v>2855</v>
      </c>
      <c r="J288" t="s">
        <v>2860</v>
      </c>
      <c r="L288" t="s">
        <v>818</v>
      </c>
    </row>
    <row r="289" spans="1:12" ht="13.2">
      <c r="A289" t="s">
        <v>1362</v>
      </c>
      <c r="B289" t="b">
        <v>0</v>
      </c>
      <c r="H289" t="s">
        <v>1062</v>
      </c>
      <c r="I289" t="s">
        <v>2855</v>
      </c>
      <c r="J289" t="s">
        <v>2860</v>
      </c>
      <c r="L289" t="s">
        <v>818</v>
      </c>
    </row>
    <row r="290" spans="1:12" ht="13.2">
      <c r="A290" t="s">
        <v>1363</v>
      </c>
      <c r="B290" t="b">
        <v>0</v>
      </c>
      <c r="H290" t="s">
        <v>1062</v>
      </c>
      <c r="I290" t="s">
        <v>2855</v>
      </c>
      <c r="J290" t="s">
        <v>2860</v>
      </c>
      <c r="L290" t="s">
        <v>818</v>
      </c>
    </row>
    <row r="291" spans="1:12" ht="13.2">
      <c r="A291" t="s">
        <v>1364</v>
      </c>
      <c r="B291" t="b">
        <v>0</v>
      </c>
      <c r="H291" t="s">
        <v>1062</v>
      </c>
      <c r="I291" t="s">
        <v>2855</v>
      </c>
      <c r="J291" t="s">
        <v>2872</v>
      </c>
      <c r="L291" t="s">
        <v>818</v>
      </c>
    </row>
    <row r="292" spans="1:12" ht="13.2">
      <c r="A292" t="s">
        <v>1365</v>
      </c>
      <c r="B292" t="b">
        <v>0</v>
      </c>
      <c r="H292" t="s">
        <v>1062</v>
      </c>
      <c r="I292" t="s">
        <v>2855</v>
      </c>
      <c r="J292" t="s">
        <v>2872</v>
      </c>
      <c r="L292" t="s">
        <v>818</v>
      </c>
    </row>
    <row r="293" spans="1:12" ht="13.2">
      <c r="A293" t="s">
        <v>1366</v>
      </c>
      <c r="B293" t="b">
        <v>0</v>
      </c>
      <c r="H293" t="s">
        <v>1062</v>
      </c>
      <c r="I293" t="s">
        <v>2855</v>
      </c>
      <c r="J293" t="s">
        <v>2872</v>
      </c>
      <c r="L293" t="s">
        <v>818</v>
      </c>
    </row>
    <row r="294" spans="1:12" ht="13.2">
      <c r="A294" t="s">
        <v>1367</v>
      </c>
      <c r="B294" t="b">
        <v>0</v>
      </c>
      <c r="H294" t="s">
        <v>1062</v>
      </c>
      <c r="I294" t="s">
        <v>2855</v>
      </c>
      <c r="J294" t="s">
        <v>2872</v>
      </c>
      <c r="L294" t="s">
        <v>818</v>
      </c>
    </row>
    <row r="295" spans="1:12" ht="13.2">
      <c r="A295" t="s">
        <v>1368</v>
      </c>
      <c r="B295" t="b">
        <v>0</v>
      </c>
      <c r="H295" t="s">
        <v>1062</v>
      </c>
      <c r="I295" t="s">
        <v>2855</v>
      </c>
      <c r="J295" t="s">
        <v>2872</v>
      </c>
      <c r="L295" t="s">
        <v>818</v>
      </c>
    </row>
    <row r="296" spans="1:12" ht="13.2">
      <c r="A296" t="s">
        <v>1369</v>
      </c>
      <c r="B296" t="b">
        <v>0</v>
      </c>
      <c r="H296" t="s">
        <v>1062</v>
      </c>
      <c r="I296" t="s">
        <v>2855</v>
      </c>
      <c r="J296" t="s">
        <v>2860</v>
      </c>
      <c r="L296" t="s">
        <v>818</v>
      </c>
    </row>
    <row r="297" spans="1:12" ht="13.2">
      <c r="A297" t="s">
        <v>1370</v>
      </c>
      <c r="B297" t="b">
        <v>0</v>
      </c>
      <c r="H297" t="s">
        <v>1062</v>
      </c>
      <c r="I297" t="s">
        <v>2855</v>
      </c>
      <c r="J297" t="s">
        <v>2860</v>
      </c>
      <c r="L297" t="s">
        <v>818</v>
      </c>
    </row>
    <row r="298" spans="1:12" ht="13.2">
      <c r="A298" t="s">
        <v>1371</v>
      </c>
      <c r="B298" t="b">
        <v>0</v>
      </c>
      <c r="G298" t="s">
        <v>903</v>
      </c>
      <c r="H298" t="s">
        <v>1062</v>
      </c>
      <c r="I298" t="s">
        <v>2855</v>
      </c>
      <c r="J298" t="s">
        <v>2860</v>
      </c>
      <c r="L298" t="s">
        <v>818</v>
      </c>
    </row>
    <row r="299" spans="1:12" ht="13.2">
      <c r="A299" t="s">
        <v>1372</v>
      </c>
      <c r="B299" t="b">
        <v>0</v>
      </c>
      <c r="H299" t="s">
        <v>1062</v>
      </c>
      <c r="I299" t="s">
        <v>2855</v>
      </c>
      <c r="J299" t="s">
        <v>2860</v>
      </c>
      <c r="L299" t="s">
        <v>818</v>
      </c>
    </row>
    <row r="300" spans="1:12" ht="13.2">
      <c r="A300" t="s">
        <v>1373</v>
      </c>
      <c r="B300" t="b">
        <v>0</v>
      </c>
      <c r="C300" t="s">
        <v>1131</v>
      </c>
      <c r="D300" t="s">
        <v>998</v>
      </c>
      <c r="E300" t="s">
        <v>1131</v>
      </c>
      <c r="H300" t="s">
        <v>1062</v>
      </c>
      <c r="I300" t="s">
        <v>2855</v>
      </c>
      <c r="J300" t="s">
        <v>2860</v>
      </c>
      <c r="L300" t="s">
        <v>818</v>
      </c>
    </row>
    <row r="301" spans="1:12" ht="13.2">
      <c r="A301" t="s">
        <v>1374</v>
      </c>
      <c r="B301" t="b">
        <v>0</v>
      </c>
      <c r="H301" t="s">
        <v>1062</v>
      </c>
      <c r="I301" t="s">
        <v>2855</v>
      </c>
      <c r="J301" t="s">
        <v>2860</v>
      </c>
      <c r="L301" t="s">
        <v>818</v>
      </c>
    </row>
    <row r="302" spans="1:12" ht="13.2">
      <c r="A302" t="s">
        <v>1375</v>
      </c>
      <c r="B302" t="b">
        <v>0</v>
      </c>
      <c r="H302" t="s">
        <v>1062</v>
      </c>
      <c r="I302" t="s">
        <v>2855</v>
      </c>
      <c r="J302" t="s">
        <v>2860</v>
      </c>
      <c r="L302" t="s">
        <v>818</v>
      </c>
    </row>
    <row r="303" spans="1:12" ht="13.2">
      <c r="A303" t="s">
        <v>1376</v>
      </c>
      <c r="B303" t="b">
        <v>0</v>
      </c>
      <c r="H303" t="s">
        <v>1062</v>
      </c>
      <c r="I303" t="s">
        <v>2855</v>
      </c>
      <c r="J303" t="s">
        <v>2860</v>
      </c>
      <c r="L303" t="s">
        <v>818</v>
      </c>
    </row>
    <row r="304" spans="1:12" ht="13.2">
      <c r="A304" t="s">
        <v>1377</v>
      </c>
      <c r="B304" t="b">
        <v>0</v>
      </c>
      <c r="H304" t="s">
        <v>1062</v>
      </c>
      <c r="I304" t="s">
        <v>2855</v>
      </c>
      <c r="J304" t="s">
        <v>2860</v>
      </c>
      <c r="L304" t="s">
        <v>818</v>
      </c>
    </row>
    <row r="305" spans="1:12" ht="13.2">
      <c r="A305" t="s">
        <v>1378</v>
      </c>
      <c r="B305" t="b">
        <v>0</v>
      </c>
      <c r="C305" t="s">
        <v>963</v>
      </c>
      <c r="D305" t="s">
        <v>963</v>
      </c>
      <c r="E305" t="s">
        <v>963</v>
      </c>
      <c r="H305" t="s">
        <v>1062</v>
      </c>
      <c r="I305" t="s">
        <v>2855</v>
      </c>
      <c r="J305" t="s">
        <v>2872</v>
      </c>
      <c r="L305" t="s">
        <v>818</v>
      </c>
    </row>
    <row r="306" spans="1:12" ht="13.2">
      <c r="A306" t="s">
        <v>1379</v>
      </c>
      <c r="B306" t="b">
        <v>0</v>
      </c>
      <c r="C306" t="s">
        <v>1086</v>
      </c>
      <c r="D306" t="s">
        <v>998</v>
      </c>
      <c r="E306" t="s">
        <v>1086</v>
      </c>
      <c r="H306" t="s">
        <v>1062</v>
      </c>
      <c r="I306" t="s">
        <v>2855</v>
      </c>
      <c r="J306" t="s">
        <v>2872</v>
      </c>
      <c r="L306" t="s">
        <v>818</v>
      </c>
    </row>
    <row r="307" spans="1:12" ht="13.2">
      <c r="A307" t="s">
        <v>1380</v>
      </c>
      <c r="B307" t="b">
        <v>0</v>
      </c>
      <c r="H307" t="s">
        <v>1062</v>
      </c>
      <c r="I307" t="s">
        <v>2855</v>
      </c>
      <c r="J307" t="s">
        <v>2872</v>
      </c>
      <c r="L307" t="s">
        <v>818</v>
      </c>
    </row>
    <row r="308" spans="1:12" ht="13.2">
      <c r="A308" t="s">
        <v>1381</v>
      </c>
      <c r="B308" t="b">
        <v>0</v>
      </c>
      <c r="H308" t="s">
        <v>1062</v>
      </c>
      <c r="I308" t="s">
        <v>2855</v>
      </c>
      <c r="J308" t="s">
        <v>2872</v>
      </c>
      <c r="L308" t="s">
        <v>818</v>
      </c>
    </row>
    <row r="309" spans="1:12" ht="13.2">
      <c r="A309" t="s">
        <v>1382</v>
      </c>
      <c r="B309" t="b">
        <v>0</v>
      </c>
      <c r="H309" t="s">
        <v>1062</v>
      </c>
      <c r="I309" t="s">
        <v>2855</v>
      </c>
      <c r="J309" t="s">
        <v>2872</v>
      </c>
      <c r="L309" t="s">
        <v>818</v>
      </c>
    </row>
    <row r="310" spans="1:12" ht="13.2">
      <c r="A310" t="s">
        <v>1383</v>
      </c>
      <c r="B310" t="b">
        <v>0</v>
      </c>
      <c r="H310" t="s">
        <v>1062</v>
      </c>
      <c r="I310" t="s">
        <v>2855</v>
      </c>
      <c r="J310" t="s">
        <v>2872</v>
      </c>
      <c r="L310" t="s">
        <v>818</v>
      </c>
    </row>
    <row r="311" spans="1:12" ht="13.2">
      <c r="A311" t="s">
        <v>1384</v>
      </c>
      <c r="B311" t="b">
        <v>0</v>
      </c>
      <c r="C311" t="s">
        <v>903</v>
      </c>
      <c r="D311" t="s">
        <v>998</v>
      </c>
      <c r="E311" t="s">
        <v>1080</v>
      </c>
      <c r="H311" t="s">
        <v>1062</v>
      </c>
      <c r="I311" t="s">
        <v>2855</v>
      </c>
      <c r="J311" t="s">
        <v>2872</v>
      </c>
      <c r="L311" t="s">
        <v>818</v>
      </c>
    </row>
    <row r="312" spans="1:12" ht="13.2">
      <c r="A312" t="s">
        <v>1385</v>
      </c>
      <c r="B312" t="b">
        <v>0</v>
      </c>
      <c r="C312" t="s">
        <v>903</v>
      </c>
      <c r="D312" t="s">
        <v>998</v>
      </c>
      <c r="E312" t="s">
        <v>1080</v>
      </c>
      <c r="H312" t="s">
        <v>1062</v>
      </c>
      <c r="I312" t="s">
        <v>2855</v>
      </c>
      <c r="J312" t="s">
        <v>2872</v>
      </c>
      <c r="L312" t="s">
        <v>818</v>
      </c>
    </row>
    <row r="313" spans="1:12" ht="13.2">
      <c r="A313" t="s">
        <v>1386</v>
      </c>
      <c r="B313" t="b">
        <v>0</v>
      </c>
      <c r="C313" t="s">
        <v>903</v>
      </c>
      <c r="D313" t="s">
        <v>998</v>
      </c>
      <c r="E313" t="s">
        <v>1080</v>
      </c>
      <c r="H313" t="s">
        <v>1062</v>
      </c>
      <c r="I313" t="s">
        <v>2855</v>
      </c>
      <c r="J313" t="s">
        <v>2872</v>
      </c>
      <c r="L313" t="s">
        <v>818</v>
      </c>
    </row>
    <row r="314" spans="1:12" ht="13.2">
      <c r="A314" t="s">
        <v>1387</v>
      </c>
      <c r="B314" t="b">
        <v>0</v>
      </c>
      <c r="C314" t="s">
        <v>903</v>
      </c>
      <c r="D314" t="s">
        <v>998</v>
      </c>
      <c r="E314" t="s">
        <v>1080</v>
      </c>
      <c r="H314" t="s">
        <v>1062</v>
      </c>
      <c r="I314" t="s">
        <v>2855</v>
      </c>
      <c r="J314" t="s">
        <v>2872</v>
      </c>
      <c r="L314" t="s">
        <v>818</v>
      </c>
    </row>
    <row r="315" spans="1:12" ht="13.2">
      <c r="A315" t="s">
        <v>1388</v>
      </c>
      <c r="B315" t="b">
        <v>0</v>
      </c>
      <c r="C315" t="s">
        <v>903</v>
      </c>
      <c r="D315" t="s">
        <v>998</v>
      </c>
      <c r="E315" t="s">
        <v>1080</v>
      </c>
      <c r="H315" t="s">
        <v>1062</v>
      </c>
      <c r="I315" t="s">
        <v>2855</v>
      </c>
      <c r="J315" t="s">
        <v>2872</v>
      </c>
      <c r="L315" t="s">
        <v>818</v>
      </c>
    </row>
    <row r="316" spans="1:12" ht="13.2">
      <c r="A316" t="s">
        <v>1389</v>
      </c>
      <c r="B316" t="b">
        <v>0</v>
      </c>
      <c r="C316" t="s">
        <v>903</v>
      </c>
      <c r="D316" t="s">
        <v>998</v>
      </c>
      <c r="E316" t="s">
        <v>1080</v>
      </c>
      <c r="H316" t="s">
        <v>1062</v>
      </c>
      <c r="I316" t="s">
        <v>2855</v>
      </c>
      <c r="J316" t="s">
        <v>2872</v>
      </c>
      <c r="L316" t="s">
        <v>818</v>
      </c>
    </row>
    <row r="317" spans="1:12" ht="13.2">
      <c r="A317" t="s">
        <v>1390</v>
      </c>
      <c r="B317" t="b">
        <v>0</v>
      </c>
      <c r="H317" t="s">
        <v>1062</v>
      </c>
      <c r="I317" t="s">
        <v>2855</v>
      </c>
      <c r="J317" t="s">
        <v>2872</v>
      </c>
      <c r="L317" t="s">
        <v>818</v>
      </c>
    </row>
    <row r="318" spans="1:12" ht="13.2">
      <c r="A318" t="s">
        <v>1391</v>
      </c>
      <c r="B318" t="b">
        <v>0</v>
      </c>
      <c r="H318" t="s">
        <v>1062</v>
      </c>
      <c r="I318" t="s">
        <v>2855</v>
      </c>
      <c r="J318" t="s">
        <v>2872</v>
      </c>
      <c r="L318" t="s">
        <v>818</v>
      </c>
    </row>
    <row r="319" spans="1:12" ht="13.2">
      <c r="A319" t="s">
        <v>1392</v>
      </c>
      <c r="B319" t="b">
        <v>0</v>
      </c>
      <c r="H319" t="s">
        <v>1062</v>
      </c>
      <c r="I319" t="s">
        <v>2855</v>
      </c>
      <c r="J319" t="s">
        <v>2872</v>
      </c>
      <c r="L319" t="s">
        <v>818</v>
      </c>
    </row>
    <row r="320" spans="1:12" ht="13.2">
      <c r="A320" t="s">
        <v>1393</v>
      </c>
      <c r="B320" t="b">
        <v>0</v>
      </c>
      <c r="H320" t="s">
        <v>1062</v>
      </c>
      <c r="I320" t="s">
        <v>2855</v>
      </c>
      <c r="J320" t="s">
        <v>2872</v>
      </c>
      <c r="L320" t="s">
        <v>818</v>
      </c>
    </row>
    <row r="321" spans="1:12" ht="13.2">
      <c r="A321" t="s">
        <v>1394</v>
      </c>
      <c r="B321" t="b">
        <v>0</v>
      </c>
      <c r="H321" t="s">
        <v>1062</v>
      </c>
      <c r="I321" t="s">
        <v>2855</v>
      </c>
      <c r="J321" t="s">
        <v>2872</v>
      </c>
      <c r="L321" t="s">
        <v>818</v>
      </c>
    </row>
    <row r="322" spans="1:12" ht="13.2">
      <c r="A322" t="s">
        <v>1395</v>
      </c>
      <c r="B322" t="b">
        <v>0</v>
      </c>
      <c r="H322" t="s">
        <v>1062</v>
      </c>
      <c r="I322" t="s">
        <v>2855</v>
      </c>
      <c r="J322" t="s">
        <v>2872</v>
      </c>
      <c r="L322" t="s">
        <v>818</v>
      </c>
    </row>
    <row r="323" spans="1:12" ht="13.2">
      <c r="A323" t="s">
        <v>1396</v>
      </c>
      <c r="B323" t="b">
        <v>0</v>
      </c>
      <c r="H323" t="s">
        <v>1062</v>
      </c>
      <c r="I323" t="s">
        <v>2855</v>
      </c>
      <c r="J323" t="s">
        <v>2872</v>
      </c>
      <c r="L323" t="s">
        <v>818</v>
      </c>
    </row>
    <row r="324" spans="1:12" ht="13.2">
      <c r="A324" t="s">
        <v>1397</v>
      </c>
      <c r="B324" t="b">
        <v>0</v>
      </c>
      <c r="H324" t="s">
        <v>1062</v>
      </c>
      <c r="I324" t="s">
        <v>2855</v>
      </c>
      <c r="J324" t="s">
        <v>2872</v>
      </c>
      <c r="L324" t="s">
        <v>818</v>
      </c>
    </row>
    <row r="325" spans="1:12" ht="13.2">
      <c r="A325" t="s">
        <v>1398</v>
      </c>
      <c r="B325" t="b">
        <v>0</v>
      </c>
      <c r="H325" t="s">
        <v>1062</v>
      </c>
      <c r="I325" t="s">
        <v>2855</v>
      </c>
      <c r="J325" t="s">
        <v>2872</v>
      </c>
      <c r="L325" t="s">
        <v>818</v>
      </c>
    </row>
    <row r="326" spans="1:12" ht="13.2">
      <c r="A326" t="s">
        <v>1399</v>
      </c>
      <c r="B326" t="b">
        <v>0</v>
      </c>
      <c r="H326" t="s">
        <v>1062</v>
      </c>
      <c r="I326" t="s">
        <v>2855</v>
      </c>
      <c r="J326" t="s">
        <v>2872</v>
      </c>
      <c r="L326" t="s">
        <v>818</v>
      </c>
    </row>
    <row r="327" spans="1:12" ht="13.2">
      <c r="A327" t="s">
        <v>1400</v>
      </c>
      <c r="B327" t="b">
        <v>0</v>
      </c>
      <c r="H327" t="s">
        <v>1062</v>
      </c>
      <c r="I327" t="s">
        <v>2855</v>
      </c>
      <c r="J327" t="s">
        <v>2872</v>
      </c>
      <c r="L327" t="s">
        <v>818</v>
      </c>
    </row>
    <row r="328" spans="1:12" ht="13.2">
      <c r="A328" t="s">
        <v>1401</v>
      </c>
      <c r="B328" t="b">
        <v>0</v>
      </c>
      <c r="H328" t="s">
        <v>1062</v>
      </c>
      <c r="I328" t="s">
        <v>2855</v>
      </c>
      <c r="J328" t="s">
        <v>2872</v>
      </c>
      <c r="L328" t="s">
        <v>818</v>
      </c>
    </row>
    <row r="329" spans="1:12" ht="13.2">
      <c r="A329" t="s">
        <v>1402</v>
      </c>
      <c r="B329" t="b">
        <v>0</v>
      </c>
      <c r="H329" t="s">
        <v>1062</v>
      </c>
      <c r="I329" t="s">
        <v>2855</v>
      </c>
      <c r="J329" t="s">
        <v>2872</v>
      </c>
      <c r="L329" t="s">
        <v>818</v>
      </c>
    </row>
    <row r="330" spans="1:12" ht="13.2">
      <c r="A330" t="s">
        <v>1403</v>
      </c>
      <c r="B330" t="b">
        <v>0</v>
      </c>
      <c r="H330" t="s">
        <v>1062</v>
      </c>
      <c r="I330" t="s">
        <v>2855</v>
      </c>
      <c r="J330" t="s">
        <v>2872</v>
      </c>
      <c r="L330" t="s">
        <v>818</v>
      </c>
    </row>
    <row r="331" spans="1:12" ht="13.2">
      <c r="A331" t="s">
        <v>1404</v>
      </c>
      <c r="B331" t="b">
        <v>0</v>
      </c>
      <c r="C331" t="s">
        <v>1108</v>
      </c>
      <c r="D331" t="s">
        <v>1109</v>
      </c>
      <c r="E331" t="s">
        <v>1108</v>
      </c>
      <c r="H331" t="s">
        <v>1062</v>
      </c>
      <c r="I331" t="s">
        <v>2855</v>
      </c>
      <c r="J331" t="s">
        <v>2872</v>
      </c>
      <c r="L331" t="s">
        <v>818</v>
      </c>
    </row>
    <row r="332" spans="1:12" ht="13.2">
      <c r="A332" t="s">
        <v>1405</v>
      </c>
      <c r="B332" t="b">
        <v>0</v>
      </c>
      <c r="H332" t="s">
        <v>1062</v>
      </c>
      <c r="I332" t="s">
        <v>2855</v>
      </c>
      <c r="J332" t="s">
        <v>2872</v>
      </c>
      <c r="L332" t="s">
        <v>818</v>
      </c>
    </row>
    <row r="333" spans="1:12" ht="13.2">
      <c r="A333" t="s">
        <v>1406</v>
      </c>
      <c r="B333" t="b">
        <v>0</v>
      </c>
      <c r="H333" t="s">
        <v>1062</v>
      </c>
      <c r="I333" t="s">
        <v>2855</v>
      </c>
      <c r="J333" t="s">
        <v>2872</v>
      </c>
      <c r="L333" t="s">
        <v>818</v>
      </c>
    </row>
    <row r="334" spans="1:12" ht="13.2">
      <c r="A334" t="s">
        <v>1407</v>
      </c>
      <c r="B334" t="b">
        <v>0</v>
      </c>
      <c r="H334" t="s">
        <v>1062</v>
      </c>
      <c r="I334" t="s">
        <v>2855</v>
      </c>
      <c r="J334" t="s">
        <v>2872</v>
      </c>
      <c r="L334" t="s">
        <v>818</v>
      </c>
    </row>
    <row r="335" spans="1:12" ht="13.2">
      <c r="A335" t="s">
        <v>1408</v>
      </c>
      <c r="B335" t="b">
        <v>0</v>
      </c>
      <c r="H335" t="s">
        <v>1062</v>
      </c>
      <c r="I335" t="s">
        <v>2855</v>
      </c>
      <c r="J335" t="s">
        <v>2872</v>
      </c>
      <c r="L335" t="s">
        <v>818</v>
      </c>
    </row>
    <row r="336" spans="1:12" ht="13.2">
      <c r="A336" t="s">
        <v>1409</v>
      </c>
      <c r="B336" t="b">
        <v>0</v>
      </c>
      <c r="C336" t="s">
        <v>1086</v>
      </c>
      <c r="H336" t="s">
        <v>1062</v>
      </c>
      <c r="I336" t="s">
        <v>2855</v>
      </c>
      <c r="J336" t="s">
        <v>2872</v>
      </c>
      <c r="L336" t="s">
        <v>818</v>
      </c>
    </row>
    <row r="337" spans="1:12" ht="13.2">
      <c r="A337" t="s">
        <v>1410</v>
      </c>
      <c r="B337" t="b">
        <v>0</v>
      </c>
      <c r="H337" t="s">
        <v>1062</v>
      </c>
      <c r="I337" t="s">
        <v>2855</v>
      </c>
      <c r="J337" t="s">
        <v>2872</v>
      </c>
      <c r="L337" t="s">
        <v>818</v>
      </c>
    </row>
    <row r="338" spans="1:12" ht="13.2">
      <c r="A338" t="s">
        <v>1411</v>
      </c>
      <c r="B338" t="b">
        <v>0</v>
      </c>
      <c r="C338" t="s">
        <v>903</v>
      </c>
      <c r="D338" t="s">
        <v>903</v>
      </c>
      <c r="E338" t="s">
        <v>903</v>
      </c>
      <c r="H338" t="s">
        <v>1062</v>
      </c>
      <c r="I338" t="s">
        <v>2855</v>
      </c>
      <c r="J338" t="s">
        <v>2872</v>
      </c>
      <c r="L338" t="s">
        <v>818</v>
      </c>
    </row>
    <row r="339" spans="1:12" ht="13.2">
      <c r="A339" t="s">
        <v>1412</v>
      </c>
      <c r="B339" t="b">
        <v>0</v>
      </c>
      <c r="C339" t="s">
        <v>1086</v>
      </c>
      <c r="H339" t="s">
        <v>1062</v>
      </c>
      <c r="I339" t="s">
        <v>2855</v>
      </c>
      <c r="J339" t="s">
        <v>2872</v>
      </c>
      <c r="L339" t="s">
        <v>818</v>
      </c>
    </row>
    <row r="340" spans="1:12" ht="13.2">
      <c r="A340" t="s">
        <v>1413</v>
      </c>
      <c r="B340" t="b">
        <v>0</v>
      </c>
      <c r="H340" t="s">
        <v>1062</v>
      </c>
      <c r="I340" t="s">
        <v>2855</v>
      </c>
      <c r="J340" t="s">
        <v>2872</v>
      </c>
      <c r="L340" t="s">
        <v>818</v>
      </c>
    </row>
    <row r="341" spans="1:12" ht="13.2">
      <c r="A341" t="s">
        <v>1414</v>
      </c>
      <c r="B341" t="b">
        <v>0</v>
      </c>
      <c r="H341" t="s">
        <v>1062</v>
      </c>
      <c r="I341" t="s">
        <v>2855</v>
      </c>
      <c r="J341" t="s">
        <v>2872</v>
      </c>
      <c r="L341" t="s">
        <v>818</v>
      </c>
    </row>
    <row r="342" spans="1:12" ht="13.2">
      <c r="A342" t="s">
        <v>1415</v>
      </c>
      <c r="B342" t="b">
        <v>0</v>
      </c>
      <c r="H342" t="s">
        <v>1062</v>
      </c>
      <c r="I342" t="s">
        <v>2855</v>
      </c>
      <c r="J342" t="s">
        <v>2872</v>
      </c>
      <c r="L342" t="s">
        <v>818</v>
      </c>
    </row>
    <row r="343" spans="1:12" ht="13.2">
      <c r="A343" t="s">
        <v>1416</v>
      </c>
      <c r="B343" t="b">
        <v>0</v>
      </c>
      <c r="H343" t="s">
        <v>1062</v>
      </c>
      <c r="I343" t="s">
        <v>2855</v>
      </c>
      <c r="J343" t="s">
        <v>2872</v>
      </c>
      <c r="L343" t="s">
        <v>818</v>
      </c>
    </row>
    <row r="344" spans="1:12" ht="13.2">
      <c r="A344" t="s">
        <v>1417</v>
      </c>
      <c r="B344" t="b">
        <v>0</v>
      </c>
      <c r="H344" t="s">
        <v>1062</v>
      </c>
      <c r="I344" t="s">
        <v>2855</v>
      </c>
      <c r="J344" t="s">
        <v>2872</v>
      </c>
      <c r="L344" t="s">
        <v>818</v>
      </c>
    </row>
    <row r="345" spans="1:12" ht="13.2">
      <c r="A345" t="s">
        <v>1418</v>
      </c>
      <c r="B345" t="b">
        <v>0</v>
      </c>
      <c r="H345" t="s">
        <v>1062</v>
      </c>
      <c r="I345" t="s">
        <v>2855</v>
      </c>
      <c r="J345" t="s">
        <v>2872</v>
      </c>
      <c r="L345" t="s">
        <v>818</v>
      </c>
    </row>
    <row r="346" spans="1:12" ht="13.2">
      <c r="A346" t="s">
        <v>1419</v>
      </c>
      <c r="B346" t="b">
        <v>0</v>
      </c>
      <c r="H346" t="s">
        <v>1062</v>
      </c>
      <c r="I346" t="s">
        <v>2855</v>
      </c>
      <c r="J346" t="s">
        <v>2872</v>
      </c>
      <c r="L346" t="s">
        <v>818</v>
      </c>
    </row>
    <row r="347" spans="1:12" ht="13.2">
      <c r="A347" t="s">
        <v>1420</v>
      </c>
      <c r="B347" t="b">
        <v>0</v>
      </c>
      <c r="H347" t="s">
        <v>1062</v>
      </c>
      <c r="I347" t="s">
        <v>2855</v>
      </c>
      <c r="J347" t="s">
        <v>2872</v>
      </c>
      <c r="L347" t="s">
        <v>818</v>
      </c>
    </row>
    <row r="348" spans="1:12" ht="13.2">
      <c r="A348" t="s">
        <v>1421</v>
      </c>
      <c r="B348" t="b">
        <v>0</v>
      </c>
      <c r="H348" t="s">
        <v>1062</v>
      </c>
      <c r="I348" t="s">
        <v>2855</v>
      </c>
      <c r="J348" t="s">
        <v>2872</v>
      </c>
      <c r="L348" t="s">
        <v>818</v>
      </c>
    </row>
    <row r="349" spans="1:12" ht="13.2">
      <c r="A349" t="s">
        <v>1422</v>
      </c>
      <c r="B349" t="b">
        <v>0</v>
      </c>
      <c r="H349" t="s">
        <v>1062</v>
      </c>
      <c r="I349" t="s">
        <v>2855</v>
      </c>
      <c r="J349" t="s">
        <v>2872</v>
      </c>
      <c r="L349" t="s">
        <v>818</v>
      </c>
    </row>
    <row r="350" spans="1:12" ht="13.2">
      <c r="A350" t="s">
        <v>1423</v>
      </c>
      <c r="B350" t="b">
        <v>0</v>
      </c>
      <c r="H350" t="s">
        <v>1062</v>
      </c>
      <c r="I350" t="s">
        <v>2855</v>
      </c>
      <c r="J350" t="s">
        <v>2872</v>
      </c>
      <c r="L350" t="s">
        <v>818</v>
      </c>
    </row>
    <row r="351" spans="1:12" ht="13.2">
      <c r="A351" t="s">
        <v>1424</v>
      </c>
      <c r="B351" t="b">
        <v>0</v>
      </c>
      <c r="H351" t="s">
        <v>1062</v>
      </c>
      <c r="I351" t="s">
        <v>2855</v>
      </c>
      <c r="J351" t="s">
        <v>2872</v>
      </c>
      <c r="L351" t="s">
        <v>818</v>
      </c>
    </row>
    <row r="352" spans="1:12" ht="13.2">
      <c r="A352" t="s">
        <v>1425</v>
      </c>
      <c r="B352" t="b">
        <v>0</v>
      </c>
      <c r="H352" t="s">
        <v>1062</v>
      </c>
      <c r="I352" t="s">
        <v>2855</v>
      </c>
      <c r="J352" t="s">
        <v>2860</v>
      </c>
      <c r="L352" t="s">
        <v>818</v>
      </c>
    </row>
    <row r="353" spans="1:12" ht="13.2">
      <c r="A353" t="s">
        <v>1426</v>
      </c>
      <c r="B353" t="b">
        <v>0</v>
      </c>
      <c r="H353" t="s">
        <v>1062</v>
      </c>
      <c r="I353" t="s">
        <v>2855</v>
      </c>
      <c r="J353" t="s">
        <v>2860</v>
      </c>
      <c r="L353" t="s">
        <v>818</v>
      </c>
    </row>
    <row r="354" spans="1:12" ht="13.2">
      <c r="A354" t="s">
        <v>1427</v>
      </c>
      <c r="B354" t="b">
        <v>0</v>
      </c>
      <c r="H354" t="s">
        <v>1062</v>
      </c>
      <c r="I354" t="s">
        <v>2855</v>
      </c>
      <c r="J354" t="s">
        <v>2860</v>
      </c>
      <c r="L354" t="s">
        <v>818</v>
      </c>
    </row>
    <row r="355" spans="1:12" ht="13.2">
      <c r="A355" t="s">
        <v>1428</v>
      </c>
      <c r="B355" t="b">
        <v>0</v>
      </c>
      <c r="H355" t="s">
        <v>1062</v>
      </c>
      <c r="I355" t="s">
        <v>2855</v>
      </c>
      <c r="J355" t="s">
        <v>2860</v>
      </c>
      <c r="L355" t="s">
        <v>818</v>
      </c>
    </row>
    <row r="356" spans="1:12" ht="13.2">
      <c r="A356" t="s">
        <v>1429</v>
      </c>
      <c r="B356" t="b">
        <v>0</v>
      </c>
      <c r="H356" t="s">
        <v>1062</v>
      </c>
      <c r="I356" t="s">
        <v>2855</v>
      </c>
      <c r="J356" t="s">
        <v>2860</v>
      </c>
      <c r="L356" t="s">
        <v>818</v>
      </c>
    </row>
    <row r="357" spans="1:12" ht="13.2">
      <c r="A357" t="s">
        <v>1430</v>
      </c>
      <c r="B357" t="b">
        <v>0</v>
      </c>
      <c r="H357" t="s">
        <v>1062</v>
      </c>
      <c r="I357" t="s">
        <v>2855</v>
      </c>
      <c r="J357" t="s">
        <v>2860</v>
      </c>
      <c r="L357" t="s">
        <v>818</v>
      </c>
    </row>
    <row r="358" spans="1:12" ht="13.2">
      <c r="A358" t="s">
        <v>1431</v>
      </c>
      <c r="B358" t="b">
        <v>0</v>
      </c>
      <c r="H358" t="s">
        <v>1062</v>
      </c>
      <c r="I358" t="s">
        <v>2855</v>
      </c>
      <c r="J358" t="s">
        <v>2860</v>
      </c>
      <c r="L358" t="s">
        <v>818</v>
      </c>
    </row>
    <row r="359" spans="1:12" ht="13.2">
      <c r="A359" t="s">
        <v>1432</v>
      </c>
      <c r="B359" t="b">
        <v>0</v>
      </c>
      <c r="H359" t="s">
        <v>1062</v>
      </c>
      <c r="I359" t="s">
        <v>2855</v>
      </c>
      <c r="J359" t="s">
        <v>2872</v>
      </c>
      <c r="L359" t="s">
        <v>818</v>
      </c>
    </row>
    <row r="360" spans="1:12" ht="13.2">
      <c r="A360" t="s">
        <v>1433</v>
      </c>
      <c r="B360" t="b">
        <v>0</v>
      </c>
      <c r="H360" t="s">
        <v>1062</v>
      </c>
      <c r="I360" t="s">
        <v>2855</v>
      </c>
      <c r="J360" t="s">
        <v>2872</v>
      </c>
      <c r="L360" t="s">
        <v>818</v>
      </c>
    </row>
    <row r="361" spans="1:12" ht="13.2">
      <c r="A361" t="s">
        <v>1434</v>
      </c>
      <c r="B361" t="b">
        <v>0</v>
      </c>
      <c r="H361" t="s">
        <v>1062</v>
      </c>
      <c r="I361" t="s">
        <v>2855</v>
      </c>
      <c r="J361" t="s">
        <v>2872</v>
      </c>
      <c r="L361" t="s">
        <v>818</v>
      </c>
    </row>
    <row r="362" spans="1:12" ht="13.2">
      <c r="A362" t="s">
        <v>1435</v>
      </c>
      <c r="B362" t="b">
        <v>0</v>
      </c>
      <c r="H362" t="s">
        <v>1062</v>
      </c>
      <c r="I362" t="s">
        <v>2855</v>
      </c>
      <c r="J362" t="s">
        <v>2872</v>
      </c>
      <c r="L362" t="s">
        <v>818</v>
      </c>
    </row>
    <row r="363" spans="1:12" ht="13.2">
      <c r="A363" t="s">
        <v>1436</v>
      </c>
      <c r="B363" t="b">
        <v>0</v>
      </c>
      <c r="H363" t="s">
        <v>1062</v>
      </c>
      <c r="I363" t="s">
        <v>2855</v>
      </c>
      <c r="J363" t="s">
        <v>2872</v>
      </c>
      <c r="L363" t="s">
        <v>818</v>
      </c>
    </row>
    <row r="364" spans="1:12" ht="13.2">
      <c r="A364" t="s">
        <v>1437</v>
      </c>
      <c r="B364" t="b">
        <v>0</v>
      </c>
      <c r="H364" t="s">
        <v>1062</v>
      </c>
      <c r="I364" t="s">
        <v>2855</v>
      </c>
      <c r="J364" t="s">
        <v>2872</v>
      </c>
      <c r="L364" t="s">
        <v>818</v>
      </c>
    </row>
    <row r="365" spans="1:12" ht="13.2">
      <c r="A365" t="s">
        <v>1438</v>
      </c>
      <c r="B365" t="b">
        <v>0</v>
      </c>
      <c r="H365" t="s">
        <v>1062</v>
      </c>
      <c r="I365" t="s">
        <v>2855</v>
      </c>
      <c r="J365" t="s">
        <v>2872</v>
      </c>
      <c r="L365" t="s">
        <v>818</v>
      </c>
    </row>
    <row r="366" spans="1:12" ht="13.2">
      <c r="A366" t="s">
        <v>1439</v>
      </c>
      <c r="B366" t="b">
        <v>0</v>
      </c>
      <c r="H366" t="s">
        <v>1062</v>
      </c>
      <c r="I366" t="s">
        <v>2855</v>
      </c>
      <c r="J366" t="s">
        <v>2872</v>
      </c>
      <c r="L366" t="s">
        <v>818</v>
      </c>
    </row>
    <row r="367" spans="1:12" ht="13.2">
      <c r="A367" t="s">
        <v>1440</v>
      </c>
      <c r="B367" t="b">
        <v>0</v>
      </c>
      <c r="H367" t="s">
        <v>1062</v>
      </c>
      <c r="I367" t="s">
        <v>2855</v>
      </c>
      <c r="J367" t="s">
        <v>2872</v>
      </c>
      <c r="L367" t="s">
        <v>818</v>
      </c>
    </row>
    <row r="368" spans="1:12" ht="13.2">
      <c r="A368" t="s">
        <v>1441</v>
      </c>
      <c r="B368" t="b">
        <v>0</v>
      </c>
      <c r="H368" t="s">
        <v>1062</v>
      </c>
      <c r="I368" t="s">
        <v>2855</v>
      </c>
      <c r="J368" t="s">
        <v>2872</v>
      </c>
      <c r="L368" t="s">
        <v>818</v>
      </c>
    </row>
    <row r="369" spans="1:12" ht="13.2">
      <c r="A369" t="s">
        <v>1442</v>
      </c>
      <c r="B369" t="b">
        <v>0</v>
      </c>
      <c r="H369" t="s">
        <v>1062</v>
      </c>
      <c r="I369" t="s">
        <v>2855</v>
      </c>
      <c r="J369" t="s">
        <v>2872</v>
      </c>
      <c r="L369" t="s">
        <v>818</v>
      </c>
    </row>
    <row r="370" spans="1:12" ht="13.2">
      <c r="A370" t="s">
        <v>1443</v>
      </c>
      <c r="B370" t="b">
        <v>0</v>
      </c>
      <c r="H370" t="s">
        <v>1062</v>
      </c>
      <c r="I370" t="s">
        <v>2855</v>
      </c>
      <c r="J370" t="s">
        <v>2872</v>
      </c>
      <c r="L370" t="s">
        <v>818</v>
      </c>
    </row>
    <row r="371" spans="1:12" ht="13.2">
      <c r="A371" t="s">
        <v>1444</v>
      </c>
      <c r="B371" t="b">
        <v>0</v>
      </c>
      <c r="H371" t="s">
        <v>1062</v>
      </c>
      <c r="I371" t="s">
        <v>2855</v>
      </c>
      <c r="J371" t="s">
        <v>2872</v>
      </c>
      <c r="L371" t="s">
        <v>818</v>
      </c>
    </row>
    <row r="372" spans="1:12" ht="13.2">
      <c r="A372" t="s">
        <v>1445</v>
      </c>
      <c r="B372" t="b">
        <v>0</v>
      </c>
      <c r="H372" t="s">
        <v>1062</v>
      </c>
      <c r="I372" t="s">
        <v>2855</v>
      </c>
      <c r="J372" t="s">
        <v>2872</v>
      </c>
      <c r="L372" t="s">
        <v>818</v>
      </c>
    </row>
    <row r="373" spans="1:12" ht="13.2">
      <c r="A373" t="s">
        <v>1446</v>
      </c>
      <c r="B373" t="b">
        <v>0</v>
      </c>
      <c r="H373" t="s">
        <v>1062</v>
      </c>
      <c r="I373" t="s">
        <v>2855</v>
      </c>
      <c r="J373" t="s">
        <v>2872</v>
      </c>
      <c r="L373" t="s">
        <v>818</v>
      </c>
    </row>
    <row r="374" spans="1:12" ht="13.2">
      <c r="A374" t="s">
        <v>1447</v>
      </c>
      <c r="B374" t="b">
        <v>0</v>
      </c>
      <c r="H374" t="s">
        <v>1062</v>
      </c>
      <c r="I374" t="s">
        <v>2855</v>
      </c>
      <c r="J374" t="s">
        <v>2872</v>
      </c>
      <c r="L374" t="s">
        <v>818</v>
      </c>
    </row>
    <row r="375" spans="1:12" ht="13.2">
      <c r="A375" t="s">
        <v>1448</v>
      </c>
      <c r="B375" t="b">
        <v>0</v>
      </c>
      <c r="H375" t="s">
        <v>1062</v>
      </c>
      <c r="I375" t="s">
        <v>2855</v>
      </c>
      <c r="J375" t="s">
        <v>2872</v>
      </c>
      <c r="L375" t="s">
        <v>818</v>
      </c>
    </row>
    <row r="376" spans="1:12" ht="13.2">
      <c r="A376" t="s">
        <v>1449</v>
      </c>
      <c r="B376" t="b">
        <v>0</v>
      </c>
      <c r="H376" t="s">
        <v>1062</v>
      </c>
      <c r="I376" t="s">
        <v>2855</v>
      </c>
      <c r="J376" t="s">
        <v>2872</v>
      </c>
      <c r="L376" t="s">
        <v>818</v>
      </c>
    </row>
    <row r="377" spans="1:12" ht="13.2">
      <c r="A377" t="s">
        <v>1450</v>
      </c>
      <c r="B377" t="b">
        <v>0</v>
      </c>
      <c r="H377" t="s">
        <v>1062</v>
      </c>
      <c r="I377" t="s">
        <v>2855</v>
      </c>
      <c r="J377" t="s">
        <v>2872</v>
      </c>
      <c r="L377" t="s">
        <v>818</v>
      </c>
    </row>
    <row r="378" spans="1:12" ht="13.2">
      <c r="A378" t="s">
        <v>1451</v>
      </c>
      <c r="B378" t="b">
        <v>0</v>
      </c>
      <c r="H378" t="s">
        <v>1062</v>
      </c>
      <c r="I378" t="s">
        <v>2855</v>
      </c>
      <c r="J378" t="s">
        <v>2872</v>
      </c>
      <c r="L378" t="s">
        <v>818</v>
      </c>
    </row>
    <row r="379" spans="1:12" ht="13.2">
      <c r="A379" t="s">
        <v>1452</v>
      </c>
      <c r="B379" t="b">
        <v>0</v>
      </c>
      <c r="H379" t="s">
        <v>1062</v>
      </c>
      <c r="I379" t="s">
        <v>2855</v>
      </c>
      <c r="J379" t="s">
        <v>2872</v>
      </c>
      <c r="L379" t="s">
        <v>818</v>
      </c>
    </row>
    <row r="380" spans="1:12" ht="13.2">
      <c r="A380" t="s">
        <v>1453</v>
      </c>
      <c r="B380" t="b">
        <v>0</v>
      </c>
      <c r="H380" t="s">
        <v>1062</v>
      </c>
      <c r="I380" t="s">
        <v>2855</v>
      </c>
      <c r="J380" t="s">
        <v>2872</v>
      </c>
      <c r="L380" t="s">
        <v>818</v>
      </c>
    </row>
    <row r="381" spans="1:12" ht="13.2">
      <c r="A381" t="s">
        <v>1454</v>
      </c>
      <c r="B381" t="b">
        <v>0</v>
      </c>
      <c r="H381" t="s">
        <v>1062</v>
      </c>
      <c r="I381" t="s">
        <v>2855</v>
      </c>
      <c r="J381" t="s">
        <v>2872</v>
      </c>
      <c r="L381" t="s">
        <v>818</v>
      </c>
    </row>
    <row r="382" spans="1:12" ht="13.2">
      <c r="A382" t="s">
        <v>1455</v>
      </c>
      <c r="B382" t="b">
        <v>0</v>
      </c>
      <c r="H382" t="s">
        <v>1062</v>
      </c>
      <c r="I382" t="s">
        <v>2855</v>
      </c>
      <c r="J382" t="s">
        <v>2872</v>
      </c>
      <c r="L382" t="s">
        <v>818</v>
      </c>
    </row>
    <row r="383" spans="1:12" ht="13.2">
      <c r="A383" t="s">
        <v>1456</v>
      </c>
      <c r="B383" t="b">
        <v>0</v>
      </c>
      <c r="H383" t="s">
        <v>1062</v>
      </c>
      <c r="I383" t="s">
        <v>2855</v>
      </c>
      <c r="J383" t="s">
        <v>2872</v>
      </c>
      <c r="L383" t="s">
        <v>818</v>
      </c>
    </row>
    <row r="384" spans="1:12" ht="13.2">
      <c r="A384" t="s">
        <v>1457</v>
      </c>
      <c r="B384" t="b">
        <v>0</v>
      </c>
      <c r="H384" t="s">
        <v>1062</v>
      </c>
      <c r="I384" t="s">
        <v>2855</v>
      </c>
      <c r="J384" t="s">
        <v>2872</v>
      </c>
      <c r="L384" t="s">
        <v>818</v>
      </c>
    </row>
    <row r="385" spans="1:12" ht="13.2">
      <c r="A385" t="s">
        <v>1458</v>
      </c>
      <c r="B385" t="b">
        <v>0</v>
      </c>
      <c r="H385" t="s">
        <v>1062</v>
      </c>
      <c r="I385" t="s">
        <v>2855</v>
      </c>
      <c r="J385" t="s">
        <v>2872</v>
      </c>
      <c r="L385" t="s">
        <v>818</v>
      </c>
    </row>
    <row r="386" spans="1:12" ht="13.2">
      <c r="A386" t="s">
        <v>1459</v>
      </c>
      <c r="B386" t="b">
        <v>0</v>
      </c>
      <c r="H386" t="s">
        <v>1062</v>
      </c>
      <c r="I386" t="s">
        <v>2855</v>
      </c>
      <c r="J386" t="s">
        <v>2872</v>
      </c>
      <c r="L386" t="s">
        <v>818</v>
      </c>
    </row>
    <row r="387" spans="1:12" ht="13.2">
      <c r="A387" t="s">
        <v>1460</v>
      </c>
      <c r="B387" t="b">
        <v>0</v>
      </c>
      <c r="H387" t="s">
        <v>1062</v>
      </c>
      <c r="I387" t="s">
        <v>2855</v>
      </c>
      <c r="J387" t="s">
        <v>2872</v>
      </c>
      <c r="L387" t="s">
        <v>818</v>
      </c>
    </row>
    <row r="388" spans="1:12" ht="13.2">
      <c r="A388" t="s">
        <v>1461</v>
      </c>
      <c r="B388" t="b">
        <v>0</v>
      </c>
      <c r="H388" t="s">
        <v>1062</v>
      </c>
      <c r="I388" t="s">
        <v>2855</v>
      </c>
      <c r="J388" t="s">
        <v>2872</v>
      </c>
      <c r="L388" t="s">
        <v>818</v>
      </c>
    </row>
    <row r="389" spans="1:12" ht="13.2">
      <c r="A389" t="s">
        <v>1462</v>
      </c>
      <c r="B389" t="b">
        <v>0</v>
      </c>
      <c r="H389" t="s">
        <v>1062</v>
      </c>
      <c r="I389" t="s">
        <v>2855</v>
      </c>
      <c r="J389" t="s">
        <v>2872</v>
      </c>
      <c r="L389" t="s">
        <v>818</v>
      </c>
    </row>
    <row r="390" spans="1:12" ht="13.2">
      <c r="A390" t="s">
        <v>1463</v>
      </c>
      <c r="B390" t="b">
        <v>0</v>
      </c>
      <c r="H390" t="s">
        <v>1062</v>
      </c>
      <c r="I390" t="s">
        <v>2855</v>
      </c>
      <c r="J390" t="s">
        <v>2872</v>
      </c>
      <c r="L390" t="s">
        <v>818</v>
      </c>
    </row>
    <row r="391" spans="1:12" ht="13.2">
      <c r="A391" t="s">
        <v>1464</v>
      </c>
      <c r="B391" t="b">
        <v>0</v>
      </c>
      <c r="H391" t="s">
        <v>1062</v>
      </c>
      <c r="I391" t="s">
        <v>2855</v>
      </c>
      <c r="J391" t="s">
        <v>2872</v>
      </c>
      <c r="L391" t="s">
        <v>818</v>
      </c>
    </row>
    <row r="392" spans="1:12" ht="13.2">
      <c r="A392" t="s">
        <v>1465</v>
      </c>
      <c r="B392" t="b">
        <v>0</v>
      </c>
      <c r="H392" t="s">
        <v>1062</v>
      </c>
      <c r="I392" t="s">
        <v>2855</v>
      </c>
      <c r="J392" t="s">
        <v>2872</v>
      </c>
      <c r="L392" t="s">
        <v>818</v>
      </c>
    </row>
    <row r="393" spans="1:12" ht="13.2">
      <c r="A393" t="s">
        <v>1466</v>
      </c>
      <c r="B393" t="b">
        <v>0</v>
      </c>
      <c r="H393" t="s">
        <v>1062</v>
      </c>
      <c r="I393" t="s">
        <v>2855</v>
      </c>
      <c r="J393" t="s">
        <v>2872</v>
      </c>
      <c r="L393" t="s">
        <v>818</v>
      </c>
    </row>
    <row r="394" spans="1:12" ht="13.2">
      <c r="A394" t="s">
        <v>1467</v>
      </c>
      <c r="B394" t="b">
        <v>0</v>
      </c>
      <c r="H394" t="s">
        <v>1062</v>
      </c>
      <c r="I394" t="s">
        <v>2855</v>
      </c>
      <c r="J394" t="s">
        <v>2872</v>
      </c>
      <c r="L394" t="s">
        <v>818</v>
      </c>
    </row>
    <row r="395" spans="1:12" ht="13.2">
      <c r="A395" t="s">
        <v>1468</v>
      </c>
      <c r="B395" t="b">
        <v>0</v>
      </c>
      <c r="H395" t="s">
        <v>1062</v>
      </c>
      <c r="I395" t="s">
        <v>2855</v>
      </c>
      <c r="J395" t="s">
        <v>2872</v>
      </c>
      <c r="L395" t="s">
        <v>818</v>
      </c>
    </row>
    <row r="396" spans="1:12" ht="13.2">
      <c r="A396" t="s">
        <v>1469</v>
      </c>
      <c r="B396" t="b">
        <v>0</v>
      </c>
      <c r="H396" t="s">
        <v>1062</v>
      </c>
      <c r="I396" t="s">
        <v>2855</v>
      </c>
      <c r="J396" t="s">
        <v>2872</v>
      </c>
      <c r="L396" t="s">
        <v>818</v>
      </c>
    </row>
    <row r="397" spans="1:12" ht="13.2">
      <c r="A397" t="s">
        <v>1470</v>
      </c>
      <c r="B397" t="b">
        <v>0</v>
      </c>
      <c r="H397" t="s">
        <v>1062</v>
      </c>
      <c r="I397" t="s">
        <v>2855</v>
      </c>
      <c r="J397" t="s">
        <v>2872</v>
      </c>
      <c r="L397" t="s">
        <v>818</v>
      </c>
    </row>
    <row r="398" spans="1:12" ht="13.2">
      <c r="A398" t="s">
        <v>1471</v>
      </c>
      <c r="B398" t="b">
        <v>0</v>
      </c>
      <c r="H398" t="s">
        <v>1062</v>
      </c>
      <c r="I398" t="s">
        <v>2855</v>
      </c>
      <c r="J398" t="s">
        <v>2872</v>
      </c>
      <c r="L398" t="s">
        <v>818</v>
      </c>
    </row>
    <row r="399" spans="1:12" ht="13.2">
      <c r="A399" t="s">
        <v>1472</v>
      </c>
      <c r="B399" t="b">
        <v>0</v>
      </c>
      <c r="H399" t="s">
        <v>1062</v>
      </c>
      <c r="I399" t="s">
        <v>2855</v>
      </c>
      <c r="J399" t="s">
        <v>2872</v>
      </c>
      <c r="L399" t="s">
        <v>818</v>
      </c>
    </row>
    <row r="400" spans="1:12" ht="13.2">
      <c r="A400" t="s">
        <v>1473</v>
      </c>
      <c r="B400" t="b">
        <v>0</v>
      </c>
      <c r="H400" t="s">
        <v>1062</v>
      </c>
      <c r="I400" t="s">
        <v>2855</v>
      </c>
      <c r="J400" t="s">
        <v>2872</v>
      </c>
      <c r="L400" t="s">
        <v>818</v>
      </c>
    </row>
    <row r="401" spans="1:12" ht="13.2">
      <c r="A401" t="s">
        <v>1474</v>
      </c>
      <c r="B401" t="b">
        <v>0</v>
      </c>
      <c r="H401" t="s">
        <v>1062</v>
      </c>
      <c r="I401" t="s">
        <v>2855</v>
      </c>
      <c r="J401" t="s">
        <v>2872</v>
      </c>
      <c r="L401" t="s">
        <v>818</v>
      </c>
    </row>
    <row r="402" spans="1:12" ht="13.2">
      <c r="A402" t="s">
        <v>1475</v>
      </c>
      <c r="B402" t="b">
        <v>0</v>
      </c>
      <c r="H402" t="s">
        <v>1062</v>
      </c>
      <c r="I402" t="s">
        <v>2855</v>
      </c>
      <c r="J402" t="s">
        <v>2872</v>
      </c>
      <c r="L402" t="s">
        <v>818</v>
      </c>
    </row>
    <row r="403" spans="1:12" ht="13.2">
      <c r="A403" t="s">
        <v>1476</v>
      </c>
      <c r="B403" t="b">
        <v>0</v>
      </c>
      <c r="H403" t="s">
        <v>1062</v>
      </c>
      <c r="I403" t="s">
        <v>2855</v>
      </c>
      <c r="J403" t="s">
        <v>2872</v>
      </c>
      <c r="L403" t="s">
        <v>818</v>
      </c>
    </row>
    <row r="404" spans="1:12" ht="13.2">
      <c r="A404" t="s">
        <v>1477</v>
      </c>
      <c r="B404" t="b">
        <v>0</v>
      </c>
      <c r="H404" t="s">
        <v>1062</v>
      </c>
      <c r="I404" t="s">
        <v>2855</v>
      </c>
      <c r="J404" t="s">
        <v>2872</v>
      </c>
      <c r="L404" t="s">
        <v>818</v>
      </c>
    </row>
    <row r="405" spans="1:12" ht="13.2">
      <c r="A405" t="s">
        <v>1478</v>
      </c>
      <c r="B405" t="b">
        <v>0</v>
      </c>
      <c r="H405" t="s">
        <v>1062</v>
      </c>
      <c r="I405" t="s">
        <v>2855</v>
      </c>
      <c r="J405" t="s">
        <v>2872</v>
      </c>
      <c r="L405" t="s">
        <v>818</v>
      </c>
    </row>
    <row r="406" spans="1:12" ht="13.2">
      <c r="A406" t="s">
        <v>1479</v>
      </c>
      <c r="B406" t="b">
        <v>0</v>
      </c>
      <c r="H406" t="s">
        <v>1062</v>
      </c>
      <c r="I406" t="s">
        <v>2855</v>
      </c>
      <c r="J406" t="s">
        <v>2872</v>
      </c>
      <c r="L406" t="s">
        <v>818</v>
      </c>
    </row>
    <row r="407" spans="1:12" ht="13.2">
      <c r="A407" t="s">
        <v>1480</v>
      </c>
      <c r="B407" t="b">
        <v>0</v>
      </c>
      <c r="H407" t="s">
        <v>1062</v>
      </c>
      <c r="I407" t="s">
        <v>2855</v>
      </c>
      <c r="J407" t="s">
        <v>2872</v>
      </c>
      <c r="L407" t="s">
        <v>818</v>
      </c>
    </row>
    <row r="408" spans="1:12" ht="13.2">
      <c r="A408" t="s">
        <v>1481</v>
      </c>
      <c r="B408" t="b">
        <v>0</v>
      </c>
      <c r="H408" t="s">
        <v>1062</v>
      </c>
      <c r="I408" t="s">
        <v>2855</v>
      </c>
      <c r="J408" t="s">
        <v>2872</v>
      </c>
      <c r="L408" t="s">
        <v>818</v>
      </c>
    </row>
    <row r="409" spans="1:12" ht="13.2">
      <c r="A409" t="s">
        <v>1482</v>
      </c>
      <c r="B409" t="b">
        <v>0</v>
      </c>
      <c r="H409" t="s">
        <v>1062</v>
      </c>
      <c r="I409" t="s">
        <v>2855</v>
      </c>
      <c r="J409" t="s">
        <v>2872</v>
      </c>
      <c r="L409" t="s">
        <v>818</v>
      </c>
    </row>
    <row r="410" spans="1:12" ht="13.2">
      <c r="A410" t="s">
        <v>1483</v>
      </c>
      <c r="B410" t="b">
        <v>0</v>
      </c>
      <c r="H410" t="s">
        <v>1062</v>
      </c>
      <c r="I410" t="s">
        <v>2855</v>
      </c>
      <c r="J410" t="s">
        <v>2872</v>
      </c>
      <c r="L410" t="s">
        <v>818</v>
      </c>
    </row>
    <row r="411" spans="1:12" ht="13.2">
      <c r="A411" t="s">
        <v>1484</v>
      </c>
      <c r="B411" t="b">
        <v>0</v>
      </c>
      <c r="H411" t="s">
        <v>1062</v>
      </c>
      <c r="I411" t="s">
        <v>2855</v>
      </c>
      <c r="J411" t="s">
        <v>2872</v>
      </c>
      <c r="L411" t="s">
        <v>818</v>
      </c>
    </row>
    <row r="412" spans="1:12" ht="13.2">
      <c r="A412" t="s">
        <v>1485</v>
      </c>
      <c r="B412" t="b">
        <v>0</v>
      </c>
      <c r="H412" t="s">
        <v>1062</v>
      </c>
      <c r="I412" t="s">
        <v>2855</v>
      </c>
      <c r="J412" t="s">
        <v>2872</v>
      </c>
      <c r="L412" t="s">
        <v>818</v>
      </c>
    </row>
    <row r="413" spans="1:12" ht="13.2">
      <c r="A413" t="s">
        <v>1486</v>
      </c>
      <c r="B413" t="b">
        <v>0</v>
      </c>
      <c r="H413" t="s">
        <v>1062</v>
      </c>
      <c r="I413" t="s">
        <v>2855</v>
      </c>
      <c r="J413" t="s">
        <v>2872</v>
      </c>
      <c r="L413" t="s">
        <v>818</v>
      </c>
    </row>
    <row r="414" spans="1:12" ht="13.2">
      <c r="A414" t="s">
        <v>1487</v>
      </c>
      <c r="B414" t="b">
        <v>0</v>
      </c>
      <c r="H414" t="s">
        <v>1062</v>
      </c>
      <c r="I414" t="s">
        <v>2855</v>
      </c>
      <c r="J414" t="s">
        <v>2872</v>
      </c>
      <c r="L414" t="s">
        <v>818</v>
      </c>
    </row>
    <row r="415" spans="1:12" ht="13.2">
      <c r="A415" t="s">
        <v>1488</v>
      </c>
      <c r="B415" t="b">
        <v>0</v>
      </c>
      <c r="H415" t="s">
        <v>1062</v>
      </c>
      <c r="I415" t="s">
        <v>2855</v>
      </c>
      <c r="J415" t="s">
        <v>2872</v>
      </c>
      <c r="L415" t="s">
        <v>818</v>
      </c>
    </row>
    <row r="416" spans="1:12" ht="13.2">
      <c r="A416" t="s">
        <v>1489</v>
      </c>
      <c r="B416" t="b">
        <v>0</v>
      </c>
      <c r="H416" t="s">
        <v>1062</v>
      </c>
      <c r="I416" t="s">
        <v>2855</v>
      </c>
      <c r="J416" t="s">
        <v>2872</v>
      </c>
      <c r="L416" t="s">
        <v>818</v>
      </c>
    </row>
    <row r="417" spans="1:12" ht="13.2">
      <c r="A417" t="s">
        <v>1490</v>
      </c>
      <c r="B417" t="b">
        <v>0</v>
      </c>
      <c r="H417" t="s">
        <v>1062</v>
      </c>
      <c r="I417" t="s">
        <v>2855</v>
      </c>
      <c r="J417" t="s">
        <v>2872</v>
      </c>
      <c r="L417" t="s">
        <v>818</v>
      </c>
    </row>
    <row r="418" spans="1:12" ht="13.2">
      <c r="A418" t="s">
        <v>1491</v>
      </c>
      <c r="B418" t="b">
        <v>0</v>
      </c>
      <c r="H418" t="s">
        <v>1062</v>
      </c>
      <c r="I418" t="s">
        <v>2855</v>
      </c>
      <c r="J418" t="s">
        <v>2922</v>
      </c>
      <c r="K418">
        <v>3000</v>
      </c>
      <c r="L418" t="s">
        <v>818</v>
      </c>
    </row>
    <row r="419" spans="1:12" ht="13.2">
      <c r="A419" t="s">
        <v>1492</v>
      </c>
      <c r="B419" t="b">
        <v>0</v>
      </c>
      <c r="H419" t="s">
        <v>903</v>
      </c>
      <c r="I419" t="s">
        <v>2855</v>
      </c>
      <c r="J419" t="s">
        <v>2922</v>
      </c>
      <c r="K419">
        <v>3000</v>
      </c>
      <c r="L419" t="s">
        <v>818</v>
      </c>
    </row>
    <row r="420" spans="1:12" ht="13.2">
      <c r="A420" t="s">
        <v>1493</v>
      </c>
      <c r="B420" t="b">
        <v>0</v>
      </c>
      <c r="H420" t="s">
        <v>903</v>
      </c>
      <c r="I420" t="s">
        <v>2855</v>
      </c>
      <c r="J420" t="s">
        <v>2922</v>
      </c>
      <c r="K420">
        <v>3000</v>
      </c>
      <c r="L420" t="s">
        <v>818</v>
      </c>
    </row>
    <row r="421" spans="1:12" ht="13.2">
      <c r="A421" t="s">
        <v>1494</v>
      </c>
      <c r="B421" t="b">
        <v>0</v>
      </c>
      <c r="H421" t="s">
        <v>903</v>
      </c>
      <c r="I421" t="s">
        <v>2855</v>
      </c>
      <c r="J421" t="s">
        <v>2922</v>
      </c>
      <c r="K421">
        <v>3000</v>
      </c>
      <c r="L421" t="s">
        <v>818</v>
      </c>
    </row>
    <row r="422" spans="1:12" ht="13.2">
      <c r="A422" t="s">
        <v>1495</v>
      </c>
      <c r="B422" t="b">
        <v>0</v>
      </c>
      <c r="H422" t="s">
        <v>963</v>
      </c>
      <c r="I422" t="s">
        <v>2855</v>
      </c>
      <c r="J422" t="s">
        <v>2922</v>
      </c>
      <c r="K422">
        <v>3000</v>
      </c>
      <c r="L422" t="s">
        <v>818</v>
      </c>
    </row>
    <row r="423" spans="1:12" ht="13.2">
      <c r="A423" t="s">
        <v>1496</v>
      </c>
      <c r="B423" t="b">
        <v>0</v>
      </c>
      <c r="H423" t="s">
        <v>903</v>
      </c>
      <c r="I423" t="s">
        <v>2855</v>
      </c>
      <c r="J423" t="s">
        <v>2922</v>
      </c>
      <c r="K423">
        <v>3000</v>
      </c>
      <c r="L423" t="s">
        <v>818</v>
      </c>
    </row>
    <row r="424" spans="1:12" ht="13.2">
      <c r="A424" t="s">
        <v>1497</v>
      </c>
      <c r="B424" t="b">
        <v>0</v>
      </c>
      <c r="H424" t="s">
        <v>903</v>
      </c>
      <c r="I424" t="s">
        <v>2855</v>
      </c>
      <c r="J424" t="s">
        <v>2922</v>
      </c>
      <c r="K424">
        <v>3000</v>
      </c>
      <c r="L424" t="s">
        <v>818</v>
      </c>
    </row>
    <row r="425" spans="1:12" ht="13.2">
      <c r="A425" t="s">
        <v>1498</v>
      </c>
      <c r="B425" t="b">
        <v>0</v>
      </c>
      <c r="H425" t="s">
        <v>903</v>
      </c>
      <c r="I425" t="s">
        <v>2855</v>
      </c>
      <c r="J425" t="s">
        <v>2922</v>
      </c>
      <c r="K425">
        <v>3000</v>
      </c>
      <c r="L425" t="s">
        <v>818</v>
      </c>
    </row>
    <row r="426" spans="1:12" ht="13.2">
      <c r="A426" t="s">
        <v>1499</v>
      </c>
      <c r="B426" t="b">
        <v>0</v>
      </c>
      <c r="H426" t="s">
        <v>903</v>
      </c>
      <c r="I426" t="s">
        <v>2855</v>
      </c>
      <c r="J426" t="s">
        <v>2922</v>
      </c>
      <c r="K426">
        <v>3000</v>
      </c>
      <c r="L426" t="s">
        <v>818</v>
      </c>
    </row>
    <row r="427" spans="1:12" ht="13.2">
      <c r="A427" t="s">
        <v>1500</v>
      </c>
      <c r="B427" t="b">
        <v>0</v>
      </c>
      <c r="H427" t="s">
        <v>903</v>
      </c>
      <c r="I427" t="s">
        <v>2855</v>
      </c>
      <c r="J427" t="s">
        <v>2922</v>
      </c>
      <c r="K427">
        <v>3000</v>
      </c>
      <c r="L427" t="s">
        <v>818</v>
      </c>
    </row>
    <row r="428" spans="1:12" ht="13.2">
      <c r="A428" t="s">
        <v>1501</v>
      </c>
      <c r="B428" t="b">
        <v>0</v>
      </c>
      <c r="H428" t="s">
        <v>1062</v>
      </c>
      <c r="I428" t="s">
        <v>2855</v>
      </c>
      <c r="J428" t="s">
        <v>2860</v>
      </c>
      <c r="L428" t="s">
        <v>818</v>
      </c>
    </row>
    <row r="429" spans="1:12" ht="13.2">
      <c r="A429" t="s">
        <v>1502</v>
      </c>
      <c r="B429" t="b">
        <v>0</v>
      </c>
      <c r="H429" t="s">
        <v>1062</v>
      </c>
      <c r="I429" t="s">
        <v>2855</v>
      </c>
      <c r="J429" t="s">
        <v>2860</v>
      </c>
      <c r="L429" t="s">
        <v>818</v>
      </c>
    </row>
    <row r="430" spans="1:12" ht="13.2">
      <c r="A430" t="s">
        <v>1503</v>
      </c>
      <c r="B430" t="b">
        <v>0</v>
      </c>
      <c r="H430" t="s">
        <v>1062</v>
      </c>
      <c r="I430" t="s">
        <v>2855</v>
      </c>
      <c r="J430" t="s">
        <v>2860</v>
      </c>
      <c r="L430" t="s">
        <v>818</v>
      </c>
    </row>
    <row r="431" spans="1:12" ht="13.2">
      <c r="A431" t="s">
        <v>1504</v>
      </c>
      <c r="B431" t="b">
        <v>0</v>
      </c>
      <c r="H431" t="s">
        <v>1062</v>
      </c>
      <c r="I431" t="s">
        <v>2855</v>
      </c>
      <c r="J431" t="s">
        <v>2860</v>
      </c>
      <c r="L431" t="s">
        <v>818</v>
      </c>
    </row>
    <row r="432" spans="1:12" ht="13.2">
      <c r="A432" t="s">
        <v>1505</v>
      </c>
      <c r="B432" t="b">
        <v>0</v>
      </c>
      <c r="H432" t="s">
        <v>1062</v>
      </c>
      <c r="I432" t="s">
        <v>2855</v>
      </c>
      <c r="J432" t="s">
        <v>2860</v>
      </c>
      <c r="L432" t="s">
        <v>818</v>
      </c>
    </row>
    <row r="433" spans="1:12" ht="13.2">
      <c r="A433" t="s">
        <v>1506</v>
      </c>
      <c r="B433" t="b">
        <v>0</v>
      </c>
      <c r="H433" t="s">
        <v>1062</v>
      </c>
      <c r="I433" t="s">
        <v>2855</v>
      </c>
      <c r="J433" t="s">
        <v>2860</v>
      </c>
      <c r="L433" t="s">
        <v>818</v>
      </c>
    </row>
    <row r="434" spans="1:12" ht="13.2">
      <c r="A434" t="s">
        <v>1507</v>
      </c>
      <c r="B434" t="b">
        <v>0</v>
      </c>
      <c r="H434" t="s">
        <v>1062</v>
      </c>
      <c r="I434" t="s">
        <v>2855</v>
      </c>
      <c r="J434" t="s">
        <v>2860</v>
      </c>
      <c r="L434" t="s">
        <v>818</v>
      </c>
    </row>
    <row r="435" spans="1:12" ht="13.2">
      <c r="A435" t="s">
        <v>1508</v>
      </c>
      <c r="B435" t="b">
        <v>0</v>
      </c>
      <c r="H435" t="s">
        <v>1062</v>
      </c>
      <c r="I435" t="s">
        <v>2855</v>
      </c>
      <c r="J435" t="s">
        <v>2860</v>
      </c>
      <c r="L435" t="s">
        <v>818</v>
      </c>
    </row>
    <row r="436" spans="1:12" ht="13.2">
      <c r="A436" t="s">
        <v>1509</v>
      </c>
      <c r="B436" t="b">
        <v>0</v>
      </c>
      <c r="H436" t="s">
        <v>1062</v>
      </c>
      <c r="I436" t="s">
        <v>2855</v>
      </c>
      <c r="J436" t="s">
        <v>2860</v>
      </c>
      <c r="L436" t="s">
        <v>818</v>
      </c>
    </row>
    <row r="437" spans="1:12" ht="13.2">
      <c r="A437" t="s">
        <v>1510</v>
      </c>
      <c r="B437" t="b">
        <v>0</v>
      </c>
      <c r="H437" t="s">
        <v>1062</v>
      </c>
      <c r="I437" t="s">
        <v>2855</v>
      </c>
      <c r="J437" t="s">
        <v>2860</v>
      </c>
      <c r="L437" t="s">
        <v>818</v>
      </c>
    </row>
    <row r="438" spans="1:12" ht="13.2">
      <c r="A438" t="s">
        <v>1511</v>
      </c>
      <c r="B438" t="b">
        <v>0</v>
      </c>
      <c r="H438" t="s">
        <v>1062</v>
      </c>
      <c r="I438" t="s">
        <v>2855</v>
      </c>
      <c r="J438" t="s">
        <v>2860</v>
      </c>
      <c r="L438" t="s">
        <v>818</v>
      </c>
    </row>
    <row r="439" spans="1:12" ht="13.2">
      <c r="A439" t="s">
        <v>1512</v>
      </c>
      <c r="B439" t="b">
        <v>0</v>
      </c>
      <c r="H439" t="s">
        <v>1062</v>
      </c>
      <c r="I439" t="s">
        <v>2855</v>
      </c>
      <c r="J439" t="s">
        <v>2860</v>
      </c>
      <c r="L439" t="s">
        <v>818</v>
      </c>
    </row>
    <row r="440" spans="1:12" ht="13.2">
      <c r="A440" t="s">
        <v>1513</v>
      </c>
      <c r="B440" t="b">
        <v>0</v>
      </c>
      <c r="H440" t="s">
        <v>1062</v>
      </c>
      <c r="I440" t="s">
        <v>2855</v>
      </c>
      <c r="J440" t="s">
        <v>2860</v>
      </c>
      <c r="L440" t="s">
        <v>818</v>
      </c>
    </row>
    <row r="441" spans="1:12" ht="13.2">
      <c r="A441" t="s">
        <v>1514</v>
      </c>
      <c r="B441" t="b">
        <v>0</v>
      </c>
      <c r="H441" t="s">
        <v>1062</v>
      </c>
      <c r="I441" t="s">
        <v>2855</v>
      </c>
      <c r="J441" t="s">
        <v>2872</v>
      </c>
      <c r="L441" t="s">
        <v>818</v>
      </c>
    </row>
    <row r="442" spans="1:12" ht="13.2">
      <c r="A442" t="s">
        <v>1515</v>
      </c>
      <c r="B442" t="b">
        <v>0</v>
      </c>
      <c r="H442" t="s">
        <v>1062</v>
      </c>
      <c r="I442" t="s">
        <v>2855</v>
      </c>
      <c r="J442" t="s">
        <v>2861</v>
      </c>
      <c r="L442" t="s">
        <v>818</v>
      </c>
    </row>
    <row r="443" spans="1:12" ht="13.2">
      <c r="A443" t="s">
        <v>1516</v>
      </c>
      <c r="B443" t="b">
        <v>0</v>
      </c>
      <c r="H443" t="s">
        <v>1062</v>
      </c>
      <c r="I443" t="s">
        <v>2855</v>
      </c>
      <c r="J443" t="s">
        <v>2861</v>
      </c>
      <c r="L443" t="s">
        <v>818</v>
      </c>
    </row>
    <row r="444" spans="1:12" ht="13.2">
      <c r="A444" t="s">
        <v>1517</v>
      </c>
      <c r="B444" t="b">
        <v>0</v>
      </c>
      <c r="H444" t="s">
        <v>1062</v>
      </c>
      <c r="I444" t="s">
        <v>2855</v>
      </c>
      <c r="J444" t="s">
        <v>2861</v>
      </c>
      <c r="L444" t="s">
        <v>818</v>
      </c>
    </row>
    <row r="445" spans="1:12" ht="13.2">
      <c r="A445" t="s">
        <v>1518</v>
      </c>
      <c r="B445" t="b">
        <v>0</v>
      </c>
      <c r="H445" t="s">
        <v>1062</v>
      </c>
      <c r="I445" t="s">
        <v>2855</v>
      </c>
      <c r="J445" t="s">
        <v>2861</v>
      </c>
      <c r="L445" t="s">
        <v>818</v>
      </c>
    </row>
    <row r="446" spans="1:12" ht="13.2">
      <c r="A446" t="s">
        <v>1519</v>
      </c>
      <c r="B446" t="b">
        <v>0</v>
      </c>
      <c r="H446" t="s">
        <v>1062</v>
      </c>
      <c r="I446" t="s">
        <v>2855</v>
      </c>
      <c r="J446" t="s">
        <v>2861</v>
      </c>
      <c r="L446" t="s">
        <v>818</v>
      </c>
    </row>
    <row r="447" spans="1:12" ht="13.2">
      <c r="A447" t="s">
        <v>1520</v>
      </c>
      <c r="B447" t="b">
        <v>0</v>
      </c>
      <c r="H447" t="s">
        <v>1062</v>
      </c>
      <c r="I447" t="s">
        <v>2855</v>
      </c>
      <c r="J447" t="s">
        <v>2861</v>
      </c>
      <c r="L447" t="s">
        <v>818</v>
      </c>
    </row>
    <row r="448" spans="1:12" ht="13.2">
      <c r="A448" t="s">
        <v>1521</v>
      </c>
      <c r="B448" t="b">
        <v>0</v>
      </c>
      <c r="H448" t="s">
        <v>1062</v>
      </c>
      <c r="I448" t="s">
        <v>2855</v>
      </c>
      <c r="J448" t="s">
        <v>2861</v>
      </c>
      <c r="L448" t="s">
        <v>818</v>
      </c>
    </row>
    <row r="449" spans="1:12" ht="13.2">
      <c r="A449" t="s">
        <v>1522</v>
      </c>
      <c r="B449" t="b">
        <v>0</v>
      </c>
      <c r="H449" t="s">
        <v>1062</v>
      </c>
      <c r="I449" t="s">
        <v>2855</v>
      </c>
      <c r="J449" t="s">
        <v>2861</v>
      </c>
      <c r="L449" t="s">
        <v>818</v>
      </c>
    </row>
    <row r="450" spans="1:12" ht="13.2">
      <c r="A450" t="s">
        <v>1523</v>
      </c>
      <c r="B450" t="b">
        <v>0</v>
      </c>
      <c r="H450" t="s">
        <v>1062</v>
      </c>
      <c r="I450" t="s">
        <v>2855</v>
      </c>
      <c r="J450" t="s">
        <v>2861</v>
      </c>
      <c r="L450" t="s">
        <v>818</v>
      </c>
    </row>
    <row r="451" spans="1:12" ht="13.2">
      <c r="A451" t="s">
        <v>1524</v>
      </c>
      <c r="B451" t="b">
        <v>0</v>
      </c>
      <c r="H451" t="s">
        <v>1062</v>
      </c>
      <c r="I451" t="s">
        <v>2855</v>
      </c>
      <c r="J451" t="s">
        <v>2861</v>
      </c>
      <c r="L451" t="s">
        <v>818</v>
      </c>
    </row>
    <row r="452" spans="1:12" ht="13.2">
      <c r="A452" t="s">
        <v>1525</v>
      </c>
      <c r="B452" t="b">
        <v>0</v>
      </c>
      <c r="H452" t="s">
        <v>1062</v>
      </c>
      <c r="I452" t="s">
        <v>2855</v>
      </c>
      <c r="J452" t="s">
        <v>2861</v>
      </c>
      <c r="L452" t="s">
        <v>818</v>
      </c>
    </row>
    <row r="453" spans="1:12" ht="13.2">
      <c r="A453" t="s">
        <v>1526</v>
      </c>
      <c r="B453" t="b">
        <v>0</v>
      </c>
      <c r="H453" t="s">
        <v>1062</v>
      </c>
      <c r="I453" t="s">
        <v>2855</v>
      </c>
      <c r="J453" t="s">
        <v>2861</v>
      </c>
      <c r="L453" t="s">
        <v>818</v>
      </c>
    </row>
    <row r="454" spans="1:12" ht="13.2">
      <c r="A454" t="s">
        <v>1527</v>
      </c>
      <c r="B454" t="b">
        <v>0</v>
      </c>
      <c r="H454" t="s">
        <v>1062</v>
      </c>
      <c r="I454" t="s">
        <v>2855</v>
      </c>
      <c r="J454" t="s">
        <v>2861</v>
      </c>
      <c r="L454" t="s">
        <v>818</v>
      </c>
    </row>
    <row r="455" spans="1:12" ht="13.2">
      <c r="A455" t="s">
        <v>1528</v>
      </c>
      <c r="B455" t="b">
        <v>0</v>
      </c>
      <c r="H455" t="s">
        <v>1062</v>
      </c>
      <c r="I455" t="s">
        <v>2855</v>
      </c>
      <c r="J455" t="s">
        <v>2872</v>
      </c>
      <c r="L455" t="s">
        <v>818</v>
      </c>
    </row>
    <row r="456" spans="1:12" ht="13.2">
      <c r="A456" t="s">
        <v>1529</v>
      </c>
      <c r="B456" t="b">
        <v>0</v>
      </c>
      <c r="H456" t="s">
        <v>1062</v>
      </c>
      <c r="I456" t="s">
        <v>2855</v>
      </c>
      <c r="J456" t="s">
        <v>2872</v>
      </c>
      <c r="L456" t="s">
        <v>818</v>
      </c>
    </row>
    <row r="457" spans="1:12" ht="13.2">
      <c r="A457" t="s">
        <v>1530</v>
      </c>
      <c r="B457" t="b">
        <v>0</v>
      </c>
      <c r="H457" t="s">
        <v>1062</v>
      </c>
      <c r="I457" t="s">
        <v>2855</v>
      </c>
      <c r="J457" t="s">
        <v>2872</v>
      </c>
      <c r="L457" t="s">
        <v>818</v>
      </c>
    </row>
    <row r="458" spans="1:12" ht="13.2">
      <c r="A458" t="s">
        <v>1531</v>
      </c>
      <c r="B458" t="b">
        <v>0</v>
      </c>
      <c r="H458" t="s">
        <v>1062</v>
      </c>
      <c r="I458" t="s">
        <v>2855</v>
      </c>
      <c r="J458" t="s">
        <v>2872</v>
      </c>
      <c r="L458" t="s">
        <v>818</v>
      </c>
    </row>
    <row r="459" spans="1:12" ht="13.2">
      <c r="A459" t="s">
        <v>1532</v>
      </c>
      <c r="B459" t="b">
        <v>0</v>
      </c>
      <c r="H459" t="s">
        <v>1062</v>
      </c>
      <c r="I459" t="s">
        <v>2855</v>
      </c>
      <c r="J459" t="s">
        <v>2857</v>
      </c>
      <c r="L459" t="s">
        <v>818</v>
      </c>
    </row>
    <row r="460" spans="1:12" ht="13.2">
      <c r="A460" t="s">
        <v>1533</v>
      </c>
      <c r="B460" t="b">
        <v>0</v>
      </c>
      <c r="H460" t="s">
        <v>1062</v>
      </c>
      <c r="I460" t="s">
        <v>2855</v>
      </c>
      <c r="J460" t="s">
        <v>2857</v>
      </c>
      <c r="L460" t="s">
        <v>818</v>
      </c>
    </row>
    <row r="461" spans="1:12" ht="13.2">
      <c r="A461" t="s">
        <v>1534</v>
      </c>
      <c r="B461" t="b">
        <v>0</v>
      </c>
      <c r="H461" t="s">
        <v>1062</v>
      </c>
      <c r="I461" t="s">
        <v>2855</v>
      </c>
      <c r="J461" t="s">
        <v>2857</v>
      </c>
      <c r="L461" t="s">
        <v>818</v>
      </c>
    </row>
    <row r="462" spans="1:12" ht="13.2">
      <c r="A462" t="s">
        <v>1535</v>
      </c>
      <c r="B462" t="b">
        <v>0</v>
      </c>
      <c r="H462" t="s">
        <v>1062</v>
      </c>
      <c r="I462" t="s">
        <v>2855</v>
      </c>
      <c r="J462" t="s">
        <v>2857</v>
      </c>
      <c r="L462" t="s">
        <v>818</v>
      </c>
    </row>
    <row r="463" spans="1:12" ht="13.2">
      <c r="A463" t="s">
        <v>1536</v>
      </c>
      <c r="B463" t="b">
        <v>0</v>
      </c>
      <c r="H463" t="s">
        <v>1062</v>
      </c>
      <c r="I463" t="s">
        <v>2855</v>
      </c>
      <c r="J463" t="s">
        <v>2857</v>
      </c>
      <c r="L463" t="s">
        <v>818</v>
      </c>
    </row>
    <row r="464" spans="1:12" ht="13.2">
      <c r="A464" t="s">
        <v>1537</v>
      </c>
      <c r="B464" t="b">
        <v>0</v>
      </c>
      <c r="H464" t="s">
        <v>1062</v>
      </c>
      <c r="I464" t="s">
        <v>2855</v>
      </c>
      <c r="J464" t="s">
        <v>2857</v>
      </c>
      <c r="L464" t="s">
        <v>818</v>
      </c>
    </row>
    <row r="465" spans="1:12" ht="13.2">
      <c r="A465" t="s">
        <v>1538</v>
      </c>
      <c r="B465" t="b">
        <v>0</v>
      </c>
      <c r="H465" t="s">
        <v>1062</v>
      </c>
      <c r="I465" t="s">
        <v>2855</v>
      </c>
      <c r="J465" t="s">
        <v>2857</v>
      </c>
      <c r="L465" t="s">
        <v>818</v>
      </c>
    </row>
    <row r="466" spans="1:12" ht="13.2">
      <c r="A466" t="s">
        <v>1539</v>
      </c>
      <c r="B466" t="b">
        <v>0</v>
      </c>
      <c r="H466" t="s">
        <v>1062</v>
      </c>
      <c r="I466" t="s">
        <v>2855</v>
      </c>
      <c r="J466" t="s">
        <v>2872</v>
      </c>
      <c r="L466" t="s">
        <v>818</v>
      </c>
    </row>
    <row r="467" spans="1:12" ht="13.2">
      <c r="A467" t="s">
        <v>1540</v>
      </c>
      <c r="B467" t="b">
        <v>0</v>
      </c>
      <c r="C467" t="s">
        <v>903</v>
      </c>
      <c r="D467" t="s">
        <v>998</v>
      </c>
      <c r="E467" t="s">
        <v>1080</v>
      </c>
      <c r="H467" t="s">
        <v>1062</v>
      </c>
      <c r="I467" t="s">
        <v>2855</v>
      </c>
      <c r="J467" t="s">
        <v>2872</v>
      </c>
      <c r="L467" t="s">
        <v>818</v>
      </c>
    </row>
    <row r="468" spans="1:12" ht="13.2">
      <c r="A468" t="s">
        <v>1541</v>
      </c>
      <c r="B468" t="b">
        <v>0</v>
      </c>
      <c r="C468" t="s">
        <v>903</v>
      </c>
      <c r="D468" t="s">
        <v>903</v>
      </c>
      <c r="E468" t="s">
        <v>903</v>
      </c>
      <c r="H468" t="s">
        <v>1062</v>
      </c>
      <c r="I468" t="s">
        <v>2855</v>
      </c>
      <c r="J468" t="s">
        <v>2872</v>
      </c>
      <c r="L468" t="s">
        <v>818</v>
      </c>
    </row>
    <row r="469" spans="1:12" ht="13.2">
      <c r="A469" t="s">
        <v>1542</v>
      </c>
      <c r="B469" t="b">
        <v>0</v>
      </c>
      <c r="C469" t="s">
        <v>903</v>
      </c>
      <c r="D469" t="s">
        <v>998</v>
      </c>
      <c r="E469" t="s">
        <v>1080</v>
      </c>
      <c r="H469" t="s">
        <v>1062</v>
      </c>
      <c r="I469" t="s">
        <v>2855</v>
      </c>
      <c r="J469" t="s">
        <v>2872</v>
      </c>
      <c r="L469" t="s">
        <v>818</v>
      </c>
    </row>
    <row r="470" spans="1:12" ht="13.2">
      <c r="A470" t="s">
        <v>1543</v>
      </c>
      <c r="B470" t="b">
        <v>0</v>
      </c>
      <c r="C470" t="s">
        <v>903</v>
      </c>
      <c r="D470" t="s">
        <v>998</v>
      </c>
      <c r="E470" t="s">
        <v>1080</v>
      </c>
      <c r="H470" t="s">
        <v>1062</v>
      </c>
      <c r="I470" t="s">
        <v>2855</v>
      </c>
      <c r="J470" t="s">
        <v>2872</v>
      </c>
      <c r="L470" t="s">
        <v>818</v>
      </c>
    </row>
    <row r="471" spans="1:12" ht="13.2">
      <c r="A471" t="s">
        <v>1544</v>
      </c>
      <c r="B471" t="b">
        <v>0</v>
      </c>
      <c r="C471" t="s">
        <v>903</v>
      </c>
      <c r="D471" t="s">
        <v>998</v>
      </c>
      <c r="E471" t="s">
        <v>1080</v>
      </c>
      <c r="H471" t="s">
        <v>1062</v>
      </c>
      <c r="I471" t="s">
        <v>2855</v>
      </c>
      <c r="J471" t="s">
        <v>2872</v>
      </c>
      <c r="L471" t="s">
        <v>818</v>
      </c>
    </row>
    <row r="472" spans="1:12" ht="13.2">
      <c r="A472" t="s">
        <v>1545</v>
      </c>
      <c r="B472" t="b">
        <v>0</v>
      </c>
      <c r="H472" t="s">
        <v>1062</v>
      </c>
      <c r="I472" t="s">
        <v>2855</v>
      </c>
      <c r="J472" t="s">
        <v>2872</v>
      </c>
      <c r="L472" t="s">
        <v>818</v>
      </c>
    </row>
    <row r="473" spans="1:12" ht="13.2">
      <c r="A473" t="s">
        <v>1546</v>
      </c>
      <c r="B473" t="b">
        <v>0</v>
      </c>
      <c r="H473" t="s">
        <v>1062</v>
      </c>
      <c r="I473" t="s">
        <v>2855</v>
      </c>
      <c r="J473" t="s">
        <v>2872</v>
      </c>
      <c r="L473" t="s">
        <v>818</v>
      </c>
    </row>
    <row r="474" spans="1:12" ht="13.2">
      <c r="A474" t="s">
        <v>1547</v>
      </c>
      <c r="B474" t="b">
        <v>0</v>
      </c>
      <c r="H474" t="s">
        <v>1062</v>
      </c>
      <c r="I474" t="s">
        <v>2855</v>
      </c>
      <c r="J474" t="s">
        <v>2872</v>
      </c>
      <c r="L474" t="s">
        <v>818</v>
      </c>
    </row>
    <row r="475" spans="1:12" ht="13.2">
      <c r="A475" t="s">
        <v>1548</v>
      </c>
      <c r="B475" t="b">
        <v>0</v>
      </c>
      <c r="H475" t="s">
        <v>1062</v>
      </c>
      <c r="I475" t="s">
        <v>2855</v>
      </c>
      <c r="J475" t="s">
        <v>2872</v>
      </c>
      <c r="L475" t="s">
        <v>818</v>
      </c>
    </row>
    <row r="476" spans="1:12" ht="13.2">
      <c r="A476" t="s">
        <v>1549</v>
      </c>
      <c r="B476" t="b">
        <v>0</v>
      </c>
      <c r="H476" t="s">
        <v>1062</v>
      </c>
      <c r="I476" t="s">
        <v>2855</v>
      </c>
      <c r="J476" t="s">
        <v>2872</v>
      </c>
      <c r="L476" t="s">
        <v>818</v>
      </c>
    </row>
    <row r="477" spans="1:12" ht="13.2">
      <c r="A477" t="s">
        <v>1550</v>
      </c>
      <c r="B477" t="b">
        <v>0</v>
      </c>
      <c r="H477" t="s">
        <v>1062</v>
      </c>
      <c r="I477" t="s">
        <v>2855</v>
      </c>
      <c r="J477" t="s">
        <v>2872</v>
      </c>
      <c r="L477" t="s">
        <v>818</v>
      </c>
    </row>
    <row r="478" spans="1:12" ht="13.2">
      <c r="A478" t="s">
        <v>1551</v>
      </c>
      <c r="B478" t="b">
        <v>0</v>
      </c>
      <c r="H478" t="s">
        <v>1062</v>
      </c>
      <c r="I478" t="s">
        <v>2855</v>
      </c>
      <c r="J478" t="s">
        <v>2872</v>
      </c>
      <c r="L478" t="s">
        <v>818</v>
      </c>
    </row>
    <row r="479" spans="1:12" ht="13.2">
      <c r="A479" t="s">
        <v>1552</v>
      </c>
      <c r="B479" t="b">
        <v>0</v>
      </c>
      <c r="H479" t="s">
        <v>1062</v>
      </c>
      <c r="I479" t="s">
        <v>2855</v>
      </c>
      <c r="J479" t="s">
        <v>2872</v>
      </c>
      <c r="L479" t="s">
        <v>818</v>
      </c>
    </row>
    <row r="480" spans="1:12" ht="13.2">
      <c r="A480" t="s">
        <v>1553</v>
      </c>
      <c r="B480" t="b">
        <v>0</v>
      </c>
      <c r="H480" t="s">
        <v>1062</v>
      </c>
      <c r="I480" t="s">
        <v>2855</v>
      </c>
      <c r="J480" t="s">
        <v>2872</v>
      </c>
      <c r="L480" t="s">
        <v>818</v>
      </c>
    </row>
    <row r="481" spans="1:12" ht="13.2">
      <c r="A481" t="s">
        <v>1554</v>
      </c>
      <c r="B481" t="b">
        <v>0</v>
      </c>
      <c r="H481" t="s">
        <v>1062</v>
      </c>
      <c r="I481" t="s">
        <v>2855</v>
      </c>
      <c r="J481" t="s">
        <v>2872</v>
      </c>
      <c r="L481" t="s">
        <v>818</v>
      </c>
    </row>
    <row r="482" spans="1:12" ht="13.2">
      <c r="A482" t="s">
        <v>1555</v>
      </c>
      <c r="B482" t="b">
        <v>0</v>
      </c>
      <c r="H482" t="s">
        <v>1062</v>
      </c>
      <c r="I482" t="s">
        <v>2855</v>
      </c>
      <c r="J482" t="s">
        <v>2872</v>
      </c>
      <c r="L482" t="s">
        <v>818</v>
      </c>
    </row>
    <row r="483" spans="1:12" ht="13.2">
      <c r="A483" t="s">
        <v>1556</v>
      </c>
      <c r="B483" t="b">
        <v>0</v>
      </c>
      <c r="H483" t="s">
        <v>1062</v>
      </c>
      <c r="I483" t="s">
        <v>2855</v>
      </c>
      <c r="J483" t="s">
        <v>2872</v>
      </c>
      <c r="L483" t="s">
        <v>818</v>
      </c>
    </row>
    <row r="484" spans="1:12" ht="13.2">
      <c r="A484" t="s">
        <v>1557</v>
      </c>
      <c r="B484" t="b">
        <v>0</v>
      </c>
      <c r="H484" t="s">
        <v>1062</v>
      </c>
      <c r="I484" t="s">
        <v>2855</v>
      </c>
      <c r="J484" t="s">
        <v>2872</v>
      </c>
      <c r="L484" t="s">
        <v>818</v>
      </c>
    </row>
    <row r="485" spans="1:12" ht="13.2">
      <c r="A485" t="s">
        <v>1558</v>
      </c>
      <c r="B485" t="b">
        <v>0</v>
      </c>
      <c r="H485" t="s">
        <v>1062</v>
      </c>
      <c r="I485" t="s">
        <v>2855</v>
      </c>
      <c r="J485" t="s">
        <v>2872</v>
      </c>
      <c r="L485" t="s">
        <v>818</v>
      </c>
    </row>
    <row r="486" spans="1:12" ht="13.2">
      <c r="A486" t="s">
        <v>1559</v>
      </c>
      <c r="B486" t="b">
        <v>0</v>
      </c>
      <c r="H486" t="s">
        <v>1062</v>
      </c>
      <c r="I486" t="s">
        <v>2855</v>
      </c>
      <c r="J486" t="s">
        <v>2872</v>
      </c>
      <c r="L486" t="s">
        <v>818</v>
      </c>
    </row>
    <row r="487" spans="1:12" ht="13.2">
      <c r="A487" t="s">
        <v>1560</v>
      </c>
      <c r="B487" t="b">
        <v>0</v>
      </c>
      <c r="H487" t="s">
        <v>1062</v>
      </c>
      <c r="I487" t="s">
        <v>2855</v>
      </c>
      <c r="J487" t="s">
        <v>2872</v>
      </c>
      <c r="L487" t="s">
        <v>818</v>
      </c>
    </row>
    <row r="488" spans="1:12" ht="13.2">
      <c r="A488" t="s">
        <v>1561</v>
      </c>
      <c r="B488" t="b">
        <v>0</v>
      </c>
      <c r="H488" t="s">
        <v>1062</v>
      </c>
      <c r="I488" t="s">
        <v>2855</v>
      </c>
      <c r="J488" t="s">
        <v>2872</v>
      </c>
      <c r="L488" t="s">
        <v>818</v>
      </c>
    </row>
    <row r="489" spans="1:12" ht="13.2">
      <c r="A489" t="s">
        <v>1562</v>
      </c>
      <c r="B489" t="b">
        <v>0</v>
      </c>
      <c r="H489" t="s">
        <v>1062</v>
      </c>
      <c r="I489" t="s">
        <v>2855</v>
      </c>
      <c r="J489" t="s">
        <v>2872</v>
      </c>
      <c r="L489" t="s">
        <v>818</v>
      </c>
    </row>
    <row r="490" spans="1:12" ht="13.2">
      <c r="A490" t="s">
        <v>1563</v>
      </c>
      <c r="B490" t="b">
        <v>0</v>
      </c>
      <c r="H490" t="s">
        <v>1062</v>
      </c>
      <c r="I490" t="s">
        <v>2855</v>
      </c>
      <c r="J490" t="s">
        <v>2872</v>
      </c>
      <c r="L490" t="s">
        <v>818</v>
      </c>
    </row>
    <row r="491" spans="1:12" ht="13.2">
      <c r="A491" t="s">
        <v>1564</v>
      </c>
      <c r="B491" t="b">
        <v>0</v>
      </c>
      <c r="H491" t="s">
        <v>1062</v>
      </c>
      <c r="I491" t="s">
        <v>2855</v>
      </c>
      <c r="J491" t="s">
        <v>2872</v>
      </c>
      <c r="L491" t="s">
        <v>818</v>
      </c>
    </row>
    <row r="492" spans="1:12" ht="13.2">
      <c r="A492" t="s">
        <v>1565</v>
      </c>
      <c r="B492" t="b">
        <v>0</v>
      </c>
      <c r="H492" t="s">
        <v>1062</v>
      </c>
      <c r="I492" t="s">
        <v>2855</v>
      </c>
      <c r="J492" t="s">
        <v>2872</v>
      </c>
      <c r="L492" t="s">
        <v>818</v>
      </c>
    </row>
    <row r="493" spans="1:12" ht="13.2">
      <c r="A493" t="s">
        <v>1566</v>
      </c>
      <c r="B493" t="b">
        <v>0</v>
      </c>
      <c r="H493" t="s">
        <v>1062</v>
      </c>
      <c r="I493" t="s">
        <v>2855</v>
      </c>
      <c r="J493" t="s">
        <v>2872</v>
      </c>
      <c r="L493" t="s">
        <v>818</v>
      </c>
    </row>
    <row r="494" spans="1:12" ht="13.2">
      <c r="A494" t="s">
        <v>1567</v>
      </c>
      <c r="B494" t="b">
        <v>0</v>
      </c>
      <c r="H494" t="s">
        <v>1062</v>
      </c>
      <c r="I494" t="s">
        <v>2855</v>
      </c>
      <c r="J494" t="s">
        <v>2872</v>
      </c>
      <c r="L494" t="s">
        <v>818</v>
      </c>
    </row>
    <row r="495" spans="1:12" ht="13.2">
      <c r="A495" t="s">
        <v>1568</v>
      </c>
      <c r="B495" t="b">
        <v>0</v>
      </c>
      <c r="H495" t="s">
        <v>1062</v>
      </c>
      <c r="I495" t="s">
        <v>2855</v>
      </c>
      <c r="J495" t="s">
        <v>2872</v>
      </c>
      <c r="L495" t="s">
        <v>818</v>
      </c>
    </row>
    <row r="496" spans="1:12" ht="13.2">
      <c r="A496" t="s">
        <v>1569</v>
      </c>
      <c r="B496" t="b">
        <v>0</v>
      </c>
      <c r="H496" t="s">
        <v>1062</v>
      </c>
      <c r="I496" t="s">
        <v>2855</v>
      </c>
      <c r="J496" t="s">
        <v>2872</v>
      </c>
      <c r="L496" t="s">
        <v>818</v>
      </c>
    </row>
    <row r="497" spans="1:12" ht="13.2">
      <c r="A497" t="s">
        <v>1570</v>
      </c>
      <c r="B497" t="b">
        <v>0</v>
      </c>
      <c r="H497" t="s">
        <v>1062</v>
      </c>
      <c r="I497" t="s">
        <v>2855</v>
      </c>
      <c r="J497" t="s">
        <v>2872</v>
      </c>
      <c r="L497" t="s">
        <v>818</v>
      </c>
    </row>
    <row r="498" spans="1:12" ht="13.2">
      <c r="A498" t="s">
        <v>1571</v>
      </c>
      <c r="B498" t="b">
        <v>0</v>
      </c>
      <c r="H498" t="s">
        <v>1062</v>
      </c>
      <c r="I498" t="s">
        <v>2855</v>
      </c>
      <c r="J498" t="s">
        <v>2872</v>
      </c>
      <c r="L498" t="s">
        <v>818</v>
      </c>
    </row>
    <row r="499" spans="1:12" ht="13.2">
      <c r="A499" t="s">
        <v>1572</v>
      </c>
      <c r="B499" t="b">
        <v>0</v>
      </c>
      <c r="H499" t="s">
        <v>1062</v>
      </c>
      <c r="I499" t="s">
        <v>2855</v>
      </c>
      <c r="J499" t="s">
        <v>2872</v>
      </c>
      <c r="L499" t="s">
        <v>818</v>
      </c>
    </row>
    <row r="500" spans="1:12" ht="13.2">
      <c r="A500" t="s">
        <v>1573</v>
      </c>
      <c r="B500" t="b">
        <v>0</v>
      </c>
      <c r="H500" t="s">
        <v>1062</v>
      </c>
      <c r="I500" t="s">
        <v>2855</v>
      </c>
      <c r="J500" t="s">
        <v>2872</v>
      </c>
      <c r="L500" t="s">
        <v>818</v>
      </c>
    </row>
    <row r="501" spans="1:12" ht="13.2">
      <c r="A501" t="s">
        <v>1574</v>
      </c>
      <c r="B501" t="b">
        <v>0</v>
      </c>
      <c r="H501" t="s">
        <v>1062</v>
      </c>
      <c r="I501" t="s">
        <v>2855</v>
      </c>
      <c r="J501" t="s">
        <v>2872</v>
      </c>
      <c r="L501" t="s">
        <v>818</v>
      </c>
    </row>
    <row r="502" spans="1:12" ht="13.2">
      <c r="A502" t="s">
        <v>1575</v>
      </c>
      <c r="B502" t="b">
        <v>0</v>
      </c>
      <c r="H502" t="s">
        <v>1062</v>
      </c>
      <c r="I502" t="s">
        <v>2855</v>
      </c>
      <c r="J502" t="s">
        <v>2872</v>
      </c>
      <c r="L502" t="s">
        <v>818</v>
      </c>
    </row>
    <row r="503" spans="1:12" ht="13.2">
      <c r="A503" t="s">
        <v>1576</v>
      </c>
      <c r="B503" t="b">
        <v>0</v>
      </c>
      <c r="H503" t="s">
        <v>1062</v>
      </c>
      <c r="I503" t="s">
        <v>2855</v>
      </c>
      <c r="J503" t="s">
        <v>2872</v>
      </c>
      <c r="L503" t="s">
        <v>818</v>
      </c>
    </row>
    <row r="504" spans="1:12" ht="13.2">
      <c r="A504" t="s">
        <v>1577</v>
      </c>
      <c r="B504" t="b">
        <v>0</v>
      </c>
      <c r="C504" t="s">
        <v>963</v>
      </c>
      <c r="D504" t="s">
        <v>963</v>
      </c>
      <c r="E504" t="s">
        <v>963</v>
      </c>
      <c r="H504" t="s">
        <v>1062</v>
      </c>
      <c r="I504" t="s">
        <v>2855</v>
      </c>
      <c r="J504" t="s">
        <v>2872</v>
      </c>
      <c r="L504" t="s">
        <v>818</v>
      </c>
    </row>
    <row r="505" spans="1:12" ht="13.2">
      <c r="A505" t="s">
        <v>1578</v>
      </c>
      <c r="B505" t="b">
        <v>0</v>
      </c>
      <c r="H505" t="s">
        <v>1062</v>
      </c>
      <c r="I505" t="s">
        <v>2855</v>
      </c>
      <c r="J505" t="s">
        <v>2872</v>
      </c>
      <c r="L505" t="s">
        <v>818</v>
      </c>
    </row>
    <row r="506" spans="1:12" ht="13.2">
      <c r="A506" t="s">
        <v>1579</v>
      </c>
      <c r="B506" t="b">
        <v>0</v>
      </c>
      <c r="H506" t="s">
        <v>1062</v>
      </c>
      <c r="I506" t="s">
        <v>2855</v>
      </c>
      <c r="J506" t="s">
        <v>2872</v>
      </c>
      <c r="L506" t="s">
        <v>818</v>
      </c>
    </row>
    <row r="507" spans="1:12" ht="13.2">
      <c r="A507" t="s">
        <v>1580</v>
      </c>
      <c r="B507" t="b">
        <v>0</v>
      </c>
      <c r="H507" t="s">
        <v>1062</v>
      </c>
      <c r="I507" t="s">
        <v>2855</v>
      </c>
      <c r="J507" t="s">
        <v>2872</v>
      </c>
      <c r="L507" t="s">
        <v>818</v>
      </c>
    </row>
    <row r="508" spans="1:12" ht="13.2">
      <c r="A508" t="s">
        <v>1581</v>
      </c>
      <c r="B508" t="b">
        <v>0</v>
      </c>
      <c r="H508" t="s">
        <v>1062</v>
      </c>
      <c r="I508" t="s">
        <v>2855</v>
      </c>
      <c r="J508" t="s">
        <v>2872</v>
      </c>
      <c r="L508" t="s">
        <v>818</v>
      </c>
    </row>
    <row r="509" spans="1:12" ht="13.2">
      <c r="A509" t="s">
        <v>1582</v>
      </c>
      <c r="B509" t="b">
        <v>0</v>
      </c>
      <c r="H509" t="s">
        <v>1062</v>
      </c>
      <c r="I509" t="s">
        <v>2855</v>
      </c>
      <c r="J509" t="s">
        <v>2872</v>
      </c>
      <c r="L509" t="s">
        <v>818</v>
      </c>
    </row>
    <row r="510" spans="1:12" ht="13.2">
      <c r="A510" t="s">
        <v>1583</v>
      </c>
      <c r="B510" t="b">
        <v>0</v>
      </c>
      <c r="H510" t="s">
        <v>1062</v>
      </c>
      <c r="I510" t="s">
        <v>2855</v>
      </c>
      <c r="J510" t="s">
        <v>2872</v>
      </c>
      <c r="L510" t="s">
        <v>818</v>
      </c>
    </row>
    <row r="511" spans="1:12" ht="13.2">
      <c r="A511" t="s">
        <v>1584</v>
      </c>
      <c r="B511" t="b">
        <v>0</v>
      </c>
      <c r="H511" t="s">
        <v>1062</v>
      </c>
      <c r="I511" t="s">
        <v>2855</v>
      </c>
      <c r="J511" t="s">
        <v>2872</v>
      </c>
      <c r="L511" t="s">
        <v>818</v>
      </c>
    </row>
    <row r="512" spans="1:12" ht="13.2">
      <c r="A512" t="s">
        <v>1585</v>
      </c>
      <c r="B512" t="b">
        <v>0</v>
      </c>
      <c r="H512" t="s">
        <v>1062</v>
      </c>
      <c r="I512" t="s">
        <v>2855</v>
      </c>
      <c r="J512" t="s">
        <v>2872</v>
      </c>
      <c r="L512" t="s">
        <v>818</v>
      </c>
    </row>
    <row r="513" spans="1:12" ht="13.2">
      <c r="A513" t="s">
        <v>1586</v>
      </c>
      <c r="B513" t="b">
        <v>0</v>
      </c>
      <c r="C513" t="s">
        <v>903</v>
      </c>
      <c r="D513" t="s">
        <v>1143</v>
      </c>
      <c r="E513" t="s">
        <v>903</v>
      </c>
      <c r="H513" t="s">
        <v>1062</v>
      </c>
      <c r="I513" t="s">
        <v>2855</v>
      </c>
      <c r="J513" t="s">
        <v>2872</v>
      </c>
      <c r="L513" t="s">
        <v>818</v>
      </c>
    </row>
    <row r="514" spans="1:12" ht="13.2">
      <c r="A514" t="s">
        <v>1587</v>
      </c>
      <c r="B514" t="b">
        <v>0</v>
      </c>
      <c r="H514" t="s">
        <v>1062</v>
      </c>
      <c r="I514" t="s">
        <v>2855</v>
      </c>
      <c r="J514" t="s">
        <v>2872</v>
      </c>
      <c r="L514" t="s">
        <v>818</v>
      </c>
    </row>
    <row r="515" spans="1:12" ht="13.2">
      <c r="A515" t="s">
        <v>1588</v>
      </c>
      <c r="B515" t="b">
        <v>0</v>
      </c>
      <c r="H515" t="s">
        <v>1062</v>
      </c>
      <c r="I515" t="s">
        <v>2855</v>
      </c>
      <c r="J515" t="s">
        <v>2872</v>
      </c>
      <c r="L515" t="s">
        <v>818</v>
      </c>
    </row>
    <row r="516" spans="1:12" ht="13.2">
      <c r="A516" t="s">
        <v>1589</v>
      </c>
      <c r="B516" t="b">
        <v>0</v>
      </c>
      <c r="H516" t="s">
        <v>1062</v>
      </c>
      <c r="I516" t="s">
        <v>2855</v>
      </c>
      <c r="J516" t="s">
        <v>2861</v>
      </c>
      <c r="L516" t="s">
        <v>818</v>
      </c>
    </row>
    <row r="517" spans="1:12" ht="13.2">
      <c r="A517" t="s">
        <v>1590</v>
      </c>
      <c r="B517" t="b">
        <v>0</v>
      </c>
      <c r="C517" t="s">
        <v>963</v>
      </c>
      <c r="D517" t="s">
        <v>963</v>
      </c>
      <c r="E517" t="s">
        <v>963</v>
      </c>
      <c r="H517" t="s">
        <v>1062</v>
      </c>
      <c r="I517" t="s">
        <v>2855</v>
      </c>
      <c r="J517" t="s">
        <v>2861</v>
      </c>
      <c r="L517" t="s">
        <v>818</v>
      </c>
    </row>
    <row r="518" spans="1:12" ht="13.2">
      <c r="A518" t="s">
        <v>1591</v>
      </c>
      <c r="B518" t="b">
        <v>0</v>
      </c>
      <c r="H518" t="s">
        <v>1062</v>
      </c>
      <c r="I518" t="s">
        <v>2855</v>
      </c>
      <c r="J518" t="s">
        <v>2861</v>
      </c>
      <c r="L518" t="s">
        <v>818</v>
      </c>
    </row>
    <row r="519" spans="1:12" ht="13.2">
      <c r="A519" t="s">
        <v>1592</v>
      </c>
      <c r="B519" t="b">
        <v>0</v>
      </c>
      <c r="H519" t="s">
        <v>1062</v>
      </c>
      <c r="I519" t="s">
        <v>2855</v>
      </c>
      <c r="J519" t="s">
        <v>2861</v>
      </c>
      <c r="L519" t="s">
        <v>818</v>
      </c>
    </row>
    <row r="520" spans="1:12" ht="13.2">
      <c r="A520" t="s">
        <v>1593</v>
      </c>
      <c r="B520" t="b">
        <v>0</v>
      </c>
      <c r="H520" t="s">
        <v>1062</v>
      </c>
      <c r="I520" t="s">
        <v>2855</v>
      </c>
      <c r="J520" t="s">
        <v>2861</v>
      </c>
      <c r="L520" t="s">
        <v>818</v>
      </c>
    </row>
    <row r="521" spans="1:12" ht="13.2">
      <c r="A521" t="s">
        <v>1594</v>
      </c>
      <c r="B521" t="b">
        <v>0</v>
      </c>
      <c r="H521" t="s">
        <v>1062</v>
      </c>
      <c r="I521" t="s">
        <v>2855</v>
      </c>
      <c r="J521" t="s">
        <v>2861</v>
      </c>
      <c r="L521" t="s">
        <v>818</v>
      </c>
    </row>
    <row r="522" spans="1:12" ht="13.2">
      <c r="A522" t="s">
        <v>1595</v>
      </c>
      <c r="B522" t="b">
        <v>0</v>
      </c>
      <c r="H522" t="s">
        <v>1062</v>
      </c>
      <c r="I522" t="s">
        <v>2855</v>
      </c>
      <c r="J522" t="s">
        <v>2861</v>
      </c>
      <c r="L522" t="s">
        <v>818</v>
      </c>
    </row>
    <row r="523" spans="1:12" ht="13.2">
      <c r="A523" t="s">
        <v>1596</v>
      </c>
      <c r="B523" t="b">
        <v>0</v>
      </c>
      <c r="H523" t="s">
        <v>1062</v>
      </c>
      <c r="I523" t="s">
        <v>2855</v>
      </c>
      <c r="J523" t="s">
        <v>2861</v>
      </c>
      <c r="L523" t="s">
        <v>818</v>
      </c>
    </row>
    <row r="524" spans="1:12" ht="13.2">
      <c r="A524" t="s">
        <v>1597</v>
      </c>
      <c r="B524" t="b">
        <v>0</v>
      </c>
      <c r="H524" t="s">
        <v>1062</v>
      </c>
      <c r="I524" t="s">
        <v>2855</v>
      </c>
      <c r="J524" t="s">
        <v>2861</v>
      </c>
      <c r="L524" t="s">
        <v>818</v>
      </c>
    </row>
    <row r="525" spans="1:12" ht="13.2">
      <c r="A525" t="s">
        <v>1598</v>
      </c>
      <c r="B525" t="b">
        <v>0</v>
      </c>
      <c r="H525" t="s">
        <v>1062</v>
      </c>
      <c r="I525" t="s">
        <v>2855</v>
      </c>
      <c r="J525" t="s">
        <v>2861</v>
      </c>
      <c r="L525" t="s">
        <v>818</v>
      </c>
    </row>
    <row r="526" spans="1:12" ht="13.2">
      <c r="A526" t="s">
        <v>1608</v>
      </c>
      <c r="B526" t="b">
        <v>0</v>
      </c>
      <c r="H526" t="s">
        <v>1062</v>
      </c>
      <c r="I526" t="s">
        <v>2855</v>
      </c>
      <c r="J526" t="s">
        <v>2861</v>
      </c>
      <c r="L526" t="s">
        <v>818</v>
      </c>
    </row>
    <row r="527" spans="1:12" ht="13.2">
      <c r="A527" t="s">
        <v>1609</v>
      </c>
      <c r="B527" t="b">
        <v>0</v>
      </c>
      <c r="H527" t="s">
        <v>1062</v>
      </c>
      <c r="I527" t="s">
        <v>2855</v>
      </c>
      <c r="J527" t="s">
        <v>2861</v>
      </c>
      <c r="L527" t="s">
        <v>818</v>
      </c>
    </row>
    <row r="528" spans="1:12" ht="13.2">
      <c r="A528" t="s">
        <v>1610</v>
      </c>
      <c r="B528" t="b">
        <v>0</v>
      </c>
      <c r="H528" t="s">
        <v>1062</v>
      </c>
      <c r="I528" t="s">
        <v>2855</v>
      </c>
      <c r="J528" t="s">
        <v>2861</v>
      </c>
      <c r="L528" t="s">
        <v>818</v>
      </c>
    </row>
    <row r="529" spans="1:12" ht="13.2">
      <c r="A529" t="s">
        <v>1611</v>
      </c>
      <c r="B529" t="b">
        <v>0</v>
      </c>
      <c r="H529" t="s">
        <v>1062</v>
      </c>
      <c r="I529" t="s">
        <v>2855</v>
      </c>
      <c r="J529" t="s">
        <v>2861</v>
      </c>
      <c r="L529" t="s">
        <v>818</v>
      </c>
    </row>
    <row r="530" spans="1:12" ht="13.2">
      <c r="A530" t="s">
        <v>1612</v>
      </c>
      <c r="B530" t="b">
        <v>0</v>
      </c>
      <c r="H530" t="s">
        <v>1062</v>
      </c>
      <c r="I530" t="s">
        <v>2855</v>
      </c>
      <c r="J530" t="s">
        <v>2861</v>
      </c>
      <c r="L530" t="s">
        <v>818</v>
      </c>
    </row>
    <row r="531" spans="1:12" ht="13.2">
      <c r="A531" t="s">
        <v>1613</v>
      </c>
      <c r="B531" t="b">
        <v>0</v>
      </c>
      <c r="H531" t="s">
        <v>1062</v>
      </c>
      <c r="I531" t="s">
        <v>2855</v>
      </c>
      <c r="J531" t="s">
        <v>2861</v>
      </c>
      <c r="L531" t="s">
        <v>818</v>
      </c>
    </row>
    <row r="532" spans="1:12" ht="13.2">
      <c r="A532" t="s">
        <v>1614</v>
      </c>
      <c r="B532" t="b">
        <v>0</v>
      </c>
      <c r="H532" t="s">
        <v>1062</v>
      </c>
      <c r="I532" t="s">
        <v>2855</v>
      </c>
      <c r="J532" t="s">
        <v>2861</v>
      </c>
      <c r="L532" t="s">
        <v>818</v>
      </c>
    </row>
    <row r="533" spans="1:12" ht="13.2">
      <c r="A533" t="s">
        <v>1615</v>
      </c>
      <c r="B533" t="b">
        <v>0</v>
      </c>
      <c r="H533" t="s">
        <v>1062</v>
      </c>
      <c r="I533" t="s">
        <v>2855</v>
      </c>
      <c r="J533" t="s">
        <v>2861</v>
      </c>
      <c r="L533" t="s">
        <v>818</v>
      </c>
    </row>
    <row r="534" spans="1:12" ht="13.2">
      <c r="A534" t="s">
        <v>1616</v>
      </c>
      <c r="B534" t="b">
        <v>0</v>
      </c>
      <c r="H534" t="s">
        <v>1062</v>
      </c>
      <c r="I534" t="s">
        <v>2855</v>
      </c>
      <c r="J534" t="s">
        <v>2861</v>
      </c>
      <c r="L534" t="s">
        <v>818</v>
      </c>
    </row>
    <row r="535" spans="1:12" ht="13.2">
      <c r="A535" t="s">
        <v>1617</v>
      </c>
      <c r="B535" t="b">
        <v>0</v>
      </c>
      <c r="H535" t="s">
        <v>1062</v>
      </c>
      <c r="I535" t="s">
        <v>2855</v>
      </c>
      <c r="J535" t="s">
        <v>2857</v>
      </c>
      <c r="L535" t="s">
        <v>818</v>
      </c>
    </row>
    <row r="536" spans="1:12" ht="13.2">
      <c r="A536" t="s">
        <v>1618</v>
      </c>
      <c r="B536" t="b">
        <v>0</v>
      </c>
      <c r="H536" t="s">
        <v>1062</v>
      </c>
      <c r="I536" t="s">
        <v>2855</v>
      </c>
      <c r="J536" t="s">
        <v>2857</v>
      </c>
      <c r="L536" t="s">
        <v>818</v>
      </c>
    </row>
    <row r="537" spans="1:12" ht="13.2">
      <c r="A537" t="s">
        <v>1619</v>
      </c>
      <c r="B537" t="b">
        <v>0</v>
      </c>
      <c r="H537" t="s">
        <v>1062</v>
      </c>
      <c r="I537" t="s">
        <v>2855</v>
      </c>
      <c r="J537" t="s">
        <v>2857</v>
      </c>
      <c r="L537" t="s">
        <v>818</v>
      </c>
    </row>
    <row r="538" spans="1:12" ht="13.2">
      <c r="A538" t="s">
        <v>1620</v>
      </c>
      <c r="B538" t="b">
        <v>0</v>
      </c>
      <c r="H538" t="s">
        <v>1062</v>
      </c>
      <c r="I538" t="s">
        <v>2855</v>
      </c>
      <c r="J538" t="s">
        <v>2857</v>
      </c>
      <c r="L538" t="s">
        <v>818</v>
      </c>
    </row>
    <row r="539" spans="1:12" ht="13.2">
      <c r="A539" t="s">
        <v>1621</v>
      </c>
      <c r="B539" t="b">
        <v>0</v>
      </c>
      <c r="H539" t="s">
        <v>1062</v>
      </c>
      <c r="I539" t="s">
        <v>2855</v>
      </c>
      <c r="J539" t="s">
        <v>2857</v>
      </c>
      <c r="L539" t="s">
        <v>818</v>
      </c>
    </row>
    <row r="540" spans="1:12" ht="13.2">
      <c r="A540" t="s">
        <v>1622</v>
      </c>
      <c r="B540" t="b">
        <v>0</v>
      </c>
      <c r="H540" t="s">
        <v>1062</v>
      </c>
      <c r="I540" t="s">
        <v>2855</v>
      </c>
      <c r="J540" t="s">
        <v>2857</v>
      </c>
      <c r="L540" t="s">
        <v>818</v>
      </c>
    </row>
    <row r="541" spans="1:12" ht="13.2">
      <c r="A541" t="s">
        <v>1623</v>
      </c>
      <c r="B541" t="b">
        <v>0</v>
      </c>
      <c r="H541" t="s">
        <v>1062</v>
      </c>
      <c r="I541" t="s">
        <v>2855</v>
      </c>
      <c r="J541" t="s">
        <v>2857</v>
      </c>
      <c r="L541" t="s">
        <v>818</v>
      </c>
    </row>
    <row r="542" spans="1:12" ht="13.2">
      <c r="A542" t="s">
        <v>1624</v>
      </c>
      <c r="B542" t="b">
        <v>0</v>
      </c>
      <c r="H542" t="s">
        <v>1062</v>
      </c>
      <c r="I542" t="s">
        <v>2855</v>
      </c>
      <c r="J542" t="s">
        <v>2857</v>
      </c>
      <c r="L542" t="s">
        <v>818</v>
      </c>
    </row>
    <row r="543" spans="1:12" ht="13.2">
      <c r="A543" t="s">
        <v>1625</v>
      </c>
      <c r="B543" t="b">
        <v>0</v>
      </c>
      <c r="H543" t="s">
        <v>1062</v>
      </c>
      <c r="I543" t="s">
        <v>2855</v>
      </c>
      <c r="J543" t="s">
        <v>2857</v>
      </c>
      <c r="L543" t="s">
        <v>818</v>
      </c>
    </row>
    <row r="544" spans="1:12" ht="13.2">
      <c r="A544" t="s">
        <v>1626</v>
      </c>
      <c r="B544" t="b">
        <v>0</v>
      </c>
      <c r="H544" t="s">
        <v>1062</v>
      </c>
      <c r="I544" t="s">
        <v>2855</v>
      </c>
      <c r="J544" t="s">
        <v>2857</v>
      </c>
      <c r="L544" t="s">
        <v>818</v>
      </c>
    </row>
    <row r="545" spans="1:12" ht="13.2">
      <c r="A545" t="s">
        <v>1627</v>
      </c>
      <c r="B545" t="b">
        <v>0</v>
      </c>
      <c r="H545" t="s">
        <v>1062</v>
      </c>
      <c r="I545" t="s">
        <v>2855</v>
      </c>
      <c r="J545" t="s">
        <v>2857</v>
      </c>
      <c r="L545" t="s">
        <v>818</v>
      </c>
    </row>
    <row r="546" spans="1:12" ht="13.2">
      <c r="A546" t="s">
        <v>1628</v>
      </c>
      <c r="B546" t="b">
        <v>0</v>
      </c>
      <c r="H546" t="s">
        <v>1062</v>
      </c>
      <c r="I546" t="s">
        <v>2855</v>
      </c>
      <c r="J546" t="s">
        <v>2857</v>
      </c>
      <c r="L546" t="s">
        <v>818</v>
      </c>
    </row>
    <row r="547" spans="1:12" ht="13.2">
      <c r="A547" t="s">
        <v>1629</v>
      </c>
      <c r="B547" t="b">
        <v>0</v>
      </c>
      <c r="H547" t="s">
        <v>1062</v>
      </c>
      <c r="I547" t="s">
        <v>2855</v>
      </c>
      <c r="J547" t="s">
        <v>2857</v>
      </c>
      <c r="L547" t="s">
        <v>818</v>
      </c>
    </row>
    <row r="548" spans="1:12" ht="13.2">
      <c r="A548" t="s">
        <v>1630</v>
      </c>
      <c r="B548" t="b">
        <v>0</v>
      </c>
      <c r="H548" t="s">
        <v>1062</v>
      </c>
      <c r="I548" t="s">
        <v>2855</v>
      </c>
      <c r="J548" t="s">
        <v>2857</v>
      </c>
      <c r="L548" t="s">
        <v>818</v>
      </c>
    </row>
    <row r="549" spans="1:12" ht="13.2">
      <c r="A549" t="s">
        <v>1631</v>
      </c>
      <c r="B549" t="b">
        <v>0</v>
      </c>
      <c r="H549" t="s">
        <v>1062</v>
      </c>
      <c r="I549" t="s">
        <v>2855</v>
      </c>
      <c r="J549" t="s">
        <v>2857</v>
      </c>
      <c r="L549" t="s">
        <v>818</v>
      </c>
    </row>
    <row r="550" spans="1:12" ht="13.2">
      <c r="A550" t="s">
        <v>1632</v>
      </c>
      <c r="B550" t="b">
        <v>0</v>
      </c>
      <c r="H550" t="s">
        <v>1062</v>
      </c>
      <c r="I550" t="s">
        <v>2855</v>
      </c>
      <c r="J550" t="s">
        <v>2857</v>
      </c>
      <c r="L550" t="s">
        <v>818</v>
      </c>
    </row>
    <row r="551" spans="1:12" ht="13.2">
      <c r="A551" t="s">
        <v>1633</v>
      </c>
      <c r="B551" t="b">
        <v>0</v>
      </c>
      <c r="H551" t="s">
        <v>1062</v>
      </c>
      <c r="I551" t="s">
        <v>2855</v>
      </c>
      <c r="J551" t="s">
        <v>2861</v>
      </c>
      <c r="L551" t="s">
        <v>818</v>
      </c>
    </row>
    <row r="552" spans="1:12" ht="13.2">
      <c r="A552" t="s">
        <v>1634</v>
      </c>
      <c r="B552" t="b">
        <v>0</v>
      </c>
      <c r="C552" t="s">
        <v>1131</v>
      </c>
      <c r="D552" t="s">
        <v>1143</v>
      </c>
      <c r="E552" t="s">
        <v>1131</v>
      </c>
      <c r="H552" t="s">
        <v>1062</v>
      </c>
      <c r="I552" t="s">
        <v>2855</v>
      </c>
      <c r="J552" t="s">
        <v>2861</v>
      </c>
      <c r="L552" t="s">
        <v>818</v>
      </c>
    </row>
    <row r="553" spans="1:12" ht="13.2">
      <c r="A553" t="s">
        <v>1635</v>
      </c>
      <c r="B553" t="b">
        <v>0</v>
      </c>
      <c r="C553" t="s">
        <v>963</v>
      </c>
      <c r="D553" t="s">
        <v>963</v>
      </c>
      <c r="E553" t="s">
        <v>963</v>
      </c>
      <c r="H553" t="s">
        <v>1062</v>
      </c>
      <c r="I553" t="s">
        <v>2855</v>
      </c>
      <c r="J553" t="s">
        <v>2861</v>
      </c>
      <c r="L553" t="s">
        <v>818</v>
      </c>
    </row>
    <row r="554" spans="1:12" ht="13.2">
      <c r="A554" t="s">
        <v>1636</v>
      </c>
      <c r="B554" t="b">
        <v>0</v>
      </c>
      <c r="H554" t="s">
        <v>1062</v>
      </c>
      <c r="I554" t="s">
        <v>2855</v>
      </c>
      <c r="J554" t="s">
        <v>2861</v>
      </c>
      <c r="L554" t="s">
        <v>818</v>
      </c>
    </row>
    <row r="555" spans="1:12" ht="13.2">
      <c r="A555" t="s">
        <v>1637</v>
      </c>
      <c r="B555" t="b">
        <v>0</v>
      </c>
      <c r="H555" t="s">
        <v>1062</v>
      </c>
      <c r="I555" t="s">
        <v>2855</v>
      </c>
      <c r="J555" t="s">
        <v>2861</v>
      </c>
      <c r="L555" t="s">
        <v>818</v>
      </c>
    </row>
    <row r="556" spans="1:12" ht="13.2">
      <c r="A556" t="s">
        <v>1638</v>
      </c>
      <c r="B556" t="b">
        <v>0</v>
      </c>
      <c r="H556" t="s">
        <v>1062</v>
      </c>
      <c r="I556" t="s">
        <v>2855</v>
      </c>
      <c r="J556" t="s">
        <v>2861</v>
      </c>
      <c r="L556" t="s">
        <v>818</v>
      </c>
    </row>
    <row r="557" spans="1:12" ht="13.2">
      <c r="A557" t="s">
        <v>1639</v>
      </c>
      <c r="B557" t="b">
        <v>0</v>
      </c>
      <c r="H557" t="s">
        <v>1062</v>
      </c>
      <c r="I557" t="s">
        <v>2855</v>
      </c>
      <c r="J557" t="s">
        <v>2861</v>
      </c>
      <c r="L557" t="s">
        <v>818</v>
      </c>
    </row>
    <row r="558" spans="1:12" ht="13.2">
      <c r="A558" t="s">
        <v>1640</v>
      </c>
      <c r="B558" t="b">
        <v>0</v>
      </c>
      <c r="H558" t="s">
        <v>1062</v>
      </c>
      <c r="I558" t="s">
        <v>2855</v>
      </c>
      <c r="J558" t="s">
        <v>2861</v>
      </c>
      <c r="L558" t="s">
        <v>818</v>
      </c>
    </row>
    <row r="559" spans="1:12" ht="13.2">
      <c r="A559" t="s">
        <v>1641</v>
      </c>
      <c r="B559" t="b">
        <v>0</v>
      </c>
      <c r="C559" t="s">
        <v>903</v>
      </c>
      <c r="D559" t="s">
        <v>903</v>
      </c>
      <c r="E559" t="s">
        <v>903</v>
      </c>
      <c r="H559" t="s">
        <v>1062</v>
      </c>
      <c r="I559" t="s">
        <v>2855</v>
      </c>
      <c r="J559" t="s">
        <v>2861</v>
      </c>
      <c r="L559" t="s">
        <v>818</v>
      </c>
    </row>
    <row r="560" spans="1:12" ht="13.2">
      <c r="A560" t="s">
        <v>1642</v>
      </c>
      <c r="B560" t="b">
        <v>0</v>
      </c>
      <c r="H560" t="s">
        <v>1062</v>
      </c>
      <c r="I560" t="s">
        <v>2855</v>
      </c>
      <c r="J560" t="s">
        <v>2861</v>
      </c>
      <c r="L560" t="s">
        <v>818</v>
      </c>
    </row>
    <row r="561" spans="1:12" ht="13.2">
      <c r="A561" t="s">
        <v>1643</v>
      </c>
      <c r="B561" t="b">
        <v>0</v>
      </c>
      <c r="C561" t="s">
        <v>903</v>
      </c>
      <c r="D561" t="s">
        <v>903</v>
      </c>
      <c r="E561" t="s">
        <v>903</v>
      </c>
      <c r="H561" t="s">
        <v>1062</v>
      </c>
      <c r="I561" t="s">
        <v>2855</v>
      </c>
      <c r="J561" t="s">
        <v>2861</v>
      </c>
      <c r="L561" t="s">
        <v>818</v>
      </c>
    </row>
    <row r="562" spans="1:12" ht="13.2">
      <c r="A562" t="s">
        <v>1644</v>
      </c>
      <c r="B562" t="b">
        <v>0</v>
      </c>
      <c r="H562" t="s">
        <v>1062</v>
      </c>
      <c r="I562" t="s">
        <v>2855</v>
      </c>
      <c r="J562" t="s">
        <v>2861</v>
      </c>
      <c r="L562" t="s">
        <v>818</v>
      </c>
    </row>
    <row r="563" spans="1:12" ht="13.2">
      <c r="A563" t="s">
        <v>1645</v>
      </c>
      <c r="B563" t="b">
        <v>0</v>
      </c>
      <c r="H563" t="s">
        <v>1062</v>
      </c>
      <c r="I563" t="s">
        <v>2855</v>
      </c>
      <c r="J563" t="s">
        <v>2863</v>
      </c>
      <c r="L563" t="s">
        <v>818</v>
      </c>
    </row>
    <row r="564" spans="1:12" ht="13.2">
      <c r="A564" t="s">
        <v>1646</v>
      </c>
      <c r="B564" t="b">
        <v>0</v>
      </c>
      <c r="H564" t="s">
        <v>1062</v>
      </c>
      <c r="I564" t="s">
        <v>2855</v>
      </c>
      <c r="J564" t="s">
        <v>2863</v>
      </c>
      <c r="L564" t="s">
        <v>818</v>
      </c>
    </row>
    <row r="565" spans="1:12" ht="13.2">
      <c r="A565" t="s">
        <v>1647</v>
      </c>
      <c r="B565" t="b">
        <v>0</v>
      </c>
      <c r="H565" t="s">
        <v>1062</v>
      </c>
      <c r="I565" t="s">
        <v>2855</v>
      </c>
      <c r="J565" t="s">
        <v>2863</v>
      </c>
      <c r="L565" t="s">
        <v>818</v>
      </c>
    </row>
    <row r="566" spans="1:12" ht="13.2">
      <c r="A566" t="s">
        <v>1648</v>
      </c>
      <c r="B566" t="b">
        <v>0</v>
      </c>
      <c r="H566" t="s">
        <v>1062</v>
      </c>
      <c r="I566" t="s">
        <v>2855</v>
      </c>
      <c r="J566" t="s">
        <v>2863</v>
      </c>
      <c r="L566" t="s">
        <v>818</v>
      </c>
    </row>
    <row r="567" spans="1:12" ht="13.2">
      <c r="A567" t="s">
        <v>1649</v>
      </c>
      <c r="B567" t="b">
        <v>0</v>
      </c>
      <c r="H567" t="s">
        <v>1062</v>
      </c>
      <c r="I567" t="s">
        <v>2855</v>
      </c>
      <c r="J567" t="s">
        <v>2863</v>
      </c>
      <c r="L567" t="s">
        <v>818</v>
      </c>
    </row>
    <row r="568" spans="1:12" ht="13.2">
      <c r="A568" t="s">
        <v>1650</v>
      </c>
      <c r="B568" t="b">
        <v>0</v>
      </c>
      <c r="H568" t="s">
        <v>1062</v>
      </c>
      <c r="I568" t="s">
        <v>2855</v>
      </c>
      <c r="J568" t="s">
        <v>2863</v>
      </c>
      <c r="L568" t="s">
        <v>818</v>
      </c>
    </row>
    <row r="569" spans="1:12" ht="13.2">
      <c r="A569" t="s">
        <v>1651</v>
      </c>
      <c r="B569" t="b">
        <v>0</v>
      </c>
      <c r="H569" t="s">
        <v>1062</v>
      </c>
      <c r="I569" t="s">
        <v>2855</v>
      </c>
      <c r="J569" t="s">
        <v>2863</v>
      </c>
      <c r="L569" t="s">
        <v>818</v>
      </c>
    </row>
    <row r="570" spans="1:12" ht="13.2">
      <c r="A570" t="s">
        <v>1652</v>
      </c>
      <c r="B570" t="b">
        <v>0</v>
      </c>
      <c r="H570" t="s">
        <v>1062</v>
      </c>
      <c r="I570" t="s">
        <v>2855</v>
      </c>
      <c r="J570" t="s">
        <v>2863</v>
      </c>
      <c r="L570" t="s">
        <v>818</v>
      </c>
    </row>
    <row r="571" spans="1:12" ht="13.2">
      <c r="A571" t="s">
        <v>1653</v>
      </c>
      <c r="B571" t="b">
        <v>0</v>
      </c>
      <c r="C571" t="s">
        <v>903</v>
      </c>
      <c r="D571" t="s">
        <v>998</v>
      </c>
      <c r="E571" t="s">
        <v>1080</v>
      </c>
      <c r="H571" t="s">
        <v>903</v>
      </c>
      <c r="I571" t="s">
        <v>2855</v>
      </c>
      <c r="J571" t="s">
        <v>2865</v>
      </c>
      <c r="K571" t="s">
        <v>2923</v>
      </c>
      <c r="L571" t="s">
        <v>818</v>
      </c>
    </row>
    <row r="572" spans="1:12" ht="13.2">
      <c r="A572" t="s">
        <v>1654</v>
      </c>
      <c r="B572" t="b">
        <v>0</v>
      </c>
      <c r="C572" t="s">
        <v>903</v>
      </c>
      <c r="D572" t="s">
        <v>998</v>
      </c>
      <c r="E572" t="s">
        <v>1080</v>
      </c>
      <c r="H572" t="s">
        <v>903</v>
      </c>
      <c r="I572" t="s">
        <v>2855</v>
      </c>
      <c r="J572" t="s">
        <v>2865</v>
      </c>
      <c r="K572" t="s">
        <v>2923</v>
      </c>
      <c r="L572" t="s">
        <v>818</v>
      </c>
    </row>
    <row r="573" spans="1:12" ht="13.2">
      <c r="A573" t="s">
        <v>1655</v>
      </c>
      <c r="B573" t="b">
        <v>0</v>
      </c>
      <c r="C573" t="s">
        <v>903</v>
      </c>
      <c r="D573" t="s">
        <v>998</v>
      </c>
      <c r="E573" t="s">
        <v>1080</v>
      </c>
      <c r="H573" t="s">
        <v>903</v>
      </c>
      <c r="I573" t="s">
        <v>2855</v>
      </c>
      <c r="J573" t="s">
        <v>2865</v>
      </c>
      <c r="K573" t="s">
        <v>2923</v>
      </c>
      <c r="L573" t="s">
        <v>818</v>
      </c>
    </row>
    <row r="574" spans="1:12" ht="13.2">
      <c r="A574" t="s">
        <v>1656</v>
      </c>
      <c r="B574" t="b">
        <v>0</v>
      </c>
      <c r="C574" t="s">
        <v>903</v>
      </c>
      <c r="D574" t="s">
        <v>903</v>
      </c>
      <c r="E574" t="s">
        <v>903</v>
      </c>
      <c r="H574" t="s">
        <v>903</v>
      </c>
      <c r="I574" t="s">
        <v>2855</v>
      </c>
      <c r="J574" t="s">
        <v>2865</v>
      </c>
      <c r="K574" t="s">
        <v>2923</v>
      </c>
      <c r="L574" t="s">
        <v>818</v>
      </c>
    </row>
    <row r="575" spans="1:12" ht="13.2">
      <c r="A575" t="s">
        <v>1657</v>
      </c>
      <c r="B575" t="b">
        <v>0</v>
      </c>
      <c r="C575" t="s">
        <v>903</v>
      </c>
      <c r="D575" t="s">
        <v>998</v>
      </c>
      <c r="E575" t="s">
        <v>1080</v>
      </c>
      <c r="H575" t="s">
        <v>903</v>
      </c>
      <c r="I575" t="s">
        <v>2855</v>
      </c>
      <c r="J575" t="s">
        <v>2865</v>
      </c>
      <c r="K575" t="s">
        <v>2923</v>
      </c>
      <c r="L575" t="s">
        <v>818</v>
      </c>
    </row>
    <row r="576" spans="1:12" ht="13.2">
      <c r="A576" t="s">
        <v>1658</v>
      </c>
      <c r="B576" t="b">
        <v>0</v>
      </c>
      <c r="C576" t="s">
        <v>903</v>
      </c>
      <c r="D576" t="s">
        <v>903</v>
      </c>
      <c r="E576" t="s">
        <v>903</v>
      </c>
      <c r="H576" t="s">
        <v>903</v>
      </c>
      <c r="I576" t="s">
        <v>2855</v>
      </c>
      <c r="J576" t="s">
        <v>2865</v>
      </c>
      <c r="K576" t="s">
        <v>2923</v>
      </c>
      <c r="L576" t="s">
        <v>818</v>
      </c>
    </row>
    <row r="577" spans="1:12" ht="13.2">
      <c r="A577" t="s">
        <v>1659</v>
      </c>
      <c r="B577" t="b">
        <v>0</v>
      </c>
      <c r="C577" t="s">
        <v>903</v>
      </c>
      <c r="D577" t="s">
        <v>903</v>
      </c>
      <c r="E577" t="s">
        <v>903</v>
      </c>
      <c r="H577" t="s">
        <v>903</v>
      </c>
      <c r="I577" t="s">
        <v>2855</v>
      </c>
      <c r="J577" t="s">
        <v>2865</v>
      </c>
      <c r="K577" t="s">
        <v>2923</v>
      </c>
      <c r="L577" t="s">
        <v>818</v>
      </c>
    </row>
    <row r="578" spans="1:12" ht="13.2">
      <c r="A578" t="s">
        <v>1660</v>
      </c>
      <c r="B578" t="b">
        <v>0</v>
      </c>
      <c r="C578" t="s">
        <v>903</v>
      </c>
      <c r="D578" t="s">
        <v>998</v>
      </c>
      <c r="E578" t="s">
        <v>1080</v>
      </c>
      <c r="H578" t="s">
        <v>903</v>
      </c>
      <c r="I578" t="s">
        <v>2855</v>
      </c>
      <c r="J578" t="s">
        <v>2865</v>
      </c>
      <c r="K578" t="s">
        <v>2923</v>
      </c>
      <c r="L578" t="s">
        <v>818</v>
      </c>
    </row>
    <row r="579" spans="1:12" ht="13.2">
      <c r="A579" t="s">
        <v>1661</v>
      </c>
      <c r="B579" t="b">
        <v>0</v>
      </c>
      <c r="C579" t="s">
        <v>903</v>
      </c>
      <c r="D579" t="s">
        <v>903</v>
      </c>
      <c r="E579" t="s">
        <v>903</v>
      </c>
      <c r="H579" t="s">
        <v>903</v>
      </c>
      <c r="I579" t="s">
        <v>2855</v>
      </c>
      <c r="J579" t="s">
        <v>2865</v>
      </c>
      <c r="K579" t="s">
        <v>2923</v>
      </c>
      <c r="L579" t="s">
        <v>818</v>
      </c>
    </row>
    <row r="580" spans="1:12" ht="13.2">
      <c r="A580" t="s">
        <v>1662</v>
      </c>
      <c r="B580" t="b">
        <v>0</v>
      </c>
      <c r="C580" t="s">
        <v>963</v>
      </c>
      <c r="D580" t="s">
        <v>963</v>
      </c>
      <c r="E580" t="s">
        <v>963</v>
      </c>
      <c r="H580" t="s">
        <v>963</v>
      </c>
      <c r="I580" t="s">
        <v>2855</v>
      </c>
      <c r="J580" t="s">
        <v>2865</v>
      </c>
      <c r="K580" t="s">
        <v>2923</v>
      </c>
      <c r="L580" t="s">
        <v>818</v>
      </c>
    </row>
    <row r="581" spans="1:12" ht="13.2">
      <c r="A581" t="s">
        <v>1663</v>
      </c>
      <c r="B581" t="b">
        <v>0</v>
      </c>
      <c r="C581" t="s">
        <v>903</v>
      </c>
      <c r="D581" t="s">
        <v>998</v>
      </c>
      <c r="E581" t="s">
        <v>1080</v>
      </c>
      <c r="G581" t="s">
        <v>1026</v>
      </c>
      <c r="H581" t="s">
        <v>903</v>
      </c>
      <c r="I581" t="s">
        <v>2855</v>
      </c>
      <c r="J581" t="s">
        <v>2865</v>
      </c>
      <c r="K581" t="s">
        <v>2923</v>
      </c>
      <c r="L581" t="s">
        <v>818</v>
      </c>
    </row>
    <row r="582" spans="1:12" ht="13.2">
      <c r="A582" t="s">
        <v>1664</v>
      </c>
      <c r="B582" t="b">
        <v>0</v>
      </c>
      <c r="C582" t="s">
        <v>903</v>
      </c>
      <c r="D582" t="s">
        <v>998</v>
      </c>
      <c r="E582" t="s">
        <v>1080</v>
      </c>
      <c r="H582" t="s">
        <v>903</v>
      </c>
      <c r="I582" t="s">
        <v>2855</v>
      </c>
      <c r="J582" t="s">
        <v>2865</v>
      </c>
      <c r="K582" t="s">
        <v>2923</v>
      </c>
      <c r="L582" t="s">
        <v>818</v>
      </c>
    </row>
    <row r="583" spans="1:12" ht="13.2">
      <c r="A583" t="s">
        <v>1665</v>
      </c>
      <c r="B583" t="b">
        <v>0</v>
      </c>
      <c r="C583" t="s">
        <v>903</v>
      </c>
      <c r="D583" t="s">
        <v>903</v>
      </c>
      <c r="E583" t="s">
        <v>903</v>
      </c>
      <c r="H583" t="s">
        <v>903</v>
      </c>
      <c r="I583" t="s">
        <v>2855</v>
      </c>
      <c r="J583" t="s">
        <v>2865</v>
      </c>
      <c r="K583" t="s">
        <v>2923</v>
      </c>
      <c r="L583" t="s">
        <v>818</v>
      </c>
    </row>
    <row r="584" spans="1:12" ht="13.2">
      <c r="A584" t="s">
        <v>1666</v>
      </c>
      <c r="B584" t="b">
        <v>0</v>
      </c>
      <c r="C584" t="s">
        <v>903</v>
      </c>
      <c r="D584" t="s">
        <v>903</v>
      </c>
      <c r="E584" t="s">
        <v>903</v>
      </c>
      <c r="H584" t="s">
        <v>903</v>
      </c>
      <c r="I584" t="s">
        <v>2855</v>
      </c>
      <c r="J584" t="s">
        <v>2865</v>
      </c>
      <c r="K584" t="s">
        <v>2923</v>
      </c>
      <c r="L584" t="s">
        <v>818</v>
      </c>
    </row>
    <row r="585" spans="1:12" ht="13.2">
      <c r="A585" t="s">
        <v>1667</v>
      </c>
      <c r="B585" t="b">
        <v>0</v>
      </c>
      <c r="C585" t="s">
        <v>963</v>
      </c>
      <c r="D585" t="s">
        <v>963</v>
      </c>
      <c r="E585" t="s">
        <v>963</v>
      </c>
      <c r="H585" t="s">
        <v>903</v>
      </c>
      <c r="I585" t="s">
        <v>2855</v>
      </c>
      <c r="J585" t="s">
        <v>2865</v>
      </c>
      <c r="K585" t="s">
        <v>2923</v>
      </c>
      <c r="L585" t="s">
        <v>818</v>
      </c>
    </row>
    <row r="586" spans="1:12" ht="13.2">
      <c r="A586" t="s">
        <v>1668</v>
      </c>
      <c r="B586" t="b">
        <v>0</v>
      </c>
      <c r="C586" t="s">
        <v>903</v>
      </c>
      <c r="D586" t="s">
        <v>998</v>
      </c>
      <c r="E586" t="s">
        <v>1080</v>
      </c>
      <c r="H586" t="s">
        <v>903</v>
      </c>
      <c r="I586" t="s">
        <v>2855</v>
      </c>
      <c r="J586" t="s">
        <v>2865</v>
      </c>
      <c r="K586" t="s">
        <v>2923</v>
      </c>
      <c r="L586" t="s">
        <v>818</v>
      </c>
    </row>
    <row r="587" spans="1:12" ht="13.2">
      <c r="A587" t="s">
        <v>1669</v>
      </c>
      <c r="B587" t="b">
        <v>0</v>
      </c>
      <c r="C587" t="s">
        <v>903</v>
      </c>
      <c r="D587" t="s">
        <v>998</v>
      </c>
      <c r="E587" t="s">
        <v>1080</v>
      </c>
      <c r="H587" t="s">
        <v>903</v>
      </c>
      <c r="I587" t="s">
        <v>2855</v>
      </c>
      <c r="J587" t="s">
        <v>2865</v>
      </c>
      <c r="K587" t="s">
        <v>2923</v>
      </c>
      <c r="L587" t="s">
        <v>818</v>
      </c>
    </row>
    <row r="588" spans="1:12" ht="13.2">
      <c r="A588" t="s">
        <v>1670</v>
      </c>
      <c r="B588" t="b">
        <v>0</v>
      </c>
      <c r="C588" t="s">
        <v>903</v>
      </c>
      <c r="D588" t="s">
        <v>903</v>
      </c>
      <c r="E588" t="s">
        <v>903</v>
      </c>
      <c r="H588" t="s">
        <v>903</v>
      </c>
      <c r="I588" t="s">
        <v>2855</v>
      </c>
      <c r="J588" t="s">
        <v>2865</v>
      </c>
      <c r="K588" t="s">
        <v>2923</v>
      </c>
      <c r="L588" t="s">
        <v>818</v>
      </c>
    </row>
    <row r="589" spans="1:12" ht="13.2">
      <c r="A589" t="s">
        <v>1671</v>
      </c>
      <c r="B589" t="b">
        <v>0</v>
      </c>
      <c r="C589" t="s">
        <v>903</v>
      </c>
      <c r="D589" t="s">
        <v>903</v>
      </c>
      <c r="E589" t="s">
        <v>903</v>
      </c>
      <c r="H589" t="s">
        <v>903</v>
      </c>
      <c r="I589" t="s">
        <v>2855</v>
      </c>
      <c r="J589" t="s">
        <v>2865</v>
      </c>
      <c r="K589" t="s">
        <v>2923</v>
      </c>
      <c r="L589" t="s">
        <v>818</v>
      </c>
    </row>
    <row r="590" spans="1:12" ht="13.2">
      <c r="A590" t="s">
        <v>1672</v>
      </c>
      <c r="B590" t="b">
        <v>0</v>
      </c>
      <c r="C590" t="s">
        <v>903</v>
      </c>
      <c r="D590" t="s">
        <v>903</v>
      </c>
      <c r="E590" t="s">
        <v>903</v>
      </c>
      <c r="H590" t="s">
        <v>903</v>
      </c>
      <c r="I590" t="s">
        <v>2855</v>
      </c>
      <c r="J590" t="s">
        <v>2865</v>
      </c>
      <c r="K590" t="s">
        <v>2923</v>
      </c>
      <c r="L590" t="s">
        <v>818</v>
      </c>
    </row>
    <row r="591" spans="1:12" ht="13.2">
      <c r="A591" t="s">
        <v>1673</v>
      </c>
      <c r="B591" t="b">
        <v>0</v>
      </c>
      <c r="C591" t="s">
        <v>903</v>
      </c>
      <c r="D591" t="s">
        <v>998</v>
      </c>
      <c r="E591" t="s">
        <v>1080</v>
      </c>
      <c r="H591" t="s">
        <v>903</v>
      </c>
      <c r="I591" t="s">
        <v>2855</v>
      </c>
      <c r="J591" t="s">
        <v>2865</v>
      </c>
      <c r="K591" t="s">
        <v>2923</v>
      </c>
      <c r="L591" t="s">
        <v>818</v>
      </c>
    </row>
    <row r="592" spans="1:12" ht="13.2">
      <c r="A592" t="s">
        <v>1674</v>
      </c>
      <c r="B592" t="b">
        <v>0</v>
      </c>
      <c r="C592" t="s">
        <v>963</v>
      </c>
      <c r="D592" t="s">
        <v>963</v>
      </c>
      <c r="E592" t="s">
        <v>963</v>
      </c>
      <c r="H592" t="s">
        <v>963</v>
      </c>
      <c r="I592" t="s">
        <v>2855</v>
      </c>
      <c r="J592" t="s">
        <v>2865</v>
      </c>
      <c r="K592" t="s">
        <v>2923</v>
      </c>
      <c r="L592" t="s">
        <v>818</v>
      </c>
    </row>
    <row r="593" spans="1:12" ht="13.2">
      <c r="A593" t="s">
        <v>1675</v>
      </c>
      <c r="B593" t="b">
        <v>0</v>
      </c>
      <c r="C593" t="s">
        <v>903</v>
      </c>
      <c r="D593" t="s">
        <v>903</v>
      </c>
      <c r="E593" t="s">
        <v>903</v>
      </c>
      <c r="H593" t="s">
        <v>1062</v>
      </c>
      <c r="I593" t="s">
        <v>2855</v>
      </c>
      <c r="J593" t="s">
        <v>2861</v>
      </c>
      <c r="L593" t="s">
        <v>818</v>
      </c>
    </row>
    <row r="594" spans="1:12" ht="13.2">
      <c r="A594" t="s">
        <v>1676</v>
      </c>
      <c r="B594" t="b">
        <v>0</v>
      </c>
      <c r="C594" t="s">
        <v>903</v>
      </c>
      <c r="D594" t="s">
        <v>903</v>
      </c>
      <c r="E594" t="s">
        <v>903</v>
      </c>
      <c r="H594" t="s">
        <v>1062</v>
      </c>
      <c r="I594" t="s">
        <v>2855</v>
      </c>
      <c r="J594" t="s">
        <v>2861</v>
      </c>
      <c r="L594" t="s">
        <v>818</v>
      </c>
    </row>
    <row r="595" spans="1:12" ht="13.2">
      <c r="A595" t="s">
        <v>1677</v>
      </c>
      <c r="B595" t="b">
        <v>0</v>
      </c>
      <c r="C595" t="s">
        <v>903</v>
      </c>
      <c r="D595" t="s">
        <v>903</v>
      </c>
      <c r="E595" t="s">
        <v>903</v>
      </c>
      <c r="H595" t="s">
        <v>1062</v>
      </c>
      <c r="I595" t="s">
        <v>2855</v>
      </c>
      <c r="J595" t="s">
        <v>2861</v>
      </c>
      <c r="L595" t="s">
        <v>818</v>
      </c>
    </row>
    <row r="596" spans="1:12" ht="13.2">
      <c r="A596" t="s">
        <v>1678</v>
      </c>
      <c r="B596" t="b">
        <v>0</v>
      </c>
      <c r="C596" t="s">
        <v>963</v>
      </c>
      <c r="D596" t="s">
        <v>963</v>
      </c>
      <c r="E596" t="s">
        <v>963</v>
      </c>
      <c r="H596" t="s">
        <v>1062</v>
      </c>
      <c r="I596" t="s">
        <v>2855</v>
      </c>
      <c r="J596" t="s">
        <v>2861</v>
      </c>
      <c r="L596" t="s">
        <v>818</v>
      </c>
    </row>
    <row r="597" spans="1:12" ht="13.2">
      <c r="A597" t="s">
        <v>1679</v>
      </c>
      <c r="B597" t="b">
        <v>0</v>
      </c>
      <c r="C597" t="s">
        <v>963</v>
      </c>
      <c r="D597" t="s">
        <v>963</v>
      </c>
      <c r="E597" t="s">
        <v>963</v>
      </c>
      <c r="H597" t="s">
        <v>1062</v>
      </c>
      <c r="I597" t="s">
        <v>2855</v>
      </c>
      <c r="J597" t="s">
        <v>2861</v>
      </c>
      <c r="L597" t="s">
        <v>818</v>
      </c>
    </row>
    <row r="598" spans="1:12" ht="13.2">
      <c r="A598" t="s">
        <v>1680</v>
      </c>
      <c r="B598" t="b">
        <v>0</v>
      </c>
      <c r="C598" t="s">
        <v>963</v>
      </c>
      <c r="D598" t="s">
        <v>963</v>
      </c>
      <c r="E598" t="s">
        <v>963</v>
      </c>
      <c r="H598" t="s">
        <v>1062</v>
      </c>
      <c r="I598" t="s">
        <v>2855</v>
      </c>
      <c r="J598" t="s">
        <v>2861</v>
      </c>
      <c r="L598" t="s">
        <v>818</v>
      </c>
    </row>
    <row r="599" spans="1:12" ht="13.2">
      <c r="A599" t="s">
        <v>1681</v>
      </c>
      <c r="B599" t="b">
        <v>0</v>
      </c>
      <c r="C599" t="s">
        <v>963</v>
      </c>
      <c r="D599" t="s">
        <v>963</v>
      </c>
      <c r="E599" t="s">
        <v>963</v>
      </c>
      <c r="H599" t="s">
        <v>1062</v>
      </c>
      <c r="I599" t="s">
        <v>2855</v>
      </c>
      <c r="J599" t="s">
        <v>2861</v>
      </c>
      <c r="L599" t="s">
        <v>818</v>
      </c>
    </row>
    <row r="600" spans="1:12" ht="13.2">
      <c r="A600" t="s">
        <v>1682</v>
      </c>
      <c r="B600" t="b">
        <v>0</v>
      </c>
      <c r="C600" t="s">
        <v>903</v>
      </c>
      <c r="D600" t="s">
        <v>903</v>
      </c>
      <c r="E600" t="s">
        <v>903</v>
      </c>
      <c r="H600" t="s">
        <v>1062</v>
      </c>
      <c r="I600" t="s">
        <v>2855</v>
      </c>
      <c r="J600" t="s">
        <v>2861</v>
      </c>
      <c r="L600" t="s">
        <v>818</v>
      </c>
    </row>
    <row r="601" spans="1:12" ht="13.2">
      <c r="A601" t="s">
        <v>1683</v>
      </c>
      <c r="B601" t="b">
        <v>0</v>
      </c>
      <c r="C601" t="s">
        <v>1086</v>
      </c>
      <c r="D601" t="s">
        <v>1086</v>
      </c>
      <c r="E601" t="s">
        <v>1086</v>
      </c>
      <c r="H601" t="s">
        <v>1062</v>
      </c>
      <c r="I601" t="s">
        <v>2855</v>
      </c>
      <c r="J601" t="s">
        <v>2861</v>
      </c>
      <c r="L601" t="s">
        <v>818</v>
      </c>
    </row>
    <row r="602" spans="1:12" ht="13.2">
      <c r="A602" t="s">
        <v>1684</v>
      </c>
      <c r="B602" t="b">
        <v>0</v>
      </c>
      <c r="C602" t="s">
        <v>1108</v>
      </c>
      <c r="D602" t="s">
        <v>1109</v>
      </c>
      <c r="E602" t="s">
        <v>1108</v>
      </c>
      <c r="H602" t="s">
        <v>1062</v>
      </c>
      <c r="I602" t="s">
        <v>2855</v>
      </c>
      <c r="J602" t="s">
        <v>2861</v>
      </c>
      <c r="L602" t="s">
        <v>818</v>
      </c>
    </row>
    <row r="603" spans="1:12" ht="13.2">
      <c r="A603" t="s">
        <v>1685</v>
      </c>
      <c r="B603" t="b">
        <v>0</v>
      </c>
      <c r="C603" t="s">
        <v>903</v>
      </c>
      <c r="D603" t="s">
        <v>903</v>
      </c>
      <c r="E603" t="s">
        <v>903</v>
      </c>
      <c r="H603" t="s">
        <v>1062</v>
      </c>
      <c r="I603" t="s">
        <v>2855</v>
      </c>
      <c r="J603" t="s">
        <v>2861</v>
      </c>
      <c r="L603" t="s">
        <v>818</v>
      </c>
    </row>
    <row r="604" spans="1:12" ht="13.2">
      <c r="A604" t="s">
        <v>1686</v>
      </c>
      <c r="B604" t="b">
        <v>0</v>
      </c>
      <c r="C604" t="s">
        <v>903</v>
      </c>
      <c r="D604" t="s">
        <v>903</v>
      </c>
      <c r="E604" t="s">
        <v>903</v>
      </c>
      <c r="H604" t="s">
        <v>1062</v>
      </c>
      <c r="I604" t="s">
        <v>2855</v>
      </c>
      <c r="J604" t="s">
        <v>2861</v>
      </c>
      <c r="L604" t="s">
        <v>818</v>
      </c>
    </row>
    <row r="605" spans="1:12" ht="13.2">
      <c r="A605" t="s">
        <v>1687</v>
      </c>
      <c r="B605" t="b">
        <v>0</v>
      </c>
      <c r="C605" t="s">
        <v>903</v>
      </c>
      <c r="D605" t="s">
        <v>903</v>
      </c>
      <c r="E605" t="s">
        <v>903</v>
      </c>
      <c r="H605" t="s">
        <v>1062</v>
      </c>
      <c r="I605" t="s">
        <v>2855</v>
      </c>
      <c r="J605" t="s">
        <v>2861</v>
      </c>
      <c r="L605" t="s">
        <v>818</v>
      </c>
    </row>
    <row r="606" spans="1:12" ht="13.2">
      <c r="A606" t="s">
        <v>1688</v>
      </c>
      <c r="B606" t="b">
        <v>0</v>
      </c>
      <c r="C606" t="s">
        <v>903</v>
      </c>
      <c r="D606" t="s">
        <v>903</v>
      </c>
      <c r="E606" t="s">
        <v>903</v>
      </c>
      <c r="H606" t="s">
        <v>1062</v>
      </c>
      <c r="I606" t="s">
        <v>2855</v>
      </c>
      <c r="J606" t="s">
        <v>2861</v>
      </c>
      <c r="L606" t="s">
        <v>818</v>
      </c>
    </row>
    <row r="607" spans="1:12" ht="13.2">
      <c r="A607" t="s">
        <v>1689</v>
      </c>
      <c r="B607" t="b">
        <v>0</v>
      </c>
      <c r="C607" t="s">
        <v>903</v>
      </c>
      <c r="D607" t="s">
        <v>903</v>
      </c>
      <c r="E607" t="s">
        <v>903</v>
      </c>
      <c r="H607" t="s">
        <v>1062</v>
      </c>
      <c r="I607" t="s">
        <v>2855</v>
      </c>
      <c r="J607" t="s">
        <v>2861</v>
      </c>
      <c r="L607" t="s">
        <v>818</v>
      </c>
    </row>
    <row r="608" spans="1:12" ht="13.2">
      <c r="A608" t="s">
        <v>1690</v>
      </c>
      <c r="B608" t="b">
        <v>0</v>
      </c>
      <c r="C608" t="s">
        <v>903</v>
      </c>
      <c r="D608" t="s">
        <v>903</v>
      </c>
      <c r="E608" t="s">
        <v>903</v>
      </c>
      <c r="H608" t="s">
        <v>1062</v>
      </c>
      <c r="I608" t="s">
        <v>2855</v>
      </c>
      <c r="J608" t="s">
        <v>2861</v>
      </c>
      <c r="L608" t="s">
        <v>818</v>
      </c>
    </row>
    <row r="609" spans="1:12" ht="13.2">
      <c r="A609" t="s">
        <v>1691</v>
      </c>
      <c r="B609" t="b">
        <v>0</v>
      </c>
      <c r="H609" t="s">
        <v>1062</v>
      </c>
      <c r="I609" t="s">
        <v>2855</v>
      </c>
      <c r="J609" t="s">
        <v>2872</v>
      </c>
      <c r="L609" t="s">
        <v>818</v>
      </c>
    </row>
    <row r="610" spans="1:12" ht="13.2">
      <c r="A610" t="s">
        <v>1692</v>
      </c>
      <c r="B610" t="b">
        <v>0</v>
      </c>
      <c r="H610" t="s">
        <v>1062</v>
      </c>
      <c r="I610" t="s">
        <v>2855</v>
      </c>
      <c r="J610" t="s">
        <v>2872</v>
      </c>
      <c r="L610" t="s">
        <v>818</v>
      </c>
    </row>
    <row r="611" spans="1:12" ht="13.2">
      <c r="A611" t="s">
        <v>1693</v>
      </c>
      <c r="B611" t="b">
        <v>0</v>
      </c>
      <c r="C611" t="s">
        <v>903</v>
      </c>
      <c r="D611" t="s">
        <v>903</v>
      </c>
      <c r="E611" t="s">
        <v>903</v>
      </c>
      <c r="H611" t="s">
        <v>903</v>
      </c>
      <c r="I611" t="s">
        <v>2855</v>
      </c>
      <c r="J611" t="s">
        <v>2901</v>
      </c>
      <c r="K611">
        <v>3000</v>
      </c>
      <c r="L611" t="s">
        <v>818</v>
      </c>
    </row>
    <row r="612" spans="1:12" ht="13.2">
      <c r="A612" t="s">
        <v>1694</v>
      </c>
      <c r="B612" t="b">
        <v>0</v>
      </c>
      <c r="C612" t="s">
        <v>903</v>
      </c>
      <c r="D612" t="s">
        <v>998</v>
      </c>
      <c r="E612" t="s">
        <v>1080</v>
      </c>
      <c r="H612" t="s">
        <v>903</v>
      </c>
      <c r="I612" t="s">
        <v>2855</v>
      </c>
      <c r="J612" t="s">
        <v>2901</v>
      </c>
      <c r="K612">
        <v>3000</v>
      </c>
      <c r="L612" t="s">
        <v>818</v>
      </c>
    </row>
    <row r="613" spans="1:12" ht="13.2">
      <c r="A613" t="s">
        <v>1695</v>
      </c>
      <c r="B613" t="b">
        <v>0</v>
      </c>
      <c r="C613" t="s">
        <v>963</v>
      </c>
      <c r="D613" t="s">
        <v>963</v>
      </c>
      <c r="E613" t="s">
        <v>963</v>
      </c>
      <c r="H613" t="s">
        <v>963</v>
      </c>
      <c r="I613" t="s">
        <v>2855</v>
      </c>
      <c r="J613" t="s">
        <v>2901</v>
      </c>
      <c r="K613">
        <v>3000</v>
      </c>
      <c r="L613" t="s">
        <v>818</v>
      </c>
    </row>
    <row r="614" spans="1:12" ht="13.2">
      <c r="A614" t="s">
        <v>1696</v>
      </c>
      <c r="B614" t="b">
        <v>0</v>
      </c>
      <c r="C614" t="s">
        <v>1108</v>
      </c>
      <c r="D614" t="s">
        <v>1143</v>
      </c>
      <c r="E614" t="s">
        <v>1108</v>
      </c>
      <c r="H614" t="s">
        <v>903</v>
      </c>
      <c r="I614" t="s">
        <v>2855</v>
      </c>
      <c r="J614" t="s">
        <v>2901</v>
      </c>
      <c r="K614">
        <v>3000</v>
      </c>
      <c r="L614" t="s">
        <v>818</v>
      </c>
    </row>
    <row r="615" spans="1:12" ht="13.2">
      <c r="A615" t="s">
        <v>1697</v>
      </c>
      <c r="B615" t="b">
        <v>0</v>
      </c>
      <c r="C615" t="s">
        <v>903</v>
      </c>
      <c r="D615" t="s">
        <v>998</v>
      </c>
      <c r="E615" t="s">
        <v>1080</v>
      </c>
      <c r="F615" t="s">
        <v>1698</v>
      </c>
      <c r="H615" t="s">
        <v>903</v>
      </c>
      <c r="I615" t="s">
        <v>2855</v>
      </c>
      <c r="J615" t="s">
        <v>2901</v>
      </c>
      <c r="K615">
        <v>3000</v>
      </c>
      <c r="L615" t="s">
        <v>818</v>
      </c>
    </row>
    <row r="616" spans="1:12" ht="13.2">
      <c r="A616" t="s">
        <v>1699</v>
      </c>
      <c r="B616" t="b">
        <v>0</v>
      </c>
      <c r="C616" t="s">
        <v>1108</v>
      </c>
      <c r="D616" t="s">
        <v>1109</v>
      </c>
      <c r="E616" t="s">
        <v>1108</v>
      </c>
      <c r="H616" t="s">
        <v>903</v>
      </c>
      <c r="I616" t="s">
        <v>2855</v>
      </c>
      <c r="J616" t="s">
        <v>2901</v>
      </c>
      <c r="K616">
        <v>3000</v>
      </c>
      <c r="L616" t="s">
        <v>818</v>
      </c>
    </row>
    <row r="617" spans="1:12" ht="13.2">
      <c r="A617" t="s">
        <v>1700</v>
      </c>
      <c r="B617" t="b">
        <v>0</v>
      </c>
      <c r="H617" t="s">
        <v>1062</v>
      </c>
      <c r="I617" t="s">
        <v>2855</v>
      </c>
      <c r="J617" t="s">
        <v>2901</v>
      </c>
      <c r="K617">
        <v>3000</v>
      </c>
      <c r="L617" t="s">
        <v>818</v>
      </c>
    </row>
    <row r="618" spans="1:12" ht="13.2">
      <c r="A618" t="s">
        <v>1701</v>
      </c>
      <c r="B618" t="b">
        <v>0</v>
      </c>
      <c r="C618" t="s">
        <v>1086</v>
      </c>
      <c r="D618" t="s">
        <v>998</v>
      </c>
      <c r="E618" t="s">
        <v>1086</v>
      </c>
      <c r="F618" t="s">
        <v>1702</v>
      </c>
      <c r="H618" t="s">
        <v>903</v>
      </c>
      <c r="I618" t="s">
        <v>2855</v>
      </c>
      <c r="J618" t="s">
        <v>2901</v>
      </c>
      <c r="K618">
        <v>3000</v>
      </c>
      <c r="L618" t="s">
        <v>818</v>
      </c>
    </row>
    <row r="619" spans="1:12" ht="13.2">
      <c r="A619" t="s">
        <v>1703</v>
      </c>
      <c r="B619" t="b">
        <v>0</v>
      </c>
      <c r="C619" t="s">
        <v>903</v>
      </c>
      <c r="D619" t="s">
        <v>1143</v>
      </c>
      <c r="E619" t="s">
        <v>903</v>
      </c>
      <c r="G619" t="s">
        <v>903</v>
      </c>
      <c r="H619" t="s">
        <v>903</v>
      </c>
      <c r="I619" t="s">
        <v>2855</v>
      </c>
      <c r="J619" t="s">
        <v>2901</v>
      </c>
      <c r="K619">
        <v>3000</v>
      </c>
      <c r="L619" t="s">
        <v>818</v>
      </c>
    </row>
    <row r="620" spans="1:12" ht="13.2">
      <c r="A620" t="s">
        <v>1704</v>
      </c>
      <c r="B620" t="b">
        <v>0</v>
      </c>
      <c r="C620" t="s">
        <v>1131</v>
      </c>
      <c r="D620" t="s">
        <v>998</v>
      </c>
      <c r="E620" t="s">
        <v>1131</v>
      </c>
      <c r="H620" t="s">
        <v>1062</v>
      </c>
      <c r="I620" t="s">
        <v>2855</v>
      </c>
      <c r="J620" t="s">
        <v>2901</v>
      </c>
      <c r="K620">
        <v>3000</v>
      </c>
      <c r="L620" t="s">
        <v>818</v>
      </c>
    </row>
    <row r="621" spans="1:12" ht="13.2">
      <c r="A621" t="s">
        <v>1705</v>
      </c>
      <c r="B621" t="b">
        <v>0</v>
      </c>
      <c r="C621" t="s">
        <v>1131</v>
      </c>
      <c r="D621" t="s">
        <v>998</v>
      </c>
      <c r="E621" t="s">
        <v>1080</v>
      </c>
      <c r="H621" t="s">
        <v>1062</v>
      </c>
      <c r="I621" t="s">
        <v>2855</v>
      </c>
      <c r="J621" t="s">
        <v>2901</v>
      </c>
      <c r="K621">
        <v>3000</v>
      </c>
      <c r="L621" t="s">
        <v>818</v>
      </c>
    </row>
    <row r="622" spans="1:12" ht="13.2">
      <c r="A622" t="s">
        <v>1706</v>
      </c>
      <c r="B622" t="b">
        <v>0</v>
      </c>
      <c r="C622" t="s">
        <v>903</v>
      </c>
      <c r="D622" t="s">
        <v>903</v>
      </c>
      <c r="E622" t="s">
        <v>1080</v>
      </c>
      <c r="H622" t="s">
        <v>1062</v>
      </c>
      <c r="I622" t="s">
        <v>2855</v>
      </c>
      <c r="J622" t="s">
        <v>2901</v>
      </c>
      <c r="K622">
        <v>3000</v>
      </c>
      <c r="L622" t="s">
        <v>818</v>
      </c>
    </row>
    <row r="623" spans="1:12" ht="13.2">
      <c r="A623" t="s">
        <v>1707</v>
      </c>
      <c r="B623" t="b">
        <v>0</v>
      </c>
      <c r="C623" t="s">
        <v>1131</v>
      </c>
      <c r="D623" t="s">
        <v>998</v>
      </c>
      <c r="E623" t="s">
        <v>1131</v>
      </c>
      <c r="H623" t="s">
        <v>1062</v>
      </c>
      <c r="I623" t="s">
        <v>2855</v>
      </c>
      <c r="J623" t="s">
        <v>2901</v>
      </c>
      <c r="K623">
        <v>3000</v>
      </c>
      <c r="L623" t="s">
        <v>818</v>
      </c>
    </row>
    <row r="624" spans="1:12" ht="13.2">
      <c r="A624" t="s">
        <v>1708</v>
      </c>
      <c r="B624" t="b">
        <v>0</v>
      </c>
      <c r="C624" t="s">
        <v>963</v>
      </c>
      <c r="D624" t="s">
        <v>963</v>
      </c>
      <c r="E624" t="s">
        <v>1080</v>
      </c>
      <c r="G624" t="s">
        <v>2841</v>
      </c>
      <c r="H624" t="s">
        <v>1062</v>
      </c>
      <c r="I624" t="s">
        <v>2855</v>
      </c>
      <c r="J624" t="s">
        <v>2901</v>
      </c>
      <c r="K624">
        <v>3000</v>
      </c>
      <c r="L624" t="s">
        <v>818</v>
      </c>
    </row>
    <row r="625" spans="1:12" ht="13.2">
      <c r="A625" t="s">
        <v>1709</v>
      </c>
      <c r="B625" t="b">
        <v>0</v>
      </c>
      <c r="C625" t="s">
        <v>963</v>
      </c>
      <c r="D625" t="s">
        <v>963</v>
      </c>
      <c r="E625" t="s">
        <v>963</v>
      </c>
      <c r="H625" t="s">
        <v>1062</v>
      </c>
      <c r="I625" t="s">
        <v>2855</v>
      </c>
      <c r="J625" t="s">
        <v>2901</v>
      </c>
      <c r="K625">
        <v>3000</v>
      </c>
      <c r="L625" t="s">
        <v>818</v>
      </c>
    </row>
    <row r="626" spans="1:12" ht="13.2">
      <c r="A626" t="s">
        <v>1710</v>
      </c>
      <c r="B626" t="b">
        <v>0</v>
      </c>
      <c r="C626" t="s">
        <v>1711</v>
      </c>
      <c r="D626" t="s">
        <v>963</v>
      </c>
      <c r="E626" t="s">
        <v>963</v>
      </c>
      <c r="H626" t="s">
        <v>1062</v>
      </c>
      <c r="I626" t="s">
        <v>2855</v>
      </c>
      <c r="J626" t="s">
        <v>2901</v>
      </c>
      <c r="K626">
        <v>3000</v>
      </c>
      <c r="L626" t="s">
        <v>818</v>
      </c>
    </row>
    <row r="627" spans="1:12" ht="13.2">
      <c r="A627" t="s">
        <v>1712</v>
      </c>
      <c r="B627" t="b">
        <v>0</v>
      </c>
      <c r="H627" t="s">
        <v>1062</v>
      </c>
      <c r="I627" t="s">
        <v>2855</v>
      </c>
      <c r="J627" t="s">
        <v>2866</v>
      </c>
      <c r="K627">
        <v>3000</v>
      </c>
      <c r="L627" t="s">
        <v>818</v>
      </c>
    </row>
    <row r="628" spans="1:12" ht="13.2">
      <c r="A628" t="s">
        <v>1713</v>
      </c>
      <c r="B628" t="b">
        <v>0</v>
      </c>
      <c r="H628" t="s">
        <v>1062</v>
      </c>
      <c r="I628" t="s">
        <v>2855</v>
      </c>
      <c r="J628" t="s">
        <v>2866</v>
      </c>
      <c r="K628">
        <v>3000</v>
      </c>
      <c r="L628" t="s">
        <v>818</v>
      </c>
    </row>
    <row r="629" spans="1:12" ht="13.2">
      <c r="A629" t="s">
        <v>1714</v>
      </c>
      <c r="B629" t="b">
        <v>0</v>
      </c>
      <c r="C629" t="s">
        <v>903</v>
      </c>
      <c r="D629" t="s">
        <v>903</v>
      </c>
      <c r="E629" t="s">
        <v>903</v>
      </c>
      <c r="H629" t="s">
        <v>1062</v>
      </c>
      <c r="I629" t="s">
        <v>2855</v>
      </c>
      <c r="J629" t="s">
        <v>2866</v>
      </c>
      <c r="K629">
        <v>3000</v>
      </c>
      <c r="L629" t="s">
        <v>818</v>
      </c>
    </row>
    <row r="630" spans="1:12" ht="13.2">
      <c r="A630" t="s">
        <v>1715</v>
      </c>
      <c r="B630" t="b">
        <v>0</v>
      </c>
      <c r="C630" t="s">
        <v>903</v>
      </c>
      <c r="D630" t="s">
        <v>903</v>
      </c>
      <c r="E630" t="s">
        <v>903</v>
      </c>
      <c r="H630" t="s">
        <v>1062</v>
      </c>
      <c r="I630" t="s">
        <v>2855</v>
      </c>
      <c r="J630" t="s">
        <v>2866</v>
      </c>
      <c r="K630">
        <v>3000</v>
      </c>
      <c r="L630" t="s">
        <v>818</v>
      </c>
    </row>
    <row r="631" spans="1:12" ht="13.2">
      <c r="A631" t="s">
        <v>1716</v>
      </c>
      <c r="B631" t="b">
        <v>0</v>
      </c>
      <c r="H631" t="s">
        <v>1062</v>
      </c>
      <c r="I631" t="s">
        <v>2855</v>
      </c>
      <c r="J631" t="s">
        <v>2866</v>
      </c>
      <c r="K631">
        <v>3000</v>
      </c>
      <c r="L631" t="s">
        <v>818</v>
      </c>
    </row>
    <row r="632" spans="1:12" ht="13.2">
      <c r="A632" t="s">
        <v>1717</v>
      </c>
      <c r="B632" t="b">
        <v>0</v>
      </c>
      <c r="C632" t="s">
        <v>963</v>
      </c>
      <c r="D632" t="s">
        <v>963</v>
      </c>
      <c r="E632" t="s">
        <v>963</v>
      </c>
      <c r="H632" t="s">
        <v>1062</v>
      </c>
      <c r="I632" t="s">
        <v>2855</v>
      </c>
      <c r="J632" t="s">
        <v>2866</v>
      </c>
      <c r="K632">
        <v>3000</v>
      </c>
      <c r="L632" t="s">
        <v>818</v>
      </c>
    </row>
    <row r="633" spans="1:12" ht="13.2">
      <c r="A633" t="s">
        <v>1718</v>
      </c>
      <c r="B633" t="b">
        <v>0</v>
      </c>
      <c r="H633" t="s">
        <v>1062</v>
      </c>
      <c r="I633" t="s">
        <v>2855</v>
      </c>
      <c r="J633" t="s">
        <v>2866</v>
      </c>
      <c r="K633">
        <v>3000</v>
      </c>
      <c r="L633" t="s">
        <v>818</v>
      </c>
    </row>
    <row r="634" spans="1:12" ht="13.2">
      <c r="A634" t="s">
        <v>1719</v>
      </c>
      <c r="B634" t="b">
        <v>0</v>
      </c>
      <c r="H634" t="s">
        <v>1062</v>
      </c>
      <c r="I634" t="s">
        <v>2855</v>
      </c>
      <c r="J634" t="s">
        <v>2866</v>
      </c>
      <c r="K634">
        <v>3000</v>
      </c>
      <c r="L634" t="s">
        <v>818</v>
      </c>
    </row>
    <row r="635" spans="1:12" ht="13.2">
      <c r="A635" t="s">
        <v>1720</v>
      </c>
      <c r="B635" t="b">
        <v>0</v>
      </c>
      <c r="H635" t="s">
        <v>1062</v>
      </c>
      <c r="I635" t="s">
        <v>2855</v>
      </c>
      <c r="J635" t="s">
        <v>2866</v>
      </c>
      <c r="K635">
        <v>3000</v>
      </c>
      <c r="L635" t="s">
        <v>818</v>
      </c>
    </row>
    <row r="636" spans="1:12" ht="13.2">
      <c r="A636" t="s">
        <v>1721</v>
      </c>
      <c r="B636" t="b">
        <v>0</v>
      </c>
      <c r="H636" t="s">
        <v>1062</v>
      </c>
      <c r="I636" t="s">
        <v>2855</v>
      </c>
      <c r="J636" t="s">
        <v>2866</v>
      </c>
      <c r="K636">
        <v>3000</v>
      </c>
      <c r="L636" t="s">
        <v>818</v>
      </c>
    </row>
    <row r="637" spans="1:12" ht="13.2">
      <c r="A637" t="s">
        <v>1722</v>
      </c>
      <c r="B637" t="b">
        <v>0</v>
      </c>
      <c r="H637" t="s">
        <v>1062</v>
      </c>
      <c r="I637" t="s">
        <v>2855</v>
      </c>
      <c r="J637" t="s">
        <v>2866</v>
      </c>
      <c r="K637">
        <v>3000</v>
      </c>
      <c r="L637" t="s">
        <v>818</v>
      </c>
    </row>
    <row r="638" spans="1:12" ht="13.2">
      <c r="A638" t="s">
        <v>1723</v>
      </c>
      <c r="B638" t="b">
        <v>0</v>
      </c>
      <c r="H638" t="s">
        <v>1062</v>
      </c>
      <c r="I638" t="s">
        <v>2855</v>
      </c>
      <c r="J638" t="s">
        <v>2866</v>
      </c>
      <c r="K638">
        <v>3000</v>
      </c>
      <c r="L638" t="s">
        <v>818</v>
      </c>
    </row>
    <row r="639" spans="1:12" ht="13.2">
      <c r="A639" t="s">
        <v>1724</v>
      </c>
      <c r="B639" t="b">
        <v>0</v>
      </c>
      <c r="H639" t="s">
        <v>1062</v>
      </c>
      <c r="I639" t="s">
        <v>2855</v>
      </c>
      <c r="J639" t="s">
        <v>2866</v>
      </c>
      <c r="K639">
        <v>3000</v>
      </c>
      <c r="L639" t="s">
        <v>818</v>
      </c>
    </row>
    <row r="640" spans="1:12" ht="13.2">
      <c r="A640" t="s">
        <v>1725</v>
      </c>
      <c r="B640" t="b">
        <v>0</v>
      </c>
      <c r="H640" t="s">
        <v>1062</v>
      </c>
      <c r="I640" t="s">
        <v>2855</v>
      </c>
      <c r="J640" t="s">
        <v>2857</v>
      </c>
      <c r="L640" t="s">
        <v>818</v>
      </c>
    </row>
    <row r="641" spans="1:12" ht="13.2">
      <c r="A641" t="s">
        <v>1726</v>
      </c>
      <c r="B641" t="b">
        <v>0</v>
      </c>
      <c r="H641" t="s">
        <v>1062</v>
      </c>
      <c r="I641" t="s">
        <v>2855</v>
      </c>
      <c r="J641" t="s">
        <v>2857</v>
      </c>
      <c r="L641" t="s">
        <v>818</v>
      </c>
    </row>
    <row r="642" spans="1:12" ht="13.2">
      <c r="A642" t="s">
        <v>1727</v>
      </c>
      <c r="B642" t="b">
        <v>0</v>
      </c>
      <c r="H642" t="s">
        <v>1062</v>
      </c>
      <c r="I642" t="s">
        <v>2855</v>
      </c>
      <c r="J642" t="s">
        <v>2857</v>
      </c>
      <c r="L642" t="s">
        <v>818</v>
      </c>
    </row>
    <row r="643" spans="1:12" ht="13.2">
      <c r="A643" t="s">
        <v>1728</v>
      </c>
      <c r="B643" t="b">
        <v>0</v>
      </c>
      <c r="H643" t="s">
        <v>1062</v>
      </c>
      <c r="I643" t="s">
        <v>2855</v>
      </c>
      <c r="J643" t="s">
        <v>2857</v>
      </c>
      <c r="L643" t="s">
        <v>818</v>
      </c>
    </row>
    <row r="644" spans="1:12" ht="13.2">
      <c r="A644" t="s">
        <v>1729</v>
      </c>
      <c r="B644" t="b">
        <v>0</v>
      </c>
      <c r="H644" t="s">
        <v>1062</v>
      </c>
      <c r="I644" t="s">
        <v>2855</v>
      </c>
      <c r="J644" t="s">
        <v>2857</v>
      </c>
      <c r="L644" t="s">
        <v>818</v>
      </c>
    </row>
    <row r="645" spans="1:12" ht="13.2">
      <c r="A645" t="s">
        <v>1730</v>
      </c>
      <c r="B645" t="b">
        <v>0</v>
      </c>
      <c r="H645" t="s">
        <v>1062</v>
      </c>
      <c r="I645" t="s">
        <v>2855</v>
      </c>
      <c r="J645" t="s">
        <v>2857</v>
      </c>
      <c r="L645" t="s">
        <v>818</v>
      </c>
    </row>
    <row r="646" spans="1:12" ht="13.2">
      <c r="A646" t="s">
        <v>1731</v>
      </c>
      <c r="B646" t="b">
        <v>0</v>
      </c>
      <c r="H646" t="s">
        <v>1062</v>
      </c>
      <c r="I646" t="s">
        <v>2855</v>
      </c>
      <c r="J646" t="s">
        <v>2857</v>
      </c>
      <c r="L646" t="s">
        <v>818</v>
      </c>
    </row>
    <row r="647" spans="1:12" ht="13.2">
      <c r="A647" t="s">
        <v>1732</v>
      </c>
      <c r="B647" t="b">
        <v>0</v>
      </c>
      <c r="H647" t="s">
        <v>1062</v>
      </c>
      <c r="I647" t="s">
        <v>2855</v>
      </c>
      <c r="J647" t="s">
        <v>2857</v>
      </c>
      <c r="L647" t="s">
        <v>818</v>
      </c>
    </row>
    <row r="648" spans="1:12" ht="13.2">
      <c r="A648" t="s">
        <v>1733</v>
      </c>
      <c r="B648" t="b">
        <v>0</v>
      </c>
      <c r="H648" t="s">
        <v>1062</v>
      </c>
      <c r="I648" t="s">
        <v>2855</v>
      </c>
      <c r="J648" t="s">
        <v>2857</v>
      </c>
      <c r="L648" t="s">
        <v>818</v>
      </c>
    </row>
    <row r="649" spans="1:12" ht="13.2">
      <c r="A649" t="s">
        <v>1734</v>
      </c>
      <c r="B649" t="b">
        <v>0</v>
      </c>
      <c r="H649" t="s">
        <v>1062</v>
      </c>
      <c r="I649" t="s">
        <v>2855</v>
      </c>
      <c r="J649" t="s">
        <v>2857</v>
      </c>
      <c r="L649" t="s">
        <v>818</v>
      </c>
    </row>
    <row r="650" spans="1:12" ht="13.2">
      <c r="A650" t="s">
        <v>1735</v>
      </c>
      <c r="B650" t="b">
        <v>0</v>
      </c>
      <c r="C650" t="s">
        <v>903</v>
      </c>
      <c r="D650" t="s">
        <v>998</v>
      </c>
      <c r="E650" t="s">
        <v>1736</v>
      </c>
      <c r="G650" t="s">
        <v>1086</v>
      </c>
      <c r="H650" t="s">
        <v>903</v>
      </c>
      <c r="I650" t="s">
        <v>2855</v>
      </c>
      <c r="J650" t="s">
        <v>2867</v>
      </c>
      <c r="K650">
        <v>3000</v>
      </c>
      <c r="L650" t="s">
        <v>818</v>
      </c>
    </row>
    <row r="651" spans="1:12" ht="13.2">
      <c r="A651" t="s">
        <v>1737</v>
      </c>
      <c r="B651" t="b">
        <v>0</v>
      </c>
      <c r="C651" t="s">
        <v>1086</v>
      </c>
      <c r="D651" t="s">
        <v>998</v>
      </c>
      <c r="E651" t="s">
        <v>1086</v>
      </c>
      <c r="H651" t="s">
        <v>903</v>
      </c>
      <c r="I651" t="s">
        <v>2855</v>
      </c>
      <c r="J651" t="s">
        <v>2867</v>
      </c>
      <c r="K651">
        <v>3000</v>
      </c>
      <c r="L651" t="s">
        <v>818</v>
      </c>
    </row>
    <row r="652" spans="1:12" ht="13.2">
      <c r="A652" t="s">
        <v>1738</v>
      </c>
      <c r="B652" t="b">
        <v>0</v>
      </c>
      <c r="C652" t="s">
        <v>903</v>
      </c>
      <c r="D652" t="s">
        <v>998</v>
      </c>
      <c r="E652" t="s">
        <v>1736</v>
      </c>
      <c r="H652" t="s">
        <v>903</v>
      </c>
      <c r="I652" t="s">
        <v>2855</v>
      </c>
      <c r="J652" t="s">
        <v>2867</v>
      </c>
      <c r="K652">
        <v>3000</v>
      </c>
      <c r="L652" t="s">
        <v>818</v>
      </c>
    </row>
    <row r="653" spans="1:12" ht="13.2">
      <c r="A653" t="s">
        <v>1739</v>
      </c>
      <c r="B653" t="b">
        <v>0</v>
      </c>
      <c r="C653" t="s">
        <v>963</v>
      </c>
      <c r="D653" t="s">
        <v>998</v>
      </c>
      <c r="E653" t="s">
        <v>1736</v>
      </c>
      <c r="H653" t="s">
        <v>963</v>
      </c>
      <c r="I653" t="s">
        <v>2855</v>
      </c>
      <c r="J653" t="s">
        <v>2867</v>
      </c>
      <c r="K653">
        <v>3000</v>
      </c>
      <c r="L653" t="s">
        <v>818</v>
      </c>
    </row>
    <row r="654" spans="1:12" ht="13.2">
      <c r="A654" t="s">
        <v>1740</v>
      </c>
      <c r="B654" t="b">
        <v>0</v>
      </c>
      <c r="C654" t="s">
        <v>903</v>
      </c>
      <c r="D654" t="s">
        <v>1741</v>
      </c>
      <c r="E654" t="s">
        <v>903</v>
      </c>
      <c r="H654" t="s">
        <v>903</v>
      </c>
      <c r="I654" t="s">
        <v>2855</v>
      </c>
      <c r="J654" t="s">
        <v>2867</v>
      </c>
      <c r="K654">
        <v>3000</v>
      </c>
      <c r="L654" t="s">
        <v>818</v>
      </c>
    </row>
    <row r="655" spans="1:12" ht="13.2">
      <c r="A655" t="s">
        <v>1742</v>
      </c>
      <c r="B655" t="b">
        <v>0</v>
      </c>
      <c r="C655" t="s">
        <v>1086</v>
      </c>
      <c r="D655" t="s">
        <v>998</v>
      </c>
      <c r="E655" t="s">
        <v>1086</v>
      </c>
      <c r="H655" t="s">
        <v>903</v>
      </c>
      <c r="I655" t="s">
        <v>2855</v>
      </c>
      <c r="J655" t="s">
        <v>2867</v>
      </c>
      <c r="K655">
        <v>3000</v>
      </c>
      <c r="L655" t="s">
        <v>818</v>
      </c>
    </row>
    <row r="656" spans="1:12" ht="13.2">
      <c r="A656" t="s">
        <v>1743</v>
      </c>
      <c r="B656" t="b">
        <v>0</v>
      </c>
      <c r="C656" t="s">
        <v>1108</v>
      </c>
      <c r="D656" t="s">
        <v>1109</v>
      </c>
      <c r="E656" t="s">
        <v>1108</v>
      </c>
      <c r="H656" t="s">
        <v>903</v>
      </c>
      <c r="I656" t="s">
        <v>2855</v>
      </c>
      <c r="J656" t="s">
        <v>2867</v>
      </c>
      <c r="K656">
        <v>3000</v>
      </c>
      <c r="L656" t="s">
        <v>818</v>
      </c>
    </row>
    <row r="657" spans="1:12" ht="13.2">
      <c r="A657" t="s">
        <v>1744</v>
      </c>
      <c r="B657" t="b">
        <v>0</v>
      </c>
      <c r="C657" t="s">
        <v>903</v>
      </c>
      <c r="D657" t="s">
        <v>998</v>
      </c>
      <c r="E657" t="s">
        <v>1736</v>
      </c>
      <c r="H657" t="s">
        <v>903</v>
      </c>
      <c r="I657" t="s">
        <v>2855</v>
      </c>
      <c r="J657" t="s">
        <v>2867</v>
      </c>
      <c r="K657">
        <v>3000</v>
      </c>
      <c r="L657" t="s">
        <v>818</v>
      </c>
    </row>
    <row r="658" spans="1:12" ht="13.2">
      <c r="A658" t="s">
        <v>1745</v>
      </c>
      <c r="B658" t="b">
        <v>0</v>
      </c>
      <c r="C658" t="s">
        <v>903</v>
      </c>
      <c r="D658" t="s">
        <v>998</v>
      </c>
      <c r="E658" t="s">
        <v>1736</v>
      </c>
      <c r="H658" t="s">
        <v>903</v>
      </c>
      <c r="I658" t="s">
        <v>2855</v>
      </c>
      <c r="J658" t="s">
        <v>2867</v>
      </c>
      <c r="K658">
        <v>3000</v>
      </c>
      <c r="L658" t="s">
        <v>818</v>
      </c>
    </row>
    <row r="659" spans="1:12" ht="13.2">
      <c r="A659" t="s">
        <v>1746</v>
      </c>
      <c r="B659" t="b">
        <v>0</v>
      </c>
      <c r="C659" t="s">
        <v>903</v>
      </c>
      <c r="D659" t="s">
        <v>998</v>
      </c>
      <c r="E659" t="s">
        <v>1736</v>
      </c>
      <c r="H659" t="s">
        <v>903</v>
      </c>
      <c r="I659" t="s">
        <v>2855</v>
      </c>
      <c r="J659" t="s">
        <v>2867</v>
      </c>
      <c r="K659">
        <v>3000</v>
      </c>
      <c r="L659" t="s">
        <v>818</v>
      </c>
    </row>
    <row r="660" spans="1:12" ht="13.2">
      <c r="A660" t="s">
        <v>1747</v>
      </c>
      <c r="B660" t="b">
        <v>0</v>
      </c>
      <c r="H660" t="s">
        <v>1062</v>
      </c>
      <c r="I660" t="s">
        <v>2855</v>
      </c>
      <c r="J660" t="s">
        <v>2867</v>
      </c>
      <c r="K660">
        <v>3000</v>
      </c>
      <c r="L660" t="s">
        <v>818</v>
      </c>
    </row>
    <row r="661" spans="1:12" ht="13.2">
      <c r="A661" t="s">
        <v>1748</v>
      </c>
      <c r="B661" t="b">
        <v>0</v>
      </c>
      <c r="C661" t="s">
        <v>903</v>
      </c>
      <c r="D661" t="s">
        <v>998</v>
      </c>
      <c r="E661" t="s">
        <v>1736</v>
      </c>
      <c r="H661" t="s">
        <v>903</v>
      </c>
      <c r="I661" t="s">
        <v>2855</v>
      </c>
      <c r="J661" t="s">
        <v>2867</v>
      </c>
      <c r="K661">
        <v>3000</v>
      </c>
      <c r="L661" t="s">
        <v>818</v>
      </c>
    </row>
    <row r="662" spans="1:12" ht="13.2">
      <c r="A662" t="s">
        <v>1749</v>
      </c>
      <c r="B662" t="b">
        <v>0</v>
      </c>
      <c r="C662" t="s">
        <v>903</v>
      </c>
      <c r="D662" t="s">
        <v>903</v>
      </c>
      <c r="E662" t="s">
        <v>903</v>
      </c>
      <c r="H662" t="s">
        <v>903</v>
      </c>
      <c r="I662" t="s">
        <v>2855</v>
      </c>
      <c r="J662" t="s">
        <v>2867</v>
      </c>
      <c r="K662">
        <v>3000</v>
      </c>
      <c r="L662" t="s">
        <v>818</v>
      </c>
    </row>
    <row r="663" spans="1:12" ht="13.2">
      <c r="A663" t="s">
        <v>1750</v>
      </c>
      <c r="B663" t="b">
        <v>0</v>
      </c>
      <c r="C663" t="s">
        <v>1131</v>
      </c>
      <c r="D663" t="s">
        <v>998</v>
      </c>
      <c r="E663" t="s">
        <v>1131</v>
      </c>
      <c r="H663" t="s">
        <v>903</v>
      </c>
      <c r="I663" t="s">
        <v>2873</v>
      </c>
      <c r="J663" t="s">
        <v>2868</v>
      </c>
      <c r="K663">
        <v>3000</v>
      </c>
      <c r="L663" t="s">
        <v>818</v>
      </c>
    </row>
    <row r="664" spans="1:12" ht="13.2">
      <c r="A664" t="s">
        <v>1751</v>
      </c>
      <c r="B664" t="b">
        <v>0</v>
      </c>
      <c r="C664" t="s">
        <v>1108</v>
      </c>
      <c r="D664" t="s">
        <v>1109</v>
      </c>
      <c r="E664" t="s">
        <v>1752</v>
      </c>
      <c r="H664" t="s">
        <v>903</v>
      </c>
      <c r="I664" t="s">
        <v>2873</v>
      </c>
      <c r="J664" t="s">
        <v>2868</v>
      </c>
      <c r="K664">
        <v>3000</v>
      </c>
      <c r="L664" t="s">
        <v>818</v>
      </c>
    </row>
    <row r="665" spans="1:12" ht="13.2">
      <c r="A665" t="s">
        <v>1753</v>
      </c>
      <c r="B665" t="b">
        <v>0</v>
      </c>
      <c r="C665" t="s">
        <v>963</v>
      </c>
      <c r="D665" t="s">
        <v>963</v>
      </c>
      <c r="E665" t="s">
        <v>963</v>
      </c>
      <c r="H665" t="s">
        <v>963</v>
      </c>
      <c r="I665" t="s">
        <v>2873</v>
      </c>
      <c r="J665" t="s">
        <v>2868</v>
      </c>
      <c r="K665">
        <v>3000</v>
      </c>
      <c r="L665" t="s">
        <v>818</v>
      </c>
    </row>
    <row r="666" spans="1:12" ht="13.2">
      <c r="A666" t="s">
        <v>2874</v>
      </c>
      <c r="B666" t="b">
        <v>0</v>
      </c>
      <c r="C666" t="s">
        <v>963</v>
      </c>
      <c r="D666" t="s">
        <v>963</v>
      </c>
      <c r="E666" t="s">
        <v>963</v>
      </c>
      <c r="H666" t="s">
        <v>963</v>
      </c>
      <c r="I666" t="s">
        <v>2873</v>
      </c>
      <c r="J666" t="s">
        <v>2868</v>
      </c>
      <c r="K666">
        <v>3000</v>
      </c>
      <c r="L666" t="s">
        <v>818</v>
      </c>
    </row>
    <row r="667" spans="1:12" ht="13.2">
      <c r="A667" t="s">
        <v>1754</v>
      </c>
      <c r="B667" t="b">
        <v>0</v>
      </c>
      <c r="C667" t="s">
        <v>963</v>
      </c>
      <c r="D667" t="s">
        <v>963</v>
      </c>
      <c r="E667" t="s">
        <v>963</v>
      </c>
      <c r="H667" t="s">
        <v>963</v>
      </c>
      <c r="I667" t="s">
        <v>2873</v>
      </c>
      <c r="J667" t="s">
        <v>2868</v>
      </c>
      <c r="K667">
        <v>3000</v>
      </c>
      <c r="L667" t="s">
        <v>818</v>
      </c>
    </row>
    <row r="668" spans="1:12" ht="13.2">
      <c r="A668" t="s">
        <v>1755</v>
      </c>
      <c r="B668" t="b">
        <v>0</v>
      </c>
      <c r="H668" t="s">
        <v>903</v>
      </c>
      <c r="I668" t="s">
        <v>2873</v>
      </c>
      <c r="J668" t="s">
        <v>2868</v>
      </c>
      <c r="K668">
        <v>3000</v>
      </c>
      <c r="L668" t="s">
        <v>818</v>
      </c>
    </row>
    <row r="669" spans="1:12" ht="13.2">
      <c r="A669" t="s">
        <v>1756</v>
      </c>
      <c r="B669" t="b">
        <v>0</v>
      </c>
      <c r="H669" t="s">
        <v>1062</v>
      </c>
      <c r="I669" t="s">
        <v>2873</v>
      </c>
      <c r="J669" t="s">
        <v>2868</v>
      </c>
      <c r="K669">
        <v>3000</v>
      </c>
      <c r="L669" t="s">
        <v>818</v>
      </c>
    </row>
    <row r="670" spans="1:12" ht="13.2">
      <c r="A670" t="s">
        <v>1757</v>
      </c>
      <c r="B670" t="b">
        <v>0</v>
      </c>
      <c r="H670" t="s">
        <v>1062</v>
      </c>
      <c r="I670" t="s">
        <v>2873</v>
      </c>
      <c r="J670" t="s">
        <v>2868</v>
      </c>
      <c r="K670">
        <v>3000</v>
      </c>
      <c r="L670" t="s">
        <v>818</v>
      </c>
    </row>
    <row r="671" spans="1:12" ht="13.2">
      <c r="A671" t="s">
        <v>1758</v>
      </c>
      <c r="B671" t="b">
        <v>0</v>
      </c>
      <c r="H671" t="s">
        <v>1062</v>
      </c>
      <c r="I671" t="s">
        <v>2855</v>
      </c>
      <c r="J671" t="s">
        <v>2858</v>
      </c>
      <c r="K671">
        <v>3000</v>
      </c>
      <c r="L671" t="s">
        <v>818</v>
      </c>
    </row>
    <row r="672" spans="1:12" ht="13.2">
      <c r="A672" t="s">
        <v>1759</v>
      </c>
      <c r="B672" t="b">
        <v>0</v>
      </c>
      <c r="H672" t="s">
        <v>1062</v>
      </c>
      <c r="I672" t="s">
        <v>2855</v>
      </c>
      <c r="J672" t="s">
        <v>2858</v>
      </c>
      <c r="K672">
        <v>3000</v>
      </c>
      <c r="L672" t="s">
        <v>818</v>
      </c>
    </row>
    <row r="673" spans="1:12" ht="13.2">
      <c r="A673" t="s">
        <v>1760</v>
      </c>
      <c r="B673" t="b">
        <v>0</v>
      </c>
      <c r="C673" t="s">
        <v>903</v>
      </c>
      <c r="D673" t="s">
        <v>903</v>
      </c>
      <c r="E673" t="s">
        <v>903</v>
      </c>
      <c r="H673" t="s">
        <v>1062</v>
      </c>
      <c r="I673" t="s">
        <v>2855</v>
      </c>
      <c r="J673" t="s">
        <v>2858</v>
      </c>
      <c r="K673">
        <v>3000</v>
      </c>
      <c r="L673" t="s">
        <v>818</v>
      </c>
    </row>
    <row r="674" spans="1:12" ht="13.2">
      <c r="A674" t="s">
        <v>1761</v>
      </c>
      <c r="B674" t="b">
        <v>0</v>
      </c>
      <c r="H674" t="s">
        <v>1062</v>
      </c>
      <c r="I674" t="s">
        <v>2855</v>
      </c>
      <c r="J674" t="s">
        <v>2858</v>
      </c>
      <c r="K674">
        <v>3000</v>
      </c>
      <c r="L674" t="s">
        <v>818</v>
      </c>
    </row>
    <row r="675" spans="1:12" ht="13.2">
      <c r="A675" t="s">
        <v>1762</v>
      </c>
      <c r="B675" t="b">
        <v>0</v>
      </c>
      <c r="C675" t="s">
        <v>1086</v>
      </c>
      <c r="D675" t="s">
        <v>998</v>
      </c>
      <c r="E675" t="s">
        <v>1736</v>
      </c>
      <c r="H675" t="s">
        <v>1062</v>
      </c>
      <c r="I675" t="s">
        <v>2855</v>
      </c>
      <c r="J675" t="s">
        <v>2858</v>
      </c>
      <c r="K675">
        <v>3000</v>
      </c>
      <c r="L675" t="s">
        <v>818</v>
      </c>
    </row>
    <row r="676" spans="1:12" ht="13.2">
      <c r="A676" t="s">
        <v>1763</v>
      </c>
      <c r="B676" t="b">
        <v>0</v>
      </c>
      <c r="C676" t="s">
        <v>903</v>
      </c>
      <c r="D676" t="s">
        <v>998</v>
      </c>
      <c r="E676" t="s">
        <v>1736</v>
      </c>
      <c r="H676" t="s">
        <v>1062</v>
      </c>
      <c r="I676" t="s">
        <v>2855</v>
      </c>
      <c r="J676" t="s">
        <v>2858</v>
      </c>
      <c r="K676">
        <v>3000</v>
      </c>
      <c r="L676" t="s">
        <v>818</v>
      </c>
    </row>
    <row r="677" spans="1:12" ht="13.2">
      <c r="A677" t="s">
        <v>1764</v>
      </c>
      <c r="B677" t="b">
        <v>0</v>
      </c>
      <c r="H677" t="s">
        <v>1062</v>
      </c>
      <c r="I677" t="s">
        <v>2855</v>
      </c>
      <c r="J677" t="s">
        <v>2858</v>
      </c>
      <c r="K677">
        <v>3000</v>
      </c>
      <c r="L677" t="s">
        <v>818</v>
      </c>
    </row>
    <row r="678" spans="1:12" ht="13.2">
      <c r="A678" t="s">
        <v>1765</v>
      </c>
      <c r="B678" t="b">
        <v>0</v>
      </c>
      <c r="C678" t="s">
        <v>963</v>
      </c>
      <c r="D678" t="s">
        <v>998</v>
      </c>
      <c r="E678" t="s">
        <v>1736</v>
      </c>
      <c r="H678" t="s">
        <v>1062</v>
      </c>
      <c r="I678" t="s">
        <v>2855</v>
      </c>
      <c r="J678" t="s">
        <v>2858</v>
      </c>
      <c r="K678">
        <v>3000</v>
      </c>
      <c r="L678" t="s">
        <v>818</v>
      </c>
    </row>
    <row r="679" spans="1:12" ht="13.2">
      <c r="A679" t="s">
        <v>1766</v>
      </c>
      <c r="B679" t="b">
        <v>0</v>
      </c>
      <c r="C679" t="s">
        <v>1086</v>
      </c>
      <c r="D679" t="s">
        <v>998</v>
      </c>
      <c r="E679" t="s">
        <v>1736</v>
      </c>
      <c r="H679" t="s">
        <v>1062</v>
      </c>
      <c r="I679" t="s">
        <v>2855</v>
      </c>
      <c r="J679" t="s">
        <v>2858</v>
      </c>
      <c r="K679">
        <v>3000</v>
      </c>
      <c r="L679" t="s">
        <v>818</v>
      </c>
    </row>
    <row r="680" spans="1:12" ht="13.2">
      <c r="A680" t="s">
        <v>1767</v>
      </c>
      <c r="B680" t="b">
        <v>0</v>
      </c>
      <c r="C680" t="s">
        <v>903</v>
      </c>
      <c r="D680" t="s">
        <v>903</v>
      </c>
      <c r="E680" t="s">
        <v>903</v>
      </c>
      <c r="H680" t="s">
        <v>1062</v>
      </c>
      <c r="I680" t="s">
        <v>2855</v>
      </c>
      <c r="J680" t="s">
        <v>2858</v>
      </c>
      <c r="K680">
        <v>3000</v>
      </c>
      <c r="L680" t="s">
        <v>818</v>
      </c>
    </row>
    <row r="681" spans="1:12" ht="13.2">
      <c r="A681" t="s">
        <v>1768</v>
      </c>
      <c r="B681" t="b">
        <v>0</v>
      </c>
      <c r="H681" t="s">
        <v>1062</v>
      </c>
      <c r="I681" t="s">
        <v>2855</v>
      </c>
      <c r="J681" t="s">
        <v>2858</v>
      </c>
      <c r="K681">
        <v>3000</v>
      </c>
      <c r="L681" t="s">
        <v>818</v>
      </c>
    </row>
    <row r="682" spans="1:12" ht="13.2">
      <c r="A682" t="s">
        <v>1769</v>
      </c>
      <c r="B682" t="b">
        <v>0</v>
      </c>
      <c r="C682" t="s">
        <v>1108</v>
      </c>
      <c r="D682" t="s">
        <v>1109</v>
      </c>
      <c r="E682" t="s">
        <v>1108</v>
      </c>
      <c r="H682" t="s">
        <v>1062</v>
      </c>
      <c r="I682" t="s">
        <v>2855</v>
      </c>
      <c r="J682" t="s">
        <v>2867</v>
      </c>
      <c r="K682">
        <v>3000</v>
      </c>
      <c r="L682" t="s">
        <v>818</v>
      </c>
    </row>
    <row r="683" spans="1:12" ht="13.2">
      <c r="A683" t="s">
        <v>1770</v>
      </c>
      <c r="B683" t="b">
        <v>0</v>
      </c>
      <c r="C683" t="s">
        <v>903</v>
      </c>
      <c r="E683" t="s">
        <v>903</v>
      </c>
      <c r="H683" t="s">
        <v>1062</v>
      </c>
      <c r="I683" t="s">
        <v>2855</v>
      </c>
      <c r="J683" t="s">
        <v>2867</v>
      </c>
      <c r="K683">
        <v>3000</v>
      </c>
      <c r="L683" t="s">
        <v>818</v>
      </c>
    </row>
    <row r="684" spans="1:12" ht="13.2">
      <c r="A684" t="s">
        <v>1771</v>
      </c>
      <c r="B684" t="b">
        <v>0</v>
      </c>
      <c r="G684" t="s">
        <v>903</v>
      </c>
      <c r="H684" t="s">
        <v>1062</v>
      </c>
      <c r="I684" t="s">
        <v>2855</v>
      </c>
      <c r="J684" t="s">
        <v>2867</v>
      </c>
      <c r="K684">
        <v>3000</v>
      </c>
      <c r="L684" t="s">
        <v>818</v>
      </c>
    </row>
    <row r="685" spans="1:12" ht="13.2">
      <c r="A685" t="s">
        <v>1772</v>
      </c>
      <c r="B685" t="b">
        <v>0</v>
      </c>
      <c r="H685" t="s">
        <v>1062</v>
      </c>
      <c r="I685" t="s">
        <v>2855</v>
      </c>
      <c r="J685" t="s">
        <v>2867</v>
      </c>
      <c r="K685">
        <v>3000</v>
      </c>
      <c r="L685" t="s">
        <v>818</v>
      </c>
    </row>
    <row r="686" spans="1:12" ht="13.2">
      <c r="A686" t="s">
        <v>1773</v>
      </c>
      <c r="B686" t="b">
        <v>0</v>
      </c>
      <c r="H686" t="s">
        <v>1062</v>
      </c>
      <c r="I686" t="s">
        <v>2855</v>
      </c>
      <c r="J686" t="s">
        <v>2867</v>
      </c>
      <c r="K686">
        <v>3000</v>
      </c>
      <c r="L686" t="s">
        <v>818</v>
      </c>
    </row>
    <row r="687" spans="1:12" ht="13.2">
      <c r="A687" t="s">
        <v>1774</v>
      </c>
      <c r="B687" t="b">
        <v>0</v>
      </c>
      <c r="H687" t="s">
        <v>1062</v>
      </c>
      <c r="I687" t="s">
        <v>2855</v>
      </c>
      <c r="J687" t="s">
        <v>2867</v>
      </c>
      <c r="K687">
        <v>3000</v>
      </c>
      <c r="L687" t="s">
        <v>818</v>
      </c>
    </row>
    <row r="688" spans="1:12" ht="13.2">
      <c r="A688" t="s">
        <v>1775</v>
      </c>
      <c r="B688" t="b">
        <v>0</v>
      </c>
      <c r="H688" t="s">
        <v>1062</v>
      </c>
      <c r="I688" t="s">
        <v>2855</v>
      </c>
      <c r="J688" t="s">
        <v>2867</v>
      </c>
      <c r="K688">
        <v>3000</v>
      </c>
      <c r="L688" t="s">
        <v>818</v>
      </c>
    </row>
    <row r="689" spans="1:12" ht="13.2">
      <c r="A689" t="s">
        <v>1776</v>
      </c>
      <c r="B689" t="b">
        <v>0</v>
      </c>
      <c r="C689" t="s">
        <v>1131</v>
      </c>
      <c r="D689" t="s">
        <v>998</v>
      </c>
      <c r="E689" t="s">
        <v>1131</v>
      </c>
      <c r="H689" t="s">
        <v>903</v>
      </c>
      <c r="I689" t="s">
        <v>2855</v>
      </c>
      <c r="J689" t="s">
        <v>2867</v>
      </c>
      <c r="K689">
        <v>3000</v>
      </c>
      <c r="L689" t="s">
        <v>818</v>
      </c>
    </row>
    <row r="690" spans="1:12" ht="13.2">
      <c r="A690" t="s">
        <v>1777</v>
      </c>
      <c r="B690" t="b">
        <v>0</v>
      </c>
      <c r="C690" t="s">
        <v>903</v>
      </c>
      <c r="D690" t="s">
        <v>903</v>
      </c>
      <c r="E690" t="s">
        <v>903</v>
      </c>
      <c r="H690" t="s">
        <v>903</v>
      </c>
      <c r="I690" t="s">
        <v>2855</v>
      </c>
      <c r="J690" t="s">
        <v>2867</v>
      </c>
      <c r="K690">
        <v>3000</v>
      </c>
      <c r="L690" t="s">
        <v>818</v>
      </c>
    </row>
    <row r="691" spans="1:12" ht="13.2">
      <c r="A691" t="s">
        <v>1778</v>
      </c>
      <c r="B691" t="b">
        <v>0</v>
      </c>
      <c r="H691" t="s">
        <v>1062</v>
      </c>
      <c r="I691" t="s">
        <v>2855</v>
      </c>
      <c r="J691" t="s">
        <v>2867</v>
      </c>
      <c r="K691">
        <v>3000</v>
      </c>
      <c r="L691" t="s">
        <v>818</v>
      </c>
    </row>
    <row r="692" spans="1:12" ht="13.2">
      <c r="A692" t="s">
        <v>1779</v>
      </c>
      <c r="B692" t="b">
        <v>0</v>
      </c>
      <c r="C692" t="s">
        <v>1108</v>
      </c>
      <c r="D692" t="s">
        <v>1143</v>
      </c>
      <c r="E692" t="s">
        <v>1108</v>
      </c>
      <c r="H692" t="s">
        <v>1062</v>
      </c>
      <c r="I692" t="s">
        <v>2855</v>
      </c>
      <c r="J692" t="s">
        <v>2867</v>
      </c>
      <c r="K692">
        <v>3000</v>
      </c>
      <c r="L692" t="s">
        <v>818</v>
      </c>
    </row>
    <row r="693" spans="1:12" ht="13.2">
      <c r="A693" t="s">
        <v>1780</v>
      </c>
      <c r="B693" t="b">
        <v>0</v>
      </c>
      <c r="H693" t="s">
        <v>1062</v>
      </c>
      <c r="I693" t="s">
        <v>2855</v>
      </c>
      <c r="J693" t="s">
        <v>2867</v>
      </c>
      <c r="K693">
        <v>3000</v>
      </c>
      <c r="L693" t="s">
        <v>818</v>
      </c>
    </row>
    <row r="694" spans="1:12" ht="13.2">
      <c r="A694" t="s">
        <v>1781</v>
      </c>
      <c r="B694" t="b">
        <v>0</v>
      </c>
      <c r="H694" t="s">
        <v>1062</v>
      </c>
      <c r="I694" t="s">
        <v>2855</v>
      </c>
      <c r="J694" t="s">
        <v>2867</v>
      </c>
      <c r="K694">
        <v>3000</v>
      </c>
      <c r="L694" t="s">
        <v>818</v>
      </c>
    </row>
    <row r="695" spans="1:12" ht="13.2">
      <c r="A695" t="s">
        <v>1782</v>
      </c>
      <c r="B695" t="b">
        <v>0</v>
      </c>
      <c r="H695" t="s">
        <v>1062</v>
      </c>
      <c r="I695" t="s">
        <v>2855</v>
      </c>
      <c r="J695" t="s">
        <v>2872</v>
      </c>
      <c r="L695" t="s">
        <v>818</v>
      </c>
    </row>
    <row r="696" spans="1:12" ht="13.2">
      <c r="A696" t="s">
        <v>1783</v>
      </c>
      <c r="B696" t="b">
        <v>0</v>
      </c>
      <c r="H696" t="s">
        <v>1062</v>
      </c>
      <c r="I696" t="s">
        <v>2855</v>
      </c>
      <c r="J696" t="s">
        <v>2872</v>
      </c>
      <c r="L696" t="s">
        <v>818</v>
      </c>
    </row>
    <row r="697" spans="1:12" ht="13.2">
      <c r="A697" t="s">
        <v>1784</v>
      </c>
      <c r="B697" t="b">
        <v>0</v>
      </c>
      <c r="H697" t="s">
        <v>1062</v>
      </c>
      <c r="I697" t="s">
        <v>2855</v>
      </c>
      <c r="J697" t="s">
        <v>2872</v>
      </c>
      <c r="L697" t="s">
        <v>818</v>
      </c>
    </row>
    <row r="698" spans="1:12" ht="13.2">
      <c r="A698" t="s">
        <v>1785</v>
      </c>
      <c r="B698" t="b">
        <v>0</v>
      </c>
      <c r="C698" t="s">
        <v>903</v>
      </c>
      <c r="D698" t="s">
        <v>903</v>
      </c>
      <c r="E698" t="s">
        <v>903</v>
      </c>
      <c r="H698" t="s">
        <v>1062</v>
      </c>
      <c r="I698" t="s">
        <v>2855</v>
      </c>
      <c r="J698" t="s">
        <v>2869</v>
      </c>
      <c r="K698">
        <v>3000</v>
      </c>
      <c r="L698" t="s">
        <v>818</v>
      </c>
    </row>
    <row r="699" spans="1:12" ht="13.2">
      <c r="A699" t="s">
        <v>1786</v>
      </c>
      <c r="B699" t="b">
        <v>0</v>
      </c>
      <c r="C699" t="s">
        <v>963</v>
      </c>
      <c r="D699" t="s">
        <v>963</v>
      </c>
      <c r="E699" t="s">
        <v>963</v>
      </c>
      <c r="H699" t="s">
        <v>1062</v>
      </c>
      <c r="I699" t="s">
        <v>2855</v>
      </c>
      <c r="J699" t="s">
        <v>2869</v>
      </c>
      <c r="K699">
        <v>3000</v>
      </c>
      <c r="L699" t="s">
        <v>818</v>
      </c>
    </row>
    <row r="700" spans="1:12" ht="13.2">
      <c r="A700" t="s">
        <v>1787</v>
      </c>
      <c r="B700" t="b">
        <v>0</v>
      </c>
      <c r="C700" t="s">
        <v>903</v>
      </c>
      <c r="D700" t="s">
        <v>903</v>
      </c>
      <c r="E700" t="s">
        <v>903</v>
      </c>
      <c r="H700" t="s">
        <v>1062</v>
      </c>
      <c r="I700" t="s">
        <v>2855</v>
      </c>
      <c r="J700" t="s">
        <v>2869</v>
      </c>
      <c r="K700">
        <v>3000</v>
      </c>
      <c r="L700" t="s">
        <v>818</v>
      </c>
    </row>
    <row r="701" spans="1:12" ht="13.2">
      <c r="A701" t="s">
        <v>1788</v>
      </c>
      <c r="B701" t="b">
        <v>0</v>
      </c>
      <c r="C701" t="s">
        <v>903</v>
      </c>
      <c r="D701" t="s">
        <v>998</v>
      </c>
      <c r="E701" t="s">
        <v>1080</v>
      </c>
      <c r="H701" t="s">
        <v>1062</v>
      </c>
      <c r="I701" t="s">
        <v>2855</v>
      </c>
      <c r="J701" t="s">
        <v>2869</v>
      </c>
      <c r="K701">
        <v>3000</v>
      </c>
      <c r="L701" t="s">
        <v>818</v>
      </c>
    </row>
    <row r="702" spans="1:12" ht="13.2">
      <c r="A702" t="s">
        <v>1789</v>
      </c>
      <c r="B702" t="b">
        <v>0</v>
      </c>
      <c r="C702" t="s">
        <v>903</v>
      </c>
      <c r="D702" t="s">
        <v>998</v>
      </c>
      <c r="E702" t="s">
        <v>1080</v>
      </c>
      <c r="H702" t="s">
        <v>1062</v>
      </c>
      <c r="I702" t="s">
        <v>2855</v>
      </c>
      <c r="J702" t="s">
        <v>2869</v>
      </c>
      <c r="K702">
        <v>3000</v>
      </c>
      <c r="L702" t="s">
        <v>818</v>
      </c>
    </row>
    <row r="703" spans="1:12" ht="13.2">
      <c r="A703" t="s">
        <v>1790</v>
      </c>
      <c r="B703" t="b">
        <v>0</v>
      </c>
      <c r="C703" t="s">
        <v>903</v>
      </c>
      <c r="D703" t="s">
        <v>998</v>
      </c>
      <c r="E703" t="s">
        <v>1080</v>
      </c>
      <c r="H703" t="s">
        <v>1062</v>
      </c>
      <c r="I703" t="s">
        <v>2855</v>
      </c>
      <c r="J703" t="s">
        <v>2869</v>
      </c>
      <c r="K703">
        <v>3000</v>
      </c>
      <c r="L703" t="s">
        <v>818</v>
      </c>
    </row>
    <row r="704" spans="1:12" ht="13.2">
      <c r="A704" t="s">
        <v>1791</v>
      </c>
      <c r="B704" t="b">
        <v>0</v>
      </c>
      <c r="C704" t="s">
        <v>1086</v>
      </c>
      <c r="D704" t="s">
        <v>998</v>
      </c>
      <c r="E704" t="s">
        <v>1080</v>
      </c>
      <c r="H704" t="s">
        <v>1062</v>
      </c>
      <c r="I704" t="s">
        <v>2855</v>
      </c>
      <c r="J704" t="s">
        <v>2869</v>
      </c>
      <c r="K704">
        <v>3000</v>
      </c>
      <c r="L704" t="s">
        <v>818</v>
      </c>
    </row>
    <row r="705" spans="1:12" ht="13.2">
      <c r="A705" t="s">
        <v>1792</v>
      </c>
      <c r="B705" t="b">
        <v>0</v>
      </c>
      <c r="C705" t="s">
        <v>963</v>
      </c>
      <c r="D705" t="s">
        <v>963</v>
      </c>
      <c r="E705" t="s">
        <v>963</v>
      </c>
      <c r="H705" t="s">
        <v>1062</v>
      </c>
      <c r="I705" t="s">
        <v>2855</v>
      </c>
      <c r="J705" t="s">
        <v>2869</v>
      </c>
      <c r="K705">
        <v>3000</v>
      </c>
      <c r="L705" t="s">
        <v>818</v>
      </c>
    </row>
    <row r="706" spans="1:12" ht="13.2">
      <c r="A706" t="s">
        <v>1793</v>
      </c>
      <c r="B706" t="b">
        <v>0</v>
      </c>
      <c r="H706" t="s">
        <v>1062</v>
      </c>
      <c r="I706" t="s">
        <v>2855</v>
      </c>
      <c r="J706" t="s">
        <v>2869</v>
      </c>
      <c r="K706">
        <v>3000</v>
      </c>
      <c r="L706" t="s">
        <v>818</v>
      </c>
    </row>
    <row r="707" spans="1:12" ht="13.2">
      <c r="A707" t="s">
        <v>1794</v>
      </c>
      <c r="B707" t="b">
        <v>0</v>
      </c>
      <c r="H707" t="s">
        <v>1062</v>
      </c>
      <c r="I707" t="s">
        <v>2855</v>
      </c>
      <c r="J707" t="s">
        <v>2869</v>
      </c>
      <c r="K707">
        <v>3000</v>
      </c>
      <c r="L707" t="s">
        <v>818</v>
      </c>
    </row>
    <row r="708" spans="1:12" ht="13.2">
      <c r="A708" t="s">
        <v>1795</v>
      </c>
      <c r="B708" t="b">
        <v>0</v>
      </c>
      <c r="H708" t="s">
        <v>1062</v>
      </c>
      <c r="I708" t="s">
        <v>2855</v>
      </c>
      <c r="J708" t="s">
        <v>2872</v>
      </c>
      <c r="L708" t="s">
        <v>818</v>
      </c>
    </row>
    <row r="709" spans="1:12" ht="13.2">
      <c r="A709" t="s">
        <v>1796</v>
      </c>
      <c r="B709" t="b">
        <v>0</v>
      </c>
      <c r="H709" t="s">
        <v>1062</v>
      </c>
      <c r="I709" t="s">
        <v>2855</v>
      </c>
      <c r="J709" t="s">
        <v>2872</v>
      </c>
      <c r="L709" t="s">
        <v>818</v>
      </c>
    </row>
    <row r="710" spans="1:12" ht="13.2">
      <c r="A710" t="s">
        <v>1797</v>
      </c>
      <c r="B710" t="b">
        <v>0</v>
      </c>
      <c r="H710" t="s">
        <v>1062</v>
      </c>
      <c r="I710" t="s">
        <v>2855</v>
      </c>
      <c r="J710" t="s">
        <v>2872</v>
      </c>
      <c r="L710" t="s">
        <v>818</v>
      </c>
    </row>
    <row r="711" spans="1:12" ht="13.2">
      <c r="A711" t="s">
        <v>1798</v>
      </c>
      <c r="B711" t="b">
        <v>0</v>
      </c>
      <c r="C711" t="s">
        <v>903</v>
      </c>
      <c r="D711" t="s">
        <v>903</v>
      </c>
      <c r="E711" t="s">
        <v>903</v>
      </c>
      <c r="H711" t="s">
        <v>1062</v>
      </c>
      <c r="I711" t="s">
        <v>2855</v>
      </c>
      <c r="J711" t="s">
        <v>2872</v>
      </c>
      <c r="L711" t="s">
        <v>818</v>
      </c>
    </row>
    <row r="712" spans="1:12" ht="13.2">
      <c r="A712" t="s">
        <v>1799</v>
      </c>
      <c r="B712" t="b">
        <v>0</v>
      </c>
      <c r="H712" t="s">
        <v>1062</v>
      </c>
      <c r="I712" t="s">
        <v>2855</v>
      </c>
      <c r="J712" t="s">
        <v>2872</v>
      </c>
      <c r="L712" t="s">
        <v>818</v>
      </c>
    </row>
    <row r="713" spans="1:12" ht="13.2">
      <c r="A713" t="s">
        <v>1800</v>
      </c>
      <c r="B713" t="b">
        <v>0</v>
      </c>
      <c r="H713" t="s">
        <v>1062</v>
      </c>
      <c r="I713" t="s">
        <v>2855</v>
      </c>
      <c r="J713" t="s">
        <v>2872</v>
      </c>
      <c r="L713" t="s">
        <v>818</v>
      </c>
    </row>
    <row r="714" spans="1:12" ht="13.2">
      <c r="A714" t="s">
        <v>1801</v>
      </c>
      <c r="B714" t="b">
        <v>0</v>
      </c>
      <c r="H714" t="s">
        <v>1062</v>
      </c>
      <c r="I714" t="s">
        <v>2855</v>
      </c>
      <c r="J714" t="s">
        <v>2872</v>
      </c>
      <c r="L714" t="s">
        <v>818</v>
      </c>
    </row>
    <row r="715" spans="1:12" ht="13.2">
      <c r="A715" t="s">
        <v>1802</v>
      </c>
      <c r="B715" t="b">
        <v>0</v>
      </c>
      <c r="H715" t="s">
        <v>1062</v>
      </c>
      <c r="I715" t="s">
        <v>2855</v>
      </c>
      <c r="J715" t="s">
        <v>2872</v>
      </c>
      <c r="L715" t="s">
        <v>818</v>
      </c>
    </row>
    <row r="716" spans="1:12" ht="13.2">
      <c r="A716" t="s">
        <v>1803</v>
      </c>
      <c r="B716" t="b">
        <v>0</v>
      </c>
      <c r="H716" t="s">
        <v>1062</v>
      </c>
      <c r="I716" t="s">
        <v>2855</v>
      </c>
      <c r="J716" t="s">
        <v>2872</v>
      </c>
      <c r="L716" t="s">
        <v>818</v>
      </c>
    </row>
    <row r="717" spans="1:12" ht="13.2">
      <c r="A717" t="s">
        <v>1804</v>
      </c>
      <c r="B717" t="b">
        <v>0</v>
      </c>
      <c r="H717" t="s">
        <v>1062</v>
      </c>
      <c r="I717" t="s">
        <v>2855</v>
      </c>
      <c r="J717" t="s">
        <v>2872</v>
      </c>
      <c r="L717" t="s">
        <v>818</v>
      </c>
    </row>
    <row r="718" spans="1:12" ht="13.2">
      <c r="A718" t="s">
        <v>1805</v>
      </c>
      <c r="B718" t="b">
        <v>0</v>
      </c>
      <c r="H718" t="s">
        <v>1062</v>
      </c>
      <c r="I718" t="s">
        <v>2855</v>
      </c>
      <c r="J718" t="s">
        <v>2872</v>
      </c>
      <c r="L718" t="s">
        <v>818</v>
      </c>
    </row>
    <row r="719" spans="1:12" ht="13.2">
      <c r="A719" t="s">
        <v>1806</v>
      </c>
      <c r="B719" t="b">
        <v>0</v>
      </c>
      <c r="H719" t="s">
        <v>1062</v>
      </c>
      <c r="I719" t="s">
        <v>2855</v>
      </c>
      <c r="J719" t="s">
        <v>2872</v>
      </c>
      <c r="L719" t="s">
        <v>818</v>
      </c>
    </row>
    <row r="720" spans="1:12" ht="13.2">
      <c r="A720" t="s">
        <v>1807</v>
      </c>
      <c r="B720" t="b">
        <v>0</v>
      </c>
      <c r="H720" t="s">
        <v>1062</v>
      </c>
      <c r="I720" t="s">
        <v>2855</v>
      </c>
      <c r="J720" t="s">
        <v>2872</v>
      </c>
      <c r="L720" t="s">
        <v>818</v>
      </c>
    </row>
    <row r="721" spans="1:12" ht="13.2">
      <c r="A721" t="s">
        <v>1808</v>
      </c>
      <c r="B721" t="b">
        <v>0</v>
      </c>
      <c r="H721" t="s">
        <v>1062</v>
      </c>
      <c r="I721" t="s">
        <v>2855</v>
      </c>
      <c r="J721" t="s">
        <v>2872</v>
      </c>
      <c r="L721" t="s">
        <v>818</v>
      </c>
    </row>
    <row r="722" spans="1:12" ht="13.2">
      <c r="A722" t="s">
        <v>1809</v>
      </c>
      <c r="B722" t="b">
        <v>0</v>
      </c>
      <c r="H722" t="s">
        <v>1062</v>
      </c>
      <c r="I722" t="s">
        <v>2855</v>
      </c>
      <c r="J722" t="s">
        <v>2872</v>
      </c>
      <c r="L722" t="s">
        <v>818</v>
      </c>
    </row>
    <row r="723" spans="1:12" ht="13.2">
      <c r="A723" t="s">
        <v>1810</v>
      </c>
      <c r="B723" t="b">
        <v>0</v>
      </c>
      <c r="H723" t="s">
        <v>1062</v>
      </c>
      <c r="I723" t="s">
        <v>2855</v>
      </c>
      <c r="J723" t="s">
        <v>2872</v>
      </c>
      <c r="L723" t="s">
        <v>818</v>
      </c>
    </row>
    <row r="724" spans="1:12" ht="13.2">
      <c r="A724" t="s">
        <v>1811</v>
      </c>
      <c r="B724" t="b">
        <v>0</v>
      </c>
      <c r="H724" t="s">
        <v>1062</v>
      </c>
      <c r="I724" t="s">
        <v>2855</v>
      </c>
      <c r="J724" t="s">
        <v>2872</v>
      </c>
      <c r="L724" t="s">
        <v>818</v>
      </c>
    </row>
    <row r="725" spans="1:12" ht="13.2">
      <c r="A725" t="s">
        <v>1812</v>
      </c>
      <c r="B725" t="b">
        <v>0</v>
      </c>
      <c r="H725" t="s">
        <v>1062</v>
      </c>
      <c r="I725" t="s">
        <v>2855</v>
      </c>
      <c r="J725" t="s">
        <v>2872</v>
      </c>
      <c r="L725" t="s">
        <v>818</v>
      </c>
    </row>
    <row r="726" spans="1:12" ht="13.2">
      <c r="A726" t="s">
        <v>1813</v>
      </c>
      <c r="B726" t="b">
        <v>0</v>
      </c>
      <c r="H726" t="s">
        <v>1062</v>
      </c>
      <c r="I726" t="s">
        <v>2855</v>
      </c>
      <c r="J726" t="s">
        <v>2872</v>
      </c>
      <c r="L726" t="s">
        <v>818</v>
      </c>
    </row>
    <row r="727" spans="1:12" ht="13.2">
      <c r="A727" t="s">
        <v>1814</v>
      </c>
      <c r="B727" t="b">
        <v>0</v>
      </c>
      <c r="H727" t="s">
        <v>1062</v>
      </c>
      <c r="I727" t="s">
        <v>2855</v>
      </c>
      <c r="J727" t="s">
        <v>2872</v>
      </c>
      <c r="L727" t="s">
        <v>818</v>
      </c>
    </row>
    <row r="728" spans="1:12" ht="13.2">
      <c r="A728" t="s">
        <v>1815</v>
      </c>
      <c r="B728" t="b">
        <v>0</v>
      </c>
      <c r="H728" t="s">
        <v>1062</v>
      </c>
      <c r="I728" t="s">
        <v>2855</v>
      </c>
      <c r="J728" t="s">
        <v>2872</v>
      </c>
      <c r="L728" t="s">
        <v>818</v>
      </c>
    </row>
    <row r="729" spans="1:12" ht="13.2">
      <c r="A729" t="s">
        <v>1816</v>
      </c>
      <c r="B729" t="b">
        <v>0</v>
      </c>
      <c r="H729" t="s">
        <v>1062</v>
      </c>
      <c r="I729" t="s">
        <v>2855</v>
      </c>
      <c r="J729" t="s">
        <v>2872</v>
      </c>
      <c r="L729" t="s">
        <v>818</v>
      </c>
    </row>
    <row r="730" spans="1:12" ht="13.2">
      <c r="A730" t="s">
        <v>1817</v>
      </c>
      <c r="B730" t="b">
        <v>0</v>
      </c>
      <c r="C730" t="s">
        <v>903</v>
      </c>
      <c r="D730" t="s">
        <v>998</v>
      </c>
      <c r="E730" t="s">
        <v>1080</v>
      </c>
      <c r="H730" t="s">
        <v>1062</v>
      </c>
      <c r="I730" t="s">
        <v>2855</v>
      </c>
      <c r="J730" t="s">
        <v>2872</v>
      </c>
      <c r="L730" t="s">
        <v>818</v>
      </c>
    </row>
    <row r="731" spans="1:12" ht="13.2">
      <c r="A731" t="s">
        <v>1818</v>
      </c>
      <c r="B731" t="b">
        <v>0</v>
      </c>
      <c r="C731" t="s">
        <v>963</v>
      </c>
      <c r="D731" t="s">
        <v>963</v>
      </c>
      <c r="E731" t="s">
        <v>963</v>
      </c>
      <c r="H731" t="s">
        <v>1062</v>
      </c>
      <c r="I731" t="s">
        <v>2855</v>
      </c>
      <c r="J731" t="s">
        <v>2872</v>
      </c>
      <c r="L731" t="s">
        <v>818</v>
      </c>
    </row>
    <row r="732" spans="1:12" ht="13.2">
      <c r="A732" t="s">
        <v>1819</v>
      </c>
      <c r="B732" t="b">
        <v>0</v>
      </c>
      <c r="C732" t="s">
        <v>903</v>
      </c>
      <c r="D732" t="s">
        <v>998</v>
      </c>
      <c r="E732" t="s">
        <v>1080</v>
      </c>
      <c r="H732" t="s">
        <v>1062</v>
      </c>
      <c r="I732" t="s">
        <v>2855</v>
      </c>
      <c r="J732" t="s">
        <v>2872</v>
      </c>
      <c r="L732" t="s">
        <v>818</v>
      </c>
    </row>
    <row r="733" spans="1:12" ht="13.2">
      <c r="A733" t="s">
        <v>1820</v>
      </c>
      <c r="B733" t="b">
        <v>0</v>
      </c>
      <c r="C733" t="s">
        <v>903</v>
      </c>
      <c r="D733" t="s">
        <v>998</v>
      </c>
      <c r="E733" t="s">
        <v>1080</v>
      </c>
      <c r="H733" t="s">
        <v>1062</v>
      </c>
      <c r="I733" t="s">
        <v>2855</v>
      </c>
      <c r="J733" t="s">
        <v>2872</v>
      </c>
      <c r="L733" t="s">
        <v>818</v>
      </c>
    </row>
    <row r="734" spans="1:12" ht="13.2">
      <c r="A734" t="s">
        <v>1821</v>
      </c>
      <c r="B734" t="b">
        <v>0</v>
      </c>
      <c r="C734" t="s">
        <v>903</v>
      </c>
      <c r="D734" t="s">
        <v>998</v>
      </c>
      <c r="E734" t="s">
        <v>1080</v>
      </c>
      <c r="H734" t="s">
        <v>1062</v>
      </c>
      <c r="I734" t="s">
        <v>2855</v>
      </c>
      <c r="J734" t="s">
        <v>2872</v>
      </c>
      <c r="L734" t="s">
        <v>818</v>
      </c>
    </row>
    <row r="735" spans="1:12" ht="13.2">
      <c r="A735" t="s">
        <v>1822</v>
      </c>
      <c r="B735" t="b">
        <v>0</v>
      </c>
      <c r="C735" t="s">
        <v>903</v>
      </c>
      <c r="D735" t="s">
        <v>998</v>
      </c>
      <c r="E735" t="s">
        <v>1080</v>
      </c>
      <c r="H735" t="s">
        <v>1062</v>
      </c>
      <c r="I735" t="s">
        <v>2855</v>
      </c>
      <c r="J735" t="s">
        <v>2872</v>
      </c>
      <c r="L735" t="s">
        <v>818</v>
      </c>
    </row>
    <row r="736" spans="1:12" ht="13.2">
      <c r="A736" t="s">
        <v>1823</v>
      </c>
      <c r="B736" t="b">
        <v>0</v>
      </c>
      <c r="C736" t="s">
        <v>903</v>
      </c>
      <c r="D736" t="s">
        <v>998</v>
      </c>
      <c r="E736" t="s">
        <v>1080</v>
      </c>
      <c r="H736" t="s">
        <v>1062</v>
      </c>
      <c r="I736" t="s">
        <v>2855</v>
      </c>
      <c r="J736" t="s">
        <v>2872</v>
      </c>
      <c r="L736" t="s">
        <v>818</v>
      </c>
    </row>
    <row r="737" spans="1:12" ht="13.2">
      <c r="A737" t="s">
        <v>1824</v>
      </c>
      <c r="B737" t="b">
        <v>0</v>
      </c>
      <c r="C737" t="s">
        <v>903</v>
      </c>
      <c r="D737" t="s">
        <v>998</v>
      </c>
      <c r="E737" t="s">
        <v>1080</v>
      </c>
      <c r="H737" t="s">
        <v>1062</v>
      </c>
      <c r="I737" t="s">
        <v>2855</v>
      </c>
      <c r="J737" t="s">
        <v>2872</v>
      </c>
      <c r="L737" t="s">
        <v>818</v>
      </c>
    </row>
    <row r="738" spans="1:12" ht="13.2">
      <c r="A738" t="s">
        <v>1825</v>
      </c>
      <c r="B738" t="b">
        <v>0</v>
      </c>
      <c r="C738" t="s">
        <v>903</v>
      </c>
      <c r="D738" t="s">
        <v>998</v>
      </c>
      <c r="E738" t="s">
        <v>1080</v>
      </c>
      <c r="H738" t="s">
        <v>1062</v>
      </c>
      <c r="I738" t="s">
        <v>2855</v>
      </c>
      <c r="J738" t="s">
        <v>2872</v>
      </c>
      <c r="L738" t="s">
        <v>818</v>
      </c>
    </row>
    <row r="739" spans="1:12" ht="13.2">
      <c r="A739" t="s">
        <v>1826</v>
      </c>
      <c r="B739" t="b">
        <v>0</v>
      </c>
      <c r="C739" t="s">
        <v>963</v>
      </c>
      <c r="D739" t="s">
        <v>998</v>
      </c>
      <c r="E739" t="s">
        <v>1080</v>
      </c>
      <c r="H739" t="s">
        <v>1062</v>
      </c>
      <c r="I739" t="s">
        <v>2855</v>
      </c>
      <c r="J739" t="s">
        <v>2872</v>
      </c>
      <c r="L739" t="s">
        <v>818</v>
      </c>
    </row>
    <row r="740" spans="1:12" ht="13.2">
      <c r="A740" t="s">
        <v>1827</v>
      </c>
      <c r="B740" t="b">
        <v>0</v>
      </c>
      <c r="C740" t="s">
        <v>1086</v>
      </c>
      <c r="D740" t="s">
        <v>998</v>
      </c>
      <c r="E740" t="s">
        <v>1080</v>
      </c>
      <c r="H740" t="s">
        <v>1062</v>
      </c>
      <c r="I740" t="s">
        <v>2855</v>
      </c>
      <c r="J740" t="s">
        <v>2872</v>
      </c>
      <c r="L740" t="s">
        <v>818</v>
      </c>
    </row>
    <row r="741" spans="1:12" ht="13.2">
      <c r="A741" t="s">
        <v>1828</v>
      </c>
      <c r="B741" t="b">
        <v>0</v>
      </c>
      <c r="H741" t="s">
        <v>1062</v>
      </c>
      <c r="I741" t="s">
        <v>2855</v>
      </c>
      <c r="J741" t="s">
        <v>2872</v>
      </c>
      <c r="L741" t="s">
        <v>818</v>
      </c>
    </row>
    <row r="742" spans="1:12" ht="13.2">
      <c r="A742" t="s">
        <v>1829</v>
      </c>
      <c r="B742" t="b">
        <v>0</v>
      </c>
      <c r="C742" t="s">
        <v>903</v>
      </c>
      <c r="D742" t="s">
        <v>903</v>
      </c>
      <c r="E742" t="s">
        <v>903</v>
      </c>
      <c r="H742" t="s">
        <v>1062</v>
      </c>
      <c r="I742" t="s">
        <v>2855</v>
      </c>
      <c r="J742" t="s">
        <v>2872</v>
      </c>
      <c r="L742" t="s">
        <v>818</v>
      </c>
    </row>
    <row r="743" spans="1:12" ht="13.2">
      <c r="A743" t="s">
        <v>1830</v>
      </c>
      <c r="B743" t="b">
        <v>0</v>
      </c>
      <c r="C743" t="s">
        <v>963</v>
      </c>
      <c r="D743" t="s">
        <v>963</v>
      </c>
      <c r="E743" t="s">
        <v>963</v>
      </c>
      <c r="H743" t="s">
        <v>963</v>
      </c>
      <c r="I743" t="s">
        <v>2855</v>
      </c>
      <c r="J743" t="s">
        <v>2902</v>
      </c>
      <c r="K743">
        <v>3000</v>
      </c>
      <c r="L743" t="s">
        <v>818</v>
      </c>
    </row>
    <row r="744" spans="1:12" ht="13.2">
      <c r="A744" t="s">
        <v>1831</v>
      </c>
      <c r="B744" t="b">
        <v>0</v>
      </c>
      <c r="C744" t="s">
        <v>903</v>
      </c>
      <c r="D744" t="s">
        <v>903</v>
      </c>
      <c r="E744" t="s">
        <v>903</v>
      </c>
      <c r="H744" t="s">
        <v>903</v>
      </c>
      <c r="I744" t="s">
        <v>2855</v>
      </c>
      <c r="J744" t="s">
        <v>2902</v>
      </c>
      <c r="K744">
        <v>3000</v>
      </c>
      <c r="L744" t="s">
        <v>818</v>
      </c>
    </row>
    <row r="745" spans="1:12" ht="13.2">
      <c r="A745" t="s">
        <v>1832</v>
      </c>
      <c r="B745" t="b">
        <v>0</v>
      </c>
      <c r="C745" t="s">
        <v>903</v>
      </c>
      <c r="D745" t="s">
        <v>1143</v>
      </c>
      <c r="E745" t="s">
        <v>903</v>
      </c>
      <c r="H745" t="s">
        <v>903</v>
      </c>
      <c r="I745" t="s">
        <v>2855</v>
      </c>
      <c r="J745" t="s">
        <v>2902</v>
      </c>
      <c r="K745">
        <v>3000</v>
      </c>
      <c r="L745" t="s">
        <v>818</v>
      </c>
    </row>
    <row r="746" spans="1:12" ht="13.2">
      <c r="A746" t="s">
        <v>1833</v>
      </c>
      <c r="B746" t="b">
        <v>0</v>
      </c>
      <c r="C746" t="s">
        <v>903</v>
      </c>
      <c r="D746" t="s">
        <v>903</v>
      </c>
      <c r="E746" t="s">
        <v>903</v>
      </c>
      <c r="H746" t="s">
        <v>903</v>
      </c>
      <c r="I746" t="s">
        <v>2855</v>
      </c>
      <c r="J746" t="s">
        <v>2902</v>
      </c>
      <c r="K746">
        <v>3000</v>
      </c>
      <c r="L746" t="s">
        <v>818</v>
      </c>
    </row>
    <row r="747" spans="1:12" ht="13.2">
      <c r="A747" t="s">
        <v>1834</v>
      </c>
      <c r="B747" t="b">
        <v>0</v>
      </c>
      <c r="C747" t="s">
        <v>903</v>
      </c>
      <c r="D747" t="s">
        <v>998</v>
      </c>
      <c r="E747" t="s">
        <v>1080</v>
      </c>
      <c r="H747" t="s">
        <v>903</v>
      </c>
      <c r="I747" t="s">
        <v>2855</v>
      </c>
      <c r="J747" t="s">
        <v>2902</v>
      </c>
      <c r="K747">
        <v>3000</v>
      </c>
      <c r="L747" t="s">
        <v>818</v>
      </c>
    </row>
    <row r="748" spans="1:12" ht="13.2">
      <c r="A748" t="s">
        <v>1835</v>
      </c>
      <c r="B748" t="b">
        <v>0</v>
      </c>
      <c r="C748" t="s">
        <v>1108</v>
      </c>
      <c r="D748" t="s">
        <v>1109</v>
      </c>
      <c r="E748" t="s">
        <v>1108</v>
      </c>
      <c r="G748" t="s">
        <v>1026</v>
      </c>
      <c r="H748" t="s">
        <v>903</v>
      </c>
      <c r="I748" t="s">
        <v>2855</v>
      </c>
      <c r="J748" t="s">
        <v>2902</v>
      </c>
      <c r="K748">
        <v>3000</v>
      </c>
      <c r="L748" t="s">
        <v>818</v>
      </c>
    </row>
    <row r="749" spans="1:12" ht="13.2">
      <c r="A749" t="s">
        <v>1836</v>
      </c>
      <c r="B749" t="b">
        <v>0</v>
      </c>
      <c r="D749" t="s">
        <v>998</v>
      </c>
      <c r="E749" t="s">
        <v>1080</v>
      </c>
      <c r="H749" t="s">
        <v>903</v>
      </c>
      <c r="I749" t="s">
        <v>2855</v>
      </c>
      <c r="J749" t="s">
        <v>2902</v>
      </c>
      <c r="K749">
        <v>3000</v>
      </c>
      <c r="L749" t="s">
        <v>818</v>
      </c>
    </row>
    <row r="750" spans="1:12" ht="13.2">
      <c r="A750" t="s">
        <v>1837</v>
      </c>
      <c r="B750" t="b">
        <v>0</v>
      </c>
      <c r="C750" t="s">
        <v>903</v>
      </c>
      <c r="D750" t="s">
        <v>998</v>
      </c>
      <c r="E750" t="s">
        <v>1080</v>
      </c>
      <c r="F750">
        <v>77</v>
      </c>
      <c r="H750" t="s">
        <v>903</v>
      </c>
      <c r="I750" t="s">
        <v>2855</v>
      </c>
      <c r="J750" t="s">
        <v>2902</v>
      </c>
      <c r="K750">
        <v>3000</v>
      </c>
      <c r="L750" t="s">
        <v>818</v>
      </c>
    </row>
    <row r="751" spans="1:12" ht="13.2">
      <c r="A751" t="s">
        <v>1838</v>
      </c>
      <c r="B751" t="b">
        <v>0</v>
      </c>
      <c r="C751" t="s">
        <v>1131</v>
      </c>
      <c r="D751" t="s">
        <v>998</v>
      </c>
      <c r="E751" t="s">
        <v>1080</v>
      </c>
      <c r="H751" t="s">
        <v>903</v>
      </c>
      <c r="I751" t="s">
        <v>2855</v>
      </c>
      <c r="J751" t="s">
        <v>2902</v>
      </c>
      <c r="K751">
        <v>3000</v>
      </c>
      <c r="L751" t="s">
        <v>818</v>
      </c>
    </row>
    <row r="752" spans="1:12" ht="13.2">
      <c r="A752" t="s">
        <v>1839</v>
      </c>
      <c r="B752" t="b">
        <v>0</v>
      </c>
      <c r="D752" t="s">
        <v>998</v>
      </c>
      <c r="E752" t="s">
        <v>1080</v>
      </c>
      <c r="H752" t="s">
        <v>903</v>
      </c>
      <c r="I752" t="s">
        <v>2855</v>
      </c>
      <c r="J752" t="s">
        <v>2902</v>
      </c>
      <c r="K752">
        <v>3000</v>
      </c>
      <c r="L752" t="s">
        <v>818</v>
      </c>
    </row>
    <row r="753" spans="1:12" ht="13.2">
      <c r="A753" t="s">
        <v>1840</v>
      </c>
      <c r="B753" t="b">
        <v>0</v>
      </c>
      <c r="C753" t="s">
        <v>963</v>
      </c>
      <c r="D753" t="s">
        <v>998</v>
      </c>
      <c r="E753" t="s">
        <v>963</v>
      </c>
      <c r="H753" t="s">
        <v>963</v>
      </c>
      <c r="I753" t="s">
        <v>2855</v>
      </c>
      <c r="J753" t="s">
        <v>2902</v>
      </c>
      <c r="K753">
        <v>3000</v>
      </c>
      <c r="L753" t="s">
        <v>818</v>
      </c>
    </row>
    <row r="754" spans="1:12" ht="13.2">
      <c r="A754" t="s">
        <v>1841</v>
      </c>
      <c r="B754" t="b">
        <v>0</v>
      </c>
      <c r="H754" t="s">
        <v>1062</v>
      </c>
      <c r="I754" t="s">
        <v>2855</v>
      </c>
      <c r="J754" t="s">
        <v>2902</v>
      </c>
      <c r="K754">
        <v>3000</v>
      </c>
      <c r="L754" t="s">
        <v>818</v>
      </c>
    </row>
    <row r="755" spans="1:12" ht="13.2">
      <c r="A755" t="s">
        <v>1842</v>
      </c>
      <c r="B755" t="b">
        <v>0</v>
      </c>
      <c r="C755" t="s">
        <v>903</v>
      </c>
      <c r="D755" t="s">
        <v>903</v>
      </c>
      <c r="E755" t="s">
        <v>903</v>
      </c>
      <c r="H755" t="s">
        <v>903</v>
      </c>
      <c r="I755" t="s">
        <v>2855</v>
      </c>
      <c r="J755" t="s">
        <v>2902</v>
      </c>
      <c r="K755">
        <v>3000</v>
      </c>
      <c r="L755" t="s">
        <v>818</v>
      </c>
    </row>
    <row r="756" spans="1:12" ht="13.2">
      <c r="A756" t="s">
        <v>1843</v>
      </c>
      <c r="B756" t="b">
        <v>0</v>
      </c>
      <c r="H756" t="s">
        <v>1062</v>
      </c>
      <c r="I756" t="s">
        <v>2855</v>
      </c>
      <c r="J756" t="s">
        <v>2872</v>
      </c>
      <c r="L756" t="s">
        <v>818</v>
      </c>
    </row>
    <row r="757" spans="1:12" ht="13.2">
      <c r="A757" t="s">
        <v>1844</v>
      </c>
      <c r="B757" t="b">
        <v>0</v>
      </c>
      <c r="H757" t="s">
        <v>1062</v>
      </c>
      <c r="I757" t="s">
        <v>2855</v>
      </c>
      <c r="J757" t="s">
        <v>2872</v>
      </c>
      <c r="L757" t="s">
        <v>818</v>
      </c>
    </row>
    <row r="758" spans="1:12" ht="13.2">
      <c r="A758" t="s">
        <v>1845</v>
      </c>
      <c r="B758" t="b">
        <v>0</v>
      </c>
      <c r="H758" t="s">
        <v>1062</v>
      </c>
      <c r="I758" t="s">
        <v>2855</v>
      </c>
      <c r="J758" t="s">
        <v>2872</v>
      </c>
      <c r="L758" t="s">
        <v>818</v>
      </c>
    </row>
    <row r="759" spans="1:12" ht="13.2">
      <c r="A759" t="s">
        <v>1846</v>
      </c>
      <c r="B759" t="b">
        <v>0</v>
      </c>
      <c r="H759" t="s">
        <v>1062</v>
      </c>
      <c r="I759" t="s">
        <v>2855</v>
      </c>
      <c r="J759" t="s">
        <v>2872</v>
      </c>
      <c r="L759" t="s">
        <v>818</v>
      </c>
    </row>
    <row r="760" spans="1:12" ht="13.2">
      <c r="A760" t="s">
        <v>1847</v>
      </c>
      <c r="B760" t="b">
        <v>0</v>
      </c>
      <c r="H760" t="s">
        <v>1062</v>
      </c>
      <c r="I760" t="s">
        <v>2855</v>
      </c>
      <c r="J760" t="s">
        <v>2872</v>
      </c>
      <c r="L760" t="s">
        <v>818</v>
      </c>
    </row>
    <row r="761" spans="1:12" ht="13.2">
      <c r="A761" t="s">
        <v>1848</v>
      </c>
      <c r="B761" t="b">
        <v>0</v>
      </c>
      <c r="H761" t="s">
        <v>1062</v>
      </c>
      <c r="I761" t="s">
        <v>2855</v>
      </c>
      <c r="J761" t="s">
        <v>2872</v>
      </c>
      <c r="L761" t="s">
        <v>818</v>
      </c>
    </row>
    <row r="762" spans="1:12" ht="13.2">
      <c r="A762" t="s">
        <v>1849</v>
      </c>
      <c r="B762" t="b">
        <v>0</v>
      </c>
      <c r="H762" t="s">
        <v>1062</v>
      </c>
      <c r="I762" t="s">
        <v>2855</v>
      </c>
      <c r="J762" t="s">
        <v>2872</v>
      </c>
      <c r="L762" t="s">
        <v>818</v>
      </c>
    </row>
    <row r="763" spans="1:12" ht="13.2">
      <c r="A763" t="s">
        <v>1850</v>
      </c>
      <c r="B763" t="b">
        <v>0</v>
      </c>
      <c r="H763" t="s">
        <v>1062</v>
      </c>
      <c r="I763" t="s">
        <v>2855</v>
      </c>
      <c r="J763" t="s">
        <v>2872</v>
      </c>
      <c r="L763" t="s">
        <v>818</v>
      </c>
    </row>
    <row r="764" spans="1:12" ht="13.2">
      <c r="A764" t="s">
        <v>1851</v>
      </c>
      <c r="B764" t="b">
        <v>0</v>
      </c>
      <c r="H764" t="s">
        <v>1062</v>
      </c>
      <c r="I764" t="s">
        <v>2855</v>
      </c>
      <c r="J764" t="s">
        <v>2872</v>
      </c>
      <c r="L764" t="s">
        <v>818</v>
      </c>
    </row>
    <row r="765" spans="1:12" ht="13.2">
      <c r="A765" t="s">
        <v>1852</v>
      </c>
      <c r="B765" t="b">
        <v>0</v>
      </c>
      <c r="C765" t="s">
        <v>963</v>
      </c>
      <c r="D765" t="s">
        <v>963</v>
      </c>
      <c r="E765" t="s">
        <v>963</v>
      </c>
      <c r="H765" t="s">
        <v>1062</v>
      </c>
      <c r="I765" t="s">
        <v>2855</v>
      </c>
      <c r="J765" t="s">
        <v>2863</v>
      </c>
      <c r="K765">
        <v>3000</v>
      </c>
      <c r="L765" t="s">
        <v>818</v>
      </c>
    </row>
    <row r="766" spans="1:12" ht="13.2">
      <c r="A766" t="s">
        <v>1853</v>
      </c>
      <c r="B766" t="b">
        <v>0</v>
      </c>
      <c r="C766" t="s">
        <v>963</v>
      </c>
      <c r="D766" t="s">
        <v>963</v>
      </c>
      <c r="E766" t="s">
        <v>963</v>
      </c>
      <c r="H766" t="s">
        <v>1062</v>
      </c>
      <c r="I766" t="s">
        <v>2855</v>
      </c>
      <c r="J766" t="s">
        <v>2863</v>
      </c>
      <c r="K766">
        <v>3000</v>
      </c>
      <c r="L766" t="s">
        <v>818</v>
      </c>
    </row>
    <row r="767" spans="1:12" ht="13.2">
      <c r="A767" t="s">
        <v>1854</v>
      </c>
      <c r="B767" t="b">
        <v>0</v>
      </c>
      <c r="C767" t="s">
        <v>1086</v>
      </c>
      <c r="D767" t="s">
        <v>998</v>
      </c>
      <c r="E767" t="s">
        <v>1086</v>
      </c>
      <c r="H767" t="s">
        <v>1062</v>
      </c>
      <c r="I767" t="s">
        <v>2855</v>
      </c>
      <c r="J767" t="s">
        <v>2863</v>
      </c>
      <c r="K767">
        <v>3000</v>
      </c>
      <c r="L767" t="s">
        <v>818</v>
      </c>
    </row>
    <row r="768" spans="1:12" ht="13.2">
      <c r="A768" t="s">
        <v>1855</v>
      </c>
      <c r="B768" t="b">
        <v>0</v>
      </c>
      <c r="C768" t="s">
        <v>903</v>
      </c>
      <c r="D768" t="s">
        <v>998</v>
      </c>
      <c r="E768" t="s">
        <v>1080</v>
      </c>
      <c r="H768" t="s">
        <v>1062</v>
      </c>
      <c r="I768" t="s">
        <v>2855</v>
      </c>
      <c r="J768" t="s">
        <v>2863</v>
      </c>
      <c r="K768">
        <v>3000</v>
      </c>
      <c r="L768" t="s">
        <v>818</v>
      </c>
    </row>
    <row r="769" spans="1:12" ht="13.2">
      <c r="A769" t="s">
        <v>1856</v>
      </c>
      <c r="B769" t="b">
        <v>0</v>
      </c>
      <c r="C769" t="s">
        <v>903</v>
      </c>
      <c r="D769" t="s">
        <v>998</v>
      </c>
      <c r="E769" t="s">
        <v>1080</v>
      </c>
      <c r="H769" t="s">
        <v>1062</v>
      </c>
      <c r="I769" t="s">
        <v>2855</v>
      </c>
      <c r="J769" t="s">
        <v>2863</v>
      </c>
      <c r="K769">
        <v>3000</v>
      </c>
      <c r="L769" t="s">
        <v>818</v>
      </c>
    </row>
    <row r="770" spans="1:12" ht="13.2">
      <c r="A770" t="s">
        <v>1857</v>
      </c>
      <c r="B770" t="b">
        <v>0</v>
      </c>
      <c r="C770" t="s">
        <v>903</v>
      </c>
      <c r="D770" t="s">
        <v>903</v>
      </c>
      <c r="E770" t="s">
        <v>903</v>
      </c>
      <c r="H770" t="s">
        <v>1062</v>
      </c>
      <c r="I770" t="s">
        <v>2855</v>
      </c>
      <c r="J770" t="s">
        <v>2863</v>
      </c>
      <c r="K770">
        <v>3000</v>
      </c>
      <c r="L770" t="s">
        <v>818</v>
      </c>
    </row>
    <row r="771" spans="1:12" ht="13.2">
      <c r="A771" t="s">
        <v>1858</v>
      </c>
      <c r="B771" t="b">
        <v>0</v>
      </c>
      <c r="C771" t="s">
        <v>1086</v>
      </c>
      <c r="D771" t="s">
        <v>998</v>
      </c>
      <c r="E771" t="s">
        <v>1086</v>
      </c>
      <c r="H771" t="s">
        <v>1062</v>
      </c>
      <c r="I771" t="s">
        <v>2855</v>
      </c>
      <c r="J771" t="s">
        <v>2863</v>
      </c>
      <c r="K771">
        <v>3000</v>
      </c>
      <c r="L771" t="s">
        <v>818</v>
      </c>
    </row>
    <row r="772" spans="1:12" ht="13.2">
      <c r="A772" t="s">
        <v>1859</v>
      </c>
      <c r="B772" t="b">
        <v>0</v>
      </c>
      <c r="C772" t="s">
        <v>963</v>
      </c>
      <c r="D772" t="s">
        <v>963</v>
      </c>
      <c r="E772" t="s">
        <v>963</v>
      </c>
      <c r="H772" t="s">
        <v>1062</v>
      </c>
      <c r="I772" t="s">
        <v>2855</v>
      </c>
      <c r="J772" t="s">
        <v>2863</v>
      </c>
      <c r="K772">
        <v>3000</v>
      </c>
      <c r="L772" t="s">
        <v>818</v>
      </c>
    </row>
    <row r="773" spans="1:12" ht="13.2">
      <c r="A773" t="s">
        <v>1860</v>
      </c>
      <c r="B773" t="b">
        <v>0</v>
      </c>
      <c r="C773" t="s">
        <v>1086</v>
      </c>
      <c r="D773" t="s">
        <v>998</v>
      </c>
      <c r="E773" t="s">
        <v>1086</v>
      </c>
      <c r="H773" t="s">
        <v>1062</v>
      </c>
      <c r="I773" t="s">
        <v>2855</v>
      </c>
      <c r="J773" t="s">
        <v>2863</v>
      </c>
      <c r="K773">
        <v>3000</v>
      </c>
      <c r="L773" t="s">
        <v>818</v>
      </c>
    </row>
    <row r="774" spans="1:12" ht="13.2">
      <c r="A774" t="s">
        <v>1861</v>
      </c>
      <c r="B774" t="b">
        <v>0</v>
      </c>
      <c r="C774" t="s">
        <v>963</v>
      </c>
      <c r="D774" t="s">
        <v>998</v>
      </c>
      <c r="E774" t="s">
        <v>963</v>
      </c>
      <c r="H774" t="s">
        <v>1062</v>
      </c>
      <c r="I774" t="s">
        <v>2855</v>
      </c>
      <c r="J774" t="s">
        <v>2863</v>
      </c>
      <c r="K774">
        <v>3000</v>
      </c>
      <c r="L774" t="s">
        <v>818</v>
      </c>
    </row>
    <row r="775" spans="1:12" ht="13.2">
      <c r="A775" t="s">
        <v>1862</v>
      </c>
      <c r="B775" t="b">
        <v>0</v>
      </c>
      <c r="H775" t="s">
        <v>1062</v>
      </c>
      <c r="I775" t="s">
        <v>2855</v>
      </c>
      <c r="J775" t="s">
        <v>2863</v>
      </c>
      <c r="K775">
        <v>3000</v>
      </c>
      <c r="L775" t="s">
        <v>818</v>
      </c>
    </row>
    <row r="776" spans="1:12" ht="13.2">
      <c r="A776" t="s">
        <v>1863</v>
      </c>
      <c r="B776" t="b">
        <v>0</v>
      </c>
      <c r="C776" t="s">
        <v>1086</v>
      </c>
      <c r="D776" t="s">
        <v>998</v>
      </c>
      <c r="E776" t="s">
        <v>1086</v>
      </c>
      <c r="H776" t="s">
        <v>1062</v>
      </c>
      <c r="I776" t="s">
        <v>2855</v>
      </c>
      <c r="J776" t="s">
        <v>2863</v>
      </c>
      <c r="K776">
        <v>3000</v>
      </c>
      <c r="L776" t="s">
        <v>818</v>
      </c>
    </row>
    <row r="777" spans="1:12" ht="13.2">
      <c r="A777" t="s">
        <v>1864</v>
      </c>
      <c r="B777" t="b">
        <v>0</v>
      </c>
      <c r="C777" t="s">
        <v>903</v>
      </c>
      <c r="D777" t="s">
        <v>998</v>
      </c>
      <c r="E777" t="s">
        <v>1080</v>
      </c>
      <c r="H777" t="s">
        <v>1062</v>
      </c>
      <c r="I777" t="s">
        <v>2855</v>
      </c>
      <c r="J777" t="s">
        <v>2863</v>
      </c>
      <c r="K777">
        <v>3000</v>
      </c>
      <c r="L777" t="s">
        <v>818</v>
      </c>
    </row>
    <row r="778" spans="1:12" ht="13.2">
      <c r="A778" t="s">
        <v>1865</v>
      </c>
      <c r="B778" t="b">
        <v>0</v>
      </c>
      <c r="H778" t="s">
        <v>1062</v>
      </c>
      <c r="I778" t="s">
        <v>2855</v>
      </c>
      <c r="J778" t="s">
        <v>2872</v>
      </c>
      <c r="L778" t="s">
        <v>818</v>
      </c>
    </row>
    <row r="779" spans="1:12" ht="13.2">
      <c r="A779" t="s">
        <v>1866</v>
      </c>
      <c r="B779" t="b">
        <v>0</v>
      </c>
      <c r="H779" t="s">
        <v>1062</v>
      </c>
      <c r="I779" t="s">
        <v>2855</v>
      </c>
      <c r="J779" t="s">
        <v>2872</v>
      </c>
      <c r="L779" t="s">
        <v>818</v>
      </c>
    </row>
    <row r="780" spans="1:12" ht="13.2">
      <c r="A780" t="s">
        <v>1867</v>
      </c>
      <c r="B780" t="b">
        <v>0</v>
      </c>
      <c r="H780" t="s">
        <v>1062</v>
      </c>
      <c r="I780" t="s">
        <v>2855</v>
      </c>
      <c r="J780" t="s">
        <v>2872</v>
      </c>
      <c r="L780" t="s">
        <v>818</v>
      </c>
    </row>
    <row r="781" spans="1:12" ht="13.2">
      <c r="A781" t="s">
        <v>1868</v>
      </c>
      <c r="B781" t="b">
        <v>0</v>
      </c>
      <c r="H781" t="s">
        <v>1062</v>
      </c>
      <c r="I781" t="s">
        <v>2855</v>
      </c>
      <c r="J781" t="s">
        <v>2869</v>
      </c>
      <c r="K781">
        <v>3000</v>
      </c>
      <c r="L781" t="s">
        <v>818</v>
      </c>
    </row>
    <row r="782" spans="1:12" ht="13.2">
      <c r="A782" t="s">
        <v>1869</v>
      </c>
      <c r="B782" t="b">
        <v>0</v>
      </c>
      <c r="H782" t="s">
        <v>1062</v>
      </c>
      <c r="I782" t="s">
        <v>2855</v>
      </c>
      <c r="J782" t="s">
        <v>2869</v>
      </c>
      <c r="K782">
        <v>3000</v>
      </c>
      <c r="L782" t="s">
        <v>818</v>
      </c>
    </row>
    <row r="783" spans="1:12" ht="13.2">
      <c r="A783" t="s">
        <v>1870</v>
      </c>
      <c r="B783" t="b">
        <v>0</v>
      </c>
      <c r="C783" t="s">
        <v>1131</v>
      </c>
      <c r="D783" t="s">
        <v>998</v>
      </c>
      <c r="H783" t="s">
        <v>1062</v>
      </c>
      <c r="I783" t="s">
        <v>2855</v>
      </c>
      <c r="J783" t="s">
        <v>2869</v>
      </c>
      <c r="K783">
        <v>3000</v>
      </c>
      <c r="L783" t="s">
        <v>818</v>
      </c>
    </row>
    <row r="784" spans="1:12" ht="13.2">
      <c r="A784" t="s">
        <v>1871</v>
      </c>
      <c r="B784" t="b">
        <v>0</v>
      </c>
      <c r="H784" t="s">
        <v>1062</v>
      </c>
      <c r="I784" t="s">
        <v>2855</v>
      </c>
      <c r="J784" t="s">
        <v>2869</v>
      </c>
      <c r="K784">
        <v>3000</v>
      </c>
      <c r="L784" t="s">
        <v>818</v>
      </c>
    </row>
    <row r="785" spans="1:12" ht="13.2">
      <c r="A785" t="s">
        <v>1872</v>
      </c>
      <c r="B785" t="b">
        <v>0</v>
      </c>
      <c r="H785" t="s">
        <v>1062</v>
      </c>
      <c r="I785" t="s">
        <v>2855</v>
      </c>
      <c r="J785" t="s">
        <v>2869</v>
      </c>
      <c r="K785">
        <v>3000</v>
      </c>
      <c r="L785" t="s">
        <v>818</v>
      </c>
    </row>
    <row r="786" spans="1:12" ht="13.2">
      <c r="A786" t="s">
        <v>1873</v>
      </c>
      <c r="B786" t="b">
        <v>0</v>
      </c>
      <c r="H786" t="s">
        <v>1062</v>
      </c>
      <c r="I786" t="s">
        <v>2855</v>
      </c>
      <c r="J786" t="s">
        <v>2869</v>
      </c>
      <c r="K786">
        <v>3000</v>
      </c>
      <c r="L786" t="s">
        <v>818</v>
      </c>
    </row>
    <row r="787" spans="1:12" ht="13.2">
      <c r="A787" t="s">
        <v>1874</v>
      </c>
      <c r="B787" t="b">
        <v>0</v>
      </c>
      <c r="H787" t="s">
        <v>1062</v>
      </c>
      <c r="I787" t="s">
        <v>2855</v>
      </c>
      <c r="J787" t="s">
        <v>2869</v>
      </c>
      <c r="K787">
        <v>3000</v>
      </c>
      <c r="L787" t="s">
        <v>818</v>
      </c>
    </row>
    <row r="788" spans="1:12" ht="13.2">
      <c r="A788" t="s">
        <v>1875</v>
      </c>
      <c r="B788" t="b">
        <v>0</v>
      </c>
      <c r="H788" t="s">
        <v>1062</v>
      </c>
      <c r="I788" t="s">
        <v>2855</v>
      </c>
      <c r="J788" t="s">
        <v>2869</v>
      </c>
      <c r="K788">
        <v>3000</v>
      </c>
      <c r="L788" t="s">
        <v>818</v>
      </c>
    </row>
    <row r="789" spans="1:12" ht="13.2">
      <c r="A789" t="s">
        <v>1876</v>
      </c>
      <c r="B789" t="b">
        <v>0</v>
      </c>
      <c r="H789" t="s">
        <v>1062</v>
      </c>
      <c r="I789" t="s">
        <v>2855</v>
      </c>
      <c r="J789" t="s">
        <v>2869</v>
      </c>
      <c r="K789">
        <v>3000</v>
      </c>
      <c r="L789" t="s">
        <v>818</v>
      </c>
    </row>
    <row r="790" spans="1:12" ht="13.2">
      <c r="A790" t="s">
        <v>1877</v>
      </c>
      <c r="B790" t="b">
        <v>0</v>
      </c>
      <c r="H790" t="s">
        <v>1062</v>
      </c>
      <c r="I790" t="s">
        <v>2855</v>
      </c>
      <c r="J790" t="s">
        <v>2869</v>
      </c>
      <c r="K790">
        <v>3000</v>
      </c>
      <c r="L790" t="s">
        <v>818</v>
      </c>
    </row>
    <row r="791" spans="1:12" ht="13.2">
      <c r="A791" t="s">
        <v>1878</v>
      </c>
      <c r="B791" t="b">
        <v>0</v>
      </c>
      <c r="H791" t="s">
        <v>1062</v>
      </c>
      <c r="I791" t="s">
        <v>2855</v>
      </c>
      <c r="J791" t="s">
        <v>2869</v>
      </c>
      <c r="K791">
        <v>3000</v>
      </c>
      <c r="L791" t="s">
        <v>818</v>
      </c>
    </row>
    <row r="792" spans="1:12" ht="13.2">
      <c r="A792" t="s">
        <v>1879</v>
      </c>
      <c r="B792" t="b">
        <v>0</v>
      </c>
      <c r="H792" t="s">
        <v>1062</v>
      </c>
      <c r="I792" t="s">
        <v>2855</v>
      </c>
      <c r="J792" t="s">
        <v>2869</v>
      </c>
      <c r="K792">
        <v>3000</v>
      </c>
      <c r="L792" t="s">
        <v>818</v>
      </c>
    </row>
    <row r="793" spans="1:12" ht="13.2">
      <c r="A793" t="s">
        <v>1880</v>
      </c>
      <c r="B793" t="b">
        <v>0</v>
      </c>
      <c r="H793" t="s">
        <v>1062</v>
      </c>
      <c r="I793" t="s">
        <v>2855</v>
      </c>
      <c r="J793" t="s">
        <v>2869</v>
      </c>
      <c r="K793">
        <v>3000</v>
      </c>
      <c r="L793" t="s">
        <v>818</v>
      </c>
    </row>
    <row r="794" spans="1:12" ht="13.2">
      <c r="A794" t="s">
        <v>1881</v>
      </c>
      <c r="B794" t="b">
        <v>0</v>
      </c>
      <c r="H794" t="s">
        <v>1062</v>
      </c>
      <c r="I794" t="s">
        <v>2855</v>
      </c>
      <c r="J794" t="s">
        <v>2869</v>
      </c>
      <c r="K794">
        <v>3000</v>
      </c>
      <c r="L794" t="s">
        <v>818</v>
      </c>
    </row>
    <row r="795" spans="1:12" ht="13.2">
      <c r="A795" t="s">
        <v>1882</v>
      </c>
      <c r="B795" t="b">
        <v>0</v>
      </c>
      <c r="H795" t="s">
        <v>1062</v>
      </c>
      <c r="I795" t="s">
        <v>2855</v>
      </c>
      <c r="J795" t="s">
        <v>2869</v>
      </c>
      <c r="K795">
        <v>3000</v>
      </c>
      <c r="L795" t="s">
        <v>818</v>
      </c>
    </row>
    <row r="796" spans="1:12" ht="13.2">
      <c r="A796" t="s">
        <v>1883</v>
      </c>
      <c r="B796" t="b">
        <v>0</v>
      </c>
      <c r="H796" t="s">
        <v>1062</v>
      </c>
      <c r="I796" t="s">
        <v>2855</v>
      </c>
      <c r="J796" t="s">
        <v>2869</v>
      </c>
      <c r="K796">
        <v>3000</v>
      </c>
      <c r="L796" t="s">
        <v>818</v>
      </c>
    </row>
    <row r="797" spans="1:12" ht="13.2">
      <c r="A797" t="s">
        <v>1884</v>
      </c>
      <c r="B797" t="b">
        <v>0</v>
      </c>
      <c r="H797" t="s">
        <v>1062</v>
      </c>
      <c r="I797" t="s">
        <v>2855</v>
      </c>
      <c r="J797" t="s">
        <v>2869</v>
      </c>
      <c r="K797">
        <v>3000</v>
      </c>
      <c r="L797" t="s">
        <v>818</v>
      </c>
    </row>
    <row r="798" spans="1:12" ht="13.2">
      <c r="A798" t="s">
        <v>1885</v>
      </c>
      <c r="B798" t="b">
        <v>0</v>
      </c>
      <c r="H798" t="s">
        <v>1062</v>
      </c>
      <c r="I798" t="s">
        <v>2855</v>
      </c>
      <c r="J798" t="s">
        <v>2869</v>
      </c>
      <c r="K798">
        <v>3000</v>
      </c>
      <c r="L798" t="s">
        <v>818</v>
      </c>
    </row>
    <row r="799" spans="1:12" ht="13.2">
      <c r="A799" t="s">
        <v>1886</v>
      </c>
      <c r="B799" t="b">
        <v>0</v>
      </c>
      <c r="H799" t="s">
        <v>1062</v>
      </c>
      <c r="I799" t="s">
        <v>2855</v>
      </c>
      <c r="J799" t="s">
        <v>2869</v>
      </c>
      <c r="K799">
        <v>3000</v>
      </c>
      <c r="L799" t="s">
        <v>818</v>
      </c>
    </row>
    <row r="800" spans="1:12" ht="13.2">
      <c r="A800" t="s">
        <v>1887</v>
      </c>
      <c r="B800" t="b">
        <v>0</v>
      </c>
      <c r="H800" t="s">
        <v>1062</v>
      </c>
      <c r="I800" t="s">
        <v>2855</v>
      </c>
      <c r="J800" t="s">
        <v>2857</v>
      </c>
      <c r="L800" t="s">
        <v>818</v>
      </c>
    </row>
    <row r="801" spans="1:12" ht="13.2">
      <c r="A801" t="s">
        <v>1888</v>
      </c>
      <c r="B801" t="b">
        <v>0</v>
      </c>
      <c r="H801" t="s">
        <v>1062</v>
      </c>
      <c r="I801" t="s">
        <v>2855</v>
      </c>
      <c r="J801" t="s">
        <v>2857</v>
      </c>
      <c r="L801" t="s">
        <v>818</v>
      </c>
    </row>
    <row r="802" spans="1:12" ht="13.2">
      <c r="A802" t="s">
        <v>1889</v>
      </c>
      <c r="B802" t="b">
        <v>0</v>
      </c>
      <c r="H802" t="s">
        <v>1062</v>
      </c>
      <c r="I802" t="s">
        <v>2855</v>
      </c>
      <c r="J802" t="s">
        <v>2857</v>
      </c>
      <c r="L802" t="s">
        <v>818</v>
      </c>
    </row>
    <row r="803" spans="1:12" ht="13.2">
      <c r="A803" t="s">
        <v>1890</v>
      </c>
      <c r="B803" t="b">
        <v>0</v>
      </c>
      <c r="H803" t="s">
        <v>1062</v>
      </c>
      <c r="I803" t="s">
        <v>2855</v>
      </c>
      <c r="J803" t="s">
        <v>2857</v>
      </c>
      <c r="L803" t="s">
        <v>818</v>
      </c>
    </row>
    <row r="804" spans="1:12" ht="13.2">
      <c r="A804" t="s">
        <v>1891</v>
      </c>
      <c r="B804" t="b">
        <v>0</v>
      </c>
      <c r="H804" t="s">
        <v>1062</v>
      </c>
      <c r="I804" t="s">
        <v>2855</v>
      </c>
      <c r="J804" t="s">
        <v>2857</v>
      </c>
      <c r="L804" t="s">
        <v>818</v>
      </c>
    </row>
    <row r="805" spans="1:12" ht="13.2">
      <c r="A805" t="s">
        <v>1892</v>
      </c>
      <c r="B805" t="b">
        <v>0</v>
      </c>
      <c r="H805" t="s">
        <v>1062</v>
      </c>
      <c r="I805" t="s">
        <v>2855</v>
      </c>
      <c r="J805" t="s">
        <v>2857</v>
      </c>
      <c r="L805" t="s">
        <v>818</v>
      </c>
    </row>
    <row r="806" spans="1:12" ht="13.2">
      <c r="A806" t="s">
        <v>1893</v>
      </c>
      <c r="B806" t="b">
        <v>0</v>
      </c>
      <c r="H806" t="s">
        <v>1062</v>
      </c>
      <c r="I806" t="s">
        <v>2855</v>
      </c>
      <c r="J806" t="s">
        <v>2857</v>
      </c>
      <c r="L806" t="s">
        <v>818</v>
      </c>
    </row>
    <row r="807" spans="1:12" ht="13.2">
      <c r="A807" t="s">
        <v>1894</v>
      </c>
      <c r="B807" t="b">
        <v>0</v>
      </c>
      <c r="H807" t="s">
        <v>1062</v>
      </c>
      <c r="I807" t="s">
        <v>2855</v>
      </c>
      <c r="J807" t="s">
        <v>2857</v>
      </c>
      <c r="L807" t="s">
        <v>818</v>
      </c>
    </row>
    <row r="808" spans="1:12" ht="13.2">
      <c r="A808" t="s">
        <v>1895</v>
      </c>
      <c r="B808" t="b">
        <v>0</v>
      </c>
      <c r="H808" t="s">
        <v>1062</v>
      </c>
      <c r="I808" t="s">
        <v>2855</v>
      </c>
      <c r="J808" t="s">
        <v>2857</v>
      </c>
      <c r="L808" t="s">
        <v>818</v>
      </c>
    </row>
    <row r="809" spans="1:12" ht="13.2">
      <c r="A809" t="s">
        <v>1896</v>
      </c>
      <c r="B809" t="b">
        <v>0</v>
      </c>
      <c r="H809" t="s">
        <v>1062</v>
      </c>
      <c r="I809" t="s">
        <v>2855</v>
      </c>
      <c r="J809" t="s">
        <v>2872</v>
      </c>
      <c r="L809" t="s">
        <v>818</v>
      </c>
    </row>
    <row r="810" spans="1:12" ht="13.2">
      <c r="A810" t="s">
        <v>1897</v>
      </c>
      <c r="B810" t="b">
        <v>0</v>
      </c>
      <c r="H810" t="s">
        <v>1062</v>
      </c>
      <c r="I810" t="s">
        <v>2855</v>
      </c>
      <c r="J810" t="s">
        <v>2860</v>
      </c>
      <c r="L810" t="s">
        <v>818</v>
      </c>
    </row>
    <row r="811" spans="1:12" ht="13.2">
      <c r="A811" t="s">
        <v>1898</v>
      </c>
      <c r="B811" t="b">
        <v>0</v>
      </c>
      <c r="H811" t="s">
        <v>1062</v>
      </c>
      <c r="I811" t="s">
        <v>2855</v>
      </c>
      <c r="J811" t="s">
        <v>2860</v>
      </c>
      <c r="L811" t="s">
        <v>818</v>
      </c>
    </row>
    <row r="812" spans="1:12" ht="13.2">
      <c r="A812" t="s">
        <v>1899</v>
      </c>
      <c r="B812" t="b">
        <v>0</v>
      </c>
      <c r="H812" t="s">
        <v>1062</v>
      </c>
      <c r="I812" t="s">
        <v>2855</v>
      </c>
      <c r="J812" t="s">
        <v>2860</v>
      </c>
      <c r="L812" t="s">
        <v>818</v>
      </c>
    </row>
    <row r="813" spans="1:12" ht="13.2">
      <c r="A813" t="s">
        <v>1900</v>
      </c>
      <c r="B813" t="b">
        <v>0</v>
      </c>
      <c r="H813" t="s">
        <v>1062</v>
      </c>
      <c r="I813" t="s">
        <v>2855</v>
      </c>
      <c r="J813" t="s">
        <v>2860</v>
      </c>
      <c r="L813" t="s">
        <v>818</v>
      </c>
    </row>
    <row r="814" spans="1:12" ht="13.2">
      <c r="A814" t="s">
        <v>1901</v>
      </c>
      <c r="B814" t="b">
        <v>0</v>
      </c>
      <c r="H814" t="s">
        <v>1062</v>
      </c>
      <c r="I814" t="s">
        <v>2855</v>
      </c>
      <c r="J814" t="s">
        <v>2860</v>
      </c>
      <c r="L814" t="s">
        <v>818</v>
      </c>
    </row>
    <row r="815" spans="1:12" ht="13.2">
      <c r="A815" t="s">
        <v>1902</v>
      </c>
      <c r="B815" t="b">
        <v>0</v>
      </c>
      <c r="H815" t="s">
        <v>1062</v>
      </c>
      <c r="I815" t="s">
        <v>2855</v>
      </c>
      <c r="J815" t="s">
        <v>2860</v>
      </c>
      <c r="L815" t="s">
        <v>818</v>
      </c>
    </row>
    <row r="816" spans="1:12" ht="13.2">
      <c r="A816" t="s">
        <v>1903</v>
      </c>
      <c r="B816" t="b">
        <v>0</v>
      </c>
      <c r="H816" t="s">
        <v>1062</v>
      </c>
      <c r="I816" t="s">
        <v>2855</v>
      </c>
      <c r="J816" t="s">
        <v>2860</v>
      </c>
      <c r="L816" t="s">
        <v>818</v>
      </c>
    </row>
    <row r="817" spans="1:12" ht="13.2">
      <c r="A817" t="s">
        <v>1904</v>
      </c>
      <c r="B817" t="b">
        <v>0</v>
      </c>
      <c r="H817" t="s">
        <v>1062</v>
      </c>
      <c r="I817" t="s">
        <v>2855</v>
      </c>
      <c r="J817" t="s">
        <v>2860</v>
      </c>
      <c r="L817" t="s">
        <v>818</v>
      </c>
    </row>
    <row r="818" spans="1:12" ht="13.2">
      <c r="A818" t="s">
        <v>1905</v>
      </c>
      <c r="B818" t="b">
        <v>0</v>
      </c>
      <c r="H818" t="s">
        <v>1062</v>
      </c>
      <c r="I818" t="s">
        <v>2855</v>
      </c>
      <c r="J818" t="s">
        <v>2860</v>
      </c>
      <c r="L818" t="s">
        <v>818</v>
      </c>
    </row>
    <row r="819" spans="1:12" ht="13.2">
      <c r="A819" t="s">
        <v>1906</v>
      </c>
      <c r="B819" t="b">
        <v>0</v>
      </c>
      <c r="H819" t="s">
        <v>1062</v>
      </c>
      <c r="I819" t="s">
        <v>2855</v>
      </c>
      <c r="J819" t="s">
        <v>2860</v>
      </c>
      <c r="L819" t="s">
        <v>818</v>
      </c>
    </row>
    <row r="820" spans="1:12" ht="13.2">
      <c r="A820" t="s">
        <v>1907</v>
      </c>
      <c r="B820" t="b">
        <v>0</v>
      </c>
      <c r="H820" t="s">
        <v>1062</v>
      </c>
      <c r="I820" t="s">
        <v>2855</v>
      </c>
      <c r="J820" t="s">
        <v>2860</v>
      </c>
      <c r="L820" t="s">
        <v>818</v>
      </c>
    </row>
    <row r="821" spans="1:12" ht="13.2">
      <c r="A821" t="s">
        <v>1908</v>
      </c>
      <c r="B821" t="b">
        <v>0</v>
      </c>
      <c r="H821" t="s">
        <v>1062</v>
      </c>
      <c r="I821" t="s">
        <v>2855</v>
      </c>
      <c r="J821" t="s">
        <v>2860</v>
      </c>
      <c r="L821" t="s">
        <v>818</v>
      </c>
    </row>
    <row r="822" spans="1:12" ht="13.2">
      <c r="A822" t="s">
        <v>1909</v>
      </c>
      <c r="B822" t="b">
        <v>0</v>
      </c>
      <c r="H822" t="s">
        <v>1062</v>
      </c>
      <c r="I822" t="s">
        <v>2855</v>
      </c>
      <c r="J822" t="s">
        <v>2860</v>
      </c>
      <c r="L822" t="s">
        <v>818</v>
      </c>
    </row>
    <row r="823" spans="1:12" ht="13.2">
      <c r="A823" t="s">
        <v>1910</v>
      </c>
      <c r="B823" t="b">
        <v>0</v>
      </c>
      <c r="C823" t="s">
        <v>1131</v>
      </c>
      <c r="D823" t="s">
        <v>998</v>
      </c>
      <c r="E823" t="s">
        <v>1131</v>
      </c>
      <c r="H823" t="s">
        <v>963</v>
      </c>
      <c r="I823" t="s">
        <v>2855</v>
      </c>
      <c r="J823" t="s">
        <v>2870</v>
      </c>
      <c r="K823">
        <v>3000</v>
      </c>
      <c r="L823" t="s">
        <v>818</v>
      </c>
    </row>
    <row r="824" spans="1:12" ht="13.2">
      <c r="A824" t="s">
        <v>1911</v>
      </c>
      <c r="B824" t="b">
        <v>0</v>
      </c>
      <c r="C824" t="s">
        <v>903</v>
      </c>
      <c r="D824" t="s">
        <v>1143</v>
      </c>
      <c r="E824" t="s">
        <v>1080</v>
      </c>
      <c r="F824" t="s">
        <v>1094</v>
      </c>
      <c r="G824" t="s">
        <v>903</v>
      </c>
      <c r="H824" t="s">
        <v>903</v>
      </c>
      <c r="I824" t="s">
        <v>2855</v>
      </c>
      <c r="J824" t="s">
        <v>2870</v>
      </c>
      <c r="K824">
        <v>3000</v>
      </c>
      <c r="L824" t="s">
        <v>818</v>
      </c>
    </row>
    <row r="825" spans="1:12" ht="13.2">
      <c r="A825" t="s">
        <v>1912</v>
      </c>
      <c r="B825" t="b">
        <v>0</v>
      </c>
      <c r="C825" t="s">
        <v>1131</v>
      </c>
      <c r="D825" t="s">
        <v>998</v>
      </c>
      <c r="E825" t="s">
        <v>1080</v>
      </c>
      <c r="H825" t="s">
        <v>903</v>
      </c>
      <c r="I825" t="s">
        <v>2855</v>
      </c>
      <c r="J825" t="s">
        <v>2870</v>
      </c>
      <c r="K825">
        <v>3000</v>
      </c>
      <c r="L825" t="s">
        <v>818</v>
      </c>
    </row>
    <row r="826" spans="1:12" ht="13.2">
      <c r="A826" t="s">
        <v>1913</v>
      </c>
      <c r="B826" t="b">
        <v>0</v>
      </c>
      <c r="C826" t="s">
        <v>963</v>
      </c>
      <c r="D826" t="s">
        <v>963</v>
      </c>
      <c r="E826" t="s">
        <v>963</v>
      </c>
      <c r="H826" t="s">
        <v>963</v>
      </c>
      <c r="I826" t="s">
        <v>2855</v>
      </c>
      <c r="J826" t="s">
        <v>2870</v>
      </c>
      <c r="K826">
        <v>3000</v>
      </c>
      <c r="L826" t="s">
        <v>818</v>
      </c>
    </row>
    <row r="827" spans="1:12" ht="13.2">
      <c r="A827" t="s">
        <v>1914</v>
      </c>
      <c r="B827" t="b">
        <v>0</v>
      </c>
      <c r="C827" t="s">
        <v>1108</v>
      </c>
      <c r="D827" t="s">
        <v>1109</v>
      </c>
      <c r="E827" t="s">
        <v>1108</v>
      </c>
      <c r="H827" t="s">
        <v>903</v>
      </c>
      <c r="I827" t="s">
        <v>2855</v>
      </c>
      <c r="J827" t="s">
        <v>2870</v>
      </c>
      <c r="K827">
        <v>3000</v>
      </c>
      <c r="L827" t="s">
        <v>818</v>
      </c>
    </row>
    <row r="828" spans="1:12" ht="13.2">
      <c r="A828" t="s">
        <v>1915</v>
      </c>
      <c r="B828" t="b">
        <v>0</v>
      </c>
      <c r="C828" t="s">
        <v>903</v>
      </c>
      <c r="D828" t="s">
        <v>903</v>
      </c>
      <c r="E828" t="s">
        <v>1080</v>
      </c>
      <c r="H828" t="s">
        <v>903</v>
      </c>
      <c r="I828" t="s">
        <v>2855</v>
      </c>
      <c r="J828" t="s">
        <v>2870</v>
      </c>
      <c r="K828">
        <v>3000</v>
      </c>
      <c r="L828" t="s">
        <v>818</v>
      </c>
    </row>
    <row r="829" spans="1:12" ht="13.2">
      <c r="A829" t="s">
        <v>1916</v>
      </c>
      <c r="B829" t="b">
        <v>0</v>
      </c>
      <c r="C829" t="s">
        <v>903</v>
      </c>
      <c r="D829" t="s">
        <v>903</v>
      </c>
      <c r="E829" t="s">
        <v>1080</v>
      </c>
      <c r="H829" t="s">
        <v>903</v>
      </c>
      <c r="I829" t="s">
        <v>2855</v>
      </c>
      <c r="J829" t="s">
        <v>2870</v>
      </c>
      <c r="K829">
        <v>3000</v>
      </c>
      <c r="L829" t="s">
        <v>818</v>
      </c>
    </row>
    <row r="830" spans="1:12" ht="13.2">
      <c r="A830" t="s">
        <v>1917</v>
      </c>
      <c r="B830" t="b">
        <v>0</v>
      </c>
      <c r="C830" t="s">
        <v>903</v>
      </c>
      <c r="D830" t="s">
        <v>903</v>
      </c>
      <c r="E830" t="s">
        <v>903</v>
      </c>
      <c r="F830" t="s">
        <v>1094</v>
      </c>
      <c r="H830" t="s">
        <v>903</v>
      </c>
      <c r="I830" t="s">
        <v>2855</v>
      </c>
      <c r="J830" t="s">
        <v>2870</v>
      </c>
      <c r="K830">
        <v>3000</v>
      </c>
      <c r="L830" t="s">
        <v>818</v>
      </c>
    </row>
    <row r="831" spans="1:12" ht="13.2">
      <c r="A831" t="s">
        <v>1918</v>
      </c>
      <c r="B831" t="b">
        <v>0</v>
      </c>
      <c r="C831" t="s">
        <v>1131</v>
      </c>
      <c r="D831" t="s">
        <v>998</v>
      </c>
      <c r="E831" t="s">
        <v>1131</v>
      </c>
      <c r="H831" t="s">
        <v>903</v>
      </c>
      <c r="I831" t="s">
        <v>2855</v>
      </c>
      <c r="J831" t="s">
        <v>2870</v>
      </c>
      <c r="K831">
        <v>3000</v>
      </c>
      <c r="L831" t="s">
        <v>818</v>
      </c>
    </row>
    <row r="832" spans="1:12" ht="13.2">
      <c r="A832" t="s">
        <v>1919</v>
      </c>
      <c r="B832" t="b">
        <v>0</v>
      </c>
      <c r="C832" t="s">
        <v>1131</v>
      </c>
      <c r="D832" t="s">
        <v>998</v>
      </c>
      <c r="E832" t="s">
        <v>1131</v>
      </c>
      <c r="H832" t="s">
        <v>903</v>
      </c>
      <c r="I832" t="s">
        <v>2855</v>
      </c>
      <c r="J832" t="s">
        <v>2870</v>
      </c>
      <c r="K832">
        <v>3000</v>
      </c>
      <c r="L832" t="s">
        <v>818</v>
      </c>
    </row>
    <row r="833" spans="1:12" ht="13.2">
      <c r="A833" t="s">
        <v>1920</v>
      </c>
      <c r="B833" t="b">
        <v>0</v>
      </c>
      <c r="H833" t="s">
        <v>1062</v>
      </c>
      <c r="I833" t="s">
        <v>2855</v>
      </c>
      <c r="J833" t="s">
        <v>2870</v>
      </c>
      <c r="K833">
        <v>3000</v>
      </c>
      <c r="L833" t="s">
        <v>818</v>
      </c>
    </row>
    <row r="834" spans="1:12" ht="13.2">
      <c r="A834" t="s">
        <v>1921</v>
      </c>
      <c r="B834" t="b">
        <v>0</v>
      </c>
      <c r="C834" t="s">
        <v>903</v>
      </c>
      <c r="D834" t="s">
        <v>998</v>
      </c>
      <c r="E834" t="s">
        <v>1080</v>
      </c>
      <c r="H834" t="s">
        <v>903</v>
      </c>
      <c r="I834" t="s">
        <v>2855</v>
      </c>
      <c r="J834" t="s">
        <v>2870</v>
      </c>
      <c r="K834">
        <v>3000</v>
      </c>
      <c r="L834" t="s">
        <v>818</v>
      </c>
    </row>
    <row r="835" spans="1:12" ht="13.2">
      <c r="A835" t="s">
        <v>1922</v>
      </c>
      <c r="B835" t="b">
        <v>0</v>
      </c>
      <c r="H835" t="s">
        <v>1062</v>
      </c>
      <c r="I835" t="s">
        <v>2855</v>
      </c>
      <c r="J835" t="s">
        <v>2857</v>
      </c>
      <c r="L835" t="s">
        <v>818</v>
      </c>
    </row>
    <row r="836" spans="1:12" ht="13.2">
      <c r="A836" t="s">
        <v>1923</v>
      </c>
      <c r="B836" t="b">
        <v>0</v>
      </c>
      <c r="H836" t="s">
        <v>1062</v>
      </c>
      <c r="I836" t="s">
        <v>2855</v>
      </c>
      <c r="J836" t="s">
        <v>2857</v>
      </c>
      <c r="L836" t="s">
        <v>818</v>
      </c>
    </row>
    <row r="837" spans="1:12" ht="13.2">
      <c r="A837" t="s">
        <v>1924</v>
      </c>
      <c r="B837" t="b">
        <v>0</v>
      </c>
      <c r="H837" t="s">
        <v>1062</v>
      </c>
      <c r="I837" t="s">
        <v>2855</v>
      </c>
      <c r="J837" t="s">
        <v>2857</v>
      </c>
      <c r="L837" t="s">
        <v>818</v>
      </c>
    </row>
    <row r="838" spans="1:12" ht="13.2">
      <c r="A838" t="s">
        <v>1925</v>
      </c>
      <c r="B838" t="b">
        <v>0</v>
      </c>
      <c r="H838" t="s">
        <v>1062</v>
      </c>
      <c r="I838" t="s">
        <v>2855</v>
      </c>
      <c r="J838" t="s">
        <v>2857</v>
      </c>
      <c r="L838" t="s">
        <v>818</v>
      </c>
    </row>
    <row r="839" spans="1:12" ht="13.2">
      <c r="A839" t="s">
        <v>1926</v>
      </c>
      <c r="B839" t="b">
        <v>0</v>
      </c>
      <c r="H839" t="s">
        <v>1062</v>
      </c>
      <c r="I839" t="s">
        <v>2855</v>
      </c>
      <c r="J839" t="s">
        <v>2857</v>
      </c>
      <c r="L839" t="s">
        <v>818</v>
      </c>
    </row>
    <row r="840" spans="1:12" ht="13.2">
      <c r="A840" t="s">
        <v>1927</v>
      </c>
      <c r="B840" t="b">
        <v>0</v>
      </c>
      <c r="H840" t="s">
        <v>1062</v>
      </c>
      <c r="I840" t="s">
        <v>2855</v>
      </c>
      <c r="J840" t="s">
        <v>2857</v>
      </c>
      <c r="L840" t="s">
        <v>818</v>
      </c>
    </row>
    <row r="841" spans="1:12" ht="13.2">
      <c r="A841" t="s">
        <v>1928</v>
      </c>
      <c r="B841" t="b">
        <v>0</v>
      </c>
      <c r="H841" t="s">
        <v>1062</v>
      </c>
      <c r="I841" t="s">
        <v>2855</v>
      </c>
      <c r="J841" t="s">
        <v>2857</v>
      </c>
      <c r="L841" t="s">
        <v>818</v>
      </c>
    </row>
    <row r="842" spans="1:12" ht="13.2">
      <c r="A842" t="s">
        <v>1929</v>
      </c>
      <c r="B842" t="b">
        <v>0</v>
      </c>
      <c r="H842" t="s">
        <v>1062</v>
      </c>
      <c r="I842" t="s">
        <v>2855</v>
      </c>
      <c r="J842" t="s">
        <v>2857</v>
      </c>
      <c r="L842" t="s">
        <v>818</v>
      </c>
    </row>
    <row r="843" spans="1:12" ht="13.2">
      <c r="A843" t="s">
        <v>1930</v>
      </c>
      <c r="B843" t="b">
        <v>0</v>
      </c>
      <c r="H843" t="s">
        <v>1062</v>
      </c>
      <c r="I843" t="s">
        <v>2855</v>
      </c>
      <c r="J843" t="s">
        <v>2857</v>
      </c>
      <c r="L843" t="s">
        <v>818</v>
      </c>
    </row>
    <row r="844" spans="1:12" ht="13.2">
      <c r="A844" t="s">
        <v>1931</v>
      </c>
      <c r="B844" t="b">
        <v>0</v>
      </c>
      <c r="C844" t="s">
        <v>903</v>
      </c>
      <c r="E844" t="s">
        <v>903</v>
      </c>
      <c r="H844" t="s">
        <v>903</v>
      </c>
      <c r="I844" t="s">
        <v>2855</v>
      </c>
      <c r="J844" t="s">
        <v>2865</v>
      </c>
      <c r="K844" t="s">
        <v>2923</v>
      </c>
      <c r="L844" t="s">
        <v>818</v>
      </c>
    </row>
    <row r="845" spans="1:12" ht="13.2">
      <c r="A845" t="s">
        <v>1932</v>
      </c>
      <c r="B845" t="b">
        <v>0</v>
      </c>
      <c r="C845" t="s">
        <v>963</v>
      </c>
      <c r="D845" t="s">
        <v>963</v>
      </c>
      <c r="E845" t="s">
        <v>963</v>
      </c>
      <c r="H845" t="s">
        <v>963</v>
      </c>
      <c r="I845" t="s">
        <v>2855</v>
      </c>
      <c r="J845" t="s">
        <v>2865</v>
      </c>
      <c r="K845" t="s">
        <v>2923</v>
      </c>
      <c r="L845" t="s">
        <v>818</v>
      </c>
    </row>
    <row r="846" spans="1:12" ht="13.2">
      <c r="A846" t="s">
        <v>1933</v>
      </c>
      <c r="B846" t="b">
        <v>0</v>
      </c>
      <c r="C846" t="s">
        <v>963</v>
      </c>
      <c r="D846" t="s">
        <v>998</v>
      </c>
      <c r="E846" t="s">
        <v>1080</v>
      </c>
      <c r="H846" t="s">
        <v>903</v>
      </c>
      <c r="I846" t="s">
        <v>2855</v>
      </c>
      <c r="J846" t="s">
        <v>2865</v>
      </c>
      <c r="K846" t="s">
        <v>2923</v>
      </c>
      <c r="L846" t="s">
        <v>818</v>
      </c>
    </row>
    <row r="847" spans="1:12" ht="13.2">
      <c r="A847" t="s">
        <v>1934</v>
      </c>
      <c r="B847" t="b">
        <v>0</v>
      </c>
      <c r="C847" t="s">
        <v>903</v>
      </c>
      <c r="E847" t="s">
        <v>1080</v>
      </c>
      <c r="H847" t="s">
        <v>903</v>
      </c>
      <c r="I847" t="s">
        <v>2855</v>
      </c>
      <c r="J847" t="s">
        <v>2865</v>
      </c>
      <c r="K847" t="s">
        <v>2923</v>
      </c>
      <c r="L847" t="s">
        <v>818</v>
      </c>
    </row>
    <row r="848" spans="1:12" ht="13.2">
      <c r="A848" t="s">
        <v>1935</v>
      </c>
      <c r="B848" t="b">
        <v>0</v>
      </c>
      <c r="C848" t="s">
        <v>903</v>
      </c>
      <c r="E848" t="s">
        <v>1080</v>
      </c>
      <c r="H848" t="s">
        <v>903</v>
      </c>
      <c r="I848" t="s">
        <v>2855</v>
      </c>
      <c r="J848" t="s">
        <v>2865</v>
      </c>
      <c r="K848" t="s">
        <v>2923</v>
      </c>
      <c r="L848" t="s">
        <v>818</v>
      </c>
    </row>
    <row r="849" spans="1:12" ht="13.2">
      <c r="A849" t="s">
        <v>1936</v>
      </c>
      <c r="B849" t="b">
        <v>0</v>
      </c>
      <c r="C849" t="s">
        <v>903</v>
      </c>
      <c r="E849" t="s">
        <v>903</v>
      </c>
      <c r="H849" t="s">
        <v>903</v>
      </c>
      <c r="I849" t="s">
        <v>2855</v>
      </c>
      <c r="J849" t="s">
        <v>2865</v>
      </c>
      <c r="K849" t="s">
        <v>2923</v>
      </c>
      <c r="L849" t="s">
        <v>818</v>
      </c>
    </row>
    <row r="850" spans="1:12" ht="13.2">
      <c r="A850" t="s">
        <v>1937</v>
      </c>
      <c r="B850" t="b">
        <v>0</v>
      </c>
      <c r="C850" t="s">
        <v>903</v>
      </c>
      <c r="E850" t="s">
        <v>1080</v>
      </c>
      <c r="H850" t="s">
        <v>903</v>
      </c>
      <c r="I850" t="s">
        <v>2855</v>
      </c>
      <c r="J850" t="s">
        <v>2865</v>
      </c>
      <c r="K850" t="s">
        <v>2923</v>
      </c>
      <c r="L850" t="s">
        <v>818</v>
      </c>
    </row>
    <row r="851" spans="1:12" ht="13.2">
      <c r="A851" t="s">
        <v>1938</v>
      </c>
      <c r="B851" t="b">
        <v>0</v>
      </c>
      <c r="C851" t="s">
        <v>903</v>
      </c>
      <c r="D851" t="s">
        <v>903</v>
      </c>
      <c r="E851" t="s">
        <v>903</v>
      </c>
      <c r="H851" t="s">
        <v>903</v>
      </c>
      <c r="I851" t="s">
        <v>2855</v>
      </c>
      <c r="J851" t="s">
        <v>2865</v>
      </c>
      <c r="K851" t="s">
        <v>2923</v>
      </c>
      <c r="L851" t="s">
        <v>818</v>
      </c>
    </row>
    <row r="852" spans="1:12" ht="13.2">
      <c r="A852" t="s">
        <v>1939</v>
      </c>
      <c r="B852" t="b">
        <v>0</v>
      </c>
      <c r="C852" t="s">
        <v>963</v>
      </c>
      <c r="D852" t="s">
        <v>963</v>
      </c>
      <c r="E852" t="s">
        <v>963</v>
      </c>
      <c r="H852" t="s">
        <v>963</v>
      </c>
      <c r="I852" t="s">
        <v>2855</v>
      </c>
      <c r="J852" t="s">
        <v>2865</v>
      </c>
      <c r="K852" t="s">
        <v>2923</v>
      </c>
      <c r="L852" t="s">
        <v>818</v>
      </c>
    </row>
    <row r="853" spans="1:12" ht="13.2">
      <c r="A853" t="s">
        <v>1940</v>
      </c>
      <c r="B853" t="b">
        <v>0</v>
      </c>
      <c r="C853" t="s">
        <v>1131</v>
      </c>
      <c r="D853" t="s">
        <v>1143</v>
      </c>
      <c r="E853" t="s">
        <v>1131</v>
      </c>
      <c r="H853" t="s">
        <v>903</v>
      </c>
      <c r="I853" t="s">
        <v>2855</v>
      </c>
      <c r="J853" t="s">
        <v>2865</v>
      </c>
      <c r="K853" t="s">
        <v>2923</v>
      </c>
      <c r="L853" t="s">
        <v>818</v>
      </c>
    </row>
    <row r="854" spans="1:12" ht="13.2">
      <c r="A854" t="s">
        <v>1941</v>
      </c>
      <c r="B854" t="b">
        <v>0</v>
      </c>
      <c r="C854" t="s">
        <v>903</v>
      </c>
      <c r="D854" t="s">
        <v>1143</v>
      </c>
      <c r="E854" t="s">
        <v>903</v>
      </c>
      <c r="H854" t="s">
        <v>903</v>
      </c>
      <c r="I854" t="s">
        <v>2855</v>
      </c>
      <c r="J854" t="s">
        <v>2865</v>
      </c>
      <c r="K854" t="s">
        <v>2923</v>
      </c>
      <c r="L854" t="s">
        <v>818</v>
      </c>
    </row>
    <row r="855" spans="1:12" ht="13.2">
      <c r="A855" t="s">
        <v>1942</v>
      </c>
      <c r="B855" t="b">
        <v>0</v>
      </c>
      <c r="C855" t="s">
        <v>963</v>
      </c>
      <c r="D855" t="s">
        <v>963</v>
      </c>
      <c r="E855" t="s">
        <v>963</v>
      </c>
      <c r="H855" t="s">
        <v>963</v>
      </c>
      <c r="I855" t="s">
        <v>2855</v>
      </c>
      <c r="J855" t="s">
        <v>2865</v>
      </c>
      <c r="K855" t="s">
        <v>2923</v>
      </c>
      <c r="L855" t="s">
        <v>818</v>
      </c>
    </row>
    <row r="856" spans="1:12" ht="13.2">
      <c r="A856" t="s">
        <v>1943</v>
      </c>
      <c r="B856" t="b">
        <v>0</v>
      </c>
      <c r="C856" t="s">
        <v>903</v>
      </c>
      <c r="D856" t="s">
        <v>903</v>
      </c>
      <c r="E856" t="s">
        <v>903</v>
      </c>
      <c r="H856" t="s">
        <v>903</v>
      </c>
      <c r="I856" t="s">
        <v>2855</v>
      </c>
      <c r="J856" t="s">
        <v>2865</v>
      </c>
      <c r="K856" t="s">
        <v>2923</v>
      </c>
      <c r="L856" t="s">
        <v>818</v>
      </c>
    </row>
    <row r="857" spans="1:12" ht="13.2">
      <c r="A857" t="s">
        <v>1944</v>
      </c>
      <c r="B857" t="b">
        <v>0</v>
      </c>
      <c r="H857" t="s">
        <v>1062</v>
      </c>
      <c r="I857" t="s">
        <v>2855</v>
      </c>
      <c r="J857" t="s">
        <v>2865</v>
      </c>
      <c r="K857" t="s">
        <v>2923</v>
      </c>
      <c r="L857" t="s">
        <v>818</v>
      </c>
    </row>
    <row r="858" spans="1:12" ht="13.2">
      <c r="A858" t="s">
        <v>1945</v>
      </c>
      <c r="B858" t="b">
        <v>0</v>
      </c>
      <c r="H858" t="s">
        <v>1062</v>
      </c>
      <c r="I858" t="s">
        <v>2855</v>
      </c>
      <c r="J858" t="s">
        <v>2857</v>
      </c>
      <c r="L858" t="s">
        <v>818</v>
      </c>
    </row>
    <row r="859" spans="1:12" ht="13.2">
      <c r="A859" t="s">
        <v>1946</v>
      </c>
      <c r="B859" t="b">
        <v>0</v>
      </c>
      <c r="H859" t="s">
        <v>1062</v>
      </c>
      <c r="I859" t="s">
        <v>2855</v>
      </c>
      <c r="J859" t="s">
        <v>2857</v>
      </c>
      <c r="L859" t="s">
        <v>818</v>
      </c>
    </row>
    <row r="860" spans="1:12" ht="13.2">
      <c r="A860" t="s">
        <v>1947</v>
      </c>
      <c r="B860" t="b">
        <v>0</v>
      </c>
      <c r="H860" t="s">
        <v>1062</v>
      </c>
      <c r="I860" t="s">
        <v>2855</v>
      </c>
      <c r="J860" t="s">
        <v>2857</v>
      </c>
      <c r="L860" t="s">
        <v>818</v>
      </c>
    </row>
    <row r="861" spans="1:12" ht="13.2">
      <c r="A861" t="s">
        <v>1948</v>
      </c>
      <c r="B861" t="b">
        <v>0</v>
      </c>
      <c r="H861" t="s">
        <v>1062</v>
      </c>
      <c r="I861" t="s">
        <v>2855</v>
      </c>
      <c r="J861" t="s">
        <v>2857</v>
      </c>
      <c r="L861" t="s">
        <v>818</v>
      </c>
    </row>
    <row r="862" spans="1:12" ht="13.2">
      <c r="A862" t="s">
        <v>1949</v>
      </c>
      <c r="B862" t="b">
        <v>0</v>
      </c>
      <c r="H862" t="s">
        <v>1062</v>
      </c>
      <c r="I862" t="s">
        <v>2855</v>
      </c>
      <c r="J862" t="s">
        <v>2857</v>
      </c>
      <c r="L862" t="s">
        <v>818</v>
      </c>
    </row>
    <row r="863" spans="1:12" ht="13.2">
      <c r="A863" t="s">
        <v>1950</v>
      </c>
      <c r="B863" t="b">
        <v>0</v>
      </c>
      <c r="H863" t="s">
        <v>1062</v>
      </c>
      <c r="I863" t="s">
        <v>2855</v>
      </c>
      <c r="J863" t="s">
        <v>2857</v>
      </c>
      <c r="L863" t="s">
        <v>818</v>
      </c>
    </row>
    <row r="864" spans="1:12" ht="13.2">
      <c r="A864" t="s">
        <v>1951</v>
      </c>
      <c r="B864" t="b">
        <v>0</v>
      </c>
      <c r="H864" t="s">
        <v>1062</v>
      </c>
      <c r="I864" t="s">
        <v>2855</v>
      </c>
      <c r="J864" t="s">
        <v>2857</v>
      </c>
      <c r="L864" t="s">
        <v>818</v>
      </c>
    </row>
    <row r="865" spans="1:12" ht="13.2">
      <c r="A865" t="s">
        <v>1952</v>
      </c>
      <c r="B865" t="b">
        <v>0</v>
      </c>
      <c r="H865" t="s">
        <v>1062</v>
      </c>
      <c r="I865" t="s">
        <v>2855</v>
      </c>
      <c r="J865" t="s">
        <v>2857</v>
      </c>
      <c r="L865" t="s">
        <v>818</v>
      </c>
    </row>
    <row r="866" spans="1:12" ht="13.2">
      <c r="A866" t="s">
        <v>1953</v>
      </c>
      <c r="B866" t="b">
        <v>0</v>
      </c>
      <c r="H866" t="s">
        <v>1062</v>
      </c>
      <c r="I866" t="s">
        <v>2855</v>
      </c>
      <c r="J866" t="s">
        <v>2872</v>
      </c>
      <c r="L866" t="s">
        <v>818</v>
      </c>
    </row>
    <row r="867" spans="1:12" ht="13.2">
      <c r="A867" t="s">
        <v>1954</v>
      </c>
      <c r="B867" t="b">
        <v>0</v>
      </c>
      <c r="H867" t="s">
        <v>1062</v>
      </c>
      <c r="I867" t="s">
        <v>2855</v>
      </c>
      <c r="J867" t="s">
        <v>2872</v>
      </c>
      <c r="L867" t="s">
        <v>818</v>
      </c>
    </row>
    <row r="868" spans="1:12" ht="13.2">
      <c r="A868" t="s">
        <v>1955</v>
      </c>
      <c r="B868" t="b">
        <v>0</v>
      </c>
      <c r="H868" t="s">
        <v>1062</v>
      </c>
      <c r="I868" t="s">
        <v>2855</v>
      </c>
      <c r="J868" t="s">
        <v>2872</v>
      </c>
      <c r="L868" t="s">
        <v>818</v>
      </c>
    </row>
    <row r="869" spans="1:12" ht="13.2">
      <c r="A869" t="s">
        <v>1956</v>
      </c>
      <c r="B869" t="b">
        <v>0</v>
      </c>
      <c r="H869" t="s">
        <v>1062</v>
      </c>
      <c r="I869" t="s">
        <v>2855</v>
      </c>
      <c r="J869" t="s">
        <v>2872</v>
      </c>
      <c r="L869" t="s">
        <v>818</v>
      </c>
    </row>
    <row r="870" spans="1:12" ht="13.2">
      <c r="A870" t="s">
        <v>1957</v>
      </c>
      <c r="B870" t="b">
        <v>0</v>
      </c>
      <c r="H870" t="s">
        <v>1062</v>
      </c>
      <c r="I870" t="s">
        <v>2855</v>
      </c>
      <c r="J870" t="s">
        <v>2872</v>
      </c>
      <c r="L870" t="s">
        <v>818</v>
      </c>
    </row>
    <row r="871" spans="1:12" ht="13.2">
      <c r="A871" t="s">
        <v>1958</v>
      </c>
      <c r="B871" t="b">
        <v>0</v>
      </c>
      <c r="H871" t="s">
        <v>1062</v>
      </c>
      <c r="I871" t="s">
        <v>2855</v>
      </c>
      <c r="J871" t="s">
        <v>2872</v>
      </c>
      <c r="L871" t="s">
        <v>818</v>
      </c>
    </row>
    <row r="872" spans="1:12" ht="13.2">
      <c r="A872" t="s">
        <v>1959</v>
      </c>
      <c r="B872" t="b">
        <v>0</v>
      </c>
      <c r="H872" t="s">
        <v>1062</v>
      </c>
      <c r="I872" t="s">
        <v>2855</v>
      </c>
      <c r="J872" t="s">
        <v>2872</v>
      </c>
      <c r="L872" t="s">
        <v>818</v>
      </c>
    </row>
    <row r="873" spans="1:12" ht="13.2">
      <c r="A873" t="s">
        <v>1960</v>
      </c>
      <c r="B873" t="b">
        <v>0</v>
      </c>
      <c r="H873" t="s">
        <v>1062</v>
      </c>
      <c r="I873" t="s">
        <v>2855</v>
      </c>
      <c r="J873" t="s">
        <v>2872</v>
      </c>
      <c r="L873" t="s">
        <v>818</v>
      </c>
    </row>
    <row r="874" spans="1:12" ht="13.2">
      <c r="A874" t="s">
        <v>1961</v>
      </c>
      <c r="B874" t="b">
        <v>0</v>
      </c>
      <c r="H874" t="s">
        <v>1062</v>
      </c>
      <c r="I874" t="s">
        <v>2855</v>
      </c>
      <c r="J874" t="s">
        <v>2872</v>
      </c>
      <c r="L874" t="s">
        <v>818</v>
      </c>
    </row>
    <row r="875" spans="1:12" ht="13.2">
      <c r="A875" t="s">
        <v>1962</v>
      </c>
      <c r="B875" t="b">
        <v>0</v>
      </c>
      <c r="H875" t="s">
        <v>1062</v>
      </c>
      <c r="I875" t="s">
        <v>2855</v>
      </c>
      <c r="J875" t="s">
        <v>2872</v>
      </c>
      <c r="L875" t="s">
        <v>818</v>
      </c>
    </row>
    <row r="876" spans="1:12" ht="13.2">
      <c r="A876" t="s">
        <v>1963</v>
      </c>
      <c r="B876" t="b">
        <v>0</v>
      </c>
      <c r="H876" t="s">
        <v>1062</v>
      </c>
      <c r="I876" t="s">
        <v>2855</v>
      </c>
      <c r="J876" t="s">
        <v>2860</v>
      </c>
      <c r="L876" t="s">
        <v>818</v>
      </c>
    </row>
    <row r="877" spans="1:12" ht="13.2">
      <c r="A877" t="s">
        <v>1964</v>
      </c>
      <c r="B877" t="b">
        <v>0</v>
      </c>
      <c r="H877" t="s">
        <v>1062</v>
      </c>
      <c r="I877" t="s">
        <v>2855</v>
      </c>
      <c r="J877" t="s">
        <v>2860</v>
      </c>
      <c r="L877" t="s">
        <v>818</v>
      </c>
    </row>
    <row r="878" spans="1:12" ht="13.2">
      <c r="A878" t="s">
        <v>1965</v>
      </c>
      <c r="B878" t="b">
        <v>0</v>
      </c>
      <c r="H878" t="s">
        <v>1062</v>
      </c>
      <c r="I878" t="s">
        <v>2855</v>
      </c>
      <c r="J878" t="s">
        <v>2860</v>
      </c>
      <c r="L878" t="s">
        <v>818</v>
      </c>
    </row>
    <row r="879" spans="1:12" ht="13.2">
      <c r="A879" t="s">
        <v>1966</v>
      </c>
      <c r="B879" t="b">
        <v>0</v>
      </c>
      <c r="H879" t="s">
        <v>1062</v>
      </c>
      <c r="I879" t="s">
        <v>2855</v>
      </c>
      <c r="J879" t="s">
        <v>2860</v>
      </c>
      <c r="L879" t="s">
        <v>818</v>
      </c>
    </row>
    <row r="880" spans="1:12" ht="13.2">
      <c r="A880" t="s">
        <v>1967</v>
      </c>
      <c r="B880" t="b">
        <v>0</v>
      </c>
      <c r="H880" t="s">
        <v>1062</v>
      </c>
      <c r="I880" t="s">
        <v>2855</v>
      </c>
      <c r="J880" t="s">
        <v>2860</v>
      </c>
      <c r="L880" t="s">
        <v>818</v>
      </c>
    </row>
    <row r="881" spans="1:12" ht="13.2">
      <c r="A881" t="s">
        <v>1968</v>
      </c>
      <c r="B881" t="b">
        <v>0</v>
      </c>
      <c r="H881" t="s">
        <v>1062</v>
      </c>
      <c r="I881" t="s">
        <v>2855</v>
      </c>
      <c r="J881" t="s">
        <v>2860</v>
      </c>
      <c r="L881" t="s">
        <v>818</v>
      </c>
    </row>
    <row r="882" spans="1:12" ht="13.2">
      <c r="A882" t="s">
        <v>1969</v>
      </c>
      <c r="B882" t="b">
        <v>0</v>
      </c>
      <c r="H882" t="s">
        <v>1062</v>
      </c>
      <c r="I882" t="s">
        <v>2855</v>
      </c>
      <c r="J882" t="s">
        <v>2860</v>
      </c>
      <c r="L882" t="s">
        <v>818</v>
      </c>
    </row>
    <row r="883" spans="1:12" ht="13.2">
      <c r="A883" t="s">
        <v>1970</v>
      </c>
      <c r="B883" t="b">
        <v>0</v>
      </c>
      <c r="H883" t="s">
        <v>1062</v>
      </c>
      <c r="I883" t="s">
        <v>2855</v>
      </c>
      <c r="J883" t="s">
        <v>2860</v>
      </c>
      <c r="L883" t="s">
        <v>818</v>
      </c>
    </row>
    <row r="884" spans="1:12" ht="13.2">
      <c r="A884" t="s">
        <v>1971</v>
      </c>
      <c r="B884" t="b">
        <v>0</v>
      </c>
      <c r="H884" t="s">
        <v>1062</v>
      </c>
      <c r="I884" t="s">
        <v>2855</v>
      </c>
      <c r="J884" t="s">
        <v>2860</v>
      </c>
      <c r="L884" t="s">
        <v>818</v>
      </c>
    </row>
    <row r="885" spans="1:12" ht="13.2">
      <c r="A885" t="s">
        <v>1972</v>
      </c>
      <c r="B885" t="b">
        <v>0</v>
      </c>
      <c r="H885" t="s">
        <v>1062</v>
      </c>
      <c r="I885" t="s">
        <v>2855</v>
      </c>
      <c r="J885" t="s">
        <v>2860</v>
      </c>
      <c r="L885" t="s">
        <v>818</v>
      </c>
    </row>
    <row r="886" spans="1:12" ht="13.2">
      <c r="A886" t="s">
        <v>1973</v>
      </c>
      <c r="B886" t="b">
        <v>0</v>
      </c>
      <c r="H886" t="s">
        <v>1062</v>
      </c>
      <c r="I886" t="s">
        <v>2855</v>
      </c>
      <c r="J886" t="s">
        <v>2860</v>
      </c>
      <c r="L886" t="s">
        <v>818</v>
      </c>
    </row>
    <row r="887" spans="1:12" ht="13.2">
      <c r="A887" t="s">
        <v>1974</v>
      </c>
      <c r="B887" t="b">
        <v>0</v>
      </c>
      <c r="H887" t="s">
        <v>1062</v>
      </c>
      <c r="I887" t="s">
        <v>2855</v>
      </c>
      <c r="J887" t="s">
        <v>2860</v>
      </c>
      <c r="L887" t="s">
        <v>818</v>
      </c>
    </row>
    <row r="888" spans="1:12" ht="13.2">
      <c r="A888" t="s">
        <v>1975</v>
      </c>
      <c r="B888" t="b">
        <v>0</v>
      </c>
      <c r="H888" t="s">
        <v>1062</v>
      </c>
      <c r="I888" t="s">
        <v>2855</v>
      </c>
      <c r="J888" t="s">
        <v>2860</v>
      </c>
      <c r="L888" t="s">
        <v>818</v>
      </c>
    </row>
    <row r="889" spans="1:12" ht="13.2">
      <c r="A889" t="s">
        <v>1976</v>
      </c>
      <c r="B889" t="b">
        <v>0</v>
      </c>
      <c r="H889" t="s">
        <v>1062</v>
      </c>
      <c r="I889" t="s">
        <v>2855</v>
      </c>
      <c r="J889" t="s">
        <v>2860</v>
      </c>
      <c r="L889" t="s">
        <v>818</v>
      </c>
    </row>
    <row r="890" spans="1:12" ht="13.2">
      <c r="A890" t="s">
        <v>1977</v>
      </c>
      <c r="B890" t="b">
        <v>0</v>
      </c>
      <c r="H890" t="s">
        <v>1062</v>
      </c>
      <c r="I890" t="s">
        <v>2855</v>
      </c>
      <c r="J890" t="s">
        <v>2866</v>
      </c>
      <c r="K890">
        <v>3000</v>
      </c>
      <c r="L890" t="s">
        <v>818</v>
      </c>
    </row>
    <row r="891" spans="1:12" ht="13.2">
      <c r="A891" t="s">
        <v>1978</v>
      </c>
      <c r="B891" t="b">
        <v>0</v>
      </c>
      <c r="H891" t="s">
        <v>1062</v>
      </c>
      <c r="I891" t="s">
        <v>2855</v>
      </c>
      <c r="J891" t="s">
        <v>2866</v>
      </c>
      <c r="K891">
        <v>3000</v>
      </c>
      <c r="L891" t="s">
        <v>818</v>
      </c>
    </row>
    <row r="892" spans="1:12" ht="13.2">
      <c r="A892" t="s">
        <v>1979</v>
      </c>
      <c r="B892" t="b">
        <v>0</v>
      </c>
      <c r="C892" t="s">
        <v>903</v>
      </c>
      <c r="D892" t="s">
        <v>903</v>
      </c>
      <c r="E892" t="s">
        <v>903</v>
      </c>
      <c r="H892" t="s">
        <v>1062</v>
      </c>
      <c r="I892" t="s">
        <v>2855</v>
      </c>
      <c r="J892" t="s">
        <v>2866</v>
      </c>
      <c r="K892">
        <v>3000</v>
      </c>
      <c r="L892" t="s">
        <v>818</v>
      </c>
    </row>
    <row r="893" spans="1:12" ht="13.2">
      <c r="A893" t="s">
        <v>1980</v>
      </c>
      <c r="B893" t="b">
        <v>0</v>
      </c>
      <c r="H893" t="s">
        <v>1062</v>
      </c>
      <c r="I893" t="s">
        <v>2855</v>
      </c>
      <c r="J893" t="s">
        <v>2866</v>
      </c>
      <c r="K893">
        <v>3000</v>
      </c>
      <c r="L893" t="s">
        <v>818</v>
      </c>
    </row>
    <row r="894" spans="1:12" ht="13.2">
      <c r="A894" t="s">
        <v>1981</v>
      </c>
      <c r="B894" t="b">
        <v>0</v>
      </c>
      <c r="H894" t="s">
        <v>1062</v>
      </c>
      <c r="I894" t="s">
        <v>2855</v>
      </c>
      <c r="J894" t="s">
        <v>2866</v>
      </c>
      <c r="K894">
        <v>3000</v>
      </c>
      <c r="L894" t="s">
        <v>818</v>
      </c>
    </row>
    <row r="895" spans="1:12" ht="13.2">
      <c r="A895" t="s">
        <v>1982</v>
      </c>
      <c r="B895" t="b">
        <v>0</v>
      </c>
      <c r="C895" t="s">
        <v>903</v>
      </c>
      <c r="D895" t="s">
        <v>903</v>
      </c>
      <c r="E895" t="s">
        <v>903</v>
      </c>
      <c r="H895" t="s">
        <v>1062</v>
      </c>
      <c r="I895" t="s">
        <v>2855</v>
      </c>
      <c r="J895" t="s">
        <v>2866</v>
      </c>
      <c r="K895">
        <v>3000</v>
      </c>
      <c r="L895" t="s">
        <v>818</v>
      </c>
    </row>
    <row r="896" spans="1:12" ht="13.2">
      <c r="A896" t="s">
        <v>1983</v>
      </c>
      <c r="B896" t="b">
        <v>0</v>
      </c>
      <c r="H896" t="s">
        <v>1062</v>
      </c>
      <c r="I896" t="s">
        <v>2855</v>
      </c>
      <c r="J896" t="s">
        <v>2866</v>
      </c>
      <c r="K896">
        <v>3000</v>
      </c>
      <c r="L896" t="s">
        <v>818</v>
      </c>
    </row>
    <row r="897" spans="1:12" ht="13.2">
      <c r="A897" t="s">
        <v>1984</v>
      </c>
      <c r="B897" t="b">
        <v>0</v>
      </c>
      <c r="H897" t="s">
        <v>1062</v>
      </c>
      <c r="I897" t="s">
        <v>2855</v>
      </c>
      <c r="J897" t="s">
        <v>2866</v>
      </c>
      <c r="K897">
        <v>3000</v>
      </c>
      <c r="L897" t="s">
        <v>818</v>
      </c>
    </row>
    <row r="898" spans="1:12" ht="13.2">
      <c r="A898" t="s">
        <v>1985</v>
      </c>
      <c r="B898" t="b">
        <v>0</v>
      </c>
      <c r="C898" t="s">
        <v>903</v>
      </c>
      <c r="D898" t="s">
        <v>903</v>
      </c>
      <c r="E898" t="s">
        <v>903</v>
      </c>
      <c r="H898" t="s">
        <v>903</v>
      </c>
      <c r="I898" t="s">
        <v>2855</v>
      </c>
      <c r="J898" t="s">
        <v>2866</v>
      </c>
      <c r="K898">
        <v>3000</v>
      </c>
      <c r="L898" t="s">
        <v>818</v>
      </c>
    </row>
    <row r="899" spans="1:12" ht="13.2">
      <c r="A899" t="s">
        <v>1986</v>
      </c>
      <c r="B899" t="b">
        <v>0</v>
      </c>
      <c r="H899" t="s">
        <v>1062</v>
      </c>
      <c r="I899" t="s">
        <v>2855</v>
      </c>
      <c r="J899" t="s">
        <v>2872</v>
      </c>
      <c r="L899" t="s">
        <v>818</v>
      </c>
    </row>
    <row r="900" spans="1:12" ht="13.2">
      <c r="A900" t="s">
        <v>1987</v>
      </c>
      <c r="B900" t="b">
        <v>0</v>
      </c>
      <c r="C900" t="s">
        <v>1086</v>
      </c>
      <c r="D900" t="s">
        <v>998</v>
      </c>
      <c r="E900" t="s">
        <v>1080</v>
      </c>
      <c r="H900" t="s">
        <v>1062</v>
      </c>
      <c r="I900" t="s">
        <v>2855</v>
      </c>
      <c r="J900" t="s">
        <v>2860</v>
      </c>
      <c r="L900" t="s">
        <v>818</v>
      </c>
    </row>
    <row r="901" spans="1:12" ht="13.2">
      <c r="A901" t="s">
        <v>1988</v>
      </c>
      <c r="B901" t="b">
        <v>0</v>
      </c>
      <c r="C901" t="s">
        <v>963</v>
      </c>
      <c r="D901" t="s">
        <v>963</v>
      </c>
      <c r="E901" t="s">
        <v>963</v>
      </c>
      <c r="H901" t="s">
        <v>1062</v>
      </c>
      <c r="I901" t="s">
        <v>2855</v>
      </c>
      <c r="J901" t="s">
        <v>2860</v>
      </c>
      <c r="L901" t="s">
        <v>818</v>
      </c>
    </row>
    <row r="902" spans="1:12" ht="13.2">
      <c r="A902" t="s">
        <v>1989</v>
      </c>
      <c r="B902" t="b">
        <v>0</v>
      </c>
      <c r="C902" t="s">
        <v>1086</v>
      </c>
      <c r="D902" t="s">
        <v>998</v>
      </c>
      <c r="E902" t="s">
        <v>1080</v>
      </c>
      <c r="H902" t="s">
        <v>1062</v>
      </c>
      <c r="I902" t="s">
        <v>2855</v>
      </c>
      <c r="J902" t="s">
        <v>2860</v>
      </c>
      <c r="L902" t="s">
        <v>818</v>
      </c>
    </row>
    <row r="903" spans="1:12" ht="13.2">
      <c r="A903" t="s">
        <v>1990</v>
      </c>
      <c r="B903" t="b">
        <v>0</v>
      </c>
      <c r="C903" t="s">
        <v>963</v>
      </c>
      <c r="D903" t="s">
        <v>963</v>
      </c>
      <c r="E903" t="s">
        <v>963</v>
      </c>
      <c r="H903" t="s">
        <v>1062</v>
      </c>
      <c r="I903" t="s">
        <v>2855</v>
      </c>
      <c r="J903" t="s">
        <v>2860</v>
      </c>
      <c r="L903" t="s">
        <v>818</v>
      </c>
    </row>
    <row r="904" spans="1:12" ht="13.2">
      <c r="A904" t="s">
        <v>1991</v>
      </c>
      <c r="B904" t="b">
        <v>0</v>
      </c>
      <c r="C904" t="s">
        <v>963</v>
      </c>
      <c r="D904" t="s">
        <v>998</v>
      </c>
      <c r="E904" t="s">
        <v>1080</v>
      </c>
      <c r="H904" t="s">
        <v>1062</v>
      </c>
      <c r="I904" t="s">
        <v>2855</v>
      </c>
      <c r="J904" t="s">
        <v>2860</v>
      </c>
      <c r="L904" t="s">
        <v>818</v>
      </c>
    </row>
    <row r="905" spans="1:12" ht="13.2">
      <c r="A905" t="s">
        <v>1992</v>
      </c>
      <c r="B905" t="b">
        <v>0</v>
      </c>
      <c r="C905" t="s">
        <v>1086</v>
      </c>
      <c r="D905" t="s">
        <v>998</v>
      </c>
      <c r="E905" t="s">
        <v>1080</v>
      </c>
      <c r="H905" t="s">
        <v>1062</v>
      </c>
      <c r="I905" t="s">
        <v>2855</v>
      </c>
      <c r="J905" t="s">
        <v>2860</v>
      </c>
      <c r="L905" t="s">
        <v>818</v>
      </c>
    </row>
    <row r="906" spans="1:12" ht="13.2">
      <c r="A906" t="s">
        <v>1993</v>
      </c>
      <c r="B906" t="b">
        <v>0</v>
      </c>
      <c r="C906" t="s">
        <v>903</v>
      </c>
      <c r="D906" t="s">
        <v>998</v>
      </c>
      <c r="E906" t="s">
        <v>1080</v>
      </c>
      <c r="H906" t="s">
        <v>1062</v>
      </c>
      <c r="I906" t="s">
        <v>2855</v>
      </c>
      <c r="J906" t="s">
        <v>2860</v>
      </c>
      <c r="L906" t="s">
        <v>818</v>
      </c>
    </row>
    <row r="907" spans="1:12" ht="13.2">
      <c r="A907" t="s">
        <v>1994</v>
      </c>
      <c r="B907" t="b">
        <v>0</v>
      </c>
      <c r="C907" t="s">
        <v>1086</v>
      </c>
      <c r="D907" t="s">
        <v>998</v>
      </c>
      <c r="E907" t="s">
        <v>1080</v>
      </c>
      <c r="H907" t="s">
        <v>1062</v>
      </c>
      <c r="I907" t="s">
        <v>2855</v>
      </c>
      <c r="J907" t="s">
        <v>2860</v>
      </c>
      <c r="L907" t="s">
        <v>818</v>
      </c>
    </row>
    <row r="908" spans="1:12" ht="13.2">
      <c r="A908" t="s">
        <v>1995</v>
      </c>
      <c r="B908" t="b">
        <v>0</v>
      </c>
      <c r="H908" t="s">
        <v>1062</v>
      </c>
      <c r="I908" t="s">
        <v>2855</v>
      </c>
      <c r="J908" t="s">
        <v>2860</v>
      </c>
      <c r="L908" t="s">
        <v>818</v>
      </c>
    </row>
    <row r="909" spans="1:12" ht="13.2">
      <c r="A909" t="s">
        <v>1996</v>
      </c>
      <c r="B909" t="b">
        <v>0</v>
      </c>
      <c r="C909" t="s">
        <v>903</v>
      </c>
      <c r="D909" t="s">
        <v>903</v>
      </c>
      <c r="E909" t="s">
        <v>903</v>
      </c>
      <c r="H909" t="s">
        <v>1062</v>
      </c>
      <c r="I909" t="s">
        <v>2855</v>
      </c>
      <c r="J909" t="s">
        <v>2860</v>
      </c>
      <c r="L909" t="s">
        <v>818</v>
      </c>
    </row>
    <row r="910" spans="1:12" ht="13.2">
      <c r="A910" t="s">
        <v>1997</v>
      </c>
      <c r="B910" t="b">
        <v>0</v>
      </c>
      <c r="C910" t="s">
        <v>903</v>
      </c>
      <c r="D910" t="s">
        <v>998</v>
      </c>
      <c r="E910" t="s">
        <v>1080</v>
      </c>
      <c r="H910" t="s">
        <v>1062</v>
      </c>
      <c r="I910" t="s">
        <v>2855</v>
      </c>
      <c r="J910" t="s">
        <v>2860</v>
      </c>
      <c r="L910" t="s">
        <v>818</v>
      </c>
    </row>
    <row r="911" spans="1:12" ht="13.2">
      <c r="A911" t="s">
        <v>1998</v>
      </c>
      <c r="B911" t="b">
        <v>0</v>
      </c>
      <c r="C911" t="s">
        <v>1108</v>
      </c>
      <c r="D911" t="s">
        <v>1109</v>
      </c>
      <c r="E911" t="s">
        <v>1108</v>
      </c>
      <c r="H911" t="s">
        <v>1062</v>
      </c>
      <c r="I911" t="s">
        <v>2855</v>
      </c>
      <c r="J911" t="s">
        <v>2860</v>
      </c>
      <c r="L911" t="s">
        <v>818</v>
      </c>
    </row>
    <row r="912" spans="1:12" ht="13.2">
      <c r="A912" t="s">
        <v>1999</v>
      </c>
      <c r="B912" t="b">
        <v>0</v>
      </c>
      <c r="C912" t="s">
        <v>1086</v>
      </c>
      <c r="D912" t="s">
        <v>998</v>
      </c>
      <c r="E912" t="s">
        <v>1080</v>
      </c>
      <c r="H912" t="s">
        <v>1062</v>
      </c>
      <c r="I912" t="s">
        <v>2855</v>
      </c>
      <c r="J912" t="s">
        <v>2860</v>
      </c>
      <c r="L912" t="s">
        <v>818</v>
      </c>
    </row>
    <row r="913" spans="1:12" ht="13.2">
      <c r="A913" t="s">
        <v>2000</v>
      </c>
      <c r="B913" t="b">
        <v>0</v>
      </c>
      <c r="H913" t="s">
        <v>1062</v>
      </c>
      <c r="I913" t="s">
        <v>2855</v>
      </c>
      <c r="J913" t="s">
        <v>2872</v>
      </c>
      <c r="L913" t="s">
        <v>818</v>
      </c>
    </row>
    <row r="914" spans="1:12" ht="13.2">
      <c r="A914" t="s">
        <v>2001</v>
      </c>
      <c r="B914" t="b">
        <v>0</v>
      </c>
      <c r="H914" t="s">
        <v>1062</v>
      </c>
      <c r="I914" t="s">
        <v>2855</v>
      </c>
      <c r="J914" t="s">
        <v>2872</v>
      </c>
      <c r="L914" t="s">
        <v>818</v>
      </c>
    </row>
    <row r="915" spans="1:12" ht="13.2">
      <c r="A915" t="s">
        <v>2002</v>
      </c>
      <c r="B915" t="b">
        <v>0</v>
      </c>
      <c r="H915" t="s">
        <v>1062</v>
      </c>
      <c r="I915" t="s">
        <v>2855</v>
      </c>
      <c r="J915" t="s">
        <v>2872</v>
      </c>
      <c r="L915" t="s">
        <v>818</v>
      </c>
    </row>
    <row r="916" spans="1:12" ht="13.2">
      <c r="A916" t="s">
        <v>2003</v>
      </c>
      <c r="B916" t="b">
        <v>0</v>
      </c>
      <c r="H916" t="s">
        <v>1062</v>
      </c>
      <c r="I916" t="s">
        <v>2855</v>
      </c>
      <c r="J916" t="s">
        <v>2872</v>
      </c>
      <c r="L916" t="s">
        <v>818</v>
      </c>
    </row>
    <row r="917" spans="1:12" ht="13.2">
      <c r="A917" t="s">
        <v>2004</v>
      </c>
      <c r="B917" t="b">
        <v>0</v>
      </c>
      <c r="H917" t="s">
        <v>1062</v>
      </c>
      <c r="I917" t="s">
        <v>2855</v>
      </c>
      <c r="J917" t="s">
        <v>2872</v>
      </c>
      <c r="L917" t="s">
        <v>818</v>
      </c>
    </row>
    <row r="918" spans="1:12" ht="13.2">
      <c r="A918" t="s">
        <v>2005</v>
      </c>
      <c r="B918" t="b">
        <v>0</v>
      </c>
      <c r="H918" t="s">
        <v>1062</v>
      </c>
      <c r="I918" t="s">
        <v>2855</v>
      </c>
      <c r="J918" t="s">
        <v>2872</v>
      </c>
      <c r="L918" t="s">
        <v>818</v>
      </c>
    </row>
    <row r="919" spans="1:12" ht="13.2">
      <c r="A919" t="s">
        <v>2006</v>
      </c>
      <c r="B919" t="b">
        <v>0</v>
      </c>
      <c r="H919" t="s">
        <v>1062</v>
      </c>
      <c r="I919" t="s">
        <v>2855</v>
      </c>
      <c r="J919" t="s">
        <v>2872</v>
      </c>
      <c r="L919" t="s">
        <v>818</v>
      </c>
    </row>
    <row r="920" spans="1:12" ht="13.2">
      <c r="A920" t="s">
        <v>2007</v>
      </c>
      <c r="B920" t="b">
        <v>0</v>
      </c>
      <c r="H920" t="s">
        <v>1062</v>
      </c>
      <c r="I920" t="s">
        <v>2855</v>
      </c>
      <c r="J920" t="s">
        <v>2872</v>
      </c>
      <c r="L920" t="s">
        <v>818</v>
      </c>
    </row>
    <row r="921" spans="1:12" ht="13.2">
      <c r="A921" t="s">
        <v>2912</v>
      </c>
      <c r="B921" t="b">
        <v>0</v>
      </c>
      <c r="H921" t="s">
        <v>1062</v>
      </c>
      <c r="I921" t="s">
        <v>2855</v>
      </c>
      <c r="J921" t="s">
        <v>2860</v>
      </c>
      <c r="L921" t="s">
        <v>818</v>
      </c>
    </row>
    <row r="922" spans="1:12" ht="13.2">
      <c r="A922" t="s">
        <v>2913</v>
      </c>
      <c r="B922" t="b">
        <v>0</v>
      </c>
      <c r="H922" t="s">
        <v>1062</v>
      </c>
      <c r="I922" t="s">
        <v>2855</v>
      </c>
      <c r="J922" t="s">
        <v>2860</v>
      </c>
      <c r="L922" t="s">
        <v>818</v>
      </c>
    </row>
    <row r="923" spans="1:12" ht="13.2">
      <c r="A923" t="s">
        <v>2914</v>
      </c>
      <c r="B923" t="b">
        <v>0</v>
      </c>
      <c r="H923" t="s">
        <v>1062</v>
      </c>
      <c r="I923" t="s">
        <v>2855</v>
      </c>
      <c r="J923" t="s">
        <v>2860</v>
      </c>
      <c r="L923" t="s">
        <v>818</v>
      </c>
    </row>
    <row r="924" spans="1:12" ht="13.2">
      <c r="A924" t="s">
        <v>2915</v>
      </c>
      <c r="B924" t="b">
        <v>0</v>
      </c>
      <c r="H924" t="s">
        <v>1062</v>
      </c>
      <c r="I924" t="s">
        <v>2855</v>
      </c>
      <c r="J924" t="s">
        <v>2860</v>
      </c>
      <c r="L924" t="s">
        <v>818</v>
      </c>
    </row>
    <row r="925" spans="1:12" ht="13.2">
      <c r="A925" t="s">
        <v>2916</v>
      </c>
      <c r="B925" t="b">
        <v>0</v>
      </c>
      <c r="H925" t="s">
        <v>1062</v>
      </c>
      <c r="I925" t="s">
        <v>2855</v>
      </c>
      <c r="J925" t="s">
        <v>2860</v>
      </c>
      <c r="L925" t="s">
        <v>818</v>
      </c>
    </row>
    <row r="926" spans="1:12" ht="13.2">
      <c r="A926" t="s">
        <v>2917</v>
      </c>
      <c r="B926" t="b">
        <v>0</v>
      </c>
      <c r="H926" t="s">
        <v>1062</v>
      </c>
      <c r="I926" t="s">
        <v>2855</v>
      </c>
      <c r="J926" t="s">
        <v>2860</v>
      </c>
      <c r="L926" t="s">
        <v>818</v>
      </c>
    </row>
    <row r="927" spans="1:12" ht="13.2">
      <c r="A927" t="s">
        <v>2918</v>
      </c>
      <c r="B927" t="b">
        <v>0</v>
      </c>
      <c r="H927" t="s">
        <v>1062</v>
      </c>
      <c r="I927" t="s">
        <v>2855</v>
      </c>
      <c r="J927" t="s">
        <v>2860</v>
      </c>
      <c r="L927" t="s">
        <v>818</v>
      </c>
    </row>
    <row r="928" spans="1:12" ht="13.2">
      <c r="A928" t="s">
        <v>2919</v>
      </c>
      <c r="B928" t="b">
        <v>0</v>
      </c>
      <c r="H928" t="s">
        <v>1062</v>
      </c>
      <c r="I928" t="s">
        <v>2855</v>
      </c>
      <c r="J928" t="s">
        <v>2860</v>
      </c>
      <c r="L928" t="s">
        <v>818</v>
      </c>
    </row>
    <row r="929" spans="1:12" ht="13.2">
      <c r="A929" t="s">
        <v>2920</v>
      </c>
      <c r="B929" t="b">
        <v>0</v>
      </c>
      <c r="H929" t="s">
        <v>1062</v>
      </c>
      <c r="I929" t="s">
        <v>2855</v>
      </c>
      <c r="J929" t="s">
        <v>2860</v>
      </c>
      <c r="L929" t="s">
        <v>818</v>
      </c>
    </row>
    <row r="930" spans="1:12" ht="13.2">
      <c r="A930" t="s">
        <v>2008</v>
      </c>
      <c r="B930" t="b">
        <v>0</v>
      </c>
      <c r="C930" t="s">
        <v>903</v>
      </c>
      <c r="D930" t="s">
        <v>903</v>
      </c>
      <c r="E930" t="s">
        <v>903</v>
      </c>
      <c r="H930" t="s">
        <v>1062</v>
      </c>
      <c r="I930" t="s">
        <v>2855</v>
      </c>
      <c r="J930" t="s">
        <v>2872</v>
      </c>
      <c r="L930" t="s">
        <v>818</v>
      </c>
    </row>
    <row r="931" spans="1:12" ht="13.2">
      <c r="A931" t="s">
        <v>2009</v>
      </c>
      <c r="B931" t="b">
        <v>0</v>
      </c>
      <c r="C931" t="s">
        <v>903</v>
      </c>
      <c r="D931" t="s">
        <v>903</v>
      </c>
      <c r="E931" t="s">
        <v>903</v>
      </c>
      <c r="H931" t="s">
        <v>1062</v>
      </c>
      <c r="I931" t="s">
        <v>2855</v>
      </c>
      <c r="J931" t="s">
        <v>2872</v>
      </c>
      <c r="L931" t="s">
        <v>818</v>
      </c>
    </row>
    <row r="932" spans="1:12" ht="13.2">
      <c r="A932" t="s">
        <v>2010</v>
      </c>
      <c r="B932" t="b">
        <v>0</v>
      </c>
      <c r="C932" t="s">
        <v>1108</v>
      </c>
      <c r="D932" t="s">
        <v>1109</v>
      </c>
      <c r="E932" t="s">
        <v>1108</v>
      </c>
      <c r="H932" t="s">
        <v>1062</v>
      </c>
      <c r="I932" t="s">
        <v>2855</v>
      </c>
      <c r="J932" t="s">
        <v>2872</v>
      </c>
      <c r="L932" t="s">
        <v>818</v>
      </c>
    </row>
    <row r="933" spans="1:12" ht="13.2">
      <c r="A933" t="s">
        <v>2011</v>
      </c>
      <c r="B933" t="b">
        <v>0</v>
      </c>
      <c r="C933" t="s">
        <v>903</v>
      </c>
      <c r="D933" t="s">
        <v>998</v>
      </c>
      <c r="E933" t="s">
        <v>1080</v>
      </c>
      <c r="H933" t="s">
        <v>1062</v>
      </c>
      <c r="I933" t="s">
        <v>2855</v>
      </c>
      <c r="J933" t="s">
        <v>2872</v>
      </c>
      <c r="L933" t="s">
        <v>818</v>
      </c>
    </row>
    <row r="934" spans="1:12" ht="13.2">
      <c r="A934" t="s">
        <v>2012</v>
      </c>
      <c r="B934" t="b">
        <v>0</v>
      </c>
      <c r="C934" t="s">
        <v>1108</v>
      </c>
      <c r="D934" t="s">
        <v>1109</v>
      </c>
      <c r="E934" t="s">
        <v>1108</v>
      </c>
      <c r="H934" t="s">
        <v>1062</v>
      </c>
      <c r="I934" t="s">
        <v>2855</v>
      </c>
      <c r="J934" t="s">
        <v>2872</v>
      </c>
      <c r="L934" t="s">
        <v>818</v>
      </c>
    </row>
    <row r="935" spans="1:12" ht="13.2">
      <c r="A935" t="s">
        <v>2013</v>
      </c>
      <c r="B935" t="b">
        <v>0</v>
      </c>
      <c r="C935" t="s">
        <v>1108</v>
      </c>
      <c r="D935" t="s">
        <v>1109</v>
      </c>
      <c r="E935" t="s">
        <v>1108</v>
      </c>
      <c r="H935" t="s">
        <v>1062</v>
      </c>
      <c r="I935" t="s">
        <v>2855</v>
      </c>
      <c r="J935" t="s">
        <v>2872</v>
      </c>
      <c r="L935" t="s">
        <v>818</v>
      </c>
    </row>
    <row r="936" spans="1:12" ht="13.2">
      <c r="A936" t="s">
        <v>2014</v>
      </c>
      <c r="B936" t="b">
        <v>0</v>
      </c>
      <c r="C936" t="s">
        <v>903</v>
      </c>
      <c r="D936" t="s">
        <v>998</v>
      </c>
      <c r="E936" t="s">
        <v>1080</v>
      </c>
      <c r="H936" t="s">
        <v>1062</v>
      </c>
      <c r="I936" t="s">
        <v>2855</v>
      </c>
      <c r="J936" t="s">
        <v>2872</v>
      </c>
      <c r="L936" t="s">
        <v>818</v>
      </c>
    </row>
    <row r="937" spans="1:12" ht="13.2">
      <c r="A937" t="s">
        <v>2015</v>
      </c>
      <c r="B937" t="b">
        <v>0</v>
      </c>
      <c r="C937" t="s">
        <v>903</v>
      </c>
      <c r="D937" t="s">
        <v>998</v>
      </c>
      <c r="E937" t="s">
        <v>1080</v>
      </c>
      <c r="H937" t="s">
        <v>1062</v>
      </c>
      <c r="I937" t="s">
        <v>2855</v>
      </c>
      <c r="J937" t="s">
        <v>2872</v>
      </c>
      <c r="L937" t="s">
        <v>818</v>
      </c>
    </row>
    <row r="938" spans="1:12" ht="13.2">
      <c r="A938" t="s">
        <v>2016</v>
      </c>
      <c r="B938" t="b">
        <v>0</v>
      </c>
      <c r="C938" t="s">
        <v>903</v>
      </c>
      <c r="D938" t="s">
        <v>998</v>
      </c>
      <c r="E938" t="s">
        <v>1080</v>
      </c>
      <c r="H938" t="s">
        <v>1062</v>
      </c>
      <c r="I938" t="s">
        <v>2855</v>
      </c>
      <c r="J938" t="s">
        <v>2872</v>
      </c>
      <c r="L938" t="s">
        <v>818</v>
      </c>
    </row>
    <row r="939" spans="1:12" ht="13.2">
      <c r="A939" t="s">
        <v>2017</v>
      </c>
      <c r="B939" t="b">
        <v>0</v>
      </c>
      <c r="C939" t="s">
        <v>903</v>
      </c>
      <c r="D939" t="s">
        <v>998</v>
      </c>
      <c r="E939" t="s">
        <v>1080</v>
      </c>
      <c r="H939" t="s">
        <v>1062</v>
      </c>
      <c r="I939" t="s">
        <v>2855</v>
      </c>
      <c r="J939" t="s">
        <v>2872</v>
      </c>
      <c r="L939" t="s">
        <v>818</v>
      </c>
    </row>
    <row r="940" spans="1:12" ht="13.2">
      <c r="A940" t="s">
        <v>2018</v>
      </c>
      <c r="B940" t="b">
        <v>0</v>
      </c>
      <c r="C940" t="s">
        <v>903</v>
      </c>
      <c r="D940" t="s">
        <v>998</v>
      </c>
      <c r="E940" t="s">
        <v>1080</v>
      </c>
      <c r="H940" t="s">
        <v>1062</v>
      </c>
      <c r="I940" t="s">
        <v>2855</v>
      </c>
      <c r="J940" t="s">
        <v>2872</v>
      </c>
      <c r="L940" t="s">
        <v>818</v>
      </c>
    </row>
    <row r="941" spans="1:12" ht="13.2">
      <c r="A941" t="s">
        <v>2019</v>
      </c>
      <c r="B941" t="b">
        <v>0</v>
      </c>
      <c r="C941" t="s">
        <v>903</v>
      </c>
      <c r="D941" t="s">
        <v>998</v>
      </c>
      <c r="E941" t="s">
        <v>1080</v>
      </c>
      <c r="H941" t="s">
        <v>1062</v>
      </c>
      <c r="I941" t="s">
        <v>2855</v>
      </c>
      <c r="J941" t="s">
        <v>2872</v>
      </c>
      <c r="L941" t="s">
        <v>818</v>
      </c>
    </row>
    <row r="942" spans="1:12" ht="13.2">
      <c r="A942" t="s">
        <v>2020</v>
      </c>
      <c r="B942" t="b">
        <v>0</v>
      </c>
      <c r="C942" t="s">
        <v>963</v>
      </c>
      <c r="D942" t="s">
        <v>963</v>
      </c>
      <c r="E942" t="s">
        <v>963</v>
      </c>
      <c r="H942" t="s">
        <v>1062</v>
      </c>
      <c r="I942" t="s">
        <v>2855</v>
      </c>
      <c r="J942" t="s">
        <v>2872</v>
      </c>
      <c r="L942" t="s">
        <v>818</v>
      </c>
    </row>
    <row r="943" spans="1:12" ht="13.2">
      <c r="A943" t="s">
        <v>2021</v>
      </c>
      <c r="B943" t="b">
        <v>0</v>
      </c>
      <c r="C943" t="s">
        <v>963</v>
      </c>
      <c r="D943" t="s">
        <v>963</v>
      </c>
      <c r="E943" t="s">
        <v>963</v>
      </c>
      <c r="H943" t="s">
        <v>1062</v>
      </c>
      <c r="I943" t="s">
        <v>2855</v>
      </c>
      <c r="J943" t="s">
        <v>2872</v>
      </c>
      <c r="L943" t="s">
        <v>818</v>
      </c>
    </row>
    <row r="944" spans="1:12" ht="13.2">
      <c r="A944" t="s">
        <v>2022</v>
      </c>
      <c r="B944" t="b">
        <v>0</v>
      </c>
      <c r="H944" t="s">
        <v>1062</v>
      </c>
      <c r="I944" t="s">
        <v>2855</v>
      </c>
      <c r="J944" t="s">
        <v>2872</v>
      </c>
      <c r="L944" t="s">
        <v>818</v>
      </c>
    </row>
    <row r="945" spans="1:12" ht="13.2">
      <c r="A945" t="s">
        <v>2023</v>
      </c>
      <c r="B945" t="b">
        <v>0</v>
      </c>
      <c r="H945" t="s">
        <v>1062</v>
      </c>
      <c r="I945" t="s">
        <v>2855</v>
      </c>
      <c r="J945" t="s">
        <v>2872</v>
      </c>
      <c r="L945" t="s">
        <v>818</v>
      </c>
    </row>
    <row r="946" spans="1:12" ht="13.2">
      <c r="A946" t="s">
        <v>2024</v>
      </c>
      <c r="B946" t="b">
        <v>0</v>
      </c>
      <c r="H946" t="s">
        <v>1062</v>
      </c>
      <c r="I946" t="s">
        <v>2855</v>
      </c>
      <c r="J946" t="s">
        <v>2872</v>
      </c>
      <c r="L946" t="s">
        <v>818</v>
      </c>
    </row>
    <row r="947" spans="1:12" ht="13.2">
      <c r="A947" t="s">
        <v>2025</v>
      </c>
      <c r="B947" t="b">
        <v>0</v>
      </c>
      <c r="H947" t="s">
        <v>1062</v>
      </c>
      <c r="I947" t="s">
        <v>2855</v>
      </c>
      <c r="J947" t="s">
        <v>2872</v>
      </c>
      <c r="L947" t="s">
        <v>818</v>
      </c>
    </row>
    <row r="948" spans="1:12" ht="13.2">
      <c r="A948" t="s">
        <v>2026</v>
      </c>
      <c r="B948" t="b">
        <v>0</v>
      </c>
      <c r="H948" t="s">
        <v>1062</v>
      </c>
      <c r="I948" t="s">
        <v>2855</v>
      </c>
      <c r="J948" t="s">
        <v>2872</v>
      </c>
      <c r="L948" t="s">
        <v>818</v>
      </c>
    </row>
    <row r="949" spans="1:12" ht="13.2">
      <c r="A949" t="s">
        <v>2027</v>
      </c>
      <c r="B949" t="b">
        <v>0</v>
      </c>
      <c r="H949" t="s">
        <v>1062</v>
      </c>
      <c r="I949" t="s">
        <v>2855</v>
      </c>
      <c r="J949" t="s">
        <v>2872</v>
      </c>
      <c r="L949" t="s">
        <v>818</v>
      </c>
    </row>
    <row r="950" spans="1:12" ht="13.2">
      <c r="A950" t="s">
        <v>2028</v>
      </c>
      <c r="B950" t="b">
        <v>0</v>
      </c>
      <c r="H950" t="s">
        <v>1062</v>
      </c>
      <c r="I950" t="s">
        <v>2855</v>
      </c>
      <c r="J950" t="s">
        <v>2872</v>
      </c>
      <c r="L950" t="s">
        <v>818</v>
      </c>
    </row>
    <row r="951" spans="1:12" ht="13.2">
      <c r="A951" t="s">
        <v>2029</v>
      </c>
      <c r="B951" t="b">
        <v>0</v>
      </c>
      <c r="H951" t="s">
        <v>1062</v>
      </c>
      <c r="I951" t="s">
        <v>2855</v>
      </c>
      <c r="J951" t="s">
        <v>2872</v>
      </c>
      <c r="L951" t="s">
        <v>818</v>
      </c>
    </row>
    <row r="952" spans="1:12" ht="13.2">
      <c r="A952" t="s">
        <v>2030</v>
      </c>
      <c r="B952" t="b">
        <v>0</v>
      </c>
      <c r="H952" t="s">
        <v>1062</v>
      </c>
      <c r="I952" t="s">
        <v>2855</v>
      </c>
      <c r="J952" t="s">
        <v>2872</v>
      </c>
      <c r="L952" t="s">
        <v>818</v>
      </c>
    </row>
    <row r="953" spans="1:12" ht="13.2">
      <c r="A953" t="s">
        <v>2031</v>
      </c>
      <c r="B953" t="b">
        <v>0</v>
      </c>
      <c r="H953" t="s">
        <v>1062</v>
      </c>
      <c r="I953" t="s">
        <v>2855</v>
      </c>
      <c r="J953" t="s">
        <v>2872</v>
      </c>
      <c r="L953" t="s">
        <v>818</v>
      </c>
    </row>
    <row r="954" spans="1:12" ht="13.2">
      <c r="A954" t="s">
        <v>2032</v>
      </c>
      <c r="B954" t="b">
        <v>0</v>
      </c>
      <c r="H954" t="s">
        <v>1062</v>
      </c>
      <c r="I954" t="s">
        <v>2855</v>
      </c>
      <c r="J954" t="s">
        <v>2872</v>
      </c>
      <c r="L954" t="s">
        <v>818</v>
      </c>
    </row>
    <row r="955" spans="1:12" ht="13.2">
      <c r="A955" t="s">
        <v>2033</v>
      </c>
      <c r="B955" t="b">
        <v>0</v>
      </c>
      <c r="H955" t="s">
        <v>1062</v>
      </c>
      <c r="I955" t="s">
        <v>2855</v>
      </c>
      <c r="J955" t="s">
        <v>2872</v>
      </c>
      <c r="L955" t="s">
        <v>818</v>
      </c>
    </row>
    <row r="956" spans="1:12" ht="13.2">
      <c r="A956" t="s">
        <v>2034</v>
      </c>
      <c r="B956" t="b">
        <v>0</v>
      </c>
      <c r="H956" t="s">
        <v>1062</v>
      </c>
      <c r="I956" t="s">
        <v>2855</v>
      </c>
      <c r="J956" t="s">
        <v>2872</v>
      </c>
      <c r="L956" t="s">
        <v>818</v>
      </c>
    </row>
    <row r="957" spans="1:12" ht="13.2">
      <c r="A957" t="s">
        <v>2035</v>
      </c>
      <c r="B957" t="b">
        <v>0</v>
      </c>
      <c r="H957" t="s">
        <v>1062</v>
      </c>
      <c r="I957" t="s">
        <v>2855</v>
      </c>
      <c r="J957" t="s">
        <v>2872</v>
      </c>
      <c r="L957" t="s">
        <v>818</v>
      </c>
    </row>
    <row r="958" spans="1:12" ht="13.2">
      <c r="A958" t="s">
        <v>2036</v>
      </c>
      <c r="B958" t="b">
        <v>0</v>
      </c>
      <c r="H958" t="s">
        <v>1062</v>
      </c>
      <c r="I958" t="s">
        <v>2855</v>
      </c>
      <c r="J958" t="s">
        <v>2872</v>
      </c>
      <c r="L958" t="s">
        <v>818</v>
      </c>
    </row>
    <row r="959" spans="1:12" ht="13.2">
      <c r="A959" t="s">
        <v>2037</v>
      </c>
      <c r="B959" t="b">
        <v>0</v>
      </c>
      <c r="H959" t="s">
        <v>1062</v>
      </c>
      <c r="I959" t="s">
        <v>2855</v>
      </c>
      <c r="J959" t="s">
        <v>2872</v>
      </c>
      <c r="L959" t="s">
        <v>818</v>
      </c>
    </row>
    <row r="960" spans="1:12" ht="13.2">
      <c r="A960" t="s">
        <v>2038</v>
      </c>
      <c r="B960" t="b">
        <v>0</v>
      </c>
      <c r="H960" t="s">
        <v>1062</v>
      </c>
      <c r="I960" t="s">
        <v>2855</v>
      </c>
      <c r="J960" t="s">
        <v>2872</v>
      </c>
      <c r="L960" t="s">
        <v>818</v>
      </c>
    </row>
    <row r="961" spans="1:12" ht="13.2">
      <c r="A961" t="s">
        <v>2039</v>
      </c>
      <c r="B961" t="b">
        <v>0</v>
      </c>
      <c r="H961" t="s">
        <v>1062</v>
      </c>
      <c r="I961" t="s">
        <v>2855</v>
      </c>
      <c r="J961" t="s">
        <v>2872</v>
      </c>
      <c r="L961" t="s">
        <v>818</v>
      </c>
    </row>
    <row r="962" spans="1:12" ht="13.2">
      <c r="A962" t="s">
        <v>2040</v>
      </c>
      <c r="B962" t="b">
        <v>0</v>
      </c>
      <c r="H962" t="s">
        <v>1062</v>
      </c>
      <c r="I962" t="s">
        <v>2855</v>
      </c>
      <c r="J962" t="s">
        <v>2872</v>
      </c>
      <c r="L962" t="s">
        <v>818</v>
      </c>
    </row>
    <row r="963" spans="1:12" ht="13.2">
      <c r="A963" t="s">
        <v>2041</v>
      </c>
      <c r="B963" t="b">
        <v>0</v>
      </c>
      <c r="H963" t="s">
        <v>1062</v>
      </c>
      <c r="I963" t="s">
        <v>2855</v>
      </c>
      <c r="J963" t="s">
        <v>2872</v>
      </c>
      <c r="L963" t="s">
        <v>818</v>
      </c>
    </row>
    <row r="964" spans="1:12" ht="13.2">
      <c r="A964" t="s">
        <v>2042</v>
      </c>
      <c r="B964" t="b">
        <v>0</v>
      </c>
      <c r="H964" t="s">
        <v>1062</v>
      </c>
      <c r="I964" t="s">
        <v>2855</v>
      </c>
      <c r="J964" t="s">
        <v>2872</v>
      </c>
      <c r="L964" t="s">
        <v>818</v>
      </c>
    </row>
    <row r="965" spans="1:12" ht="13.2">
      <c r="A965" t="s">
        <v>2043</v>
      </c>
      <c r="B965" t="b">
        <v>0</v>
      </c>
      <c r="H965" t="s">
        <v>1062</v>
      </c>
      <c r="I965" t="s">
        <v>2855</v>
      </c>
      <c r="J965" t="s">
        <v>2872</v>
      </c>
      <c r="L965" t="s">
        <v>818</v>
      </c>
    </row>
    <row r="966" spans="1:12" ht="13.2">
      <c r="A966" t="s">
        <v>2044</v>
      </c>
      <c r="B966" t="b">
        <v>0</v>
      </c>
      <c r="H966" t="s">
        <v>1062</v>
      </c>
      <c r="I966" t="s">
        <v>2855</v>
      </c>
      <c r="J966" t="s">
        <v>2872</v>
      </c>
      <c r="L966" t="s">
        <v>818</v>
      </c>
    </row>
    <row r="967" spans="1:12" ht="13.2">
      <c r="A967" t="s">
        <v>2045</v>
      </c>
      <c r="B967" t="b">
        <v>0</v>
      </c>
      <c r="H967" t="s">
        <v>1062</v>
      </c>
      <c r="I967" t="s">
        <v>2855</v>
      </c>
      <c r="J967" t="s">
        <v>2872</v>
      </c>
      <c r="L967" t="s">
        <v>818</v>
      </c>
    </row>
    <row r="968" spans="1:12" ht="13.2">
      <c r="A968" t="s">
        <v>2046</v>
      </c>
      <c r="B968" t="b">
        <v>0</v>
      </c>
      <c r="H968" t="s">
        <v>1062</v>
      </c>
      <c r="I968" t="s">
        <v>2855</v>
      </c>
      <c r="J968" t="s">
        <v>2872</v>
      </c>
      <c r="L968" t="s">
        <v>818</v>
      </c>
    </row>
    <row r="969" spans="1:12" ht="13.2">
      <c r="A969" t="s">
        <v>2047</v>
      </c>
      <c r="B969" t="b">
        <v>0</v>
      </c>
      <c r="H969" t="s">
        <v>1062</v>
      </c>
      <c r="I969" t="s">
        <v>2855</v>
      </c>
      <c r="J969" t="s">
        <v>2872</v>
      </c>
      <c r="L969" t="s">
        <v>818</v>
      </c>
    </row>
    <row r="970" spans="1:12" ht="13.2">
      <c r="A970" t="s">
        <v>2048</v>
      </c>
      <c r="B970" t="b">
        <v>0</v>
      </c>
      <c r="H970" t="s">
        <v>1062</v>
      </c>
      <c r="I970" t="s">
        <v>2855</v>
      </c>
      <c r="J970" t="s">
        <v>2863</v>
      </c>
      <c r="L970" t="s">
        <v>818</v>
      </c>
    </row>
    <row r="971" spans="1:12" ht="13.2">
      <c r="A971" t="s">
        <v>2049</v>
      </c>
      <c r="B971" t="b">
        <v>0</v>
      </c>
      <c r="H971" t="s">
        <v>1062</v>
      </c>
      <c r="I971" t="s">
        <v>2855</v>
      </c>
      <c r="J971" t="s">
        <v>2863</v>
      </c>
      <c r="L971" t="s">
        <v>818</v>
      </c>
    </row>
    <row r="972" spans="1:12" ht="13.2">
      <c r="A972" t="s">
        <v>2050</v>
      </c>
      <c r="B972" t="b">
        <v>0</v>
      </c>
      <c r="C972" t="s">
        <v>963</v>
      </c>
      <c r="D972" t="s">
        <v>963</v>
      </c>
      <c r="E972" t="s">
        <v>963</v>
      </c>
      <c r="H972" t="s">
        <v>1062</v>
      </c>
      <c r="I972" t="s">
        <v>2855</v>
      </c>
      <c r="J972" t="s">
        <v>2863</v>
      </c>
      <c r="L972" t="s">
        <v>818</v>
      </c>
    </row>
    <row r="973" spans="1:12" ht="13.2">
      <c r="A973" t="s">
        <v>2051</v>
      </c>
      <c r="B973" t="b">
        <v>0</v>
      </c>
      <c r="C973" t="s">
        <v>1086</v>
      </c>
      <c r="D973" t="s">
        <v>1086</v>
      </c>
      <c r="E973" t="s">
        <v>1086</v>
      </c>
      <c r="H973" t="s">
        <v>1062</v>
      </c>
      <c r="I973" t="s">
        <v>2855</v>
      </c>
      <c r="J973" t="s">
        <v>2863</v>
      </c>
      <c r="L973" t="s">
        <v>818</v>
      </c>
    </row>
    <row r="974" spans="1:12" ht="13.2">
      <c r="A974" t="s">
        <v>2052</v>
      </c>
      <c r="B974" t="b">
        <v>0</v>
      </c>
      <c r="H974" t="s">
        <v>1062</v>
      </c>
      <c r="I974" t="s">
        <v>2855</v>
      </c>
      <c r="J974" t="s">
        <v>2863</v>
      </c>
      <c r="L974" t="s">
        <v>818</v>
      </c>
    </row>
    <row r="975" spans="1:12" ht="13.2">
      <c r="A975" t="s">
        <v>2053</v>
      </c>
      <c r="B975" t="b">
        <v>0</v>
      </c>
      <c r="C975" t="s">
        <v>903</v>
      </c>
      <c r="D975" t="s">
        <v>903</v>
      </c>
      <c r="E975" t="s">
        <v>903</v>
      </c>
      <c r="H975" t="s">
        <v>1062</v>
      </c>
      <c r="I975" t="s">
        <v>2855</v>
      </c>
      <c r="J975" t="s">
        <v>2863</v>
      </c>
      <c r="L975" t="s">
        <v>818</v>
      </c>
    </row>
    <row r="976" spans="1:12" ht="13.2">
      <c r="A976" t="s">
        <v>2054</v>
      </c>
      <c r="B976" t="b">
        <v>0</v>
      </c>
      <c r="C976" t="s">
        <v>1086</v>
      </c>
      <c r="D976" t="s">
        <v>998</v>
      </c>
      <c r="E976" t="s">
        <v>1080</v>
      </c>
      <c r="H976" t="s">
        <v>1062</v>
      </c>
      <c r="I976" t="s">
        <v>2855</v>
      </c>
      <c r="J976" t="s">
        <v>2863</v>
      </c>
      <c r="L976" t="s">
        <v>818</v>
      </c>
    </row>
    <row r="977" spans="1:12" ht="13.2">
      <c r="A977" t="s">
        <v>2055</v>
      </c>
      <c r="B977" t="b">
        <v>0</v>
      </c>
      <c r="C977" t="s">
        <v>903</v>
      </c>
      <c r="D977" t="s">
        <v>998</v>
      </c>
      <c r="E977" t="s">
        <v>903</v>
      </c>
      <c r="H977" t="s">
        <v>1062</v>
      </c>
      <c r="I977" t="s">
        <v>2855</v>
      </c>
      <c r="J977" t="s">
        <v>2863</v>
      </c>
      <c r="L977" t="s">
        <v>818</v>
      </c>
    </row>
    <row r="978" spans="1:12" ht="13.2">
      <c r="A978" t="s">
        <v>2056</v>
      </c>
      <c r="B978" t="b">
        <v>0</v>
      </c>
      <c r="C978" t="s">
        <v>903</v>
      </c>
      <c r="D978" t="s">
        <v>998</v>
      </c>
      <c r="E978" t="s">
        <v>903</v>
      </c>
      <c r="H978" t="s">
        <v>1062</v>
      </c>
      <c r="I978" t="s">
        <v>2855</v>
      </c>
      <c r="J978" t="s">
        <v>2863</v>
      </c>
      <c r="L978" t="s">
        <v>818</v>
      </c>
    </row>
    <row r="979" spans="1:12" ht="13.2">
      <c r="A979" t="s">
        <v>2057</v>
      </c>
      <c r="B979" t="b">
        <v>0</v>
      </c>
      <c r="C979" t="s">
        <v>1086</v>
      </c>
      <c r="D979" t="s">
        <v>998</v>
      </c>
      <c r="E979" t="s">
        <v>1080</v>
      </c>
      <c r="H979" t="s">
        <v>1062</v>
      </c>
      <c r="I979" t="s">
        <v>2855</v>
      </c>
      <c r="J979" t="s">
        <v>2863</v>
      </c>
      <c r="L979" t="s">
        <v>818</v>
      </c>
    </row>
    <row r="980" spans="1:12" ht="13.2">
      <c r="A980" t="s">
        <v>2058</v>
      </c>
      <c r="B980" t="b">
        <v>0</v>
      </c>
      <c r="H980" t="s">
        <v>1062</v>
      </c>
      <c r="I980" t="s">
        <v>2855</v>
      </c>
      <c r="J980" t="s">
        <v>2857</v>
      </c>
      <c r="L980" t="s">
        <v>818</v>
      </c>
    </row>
    <row r="981" spans="1:12" ht="13.2">
      <c r="A981" t="s">
        <v>2059</v>
      </c>
      <c r="B981" t="b">
        <v>0</v>
      </c>
      <c r="H981" t="s">
        <v>1062</v>
      </c>
      <c r="I981" t="s">
        <v>2855</v>
      </c>
      <c r="J981" t="s">
        <v>2857</v>
      </c>
      <c r="L981" t="s">
        <v>818</v>
      </c>
    </row>
    <row r="982" spans="1:12" ht="13.2">
      <c r="A982" t="s">
        <v>2060</v>
      </c>
      <c r="B982" t="b">
        <v>0</v>
      </c>
      <c r="H982" t="s">
        <v>1062</v>
      </c>
      <c r="I982" t="s">
        <v>2855</v>
      </c>
      <c r="J982" t="s">
        <v>2857</v>
      </c>
      <c r="L982" t="s">
        <v>818</v>
      </c>
    </row>
    <row r="983" spans="1:12" ht="13.2">
      <c r="A983" t="s">
        <v>2061</v>
      </c>
      <c r="B983" t="b">
        <v>0</v>
      </c>
      <c r="H983" t="s">
        <v>1062</v>
      </c>
      <c r="I983" t="s">
        <v>2855</v>
      </c>
      <c r="J983" t="s">
        <v>2857</v>
      </c>
      <c r="L983" t="s">
        <v>818</v>
      </c>
    </row>
    <row r="984" spans="1:12" ht="13.2">
      <c r="A984" t="s">
        <v>2062</v>
      </c>
      <c r="B984" t="b">
        <v>0</v>
      </c>
      <c r="H984" t="s">
        <v>1062</v>
      </c>
      <c r="I984" t="s">
        <v>2855</v>
      </c>
      <c r="J984" t="s">
        <v>2857</v>
      </c>
      <c r="L984" t="s">
        <v>818</v>
      </c>
    </row>
    <row r="985" spans="1:12" ht="13.2">
      <c r="A985" t="s">
        <v>2063</v>
      </c>
      <c r="B985" t="b">
        <v>0</v>
      </c>
      <c r="H985" t="s">
        <v>1062</v>
      </c>
      <c r="I985" t="s">
        <v>2855</v>
      </c>
      <c r="J985" t="s">
        <v>2857</v>
      </c>
      <c r="L985" t="s">
        <v>818</v>
      </c>
    </row>
    <row r="986" spans="1:12" ht="13.2">
      <c r="A986" t="s">
        <v>2064</v>
      </c>
      <c r="B986" t="b">
        <v>0</v>
      </c>
      <c r="H986" t="s">
        <v>1062</v>
      </c>
      <c r="I986" t="s">
        <v>2855</v>
      </c>
      <c r="J986" t="s">
        <v>2857</v>
      </c>
      <c r="L986" t="s">
        <v>818</v>
      </c>
    </row>
    <row r="987" spans="1:12" ht="13.2">
      <c r="A987" t="s">
        <v>2065</v>
      </c>
      <c r="B987" t="b">
        <v>0</v>
      </c>
      <c r="H987" t="s">
        <v>1062</v>
      </c>
      <c r="I987" t="s">
        <v>2855</v>
      </c>
      <c r="J987" t="s">
        <v>2857</v>
      </c>
      <c r="L987" t="s">
        <v>818</v>
      </c>
    </row>
    <row r="988" spans="1:12" ht="13.2">
      <c r="A988" t="s">
        <v>2066</v>
      </c>
      <c r="B988" t="b">
        <v>0</v>
      </c>
      <c r="H988" t="s">
        <v>1062</v>
      </c>
      <c r="I988" t="s">
        <v>2855</v>
      </c>
      <c r="J988" t="s">
        <v>2857</v>
      </c>
      <c r="L988" t="s">
        <v>818</v>
      </c>
    </row>
    <row r="989" spans="1:12" ht="13.2">
      <c r="A989" t="s">
        <v>2067</v>
      </c>
      <c r="B989" t="b">
        <v>0</v>
      </c>
      <c r="H989" t="s">
        <v>1062</v>
      </c>
      <c r="I989" t="s">
        <v>2855</v>
      </c>
      <c r="J989" t="s">
        <v>2857</v>
      </c>
      <c r="L989" t="s">
        <v>818</v>
      </c>
    </row>
    <row r="990" spans="1:12" ht="13.2">
      <c r="A990" t="s">
        <v>2068</v>
      </c>
      <c r="B990" t="b">
        <v>0</v>
      </c>
      <c r="H990" t="s">
        <v>1062</v>
      </c>
      <c r="I990" t="s">
        <v>2855</v>
      </c>
      <c r="J990" t="s">
        <v>2857</v>
      </c>
      <c r="L990" t="s">
        <v>818</v>
      </c>
    </row>
    <row r="991" spans="1:12" ht="13.2">
      <c r="A991" t="s">
        <v>2069</v>
      </c>
      <c r="B991" t="b">
        <v>0</v>
      </c>
      <c r="H991" t="s">
        <v>1062</v>
      </c>
      <c r="I991" t="s">
        <v>2855</v>
      </c>
      <c r="J991" t="s">
        <v>2857</v>
      </c>
      <c r="L991" t="s">
        <v>818</v>
      </c>
    </row>
    <row r="992" spans="1:12" ht="13.2">
      <c r="A992" t="s">
        <v>2070</v>
      </c>
      <c r="B992" t="b">
        <v>0</v>
      </c>
      <c r="H992" t="s">
        <v>1062</v>
      </c>
      <c r="I992" t="s">
        <v>2855</v>
      </c>
      <c r="J992" t="s">
        <v>2857</v>
      </c>
      <c r="L992" t="s">
        <v>818</v>
      </c>
    </row>
    <row r="993" spans="1:12" ht="13.2">
      <c r="A993" t="s">
        <v>2071</v>
      </c>
      <c r="B993" t="b">
        <v>0</v>
      </c>
      <c r="H993" t="s">
        <v>1062</v>
      </c>
      <c r="I993" t="s">
        <v>2855</v>
      </c>
      <c r="J993" t="s">
        <v>2857</v>
      </c>
      <c r="L993" t="s">
        <v>818</v>
      </c>
    </row>
    <row r="994" spans="1:12" ht="13.2">
      <c r="A994" t="s">
        <v>2072</v>
      </c>
      <c r="B994" t="b">
        <v>0</v>
      </c>
      <c r="H994" t="s">
        <v>1062</v>
      </c>
      <c r="I994" t="s">
        <v>2855</v>
      </c>
      <c r="J994" t="s">
        <v>2857</v>
      </c>
      <c r="L994" t="s">
        <v>818</v>
      </c>
    </row>
    <row r="995" spans="1:12" ht="13.2">
      <c r="A995" t="s">
        <v>2073</v>
      </c>
      <c r="B995" t="b">
        <v>0</v>
      </c>
      <c r="H995" t="s">
        <v>1062</v>
      </c>
      <c r="I995" t="s">
        <v>2855</v>
      </c>
      <c r="J995" t="s">
        <v>2857</v>
      </c>
      <c r="L995" t="s">
        <v>818</v>
      </c>
    </row>
    <row r="996" spans="1:12" ht="13.2">
      <c r="A996" t="s">
        <v>2074</v>
      </c>
      <c r="B996" t="b">
        <v>0</v>
      </c>
      <c r="H996" t="s">
        <v>1062</v>
      </c>
      <c r="I996" t="s">
        <v>2855</v>
      </c>
      <c r="J996" t="s">
        <v>2857</v>
      </c>
      <c r="L996" t="s">
        <v>818</v>
      </c>
    </row>
    <row r="997" spans="1:12" ht="13.2">
      <c r="A997" t="s">
        <v>2899</v>
      </c>
      <c r="B997" t="b">
        <v>0</v>
      </c>
      <c r="H997" t="s">
        <v>1062</v>
      </c>
      <c r="I997" t="s">
        <v>2855</v>
      </c>
      <c r="J997" t="s">
        <v>2872</v>
      </c>
      <c r="L997" t="s">
        <v>818</v>
      </c>
    </row>
    <row r="998" spans="1:12" ht="13.2">
      <c r="A998" t="s">
        <v>2075</v>
      </c>
      <c r="B998" t="b">
        <v>0</v>
      </c>
      <c r="H998" t="s">
        <v>1062</v>
      </c>
      <c r="I998" t="s">
        <v>2855</v>
      </c>
      <c r="J998" t="s">
        <v>2872</v>
      </c>
      <c r="L998" t="s">
        <v>818</v>
      </c>
    </row>
    <row r="999" spans="1:12" ht="13.2">
      <c r="A999" t="s">
        <v>2076</v>
      </c>
      <c r="B999" t="b">
        <v>0</v>
      </c>
      <c r="H999" t="s">
        <v>1062</v>
      </c>
      <c r="I999" t="s">
        <v>2855</v>
      </c>
      <c r="J999" t="s">
        <v>2872</v>
      </c>
      <c r="L999" t="s">
        <v>818</v>
      </c>
    </row>
    <row r="1000" spans="1:12" ht="13.2">
      <c r="A1000" t="s">
        <v>2077</v>
      </c>
      <c r="B1000" t="b">
        <v>0</v>
      </c>
      <c r="H1000" t="s">
        <v>1062</v>
      </c>
      <c r="I1000" t="s">
        <v>2855</v>
      </c>
      <c r="J1000" t="s">
        <v>2872</v>
      </c>
      <c r="L1000" t="s">
        <v>818</v>
      </c>
    </row>
    <row r="1001" spans="1:12" ht="13.2">
      <c r="A1001" t="s">
        <v>2078</v>
      </c>
      <c r="B1001" t="b">
        <v>0</v>
      </c>
      <c r="H1001" t="s">
        <v>1062</v>
      </c>
      <c r="I1001" t="s">
        <v>2855</v>
      </c>
      <c r="J1001" t="s">
        <v>2872</v>
      </c>
      <c r="L1001" t="s">
        <v>818</v>
      </c>
    </row>
    <row r="1002" spans="1:12" ht="13.2">
      <c r="A1002" t="s">
        <v>2079</v>
      </c>
      <c r="B1002" t="b">
        <v>0</v>
      </c>
      <c r="H1002" t="s">
        <v>1062</v>
      </c>
      <c r="I1002" t="s">
        <v>2855</v>
      </c>
      <c r="J1002" t="s">
        <v>2872</v>
      </c>
      <c r="L1002" t="s">
        <v>818</v>
      </c>
    </row>
    <row r="1003" spans="1:12" ht="13.2">
      <c r="A1003" t="s">
        <v>2080</v>
      </c>
      <c r="B1003" t="b">
        <v>0</v>
      </c>
      <c r="H1003" t="s">
        <v>1062</v>
      </c>
      <c r="I1003" t="s">
        <v>2855</v>
      </c>
      <c r="J1003" t="s">
        <v>2872</v>
      </c>
      <c r="L1003" t="s">
        <v>818</v>
      </c>
    </row>
    <row r="1004" spans="1:12" ht="13.2">
      <c r="A1004" t="s">
        <v>2081</v>
      </c>
      <c r="B1004" t="b">
        <v>0</v>
      </c>
      <c r="H1004" t="s">
        <v>1062</v>
      </c>
      <c r="I1004" t="s">
        <v>2855</v>
      </c>
      <c r="J1004" t="s">
        <v>2872</v>
      </c>
      <c r="L1004" t="s">
        <v>818</v>
      </c>
    </row>
    <row r="1005" spans="1:12" ht="13.2">
      <c r="A1005" t="s">
        <v>2082</v>
      </c>
      <c r="B1005" t="b">
        <v>0</v>
      </c>
      <c r="H1005" t="s">
        <v>1062</v>
      </c>
      <c r="I1005" t="s">
        <v>2855</v>
      </c>
      <c r="J1005" t="s">
        <v>2872</v>
      </c>
      <c r="L1005" t="s">
        <v>818</v>
      </c>
    </row>
    <row r="1006" spans="1:12" ht="13.2">
      <c r="A1006" t="s">
        <v>2842</v>
      </c>
      <c r="B1006" t="b">
        <v>0</v>
      </c>
      <c r="H1006" t="s">
        <v>1062</v>
      </c>
      <c r="I1006" t="s">
        <v>2855</v>
      </c>
      <c r="J1006" t="s">
        <v>2861</v>
      </c>
      <c r="L1006" t="s">
        <v>818</v>
      </c>
    </row>
    <row r="1007" spans="1:12" ht="13.2">
      <c r="A1007" t="s">
        <v>2843</v>
      </c>
      <c r="B1007" t="b">
        <v>0</v>
      </c>
      <c r="C1007" t="s">
        <v>903</v>
      </c>
      <c r="D1007" t="s">
        <v>903</v>
      </c>
      <c r="E1007" t="s">
        <v>903</v>
      </c>
      <c r="H1007" t="s">
        <v>1062</v>
      </c>
      <c r="I1007" t="s">
        <v>2855</v>
      </c>
      <c r="J1007" t="s">
        <v>2861</v>
      </c>
      <c r="L1007" t="s">
        <v>818</v>
      </c>
    </row>
    <row r="1008" spans="1:12" ht="13.2">
      <c r="A1008" t="s">
        <v>2844</v>
      </c>
      <c r="B1008" t="b">
        <v>0</v>
      </c>
      <c r="H1008" t="s">
        <v>1062</v>
      </c>
      <c r="I1008" t="s">
        <v>2855</v>
      </c>
      <c r="J1008" t="s">
        <v>2861</v>
      </c>
      <c r="L1008" t="s">
        <v>818</v>
      </c>
    </row>
    <row r="1009" spans="1:12" ht="13.2">
      <c r="A1009" t="s">
        <v>2845</v>
      </c>
      <c r="B1009" t="b">
        <v>0</v>
      </c>
      <c r="H1009" t="s">
        <v>1062</v>
      </c>
      <c r="I1009" t="s">
        <v>2855</v>
      </c>
      <c r="J1009" t="s">
        <v>2861</v>
      </c>
      <c r="L1009" t="s">
        <v>818</v>
      </c>
    </row>
    <row r="1010" spans="1:12" ht="13.2">
      <c r="A1010" t="s">
        <v>2846</v>
      </c>
      <c r="B1010" t="b">
        <v>0</v>
      </c>
      <c r="H1010" t="s">
        <v>1062</v>
      </c>
      <c r="I1010" t="s">
        <v>2855</v>
      </c>
      <c r="J1010" t="s">
        <v>2861</v>
      </c>
      <c r="L1010" t="s">
        <v>818</v>
      </c>
    </row>
    <row r="1011" spans="1:12" ht="13.2">
      <c r="A1011" t="s">
        <v>2847</v>
      </c>
      <c r="B1011" t="b">
        <v>0</v>
      </c>
      <c r="C1011" t="s">
        <v>903</v>
      </c>
      <c r="D1011" t="s">
        <v>903</v>
      </c>
      <c r="E1011" t="s">
        <v>903</v>
      </c>
      <c r="H1011" t="s">
        <v>1062</v>
      </c>
      <c r="I1011" t="s">
        <v>2855</v>
      </c>
      <c r="J1011" t="s">
        <v>2861</v>
      </c>
      <c r="L1011" t="s">
        <v>818</v>
      </c>
    </row>
    <row r="1012" spans="1:12" ht="13.2">
      <c r="A1012" t="s">
        <v>2848</v>
      </c>
      <c r="B1012" t="b">
        <v>0</v>
      </c>
      <c r="H1012" t="s">
        <v>1062</v>
      </c>
      <c r="I1012" t="s">
        <v>2855</v>
      </c>
      <c r="J1012" t="s">
        <v>2861</v>
      </c>
      <c r="L1012" t="s">
        <v>818</v>
      </c>
    </row>
    <row r="1013" spans="1:12" ht="13.2">
      <c r="A1013" t="s">
        <v>2849</v>
      </c>
      <c r="B1013" t="b">
        <v>0</v>
      </c>
      <c r="H1013" t="s">
        <v>1062</v>
      </c>
      <c r="I1013" t="s">
        <v>2855</v>
      </c>
      <c r="J1013" t="s">
        <v>2861</v>
      </c>
      <c r="L1013" t="s">
        <v>818</v>
      </c>
    </row>
    <row r="1014" spans="1:12" ht="13.2">
      <c r="A1014" t="s">
        <v>2850</v>
      </c>
      <c r="B1014" t="b">
        <v>0</v>
      </c>
      <c r="C1014" t="s">
        <v>963</v>
      </c>
      <c r="D1014" t="s">
        <v>963</v>
      </c>
      <c r="E1014" t="s">
        <v>963</v>
      </c>
      <c r="H1014" t="s">
        <v>1062</v>
      </c>
      <c r="I1014" t="s">
        <v>2855</v>
      </c>
      <c r="J1014" t="s">
        <v>2861</v>
      </c>
      <c r="L1014" t="s">
        <v>818</v>
      </c>
    </row>
    <row r="1015" spans="1:12" ht="13.2">
      <c r="A1015" t="s">
        <v>2851</v>
      </c>
      <c r="B1015" t="b">
        <v>0</v>
      </c>
      <c r="H1015" t="s">
        <v>1062</v>
      </c>
      <c r="I1015" t="s">
        <v>2855</v>
      </c>
      <c r="J1015" t="s">
        <v>2861</v>
      </c>
      <c r="L1015" t="s">
        <v>818</v>
      </c>
    </row>
    <row r="1016" spans="1:12" ht="13.2">
      <c r="A1016" t="s">
        <v>2852</v>
      </c>
      <c r="B1016" t="b">
        <v>0</v>
      </c>
      <c r="H1016" t="s">
        <v>1062</v>
      </c>
      <c r="I1016" t="s">
        <v>2855</v>
      </c>
      <c r="J1016" t="s">
        <v>2861</v>
      </c>
      <c r="L1016" t="s">
        <v>818</v>
      </c>
    </row>
    <row r="1017" spans="1:12" ht="13.2">
      <c r="A1017" t="s">
        <v>2853</v>
      </c>
      <c r="B1017" t="b">
        <v>0</v>
      </c>
      <c r="H1017" t="s">
        <v>1062</v>
      </c>
      <c r="I1017" t="s">
        <v>2855</v>
      </c>
      <c r="J1017" t="s">
        <v>2861</v>
      </c>
      <c r="L1017" t="s">
        <v>818</v>
      </c>
    </row>
    <row r="1018" spans="1:12" ht="13.2">
      <c r="A1018" t="s">
        <v>2854</v>
      </c>
      <c r="B1018" t="b">
        <v>0</v>
      </c>
      <c r="H1018" t="s">
        <v>1062</v>
      </c>
      <c r="I1018" t="s">
        <v>2855</v>
      </c>
      <c r="J1018" t="s">
        <v>2861</v>
      </c>
      <c r="L1018" t="s">
        <v>818</v>
      </c>
    </row>
    <row r="1019" spans="1:12" ht="13.2">
      <c r="A1019" t="s">
        <v>2890</v>
      </c>
      <c r="B1019" t="b">
        <v>0</v>
      </c>
      <c r="H1019" t="s">
        <v>1062</v>
      </c>
      <c r="I1019" t="s">
        <v>2855</v>
      </c>
      <c r="J1019" t="s">
        <v>2860</v>
      </c>
      <c r="K1019">
        <v>3000</v>
      </c>
      <c r="L1019" t="s">
        <v>818</v>
      </c>
    </row>
    <row r="1020" spans="1:12" ht="13.2">
      <c r="A1020" t="s">
        <v>2891</v>
      </c>
      <c r="B1020" t="b">
        <v>0</v>
      </c>
      <c r="H1020" t="s">
        <v>1062</v>
      </c>
      <c r="I1020" t="s">
        <v>2855</v>
      </c>
      <c r="J1020" t="s">
        <v>2860</v>
      </c>
      <c r="K1020">
        <v>3000</v>
      </c>
      <c r="L1020" t="s">
        <v>818</v>
      </c>
    </row>
    <row r="1021" spans="1:12" ht="13.2">
      <c r="A1021" t="s">
        <v>2892</v>
      </c>
      <c r="B1021" t="b">
        <v>0</v>
      </c>
      <c r="H1021" t="s">
        <v>1062</v>
      </c>
      <c r="I1021" t="s">
        <v>2855</v>
      </c>
      <c r="J1021" t="s">
        <v>2860</v>
      </c>
      <c r="K1021">
        <v>3000</v>
      </c>
      <c r="L1021" t="s">
        <v>818</v>
      </c>
    </row>
    <row r="1022" spans="1:12" ht="13.2">
      <c r="A1022" t="s">
        <v>2893</v>
      </c>
      <c r="B1022" t="b">
        <v>0</v>
      </c>
      <c r="H1022" t="s">
        <v>1062</v>
      </c>
      <c r="I1022" t="s">
        <v>2855</v>
      </c>
      <c r="J1022" t="s">
        <v>2860</v>
      </c>
      <c r="K1022">
        <v>3000</v>
      </c>
      <c r="L1022" t="s">
        <v>818</v>
      </c>
    </row>
    <row r="1023" spans="1:12" ht="13.2">
      <c r="A1023" t="s">
        <v>2894</v>
      </c>
      <c r="B1023" t="b">
        <v>0</v>
      </c>
      <c r="H1023" t="s">
        <v>1062</v>
      </c>
      <c r="I1023" t="s">
        <v>2855</v>
      </c>
      <c r="J1023" t="s">
        <v>2860</v>
      </c>
      <c r="K1023">
        <v>3000</v>
      </c>
      <c r="L1023" t="s">
        <v>818</v>
      </c>
    </row>
    <row r="1024" spans="1:12" ht="13.2">
      <c r="A1024" t="s">
        <v>2895</v>
      </c>
      <c r="B1024" t="b">
        <v>0</v>
      </c>
      <c r="H1024" t="s">
        <v>1062</v>
      </c>
      <c r="I1024" t="s">
        <v>2855</v>
      </c>
      <c r="J1024" t="s">
        <v>2860</v>
      </c>
      <c r="K1024">
        <v>3000</v>
      </c>
      <c r="L1024" t="s">
        <v>818</v>
      </c>
    </row>
    <row r="1025" spans="1:12" ht="13.2">
      <c r="A1025" t="s">
        <v>2896</v>
      </c>
      <c r="B1025" t="b">
        <v>0</v>
      </c>
      <c r="H1025" t="s">
        <v>1062</v>
      </c>
      <c r="I1025" t="s">
        <v>2855</v>
      </c>
      <c r="J1025" t="s">
        <v>2860</v>
      </c>
      <c r="K1025">
        <v>3000</v>
      </c>
      <c r="L1025" t="s">
        <v>818</v>
      </c>
    </row>
    <row r="1026" spans="1:12" ht="13.2">
      <c r="A1026" t="s">
        <v>2897</v>
      </c>
      <c r="B1026" t="b">
        <v>0</v>
      </c>
      <c r="H1026" t="s">
        <v>1062</v>
      </c>
      <c r="I1026" t="s">
        <v>2855</v>
      </c>
      <c r="J1026" t="s">
        <v>2860</v>
      </c>
      <c r="K1026">
        <v>3000</v>
      </c>
      <c r="L1026" t="s">
        <v>818</v>
      </c>
    </row>
    <row r="1027" spans="1:12" ht="13.2">
      <c r="A1027" t="s">
        <v>2898</v>
      </c>
      <c r="B1027" t="b">
        <v>0</v>
      </c>
      <c r="H1027" t="s">
        <v>1062</v>
      </c>
      <c r="I1027" t="s">
        <v>2855</v>
      </c>
      <c r="J1027" t="s">
        <v>2860</v>
      </c>
      <c r="K1027">
        <v>3000</v>
      </c>
      <c r="L1027" t="s">
        <v>818</v>
      </c>
    </row>
    <row r="1028" spans="1:12" ht="13.2">
      <c r="A1028" t="s">
        <v>2903</v>
      </c>
      <c r="B1028" t="b">
        <v>0</v>
      </c>
      <c r="H1028" t="s">
        <v>1062</v>
      </c>
      <c r="I1028" t="s">
        <v>2855</v>
      </c>
      <c r="J1028" t="s">
        <v>2860</v>
      </c>
      <c r="L1028" t="s">
        <v>818</v>
      </c>
    </row>
    <row r="1029" spans="1:12" ht="13.2">
      <c r="A1029" t="s">
        <v>2904</v>
      </c>
      <c r="B1029" t="b">
        <v>0</v>
      </c>
      <c r="H1029" t="s">
        <v>1062</v>
      </c>
      <c r="I1029" t="s">
        <v>2855</v>
      </c>
      <c r="J1029" t="s">
        <v>2860</v>
      </c>
      <c r="L1029" t="s">
        <v>818</v>
      </c>
    </row>
    <row r="1030" spans="1:12" ht="13.2">
      <c r="A1030" t="s">
        <v>2905</v>
      </c>
      <c r="B1030" t="b">
        <v>0</v>
      </c>
      <c r="H1030" t="s">
        <v>1062</v>
      </c>
      <c r="I1030" t="s">
        <v>2855</v>
      </c>
      <c r="J1030" t="s">
        <v>2860</v>
      </c>
      <c r="L1030" t="s">
        <v>818</v>
      </c>
    </row>
    <row r="1031" spans="1:12" ht="13.2">
      <c r="A1031" t="s">
        <v>2906</v>
      </c>
      <c r="B1031" t="b">
        <v>0</v>
      </c>
      <c r="H1031" t="s">
        <v>1062</v>
      </c>
      <c r="I1031" t="s">
        <v>2855</v>
      </c>
      <c r="J1031" t="s">
        <v>2860</v>
      </c>
      <c r="L1031" t="s">
        <v>818</v>
      </c>
    </row>
    <row r="1032" spans="1:12" ht="13.2">
      <c r="A1032" t="s">
        <v>2907</v>
      </c>
      <c r="B1032" t="b">
        <v>0</v>
      </c>
      <c r="H1032" t="s">
        <v>1062</v>
      </c>
      <c r="I1032" t="s">
        <v>2855</v>
      </c>
      <c r="J1032" t="s">
        <v>2860</v>
      </c>
      <c r="L1032" t="s">
        <v>818</v>
      </c>
    </row>
    <row r="1033" spans="1:12" ht="13.2">
      <c r="A1033" t="s">
        <v>2908</v>
      </c>
      <c r="B1033" t="b">
        <v>0</v>
      </c>
      <c r="H1033" t="s">
        <v>1062</v>
      </c>
      <c r="I1033" t="s">
        <v>2855</v>
      </c>
      <c r="J1033" t="s">
        <v>2860</v>
      </c>
      <c r="L1033" t="s">
        <v>818</v>
      </c>
    </row>
    <row r="1034" spans="1:12" ht="13.2">
      <c r="A1034" t="s">
        <v>2909</v>
      </c>
      <c r="B1034" t="b">
        <v>0</v>
      </c>
      <c r="H1034" t="s">
        <v>1062</v>
      </c>
      <c r="I1034" t="s">
        <v>2855</v>
      </c>
      <c r="J1034" t="s">
        <v>2860</v>
      </c>
      <c r="L1034" t="s">
        <v>818</v>
      </c>
    </row>
    <row r="1035" spans="1:12" ht="13.2">
      <c r="A1035" t="s">
        <v>2910</v>
      </c>
      <c r="B1035" t="b">
        <v>0</v>
      </c>
      <c r="H1035" t="s">
        <v>1062</v>
      </c>
      <c r="I1035" t="s">
        <v>2855</v>
      </c>
      <c r="J1035" t="s">
        <v>2860</v>
      </c>
      <c r="L1035" t="s">
        <v>818</v>
      </c>
    </row>
    <row r="1036" spans="1:12" ht="13.2">
      <c r="A1036" t="s">
        <v>2911</v>
      </c>
      <c r="B1036" t="b">
        <v>0</v>
      </c>
      <c r="H1036" t="s">
        <v>1062</v>
      </c>
      <c r="I1036" t="s">
        <v>2855</v>
      </c>
      <c r="J1036" t="s">
        <v>2860</v>
      </c>
      <c r="L1036" t="s">
        <v>818</v>
      </c>
    </row>
    <row r="1037" spans="1:12" ht="13.2">
      <c r="A1037" t="s">
        <v>2083</v>
      </c>
      <c r="B1037" t="b">
        <v>0</v>
      </c>
      <c r="H1037" t="s">
        <v>1062</v>
      </c>
      <c r="I1037" t="s">
        <v>2084</v>
      </c>
      <c r="J1037" t="s">
        <v>2872</v>
      </c>
      <c r="L1037" t="s">
        <v>818</v>
      </c>
    </row>
    <row r="1038" spans="1:12" ht="13.2">
      <c r="A1038" t="s">
        <v>2085</v>
      </c>
      <c r="B1038" t="b">
        <v>0</v>
      </c>
      <c r="H1038" t="s">
        <v>1062</v>
      </c>
      <c r="I1038" t="s">
        <v>2084</v>
      </c>
      <c r="J1038" t="s">
        <v>2872</v>
      </c>
      <c r="L1038" t="s">
        <v>818</v>
      </c>
    </row>
    <row r="1039" spans="1:12" ht="13.2">
      <c r="A1039" t="s">
        <v>2086</v>
      </c>
      <c r="B1039" t="b">
        <v>0</v>
      </c>
      <c r="H1039" t="s">
        <v>1062</v>
      </c>
      <c r="I1039" t="s">
        <v>2084</v>
      </c>
      <c r="J1039" t="s">
        <v>2872</v>
      </c>
      <c r="L1039" t="s">
        <v>818</v>
      </c>
    </row>
    <row r="1040" spans="1:12" ht="13.2">
      <c r="A1040" t="s">
        <v>2087</v>
      </c>
      <c r="B1040" t="b">
        <v>0</v>
      </c>
      <c r="H1040" t="s">
        <v>1062</v>
      </c>
      <c r="I1040" t="s">
        <v>2084</v>
      </c>
      <c r="J1040" t="s">
        <v>2872</v>
      </c>
      <c r="L1040" t="s">
        <v>818</v>
      </c>
    </row>
    <row r="1041" spans="1:12" ht="13.2">
      <c r="A1041" t="s">
        <v>2088</v>
      </c>
      <c r="B1041" t="b">
        <v>0</v>
      </c>
      <c r="H1041" t="s">
        <v>1062</v>
      </c>
      <c r="I1041" t="s">
        <v>2084</v>
      </c>
      <c r="J1041" t="s">
        <v>2872</v>
      </c>
      <c r="L1041" t="s">
        <v>818</v>
      </c>
    </row>
    <row r="1042" spans="1:12" ht="13.2">
      <c r="A1042" t="s">
        <v>2089</v>
      </c>
      <c r="B1042" t="b">
        <v>0</v>
      </c>
      <c r="H1042" t="s">
        <v>1062</v>
      </c>
      <c r="I1042" t="s">
        <v>2084</v>
      </c>
      <c r="J1042" t="s">
        <v>2872</v>
      </c>
      <c r="L1042" t="s">
        <v>818</v>
      </c>
    </row>
    <row r="1043" spans="1:12" ht="13.2">
      <c r="A1043" t="s">
        <v>2090</v>
      </c>
      <c r="B1043" t="b">
        <v>0</v>
      </c>
      <c r="H1043" t="s">
        <v>1062</v>
      </c>
      <c r="I1043" t="s">
        <v>2084</v>
      </c>
      <c r="J1043" t="s">
        <v>2872</v>
      </c>
      <c r="L1043" t="s">
        <v>818</v>
      </c>
    </row>
    <row r="1044" spans="1:12" ht="13.2">
      <c r="A1044" t="s">
        <v>2091</v>
      </c>
      <c r="B1044" t="b">
        <v>0</v>
      </c>
      <c r="H1044" t="s">
        <v>1062</v>
      </c>
      <c r="I1044" t="s">
        <v>2084</v>
      </c>
      <c r="J1044" t="s">
        <v>2872</v>
      </c>
      <c r="L1044" t="s">
        <v>818</v>
      </c>
    </row>
    <row r="1045" spans="1:12" ht="13.2">
      <c r="A1045" t="s">
        <v>2092</v>
      </c>
      <c r="B1045" t="b">
        <v>0</v>
      </c>
      <c r="H1045" t="s">
        <v>1062</v>
      </c>
      <c r="I1045" t="s">
        <v>2084</v>
      </c>
      <c r="J1045" t="s">
        <v>2872</v>
      </c>
      <c r="L1045" t="s">
        <v>818</v>
      </c>
    </row>
    <row r="1046" spans="1:12" ht="13.2">
      <c r="A1046" t="s">
        <v>2093</v>
      </c>
      <c r="B1046" t="b">
        <v>0</v>
      </c>
      <c r="H1046" t="s">
        <v>1062</v>
      </c>
      <c r="I1046" t="s">
        <v>2084</v>
      </c>
      <c r="J1046" t="s">
        <v>2872</v>
      </c>
      <c r="L1046" t="s">
        <v>818</v>
      </c>
    </row>
    <row r="1047" spans="1:12" ht="13.2">
      <c r="A1047" t="s">
        <v>2094</v>
      </c>
      <c r="B1047" t="b">
        <v>0</v>
      </c>
      <c r="H1047" t="s">
        <v>1062</v>
      </c>
      <c r="I1047" t="s">
        <v>2084</v>
      </c>
      <c r="J1047" t="s">
        <v>2872</v>
      </c>
      <c r="L1047" t="s">
        <v>818</v>
      </c>
    </row>
    <row r="1048" spans="1:12" ht="13.2">
      <c r="A1048" t="s">
        <v>2095</v>
      </c>
      <c r="B1048" t="b">
        <v>0</v>
      </c>
      <c r="H1048" t="s">
        <v>1062</v>
      </c>
      <c r="I1048" t="s">
        <v>2084</v>
      </c>
      <c r="J1048" t="s">
        <v>2872</v>
      </c>
      <c r="L1048" t="s">
        <v>818</v>
      </c>
    </row>
    <row r="1049" spans="1:12" ht="13.2">
      <c r="A1049" t="s">
        <v>2096</v>
      </c>
      <c r="B1049" t="b">
        <v>0</v>
      </c>
      <c r="H1049" t="s">
        <v>1062</v>
      </c>
      <c r="I1049" t="s">
        <v>2084</v>
      </c>
      <c r="J1049" t="s">
        <v>2872</v>
      </c>
      <c r="L1049" t="s">
        <v>818</v>
      </c>
    </row>
    <row r="1050" spans="1:12" ht="13.2">
      <c r="A1050" t="s">
        <v>2097</v>
      </c>
      <c r="B1050" t="b">
        <v>0</v>
      </c>
      <c r="H1050" t="s">
        <v>1062</v>
      </c>
      <c r="I1050" t="s">
        <v>2084</v>
      </c>
      <c r="J1050" t="s">
        <v>2872</v>
      </c>
      <c r="L1050" t="s">
        <v>818</v>
      </c>
    </row>
    <row r="1051" spans="1:12" ht="13.2">
      <c r="A1051" t="s">
        <v>2098</v>
      </c>
      <c r="B1051" t="b">
        <v>0</v>
      </c>
      <c r="H1051" t="s">
        <v>1062</v>
      </c>
      <c r="I1051" t="s">
        <v>2084</v>
      </c>
      <c r="J1051" t="s">
        <v>2872</v>
      </c>
      <c r="L1051" t="s">
        <v>818</v>
      </c>
    </row>
    <row r="1052" spans="1:12" ht="13.2">
      <c r="A1052" t="s">
        <v>2099</v>
      </c>
      <c r="B1052" t="b">
        <v>0</v>
      </c>
      <c r="C1052" t="s">
        <v>903</v>
      </c>
      <c r="D1052" t="s">
        <v>998</v>
      </c>
      <c r="E1052" t="s">
        <v>1080</v>
      </c>
      <c r="H1052" t="s">
        <v>903</v>
      </c>
      <c r="I1052" t="s">
        <v>2084</v>
      </c>
      <c r="J1052" t="s">
        <v>2862</v>
      </c>
      <c r="K1052">
        <v>3000</v>
      </c>
      <c r="L1052" t="s">
        <v>818</v>
      </c>
    </row>
    <row r="1053" spans="1:12" ht="13.2">
      <c r="A1053" t="s">
        <v>2100</v>
      </c>
      <c r="B1053" t="b">
        <v>0</v>
      </c>
      <c r="C1053" t="s">
        <v>903</v>
      </c>
      <c r="D1053" t="s">
        <v>998</v>
      </c>
      <c r="E1053" t="s">
        <v>1080</v>
      </c>
      <c r="H1053" t="s">
        <v>903</v>
      </c>
      <c r="I1053" t="s">
        <v>2084</v>
      </c>
      <c r="J1053" t="s">
        <v>2862</v>
      </c>
      <c r="K1053">
        <v>3000</v>
      </c>
      <c r="L1053" t="s">
        <v>818</v>
      </c>
    </row>
    <row r="1054" spans="1:12" ht="13.2">
      <c r="A1054" t="s">
        <v>2101</v>
      </c>
      <c r="B1054" t="b">
        <v>0</v>
      </c>
      <c r="C1054" t="s">
        <v>903</v>
      </c>
      <c r="D1054" t="s">
        <v>998</v>
      </c>
      <c r="E1054" t="s">
        <v>1080</v>
      </c>
      <c r="H1054" t="s">
        <v>903</v>
      </c>
      <c r="I1054" t="s">
        <v>2084</v>
      </c>
      <c r="J1054" t="s">
        <v>2862</v>
      </c>
      <c r="K1054">
        <v>3000</v>
      </c>
      <c r="L1054" t="s">
        <v>818</v>
      </c>
    </row>
    <row r="1055" spans="1:12" ht="13.2">
      <c r="A1055" t="s">
        <v>2102</v>
      </c>
      <c r="B1055" t="b">
        <v>0</v>
      </c>
      <c r="C1055" t="s">
        <v>903</v>
      </c>
      <c r="D1055" t="s">
        <v>998</v>
      </c>
      <c r="E1055" t="s">
        <v>1080</v>
      </c>
      <c r="H1055" t="s">
        <v>903</v>
      </c>
      <c r="I1055" t="s">
        <v>2084</v>
      </c>
      <c r="J1055" t="s">
        <v>2862</v>
      </c>
      <c r="K1055">
        <v>3000</v>
      </c>
      <c r="L1055" t="s">
        <v>818</v>
      </c>
    </row>
    <row r="1056" spans="1:12" ht="13.2">
      <c r="A1056" t="s">
        <v>2103</v>
      </c>
      <c r="B1056" t="b">
        <v>0</v>
      </c>
      <c r="C1056" t="s">
        <v>903</v>
      </c>
      <c r="D1056" t="s">
        <v>998</v>
      </c>
      <c r="E1056" t="s">
        <v>1080</v>
      </c>
      <c r="H1056" t="s">
        <v>903</v>
      </c>
      <c r="I1056" t="s">
        <v>2084</v>
      </c>
      <c r="J1056" t="s">
        <v>2862</v>
      </c>
      <c r="K1056">
        <v>3000</v>
      </c>
      <c r="L1056" t="s">
        <v>818</v>
      </c>
    </row>
    <row r="1057" spans="1:12" ht="13.2">
      <c r="A1057" t="s">
        <v>2104</v>
      </c>
      <c r="B1057" t="b">
        <v>0</v>
      </c>
      <c r="C1057" t="s">
        <v>903</v>
      </c>
      <c r="D1057" t="s">
        <v>998</v>
      </c>
      <c r="E1057" t="s">
        <v>1080</v>
      </c>
      <c r="H1057" t="s">
        <v>903</v>
      </c>
      <c r="I1057" t="s">
        <v>2084</v>
      </c>
      <c r="J1057" t="s">
        <v>2862</v>
      </c>
      <c r="K1057">
        <v>3000</v>
      </c>
      <c r="L1057" t="s">
        <v>818</v>
      </c>
    </row>
    <row r="1058" spans="1:12" ht="13.2">
      <c r="A1058" t="s">
        <v>2105</v>
      </c>
      <c r="B1058" t="b">
        <v>0</v>
      </c>
      <c r="C1058" t="s">
        <v>963</v>
      </c>
      <c r="D1058" t="s">
        <v>963</v>
      </c>
      <c r="E1058" t="s">
        <v>963</v>
      </c>
      <c r="H1058" t="s">
        <v>963</v>
      </c>
      <c r="I1058" t="s">
        <v>2084</v>
      </c>
      <c r="J1058" t="s">
        <v>2862</v>
      </c>
      <c r="K1058">
        <v>3000</v>
      </c>
      <c r="L1058" t="s">
        <v>818</v>
      </c>
    </row>
    <row r="1059" spans="1:12" ht="13.2">
      <c r="A1059" t="s">
        <v>2106</v>
      </c>
      <c r="B1059" t="b">
        <v>0</v>
      </c>
      <c r="C1059" t="s">
        <v>903</v>
      </c>
      <c r="D1059" t="s">
        <v>903</v>
      </c>
      <c r="E1059" t="s">
        <v>903</v>
      </c>
      <c r="H1059" t="s">
        <v>903</v>
      </c>
      <c r="I1059" t="s">
        <v>2084</v>
      </c>
      <c r="J1059" t="s">
        <v>2862</v>
      </c>
      <c r="K1059">
        <v>3000</v>
      </c>
      <c r="L1059" t="s">
        <v>818</v>
      </c>
    </row>
    <row r="1060" spans="1:12" ht="13.2">
      <c r="A1060" t="s">
        <v>2107</v>
      </c>
      <c r="B1060" t="b">
        <v>0</v>
      </c>
      <c r="C1060" t="s">
        <v>903</v>
      </c>
      <c r="D1060" t="s">
        <v>998</v>
      </c>
      <c r="E1060" t="s">
        <v>1080</v>
      </c>
      <c r="H1060" t="s">
        <v>903</v>
      </c>
      <c r="I1060" t="s">
        <v>2084</v>
      </c>
      <c r="J1060" t="s">
        <v>2862</v>
      </c>
      <c r="K1060">
        <v>3000</v>
      </c>
      <c r="L1060" t="s">
        <v>818</v>
      </c>
    </row>
    <row r="1061" spans="1:12" ht="13.2">
      <c r="A1061" t="s">
        <v>2108</v>
      </c>
      <c r="B1061" t="b">
        <v>0</v>
      </c>
      <c r="C1061" t="s">
        <v>903</v>
      </c>
      <c r="D1061" t="s">
        <v>998</v>
      </c>
      <c r="E1061" t="s">
        <v>1080</v>
      </c>
      <c r="H1061" t="s">
        <v>903</v>
      </c>
      <c r="I1061" t="s">
        <v>2084</v>
      </c>
      <c r="J1061" t="s">
        <v>2862</v>
      </c>
      <c r="K1061">
        <v>3000</v>
      </c>
      <c r="L1061" t="s">
        <v>818</v>
      </c>
    </row>
    <row r="1062" spans="1:12" ht="13.2">
      <c r="A1062" t="s">
        <v>2109</v>
      </c>
      <c r="B1062" t="b">
        <v>0</v>
      </c>
      <c r="C1062" t="s">
        <v>903</v>
      </c>
      <c r="D1062" t="s">
        <v>998</v>
      </c>
      <c r="E1062" t="s">
        <v>1080</v>
      </c>
      <c r="H1062" t="s">
        <v>903</v>
      </c>
      <c r="I1062" t="s">
        <v>2084</v>
      </c>
      <c r="J1062" t="s">
        <v>2862</v>
      </c>
      <c r="K1062">
        <v>3000</v>
      </c>
      <c r="L1062" t="s">
        <v>818</v>
      </c>
    </row>
    <row r="1063" spans="1:12" ht="13.2">
      <c r="A1063" t="s">
        <v>2110</v>
      </c>
      <c r="B1063" t="b">
        <v>0</v>
      </c>
      <c r="C1063" t="s">
        <v>963</v>
      </c>
      <c r="D1063" t="s">
        <v>963</v>
      </c>
      <c r="E1063" t="s">
        <v>963</v>
      </c>
      <c r="H1063" t="s">
        <v>963</v>
      </c>
      <c r="I1063" t="s">
        <v>2084</v>
      </c>
      <c r="J1063" t="s">
        <v>2862</v>
      </c>
      <c r="K1063">
        <v>3000</v>
      </c>
      <c r="L1063" t="s">
        <v>818</v>
      </c>
    </row>
    <row r="1064" spans="1:12" ht="13.2">
      <c r="A1064" t="s">
        <v>2111</v>
      </c>
      <c r="B1064" t="b">
        <v>0</v>
      </c>
      <c r="H1064" t="s">
        <v>1062</v>
      </c>
      <c r="I1064" t="s">
        <v>2084</v>
      </c>
      <c r="J1064" t="s">
        <v>2862</v>
      </c>
      <c r="K1064">
        <v>3000</v>
      </c>
      <c r="L1064" t="s">
        <v>818</v>
      </c>
    </row>
    <row r="1065" spans="1:12" ht="13.2">
      <c r="A1065" t="s">
        <v>2112</v>
      </c>
      <c r="B1065" t="b">
        <v>0</v>
      </c>
      <c r="C1065" t="s">
        <v>903</v>
      </c>
      <c r="D1065" t="s">
        <v>903</v>
      </c>
      <c r="E1065" t="s">
        <v>903</v>
      </c>
      <c r="H1065" t="s">
        <v>903</v>
      </c>
      <c r="I1065" t="s">
        <v>2084</v>
      </c>
      <c r="J1065" t="s">
        <v>2862</v>
      </c>
      <c r="K1065">
        <v>3000</v>
      </c>
      <c r="L1065" t="s">
        <v>818</v>
      </c>
    </row>
    <row r="1066" spans="1:12" ht="13.2">
      <c r="A1066" t="s">
        <v>2113</v>
      </c>
      <c r="B1066" t="b">
        <v>0</v>
      </c>
      <c r="H1066" t="s">
        <v>1062</v>
      </c>
      <c r="I1066" t="s">
        <v>2084</v>
      </c>
      <c r="J1066" t="s">
        <v>2857</v>
      </c>
      <c r="L1066" t="s">
        <v>818</v>
      </c>
    </row>
    <row r="1067" spans="1:12" ht="13.2">
      <c r="A1067" t="s">
        <v>2114</v>
      </c>
      <c r="B1067" t="b">
        <v>0</v>
      </c>
      <c r="H1067" t="s">
        <v>1062</v>
      </c>
      <c r="I1067" t="s">
        <v>2084</v>
      </c>
      <c r="J1067" t="s">
        <v>2857</v>
      </c>
      <c r="L1067" t="s">
        <v>818</v>
      </c>
    </row>
    <row r="1068" spans="1:12" ht="13.2">
      <c r="A1068" t="s">
        <v>2115</v>
      </c>
      <c r="B1068" t="b">
        <v>0</v>
      </c>
      <c r="H1068" t="s">
        <v>1062</v>
      </c>
      <c r="I1068" t="s">
        <v>2084</v>
      </c>
      <c r="J1068" t="s">
        <v>2857</v>
      </c>
      <c r="L1068" t="s">
        <v>818</v>
      </c>
    </row>
    <row r="1069" spans="1:12" ht="13.2">
      <c r="A1069" t="s">
        <v>2116</v>
      </c>
      <c r="B1069" t="b">
        <v>0</v>
      </c>
      <c r="H1069" t="s">
        <v>1062</v>
      </c>
      <c r="I1069" t="s">
        <v>2084</v>
      </c>
      <c r="J1069" t="s">
        <v>2857</v>
      </c>
      <c r="L1069" t="s">
        <v>818</v>
      </c>
    </row>
    <row r="1070" spans="1:12" ht="13.2">
      <c r="A1070" t="s">
        <v>2117</v>
      </c>
      <c r="B1070" t="b">
        <v>0</v>
      </c>
      <c r="H1070" t="s">
        <v>1062</v>
      </c>
      <c r="I1070" t="s">
        <v>2084</v>
      </c>
      <c r="J1070" t="s">
        <v>2857</v>
      </c>
      <c r="L1070" t="s">
        <v>818</v>
      </c>
    </row>
    <row r="1071" spans="1:12" ht="13.2">
      <c r="A1071" t="s">
        <v>2118</v>
      </c>
      <c r="B1071" t="b">
        <v>0</v>
      </c>
      <c r="H1071" t="s">
        <v>1062</v>
      </c>
      <c r="I1071" t="s">
        <v>2084</v>
      </c>
      <c r="J1071" t="s">
        <v>2857</v>
      </c>
      <c r="L1071" t="s">
        <v>818</v>
      </c>
    </row>
    <row r="1072" spans="1:12" ht="13.2">
      <c r="A1072" t="s">
        <v>2119</v>
      </c>
      <c r="B1072" t="b">
        <v>0</v>
      </c>
      <c r="H1072" t="s">
        <v>1062</v>
      </c>
      <c r="I1072" t="s">
        <v>2084</v>
      </c>
      <c r="J1072" t="s">
        <v>2857</v>
      </c>
      <c r="L1072" t="s">
        <v>818</v>
      </c>
    </row>
    <row r="1073" spans="1:12" ht="13.2">
      <c r="A1073" t="s">
        <v>2120</v>
      </c>
      <c r="B1073" t="b">
        <v>0</v>
      </c>
      <c r="H1073" t="s">
        <v>1062</v>
      </c>
      <c r="I1073" t="s">
        <v>2084</v>
      </c>
      <c r="J1073" t="s">
        <v>2857</v>
      </c>
      <c r="L1073" t="s">
        <v>818</v>
      </c>
    </row>
    <row r="1074" spans="1:12" ht="13.2">
      <c r="A1074" t="s">
        <v>2121</v>
      </c>
      <c r="B1074" t="b">
        <v>0</v>
      </c>
      <c r="H1074" t="s">
        <v>1062</v>
      </c>
      <c r="I1074" t="s">
        <v>2084</v>
      </c>
      <c r="J1074" t="s">
        <v>2857</v>
      </c>
      <c r="L1074" t="s">
        <v>818</v>
      </c>
    </row>
    <row r="1075" spans="1:12" ht="13.2">
      <c r="A1075" t="s">
        <v>2122</v>
      </c>
      <c r="B1075" t="b">
        <v>0</v>
      </c>
      <c r="H1075" t="s">
        <v>1062</v>
      </c>
      <c r="I1075" t="s">
        <v>2084</v>
      </c>
      <c r="J1075" t="s">
        <v>2857</v>
      </c>
      <c r="L1075" t="s">
        <v>818</v>
      </c>
    </row>
    <row r="1076" spans="1:12" ht="13.2">
      <c r="A1076" t="s">
        <v>2123</v>
      </c>
      <c r="B1076" t="b">
        <v>0</v>
      </c>
      <c r="H1076" t="s">
        <v>1062</v>
      </c>
      <c r="I1076" t="s">
        <v>2084</v>
      </c>
      <c r="J1076" t="s">
        <v>2857</v>
      </c>
      <c r="L1076" t="s">
        <v>818</v>
      </c>
    </row>
    <row r="1077" spans="1:12" ht="13.2">
      <c r="A1077" t="s">
        <v>2124</v>
      </c>
      <c r="B1077" t="b">
        <v>0</v>
      </c>
      <c r="H1077" t="s">
        <v>1062</v>
      </c>
      <c r="I1077" t="s">
        <v>2084</v>
      </c>
      <c r="J1077" t="s">
        <v>2860</v>
      </c>
      <c r="L1077" t="s">
        <v>818</v>
      </c>
    </row>
    <row r="1078" spans="1:12" ht="13.2">
      <c r="A1078" t="s">
        <v>2125</v>
      </c>
      <c r="B1078" t="b">
        <v>0</v>
      </c>
      <c r="H1078" t="s">
        <v>1062</v>
      </c>
      <c r="I1078" t="s">
        <v>2084</v>
      </c>
      <c r="J1078" t="s">
        <v>2860</v>
      </c>
      <c r="L1078" t="s">
        <v>818</v>
      </c>
    </row>
    <row r="1079" spans="1:12" ht="13.2">
      <c r="A1079" t="s">
        <v>2126</v>
      </c>
      <c r="B1079" t="b">
        <v>0</v>
      </c>
      <c r="C1079" t="s">
        <v>963</v>
      </c>
      <c r="D1079" t="s">
        <v>963</v>
      </c>
      <c r="E1079" t="s">
        <v>963</v>
      </c>
      <c r="H1079" t="s">
        <v>1062</v>
      </c>
      <c r="I1079" t="s">
        <v>2084</v>
      </c>
      <c r="J1079" t="s">
        <v>2872</v>
      </c>
      <c r="L1079" t="s">
        <v>818</v>
      </c>
    </row>
    <row r="1080" spans="1:12" ht="13.2">
      <c r="A1080" t="s">
        <v>2127</v>
      </c>
      <c r="B1080" t="b">
        <v>0</v>
      </c>
      <c r="C1080" t="s">
        <v>1086</v>
      </c>
      <c r="D1080" t="s">
        <v>998</v>
      </c>
      <c r="E1080" t="s">
        <v>1086</v>
      </c>
      <c r="H1080" t="s">
        <v>1062</v>
      </c>
      <c r="I1080" t="s">
        <v>2084</v>
      </c>
      <c r="J1080" t="s">
        <v>2872</v>
      </c>
      <c r="L1080" t="s">
        <v>818</v>
      </c>
    </row>
    <row r="1081" spans="1:12" ht="13.2">
      <c r="A1081" t="s">
        <v>2128</v>
      </c>
      <c r="B1081" t="b">
        <v>0</v>
      </c>
      <c r="H1081" t="s">
        <v>1062</v>
      </c>
      <c r="I1081" t="s">
        <v>2084</v>
      </c>
      <c r="J1081" t="s">
        <v>2872</v>
      </c>
      <c r="L1081" t="s">
        <v>818</v>
      </c>
    </row>
    <row r="1082" spans="1:12" ht="13.2">
      <c r="A1082" t="s">
        <v>2129</v>
      </c>
      <c r="B1082" t="b">
        <v>0</v>
      </c>
      <c r="H1082" t="s">
        <v>1062</v>
      </c>
      <c r="I1082" t="s">
        <v>2084</v>
      </c>
      <c r="J1082" t="s">
        <v>2872</v>
      </c>
      <c r="L1082" t="s">
        <v>818</v>
      </c>
    </row>
    <row r="1083" spans="1:12" ht="13.2">
      <c r="A1083" t="s">
        <v>2130</v>
      </c>
      <c r="B1083" t="b">
        <v>0</v>
      </c>
      <c r="H1083" t="s">
        <v>1062</v>
      </c>
      <c r="I1083" t="s">
        <v>2084</v>
      </c>
      <c r="J1083" t="s">
        <v>2872</v>
      </c>
      <c r="L1083" t="s">
        <v>818</v>
      </c>
    </row>
    <row r="1084" spans="1:12" ht="13.2">
      <c r="A1084" t="s">
        <v>2131</v>
      </c>
      <c r="B1084" t="b">
        <v>0</v>
      </c>
      <c r="H1084" t="s">
        <v>1062</v>
      </c>
      <c r="I1084" t="s">
        <v>2084</v>
      </c>
      <c r="J1084" t="s">
        <v>2872</v>
      </c>
      <c r="L1084" t="s">
        <v>818</v>
      </c>
    </row>
    <row r="1085" spans="1:12" ht="13.2">
      <c r="A1085" t="s">
        <v>2132</v>
      </c>
      <c r="B1085" t="b">
        <v>0</v>
      </c>
      <c r="C1085" t="s">
        <v>903</v>
      </c>
      <c r="D1085" t="s">
        <v>998</v>
      </c>
      <c r="E1085" t="s">
        <v>1080</v>
      </c>
      <c r="H1085" t="s">
        <v>1062</v>
      </c>
      <c r="I1085" t="s">
        <v>2084</v>
      </c>
      <c r="J1085" t="s">
        <v>2872</v>
      </c>
      <c r="L1085" t="s">
        <v>818</v>
      </c>
    </row>
    <row r="1086" spans="1:12" ht="13.2">
      <c r="A1086" t="s">
        <v>2133</v>
      </c>
      <c r="B1086" t="b">
        <v>0</v>
      </c>
      <c r="C1086" t="s">
        <v>903</v>
      </c>
      <c r="D1086" t="s">
        <v>998</v>
      </c>
      <c r="E1086" t="s">
        <v>1080</v>
      </c>
      <c r="H1086" t="s">
        <v>1062</v>
      </c>
      <c r="I1086" t="s">
        <v>2084</v>
      </c>
      <c r="J1086" t="s">
        <v>2872</v>
      </c>
      <c r="L1086" t="s">
        <v>818</v>
      </c>
    </row>
    <row r="1087" spans="1:12" ht="13.2">
      <c r="A1087" t="s">
        <v>2134</v>
      </c>
      <c r="B1087" t="b">
        <v>0</v>
      </c>
      <c r="C1087" t="s">
        <v>903</v>
      </c>
      <c r="D1087" t="s">
        <v>998</v>
      </c>
      <c r="E1087" t="s">
        <v>1080</v>
      </c>
      <c r="H1087" t="s">
        <v>1062</v>
      </c>
      <c r="I1087" t="s">
        <v>2084</v>
      </c>
      <c r="J1087" t="s">
        <v>2872</v>
      </c>
      <c r="L1087" t="s">
        <v>818</v>
      </c>
    </row>
    <row r="1088" spans="1:12" ht="13.2">
      <c r="A1088" t="s">
        <v>2135</v>
      </c>
      <c r="B1088" t="b">
        <v>0</v>
      </c>
      <c r="C1088" t="s">
        <v>903</v>
      </c>
      <c r="D1088" t="s">
        <v>998</v>
      </c>
      <c r="E1088" t="s">
        <v>1080</v>
      </c>
      <c r="H1088" t="s">
        <v>1062</v>
      </c>
      <c r="I1088" t="s">
        <v>2084</v>
      </c>
      <c r="J1088" t="s">
        <v>2872</v>
      </c>
      <c r="L1088" t="s">
        <v>818</v>
      </c>
    </row>
    <row r="1089" spans="1:12" ht="13.2">
      <c r="A1089" t="s">
        <v>2136</v>
      </c>
      <c r="B1089" t="b">
        <v>0</v>
      </c>
      <c r="C1089" t="s">
        <v>903</v>
      </c>
      <c r="D1089" t="s">
        <v>998</v>
      </c>
      <c r="E1089" t="s">
        <v>1080</v>
      </c>
      <c r="H1089" t="s">
        <v>1062</v>
      </c>
      <c r="I1089" t="s">
        <v>2084</v>
      </c>
      <c r="J1089" t="s">
        <v>2872</v>
      </c>
      <c r="L1089" t="s">
        <v>818</v>
      </c>
    </row>
    <row r="1090" spans="1:12" ht="13.2">
      <c r="A1090" t="s">
        <v>2137</v>
      </c>
      <c r="B1090" t="b">
        <v>0</v>
      </c>
      <c r="C1090" t="s">
        <v>903</v>
      </c>
      <c r="D1090" t="s">
        <v>998</v>
      </c>
      <c r="E1090" t="s">
        <v>1080</v>
      </c>
      <c r="H1090" t="s">
        <v>1062</v>
      </c>
      <c r="I1090" t="s">
        <v>2084</v>
      </c>
      <c r="J1090" t="s">
        <v>2872</v>
      </c>
      <c r="L1090" t="s">
        <v>818</v>
      </c>
    </row>
    <row r="1091" spans="1:12" ht="13.2">
      <c r="A1091" t="s">
        <v>2138</v>
      </c>
      <c r="B1091" t="b">
        <v>0</v>
      </c>
      <c r="H1091" t="s">
        <v>1062</v>
      </c>
      <c r="I1091" t="s">
        <v>2084</v>
      </c>
      <c r="J1091" t="s">
        <v>2872</v>
      </c>
      <c r="L1091" t="s">
        <v>818</v>
      </c>
    </row>
    <row r="1092" spans="1:12" ht="13.2">
      <c r="A1092" t="s">
        <v>2139</v>
      </c>
      <c r="B1092" t="b">
        <v>0</v>
      </c>
      <c r="H1092" t="s">
        <v>1062</v>
      </c>
      <c r="I1092" t="s">
        <v>2084</v>
      </c>
      <c r="J1092" t="s">
        <v>2872</v>
      </c>
      <c r="L1092" t="s">
        <v>818</v>
      </c>
    </row>
    <row r="1093" spans="1:12" ht="13.2">
      <c r="A1093" t="s">
        <v>2140</v>
      </c>
      <c r="B1093" t="b">
        <v>0</v>
      </c>
      <c r="H1093" t="s">
        <v>1062</v>
      </c>
      <c r="I1093" t="s">
        <v>2084</v>
      </c>
      <c r="J1093" t="s">
        <v>2872</v>
      </c>
      <c r="L1093" t="s">
        <v>818</v>
      </c>
    </row>
    <row r="1094" spans="1:12" ht="13.2">
      <c r="A1094" t="s">
        <v>2141</v>
      </c>
      <c r="B1094" t="b">
        <v>0</v>
      </c>
      <c r="C1094" t="s">
        <v>1108</v>
      </c>
      <c r="D1094" t="s">
        <v>1026</v>
      </c>
      <c r="E1094" t="s">
        <v>1108</v>
      </c>
      <c r="H1094" t="s">
        <v>1062</v>
      </c>
      <c r="I1094" t="s">
        <v>2084</v>
      </c>
      <c r="J1094" t="s">
        <v>2872</v>
      </c>
      <c r="L1094" t="s">
        <v>818</v>
      </c>
    </row>
    <row r="1095" spans="1:12" ht="13.2">
      <c r="A1095" t="s">
        <v>2142</v>
      </c>
      <c r="B1095" t="b">
        <v>0</v>
      </c>
      <c r="H1095" t="s">
        <v>1062</v>
      </c>
      <c r="I1095" t="s">
        <v>2084</v>
      </c>
      <c r="J1095" t="s">
        <v>2872</v>
      </c>
      <c r="L1095" t="s">
        <v>818</v>
      </c>
    </row>
    <row r="1096" spans="1:12" ht="13.2">
      <c r="A1096" t="s">
        <v>2143</v>
      </c>
      <c r="B1096" t="b">
        <v>0</v>
      </c>
      <c r="H1096" t="s">
        <v>1062</v>
      </c>
      <c r="I1096" t="s">
        <v>2084</v>
      </c>
      <c r="J1096" t="s">
        <v>2872</v>
      </c>
      <c r="L1096" t="s">
        <v>818</v>
      </c>
    </row>
    <row r="1097" spans="1:12" ht="13.2">
      <c r="A1097" t="s">
        <v>2144</v>
      </c>
      <c r="B1097" t="b">
        <v>0</v>
      </c>
      <c r="H1097" t="s">
        <v>1062</v>
      </c>
      <c r="I1097" t="s">
        <v>2084</v>
      </c>
      <c r="J1097" t="s">
        <v>2872</v>
      </c>
      <c r="L1097" t="s">
        <v>818</v>
      </c>
    </row>
    <row r="1098" spans="1:12" ht="13.2">
      <c r="A1098" t="s">
        <v>2145</v>
      </c>
      <c r="B1098" t="b">
        <v>0</v>
      </c>
      <c r="H1098" t="s">
        <v>1062</v>
      </c>
      <c r="I1098" t="s">
        <v>2084</v>
      </c>
      <c r="J1098" t="s">
        <v>2872</v>
      </c>
      <c r="L1098" t="s">
        <v>818</v>
      </c>
    </row>
    <row r="1099" spans="1:12" ht="13.2">
      <c r="A1099" t="s">
        <v>2146</v>
      </c>
      <c r="B1099" t="b">
        <v>0</v>
      </c>
      <c r="C1099" t="s">
        <v>1086</v>
      </c>
      <c r="H1099" t="s">
        <v>1062</v>
      </c>
      <c r="I1099" t="s">
        <v>2084</v>
      </c>
      <c r="J1099" t="s">
        <v>2872</v>
      </c>
      <c r="L1099" t="s">
        <v>818</v>
      </c>
    </row>
    <row r="1100" spans="1:12" ht="13.2">
      <c r="A1100" t="s">
        <v>2147</v>
      </c>
      <c r="B1100" t="b">
        <v>0</v>
      </c>
      <c r="H1100" t="s">
        <v>1062</v>
      </c>
      <c r="I1100" t="s">
        <v>2084</v>
      </c>
      <c r="J1100" t="s">
        <v>2872</v>
      </c>
      <c r="L1100" t="s">
        <v>818</v>
      </c>
    </row>
    <row r="1101" spans="1:12" ht="13.2">
      <c r="A1101" t="s">
        <v>2148</v>
      </c>
      <c r="B1101" t="b">
        <v>0</v>
      </c>
      <c r="C1101" t="s">
        <v>903</v>
      </c>
      <c r="D1101" t="s">
        <v>903</v>
      </c>
      <c r="E1101" t="s">
        <v>903</v>
      </c>
      <c r="H1101" t="s">
        <v>1062</v>
      </c>
      <c r="I1101" t="s">
        <v>2084</v>
      </c>
      <c r="J1101" t="s">
        <v>2872</v>
      </c>
      <c r="L1101" t="s">
        <v>818</v>
      </c>
    </row>
    <row r="1102" spans="1:12" ht="13.2">
      <c r="A1102" t="s">
        <v>2149</v>
      </c>
      <c r="B1102" t="b">
        <v>0</v>
      </c>
      <c r="C1102" t="s">
        <v>1086</v>
      </c>
      <c r="H1102" t="s">
        <v>1062</v>
      </c>
      <c r="I1102" t="s">
        <v>2084</v>
      </c>
      <c r="J1102" t="s">
        <v>2872</v>
      </c>
      <c r="L1102" t="s">
        <v>818</v>
      </c>
    </row>
    <row r="1103" spans="1:12" ht="13.2">
      <c r="A1103" t="s">
        <v>2150</v>
      </c>
      <c r="B1103" t="b">
        <v>0</v>
      </c>
      <c r="H1103" t="s">
        <v>1062</v>
      </c>
      <c r="I1103" t="s">
        <v>2084</v>
      </c>
      <c r="J1103" t="s">
        <v>2872</v>
      </c>
      <c r="L1103" t="s">
        <v>818</v>
      </c>
    </row>
    <row r="1104" spans="1:12" ht="13.2">
      <c r="A1104" t="s">
        <v>2151</v>
      </c>
      <c r="B1104" t="b">
        <v>0</v>
      </c>
      <c r="H1104" t="s">
        <v>1062</v>
      </c>
      <c r="I1104" t="s">
        <v>2084</v>
      </c>
      <c r="J1104" t="s">
        <v>2860</v>
      </c>
      <c r="L1104" t="s">
        <v>818</v>
      </c>
    </row>
    <row r="1105" spans="1:12" ht="13.2">
      <c r="A1105" t="s">
        <v>2152</v>
      </c>
      <c r="B1105" t="b">
        <v>0</v>
      </c>
      <c r="H1105" t="s">
        <v>1062</v>
      </c>
      <c r="I1105" t="s">
        <v>2084</v>
      </c>
      <c r="J1105" t="s">
        <v>2860</v>
      </c>
      <c r="L1105" t="s">
        <v>818</v>
      </c>
    </row>
    <row r="1106" spans="1:12" ht="13.2">
      <c r="A1106" t="s">
        <v>2153</v>
      </c>
      <c r="B1106" t="b">
        <v>0</v>
      </c>
      <c r="H1106" t="s">
        <v>1062</v>
      </c>
      <c r="I1106" t="s">
        <v>2084</v>
      </c>
      <c r="J1106" t="s">
        <v>2860</v>
      </c>
      <c r="L1106" t="s">
        <v>818</v>
      </c>
    </row>
    <row r="1107" spans="1:12" ht="13.2">
      <c r="A1107" t="s">
        <v>2154</v>
      </c>
      <c r="B1107" t="b">
        <v>0</v>
      </c>
      <c r="H1107" t="s">
        <v>1062</v>
      </c>
      <c r="I1107" t="s">
        <v>2084</v>
      </c>
      <c r="J1107" t="s">
        <v>2860</v>
      </c>
      <c r="L1107" t="s">
        <v>818</v>
      </c>
    </row>
    <row r="1108" spans="1:12" ht="13.2">
      <c r="A1108" t="s">
        <v>2155</v>
      </c>
      <c r="B1108" t="b">
        <v>0</v>
      </c>
      <c r="H1108" t="s">
        <v>1062</v>
      </c>
      <c r="I1108" t="s">
        <v>2084</v>
      </c>
      <c r="J1108" t="s">
        <v>2860</v>
      </c>
      <c r="L1108" t="s">
        <v>818</v>
      </c>
    </row>
    <row r="1109" spans="1:12" ht="13.2">
      <c r="A1109" t="s">
        <v>2156</v>
      </c>
      <c r="B1109" t="b">
        <v>0</v>
      </c>
      <c r="H1109" t="s">
        <v>1062</v>
      </c>
      <c r="I1109" t="s">
        <v>2084</v>
      </c>
      <c r="J1109" t="s">
        <v>2860</v>
      </c>
      <c r="L1109" t="s">
        <v>818</v>
      </c>
    </row>
    <row r="1110" spans="1:12" ht="13.2">
      <c r="A1110" t="s">
        <v>2157</v>
      </c>
      <c r="B1110" t="b">
        <v>0</v>
      </c>
      <c r="H1110" t="s">
        <v>1062</v>
      </c>
      <c r="I1110" t="s">
        <v>2084</v>
      </c>
      <c r="J1110" t="s">
        <v>2860</v>
      </c>
      <c r="L1110" t="s">
        <v>818</v>
      </c>
    </row>
    <row r="1111" spans="1:12" ht="13.2">
      <c r="A1111" t="s">
        <v>2158</v>
      </c>
      <c r="B1111" t="b">
        <v>0</v>
      </c>
      <c r="H1111" t="s">
        <v>1062</v>
      </c>
      <c r="I1111" t="s">
        <v>2084</v>
      </c>
      <c r="J1111" t="s">
        <v>2872</v>
      </c>
      <c r="L1111" t="s">
        <v>818</v>
      </c>
    </row>
    <row r="1112" spans="1:12" ht="13.2">
      <c r="A1112" t="s">
        <v>2159</v>
      </c>
      <c r="B1112" t="b">
        <v>0</v>
      </c>
      <c r="H1112" t="s">
        <v>1062</v>
      </c>
      <c r="I1112" t="s">
        <v>2084</v>
      </c>
      <c r="J1112" t="s">
        <v>2872</v>
      </c>
      <c r="L1112" t="s">
        <v>818</v>
      </c>
    </row>
    <row r="1113" spans="1:12" ht="13.2">
      <c r="A1113" t="s">
        <v>2160</v>
      </c>
      <c r="B1113" t="b">
        <v>0</v>
      </c>
      <c r="H1113" t="s">
        <v>1062</v>
      </c>
      <c r="I1113" t="s">
        <v>2084</v>
      </c>
      <c r="J1113" t="s">
        <v>2872</v>
      </c>
      <c r="L1113" t="s">
        <v>818</v>
      </c>
    </row>
    <row r="1114" spans="1:12" ht="13.2">
      <c r="A1114" t="s">
        <v>2161</v>
      </c>
      <c r="B1114" t="b">
        <v>0</v>
      </c>
      <c r="H1114" t="s">
        <v>1062</v>
      </c>
      <c r="I1114" t="s">
        <v>2084</v>
      </c>
      <c r="J1114" t="s">
        <v>2872</v>
      </c>
      <c r="L1114" t="s">
        <v>818</v>
      </c>
    </row>
    <row r="1115" spans="1:12" ht="13.2">
      <c r="A1115" t="s">
        <v>2162</v>
      </c>
      <c r="B1115" t="b">
        <v>0</v>
      </c>
      <c r="H1115" t="s">
        <v>1062</v>
      </c>
      <c r="I1115" t="s">
        <v>2084</v>
      </c>
      <c r="J1115" t="s">
        <v>2872</v>
      </c>
      <c r="L1115" t="s">
        <v>818</v>
      </c>
    </row>
    <row r="1116" spans="1:12" ht="13.2">
      <c r="A1116" t="s">
        <v>2163</v>
      </c>
      <c r="B1116" t="b">
        <v>0</v>
      </c>
      <c r="H1116" t="s">
        <v>1062</v>
      </c>
      <c r="I1116" t="s">
        <v>2084</v>
      </c>
      <c r="J1116" t="s">
        <v>2872</v>
      </c>
      <c r="L1116" t="s">
        <v>818</v>
      </c>
    </row>
    <row r="1117" spans="1:12" ht="13.2">
      <c r="A1117" t="s">
        <v>2164</v>
      </c>
      <c r="B1117" t="b">
        <v>0</v>
      </c>
      <c r="H1117" t="s">
        <v>1062</v>
      </c>
      <c r="I1117" t="s">
        <v>2084</v>
      </c>
      <c r="J1117" t="s">
        <v>2872</v>
      </c>
      <c r="L1117" t="s">
        <v>818</v>
      </c>
    </row>
    <row r="1118" spans="1:12" ht="13.2">
      <c r="A1118" t="s">
        <v>2165</v>
      </c>
      <c r="B1118" t="b">
        <v>0</v>
      </c>
      <c r="H1118" t="s">
        <v>1062</v>
      </c>
      <c r="I1118" t="s">
        <v>2084</v>
      </c>
      <c r="J1118" t="s">
        <v>2872</v>
      </c>
      <c r="L1118" t="s">
        <v>818</v>
      </c>
    </row>
    <row r="1119" spans="1:12" ht="13.2">
      <c r="A1119" t="s">
        <v>2166</v>
      </c>
      <c r="B1119" t="b">
        <v>0</v>
      </c>
      <c r="H1119" t="s">
        <v>1062</v>
      </c>
      <c r="I1119" t="s">
        <v>2084</v>
      </c>
      <c r="J1119" t="s">
        <v>2872</v>
      </c>
      <c r="L1119" t="s">
        <v>818</v>
      </c>
    </row>
    <row r="1120" spans="1:12" ht="13.2">
      <c r="A1120" t="s">
        <v>2167</v>
      </c>
      <c r="B1120" t="b">
        <v>0</v>
      </c>
      <c r="H1120" t="s">
        <v>1062</v>
      </c>
      <c r="I1120" t="s">
        <v>2084</v>
      </c>
      <c r="J1120" t="s">
        <v>2872</v>
      </c>
      <c r="L1120" t="s">
        <v>818</v>
      </c>
    </row>
    <row r="1121" spans="1:12" ht="13.2">
      <c r="A1121" t="s">
        <v>2168</v>
      </c>
      <c r="B1121" t="b">
        <v>0</v>
      </c>
      <c r="H1121" t="s">
        <v>1062</v>
      </c>
      <c r="I1121" t="s">
        <v>2084</v>
      </c>
      <c r="J1121" t="s">
        <v>2872</v>
      </c>
      <c r="L1121" t="s">
        <v>818</v>
      </c>
    </row>
    <row r="1122" spans="1:12" ht="13.2">
      <c r="A1122" t="s">
        <v>2169</v>
      </c>
      <c r="B1122" t="b">
        <v>0</v>
      </c>
      <c r="H1122" t="s">
        <v>1062</v>
      </c>
      <c r="I1122" t="s">
        <v>2084</v>
      </c>
      <c r="J1122" t="s">
        <v>2872</v>
      </c>
      <c r="L1122" t="s">
        <v>818</v>
      </c>
    </row>
    <row r="1123" spans="1:12" ht="13.2">
      <c r="A1123" t="s">
        <v>2170</v>
      </c>
      <c r="B1123" t="b">
        <v>0</v>
      </c>
      <c r="H1123" t="s">
        <v>1062</v>
      </c>
      <c r="I1123" t="s">
        <v>2084</v>
      </c>
      <c r="J1123" t="s">
        <v>2872</v>
      </c>
      <c r="L1123" t="s">
        <v>818</v>
      </c>
    </row>
    <row r="1124" spans="1:12" ht="13.2">
      <c r="A1124" t="s">
        <v>2171</v>
      </c>
      <c r="B1124" t="b">
        <v>0</v>
      </c>
      <c r="H1124" t="s">
        <v>1062</v>
      </c>
      <c r="I1124" t="s">
        <v>2084</v>
      </c>
      <c r="J1124" t="s">
        <v>2872</v>
      </c>
      <c r="L1124" t="s">
        <v>818</v>
      </c>
    </row>
    <row r="1125" spans="1:12" ht="13.2">
      <c r="A1125" t="s">
        <v>2172</v>
      </c>
      <c r="B1125" t="b">
        <v>0</v>
      </c>
      <c r="H1125" t="s">
        <v>1062</v>
      </c>
      <c r="I1125" t="s">
        <v>2084</v>
      </c>
      <c r="J1125" t="s">
        <v>2872</v>
      </c>
      <c r="L1125" t="s">
        <v>818</v>
      </c>
    </row>
    <row r="1126" spans="1:12" ht="13.2">
      <c r="A1126" t="s">
        <v>2173</v>
      </c>
      <c r="B1126" t="b">
        <v>0</v>
      </c>
      <c r="H1126" t="s">
        <v>1062</v>
      </c>
      <c r="I1126" t="s">
        <v>2084</v>
      </c>
      <c r="J1126" t="s">
        <v>2872</v>
      </c>
      <c r="L1126" t="s">
        <v>818</v>
      </c>
    </row>
    <row r="1127" spans="1:12" ht="13.2">
      <c r="A1127" t="s">
        <v>2174</v>
      </c>
      <c r="B1127" t="b">
        <v>0</v>
      </c>
      <c r="H1127" t="s">
        <v>1062</v>
      </c>
      <c r="I1127" t="s">
        <v>2084</v>
      </c>
      <c r="J1127" t="s">
        <v>2872</v>
      </c>
      <c r="L1127" t="s">
        <v>818</v>
      </c>
    </row>
    <row r="1128" spans="1:12" ht="13.2">
      <c r="A1128" t="s">
        <v>2175</v>
      </c>
      <c r="B1128" t="b">
        <v>0</v>
      </c>
      <c r="H1128" t="s">
        <v>1062</v>
      </c>
      <c r="I1128" t="s">
        <v>2084</v>
      </c>
      <c r="J1128" t="s">
        <v>2872</v>
      </c>
      <c r="L1128" t="s">
        <v>818</v>
      </c>
    </row>
    <row r="1129" spans="1:12" ht="13.2">
      <c r="A1129" t="s">
        <v>2176</v>
      </c>
      <c r="B1129" t="b">
        <v>0</v>
      </c>
      <c r="H1129" t="s">
        <v>1062</v>
      </c>
      <c r="I1129" t="s">
        <v>2084</v>
      </c>
      <c r="J1129" t="s">
        <v>2872</v>
      </c>
      <c r="L1129" t="s">
        <v>818</v>
      </c>
    </row>
    <row r="1130" spans="1:12" ht="13.2">
      <c r="A1130" t="s">
        <v>2177</v>
      </c>
      <c r="B1130" t="b">
        <v>0</v>
      </c>
      <c r="H1130" t="s">
        <v>1062</v>
      </c>
      <c r="I1130" t="s">
        <v>2084</v>
      </c>
      <c r="J1130" t="s">
        <v>2872</v>
      </c>
      <c r="L1130" t="s">
        <v>818</v>
      </c>
    </row>
    <row r="1131" spans="1:12" ht="13.2">
      <c r="A1131" t="s">
        <v>2178</v>
      </c>
      <c r="B1131" t="b">
        <v>0</v>
      </c>
      <c r="H1131" t="s">
        <v>1062</v>
      </c>
      <c r="I1131" t="s">
        <v>2084</v>
      </c>
      <c r="J1131" t="s">
        <v>2872</v>
      </c>
      <c r="L1131" t="s">
        <v>818</v>
      </c>
    </row>
    <row r="1132" spans="1:12" ht="13.2">
      <c r="A1132" t="s">
        <v>2179</v>
      </c>
      <c r="B1132" t="b">
        <v>0</v>
      </c>
      <c r="H1132" t="s">
        <v>1062</v>
      </c>
      <c r="I1132" t="s">
        <v>2084</v>
      </c>
      <c r="J1132" t="s">
        <v>2872</v>
      </c>
      <c r="L1132" t="s">
        <v>818</v>
      </c>
    </row>
    <row r="1133" spans="1:12" ht="13.2">
      <c r="A1133" t="s">
        <v>2180</v>
      </c>
      <c r="B1133" t="b">
        <v>0</v>
      </c>
      <c r="H1133" t="s">
        <v>1062</v>
      </c>
      <c r="I1133" t="s">
        <v>2084</v>
      </c>
      <c r="J1133" t="s">
        <v>2872</v>
      </c>
      <c r="L1133" t="s">
        <v>818</v>
      </c>
    </row>
    <row r="1134" spans="1:12" ht="13.2">
      <c r="A1134" t="s">
        <v>2181</v>
      </c>
      <c r="B1134" t="b">
        <v>0</v>
      </c>
      <c r="H1134" t="s">
        <v>1062</v>
      </c>
      <c r="I1134" t="s">
        <v>2084</v>
      </c>
      <c r="J1134" t="s">
        <v>2872</v>
      </c>
      <c r="L1134" t="s">
        <v>818</v>
      </c>
    </row>
    <row r="1135" spans="1:12" ht="13.2">
      <c r="A1135" t="s">
        <v>2182</v>
      </c>
      <c r="B1135" t="b">
        <v>0</v>
      </c>
      <c r="H1135" t="s">
        <v>1062</v>
      </c>
      <c r="I1135" t="s">
        <v>2084</v>
      </c>
      <c r="J1135" t="s">
        <v>2872</v>
      </c>
      <c r="L1135" t="s">
        <v>818</v>
      </c>
    </row>
    <row r="1136" spans="1:12" ht="13.2">
      <c r="A1136" t="s">
        <v>2183</v>
      </c>
      <c r="B1136" t="b">
        <v>0</v>
      </c>
      <c r="H1136" t="s">
        <v>1062</v>
      </c>
      <c r="I1136" t="s">
        <v>2084</v>
      </c>
      <c r="J1136" t="s">
        <v>2872</v>
      </c>
      <c r="L1136" t="s">
        <v>818</v>
      </c>
    </row>
    <row r="1137" spans="1:12" ht="13.2">
      <c r="A1137" t="s">
        <v>2184</v>
      </c>
      <c r="B1137" t="b">
        <v>0</v>
      </c>
      <c r="H1137" t="s">
        <v>1062</v>
      </c>
      <c r="I1137" t="s">
        <v>2084</v>
      </c>
      <c r="J1137" t="s">
        <v>2872</v>
      </c>
      <c r="L1137" t="s">
        <v>818</v>
      </c>
    </row>
    <row r="1138" spans="1:12" ht="13.2">
      <c r="A1138" t="s">
        <v>2185</v>
      </c>
      <c r="B1138" t="b">
        <v>0</v>
      </c>
      <c r="H1138" t="s">
        <v>1062</v>
      </c>
      <c r="I1138" t="s">
        <v>2084</v>
      </c>
      <c r="J1138" t="s">
        <v>2872</v>
      </c>
      <c r="L1138" t="s">
        <v>818</v>
      </c>
    </row>
    <row r="1139" spans="1:12" ht="13.2">
      <c r="A1139" t="s">
        <v>2186</v>
      </c>
      <c r="B1139" t="b">
        <v>0</v>
      </c>
      <c r="H1139" t="s">
        <v>1062</v>
      </c>
      <c r="I1139" t="s">
        <v>2084</v>
      </c>
      <c r="J1139" t="s">
        <v>2872</v>
      </c>
      <c r="L1139" t="s">
        <v>818</v>
      </c>
    </row>
    <row r="1140" spans="1:12" ht="13.2">
      <c r="A1140" t="s">
        <v>2187</v>
      </c>
      <c r="B1140" t="b">
        <v>0</v>
      </c>
      <c r="H1140" t="s">
        <v>1062</v>
      </c>
      <c r="I1140" t="s">
        <v>2084</v>
      </c>
      <c r="J1140" t="s">
        <v>2872</v>
      </c>
      <c r="L1140" t="s">
        <v>818</v>
      </c>
    </row>
    <row r="1141" spans="1:12" ht="13.2">
      <c r="A1141" t="s">
        <v>2188</v>
      </c>
      <c r="B1141" t="b">
        <v>0</v>
      </c>
      <c r="H1141" t="s">
        <v>1062</v>
      </c>
      <c r="I1141" t="s">
        <v>2084</v>
      </c>
      <c r="J1141" t="s">
        <v>2872</v>
      </c>
      <c r="L1141" t="s">
        <v>818</v>
      </c>
    </row>
    <row r="1142" spans="1:12" ht="13.2">
      <c r="A1142" t="s">
        <v>2189</v>
      </c>
      <c r="B1142" t="b">
        <v>0</v>
      </c>
      <c r="H1142" t="s">
        <v>1062</v>
      </c>
      <c r="I1142" t="s">
        <v>2084</v>
      </c>
      <c r="J1142" t="s">
        <v>2872</v>
      </c>
      <c r="L1142" t="s">
        <v>818</v>
      </c>
    </row>
    <row r="1143" spans="1:12" ht="13.2">
      <c r="A1143" t="s">
        <v>2190</v>
      </c>
      <c r="B1143" t="b">
        <v>0</v>
      </c>
      <c r="H1143" t="s">
        <v>1062</v>
      </c>
      <c r="I1143" t="s">
        <v>2084</v>
      </c>
      <c r="J1143" t="s">
        <v>2872</v>
      </c>
      <c r="L1143" t="s">
        <v>818</v>
      </c>
    </row>
    <row r="1144" spans="1:12" ht="13.2">
      <c r="A1144" t="s">
        <v>2191</v>
      </c>
      <c r="B1144" t="b">
        <v>0</v>
      </c>
      <c r="H1144" t="s">
        <v>1062</v>
      </c>
      <c r="I1144" t="s">
        <v>2084</v>
      </c>
      <c r="J1144" t="s">
        <v>2872</v>
      </c>
      <c r="L1144" t="s">
        <v>818</v>
      </c>
    </row>
    <row r="1145" spans="1:12" ht="13.2">
      <c r="A1145" t="s">
        <v>2192</v>
      </c>
      <c r="B1145" t="b">
        <v>0</v>
      </c>
      <c r="H1145" t="s">
        <v>1062</v>
      </c>
      <c r="I1145" t="s">
        <v>2084</v>
      </c>
      <c r="J1145" t="s">
        <v>2872</v>
      </c>
      <c r="L1145" t="s">
        <v>818</v>
      </c>
    </row>
    <row r="1146" spans="1:12" ht="13.2">
      <c r="A1146" t="s">
        <v>2193</v>
      </c>
      <c r="B1146" t="b">
        <v>0</v>
      </c>
      <c r="H1146" t="s">
        <v>1062</v>
      </c>
      <c r="I1146" t="s">
        <v>2084</v>
      </c>
      <c r="J1146" t="s">
        <v>2872</v>
      </c>
      <c r="L1146" t="s">
        <v>818</v>
      </c>
    </row>
    <row r="1147" spans="1:12" ht="13.2">
      <c r="A1147" t="s">
        <v>2194</v>
      </c>
      <c r="B1147" t="b">
        <v>0</v>
      </c>
      <c r="H1147" t="s">
        <v>1062</v>
      </c>
      <c r="I1147" t="s">
        <v>2084</v>
      </c>
      <c r="J1147" t="s">
        <v>2872</v>
      </c>
      <c r="L1147" t="s">
        <v>818</v>
      </c>
    </row>
    <row r="1148" spans="1:12" ht="13.2">
      <c r="A1148" t="s">
        <v>2195</v>
      </c>
      <c r="B1148" t="b">
        <v>0</v>
      </c>
      <c r="H1148" t="s">
        <v>1062</v>
      </c>
      <c r="I1148" t="s">
        <v>2084</v>
      </c>
      <c r="J1148" t="s">
        <v>2872</v>
      </c>
      <c r="L1148" t="s">
        <v>818</v>
      </c>
    </row>
    <row r="1149" spans="1:12" ht="13.2">
      <c r="A1149" t="s">
        <v>2196</v>
      </c>
      <c r="B1149" t="b">
        <v>0</v>
      </c>
      <c r="H1149" t="s">
        <v>1062</v>
      </c>
      <c r="I1149" t="s">
        <v>2084</v>
      </c>
      <c r="J1149" t="s">
        <v>2872</v>
      </c>
      <c r="L1149" t="s">
        <v>818</v>
      </c>
    </row>
    <row r="1150" spans="1:12" ht="13.2">
      <c r="A1150" t="s">
        <v>2197</v>
      </c>
      <c r="B1150" t="b">
        <v>0</v>
      </c>
      <c r="H1150" t="s">
        <v>1062</v>
      </c>
      <c r="I1150" t="s">
        <v>2084</v>
      </c>
      <c r="J1150" t="s">
        <v>2872</v>
      </c>
      <c r="L1150" t="s">
        <v>818</v>
      </c>
    </row>
    <row r="1151" spans="1:12" ht="13.2">
      <c r="A1151" t="s">
        <v>2198</v>
      </c>
      <c r="B1151" t="b">
        <v>0</v>
      </c>
      <c r="H1151" t="s">
        <v>1062</v>
      </c>
      <c r="I1151" t="s">
        <v>2084</v>
      </c>
      <c r="J1151" t="s">
        <v>2872</v>
      </c>
      <c r="L1151" t="s">
        <v>818</v>
      </c>
    </row>
    <row r="1152" spans="1:12" ht="13.2">
      <c r="A1152" t="s">
        <v>2199</v>
      </c>
      <c r="B1152" t="b">
        <v>0</v>
      </c>
      <c r="H1152" t="s">
        <v>1062</v>
      </c>
      <c r="I1152" t="s">
        <v>2084</v>
      </c>
      <c r="J1152" t="s">
        <v>2872</v>
      </c>
      <c r="L1152" t="s">
        <v>818</v>
      </c>
    </row>
    <row r="1153" spans="1:12" ht="13.2">
      <c r="A1153" t="s">
        <v>2200</v>
      </c>
      <c r="B1153" t="b">
        <v>0</v>
      </c>
      <c r="H1153" t="s">
        <v>1062</v>
      </c>
      <c r="I1153" t="s">
        <v>2084</v>
      </c>
      <c r="J1153" t="s">
        <v>2872</v>
      </c>
      <c r="L1153" t="s">
        <v>818</v>
      </c>
    </row>
    <row r="1154" spans="1:12" ht="13.2">
      <c r="A1154" t="s">
        <v>2201</v>
      </c>
      <c r="B1154" t="b">
        <v>0</v>
      </c>
      <c r="H1154" t="s">
        <v>1062</v>
      </c>
      <c r="I1154" t="s">
        <v>2084</v>
      </c>
      <c r="J1154" t="s">
        <v>2872</v>
      </c>
      <c r="L1154" t="s">
        <v>818</v>
      </c>
    </row>
    <row r="1155" spans="1:12" ht="13.2">
      <c r="A1155" t="s">
        <v>2202</v>
      </c>
      <c r="B1155" t="b">
        <v>0</v>
      </c>
      <c r="H1155" t="s">
        <v>1062</v>
      </c>
      <c r="I1155" t="s">
        <v>2084</v>
      </c>
      <c r="J1155" t="s">
        <v>2872</v>
      </c>
      <c r="L1155" t="s">
        <v>818</v>
      </c>
    </row>
    <row r="1156" spans="1:12" ht="13.2">
      <c r="A1156" t="s">
        <v>2203</v>
      </c>
      <c r="B1156" t="b">
        <v>0</v>
      </c>
      <c r="H1156" t="s">
        <v>1062</v>
      </c>
      <c r="I1156" t="s">
        <v>2084</v>
      </c>
      <c r="J1156" t="s">
        <v>2872</v>
      </c>
      <c r="L1156" t="s">
        <v>818</v>
      </c>
    </row>
    <row r="1157" spans="1:12" ht="13.2">
      <c r="A1157" t="s">
        <v>2204</v>
      </c>
      <c r="B1157" t="b">
        <v>0</v>
      </c>
      <c r="H1157" t="s">
        <v>1062</v>
      </c>
      <c r="I1157" t="s">
        <v>2084</v>
      </c>
      <c r="J1157" t="s">
        <v>2872</v>
      </c>
      <c r="L1157" t="s">
        <v>818</v>
      </c>
    </row>
    <row r="1158" spans="1:12" ht="13.2">
      <c r="A1158" t="s">
        <v>2205</v>
      </c>
      <c r="B1158" t="b">
        <v>0</v>
      </c>
      <c r="H1158" t="s">
        <v>1062</v>
      </c>
      <c r="I1158" t="s">
        <v>2084</v>
      </c>
      <c r="J1158" t="s">
        <v>2872</v>
      </c>
      <c r="L1158" t="s">
        <v>818</v>
      </c>
    </row>
    <row r="1159" spans="1:12" ht="13.2">
      <c r="A1159" t="s">
        <v>2206</v>
      </c>
      <c r="B1159" t="b">
        <v>0</v>
      </c>
      <c r="H1159" t="s">
        <v>1062</v>
      </c>
      <c r="I1159" t="s">
        <v>2084</v>
      </c>
      <c r="J1159" t="s">
        <v>2872</v>
      </c>
      <c r="L1159" t="s">
        <v>818</v>
      </c>
    </row>
    <row r="1160" spans="1:12" ht="13.2">
      <c r="A1160" t="s">
        <v>2207</v>
      </c>
      <c r="B1160" t="b">
        <v>0</v>
      </c>
      <c r="H1160" t="s">
        <v>1062</v>
      </c>
      <c r="I1160" t="s">
        <v>2084</v>
      </c>
      <c r="J1160" t="s">
        <v>2861</v>
      </c>
      <c r="L1160" t="s">
        <v>818</v>
      </c>
    </row>
    <row r="1161" spans="1:12" ht="13.2">
      <c r="A1161" t="s">
        <v>2208</v>
      </c>
      <c r="B1161" t="b">
        <v>0</v>
      </c>
      <c r="H1161" t="s">
        <v>1062</v>
      </c>
      <c r="I1161" t="s">
        <v>2084</v>
      </c>
      <c r="J1161" t="s">
        <v>2861</v>
      </c>
      <c r="L1161" t="s">
        <v>818</v>
      </c>
    </row>
    <row r="1162" spans="1:12" ht="13.2">
      <c r="A1162" t="s">
        <v>2209</v>
      </c>
      <c r="B1162" t="b">
        <v>0</v>
      </c>
      <c r="H1162" t="s">
        <v>1062</v>
      </c>
      <c r="I1162" t="s">
        <v>2084</v>
      </c>
      <c r="J1162" t="s">
        <v>2861</v>
      </c>
      <c r="L1162" t="s">
        <v>818</v>
      </c>
    </row>
    <row r="1163" spans="1:12" ht="13.2">
      <c r="A1163" t="s">
        <v>2210</v>
      </c>
      <c r="B1163" t="b">
        <v>0</v>
      </c>
      <c r="H1163" t="s">
        <v>1062</v>
      </c>
      <c r="I1163" t="s">
        <v>2084</v>
      </c>
      <c r="J1163" t="s">
        <v>2861</v>
      </c>
      <c r="L1163" t="s">
        <v>818</v>
      </c>
    </row>
    <row r="1164" spans="1:12" ht="13.2">
      <c r="A1164" t="s">
        <v>2211</v>
      </c>
      <c r="B1164" t="b">
        <v>0</v>
      </c>
      <c r="H1164" t="s">
        <v>1062</v>
      </c>
      <c r="I1164" t="s">
        <v>2084</v>
      </c>
      <c r="J1164" t="s">
        <v>2861</v>
      </c>
      <c r="L1164" t="s">
        <v>818</v>
      </c>
    </row>
    <row r="1165" spans="1:12" ht="13.2">
      <c r="A1165" t="s">
        <v>2212</v>
      </c>
      <c r="B1165" t="b">
        <v>0</v>
      </c>
      <c r="H1165" t="s">
        <v>1062</v>
      </c>
      <c r="I1165" t="s">
        <v>2084</v>
      </c>
      <c r="J1165" t="s">
        <v>2861</v>
      </c>
      <c r="L1165" t="s">
        <v>818</v>
      </c>
    </row>
    <row r="1166" spans="1:12" ht="13.2">
      <c r="A1166" t="s">
        <v>2213</v>
      </c>
      <c r="B1166" t="b">
        <v>0</v>
      </c>
      <c r="C1166" t="s">
        <v>903</v>
      </c>
      <c r="D1166" t="s">
        <v>903</v>
      </c>
      <c r="E1166" t="s">
        <v>903</v>
      </c>
      <c r="H1166" t="s">
        <v>1062</v>
      </c>
      <c r="I1166" t="s">
        <v>2084</v>
      </c>
      <c r="J1166" t="s">
        <v>2861</v>
      </c>
      <c r="L1166" t="s">
        <v>818</v>
      </c>
    </row>
    <row r="1167" spans="1:12" ht="13.2">
      <c r="A1167" t="s">
        <v>2214</v>
      </c>
      <c r="B1167" t="b">
        <v>0</v>
      </c>
      <c r="H1167" t="s">
        <v>1062</v>
      </c>
      <c r="I1167" t="s">
        <v>2084</v>
      </c>
      <c r="J1167" t="s">
        <v>2861</v>
      </c>
      <c r="L1167" t="s">
        <v>818</v>
      </c>
    </row>
    <row r="1168" spans="1:12" ht="13.2">
      <c r="A1168" t="s">
        <v>2215</v>
      </c>
      <c r="B1168" t="b">
        <v>0</v>
      </c>
      <c r="H1168" t="s">
        <v>1062</v>
      </c>
      <c r="I1168" t="s">
        <v>2084</v>
      </c>
      <c r="J1168" t="s">
        <v>2861</v>
      </c>
      <c r="L1168" t="s">
        <v>818</v>
      </c>
    </row>
    <row r="1169" spans="1:12" ht="13.2">
      <c r="A1169" t="s">
        <v>2216</v>
      </c>
      <c r="B1169" t="b">
        <v>0</v>
      </c>
      <c r="H1169" t="s">
        <v>1062</v>
      </c>
      <c r="I1169" t="s">
        <v>2084</v>
      </c>
      <c r="J1169" t="s">
        <v>2861</v>
      </c>
      <c r="L1169" t="s">
        <v>818</v>
      </c>
    </row>
    <row r="1170" spans="1:12" ht="13.2">
      <c r="A1170" t="s">
        <v>2217</v>
      </c>
      <c r="B1170" t="b">
        <v>0</v>
      </c>
      <c r="H1170" t="s">
        <v>1062</v>
      </c>
      <c r="I1170" t="s">
        <v>2084</v>
      </c>
      <c r="J1170" t="s">
        <v>2861</v>
      </c>
      <c r="L1170" t="s">
        <v>818</v>
      </c>
    </row>
    <row r="1171" spans="1:12" ht="13.2">
      <c r="A1171" t="s">
        <v>2218</v>
      </c>
      <c r="B1171" t="b">
        <v>0</v>
      </c>
      <c r="H1171" t="s">
        <v>1062</v>
      </c>
      <c r="I1171" t="s">
        <v>2084</v>
      </c>
      <c r="J1171" t="s">
        <v>2861</v>
      </c>
      <c r="L1171" t="s">
        <v>818</v>
      </c>
    </row>
    <row r="1172" spans="1:12" ht="13.2">
      <c r="A1172" t="s">
        <v>2219</v>
      </c>
      <c r="B1172" t="b">
        <v>0</v>
      </c>
      <c r="H1172" t="s">
        <v>1062</v>
      </c>
      <c r="I1172" t="s">
        <v>2084</v>
      </c>
      <c r="J1172" t="s">
        <v>2861</v>
      </c>
      <c r="L1172" t="s">
        <v>818</v>
      </c>
    </row>
    <row r="1173" spans="1:12" ht="13.2">
      <c r="A1173" t="s">
        <v>2220</v>
      </c>
      <c r="B1173" t="b">
        <v>0</v>
      </c>
      <c r="H1173" t="s">
        <v>1062</v>
      </c>
      <c r="I1173" t="s">
        <v>2084</v>
      </c>
      <c r="J1173" t="s">
        <v>2857</v>
      </c>
      <c r="L1173" t="s">
        <v>818</v>
      </c>
    </row>
    <row r="1174" spans="1:12" ht="13.2">
      <c r="A1174" t="s">
        <v>2221</v>
      </c>
      <c r="B1174" t="b">
        <v>0</v>
      </c>
      <c r="H1174" t="s">
        <v>1062</v>
      </c>
      <c r="I1174" t="s">
        <v>2084</v>
      </c>
      <c r="J1174" t="s">
        <v>2857</v>
      </c>
      <c r="L1174" t="s">
        <v>818</v>
      </c>
    </row>
    <row r="1175" spans="1:12" ht="13.2">
      <c r="A1175" t="s">
        <v>2222</v>
      </c>
      <c r="B1175" t="b">
        <v>0</v>
      </c>
      <c r="H1175" t="s">
        <v>1062</v>
      </c>
      <c r="I1175" t="s">
        <v>2084</v>
      </c>
      <c r="J1175" t="s">
        <v>2857</v>
      </c>
      <c r="L1175" t="s">
        <v>818</v>
      </c>
    </row>
    <row r="1176" spans="1:12" ht="13.2">
      <c r="A1176" t="s">
        <v>2223</v>
      </c>
      <c r="B1176" t="b">
        <v>0</v>
      </c>
      <c r="H1176" t="s">
        <v>1062</v>
      </c>
      <c r="I1176" t="s">
        <v>2084</v>
      </c>
      <c r="J1176" t="s">
        <v>2857</v>
      </c>
      <c r="L1176" t="s">
        <v>818</v>
      </c>
    </row>
    <row r="1177" spans="1:12" ht="13.2">
      <c r="A1177" t="s">
        <v>2224</v>
      </c>
      <c r="B1177" t="b">
        <v>0</v>
      </c>
      <c r="H1177" t="s">
        <v>1062</v>
      </c>
      <c r="I1177" t="s">
        <v>2084</v>
      </c>
      <c r="J1177" t="s">
        <v>2857</v>
      </c>
      <c r="L1177" t="s">
        <v>818</v>
      </c>
    </row>
    <row r="1178" spans="1:12" ht="13.2">
      <c r="A1178" t="s">
        <v>2225</v>
      </c>
      <c r="B1178" t="b">
        <v>0</v>
      </c>
      <c r="H1178" t="s">
        <v>1062</v>
      </c>
      <c r="I1178" t="s">
        <v>2084</v>
      </c>
      <c r="J1178" t="s">
        <v>2857</v>
      </c>
      <c r="L1178" t="s">
        <v>818</v>
      </c>
    </row>
    <row r="1179" spans="1:12" ht="13.2">
      <c r="A1179" t="s">
        <v>2226</v>
      </c>
      <c r="B1179" t="b">
        <v>0</v>
      </c>
      <c r="H1179" t="s">
        <v>1062</v>
      </c>
      <c r="I1179" t="s">
        <v>2084</v>
      </c>
      <c r="J1179" t="s">
        <v>2857</v>
      </c>
      <c r="L1179" t="s">
        <v>818</v>
      </c>
    </row>
    <row r="1180" spans="1:12" ht="13.2">
      <c r="A1180" t="s">
        <v>2227</v>
      </c>
      <c r="B1180" t="b">
        <v>0</v>
      </c>
      <c r="H1180" t="s">
        <v>1062</v>
      </c>
      <c r="I1180" t="s">
        <v>2084</v>
      </c>
      <c r="J1180" t="s">
        <v>2872</v>
      </c>
      <c r="L1180" t="s">
        <v>818</v>
      </c>
    </row>
    <row r="1181" spans="1:12" ht="13.2">
      <c r="A1181" t="s">
        <v>2228</v>
      </c>
      <c r="B1181" t="b">
        <v>0</v>
      </c>
      <c r="H1181" t="s">
        <v>1062</v>
      </c>
      <c r="I1181" t="s">
        <v>2084</v>
      </c>
      <c r="J1181" t="s">
        <v>2872</v>
      </c>
      <c r="L1181" t="s">
        <v>818</v>
      </c>
    </row>
    <row r="1182" spans="1:12" ht="13.2">
      <c r="A1182" t="s">
        <v>2229</v>
      </c>
      <c r="B1182" t="b">
        <v>0</v>
      </c>
      <c r="H1182" t="s">
        <v>1062</v>
      </c>
      <c r="I1182" t="s">
        <v>2084</v>
      </c>
      <c r="J1182" t="s">
        <v>2872</v>
      </c>
      <c r="L1182" t="s">
        <v>818</v>
      </c>
    </row>
    <row r="1183" spans="1:12" ht="13.2">
      <c r="A1183" t="s">
        <v>2230</v>
      </c>
      <c r="B1183" t="b">
        <v>0</v>
      </c>
      <c r="C1183" t="s">
        <v>903</v>
      </c>
      <c r="D1183" t="s">
        <v>998</v>
      </c>
      <c r="E1183" t="s">
        <v>1080</v>
      </c>
      <c r="H1183" t="s">
        <v>1062</v>
      </c>
      <c r="I1183" t="s">
        <v>2084</v>
      </c>
      <c r="J1183" t="s">
        <v>2872</v>
      </c>
      <c r="L1183" t="s">
        <v>818</v>
      </c>
    </row>
    <row r="1184" spans="1:12" ht="13.2">
      <c r="A1184" t="s">
        <v>2231</v>
      </c>
      <c r="B1184" t="b">
        <v>0</v>
      </c>
      <c r="H1184" t="s">
        <v>1062</v>
      </c>
      <c r="I1184" t="s">
        <v>2084</v>
      </c>
      <c r="J1184" t="s">
        <v>2872</v>
      </c>
      <c r="L1184" t="s">
        <v>818</v>
      </c>
    </row>
    <row r="1185" spans="1:12" ht="13.2">
      <c r="A1185" t="s">
        <v>2232</v>
      </c>
      <c r="B1185" t="b">
        <v>0</v>
      </c>
      <c r="H1185" t="s">
        <v>1062</v>
      </c>
      <c r="I1185" t="s">
        <v>2084</v>
      </c>
      <c r="J1185" t="s">
        <v>2872</v>
      </c>
      <c r="L1185" t="s">
        <v>818</v>
      </c>
    </row>
    <row r="1186" spans="1:12" ht="13.2">
      <c r="A1186" t="s">
        <v>2233</v>
      </c>
      <c r="B1186" t="b">
        <v>0</v>
      </c>
      <c r="H1186" t="s">
        <v>1062</v>
      </c>
      <c r="I1186" t="s">
        <v>2084</v>
      </c>
      <c r="J1186" t="s">
        <v>2872</v>
      </c>
      <c r="L1186" t="s">
        <v>818</v>
      </c>
    </row>
    <row r="1187" spans="1:12" ht="13.2">
      <c r="A1187" t="s">
        <v>2234</v>
      </c>
      <c r="B1187" t="b">
        <v>0</v>
      </c>
      <c r="H1187" t="s">
        <v>1062</v>
      </c>
      <c r="I1187" t="s">
        <v>2084</v>
      </c>
      <c r="J1187" t="s">
        <v>2872</v>
      </c>
      <c r="L1187" t="s">
        <v>818</v>
      </c>
    </row>
    <row r="1188" spans="1:12" ht="13.2">
      <c r="A1188" t="s">
        <v>2235</v>
      </c>
      <c r="B1188" t="b">
        <v>0</v>
      </c>
      <c r="H1188" t="s">
        <v>1062</v>
      </c>
      <c r="I1188" t="s">
        <v>2084</v>
      </c>
      <c r="J1188" t="s">
        <v>2872</v>
      </c>
      <c r="L1188" t="s">
        <v>818</v>
      </c>
    </row>
    <row r="1189" spans="1:12" ht="13.2">
      <c r="A1189" t="s">
        <v>2236</v>
      </c>
      <c r="B1189" t="b">
        <v>0</v>
      </c>
      <c r="C1189" t="s">
        <v>1108</v>
      </c>
      <c r="D1189" t="s">
        <v>1026</v>
      </c>
      <c r="E1189" t="s">
        <v>1108</v>
      </c>
      <c r="H1189" t="s">
        <v>1062</v>
      </c>
      <c r="I1189" t="s">
        <v>2084</v>
      </c>
      <c r="J1189" t="s">
        <v>2872</v>
      </c>
      <c r="L1189" t="s">
        <v>818</v>
      </c>
    </row>
    <row r="1190" spans="1:12" ht="13.2">
      <c r="A1190" t="s">
        <v>2237</v>
      </c>
      <c r="B1190" t="b">
        <v>0</v>
      </c>
      <c r="H1190" t="s">
        <v>1062</v>
      </c>
      <c r="I1190" t="s">
        <v>2084</v>
      </c>
      <c r="J1190" t="s">
        <v>2872</v>
      </c>
      <c r="L1190" t="s">
        <v>818</v>
      </c>
    </row>
    <row r="1191" spans="1:12" ht="13.2">
      <c r="A1191" t="s">
        <v>2238</v>
      </c>
      <c r="B1191" t="b">
        <v>0</v>
      </c>
      <c r="C1191" t="s">
        <v>963</v>
      </c>
      <c r="D1191" t="s">
        <v>963</v>
      </c>
      <c r="E1191" t="s">
        <v>963</v>
      </c>
      <c r="H1191" t="s">
        <v>1062</v>
      </c>
      <c r="I1191" t="s">
        <v>2084</v>
      </c>
      <c r="J1191" t="s">
        <v>2872</v>
      </c>
      <c r="L1191" t="s">
        <v>818</v>
      </c>
    </row>
    <row r="1192" spans="1:12" ht="13.2">
      <c r="A1192" t="s">
        <v>2239</v>
      </c>
      <c r="B1192" t="b">
        <v>0</v>
      </c>
      <c r="H1192" t="s">
        <v>1062</v>
      </c>
      <c r="I1192" t="s">
        <v>2084</v>
      </c>
      <c r="J1192" t="s">
        <v>2872</v>
      </c>
      <c r="L1192" t="s">
        <v>818</v>
      </c>
    </row>
    <row r="1193" spans="1:12" ht="13.2">
      <c r="A1193" t="s">
        <v>2240</v>
      </c>
      <c r="B1193" t="b">
        <v>0</v>
      </c>
      <c r="H1193" t="s">
        <v>1062</v>
      </c>
      <c r="I1193" t="s">
        <v>2084</v>
      </c>
      <c r="J1193" t="s">
        <v>2872</v>
      </c>
      <c r="L1193" t="s">
        <v>818</v>
      </c>
    </row>
    <row r="1194" spans="1:12" ht="13.2">
      <c r="A1194" t="s">
        <v>2241</v>
      </c>
      <c r="B1194" t="b">
        <v>0</v>
      </c>
      <c r="H1194" t="s">
        <v>1062</v>
      </c>
      <c r="I1194" t="s">
        <v>2084</v>
      </c>
      <c r="J1194" t="s">
        <v>2872</v>
      </c>
      <c r="L1194" t="s">
        <v>818</v>
      </c>
    </row>
    <row r="1195" spans="1:12" ht="13.2">
      <c r="A1195" t="s">
        <v>2242</v>
      </c>
      <c r="B1195" t="b">
        <v>0</v>
      </c>
      <c r="H1195" t="s">
        <v>1062</v>
      </c>
      <c r="I1195" t="s">
        <v>2084</v>
      </c>
      <c r="J1195" t="s">
        <v>2861</v>
      </c>
      <c r="L1195" t="s">
        <v>818</v>
      </c>
    </row>
    <row r="1196" spans="1:12" ht="13.2">
      <c r="A1196" t="s">
        <v>2243</v>
      </c>
      <c r="B1196" t="b">
        <v>0</v>
      </c>
      <c r="H1196" t="s">
        <v>1062</v>
      </c>
      <c r="I1196" t="s">
        <v>2084</v>
      </c>
      <c r="J1196" t="s">
        <v>2861</v>
      </c>
      <c r="L1196" t="s">
        <v>818</v>
      </c>
    </row>
    <row r="1197" spans="1:12" ht="13.2">
      <c r="A1197" t="s">
        <v>2244</v>
      </c>
      <c r="B1197" t="b">
        <v>0</v>
      </c>
      <c r="H1197" t="s">
        <v>1062</v>
      </c>
      <c r="I1197" t="s">
        <v>2084</v>
      </c>
      <c r="J1197" t="s">
        <v>2861</v>
      </c>
      <c r="L1197" t="s">
        <v>818</v>
      </c>
    </row>
    <row r="1198" spans="1:12" ht="13.2">
      <c r="A1198" t="s">
        <v>2245</v>
      </c>
      <c r="B1198" t="b">
        <v>0</v>
      </c>
      <c r="H1198" t="s">
        <v>1062</v>
      </c>
      <c r="I1198" t="s">
        <v>2084</v>
      </c>
      <c r="J1198" t="s">
        <v>2861</v>
      </c>
      <c r="L1198" t="s">
        <v>818</v>
      </c>
    </row>
    <row r="1199" spans="1:12" ht="13.2">
      <c r="A1199" t="s">
        <v>2246</v>
      </c>
      <c r="B1199" t="b">
        <v>0</v>
      </c>
      <c r="H1199" t="s">
        <v>1062</v>
      </c>
      <c r="I1199" t="s">
        <v>2084</v>
      </c>
      <c r="J1199" t="s">
        <v>2857</v>
      </c>
      <c r="L1199" t="s">
        <v>818</v>
      </c>
    </row>
    <row r="1200" spans="1:12" ht="13.2">
      <c r="A1200" t="s">
        <v>2247</v>
      </c>
      <c r="B1200" t="b">
        <v>0</v>
      </c>
      <c r="H1200" t="s">
        <v>1062</v>
      </c>
      <c r="I1200" t="s">
        <v>2084</v>
      </c>
      <c r="J1200" t="s">
        <v>2857</v>
      </c>
      <c r="L1200" t="s">
        <v>818</v>
      </c>
    </row>
    <row r="1201" spans="1:12" ht="13.2">
      <c r="A1201" t="s">
        <v>2248</v>
      </c>
      <c r="B1201" t="b">
        <v>0</v>
      </c>
      <c r="H1201" t="s">
        <v>1062</v>
      </c>
      <c r="I1201" t="s">
        <v>2084</v>
      </c>
      <c r="J1201" t="s">
        <v>2857</v>
      </c>
      <c r="L1201" t="s">
        <v>818</v>
      </c>
    </row>
    <row r="1202" spans="1:12" ht="13.2">
      <c r="A1202" t="s">
        <v>2249</v>
      </c>
      <c r="B1202" t="b">
        <v>0</v>
      </c>
      <c r="H1202" t="s">
        <v>1062</v>
      </c>
      <c r="I1202" t="s">
        <v>2084</v>
      </c>
      <c r="J1202" t="s">
        <v>2857</v>
      </c>
      <c r="L1202" t="s">
        <v>818</v>
      </c>
    </row>
    <row r="1203" spans="1:12" ht="13.2">
      <c r="A1203" t="s">
        <v>2250</v>
      </c>
      <c r="B1203" t="b">
        <v>0</v>
      </c>
      <c r="H1203" t="s">
        <v>1062</v>
      </c>
      <c r="I1203" t="s">
        <v>2084</v>
      </c>
      <c r="J1203" t="s">
        <v>2857</v>
      </c>
      <c r="L1203" t="s">
        <v>818</v>
      </c>
    </row>
    <row r="1204" spans="1:12" ht="13.2">
      <c r="A1204" t="s">
        <v>2251</v>
      </c>
      <c r="B1204" t="b">
        <v>0</v>
      </c>
      <c r="H1204" t="s">
        <v>1062</v>
      </c>
      <c r="I1204" t="s">
        <v>2084</v>
      </c>
      <c r="J1204" t="s">
        <v>2857</v>
      </c>
      <c r="L1204" t="s">
        <v>818</v>
      </c>
    </row>
    <row r="1205" spans="1:12" ht="13.2">
      <c r="A1205" t="s">
        <v>2252</v>
      </c>
      <c r="B1205" t="b">
        <v>0</v>
      </c>
      <c r="H1205" t="s">
        <v>1062</v>
      </c>
      <c r="I1205" t="s">
        <v>2084</v>
      </c>
      <c r="J1205" t="s">
        <v>2857</v>
      </c>
      <c r="L1205" t="s">
        <v>818</v>
      </c>
    </row>
    <row r="1206" spans="1:12" ht="13.2">
      <c r="A1206" t="s">
        <v>2253</v>
      </c>
      <c r="B1206" t="b">
        <v>0</v>
      </c>
      <c r="H1206" t="s">
        <v>1062</v>
      </c>
      <c r="I1206" t="s">
        <v>2084</v>
      </c>
      <c r="J1206" t="s">
        <v>2857</v>
      </c>
      <c r="L1206" t="s">
        <v>818</v>
      </c>
    </row>
    <row r="1207" spans="1:12" ht="13.2">
      <c r="A1207" t="s">
        <v>2254</v>
      </c>
      <c r="B1207" t="b">
        <v>0</v>
      </c>
      <c r="H1207" t="s">
        <v>1062</v>
      </c>
      <c r="I1207" t="s">
        <v>2084</v>
      </c>
      <c r="J1207" t="s">
        <v>2857</v>
      </c>
      <c r="L1207" t="s">
        <v>818</v>
      </c>
    </row>
    <row r="1208" spans="1:12" ht="13.2">
      <c r="A1208" t="s">
        <v>2255</v>
      </c>
      <c r="B1208" t="b">
        <v>0</v>
      </c>
      <c r="H1208" t="s">
        <v>1062</v>
      </c>
      <c r="I1208" t="s">
        <v>2084</v>
      </c>
      <c r="J1208" t="s">
        <v>2863</v>
      </c>
      <c r="L1208" t="s">
        <v>818</v>
      </c>
    </row>
    <row r="1209" spans="1:12" ht="13.2">
      <c r="A1209" t="s">
        <v>2256</v>
      </c>
      <c r="B1209" t="b">
        <v>0</v>
      </c>
      <c r="H1209" t="s">
        <v>1062</v>
      </c>
      <c r="I1209" t="s">
        <v>2084</v>
      </c>
      <c r="J1209" t="s">
        <v>2863</v>
      </c>
      <c r="L1209" t="s">
        <v>818</v>
      </c>
    </row>
    <row r="1210" spans="1:12" ht="13.2">
      <c r="A1210" t="s">
        <v>2257</v>
      </c>
      <c r="B1210" t="b">
        <v>0</v>
      </c>
      <c r="H1210" t="s">
        <v>1062</v>
      </c>
      <c r="I1210" t="s">
        <v>2084</v>
      </c>
      <c r="J1210" t="s">
        <v>2863</v>
      </c>
      <c r="L1210" t="s">
        <v>818</v>
      </c>
    </row>
    <row r="1211" spans="1:12" ht="13.2">
      <c r="A1211" t="s">
        <v>2258</v>
      </c>
      <c r="B1211" t="b">
        <v>0</v>
      </c>
      <c r="H1211" t="s">
        <v>1062</v>
      </c>
      <c r="I1211" t="s">
        <v>2084</v>
      </c>
      <c r="J1211" t="s">
        <v>2863</v>
      </c>
      <c r="L1211" t="s">
        <v>818</v>
      </c>
    </row>
    <row r="1212" spans="1:12" ht="13.2">
      <c r="A1212" t="s">
        <v>2259</v>
      </c>
      <c r="B1212" t="b">
        <v>0</v>
      </c>
      <c r="H1212" t="s">
        <v>1062</v>
      </c>
      <c r="I1212" t="s">
        <v>2084</v>
      </c>
      <c r="J1212" t="s">
        <v>2863</v>
      </c>
      <c r="L1212" t="s">
        <v>818</v>
      </c>
    </row>
    <row r="1213" spans="1:12" ht="13.2">
      <c r="A1213" t="s">
        <v>2260</v>
      </c>
      <c r="B1213" t="b">
        <v>0</v>
      </c>
      <c r="H1213" t="s">
        <v>1062</v>
      </c>
      <c r="I1213" t="s">
        <v>2084</v>
      </c>
      <c r="J1213" t="s">
        <v>2863</v>
      </c>
      <c r="L1213" t="s">
        <v>818</v>
      </c>
    </row>
    <row r="1214" spans="1:12" ht="13.2">
      <c r="A1214" t="s">
        <v>2261</v>
      </c>
      <c r="B1214" t="b">
        <v>0</v>
      </c>
      <c r="H1214" t="s">
        <v>1062</v>
      </c>
      <c r="I1214" t="s">
        <v>2084</v>
      </c>
      <c r="J1214" t="s">
        <v>2863</v>
      </c>
      <c r="L1214" t="s">
        <v>818</v>
      </c>
    </row>
    <row r="1215" spans="1:12" ht="13.2">
      <c r="A1215" t="s">
        <v>2262</v>
      </c>
      <c r="B1215" t="b">
        <v>0</v>
      </c>
      <c r="H1215" t="s">
        <v>1062</v>
      </c>
      <c r="I1215" t="s">
        <v>2084</v>
      </c>
      <c r="J1215" t="s">
        <v>2863</v>
      </c>
      <c r="L1215" t="s">
        <v>818</v>
      </c>
    </row>
    <row r="1216" spans="1:12" ht="13.2">
      <c r="A1216" t="s">
        <v>2263</v>
      </c>
      <c r="B1216" t="b">
        <v>0</v>
      </c>
      <c r="H1216" t="s">
        <v>1062</v>
      </c>
      <c r="I1216" t="s">
        <v>2084</v>
      </c>
      <c r="J1216" t="s">
        <v>2863</v>
      </c>
      <c r="L1216" t="s">
        <v>818</v>
      </c>
    </row>
    <row r="1217" spans="1:12" ht="13.2">
      <c r="A1217" t="s">
        <v>2264</v>
      </c>
      <c r="B1217" t="b">
        <v>0</v>
      </c>
      <c r="H1217" t="s">
        <v>1062</v>
      </c>
      <c r="I1217" t="s">
        <v>2084</v>
      </c>
      <c r="J1217" t="s">
        <v>2863</v>
      </c>
      <c r="L1217" t="s">
        <v>818</v>
      </c>
    </row>
    <row r="1218" spans="1:12" ht="13.2">
      <c r="A1218" t="s">
        <v>2265</v>
      </c>
      <c r="B1218" t="b">
        <v>0</v>
      </c>
      <c r="H1218" t="s">
        <v>1062</v>
      </c>
      <c r="I1218" t="s">
        <v>2084</v>
      </c>
      <c r="J1218" t="s">
        <v>2863</v>
      </c>
      <c r="L1218" t="s">
        <v>818</v>
      </c>
    </row>
    <row r="1219" spans="1:12" ht="13.2">
      <c r="A1219" t="s">
        <v>2266</v>
      </c>
      <c r="B1219" t="b">
        <v>0</v>
      </c>
      <c r="H1219" t="s">
        <v>1062</v>
      </c>
      <c r="I1219" t="s">
        <v>2084</v>
      </c>
      <c r="J1219" t="s">
        <v>2863</v>
      </c>
      <c r="L1219" t="s">
        <v>818</v>
      </c>
    </row>
    <row r="1220" spans="1:12" ht="13.2">
      <c r="A1220" t="s">
        <v>2267</v>
      </c>
      <c r="B1220" t="b">
        <v>0</v>
      </c>
      <c r="H1220" t="s">
        <v>1062</v>
      </c>
      <c r="I1220" t="s">
        <v>2084</v>
      </c>
      <c r="J1220" t="s">
        <v>2863</v>
      </c>
      <c r="L1220" t="s">
        <v>818</v>
      </c>
    </row>
    <row r="1221" spans="1:12" ht="13.2">
      <c r="A1221" t="s">
        <v>2268</v>
      </c>
      <c r="B1221" t="b">
        <v>0</v>
      </c>
      <c r="H1221" t="s">
        <v>1062</v>
      </c>
      <c r="I1221" t="s">
        <v>2084</v>
      </c>
      <c r="J1221" t="s">
        <v>2863</v>
      </c>
      <c r="L1221" t="s">
        <v>818</v>
      </c>
    </row>
    <row r="1222" spans="1:12" ht="13.2">
      <c r="A1222" t="s">
        <v>2269</v>
      </c>
      <c r="B1222" t="b">
        <v>0</v>
      </c>
      <c r="H1222" t="s">
        <v>1062</v>
      </c>
      <c r="I1222" t="s">
        <v>2084</v>
      </c>
      <c r="J1222" t="s">
        <v>2863</v>
      </c>
      <c r="L1222" t="s">
        <v>818</v>
      </c>
    </row>
    <row r="1223" spans="1:12" ht="13.2">
      <c r="A1223" t="s">
        <v>2270</v>
      </c>
      <c r="B1223" t="b">
        <v>0</v>
      </c>
      <c r="H1223" t="s">
        <v>1062</v>
      </c>
      <c r="I1223" t="s">
        <v>2084</v>
      </c>
      <c r="J1223" t="s">
        <v>2863</v>
      </c>
      <c r="L1223" t="s">
        <v>818</v>
      </c>
    </row>
    <row r="1224" spans="1:12" ht="13.2">
      <c r="A1224" t="s">
        <v>2271</v>
      </c>
      <c r="B1224" t="b">
        <v>0</v>
      </c>
      <c r="H1224" t="s">
        <v>1062</v>
      </c>
      <c r="I1224" t="s">
        <v>2084</v>
      </c>
      <c r="J1224" t="s">
        <v>2863</v>
      </c>
      <c r="L1224" t="s">
        <v>818</v>
      </c>
    </row>
    <row r="1225" spans="1:12" ht="13.2">
      <c r="A1225" t="s">
        <v>2272</v>
      </c>
      <c r="B1225" t="b">
        <v>0</v>
      </c>
      <c r="H1225" t="s">
        <v>1062</v>
      </c>
      <c r="I1225" t="s">
        <v>2084</v>
      </c>
      <c r="J1225" t="s">
        <v>2863</v>
      </c>
      <c r="L1225" t="s">
        <v>818</v>
      </c>
    </row>
    <row r="1226" spans="1:12" ht="13.2">
      <c r="A1226" t="s">
        <v>2273</v>
      </c>
      <c r="B1226" t="b">
        <v>0</v>
      </c>
      <c r="H1226" t="s">
        <v>1062</v>
      </c>
      <c r="I1226" t="s">
        <v>2084</v>
      </c>
      <c r="J1226" t="s">
        <v>2863</v>
      </c>
      <c r="L1226" t="s">
        <v>818</v>
      </c>
    </row>
    <row r="1227" spans="1:12" ht="13.2">
      <c r="A1227" t="s">
        <v>2274</v>
      </c>
      <c r="B1227" t="b">
        <v>0</v>
      </c>
      <c r="H1227" t="s">
        <v>1062</v>
      </c>
      <c r="I1227" t="s">
        <v>2084</v>
      </c>
      <c r="J1227" t="s">
        <v>2863</v>
      </c>
      <c r="L1227" t="s">
        <v>818</v>
      </c>
    </row>
    <row r="1228" spans="1:12" ht="13.2">
      <c r="A1228" t="s">
        <v>2275</v>
      </c>
      <c r="B1228" t="b">
        <v>0</v>
      </c>
      <c r="H1228" t="s">
        <v>1062</v>
      </c>
      <c r="I1228" t="s">
        <v>2084</v>
      </c>
      <c r="J1228" t="s">
        <v>2860</v>
      </c>
      <c r="L1228" t="s">
        <v>818</v>
      </c>
    </row>
    <row r="1229" spans="1:12" ht="13.2">
      <c r="A1229" t="s">
        <v>2276</v>
      </c>
      <c r="B1229" t="b">
        <v>0</v>
      </c>
      <c r="H1229" t="s">
        <v>1062</v>
      </c>
      <c r="I1229" t="s">
        <v>2084</v>
      </c>
      <c r="J1229" t="s">
        <v>2860</v>
      </c>
      <c r="L1229" t="s">
        <v>818</v>
      </c>
    </row>
    <row r="1230" spans="1:12" ht="13.2">
      <c r="A1230" t="s">
        <v>2277</v>
      </c>
      <c r="B1230" t="b">
        <v>0</v>
      </c>
      <c r="H1230" t="s">
        <v>1062</v>
      </c>
      <c r="I1230" t="s">
        <v>2084</v>
      </c>
      <c r="J1230" t="s">
        <v>2860</v>
      </c>
      <c r="L1230" t="s">
        <v>818</v>
      </c>
    </row>
    <row r="1231" spans="1:12" ht="13.2">
      <c r="A1231" t="s">
        <v>2278</v>
      </c>
      <c r="B1231" t="b">
        <v>0</v>
      </c>
      <c r="H1231" t="s">
        <v>1062</v>
      </c>
      <c r="I1231" t="s">
        <v>2084</v>
      </c>
      <c r="J1231" t="s">
        <v>2860</v>
      </c>
      <c r="L1231" t="s">
        <v>818</v>
      </c>
    </row>
    <row r="1232" spans="1:12" ht="13.2">
      <c r="A1232" t="s">
        <v>2279</v>
      </c>
      <c r="B1232" t="b">
        <v>0</v>
      </c>
      <c r="H1232" t="s">
        <v>1062</v>
      </c>
      <c r="I1232" t="s">
        <v>2084</v>
      </c>
      <c r="J1232" t="s">
        <v>2860</v>
      </c>
      <c r="L1232" t="s">
        <v>818</v>
      </c>
    </row>
    <row r="1233" spans="1:12" ht="13.2">
      <c r="A1233" t="s">
        <v>2280</v>
      </c>
      <c r="B1233" t="b">
        <v>0</v>
      </c>
      <c r="H1233" t="s">
        <v>1062</v>
      </c>
      <c r="I1233" t="s">
        <v>2084</v>
      </c>
      <c r="J1233" t="s">
        <v>2860</v>
      </c>
      <c r="L1233" t="s">
        <v>818</v>
      </c>
    </row>
    <row r="1234" spans="1:12" ht="13.2">
      <c r="A1234" t="s">
        <v>2281</v>
      </c>
      <c r="B1234" t="b">
        <v>0</v>
      </c>
      <c r="H1234" t="s">
        <v>1062</v>
      </c>
      <c r="I1234" t="s">
        <v>2084</v>
      </c>
      <c r="J1234" t="s">
        <v>2860</v>
      </c>
      <c r="L1234" t="s">
        <v>818</v>
      </c>
    </row>
    <row r="1235" spans="1:12" ht="13.2">
      <c r="A1235" t="s">
        <v>2282</v>
      </c>
      <c r="B1235" t="b">
        <v>0</v>
      </c>
      <c r="H1235" t="s">
        <v>1062</v>
      </c>
      <c r="I1235" t="s">
        <v>2084</v>
      </c>
      <c r="J1235" t="s">
        <v>2860</v>
      </c>
      <c r="L1235" t="s">
        <v>818</v>
      </c>
    </row>
    <row r="1236" spans="1:12" ht="13.2">
      <c r="A1236" t="s">
        <v>2283</v>
      </c>
      <c r="B1236" t="b">
        <v>0</v>
      </c>
      <c r="H1236" t="s">
        <v>1062</v>
      </c>
      <c r="I1236" t="s">
        <v>2084</v>
      </c>
      <c r="J1236" t="s">
        <v>2860</v>
      </c>
      <c r="L1236" t="s">
        <v>818</v>
      </c>
    </row>
    <row r="1237" spans="1:12" ht="13.2">
      <c r="A1237" t="s">
        <v>2284</v>
      </c>
      <c r="B1237" t="b">
        <v>0</v>
      </c>
      <c r="H1237" t="s">
        <v>1062</v>
      </c>
      <c r="I1237" t="s">
        <v>2084</v>
      </c>
      <c r="J1237" t="s">
        <v>2860</v>
      </c>
      <c r="L1237" t="s">
        <v>818</v>
      </c>
    </row>
    <row r="1238" spans="1:12" ht="13.2">
      <c r="A1238" t="s">
        <v>2285</v>
      </c>
      <c r="B1238" t="b">
        <v>0</v>
      </c>
      <c r="H1238" t="s">
        <v>1062</v>
      </c>
      <c r="I1238" t="s">
        <v>2084</v>
      </c>
      <c r="J1238" t="s">
        <v>2860</v>
      </c>
      <c r="L1238" t="s">
        <v>818</v>
      </c>
    </row>
    <row r="1239" spans="1:12" ht="13.2">
      <c r="A1239" t="s">
        <v>2286</v>
      </c>
      <c r="B1239" t="b">
        <v>0</v>
      </c>
      <c r="H1239" t="s">
        <v>1062</v>
      </c>
      <c r="I1239" t="s">
        <v>2084</v>
      </c>
      <c r="J1239" t="s">
        <v>2860</v>
      </c>
      <c r="L1239" t="s">
        <v>818</v>
      </c>
    </row>
    <row r="1240" spans="1:12" ht="13.2">
      <c r="A1240" t="s">
        <v>2287</v>
      </c>
      <c r="B1240" t="b">
        <v>0</v>
      </c>
      <c r="H1240" t="s">
        <v>1062</v>
      </c>
      <c r="I1240" t="s">
        <v>2084</v>
      </c>
      <c r="J1240" t="s">
        <v>2860</v>
      </c>
      <c r="L1240" t="s">
        <v>818</v>
      </c>
    </row>
    <row r="1241" spans="1:12" ht="13.2">
      <c r="A1241" t="s">
        <v>2288</v>
      </c>
      <c r="B1241" t="b">
        <v>0</v>
      </c>
      <c r="H1241" t="s">
        <v>1062</v>
      </c>
      <c r="I1241" t="s">
        <v>2084</v>
      </c>
      <c r="J1241" t="s">
        <v>2860</v>
      </c>
      <c r="L1241" t="s">
        <v>818</v>
      </c>
    </row>
    <row r="1242" spans="1:12" ht="13.2">
      <c r="A1242" t="s">
        <v>2289</v>
      </c>
      <c r="B1242" t="b">
        <v>0</v>
      </c>
      <c r="H1242" t="s">
        <v>1062</v>
      </c>
      <c r="I1242" t="s">
        <v>2084</v>
      </c>
      <c r="J1242" t="s">
        <v>2860</v>
      </c>
      <c r="L1242" t="s">
        <v>818</v>
      </c>
    </row>
    <row r="1243" spans="1:12" ht="13.2">
      <c r="A1243" t="s">
        <v>2290</v>
      </c>
      <c r="B1243" t="b">
        <v>0</v>
      </c>
      <c r="H1243" t="s">
        <v>1062</v>
      </c>
      <c r="I1243" t="s">
        <v>2084</v>
      </c>
      <c r="J1243" t="s">
        <v>2860</v>
      </c>
      <c r="L1243" t="s">
        <v>818</v>
      </c>
    </row>
    <row r="1244" spans="1:12" ht="13.2">
      <c r="A1244" t="s">
        <v>2291</v>
      </c>
      <c r="B1244" t="b">
        <v>0</v>
      </c>
      <c r="H1244" t="s">
        <v>1062</v>
      </c>
      <c r="I1244" t="s">
        <v>2084</v>
      </c>
      <c r="J1244" t="s">
        <v>2872</v>
      </c>
      <c r="L1244" t="s">
        <v>818</v>
      </c>
    </row>
    <row r="1245" spans="1:12" ht="13.2">
      <c r="A1245" t="s">
        <v>2292</v>
      </c>
      <c r="B1245" t="b">
        <v>0</v>
      </c>
      <c r="H1245" t="s">
        <v>1062</v>
      </c>
      <c r="I1245" t="s">
        <v>2084</v>
      </c>
      <c r="J1245" t="s">
        <v>2872</v>
      </c>
      <c r="L1245" t="s">
        <v>818</v>
      </c>
    </row>
    <row r="1246" spans="1:12" ht="13.2">
      <c r="A1246" t="s">
        <v>2293</v>
      </c>
      <c r="B1246" t="b">
        <v>0</v>
      </c>
      <c r="H1246" t="s">
        <v>1062</v>
      </c>
      <c r="I1246" t="s">
        <v>2084</v>
      </c>
      <c r="J1246" t="s">
        <v>2872</v>
      </c>
      <c r="L1246" t="s">
        <v>818</v>
      </c>
    </row>
    <row r="1247" spans="1:12" ht="13.2">
      <c r="A1247" t="s">
        <v>2294</v>
      </c>
      <c r="B1247" t="b">
        <v>0</v>
      </c>
      <c r="H1247" t="s">
        <v>1062</v>
      </c>
      <c r="I1247" t="s">
        <v>2084</v>
      </c>
      <c r="J1247" t="s">
        <v>2872</v>
      </c>
      <c r="L1247" t="s">
        <v>818</v>
      </c>
    </row>
    <row r="1248" spans="1:12" ht="13.2">
      <c r="A1248" t="s">
        <v>2295</v>
      </c>
      <c r="B1248" t="b">
        <v>0</v>
      </c>
      <c r="H1248" t="s">
        <v>1062</v>
      </c>
      <c r="I1248" t="s">
        <v>2084</v>
      </c>
      <c r="J1248" t="s">
        <v>2872</v>
      </c>
      <c r="L1248" t="s">
        <v>818</v>
      </c>
    </row>
    <row r="1249" spans="1:12" ht="13.2">
      <c r="A1249" t="s">
        <v>2296</v>
      </c>
      <c r="B1249" t="b">
        <v>0</v>
      </c>
      <c r="H1249" t="s">
        <v>1062</v>
      </c>
      <c r="I1249" t="s">
        <v>2084</v>
      </c>
      <c r="J1249" t="s">
        <v>2872</v>
      </c>
      <c r="L1249" t="s">
        <v>818</v>
      </c>
    </row>
    <row r="1250" spans="1:12" ht="13.2">
      <c r="A1250" t="s">
        <v>2297</v>
      </c>
      <c r="B1250" t="b">
        <v>0</v>
      </c>
      <c r="H1250" t="s">
        <v>1062</v>
      </c>
      <c r="I1250" t="s">
        <v>2084</v>
      </c>
      <c r="J1250" t="s">
        <v>2872</v>
      </c>
      <c r="L1250" t="s">
        <v>818</v>
      </c>
    </row>
    <row r="1251" spans="1:12" ht="13.2">
      <c r="A1251" t="s">
        <v>2298</v>
      </c>
      <c r="B1251" t="b">
        <v>0</v>
      </c>
      <c r="H1251" t="s">
        <v>1062</v>
      </c>
      <c r="I1251" t="s">
        <v>2084</v>
      </c>
      <c r="J1251" t="s">
        <v>2872</v>
      </c>
      <c r="L1251" t="s">
        <v>818</v>
      </c>
    </row>
    <row r="1252" spans="1:12" ht="13.2">
      <c r="A1252" t="s">
        <v>2299</v>
      </c>
      <c r="B1252" t="b">
        <v>0</v>
      </c>
      <c r="H1252" t="s">
        <v>1062</v>
      </c>
      <c r="I1252" t="s">
        <v>2084</v>
      </c>
      <c r="J1252" t="s">
        <v>2872</v>
      </c>
      <c r="L1252" t="s">
        <v>818</v>
      </c>
    </row>
    <row r="1253" spans="1:12" ht="13.2">
      <c r="A1253" t="s">
        <v>2300</v>
      </c>
      <c r="B1253" t="b">
        <v>0</v>
      </c>
      <c r="H1253" t="s">
        <v>1062</v>
      </c>
      <c r="I1253" t="s">
        <v>2084</v>
      </c>
      <c r="J1253" t="s">
        <v>2872</v>
      </c>
      <c r="L1253" t="s">
        <v>818</v>
      </c>
    </row>
    <row r="1254" spans="1:12" ht="13.2">
      <c r="A1254" t="s">
        <v>2301</v>
      </c>
      <c r="B1254" t="b">
        <v>0</v>
      </c>
      <c r="H1254" t="s">
        <v>1062</v>
      </c>
      <c r="I1254" t="s">
        <v>2084</v>
      </c>
      <c r="J1254" t="s">
        <v>2872</v>
      </c>
      <c r="L1254" t="s">
        <v>818</v>
      </c>
    </row>
    <row r="1255" spans="1:12" ht="13.2">
      <c r="A1255" t="s">
        <v>2302</v>
      </c>
      <c r="B1255" t="b">
        <v>0</v>
      </c>
      <c r="H1255" t="s">
        <v>1062</v>
      </c>
      <c r="I1255" t="s">
        <v>2084</v>
      </c>
      <c r="J1255" t="s">
        <v>2872</v>
      </c>
      <c r="L1255" t="s">
        <v>818</v>
      </c>
    </row>
    <row r="1256" spans="1:12" ht="13.2">
      <c r="A1256" t="s">
        <v>2303</v>
      </c>
      <c r="B1256" t="b">
        <v>0</v>
      </c>
      <c r="H1256" t="s">
        <v>1062</v>
      </c>
      <c r="I1256" t="s">
        <v>2084</v>
      </c>
      <c r="J1256" t="s">
        <v>2872</v>
      </c>
      <c r="L1256" t="s">
        <v>818</v>
      </c>
    </row>
    <row r="1257" spans="1:12" ht="13.2">
      <c r="A1257" t="s">
        <v>2304</v>
      </c>
      <c r="B1257" t="b">
        <v>0</v>
      </c>
      <c r="H1257" t="s">
        <v>1062</v>
      </c>
      <c r="I1257" t="s">
        <v>2084</v>
      </c>
      <c r="J1257" t="s">
        <v>2872</v>
      </c>
      <c r="L1257" t="s">
        <v>818</v>
      </c>
    </row>
    <row r="1258" spans="1:12" ht="13.2">
      <c r="A1258" t="s">
        <v>2305</v>
      </c>
      <c r="B1258" t="b">
        <v>0</v>
      </c>
      <c r="H1258" t="s">
        <v>1062</v>
      </c>
      <c r="I1258" t="s">
        <v>2084</v>
      </c>
      <c r="J1258" t="s">
        <v>2872</v>
      </c>
      <c r="L1258" t="s">
        <v>818</v>
      </c>
    </row>
    <row r="1259" spans="1:12" ht="13.2">
      <c r="A1259" t="s">
        <v>2306</v>
      </c>
      <c r="B1259" t="b">
        <v>0</v>
      </c>
      <c r="H1259" t="s">
        <v>1062</v>
      </c>
      <c r="I1259" t="s">
        <v>2084</v>
      </c>
      <c r="J1259" t="s">
        <v>2872</v>
      </c>
      <c r="L1259" t="s">
        <v>818</v>
      </c>
    </row>
    <row r="1260" spans="1:12" ht="13.2">
      <c r="A1260" t="s">
        <v>2307</v>
      </c>
      <c r="B1260" t="b">
        <v>0</v>
      </c>
      <c r="H1260" t="s">
        <v>1062</v>
      </c>
      <c r="I1260" t="s">
        <v>2084</v>
      </c>
      <c r="J1260" t="s">
        <v>2872</v>
      </c>
      <c r="L1260" t="s">
        <v>818</v>
      </c>
    </row>
    <row r="1261" spans="1:12" ht="13.2">
      <c r="A1261" t="s">
        <v>2308</v>
      </c>
      <c r="B1261" t="b">
        <v>0</v>
      </c>
      <c r="C1261" t="s">
        <v>903</v>
      </c>
      <c r="D1261" t="s">
        <v>903</v>
      </c>
      <c r="E1261" t="s">
        <v>903</v>
      </c>
      <c r="H1261" t="s">
        <v>903</v>
      </c>
      <c r="I1261" t="s">
        <v>2084</v>
      </c>
      <c r="J1261" t="s">
        <v>2901</v>
      </c>
      <c r="K1261">
        <v>3000</v>
      </c>
      <c r="L1261" t="s">
        <v>818</v>
      </c>
    </row>
    <row r="1262" spans="1:12" ht="13.2">
      <c r="A1262" t="s">
        <v>2309</v>
      </c>
      <c r="B1262" t="b">
        <v>0</v>
      </c>
      <c r="C1262" t="s">
        <v>903</v>
      </c>
      <c r="D1262" t="s">
        <v>998</v>
      </c>
      <c r="E1262" t="s">
        <v>1080</v>
      </c>
      <c r="H1262" t="s">
        <v>903</v>
      </c>
      <c r="I1262" t="s">
        <v>2084</v>
      </c>
      <c r="J1262" t="s">
        <v>2901</v>
      </c>
      <c r="K1262">
        <v>3000</v>
      </c>
      <c r="L1262" t="s">
        <v>818</v>
      </c>
    </row>
    <row r="1263" spans="1:12" ht="13.2">
      <c r="A1263" t="s">
        <v>2310</v>
      </c>
      <c r="B1263" t="b">
        <v>0</v>
      </c>
      <c r="C1263" t="s">
        <v>963</v>
      </c>
      <c r="D1263" t="s">
        <v>963</v>
      </c>
      <c r="E1263" t="s">
        <v>963</v>
      </c>
      <c r="H1263" t="s">
        <v>963</v>
      </c>
      <c r="I1263" t="s">
        <v>2084</v>
      </c>
      <c r="J1263" t="s">
        <v>2901</v>
      </c>
      <c r="K1263">
        <v>3000</v>
      </c>
      <c r="L1263" t="s">
        <v>818</v>
      </c>
    </row>
    <row r="1264" spans="1:12" ht="13.2">
      <c r="A1264" t="s">
        <v>2311</v>
      </c>
      <c r="B1264" t="b">
        <v>0</v>
      </c>
      <c r="C1264" t="s">
        <v>1108</v>
      </c>
      <c r="D1264" t="s">
        <v>1026</v>
      </c>
      <c r="E1264" t="s">
        <v>1108</v>
      </c>
      <c r="H1264" t="s">
        <v>903</v>
      </c>
      <c r="I1264" t="s">
        <v>2084</v>
      </c>
      <c r="J1264" t="s">
        <v>2901</v>
      </c>
      <c r="K1264">
        <v>3000</v>
      </c>
      <c r="L1264" t="s">
        <v>818</v>
      </c>
    </row>
    <row r="1265" spans="1:12" ht="13.2">
      <c r="A1265" t="s">
        <v>2312</v>
      </c>
      <c r="B1265" t="b">
        <v>0</v>
      </c>
      <c r="C1265" t="s">
        <v>903</v>
      </c>
      <c r="D1265" t="s">
        <v>998</v>
      </c>
      <c r="E1265" t="s">
        <v>1080</v>
      </c>
      <c r="F1265" t="s">
        <v>1698</v>
      </c>
      <c r="H1265" t="s">
        <v>903</v>
      </c>
      <c r="I1265" t="s">
        <v>2084</v>
      </c>
      <c r="J1265" t="s">
        <v>2901</v>
      </c>
      <c r="K1265">
        <v>3000</v>
      </c>
      <c r="L1265" t="s">
        <v>818</v>
      </c>
    </row>
    <row r="1266" spans="1:12" ht="13.2">
      <c r="A1266" t="s">
        <v>2313</v>
      </c>
      <c r="B1266" t="b">
        <v>0</v>
      </c>
      <c r="C1266" t="s">
        <v>1108</v>
      </c>
      <c r="D1266" t="s">
        <v>1026</v>
      </c>
      <c r="E1266" t="s">
        <v>1108</v>
      </c>
      <c r="H1266" t="s">
        <v>903</v>
      </c>
      <c r="I1266" t="s">
        <v>2084</v>
      </c>
      <c r="J1266" t="s">
        <v>2901</v>
      </c>
      <c r="K1266">
        <v>3000</v>
      </c>
      <c r="L1266" t="s">
        <v>818</v>
      </c>
    </row>
    <row r="1267" spans="1:12" ht="13.2">
      <c r="A1267" t="s">
        <v>2314</v>
      </c>
      <c r="B1267" t="b">
        <v>0</v>
      </c>
      <c r="H1267" t="s">
        <v>1062</v>
      </c>
      <c r="I1267" t="s">
        <v>2084</v>
      </c>
      <c r="J1267" t="s">
        <v>2901</v>
      </c>
      <c r="K1267">
        <v>3000</v>
      </c>
      <c r="L1267" t="s">
        <v>818</v>
      </c>
    </row>
    <row r="1268" spans="1:12" ht="13.2">
      <c r="A1268" t="s">
        <v>2315</v>
      </c>
      <c r="B1268" t="b">
        <v>0</v>
      </c>
      <c r="C1268" t="s">
        <v>1086</v>
      </c>
      <c r="D1268" t="s">
        <v>998</v>
      </c>
      <c r="E1268" t="s">
        <v>1086</v>
      </c>
      <c r="F1268" t="s">
        <v>1702</v>
      </c>
      <c r="H1268" t="s">
        <v>903</v>
      </c>
      <c r="I1268" t="s">
        <v>2084</v>
      </c>
      <c r="J1268" t="s">
        <v>2901</v>
      </c>
      <c r="K1268">
        <v>3000</v>
      </c>
      <c r="L1268" t="s">
        <v>818</v>
      </c>
    </row>
    <row r="1269" spans="1:12" ht="13.2">
      <c r="A1269" t="s">
        <v>2316</v>
      </c>
      <c r="B1269" t="b">
        <v>0</v>
      </c>
      <c r="C1269" t="s">
        <v>903</v>
      </c>
      <c r="D1269" t="s">
        <v>1143</v>
      </c>
      <c r="E1269" t="s">
        <v>903</v>
      </c>
      <c r="H1269" t="s">
        <v>903</v>
      </c>
      <c r="I1269" t="s">
        <v>2084</v>
      </c>
      <c r="J1269" t="s">
        <v>2901</v>
      </c>
      <c r="K1269">
        <v>3000</v>
      </c>
      <c r="L1269" t="s">
        <v>818</v>
      </c>
    </row>
    <row r="1270" spans="1:12" ht="13.2">
      <c r="A1270" t="s">
        <v>2317</v>
      </c>
      <c r="B1270" t="b">
        <v>0</v>
      </c>
      <c r="C1270" t="s">
        <v>1131</v>
      </c>
      <c r="D1270" t="s">
        <v>998</v>
      </c>
      <c r="E1270" t="s">
        <v>1131</v>
      </c>
      <c r="H1270" t="s">
        <v>1062</v>
      </c>
      <c r="I1270" t="s">
        <v>2084</v>
      </c>
      <c r="J1270" t="s">
        <v>2901</v>
      </c>
      <c r="K1270">
        <v>3000</v>
      </c>
      <c r="L1270" t="s">
        <v>818</v>
      </c>
    </row>
    <row r="1271" spans="1:12" ht="13.2">
      <c r="A1271" t="s">
        <v>2318</v>
      </c>
      <c r="B1271" t="b">
        <v>0</v>
      </c>
      <c r="C1271" t="s">
        <v>1131</v>
      </c>
      <c r="D1271" t="s">
        <v>998</v>
      </c>
      <c r="E1271" t="s">
        <v>1080</v>
      </c>
      <c r="H1271" t="s">
        <v>1062</v>
      </c>
      <c r="I1271" t="s">
        <v>2084</v>
      </c>
      <c r="J1271" t="s">
        <v>2901</v>
      </c>
      <c r="K1271">
        <v>3000</v>
      </c>
      <c r="L1271" t="s">
        <v>818</v>
      </c>
    </row>
    <row r="1272" spans="1:12" ht="13.2">
      <c r="A1272" t="s">
        <v>2319</v>
      </c>
      <c r="B1272" t="b">
        <v>0</v>
      </c>
      <c r="C1272" t="s">
        <v>903</v>
      </c>
      <c r="D1272" t="s">
        <v>903</v>
      </c>
      <c r="E1272" t="s">
        <v>1080</v>
      </c>
      <c r="H1272" t="s">
        <v>1062</v>
      </c>
      <c r="I1272" t="s">
        <v>2084</v>
      </c>
      <c r="J1272" t="s">
        <v>2901</v>
      </c>
      <c r="K1272">
        <v>3000</v>
      </c>
      <c r="L1272" t="s">
        <v>818</v>
      </c>
    </row>
    <row r="1273" spans="1:12" ht="13.2">
      <c r="A1273" t="s">
        <v>2320</v>
      </c>
      <c r="B1273" t="b">
        <v>0</v>
      </c>
      <c r="C1273" t="s">
        <v>1131</v>
      </c>
      <c r="D1273" t="s">
        <v>998</v>
      </c>
      <c r="E1273" t="s">
        <v>1131</v>
      </c>
      <c r="H1273" t="s">
        <v>1062</v>
      </c>
      <c r="I1273" t="s">
        <v>2084</v>
      </c>
      <c r="J1273" t="s">
        <v>2901</v>
      </c>
      <c r="K1273">
        <v>3000</v>
      </c>
      <c r="L1273" t="s">
        <v>818</v>
      </c>
    </row>
    <row r="1274" spans="1:12" ht="13.2">
      <c r="A1274" t="s">
        <v>2321</v>
      </c>
      <c r="B1274" t="b">
        <v>0</v>
      </c>
      <c r="C1274" t="s">
        <v>963</v>
      </c>
      <c r="D1274" t="s">
        <v>963</v>
      </c>
      <c r="E1274" t="s">
        <v>1080</v>
      </c>
      <c r="H1274" t="s">
        <v>1062</v>
      </c>
      <c r="I1274" t="s">
        <v>2084</v>
      </c>
      <c r="J1274" t="s">
        <v>2901</v>
      </c>
      <c r="K1274">
        <v>3000</v>
      </c>
      <c r="L1274" t="s">
        <v>818</v>
      </c>
    </row>
    <row r="1275" spans="1:12" ht="13.2">
      <c r="A1275" t="s">
        <v>2322</v>
      </c>
      <c r="B1275" t="b">
        <v>0</v>
      </c>
      <c r="C1275" t="s">
        <v>963</v>
      </c>
      <c r="D1275" t="s">
        <v>963</v>
      </c>
      <c r="E1275" t="s">
        <v>963</v>
      </c>
      <c r="H1275" t="s">
        <v>1062</v>
      </c>
      <c r="I1275" t="s">
        <v>2084</v>
      </c>
      <c r="J1275" t="s">
        <v>2901</v>
      </c>
      <c r="K1275">
        <v>3000</v>
      </c>
      <c r="L1275" t="s">
        <v>818</v>
      </c>
    </row>
    <row r="1276" spans="1:12" ht="13.2">
      <c r="A1276" t="s">
        <v>2323</v>
      </c>
      <c r="B1276" t="b">
        <v>0</v>
      </c>
      <c r="C1276" t="s">
        <v>1711</v>
      </c>
      <c r="D1276" t="s">
        <v>963</v>
      </c>
      <c r="E1276" t="s">
        <v>963</v>
      </c>
      <c r="H1276" t="s">
        <v>1062</v>
      </c>
      <c r="I1276" t="s">
        <v>2084</v>
      </c>
      <c r="J1276" t="s">
        <v>2901</v>
      </c>
      <c r="K1276">
        <v>3000</v>
      </c>
      <c r="L1276" t="s">
        <v>818</v>
      </c>
    </row>
    <row r="1277" spans="1:12" ht="13.2">
      <c r="A1277" t="s">
        <v>2324</v>
      </c>
      <c r="B1277" t="b">
        <v>0</v>
      </c>
      <c r="H1277" t="s">
        <v>1062</v>
      </c>
      <c r="I1277" t="s">
        <v>2084</v>
      </c>
      <c r="J1277" t="s">
        <v>2857</v>
      </c>
      <c r="L1277" t="s">
        <v>818</v>
      </c>
    </row>
    <row r="1278" spans="1:12" ht="13.2">
      <c r="A1278" t="s">
        <v>2325</v>
      </c>
      <c r="B1278" t="b">
        <v>0</v>
      </c>
      <c r="H1278" t="s">
        <v>1062</v>
      </c>
      <c r="I1278" t="s">
        <v>2084</v>
      </c>
      <c r="J1278" t="s">
        <v>2857</v>
      </c>
      <c r="L1278" t="s">
        <v>818</v>
      </c>
    </row>
    <row r="1279" spans="1:12" ht="13.2">
      <c r="A1279" t="s">
        <v>2326</v>
      </c>
      <c r="B1279" t="b">
        <v>0</v>
      </c>
      <c r="H1279" t="s">
        <v>1062</v>
      </c>
      <c r="I1279" t="s">
        <v>2084</v>
      </c>
      <c r="J1279" t="s">
        <v>2857</v>
      </c>
      <c r="L1279" t="s">
        <v>818</v>
      </c>
    </row>
    <row r="1280" spans="1:12" ht="13.2">
      <c r="A1280" t="s">
        <v>2327</v>
      </c>
      <c r="B1280" t="b">
        <v>0</v>
      </c>
      <c r="H1280" t="s">
        <v>1062</v>
      </c>
      <c r="I1280" t="s">
        <v>2084</v>
      </c>
      <c r="J1280" t="s">
        <v>2857</v>
      </c>
      <c r="L1280" t="s">
        <v>818</v>
      </c>
    </row>
    <row r="1281" spans="1:12" ht="13.2">
      <c r="A1281" t="s">
        <v>2328</v>
      </c>
      <c r="B1281" t="b">
        <v>0</v>
      </c>
      <c r="H1281" t="s">
        <v>1062</v>
      </c>
      <c r="I1281" t="s">
        <v>2084</v>
      </c>
      <c r="J1281" t="s">
        <v>2857</v>
      </c>
      <c r="L1281" t="s">
        <v>818</v>
      </c>
    </row>
    <row r="1282" spans="1:12" ht="13.2">
      <c r="A1282" t="s">
        <v>2329</v>
      </c>
      <c r="B1282" t="b">
        <v>0</v>
      </c>
      <c r="H1282" t="s">
        <v>1062</v>
      </c>
      <c r="I1282" t="s">
        <v>2084</v>
      </c>
      <c r="J1282" t="s">
        <v>2857</v>
      </c>
      <c r="L1282" t="s">
        <v>818</v>
      </c>
    </row>
    <row r="1283" spans="1:12" ht="13.2">
      <c r="A1283" t="s">
        <v>2330</v>
      </c>
      <c r="B1283" t="b">
        <v>0</v>
      </c>
      <c r="H1283" t="s">
        <v>1062</v>
      </c>
      <c r="I1283" t="s">
        <v>2084</v>
      </c>
      <c r="J1283" t="s">
        <v>2857</v>
      </c>
      <c r="L1283" t="s">
        <v>818</v>
      </c>
    </row>
    <row r="1284" spans="1:12" ht="13.2">
      <c r="A1284" t="s">
        <v>2331</v>
      </c>
      <c r="B1284" t="b">
        <v>0</v>
      </c>
      <c r="H1284" t="s">
        <v>1062</v>
      </c>
      <c r="I1284" t="s">
        <v>2084</v>
      </c>
      <c r="J1284" t="s">
        <v>2857</v>
      </c>
      <c r="L1284" t="s">
        <v>818</v>
      </c>
    </row>
    <row r="1285" spans="1:12" ht="13.2">
      <c r="A1285" t="s">
        <v>2332</v>
      </c>
      <c r="B1285" t="b">
        <v>0</v>
      </c>
      <c r="H1285" t="s">
        <v>1062</v>
      </c>
      <c r="I1285" t="s">
        <v>2084</v>
      </c>
      <c r="J1285" t="s">
        <v>2857</v>
      </c>
      <c r="L1285" t="s">
        <v>818</v>
      </c>
    </row>
    <row r="1286" spans="1:12" ht="13.2">
      <c r="A1286" t="s">
        <v>2333</v>
      </c>
      <c r="B1286" t="b">
        <v>0</v>
      </c>
      <c r="H1286" t="s">
        <v>1062</v>
      </c>
      <c r="I1286" t="s">
        <v>2084</v>
      </c>
      <c r="J1286" t="s">
        <v>2857</v>
      </c>
      <c r="L1286" t="s">
        <v>818</v>
      </c>
    </row>
    <row r="1287" spans="1:12" ht="13.2">
      <c r="A1287" t="s">
        <v>2334</v>
      </c>
      <c r="B1287" t="b">
        <v>0</v>
      </c>
      <c r="H1287" t="s">
        <v>1062</v>
      </c>
      <c r="I1287" t="s">
        <v>2084</v>
      </c>
      <c r="J1287" t="s">
        <v>2872</v>
      </c>
      <c r="L1287" t="s">
        <v>818</v>
      </c>
    </row>
    <row r="1288" spans="1:12" ht="13.2">
      <c r="A1288" t="s">
        <v>2335</v>
      </c>
      <c r="B1288" t="b">
        <v>0</v>
      </c>
      <c r="H1288" t="s">
        <v>1062</v>
      </c>
      <c r="I1288" t="s">
        <v>2084</v>
      </c>
      <c r="J1288" t="s">
        <v>2858</v>
      </c>
      <c r="K1288">
        <v>3000</v>
      </c>
      <c r="L1288" t="s">
        <v>818</v>
      </c>
    </row>
    <row r="1289" spans="1:12" ht="13.2">
      <c r="A1289" t="s">
        <v>2336</v>
      </c>
      <c r="B1289" t="b">
        <v>0</v>
      </c>
      <c r="H1289" t="s">
        <v>1062</v>
      </c>
      <c r="I1289" t="s">
        <v>2084</v>
      </c>
      <c r="J1289" t="s">
        <v>2858</v>
      </c>
      <c r="K1289">
        <v>3000</v>
      </c>
      <c r="L1289" t="s">
        <v>818</v>
      </c>
    </row>
    <row r="1290" spans="1:12" ht="13.2">
      <c r="A1290" t="s">
        <v>2337</v>
      </c>
      <c r="B1290" t="b">
        <v>0</v>
      </c>
      <c r="C1290" t="s">
        <v>903</v>
      </c>
      <c r="D1290" t="s">
        <v>903</v>
      </c>
      <c r="E1290" t="s">
        <v>903</v>
      </c>
      <c r="H1290" t="s">
        <v>1062</v>
      </c>
      <c r="I1290" t="s">
        <v>2084</v>
      </c>
      <c r="J1290" t="s">
        <v>2858</v>
      </c>
      <c r="K1290">
        <v>3000</v>
      </c>
      <c r="L1290" t="s">
        <v>818</v>
      </c>
    </row>
    <row r="1291" spans="1:12" ht="13.2">
      <c r="A1291" t="s">
        <v>2338</v>
      </c>
      <c r="B1291" t="b">
        <v>0</v>
      </c>
      <c r="H1291" t="s">
        <v>1062</v>
      </c>
      <c r="I1291" t="s">
        <v>2084</v>
      </c>
      <c r="J1291" t="s">
        <v>2858</v>
      </c>
      <c r="K1291">
        <v>3000</v>
      </c>
      <c r="L1291" t="s">
        <v>818</v>
      </c>
    </row>
    <row r="1292" spans="1:12" ht="13.2">
      <c r="A1292" t="s">
        <v>2339</v>
      </c>
      <c r="B1292" t="b">
        <v>0</v>
      </c>
      <c r="C1292" t="s">
        <v>1086</v>
      </c>
      <c r="D1292" t="s">
        <v>998</v>
      </c>
      <c r="E1292" t="s">
        <v>1736</v>
      </c>
      <c r="H1292" t="s">
        <v>1062</v>
      </c>
      <c r="I1292" t="s">
        <v>2084</v>
      </c>
      <c r="J1292" t="s">
        <v>2858</v>
      </c>
      <c r="K1292">
        <v>3000</v>
      </c>
      <c r="L1292" t="s">
        <v>818</v>
      </c>
    </row>
    <row r="1293" spans="1:12" ht="13.2">
      <c r="A1293" t="s">
        <v>2340</v>
      </c>
      <c r="B1293" t="b">
        <v>0</v>
      </c>
      <c r="C1293" t="s">
        <v>903</v>
      </c>
      <c r="D1293" t="s">
        <v>998</v>
      </c>
      <c r="E1293" t="s">
        <v>1736</v>
      </c>
      <c r="H1293" t="s">
        <v>1062</v>
      </c>
      <c r="I1293" t="s">
        <v>2084</v>
      </c>
      <c r="J1293" t="s">
        <v>2858</v>
      </c>
      <c r="K1293">
        <v>3000</v>
      </c>
      <c r="L1293" t="s">
        <v>818</v>
      </c>
    </row>
    <row r="1294" spans="1:12" ht="13.2">
      <c r="A1294" t="s">
        <v>2341</v>
      </c>
      <c r="B1294" t="b">
        <v>0</v>
      </c>
      <c r="H1294" t="s">
        <v>1062</v>
      </c>
      <c r="I1294" t="s">
        <v>2084</v>
      </c>
      <c r="J1294" t="s">
        <v>2858</v>
      </c>
      <c r="K1294">
        <v>3000</v>
      </c>
      <c r="L1294" t="s">
        <v>818</v>
      </c>
    </row>
    <row r="1295" spans="1:12" ht="13.2">
      <c r="A1295" t="s">
        <v>2342</v>
      </c>
      <c r="B1295" t="b">
        <v>0</v>
      </c>
      <c r="C1295" t="s">
        <v>963</v>
      </c>
      <c r="D1295" t="s">
        <v>998</v>
      </c>
      <c r="E1295" t="s">
        <v>1736</v>
      </c>
      <c r="H1295" t="s">
        <v>1062</v>
      </c>
      <c r="I1295" t="s">
        <v>2084</v>
      </c>
      <c r="J1295" t="s">
        <v>2858</v>
      </c>
      <c r="K1295">
        <v>3000</v>
      </c>
      <c r="L1295" t="s">
        <v>818</v>
      </c>
    </row>
    <row r="1296" spans="1:12" ht="13.2">
      <c r="A1296" t="s">
        <v>2343</v>
      </c>
      <c r="B1296" t="b">
        <v>0</v>
      </c>
      <c r="C1296" t="s">
        <v>1086</v>
      </c>
      <c r="D1296" t="s">
        <v>998</v>
      </c>
      <c r="E1296" t="s">
        <v>1736</v>
      </c>
      <c r="H1296" t="s">
        <v>1062</v>
      </c>
      <c r="I1296" t="s">
        <v>2084</v>
      </c>
      <c r="J1296" t="s">
        <v>2858</v>
      </c>
      <c r="K1296">
        <v>3000</v>
      </c>
      <c r="L1296" t="s">
        <v>818</v>
      </c>
    </row>
    <row r="1297" spans="1:12" ht="13.2">
      <c r="A1297" t="s">
        <v>2344</v>
      </c>
      <c r="B1297" t="b">
        <v>0</v>
      </c>
      <c r="C1297" t="s">
        <v>903</v>
      </c>
      <c r="D1297" t="s">
        <v>903</v>
      </c>
      <c r="E1297" t="s">
        <v>903</v>
      </c>
      <c r="H1297" t="s">
        <v>1062</v>
      </c>
      <c r="I1297" t="s">
        <v>2084</v>
      </c>
      <c r="J1297" t="s">
        <v>2858</v>
      </c>
      <c r="K1297">
        <v>3000</v>
      </c>
      <c r="L1297" t="s">
        <v>818</v>
      </c>
    </row>
    <row r="1298" spans="1:12" ht="13.2">
      <c r="A1298" t="s">
        <v>2345</v>
      </c>
      <c r="B1298" t="b">
        <v>0</v>
      </c>
      <c r="H1298" t="s">
        <v>1062</v>
      </c>
      <c r="I1298" t="s">
        <v>2084</v>
      </c>
      <c r="J1298" t="s">
        <v>2858</v>
      </c>
      <c r="K1298">
        <v>3000</v>
      </c>
      <c r="L1298" t="s">
        <v>818</v>
      </c>
    </row>
    <row r="1299" spans="1:12" ht="13.2">
      <c r="A1299" t="s">
        <v>2346</v>
      </c>
      <c r="B1299" t="b">
        <v>0</v>
      </c>
      <c r="H1299" t="s">
        <v>1062</v>
      </c>
      <c r="I1299" t="s">
        <v>2084</v>
      </c>
      <c r="J1299" t="s">
        <v>2872</v>
      </c>
      <c r="L1299" t="s">
        <v>818</v>
      </c>
    </row>
    <row r="1300" spans="1:12" ht="13.2">
      <c r="A1300" t="s">
        <v>2347</v>
      </c>
      <c r="B1300" t="b">
        <v>0</v>
      </c>
      <c r="C1300" t="s">
        <v>903</v>
      </c>
      <c r="D1300" t="s">
        <v>903</v>
      </c>
      <c r="E1300" t="s">
        <v>903</v>
      </c>
      <c r="H1300" t="s">
        <v>1062</v>
      </c>
      <c r="I1300" t="s">
        <v>2084</v>
      </c>
      <c r="J1300" t="s">
        <v>2872</v>
      </c>
      <c r="L1300" t="s">
        <v>818</v>
      </c>
    </row>
    <row r="1301" spans="1:12" ht="13.2">
      <c r="A1301" t="s">
        <v>2348</v>
      </c>
      <c r="B1301" t="b">
        <v>0</v>
      </c>
      <c r="H1301" t="s">
        <v>1062</v>
      </c>
      <c r="I1301" t="s">
        <v>2084</v>
      </c>
      <c r="J1301" t="s">
        <v>2867</v>
      </c>
      <c r="K1301">
        <v>3000</v>
      </c>
      <c r="L1301" t="s">
        <v>818</v>
      </c>
    </row>
    <row r="1302" spans="1:12" ht="13.2">
      <c r="A1302" t="s">
        <v>2349</v>
      </c>
      <c r="B1302" t="b">
        <v>0</v>
      </c>
      <c r="H1302" t="s">
        <v>1062</v>
      </c>
      <c r="I1302" t="s">
        <v>2084</v>
      </c>
      <c r="J1302" t="s">
        <v>2867</v>
      </c>
      <c r="K1302">
        <v>3000</v>
      </c>
      <c r="L1302" t="s">
        <v>818</v>
      </c>
    </row>
    <row r="1303" spans="1:12" ht="13.2">
      <c r="A1303" t="s">
        <v>2350</v>
      </c>
      <c r="B1303" t="b">
        <v>0</v>
      </c>
      <c r="H1303" t="s">
        <v>1062</v>
      </c>
      <c r="I1303" t="s">
        <v>2084</v>
      </c>
      <c r="J1303" t="s">
        <v>2867</v>
      </c>
      <c r="K1303">
        <v>3000</v>
      </c>
      <c r="L1303" t="s">
        <v>818</v>
      </c>
    </row>
    <row r="1304" spans="1:12" ht="13.2">
      <c r="A1304" t="s">
        <v>2351</v>
      </c>
      <c r="B1304" t="b">
        <v>0</v>
      </c>
      <c r="H1304" t="s">
        <v>1062</v>
      </c>
      <c r="I1304" t="s">
        <v>2084</v>
      </c>
      <c r="J1304" t="s">
        <v>2867</v>
      </c>
      <c r="K1304">
        <v>3000</v>
      </c>
      <c r="L1304" t="s">
        <v>818</v>
      </c>
    </row>
    <row r="1305" spans="1:12" ht="13.2">
      <c r="A1305" t="s">
        <v>2352</v>
      </c>
      <c r="B1305" t="b">
        <v>0</v>
      </c>
      <c r="H1305" t="s">
        <v>1062</v>
      </c>
      <c r="I1305" t="s">
        <v>2084</v>
      </c>
      <c r="J1305" t="s">
        <v>2867</v>
      </c>
      <c r="K1305">
        <v>3000</v>
      </c>
      <c r="L1305" t="s">
        <v>818</v>
      </c>
    </row>
    <row r="1306" spans="1:12" ht="13.2">
      <c r="A1306" t="s">
        <v>2353</v>
      </c>
      <c r="B1306" t="b">
        <v>0</v>
      </c>
      <c r="C1306" t="s">
        <v>903</v>
      </c>
      <c r="E1306" t="s">
        <v>903</v>
      </c>
      <c r="G1306" t="s">
        <v>903</v>
      </c>
      <c r="H1306" t="s">
        <v>903</v>
      </c>
      <c r="I1306" t="s">
        <v>2084</v>
      </c>
      <c r="J1306" t="s">
        <v>2867</v>
      </c>
      <c r="K1306">
        <v>3000</v>
      </c>
      <c r="L1306" t="s">
        <v>818</v>
      </c>
    </row>
    <row r="1307" spans="1:12" ht="13.2">
      <c r="A1307" t="s">
        <v>2354</v>
      </c>
      <c r="B1307" t="b">
        <v>0</v>
      </c>
      <c r="H1307" t="s">
        <v>1062</v>
      </c>
      <c r="I1307" t="s">
        <v>2084</v>
      </c>
      <c r="J1307" t="s">
        <v>2867</v>
      </c>
      <c r="K1307">
        <v>3000</v>
      </c>
      <c r="L1307" t="s">
        <v>818</v>
      </c>
    </row>
    <row r="1308" spans="1:12" ht="13.2">
      <c r="A1308" t="s">
        <v>2355</v>
      </c>
      <c r="B1308" t="b">
        <v>0</v>
      </c>
      <c r="H1308" t="s">
        <v>1062</v>
      </c>
      <c r="I1308" t="s">
        <v>2084</v>
      </c>
      <c r="J1308" t="s">
        <v>2867</v>
      </c>
      <c r="K1308">
        <v>3000</v>
      </c>
      <c r="L1308" t="s">
        <v>818</v>
      </c>
    </row>
    <row r="1309" spans="1:12" ht="13.2">
      <c r="A1309" t="s">
        <v>2356</v>
      </c>
      <c r="B1309" t="b">
        <v>0</v>
      </c>
      <c r="H1309" t="s">
        <v>1062</v>
      </c>
      <c r="I1309" t="s">
        <v>2084</v>
      </c>
      <c r="J1309" t="s">
        <v>2867</v>
      </c>
      <c r="K1309">
        <v>3000</v>
      </c>
      <c r="L1309" t="s">
        <v>818</v>
      </c>
    </row>
    <row r="1310" spans="1:12" ht="13.2">
      <c r="A1310" t="s">
        <v>2357</v>
      </c>
      <c r="B1310" t="b">
        <v>0</v>
      </c>
      <c r="H1310" t="s">
        <v>1062</v>
      </c>
      <c r="I1310" t="s">
        <v>2084</v>
      </c>
      <c r="J1310" t="s">
        <v>2867</v>
      </c>
      <c r="K1310">
        <v>3000</v>
      </c>
      <c r="L1310" t="s">
        <v>818</v>
      </c>
    </row>
    <row r="1311" spans="1:12" ht="13.2">
      <c r="A1311" t="s">
        <v>2358</v>
      </c>
      <c r="B1311" t="b">
        <v>0</v>
      </c>
      <c r="H1311" t="s">
        <v>1062</v>
      </c>
      <c r="I1311" t="s">
        <v>2084</v>
      </c>
      <c r="J1311" t="s">
        <v>2867</v>
      </c>
      <c r="K1311">
        <v>3000</v>
      </c>
      <c r="L1311" t="s">
        <v>818</v>
      </c>
    </row>
    <row r="1312" spans="1:12" ht="13.2">
      <c r="A1312" t="s">
        <v>2359</v>
      </c>
      <c r="B1312" t="b">
        <v>0</v>
      </c>
      <c r="H1312" t="s">
        <v>1062</v>
      </c>
      <c r="I1312" t="s">
        <v>2084</v>
      </c>
      <c r="J1312" t="s">
        <v>2867</v>
      </c>
      <c r="K1312">
        <v>3000</v>
      </c>
      <c r="L1312" t="s">
        <v>818</v>
      </c>
    </row>
    <row r="1313" spans="1:12" ht="13.2">
      <c r="A1313" t="s">
        <v>2360</v>
      </c>
      <c r="B1313" t="b">
        <v>0</v>
      </c>
      <c r="H1313" t="s">
        <v>1062</v>
      </c>
      <c r="I1313" t="s">
        <v>2084</v>
      </c>
      <c r="J1313" t="s">
        <v>2867</v>
      </c>
      <c r="K1313">
        <v>3000</v>
      </c>
      <c r="L1313" t="s">
        <v>818</v>
      </c>
    </row>
    <row r="1314" spans="1:12" ht="13.2">
      <c r="A1314" t="s">
        <v>2361</v>
      </c>
      <c r="B1314" t="b">
        <v>0</v>
      </c>
      <c r="C1314" t="s">
        <v>903</v>
      </c>
      <c r="D1314" t="s">
        <v>903</v>
      </c>
      <c r="E1314" t="s">
        <v>903</v>
      </c>
      <c r="H1314" t="s">
        <v>1062</v>
      </c>
      <c r="I1314" t="s">
        <v>2084</v>
      </c>
      <c r="J1314" t="s">
        <v>2869</v>
      </c>
      <c r="K1314">
        <v>3000</v>
      </c>
      <c r="L1314" t="s">
        <v>818</v>
      </c>
    </row>
    <row r="1315" spans="1:12" ht="13.2">
      <c r="A1315" t="s">
        <v>2362</v>
      </c>
      <c r="B1315" t="b">
        <v>0</v>
      </c>
      <c r="C1315" t="s">
        <v>903</v>
      </c>
      <c r="D1315" t="s">
        <v>998</v>
      </c>
      <c r="E1315" t="s">
        <v>1080</v>
      </c>
      <c r="H1315" t="s">
        <v>1062</v>
      </c>
      <c r="I1315" t="s">
        <v>2084</v>
      </c>
      <c r="J1315" t="s">
        <v>2869</v>
      </c>
      <c r="K1315">
        <v>3000</v>
      </c>
      <c r="L1315" t="s">
        <v>818</v>
      </c>
    </row>
    <row r="1316" spans="1:12" ht="13.2">
      <c r="A1316" t="s">
        <v>2363</v>
      </c>
      <c r="B1316" t="b">
        <v>0</v>
      </c>
      <c r="C1316" t="s">
        <v>903</v>
      </c>
      <c r="D1316" t="s">
        <v>998</v>
      </c>
      <c r="E1316" t="s">
        <v>1080</v>
      </c>
      <c r="H1316" t="s">
        <v>1062</v>
      </c>
      <c r="I1316" t="s">
        <v>2084</v>
      </c>
      <c r="J1316" t="s">
        <v>2869</v>
      </c>
      <c r="K1316">
        <v>3000</v>
      </c>
      <c r="L1316" t="s">
        <v>818</v>
      </c>
    </row>
    <row r="1317" spans="1:12" ht="13.2">
      <c r="A1317" t="s">
        <v>2364</v>
      </c>
      <c r="B1317" t="b">
        <v>0</v>
      </c>
      <c r="C1317" t="s">
        <v>903</v>
      </c>
      <c r="D1317" t="s">
        <v>998</v>
      </c>
      <c r="E1317" t="s">
        <v>1080</v>
      </c>
      <c r="H1317" t="s">
        <v>1062</v>
      </c>
      <c r="I1317" t="s">
        <v>2084</v>
      </c>
      <c r="J1317" t="s">
        <v>2869</v>
      </c>
      <c r="K1317">
        <v>3000</v>
      </c>
      <c r="L1317" t="s">
        <v>818</v>
      </c>
    </row>
    <row r="1318" spans="1:12" ht="13.2">
      <c r="A1318" t="s">
        <v>2365</v>
      </c>
      <c r="B1318" t="b">
        <v>0</v>
      </c>
      <c r="C1318" t="s">
        <v>1086</v>
      </c>
      <c r="D1318" t="s">
        <v>998</v>
      </c>
      <c r="E1318" t="s">
        <v>1080</v>
      </c>
      <c r="H1318" t="s">
        <v>1062</v>
      </c>
      <c r="I1318" t="s">
        <v>2084</v>
      </c>
      <c r="J1318" t="s">
        <v>2869</v>
      </c>
      <c r="K1318">
        <v>3000</v>
      </c>
      <c r="L1318" t="s">
        <v>818</v>
      </c>
    </row>
    <row r="1319" spans="1:12" ht="13.2">
      <c r="A1319" t="s">
        <v>2366</v>
      </c>
      <c r="B1319" t="b">
        <v>0</v>
      </c>
      <c r="H1319" t="s">
        <v>1062</v>
      </c>
      <c r="I1319" t="s">
        <v>2084</v>
      </c>
      <c r="J1319" t="s">
        <v>2869</v>
      </c>
      <c r="K1319">
        <v>3000</v>
      </c>
      <c r="L1319" t="s">
        <v>818</v>
      </c>
    </row>
    <row r="1320" spans="1:12" ht="13.2">
      <c r="A1320" t="s">
        <v>2367</v>
      </c>
      <c r="B1320" t="b">
        <v>0</v>
      </c>
      <c r="H1320" t="s">
        <v>1062</v>
      </c>
      <c r="I1320" t="s">
        <v>2084</v>
      </c>
      <c r="J1320" t="s">
        <v>2869</v>
      </c>
      <c r="K1320">
        <v>3000</v>
      </c>
      <c r="L1320" t="s">
        <v>818</v>
      </c>
    </row>
    <row r="1321" spans="1:12" ht="13.2">
      <c r="A1321" t="s">
        <v>2368</v>
      </c>
      <c r="B1321" t="b">
        <v>0</v>
      </c>
      <c r="H1321" t="s">
        <v>1062</v>
      </c>
      <c r="I1321" t="s">
        <v>2084</v>
      </c>
      <c r="J1321" t="s">
        <v>2872</v>
      </c>
      <c r="L1321" t="s">
        <v>818</v>
      </c>
    </row>
    <row r="1322" spans="1:12" ht="13.2">
      <c r="A1322" t="s">
        <v>2369</v>
      </c>
      <c r="B1322" t="b">
        <v>0</v>
      </c>
      <c r="H1322" t="s">
        <v>1062</v>
      </c>
      <c r="I1322" t="s">
        <v>2084</v>
      </c>
      <c r="J1322" t="s">
        <v>2872</v>
      </c>
      <c r="L1322" t="s">
        <v>818</v>
      </c>
    </row>
    <row r="1323" spans="1:12" ht="13.2">
      <c r="A1323" t="s">
        <v>2370</v>
      </c>
      <c r="B1323" t="b">
        <v>0</v>
      </c>
      <c r="H1323" t="s">
        <v>1062</v>
      </c>
      <c r="I1323" t="s">
        <v>2084</v>
      </c>
      <c r="J1323" t="s">
        <v>2872</v>
      </c>
      <c r="L1323" t="s">
        <v>818</v>
      </c>
    </row>
    <row r="1324" spans="1:12" ht="13.2">
      <c r="A1324" t="s">
        <v>2371</v>
      </c>
      <c r="B1324" t="b">
        <v>0</v>
      </c>
      <c r="H1324" t="s">
        <v>1062</v>
      </c>
      <c r="I1324" t="s">
        <v>2084</v>
      </c>
      <c r="J1324" t="s">
        <v>2872</v>
      </c>
      <c r="L1324" t="s">
        <v>818</v>
      </c>
    </row>
    <row r="1325" spans="1:12" ht="13.2">
      <c r="A1325" t="s">
        <v>2372</v>
      </c>
      <c r="B1325" t="b">
        <v>0</v>
      </c>
      <c r="H1325" t="s">
        <v>1062</v>
      </c>
      <c r="I1325" t="s">
        <v>2084</v>
      </c>
      <c r="J1325" t="s">
        <v>2872</v>
      </c>
      <c r="L1325" t="s">
        <v>818</v>
      </c>
    </row>
    <row r="1326" spans="1:12" ht="13.2">
      <c r="A1326" t="s">
        <v>2373</v>
      </c>
      <c r="B1326" t="b">
        <v>0</v>
      </c>
      <c r="H1326" t="s">
        <v>1062</v>
      </c>
      <c r="I1326" t="s">
        <v>2084</v>
      </c>
      <c r="J1326" t="s">
        <v>2872</v>
      </c>
      <c r="L1326" t="s">
        <v>818</v>
      </c>
    </row>
    <row r="1327" spans="1:12" ht="13.2">
      <c r="A1327" t="s">
        <v>2374</v>
      </c>
      <c r="B1327" t="b">
        <v>0</v>
      </c>
      <c r="H1327" t="s">
        <v>1062</v>
      </c>
      <c r="I1327" t="s">
        <v>2084</v>
      </c>
      <c r="J1327" t="s">
        <v>2872</v>
      </c>
      <c r="L1327" t="s">
        <v>818</v>
      </c>
    </row>
    <row r="1328" spans="1:12" ht="13.2">
      <c r="A1328" t="s">
        <v>2375</v>
      </c>
      <c r="B1328" t="b">
        <v>0</v>
      </c>
      <c r="H1328" t="s">
        <v>1062</v>
      </c>
      <c r="I1328" t="s">
        <v>2084</v>
      </c>
      <c r="J1328" t="s">
        <v>2872</v>
      </c>
      <c r="L1328" t="s">
        <v>818</v>
      </c>
    </row>
    <row r="1329" spans="1:12" ht="13.2">
      <c r="A1329" t="s">
        <v>2376</v>
      </c>
      <c r="B1329" t="b">
        <v>0</v>
      </c>
      <c r="H1329" t="s">
        <v>1062</v>
      </c>
      <c r="I1329" t="s">
        <v>2084</v>
      </c>
      <c r="J1329" t="s">
        <v>2872</v>
      </c>
      <c r="L1329" t="s">
        <v>818</v>
      </c>
    </row>
    <row r="1330" spans="1:12" ht="13.2">
      <c r="A1330" t="s">
        <v>2377</v>
      </c>
      <c r="B1330" t="b">
        <v>0</v>
      </c>
      <c r="H1330" t="s">
        <v>1062</v>
      </c>
      <c r="I1330" t="s">
        <v>2084</v>
      </c>
      <c r="J1330" t="s">
        <v>2872</v>
      </c>
      <c r="L1330" t="s">
        <v>818</v>
      </c>
    </row>
    <row r="1331" spans="1:12" ht="13.2">
      <c r="A1331" t="s">
        <v>2378</v>
      </c>
      <c r="B1331" t="b">
        <v>0</v>
      </c>
      <c r="H1331" t="s">
        <v>1062</v>
      </c>
      <c r="I1331" t="s">
        <v>2084</v>
      </c>
      <c r="J1331" t="s">
        <v>2872</v>
      </c>
      <c r="L1331" t="s">
        <v>818</v>
      </c>
    </row>
    <row r="1332" spans="1:12" ht="13.2">
      <c r="A1332" t="s">
        <v>2379</v>
      </c>
      <c r="B1332" t="b">
        <v>0</v>
      </c>
      <c r="H1332" t="s">
        <v>1062</v>
      </c>
      <c r="I1332" t="s">
        <v>2084</v>
      </c>
      <c r="J1332" t="s">
        <v>2872</v>
      </c>
      <c r="L1332" t="s">
        <v>818</v>
      </c>
    </row>
    <row r="1333" spans="1:12" ht="13.2">
      <c r="A1333" t="s">
        <v>2380</v>
      </c>
      <c r="B1333" t="b">
        <v>0</v>
      </c>
      <c r="H1333" t="s">
        <v>1062</v>
      </c>
      <c r="I1333" t="s">
        <v>2084</v>
      </c>
      <c r="J1333" t="s">
        <v>2872</v>
      </c>
      <c r="L1333" t="s">
        <v>818</v>
      </c>
    </row>
    <row r="1334" spans="1:12" ht="13.2">
      <c r="A1334" t="s">
        <v>2381</v>
      </c>
      <c r="B1334" t="b">
        <v>0</v>
      </c>
      <c r="H1334" t="s">
        <v>1062</v>
      </c>
      <c r="I1334" t="s">
        <v>2084</v>
      </c>
      <c r="J1334" t="s">
        <v>2872</v>
      </c>
      <c r="L1334" t="s">
        <v>818</v>
      </c>
    </row>
    <row r="1335" spans="1:12" ht="13.2">
      <c r="A1335" t="s">
        <v>2382</v>
      </c>
      <c r="B1335" t="b">
        <v>0</v>
      </c>
      <c r="H1335" t="s">
        <v>1062</v>
      </c>
      <c r="I1335" t="s">
        <v>2084</v>
      </c>
      <c r="J1335" t="s">
        <v>2872</v>
      </c>
      <c r="L1335" t="s">
        <v>818</v>
      </c>
    </row>
    <row r="1336" spans="1:12" ht="13.2">
      <c r="A1336" t="s">
        <v>2383</v>
      </c>
      <c r="B1336" t="b">
        <v>0</v>
      </c>
      <c r="H1336" t="s">
        <v>1062</v>
      </c>
      <c r="I1336" t="s">
        <v>2084</v>
      </c>
      <c r="J1336" t="s">
        <v>2872</v>
      </c>
      <c r="L1336" t="s">
        <v>818</v>
      </c>
    </row>
    <row r="1337" spans="1:12" ht="13.2">
      <c r="A1337" t="s">
        <v>2384</v>
      </c>
      <c r="B1337" t="b">
        <v>0</v>
      </c>
      <c r="H1337" t="s">
        <v>1062</v>
      </c>
      <c r="I1337" t="s">
        <v>2084</v>
      </c>
      <c r="J1337" t="s">
        <v>2872</v>
      </c>
      <c r="L1337" t="s">
        <v>818</v>
      </c>
    </row>
    <row r="1338" spans="1:12" ht="13.2">
      <c r="A1338" t="s">
        <v>2385</v>
      </c>
      <c r="B1338" t="b">
        <v>0</v>
      </c>
      <c r="H1338" t="s">
        <v>1062</v>
      </c>
      <c r="I1338" t="s">
        <v>2084</v>
      </c>
      <c r="J1338" t="s">
        <v>2872</v>
      </c>
      <c r="L1338" t="s">
        <v>818</v>
      </c>
    </row>
    <row r="1339" spans="1:12" ht="13.2">
      <c r="A1339" t="s">
        <v>2386</v>
      </c>
      <c r="B1339" t="b">
        <v>0</v>
      </c>
      <c r="H1339" t="s">
        <v>1062</v>
      </c>
      <c r="I1339" t="s">
        <v>2084</v>
      </c>
      <c r="J1339" t="s">
        <v>2872</v>
      </c>
      <c r="L1339" t="s">
        <v>818</v>
      </c>
    </row>
    <row r="1340" spans="1:12" ht="13.2">
      <c r="A1340" t="s">
        <v>2387</v>
      </c>
      <c r="B1340" t="b">
        <v>0</v>
      </c>
      <c r="H1340" t="s">
        <v>1062</v>
      </c>
      <c r="I1340" t="s">
        <v>2084</v>
      </c>
      <c r="J1340" t="s">
        <v>2872</v>
      </c>
      <c r="L1340" t="s">
        <v>818</v>
      </c>
    </row>
    <row r="1341" spans="1:12" ht="13.2">
      <c r="A1341" t="s">
        <v>2388</v>
      </c>
      <c r="B1341" t="b">
        <v>0</v>
      </c>
      <c r="C1341" t="s">
        <v>903</v>
      </c>
      <c r="D1341" t="s">
        <v>998</v>
      </c>
      <c r="E1341" t="s">
        <v>1080</v>
      </c>
      <c r="H1341" t="s">
        <v>1062</v>
      </c>
      <c r="I1341" t="s">
        <v>2084</v>
      </c>
      <c r="J1341" t="s">
        <v>2872</v>
      </c>
      <c r="L1341" t="s">
        <v>818</v>
      </c>
    </row>
    <row r="1342" spans="1:12" ht="13.2">
      <c r="A1342" t="s">
        <v>2389</v>
      </c>
      <c r="B1342" t="b">
        <v>0</v>
      </c>
      <c r="C1342" t="s">
        <v>963</v>
      </c>
      <c r="D1342" t="s">
        <v>963</v>
      </c>
      <c r="E1342" t="s">
        <v>963</v>
      </c>
      <c r="H1342" t="s">
        <v>1062</v>
      </c>
      <c r="I1342" t="s">
        <v>2084</v>
      </c>
      <c r="J1342" t="s">
        <v>2872</v>
      </c>
      <c r="L1342" t="s">
        <v>818</v>
      </c>
    </row>
    <row r="1343" spans="1:12" ht="13.2">
      <c r="A1343" t="s">
        <v>2390</v>
      </c>
      <c r="B1343" t="b">
        <v>0</v>
      </c>
      <c r="C1343" t="s">
        <v>903</v>
      </c>
      <c r="D1343" t="s">
        <v>998</v>
      </c>
      <c r="E1343" t="s">
        <v>1080</v>
      </c>
      <c r="H1343" t="s">
        <v>1062</v>
      </c>
      <c r="I1343" t="s">
        <v>2084</v>
      </c>
      <c r="J1343" t="s">
        <v>2872</v>
      </c>
      <c r="L1343" t="s">
        <v>818</v>
      </c>
    </row>
    <row r="1344" spans="1:12" ht="13.2">
      <c r="A1344" t="s">
        <v>2391</v>
      </c>
      <c r="B1344" t="b">
        <v>0</v>
      </c>
      <c r="C1344" t="s">
        <v>903</v>
      </c>
      <c r="D1344" t="s">
        <v>998</v>
      </c>
      <c r="E1344" t="s">
        <v>1080</v>
      </c>
      <c r="H1344" t="s">
        <v>1062</v>
      </c>
      <c r="I1344" t="s">
        <v>2084</v>
      </c>
      <c r="J1344" t="s">
        <v>2872</v>
      </c>
      <c r="L1344" t="s">
        <v>818</v>
      </c>
    </row>
    <row r="1345" spans="1:12" ht="13.2">
      <c r="A1345" t="s">
        <v>2392</v>
      </c>
      <c r="B1345" t="b">
        <v>0</v>
      </c>
      <c r="C1345" t="s">
        <v>903</v>
      </c>
      <c r="D1345" t="s">
        <v>998</v>
      </c>
      <c r="E1345" t="s">
        <v>1080</v>
      </c>
      <c r="H1345" t="s">
        <v>1062</v>
      </c>
      <c r="I1345" t="s">
        <v>2084</v>
      </c>
      <c r="J1345" t="s">
        <v>2872</v>
      </c>
      <c r="L1345" t="s">
        <v>818</v>
      </c>
    </row>
    <row r="1346" spans="1:12" ht="13.2">
      <c r="A1346" t="s">
        <v>2393</v>
      </c>
      <c r="B1346" t="b">
        <v>0</v>
      </c>
      <c r="C1346" t="s">
        <v>903</v>
      </c>
      <c r="D1346" t="s">
        <v>998</v>
      </c>
      <c r="E1346" t="s">
        <v>1080</v>
      </c>
      <c r="H1346" t="s">
        <v>1062</v>
      </c>
      <c r="I1346" t="s">
        <v>2084</v>
      </c>
      <c r="J1346" t="s">
        <v>2872</v>
      </c>
      <c r="L1346" t="s">
        <v>818</v>
      </c>
    </row>
    <row r="1347" spans="1:12" ht="13.2">
      <c r="A1347" t="s">
        <v>2394</v>
      </c>
      <c r="B1347" t="b">
        <v>0</v>
      </c>
      <c r="C1347" t="s">
        <v>903</v>
      </c>
      <c r="D1347" t="s">
        <v>998</v>
      </c>
      <c r="E1347" t="s">
        <v>1080</v>
      </c>
      <c r="H1347" t="s">
        <v>1062</v>
      </c>
      <c r="I1347" t="s">
        <v>2084</v>
      </c>
      <c r="J1347" t="s">
        <v>2872</v>
      </c>
      <c r="L1347" t="s">
        <v>818</v>
      </c>
    </row>
    <row r="1348" spans="1:12" ht="13.2">
      <c r="A1348" t="s">
        <v>2395</v>
      </c>
      <c r="B1348" t="b">
        <v>0</v>
      </c>
      <c r="C1348" t="s">
        <v>903</v>
      </c>
      <c r="D1348" t="s">
        <v>998</v>
      </c>
      <c r="E1348" t="s">
        <v>1080</v>
      </c>
      <c r="H1348" t="s">
        <v>1062</v>
      </c>
      <c r="I1348" t="s">
        <v>2084</v>
      </c>
      <c r="J1348" t="s">
        <v>2872</v>
      </c>
      <c r="L1348" t="s">
        <v>818</v>
      </c>
    </row>
    <row r="1349" spans="1:12" ht="13.2">
      <c r="A1349" t="s">
        <v>2396</v>
      </c>
      <c r="B1349" t="b">
        <v>0</v>
      </c>
      <c r="C1349" t="s">
        <v>903</v>
      </c>
      <c r="D1349" t="s">
        <v>998</v>
      </c>
      <c r="E1349" t="s">
        <v>1080</v>
      </c>
      <c r="H1349" t="s">
        <v>1062</v>
      </c>
      <c r="I1349" t="s">
        <v>2084</v>
      </c>
      <c r="J1349" t="s">
        <v>2872</v>
      </c>
      <c r="L1349" t="s">
        <v>818</v>
      </c>
    </row>
    <row r="1350" spans="1:12" ht="13.2">
      <c r="A1350" t="s">
        <v>2397</v>
      </c>
      <c r="B1350" t="b">
        <v>0</v>
      </c>
      <c r="C1350" t="s">
        <v>963</v>
      </c>
      <c r="D1350" t="s">
        <v>998</v>
      </c>
      <c r="E1350" t="s">
        <v>1080</v>
      </c>
      <c r="H1350" t="s">
        <v>1062</v>
      </c>
      <c r="I1350" t="s">
        <v>2084</v>
      </c>
      <c r="J1350" t="s">
        <v>2872</v>
      </c>
      <c r="L1350" t="s">
        <v>818</v>
      </c>
    </row>
    <row r="1351" spans="1:12" ht="13.2">
      <c r="A1351" t="s">
        <v>2398</v>
      </c>
      <c r="B1351" t="b">
        <v>0</v>
      </c>
      <c r="C1351" t="s">
        <v>1086</v>
      </c>
      <c r="D1351" t="s">
        <v>998</v>
      </c>
      <c r="E1351" t="s">
        <v>1080</v>
      </c>
      <c r="H1351" t="s">
        <v>1062</v>
      </c>
      <c r="I1351" t="s">
        <v>2084</v>
      </c>
      <c r="J1351" t="s">
        <v>2872</v>
      </c>
      <c r="L1351" t="s">
        <v>818</v>
      </c>
    </row>
    <row r="1352" spans="1:12" ht="13.2">
      <c r="A1352" t="s">
        <v>2399</v>
      </c>
      <c r="B1352" t="b">
        <v>0</v>
      </c>
      <c r="H1352" t="s">
        <v>1062</v>
      </c>
      <c r="I1352" t="s">
        <v>2084</v>
      </c>
      <c r="J1352" t="s">
        <v>2872</v>
      </c>
      <c r="L1352" t="s">
        <v>818</v>
      </c>
    </row>
    <row r="1353" spans="1:12" ht="13.2">
      <c r="A1353" t="s">
        <v>2400</v>
      </c>
      <c r="B1353" t="b">
        <v>0</v>
      </c>
      <c r="C1353" t="s">
        <v>903</v>
      </c>
      <c r="D1353" t="s">
        <v>903</v>
      </c>
      <c r="E1353" t="s">
        <v>903</v>
      </c>
      <c r="H1353" t="s">
        <v>1062</v>
      </c>
      <c r="I1353" t="s">
        <v>2084</v>
      </c>
      <c r="J1353" t="s">
        <v>2872</v>
      </c>
      <c r="L1353" t="s">
        <v>818</v>
      </c>
    </row>
    <row r="1354" spans="1:12" ht="13.2">
      <c r="A1354" t="s">
        <v>2401</v>
      </c>
      <c r="B1354" t="b">
        <v>0</v>
      </c>
      <c r="C1354" t="s">
        <v>903</v>
      </c>
      <c r="D1354" t="s">
        <v>903</v>
      </c>
      <c r="E1354" t="s">
        <v>903</v>
      </c>
      <c r="H1354" t="s">
        <v>903</v>
      </c>
      <c r="I1354" t="s">
        <v>2084</v>
      </c>
      <c r="J1354" t="s">
        <v>2902</v>
      </c>
      <c r="K1354">
        <v>3000</v>
      </c>
      <c r="L1354" t="s">
        <v>818</v>
      </c>
    </row>
    <row r="1355" spans="1:12" ht="13.2">
      <c r="A1355" t="s">
        <v>2402</v>
      </c>
      <c r="B1355" t="b">
        <v>0</v>
      </c>
      <c r="C1355" t="s">
        <v>903</v>
      </c>
      <c r="D1355" t="s">
        <v>1143</v>
      </c>
      <c r="E1355" t="s">
        <v>903</v>
      </c>
      <c r="H1355" t="s">
        <v>903</v>
      </c>
      <c r="I1355" t="s">
        <v>2084</v>
      </c>
      <c r="J1355" t="s">
        <v>2902</v>
      </c>
      <c r="K1355">
        <v>3000</v>
      </c>
      <c r="L1355" t="s">
        <v>818</v>
      </c>
    </row>
    <row r="1356" spans="1:12" ht="13.2">
      <c r="A1356" t="s">
        <v>2403</v>
      </c>
      <c r="B1356" t="b">
        <v>0</v>
      </c>
      <c r="C1356" t="s">
        <v>903</v>
      </c>
      <c r="D1356" t="s">
        <v>903</v>
      </c>
      <c r="E1356" t="s">
        <v>903</v>
      </c>
      <c r="H1356" t="s">
        <v>903</v>
      </c>
      <c r="I1356" t="s">
        <v>2084</v>
      </c>
      <c r="J1356" t="s">
        <v>2902</v>
      </c>
      <c r="K1356">
        <v>3000</v>
      </c>
      <c r="L1356" t="s">
        <v>818</v>
      </c>
    </row>
    <row r="1357" spans="1:12" ht="13.2">
      <c r="A1357" t="s">
        <v>2404</v>
      </c>
      <c r="B1357" t="b">
        <v>0</v>
      </c>
      <c r="C1357" t="s">
        <v>903</v>
      </c>
      <c r="D1357" t="s">
        <v>998</v>
      </c>
      <c r="E1357" t="s">
        <v>1080</v>
      </c>
      <c r="H1357" t="s">
        <v>903</v>
      </c>
      <c r="I1357" t="s">
        <v>2084</v>
      </c>
      <c r="J1357" t="s">
        <v>2902</v>
      </c>
      <c r="K1357">
        <v>3000</v>
      </c>
      <c r="L1357" t="s">
        <v>818</v>
      </c>
    </row>
    <row r="1358" spans="1:12" ht="13.2">
      <c r="A1358" t="s">
        <v>2405</v>
      </c>
      <c r="B1358" t="b">
        <v>0</v>
      </c>
      <c r="C1358" t="s">
        <v>1108</v>
      </c>
      <c r="D1358" t="s">
        <v>1109</v>
      </c>
      <c r="E1358" t="s">
        <v>1108</v>
      </c>
      <c r="H1358" t="s">
        <v>903</v>
      </c>
      <c r="I1358" t="s">
        <v>2084</v>
      </c>
      <c r="J1358" t="s">
        <v>2902</v>
      </c>
      <c r="K1358">
        <v>3000</v>
      </c>
      <c r="L1358" t="s">
        <v>818</v>
      </c>
    </row>
    <row r="1359" spans="1:12" ht="13.2">
      <c r="A1359" t="s">
        <v>2406</v>
      </c>
      <c r="B1359" t="b">
        <v>0</v>
      </c>
      <c r="C1359" t="s">
        <v>903</v>
      </c>
      <c r="D1359" t="s">
        <v>998</v>
      </c>
      <c r="E1359" t="s">
        <v>1080</v>
      </c>
      <c r="H1359" t="s">
        <v>903</v>
      </c>
      <c r="I1359" t="s">
        <v>2084</v>
      </c>
      <c r="J1359" t="s">
        <v>2902</v>
      </c>
      <c r="K1359">
        <v>3000</v>
      </c>
      <c r="L1359" t="s">
        <v>818</v>
      </c>
    </row>
    <row r="1360" spans="1:12" ht="13.2">
      <c r="A1360" t="s">
        <v>2407</v>
      </c>
      <c r="B1360" t="b">
        <v>0</v>
      </c>
      <c r="H1360" t="s">
        <v>1062</v>
      </c>
      <c r="I1360" t="s">
        <v>2084</v>
      </c>
      <c r="J1360" t="s">
        <v>2902</v>
      </c>
      <c r="K1360">
        <v>3000</v>
      </c>
      <c r="L1360" t="s">
        <v>818</v>
      </c>
    </row>
    <row r="1361" spans="1:12" ht="13.2">
      <c r="A1361" t="s">
        <v>2408</v>
      </c>
      <c r="B1361" t="b">
        <v>0</v>
      </c>
      <c r="H1361" t="s">
        <v>1062</v>
      </c>
      <c r="I1361" t="s">
        <v>2084</v>
      </c>
      <c r="J1361" t="s">
        <v>2872</v>
      </c>
      <c r="L1361" t="s">
        <v>818</v>
      </c>
    </row>
    <row r="1362" spans="1:12" ht="13.2">
      <c r="A1362" t="s">
        <v>2409</v>
      </c>
      <c r="B1362" t="b">
        <v>0</v>
      </c>
      <c r="H1362" t="s">
        <v>1062</v>
      </c>
      <c r="I1362" t="s">
        <v>2084</v>
      </c>
      <c r="J1362" t="s">
        <v>2872</v>
      </c>
      <c r="L1362" t="s">
        <v>818</v>
      </c>
    </row>
    <row r="1363" spans="1:12" ht="13.2">
      <c r="A1363" t="s">
        <v>2410</v>
      </c>
      <c r="B1363" t="b">
        <v>0</v>
      </c>
      <c r="H1363" t="s">
        <v>1062</v>
      </c>
      <c r="I1363" t="s">
        <v>2084</v>
      </c>
      <c r="J1363" t="s">
        <v>2872</v>
      </c>
      <c r="L1363" t="s">
        <v>818</v>
      </c>
    </row>
    <row r="1364" spans="1:12" ht="13.2">
      <c r="A1364" t="s">
        <v>2411</v>
      </c>
      <c r="B1364" t="b">
        <v>0</v>
      </c>
      <c r="H1364" t="s">
        <v>1062</v>
      </c>
      <c r="I1364" t="s">
        <v>2084</v>
      </c>
      <c r="J1364" t="s">
        <v>2872</v>
      </c>
      <c r="L1364" t="s">
        <v>818</v>
      </c>
    </row>
    <row r="1365" spans="1:12" ht="13.2">
      <c r="A1365" t="s">
        <v>2412</v>
      </c>
      <c r="B1365" t="b">
        <v>0</v>
      </c>
      <c r="H1365" t="s">
        <v>1062</v>
      </c>
      <c r="I1365" t="s">
        <v>2084</v>
      </c>
      <c r="J1365" t="s">
        <v>2872</v>
      </c>
      <c r="L1365" t="s">
        <v>818</v>
      </c>
    </row>
    <row r="1366" spans="1:12" ht="13.2">
      <c r="A1366" t="s">
        <v>2413</v>
      </c>
      <c r="B1366" t="b">
        <v>0</v>
      </c>
      <c r="H1366" t="s">
        <v>1062</v>
      </c>
      <c r="I1366" t="s">
        <v>2084</v>
      </c>
      <c r="J1366" t="s">
        <v>2872</v>
      </c>
      <c r="L1366" t="s">
        <v>818</v>
      </c>
    </row>
    <row r="1367" spans="1:12" ht="13.2">
      <c r="A1367" t="s">
        <v>2414</v>
      </c>
      <c r="B1367" t="b">
        <v>0</v>
      </c>
      <c r="H1367" t="s">
        <v>1062</v>
      </c>
      <c r="I1367" t="s">
        <v>2084</v>
      </c>
      <c r="J1367" t="s">
        <v>2872</v>
      </c>
      <c r="L1367" t="s">
        <v>818</v>
      </c>
    </row>
    <row r="1368" spans="1:12" ht="13.2">
      <c r="A1368" t="s">
        <v>2415</v>
      </c>
      <c r="B1368" t="b">
        <v>0</v>
      </c>
      <c r="H1368" t="s">
        <v>1062</v>
      </c>
      <c r="I1368" t="s">
        <v>2084</v>
      </c>
      <c r="J1368" t="s">
        <v>2872</v>
      </c>
      <c r="L1368" t="s">
        <v>818</v>
      </c>
    </row>
    <row r="1369" spans="1:12" ht="13.2">
      <c r="A1369" t="s">
        <v>2416</v>
      </c>
      <c r="B1369" t="b">
        <v>0</v>
      </c>
      <c r="H1369" t="s">
        <v>1062</v>
      </c>
      <c r="I1369" t="s">
        <v>2084</v>
      </c>
      <c r="J1369" t="s">
        <v>2861</v>
      </c>
      <c r="L1369" t="s">
        <v>818</v>
      </c>
    </row>
    <row r="1370" spans="1:12" ht="13.2">
      <c r="A1370" t="s">
        <v>2417</v>
      </c>
      <c r="B1370" t="b">
        <v>0</v>
      </c>
      <c r="H1370" t="s">
        <v>1062</v>
      </c>
      <c r="I1370" t="s">
        <v>2084</v>
      </c>
      <c r="J1370" t="s">
        <v>2861</v>
      </c>
      <c r="L1370" t="s">
        <v>818</v>
      </c>
    </row>
    <row r="1371" spans="1:12" ht="13.2">
      <c r="A1371" t="s">
        <v>2418</v>
      </c>
      <c r="B1371" t="b">
        <v>0</v>
      </c>
      <c r="H1371" t="s">
        <v>1062</v>
      </c>
      <c r="I1371" t="s">
        <v>2084</v>
      </c>
      <c r="J1371" t="s">
        <v>2861</v>
      </c>
      <c r="L1371" t="s">
        <v>818</v>
      </c>
    </row>
    <row r="1372" spans="1:12" ht="13.2">
      <c r="A1372" t="s">
        <v>2419</v>
      </c>
      <c r="B1372" t="b">
        <v>0</v>
      </c>
      <c r="H1372" t="s">
        <v>1062</v>
      </c>
      <c r="I1372" t="s">
        <v>2084</v>
      </c>
      <c r="J1372" t="s">
        <v>2861</v>
      </c>
      <c r="L1372" t="s">
        <v>818</v>
      </c>
    </row>
    <row r="1373" spans="1:12" ht="13.2">
      <c r="A1373" t="s">
        <v>2420</v>
      </c>
      <c r="B1373" t="b">
        <v>0</v>
      </c>
      <c r="C1373" t="s">
        <v>903</v>
      </c>
      <c r="D1373" t="s">
        <v>903</v>
      </c>
      <c r="E1373" t="s">
        <v>903</v>
      </c>
      <c r="H1373" t="s">
        <v>1062</v>
      </c>
      <c r="I1373" t="s">
        <v>2084</v>
      </c>
      <c r="J1373" t="s">
        <v>2861</v>
      </c>
      <c r="L1373" t="s">
        <v>818</v>
      </c>
    </row>
    <row r="1374" spans="1:12" ht="13.2">
      <c r="A1374" t="s">
        <v>2421</v>
      </c>
      <c r="B1374" t="b">
        <v>0</v>
      </c>
      <c r="H1374" t="s">
        <v>1062</v>
      </c>
      <c r="I1374" t="s">
        <v>2084</v>
      </c>
      <c r="J1374" t="s">
        <v>2861</v>
      </c>
      <c r="L1374" t="s">
        <v>818</v>
      </c>
    </row>
    <row r="1375" spans="1:12" ht="13.2">
      <c r="A1375" t="s">
        <v>2422</v>
      </c>
      <c r="B1375" t="b">
        <v>0</v>
      </c>
      <c r="H1375" t="s">
        <v>1062</v>
      </c>
      <c r="I1375" t="s">
        <v>2084</v>
      </c>
      <c r="J1375" t="s">
        <v>2861</v>
      </c>
      <c r="L1375" t="s">
        <v>818</v>
      </c>
    </row>
    <row r="1376" spans="1:12" ht="13.2">
      <c r="A1376" t="s">
        <v>2423</v>
      </c>
      <c r="B1376" t="b">
        <v>0</v>
      </c>
      <c r="H1376" t="s">
        <v>1062</v>
      </c>
      <c r="I1376" t="s">
        <v>2084</v>
      </c>
      <c r="J1376" t="s">
        <v>2861</v>
      </c>
      <c r="L1376" t="s">
        <v>818</v>
      </c>
    </row>
    <row r="1377" spans="1:12" ht="13.2">
      <c r="A1377" t="s">
        <v>2424</v>
      </c>
      <c r="B1377" t="b">
        <v>0</v>
      </c>
      <c r="H1377" t="s">
        <v>1062</v>
      </c>
      <c r="I1377" t="s">
        <v>2084</v>
      </c>
      <c r="J1377" t="s">
        <v>2861</v>
      </c>
      <c r="L1377" t="s">
        <v>818</v>
      </c>
    </row>
    <row r="1378" spans="1:12" ht="13.2">
      <c r="A1378" t="s">
        <v>2425</v>
      </c>
      <c r="B1378" t="b">
        <v>0</v>
      </c>
      <c r="H1378" t="s">
        <v>1062</v>
      </c>
      <c r="I1378" t="s">
        <v>2084</v>
      </c>
      <c r="J1378" t="s">
        <v>2861</v>
      </c>
      <c r="L1378" t="s">
        <v>818</v>
      </c>
    </row>
    <row r="1379" spans="1:12" ht="13.2">
      <c r="A1379" t="s">
        <v>2426</v>
      </c>
      <c r="B1379" t="b">
        <v>0</v>
      </c>
      <c r="H1379" t="s">
        <v>1062</v>
      </c>
      <c r="I1379" t="s">
        <v>2084</v>
      </c>
      <c r="J1379" t="s">
        <v>2872</v>
      </c>
      <c r="L1379" t="s">
        <v>818</v>
      </c>
    </row>
    <row r="1380" spans="1:12" ht="13.2">
      <c r="A1380" t="s">
        <v>2427</v>
      </c>
      <c r="B1380" t="b">
        <v>0</v>
      </c>
      <c r="H1380" t="s">
        <v>1062</v>
      </c>
      <c r="I1380" t="s">
        <v>2084</v>
      </c>
      <c r="J1380" t="s">
        <v>2872</v>
      </c>
      <c r="L1380" t="s">
        <v>818</v>
      </c>
    </row>
    <row r="1381" spans="1:12" ht="13.2">
      <c r="A1381" t="s">
        <v>2428</v>
      </c>
      <c r="B1381" t="b">
        <v>0</v>
      </c>
      <c r="H1381" t="s">
        <v>1062</v>
      </c>
      <c r="I1381" t="s">
        <v>2084</v>
      </c>
      <c r="J1381" t="s">
        <v>2869</v>
      </c>
      <c r="K1381">
        <v>3000</v>
      </c>
      <c r="L1381" t="s">
        <v>818</v>
      </c>
    </row>
    <row r="1382" spans="1:12" ht="13.2">
      <c r="A1382" t="s">
        <v>2429</v>
      </c>
      <c r="B1382" t="b">
        <v>0</v>
      </c>
      <c r="H1382" t="s">
        <v>1062</v>
      </c>
      <c r="I1382" t="s">
        <v>2084</v>
      </c>
      <c r="J1382" t="s">
        <v>2869</v>
      </c>
      <c r="K1382">
        <v>3000</v>
      </c>
      <c r="L1382" t="s">
        <v>818</v>
      </c>
    </row>
    <row r="1383" spans="1:12" ht="13.2">
      <c r="A1383" t="s">
        <v>2430</v>
      </c>
      <c r="B1383" t="b">
        <v>0</v>
      </c>
      <c r="H1383" t="s">
        <v>1062</v>
      </c>
      <c r="I1383" t="s">
        <v>2084</v>
      </c>
      <c r="J1383" t="s">
        <v>2869</v>
      </c>
      <c r="K1383">
        <v>3000</v>
      </c>
      <c r="L1383" t="s">
        <v>818</v>
      </c>
    </row>
    <row r="1384" spans="1:12" ht="13.2">
      <c r="A1384" t="s">
        <v>2431</v>
      </c>
      <c r="B1384" t="b">
        <v>0</v>
      </c>
      <c r="H1384" t="s">
        <v>1062</v>
      </c>
      <c r="I1384" t="s">
        <v>2084</v>
      </c>
      <c r="J1384" t="s">
        <v>2869</v>
      </c>
      <c r="K1384">
        <v>3000</v>
      </c>
      <c r="L1384" t="s">
        <v>818</v>
      </c>
    </row>
    <row r="1385" spans="1:12" ht="13.2">
      <c r="A1385" t="s">
        <v>2432</v>
      </c>
      <c r="B1385" t="b">
        <v>0</v>
      </c>
      <c r="H1385" t="s">
        <v>1062</v>
      </c>
      <c r="I1385" t="s">
        <v>2084</v>
      </c>
      <c r="J1385" t="s">
        <v>2869</v>
      </c>
      <c r="K1385">
        <v>3000</v>
      </c>
      <c r="L1385" t="s">
        <v>818</v>
      </c>
    </row>
    <row r="1386" spans="1:12" ht="13.2">
      <c r="A1386" t="s">
        <v>2433</v>
      </c>
      <c r="B1386" t="b">
        <v>0</v>
      </c>
      <c r="H1386" t="s">
        <v>1062</v>
      </c>
      <c r="I1386" t="s">
        <v>2084</v>
      </c>
      <c r="J1386" t="s">
        <v>2869</v>
      </c>
      <c r="K1386">
        <v>3000</v>
      </c>
      <c r="L1386" t="s">
        <v>818</v>
      </c>
    </row>
    <row r="1387" spans="1:12" ht="13.2">
      <c r="A1387" t="s">
        <v>2434</v>
      </c>
      <c r="B1387" t="b">
        <v>0</v>
      </c>
      <c r="H1387" t="s">
        <v>1062</v>
      </c>
      <c r="I1387" t="s">
        <v>2084</v>
      </c>
      <c r="J1387" t="s">
        <v>2869</v>
      </c>
      <c r="K1387">
        <v>3000</v>
      </c>
      <c r="L1387" t="s">
        <v>818</v>
      </c>
    </row>
    <row r="1388" spans="1:12" ht="13.2">
      <c r="A1388" t="s">
        <v>2435</v>
      </c>
      <c r="B1388" t="b">
        <v>0</v>
      </c>
      <c r="H1388" t="s">
        <v>1062</v>
      </c>
      <c r="I1388" t="s">
        <v>2084</v>
      </c>
      <c r="J1388" t="s">
        <v>2869</v>
      </c>
      <c r="K1388">
        <v>3000</v>
      </c>
      <c r="L1388" t="s">
        <v>818</v>
      </c>
    </row>
    <row r="1389" spans="1:12" ht="13.2">
      <c r="A1389" t="s">
        <v>2436</v>
      </c>
      <c r="B1389" t="b">
        <v>0</v>
      </c>
      <c r="C1389" t="s">
        <v>903</v>
      </c>
      <c r="D1389" t="s">
        <v>903</v>
      </c>
      <c r="E1389" t="s">
        <v>903</v>
      </c>
      <c r="F1389" t="s">
        <v>1094</v>
      </c>
      <c r="H1389" t="s">
        <v>963</v>
      </c>
      <c r="I1389" t="s">
        <v>2084</v>
      </c>
      <c r="J1389" t="s">
        <v>2870</v>
      </c>
      <c r="K1389">
        <v>3000</v>
      </c>
      <c r="L1389" t="s">
        <v>818</v>
      </c>
    </row>
    <row r="1390" spans="1:12" ht="13.2">
      <c r="A1390" t="s">
        <v>2437</v>
      </c>
      <c r="B1390" t="b">
        <v>0</v>
      </c>
      <c r="C1390" t="s">
        <v>1108</v>
      </c>
      <c r="D1390" t="s">
        <v>1109</v>
      </c>
      <c r="E1390" t="s">
        <v>1108</v>
      </c>
      <c r="H1390" t="s">
        <v>903</v>
      </c>
      <c r="I1390" t="s">
        <v>2084</v>
      </c>
      <c r="J1390" t="s">
        <v>2870</v>
      </c>
      <c r="K1390">
        <v>3000</v>
      </c>
      <c r="L1390" t="s">
        <v>818</v>
      </c>
    </row>
    <row r="1391" spans="1:12" ht="13.2">
      <c r="A1391" t="s">
        <v>2438</v>
      </c>
      <c r="B1391" t="b">
        <v>0</v>
      </c>
      <c r="C1391" t="s">
        <v>1108</v>
      </c>
      <c r="D1391" t="s">
        <v>1109</v>
      </c>
      <c r="E1391" t="s">
        <v>1108</v>
      </c>
      <c r="H1391" t="s">
        <v>903</v>
      </c>
      <c r="I1391" t="s">
        <v>2084</v>
      </c>
      <c r="J1391" t="s">
        <v>2870</v>
      </c>
      <c r="K1391">
        <v>3000</v>
      </c>
      <c r="L1391" t="s">
        <v>818</v>
      </c>
    </row>
    <row r="1392" spans="1:12" ht="13.2">
      <c r="A1392" t="s">
        <v>2439</v>
      </c>
      <c r="B1392" t="b">
        <v>0</v>
      </c>
      <c r="C1392" t="s">
        <v>903</v>
      </c>
      <c r="D1392" t="s">
        <v>998</v>
      </c>
      <c r="E1392" t="s">
        <v>1080</v>
      </c>
      <c r="H1392" t="s">
        <v>963</v>
      </c>
      <c r="I1392" t="s">
        <v>2084</v>
      </c>
      <c r="J1392" t="s">
        <v>2870</v>
      </c>
      <c r="K1392">
        <v>3000</v>
      </c>
      <c r="L1392" t="s">
        <v>818</v>
      </c>
    </row>
    <row r="1393" spans="1:12" ht="13.2">
      <c r="A1393" t="s">
        <v>2440</v>
      </c>
      <c r="B1393" t="b">
        <v>0</v>
      </c>
      <c r="C1393" t="s">
        <v>903</v>
      </c>
      <c r="D1393" t="s">
        <v>998</v>
      </c>
      <c r="E1393" t="s">
        <v>1080</v>
      </c>
      <c r="H1393" t="s">
        <v>903</v>
      </c>
      <c r="I1393" t="s">
        <v>2084</v>
      </c>
      <c r="J1393" t="s">
        <v>2870</v>
      </c>
      <c r="K1393">
        <v>3000</v>
      </c>
      <c r="L1393" t="s">
        <v>818</v>
      </c>
    </row>
    <row r="1394" spans="1:12" ht="13.2">
      <c r="A1394" t="s">
        <v>2441</v>
      </c>
      <c r="B1394" t="b">
        <v>0</v>
      </c>
      <c r="C1394" t="s">
        <v>903</v>
      </c>
      <c r="D1394" t="s">
        <v>998</v>
      </c>
      <c r="E1394" t="s">
        <v>1080</v>
      </c>
      <c r="H1394" t="s">
        <v>903</v>
      </c>
      <c r="I1394" t="s">
        <v>2084</v>
      </c>
      <c r="J1394" t="s">
        <v>2870</v>
      </c>
      <c r="K1394">
        <v>3000</v>
      </c>
      <c r="L1394" t="s">
        <v>818</v>
      </c>
    </row>
    <row r="1395" spans="1:12" ht="13.2">
      <c r="A1395" t="s">
        <v>2442</v>
      </c>
      <c r="B1395" t="b">
        <v>0</v>
      </c>
      <c r="C1395" t="s">
        <v>903</v>
      </c>
      <c r="D1395" t="s">
        <v>998</v>
      </c>
      <c r="E1395" t="s">
        <v>1080</v>
      </c>
      <c r="H1395" t="s">
        <v>903</v>
      </c>
      <c r="I1395" t="s">
        <v>2084</v>
      </c>
      <c r="J1395" t="s">
        <v>2870</v>
      </c>
      <c r="K1395">
        <v>3000</v>
      </c>
      <c r="L1395" t="s">
        <v>818</v>
      </c>
    </row>
    <row r="1396" spans="1:12" ht="13.2">
      <c r="A1396" t="s">
        <v>2443</v>
      </c>
      <c r="B1396" t="b">
        <v>0</v>
      </c>
      <c r="C1396" t="s">
        <v>903</v>
      </c>
      <c r="D1396" t="s">
        <v>998</v>
      </c>
      <c r="E1396" t="s">
        <v>1080</v>
      </c>
      <c r="H1396" t="s">
        <v>903</v>
      </c>
      <c r="I1396" t="s">
        <v>2084</v>
      </c>
      <c r="J1396" t="s">
        <v>2870</v>
      </c>
      <c r="K1396">
        <v>3000</v>
      </c>
      <c r="L1396" t="s">
        <v>818</v>
      </c>
    </row>
    <row r="1397" spans="1:12" ht="13.2">
      <c r="A1397" t="s">
        <v>2444</v>
      </c>
      <c r="B1397" t="b">
        <v>0</v>
      </c>
      <c r="C1397" t="s">
        <v>903</v>
      </c>
      <c r="D1397" t="s">
        <v>998</v>
      </c>
      <c r="E1397" t="s">
        <v>1080</v>
      </c>
      <c r="H1397" t="s">
        <v>903</v>
      </c>
      <c r="I1397" t="s">
        <v>2084</v>
      </c>
      <c r="J1397" t="s">
        <v>2870</v>
      </c>
      <c r="K1397">
        <v>3000</v>
      </c>
      <c r="L1397" t="s">
        <v>818</v>
      </c>
    </row>
    <row r="1398" spans="1:12" ht="13.2">
      <c r="A1398" t="s">
        <v>2445</v>
      </c>
      <c r="B1398" t="b">
        <v>0</v>
      </c>
      <c r="C1398" t="s">
        <v>903</v>
      </c>
      <c r="D1398" t="s">
        <v>998</v>
      </c>
      <c r="E1398" t="s">
        <v>1080</v>
      </c>
      <c r="H1398" t="s">
        <v>903</v>
      </c>
      <c r="I1398" t="s">
        <v>2084</v>
      </c>
      <c r="J1398" t="s">
        <v>2870</v>
      </c>
      <c r="K1398">
        <v>3000</v>
      </c>
      <c r="L1398" t="s">
        <v>818</v>
      </c>
    </row>
    <row r="1399" spans="1:12" ht="13.2">
      <c r="A1399" t="s">
        <v>2446</v>
      </c>
      <c r="B1399" t="b">
        <v>0</v>
      </c>
      <c r="C1399" t="s">
        <v>2447</v>
      </c>
      <c r="D1399" t="s">
        <v>963</v>
      </c>
      <c r="E1399" t="s">
        <v>963</v>
      </c>
      <c r="H1399" t="s">
        <v>1062</v>
      </c>
      <c r="I1399" t="s">
        <v>2084</v>
      </c>
      <c r="J1399" t="s">
        <v>2870</v>
      </c>
      <c r="K1399">
        <v>3000</v>
      </c>
      <c r="L1399" t="s">
        <v>818</v>
      </c>
    </row>
    <row r="1400" spans="1:12" ht="13.2">
      <c r="A1400" t="s">
        <v>2448</v>
      </c>
      <c r="B1400" t="b">
        <v>0</v>
      </c>
      <c r="H1400" t="s">
        <v>903</v>
      </c>
      <c r="I1400" t="s">
        <v>2084</v>
      </c>
      <c r="J1400" t="s">
        <v>2870</v>
      </c>
      <c r="K1400">
        <v>3000</v>
      </c>
      <c r="L1400" t="s">
        <v>818</v>
      </c>
    </row>
    <row r="1401" spans="1:12" ht="13.2">
      <c r="A1401" t="s">
        <v>2449</v>
      </c>
      <c r="B1401" t="b">
        <v>0</v>
      </c>
      <c r="H1401" t="s">
        <v>1062</v>
      </c>
      <c r="I1401" t="s">
        <v>2084</v>
      </c>
      <c r="J1401" t="s">
        <v>2860</v>
      </c>
      <c r="L1401" t="s">
        <v>818</v>
      </c>
    </row>
    <row r="1402" spans="1:12" ht="13.2">
      <c r="A1402" t="s">
        <v>2450</v>
      </c>
      <c r="B1402" t="b">
        <v>0</v>
      </c>
      <c r="H1402" t="s">
        <v>1062</v>
      </c>
      <c r="I1402" t="s">
        <v>2084</v>
      </c>
      <c r="J1402" t="s">
        <v>2860</v>
      </c>
      <c r="L1402" t="s">
        <v>818</v>
      </c>
    </row>
    <row r="1403" spans="1:12" ht="13.2">
      <c r="A1403" t="s">
        <v>2451</v>
      </c>
      <c r="B1403" t="b">
        <v>0</v>
      </c>
      <c r="H1403" t="s">
        <v>1062</v>
      </c>
      <c r="I1403" t="s">
        <v>2084</v>
      </c>
      <c r="J1403" t="s">
        <v>2860</v>
      </c>
      <c r="L1403" t="s">
        <v>818</v>
      </c>
    </row>
    <row r="1404" spans="1:12" ht="13.2">
      <c r="A1404" t="s">
        <v>2452</v>
      </c>
      <c r="B1404" t="b">
        <v>0</v>
      </c>
      <c r="H1404" t="s">
        <v>1062</v>
      </c>
      <c r="I1404" t="s">
        <v>2084</v>
      </c>
      <c r="J1404" t="s">
        <v>2860</v>
      </c>
      <c r="L1404" t="s">
        <v>818</v>
      </c>
    </row>
    <row r="1405" spans="1:12" ht="13.2">
      <c r="A1405" t="s">
        <v>2453</v>
      </c>
      <c r="B1405" t="b">
        <v>0</v>
      </c>
      <c r="H1405" t="s">
        <v>1062</v>
      </c>
      <c r="I1405" t="s">
        <v>2084</v>
      </c>
      <c r="J1405" t="s">
        <v>2860</v>
      </c>
      <c r="L1405" t="s">
        <v>818</v>
      </c>
    </row>
    <row r="1406" spans="1:12" ht="13.2">
      <c r="A1406" t="s">
        <v>2454</v>
      </c>
      <c r="B1406" t="b">
        <v>0</v>
      </c>
      <c r="H1406" t="s">
        <v>1062</v>
      </c>
      <c r="I1406" t="s">
        <v>2084</v>
      </c>
      <c r="J1406" t="s">
        <v>2860</v>
      </c>
      <c r="L1406" t="s">
        <v>818</v>
      </c>
    </row>
    <row r="1407" spans="1:12" ht="13.2">
      <c r="A1407" t="s">
        <v>2455</v>
      </c>
      <c r="B1407" t="b">
        <v>0</v>
      </c>
      <c r="H1407" t="s">
        <v>1062</v>
      </c>
      <c r="I1407" t="s">
        <v>2084</v>
      </c>
      <c r="J1407" t="s">
        <v>2860</v>
      </c>
      <c r="L1407" t="s">
        <v>818</v>
      </c>
    </row>
    <row r="1408" spans="1:12" ht="13.2">
      <c r="A1408" t="s">
        <v>2456</v>
      </c>
      <c r="B1408" t="b">
        <v>0</v>
      </c>
      <c r="H1408" t="s">
        <v>1062</v>
      </c>
      <c r="I1408" t="s">
        <v>2084</v>
      </c>
      <c r="J1408" t="s">
        <v>2860</v>
      </c>
      <c r="L1408" t="s">
        <v>818</v>
      </c>
    </row>
    <row r="1409" spans="1:12" ht="13.2">
      <c r="A1409" t="s">
        <v>2457</v>
      </c>
      <c r="B1409" t="b">
        <v>0</v>
      </c>
      <c r="H1409" t="s">
        <v>1062</v>
      </c>
      <c r="I1409" t="s">
        <v>2084</v>
      </c>
      <c r="J1409" t="s">
        <v>2860</v>
      </c>
      <c r="L1409" t="s">
        <v>818</v>
      </c>
    </row>
    <row r="1410" spans="1:12" ht="13.2">
      <c r="A1410" t="s">
        <v>2458</v>
      </c>
      <c r="B1410" t="b">
        <v>0</v>
      </c>
      <c r="H1410" t="s">
        <v>1062</v>
      </c>
      <c r="I1410" t="s">
        <v>2084</v>
      </c>
      <c r="J1410" t="s">
        <v>2860</v>
      </c>
      <c r="L1410" t="s">
        <v>818</v>
      </c>
    </row>
    <row r="1411" spans="1:12" ht="13.2">
      <c r="A1411" t="s">
        <v>2459</v>
      </c>
      <c r="B1411" t="b">
        <v>0</v>
      </c>
      <c r="H1411" t="s">
        <v>1062</v>
      </c>
      <c r="I1411" t="s">
        <v>2084</v>
      </c>
      <c r="J1411" t="s">
        <v>2860</v>
      </c>
      <c r="L1411" t="s">
        <v>818</v>
      </c>
    </row>
    <row r="1412" spans="1:12" ht="13.2">
      <c r="A1412" t="s">
        <v>2460</v>
      </c>
      <c r="B1412" t="b">
        <v>0</v>
      </c>
      <c r="H1412" t="s">
        <v>1062</v>
      </c>
      <c r="I1412" t="s">
        <v>2084</v>
      </c>
      <c r="J1412" t="s">
        <v>2860</v>
      </c>
      <c r="L1412" t="s">
        <v>818</v>
      </c>
    </row>
    <row r="1413" spans="1:12" ht="13.2">
      <c r="A1413" t="s">
        <v>2461</v>
      </c>
      <c r="B1413" t="b">
        <v>0</v>
      </c>
      <c r="H1413" t="s">
        <v>1062</v>
      </c>
      <c r="I1413" t="s">
        <v>2084</v>
      </c>
      <c r="J1413" t="s">
        <v>2860</v>
      </c>
      <c r="L1413" t="s">
        <v>818</v>
      </c>
    </row>
    <row r="1414" spans="1:12" ht="13.2">
      <c r="A1414" t="s">
        <v>2462</v>
      </c>
      <c r="B1414" t="b">
        <v>0</v>
      </c>
      <c r="H1414" t="s">
        <v>1062</v>
      </c>
      <c r="I1414" t="s">
        <v>2084</v>
      </c>
      <c r="J1414" t="s">
        <v>2860</v>
      </c>
      <c r="L1414" t="s">
        <v>818</v>
      </c>
    </row>
    <row r="1415" spans="1:12" ht="13.2">
      <c r="A1415" t="s">
        <v>2463</v>
      </c>
      <c r="B1415" t="b">
        <v>0</v>
      </c>
      <c r="H1415" t="s">
        <v>1062</v>
      </c>
      <c r="I1415" t="s">
        <v>2084</v>
      </c>
      <c r="J1415" t="s">
        <v>2860</v>
      </c>
      <c r="L1415" t="s">
        <v>818</v>
      </c>
    </row>
    <row r="1416" spans="1:12" ht="13.2">
      <c r="A1416" t="s">
        <v>2464</v>
      </c>
      <c r="B1416" t="b">
        <v>0</v>
      </c>
      <c r="H1416" t="s">
        <v>1062</v>
      </c>
      <c r="I1416" t="s">
        <v>2084</v>
      </c>
      <c r="J1416" t="s">
        <v>2860</v>
      </c>
      <c r="L1416" t="s">
        <v>818</v>
      </c>
    </row>
    <row r="1417" spans="1:12" ht="13.2">
      <c r="A1417" t="s">
        <v>2465</v>
      </c>
      <c r="B1417" t="b">
        <v>0</v>
      </c>
      <c r="H1417" t="s">
        <v>1062</v>
      </c>
      <c r="I1417" t="s">
        <v>2084</v>
      </c>
      <c r="J1417" t="s">
        <v>2860</v>
      </c>
      <c r="L1417" t="s">
        <v>818</v>
      </c>
    </row>
    <row r="1418" spans="1:12" ht="13.2">
      <c r="A1418" t="s">
        <v>2466</v>
      </c>
      <c r="B1418" t="b">
        <v>0</v>
      </c>
      <c r="H1418" t="s">
        <v>1062</v>
      </c>
      <c r="I1418" t="s">
        <v>2084</v>
      </c>
      <c r="J1418" t="s">
        <v>2860</v>
      </c>
      <c r="L1418" t="s">
        <v>818</v>
      </c>
    </row>
    <row r="1419" spans="1:12" ht="13.2">
      <c r="A1419" t="s">
        <v>2467</v>
      </c>
      <c r="B1419" t="b">
        <v>0</v>
      </c>
      <c r="H1419" t="s">
        <v>1062</v>
      </c>
      <c r="I1419" t="s">
        <v>2084</v>
      </c>
      <c r="J1419" t="s">
        <v>2860</v>
      </c>
      <c r="L1419" t="s">
        <v>818</v>
      </c>
    </row>
    <row r="1420" spans="1:12" ht="13.2">
      <c r="A1420" t="s">
        <v>2468</v>
      </c>
      <c r="B1420" t="b">
        <v>0</v>
      </c>
      <c r="H1420" t="s">
        <v>1062</v>
      </c>
      <c r="I1420" t="s">
        <v>2084</v>
      </c>
      <c r="J1420" t="s">
        <v>2860</v>
      </c>
      <c r="L1420" t="s">
        <v>818</v>
      </c>
    </row>
    <row r="1421" spans="1:12" ht="13.2">
      <c r="A1421" t="s">
        <v>2469</v>
      </c>
      <c r="B1421" t="b">
        <v>0</v>
      </c>
      <c r="H1421" t="s">
        <v>1062</v>
      </c>
      <c r="I1421" t="s">
        <v>2084</v>
      </c>
      <c r="J1421" t="s">
        <v>2857</v>
      </c>
      <c r="L1421" t="s">
        <v>818</v>
      </c>
    </row>
    <row r="1422" spans="1:12" ht="13.2">
      <c r="A1422" t="s">
        <v>2470</v>
      </c>
      <c r="B1422" t="b">
        <v>0</v>
      </c>
      <c r="H1422" t="s">
        <v>1062</v>
      </c>
      <c r="I1422" t="s">
        <v>2084</v>
      </c>
      <c r="J1422" t="s">
        <v>2857</v>
      </c>
      <c r="L1422" t="s">
        <v>818</v>
      </c>
    </row>
    <row r="1423" spans="1:12" ht="13.2">
      <c r="A1423" t="s">
        <v>2471</v>
      </c>
      <c r="B1423" t="b">
        <v>0</v>
      </c>
      <c r="H1423" t="s">
        <v>1062</v>
      </c>
      <c r="I1423" t="s">
        <v>2084</v>
      </c>
      <c r="J1423" t="s">
        <v>2857</v>
      </c>
      <c r="L1423" t="s">
        <v>818</v>
      </c>
    </row>
    <row r="1424" spans="1:12" ht="13.2">
      <c r="A1424" t="s">
        <v>2472</v>
      </c>
      <c r="B1424" t="b">
        <v>0</v>
      </c>
      <c r="H1424" t="s">
        <v>1062</v>
      </c>
      <c r="I1424" t="s">
        <v>2084</v>
      </c>
      <c r="J1424" t="s">
        <v>2857</v>
      </c>
      <c r="L1424" t="s">
        <v>818</v>
      </c>
    </row>
    <row r="1425" spans="1:12" ht="13.2">
      <c r="A1425" t="s">
        <v>2473</v>
      </c>
      <c r="B1425" t="b">
        <v>0</v>
      </c>
      <c r="H1425" t="s">
        <v>1062</v>
      </c>
      <c r="I1425" t="s">
        <v>2084</v>
      </c>
      <c r="J1425" t="s">
        <v>2857</v>
      </c>
      <c r="L1425" t="s">
        <v>818</v>
      </c>
    </row>
    <row r="1426" spans="1:12" ht="13.2">
      <c r="A1426" t="s">
        <v>2474</v>
      </c>
      <c r="B1426" t="b">
        <v>0</v>
      </c>
      <c r="H1426" t="s">
        <v>1062</v>
      </c>
      <c r="I1426" t="s">
        <v>2084</v>
      </c>
      <c r="J1426" t="s">
        <v>2857</v>
      </c>
      <c r="L1426" t="s">
        <v>818</v>
      </c>
    </row>
    <row r="1427" spans="1:12" ht="13.2">
      <c r="A1427" t="s">
        <v>2475</v>
      </c>
      <c r="B1427" t="b">
        <v>0</v>
      </c>
      <c r="H1427" t="s">
        <v>1062</v>
      </c>
      <c r="I1427" t="s">
        <v>2084</v>
      </c>
      <c r="J1427" t="s">
        <v>2857</v>
      </c>
      <c r="L1427" t="s">
        <v>818</v>
      </c>
    </row>
    <row r="1428" spans="1:12" ht="13.2">
      <c r="A1428" t="s">
        <v>2476</v>
      </c>
      <c r="B1428" t="b">
        <v>0</v>
      </c>
      <c r="H1428" t="s">
        <v>1062</v>
      </c>
      <c r="I1428" t="s">
        <v>2084</v>
      </c>
      <c r="J1428" t="s">
        <v>2857</v>
      </c>
      <c r="L1428" t="s">
        <v>818</v>
      </c>
    </row>
    <row r="1429" spans="1:12" ht="13.2">
      <c r="A1429" t="s">
        <v>2477</v>
      </c>
      <c r="B1429" t="b">
        <v>0</v>
      </c>
      <c r="H1429" t="s">
        <v>1062</v>
      </c>
      <c r="I1429" t="s">
        <v>2084</v>
      </c>
      <c r="J1429" t="s">
        <v>2857</v>
      </c>
      <c r="L1429" t="s">
        <v>818</v>
      </c>
    </row>
    <row r="1430" spans="1:12" ht="13.2">
      <c r="A1430" t="s">
        <v>2478</v>
      </c>
      <c r="B1430" t="b">
        <v>0</v>
      </c>
      <c r="C1430" t="s">
        <v>903</v>
      </c>
      <c r="D1430" t="s">
        <v>998</v>
      </c>
      <c r="E1430" t="s">
        <v>903</v>
      </c>
      <c r="H1430" t="s">
        <v>903</v>
      </c>
      <c r="I1430" t="s">
        <v>2084</v>
      </c>
      <c r="J1430" t="s">
        <v>2865</v>
      </c>
      <c r="K1430" t="s">
        <v>2923</v>
      </c>
      <c r="L1430" t="s">
        <v>818</v>
      </c>
    </row>
    <row r="1431" spans="1:12" ht="13.2">
      <c r="A1431" t="s">
        <v>2479</v>
      </c>
      <c r="B1431" t="b">
        <v>0</v>
      </c>
      <c r="C1431" t="s">
        <v>963</v>
      </c>
      <c r="D1431" t="s">
        <v>963</v>
      </c>
      <c r="E1431" t="s">
        <v>963</v>
      </c>
      <c r="H1431" t="s">
        <v>963</v>
      </c>
      <c r="I1431" t="s">
        <v>2084</v>
      </c>
      <c r="J1431" t="s">
        <v>2865</v>
      </c>
      <c r="K1431" t="s">
        <v>2923</v>
      </c>
      <c r="L1431" t="s">
        <v>818</v>
      </c>
    </row>
    <row r="1432" spans="1:12" ht="13.2">
      <c r="A1432" t="s">
        <v>2480</v>
      </c>
      <c r="B1432" t="b">
        <v>0</v>
      </c>
      <c r="C1432" t="s">
        <v>963</v>
      </c>
      <c r="D1432" t="s">
        <v>998</v>
      </c>
      <c r="E1432" t="s">
        <v>1080</v>
      </c>
      <c r="H1432" t="s">
        <v>903</v>
      </c>
      <c r="I1432" t="s">
        <v>2084</v>
      </c>
      <c r="J1432" t="s">
        <v>2865</v>
      </c>
      <c r="K1432" t="s">
        <v>2923</v>
      </c>
      <c r="L1432" t="s">
        <v>818</v>
      </c>
    </row>
    <row r="1433" spans="1:12" ht="13.2">
      <c r="A1433" t="s">
        <v>2481</v>
      </c>
      <c r="B1433" t="b">
        <v>0</v>
      </c>
      <c r="C1433" t="s">
        <v>903</v>
      </c>
      <c r="H1433" t="s">
        <v>903</v>
      </c>
      <c r="I1433" t="s">
        <v>2084</v>
      </c>
      <c r="J1433" t="s">
        <v>2865</v>
      </c>
      <c r="K1433" t="s">
        <v>2923</v>
      </c>
      <c r="L1433" t="s">
        <v>818</v>
      </c>
    </row>
    <row r="1434" spans="1:12" ht="13.2">
      <c r="A1434" t="s">
        <v>2482</v>
      </c>
      <c r="B1434" t="b">
        <v>0</v>
      </c>
      <c r="C1434" t="s">
        <v>903</v>
      </c>
      <c r="H1434" t="s">
        <v>903</v>
      </c>
      <c r="I1434" t="s">
        <v>2084</v>
      </c>
      <c r="J1434" t="s">
        <v>2865</v>
      </c>
      <c r="K1434" t="s">
        <v>2923</v>
      </c>
      <c r="L1434" t="s">
        <v>818</v>
      </c>
    </row>
    <row r="1435" spans="1:12" ht="13.2">
      <c r="A1435" t="s">
        <v>2483</v>
      </c>
      <c r="B1435" t="b">
        <v>0</v>
      </c>
      <c r="C1435" t="s">
        <v>903</v>
      </c>
      <c r="E1435" t="s">
        <v>903</v>
      </c>
      <c r="H1435" t="s">
        <v>903</v>
      </c>
      <c r="I1435" t="s">
        <v>2084</v>
      </c>
      <c r="J1435" t="s">
        <v>2865</v>
      </c>
      <c r="K1435" t="s">
        <v>2923</v>
      </c>
      <c r="L1435" t="s">
        <v>818</v>
      </c>
    </row>
    <row r="1436" spans="1:12" ht="13.2">
      <c r="A1436" t="s">
        <v>2484</v>
      </c>
      <c r="B1436" t="b">
        <v>0</v>
      </c>
      <c r="C1436" t="s">
        <v>903</v>
      </c>
      <c r="H1436" t="s">
        <v>903</v>
      </c>
      <c r="I1436" t="s">
        <v>2084</v>
      </c>
      <c r="J1436" t="s">
        <v>2865</v>
      </c>
      <c r="K1436" t="s">
        <v>2923</v>
      </c>
      <c r="L1436" t="s">
        <v>818</v>
      </c>
    </row>
    <row r="1437" spans="1:12" ht="13.2">
      <c r="A1437" t="s">
        <v>2485</v>
      </c>
      <c r="B1437" t="b">
        <v>0</v>
      </c>
      <c r="C1437" t="s">
        <v>903</v>
      </c>
      <c r="D1437" t="s">
        <v>903</v>
      </c>
      <c r="E1437" t="s">
        <v>903</v>
      </c>
      <c r="H1437" t="s">
        <v>903</v>
      </c>
      <c r="I1437" t="s">
        <v>2084</v>
      </c>
      <c r="J1437" t="s">
        <v>2865</v>
      </c>
      <c r="K1437" t="s">
        <v>2923</v>
      </c>
      <c r="L1437" t="s">
        <v>818</v>
      </c>
    </row>
    <row r="1438" spans="1:12" ht="13.2">
      <c r="A1438" t="s">
        <v>2486</v>
      </c>
      <c r="B1438" t="b">
        <v>0</v>
      </c>
      <c r="C1438" t="s">
        <v>963</v>
      </c>
      <c r="D1438" t="s">
        <v>963</v>
      </c>
      <c r="E1438" t="s">
        <v>963</v>
      </c>
      <c r="H1438" t="s">
        <v>963</v>
      </c>
      <c r="I1438" t="s">
        <v>2084</v>
      </c>
      <c r="J1438" t="s">
        <v>2865</v>
      </c>
      <c r="K1438" t="s">
        <v>2923</v>
      </c>
      <c r="L1438" t="s">
        <v>818</v>
      </c>
    </row>
    <row r="1439" spans="1:12" ht="13.2">
      <c r="A1439" t="s">
        <v>2487</v>
      </c>
      <c r="B1439" t="b">
        <v>0</v>
      </c>
      <c r="C1439" t="s">
        <v>1131</v>
      </c>
      <c r="D1439" t="s">
        <v>1143</v>
      </c>
      <c r="E1439" t="s">
        <v>1131</v>
      </c>
      <c r="H1439" t="s">
        <v>903</v>
      </c>
      <c r="I1439" t="s">
        <v>2084</v>
      </c>
      <c r="J1439" t="s">
        <v>2865</v>
      </c>
      <c r="K1439" t="s">
        <v>2923</v>
      </c>
      <c r="L1439" t="s">
        <v>818</v>
      </c>
    </row>
    <row r="1440" spans="1:12" ht="13.2">
      <c r="A1440" t="s">
        <v>2488</v>
      </c>
      <c r="B1440" t="b">
        <v>0</v>
      </c>
      <c r="C1440" t="s">
        <v>903</v>
      </c>
      <c r="D1440" t="s">
        <v>1143</v>
      </c>
      <c r="E1440" t="s">
        <v>903</v>
      </c>
      <c r="H1440" t="s">
        <v>903</v>
      </c>
      <c r="I1440" t="s">
        <v>2084</v>
      </c>
      <c r="J1440" t="s">
        <v>2865</v>
      </c>
      <c r="K1440" t="s">
        <v>2923</v>
      </c>
      <c r="L1440" t="s">
        <v>818</v>
      </c>
    </row>
    <row r="1441" spans="1:12" ht="13.2">
      <c r="A1441" t="s">
        <v>2489</v>
      </c>
      <c r="B1441" t="b">
        <v>0</v>
      </c>
      <c r="C1441" t="s">
        <v>963</v>
      </c>
      <c r="D1441" t="s">
        <v>963</v>
      </c>
      <c r="E1441" t="s">
        <v>963</v>
      </c>
      <c r="H1441" t="s">
        <v>963</v>
      </c>
      <c r="I1441" t="s">
        <v>2084</v>
      </c>
      <c r="J1441" t="s">
        <v>2865</v>
      </c>
      <c r="K1441" t="s">
        <v>2923</v>
      </c>
      <c r="L1441" t="s">
        <v>818</v>
      </c>
    </row>
    <row r="1442" spans="1:12" ht="13.2">
      <c r="A1442" t="s">
        <v>2490</v>
      </c>
      <c r="B1442" t="b">
        <v>0</v>
      </c>
      <c r="C1442" t="s">
        <v>903</v>
      </c>
      <c r="D1442" t="s">
        <v>903</v>
      </c>
      <c r="E1442" t="s">
        <v>903</v>
      </c>
      <c r="H1442" t="s">
        <v>903</v>
      </c>
      <c r="I1442" t="s">
        <v>2084</v>
      </c>
      <c r="J1442" t="s">
        <v>2865</v>
      </c>
      <c r="K1442" t="s">
        <v>2923</v>
      </c>
      <c r="L1442" t="s">
        <v>818</v>
      </c>
    </row>
    <row r="1443" spans="1:12" ht="13.2">
      <c r="A1443" t="s">
        <v>2491</v>
      </c>
      <c r="B1443" t="b">
        <v>0</v>
      </c>
      <c r="H1443" t="s">
        <v>1062</v>
      </c>
      <c r="I1443" t="s">
        <v>2084</v>
      </c>
      <c r="J1443" t="s">
        <v>2865</v>
      </c>
      <c r="K1443" t="s">
        <v>2923</v>
      </c>
      <c r="L1443" t="s">
        <v>818</v>
      </c>
    </row>
    <row r="1444" spans="1:12" ht="13.2">
      <c r="A1444" t="s">
        <v>2492</v>
      </c>
      <c r="B1444" t="b">
        <v>0</v>
      </c>
      <c r="H1444" t="s">
        <v>1062</v>
      </c>
      <c r="I1444" t="s">
        <v>2084</v>
      </c>
      <c r="J1444" t="s">
        <v>2866</v>
      </c>
      <c r="L1444" t="s">
        <v>818</v>
      </c>
    </row>
    <row r="1445" spans="1:12" ht="13.2">
      <c r="A1445" t="s">
        <v>2493</v>
      </c>
      <c r="B1445" t="b">
        <v>0</v>
      </c>
      <c r="H1445" t="s">
        <v>1062</v>
      </c>
      <c r="I1445" t="s">
        <v>2084</v>
      </c>
      <c r="J1445" t="s">
        <v>2866</v>
      </c>
      <c r="L1445" t="s">
        <v>818</v>
      </c>
    </row>
    <row r="1446" spans="1:12" ht="13.2">
      <c r="A1446" t="s">
        <v>2494</v>
      </c>
      <c r="B1446" t="b">
        <v>0</v>
      </c>
      <c r="H1446" t="s">
        <v>1062</v>
      </c>
      <c r="I1446" t="s">
        <v>2084</v>
      </c>
      <c r="J1446" t="s">
        <v>2866</v>
      </c>
      <c r="L1446" t="s">
        <v>818</v>
      </c>
    </row>
    <row r="1447" spans="1:12" ht="13.2">
      <c r="A1447" t="s">
        <v>2495</v>
      </c>
      <c r="B1447" t="b">
        <v>0</v>
      </c>
      <c r="H1447" t="s">
        <v>1062</v>
      </c>
      <c r="I1447" t="s">
        <v>2084</v>
      </c>
      <c r="J1447" t="s">
        <v>2866</v>
      </c>
      <c r="L1447" t="s">
        <v>818</v>
      </c>
    </row>
    <row r="1448" spans="1:12" ht="13.2">
      <c r="A1448" t="s">
        <v>2496</v>
      </c>
      <c r="B1448" t="b">
        <v>0</v>
      </c>
      <c r="H1448" t="s">
        <v>1062</v>
      </c>
      <c r="I1448" t="s">
        <v>2084</v>
      </c>
      <c r="J1448" t="s">
        <v>2866</v>
      </c>
      <c r="L1448" t="s">
        <v>818</v>
      </c>
    </row>
    <row r="1449" spans="1:12" ht="13.2">
      <c r="A1449" t="s">
        <v>2497</v>
      </c>
      <c r="B1449" t="b">
        <v>0</v>
      </c>
      <c r="H1449" t="s">
        <v>1062</v>
      </c>
      <c r="I1449" t="s">
        <v>2084</v>
      </c>
      <c r="J1449" t="s">
        <v>2866</v>
      </c>
      <c r="L1449" t="s">
        <v>818</v>
      </c>
    </row>
    <row r="1450" spans="1:12" ht="13.2">
      <c r="A1450" t="s">
        <v>2498</v>
      </c>
      <c r="B1450" t="b">
        <v>0</v>
      </c>
      <c r="H1450" t="s">
        <v>1062</v>
      </c>
      <c r="I1450" t="s">
        <v>2084</v>
      </c>
      <c r="J1450" t="s">
        <v>2866</v>
      </c>
      <c r="L1450" t="s">
        <v>818</v>
      </c>
    </row>
    <row r="1451" spans="1:12" ht="13.2">
      <c r="A1451" t="s">
        <v>2499</v>
      </c>
      <c r="B1451" t="b">
        <v>0</v>
      </c>
      <c r="H1451" t="s">
        <v>1062</v>
      </c>
      <c r="I1451" t="s">
        <v>2084</v>
      </c>
      <c r="J1451" t="s">
        <v>2866</v>
      </c>
      <c r="L1451" t="s">
        <v>818</v>
      </c>
    </row>
    <row r="1452" spans="1:12" ht="13.2">
      <c r="A1452" t="s">
        <v>2500</v>
      </c>
      <c r="B1452" t="b">
        <v>0</v>
      </c>
      <c r="H1452" t="s">
        <v>1062</v>
      </c>
      <c r="I1452" t="s">
        <v>2084</v>
      </c>
      <c r="J1452" t="s">
        <v>2866</v>
      </c>
      <c r="L1452" t="s">
        <v>818</v>
      </c>
    </row>
    <row r="1453" spans="1:12" ht="13.2">
      <c r="A1453" t="s">
        <v>2501</v>
      </c>
      <c r="B1453" t="b">
        <v>0</v>
      </c>
      <c r="H1453" t="s">
        <v>1062</v>
      </c>
      <c r="I1453" t="s">
        <v>2084</v>
      </c>
      <c r="J1453" t="s">
        <v>2861</v>
      </c>
      <c r="L1453" t="s">
        <v>818</v>
      </c>
    </row>
    <row r="1454" spans="1:12" ht="13.2">
      <c r="A1454" t="s">
        <v>2502</v>
      </c>
      <c r="B1454" t="b">
        <v>0</v>
      </c>
      <c r="H1454" t="s">
        <v>1062</v>
      </c>
      <c r="I1454" t="s">
        <v>2084</v>
      </c>
      <c r="J1454" t="s">
        <v>2861</v>
      </c>
      <c r="L1454" t="s">
        <v>818</v>
      </c>
    </row>
    <row r="1455" spans="1:12" ht="13.2">
      <c r="A1455" t="s">
        <v>2503</v>
      </c>
      <c r="B1455" t="b">
        <v>0</v>
      </c>
      <c r="H1455" t="s">
        <v>1062</v>
      </c>
      <c r="I1455" t="s">
        <v>2084</v>
      </c>
      <c r="J1455" t="s">
        <v>2861</v>
      </c>
      <c r="L1455" t="s">
        <v>818</v>
      </c>
    </row>
    <row r="1456" spans="1:12" ht="13.2">
      <c r="A1456" t="s">
        <v>2504</v>
      </c>
      <c r="B1456" t="b">
        <v>0</v>
      </c>
      <c r="H1456" t="s">
        <v>1062</v>
      </c>
      <c r="I1456" t="s">
        <v>2084</v>
      </c>
      <c r="J1456" t="s">
        <v>2861</v>
      </c>
      <c r="L1456" t="s">
        <v>818</v>
      </c>
    </row>
    <row r="1457" spans="1:12" ht="13.2">
      <c r="A1457" t="s">
        <v>2505</v>
      </c>
      <c r="B1457" t="b">
        <v>0</v>
      </c>
      <c r="H1457" t="s">
        <v>1062</v>
      </c>
      <c r="I1457" t="s">
        <v>2084</v>
      </c>
      <c r="J1457" t="s">
        <v>2861</v>
      </c>
      <c r="L1457" t="s">
        <v>818</v>
      </c>
    </row>
    <row r="1458" spans="1:12" ht="13.2">
      <c r="A1458" t="s">
        <v>2506</v>
      </c>
      <c r="B1458" t="b">
        <v>0</v>
      </c>
      <c r="H1458" t="s">
        <v>1062</v>
      </c>
      <c r="I1458" t="s">
        <v>2084</v>
      </c>
      <c r="J1458" t="s">
        <v>2861</v>
      </c>
      <c r="L1458" t="s">
        <v>818</v>
      </c>
    </row>
    <row r="1459" spans="1:12" ht="13.2">
      <c r="A1459" t="s">
        <v>2507</v>
      </c>
      <c r="B1459" t="b">
        <v>0</v>
      </c>
      <c r="H1459" t="s">
        <v>1062</v>
      </c>
      <c r="I1459" t="s">
        <v>2084</v>
      </c>
      <c r="J1459" t="s">
        <v>2861</v>
      </c>
      <c r="L1459" t="s">
        <v>818</v>
      </c>
    </row>
    <row r="1460" spans="1:12" ht="13.2">
      <c r="A1460" t="s">
        <v>2508</v>
      </c>
      <c r="B1460" t="b">
        <v>0</v>
      </c>
      <c r="H1460" t="s">
        <v>1062</v>
      </c>
      <c r="I1460" t="s">
        <v>2084</v>
      </c>
      <c r="J1460" t="s">
        <v>2861</v>
      </c>
      <c r="L1460" t="s">
        <v>818</v>
      </c>
    </row>
    <row r="1461" spans="1:12" ht="13.2">
      <c r="A1461" t="s">
        <v>2509</v>
      </c>
      <c r="B1461" t="b">
        <v>0</v>
      </c>
      <c r="H1461" t="s">
        <v>1062</v>
      </c>
      <c r="I1461" t="s">
        <v>2084</v>
      </c>
      <c r="J1461" t="s">
        <v>2861</v>
      </c>
      <c r="L1461" t="s">
        <v>818</v>
      </c>
    </row>
    <row r="1462" spans="1:12" ht="13.2">
      <c r="A1462" t="s">
        <v>2510</v>
      </c>
      <c r="B1462" t="b">
        <v>0</v>
      </c>
      <c r="H1462" t="s">
        <v>1062</v>
      </c>
      <c r="I1462" t="s">
        <v>2084</v>
      </c>
      <c r="J1462" t="s">
        <v>2861</v>
      </c>
      <c r="L1462" t="s">
        <v>818</v>
      </c>
    </row>
    <row r="1463" spans="1:12" ht="13.2">
      <c r="A1463" t="s">
        <v>2511</v>
      </c>
      <c r="B1463" t="b">
        <v>0</v>
      </c>
      <c r="H1463" t="s">
        <v>1062</v>
      </c>
      <c r="I1463" t="s">
        <v>2084</v>
      </c>
      <c r="J1463" t="s">
        <v>2861</v>
      </c>
      <c r="L1463" t="s">
        <v>818</v>
      </c>
    </row>
    <row r="1464" spans="1:12" ht="13.2">
      <c r="A1464" t="s">
        <v>2512</v>
      </c>
      <c r="B1464" t="b">
        <v>0</v>
      </c>
      <c r="H1464" t="s">
        <v>1062</v>
      </c>
      <c r="I1464" t="s">
        <v>2084</v>
      </c>
      <c r="J1464" t="s">
        <v>2861</v>
      </c>
      <c r="L1464" t="s">
        <v>818</v>
      </c>
    </row>
    <row r="1465" spans="1:12" ht="13.2">
      <c r="A1465" t="s">
        <v>2513</v>
      </c>
      <c r="B1465" t="b">
        <v>0</v>
      </c>
      <c r="H1465" t="s">
        <v>1062</v>
      </c>
      <c r="I1465" t="s">
        <v>2084</v>
      </c>
      <c r="J1465" t="s">
        <v>2860</v>
      </c>
      <c r="L1465" t="s">
        <v>818</v>
      </c>
    </row>
    <row r="1466" spans="1:12" ht="13.2">
      <c r="A1466" t="s">
        <v>2514</v>
      </c>
      <c r="B1466" t="b">
        <v>0</v>
      </c>
      <c r="H1466" t="s">
        <v>1062</v>
      </c>
      <c r="I1466" t="s">
        <v>2084</v>
      </c>
      <c r="J1466" t="s">
        <v>2860</v>
      </c>
      <c r="L1466" t="s">
        <v>818</v>
      </c>
    </row>
    <row r="1467" spans="1:12" ht="13.2">
      <c r="A1467" t="s">
        <v>2515</v>
      </c>
      <c r="B1467" t="b">
        <v>0</v>
      </c>
      <c r="H1467" t="s">
        <v>1062</v>
      </c>
      <c r="I1467" t="s">
        <v>2084</v>
      </c>
      <c r="J1467" t="s">
        <v>2860</v>
      </c>
      <c r="L1467" t="s">
        <v>818</v>
      </c>
    </row>
    <row r="1468" spans="1:12" ht="13.2">
      <c r="A1468" t="s">
        <v>2516</v>
      </c>
      <c r="B1468" t="b">
        <v>0</v>
      </c>
      <c r="H1468" t="s">
        <v>1062</v>
      </c>
      <c r="I1468" t="s">
        <v>2084</v>
      </c>
      <c r="J1468" t="s">
        <v>2872</v>
      </c>
      <c r="L1468" t="s">
        <v>818</v>
      </c>
    </row>
    <row r="1469" spans="1:12" ht="13.2">
      <c r="A1469" t="s">
        <v>2517</v>
      </c>
      <c r="B1469" t="b">
        <v>0</v>
      </c>
      <c r="H1469" t="s">
        <v>1062</v>
      </c>
      <c r="I1469" t="s">
        <v>2084</v>
      </c>
      <c r="J1469" t="s">
        <v>2872</v>
      </c>
      <c r="L1469" t="s">
        <v>818</v>
      </c>
    </row>
    <row r="1470" spans="1:12" ht="13.2">
      <c r="A1470" t="s">
        <v>2518</v>
      </c>
      <c r="B1470" t="b">
        <v>0</v>
      </c>
      <c r="C1470" t="s">
        <v>903</v>
      </c>
      <c r="D1470" t="s">
        <v>903</v>
      </c>
      <c r="E1470" t="s">
        <v>903</v>
      </c>
      <c r="H1470" t="s">
        <v>1062</v>
      </c>
      <c r="I1470" t="s">
        <v>2084</v>
      </c>
      <c r="J1470" t="s">
        <v>2872</v>
      </c>
      <c r="L1470" t="s">
        <v>818</v>
      </c>
    </row>
    <row r="1471" spans="1:12" ht="13.2">
      <c r="A1471" t="s">
        <v>2519</v>
      </c>
      <c r="B1471" t="b">
        <v>0</v>
      </c>
      <c r="H1471" t="s">
        <v>1062</v>
      </c>
      <c r="I1471" t="s">
        <v>2084</v>
      </c>
      <c r="J1471" t="s">
        <v>2872</v>
      </c>
      <c r="L1471" t="s">
        <v>818</v>
      </c>
    </row>
    <row r="1472" spans="1:12" ht="13.2">
      <c r="A1472" t="s">
        <v>2520</v>
      </c>
      <c r="B1472" t="b">
        <v>0</v>
      </c>
      <c r="H1472" t="s">
        <v>1062</v>
      </c>
      <c r="I1472" t="s">
        <v>2084</v>
      </c>
      <c r="J1472" t="s">
        <v>2872</v>
      </c>
      <c r="L1472" t="s">
        <v>818</v>
      </c>
    </row>
    <row r="1473" spans="1:12" ht="13.2">
      <c r="A1473" t="s">
        <v>2521</v>
      </c>
      <c r="B1473" t="b">
        <v>0</v>
      </c>
      <c r="H1473" t="s">
        <v>1062</v>
      </c>
      <c r="I1473" t="s">
        <v>2084</v>
      </c>
      <c r="J1473" t="s">
        <v>2872</v>
      </c>
      <c r="L1473" t="s">
        <v>818</v>
      </c>
    </row>
    <row r="1474" spans="1:12" ht="13.2">
      <c r="A1474" t="s">
        <v>2522</v>
      </c>
      <c r="B1474" t="b">
        <v>0</v>
      </c>
      <c r="H1474" t="s">
        <v>1062</v>
      </c>
      <c r="I1474" t="s">
        <v>2084</v>
      </c>
      <c r="J1474" t="s">
        <v>2872</v>
      </c>
      <c r="L1474" t="s">
        <v>818</v>
      </c>
    </row>
    <row r="1475" spans="1:12" ht="13.2">
      <c r="A1475" t="s">
        <v>2523</v>
      </c>
      <c r="B1475" t="b">
        <v>0</v>
      </c>
      <c r="H1475" t="s">
        <v>1062</v>
      </c>
      <c r="I1475" t="s">
        <v>2084</v>
      </c>
      <c r="J1475" t="s">
        <v>2872</v>
      </c>
      <c r="L1475" t="s">
        <v>818</v>
      </c>
    </row>
    <row r="1476" spans="1:12" ht="13.2">
      <c r="A1476" t="s">
        <v>2524</v>
      </c>
      <c r="B1476" t="b">
        <v>0</v>
      </c>
      <c r="H1476" t="s">
        <v>1062</v>
      </c>
      <c r="I1476" t="s">
        <v>2084</v>
      </c>
      <c r="J1476" t="s">
        <v>2872</v>
      </c>
      <c r="L1476" t="s">
        <v>818</v>
      </c>
    </row>
    <row r="1477" spans="1:12" ht="13.2">
      <c r="A1477" t="s">
        <v>2525</v>
      </c>
      <c r="B1477" t="b">
        <v>0</v>
      </c>
      <c r="H1477" t="s">
        <v>1062</v>
      </c>
      <c r="I1477" t="s">
        <v>2084</v>
      </c>
      <c r="J1477" t="s">
        <v>2872</v>
      </c>
      <c r="L1477" t="s">
        <v>818</v>
      </c>
    </row>
    <row r="1478" spans="1:12" ht="13.2">
      <c r="A1478" t="s">
        <v>2526</v>
      </c>
      <c r="B1478" t="b">
        <v>0</v>
      </c>
      <c r="H1478" t="s">
        <v>1062</v>
      </c>
      <c r="I1478" t="s">
        <v>2084</v>
      </c>
      <c r="J1478" t="s">
        <v>2872</v>
      </c>
      <c r="L1478" t="s">
        <v>818</v>
      </c>
    </row>
    <row r="1479" spans="1:12" ht="13.2">
      <c r="A1479" t="s">
        <v>2527</v>
      </c>
      <c r="B1479" t="b">
        <v>0</v>
      </c>
      <c r="C1479" t="s">
        <v>903</v>
      </c>
      <c r="D1479" t="s">
        <v>903</v>
      </c>
      <c r="E1479" t="s">
        <v>903</v>
      </c>
      <c r="H1479" t="s">
        <v>1062</v>
      </c>
      <c r="I1479" t="s">
        <v>2084</v>
      </c>
      <c r="J1479" t="s">
        <v>2875</v>
      </c>
      <c r="K1479">
        <v>2500</v>
      </c>
      <c r="L1479" t="s">
        <v>818</v>
      </c>
    </row>
    <row r="1480" spans="1:12" ht="13.2">
      <c r="A1480" t="s">
        <v>2528</v>
      </c>
      <c r="B1480" t="b">
        <v>0</v>
      </c>
      <c r="H1480" t="s">
        <v>1062</v>
      </c>
      <c r="I1480" t="s">
        <v>2084</v>
      </c>
      <c r="J1480" t="s">
        <v>2860</v>
      </c>
      <c r="L1480" t="s">
        <v>818</v>
      </c>
    </row>
    <row r="1481" spans="1:12" ht="13.2">
      <c r="A1481" t="s">
        <v>2529</v>
      </c>
      <c r="B1481" t="b">
        <v>0</v>
      </c>
      <c r="H1481" t="s">
        <v>1062</v>
      </c>
      <c r="I1481" t="s">
        <v>2084</v>
      </c>
      <c r="J1481" t="s">
        <v>2860</v>
      </c>
      <c r="L1481" t="s">
        <v>818</v>
      </c>
    </row>
    <row r="1482" spans="1:12" ht="13.2">
      <c r="A1482" t="s">
        <v>2530</v>
      </c>
      <c r="B1482" t="b">
        <v>0</v>
      </c>
      <c r="H1482" t="s">
        <v>1062</v>
      </c>
      <c r="I1482" t="s">
        <v>2084</v>
      </c>
      <c r="J1482" t="s">
        <v>2860</v>
      </c>
      <c r="L1482" t="s">
        <v>818</v>
      </c>
    </row>
    <row r="1483" spans="1:12" ht="13.2">
      <c r="A1483" t="s">
        <v>2531</v>
      </c>
      <c r="B1483" t="b">
        <v>0</v>
      </c>
      <c r="H1483" t="s">
        <v>1062</v>
      </c>
      <c r="I1483" t="s">
        <v>2084</v>
      </c>
      <c r="J1483" t="s">
        <v>2860</v>
      </c>
      <c r="L1483" t="s">
        <v>818</v>
      </c>
    </row>
    <row r="1484" spans="1:12" ht="13.2">
      <c r="A1484" t="s">
        <v>2532</v>
      </c>
      <c r="B1484" t="b">
        <v>0</v>
      </c>
      <c r="H1484" t="s">
        <v>1062</v>
      </c>
      <c r="I1484" t="s">
        <v>2084</v>
      </c>
      <c r="J1484" t="s">
        <v>2860</v>
      </c>
      <c r="L1484" t="s">
        <v>818</v>
      </c>
    </row>
    <row r="1485" spans="1:12" ht="13.2">
      <c r="A1485" t="s">
        <v>2533</v>
      </c>
      <c r="B1485" t="b">
        <v>0</v>
      </c>
      <c r="H1485" t="s">
        <v>1062</v>
      </c>
      <c r="I1485" t="s">
        <v>2084</v>
      </c>
      <c r="J1485" t="s">
        <v>2860</v>
      </c>
      <c r="L1485" t="s">
        <v>818</v>
      </c>
    </row>
    <row r="1486" spans="1:12" ht="13.2">
      <c r="A1486" t="s">
        <v>2534</v>
      </c>
      <c r="B1486" t="b">
        <v>0</v>
      </c>
      <c r="H1486" t="s">
        <v>1062</v>
      </c>
      <c r="I1486" t="s">
        <v>2084</v>
      </c>
      <c r="J1486" t="s">
        <v>2860</v>
      </c>
      <c r="L1486" t="s">
        <v>818</v>
      </c>
    </row>
    <row r="1487" spans="1:12" ht="13.2">
      <c r="A1487" t="s">
        <v>2535</v>
      </c>
      <c r="B1487" t="b">
        <v>0</v>
      </c>
      <c r="H1487" t="s">
        <v>1062</v>
      </c>
      <c r="I1487" t="s">
        <v>2084</v>
      </c>
      <c r="J1487" t="s">
        <v>2860</v>
      </c>
      <c r="L1487" t="s">
        <v>818</v>
      </c>
    </row>
    <row r="1488" spans="1:12" ht="13.2">
      <c r="A1488" t="s">
        <v>2536</v>
      </c>
      <c r="B1488" t="b">
        <v>0</v>
      </c>
      <c r="H1488" t="s">
        <v>1062</v>
      </c>
      <c r="I1488" t="s">
        <v>2084</v>
      </c>
      <c r="J1488" t="s">
        <v>2860</v>
      </c>
      <c r="L1488" t="s">
        <v>818</v>
      </c>
    </row>
    <row r="1489" spans="1:12" ht="13.2">
      <c r="A1489" t="s">
        <v>2537</v>
      </c>
      <c r="B1489" t="b">
        <v>0</v>
      </c>
      <c r="H1489" t="s">
        <v>1062</v>
      </c>
      <c r="I1489" t="s">
        <v>2084</v>
      </c>
      <c r="J1489" t="s">
        <v>2860</v>
      </c>
      <c r="L1489" t="s">
        <v>818</v>
      </c>
    </row>
    <row r="1490" spans="1:12" ht="13.2">
      <c r="A1490" t="s">
        <v>2538</v>
      </c>
      <c r="B1490" t="b">
        <v>0</v>
      </c>
      <c r="C1490" t="s">
        <v>903</v>
      </c>
      <c r="D1490" t="s">
        <v>2539</v>
      </c>
      <c r="E1490" t="s">
        <v>903</v>
      </c>
      <c r="H1490" t="s">
        <v>1062</v>
      </c>
      <c r="I1490" t="s">
        <v>2084</v>
      </c>
      <c r="J1490" t="s">
        <v>2872</v>
      </c>
      <c r="L1490" t="s">
        <v>818</v>
      </c>
    </row>
    <row r="1491" spans="1:12" ht="13.2">
      <c r="A1491" t="s">
        <v>2540</v>
      </c>
      <c r="B1491" t="b">
        <v>0</v>
      </c>
      <c r="C1491" t="s">
        <v>903</v>
      </c>
      <c r="D1491" t="s">
        <v>903</v>
      </c>
      <c r="E1491" t="s">
        <v>903</v>
      </c>
      <c r="H1491" t="s">
        <v>1062</v>
      </c>
      <c r="I1491" t="s">
        <v>2084</v>
      </c>
      <c r="J1491" t="s">
        <v>2872</v>
      </c>
      <c r="L1491" t="s">
        <v>818</v>
      </c>
    </row>
    <row r="1492" spans="1:12" ht="13.2">
      <c r="A1492" t="s">
        <v>2541</v>
      </c>
      <c r="B1492" t="b">
        <v>0</v>
      </c>
      <c r="C1492" t="s">
        <v>1108</v>
      </c>
      <c r="D1492" t="s">
        <v>1109</v>
      </c>
      <c r="E1492" t="s">
        <v>1108</v>
      </c>
      <c r="H1492" t="s">
        <v>1062</v>
      </c>
      <c r="I1492" t="s">
        <v>2084</v>
      </c>
      <c r="J1492" t="s">
        <v>2872</v>
      </c>
      <c r="L1492" t="s">
        <v>818</v>
      </c>
    </row>
    <row r="1493" spans="1:12" ht="13.2">
      <c r="A1493" t="s">
        <v>2542</v>
      </c>
      <c r="B1493" t="b">
        <v>0</v>
      </c>
      <c r="C1493" t="s">
        <v>903</v>
      </c>
      <c r="D1493" t="s">
        <v>998</v>
      </c>
      <c r="E1493" t="s">
        <v>1080</v>
      </c>
      <c r="H1493" t="s">
        <v>1062</v>
      </c>
      <c r="I1493" t="s">
        <v>2084</v>
      </c>
      <c r="J1493" t="s">
        <v>2872</v>
      </c>
      <c r="L1493" t="s">
        <v>818</v>
      </c>
    </row>
    <row r="1494" spans="1:12" ht="13.2">
      <c r="A1494" t="s">
        <v>2543</v>
      </c>
      <c r="B1494" t="b">
        <v>0</v>
      </c>
      <c r="C1494" t="s">
        <v>1108</v>
      </c>
      <c r="D1494" t="s">
        <v>1109</v>
      </c>
      <c r="E1494" t="s">
        <v>1108</v>
      </c>
      <c r="H1494" t="s">
        <v>1062</v>
      </c>
      <c r="I1494" t="s">
        <v>2084</v>
      </c>
      <c r="J1494" t="s">
        <v>2872</v>
      </c>
      <c r="L1494" t="s">
        <v>818</v>
      </c>
    </row>
    <row r="1495" spans="1:12" ht="13.2">
      <c r="A1495" t="s">
        <v>2544</v>
      </c>
      <c r="B1495" t="b">
        <v>0</v>
      </c>
      <c r="C1495" t="s">
        <v>1108</v>
      </c>
      <c r="D1495" t="s">
        <v>1109</v>
      </c>
      <c r="E1495" t="s">
        <v>1108</v>
      </c>
      <c r="H1495" t="s">
        <v>1062</v>
      </c>
      <c r="I1495" t="s">
        <v>2084</v>
      </c>
      <c r="J1495" t="s">
        <v>2872</v>
      </c>
      <c r="L1495" t="s">
        <v>818</v>
      </c>
    </row>
    <row r="1496" spans="1:12" ht="13.2">
      <c r="A1496" t="s">
        <v>2545</v>
      </c>
      <c r="B1496" t="b">
        <v>0</v>
      </c>
      <c r="C1496" t="s">
        <v>903</v>
      </c>
      <c r="D1496" t="s">
        <v>998</v>
      </c>
      <c r="E1496" t="s">
        <v>1080</v>
      </c>
      <c r="H1496" t="s">
        <v>1062</v>
      </c>
      <c r="I1496" t="s">
        <v>2084</v>
      </c>
      <c r="J1496" t="s">
        <v>2872</v>
      </c>
      <c r="L1496" t="s">
        <v>818</v>
      </c>
    </row>
    <row r="1497" spans="1:12" ht="13.2">
      <c r="A1497" t="s">
        <v>2546</v>
      </c>
      <c r="B1497" t="b">
        <v>0</v>
      </c>
      <c r="C1497" t="s">
        <v>903</v>
      </c>
      <c r="D1497" t="s">
        <v>998</v>
      </c>
      <c r="E1497" t="s">
        <v>1080</v>
      </c>
      <c r="H1497" t="s">
        <v>1062</v>
      </c>
      <c r="I1497" t="s">
        <v>2084</v>
      </c>
      <c r="J1497" t="s">
        <v>2872</v>
      </c>
      <c r="L1497" t="s">
        <v>818</v>
      </c>
    </row>
    <row r="1498" spans="1:12" ht="13.2">
      <c r="A1498" t="s">
        <v>2547</v>
      </c>
      <c r="B1498" t="b">
        <v>0</v>
      </c>
      <c r="C1498" t="s">
        <v>903</v>
      </c>
      <c r="D1498" t="s">
        <v>998</v>
      </c>
      <c r="E1498" t="s">
        <v>1080</v>
      </c>
      <c r="H1498" t="s">
        <v>1062</v>
      </c>
      <c r="I1498" t="s">
        <v>2084</v>
      </c>
      <c r="J1498" t="s">
        <v>2872</v>
      </c>
      <c r="L1498" t="s">
        <v>818</v>
      </c>
    </row>
    <row r="1499" spans="1:12" ht="13.2">
      <c r="A1499" t="s">
        <v>2548</v>
      </c>
      <c r="B1499" t="b">
        <v>0</v>
      </c>
      <c r="C1499" t="s">
        <v>903</v>
      </c>
      <c r="D1499" t="s">
        <v>998</v>
      </c>
      <c r="E1499" t="s">
        <v>1080</v>
      </c>
      <c r="H1499" t="s">
        <v>1062</v>
      </c>
      <c r="I1499" t="s">
        <v>2084</v>
      </c>
      <c r="J1499" t="s">
        <v>2872</v>
      </c>
      <c r="L1499" t="s">
        <v>818</v>
      </c>
    </row>
    <row r="1500" spans="1:12" ht="13.2">
      <c r="A1500" t="s">
        <v>2549</v>
      </c>
      <c r="B1500" t="b">
        <v>0</v>
      </c>
      <c r="C1500" t="s">
        <v>903</v>
      </c>
      <c r="D1500" t="s">
        <v>998</v>
      </c>
      <c r="E1500" t="s">
        <v>1080</v>
      </c>
      <c r="H1500" t="s">
        <v>1062</v>
      </c>
      <c r="I1500" t="s">
        <v>2084</v>
      </c>
      <c r="J1500" t="s">
        <v>2872</v>
      </c>
      <c r="L1500" t="s">
        <v>818</v>
      </c>
    </row>
    <row r="1501" spans="1:12" ht="13.2">
      <c r="A1501" t="s">
        <v>2550</v>
      </c>
      <c r="B1501" t="b">
        <v>0</v>
      </c>
      <c r="C1501" t="s">
        <v>903</v>
      </c>
      <c r="D1501" t="s">
        <v>998</v>
      </c>
      <c r="E1501" t="s">
        <v>1080</v>
      </c>
      <c r="H1501" t="s">
        <v>1062</v>
      </c>
      <c r="I1501" t="s">
        <v>2084</v>
      </c>
      <c r="J1501" t="s">
        <v>2872</v>
      </c>
      <c r="L1501" t="s">
        <v>818</v>
      </c>
    </row>
    <row r="1502" spans="1:12" ht="13.2">
      <c r="A1502" t="s">
        <v>2551</v>
      </c>
      <c r="B1502" t="b">
        <v>0</v>
      </c>
      <c r="C1502" t="s">
        <v>963</v>
      </c>
      <c r="D1502" t="s">
        <v>963</v>
      </c>
      <c r="E1502" t="s">
        <v>963</v>
      </c>
      <c r="H1502" t="s">
        <v>1062</v>
      </c>
      <c r="I1502" t="s">
        <v>2084</v>
      </c>
      <c r="J1502" t="s">
        <v>2872</v>
      </c>
      <c r="L1502" t="s">
        <v>818</v>
      </c>
    </row>
    <row r="1503" spans="1:12" ht="13.2">
      <c r="A1503" t="s">
        <v>2552</v>
      </c>
      <c r="B1503" t="b">
        <v>0</v>
      </c>
      <c r="C1503" t="s">
        <v>963</v>
      </c>
      <c r="D1503" t="s">
        <v>963</v>
      </c>
      <c r="E1503" t="s">
        <v>963</v>
      </c>
      <c r="H1503" t="s">
        <v>1062</v>
      </c>
      <c r="I1503" t="s">
        <v>2084</v>
      </c>
      <c r="J1503" t="s">
        <v>2872</v>
      </c>
      <c r="L1503" t="s">
        <v>818</v>
      </c>
    </row>
    <row r="1504" spans="1:12" ht="13.2">
      <c r="A1504" t="s">
        <v>2553</v>
      </c>
      <c r="B1504" t="b">
        <v>0</v>
      </c>
      <c r="H1504" t="s">
        <v>1062</v>
      </c>
      <c r="I1504" t="s">
        <v>2084</v>
      </c>
      <c r="J1504" t="s">
        <v>2872</v>
      </c>
      <c r="L1504" t="s">
        <v>818</v>
      </c>
    </row>
    <row r="1505" spans="1:12" ht="13.2">
      <c r="A1505" t="s">
        <v>2554</v>
      </c>
      <c r="B1505" t="b">
        <v>0</v>
      </c>
      <c r="H1505" t="s">
        <v>1062</v>
      </c>
      <c r="I1505" t="s">
        <v>2084</v>
      </c>
      <c r="J1505" t="s">
        <v>2872</v>
      </c>
      <c r="L1505" t="s">
        <v>818</v>
      </c>
    </row>
    <row r="1506" spans="1:12" ht="13.2">
      <c r="A1506" t="s">
        <v>2555</v>
      </c>
      <c r="B1506" t="b">
        <v>0</v>
      </c>
      <c r="H1506" t="s">
        <v>1062</v>
      </c>
      <c r="I1506" t="s">
        <v>2084</v>
      </c>
      <c r="J1506" t="s">
        <v>2872</v>
      </c>
      <c r="L1506" t="s">
        <v>818</v>
      </c>
    </row>
    <row r="1507" spans="1:12" ht="13.2">
      <c r="A1507" t="s">
        <v>2556</v>
      </c>
      <c r="B1507" t="b">
        <v>0</v>
      </c>
      <c r="H1507" t="s">
        <v>1062</v>
      </c>
      <c r="I1507" t="s">
        <v>2084</v>
      </c>
      <c r="J1507" t="s">
        <v>2872</v>
      </c>
      <c r="L1507" t="s">
        <v>818</v>
      </c>
    </row>
    <row r="1508" spans="1:12" ht="13.2">
      <c r="A1508" t="s">
        <v>2557</v>
      </c>
      <c r="B1508" t="b">
        <v>0</v>
      </c>
      <c r="H1508" t="s">
        <v>1062</v>
      </c>
      <c r="I1508" t="s">
        <v>2084</v>
      </c>
      <c r="J1508" t="s">
        <v>2872</v>
      </c>
      <c r="L1508" t="s">
        <v>818</v>
      </c>
    </row>
    <row r="1509" spans="1:12" ht="13.2">
      <c r="A1509" t="s">
        <v>2558</v>
      </c>
      <c r="B1509" t="b">
        <v>0</v>
      </c>
      <c r="H1509" t="s">
        <v>1062</v>
      </c>
      <c r="I1509" t="s">
        <v>2084</v>
      </c>
      <c r="J1509" t="s">
        <v>2872</v>
      </c>
      <c r="L1509" t="s">
        <v>818</v>
      </c>
    </row>
    <row r="1510" spans="1:12" ht="13.2">
      <c r="A1510" t="s">
        <v>2559</v>
      </c>
      <c r="B1510" t="b">
        <v>0</v>
      </c>
      <c r="H1510" t="s">
        <v>1062</v>
      </c>
      <c r="I1510" t="s">
        <v>2084</v>
      </c>
      <c r="J1510" t="s">
        <v>2872</v>
      </c>
      <c r="L1510" t="s">
        <v>818</v>
      </c>
    </row>
    <row r="1511" spans="1:12" ht="13.2">
      <c r="A1511" t="s">
        <v>2560</v>
      </c>
      <c r="B1511" t="b">
        <v>0</v>
      </c>
      <c r="H1511" t="s">
        <v>1062</v>
      </c>
      <c r="I1511" t="s">
        <v>2084</v>
      </c>
      <c r="J1511" t="s">
        <v>2872</v>
      </c>
      <c r="L1511" t="s">
        <v>818</v>
      </c>
    </row>
    <row r="1512" spans="1:12" ht="13.2">
      <c r="A1512" t="s">
        <v>2561</v>
      </c>
      <c r="B1512" t="b">
        <v>0</v>
      </c>
      <c r="H1512" t="s">
        <v>1062</v>
      </c>
      <c r="I1512" t="s">
        <v>2084</v>
      </c>
      <c r="J1512" t="s">
        <v>2872</v>
      </c>
      <c r="L1512" t="s">
        <v>818</v>
      </c>
    </row>
    <row r="1513" spans="1:12" ht="13.2">
      <c r="A1513" t="s">
        <v>2562</v>
      </c>
      <c r="B1513" t="b">
        <v>0</v>
      </c>
      <c r="H1513" t="s">
        <v>1062</v>
      </c>
      <c r="I1513" t="s">
        <v>2084</v>
      </c>
      <c r="J1513" t="s">
        <v>2872</v>
      </c>
      <c r="L1513" t="s">
        <v>818</v>
      </c>
    </row>
    <row r="1514" spans="1:12" ht="13.2">
      <c r="A1514" t="s">
        <v>2563</v>
      </c>
      <c r="B1514" t="b">
        <v>0</v>
      </c>
      <c r="H1514" t="s">
        <v>1062</v>
      </c>
      <c r="I1514" t="s">
        <v>2084</v>
      </c>
      <c r="J1514" t="s">
        <v>2872</v>
      </c>
      <c r="L1514" t="s">
        <v>818</v>
      </c>
    </row>
    <row r="1515" spans="1:12" ht="13.2">
      <c r="A1515" t="s">
        <v>2564</v>
      </c>
      <c r="B1515" t="b">
        <v>0</v>
      </c>
      <c r="H1515" t="s">
        <v>1062</v>
      </c>
      <c r="I1515" t="s">
        <v>2084</v>
      </c>
      <c r="J1515" t="s">
        <v>2872</v>
      </c>
      <c r="L1515" t="s">
        <v>818</v>
      </c>
    </row>
    <row r="1516" spans="1:12" ht="13.2">
      <c r="A1516" t="s">
        <v>2565</v>
      </c>
      <c r="B1516" t="b">
        <v>0</v>
      </c>
      <c r="H1516" t="s">
        <v>1062</v>
      </c>
      <c r="I1516" t="s">
        <v>2084</v>
      </c>
      <c r="J1516" t="s">
        <v>2857</v>
      </c>
      <c r="L1516" t="s">
        <v>818</v>
      </c>
    </row>
    <row r="1517" spans="1:12" ht="13.2">
      <c r="A1517" t="s">
        <v>2566</v>
      </c>
      <c r="B1517" t="b">
        <v>0</v>
      </c>
      <c r="H1517" t="s">
        <v>1062</v>
      </c>
      <c r="I1517" t="s">
        <v>2084</v>
      </c>
      <c r="J1517" t="s">
        <v>2857</v>
      </c>
      <c r="L1517" t="s">
        <v>818</v>
      </c>
    </row>
    <row r="1518" spans="1:12" ht="13.2">
      <c r="A1518" t="s">
        <v>2567</v>
      </c>
      <c r="B1518" t="b">
        <v>0</v>
      </c>
      <c r="H1518" t="s">
        <v>1062</v>
      </c>
      <c r="I1518" t="s">
        <v>2084</v>
      </c>
      <c r="J1518" t="s">
        <v>2857</v>
      </c>
      <c r="L1518" t="s">
        <v>818</v>
      </c>
    </row>
    <row r="1519" spans="1:12" ht="13.2">
      <c r="A1519" t="s">
        <v>2568</v>
      </c>
      <c r="B1519" t="b">
        <v>0</v>
      </c>
      <c r="H1519" t="s">
        <v>1062</v>
      </c>
      <c r="I1519" t="s">
        <v>2084</v>
      </c>
      <c r="J1519" t="s">
        <v>2857</v>
      </c>
      <c r="L1519" t="s">
        <v>818</v>
      </c>
    </row>
    <row r="1520" spans="1:12" ht="13.2">
      <c r="A1520" t="s">
        <v>2569</v>
      </c>
      <c r="B1520" t="b">
        <v>0</v>
      </c>
      <c r="H1520" t="s">
        <v>1062</v>
      </c>
      <c r="I1520" t="s">
        <v>2084</v>
      </c>
      <c r="J1520" t="s">
        <v>2857</v>
      </c>
      <c r="L1520" t="s">
        <v>818</v>
      </c>
    </row>
    <row r="1521" spans="1:12" ht="13.2">
      <c r="A1521" t="s">
        <v>2570</v>
      </c>
      <c r="B1521" t="b">
        <v>0</v>
      </c>
      <c r="H1521" t="s">
        <v>1062</v>
      </c>
      <c r="I1521" t="s">
        <v>2084</v>
      </c>
      <c r="J1521" t="s">
        <v>2857</v>
      </c>
      <c r="L1521" t="s">
        <v>818</v>
      </c>
    </row>
    <row r="1522" spans="1:12" ht="13.2">
      <c r="A1522" t="s">
        <v>2571</v>
      </c>
      <c r="B1522" t="b">
        <v>0</v>
      </c>
      <c r="C1522" t="s">
        <v>903</v>
      </c>
      <c r="D1522" t="s">
        <v>903</v>
      </c>
      <c r="E1522" t="s">
        <v>903</v>
      </c>
      <c r="H1522" t="s">
        <v>1062</v>
      </c>
      <c r="I1522" t="s">
        <v>2084</v>
      </c>
      <c r="J1522" t="s">
        <v>2872</v>
      </c>
      <c r="L1522" t="s">
        <v>818</v>
      </c>
    </row>
    <row r="1523" spans="1:12" ht="13.2">
      <c r="A1523" t="s">
        <v>2572</v>
      </c>
      <c r="B1523" t="b">
        <v>0</v>
      </c>
      <c r="C1523" t="s">
        <v>903</v>
      </c>
      <c r="D1523" t="s">
        <v>903</v>
      </c>
      <c r="E1523" t="s">
        <v>903</v>
      </c>
      <c r="H1523" t="s">
        <v>1062</v>
      </c>
      <c r="I1523" t="s">
        <v>2084</v>
      </c>
      <c r="J1523" t="s">
        <v>2872</v>
      </c>
      <c r="L1523" t="s">
        <v>818</v>
      </c>
    </row>
    <row r="1524" spans="1:12" ht="13.2">
      <c r="A1524" t="s">
        <v>2573</v>
      </c>
      <c r="B1524" t="b">
        <v>0</v>
      </c>
      <c r="C1524" t="s">
        <v>903</v>
      </c>
      <c r="D1524" t="s">
        <v>903</v>
      </c>
      <c r="E1524" t="s">
        <v>903</v>
      </c>
      <c r="H1524" t="s">
        <v>1062</v>
      </c>
      <c r="I1524" t="s">
        <v>2084</v>
      </c>
      <c r="J1524" t="s">
        <v>2872</v>
      </c>
      <c r="L1524" t="s">
        <v>818</v>
      </c>
    </row>
    <row r="1525" spans="1:12" ht="13.2">
      <c r="A1525" t="s">
        <v>2574</v>
      </c>
      <c r="B1525" t="b">
        <v>0</v>
      </c>
      <c r="C1525" t="s">
        <v>903</v>
      </c>
      <c r="D1525" t="s">
        <v>903</v>
      </c>
      <c r="E1525" t="s">
        <v>903</v>
      </c>
      <c r="H1525" t="s">
        <v>1062</v>
      </c>
      <c r="I1525" t="s">
        <v>2084</v>
      </c>
      <c r="J1525" t="s">
        <v>2872</v>
      </c>
      <c r="L1525" t="s">
        <v>818</v>
      </c>
    </row>
    <row r="1526" spans="1:12" ht="13.2">
      <c r="A1526" t="s">
        <v>2575</v>
      </c>
      <c r="B1526" t="b">
        <v>0</v>
      </c>
      <c r="C1526" t="s">
        <v>1108</v>
      </c>
      <c r="D1526" t="s">
        <v>1109</v>
      </c>
      <c r="E1526" t="s">
        <v>1108</v>
      </c>
      <c r="H1526" t="s">
        <v>1062</v>
      </c>
      <c r="I1526" t="s">
        <v>2084</v>
      </c>
      <c r="J1526" t="s">
        <v>2872</v>
      </c>
      <c r="L1526" t="s">
        <v>818</v>
      </c>
    </row>
    <row r="1527" spans="1:12" ht="13.2">
      <c r="A1527" t="s">
        <v>2576</v>
      </c>
      <c r="B1527" t="b">
        <v>0</v>
      </c>
      <c r="C1527" t="s">
        <v>1108</v>
      </c>
      <c r="D1527" t="s">
        <v>1109</v>
      </c>
      <c r="E1527" t="s">
        <v>1108</v>
      </c>
      <c r="H1527" t="s">
        <v>1062</v>
      </c>
      <c r="I1527" t="s">
        <v>2084</v>
      </c>
      <c r="J1527" t="s">
        <v>2872</v>
      </c>
      <c r="L1527" t="s">
        <v>818</v>
      </c>
    </row>
    <row r="1528" spans="1:12" ht="13.2">
      <c r="A1528" t="s">
        <v>2577</v>
      </c>
      <c r="B1528" t="b">
        <v>0</v>
      </c>
      <c r="C1528" t="s">
        <v>903</v>
      </c>
      <c r="D1528" t="s">
        <v>998</v>
      </c>
      <c r="E1528" t="s">
        <v>1080</v>
      </c>
      <c r="H1528" t="s">
        <v>1062</v>
      </c>
      <c r="I1528" t="s">
        <v>2084</v>
      </c>
      <c r="J1528" t="s">
        <v>2872</v>
      </c>
      <c r="L1528" t="s">
        <v>818</v>
      </c>
    </row>
    <row r="1529" spans="1:12" ht="13.2">
      <c r="A1529" t="s">
        <v>2578</v>
      </c>
      <c r="B1529" t="b">
        <v>0</v>
      </c>
      <c r="C1529" t="s">
        <v>903</v>
      </c>
      <c r="D1529" t="s">
        <v>998</v>
      </c>
      <c r="E1529" t="s">
        <v>1080</v>
      </c>
      <c r="H1529" t="s">
        <v>1062</v>
      </c>
      <c r="I1529" t="s">
        <v>2084</v>
      </c>
      <c r="J1529" t="s">
        <v>2872</v>
      </c>
      <c r="L1529" t="s">
        <v>818</v>
      </c>
    </row>
    <row r="1530" spans="1:12" ht="13.2">
      <c r="A1530" t="s">
        <v>2579</v>
      </c>
      <c r="B1530" t="b">
        <v>0</v>
      </c>
      <c r="C1530" t="s">
        <v>903</v>
      </c>
      <c r="D1530" t="s">
        <v>998</v>
      </c>
      <c r="E1530" t="s">
        <v>1080</v>
      </c>
      <c r="H1530" t="s">
        <v>1062</v>
      </c>
      <c r="I1530" t="s">
        <v>2084</v>
      </c>
      <c r="J1530" t="s">
        <v>2872</v>
      </c>
      <c r="L1530" t="s">
        <v>818</v>
      </c>
    </row>
    <row r="1531" spans="1:12" ht="13.2">
      <c r="A1531" t="s">
        <v>2580</v>
      </c>
      <c r="B1531" t="b">
        <v>0</v>
      </c>
      <c r="C1531" t="s">
        <v>963</v>
      </c>
      <c r="D1531" t="s">
        <v>963</v>
      </c>
      <c r="E1531" t="s">
        <v>963</v>
      </c>
      <c r="H1531" t="s">
        <v>1062</v>
      </c>
      <c r="I1531" t="s">
        <v>2084</v>
      </c>
      <c r="J1531" t="s">
        <v>2872</v>
      </c>
      <c r="L1531" t="s">
        <v>818</v>
      </c>
    </row>
    <row r="1532" spans="1:12" ht="13.2">
      <c r="A1532" t="s">
        <v>2581</v>
      </c>
      <c r="B1532" t="b">
        <v>0</v>
      </c>
      <c r="H1532" t="s">
        <v>1062</v>
      </c>
      <c r="I1532" t="s">
        <v>2084</v>
      </c>
      <c r="J1532" t="s">
        <v>2872</v>
      </c>
      <c r="L1532" t="s">
        <v>818</v>
      </c>
    </row>
    <row r="1533" spans="1:12" ht="13.2">
      <c r="A1533" t="s">
        <v>2582</v>
      </c>
      <c r="B1533" t="b">
        <v>0</v>
      </c>
      <c r="H1533" t="s">
        <v>1062</v>
      </c>
      <c r="I1533" t="s">
        <v>2084</v>
      </c>
      <c r="J1533" t="s">
        <v>2857</v>
      </c>
      <c r="L1533" t="s">
        <v>818</v>
      </c>
    </row>
    <row r="1534" spans="1:12" ht="13.2">
      <c r="A1534" t="s">
        <v>2583</v>
      </c>
      <c r="B1534" t="b">
        <v>0</v>
      </c>
      <c r="H1534" t="s">
        <v>1062</v>
      </c>
      <c r="I1534" t="s">
        <v>2084</v>
      </c>
      <c r="J1534" t="s">
        <v>2857</v>
      </c>
      <c r="L1534" t="s">
        <v>818</v>
      </c>
    </row>
    <row r="1535" spans="1:12" ht="13.2">
      <c r="A1535" t="s">
        <v>2584</v>
      </c>
      <c r="B1535" t="b">
        <v>0</v>
      </c>
      <c r="H1535" t="s">
        <v>1062</v>
      </c>
      <c r="I1535" t="s">
        <v>2084</v>
      </c>
      <c r="J1535" t="s">
        <v>2857</v>
      </c>
      <c r="L1535" t="s">
        <v>818</v>
      </c>
    </row>
    <row r="1536" spans="1:12" ht="13.2">
      <c r="A1536" t="s">
        <v>2585</v>
      </c>
      <c r="B1536" t="b">
        <v>0</v>
      </c>
      <c r="H1536" t="s">
        <v>1062</v>
      </c>
      <c r="I1536" t="s">
        <v>2084</v>
      </c>
      <c r="J1536" t="s">
        <v>2857</v>
      </c>
      <c r="L1536" t="s">
        <v>818</v>
      </c>
    </row>
    <row r="1537" spans="1:12" ht="13.2">
      <c r="A1537" t="s">
        <v>2586</v>
      </c>
      <c r="B1537" t="b">
        <v>0</v>
      </c>
      <c r="H1537" t="s">
        <v>1062</v>
      </c>
      <c r="I1537" t="s">
        <v>2084</v>
      </c>
      <c r="J1537" t="s">
        <v>2857</v>
      </c>
      <c r="L1537" t="s">
        <v>818</v>
      </c>
    </row>
    <row r="1538" spans="1:12" ht="13.2">
      <c r="A1538" t="s">
        <v>2587</v>
      </c>
      <c r="B1538" t="b">
        <v>0</v>
      </c>
      <c r="H1538" t="s">
        <v>1062</v>
      </c>
      <c r="I1538" t="s">
        <v>2084</v>
      </c>
      <c r="J1538" t="s">
        <v>2857</v>
      </c>
      <c r="L1538" t="s">
        <v>818</v>
      </c>
    </row>
    <row r="1539" spans="1:12" ht="13.2">
      <c r="A1539" t="s">
        <v>2588</v>
      </c>
      <c r="B1539" t="b">
        <v>0</v>
      </c>
      <c r="H1539" t="s">
        <v>1062</v>
      </c>
      <c r="I1539" t="s">
        <v>2084</v>
      </c>
      <c r="J1539" t="s">
        <v>2857</v>
      </c>
      <c r="L1539" t="s">
        <v>818</v>
      </c>
    </row>
    <row r="1540" spans="1:12" ht="13.2">
      <c r="A1540" t="s">
        <v>2589</v>
      </c>
      <c r="B1540" t="b">
        <v>0</v>
      </c>
      <c r="H1540" t="s">
        <v>1062</v>
      </c>
      <c r="I1540" t="s">
        <v>2084</v>
      </c>
      <c r="J1540" t="s">
        <v>2857</v>
      </c>
      <c r="L1540" t="s">
        <v>818</v>
      </c>
    </row>
    <row r="1541" spans="1:12" ht="13.2">
      <c r="A1541" t="s">
        <v>2590</v>
      </c>
      <c r="B1541" t="b">
        <v>0</v>
      </c>
      <c r="H1541" t="s">
        <v>1062</v>
      </c>
      <c r="I1541" t="s">
        <v>2084</v>
      </c>
      <c r="J1541" t="s">
        <v>2857</v>
      </c>
      <c r="L1541" t="s">
        <v>818</v>
      </c>
    </row>
    <row r="1542" spans="1:12" ht="13.2">
      <c r="A1542" t="s">
        <v>2591</v>
      </c>
      <c r="B1542" t="b">
        <v>0</v>
      </c>
      <c r="H1542" t="s">
        <v>1062</v>
      </c>
      <c r="I1542" t="s">
        <v>2084</v>
      </c>
      <c r="J1542" t="s">
        <v>2857</v>
      </c>
      <c r="L1542" t="s">
        <v>818</v>
      </c>
    </row>
    <row r="1543" spans="1:12" ht="13.2">
      <c r="A1543" t="s">
        <v>2592</v>
      </c>
      <c r="B1543" t="b">
        <v>0</v>
      </c>
      <c r="H1543" t="s">
        <v>1062</v>
      </c>
      <c r="I1543" t="s">
        <v>2084</v>
      </c>
      <c r="J1543" t="s">
        <v>2857</v>
      </c>
      <c r="L1543" t="s">
        <v>818</v>
      </c>
    </row>
    <row r="1544" spans="1:12" ht="13.2">
      <c r="A1544" t="s">
        <v>2593</v>
      </c>
      <c r="B1544" t="b">
        <v>0</v>
      </c>
      <c r="H1544" t="s">
        <v>1062</v>
      </c>
      <c r="I1544" t="s">
        <v>2084</v>
      </c>
      <c r="J1544" t="s">
        <v>2872</v>
      </c>
      <c r="L1544" t="s">
        <v>818</v>
      </c>
    </row>
    <row r="1545" spans="1:12" ht="13.2">
      <c r="A1545" t="s">
        <v>2594</v>
      </c>
      <c r="B1545" t="b">
        <v>0</v>
      </c>
      <c r="C1545" t="s">
        <v>963</v>
      </c>
      <c r="D1545" t="s">
        <v>963</v>
      </c>
      <c r="E1545" t="s">
        <v>963</v>
      </c>
      <c r="H1545" t="s">
        <v>1062</v>
      </c>
      <c r="I1545" t="s">
        <v>2084</v>
      </c>
      <c r="J1545" t="s">
        <v>2860</v>
      </c>
      <c r="L1545" t="s">
        <v>818</v>
      </c>
    </row>
    <row r="1546" spans="1:12" ht="13.2">
      <c r="A1546" t="s">
        <v>2595</v>
      </c>
      <c r="B1546" t="b">
        <v>0</v>
      </c>
      <c r="C1546" t="s">
        <v>903</v>
      </c>
      <c r="D1546" t="s">
        <v>903</v>
      </c>
      <c r="E1546" t="s">
        <v>903</v>
      </c>
      <c r="H1546" t="s">
        <v>1062</v>
      </c>
      <c r="I1546" t="s">
        <v>2084</v>
      </c>
      <c r="J1546" t="s">
        <v>2860</v>
      </c>
      <c r="L1546" t="s">
        <v>818</v>
      </c>
    </row>
    <row r="1547" spans="1:12" ht="13.2">
      <c r="A1547" t="s">
        <v>2596</v>
      </c>
      <c r="B1547" t="b">
        <v>0</v>
      </c>
      <c r="C1547" t="s">
        <v>1108</v>
      </c>
      <c r="D1547" t="s">
        <v>1109</v>
      </c>
      <c r="E1547" t="s">
        <v>1108</v>
      </c>
      <c r="H1547" t="s">
        <v>1062</v>
      </c>
      <c r="I1547" t="s">
        <v>2084</v>
      </c>
      <c r="J1547" t="s">
        <v>2860</v>
      </c>
      <c r="L1547" t="s">
        <v>818</v>
      </c>
    </row>
    <row r="1548" spans="1:12" ht="13.2">
      <c r="A1548" t="s">
        <v>2597</v>
      </c>
      <c r="B1548" t="b">
        <v>0</v>
      </c>
      <c r="C1548" t="s">
        <v>963</v>
      </c>
      <c r="D1548" t="s">
        <v>963</v>
      </c>
      <c r="E1548" t="s">
        <v>963</v>
      </c>
      <c r="H1548" t="s">
        <v>1062</v>
      </c>
      <c r="I1548" t="s">
        <v>2084</v>
      </c>
      <c r="J1548" t="s">
        <v>2860</v>
      </c>
      <c r="L1548" t="s">
        <v>818</v>
      </c>
    </row>
    <row r="1549" spans="1:12" ht="13.2">
      <c r="A1549" t="s">
        <v>2598</v>
      </c>
      <c r="B1549" t="b">
        <v>0</v>
      </c>
      <c r="C1549" t="s">
        <v>903</v>
      </c>
      <c r="D1549" t="s">
        <v>903</v>
      </c>
      <c r="E1549" t="s">
        <v>903</v>
      </c>
      <c r="H1549" t="s">
        <v>1062</v>
      </c>
      <c r="I1549" t="s">
        <v>2084</v>
      </c>
      <c r="J1549" t="s">
        <v>2860</v>
      </c>
      <c r="L1549" t="s">
        <v>818</v>
      </c>
    </row>
    <row r="1550" spans="1:12" ht="13.2">
      <c r="A1550" t="s">
        <v>2599</v>
      </c>
      <c r="B1550" t="b">
        <v>0</v>
      </c>
      <c r="C1550" t="s">
        <v>903</v>
      </c>
      <c r="D1550" t="s">
        <v>903</v>
      </c>
      <c r="E1550" t="s">
        <v>903</v>
      </c>
      <c r="H1550" t="s">
        <v>1062</v>
      </c>
      <c r="I1550" t="s">
        <v>2084</v>
      </c>
      <c r="J1550" t="s">
        <v>2860</v>
      </c>
      <c r="L1550" t="s">
        <v>818</v>
      </c>
    </row>
    <row r="1551" spans="1:12" ht="13.2">
      <c r="A1551" t="s">
        <v>2600</v>
      </c>
      <c r="B1551" t="b">
        <v>0</v>
      </c>
      <c r="C1551" t="s">
        <v>1086</v>
      </c>
      <c r="D1551" t="s">
        <v>998</v>
      </c>
      <c r="E1551" t="s">
        <v>1086</v>
      </c>
      <c r="H1551" t="s">
        <v>1062</v>
      </c>
      <c r="I1551" t="s">
        <v>2084</v>
      </c>
      <c r="J1551" t="s">
        <v>2860</v>
      </c>
      <c r="L1551" t="s">
        <v>818</v>
      </c>
    </row>
    <row r="1552" spans="1:12" ht="13.2">
      <c r="A1552" t="s">
        <v>2601</v>
      </c>
      <c r="B1552" t="b">
        <v>0</v>
      </c>
      <c r="C1552" t="s">
        <v>903</v>
      </c>
      <c r="D1552" t="s">
        <v>903</v>
      </c>
      <c r="E1552" t="s">
        <v>903</v>
      </c>
      <c r="H1552" t="s">
        <v>1062</v>
      </c>
      <c r="I1552" t="s">
        <v>2084</v>
      </c>
      <c r="J1552" t="s">
        <v>2860</v>
      </c>
      <c r="L1552" t="s">
        <v>818</v>
      </c>
    </row>
    <row r="1553" spans="1:12" ht="13.2">
      <c r="A1553" t="s">
        <v>2602</v>
      </c>
      <c r="B1553" t="b">
        <v>0</v>
      </c>
      <c r="C1553" t="s">
        <v>903</v>
      </c>
      <c r="D1553" t="s">
        <v>903</v>
      </c>
      <c r="E1553" t="s">
        <v>903</v>
      </c>
      <c r="H1553" t="s">
        <v>1062</v>
      </c>
      <c r="I1553" t="s">
        <v>2084</v>
      </c>
      <c r="J1553" t="s">
        <v>2860</v>
      </c>
      <c r="L1553" t="s">
        <v>818</v>
      </c>
    </row>
    <row r="1554" spans="1:12" ht="13.2">
      <c r="A1554" t="s">
        <v>2603</v>
      </c>
      <c r="B1554" t="b">
        <v>0</v>
      </c>
      <c r="H1554" t="s">
        <v>1062</v>
      </c>
      <c r="I1554" t="s">
        <v>2855</v>
      </c>
      <c r="J1554" t="s">
        <v>2860</v>
      </c>
      <c r="L1554" t="s">
        <v>821</v>
      </c>
    </row>
    <row r="1555" spans="1:12" ht="13.2">
      <c r="A1555" t="s">
        <v>2604</v>
      </c>
      <c r="B1555" t="b">
        <v>0</v>
      </c>
      <c r="H1555" t="s">
        <v>1062</v>
      </c>
      <c r="I1555" t="s">
        <v>2855</v>
      </c>
      <c r="J1555" t="s">
        <v>2860</v>
      </c>
      <c r="L1555" t="s">
        <v>821</v>
      </c>
    </row>
    <row r="1556" spans="1:12" ht="13.2">
      <c r="A1556" t="s">
        <v>2605</v>
      </c>
      <c r="B1556" t="b">
        <v>0</v>
      </c>
      <c r="H1556" t="s">
        <v>1062</v>
      </c>
      <c r="I1556" t="s">
        <v>2855</v>
      </c>
      <c r="J1556" t="s">
        <v>2860</v>
      </c>
      <c r="L1556" t="s">
        <v>821</v>
      </c>
    </row>
    <row r="1557" spans="1:12" ht="13.2">
      <c r="A1557" t="s">
        <v>2606</v>
      </c>
      <c r="B1557" t="b">
        <v>0</v>
      </c>
      <c r="H1557" t="s">
        <v>1062</v>
      </c>
      <c r="I1557" t="s">
        <v>2855</v>
      </c>
      <c r="J1557" t="s">
        <v>2860</v>
      </c>
      <c r="L1557" t="s">
        <v>821</v>
      </c>
    </row>
    <row r="1558" spans="1:12" ht="13.2">
      <c r="A1558" t="s">
        <v>2607</v>
      </c>
      <c r="B1558" t="b">
        <v>0</v>
      </c>
      <c r="H1558" t="s">
        <v>1062</v>
      </c>
      <c r="I1558" t="s">
        <v>2855</v>
      </c>
      <c r="J1558" t="s">
        <v>2860</v>
      </c>
      <c r="L1558" t="s">
        <v>821</v>
      </c>
    </row>
    <row r="1559" spans="1:12" ht="13.2">
      <c r="A1559" t="s">
        <v>2608</v>
      </c>
      <c r="B1559" t="b">
        <v>0</v>
      </c>
      <c r="H1559" t="s">
        <v>1062</v>
      </c>
      <c r="I1559" t="s">
        <v>2855</v>
      </c>
      <c r="J1559" t="s">
        <v>2860</v>
      </c>
      <c r="L1559" t="s">
        <v>821</v>
      </c>
    </row>
    <row r="1560" spans="1:12" ht="13.2">
      <c r="A1560" t="s">
        <v>2609</v>
      </c>
      <c r="B1560" t="b">
        <v>0</v>
      </c>
      <c r="H1560" t="s">
        <v>1062</v>
      </c>
      <c r="I1560" t="s">
        <v>2855</v>
      </c>
      <c r="J1560" t="s">
        <v>2860</v>
      </c>
      <c r="L1560" t="s">
        <v>821</v>
      </c>
    </row>
    <row r="1561" spans="1:12" ht="13.2">
      <c r="A1561" t="s">
        <v>2610</v>
      </c>
      <c r="B1561" t="b">
        <v>0</v>
      </c>
      <c r="H1561" t="s">
        <v>1062</v>
      </c>
      <c r="I1561" t="s">
        <v>2855</v>
      </c>
      <c r="J1561" t="s">
        <v>2860</v>
      </c>
      <c r="L1561" t="s">
        <v>821</v>
      </c>
    </row>
    <row r="1562" spans="1:12" ht="13.2">
      <c r="A1562" t="s">
        <v>2611</v>
      </c>
      <c r="B1562" t="b">
        <v>0</v>
      </c>
      <c r="H1562" t="s">
        <v>1062</v>
      </c>
      <c r="I1562" t="s">
        <v>2855</v>
      </c>
      <c r="J1562" t="s">
        <v>2860</v>
      </c>
      <c r="L1562" t="s">
        <v>821</v>
      </c>
    </row>
    <row r="1563" spans="1:12" ht="13.2">
      <c r="A1563" t="s">
        <v>2612</v>
      </c>
      <c r="B1563" t="b">
        <v>0</v>
      </c>
      <c r="H1563" t="s">
        <v>1062</v>
      </c>
      <c r="I1563" t="s">
        <v>2855</v>
      </c>
      <c r="J1563" t="s">
        <v>2860</v>
      </c>
      <c r="L1563" t="s">
        <v>821</v>
      </c>
    </row>
    <row r="1564" spans="1:12" ht="13.2">
      <c r="A1564" t="s">
        <v>2613</v>
      </c>
      <c r="B1564" t="b">
        <v>0</v>
      </c>
      <c r="H1564" t="s">
        <v>1062</v>
      </c>
      <c r="I1564" t="s">
        <v>2855</v>
      </c>
      <c r="J1564" t="s">
        <v>2860</v>
      </c>
      <c r="L1564" t="s">
        <v>821</v>
      </c>
    </row>
    <row r="1565" spans="1:12" ht="13.2">
      <c r="A1565" t="s">
        <v>2614</v>
      </c>
      <c r="B1565" t="b">
        <v>0</v>
      </c>
      <c r="H1565" t="s">
        <v>1062</v>
      </c>
      <c r="I1565" t="s">
        <v>2855</v>
      </c>
      <c r="J1565" t="s">
        <v>2860</v>
      </c>
      <c r="L1565" t="s">
        <v>821</v>
      </c>
    </row>
    <row r="1566" spans="1:12" ht="13.2">
      <c r="A1566" t="s">
        <v>2615</v>
      </c>
      <c r="B1566" t="b">
        <v>0</v>
      </c>
      <c r="H1566" t="s">
        <v>1062</v>
      </c>
      <c r="I1566" t="s">
        <v>2855</v>
      </c>
      <c r="J1566" t="s">
        <v>2860</v>
      </c>
      <c r="L1566" t="s">
        <v>821</v>
      </c>
    </row>
    <row r="1567" spans="1:12" ht="13.2">
      <c r="A1567" t="s">
        <v>2616</v>
      </c>
      <c r="B1567" t="b">
        <v>0</v>
      </c>
      <c r="H1567" t="s">
        <v>1062</v>
      </c>
      <c r="I1567" t="s">
        <v>2855</v>
      </c>
      <c r="J1567" t="s">
        <v>2860</v>
      </c>
      <c r="L1567" t="s">
        <v>821</v>
      </c>
    </row>
    <row r="1568" spans="1:12" ht="13.2">
      <c r="A1568" t="s">
        <v>2617</v>
      </c>
      <c r="B1568" t="b">
        <v>0</v>
      </c>
      <c r="H1568" t="s">
        <v>1062</v>
      </c>
      <c r="I1568" t="s">
        <v>2855</v>
      </c>
      <c r="J1568" t="s">
        <v>2860</v>
      </c>
      <c r="L1568" t="s">
        <v>821</v>
      </c>
    </row>
    <row r="1569" spans="1:12" ht="13.2">
      <c r="A1569" t="s">
        <v>2618</v>
      </c>
      <c r="B1569" t="b">
        <v>0</v>
      </c>
      <c r="H1569" t="s">
        <v>1062</v>
      </c>
      <c r="I1569" t="s">
        <v>2855</v>
      </c>
      <c r="J1569" t="s">
        <v>2860</v>
      </c>
      <c r="L1569" t="s">
        <v>821</v>
      </c>
    </row>
    <row r="1570" spans="1:12" ht="13.2">
      <c r="A1570" t="s">
        <v>2619</v>
      </c>
      <c r="B1570" t="b">
        <v>0</v>
      </c>
      <c r="H1570" t="s">
        <v>1062</v>
      </c>
      <c r="I1570" t="s">
        <v>2855</v>
      </c>
      <c r="J1570" t="s">
        <v>2860</v>
      </c>
      <c r="L1570" t="s">
        <v>821</v>
      </c>
    </row>
    <row r="1571" spans="1:12" ht="13.2">
      <c r="A1571" t="s">
        <v>2620</v>
      </c>
      <c r="B1571" t="b">
        <v>0</v>
      </c>
      <c r="H1571" t="s">
        <v>1062</v>
      </c>
      <c r="I1571" t="s">
        <v>2855</v>
      </c>
      <c r="J1571" t="s">
        <v>2860</v>
      </c>
      <c r="L1571" t="s">
        <v>821</v>
      </c>
    </row>
    <row r="1572" spans="1:12" ht="13.2">
      <c r="A1572" t="s">
        <v>2621</v>
      </c>
      <c r="B1572" t="b">
        <v>0</v>
      </c>
      <c r="H1572" t="s">
        <v>1062</v>
      </c>
      <c r="I1572" t="s">
        <v>2855</v>
      </c>
      <c r="J1572" t="s">
        <v>2860</v>
      </c>
      <c r="L1572" t="s">
        <v>821</v>
      </c>
    </row>
    <row r="1573" spans="1:12" ht="13.2">
      <c r="A1573" t="s">
        <v>2622</v>
      </c>
      <c r="B1573" t="b">
        <v>0</v>
      </c>
      <c r="H1573" t="s">
        <v>1062</v>
      </c>
      <c r="I1573" t="s">
        <v>2855</v>
      </c>
      <c r="J1573" t="s">
        <v>2860</v>
      </c>
      <c r="L1573" t="s">
        <v>821</v>
      </c>
    </row>
    <row r="1574" spans="1:12" ht="13.2">
      <c r="A1574" t="s">
        <v>2623</v>
      </c>
      <c r="B1574" t="b">
        <v>0</v>
      </c>
      <c r="H1574" t="s">
        <v>1062</v>
      </c>
      <c r="I1574" t="s">
        <v>2855</v>
      </c>
      <c r="J1574" t="s">
        <v>2860</v>
      </c>
      <c r="L1574" t="s">
        <v>821</v>
      </c>
    </row>
    <row r="1575" spans="1:12" ht="13.2">
      <c r="A1575" t="s">
        <v>2624</v>
      </c>
      <c r="B1575" t="b">
        <v>0</v>
      </c>
      <c r="H1575" t="s">
        <v>1062</v>
      </c>
      <c r="I1575" t="s">
        <v>2855</v>
      </c>
      <c r="J1575" t="s">
        <v>2860</v>
      </c>
      <c r="L1575" t="s">
        <v>821</v>
      </c>
    </row>
    <row r="1576" spans="1:12" ht="13.2">
      <c r="A1576" t="s">
        <v>2625</v>
      </c>
      <c r="B1576" t="b">
        <v>0</v>
      </c>
      <c r="H1576" t="s">
        <v>1062</v>
      </c>
      <c r="I1576" t="s">
        <v>2855</v>
      </c>
      <c r="J1576" t="s">
        <v>2860</v>
      </c>
      <c r="L1576" t="s">
        <v>821</v>
      </c>
    </row>
    <row r="1577" spans="1:12" ht="13.2">
      <c r="A1577" t="s">
        <v>2626</v>
      </c>
      <c r="B1577" t="b">
        <v>0</v>
      </c>
      <c r="H1577" t="s">
        <v>1062</v>
      </c>
      <c r="I1577" t="s">
        <v>2855</v>
      </c>
      <c r="J1577" t="s">
        <v>2860</v>
      </c>
      <c r="L1577" t="s">
        <v>821</v>
      </c>
    </row>
    <row r="1578" spans="1:12" ht="13.2">
      <c r="A1578" t="s">
        <v>2627</v>
      </c>
      <c r="B1578" t="b">
        <v>0</v>
      </c>
      <c r="H1578" t="s">
        <v>1062</v>
      </c>
      <c r="I1578" t="s">
        <v>2855</v>
      </c>
      <c r="J1578" t="s">
        <v>2860</v>
      </c>
      <c r="L1578" t="s">
        <v>821</v>
      </c>
    </row>
    <row r="1579" spans="1:12" ht="13.2">
      <c r="A1579" t="s">
        <v>2628</v>
      </c>
      <c r="B1579" t="b">
        <v>0</v>
      </c>
      <c r="H1579" t="s">
        <v>1062</v>
      </c>
      <c r="I1579" t="s">
        <v>2855</v>
      </c>
      <c r="J1579" t="s">
        <v>2860</v>
      </c>
      <c r="L1579" t="s">
        <v>821</v>
      </c>
    </row>
    <row r="1580" spans="1:12" ht="13.2">
      <c r="A1580" t="s">
        <v>2629</v>
      </c>
      <c r="B1580" t="b">
        <v>0</v>
      </c>
      <c r="H1580" t="s">
        <v>1062</v>
      </c>
      <c r="I1580" t="s">
        <v>2855</v>
      </c>
      <c r="J1580" t="s">
        <v>2860</v>
      </c>
      <c r="L1580" t="s">
        <v>821</v>
      </c>
    </row>
    <row r="1581" spans="1:12" ht="13.2">
      <c r="A1581" t="s">
        <v>2630</v>
      </c>
      <c r="B1581" t="b">
        <v>0</v>
      </c>
      <c r="H1581" t="s">
        <v>1062</v>
      </c>
      <c r="I1581" t="s">
        <v>2855</v>
      </c>
      <c r="J1581" t="s">
        <v>2860</v>
      </c>
      <c r="L1581" t="s">
        <v>821</v>
      </c>
    </row>
    <row r="1582" spans="1:12" ht="13.2">
      <c r="A1582" t="s">
        <v>2631</v>
      </c>
      <c r="B1582" t="b">
        <v>0</v>
      </c>
      <c r="H1582" t="s">
        <v>1062</v>
      </c>
      <c r="I1582" t="s">
        <v>2855</v>
      </c>
      <c r="J1582" t="s">
        <v>2860</v>
      </c>
      <c r="L1582" t="s">
        <v>821</v>
      </c>
    </row>
    <row r="1583" spans="1:12" ht="13.2">
      <c r="A1583" t="s">
        <v>2632</v>
      </c>
      <c r="B1583" t="b">
        <v>0</v>
      </c>
      <c r="H1583" t="s">
        <v>1062</v>
      </c>
      <c r="I1583" t="s">
        <v>2855</v>
      </c>
      <c r="J1583" t="s">
        <v>2872</v>
      </c>
      <c r="L1583" t="s">
        <v>821</v>
      </c>
    </row>
    <row r="1584" spans="1:12" ht="13.2">
      <c r="A1584" t="s">
        <v>2633</v>
      </c>
      <c r="B1584" t="b">
        <v>0</v>
      </c>
      <c r="H1584" t="s">
        <v>1062</v>
      </c>
      <c r="I1584" t="s">
        <v>2855</v>
      </c>
      <c r="J1584" t="s">
        <v>2872</v>
      </c>
      <c r="L1584" t="s">
        <v>821</v>
      </c>
    </row>
    <row r="1585" spans="1:12" ht="13.2">
      <c r="A1585" t="s">
        <v>2634</v>
      </c>
      <c r="B1585" t="b">
        <v>0</v>
      </c>
      <c r="H1585" t="s">
        <v>1062</v>
      </c>
      <c r="I1585" t="s">
        <v>2855</v>
      </c>
      <c r="J1585" t="s">
        <v>2872</v>
      </c>
      <c r="L1585" t="s">
        <v>821</v>
      </c>
    </row>
    <row r="1586" spans="1:12" ht="13.2">
      <c r="A1586" t="s">
        <v>2635</v>
      </c>
      <c r="B1586" t="b">
        <v>0</v>
      </c>
      <c r="H1586" t="s">
        <v>1062</v>
      </c>
      <c r="I1586" t="s">
        <v>2855</v>
      </c>
      <c r="J1586" t="s">
        <v>2872</v>
      </c>
      <c r="L1586" t="s">
        <v>821</v>
      </c>
    </row>
    <row r="1587" spans="1:12" ht="13.2">
      <c r="A1587" t="s">
        <v>2636</v>
      </c>
      <c r="B1587" t="b">
        <v>0</v>
      </c>
      <c r="H1587" t="s">
        <v>1062</v>
      </c>
      <c r="I1587" t="s">
        <v>2855</v>
      </c>
      <c r="J1587" t="s">
        <v>2872</v>
      </c>
      <c r="L1587" t="s">
        <v>821</v>
      </c>
    </row>
    <row r="1588" spans="1:12" ht="13.2">
      <c r="A1588" t="s">
        <v>2637</v>
      </c>
      <c r="B1588" t="b">
        <v>0</v>
      </c>
      <c r="H1588" t="s">
        <v>1062</v>
      </c>
      <c r="I1588" t="s">
        <v>2855</v>
      </c>
      <c r="J1588" t="s">
        <v>2872</v>
      </c>
      <c r="L1588" t="s">
        <v>821</v>
      </c>
    </row>
    <row r="1589" spans="1:12" ht="13.2">
      <c r="A1589" t="s">
        <v>2638</v>
      </c>
      <c r="B1589" t="b">
        <v>0</v>
      </c>
      <c r="H1589" t="s">
        <v>1062</v>
      </c>
      <c r="I1589" t="s">
        <v>2855</v>
      </c>
      <c r="J1589" t="s">
        <v>2872</v>
      </c>
      <c r="L1589" t="s">
        <v>821</v>
      </c>
    </row>
    <row r="1590" spans="1:12" ht="13.2">
      <c r="A1590" t="s">
        <v>2639</v>
      </c>
      <c r="B1590" t="b">
        <v>0</v>
      </c>
      <c r="H1590" t="s">
        <v>1062</v>
      </c>
      <c r="I1590" t="s">
        <v>2855</v>
      </c>
      <c r="J1590" t="s">
        <v>2857</v>
      </c>
      <c r="L1590" t="s">
        <v>821</v>
      </c>
    </row>
    <row r="1591" spans="1:12" ht="13.2">
      <c r="A1591" t="s">
        <v>2640</v>
      </c>
      <c r="B1591" t="b">
        <v>0</v>
      </c>
      <c r="H1591" t="s">
        <v>1062</v>
      </c>
      <c r="I1591" t="s">
        <v>2855</v>
      </c>
      <c r="J1591" t="s">
        <v>2857</v>
      </c>
      <c r="L1591" t="s">
        <v>821</v>
      </c>
    </row>
    <row r="1592" spans="1:12" ht="13.2">
      <c r="A1592" t="s">
        <v>2641</v>
      </c>
      <c r="B1592" t="b">
        <v>0</v>
      </c>
      <c r="H1592" t="s">
        <v>1062</v>
      </c>
      <c r="I1592" t="s">
        <v>2855</v>
      </c>
      <c r="J1592" t="s">
        <v>2857</v>
      </c>
      <c r="L1592" t="s">
        <v>821</v>
      </c>
    </row>
    <row r="1593" spans="1:12" ht="13.2">
      <c r="A1593" t="s">
        <v>2642</v>
      </c>
      <c r="B1593" t="b">
        <v>0</v>
      </c>
      <c r="H1593" t="s">
        <v>1062</v>
      </c>
      <c r="I1593" t="s">
        <v>2855</v>
      </c>
      <c r="J1593" t="s">
        <v>2857</v>
      </c>
      <c r="L1593" t="s">
        <v>821</v>
      </c>
    </row>
    <row r="1594" spans="1:12" ht="13.2">
      <c r="A1594" t="s">
        <v>2643</v>
      </c>
      <c r="B1594" t="b">
        <v>0</v>
      </c>
      <c r="H1594" t="s">
        <v>1062</v>
      </c>
      <c r="I1594" t="s">
        <v>2855</v>
      </c>
      <c r="J1594" t="s">
        <v>2857</v>
      </c>
      <c r="L1594" t="s">
        <v>821</v>
      </c>
    </row>
    <row r="1595" spans="1:12" ht="13.2">
      <c r="A1595" t="s">
        <v>2644</v>
      </c>
      <c r="B1595" t="b">
        <v>0</v>
      </c>
      <c r="H1595" t="s">
        <v>1062</v>
      </c>
      <c r="I1595" t="s">
        <v>2855</v>
      </c>
      <c r="J1595" t="s">
        <v>2857</v>
      </c>
      <c r="L1595" t="s">
        <v>821</v>
      </c>
    </row>
    <row r="1596" spans="1:12" ht="13.2">
      <c r="A1596" t="s">
        <v>2645</v>
      </c>
      <c r="B1596" t="b">
        <v>0</v>
      </c>
      <c r="H1596" t="s">
        <v>1062</v>
      </c>
      <c r="I1596" t="s">
        <v>2855</v>
      </c>
      <c r="J1596" t="s">
        <v>2857</v>
      </c>
      <c r="L1596" t="s">
        <v>821</v>
      </c>
    </row>
    <row r="1597" spans="1:12" ht="13.2">
      <c r="A1597" t="s">
        <v>2646</v>
      </c>
      <c r="B1597" t="b">
        <v>0</v>
      </c>
      <c r="H1597" t="s">
        <v>1062</v>
      </c>
      <c r="I1597" t="s">
        <v>2855</v>
      </c>
      <c r="J1597" t="s">
        <v>2857</v>
      </c>
      <c r="L1597" t="s">
        <v>821</v>
      </c>
    </row>
    <row r="1598" spans="1:12" ht="13.2">
      <c r="A1598" t="s">
        <v>2647</v>
      </c>
      <c r="B1598" t="b">
        <v>0</v>
      </c>
      <c r="H1598" t="s">
        <v>1062</v>
      </c>
      <c r="I1598" t="s">
        <v>2855</v>
      </c>
      <c r="J1598" t="s">
        <v>2857</v>
      </c>
      <c r="L1598" t="s">
        <v>821</v>
      </c>
    </row>
    <row r="1599" spans="1:12" ht="13.2">
      <c r="A1599" t="s">
        <v>2648</v>
      </c>
      <c r="B1599" t="b">
        <v>0</v>
      </c>
      <c r="H1599" t="s">
        <v>1062</v>
      </c>
      <c r="I1599" t="s">
        <v>2855</v>
      </c>
      <c r="J1599" t="s">
        <v>2857</v>
      </c>
      <c r="L1599" t="s">
        <v>821</v>
      </c>
    </row>
    <row r="1600" spans="1:12" ht="13.2">
      <c r="A1600" t="s">
        <v>2649</v>
      </c>
      <c r="B1600" t="b">
        <v>0</v>
      </c>
      <c r="H1600" t="s">
        <v>1062</v>
      </c>
      <c r="I1600" t="s">
        <v>2855</v>
      </c>
      <c r="J1600" t="s">
        <v>2857</v>
      </c>
      <c r="L1600" t="s">
        <v>821</v>
      </c>
    </row>
    <row r="1601" spans="1:12" ht="13.2">
      <c r="A1601" t="s">
        <v>2650</v>
      </c>
      <c r="B1601" t="b">
        <v>0</v>
      </c>
      <c r="H1601" t="s">
        <v>1062</v>
      </c>
      <c r="I1601" t="s">
        <v>2855</v>
      </c>
      <c r="J1601" t="s">
        <v>2857</v>
      </c>
      <c r="L1601" t="s">
        <v>821</v>
      </c>
    </row>
    <row r="1602" spans="1:12" ht="13.2">
      <c r="A1602" t="s">
        <v>2651</v>
      </c>
      <c r="B1602" t="b">
        <v>0</v>
      </c>
      <c r="H1602" t="s">
        <v>1062</v>
      </c>
      <c r="I1602" t="s">
        <v>2855</v>
      </c>
      <c r="J1602" t="s">
        <v>2857</v>
      </c>
      <c r="L1602" t="s">
        <v>821</v>
      </c>
    </row>
    <row r="1603" spans="1:12" ht="13.2">
      <c r="A1603" t="s">
        <v>2652</v>
      </c>
      <c r="B1603" t="b">
        <v>0</v>
      </c>
      <c r="H1603" t="s">
        <v>1062</v>
      </c>
      <c r="I1603" t="s">
        <v>2855</v>
      </c>
      <c r="J1603" t="s">
        <v>2857</v>
      </c>
      <c r="L1603" t="s">
        <v>821</v>
      </c>
    </row>
    <row r="1604" spans="1:12" ht="13.2">
      <c r="A1604" t="s">
        <v>2653</v>
      </c>
      <c r="B1604" t="b">
        <v>0</v>
      </c>
      <c r="H1604" t="s">
        <v>1062</v>
      </c>
      <c r="I1604" t="s">
        <v>2855</v>
      </c>
      <c r="J1604" t="s">
        <v>2857</v>
      </c>
      <c r="L1604" t="s">
        <v>821</v>
      </c>
    </row>
    <row r="1605" spans="1:12" ht="13.2">
      <c r="A1605" t="s">
        <v>2654</v>
      </c>
      <c r="B1605" t="b">
        <v>0</v>
      </c>
      <c r="H1605" t="s">
        <v>1062</v>
      </c>
      <c r="I1605" t="s">
        <v>2855</v>
      </c>
      <c r="J1605" t="s">
        <v>2857</v>
      </c>
      <c r="L1605" t="s">
        <v>821</v>
      </c>
    </row>
    <row r="1606" spans="1:12" ht="13.2">
      <c r="A1606" t="s">
        <v>2655</v>
      </c>
      <c r="B1606" t="b">
        <v>0</v>
      </c>
      <c r="H1606" t="s">
        <v>1062</v>
      </c>
      <c r="I1606" t="s">
        <v>2855</v>
      </c>
      <c r="J1606" t="s">
        <v>2857</v>
      </c>
      <c r="L1606" t="s">
        <v>821</v>
      </c>
    </row>
    <row r="1607" spans="1:12" ht="13.2">
      <c r="A1607" t="s">
        <v>2656</v>
      </c>
      <c r="B1607" t="b">
        <v>0</v>
      </c>
      <c r="H1607" t="s">
        <v>1062</v>
      </c>
      <c r="I1607" t="s">
        <v>2855</v>
      </c>
      <c r="J1607" t="s">
        <v>2857</v>
      </c>
      <c r="L1607" t="s">
        <v>821</v>
      </c>
    </row>
    <row r="1608" spans="1:12" ht="13.2">
      <c r="A1608" t="s">
        <v>2657</v>
      </c>
      <c r="B1608" t="b">
        <v>0</v>
      </c>
      <c r="H1608" t="s">
        <v>1062</v>
      </c>
      <c r="I1608" t="s">
        <v>2855</v>
      </c>
      <c r="J1608" t="s">
        <v>2857</v>
      </c>
      <c r="L1608" t="s">
        <v>821</v>
      </c>
    </row>
    <row r="1609" spans="1:12" ht="13.2">
      <c r="A1609" t="s">
        <v>2658</v>
      </c>
      <c r="B1609" t="b">
        <v>0</v>
      </c>
      <c r="H1609" t="s">
        <v>1062</v>
      </c>
      <c r="I1609" t="s">
        <v>2855</v>
      </c>
      <c r="J1609" t="s">
        <v>2857</v>
      </c>
      <c r="L1609" t="s">
        <v>821</v>
      </c>
    </row>
    <row r="1610" spans="1:12" ht="13.2">
      <c r="A1610" t="s">
        <v>2659</v>
      </c>
      <c r="B1610" t="b">
        <v>0</v>
      </c>
      <c r="H1610" t="s">
        <v>1062</v>
      </c>
      <c r="I1610" t="s">
        <v>2855</v>
      </c>
      <c r="J1610" t="s">
        <v>2857</v>
      </c>
      <c r="L1610" t="s">
        <v>821</v>
      </c>
    </row>
    <row r="1611" spans="1:12" ht="13.2">
      <c r="A1611" t="s">
        <v>2660</v>
      </c>
      <c r="B1611" t="b">
        <v>0</v>
      </c>
      <c r="H1611" t="s">
        <v>1062</v>
      </c>
      <c r="I1611" t="s">
        <v>2855</v>
      </c>
      <c r="J1611" t="s">
        <v>2861</v>
      </c>
      <c r="K1611" t="s">
        <v>2938</v>
      </c>
      <c r="L1611" t="s">
        <v>821</v>
      </c>
    </row>
    <row r="1612" spans="1:12" ht="13.2">
      <c r="A1612" t="s">
        <v>1599</v>
      </c>
      <c r="B1612" t="b">
        <v>0</v>
      </c>
      <c r="H1612" t="s">
        <v>1062</v>
      </c>
      <c r="I1612" t="s">
        <v>2855</v>
      </c>
      <c r="J1612" t="s">
        <v>2861</v>
      </c>
      <c r="K1612" t="s">
        <v>2938</v>
      </c>
      <c r="L1612" t="s">
        <v>821</v>
      </c>
    </row>
    <row r="1613" spans="1:12" ht="13.2">
      <c r="A1613" t="s">
        <v>1600</v>
      </c>
      <c r="B1613" t="b">
        <v>0</v>
      </c>
      <c r="H1613" t="s">
        <v>1062</v>
      </c>
      <c r="I1613" t="s">
        <v>2855</v>
      </c>
      <c r="J1613" t="s">
        <v>2861</v>
      </c>
      <c r="K1613" t="s">
        <v>2938</v>
      </c>
      <c r="L1613" t="s">
        <v>821</v>
      </c>
    </row>
    <row r="1614" spans="1:12" ht="13.2">
      <c r="A1614" t="s">
        <v>1601</v>
      </c>
      <c r="B1614" t="b">
        <v>0</v>
      </c>
      <c r="H1614" t="s">
        <v>1062</v>
      </c>
      <c r="I1614" t="s">
        <v>2855</v>
      </c>
      <c r="J1614" t="s">
        <v>2861</v>
      </c>
      <c r="K1614" t="s">
        <v>2938</v>
      </c>
      <c r="L1614" t="s">
        <v>821</v>
      </c>
    </row>
    <row r="1615" spans="1:12" ht="13.2">
      <c r="A1615" t="s">
        <v>1602</v>
      </c>
      <c r="B1615" t="b">
        <v>0</v>
      </c>
      <c r="H1615" t="s">
        <v>1062</v>
      </c>
      <c r="I1615" t="s">
        <v>2855</v>
      </c>
      <c r="J1615" t="s">
        <v>2861</v>
      </c>
      <c r="K1615" t="s">
        <v>2938</v>
      </c>
      <c r="L1615" t="s">
        <v>821</v>
      </c>
    </row>
    <row r="1616" spans="1:12" ht="13.2">
      <c r="A1616" t="s">
        <v>1603</v>
      </c>
      <c r="B1616" t="b">
        <v>0</v>
      </c>
      <c r="H1616" t="s">
        <v>1062</v>
      </c>
      <c r="I1616" t="s">
        <v>2855</v>
      </c>
      <c r="J1616" t="s">
        <v>2861</v>
      </c>
      <c r="K1616" t="s">
        <v>2938</v>
      </c>
      <c r="L1616" t="s">
        <v>821</v>
      </c>
    </row>
    <row r="1617" spans="1:12" ht="13.2">
      <c r="A1617" t="s">
        <v>1604</v>
      </c>
      <c r="B1617" t="b">
        <v>0</v>
      </c>
      <c r="H1617" t="s">
        <v>1062</v>
      </c>
      <c r="I1617" t="s">
        <v>2855</v>
      </c>
      <c r="J1617" t="s">
        <v>2861</v>
      </c>
      <c r="K1617" t="s">
        <v>2938</v>
      </c>
      <c r="L1617" t="s">
        <v>821</v>
      </c>
    </row>
    <row r="1618" spans="1:12" ht="13.2">
      <c r="A1618" t="s">
        <v>1605</v>
      </c>
      <c r="B1618" t="b">
        <v>0</v>
      </c>
      <c r="H1618" t="s">
        <v>1062</v>
      </c>
      <c r="I1618" t="s">
        <v>2855</v>
      </c>
      <c r="J1618" t="s">
        <v>2861</v>
      </c>
      <c r="K1618" t="s">
        <v>2938</v>
      </c>
      <c r="L1618" t="s">
        <v>821</v>
      </c>
    </row>
    <row r="1619" spans="1:12" ht="13.2">
      <c r="A1619" t="s">
        <v>1606</v>
      </c>
      <c r="B1619" t="b">
        <v>0</v>
      </c>
      <c r="H1619" t="s">
        <v>1062</v>
      </c>
      <c r="I1619" t="s">
        <v>2855</v>
      </c>
      <c r="J1619" t="s">
        <v>2861</v>
      </c>
      <c r="K1619" t="s">
        <v>2938</v>
      </c>
      <c r="L1619" t="s">
        <v>821</v>
      </c>
    </row>
    <row r="1620" spans="1:12" ht="13.2">
      <c r="A1620" t="s">
        <v>1607</v>
      </c>
      <c r="B1620" t="b">
        <v>0</v>
      </c>
      <c r="C1620" t="s">
        <v>1108</v>
      </c>
      <c r="D1620" t="s">
        <v>1109</v>
      </c>
      <c r="E1620" t="s">
        <v>1108</v>
      </c>
      <c r="H1620" t="s">
        <v>1062</v>
      </c>
      <c r="I1620" t="s">
        <v>2855</v>
      </c>
      <c r="J1620" t="s">
        <v>2861</v>
      </c>
      <c r="K1620" t="s">
        <v>2938</v>
      </c>
      <c r="L1620" t="s">
        <v>821</v>
      </c>
    </row>
    <row r="1621" spans="1:12" ht="13.2">
      <c r="A1621" t="s">
        <v>2940</v>
      </c>
      <c r="B1621" t="b">
        <v>0</v>
      </c>
      <c r="H1621" t="s">
        <v>1062</v>
      </c>
      <c r="I1621" t="s">
        <v>2855</v>
      </c>
      <c r="J1621" t="s">
        <v>2861</v>
      </c>
      <c r="L1621" t="s">
        <v>821</v>
      </c>
    </row>
    <row r="1622" spans="1:12" ht="13.2">
      <c r="A1622" t="s">
        <v>2941</v>
      </c>
      <c r="B1622" t="b">
        <v>0</v>
      </c>
      <c r="H1622" t="s">
        <v>1062</v>
      </c>
      <c r="I1622" t="s">
        <v>2855</v>
      </c>
      <c r="J1622" t="s">
        <v>2861</v>
      </c>
      <c r="L1622" t="s">
        <v>821</v>
      </c>
    </row>
    <row r="1623" spans="1:12" ht="13.2">
      <c r="A1623" t="s">
        <v>2942</v>
      </c>
      <c r="B1623" t="b">
        <v>0</v>
      </c>
      <c r="H1623" t="s">
        <v>1062</v>
      </c>
      <c r="I1623" t="s">
        <v>2855</v>
      </c>
      <c r="J1623" t="s">
        <v>2861</v>
      </c>
      <c r="L1623" t="s">
        <v>821</v>
      </c>
    </row>
    <row r="1624" spans="1:12" ht="13.2">
      <c r="A1624" t="s">
        <v>2943</v>
      </c>
      <c r="B1624" t="b">
        <v>0</v>
      </c>
      <c r="H1624" t="s">
        <v>1062</v>
      </c>
      <c r="I1624" t="s">
        <v>2855</v>
      </c>
      <c r="J1624" t="s">
        <v>2861</v>
      </c>
      <c r="L1624" t="s">
        <v>821</v>
      </c>
    </row>
    <row r="1625" spans="1:12" ht="13.2">
      <c r="A1625" t="s">
        <v>2944</v>
      </c>
      <c r="B1625" t="b">
        <v>0</v>
      </c>
      <c r="H1625" t="s">
        <v>1062</v>
      </c>
      <c r="I1625" t="s">
        <v>2855</v>
      </c>
      <c r="J1625" t="s">
        <v>2861</v>
      </c>
      <c r="L1625" t="s">
        <v>821</v>
      </c>
    </row>
    <row r="1626" spans="1:12" ht="13.2">
      <c r="A1626" t="s">
        <v>2945</v>
      </c>
      <c r="B1626" t="b">
        <v>0</v>
      </c>
      <c r="H1626" t="s">
        <v>1062</v>
      </c>
      <c r="I1626" t="s">
        <v>2855</v>
      </c>
      <c r="J1626" t="s">
        <v>2861</v>
      </c>
      <c r="L1626" t="s">
        <v>821</v>
      </c>
    </row>
    <row r="1627" spans="1:12" ht="13.2">
      <c r="A1627" t="s">
        <v>2946</v>
      </c>
      <c r="B1627" t="b">
        <v>0</v>
      </c>
      <c r="H1627" t="s">
        <v>1062</v>
      </c>
      <c r="I1627" t="s">
        <v>2855</v>
      </c>
      <c r="J1627" t="s">
        <v>2861</v>
      </c>
      <c r="L1627" t="s">
        <v>821</v>
      </c>
    </row>
    <row r="1628" spans="1:12" ht="13.2">
      <c r="A1628" t="s">
        <v>2661</v>
      </c>
      <c r="B1628" t="b">
        <v>0</v>
      </c>
      <c r="H1628" t="s">
        <v>1062</v>
      </c>
      <c r="I1628" t="s">
        <v>2855</v>
      </c>
      <c r="J1628" t="s">
        <v>2861</v>
      </c>
      <c r="L1628" t="s">
        <v>821</v>
      </c>
    </row>
    <row r="1629" spans="1:12" ht="13.2">
      <c r="A1629" t="s">
        <v>2662</v>
      </c>
      <c r="B1629" t="b">
        <v>0</v>
      </c>
      <c r="H1629" t="s">
        <v>1062</v>
      </c>
      <c r="I1629" t="s">
        <v>2855</v>
      </c>
      <c r="J1629" t="s">
        <v>2861</v>
      </c>
      <c r="L1629" t="s">
        <v>821</v>
      </c>
    </row>
    <row r="1630" spans="1:12" ht="13.2">
      <c r="A1630" t="s">
        <v>2663</v>
      </c>
      <c r="B1630" t="b">
        <v>0</v>
      </c>
      <c r="H1630" t="s">
        <v>1062</v>
      </c>
      <c r="I1630" t="s">
        <v>2855</v>
      </c>
      <c r="J1630" t="s">
        <v>2861</v>
      </c>
      <c r="L1630" t="s">
        <v>821</v>
      </c>
    </row>
    <row r="1631" spans="1:12" ht="13.2">
      <c r="A1631" t="s">
        <v>2664</v>
      </c>
      <c r="B1631" t="b">
        <v>0</v>
      </c>
      <c r="H1631" t="s">
        <v>1062</v>
      </c>
      <c r="I1631" t="s">
        <v>2855</v>
      </c>
      <c r="J1631" t="s">
        <v>2861</v>
      </c>
      <c r="L1631" t="s">
        <v>821</v>
      </c>
    </row>
    <row r="1632" spans="1:12" ht="13.2">
      <c r="A1632" t="s">
        <v>2665</v>
      </c>
      <c r="B1632" t="b">
        <v>0</v>
      </c>
      <c r="H1632" t="s">
        <v>1062</v>
      </c>
      <c r="I1632" t="s">
        <v>2855</v>
      </c>
      <c r="J1632" t="s">
        <v>2861</v>
      </c>
      <c r="L1632" t="s">
        <v>821</v>
      </c>
    </row>
    <row r="1633" spans="1:12" ht="13.2">
      <c r="A1633" t="s">
        <v>2666</v>
      </c>
      <c r="B1633" t="b">
        <v>0</v>
      </c>
      <c r="H1633" t="s">
        <v>1062</v>
      </c>
      <c r="I1633" t="s">
        <v>2855</v>
      </c>
      <c r="J1633" t="s">
        <v>2861</v>
      </c>
      <c r="L1633" t="s">
        <v>821</v>
      </c>
    </row>
    <row r="1634" spans="1:12" ht="13.2">
      <c r="A1634" t="s">
        <v>2667</v>
      </c>
      <c r="B1634" t="b">
        <v>0</v>
      </c>
      <c r="H1634" t="s">
        <v>1062</v>
      </c>
      <c r="I1634" t="s">
        <v>2855</v>
      </c>
      <c r="J1634" t="s">
        <v>2861</v>
      </c>
      <c r="L1634" t="s">
        <v>821</v>
      </c>
    </row>
    <row r="1635" spans="1:12" ht="13.2">
      <c r="A1635" t="s">
        <v>2668</v>
      </c>
      <c r="B1635" t="b">
        <v>0</v>
      </c>
      <c r="H1635" t="s">
        <v>1062</v>
      </c>
      <c r="I1635" t="s">
        <v>2855</v>
      </c>
      <c r="J1635" t="s">
        <v>2861</v>
      </c>
      <c r="L1635" t="s">
        <v>821</v>
      </c>
    </row>
    <row r="1636" spans="1:12" ht="13.2">
      <c r="A1636" t="s">
        <v>2669</v>
      </c>
      <c r="B1636" t="b">
        <v>0</v>
      </c>
      <c r="H1636" t="s">
        <v>1062</v>
      </c>
      <c r="I1636" t="s">
        <v>2855</v>
      </c>
      <c r="J1636" t="s">
        <v>2861</v>
      </c>
      <c r="L1636" t="s">
        <v>821</v>
      </c>
    </row>
    <row r="1637" spans="1:12" ht="13.2">
      <c r="A1637" t="s">
        <v>2670</v>
      </c>
      <c r="B1637" t="b">
        <v>0</v>
      </c>
      <c r="H1637" t="s">
        <v>1062</v>
      </c>
      <c r="I1637" t="s">
        <v>2855</v>
      </c>
      <c r="J1637" t="s">
        <v>2861</v>
      </c>
      <c r="L1637" t="s">
        <v>821</v>
      </c>
    </row>
    <row r="1638" spans="1:12" ht="13.2">
      <c r="A1638" t="s">
        <v>2671</v>
      </c>
      <c r="B1638" t="b">
        <v>0</v>
      </c>
      <c r="H1638" t="s">
        <v>1062</v>
      </c>
      <c r="I1638" t="s">
        <v>2855</v>
      </c>
      <c r="J1638" t="s">
        <v>2861</v>
      </c>
      <c r="L1638" t="s">
        <v>821</v>
      </c>
    </row>
    <row r="1639" spans="1:12" ht="13.2">
      <c r="A1639" t="s">
        <v>2672</v>
      </c>
      <c r="B1639" t="b">
        <v>0</v>
      </c>
      <c r="H1639" t="s">
        <v>1062</v>
      </c>
      <c r="I1639" t="s">
        <v>2855</v>
      </c>
      <c r="J1639" t="s">
        <v>2861</v>
      </c>
      <c r="L1639" t="s">
        <v>821</v>
      </c>
    </row>
    <row r="1640" spans="1:12" ht="13.2">
      <c r="A1640" t="s">
        <v>2673</v>
      </c>
      <c r="B1640" t="b">
        <v>0</v>
      </c>
      <c r="H1640" t="s">
        <v>1062</v>
      </c>
      <c r="I1640" t="s">
        <v>2855</v>
      </c>
      <c r="J1640" t="s">
        <v>2861</v>
      </c>
      <c r="L1640" t="s">
        <v>821</v>
      </c>
    </row>
    <row r="1641" spans="1:12" ht="13.2">
      <c r="A1641" t="s">
        <v>2674</v>
      </c>
      <c r="B1641" t="b">
        <v>0</v>
      </c>
      <c r="H1641" t="s">
        <v>1062</v>
      </c>
      <c r="I1641" t="s">
        <v>2855</v>
      </c>
      <c r="J1641" t="s">
        <v>2861</v>
      </c>
      <c r="L1641" t="s">
        <v>821</v>
      </c>
    </row>
    <row r="1642" spans="1:12" ht="13.2">
      <c r="A1642" t="s">
        <v>2675</v>
      </c>
      <c r="B1642" t="b">
        <v>0</v>
      </c>
      <c r="H1642" t="s">
        <v>1062</v>
      </c>
      <c r="I1642" t="s">
        <v>2855</v>
      </c>
      <c r="J1642" t="s">
        <v>2861</v>
      </c>
      <c r="L1642" t="s">
        <v>821</v>
      </c>
    </row>
    <row r="1643" spans="1:12" ht="13.2">
      <c r="A1643" t="s">
        <v>2676</v>
      </c>
      <c r="B1643" t="b">
        <v>0</v>
      </c>
      <c r="H1643" t="s">
        <v>1062</v>
      </c>
      <c r="I1643" t="s">
        <v>2855</v>
      </c>
      <c r="J1643" t="s">
        <v>2861</v>
      </c>
      <c r="L1643" t="s">
        <v>821</v>
      </c>
    </row>
    <row r="1644" spans="1:12" ht="13.2">
      <c r="A1644" t="s">
        <v>2677</v>
      </c>
      <c r="B1644" t="b">
        <v>0</v>
      </c>
      <c r="C1644" t="s">
        <v>963</v>
      </c>
      <c r="D1644" t="s">
        <v>963</v>
      </c>
      <c r="E1644" t="s">
        <v>963</v>
      </c>
      <c r="H1644" t="s">
        <v>1062</v>
      </c>
      <c r="I1644" t="s">
        <v>2855</v>
      </c>
      <c r="J1644" t="s">
        <v>2861</v>
      </c>
      <c r="L1644" t="s">
        <v>821</v>
      </c>
    </row>
    <row r="1645" spans="1:12" ht="13.2">
      <c r="A1645" t="s">
        <v>2678</v>
      </c>
      <c r="B1645" t="b">
        <v>0</v>
      </c>
      <c r="C1645" t="s">
        <v>963</v>
      </c>
      <c r="D1645" t="s">
        <v>963</v>
      </c>
      <c r="E1645" t="s">
        <v>963</v>
      </c>
      <c r="H1645" t="s">
        <v>1062</v>
      </c>
      <c r="I1645" t="s">
        <v>2855</v>
      </c>
      <c r="J1645" t="s">
        <v>2861</v>
      </c>
      <c r="L1645" t="s">
        <v>821</v>
      </c>
    </row>
    <row r="1646" spans="1:12" ht="13.2">
      <c r="A1646" t="s">
        <v>2679</v>
      </c>
      <c r="B1646" t="b">
        <v>0</v>
      </c>
      <c r="C1646" t="s">
        <v>963</v>
      </c>
      <c r="D1646" t="s">
        <v>963</v>
      </c>
      <c r="E1646" t="s">
        <v>963</v>
      </c>
      <c r="H1646" t="s">
        <v>1062</v>
      </c>
      <c r="I1646" t="s">
        <v>2855</v>
      </c>
      <c r="J1646" t="s">
        <v>2861</v>
      </c>
      <c r="L1646" t="s">
        <v>821</v>
      </c>
    </row>
    <row r="1647" spans="1:12" ht="13.2">
      <c r="A1647" t="s">
        <v>2680</v>
      </c>
      <c r="B1647" t="b">
        <v>0</v>
      </c>
      <c r="C1647" t="s">
        <v>963</v>
      </c>
      <c r="D1647" t="s">
        <v>963</v>
      </c>
      <c r="E1647" t="s">
        <v>963</v>
      </c>
      <c r="H1647" t="s">
        <v>1062</v>
      </c>
      <c r="I1647" t="s">
        <v>2855</v>
      </c>
      <c r="J1647" t="s">
        <v>2861</v>
      </c>
      <c r="L1647" t="s">
        <v>821</v>
      </c>
    </row>
    <row r="1648" spans="1:12" ht="13.2">
      <c r="A1648" t="s">
        <v>2681</v>
      </c>
      <c r="B1648" t="b">
        <v>0</v>
      </c>
      <c r="C1648" t="s">
        <v>903</v>
      </c>
      <c r="D1648" t="s">
        <v>903</v>
      </c>
      <c r="E1648" t="s">
        <v>903</v>
      </c>
      <c r="H1648" t="s">
        <v>1062</v>
      </c>
      <c r="I1648" t="s">
        <v>2855</v>
      </c>
      <c r="J1648" t="s">
        <v>2861</v>
      </c>
      <c r="L1648" t="s">
        <v>821</v>
      </c>
    </row>
    <row r="1649" spans="1:12" ht="13.2">
      <c r="A1649" t="s">
        <v>2682</v>
      </c>
      <c r="B1649" t="b">
        <v>0</v>
      </c>
      <c r="C1649" t="s">
        <v>1086</v>
      </c>
      <c r="D1649" t="s">
        <v>1086</v>
      </c>
      <c r="E1649" t="s">
        <v>1086</v>
      </c>
      <c r="H1649" t="s">
        <v>1062</v>
      </c>
      <c r="I1649" t="s">
        <v>2855</v>
      </c>
      <c r="J1649" t="s">
        <v>2861</v>
      </c>
      <c r="L1649" t="s">
        <v>821</v>
      </c>
    </row>
    <row r="1650" spans="1:12" ht="13.2">
      <c r="A1650" t="s">
        <v>2683</v>
      </c>
      <c r="B1650" t="b">
        <v>0</v>
      </c>
      <c r="C1650" t="s">
        <v>903</v>
      </c>
      <c r="D1650" t="s">
        <v>903</v>
      </c>
      <c r="E1650" t="s">
        <v>903</v>
      </c>
      <c r="H1650" t="s">
        <v>1062</v>
      </c>
      <c r="I1650" t="s">
        <v>2855</v>
      </c>
      <c r="J1650" t="s">
        <v>2861</v>
      </c>
      <c r="L1650" t="s">
        <v>821</v>
      </c>
    </row>
    <row r="1651" spans="1:12" ht="13.2">
      <c r="A1651" t="s">
        <v>2684</v>
      </c>
      <c r="B1651" t="b">
        <v>0</v>
      </c>
      <c r="H1651" t="s">
        <v>1062</v>
      </c>
      <c r="I1651" t="s">
        <v>2855</v>
      </c>
      <c r="J1651" t="s">
        <v>2861</v>
      </c>
      <c r="L1651" t="s">
        <v>821</v>
      </c>
    </row>
    <row r="1652" spans="1:12" ht="13.2">
      <c r="A1652" t="s">
        <v>2685</v>
      </c>
      <c r="B1652" t="b">
        <v>0</v>
      </c>
      <c r="C1652" t="s">
        <v>903</v>
      </c>
      <c r="D1652" t="s">
        <v>903</v>
      </c>
      <c r="E1652" t="s">
        <v>903</v>
      </c>
      <c r="H1652" t="s">
        <v>1062</v>
      </c>
      <c r="I1652" t="s">
        <v>2855</v>
      </c>
      <c r="J1652" t="s">
        <v>2861</v>
      </c>
      <c r="L1652" t="s">
        <v>821</v>
      </c>
    </row>
    <row r="1653" spans="1:12" ht="13.2">
      <c r="A1653" t="s">
        <v>2686</v>
      </c>
      <c r="B1653" t="b">
        <v>0</v>
      </c>
      <c r="C1653" t="s">
        <v>903</v>
      </c>
      <c r="D1653" t="s">
        <v>903</v>
      </c>
      <c r="E1653" t="s">
        <v>903</v>
      </c>
      <c r="H1653" t="s">
        <v>1062</v>
      </c>
      <c r="I1653" t="s">
        <v>2855</v>
      </c>
      <c r="J1653" t="s">
        <v>2861</v>
      </c>
      <c r="L1653" t="s">
        <v>821</v>
      </c>
    </row>
    <row r="1654" spans="1:12" ht="13.2">
      <c r="A1654" t="s">
        <v>2687</v>
      </c>
      <c r="B1654" t="b">
        <v>0</v>
      </c>
      <c r="C1654" t="s">
        <v>1108</v>
      </c>
      <c r="D1654" t="s">
        <v>1109</v>
      </c>
      <c r="E1654" t="s">
        <v>1108</v>
      </c>
      <c r="H1654" t="s">
        <v>1062</v>
      </c>
      <c r="I1654" t="s">
        <v>2855</v>
      </c>
      <c r="J1654" t="s">
        <v>2861</v>
      </c>
      <c r="L1654" t="s">
        <v>821</v>
      </c>
    </row>
    <row r="1655" spans="1:12" ht="13.2">
      <c r="A1655" t="s">
        <v>2688</v>
      </c>
      <c r="B1655" t="b">
        <v>0</v>
      </c>
      <c r="C1655" t="s">
        <v>903</v>
      </c>
      <c r="D1655" t="s">
        <v>903</v>
      </c>
      <c r="E1655" t="s">
        <v>903</v>
      </c>
      <c r="H1655" t="s">
        <v>1062</v>
      </c>
      <c r="I1655" t="s">
        <v>2855</v>
      </c>
      <c r="J1655" t="s">
        <v>2861</v>
      </c>
      <c r="L1655" t="s">
        <v>821</v>
      </c>
    </row>
    <row r="1656" spans="1:12" ht="13.2">
      <c r="A1656" t="s">
        <v>2689</v>
      </c>
      <c r="B1656" t="b">
        <v>0</v>
      </c>
      <c r="H1656" t="s">
        <v>1062</v>
      </c>
      <c r="I1656" t="s">
        <v>2855</v>
      </c>
      <c r="J1656" t="s">
        <v>2861</v>
      </c>
      <c r="L1656" t="s">
        <v>821</v>
      </c>
    </row>
    <row r="1657" spans="1:12" ht="13.2">
      <c r="A1657" t="s">
        <v>2690</v>
      </c>
      <c r="B1657" t="b">
        <v>0</v>
      </c>
      <c r="H1657" t="s">
        <v>1062</v>
      </c>
      <c r="I1657" t="s">
        <v>2855</v>
      </c>
      <c r="J1657" t="s">
        <v>2861</v>
      </c>
      <c r="L1657" t="s">
        <v>821</v>
      </c>
    </row>
    <row r="1658" spans="1:12" ht="13.2">
      <c r="A1658" t="s">
        <v>2691</v>
      </c>
      <c r="B1658" t="b">
        <v>0</v>
      </c>
      <c r="H1658" t="s">
        <v>1062</v>
      </c>
      <c r="I1658" t="s">
        <v>2855</v>
      </c>
      <c r="J1658" t="s">
        <v>2861</v>
      </c>
      <c r="L1658" t="s">
        <v>821</v>
      </c>
    </row>
    <row r="1659" spans="1:12" ht="13.2">
      <c r="A1659" t="s">
        <v>2692</v>
      </c>
      <c r="B1659" t="b">
        <v>0</v>
      </c>
      <c r="H1659" t="s">
        <v>1062</v>
      </c>
      <c r="I1659" t="s">
        <v>2855</v>
      </c>
      <c r="J1659" t="s">
        <v>2861</v>
      </c>
      <c r="L1659" t="s">
        <v>821</v>
      </c>
    </row>
    <row r="1660" spans="1:12" ht="13.2">
      <c r="A1660" t="s">
        <v>2693</v>
      </c>
      <c r="B1660" t="b">
        <v>0</v>
      </c>
      <c r="H1660" t="s">
        <v>1062</v>
      </c>
      <c r="I1660" t="s">
        <v>2855</v>
      </c>
      <c r="J1660" t="s">
        <v>2861</v>
      </c>
      <c r="L1660" t="s">
        <v>821</v>
      </c>
    </row>
    <row r="1661" spans="1:12" ht="13.2">
      <c r="A1661" t="s">
        <v>2694</v>
      </c>
      <c r="B1661" t="b">
        <v>0</v>
      </c>
      <c r="H1661" t="s">
        <v>1062</v>
      </c>
      <c r="I1661" t="s">
        <v>2855</v>
      </c>
      <c r="J1661" t="s">
        <v>2861</v>
      </c>
      <c r="L1661" t="s">
        <v>821</v>
      </c>
    </row>
    <row r="1662" spans="1:12" ht="13.2">
      <c r="A1662" t="s">
        <v>2695</v>
      </c>
      <c r="B1662" t="b">
        <v>0</v>
      </c>
      <c r="H1662" t="s">
        <v>1062</v>
      </c>
      <c r="I1662" t="s">
        <v>2855</v>
      </c>
      <c r="J1662" t="s">
        <v>2861</v>
      </c>
      <c r="L1662" t="s">
        <v>821</v>
      </c>
    </row>
    <row r="1663" spans="1:12" ht="13.2">
      <c r="A1663" t="s">
        <v>2696</v>
      </c>
      <c r="B1663" t="b">
        <v>0</v>
      </c>
      <c r="H1663" t="s">
        <v>1062</v>
      </c>
      <c r="I1663" t="s">
        <v>2855</v>
      </c>
      <c r="J1663" t="s">
        <v>2863</v>
      </c>
      <c r="L1663" t="s">
        <v>821</v>
      </c>
    </row>
    <row r="1664" spans="1:12" ht="13.2">
      <c r="A1664" t="s">
        <v>2697</v>
      </c>
      <c r="B1664" t="b">
        <v>0</v>
      </c>
      <c r="H1664" t="s">
        <v>1062</v>
      </c>
      <c r="I1664" t="s">
        <v>2855</v>
      </c>
      <c r="J1664" t="s">
        <v>2863</v>
      </c>
      <c r="L1664" t="s">
        <v>821</v>
      </c>
    </row>
    <row r="1665" spans="1:12" ht="13.2">
      <c r="A1665" t="s">
        <v>2698</v>
      </c>
      <c r="B1665" t="b">
        <v>0</v>
      </c>
      <c r="H1665" t="s">
        <v>1062</v>
      </c>
      <c r="I1665" t="s">
        <v>2855</v>
      </c>
      <c r="J1665" t="s">
        <v>2863</v>
      </c>
      <c r="L1665" t="s">
        <v>821</v>
      </c>
    </row>
    <row r="1666" spans="1:12" ht="13.2">
      <c r="A1666" t="s">
        <v>2699</v>
      </c>
      <c r="B1666" t="b">
        <v>0</v>
      </c>
      <c r="H1666" t="s">
        <v>1062</v>
      </c>
      <c r="I1666" t="s">
        <v>2855</v>
      </c>
      <c r="J1666" t="s">
        <v>2863</v>
      </c>
      <c r="L1666" t="s">
        <v>821</v>
      </c>
    </row>
    <row r="1667" spans="1:12" ht="13.2">
      <c r="A1667" t="s">
        <v>2700</v>
      </c>
      <c r="B1667" t="b">
        <v>0</v>
      </c>
      <c r="H1667" t="s">
        <v>1062</v>
      </c>
      <c r="I1667" t="s">
        <v>2855</v>
      </c>
      <c r="J1667" t="s">
        <v>2863</v>
      </c>
      <c r="L1667" t="s">
        <v>821</v>
      </c>
    </row>
    <row r="1668" spans="1:12" ht="13.2">
      <c r="A1668" t="s">
        <v>2701</v>
      </c>
      <c r="B1668" t="b">
        <v>0</v>
      </c>
      <c r="H1668" t="s">
        <v>1062</v>
      </c>
      <c r="I1668" t="s">
        <v>2855</v>
      </c>
      <c r="J1668" t="s">
        <v>2863</v>
      </c>
      <c r="L1668" t="s">
        <v>821</v>
      </c>
    </row>
    <row r="1669" spans="1:12" ht="13.2">
      <c r="A1669" t="s">
        <v>2702</v>
      </c>
      <c r="B1669" t="b">
        <v>0</v>
      </c>
      <c r="H1669" t="s">
        <v>1062</v>
      </c>
      <c r="I1669" t="s">
        <v>2855</v>
      </c>
      <c r="J1669" t="s">
        <v>2863</v>
      </c>
      <c r="L1669" t="s">
        <v>821</v>
      </c>
    </row>
    <row r="1670" spans="1:12" ht="13.2">
      <c r="A1670" t="s">
        <v>2703</v>
      </c>
      <c r="B1670" t="b">
        <v>1</v>
      </c>
      <c r="C1670" t="s">
        <v>1131</v>
      </c>
      <c r="D1670" t="s">
        <v>998</v>
      </c>
      <c r="E1670" t="s">
        <v>1131</v>
      </c>
      <c r="H1670" t="s">
        <v>903</v>
      </c>
      <c r="I1670" t="s">
        <v>2855</v>
      </c>
      <c r="J1670" t="s">
        <v>2868</v>
      </c>
      <c r="K1670">
        <v>3000</v>
      </c>
      <c r="L1670" t="s">
        <v>821</v>
      </c>
    </row>
    <row r="1671" spans="1:12" ht="13.2">
      <c r="A1671" t="s">
        <v>2704</v>
      </c>
      <c r="B1671" t="b">
        <v>1</v>
      </c>
      <c r="C1671" t="s">
        <v>1108</v>
      </c>
      <c r="D1671" t="s">
        <v>1109</v>
      </c>
      <c r="E1671" t="s">
        <v>1108</v>
      </c>
      <c r="H1671" t="s">
        <v>903</v>
      </c>
      <c r="I1671" t="s">
        <v>2855</v>
      </c>
      <c r="J1671" t="s">
        <v>2868</v>
      </c>
      <c r="K1671">
        <v>3000</v>
      </c>
      <c r="L1671" t="s">
        <v>821</v>
      </c>
    </row>
    <row r="1672" spans="1:12" ht="13.2">
      <c r="A1672" t="s">
        <v>2705</v>
      </c>
      <c r="B1672" t="b">
        <v>1</v>
      </c>
      <c r="C1672" t="s">
        <v>963</v>
      </c>
      <c r="D1672" t="s">
        <v>963</v>
      </c>
      <c r="E1672" t="s">
        <v>963</v>
      </c>
      <c r="H1672" t="s">
        <v>963</v>
      </c>
      <c r="I1672" t="s">
        <v>2855</v>
      </c>
      <c r="J1672" t="s">
        <v>2868</v>
      </c>
      <c r="K1672">
        <v>3000</v>
      </c>
      <c r="L1672" t="s">
        <v>821</v>
      </c>
    </row>
    <row r="1673" spans="1:12" ht="13.2">
      <c r="A1673" t="s">
        <v>2706</v>
      </c>
      <c r="B1673" t="b">
        <v>0</v>
      </c>
      <c r="C1673" t="s">
        <v>963</v>
      </c>
      <c r="D1673" t="s">
        <v>963</v>
      </c>
      <c r="E1673" t="s">
        <v>963</v>
      </c>
      <c r="H1673" t="s">
        <v>963</v>
      </c>
      <c r="I1673" t="s">
        <v>2855</v>
      </c>
      <c r="J1673" t="s">
        <v>2868</v>
      </c>
      <c r="K1673">
        <v>3000</v>
      </c>
      <c r="L1673" t="s">
        <v>821</v>
      </c>
    </row>
    <row r="1674" spans="1:12" ht="13.2">
      <c r="A1674" t="s">
        <v>2707</v>
      </c>
      <c r="B1674" t="b">
        <v>1</v>
      </c>
      <c r="C1674" t="s">
        <v>963</v>
      </c>
      <c r="D1674" t="s">
        <v>963</v>
      </c>
      <c r="E1674" t="s">
        <v>963</v>
      </c>
      <c r="H1674" t="s">
        <v>963</v>
      </c>
      <c r="I1674" t="s">
        <v>2855</v>
      </c>
      <c r="J1674" t="s">
        <v>2868</v>
      </c>
      <c r="K1674">
        <v>3000</v>
      </c>
      <c r="L1674" t="s">
        <v>821</v>
      </c>
    </row>
    <row r="1675" spans="1:12" ht="13.2">
      <c r="A1675" t="s">
        <v>2708</v>
      </c>
      <c r="B1675" t="b">
        <v>0</v>
      </c>
      <c r="C1675" t="s">
        <v>963</v>
      </c>
      <c r="D1675" t="s">
        <v>963</v>
      </c>
      <c r="E1675" t="s">
        <v>963</v>
      </c>
      <c r="H1675" t="s">
        <v>963</v>
      </c>
      <c r="I1675" t="s">
        <v>2855</v>
      </c>
      <c r="J1675" t="s">
        <v>2868</v>
      </c>
      <c r="K1675">
        <v>3000</v>
      </c>
      <c r="L1675" t="s">
        <v>821</v>
      </c>
    </row>
    <row r="1676" spans="1:12" ht="13.2">
      <c r="A1676" t="s">
        <v>2709</v>
      </c>
      <c r="B1676" t="b">
        <v>1</v>
      </c>
      <c r="C1676" t="s">
        <v>903</v>
      </c>
      <c r="D1676" t="s">
        <v>903</v>
      </c>
      <c r="E1676" t="s">
        <v>903</v>
      </c>
      <c r="H1676" t="s">
        <v>903</v>
      </c>
      <c r="I1676" t="s">
        <v>2855</v>
      </c>
      <c r="J1676" t="s">
        <v>2868</v>
      </c>
      <c r="K1676">
        <v>3000</v>
      </c>
      <c r="L1676" t="s">
        <v>821</v>
      </c>
    </row>
    <row r="1677" spans="1:12" ht="13.2">
      <c r="A1677" t="s">
        <v>2710</v>
      </c>
      <c r="B1677" t="b">
        <v>1</v>
      </c>
      <c r="C1677" t="s">
        <v>1131</v>
      </c>
      <c r="D1677" t="s">
        <v>998</v>
      </c>
      <c r="E1677" t="s">
        <v>1131</v>
      </c>
      <c r="H1677" t="s">
        <v>903</v>
      </c>
      <c r="I1677" t="s">
        <v>2855</v>
      </c>
      <c r="J1677" t="s">
        <v>2868</v>
      </c>
      <c r="K1677">
        <v>3000</v>
      </c>
      <c r="L1677" t="s">
        <v>821</v>
      </c>
    </row>
    <row r="1678" spans="1:12" ht="13.2">
      <c r="A1678" t="s">
        <v>2711</v>
      </c>
      <c r="B1678" t="b">
        <v>1</v>
      </c>
      <c r="C1678" t="s">
        <v>903</v>
      </c>
      <c r="D1678" t="s">
        <v>903</v>
      </c>
      <c r="E1678" t="s">
        <v>903</v>
      </c>
      <c r="H1678" t="s">
        <v>903</v>
      </c>
      <c r="I1678" t="s">
        <v>2855</v>
      </c>
      <c r="J1678" t="s">
        <v>2868</v>
      </c>
      <c r="K1678">
        <v>3000</v>
      </c>
      <c r="L1678" t="s">
        <v>821</v>
      </c>
    </row>
    <row r="1679" spans="1:12" ht="13.2">
      <c r="A1679" t="s">
        <v>2712</v>
      </c>
      <c r="B1679" t="b">
        <v>0</v>
      </c>
      <c r="C1679" t="s">
        <v>903</v>
      </c>
      <c r="D1679" t="s">
        <v>903</v>
      </c>
      <c r="E1679" t="s">
        <v>903</v>
      </c>
      <c r="H1679" t="s">
        <v>903</v>
      </c>
      <c r="I1679" t="s">
        <v>2855</v>
      </c>
      <c r="J1679" t="s">
        <v>2868</v>
      </c>
      <c r="K1679">
        <v>3000</v>
      </c>
      <c r="L1679" t="s">
        <v>821</v>
      </c>
    </row>
    <row r="1680" spans="1:12" ht="13.2">
      <c r="A1680" t="s">
        <v>2713</v>
      </c>
      <c r="B1680" t="b">
        <v>1</v>
      </c>
      <c r="C1680" t="s">
        <v>1131</v>
      </c>
      <c r="D1680" t="s">
        <v>998</v>
      </c>
      <c r="E1680" t="s">
        <v>1131</v>
      </c>
      <c r="H1680" t="s">
        <v>903</v>
      </c>
      <c r="I1680" t="s">
        <v>2855</v>
      </c>
      <c r="J1680" t="s">
        <v>2868</v>
      </c>
      <c r="K1680">
        <v>3000</v>
      </c>
      <c r="L1680" t="s">
        <v>821</v>
      </c>
    </row>
    <row r="1681" spans="1:12" ht="13.2">
      <c r="A1681" t="s">
        <v>2714</v>
      </c>
      <c r="B1681" t="b">
        <v>0</v>
      </c>
      <c r="H1681" t="s">
        <v>1062</v>
      </c>
      <c r="I1681" t="s">
        <v>2855</v>
      </c>
      <c r="J1681" t="s">
        <v>2868</v>
      </c>
      <c r="K1681">
        <v>3000</v>
      </c>
      <c r="L1681" t="s">
        <v>821</v>
      </c>
    </row>
    <row r="1682" spans="1:12" ht="13.2">
      <c r="A1682" t="s">
        <v>2715</v>
      </c>
      <c r="B1682" t="b">
        <v>0</v>
      </c>
      <c r="C1682" t="s">
        <v>963</v>
      </c>
      <c r="D1682" t="s">
        <v>963</v>
      </c>
      <c r="E1682" t="s">
        <v>963</v>
      </c>
      <c r="H1682" t="s">
        <v>963</v>
      </c>
      <c r="I1682" t="s">
        <v>2855</v>
      </c>
      <c r="J1682" t="s">
        <v>2871</v>
      </c>
      <c r="K1682" t="s">
        <v>2924</v>
      </c>
      <c r="L1682" t="s">
        <v>821</v>
      </c>
    </row>
    <row r="1683" spans="1:12" ht="13.2">
      <c r="A1683" t="s">
        <v>2716</v>
      </c>
      <c r="B1683" t="b">
        <v>0</v>
      </c>
      <c r="C1683" t="s">
        <v>963</v>
      </c>
      <c r="D1683" t="s">
        <v>963</v>
      </c>
      <c r="E1683" t="s">
        <v>963</v>
      </c>
      <c r="H1683" t="s">
        <v>963</v>
      </c>
      <c r="I1683" t="s">
        <v>2855</v>
      </c>
      <c r="J1683" t="s">
        <v>2871</v>
      </c>
      <c r="K1683" t="s">
        <v>2924</v>
      </c>
      <c r="L1683" t="s">
        <v>821</v>
      </c>
    </row>
    <row r="1684" spans="1:12" ht="13.2">
      <c r="A1684" t="s">
        <v>2717</v>
      </c>
      <c r="B1684" t="b">
        <v>0</v>
      </c>
      <c r="C1684" t="s">
        <v>1086</v>
      </c>
      <c r="D1684" t="s">
        <v>998</v>
      </c>
      <c r="E1684" t="s">
        <v>1086</v>
      </c>
      <c r="H1684" t="s">
        <v>903</v>
      </c>
      <c r="I1684" t="s">
        <v>2855</v>
      </c>
      <c r="J1684" t="s">
        <v>2871</v>
      </c>
      <c r="K1684" t="s">
        <v>2924</v>
      </c>
      <c r="L1684" t="s">
        <v>821</v>
      </c>
    </row>
    <row r="1685" spans="1:12" ht="13.2">
      <c r="A1685" t="s">
        <v>2718</v>
      </c>
      <c r="B1685" t="b">
        <v>0</v>
      </c>
      <c r="C1685" t="s">
        <v>903</v>
      </c>
      <c r="D1685" t="s">
        <v>998</v>
      </c>
      <c r="E1685" t="s">
        <v>1080</v>
      </c>
      <c r="H1685" t="s">
        <v>903</v>
      </c>
      <c r="I1685" t="s">
        <v>2855</v>
      </c>
      <c r="J1685" t="s">
        <v>2871</v>
      </c>
      <c r="K1685" t="s">
        <v>2924</v>
      </c>
      <c r="L1685" t="s">
        <v>821</v>
      </c>
    </row>
    <row r="1686" spans="1:12" ht="13.2">
      <c r="A1686" t="s">
        <v>2719</v>
      </c>
      <c r="B1686" t="b">
        <v>0</v>
      </c>
      <c r="C1686" t="s">
        <v>903</v>
      </c>
      <c r="D1686" t="s">
        <v>998</v>
      </c>
      <c r="E1686" t="s">
        <v>1080</v>
      </c>
      <c r="H1686" t="s">
        <v>903</v>
      </c>
      <c r="I1686" t="s">
        <v>2855</v>
      </c>
      <c r="J1686" t="s">
        <v>2871</v>
      </c>
      <c r="K1686" t="s">
        <v>2924</v>
      </c>
      <c r="L1686" t="s">
        <v>821</v>
      </c>
    </row>
    <row r="1687" spans="1:12" ht="13.2">
      <c r="A1687" t="s">
        <v>2720</v>
      </c>
      <c r="B1687" t="b">
        <v>0</v>
      </c>
      <c r="C1687" t="s">
        <v>903</v>
      </c>
      <c r="D1687" t="s">
        <v>903</v>
      </c>
      <c r="E1687" t="s">
        <v>903</v>
      </c>
      <c r="H1687" t="s">
        <v>903</v>
      </c>
      <c r="I1687" t="s">
        <v>2855</v>
      </c>
      <c r="J1687" t="s">
        <v>2871</v>
      </c>
      <c r="K1687" t="s">
        <v>2924</v>
      </c>
      <c r="L1687" t="s">
        <v>821</v>
      </c>
    </row>
    <row r="1688" spans="1:12" ht="13.2">
      <c r="A1688" t="s">
        <v>2721</v>
      </c>
      <c r="B1688" t="b">
        <v>0</v>
      </c>
      <c r="C1688" t="s">
        <v>1086</v>
      </c>
      <c r="D1688" t="s">
        <v>998</v>
      </c>
      <c r="E1688" t="s">
        <v>1086</v>
      </c>
      <c r="H1688" t="s">
        <v>903</v>
      </c>
      <c r="I1688" t="s">
        <v>2855</v>
      </c>
      <c r="J1688" t="s">
        <v>2871</v>
      </c>
      <c r="K1688" t="s">
        <v>2924</v>
      </c>
      <c r="L1688" t="s">
        <v>821</v>
      </c>
    </row>
    <row r="1689" spans="1:12" ht="13.2">
      <c r="A1689" t="s">
        <v>2722</v>
      </c>
      <c r="B1689" t="b">
        <v>0</v>
      </c>
      <c r="C1689" t="s">
        <v>963</v>
      </c>
      <c r="D1689" t="s">
        <v>963</v>
      </c>
      <c r="E1689" t="s">
        <v>963</v>
      </c>
      <c r="H1689" t="s">
        <v>963</v>
      </c>
      <c r="I1689" t="s">
        <v>2855</v>
      </c>
      <c r="J1689" t="s">
        <v>2871</v>
      </c>
      <c r="K1689" t="s">
        <v>2924</v>
      </c>
      <c r="L1689" t="s">
        <v>821</v>
      </c>
    </row>
    <row r="1690" spans="1:12" ht="13.2">
      <c r="A1690" t="s">
        <v>2723</v>
      </c>
      <c r="B1690" t="b">
        <v>0</v>
      </c>
      <c r="C1690" t="s">
        <v>1108</v>
      </c>
      <c r="D1690" t="s">
        <v>998</v>
      </c>
      <c r="E1690" t="s">
        <v>1108</v>
      </c>
      <c r="H1690" t="s">
        <v>903</v>
      </c>
      <c r="I1690" t="s">
        <v>2855</v>
      </c>
      <c r="J1690" t="s">
        <v>2871</v>
      </c>
      <c r="K1690" t="s">
        <v>2924</v>
      </c>
      <c r="L1690" t="s">
        <v>821</v>
      </c>
    </row>
    <row r="1691" spans="1:12" ht="13.2">
      <c r="A1691" t="s">
        <v>2724</v>
      </c>
      <c r="B1691" t="b">
        <v>0</v>
      </c>
      <c r="C1691" t="s">
        <v>963</v>
      </c>
      <c r="D1691" t="s">
        <v>998</v>
      </c>
      <c r="E1691" t="s">
        <v>963</v>
      </c>
      <c r="H1691" t="s">
        <v>963</v>
      </c>
      <c r="I1691" t="s">
        <v>2855</v>
      </c>
      <c r="J1691" t="s">
        <v>2871</v>
      </c>
      <c r="K1691" t="s">
        <v>2924</v>
      </c>
      <c r="L1691" t="s">
        <v>821</v>
      </c>
    </row>
    <row r="1692" spans="1:12" ht="13.2">
      <c r="A1692" t="s">
        <v>2725</v>
      </c>
      <c r="B1692" t="b">
        <v>0</v>
      </c>
      <c r="H1692" t="s">
        <v>1062</v>
      </c>
      <c r="I1692" t="s">
        <v>2855</v>
      </c>
      <c r="J1692" t="s">
        <v>2871</v>
      </c>
      <c r="K1692" t="s">
        <v>2924</v>
      </c>
      <c r="L1692" t="s">
        <v>821</v>
      </c>
    </row>
    <row r="1693" spans="1:12" ht="13.2">
      <c r="A1693" t="s">
        <v>2726</v>
      </c>
      <c r="B1693" t="b">
        <v>0</v>
      </c>
      <c r="C1693" t="s">
        <v>1086</v>
      </c>
      <c r="D1693" t="s">
        <v>998</v>
      </c>
      <c r="E1693" t="s">
        <v>1086</v>
      </c>
      <c r="H1693" t="s">
        <v>903</v>
      </c>
      <c r="I1693" t="s">
        <v>2855</v>
      </c>
      <c r="J1693" t="s">
        <v>2871</v>
      </c>
      <c r="K1693" t="s">
        <v>2924</v>
      </c>
      <c r="L1693" t="s">
        <v>821</v>
      </c>
    </row>
    <row r="1694" spans="1:12" ht="13.2">
      <c r="A1694" t="s">
        <v>2727</v>
      </c>
      <c r="B1694" t="b">
        <v>0</v>
      </c>
      <c r="C1694" t="s">
        <v>903</v>
      </c>
      <c r="D1694" t="s">
        <v>998</v>
      </c>
      <c r="E1694" t="s">
        <v>1080</v>
      </c>
      <c r="H1694" t="s">
        <v>903</v>
      </c>
      <c r="I1694" t="s">
        <v>2855</v>
      </c>
      <c r="J1694" t="s">
        <v>2871</v>
      </c>
      <c r="K1694" t="s">
        <v>2924</v>
      </c>
      <c r="L1694" t="s">
        <v>821</v>
      </c>
    </row>
    <row r="1695" spans="1:12" ht="13.2">
      <c r="A1695" t="s">
        <v>2728</v>
      </c>
      <c r="B1695" t="b">
        <v>0</v>
      </c>
      <c r="C1695" t="s">
        <v>903</v>
      </c>
      <c r="D1695" t="s">
        <v>998</v>
      </c>
      <c r="E1695" t="s">
        <v>1080</v>
      </c>
      <c r="H1695" t="s">
        <v>1062</v>
      </c>
      <c r="I1695" t="s">
        <v>2939</v>
      </c>
      <c r="J1695" t="s">
        <v>2863</v>
      </c>
      <c r="K1695">
        <v>3000</v>
      </c>
      <c r="L1695" t="s">
        <v>821</v>
      </c>
    </row>
    <row r="1696" spans="1:12" ht="13.2">
      <c r="A1696" t="s">
        <v>2729</v>
      </c>
      <c r="B1696" t="b">
        <v>0</v>
      </c>
      <c r="C1696" t="s">
        <v>963</v>
      </c>
      <c r="D1696" t="s">
        <v>963</v>
      </c>
      <c r="E1696" t="s">
        <v>963</v>
      </c>
      <c r="H1696" t="s">
        <v>1062</v>
      </c>
      <c r="I1696" t="s">
        <v>2939</v>
      </c>
      <c r="J1696" t="s">
        <v>2863</v>
      </c>
      <c r="K1696">
        <v>3000</v>
      </c>
      <c r="L1696" t="s">
        <v>821</v>
      </c>
    </row>
    <row r="1697" spans="1:12" ht="13.2">
      <c r="A1697" t="s">
        <v>2730</v>
      </c>
      <c r="B1697" t="b">
        <v>0</v>
      </c>
      <c r="C1697" t="s">
        <v>963</v>
      </c>
      <c r="D1697" t="s">
        <v>963</v>
      </c>
      <c r="E1697" t="s">
        <v>963</v>
      </c>
      <c r="H1697" t="s">
        <v>1062</v>
      </c>
      <c r="I1697" t="s">
        <v>2939</v>
      </c>
      <c r="J1697" t="s">
        <v>2863</v>
      </c>
      <c r="K1697">
        <v>3000</v>
      </c>
      <c r="L1697" t="s">
        <v>821</v>
      </c>
    </row>
    <row r="1698" spans="1:12" ht="13.2">
      <c r="A1698" t="s">
        <v>2731</v>
      </c>
      <c r="B1698" t="b">
        <v>0</v>
      </c>
      <c r="C1698" t="s">
        <v>1086</v>
      </c>
      <c r="D1698" t="s">
        <v>998</v>
      </c>
      <c r="E1698" t="s">
        <v>1086</v>
      </c>
      <c r="H1698" t="s">
        <v>1062</v>
      </c>
      <c r="I1698" t="s">
        <v>2939</v>
      </c>
      <c r="J1698" t="s">
        <v>2863</v>
      </c>
      <c r="K1698">
        <v>3000</v>
      </c>
      <c r="L1698" t="s">
        <v>821</v>
      </c>
    </row>
    <row r="1699" spans="1:12" ht="13.2">
      <c r="A1699" t="s">
        <v>2732</v>
      </c>
      <c r="B1699" t="b">
        <v>0</v>
      </c>
      <c r="C1699" t="s">
        <v>963</v>
      </c>
      <c r="D1699" t="s">
        <v>963</v>
      </c>
      <c r="E1699" t="s">
        <v>963</v>
      </c>
      <c r="H1699" t="s">
        <v>1062</v>
      </c>
      <c r="I1699" t="s">
        <v>2939</v>
      </c>
      <c r="J1699" t="s">
        <v>2863</v>
      </c>
      <c r="K1699">
        <v>3000</v>
      </c>
      <c r="L1699" t="s">
        <v>821</v>
      </c>
    </row>
    <row r="1700" spans="1:12" ht="13.2">
      <c r="A1700" t="s">
        <v>2733</v>
      </c>
      <c r="B1700" t="b">
        <v>0</v>
      </c>
      <c r="C1700" t="s">
        <v>963</v>
      </c>
      <c r="D1700" t="s">
        <v>963</v>
      </c>
      <c r="E1700" t="s">
        <v>963</v>
      </c>
      <c r="H1700" t="s">
        <v>1062</v>
      </c>
      <c r="I1700" t="s">
        <v>2939</v>
      </c>
      <c r="J1700" t="s">
        <v>2863</v>
      </c>
      <c r="K1700">
        <v>3000</v>
      </c>
      <c r="L1700" t="s">
        <v>821</v>
      </c>
    </row>
    <row r="1701" spans="1:12" ht="13.2">
      <c r="A1701" t="s">
        <v>2734</v>
      </c>
      <c r="B1701" t="b">
        <v>0</v>
      </c>
      <c r="C1701" t="s">
        <v>1086</v>
      </c>
      <c r="D1701" t="s">
        <v>998</v>
      </c>
      <c r="E1701" t="s">
        <v>1086</v>
      </c>
      <c r="H1701" t="s">
        <v>1062</v>
      </c>
      <c r="I1701" t="s">
        <v>2939</v>
      </c>
      <c r="J1701" t="s">
        <v>2863</v>
      </c>
      <c r="K1701">
        <v>3000</v>
      </c>
      <c r="L1701" t="s">
        <v>821</v>
      </c>
    </row>
    <row r="1702" spans="1:12" ht="13.2">
      <c r="A1702" t="s">
        <v>2735</v>
      </c>
      <c r="B1702" t="b">
        <v>0</v>
      </c>
      <c r="C1702" t="s">
        <v>903</v>
      </c>
      <c r="D1702" t="s">
        <v>998</v>
      </c>
      <c r="E1702" t="s">
        <v>1080</v>
      </c>
      <c r="H1702" t="s">
        <v>1062</v>
      </c>
      <c r="I1702" t="s">
        <v>2939</v>
      </c>
      <c r="J1702" t="s">
        <v>2863</v>
      </c>
      <c r="K1702">
        <v>3000</v>
      </c>
      <c r="L1702" t="s">
        <v>821</v>
      </c>
    </row>
    <row r="1703" spans="1:12" ht="13.2">
      <c r="A1703" t="s">
        <v>2736</v>
      </c>
      <c r="B1703" t="b">
        <v>0</v>
      </c>
      <c r="C1703" t="s">
        <v>903</v>
      </c>
      <c r="D1703" t="s">
        <v>903</v>
      </c>
      <c r="E1703" t="s">
        <v>903</v>
      </c>
      <c r="H1703" t="s">
        <v>1062</v>
      </c>
      <c r="I1703" t="s">
        <v>2939</v>
      </c>
      <c r="J1703" t="s">
        <v>2863</v>
      </c>
      <c r="K1703">
        <v>3000</v>
      </c>
      <c r="L1703" t="s">
        <v>821</v>
      </c>
    </row>
    <row r="1704" spans="1:12" ht="13.2">
      <c r="A1704" t="s">
        <v>2737</v>
      </c>
      <c r="B1704" t="b">
        <v>0</v>
      </c>
      <c r="C1704" t="s">
        <v>963</v>
      </c>
      <c r="D1704" t="s">
        <v>963</v>
      </c>
      <c r="E1704" t="s">
        <v>963</v>
      </c>
      <c r="H1704" t="s">
        <v>1062</v>
      </c>
      <c r="I1704" t="s">
        <v>2939</v>
      </c>
      <c r="J1704" t="s">
        <v>2863</v>
      </c>
      <c r="K1704">
        <v>3000</v>
      </c>
      <c r="L1704" t="s">
        <v>821</v>
      </c>
    </row>
    <row r="1705" spans="1:12" ht="13.2">
      <c r="A1705" t="s">
        <v>2738</v>
      </c>
      <c r="B1705" t="b">
        <v>0</v>
      </c>
      <c r="C1705" t="s">
        <v>1086</v>
      </c>
      <c r="D1705" t="s">
        <v>998</v>
      </c>
      <c r="E1705" t="s">
        <v>1086</v>
      </c>
      <c r="H1705" t="s">
        <v>1062</v>
      </c>
      <c r="I1705" t="s">
        <v>2939</v>
      </c>
      <c r="J1705" t="s">
        <v>2863</v>
      </c>
      <c r="K1705">
        <v>3000</v>
      </c>
      <c r="L1705" t="s">
        <v>821</v>
      </c>
    </row>
    <row r="1706" spans="1:12" ht="13.2">
      <c r="A1706" t="s">
        <v>2739</v>
      </c>
      <c r="B1706" t="b">
        <v>0</v>
      </c>
      <c r="H1706" t="s">
        <v>1062</v>
      </c>
      <c r="I1706" t="s">
        <v>2939</v>
      </c>
      <c r="J1706" t="s">
        <v>2863</v>
      </c>
      <c r="K1706">
        <v>3000</v>
      </c>
      <c r="L1706" t="s">
        <v>821</v>
      </c>
    </row>
    <row r="1707" spans="1:12" ht="13.2">
      <c r="A1707" t="s">
        <v>2740</v>
      </c>
      <c r="B1707" t="b">
        <v>0</v>
      </c>
      <c r="C1707" t="s">
        <v>903</v>
      </c>
      <c r="D1707" t="s">
        <v>903</v>
      </c>
      <c r="E1707" t="s">
        <v>903</v>
      </c>
      <c r="H1707" t="s">
        <v>1062</v>
      </c>
      <c r="I1707" t="s">
        <v>2939</v>
      </c>
      <c r="J1707" t="s">
        <v>2863</v>
      </c>
      <c r="K1707">
        <v>3000</v>
      </c>
      <c r="L1707" t="s">
        <v>821</v>
      </c>
    </row>
    <row r="1708" spans="1:12" ht="13.2">
      <c r="A1708" t="s">
        <v>2741</v>
      </c>
      <c r="B1708" t="b">
        <v>0</v>
      </c>
      <c r="C1708" t="s">
        <v>963</v>
      </c>
      <c r="D1708" t="s">
        <v>963</v>
      </c>
      <c r="E1708" t="s">
        <v>963</v>
      </c>
      <c r="H1708" t="s">
        <v>1062</v>
      </c>
      <c r="I1708" t="s">
        <v>2855</v>
      </c>
      <c r="J1708" t="s">
        <v>2863</v>
      </c>
      <c r="L1708" t="s">
        <v>821</v>
      </c>
    </row>
    <row r="1709" spans="1:12" ht="13.2">
      <c r="A1709" t="s">
        <v>2742</v>
      </c>
      <c r="B1709" t="b">
        <v>0</v>
      </c>
      <c r="H1709" t="s">
        <v>1062</v>
      </c>
      <c r="I1709" t="s">
        <v>2855</v>
      </c>
      <c r="J1709" t="s">
        <v>2863</v>
      </c>
      <c r="L1709" t="s">
        <v>821</v>
      </c>
    </row>
    <row r="1710" spans="1:12" ht="13.2">
      <c r="A1710" t="s">
        <v>2743</v>
      </c>
      <c r="B1710" t="b">
        <v>0</v>
      </c>
      <c r="C1710" t="s">
        <v>963</v>
      </c>
      <c r="D1710" t="s">
        <v>963</v>
      </c>
      <c r="E1710" t="s">
        <v>963</v>
      </c>
      <c r="H1710" t="s">
        <v>1062</v>
      </c>
      <c r="I1710" t="s">
        <v>2855</v>
      </c>
      <c r="J1710" t="s">
        <v>2863</v>
      </c>
      <c r="L1710" t="s">
        <v>821</v>
      </c>
    </row>
    <row r="1711" spans="1:12" ht="13.2">
      <c r="A1711" t="s">
        <v>2744</v>
      </c>
      <c r="B1711" t="b">
        <v>0</v>
      </c>
      <c r="C1711" t="s">
        <v>963</v>
      </c>
      <c r="D1711" t="s">
        <v>963</v>
      </c>
      <c r="E1711" t="s">
        <v>963</v>
      </c>
      <c r="H1711" t="s">
        <v>1062</v>
      </c>
      <c r="I1711" t="s">
        <v>2855</v>
      </c>
      <c r="J1711" t="s">
        <v>2863</v>
      </c>
      <c r="L1711" t="s">
        <v>821</v>
      </c>
    </row>
    <row r="1712" spans="1:12" ht="13.2">
      <c r="A1712" t="s">
        <v>2745</v>
      </c>
      <c r="B1712" t="b">
        <v>0</v>
      </c>
      <c r="H1712" t="s">
        <v>1062</v>
      </c>
      <c r="I1712" t="s">
        <v>2855</v>
      </c>
      <c r="J1712" t="s">
        <v>2863</v>
      </c>
      <c r="L1712" t="s">
        <v>821</v>
      </c>
    </row>
    <row r="1713" spans="1:12" ht="13.2">
      <c r="A1713" t="s">
        <v>2746</v>
      </c>
      <c r="B1713" t="b">
        <v>0</v>
      </c>
      <c r="C1713" t="s">
        <v>963</v>
      </c>
      <c r="D1713" t="s">
        <v>963</v>
      </c>
      <c r="E1713" t="s">
        <v>963</v>
      </c>
      <c r="H1713" t="s">
        <v>1062</v>
      </c>
      <c r="I1713" t="s">
        <v>2855</v>
      </c>
      <c r="J1713" t="s">
        <v>2863</v>
      </c>
      <c r="L1713" t="s">
        <v>821</v>
      </c>
    </row>
    <row r="1714" spans="1:12" ht="13.2">
      <c r="A1714" t="s">
        <v>2747</v>
      </c>
      <c r="B1714" t="b">
        <v>0</v>
      </c>
      <c r="C1714" t="s">
        <v>963</v>
      </c>
      <c r="D1714" t="s">
        <v>963</v>
      </c>
      <c r="E1714" t="s">
        <v>963</v>
      </c>
      <c r="H1714" t="s">
        <v>1062</v>
      </c>
      <c r="I1714" t="s">
        <v>2855</v>
      </c>
      <c r="J1714" t="s">
        <v>2863</v>
      </c>
      <c r="L1714" t="s">
        <v>821</v>
      </c>
    </row>
    <row r="1715" spans="1:12" ht="13.2">
      <c r="A1715" t="s">
        <v>2748</v>
      </c>
      <c r="B1715" t="b">
        <v>0</v>
      </c>
      <c r="C1715" t="s">
        <v>1086</v>
      </c>
      <c r="D1715" t="s">
        <v>1086</v>
      </c>
      <c r="E1715" t="s">
        <v>1086</v>
      </c>
      <c r="H1715" t="s">
        <v>1062</v>
      </c>
      <c r="I1715" t="s">
        <v>2855</v>
      </c>
      <c r="J1715" t="s">
        <v>2863</v>
      </c>
      <c r="L1715" t="s">
        <v>821</v>
      </c>
    </row>
    <row r="1716" spans="1:12" ht="13.2">
      <c r="A1716" t="s">
        <v>2749</v>
      </c>
      <c r="B1716" t="b">
        <v>0</v>
      </c>
      <c r="H1716" t="s">
        <v>1062</v>
      </c>
      <c r="I1716" t="s">
        <v>2855</v>
      </c>
      <c r="J1716" t="s">
        <v>2863</v>
      </c>
      <c r="L1716" t="s">
        <v>821</v>
      </c>
    </row>
    <row r="1717" spans="1:12" ht="13.2">
      <c r="A1717" t="s">
        <v>2750</v>
      </c>
      <c r="B1717" t="b">
        <v>0</v>
      </c>
      <c r="H1717" t="s">
        <v>1062</v>
      </c>
      <c r="I1717" t="s">
        <v>2855</v>
      </c>
      <c r="J1717" t="s">
        <v>2863</v>
      </c>
      <c r="L1717" t="s">
        <v>821</v>
      </c>
    </row>
    <row r="1718" spans="1:12" ht="13.2">
      <c r="A1718" t="s">
        <v>2751</v>
      </c>
      <c r="B1718" t="b">
        <v>0</v>
      </c>
      <c r="H1718" t="s">
        <v>1062</v>
      </c>
      <c r="I1718" t="s">
        <v>2855</v>
      </c>
      <c r="J1718" t="s">
        <v>2863</v>
      </c>
      <c r="L1718" t="s">
        <v>821</v>
      </c>
    </row>
    <row r="1719" spans="1:12" ht="13.2">
      <c r="A1719" t="s">
        <v>2752</v>
      </c>
      <c r="B1719" t="b">
        <v>0</v>
      </c>
      <c r="C1719" t="s">
        <v>903</v>
      </c>
      <c r="D1719" t="s">
        <v>903</v>
      </c>
      <c r="E1719" t="s">
        <v>903</v>
      </c>
      <c r="H1719" t="s">
        <v>1062</v>
      </c>
      <c r="I1719" t="s">
        <v>2855</v>
      </c>
      <c r="J1719" t="s">
        <v>2863</v>
      </c>
      <c r="L1719" t="s">
        <v>821</v>
      </c>
    </row>
    <row r="1720" spans="1:12" ht="13.2">
      <c r="A1720" t="s">
        <v>2753</v>
      </c>
      <c r="B1720" t="b">
        <v>0</v>
      </c>
      <c r="C1720" t="s">
        <v>1086</v>
      </c>
      <c r="D1720" t="s">
        <v>998</v>
      </c>
      <c r="E1720" t="s">
        <v>1080</v>
      </c>
      <c r="H1720" t="s">
        <v>1062</v>
      </c>
      <c r="I1720" t="s">
        <v>2855</v>
      </c>
      <c r="J1720" t="s">
        <v>2863</v>
      </c>
      <c r="L1720" t="s">
        <v>821</v>
      </c>
    </row>
    <row r="1721" spans="1:12" ht="13.2">
      <c r="A1721" t="s">
        <v>2754</v>
      </c>
      <c r="B1721" t="b">
        <v>0</v>
      </c>
      <c r="C1721" t="s">
        <v>903</v>
      </c>
      <c r="D1721" t="s">
        <v>998</v>
      </c>
      <c r="E1721" t="s">
        <v>903</v>
      </c>
      <c r="H1721" t="s">
        <v>1062</v>
      </c>
      <c r="I1721" t="s">
        <v>2855</v>
      </c>
      <c r="J1721" t="s">
        <v>2863</v>
      </c>
      <c r="L1721" t="s">
        <v>821</v>
      </c>
    </row>
    <row r="1722" spans="1:12" ht="13.2">
      <c r="A1722" t="s">
        <v>2755</v>
      </c>
      <c r="B1722" t="b">
        <v>0</v>
      </c>
      <c r="H1722" t="s">
        <v>1062</v>
      </c>
      <c r="I1722" t="s">
        <v>2855</v>
      </c>
      <c r="J1722" t="s">
        <v>2863</v>
      </c>
      <c r="L1722" t="s">
        <v>821</v>
      </c>
    </row>
    <row r="1723" spans="1:12" ht="13.2">
      <c r="A1723" t="s">
        <v>2756</v>
      </c>
      <c r="B1723" t="b">
        <v>0</v>
      </c>
      <c r="C1723" t="s">
        <v>903</v>
      </c>
      <c r="D1723" t="s">
        <v>998</v>
      </c>
      <c r="E1723" t="s">
        <v>903</v>
      </c>
      <c r="H1723" t="s">
        <v>1062</v>
      </c>
      <c r="I1723" t="s">
        <v>2855</v>
      </c>
      <c r="J1723" t="s">
        <v>2863</v>
      </c>
      <c r="L1723" t="s">
        <v>821</v>
      </c>
    </row>
    <row r="1724" spans="1:12" ht="13.2">
      <c r="A1724" t="s">
        <v>2757</v>
      </c>
      <c r="B1724" t="b">
        <v>0</v>
      </c>
      <c r="C1724" t="s">
        <v>1086</v>
      </c>
      <c r="D1724" t="s">
        <v>998</v>
      </c>
      <c r="E1724" t="s">
        <v>1080</v>
      </c>
      <c r="H1724" t="s">
        <v>1062</v>
      </c>
      <c r="I1724" t="s">
        <v>2855</v>
      </c>
      <c r="J1724" t="s">
        <v>2863</v>
      </c>
      <c r="L1724" t="s">
        <v>821</v>
      </c>
    </row>
    <row r="1725" spans="1:12" ht="13.2">
      <c r="A1725" t="s">
        <v>2758</v>
      </c>
      <c r="B1725" t="b">
        <v>0</v>
      </c>
      <c r="H1725" t="s">
        <v>1062</v>
      </c>
      <c r="I1725" t="s">
        <v>2855</v>
      </c>
      <c r="J1725" t="s">
        <v>2857</v>
      </c>
      <c r="L1725" t="s">
        <v>821</v>
      </c>
    </row>
    <row r="1726" spans="1:12" ht="13.2">
      <c r="A1726" t="s">
        <v>2759</v>
      </c>
      <c r="B1726" t="b">
        <v>0</v>
      </c>
      <c r="H1726" t="s">
        <v>1062</v>
      </c>
      <c r="I1726" t="s">
        <v>2855</v>
      </c>
      <c r="J1726" t="s">
        <v>2857</v>
      </c>
      <c r="L1726" t="s">
        <v>821</v>
      </c>
    </row>
    <row r="1727" spans="1:12" ht="13.2">
      <c r="A1727" t="s">
        <v>2760</v>
      </c>
      <c r="B1727" t="b">
        <v>0</v>
      </c>
      <c r="H1727" t="s">
        <v>1062</v>
      </c>
      <c r="I1727" t="s">
        <v>2855</v>
      </c>
      <c r="J1727" t="s">
        <v>2857</v>
      </c>
      <c r="L1727" t="s">
        <v>821</v>
      </c>
    </row>
    <row r="1728" spans="1:12" ht="13.2">
      <c r="A1728" t="s">
        <v>2761</v>
      </c>
      <c r="B1728" t="b">
        <v>0</v>
      </c>
      <c r="H1728" t="s">
        <v>1062</v>
      </c>
      <c r="I1728" t="s">
        <v>2855</v>
      </c>
      <c r="J1728" t="s">
        <v>2857</v>
      </c>
      <c r="L1728" t="s">
        <v>821</v>
      </c>
    </row>
    <row r="1729" spans="1:12" ht="13.2">
      <c r="A1729" t="s">
        <v>2762</v>
      </c>
      <c r="B1729" t="b">
        <v>0</v>
      </c>
      <c r="H1729" t="s">
        <v>1062</v>
      </c>
      <c r="I1729" t="s">
        <v>2855</v>
      </c>
      <c r="J1729" t="s">
        <v>2857</v>
      </c>
      <c r="L1729" t="s">
        <v>821</v>
      </c>
    </row>
    <row r="1730" spans="1:12" ht="13.2">
      <c r="A1730" t="s">
        <v>2763</v>
      </c>
      <c r="B1730" t="b">
        <v>0</v>
      </c>
      <c r="H1730" t="s">
        <v>1062</v>
      </c>
      <c r="I1730" t="s">
        <v>2855</v>
      </c>
      <c r="J1730" t="s">
        <v>2857</v>
      </c>
      <c r="L1730" t="s">
        <v>821</v>
      </c>
    </row>
    <row r="1731" spans="1:12" ht="13.2">
      <c r="A1731" t="s">
        <v>2764</v>
      </c>
      <c r="B1731" t="b">
        <v>0</v>
      </c>
      <c r="H1731" t="s">
        <v>1062</v>
      </c>
      <c r="I1731" t="s">
        <v>2855</v>
      </c>
      <c r="J1731" t="s">
        <v>2857</v>
      </c>
      <c r="L1731" t="s">
        <v>821</v>
      </c>
    </row>
    <row r="1732" spans="1:12" ht="13.2">
      <c r="A1732" t="s">
        <v>2765</v>
      </c>
      <c r="B1732" t="b">
        <v>0</v>
      </c>
      <c r="H1732" t="s">
        <v>1062</v>
      </c>
      <c r="I1732" t="s">
        <v>2855</v>
      </c>
      <c r="J1732" t="s">
        <v>2857</v>
      </c>
      <c r="L1732" t="s">
        <v>821</v>
      </c>
    </row>
    <row r="1733" spans="1:12" ht="13.2">
      <c r="A1733" t="s">
        <v>2766</v>
      </c>
      <c r="B1733" t="b">
        <v>0</v>
      </c>
      <c r="H1733" t="s">
        <v>1062</v>
      </c>
      <c r="I1733" t="s">
        <v>2855</v>
      </c>
      <c r="J1733" t="s">
        <v>2857</v>
      </c>
      <c r="L1733" t="s">
        <v>821</v>
      </c>
    </row>
    <row r="1734" spans="1:12" ht="13.2">
      <c r="A1734" t="s">
        <v>2767</v>
      </c>
      <c r="B1734" t="b">
        <v>0</v>
      </c>
      <c r="H1734" t="s">
        <v>1062</v>
      </c>
      <c r="I1734" t="s">
        <v>2855</v>
      </c>
      <c r="J1734" t="s">
        <v>2857</v>
      </c>
      <c r="L1734" t="s">
        <v>821</v>
      </c>
    </row>
    <row r="1735" spans="1:12" ht="13.2">
      <c r="A1735" t="s">
        <v>2768</v>
      </c>
      <c r="B1735" t="b">
        <v>0</v>
      </c>
      <c r="H1735" t="s">
        <v>1062</v>
      </c>
      <c r="I1735" t="s">
        <v>2855</v>
      </c>
      <c r="J1735" t="s">
        <v>2857</v>
      </c>
      <c r="L1735" t="s">
        <v>821</v>
      </c>
    </row>
    <row r="1736" spans="1:12" ht="13.2">
      <c r="A1736" t="s">
        <v>2769</v>
      </c>
      <c r="B1736" t="b">
        <v>0</v>
      </c>
      <c r="H1736" t="s">
        <v>1062</v>
      </c>
      <c r="I1736" t="s">
        <v>2855</v>
      </c>
      <c r="J1736" t="s">
        <v>2857</v>
      </c>
      <c r="L1736" t="s">
        <v>821</v>
      </c>
    </row>
    <row r="1737" spans="1:12" ht="13.2">
      <c r="A1737" t="s">
        <v>2770</v>
      </c>
      <c r="B1737" t="b">
        <v>0</v>
      </c>
      <c r="H1737" t="s">
        <v>1062</v>
      </c>
      <c r="I1737" t="s">
        <v>2855</v>
      </c>
      <c r="J1737" t="s">
        <v>2857</v>
      </c>
      <c r="L1737" t="s">
        <v>821</v>
      </c>
    </row>
    <row r="1738" spans="1:12" ht="13.2">
      <c r="A1738" t="s">
        <v>2771</v>
      </c>
      <c r="B1738" t="b">
        <v>0</v>
      </c>
      <c r="H1738" t="s">
        <v>1062</v>
      </c>
      <c r="I1738" t="s">
        <v>2855</v>
      </c>
      <c r="J1738" t="s">
        <v>2857</v>
      </c>
      <c r="L1738" t="s">
        <v>821</v>
      </c>
    </row>
    <row r="1739" spans="1:12" ht="13.2">
      <c r="A1739" t="s">
        <v>2772</v>
      </c>
      <c r="B1739" t="b">
        <v>0</v>
      </c>
      <c r="H1739" t="s">
        <v>1062</v>
      </c>
      <c r="I1739" t="s">
        <v>2855</v>
      </c>
      <c r="J1739" t="s">
        <v>2857</v>
      </c>
      <c r="L1739" t="s">
        <v>821</v>
      </c>
    </row>
    <row r="1740" spans="1:12" ht="13.2">
      <c r="A1740" t="s">
        <v>2773</v>
      </c>
      <c r="B1740" t="b">
        <v>0</v>
      </c>
      <c r="H1740" t="s">
        <v>1062</v>
      </c>
      <c r="I1740" t="s">
        <v>2855</v>
      </c>
      <c r="J1740" t="s">
        <v>2857</v>
      </c>
      <c r="L1740" t="s">
        <v>821</v>
      </c>
    </row>
    <row r="1741" spans="1:12" ht="13.2">
      <c r="A1741" t="s">
        <v>2774</v>
      </c>
      <c r="B1741" t="b">
        <v>0</v>
      </c>
      <c r="H1741" t="s">
        <v>1062</v>
      </c>
      <c r="I1741" t="s">
        <v>2855</v>
      </c>
      <c r="J1741" t="s">
        <v>2857</v>
      </c>
      <c r="L1741" t="s">
        <v>821</v>
      </c>
    </row>
    <row r="1742" spans="1:12" ht="13.2">
      <c r="A1742" t="s">
        <v>2775</v>
      </c>
      <c r="B1742" t="b">
        <v>0</v>
      </c>
      <c r="H1742" t="s">
        <v>1062</v>
      </c>
      <c r="I1742" t="s">
        <v>2855</v>
      </c>
      <c r="J1742" t="s">
        <v>2857</v>
      </c>
      <c r="L1742" t="s">
        <v>821</v>
      </c>
    </row>
    <row r="1743" spans="1:12" ht="13.2">
      <c r="A1743" t="s">
        <v>2776</v>
      </c>
      <c r="B1743" t="b">
        <v>0</v>
      </c>
      <c r="H1743" t="s">
        <v>1062</v>
      </c>
      <c r="I1743" t="s">
        <v>2855</v>
      </c>
      <c r="J1743" t="s">
        <v>2857</v>
      </c>
      <c r="L1743" t="s">
        <v>821</v>
      </c>
    </row>
    <row r="1744" spans="1:12" ht="13.2">
      <c r="A1744" t="s">
        <v>2777</v>
      </c>
      <c r="B1744" t="b">
        <v>0</v>
      </c>
      <c r="H1744" t="s">
        <v>1062</v>
      </c>
      <c r="I1744" t="s">
        <v>2855</v>
      </c>
      <c r="J1744" t="s">
        <v>2857</v>
      </c>
      <c r="L1744" t="s">
        <v>821</v>
      </c>
    </row>
    <row r="1745" spans="1:12" ht="13.2">
      <c r="A1745" t="s">
        <v>2778</v>
      </c>
      <c r="B1745" t="b">
        <v>0</v>
      </c>
      <c r="H1745" t="s">
        <v>1062</v>
      </c>
      <c r="I1745" t="s">
        <v>2855</v>
      </c>
      <c r="J1745" t="s">
        <v>2857</v>
      </c>
      <c r="L1745" t="s">
        <v>821</v>
      </c>
    </row>
    <row r="1746" spans="1:12" ht="13.2">
      <c r="A1746" t="s">
        <v>2779</v>
      </c>
      <c r="B1746" t="b">
        <v>0</v>
      </c>
      <c r="H1746" t="s">
        <v>1062</v>
      </c>
      <c r="I1746" t="s">
        <v>2855</v>
      </c>
      <c r="J1746" t="s">
        <v>2857</v>
      </c>
      <c r="L1746" t="s">
        <v>821</v>
      </c>
    </row>
    <row r="1747" spans="1:12" ht="13.2">
      <c r="A1747" t="s">
        <v>2780</v>
      </c>
      <c r="B1747" t="b">
        <v>0</v>
      </c>
      <c r="H1747" t="s">
        <v>1062</v>
      </c>
      <c r="I1747" t="s">
        <v>2855</v>
      </c>
      <c r="J1747" t="s">
        <v>2857</v>
      </c>
      <c r="L1747" t="s">
        <v>821</v>
      </c>
    </row>
    <row r="1748" spans="1:12" ht="13.2">
      <c r="A1748" t="s">
        <v>2781</v>
      </c>
      <c r="B1748" t="b">
        <v>0</v>
      </c>
      <c r="H1748" t="s">
        <v>1062</v>
      </c>
      <c r="I1748" t="s">
        <v>2855</v>
      </c>
      <c r="J1748" t="s">
        <v>2857</v>
      </c>
      <c r="L1748" t="s">
        <v>821</v>
      </c>
    </row>
    <row r="1749" spans="1:12" ht="13.2">
      <c r="A1749" t="s">
        <v>2782</v>
      </c>
      <c r="B1749" t="b">
        <v>0</v>
      </c>
      <c r="H1749" t="s">
        <v>1062</v>
      </c>
      <c r="I1749" t="s">
        <v>2855</v>
      </c>
      <c r="J1749" t="s">
        <v>2860</v>
      </c>
      <c r="L1749" t="s">
        <v>821</v>
      </c>
    </row>
    <row r="1750" spans="1:12" ht="13.2">
      <c r="A1750" t="s">
        <v>2783</v>
      </c>
      <c r="B1750" t="b">
        <v>0</v>
      </c>
      <c r="H1750" t="s">
        <v>1062</v>
      </c>
      <c r="I1750" t="s">
        <v>2855</v>
      </c>
      <c r="J1750" t="s">
        <v>2860</v>
      </c>
      <c r="L1750" t="s">
        <v>821</v>
      </c>
    </row>
    <row r="1751" spans="1:12" ht="13.2">
      <c r="A1751" t="s">
        <v>2784</v>
      </c>
      <c r="B1751" t="b">
        <v>0</v>
      </c>
      <c r="H1751" t="s">
        <v>1062</v>
      </c>
      <c r="I1751" t="s">
        <v>2855</v>
      </c>
      <c r="J1751" t="s">
        <v>2860</v>
      </c>
      <c r="L1751" t="s">
        <v>821</v>
      </c>
    </row>
    <row r="1752" spans="1:12" ht="13.2">
      <c r="A1752" t="s">
        <v>2785</v>
      </c>
      <c r="B1752" t="b">
        <v>0</v>
      </c>
      <c r="H1752" t="s">
        <v>1062</v>
      </c>
      <c r="I1752" t="s">
        <v>2855</v>
      </c>
      <c r="J1752" t="s">
        <v>2860</v>
      </c>
      <c r="L1752" t="s">
        <v>821</v>
      </c>
    </row>
    <row r="1753" spans="1:12" ht="13.2">
      <c r="A1753" t="s">
        <v>2786</v>
      </c>
      <c r="B1753" t="b">
        <v>0</v>
      </c>
      <c r="H1753" t="s">
        <v>1062</v>
      </c>
      <c r="I1753" t="s">
        <v>2855</v>
      </c>
      <c r="J1753" t="s">
        <v>2860</v>
      </c>
      <c r="L1753" t="s">
        <v>821</v>
      </c>
    </row>
    <row r="1754" spans="1:12" ht="13.2">
      <c r="A1754" t="s">
        <v>2787</v>
      </c>
      <c r="B1754" t="b">
        <v>0</v>
      </c>
      <c r="H1754" t="s">
        <v>1062</v>
      </c>
      <c r="I1754" t="s">
        <v>2855</v>
      </c>
      <c r="J1754" t="s">
        <v>2860</v>
      </c>
      <c r="L1754" t="s">
        <v>821</v>
      </c>
    </row>
    <row r="1755" spans="1:12" ht="13.2">
      <c r="A1755" t="s">
        <v>2788</v>
      </c>
      <c r="B1755" t="b">
        <v>0</v>
      </c>
      <c r="H1755" t="s">
        <v>1062</v>
      </c>
      <c r="I1755" t="s">
        <v>2855</v>
      </c>
      <c r="J1755" t="s">
        <v>2860</v>
      </c>
      <c r="L1755" t="s">
        <v>821</v>
      </c>
    </row>
    <row r="1756" spans="1:12" ht="13.2">
      <c r="A1756" t="s">
        <v>2789</v>
      </c>
      <c r="B1756" t="b">
        <v>0</v>
      </c>
      <c r="H1756" t="s">
        <v>1062</v>
      </c>
      <c r="I1756" t="s">
        <v>2855</v>
      </c>
      <c r="J1756" t="s">
        <v>2860</v>
      </c>
      <c r="L1756" t="s">
        <v>821</v>
      </c>
    </row>
    <row r="1757" spans="1:12" ht="13.2">
      <c r="A1757" t="s">
        <v>2790</v>
      </c>
      <c r="B1757" t="b">
        <v>0</v>
      </c>
      <c r="H1757" t="s">
        <v>1062</v>
      </c>
      <c r="I1757" t="s">
        <v>2855</v>
      </c>
      <c r="J1757" t="s">
        <v>2860</v>
      </c>
      <c r="L1757" t="s">
        <v>821</v>
      </c>
    </row>
    <row r="1758" spans="1:12" ht="13.2">
      <c r="A1758" t="s">
        <v>2791</v>
      </c>
      <c r="B1758" t="b">
        <v>0</v>
      </c>
      <c r="H1758" t="s">
        <v>1062</v>
      </c>
      <c r="I1758" t="s">
        <v>2855</v>
      </c>
      <c r="J1758" t="s">
        <v>2860</v>
      </c>
      <c r="L1758" t="s">
        <v>821</v>
      </c>
    </row>
    <row r="1759" spans="1:12" ht="13.2">
      <c r="A1759" t="s">
        <v>2792</v>
      </c>
      <c r="B1759" t="b">
        <v>0</v>
      </c>
      <c r="H1759" t="s">
        <v>1062</v>
      </c>
      <c r="I1759" t="s">
        <v>2855</v>
      </c>
      <c r="J1759" t="s">
        <v>2860</v>
      </c>
      <c r="L1759" t="s">
        <v>821</v>
      </c>
    </row>
    <row r="1760" spans="1:12" ht="13.2">
      <c r="A1760" t="s">
        <v>2793</v>
      </c>
      <c r="B1760" t="b">
        <v>0</v>
      </c>
      <c r="H1760" t="s">
        <v>1062</v>
      </c>
      <c r="I1760" t="s">
        <v>2855</v>
      </c>
      <c r="J1760" t="s">
        <v>2860</v>
      </c>
      <c r="L1760" t="s">
        <v>821</v>
      </c>
    </row>
  </sheetData>
  <pageMargins left="1.74724409448901" right="1.74724409448901" top="0.75" bottom="0.75" header="0.3" footer="0.3"/>
  <pageSetup horizontalDpi="300" verticalDpi="300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ubeSize"/>
  <dimension ref="A1:Q54"/>
  <sheetViews>
    <sheetView zoomScale="90" zoomScaleNormal="90" workbookViewId="0" topLeftCell="A18">
      <selection pane="topLeft" activeCell="B54" sqref="B54"/>
    </sheetView>
  </sheetViews>
  <sheetFormatPr defaultColWidth="9.109375" defaultRowHeight="13.5"/>
  <cols>
    <col min="1" max="1" width="45.7142857142857" bestFit="1" customWidth="1"/>
    <col min="2" max="2" width="26.2857142857143" bestFit="1" customWidth="1"/>
    <col min="3" max="3" width="15" bestFit="1" customWidth="1"/>
    <col min="4" max="4" width="41.4285714285714" bestFit="1" customWidth="1"/>
    <col min="7" max="7" width="45.7142857142857" bestFit="1" customWidth="1"/>
    <col min="8" max="8" width="26.2857142857143" bestFit="1" customWidth="1"/>
    <col min="10" max="10" width="6.57142857142857" bestFit="1" customWidth="1"/>
    <col min="11" max="11" width="17.7142857142857" bestFit="1" customWidth="1"/>
    <col min="12" max="13" width="28.7142857142857" bestFit="1" customWidth="1"/>
    <col min="14" max="15" width="26.8571428571429" bestFit="1" customWidth="1"/>
    <col min="16" max="16" width="21.1428571428571" bestFit="1" customWidth="1"/>
    <col min="17" max="18" width="22" bestFit="1" customWidth="1"/>
  </cols>
  <sheetData>
    <row r="1" spans="1:17" ht="13.2">
      <c r="A1" s="34" t="s">
        <v>2794</v>
      </c>
      <c r="G1" s="302" t="s">
        <v>2795</v>
      </c>
      <c r="H1" s="303"/>
      <c r="J1" s="295" t="s">
        <v>2796</v>
      </c>
      <c r="K1" s="296"/>
      <c r="L1" s="296"/>
      <c r="M1" s="296"/>
      <c r="N1" s="296"/>
      <c r="O1" s="296"/>
      <c r="P1" s="296"/>
      <c r="Q1" s="297"/>
    </row>
    <row r="2" spans="7:17" ht="13.2">
      <c r="G2" s="31" t="s">
        <v>782</v>
      </c>
      <c r="H2" s="29" t="s">
        <v>803</v>
      </c>
      <c r="J2" s="64"/>
      <c r="K2" s="64">
        <v>1</v>
      </c>
      <c r="L2" s="64">
        <v>360</v>
      </c>
      <c r="M2" s="64">
        <v>560</v>
      </c>
      <c r="N2" s="64">
        <v>655</v>
      </c>
      <c r="O2" s="64">
        <v>1850</v>
      </c>
      <c r="P2" s="64">
        <v>2100</v>
      </c>
      <c r="Q2" s="64">
        <v>4000</v>
      </c>
    </row>
    <row r="3" spans="1:17" ht="13.2">
      <c r="A3" s="27" t="s">
        <v>166</v>
      </c>
      <c r="B3" s="27" t="s">
        <v>2797</v>
      </c>
      <c r="G3" s="33" t="s">
        <v>824</v>
      </c>
      <c r="H3" s="27" t="s">
        <v>824</v>
      </c>
      <c r="J3" s="64">
        <v>1</v>
      </c>
      <c r="K3" s="27" t="s">
        <v>2934</v>
      </c>
      <c r="L3" s="27" t="s">
        <v>817</v>
      </c>
      <c r="M3" s="27" t="s">
        <v>855</v>
      </c>
      <c r="N3" s="27" t="s">
        <v>838</v>
      </c>
      <c r="O3" s="27" t="s">
        <v>838</v>
      </c>
      <c r="P3" s="27" t="s">
        <v>882</v>
      </c>
      <c r="Q3" s="27" t="s">
        <v>882</v>
      </c>
    </row>
    <row r="4" spans="1:17" ht="13.2">
      <c r="A4" s="26">
        <v>0</v>
      </c>
      <c r="B4" s="26" t="s">
        <v>2798</v>
      </c>
      <c r="G4" s="33" t="s">
        <v>2799</v>
      </c>
      <c r="H4" s="27" t="s">
        <v>824</v>
      </c>
      <c r="J4" s="64">
        <v>1000</v>
      </c>
      <c r="K4" s="27" t="s">
        <v>2934</v>
      </c>
      <c r="L4" s="27" t="s">
        <v>817</v>
      </c>
      <c r="M4" s="27" t="s">
        <v>855</v>
      </c>
      <c r="N4" s="27" t="s">
        <v>838</v>
      </c>
      <c r="O4" s="27" t="s">
        <v>838</v>
      </c>
      <c r="P4" s="27" t="s">
        <v>882</v>
      </c>
      <c r="Q4" s="27" t="s">
        <v>882</v>
      </c>
    </row>
    <row r="5" spans="1:17" ht="13.2">
      <c r="A5" s="26">
        <v>850</v>
      </c>
      <c r="B5" s="26" t="s">
        <v>2800</v>
      </c>
      <c r="G5" s="33" t="s">
        <v>2801</v>
      </c>
      <c r="H5" s="27" t="s">
        <v>824</v>
      </c>
      <c r="J5" s="64">
        <v>1500</v>
      </c>
      <c r="K5" s="27" t="s">
        <v>2934</v>
      </c>
      <c r="L5" s="27" t="s">
        <v>817</v>
      </c>
      <c r="M5" s="27" t="s">
        <v>855</v>
      </c>
      <c r="N5" s="27" t="s">
        <v>838</v>
      </c>
      <c r="O5" s="27" t="s">
        <v>882</v>
      </c>
      <c r="P5" s="27" t="s">
        <v>882</v>
      </c>
      <c r="Q5" s="27" t="s">
        <v>882</v>
      </c>
    </row>
    <row r="6" spans="1:17" ht="13.2">
      <c r="A6" s="26">
        <v>1100</v>
      </c>
      <c r="B6" s="26" t="s">
        <v>2802</v>
      </c>
      <c r="G6" s="33" t="s">
        <v>2803</v>
      </c>
      <c r="H6" s="33" t="s">
        <v>2803</v>
      </c>
      <c r="J6" s="64">
        <v>2000</v>
      </c>
      <c r="K6" s="27" t="s">
        <v>2934</v>
      </c>
      <c r="L6" s="27" t="s">
        <v>817</v>
      </c>
      <c r="M6" s="27" t="s">
        <v>855</v>
      </c>
      <c r="N6" s="27" t="s">
        <v>838</v>
      </c>
      <c r="O6" s="27" t="s">
        <v>882</v>
      </c>
      <c r="P6" s="27" t="s">
        <v>882</v>
      </c>
      <c r="Q6" s="27" t="s">
        <v>882</v>
      </c>
    </row>
    <row r="7" spans="1:17" ht="13.2">
      <c r="A7" s="26">
        <v>1400</v>
      </c>
      <c r="B7" s="26" t="s">
        <v>2804</v>
      </c>
      <c r="G7" s="33" t="s">
        <v>2805</v>
      </c>
      <c r="H7" s="33" t="s">
        <v>2805</v>
      </c>
      <c r="J7" s="64">
        <v>4000</v>
      </c>
      <c r="K7" s="27" t="s">
        <v>2934</v>
      </c>
      <c r="L7" s="27" t="s">
        <v>817</v>
      </c>
      <c r="M7" s="27" t="s">
        <v>855</v>
      </c>
      <c r="N7" s="27" t="s">
        <v>838</v>
      </c>
      <c r="O7" s="27" t="s">
        <v>882</v>
      </c>
      <c r="P7" s="27" t="s">
        <v>882</v>
      </c>
      <c r="Q7" s="27" t="s">
        <v>882</v>
      </c>
    </row>
    <row r="8" spans="1:8" ht="13.2">
      <c r="A8" s="26">
        <v>1860</v>
      </c>
      <c r="B8" s="26" t="s">
        <v>2806</v>
      </c>
      <c r="G8" s="33" t="s">
        <v>2807</v>
      </c>
      <c r="H8" s="33" t="s">
        <v>2807</v>
      </c>
    </row>
    <row r="9" spans="1:13" ht="13.2">
      <c r="A9" s="26">
        <v>2260</v>
      </c>
      <c r="B9" s="26" t="s">
        <v>2808</v>
      </c>
      <c r="G9" s="33" t="s">
        <v>2809</v>
      </c>
      <c r="H9" s="33" t="s">
        <v>2809</v>
      </c>
      <c r="J9" s="298" t="s">
        <v>2810</v>
      </c>
      <c r="K9" s="298"/>
      <c r="L9" s="298"/>
      <c r="M9" s="298"/>
    </row>
    <row r="10" spans="1:13" ht="13.2">
      <c r="A10" s="26">
        <v>2760</v>
      </c>
      <c r="B10" s="26" t="s">
        <v>2811</v>
      </c>
      <c r="G10" s="33" t="s">
        <v>2812</v>
      </c>
      <c r="H10" s="27" t="s">
        <v>824</v>
      </c>
      <c r="J10" s="64"/>
      <c r="K10" s="64">
        <v>1</v>
      </c>
      <c r="L10" s="64">
        <v>670</v>
      </c>
      <c r="M10" s="64">
        <v>4000</v>
      </c>
    </row>
    <row r="11" spans="1:13" ht="13.2">
      <c r="A11" s="26">
        <v>3260</v>
      </c>
      <c r="B11" s="26" t="s">
        <v>2813</v>
      </c>
      <c r="G11" s="33" t="s">
        <v>2814</v>
      </c>
      <c r="H11" s="27" t="s">
        <v>824</v>
      </c>
      <c r="J11" s="64">
        <v>1</v>
      </c>
      <c r="K11" s="27" t="s">
        <v>2934</v>
      </c>
      <c r="L11" s="27" t="s">
        <v>625</v>
      </c>
      <c r="M11" s="27" t="s">
        <v>625</v>
      </c>
    </row>
    <row r="12" spans="1:13" ht="13.2">
      <c r="A12" s="26">
        <v>5000</v>
      </c>
      <c r="B12" s="26" t="s">
        <v>2815</v>
      </c>
      <c r="G12" s="33" t="s">
        <v>2816</v>
      </c>
      <c r="H12" s="27" t="s">
        <v>824</v>
      </c>
      <c r="J12" s="64">
        <v>1000</v>
      </c>
      <c r="K12" s="27" t="s">
        <v>2934</v>
      </c>
      <c r="L12" s="27" t="s">
        <v>625</v>
      </c>
      <c r="M12" s="27" t="s">
        <v>625</v>
      </c>
    </row>
    <row r="13" spans="7:13" ht="13.2">
      <c r="G13" s="33" t="s">
        <v>2817</v>
      </c>
      <c r="H13" s="27" t="s">
        <v>824</v>
      </c>
      <c r="J13" s="64">
        <v>1500</v>
      </c>
      <c r="K13" s="27" t="s">
        <v>2934</v>
      </c>
      <c r="L13" s="27" t="s">
        <v>625</v>
      </c>
      <c r="M13" s="27" t="s">
        <v>625</v>
      </c>
    </row>
    <row r="14" spans="1:13" ht="13.2">
      <c r="A14" s="304" t="s">
        <v>2818</v>
      </c>
      <c r="B14" s="304"/>
      <c r="C14" s="304"/>
      <c r="D14" s="304"/>
      <c r="E14" s="305"/>
      <c r="G14" s="33" t="s">
        <v>2819</v>
      </c>
      <c r="H14" s="27" t="s">
        <v>824</v>
      </c>
      <c r="J14" s="64">
        <v>2000</v>
      </c>
      <c r="K14" s="27" t="s">
        <v>2934</v>
      </c>
      <c r="L14" s="27" t="s">
        <v>625</v>
      </c>
      <c r="M14" s="27" t="s">
        <v>625</v>
      </c>
    </row>
    <row r="15" spans="1:13" ht="14.4">
      <c r="A15" s="28" t="s">
        <v>171</v>
      </c>
      <c r="B15" s="28" t="s">
        <v>780</v>
      </c>
      <c r="C15" s="28" t="s">
        <v>173</v>
      </c>
      <c r="D15" s="28"/>
      <c r="E15" s="28"/>
      <c r="G15" s="33" t="s">
        <v>2820</v>
      </c>
      <c r="H15" s="27" t="s">
        <v>824</v>
      </c>
      <c r="J15" s="64">
        <v>4000</v>
      </c>
      <c r="K15" s="27" t="s">
        <v>2934</v>
      </c>
      <c r="L15" s="27" t="s">
        <v>625</v>
      </c>
      <c r="M15" s="27" t="s">
        <v>625</v>
      </c>
    </row>
    <row r="16" spans="1:8" ht="13.2">
      <c r="A16" s="35" t="s">
        <v>872</v>
      </c>
      <c r="B16" s="35" t="s">
        <v>824</v>
      </c>
      <c r="C16" s="35" t="s">
        <v>2821</v>
      </c>
      <c r="D16" s="35" t="str">
        <f>CONCATENATE(A16&amp;"|"&amp;B16&amp;"|"&amp;C16)</f>
        <v>Right|N/A|Back</v>
      </c>
      <c r="E16" s="35" t="s">
        <v>2822</v>
      </c>
      <c r="G16" s="33" t="s">
        <v>2823</v>
      </c>
      <c r="H16" s="27" t="s">
        <v>824</v>
      </c>
    </row>
    <row r="17" spans="1:13" ht="13.2">
      <c r="A17" s="35" t="s">
        <v>827</v>
      </c>
      <c r="B17" s="35" t="s">
        <v>824</v>
      </c>
      <c r="C17" s="35" t="s">
        <v>2824</v>
      </c>
      <c r="D17" s="35" t="str">
        <f t="shared" si="0" ref="D17">CONCATENATE(A17&amp;"|"&amp;B17&amp;"|"&amp;C17)</f>
        <v>Left|N/A|Front</v>
      </c>
      <c r="E17" s="35" t="s">
        <v>2822</v>
      </c>
      <c r="G17" s="33" t="s">
        <v>2825</v>
      </c>
      <c r="H17" s="27" t="s">
        <v>824</v>
      </c>
      <c r="J17" s="298" t="s">
        <v>2826</v>
      </c>
      <c r="K17" s="298"/>
      <c r="L17" s="298"/>
      <c r="M17" s="298"/>
    </row>
    <row r="18" spans="1:13" ht="13.2">
      <c r="A18" s="35" t="s">
        <v>872</v>
      </c>
      <c r="B18" s="35" t="s">
        <v>824</v>
      </c>
      <c r="C18" s="35" t="s">
        <v>2824</v>
      </c>
      <c r="D18" s="35" t="str">
        <f>CONCATENATE(A18&amp;"|"&amp;B18&amp;"|"&amp;C18)</f>
        <v>Right|N/A|Front</v>
      </c>
      <c r="E18" s="35" t="s">
        <v>2827</v>
      </c>
      <c r="G18" s="33" t="s">
        <v>2828</v>
      </c>
      <c r="H18" s="27" t="s">
        <v>824</v>
      </c>
      <c r="J18" s="64"/>
      <c r="K18" s="64">
        <v>1</v>
      </c>
      <c r="L18" s="64">
        <v>580</v>
      </c>
      <c r="M18" s="64">
        <v>4000</v>
      </c>
    </row>
    <row r="19" spans="1:13" ht="13.2">
      <c r="A19" s="35" t="s">
        <v>827</v>
      </c>
      <c r="B19" s="35" t="s">
        <v>824</v>
      </c>
      <c r="C19" s="35" t="s">
        <v>2821</v>
      </c>
      <c r="D19" s="35" t="str">
        <f>CONCATENATE(A19&amp;"|"&amp;B19&amp;"|"&amp;C19)</f>
        <v>Left|N/A|Back</v>
      </c>
      <c r="E19" s="35" t="s">
        <v>2827</v>
      </c>
      <c r="G19" s="33" t="s">
        <v>2829</v>
      </c>
      <c r="H19" s="27" t="s">
        <v>824</v>
      </c>
      <c r="J19" s="64">
        <v>1</v>
      </c>
      <c r="K19" s="27" t="s">
        <v>2934</v>
      </c>
      <c r="L19" s="27" t="s">
        <v>626</v>
      </c>
      <c r="M19" s="27" t="s">
        <v>626</v>
      </c>
    </row>
    <row r="20" spans="7:13" ht="13.2">
      <c r="G20" s="33" t="s">
        <v>2830</v>
      </c>
      <c r="H20" s="27" t="s">
        <v>824</v>
      </c>
      <c r="J20" s="64">
        <v>1000</v>
      </c>
      <c r="K20" s="27" t="s">
        <v>2934</v>
      </c>
      <c r="L20" s="27" t="s">
        <v>626</v>
      </c>
      <c r="M20" s="27" t="s">
        <v>626</v>
      </c>
    </row>
    <row r="21" spans="1:13" ht="13.2">
      <c r="A21" s="36" t="s">
        <v>872</v>
      </c>
      <c r="B21" s="36" t="s">
        <v>170</v>
      </c>
      <c r="C21" s="36" t="s">
        <v>2821</v>
      </c>
      <c r="D21" s="37" t="str">
        <f t="shared" si="1" ref="D21:D28">CONCATENATE(A21&amp;"|"&amp;B21&amp;"|"&amp;C21)</f>
        <v>Right|Control|Back</v>
      </c>
      <c r="E21" s="37" t="s">
        <v>2822</v>
      </c>
      <c r="G21" s="33" t="s">
        <v>2831</v>
      </c>
      <c r="H21" s="27" t="s">
        <v>824</v>
      </c>
      <c r="J21" s="64">
        <v>1500</v>
      </c>
      <c r="K21" s="27" t="s">
        <v>2934</v>
      </c>
      <c r="L21" s="27" t="s">
        <v>626</v>
      </c>
      <c r="M21" s="27" t="s">
        <v>626</v>
      </c>
    </row>
    <row r="22" spans="1:13" ht="13.2">
      <c r="A22" s="36" t="s">
        <v>827</v>
      </c>
      <c r="B22" s="36" t="s">
        <v>170</v>
      </c>
      <c r="C22" s="36" t="s">
        <v>2824</v>
      </c>
      <c r="D22" s="37" t="str">
        <f t="shared" si="1"/>
        <v>Left|Control|Front</v>
      </c>
      <c r="E22" s="37" t="s">
        <v>2822</v>
      </c>
      <c r="G22" s="33" t="s">
        <v>2832</v>
      </c>
      <c r="H22" s="27" t="s">
        <v>824</v>
      </c>
      <c r="J22" s="64">
        <v>2000</v>
      </c>
      <c r="K22" s="27" t="s">
        <v>2934</v>
      </c>
      <c r="L22" s="27" t="s">
        <v>626</v>
      </c>
      <c r="M22" s="27" t="s">
        <v>626</v>
      </c>
    </row>
    <row r="23" spans="1:13" ht="13.2">
      <c r="A23" s="36" t="s">
        <v>872</v>
      </c>
      <c r="B23" s="36" t="s">
        <v>170</v>
      </c>
      <c r="C23" s="36" t="s">
        <v>2824</v>
      </c>
      <c r="D23" s="37" t="str">
        <f t="shared" si="1"/>
        <v>Right|Control|Front</v>
      </c>
      <c r="E23" s="37" t="s">
        <v>2827</v>
      </c>
      <c r="G23" s="33" t="s">
        <v>2833</v>
      </c>
      <c r="H23" s="27" t="s">
        <v>824</v>
      </c>
      <c r="J23" s="64">
        <v>4000</v>
      </c>
      <c r="K23" s="27" t="s">
        <v>2934</v>
      </c>
      <c r="L23" s="27" t="s">
        <v>626</v>
      </c>
      <c r="M23" s="27" t="s">
        <v>626</v>
      </c>
    </row>
    <row r="24" spans="1:8" ht="13.2">
      <c r="A24" s="36" t="s">
        <v>827</v>
      </c>
      <c r="B24" s="36" t="s">
        <v>170</v>
      </c>
      <c r="C24" s="36" t="s">
        <v>2821</v>
      </c>
      <c r="D24" s="37" t="str">
        <f t="shared" si="1"/>
        <v>Left|Control|Back</v>
      </c>
      <c r="E24" s="37" t="s">
        <v>2827</v>
      </c>
      <c r="G24" s="33" t="s">
        <v>2834</v>
      </c>
      <c r="H24" s="27" t="s">
        <v>824</v>
      </c>
    </row>
    <row r="25" spans="1:15" ht="13.2">
      <c r="A25" s="36" t="s">
        <v>872</v>
      </c>
      <c r="B25" s="36" t="s">
        <v>901</v>
      </c>
      <c r="C25" s="36" t="s">
        <v>2821</v>
      </c>
      <c r="D25" s="37" t="str">
        <f t="shared" si="1"/>
        <v>Right|RHS Blind Independent Link|Back</v>
      </c>
      <c r="E25" s="37" t="s">
        <v>2822</v>
      </c>
      <c r="G25" s="33" t="s">
        <v>2835</v>
      </c>
      <c r="H25" s="27" t="s">
        <v>824</v>
      </c>
      <c r="J25" s="298" t="s">
        <v>2836</v>
      </c>
      <c r="K25" s="298"/>
      <c r="L25" s="298"/>
      <c r="M25" s="298"/>
      <c r="N25" s="298"/>
      <c r="O25" s="298"/>
    </row>
    <row r="26" spans="1:15" ht="13.2">
      <c r="A26" s="36" t="s">
        <v>827</v>
      </c>
      <c r="B26" s="36" t="s">
        <v>844</v>
      </c>
      <c r="C26" s="36" t="s">
        <v>2824</v>
      </c>
      <c r="D26" s="37" t="str">
        <f t="shared" si="1"/>
        <v>Left|LHS Blind Independent Link|Front</v>
      </c>
      <c r="E26" s="37" t="s">
        <v>2822</v>
      </c>
      <c r="J26" s="64"/>
      <c r="K26" s="64">
        <v>1</v>
      </c>
      <c r="L26" s="64">
        <v>360</v>
      </c>
      <c r="M26" s="64">
        <v>1850</v>
      </c>
      <c r="N26" s="64">
        <v>2100</v>
      </c>
      <c r="O26" s="64">
        <v>4000</v>
      </c>
    </row>
    <row r="27" spans="1:15" ht="13.2">
      <c r="A27" s="36" t="s">
        <v>872</v>
      </c>
      <c r="B27" s="36" t="s">
        <v>901</v>
      </c>
      <c r="C27" s="36" t="s">
        <v>2824</v>
      </c>
      <c r="D27" s="37" t="str">
        <f t="shared" si="1"/>
        <v>Right|RHS Blind Independent Link|Front</v>
      </c>
      <c r="E27" s="37" t="s">
        <v>2827</v>
      </c>
      <c r="G27" s="306" t="s">
        <v>208</v>
      </c>
      <c r="H27" s="306"/>
      <c r="J27" s="64">
        <v>1</v>
      </c>
      <c r="K27" s="27" t="s">
        <v>2934</v>
      </c>
      <c r="L27" s="27" t="s">
        <v>817</v>
      </c>
      <c r="M27" s="27" t="s">
        <v>817</v>
      </c>
      <c r="N27" s="27" t="s">
        <v>868</v>
      </c>
      <c r="O27" s="27" t="s">
        <v>868</v>
      </c>
    </row>
    <row r="28" spans="1:15" ht="13.2">
      <c r="A28" s="36" t="s">
        <v>827</v>
      </c>
      <c r="B28" s="36" t="s">
        <v>844</v>
      </c>
      <c r="C28" s="36" t="s">
        <v>2821</v>
      </c>
      <c r="D28" s="37" t="str">
        <f t="shared" si="1"/>
        <v>Left|LHS Blind Independent Link|Back</v>
      </c>
      <c r="E28" s="37" t="s">
        <v>2827</v>
      </c>
      <c r="G28" s="27">
        <v>0</v>
      </c>
      <c r="H28" s="27">
        <v>2</v>
      </c>
      <c r="J28" s="64">
        <v>1000</v>
      </c>
      <c r="K28" s="27" t="s">
        <v>2934</v>
      </c>
      <c r="L28" s="27" t="s">
        <v>817</v>
      </c>
      <c r="M28" s="27" t="s">
        <v>817</v>
      </c>
      <c r="N28" s="27" t="s">
        <v>868</v>
      </c>
      <c r="O28" s="27" t="s">
        <v>868</v>
      </c>
    </row>
    <row r="29" spans="7:15" ht="13.2">
      <c r="G29" s="27">
        <v>1000</v>
      </c>
      <c r="H29" s="27">
        <v>3</v>
      </c>
      <c r="J29" s="64">
        <v>1500</v>
      </c>
      <c r="K29" s="27" t="s">
        <v>2934</v>
      </c>
      <c r="L29" s="27" t="s">
        <v>817</v>
      </c>
      <c r="M29" s="27" t="s">
        <v>868</v>
      </c>
      <c r="N29" s="27" t="s">
        <v>868</v>
      </c>
      <c r="O29" s="27" t="s">
        <v>868</v>
      </c>
    </row>
    <row r="30" spans="7:15" ht="13.2">
      <c r="G30" s="27">
        <v>1700</v>
      </c>
      <c r="H30" s="27">
        <v>4</v>
      </c>
      <c r="J30" s="64">
        <v>2000</v>
      </c>
      <c r="K30" s="27" t="s">
        <v>2934</v>
      </c>
      <c r="L30" s="27" t="s">
        <v>817</v>
      </c>
      <c r="M30" s="27" t="s">
        <v>868</v>
      </c>
      <c r="N30" s="27" t="s">
        <v>868</v>
      </c>
      <c r="O30" s="27" t="s">
        <v>868</v>
      </c>
    </row>
    <row r="31" spans="1:15" ht="13.2">
      <c r="A31" s="300" t="s">
        <v>2837</v>
      </c>
      <c r="B31" s="301"/>
      <c r="G31" s="27">
        <v>2400</v>
      </c>
      <c r="H31" s="27">
        <v>5</v>
      </c>
      <c r="J31" s="64">
        <v>4000</v>
      </c>
      <c r="K31" s="27" t="s">
        <v>2934</v>
      </c>
      <c r="L31" s="27" t="s">
        <v>817</v>
      </c>
      <c r="M31" s="27" t="s">
        <v>868</v>
      </c>
      <c r="N31" s="27" t="s">
        <v>868</v>
      </c>
      <c r="O31" s="27" t="s">
        <v>868</v>
      </c>
    </row>
    <row r="32" spans="1:8" ht="13.2">
      <c r="A32" s="31" t="s">
        <v>177</v>
      </c>
      <c r="B32" s="29" t="s">
        <v>243</v>
      </c>
      <c r="G32" s="27">
        <v>3300</v>
      </c>
      <c r="H32" s="27">
        <v>6</v>
      </c>
    </row>
    <row r="33" spans="1:2" ht="13.2">
      <c r="A33" s="32" t="s">
        <v>825</v>
      </c>
      <c r="B33" s="27" t="s">
        <v>824</v>
      </c>
    </row>
    <row r="34" spans="1:2" ht="13.2">
      <c r="A34" s="32" t="s">
        <v>941</v>
      </c>
      <c r="B34" s="27" t="s">
        <v>824</v>
      </c>
    </row>
    <row r="35" spans="1:8" ht="13.2">
      <c r="A35" s="32" t="s">
        <v>2838</v>
      </c>
      <c r="B35" s="27" t="s">
        <v>824</v>
      </c>
      <c r="G35" s="31" t="s">
        <v>166</v>
      </c>
      <c r="H35" s="31" t="s">
        <v>230</v>
      </c>
    </row>
    <row r="36" spans="1:8" ht="13.2">
      <c r="A36" s="32" t="s">
        <v>842</v>
      </c>
      <c r="B36" s="27" t="s">
        <v>824</v>
      </c>
      <c r="G36" s="26">
        <v>0</v>
      </c>
      <c r="H36" s="26">
        <v>4</v>
      </c>
    </row>
    <row r="37" spans="1:8" ht="13.2">
      <c r="A37" s="32" t="s">
        <v>936</v>
      </c>
      <c r="B37" s="27" t="s">
        <v>824</v>
      </c>
      <c r="G37" s="26">
        <v>800</v>
      </c>
      <c r="H37" s="26">
        <v>6</v>
      </c>
    </row>
    <row r="38" spans="1:8" ht="13.2">
      <c r="A38" s="32" t="s">
        <v>2839</v>
      </c>
      <c r="B38" s="27" t="s">
        <v>824</v>
      </c>
      <c r="G38" s="26">
        <v>1400</v>
      </c>
      <c r="H38" s="26">
        <v>8</v>
      </c>
    </row>
    <row r="39" spans="1:8" ht="13.2">
      <c r="A39" s="32" t="s">
        <v>859</v>
      </c>
      <c r="B39" s="27" t="s">
        <v>824</v>
      </c>
      <c r="G39" s="26">
        <v>2000</v>
      </c>
      <c r="H39" s="26">
        <v>10</v>
      </c>
    </row>
    <row r="40" spans="1:8" ht="13.2">
      <c r="A40" s="32" t="s">
        <v>930</v>
      </c>
      <c r="B40" s="27" t="s">
        <v>824</v>
      </c>
      <c r="G40" s="26">
        <v>2600</v>
      </c>
      <c r="H40" s="26">
        <v>12</v>
      </c>
    </row>
    <row r="41" spans="1:8" ht="13.2">
      <c r="A41" s="32" t="s">
        <v>871</v>
      </c>
      <c r="B41" s="27" t="s">
        <v>835</v>
      </c>
      <c r="G41" s="26">
        <v>3200</v>
      </c>
      <c r="H41" s="26">
        <v>14</v>
      </c>
    </row>
    <row r="42" spans="1:2" ht="13.2">
      <c r="A42" s="32" t="s">
        <v>885</v>
      </c>
      <c r="B42" s="27" t="s">
        <v>835</v>
      </c>
    </row>
    <row r="43" spans="1:2" ht="13.2">
      <c r="A43" s="32" t="s">
        <v>899</v>
      </c>
      <c r="B43" s="27" t="s">
        <v>835</v>
      </c>
    </row>
    <row r="44" spans="1:2" ht="13.2">
      <c r="A44" s="32" t="s">
        <v>2840</v>
      </c>
      <c r="B44" s="27" t="s">
        <v>824</v>
      </c>
    </row>
    <row r="45" spans="1:2" ht="13.2">
      <c r="A45" s="32" t="s">
        <v>911</v>
      </c>
      <c r="B45" s="27" t="s">
        <v>835</v>
      </c>
    </row>
    <row r="46" spans="1:2" ht="13.2">
      <c r="A46" s="32" t="s">
        <v>921</v>
      </c>
      <c r="B46" s="27" t="s">
        <v>835</v>
      </c>
    </row>
    <row r="48" spans="1:2" ht="13.2">
      <c r="A48" s="299" t="s">
        <v>893</v>
      </c>
      <c r="B48" s="299"/>
    </row>
    <row r="49" spans="1:2" ht="13.2">
      <c r="A49" s="79">
        <v>0</v>
      </c>
      <c r="B49" s="32" t="s">
        <v>2935</v>
      </c>
    </row>
    <row r="50" spans="1:2" ht="13.2">
      <c r="A50" s="79">
        <v>530</v>
      </c>
      <c r="B50" s="32" t="s">
        <v>920</v>
      </c>
    </row>
    <row r="51" spans="1:2" ht="13.2">
      <c r="A51" s="79">
        <v>900</v>
      </c>
      <c r="B51" s="27" t="s">
        <v>910</v>
      </c>
    </row>
    <row r="52" spans="1:2" ht="13.2">
      <c r="A52" s="79">
        <v>2100</v>
      </c>
      <c r="B52" s="27" t="s">
        <v>2936</v>
      </c>
    </row>
    <row r="53" spans="1:2" ht="13.2">
      <c r="A53" s="79">
        <v>6000</v>
      </c>
      <c r="B53" s="27" t="s">
        <v>2936</v>
      </c>
    </row>
    <row r="54" spans="1:2" ht="13.2">
      <c r="A54" s="79"/>
      <c r="B54" s="27"/>
    </row>
  </sheetData>
  <mergeCells count="9">
    <mergeCell ref="J1:Q1"/>
    <mergeCell ref="J17:M17"/>
    <mergeCell ref="J9:M9"/>
    <mergeCell ref="J25:O25"/>
    <mergeCell ref="A48:B48"/>
    <mergeCell ref="A31:B31"/>
    <mergeCell ref="G1:H1"/>
    <mergeCell ref="A14:E14"/>
    <mergeCell ref="G27:H27"/>
  </mergeCells>
  <pageMargins left="1.73937007874097" right="1.7393700787409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Template/>
  <Manager/>
  <Company/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Job Sheet</dc:title>
  <dc:subject/>
  <dc:creator>BUZ Software</dc:creator>
  <cp:keywords/>
  <dc:description/>
  <cp:lastModifiedBy/>
  <dcterms:created xsi:type="dcterms:W3CDTF">2026-05-07T05:29:33Z</dcterms:created>
  <dcterms:modified xsi:type="dcterms:W3CDTF">2026-09-18T06:48:44Z</dcterms:modified>
  <cp:category/>
  <cp:contentType/>
  <cp:contentStatus/>
  <cp:revision>1</cp:revision>
</cp:coreProperties>
</file>
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bookViews>
    <workbookView xWindow="16635" yWindow="49216" windowWidth="29040" windowHeight="15720" tabRatio="772" firstSheet="5" activeTab="0"/>
  </bookViews>
  <sheets>
    <sheet name="Data" sheetId="8" r:id="rId1"/>
    <sheet name="Job Sheet" sheetId="1" r:id="rId2"/>
    <sheet name="Mitred Cutting" sheetId="22" r:id="rId3"/>
    <sheet name="Straight Cutting" sheetId="28" r:id="rId4"/>
    <sheet name="Guillotine" sheetId="27" r:id="rId5"/>
    <sheet name="Assembly &amp; Bagging" sheetId="23" r:id="rId6"/>
    <sheet name="Components" sheetId="26" r:id="rId7"/>
    <sheet name="DBS Order Form" sheetId="25" r:id="rId8"/>
    <sheet name="Invisi-Scape Order Form" sheetId="21" r:id="rId9"/>
    <sheet name="Labels" sheetId="9" r:id="rId10"/>
    <sheet name="Deductions" sheetId="10" r:id="rId11"/>
  </sheets>
  <externalReferences>
    <externalReference r:id="rId16"/>
    <externalReference r:id="rId17"/>
  </externalReferences>
  <definedNames>
    <definedName name="_xleta.AND" hidden="1">#NAME?</definedName>
    <definedName name="_xleta.CONCATENATE" hidden="1">#NAME?</definedName>
    <definedName name="_xleta.IF" hidden="1">#NAME?</definedName>
    <definedName name="_xleta.N" hidden="1">#NAME?</definedName>
    <definedName name="_xleta.SHEET" hidden="1">#NAME?</definedName>
    <definedName name="CompanyPkId">Data!$BB$2</definedName>
    <definedName name="CustName" localSheetId="8">'Invisi-Scape Order Form'!$F$2</definedName>
    <definedName name="CustName">'Job Sheet'!$K$3</definedName>
    <definedName name="CustOrdOpt">Data!$CE$10:$CK$180</definedName>
    <definedName name="DataSettings">Data!$A$5:$F$21</definedName>
    <definedName name="DogDoor">'[1]Deductions'!$AO$2:$AR$17</definedName>
    <definedName name="DoorType">Deductions!$N$2:$Q$41</definedName>
    <definedName name="FixDeduct">Deductions!$C$2:$E$10</definedName>
    <definedName name="InventoryGroup">Data!$BA$1</definedName>
    <definedName name="JobPickLastRow">Data!$BA$2</definedName>
    <definedName name="MountingMethod">Deductions!$H$2:$J$64</definedName>
    <definedName name="Operation">'[2]Deductions'!$M$2:$P$10</definedName>
    <definedName name="_xlnm.Print_Area" localSheetId="5">'Assembly &amp; Bagging'!$A$1:$O$20</definedName>
    <definedName name="_xlnm.Print_Area" localSheetId="8">'Invisi-Scape Order Form'!$A$1:$O$18</definedName>
    <definedName name="_xlnm.Print_Area" localSheetId="1">'Job Sheet'!$A$2:$Y$20</definedName>
    <definedName name="_xlnm.Print_Area" localSheetId="2">'Mitred Cutting'!$A$1:$K$20</definedName>
    <definedName name="_xlnm.Print_Area" localSheetId="3">'Straight Cutting'!$A$1:$K$20</definedName>
    <definedName name="_xlnm.Print_Titles" localSheetId="8">'Invisi-Scape Order Form'!$2:$7</definedName>
    <definedName name="_xlnm.Print_Titles" localSheetId="1">'Job Sheet'!$2:$10</definedName>
    <definedName name="RightColumn">Data!$BA$3</definedName>
    <definedName name="SideDeduct">Deductions!$A$2:$B$29</definedName>
    <definedName name="UserPkId">Data!$AV$3</definedName>
  </definedNames>
  <calcPr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<sst xmlns="http://schemas.openxmlformats.org/spreadsheetml/2006/main" count="2872" uniqueCount="556">
  <si>
    <t>PkId</t>
  </si>
  <si>
    <t>Descn</t>
  </si>
  <si>
    <t>DateDoc</t>
  </si>
  <si>
    <t>RefNo</t>
  </si>
  <si>
    <t>Special Instructions</t>
  </si>
  <si>
    <t>Comment</t>
  </si>
  <si>
    <t>Notes</t>
  </si>
  <si>
    <t>JOB SHEET</t>
  </si>
  <si>
    <t>Customer Order Ref:</t>
  </si>
  <si>
    <t>ORDER REC'D:</t>
  </si>
  <si>
    <t>This should be in column BG</t>
  </si>
  <si>
    <t>Fit</t>
  </si>
  <si>
    <t>Delivery Address</t>
  </si>
  <si>
    <t>FixedLine</t>
  </si>
  <si>
    <t>LastRow</t>
  </si>
  <si>
    <t>REVISION:</t>
  </si>
  <si>
    <t>InventoryGroup</t>
  </si>
  <si>
    <t>RightColumn</t>
  </si>
  <si>
    <t>W</t>
  </si>
  <si>
    <t>CustomerPkId</t>
  </si>
  <si>
    <t>FollowUpDate</t>
  </si>
  <si>
    <t>OrderItemPkId</t>
  </si>
  <si>
    <t>AcceptedDate</t>
  </si>
  <si>
    <t>GRIL</t>
  </si>
  <si>
    <t>LastPwkCopyNo</t>
  </si>
  <si>
    <t>b64c1b45-c18e-4895-b2a0-91897d2591d2</t>
  </si>
  <si>
    <t>3c5ee578-b561-4f43-9b35-495bb6956c01</t>
  </si>
  <si>
    <t>InvoicedDate</t>
  </si>
  <si>
    <t>Revision</t>
  </si>
  <si>
    <t>Customer.Code</t>
  </si>
  <si>
    <t>Customer.Descn</t>
  </si>
  <si>
    <t>Contact.AddUnitNo</t>
  </si>
  <si>
    <t>Contact.AddNo</t>
  </si>
  <si>
    <t>Contact.AddBuilding</t>
  </si>
  <si>
    <t>Contact.AddStreet</t>
  </si>
  <si>
    <t>Contact.AddStType</t>
  </si>
  <si>
    <t>Contact.AddSuburb</t>
  </si>
  <si>
    <t>Contact.AddState</t>
  </si>
  <si>
    <t>Contact.AddPCode</t>
  </si>
  <si>
    <t>Contact.AddCountry</t>
  </si>
  <si>
    <t>Contact.Email</t>
  </si>
  <si>
    <t>Contact.DirectPhone</t>
  </si>
  <si>
    <t>Contact.Mobile</t>
  </si>
  <si>
    <t>Contact.PhOtherDescn1</t>
  </si>
  <si>
    <t>Contact.PhoneOther1</t>
  </si>
  <si>
    <t>Contact.PhOtherDescn2</t>
  </si>
  <si>
    <t>Contact.PhoneOther2</t>
  </si>
  <si>
    <t>Branch.Descn</t>
  </si>
  <si>
    <t>Branch.AddressLine1</t>
  </si>
  <si>
    <t>Branch.AddressLine2</t>
  </si>
  <si>
    <t>Branch.DirectPhone</t>
  </si>
  <si>
    <t>Branch.Fax</t>
  </si>
  <si>
    <t>Branch.Email</t>
  </si>
  <si>
    <t>SalesRepresentative.Descn</t>
  </si>
  <si>
    <t>SalesRepresentative.Mobile</t>
  </si>
  <si>
    <t>Customer.InvoiceMessage</t>
  </si>
  <si>
    <t>Billing.AddUnitNo</t>
  </si>
  <si>
    <t>Billing.AddNo</t>
  </si>
  <si>
    <t>Billing.AddBuilding</t>
  </si>
  <si>
    <t>Billing.AddStreet</t>
  </si>
  <si>
    <t>Billing.AddStType</t>
  </si>
  <si>
    <t>Billing.AddSuburb</t>
  </si>
  <si>
    <t>Billing.AddState</t>
  </si>
  <si>
    <t>Billing.AddPCode</t>
  </si>
  <si>
    <t>Billing.AddCountry</t>
  </si>
  <si>
    <t>BranchMarkupPer</t>
  </si>
  <si>
    <t>RepresentativeMarkupPer</t>
  </si>
  <si>
    <t>Billing.Title</t>
  </si>
  <si>
    <t>Billing.FirstName</t>
  </si>
  <si>
    <t>Billing.LastName</t>
  </si>
  <si>
    <t>Contact.Title</t>
  </si>
  <si>
    <t>Contact.FirstName</t>
  </si>
  <si>
    <t>Contact.LastName</t>
  </si>
  <si>
    <t>Customer.CustomerGroup.Descn</t>
  </si>
  <si>
    <t>Billing.DirectPhone</t>
  </si>
  <si>
    <t>Billing.Mobile</t>
  </si>
  <si>
    <t>Billing.PhOtherDescn1</t>
  </si>
  <si>
    <t>Billing.PhoneOther1</t>
  </si>
  <si>
    <t>Billing.PhOtherDescn2</t>
  </si>
  <si>
    <t>Billing.PhoneOther2</t>
  </si>
  <si>
    <t>User.Name</t>
  </si>
  <si>
    <t>Deposits</t>
  </si>
  <si>
    <t>Amt</t>
  </si>
  <si>
    <t>SalesRepresentative.Email</t>
  </si>
  <si>
    <t>Billing.Email</t>
  </si>
  <si>
    <t>InvoiceDeliveryStatus</t>
  </si>
  <si>
    <t>Current</t>
  </si>
  <si>
    <t>30Days</t>
  </si>
  <si>
    <t>60Days</t>
  </si>
  <si>
    <t>90Days</t>
  </si>
  <si>
    <t>AmtIncTax</t>
  </si>
  <si>
    <t>AcceptedByUser.Name</t>
  </si>
  <si>
    <t>Installer</t>
  </si>
  <si>
    <t>InventoryGroup.Descn</t>
  </si>
  <si>
    <t>Qty</t>
  </si>
  <si>
    <t>ItemWidth</t>
  </si>
  <si>
    <t>ItemHeight</t>
  </si>
  <si>
    <t>Inventory.Code</t>
  </si>
  <si>
    <t>Inventory.Descn</t>
  </si>
  <si>
    <t>Production.DateSched</t>
  </si>
  <si>
    <t>DiscPer</t>
  </si>
  <si>
    <t>Tax</t>
  </si>
  <si>
    <t>RRP</t>
  </si>
  <si>
    <t>DiscountAmt</t>
  </si>
  <si>
    <t>UnitCost</t>
  </si>
  <si>
    <t>Production.ProductionLine.Descn</t>
  </si>
  <si>
    <t>Inventory.Material</t>
  </si>
  <si>
    <t>Inventory.MaterialType</t>
  </si>
  <si>
    <t>Inventory.Colour</t>
  </si>
  <si>
    <t>Supplier</t>
  </si>
  <si>
    <t>Supp Prod Code</t>
  </si>
  <si>
    <t>Supp Prod Descn</t>
  </si>
  <si>
    <t>OrderItemPkId | Descn</t>
  </si>
  <si>
    <t>StrValue</t>
  </si>
  <si>
    <t>Header</t>
  </si>
  <si>
    <t>Barcode</t>
  </si>
  <si>
    <t>Field 1 - Order Date</t>
  </si>
  <si>
    <t>Field 2 - Order No/Revision/LineNo</t>
  </si>
  <si>
    <t>Customer Name</t>
  </si>
  <si>
    <t>Product</t>
  </si>
  <si>
    <t>Location</t>
  </si>
  <si>
    <t>Dimensions</t>
  </si>
  <si>
    <t>Print Qty</t>
  </si>
  <si>
    <t>End Format</t>
  </si>
  <si>
    <t>DATASETTINGS</t>
  </si>
  <si>
    <t>Sheet Name</t>
  </si>
  <si>
    <t>First Row</t>
  </si>
  <si>
    <t>Last Row</t>
  </si>
  <si>
    <t>Right Column</t>
  </si>
  <si>
    <t>Include in PDF</t>
  </si>
  <si>
    <t>No of Copy in PDF</t>
  </si>
  <si>
    <t>Job Sheet</t>
  </si>
  <si>
    <t>Labels</t>
  </si>
  <si>
    <t>K</t>
  </si>
  <si>
    <t>Label 1</t>
  </si>
  <si>
    <t>Order Ref</t>
  </si>
  <si>
    <t>Side by Side</t>
  </si>
  <si>
    <t>Job required</t>
  </si>
  <si>
    <t>Flag</t>
  </si>
  <si>
    <t>Fabric Width</t>
  </si>
  <si>
    <t>CustVar1 (PackSize)</t>
  </si>
  <si>
    <t>CustVar2 (PackOpt)</t>
  </si>
  <si>
    <t>Sticker No.</t>
  </si>
  <si>
    <t>Order #</t>
  </si>
  <si>
    <t>CustVar3 (PackType)</t>
  </si>
  <si>
    <t>Sizes</t>
  </si>
  <si>
    <t>Deduction</t>
  </si>
  <si>
    <t>No</t>
  </si>
  <si>
    <t>Installation Deliver or Supply Only</t>
  </si>
  <si>
    <t>Is Rework / Remake</t>
  </si>
  <si>
    <t>Entered Width</t>
  </si>
  <si>
    <t>Additional Deductions</t>
  </si>
  <si>
    <t>Deductions</t>
  </si>
  <si>
    <t>A</t>
  </si>
  <si>
    <t>Custom  Powdercoat Colour</t>
  </si>
  <si>
    <t>Mesh</t>
  </si>
  <si>
    <t>Inside</t>
  </si>
  <si>
    <t>Timber</t>
  </si>
  <si>
    <t>Fixing</t>
  </si>
  <si>
    <t>Outside</t>
  </si>
  <si>
    <t>Additional 2mm</t>
  </si>
  <si>
    <t>Additional 5mm</t>
  </si>
  <si>
    <t>Additional 7mm</t>
  </si>
  <si>
    <t>Additional 10mm</t>
  </si>
  <si>
    <t>Steel</t>
  </si>
  <si>
    <t>Aluminium</t>
  </si>
  <si>
    <t>Brick</t>
  </si>
  <si>
    <t>Plaster</t>
  </si>
  <si>
    <t>Other</t>
  </si>
  <si>
    <t>Width Deduction</t>
  </si>
  <si>
    <t>Entered Drop</t>
  </si>
  <si>
    <t>SCREEN &amp; GRILLS Job Sheet</t>
  </si>
  <si>
    <t>ScreenType &amp; Colour</t>
  </si>
  <si>
    <t>Frame Size</t>
  </si>
  <si>
    <t>Mounting Method</t>
  </si>
  <si>
    <t>Screen Making Width</t>
  </si>
  <si>
    <t>Screen Making Drop</t>
  </si>
  <si>
    <t>Screen Type &amp; Colour</t>
  </si>
  <si>
    <t>DVA Mesh Colour</t>
  </si>
  <si>
    <t>Customer.Warning</t>
  </si>
  <si>
    <t>Customer.WarningColour</t>
  </si>
  <si>
    <t>Inside Existing Frame</t>
  </si>
  <si>
    <t>Clip &amp; Rivet, suit Dowell or Boral Windows</t>
  </si>
  <si>
    <t>Drop Deduction</t>
  </si>
  <si>
    <t>Hinged Bottom</t>
  </si>
  <si>
    <t>Hinged Top</t>
  </si>
  <si>
    <t>Hinged RHS</t>
  </si>
  <si>
    <t>Hinged LHS</t>
  </si>
  <si>
    <t>Hinged RHS with Slide Bolt on Inside</t>
  </si>
  <si>
    <t>Hinged LHS with Slide Bolt on Inside</t>
  </si>
  <si>
    <t>D Pulls</t>
  </si>
  <si>
    <t>Fixed</t>
  </si>
  <si>
    <t>Face Fit(recess Deduction)</t>
  </si>
  <si>
    <t>Plunger Pins x 2</t>
  </si>
  <si>
    <t>Plunger Pins x 4</t>
  </si>
  <si>
    <t>Spring Clips x 2</t>
  </si>
  <si>
    <t>Swivel Clips Extended x 2</t>
  </si>
  <si>
    <t>Swivel Clips Extended x 4</t>
  </si>
  <si>
    <t>Swivel Clips Flush x 2</t>
  </si>
  <si>
    <t>Swivel Clips Flush x 4</t>
  </si>
  <si>
    <t>Plunger Pins x 6</t>
  </si>
  <si>
    <t>Swivel Clips Extended x 6</t>
  </si>
  <si>
    <t>Swivel Clips Flush x 6</t>
  </si>
  <si>
    <t>Add Frame Both Sides</t>
  </si>
  <si>
    <t>Less Swivel Clips</t>
  </si>
  <si>
    <t>Lookup</t>
  </si>
  <si>
    <t>Not Required</t>
  </si>
  <si>
    <t>Additional 20mm</t>
  </si>
  <si>
    <t>Skirt</t>
  </si>
  <si>
    <t>Midrail</t>
  </si>
  <si>
    <t>Midrail Height</t>
  </si>
  <si>
    <t>O</t>
  </si>
  <si>
    <t>Frame Colour</t>
  </si>
  <si>
    <t>Frame</t>
  </si>
  <si>
    <t>DVA Mesh</t>
  </si>
  <si>
    <t>Mid Rail</t>
  </si>
  <si>
    <t>Infill Wedge Size</t>
  </si>
  <si>
    <t>Infill Wedge Cut Size</t>
  </si>
  <si>
    <t>Frame Cut Size</t>
  </si>
  <si>
    <t>In-Fill</t>
  </si>
  <si>
    <t>Invisi-Gard Woven Stainless Steel</t>
  </si>
  <si>
    <t>Standard Diamond</t>
  </si>
  <si>
    <t>Fibreglass Mesh</t>
  </si>
  <si>
    <t>Woven Stainless Steel</t>
  </si>
  <si>
    <t>In-Fill Cut Size</t>
  </si>
  <si>
    <t>Invisi-Gard Wedges</t>
  </si>
  <si>
    <t>Mesh Type</t>
  </si>
  <si>
    <t>In Fill Wedge</t>
  </si>
  <si>
    <t>Cover Strip Required</t>
  </si>
  <si>
    <t>Alu-Gard Perforated Aluminium</t>
  </si>
  <si>
    <t>Standard</t>
  </si>
  <si>
    <t>1.6mm</t>
  </si>
  <si>
    <t>Yes</t>
  </si>
  <si>
    <t>Colonial Cast</t>
  </si>
  <si>
    <t>N/A</t>
  </si>
  <si>
    <t>Pet Mesh</t>
  </si>
  <si>
    <t>Tuff Mesh</t>
  </si>
  <si>
    <t>Privacy Plus</t>
  </si>
  <si>
    <t>Perforated Aluminium</t>
  </si>
  <si>
    <t>Decorative Diamond</t>
  </si>
  <si>
    <t>Flyscreen</t>
  </si>
  <si>
    <t>Invisi-Gard</t>
  </si>
  <si>
    <t xml:space="preserve">Invisi-Gard </t>
  </si>
  <si>
    <t>Privacy-Gard</t>
  </si>
  <si>
    <t>2mm</t>
  </si>
  <si>
    <t>Woven Galvanised Steel</t>
  </si>
  <si>
    <t>Cover Strip</t>
  </si>
  <si>
    <t>Components</t>
  </si>
  <si>
    <t>Mid Rail Type</t>
  </si>
  <si>
    <t>Alu-Screen</t>
  </si>
  <si>
    <t>Stainless Steel Mesh</t>
  </si>
  <si>
    <t>Installation</t>
  </si>
  <si>
    <t>Invisi-Scape Order Form</t>
  </si>
  <si>
    <t>DBS Order Form</t>
  </si>
  <si>
    <t>Material Type</t>
  </si>
  <si>
    <t>Colour</t>
  </si>
  <si>
    <t>Door Width</t>
  </si>
  <si>
    <t>Door Drop</t>
  </si>
  <si>
    <t>DBS Screen &amp; Grill Order Form</t>
  </si>
  <si>
    <t>Powdercoating</t>
  </si>
  <si>
    <t>12mm x 12mm Angle for Sliding Doors</t>
  </si>
  <si>
    <t>Finished Screen Width</t>
  </si>
  <si>
    <t>Finished Screen Drop</t>
  </si>
  <si>
    <t>X</t>
  </si>
  <si>
    <t>Quote No.</t>
  </si>
  <si>
    <t>Line No</t>
  </si>
  <si>
    <t>Order Item Code</t>
  </si>
  <si>
    <t>Business Name</t>
  </si>
  <si>
    <t>Quote Ref</t>
  </si>
  <si>
    <t>Invisi-Gard Wedge</t>
  </si>
  <si>
    <t>Invisi-Gard Insulator</t>
  </si>
  <si>
    <t>Invisi-Gard Keeper</t>
  </si>
  <si>
    <t>Flyscreen Spline</t>
  </si>
  <si>
    <t>D Pulls 9mm</t>
  </si>
  <si>
    <t>D Pulls 11mm</t>
  </si>
  <si>
    <t>Swivel Clips Extended</t>
  </si>
  <si>
    <t>Swivel Clips Flush</t>
  </si>
  <si>
    <t>Plunger Pins</t>
  </si>
  <si>
    <t>Bass Latch</t>
  </si>
  <si>
    <t>Guide Blocks</t>
  </si>
  <si>
    <t xml:space="preserve">Lock Barrel </t>
  </si>
  <si>
    <t xml:space="preserve">Sliding Door Wheels </t>
  </si>
  <si>
    <t xml:space="preserve">Hinges - Black </t>
  </si>
  <si>
    <t xml:space="preserve">Flyscreen Spring Clips </t>
  </si>
  <si>
    <t xml:space="preserve">Patio Bolts </t>
  </si>
  <si>
    <t xml:space="preserve">Water Closer </t>
  </si>
  <si>
    <t xml:space="preserve">Leg Frame Corner Block </t>
  </si>
  <si>
    <t xml:space="preserve">Invisi-Gard Mid Rail Stakes </t>
  </si>
  <si>
    <t xml:space="preserve">Flyscreen Mid Rail Stakes </t>
  </si>
  <si>
    <t xml:space="preserve">Ultralock </t>
  </si>
  <si>
    <t>Tuffscreen</t>
  </si>
  <si>
    <t>Stainless Steel Ember Guard Mesh</t>
  </si>
  <si>
    <t xml:space="preserve">Screen Mesh Size </t>
  </si>
  <si>
    <t xml:space="preserve">Flyscreen Mesh </t>
  </si>
  <si>
    <t>Aluminium Mesh</t>
  </si>
  <si>
    <t>Screen Mesh Type</t>
  </si>
  <si>
    <t>Extended Striker Plates</t>
  </si>
  <si>
    <t>Sign</t>
  </si>
  <si>
    <t>This should be in column AX</t>
  </si>
  <si>
    <t>Guillotine</t>
  </si>
  <si>
    <t>Screen &amp; Grills Guillotine</t>
  </si>
  <si>
    <t>Standard Door Frame</t>
  </si>
  <si>
    <t>Invisi-Gard Door Frame</t>
  </si>
  <si>
    <t>Screen Frame 37mm x 11mm</t>
  </si>
  <si>
    <t>Invisi-Gard Screen Frame 37mm x 11mm</t>
  </si>
  <si>
    <t>Invisi-Gard Screen Frame 37mm x 9mm</t>
  </si>
  <si>
    <t>Short Leg Frame</t>
  </si>
  <si>
    <t>Long Leg Frame</t>
  </si>
  <si>
    <t>9mm Flyscreen Frame</t>
  </si>
  <si>
    <t>11mm Flyscreen Frame</t>
  </si>
  <si>
    <t>F Frame</t>
  </si>
  <si>
    <t>Z Frame</t>
  </si>
  <si>
    <t>High Step Z Frame</t>
  </si>
  <si>
    <t>Receiving Channel</t>
  </si>
  <si>
    <t>T Mullion</t>
  </si>
  <si>
    <t>Bug Strip</t>
  </si>
  <si>
    <t>Top Track</t>
  </si>
  <si>
    <t>Top Track with Pip</t>
  </si>
  <si>
    <t>Bottom Fit Bottom Track</t>
  </si>
  <si>
    <t>Face Fit Bottom Track</t>
  </si>
  <si>
    <t>H Channel</t>
  </si>
  <si>
    <t>H Bottom Track</t>
  </si>
  <si>
    <t>Invisi-Gard Mid Rail</t>
  </si>
  <si>
    <t>Sill Winder Covers</t>
  </si>
  <si>
    <t>Wedges</t>
  </si>
  <si>
    <t>Misc.</t>
  </si>
  <si>
    <t>Triple Lock Kits</t>
  </si>
  <si>
    <t>Corner Blocks</t>
  </si>
  <si>
    <t>Flywire Parts</t>
  </si>
  <si>
    <t>Door Closers</t>
  </si>
  <si>
    <t>Hinged Handle</t>
  </si>
  <si>
    <t>Push 2 Go Locks</t>
  </si>
  <si>
    <t>Sliding Handle</t>
  </si>
  <si>
    <t>Pet Doors</t>
  </si>
  <si>
    <t>Screen Mesh</t>
  </si>
  <si>
    <t>Woven Stainless Steel Mesh</t>
  </si>
  <si>
    <t>Privacy Guard</t>
  </si>
  <si>
    <t>Standard Diamond Grill 750 x 2050</t>
  </si>
  <si>
    <t>Standard Diamond Grill 835 x 2050</t>
  </si>
  <si>
    <t>Standard Diamond Grill 920 x 2050</t>
  </si>
  <si>
    <t>Standard Diamond Grill 1200 x 2050</t>
  </si>
  <si>
    <t>Standard Diamond Grill 920 x 2450</t>
  </si>
  <si>
    <t>Standard Diamond Grill 1200 x 2450</t>
  </si>
  <si>
    <t>Decorative Diamond Grill 770 x 2045</t>
  </si>
  <si>
    <t>Decorative Diamond Grill 900 x 2045</t>
  </si>
  <si>
    <t>Decorative Diamond Grill 1150 x 2050</t>
  </si>
  <si>
    <t>DVA Mesh 700 x 2000</t>
  </si>
  <si>
    <t>DVA Mesh 825 x 2000</t>
  </si>
  <si>
    <t>DVA Mesh 900 x 2200</t>
  </si>
  <si>
    <t>DVA Mesh 1200 x 2200</t>
  </si>
  <si>
    <t>Flyscreen Mesh</t>
  </si>
  <si>
    <t>Colonial Cast SP13AB</t>
  </si>
  <si>
    <t>Colonial Cast SP13BB</t>
  </si>
  <si>
    <t>Colonial Cast SP14AB</t>
  </si>
  <si>
    <t>Colonial Cast SP17AB</t>
  </si>
  <si>
    <t>Colonial Cast SP27AB</t>
  </si>
  <si>
    <t>Colonial Cast SP29AB</t>
  </si>
  <si>
    <t>Colonial Cast SP34AB</t>
  </si>
  <si>
    <t>Colonial Cast SP37AB</t>
  </si>
  <si>
    <t>Colonial Cast SP52</t>
  </si>
  <si>
    <t>Colonial Cast SP53</t>
  </si>
  <si>
    <t>Colonial Cast SP55</t>
  </si>
  <si>
    <t>Colonial Cast SP56</t>
  </si>
  <si>
    <t>Colonial Cast SP65</t>
  </si>
  <si>
    <t>Colonial Cast SP72</t>
  </si>
  <si>
    <t>Colonial Cast SP74</t>
  </si>
  <si>
    <t>Colonial Cast SP78</t>
  </si>
  <si>
    <t>Apo Grey</t>
  </si>
  <si>
    <t>Birch White</t>
  </si>
  <si>
    <t>Black</t>
  </si>
  <si>
    <t>Brown</t>
  </si>
  <si>
    <t>Deep Ocean</t>
  </si>
  <si>
    <t>Jasper</t>
  </si>
  <si>
    <t>Paperbark</t>
  </si>
  <si>
    <t>Pale Eucalypt</t>
  </si>
  <si>
    <t>Primrose</t>
  </si>
  <si>
    <t>Ultra Silver</t>
  </si>
  <si>
    <t>Woodland Grey (Green Tone)</t>
  </si>
  <si>
    <t>White</t>
  </si>
  <si>
    <t>Monument</t>
  </si>
  <si>
    <t>Surfmist</t>
  </si>
  <si>
    <t>Dune</t>
  </si>
  <si>
    <t>Woodland Grey (Dulux)</t>
  </si>
  <si>
    <t>Custom Powdercoat</t>
  </si>
  <si>
    <t>1.6mm Wedge</t>
  </si>
  <si>
    <t>2.0mm Wedge</t>
  </si>
  <si>
    <t>Bug Strip Felt</t>
  </si>
  <si>
    <t>Hinged High</t>
  </si>
  <si>
    <t>Hinged Low</t>
  </si>
  <si>
    <t>Hinged Pool</t>
  </si>
  <si>
    <t>Hinged Adjustable</t>
  </si>
  <si>
    <t>Sliding High</t>
  </si>
  <si>
    <t>Sliding Low</t>
  </si>
  <si>
    <t>Sliding Pool</t>
  </si>
  <si>
    <t>Sliding Adjustable</t>
  </si>
  <si>
    <t>Door Frame</t>
  </si>
  <si>
    <t>Standard Screen Frame</t>
  </si>
  <si>
    <t>9mm Invisi-Screen</t>
  </si>
  <si>
    <t>11mm Invisi-Screen</t>
  </si>
  <si>
    <t>9mm Flyscreen</t>
  </si>
  <si>
    <t>11mm Flyscreen</t>
  </si>
  <si>
    <t>Small - Black</t>
  </si>
  <si>
    <t>Medium - Black</t>
  </si>
  <si>
    <t>Large - Black</t>
  </si>
  <si>
    <t>Small - White</t>
  </si>
  <si>
    <t>Medium - White</t>
  </si>
  <si>
    <t>Large - White</t>
  </si>
  <si>
    <t xml:space="preserve">750 x 2000 </t>
  </si>
  <si>
    <t xml:space="preserve">750 x 2400 </t>
  </si>
  <si>
    <t>750 x 3000</t>
  </si>
  <si>
    <t xml:space="preserve">900 x 2000 </t>
  </si>
  <si>
    <t xml:space="preserve">900 x 2400 </t>
  </si>
  <si>
    <t>900 x 3000</t>
  </si>
  <si>
    <t xml:space="preserve">1200 x 2000 </t>
  </si>
  <si>
    <t xml:space="preserve">1200 x 2400 </t>
  </si>
  <si>
    <t>1200 x 3000</t>
  </si>
  <si>
    <t>1500 x 2000</t>
  </si>
  <si>
    <t>1500 x 2400</t>
  </si>
  <si>
    <t>1500 x 3000</t>
  </si>
  <si>
    <t>750 x 2400</t>
  </si>
  <si>
    <t xml:space="preserve"> 1200 x 2400 </t>
  </si>
  <si>
    <t>Fibreglass Mesh (50m)</t>
  </si>
  <si>
    <t>PetMesh (30m)</t>
  </si>
  <si>
    <t>PR Aluminium</t>
  </si>
  <si>
    <t>Alspec</t>
  </si>
  <si>
    <t>Job Tracking Action</t>
  </si>
  <si>
    <t>Dispatch Action</t>
  </si>
  <si>
    <t>Dispatch Date</t>
  </si>
  <si>
    <t>Midrail Colour</t>
  </si>
  <si>
    <t>Mid Rail Colour</t>
  </si>
  <si>
    <t>Skirt Colour</t>
  </si>
  <si>
    <t>Screen &amp; Grills Assembly &amp; Bagging</t>
  </si>
  <si>
    <t>DVA Mesh 900 x 2400</t>
  </si>
  <si>
    <t>DVA Mesh 1200 x 2400</t>
  </si>
  <si>
    <t>AMF</t>
  </si>
  <si>
    <t>Assembly &amp; Bagging</t>
  </si>
  <si>
    <t>Mitred Cutting</t>
  </si>
  <si>
    <t>Straight Cutting</t>
  </si>
  <si>
    <t>Screen &amp; Grills Mitred Cutting</t>
  </si>
  <si>
    <t>Screen &amp; Grills Straight Cutting</t>
  </si>
  <si>
    <t>Mesh Width Cut Size</t>
  </si>
  <si>
    <t>Mesh Drop Cut Size</t>
  </si>
  <si>
    <t>Horizontal Mid Rail Cut Size</t>
  </si>
  <si>
    <t>Vertical Mid Rail Cut Size</t>
  </si>
  <si>
    <t>Midrail Mesh Cut From Bottom</t>
  </si>
  <si>
    <t>Horizontal Mid Rail Height From Bottom</t>
  </si>
  <si>
    <t>Vertical Mid Rail Height From Left</t>
  </si>
  <si>
    <t>Skirt Size</t>
  </si>
  <si>
    <t>Invisi-Gard Wedge Width (Left Panel)</t>
  </si>
  <si>
    <t>Invisi-Gard Wedge Width (Right Panel)</t>
  </si>
  <si>
    <t>Invisi-Gard Wedge Drop (Top Panel)</t>
  </si>
  <si>
    <t>Invisi-Gard Wedge Drop (Bottom Panel)</t>
  </si>
  <si>
    <t>Midrail Mesh Cut From       Left</t>
  </si>
  <si>
    <t>Cross Mid Rail - Top Cut Size</t>
  </si>
  <si>
    <t>Cross Mid Rail - Bottom Cut Size</t>
  </si>
  <si>
    <t>AJ</t>
  </si>
  <si>
    <t>Cross Mid Rail Cut Sizes</t>
  </si>
  <si>
    <t>Parts</t>
  </si>
  <si>
    <t>Secondary Mesh</t>
  </si>
  <si>
    <t>414b2942-c044-48b4-93f5-104a007b6297</t>
  </si>
  <si>
    <t>6778b6c2-52fa-49ba-8c7d-e0e85b26d58a</t>
  </si>
  <si>
    <t>Roller Shutters, Sheers &amp; Screen.</t>
  </si>
  <si>
    <t>18/08/2026 12:00:00 AM</t>
  </si>
  <si>
    <t>20/08/2026 3:03:58 PM</t>
  </si>
  <si>
    <t>24/09/2026 12:00:00 AM</t>
  </si>
  <si>
    <t>12125</t>
  </si>
  <si>
    <t>MCKI3350.6</t>
  </si>
  <si>
    <t>McKinnis, Stephen</t>
  </si>
  <si>
    <t/>
  </si>
  <si>
    <t>6</t>
  </si>
  <si>
    <t>Sorrento Drive</t>
  </si>
  <si>
    <t>Alfredton</t>
  </si>
  <si>
    <t>VIC</t>
  </si>
  <si>
    <t>3350</t>
  </si>
  <si>
    <t>Australia</t>
  </si>
  <si>
    <t>smckinnis6@gmail.com</t>
  </si>
  <si>
    <t>0417077622</t>
  </si>
  <si>
    <t>Head Office</t>
  </si>
  <si>
    <t>Jason Paterson</t>
  </si>
  <si>
    <t>jason@davidsonsblinds.com.au</t>
  </si>
  <si>
    <t>Stephen</t>
  </si>
  <si>
    <t>McKinnis</t>
  </si>
  <si>
    <t>Retail Customer</t>
  </si>
  <si>
    <t>mark@davidsonsblinds.com.au</t>
  </si>
  <si>
    <t>ivy@davidsonsblinds.com.au</t>
  </si>
  <si>
    <t>Matt Brudenall</t>
  </si>
  <si>
    <t>U</t>
  </si>
  <si>
    <t>False</t>
  </si>
  <si>
    <t>af7f7705-9a28-43b7-9d3e-73d036d7cd0f</t>
  </si>
  <si>
    <t>Screens &amp; Grills</t>
  </si>
  <si>
    <t>Side Light</t>
  </si>
  <si>
    <t>Mesh is on bottom shelf of Assembly A</t>
  </si>
  <si>
    <t>GRILM204T683D1</t>
  </si>
  <si>
    <t>GRIL Screen Alu-Gard Perforated Aluminium Dune</t>
  </si>
  <si>
    <t>Production - Sercurity Products</t>
  </si>
  <si>
    <t>Screen</t>
  </si>
  <si>
    <t>0</t>
  </si>
  <si>
    <t>af7f7705-9a28-43b7-9d3e-73d036d7cd0f|DESCN</t>
  </si>
  <si>
    <t>2f58fd36-49d2-4fd1-8267-fafdcad15e68</t>
  </si>
  <si>
    <t>DESCN</t>
  </si>
  <si>
    <t>af7f7705-9a28-43b7-9d3e-73d036d7cd0f|ITEMWIDTH</t>
  </si>
  <si>
    <t>12b782d5-944d-4049-8ae0-7313891bc7cc</t>
  </si>
  <si>
    <t>ITEMWIDTH</t>
  </si>
  <si>
    <t>200</t>
  </si>
  <si>
    <t>af7f7705-9a28-43b7-9d3e-73d036d7cd0f|ITEMHEIGHT</t>
  </si>
  <si>
    <t>64bf77a1-8411-4ba4-aae7-eac4f54317c1</t>
  </si>
  <si>
    <t>ITEMHEIGHT</t>
  </si>
  <si>
    <t>2075</t>
  </si>
  <si>
    <t>af7f7705-9a28-43b7-9d3e-73d036d7cd0f|SIZE</t>
  </si>
  <si>
    <t>4945c6c2-9173-4a77-bc10-574e87580705</t>
  </si>
  <si>
    <t>SIZE</t>
  </si>
  <si>
    <t>Opening</t>
  </si>
  <si>
    <t>af7f7705-9a28-43b7-9d3e-73d036d7cd0f|FIT</t>
  </si>
  <si>
    <t>323b52b1-b7a1-43e9-a777-12cd37e396cc</t>
  </si>
  <si>
    <t>FIT</t>
  </si>
  <si>
    <t>af7f7705-9a28-43b7-9d3e-73d036d7cd0f|FIXING</t>
  </si>
  <si>
    <t>6503a4b1-1ff5-48b7-9ff3-d00aab9e116f</t>
  </si>
  <si>
    <t>FIXING</t>
  </si>
  <si>
    <t>af7f7705-9a28-43b7-9d3e-73d036d7cd0f|FRAMESIZE</t>
  </si>
  <si>
    <t>c7476641-e809-4e30-aea4-0ee84d98ed4c</t>
  </si>
  <si>
    <t>FRAMESIZE</t>
  </si>
  <si>
    <t>37mm x 11mm</t>
  </si>
  <si>
    <t>af7f7705-9a28-43b7-9d3e-73d036d7cd0f|MOUNT</t>
  </si>
  <si>
    <t>2b2de411-d4b2-4276-8e47-fe409830ec3f</t>
  </si>
  <si>
    <t>MOUNT</t>
  </si>
  <si>
    <t>af7f7705-9a28-43b7-9d3e-73d036d7cd0f|SIDEBYSIDE</t>
  </si>
  <si>
    <t>201bb02c-9edc-45a6-a5b1-37034f61452b</t>
  </si>
  <si>
    <t>SIDEBYSIDE</t>
  </si>
  <si>
    <t>af7f7705-9a28-43b7-9d3e-73d036d7cd0f|INSTALLATION</t>
  </si>
  <si>
    <t>d27f0653-a402-4837-a83b-9cbdc3a7a655</t>
  </si>
  <si>
    <t>INSTALLATION</t>
  </si>
  <si>
    <t>af7f7705-9a28-43b7-9d3e-73d036d7cd0f|HANGHEIGHT</t>
  </si>
  <si>
    <t>b5f15a92-ad9c-4301-9739-0c10c86471b5</t>
  </si>
  <si>
    <t>HANGHEIGHT</t>
  </si>
  <si>
    <t>2.1m-2.4m</t>
  </si>
  <si>
    <t>af7f7705-9a28-43b7-9d3e-73d036d7cd0f|INSTALLG</t>
  </si>
  <si>
    <t>7263d34e-e7d1-48d9-8d2c-5744bd0eddf4</t>
  </si>
  <si>
    <t>INSTALLG</t>
  </si>
  <si>
    <t>Easy Access</t>
  </si>
  <si>
    <t>af7f7705-9a28-43b7-9d3e-73d036d7cd0f|TAKEDOWN</t>
  </si>
  <si>
    <t>0686b4e5-7bce-4550-9366-b8edf1fb51e1</t>
  </si>
  <si>
    <t>TAKEDOWN</t>
  </si>
  <si>
    <t>af7f7705-9a28-43b7-9d3e-73d036d7cd0f|CHECKM</t>
  </si>
  <si>
    <t>36845129-77d6-44ab-9998-26bae2d1d062</t>
  </si>
  <si>
    <t>CHECKM</t>
  </si>
  <si>
    <t>af7f7705-9a28-43b7-9d3e-73d036d7cd0f|NOTES</t>
  </si>
  <si>
    <t>797ee05f-d4f8-420a-9aa3-159d8955c96f</t>
  </si>
  <si>
    <t>NOTES</t>
  </si>
  <si>
    <t>|CHECKMEAS</t>
  </si>
  <si>
    <t>15e2cb51-6c2a-4a9f-a3c7-ef1bf388adb1</t>
  </si>
  <si>
    <t>Extras</t>
  </si>
  <si>
    <t>CHECKMEAS</t>
  </si>
  <si>
    <t>|CURTMAKING</t>
  </si>
  <si>
    <t>f421549a-93ea-4ec4-a9af-7f98d49fcc37</t>
  </si>
  <si>
    <t>CURTMAKING</t>
  </si>
  <si>
    <t>Jenny's Curtains - 9 Whitehills Rd, Creswick, Vic, 3363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</si>
</sst>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dd/mm/yyyy"/>
    <numFmt numFmtId="165" formatCode="0.0"/>
  </numFmts>
  <fonts count="48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b/>
      <sz val="30"/>
      <name val="Arial"/>
      <family val="2"/>
    </font>
    <font>
      <b/>
      <sz val="36"/>
      <color theme="0"/>
      <name val="IDAutomationSHI25M"/>
      <family val="2"/>
    </font>
    <font>
      <u val="single"/>
      <sz val="7.5"/>
      <color indexed="12"/>
      <name val="Arial"/>
      <family val="2"/>
    </font>
    <font>
      <sz val="11"/>
      <color indexed="20"/>
      <name val="Calibri"/>
      <family val="2"/>
    </font>
    <font>
      <u val="single"/>
      <sz val="7.5"/>
      <color indexed="36"/>
      <name val="Arial"/>
      <family val="2"/>
    </font>
    <font>
      <sz val="11"/>
      <color rgb="FF3F3F76"/>
      <name val="Calibri"/>
      <family val="2"/>
      <scheme val="minor"/>
    </font>
    <font>
      <sz val="10"/>
      <name val="Verdana"/>
      <family val="2"/>
    </font>
    <font>
      <b/>
      <sz val="18"/>
      <name val="Arial"/>
      <family val="2"/>
    </font>
    <font>
      <sz val="18"/>
      <name val="Arial"/>
      <family val="2"/>
    </font>
    <font>
      <b/>
      <sz val="26"/>
      <name val="Arial"/>
      <family val="2"/>
    </font>
    <font>
      <b/>
      <sz val="48"/>
      <name val="Arial"/>
      <family val="2"/>
    </font>
    <font>
      <sz val="26"/>
      <name val="Arial"/>
      <family val="2"/>
    </font>
    <font>
      <b/>
      <u val="single"/>
      <sz val="26"/>
      <name val="Arial"/>
      <family val="2"/>
    </font>
    <font>
      <b/>
      <sz val="48"/>
      <color theme="0"/>
      <name val="Arial"/>
      <family val="2"/>
    </font>
    <font>
      <sz val="20"/>
      <name val="Arial"/>
      <family val="2"/>
    </font>
    <font>
      <b/>
      <sz val="72"/>
      <name val="Arial"/>
      <family val="2"/>
    </font>
    <font>
      <b/>
      <sz val="22"/>
      <name val="Arial"/>
      <family val="2"/>
    </font>
    <font>
      <i/>
      <sz val="26"/>
      <name val="Arial"/>
      <family val="2"/>
    </font>
    <font>
      <b/>
      <sz val="72"/>
      <color theme="0"/>
      <name val="Arial"/>
      <family val="2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9"/>
      <color indexed="8"/>
      <name val="Arial"/>
      <family val="2"/>
    </font>
    <font>
      <sz val="22"/>
      <name val="Arial"/>
      <family val="2"/>
    </font>
    <font>
      <b/>
      <sz val="10"/>
      <color indexed="8"/>
      <name val="Arial"/>
      <family val="2"/>
    </font>
    <font>
      <b/>
      <sz val="24"/>
      <name val="Arial"/>
      <family val="2"/>
    </font>
    <font>
      <sz val="28"/>
      <name val="Arial"/>
      <family val="2"/>
    </font>
  </fonts>
  <fills count="32">
    <fill>
      <patternFill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8489996790886"/>
        <bgColor indexed="64"/>
      </patternFill>
    </fill>
    <fill>
      <patternFill patternType="solid">
        <fgColor theme="5" tint="0.599749982357025"/>
        <bgColor indexed="64"/>
      </patternFill>
    </fill>
    <fill>
      <patternFill patternType="solid">
        <fgColor theme="0" tint="-0.149649992585182"/>
        <bgColor indexed="64"/>
      </patternFill>
    </fill>
    <fill>
      <patternFill patternType="solid">
        <fgColor theme="0" tint="-0.149680003523827"/>
        <bgColor indexed="64"/>
      </patternFill>
    </fill>
    <fill>
      <patternFill patternType="solid">
        <fgColor theme="9" tint="0.59974998235702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680012464523"/>
        <bgColor indexed="64"/>
      </patternFill>
    </fill>
  </fills>
  <borders count="3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</border>
    <border>
      <left/>
      <right/>
      <top/>
      <bottom style="thick">
        <color indexed="54"/>
      </bottom>
    </border>
    <border>
      <left/>
      <right/>
      <top/>
      <bottom style="thick">
        <color indexed="22"/>
      </bottom>
    </border>
    <border>
      <left/>
      <right/>
      <top/>
      <bottom style="medium">
        <color indexed="44"/>
      </bottom>
    </border>
    <border>
      <left/>
      <right/>
      <top/>
      <bottom style="double">
        <color indexed="52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  <border>
      <left/>
      <right/>
      <top style="thin">
        <color indexed="54"/>
      </top>
      <bottom style="double">
        <color indexed="54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thin"/>
      <right style="thin"/>
      <top style="thin"/>
      <bottom style="thin"/>
    </border>
    <border>
      <left style="thin"/>
      <right style="thin"/>
      <top/>
      <bottom/>
    </border>
    <border>
      <left style="thin"/>
      <right style="thin"/>
      <top style="thin"/>
      <bottom/>
    </border>
    <border>
      <left/>
      <right/>
      <top/>
      <bottom style="thin"/>
    </border>
    <border>
      <left style="thin"/>
      <right/>
      <top style="thin"/>
      <bottom style="thin"/>
    </border>
    <border>
      <left style="medium"/>
      <right style="thin"/>
      <top style="thin"/>
      <bottom style="thin"/>
    </border>
    <border>
      <left style="thin"/>
      <right style="medium"/>
      <top style="thin"/>
      <bottom style="thin"/>
    </border>
    <border>
      <left/>
      <right style="thin"/>
      <top style="thin"/>
      <bottom style="thin"/>
    </border>
    <border>
      <left style="thin"/>
      <right/>
      <top style="thin"/>
      <bottom/>
    </border>
    <border>
      <left style="thin"/>
      <right style="thin"/>
      <top/>
      <bottom style="thin"/>
    </border>
    <border>
      <left/>
      <right/>
      <top style="thin"/>
      <bottom/>
    </border>
    <border>
      <left/>
      <right style="thin"/>
      <top style="thin"/>
      <bottom/>
    </border>
    <border>
      <left style="thin"/>
      <right/>
      <top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/>
      <top/>
      <bottom/>
    </border>
    <border>
      <left/>
      <right/>
      <top style="thin"/>
      <bottom style="thin"/>
    </border>
    <border>
      <left style="medium"/>
      <right/>
      <top style="medium"/>
      <bottom style="thin"/>
    </border>
    <border>
      <left/>
      <right/>
      <top style="medium"/>
      <bottom style="thin"/>
    </border>
    <border>
      <left/>
      <right style="medium"/>
      <top style="medium"/>
      <bottom style="thin"/>
    </border>
  </borders>
  <cellStyleXfs count="103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7" fillId="6" borderId="0" applyNumberFormat="0" applyBorder="0" applyAlignment="0" applyProtection="0"/>
    <xf numFmtId="0" fontId="7" fillId="9" borderId="0" applyNumberFormat="0" applyBorder="0" applyAlignment="0" applyProtection="0"/>
    <xf numFmtId="0" fontId="6" fillId="7" borderId="0" applyNumberFormat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7" fillId="13" borderId="0" applyNumberFormat="0" applyBorder="0" applyAlignment="0" applyProtection="0"/>
    <xf numFmtId="0" fontId="6" fillId="13" borderId="0" applyNumberFormat="0" applyBorder="0" applyAlignment="0" applyProtection="0"/>
    <xf numFmtId="0" fontId="8" fillId="14" borderId="0" applyNumberFormat="0" applyBorder="0" applyAlignment="0" applyProtection="0"/>
    <xf numFmtId="0" fontId="9" fillId="15" borderId="1" applyNumberFormat="0" applyAlignment="0" applyProtection="0"/>
    <xf numFmtId="0" fontId="10" fillId="8" borderId="2" applyNumberFormat="0" applyAlignment="0" applyProtection="0"/>
    <xf numFmtId="41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9" borderId="0" applyNumberFormat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6" fillId="13" borderId="1" applyNumberFormat="0" applyAlignment="0" applyProtection="0"/>
    <xf numFmtId="0" fontId="17" fillId="0" borderId="6" applyNumberFormat="0" applyFill="0" applyAlignment="0" applyProtection="0"/>
    <xf numFmtId="0" fontId="18" fillId="19" borderId="0" applyNumberFormat="0" applyBorder="0" applyAlignment="0" applyProtection="0"/>
    <xf numFmtId="0" fontId="7" fillId="0" borderId="0">
      <alignment/>
      <protection/>
    </xf>
    <xf numFmtId="0" fontId="1" fillId="0" borderId="0">
      <alignment/>
      <protection/>
    </xf>
    <xf numFmtId="0" fontId="0" fillId="6" borderId="7" applyNumberFormat="0" applyFont="0" applyAlignment="0" applyProtection="0"/>
    <xf numFmtId="0" fontId="19" fillId="15" borderId="8" applyNumberFormat="0" applyAlignment="0" applyProtection="0"/>
    <xf numFmtId="9" fontId="0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14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20" borderId="10" applyNumberFormat="0" applyAlignment="0" applyProtection="0"/>
    <xf numFmtId="0" fontId="0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0" fillId="0" borderId="0">
      <alignment/>
      <protection/>
    </xf>
    <xf numFmtId="0" fontId="0" fillId="0" borderId="0">
      <alignment/>
      <protection/>
    </xf>
    <xf numFmtId="0" fontId="28" fillId="0" borderId="0">
      <alignment/>
      <protection/>
    </xf>
    <xf numFmtId="0" fontId="28" fillId="0" borderId="0">
      <alignment/>
      <protection/>
    </xf>
    <xf numFmtId="0" fontId="28" fillId="0" borderId="0">
      <alignment/>
      <protection/>
    </xf>
    <xf numFmtId="0" fontId="28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  <xf numFmtId="0" fontId="1" fillId="0" borderId="0">
      <alignment/>
      <protection/>
    </xf>
  </cellStyleXfs>
  <cellXfs count="221">
    <xf numFmtId="0" fontId="0" fillId="0" borderId="0" xfId="0"/>
    <xf numFmtId="0" fontId="32" fillId="0" borderId="11" xfId="0" applyFont="1" applyBorder="1" applyAlignment="1" applyProtection="1">
      <alignment horizontal="center" vertical="center" wrapText="1"/>
      <protection hidden="1" locked="0"/>
    </xf>
    <xf numFmtId="0" fontId="33" fillId="0" borderId="11" xfId="0" applyFont="1" applyBorder="1" applyAlignment="1" applyProtection="1">
      <alignment horizontal="center" wrapText="1"/>
      <protection hidden="1"/>
    </xf>
    <xf numFmtId="0" fontId="31" fillId="0" borderId="11" xfId="0" applyFont="1" applyBorder="1" applyAlignment="1" applyProtection="1">
      <alignment horizontal="center" vertical="center" wrapText="1"/>
      <protection locked="0"/>
    </xf>
    <xf numFmtId="14" fontId="31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29" fillId="21" borderId="11" xfId="0" applyFont="1" applyFill="1" applyBorder="1" applyAlignment="1">
      <alignment horizontal="center" vertical="center" wrapText="1"/>
    </xf>
    <xf numFmtId="0" fontId="29" fillId="15" borderId="11" xfId="0" applyFont="1" applyFill="1" applyBorder="1" applyAlignment="1" applyProtection="1">
      <alignment horizontal="center" vertical="center" wrapText="1"/>
      <protection hidden="1"/>
    </xf>
    <xf numFmtId="0" fontId="29" fillId="0" borderId="11" xfId="0" applyFont="1" applyBorder="1" applyAlignment="1" applyProtection="1">
      <alignment horizontal="center" vertical="center" wrapText="1"/>
      <protection hidden="1"/>
    </xf>
    <xf numFmtId="0" fontId="31" fillId="15" borderId="11" xfId="0" applyFont="1" applyFill="1" applyBorder="1" applyAlignment="1" applyProtection="1">
      <alignment horizontal="center" vertical="center" wrapText="1"/>
      <protection locked="0"/>
    </xf>
    <xf numFmtId="14" fontId="31" fillId="15" borderId="11" xfId="0" applyNumberFormat="1" applyFont="1" applyFill="1" applyBorder="1" applyAlignment="1" applyProtection="1">
      <alignment horizontal="center" wrapText="1"/>
      <protection locked="0"/>
    </xf>
    <xf numFmtId="0" fontId="31" fillId="15" borderId="11" xfId="0" applyFont="1" applyFill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 wrapText="1"/>
    </xf>
    <xf numFmtId="14" fontId="31" fillId="15" borderId="11" xfId="0" applyNumberFormat="1" applyFont="1" applyFill="1" applyBorder="1" applyAlignment="1" applyProtection="1">
      <alignment horizontal="center" vertical="center" wrapText="1"/>
      <protection locked="0"/>
    </xf>
    <xf numFmtId="0" fontId="31" fillId="15" borderId="11" xfId="0" applyFont="1" applyFill="1" applyBorder="1" applyAlignment="1" applyProtection="1">
      <alignment horizontal="center" vertical="center" wrapText="1"/>
      <protection locked="0"/>
    </xf>
    <xf numFmtId="0" fontId="31" fillId="0" borderId="11" xfId="0" applyFont="1" applyBorder="1" applyAlignment="1" applyProtection="1">
      <alignment horizontal="center" vertical="center" wrapText="1"/>
      <protection locked="0"/>
    </xf>
    <xf numFmtId="14" fontId="31" fillId="15" borderId="11" xfId="0" applyNumberFormat="1" applyFont="1" applyFill="1" applyBorder="1" applyAlignment="1" applyProtection="1">
      <alignment horizontal="center" wrapText="1"/>
      <protection locked="0"/>
    </xf>
    <xf numFmtId="0" fontId="31" fillId="15" borderId="11" xfId="0" applyFont="1" applyFill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22" fontId="2" fillId="0" borderId="0" xfId="0" applyNumberFormat="1" applyFont="1"/>
    <xf numFmtId="0" fontId="3" fillId="0" borderId="0" xfId="0" applyFont="1"/>
    <xf numFmtId="14" fontId="0" fillId="0" borderId="0" xfId="0" applyNumberFormat="1"/>
    <xf numFmtId="22" fontId="0" fillId="0" borderId="0" xfId="0" applyNumberFormat="1" applyAlignment="1">
      <alignment horizontal="left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24" fillId="0" borderId="0" xfId="72" applyAlignment="1" applyProtection="1">
      <alignment/>
      <protection/>
    </xf>
    <xf numFmtId="0" fontId="4" fillId="0" borderId="11" xfId="0" applyFont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30" fillId="0" borderId="0" xfId="0" applyFont="1" applyAlignment="1">
      <alignment horizontal="left"/>
    </xf>
    <xf numFmtId="0" fontId="1" fillId="22" borderId="0" xfId="85" applyFill="1">
      <alignment/>
      <protection/>
    </xf>
    <xf numFmtId="0" fontId="1" fillId="0" borderId="0" xfId="85">
      <alignment/>
      <protection/>
    </xf>
    <xf numFmtId="0" fontId="0" fillId="0" borderId="11" xfId="0" applyBorder="1"/>
    <xf numFmtId="0" fontId="31" fillId="0" borderId="11" xfId="0" applyFont="1" applyBorder="1" applyAlignment="1" applyProtection="1">
      <alignment horizontal="center" vertical="center" wrapText="1"/>
      <protection hidden="1" locked="0"/>
    </xf>
    <xf numFmtId="0" fontId="33" fillId="0" borderId="0" xfId="0" applyFont="1" applyAlignment="1">
      <alignment vertical="center"/>
    </xf>
    <xf numFmtId="0" fontId="33" fillId="0" borderId="0" xfId="0" applyFont="1"/>
    <xf numFmtId="2" fontId="0" fillId="0" borderId="0" xfId="0" applyNumberFormat="1" applyAlignment="1">
      <alignment vertical="center"/>
    </xf>
    <xf numFmtId="2" fontId="2" fillId="0" borderId="0" xfId="0" applyNumberFormat="1" applyFont="1" applyAlignment="1">
      <alignment vertical="center"/>
    </xf>
    <xf numFmtId="2" fontId="2" fillId="0" borderId="0" xfId="0" applyNumberFormat="1" applyFont="1"/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2" fontId="0" fillId="0" borderId="0" xfId="0" applyNumberFormat="1"/>
    <xf numFmtId="0" fontId="30" fillId="0" borderId="0" xfId="0" applyFont="1"/>
    <xf numFmtId="0" fontId="30" fillId="0" borderId="0" xfId="0" applyFont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 wrapText="1"/>
    </xf>
    <xf numFmtId="0" fontId="22" fillId="0" borderId="0" xfId="0" applyFont="1" applyAlignment="1" applyProtection="1">
      <alignment horizontal="center" vertical="center" wrapText="1"/>
      <protection hidden="1" locked="0"/>
    </xf>
    <xf numFmtId="0" fontId="0" fillId="15" borderId="0" xfId="0" applyFill="1" applyAlignment="1">
      <alignment horizontal="center" wrapText="1"/>
    </xf>
    <xf numFmtId="0" fontId="36" fillId="0" borderId="11" xfId="0" applyFont="1" applyBorder="1" applyAlignment="1" applyProtection="1">
      <alignment horizontal="center" vertical="center" wrapText="1"/>
      <protection hidden="1" locked="0"/>
    </xf>
    <xf numFmtId="0" fontId="0" fillId="0" borderId="0" xfId="0" applyAlignment="1">
      <alignment horizontal="center" vertical="center" wrapText="1"/>
    </xf>
    <xf numFmtId="0" fontId="33" fillId="0" borderId="11" xfId="0" applyFont="1" applyBorder="1" applyAlignment="1" applyProtection="1">
      <alignment horizontal="center" vertical="center" wrapText="1"/>
      <protection locked="0"/>
    </xf>
    <xf numFmtId="0" fontId="33" fillId="0" borderId="11" xfId="0" applyFont="1" applyBorder="1" applyAlignment="1" applyProtection="1">
      <alignment horizontal="center" vertical="center" wrapText="1"/>
      <protection hidden="1" locked="0"/>
    </xf>
    <xf numFmtId="0" fontId="33" fillId="0" borderId="0" xfId="0" applyFont="1" applyAlignment="1">
      <alignment horizontal="right" vertical="center" wrapText="1"/>
    </xf>
    <xf numFmtId="0" fontId="33" fillId="0" borderId="0" xfId="0" applyFont="1" applyAlignment="1" applyProtection="1">
      <alignment horizontal="center" vertical="center" wrapText="1"/>
      <protection locked="0"/>
    </xf>
    <xf numFmtId="0" fontId="39" fillId="0" borderId="0" xfId="0" applyFont="1" applyAlignment="1" applyProtection="1">
      <alignment horizontal="center" vertical="center" wrapText="1"/>
      <protection hidden="1" locked="0"/>
    </xf>
    <xf numFmtId="0" fontId="33" fillId="0" borderId="0" xfId="0" applyFont="1" applyAlignment="1" applyProtection="1">
      <alignment horizontal="center" vertical="center" wrapText="1"/>
      <protection hidden="1" locked="0"/>
    </xf>
    <xf numFmtId="0" fontId="33" fillId="0" borderId="0" xfId="0" applyFont="1" applyAlignment="1">
      <alignment wrapText="1"/>
    </xf>
    <xf numFmtId="0" fontId="0" fillId="0" borderId="0" xfId="0" applyAlignment="1">
      <alignment wrapText="1"/>
    </xf>
    <xf numFmtId="0" fontId="33" fillId="23" borderId="11" xfId="0" applyFont="1" applyFill="1" applyBorder="1" applyAlignment="1" applyProtection="1">
      <alignment horizontal="center" vertical="center" wrapText="1"/>
      <protection hidden="1" locked="0"/>
    </xf>
    <xf numFmtId="0" fontId="41" fillId="22" borderId="0" xfId="85" applyFont="1" applyFill="1" applyAlignment="1">
      <alignment horizontal="center" vertical="center" wrapText="1"/>
      <protection/>
    </xf>
    <xf numFmtId="0" fontId="30" fillId="0" borderId="11" xfId="0" applyFont="1" applyBorder="1" applyAlignment="1">
      <alignment horizontal="center" vertical="center" wrapText="1"/>
    </xf>
    <xf numFmtId="0" fontId="30" fillId="0" borderId="11" xfId="0" applyFont="1" applyBorder="1" applyAlignment="1" applyProtection="1">
      <alignment horizontal="center" vertical="center" wrapText="1"/>
      <protection locked="0"/>
    </xf>
    <xf numFmtId="0" fontId="30" fillId="0" borderId="11" xfId="0" applyFont="1" applyBorder="1" applyAlignment="1" applyProtection="1">
      <alignment horizontal="center" vertical="center" wrapText="1"/>
      <protection hidden="1" locked="0"/>
    </xf>
    <xf numFmtId="0" fontId="36" fillId="0" borderId="11" xfId="0" applyFont="1" applyBorder="1" applyAlignment="1" applyProtection="1">
      <alignment horizontal="center" vertical="center" wrapText="1"/>
      <protection locked="0"/>
    </xf>
    <xf numFmtId="0" fontId="31" fillId="15" borderId="11" xfId="0" applyFont="1" applyFill="1" applyBorder="1" applyAlignment="1">
      <alignment vertical="center" wrapText="1"/>
    </xf>
    <xf numFmtId="14" fontId="31" fillId="15" borderId="11" xfId="0" applyNumberFormat="1" applyFont="1" applyFill="1" applyBorder="1" applyAlignment="1" applyProtection="1">
      <alignment vertical="center" wrapText="1"/>
      <protection locked="0"/>
    </xf>
    <xf numFmtId="0" fontId="30" fillId="0" borderId="0" xfId="0" applyFont="1" applyAlignment="1">
      <alignment horizontal="left" wrapText="1"/>
    </xf>
    <xf numFmtId="0" fontId="30" fillId="21" borderId="11" xfId="0" applyFont="1" applyFill="1" applyBorder="1" applyAlignment="1" applyProtection="1">
      <alignment horizontal="center" vertical="center" wrapText="1"/>
      <protection hidden="1" locked="0"/>
    </xf>
    <xf numFmtId="0" fontId="31" fillId="21" borderId="11" xfId="0" applyFont="1" applyFill="1" applyBorder="1" applyAlignment="1" applyProtection="1">
      <alignment horizontal="center" vertical="center" wrapText="1"/>
      <protection locked="0"/>
    </xf>
    <xf numFmtId="1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0" borderId="14" xfId="0" applyBorder="1"/>
    <xf numFmtId="1" fontId="4" fillId="0" borderId="0" xfId="0" applyNumberFormat="1" applyFont="1"/>
    <xf numFmtId="0" fontId="44" fillId="0" borderId="11" xfId="0" applyFont="1" applyBorder="1" applyAlignment="1">
      <alignment horizontal="right" vertical="top"/>
    </xf>
    <xf numFmtId="0" fontId="42" fillId="0" borderId="11" xfId="0" applyFont="1" applyBorder="1" applyAlignment="1">
      <alignment textRotation="90"/>
    </xf>
    <xf numFmtId="1" fontId="43" fillId="0" borderId="11" xfId="0" applyNumberFormat="1" applyFont="1" applyBorder="1" applyAlignment="1">
      <alignment horizontal="center" vertical="center" textRotation="90"/>
    </xf>
    <xf numFmtId="1" fontId="42" fillId="0" borderId="11" xfId="0" applyNumberFormat="1" applyFont="1" applyBorder="1" applyAlignment="1">
      <alignment textRotation="90"/>
    </xf>
    <xf numFmtId="1" fontId="42" fillId="0" borderId="11" xfId="0" applyNumberFormat="1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wrapText="1"/>
    </xf>
    <xf numFmtId="1" fontId="2" fillId="0" borderId="11" xfId="0" applyNumberFormat="1" applyFont="1" applyBorder="1" applyAlignment="1">
      <alignment horizontal="center" textRotation="90" wrapText="1"/>
    </xf>
    <xf numFmtId="1" fontId="43" fillId="0" borderId="13" xfId="0" applyNumberFormat="1" applyFont="1" applyBorder="1" applyAlignment="1">
      <alignment horizontal="center" vertical="center" textRotation="90"/>
    </xf>
    <xf numFmtId="2" fontId="42" fillId="0" borderId="11" xfId="0" applyNumberFormat="1" applyFont="1" applyBorder="1" applyAlignment="1">
      <alignment textRotation="90"/>
    </xf>
    <xf numFmtId="0" fontId="42" fillId="0" borderId="15" xfId="0" applyFont="1" applyBorder="1" applyAlignment="1">
      <alignment textRotation="90"/>
    </xf>
    <xf numFmtId="0" fontId="42" fillId="0" borderId="13" xfId="0" applyFont="1" applyBorder="1" applyAlignment="1">
      <alignment textRotation="90"/>
    </xf>
    <xf numFmtId="1" fontId="4" fillId="0" borderId="11" xfId="0" applyNumberFormat="1" applyFont="1" applyBorder="1" applyAlignment="1">
      <alignment vertical="center" wrapText="1"/>
    </xf>
    <xf numFmtId="0" fontId="4" fillId="0" borderId="13" xfId="0" applyFont="1" applyBorder="1" applyAlignment="1">
      <alignment vertical="center"/>
    </xf>
    <xf numFmtId="0" fontId="2" fillId="0" borderId="15" xfId="0" applyFont="1" applyBorder="1" applyAlignment="1">
      <alignment horizontal="center" wrapText="1"/>
    </xf>
    <xf numFmtId="1" fontId="2" fillId="24" borderId="16" xfId="0" applyNumberFormat="1" applyFont="1" applyFill="1" applyBorder="1" applyAlignment="1">
      <alignment horizontal="center" textRotation="90" wrapText="1"/>
    </xf>
    <xf numFmtId="1" fontId="2" fillId="24" borderId="11" xfId="0" applyNumberFormat="1" applyFont="1" applyFill="1" applyBorder="1" applyAlignment="1">
      <alignment horizontal="center" textRotation="90" wrapText="1"/>
    </xf>
    <xf numFmtId="1" fontId="2" fillId="24" borderId="17" xfId="0" applyNumberFormat="1" applyFont="1" applyFill="1" applyBorder="1" applyAlignment="1">
      <alignment horizontal="center" textRotation="90" wrapText="1"/>
    </xf>
    <xf numFmtId="1" fontId="2" fillId="0" borderId="18" xfId="0" applyNumberFormat="1" applyFont="1" applyBorder="1" applyAlignment="1">
      <alignment horizontal="center" textRotation="90" wrapText="1"/>
    </xf>
    <xf numFmtId="2" fontId="2" fillId="24" borderId="11" xfId="0" applyNumberFormat="1" applyFont="1" applyFill="1" applyBorder="1" applyAlignment="1">
      <alignment horizontal="center" textRotation="90" wrapText="1"/>
    </xf>
    <xf numFmtId="2" fontId="2" fillId="0" borderId="11" xfId="0" applyNumberFormat="1" applyFont="1" applyBorder="1" applyAlignment="1">
      <alignment horizontal="center" textRotation="90" wrapText="1"/>
    </xf>
    <xf numFmtId="1" fontId="2" fillId="25" borderId="11" xfId="0" applyNumberFormat="1" applyFont="1" applyFill="1" applyBorder="1" applyAlignment="1">
      <alignment horizontal="center" textRotation="90" wrapText="1"/>
    </xf>
    <xf numFmtId="0" fontId="2" fillId="0" borderId="11" xfId="0" applyFont="1" applyBorder="1" applyAlignment="1">
      <alignment horizontal="center" textRotation="90" wrapText="1"/>
    </xf>
    <xf numFmtId="0" fontId="2" fillId="0" borderId="11" xfId="0" applyFont="1" applyBorder="1" applyAlignment="1">
      <alignment textRotation="90" wrapText="1"/>
    </xf>
    <xf numFmtId="0" fontId="2" fillId="0" borderId="15" xfId="0" applyFont="1" applyBorder="1" applyAlignment="1">
      <alignment textRotation="90" wrapText="1"/>
    </xf>
    <xf numFmtId="0" fontId="2" fillId="0" borderId="11" xfId="0" applyFont="1" applyBorder="1" applyAlignment="1">
      <alignment horizontal="center" textRotation="90"/>
    </xf>
    <xf numFmtId="0" fontId="4" fillId="0" borderId="19" xfId="0" applyFont="1" applyBorder="1" applyAlignment="1">
      <alignment vertical="center"/>
    </xf>
    <xf numFmtId="0" fontId="0" fillId="0" borderId="11" xfId="0" applyBorder="1" applyAlignment="1">
      <alignment textRotation="90" wrapText="1"/>
    </xf>
    <xf numFmtId="0" fontId="33" fillId="26" borderId="11" xfId="0" applyFont="1" applyFill="1" applyBorder="1" applyAlignment="1" applyProtection="1">
      <alignment horizontal="center" vertical="center" wrapText="1"/>
      <protection hidden="1" locked="0"/>
    </xf>
    <xf numFmtId="0" fontId="44" fillId="0" borderId="11" xfId="0" applyFont="1" applyBorder="1" applyAlignment="1">
      <alignment horizontal="center" vertical="center"/>
    </xf>
    <xf numFmtId="0" fontId="30" fillId="0" borderId="12" xfId="0" applyFont="1" applyBorder="1" applyAlignment="1">
      <alignment horizontal="left"/>
    </xf>
    <xf numFmtId="0" fontId="0" fillId="0" borderId="0" xfId="0" applyAlignment="1">
      <alignment horizontal="right"/>
    </xf>
    <xf numFmtId="0" fontId="44" fillId="0" borderId="11" xfId="0" applyFont="1" applyBorder="1" applyAlignment="1">
      <alignment horizontal="center" vertical="center" wrapText="1"/>
    </xf>
    <xf numFmtId="0" fontId="47" fillId="0" borderId="11" xfId="0" applyFont="1" applyBorder="1" applyAlignment="1" applyProtection="1">
      <alignment horizontal="center" vertical="center" wrapText="1"/>
      <protection hidden="1" locked="0"/>
    </xf>
    <xf numFmtId="1" fontId="47" fillId="0" borderId="11" xfId="0" applyNumberFormat="1" applyFont="1" applyBorder="1" applyAlignment="1" applyProtection="1">
      <alignment horizontal="center" vertical="center" wrapText="1"/>
      <protection hidden="1" locked="0"/>
    </xf>
    <xf numFmtId="1" fontId="0" fillId="0" borderId="14" xfId="0" applyNumberFormat="1" applyBorder="1"/>
    <xf numFmtId="1" fontId="4" fillId="0" borderId="14" xfId="0" applyNumberFormat="1" applyFont="1" applyBorder="1"/>
    <xf numFmtId="165" fontId="0" fillId="0" borderId="14" xfId="0" applyNumberFormat="1" applyBorder="1"/>
    <xf numFmtId="2" fontId="0" fillId="0" borderId="14" xfId="0" applyNumberFormat="1" applyBorder="1"/>
    <xf numFmtId="0" fontId="0" fillId="0" borderId="14" xfId="0" applyBorder="1" applyAlignment="1">
      <alignment horizontal="center" vertical="center"/>
    </xf>
    <xf numFmtId="0" fontId="47" fillId="26" borderId="11" xfId="0" applyFont="1" applyFill="1" applyBorder="1" applyAlignment="1" applyProtection="1">
      <alignment horizontal="center" vertical="center" wrapText="1"/>
      <protection hidden="1" locked="0"/>
    </xf>
    <xf numFmtId="0" fontId="31" fillId="0" borderId="11" xfId="0" applyFont="1" applyBorder="1" applyAlignment="1" applyProtection="1">
      <alignment horizontal="center" vertical="center" wrapText="1"/>
      <protection hidden="1"/>
    </xf>
    <xf numFmtId="0" fontId="34" fillId="0" borderId="11" xfId="0" applyFont="1" applyBorder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1" fillId="0" borderId="11" xfId="0" applyFont="1" applyBorder="1" applyAlignment="1">
      <alignment horizontal="center" vertical="center" wrapText="1"/>
    </xf>
    <xf numFmtId="0" fontId="29" fillId="21" borderId="11" xfId="0" applyFont="1" applyFill="1" applyBorder="1" applyAlignment="1" applyProtection="1">
      <alignment horizontal="center" vertical="center" wrapText="1"/>
      <protection hidden="1"/>
    </xf>
    <xf numFmtId="0" fontId="31" fillId="27" borderId="11" xfId="0" applyFont="1" applyFill="1" applyBorder="1" applyAlignment="1" applyProtection="1">
      <alignment horizontal="center" vertical="center" wrapText="1"/>
      <protection hidden="1"/>
    </xf>
    <xf numFmtId="0" fontId="29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8" fillId="0" borderId="13" xfId="0" applyFont="1" applyBorder="1" applyAlignment="1" applyProtection="1">
      <alignment horizontal="center" vertical="center" wrapText="1"/>
      <protection hidden="1"/>
    </xf>
    <xf numFmtId="0" fontId="38" fillId="0" borderId="12" xfId="0" applyFont="1" applyBorder="1" applyAlignment="1" applyProtection="1">
      <alignment horizontal="center" vertical="center" wrapText="1"/>
      <protection hidden="1"/>
    </xf>
    <xf numFmtId="0" fontId="38" fillId="0" borderId="20" xfId="0" applyFont="1" applyBorder="1" applyAlignment="1" applyProtection="1">
      <alignment horizontal="center" vertical="center" wrapText="1"/>
      <protection hidden="1"/>
    </xf>
    <xf numFmtId="0" fontId="31" fillId="15" borderId="13" xfId="0" applyFont="1" applyFill="1" applyBorder="1" applyAlignment="1" applyProtection="1">
      <alignment horizontal="center" vertical="center" wrapText="1"/>
      <protection hidden="1"/>
    </xf>
    <xf numFmtId="0" fontId="31" fillId="15" borderId="12" xfId="0" applyFont="1" applyFill="1" applyBorder="1" applyAlignment="1" applyProtection="1">
      <alignment horizontal="center" vertical="center" wrapText="1"/>
      <protection hidden="1"/>
    </xf>
    <xf numFmtId="0" fontId="31" fillId="15" borderId="20" xfId="0" applyFont="1" applyFill="1" applyBorder="1" applyAlignment="1" applyProtection="1">
      <alignment horizontal="center" vertical="center" wrapText="1"/>
      <protection hidden="1"/>
    </xf>
    <xf numFmtId="0" fontId="31" fillId="15" borderId="13" xfId="0" applyFont="1" applyFill="1" applyBorder="1" applyAlignment="1" applyProtection="1">
      <alignment horizontal="center" vertical="center" textRotation="90" wrapText="1"/>
      <protection hidden="1"/>
    </xf>
    <xf numFmtId="0" fontId="31" fillId="15" borderId="12" xfId="0" applyFont="1" applyFill="1" applyBorder="1" applyAlignment="1" applyProtection="1">
      <alignment horizontal="center" vertical="center" textRotation="90" wrapText="1"/>
      <protection hidden="1"/>
    </xf>
    <xf numFmtId="0" fontId="31" fillId="15" borderId="20" xfId="0" applyFont="1" applyFill="1" applyBorder="1" applyAlignment="1" applyProtection="1">
      <alignment horizontal="center" vertical="center" textRotation="90" wrapText="1"/>
      <protection hidden="1"/>
    </xf>
    <xf numFmtId="0" fontId="38" fillId="23" borderId="13" xfId="0" applyFont="1" applyFill="1" applyBorder="1" applyAlignment="1" applyProtection="1">
      <alignment horizontal="center" vertical="center" wrapText="1"/>
      <protection hidden="1"/>
    </xf>
    <xf numFmtId="0" fontId="38" fillId="23" borderId="12" xfId="0" applyFont="1" applyFill="1" applyBorder="1" applyAlignment="1" applyProtection="1">
      <alignment horizontal="center" vertical="center" wrapText="1"/>
      <protection hidden="1"/>
    </xf>
    <xf numFmtId="0" fontId="38" fillId="23" borderId="20" xfId="0" applyFont="1" applyFill="1" applyBorder="1" applyAlignment="1" applyProtection="1">
      <alignment horizontal="center" vertical="center" wrapText="1"/>
      <protection hidden="1"/>
    </xf>
    <xf numFmtId="0" fontId="31" fillId="0" borderId="13" xfId="0" applyFont="1" applyBorder="1" applyAlignment="1" applyProtection="1">
      <alignment horizontal="center" vertical="center" wrapText="1"/>
      <protection hidden="1"/>
    </xf>
    <xf numFmtId="0" fontId="31" fillId="0" borderId="12" xfId="0" applyFont="1" applyBorder="1" applyAlignment="1" applyProtection="1">
      <alignment horizontal="center" vertical="center" wrapText="1"/>
      <protection hidden="1"/>
    </xf>
    <xf numFmtId="0" fontId="31" fillId="0" borderId="20" xfId="0" applyFont="1" applyBorder="1" applyAlignment="1" applyProtection="1">
      <alignment horizontal="center" vertical="center" wrapText="1"/>
      <protection hidden="1"/>
    </xf>
    <xf numFmtId="0" fontId="37" fillId="28" borderId="11" xfId="0" applyFont="1" applyFill="1" applyBorder="1" applyAlignment="1" applyProtection="1">
      <alignment horizontal="center" vertical="center" wrapText="1"/>
      <protection hidden="1" locked="0"/>
    </xf>
    <xf numFmtId="0" fontId="31" fillId="0" borderId="11" xfId="0" applyFont="1" applyBorder="1" applyAlignment="1" applyProtection="1">
      <alignment horizontal="center" wrapText="1"/>
      <protection hidden="1"/>
    </xf>
    <xf numFmtId="0" fontId="33" fillId="0" borderId="11" xfId="0" applyFont="1" applyBorder="1" applyAlignment="1" applyProtection="1">
      <alignment horizontal="center" vertical="center" wrapText="1"/>
      <protection locked="0"/>
    </xf>
    <xf numFmtId="14" fontId="31" fillId="0" borderId="11" xfId="0" applyNumberFormat="1" applyFont="1" applyBorder="1" applyAlignment="1" applyProtection="1">
      <alignment horizontal="center" vertical="center" wrapText="1"/>
      <protection locked="0"/>
    </xf>
    <xf numFmtId="14" fontId="31" fillId="15" borderId="15" xfId="0" applyNumberFormat="1" applyFont="1" applyFill="1" applyBorder="1" applyAlignment="1" applyProtection="1">
      <alignment horizontal="center" vertical="center" wrapText="1"/>
      <protection locked="0"/>
    </xf>
    <xf numFmtId="14" fontId="31" fillId="15" borderId="18" xfId="0" applyNumberFormat="1" applyFont="1" applyFill="1" applyBorder="1" applyAlignment="1" applyProtection="1">
      <alignment horizontal="center" vertical="center" wrapText="1"/>
      <protection locked="0"/>
    </xf>
    <xf numFmtId="0" fontId="31" fillId="15" borderId="15" xfId="0" applyFont="1" applyFill="1" applyBorder="1" applyAlignment="1">
      <alignment horizontal="center" vertical="center" wrapText="1"/>
    </xf>
    <xf numFmtId="0" fontId="31" fillId="15" borderId="18" xfId="0" applyFont="1" applyFill="1" applyBorder="1" applyAlignment="1">
      <alignment horizontal="center" vertical="center" wrapText="1"/>
    </xf>
    <xf numFmtId="14" fontId="31" fillId="15" borderId="13" xfId="0" applyNumberFormat="1" applyFont="1" applyFill="1" applyBorder="1" applyAlignment="1" applyProtection="1">
      <alignment horizontal="center" vertical="center" wrapText="1"/>
      <protection locked="0"/>
    </xf>
    <xf numFmtId="14" fontId="31" fillId="15" borderId="12" xfId="0" applyNumberFormat="1" applyFont="1" applyFill="1" applyBorder="1" applyAlignment="1" applyProtection="1">
      <alignment horizontal="center" vertical="center" wrapText="1"/>
      <protection locked="0"/>
    </xf>
    <xf numFmtId="14" fontId="31" fillId="15" borderId="20" xfId="0" applyNumberFormat="1" applyFont="1" applyFill="1" applyBorder="1" applyAlignment="1" applyProtection="1">
      <alignment horizontal="center" vertical="center" wrapText="1"/>
      <protection locked="0"/>
    </xf>
    <xf numFmtId="0" fontId="37" fillId="28" borderId="11" xfId="0" applyFont="1" applyFill="1" applyBorder="1" applyAlignment="1" applyProtection="1">
      <alignment horizontal="center" wrapText="1"/>
      <protection hidden="1" locked="0"/>
    </xf>
    <xf numFmtId="0" fontId="31" fillId="27" borderId="19" xfId="0" applyFont="1" applyFill="1" applyBorder="1" applyAlignment="1" applyProtection="1">
      <alignment horizontal="center" vertical="center" wrapText="1"/>
      <protection hidden="1"/>
    </xf>
    <xf numFmtId="0" fontId="31" fillId="27" borderId="21" xfId="0" applyFont="1" applyFill="1" applyBorder="1" applyAlignment="1" applyProtection="1">
      <alignment horizontal="center" vertical="center" wrapText="1"/>
      <protection hidden="1"/>
    </xf>
    <xf numFmtId="0" fontId="31" fillId="27" borderId="22" xfId="0" applyFont="1" applyFill="1" applyBorder="1" applyAlignment="1" applyProtection="1">
      <alignment horizontal="center" vertical="center" wrapText="1"/>
      <protection hidden="1"/>
    </xf>
    <xf numFmtId="0" fontId="31" fillId="27" borderId="23" xfId="0" applyFont="1" applyFill="1" applyBorder="1" applyAlignment="1" applyProtection="1">
      <alignment horizontal="center" vertical="center" wrapText="1"/>
      <protection hidden="1"/>
    </xf>
    <xf numFmtId="0" fontId="31" fillId="27" borderId="14" xfId="0" applyFont="1" applyFill="1" applyBorder="1" applyAlignment="1" applyProtection="1">
      <alignment horizontal="center" vertical="center" wrapText="1"/>
      <protection hidden="1"/>
    </xf>
    <xf numFmtId="0" fontId="31" fillId="27" borderId="24" xfId="0" applyFont="1" applyFill="1" applyBorder="1" applyAlignment="1" applyProtection="1">
      <alignment horizontal="center" vertical="center" wrapText="1"/>
      <protection hidden="1"/>
    </xf>
    <xf numFmtId="14" fontId="31" fillId="15" borderId="15" xfId="0" applyNumberFormat="1" applyFont="1" applyFill="1" applyBorder="1" applyAlignment="1" applyProtection="1">
      <alignment horizontal="center" wrapText="1"/>
      <protection locked="0"/>
    </xf>
    <xf numFmtId="14" fontId="31" fillId="15" borderId="18" xfId="0" applyNumberFormat="1" applyFont="1" applyFill="1" applyBorder="1" applyAlignment="1" applyProtection="1">
      <alignment horizontal="center" wrapText="1"/>
      <protection locked="0"/>
    </xf>
    <xf numFmtId="0" fontId="31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1" fillId="15" borderId="11" xfId="0" applyFont="1" applyFill="1" applyBorder="1" applyAlignment="1" applyProtection="1">
      <alignment horizontal="center" vertical="center" wrapText="1"/>
      <protection hidden="1"/>
    </xf>
    <xf numFmtId="0" fontId="31" fillId="26" borderId="11" xfId="0" applyFont="1" applyFill="1" applyBorder="1" applyAlignment="1" applyProtection="1">
      <alignment horizontal="center" vertical="center" wrapText="1"/>
      <protection hidden="1"/>
    </xf>
    <xf numFmtId="0" fontId="46" fillId="0" borderId="11" xfId="0" applyFont="1" applyBorder="1" applyAlignment="1" applyProtection="1">
      <alignment horizontal="center" vertical="center" wrapText="1"/>
      <protection hidden="1"/>
    </xf>
    <xf numFmtId="0" fontId="38" fillId="26" borderId="11" xfId="0" applyFont="1" applyFill="1" applyBorder="1" applyAlignment="1" applyProtection="1">
      <alignment horizontal="center" vertical="center" wrapText="1"/>
      <protection hidden="1"/>
    </xf>
    <xf numFmtId="0" fontId="33" fillId="0" borderId="19" xfId="0" applyFont="1" applyBorder="1" applyAlignment="1" applyProtection="1">
      <alignment horizontal="center" vertical="center" wrapText="1"/>
      <protection locked="0"/>
    </xf>
    <xf numFmtId="0" fontId="33" fillId="0" borderId="22" xfId="0" applyFont="1" applyBorder="1" applyAlignment="1" applyProtection="1">
      <alignment horizontal="center" vertical="center" wrapText="1"/>
      <protection locked="0"/>
    </xf>
    <xf numFmtId="0" fontId="33" fillId="0" borderId="25" xfId="0" applyFont="1" applyBorder="1" applyAlignment="1" applyProtection="1">
      <alignment horizontal="center" vertical="center" wrapText="1"/>
      <protection locked="0"/>
    </xf>
    <xf numFmtId="0" fontId="33" fillId="0" borderId="26" xfId="0" applyFont="1" applyBorder="1" applyAlignment="1" applyProtection="1">
      <alignment horizontal="center" vertical="center" wrapText="1"/>
      <protection locked="0"/>
    </xf>
    <xf numFmtId="0" fontId="33" fillId="0" borderId="23" xfId="0" applyFont="1" applyBorder="1" applyAlignment="1" applyProtection="1">
      <alignment horizontal="center" vertical="center" wrapText="1"/>
      <protection locked="0"/>
    </xf>
    <xf numFmtId="0" fontId="33" fillId="0" borderId="24" xfId="0" applyFont="1" applyBorder="1" applyAlignment="1" applyProtection="1">
      <alignment horizontal="center" vertical="center" wrapText="1"/>
      <protection locked="0"/>
    </xf>
    <xf numFmtId="0" fontId="40" fillId="29" borderId="19" xfId="0" applyFont="1" applyFill="1" applyBorder="1" applyAlignment="1" applyProtection="1">
      <alignment horizontal="center" vertical="center" wrapText="1"/>
      <protection hidden="1" locked="0"/>
    </xf>
    <xf numFmtId="0" fontId="40" fillId="29" borderId="21" xfId="0" applyFont="1" applyFill="1" applyBorder="1" applyAlignment="1" applyProtection="1">
      <alignment horizontal="center" vertical="center" wrapText="1"/>
      <protection hidden="1" locked="0"/>
    </xf>
    <xf numFmtId="0" fontId="40" fillId="29" borderId="22" xfId="0" applyFont="1" applyFill="1" applyBorder="1" applyAlignment="1" applyProtection="1">
      <alignment horizontal="center" vertical="center" wrapText="1"/>
      <protection hidden="1" locked="0"/>
    </xf>
    <xf numFmtId="0" fontId="40" fillId="29" borderId="23" xfId="0" applyFont="1" applyFill="1" applyBorder="1" applyAlignment="1" applyProtection="1">
      <alignment horizontal="center" vertical="center" wrapText="1"/>
      <protection hidden="1" locked="0"/>
    </xf>
    <xf numFmtId="0" fontId="40" fillId="29" borderId="14" xfId="0" applyFont="1" applyFill="1" applyBorder="1" applyAlignment="1" applyProtection="1">
      <alignment horizontal="center" vertical="center" wrapText="1"/>
      <protection hidden="1" locked="0"/>
    </xf>
    <xf numFmtId="0" fontId="40" fillId="29" borderId="24" xfId="0" applyFont="1" applyFill="1" applyBorder="1" applyAlignment="1" applyProtection="1">
      <alignment horizontal="center" vertical="center" wrapText="1"/>
      <protection hidden="1" locked="0"/>
    </xf>
    <xf numFmtId="0" fontId="46" fillId="15" borderId="11" xfId="0" applyFont="1" applyFill="1" applyBorder="1" applyAlignment="1" applyProtection="1">
      <alignment horizontal="center" vertical="center" textRotation="90" wrapText="1"/>
      <protection hidden="1"/>
    </xf>
    <xf numFmtId="0" fontId="31" fillId="0" borderId="19" xfId="0" applyFont="1" applyBorder="1" applyAlignment="1" applyProtection="1">
      <alignment horizontal="center" vertical="center" wrapText="1"/>
      <protection locked="0"/>
    </xf>
    <xf numFmtId="0" fontId="31" fillId="0" borderId="22" xfId="0" applyFont="1" applyBorder="1" applyAlignment="1" applyProtection="1">
      <alignment horizontal="center" vertical="center" wrapText="1"/>
      <protection locked="0"/>
    </xf>
    <xf numFmtId="0" fontId="31" fillId="0" borderId="25" xfId="0" applyFont="1" applyBorder="1" applyAlignment="1" applyProtection="1">
      <alignment horizontal="center" vertical="center" wrapText="1"/>
      <protection locked="0"/>
    </xf>
    <xf numFmtId="0" fontId="31" fillId="0" borderId="26" xfId="0" applyFont="1" applyBorder="1" applyAlignment="1" applyProtection="1">
      <alignment horizontal="center" vertical="center" wrapText="1"/>
      <protection locked="0"/>
    </xf>
    <xf numFmtId="0" fontId="31" fillId="0" borderId="23" xfId="0" applyFont="1" applyBorder="1" applyAlignment="1" applyProtection="1">
      <alignment horizontal="center" vertical="center" wrapText="1"/>
      <protection locked="0"/>
    </xf>
    <xf numFmtId="0" fontId="31" fillId="0" borderId="24" xfId="0" applyFont="1" applyBorder="1" applyAlignment="1" applyProtection="1">
      <alignment horizontal="center" vertical="center" wrapText="1"/>
      <protection locked="0"/>
    </xf>
    <xf numFmtId="0" fontId="31" fillId="0" borderId="15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40" fillId="30" borderId="19" xfId="0" applyFont="1" applyFill="1" applyBorder="1" applyAlignment="1" applyProtection="1">
      <alignment horizontal="center" vertical="center" wrapText="1"/>
      <protection hidden="1" locked="0"/>
    </xf>
    <xf numFmtId="0" fontId="40" fillId="30" borderId="21" xfId="0" applyFont="1" applyFill="1" applyBorder="1" applyAlignment="1" applyProtection="1">
      <alignment horizontal="center" vertical="center" wrapText="1"/>
      <protection hidden="1" locked="0"/>
    </xf>
    <xf numFmtId="0" fontId="40" fillId="30" borderId="22" xfId="0" applyFont="1" applyFill="1" applyBorder="1" applyAlignment="1" applyProtection="1">
      <alignment horizontal="center" vertical="center" wrapText="1"/>
      <protection hidden="1" locked="0"/>
    </xf>
    <xf numFmtId="0" fontId="40" fillId="30" borderId="23" xfId="0" applyFont="1" applyFill="1" applyBorder="1" applyAlignment="1" applyProtection="1">
      <alignment horizontal="center" vertical="center" wrapText="1"/>
      <protection hidden="1" locked="0"/>
    </xf>
    <xf numFmtId="0" fontId="40" fillId="30" borderId="14" xfId="0" applyFont="1" applyFill="1" applyBorder="1" applyAlignment="1" applyProtection="1">
      <alignment horizontal="center" vertical="center" wrapText="1"/>
      <protection hidden="1" locked="0"/>
    </xf>
    <xf numFmtId="0" fontId="40" fillId="30" borderId="24" xfId="0" applyFont="1" applyFill="1" applyBorder="1" applyAlignment="1" applyProtection="1">
      <alignment horizontal="center" vertical="center" wrapText="1"/>
      <protection hidden="1" locked="0"/>
    </xf>
    <xf numFmtId="0" fontId="4" fillId="0" borderId="15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1" fontId="4" fillId="0" borderId="27" xfId="0" applyNumberFormat="1" applyFont="1" applyBorder="1" applyAlignment="1">
      <alignment horizontal="center" vertical="center"/>
    </xf>
    <xf numFmtId="1" fontId="4" fillId="0" borderId="18" xfId="0" applyNumberFormat="1" applyFont="1" applyBorder="1" applyAlignment="1">
      <alignment horizontal="center" vertical="center"/>
    </xf>
    <xf numFmtId="1" fontId="4" fillId="24" borderId="15" xfId="0" applyNumberFormat="1" applyFont="1" applyFill="1" applyBorder="1" applyAlignment="1">
      <alignment horizontal="center" vertical="center"/>
    </xf>
    <xf numFmtId="1" fontId="4" fillId="24" borderId="27" xfId="0" applyNumberFormat="1" applyFont="1" applyFill="1" applyBorder="1" applyAlignment="1">
      <alignment horizontal="center" vertical="center"/>
    </xf>
    <xf numFmtId="1" fontId="4" fillId="24" borderId="18" xfId="0" applyNumberFormat="1" applyFont="1" applyFill="1" applyBorder="1" applyAlignment="1">
      <alignment horizontal="center" vertical="center"/>
    </xf>
    <xf numFmtId="2" fontId="4" fillId="0" borderId="15" xfId="0" applyNumberFormat="1" applyFont="1" applyBorder="1" applyAlignment="1">
      <alignment horizontal="center" vertical="center"/>
    </xf>
    <xf numFmtId="2" fontId="4" fillId="0" borderId="27" xfId="0" applyNumberFormat="1" applyFont="1" applyBorder="1" applyAlignment="1">
      <alignment horizontal="center" vertical="center"/>
    </xf>
    <xf numFmtId="2" fontId="4" fillId="0" borderId="18" xfId="0" applyNumberFormat="1" applyFont="1" applyBorder="1" applyAlignment="1">
      <alignment horizontal="center" vertical="center"/>
    </xf>
    <xf numFmtId="1" fontId="45" fillId="0" borderId="15" xfId="0" applyNumberFormat="1" applyFont="1" applyBorder="1" applyAlignment="1">
      <alignment horizontal="center" vertical="center"/>
    </xf>
    <xf numFmtId="1" fontId="45" fillId="0" borderId="27" xfId="0" applyNumberFormat="1" applyFont="1" applyBorder="1" applyAlignment="1">
      <alignment horizontal="center" vertical="center"/>
    </xf>
    <xf numFmtId="1" fontId="45" fillId="0" borderId="18" xfId="0" applyNumberFormat="1" applyFont="1" applyBorder="1" applyAlignment="1">
      <alignment horizontal="center" vertical="center"/>
    </xf>
    <xf numFmtId="1" fontId="45" fillId="24" borderId="15" xfId="0" applyNumberFormat="1" applyFont="1" applyFill="1" applyBorder="1" applyAlignment="1">
      <alignment horizontal="center" vertical="center"/>
    </xf>
    <xf numFmtId="1" fontId="45" fillId="24" borderId="27" xfId="0" applyNumberFormat="1" applyFont="1" applyFill="1" applyBorder="1" applyAlignment="1">
      <alignment horizontal="center" vertical="center"/>
    </xf>
    <xf numFmtId="1" fontId="45" fillId="24" borderId="18" xfId="0" applyNumberFormat="1" applyFont="1" applyFill="1" applyBorder="1" applyAlignment="1">
      <alignment horizontal="center" vertical="center"/>
    </xf>
    <xf numFmtId="1" fontId="45" fillId="24" borderId="28" xfId="0" applyNumberFormat="1" applyFont="1" applyFill="1" applyBorder="1" applyAlignment="1">
      <alignment horizontal="center" vertical="center"/>
    </xf>
    <xf numFmtId="1" fontId="45" fillId="24" borderId="29" xfId="0" applyNumberFormat="1" applyFont="1" applyFill="1" applyBorder="1" applyAlignment="1">
      <alignment horizontal="center" vertical="center"/>
    </xf>
    <xf numFmtId="1" fontId="45" fillId="24" borderId="30" xfId="0" applyNumberFormat="1" applyFont="1" applyFill="1" applyBorder="1" applyAlignment="1">
      <alignment horizontal="center" vertical="center"/>
    </xf>
    <xf numFmtId="0" fontId="35" fillId="31" borderId="11" xfId="0" applyFont="1" applyFill="1" applyBorder="1" applyAlignment="1" applyProtection="1">
      <alignment horizontal="center" vertical="center" wrapText="1"/>
      <protection hidden="1" locked="0"/>
    </xf>
  </cellXfs>
  <cellStyles count="89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Accent1" xfId="20"/>
    <cellStyle name="Accent1 - 20%" xfId="21"/>
    <cellStyle name="Accent1 - 40%" xfId="22"/>
    <cellStyle name="Accent1 - 60%" xfId="23"/>
    <cellStyle name="Accent2" xfId="24"/>
    <cellStyle name="Accent2 - 20%" xfId="25"/>
    <cellStyle name="Accent2 - 40%" xfId="26"/>
    <cellStyle name="Accent2 - 60%" xfId="27"/>
    <cellStyle name="Accent3" xfId="28"/>
    <cellStyle name="Accent3 - 20%" xfId="29"/>
    <cellStyle name="Accent3 - 40%" xfId="30"/>
    <cellStyle name="Accent3 - 60%" xfId="31"/>
    <cellStyle name="Accent4" xfId="32"/>
    <cellStyle name="Accent4 - 20%" xfId="33"/>
    <cellStyle name="Accent4 - 40%" xfId="34"/>
    <cellStyle name="Accent4 - 60%" xfId="35"/>
    <cellStyle name="Accent5" xfId="36"/>
    <cellStyle name="Accent5 - 20%" xfId="37"/>
    <cellStyle name="Accent5 - 40%" xfId="38"/>
    <cellStyle name="Accent5 - 60%" xfId="39"/>
    <cellStyle name="Accent6" xfId="40"/>
    <cellStyle name="Accent6 - 20%" xfId="41"/>
    <cellStyle name="Accent6 - 40%" xfId="42"/>
    <cellStyle name="Accent6 - 60%" xfId="43"/>
    <cellStyle name="Bad" xfId="44"/>
    <cellStyle name="Calculation" xfId="45"/>
    <cellStyle name="Check Cell" xfId="46"/>
    <cellStyle name="Comma [0] 2" xfId="47"/>
    <cellStyle name="Comma 2" xfId="48"/>
    <cellStyle name="Comma 3" xfId="49"/>
    <cellStyle name="Currency [0] 2" xfId="50"/>
    <cellStyle name="Currency 2" xfId="51"/>
    <cellStyle name="Currency 3" xfId="52"/>
    <cellStyle name="Emphasis 1" xfId="53"/>
    <cellStyle name="Emphasis 2" xfId="54"/>
    <cellStyle name="Emphasis 3" xfId="55"/>
    <cellStyle name="Good" xfId="56"/>
    <cellStyle name="Heading 1" xfId="57"/>
    <cellStyle name="Heading 2" xfId="58"/>
    <cellStyle name="Heading 3" xfId="59"/>
    <cellStyle name="Heading 4" xfId="60"/>
    <cellStyle name="Input" xfId="61"/>
    <cellStyle name="Linked Cell" xfId="62"/>
    <cellStyle name="Neutral" xfId="63"/>
    <cellStyle name="Normal 2" xfId="64"/>
    <cellStyle name="Normal 3" xfId="65"/>
    <cellStyle name="Note" xfId="66"/>
    <cellStyle name="Output" xfId="67"/>
    <cellStyle name="Percent 2" xfId="68"/>
    <cellStyle name="Sheet Title" xfId="69"/>
    <cellStyle name="Total" xfId="70"/>
    <cellStyle name="Warning Text" xfId="71"/>
    <cellStyle name="Hyperlink 2" xfId="72"/>
    <cellStyle name="Bad 2" xfId="73"/>
    <cellStyle name="Followed Hyperlink" xfId="74"/>
    <cellStyle name="Input 2" xfId="75"/>
    <cellStyle name="Normal 2 2" xfId="76"/>
    <cellStyle name="Normal 2 3" xfId="77"/>
    <cellStyle name="Normal 2_Components" xfId="78"/>
    <cellStyle name="Normal 3 2" xfId="79"/>
    <cellStyle name="Normal 3_Components" xfId="80"/>
    <cellStyle name="Normal 4" xfId="81"/>
    <cellStyle name="Normal 5" xfId="82"/>
    <cellStyle name="Normal 6" xfId="83"/>
    <cellStyle name="Normal 7" xfId="84"/>
    <cellStyle name="Normal 8" xfId="85"/>
    <cellStyle name="Normal 3 3" xfId="86"/>
    <cellStyle name="Normal 3 4" xfId="87"/>
    <cellStyle name="Normal 2 3 2" xfId="88"/>
    <cellStyle name="Normal 8 2" xfId="89"/>
    <cellStyle name="Normal 3 3 2" xfId="90"/>
    <cellStyle name="Normal 3 6" xfId="91"/>
    <cellStyle name="Normal 2 3 4" xfId="92"/>
    <cellStyle name="Normal 8 4" xfId="93"/>
    <cellStyle name="Normal 3 3 4" xfId="94"/>
    <cellStyle name="Normal 3 5" xfId="95"/>
    <cellStyle name="Normal 2 3 3" xfId="96"/>
    <cellStyle name="Normal 8 3" xfId="97"/>
    <cellStyle name="Normal 3 3 3" xfId="98"/>
    <cellStyle name="Normal 3 4 2" xfId="99"/>
    <cellStyle name="Normal 2 3 2 2" xfId="100"/>
    <cellStyle name="Normal 8 2 2" xfId="101"/>
    <cellStyle name="Normal 3 3 2 2" xfId="102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worksheet" Target="worksheets/sheet3.xml" /><Relationship Id="rId4" Type="http://schemas.openxmlformats.org/officeDocument/2006/relationships/worksheet" Target="worksheets/sheet4.xml" /><Relationship Id="rId5" Type="http://schemas.openxmlformats.org/officeDocument/2006/relationships/worksheet" Target="worksheets/sheet5.xml" /><Relationship Id="rId6" Type="http://schemas.openxmlformats.org/officeDocument/2006/relationships/worksheet" Target="worksheets/sheet6.xml" /><Relationship Id="rId7" Type="http://schemas.openxmlformats.org/officeDocument/2006/relationships/worksheet" Target="worksheets/sheet7.xml" /><Relationship Id="rId8" Type="http://schemas.openxmlformats.org/officeDocument/2006/relationships/worksheet" Target="worksheets/sheet8.xml" /><Relationship Id="rId9" Type="http://schemas.openxmlformats.org/officeDocument/2006/relationships/worksheet" Target="worksheets/sheet9.xml" /><Relationship Id="rId10" Type="http://schemas.openxmlformats.org/officeDocument/2006/relationships/worksheet" Target="worksheets/sheet10.xml" /><Relationship Id="rId11" Type="http://schemas.openxmlformats.org/officeDocument/2006/relationships/worksheet" Target="worksheets/sheet11.xml" /><Relationship Id="rId12" Type="http://schemas.microsoft.com/office/2006/relationships/vbaProject" Target="vbaProject.bin" /><Relationship Id="rId13" Type="http://schemas.openxmlformats.org/officeDocument/2006/relationships/styles" Target="styles.xml" /><Relationship Id="rId14" Type="http://schemas.openxmlformats.org/officeDocument/2006/relationships/sharedStrings" Target="sharedStrings.xml" /><Relationship Id="rId15" Type="http://schemas.openxmlformats.org/officeDocument/2006/relationships/theme" Target="theme/theme1.xml" /><Relationship Id="rId16" Type="http://schemas.openxmlformats.org/officeDocument/2006/relationships/externalLink" Target="externalLinks/externalLink1.xml" /><Relationship Id="rId17" Type="http://schemas.openxmlformats.org/officeDocument/2006/relationships/externalLink" Target="externalLinks/externalLink2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\Users\MAG\Downloads\20241122.1354_Doors_Job_Sheet_BUZ_Brax_Window_Treatments_20230407073321.xlsm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\Users\Travis%20Davidson\Downloads\20220516.1245_SqualoNet%20Retractable%20Flyscreen_Job_Sheet_BUZ_Davidson_s_Blinds_Shutters.xls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Job Sheet"/>
      <sheetName val="Mitred Cutting Sheet"/>
      <sheetName val="Straight Cutting Sheet"/>
      <sheetName val="Punching"/>
      <sheetName val="Guillotine"/>
      <sheetName val="Door Assembly (a)"/>
      <sheetName val="Door Assembly (b)"/>
      <sheetName val="Bagging"/>
      <sheetName val="DBS Order Form"/>
      <sheetName val="Components"/>
      <sheetName val="Labels"/>
      <sheetName val="Deductions"/>
      <sheetName val="Mesh Look Ups"/>
    </sheetNames>
    <sheetDataSet>
      <sheetData sheetId="0"/>
      <sheetData sheetId="1">
        <row r="12">
          <cell r="J12" t="str">
            <v/>
          </cell>
        </row>
      </sheetData>
      <sheetData sheetId="2">
        <row r="11">
          <cell r="D11" t="str">
            <v/>
          </cell>
        </row>
      </sheetData>
      <sheetData sheetId="3">
        <row r="11">
          <cell r="K11" t="str">
            <v/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2">
          <cell r="AO2" t="str">
            <v>Small 190mm x 240mmLeft</v>
          </cell>
          <cell r="AP2" t="str">
            <v>265mm Mitred LHS</v>
          </cell>
          <cell r="AQ2" t="str">
            <v>320mm Mitred RHS</v>
          </cell>
          <cell r="AR2">
            <v>580</v>
          </cell>
        </row>
        <row r="3">
          <cell r="AO3" t="str">
            <v>Small 190mm x 240mmRight</v>
          </cell>
          <cell r="AP3" t="str">
            <v>265mm Mitred RHS</v>
          </cell>
          <cell r="AQ3" t="str">
            <v>320mm Mitred LHS</v>
          </cell>
          <cell r="AR3">
            <v>580</v>
          </cell>
        </row>
        <row r="4">
          <cell r="AO4" t="str">
            <v>Small 190mm x 240mmCentre</v>
          </cell>
          <cell r="AP4" t="str">
            <v>285mm Mitred Both Ends</v>
          </cell>
          <cell r="AQ4" t="str">
            <v>320mm Mitred LHS &amp; 320mm Mitred RHS</v>
          </cell>
          <cell r="AR4">
            <v>925</v>
          </cell>
        </row>
        <row r="5">
          <cell r="AO5" t="str">
            <v>Small 190mm x 240mmOther - Attach Diagram</v>
          </cell>
          <cell r="AP5" t="str">
            <v>285mm Mitred Both Ends</v>
          </cell>
          <cell r="AQ5" t="str">
            <v>320mm Mitred LHS &amp; 320mm Mitred RHS</v>
          </cell>
          <cell r="AR5">
            <v>925</v>
          </cell>
        </row>
        <row r="6">
          <cell r="AO6" t="str">
            <v>Medium 225mm x 305mmLeft</v>
          </cell>
          <cell r="AP6" t="str">
            <v>300mm Mitred LHS</v>
          </cell>
          <cell r="AQ6" t="str">
            <v>385mm Mitred RHS</v>
          </cell>
          <cell r="AR6">
            <v>680</v>
          </cell>
        </row>
        <row r="7">
          <cell r="AO7" t="str">
            <v>Medium 225mm x 305mmRight</v>
          </cell>
          <cell r="AP7" t="str">
            <v>300mm Mitred RHS</v>
          </cell>
          <cell r="AQ7" t="str">
            <v>385mm Mitred LHS</v>
          </cell>
          <cell r="AR7">
            <v>680</v>
          </cell>
        </row>
        <row r="8">
          <cell r="AO8" t="str">
            <v>Medium 225mm x 305mmCentre</v>
          </cell>
          <cell r="AP8" t="str">
            <v>320mm Mitred Both Ends</v>
          </cell>
          <cell r="AQ8" t="str">
            <v>385mm Mitred LHS &amp; 385mm Mitred RHS</v>
          </cell>
          <cell r="AR8">
            <v>1090</v>
          </cell>
        </row>
        <row r="9">
          <cell r="AO9" t="str">
            <v>Medium 225mm x 305mmOther - Attach Diagram</v>
          </cell>
          <cell r="AP9" t="str">
            <v>320mm Mitred Both Ends</v>
          </cell>
          <cell r="AQ9" t="str">
            <v>385mm Mitred LHS &amp; 385mm Mitred RHS</v>
          </cell>
          <cell r="AR9">
            <v>1090</v>
          </cell>
        </row>
        <row r="10">
          <cell r="AO10" t="str">
            <v>Large 260mm x 400mmLeft</v>
          </cell>
          <cell r="AP10" t="str">
            <v>335mm Mitred LHS</v>
          </cell>
          <cell r="AQ10" t="str">
            <v>480mm Mitred RHS</v>
          </cell>
          <cell r="AR10">
            <v>810</v>
          </cell>
        </row>
        <row r="11">
          <cell r="AO11" t="str">
            <v>Large 260mm x 400mmRight</v>
          </cell>
          <cell r="AP11" t="str">
            <v>335mm Mitred RHS</v>
          </cell>
          <cell r="AQ11" t="str">
            <v>480mm Mitred LHS</v>
          </cell>
          <cell r="AR11">
            <v>810</v>
          </cell>
        </row>
        <row r="12">
          <cell r="AO12" t="str">
            <v>Large 260mm x 400mmCentre</v>
          </cell>
          <cell r="AP12" t="str">
            <v>355mm Mitred Both Ends</v>
          </cell>
          <cell r="AQ12" t="str">
            <v>480mm Mitred LHS &amp; 480mm Mitred RHS</v>
          </cell>
          <cell r="AR12">
            <v>1315</v>
          </cell>
        </row>
        <row r="13">
          <cell r="AO13" t="str">
            <v>Large 260mm x 400mmOther - Attach Diagram</v>
          </cell>
          <cell r="AP13" t="str">
            <v>355mm Mitred Both Ends</v>
          </cell>
          <cell r="AQ13" t="str">
            <v>480mm Mitred LHS &amp; 480mm Mitred RHS</v>
          </cell>
          <cell r="AR13">
            <v>1315</v>
          </cell>
        </row>
      </sheetData>
      <sheetData sheetId="1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ata"/>
      <sheetName val="Job Sheet"/>
      <sheetName val="Tube Cutting"/>
      <sheetName val="Bagging"/>
      <sheetName val="Order Form"/>
      <sheetName val="Deductions"/>
      <sheetName val="Labels"/>
    </sheetNames>
    <sheetDataSet>
      <sheetData sheetId="0"/>
      <sheetData sheetId="1"/>
      <sheetData sheetId="2"/>
      <sheetData sheetId="3"/>
      <sheetData sheetId="4"/>
      <sheetData sheetId="5">
        <row r="2">
          <cell r="M2" t="str">
            <v>Centre Opening</v>
          </cell>
          <cell r="N2">
            <v>18</v>
          </cell>
          <cell r="O2">
            <v>20</v>
          </cell>
          <cell r="P2">
            <v>100</v>
          </cell>
        </row>
        <row r="3">
          <cell r="M3" t="str">
            <v>Centre Opening Off Set</v>
          </cell>
          <cell r="N3">
            <v>18</v>
          </cell>
          <cell r="O3">
            <v>20</v>
          </cell>
          <cell r="P3">
            <v>100</v>
          </cell>
        </row>
        <row r="4">
          <cell r="M4" t="str">
            <v>One Way Left Hand</v>
          </cell>
          <cell r="N4">
            <v>16</v>
          </cell>
          <cell r="O4">
            <v>18</v>
          </cell>
          <cell r="P4">
            <v>50</v>
          </cell>
        </row>
        <row r="5">
          <cell r="M5" t="str">
            <v>One Way Right Hand</v>
          </cell>
          <cell r="N5">
            <v>16</v>
          </cell>
          <cell r="O5">
            <v>18</v>
          </cell>
          <cell r="P5">
            <v>50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W100"/>
  <sheetViews>
    <sheetView tabSelected="1" workbookViewId="0" topLeftCell="A1">
      <selection pane="topLeft" activeCell="AV11" sqref="AV11:XFD1048576"/>
    </sheetView>
  </sheetViews>
  <sheetFormatPr defaultColWidth="9.44140625" defaultRowHeight="13.5"/>
  <cols>
    <col min="1" max="1" width="26.2857142857143" customWidth="1"/>
    <col min="4" max="4" width="13.5714285714286" customWidth="1"/>
    <col min="5" max="5" width="14.4285714285714" bestFit="1" customWidth="1"/>
    <col min="6" max="6" width="17.5714285714286" bestFit="1" customWidth="1"/>
    <col min="8" max="47" width="9.42857142857143" hidden="1" customWidth="1"/>
    <col min="48" max="49" width="11" customWidth="1"/>
    <col min="50" max="50" width="18.4285714285714" customWidth="1"/>
    <col min="51" max="51" width="15.4285714285714" customWidth="1"/>
    <col min="52" max="52" width="14.4285714285714" customWidth="1"/>
    <col min="53" max="53" width="10.4285714285714" bestFit="1" customWidth="1"/>
    <col min="54" max="54" width="11.5714285714286" bestFit="1" customWidth="1"/>
    <col min="55" max="55" width="92.4285714285714" bestFit="1" customWidth="1"/>
    <col min="56" max="56" width="47.4285714285714" customWidth="1"/>
    <col min="57" max="57" width="23.2857142857143" customWidth="1"/>
    <col min="58" max="58" width="16.5714285714286" customWidth="1"/>
    <col min="59" max="59" width="61" bestFit="1" customWidth="1"/>
    <col min="60" max="60" width="11.4285714285714" customWidth="1"/>
    <col min="61" max="61" width="9" customWidth="1"/>
    <col min="62" max="62" width="42.5714285714286" bestFit="1" customWidth="1"/>
    <col min="63" max="63" width="23.5714285714286" customWidth="1"/>
    <col min="64" max="64" width="29.4285714285714" customWidth="1"/>
    <col min="65" max="65" width="16.5714285714286" bestFit="1" customWidth="1"/>
    <col min="66" max="66" width="20.1428571428571" bestFit="1" customWidth="1"/>
    <col min="67" max="67" width="22.4285714285714" bestFit="1" customWidth="1"/>
    <col min="68" max="68" width="17" bestFit="1" customWidth="1"/>
    <col min="69" max="69" width="14.5714285714286" customWidth="1"/>
    <col min="71" max="71" width="16.5714285714286" customWidth="1"/>
    <col min="72" max="72" width="21" customWidth="1"/>
    <col min="74" max="74" width="9.42857142857143" customWidth="1"/>
    <col min="75" max="75" width="12.5714285714286" customWidth="1"/>
    <col min="76" max="76" width="14.4285714285714" customWidth="1"/>
    <col min="77" max="77" width="15.5714285714286" customWidth="1"/>
    <col min="78" max="78" width="7.57142857142857" customWidth="1"/>
    <col min="79" max="79" width="10" bestFit="1" customWidth="1"/>
    <col min="80" max="80" width="6.57142857142857" customWidth="1"/>
    <col min="81" max="81" width="13.4285714285714" customWidth="1"/>
    <col min="82" max="83" width="12.5714285714286" customWidth="1"/>
    <col min="84" max="84" width="17.4285714285714" customWidth="1"/>
    <col min="85" max="85" width="11.4285714285714" customWidth="1"/>
    <col min="86" max="86" width="13.5714285714286" customWidth="1"/>
    <col min="87" max="87" width="16.4285714285714" customWidth="1"/>
    <col min="88" max="88" width="29" bestFit="1" customWidth="1"/>
    <col min="89" max="89" width="13.5714285714286" style="52" bestFit="1" customWidth="1"/>
    <col min="90" max="90" width="12.5714285714286" customWidth="1"/>
    <col min="91" max="91" width="17.5714285714286" customWidth="1"/>
    <col min="92" max="92" width="16.4285714285714" bestFit="1" customWidth="1"/>
    <col min="93" max="93" width="7.57142857142857" customWidth="1"/>
    <col min="94" max="94" width="15" customWidth="1"/>
    <col min="95" max="95" width="12" customWidth="1"/>
    <col min="96" max="97" width="11.4285714285714" customWidth="1"/>
    <col min="98" max="98" width="9.57142857142857" bestFit="1" customWidth="1"/>
    <col min="99" max="99" width="12.5714285714286" customWidth="1"/>
    <col min="100" max="100" width="13.4285714285714" customWidth="1"/>
    <col min="101" max="101" width="11.4285714285714" customWidth="1"/>
    <col min="102" max="102" width="13" customWidth="1"/>
    <col min="103" max="103" width="13.5714285714286" customWidth="1"/>
    <col min="104" max="104" width="7.42857142857143" customWidth="1"/>
    <col min="105" max="105" width="12.5714285714286" customWidth="1"/>
    <col min="106" max="106" width="12.4285714285714" customWidth="1"/>
    <col min="107" max="107" width="9.57142857142857" bestFit="1" customWidth="1"/>
    <col min="108" max="108" width="11.4285714285714" customWidth="1"/>
    <col min="109" max="110" width="12.4285714285714" customWidth="1"/>
    <col min="111" max="111" width="7.42857142857143" customWidth="1"/>
    <col min="112" max="112" width="8.42857142857143" customWidth="1"/>
    <col min="113" max="113" width="13.5714285714286" customWidth="1"/>
  </cols>
  <sheetData>
    <row r="1" spans="48:123" ht="26.4">
      <c r="AV1" s="31"/>
      <c r="AW1" s="31"/>
      <c r="AX1" s="35" t="s">
        <v>298</v>
      </c>
      <c r="AY1" s="32"/>
      <c r="AZ1" s="32" t="s">
        <v>16</v>
      </c>
      <c r="BA1" s="34" t="s">
        <v>23</v>
      </c>
      <c r="BB1" s="32"/>
      <c r="BC1" s="32"/>
      <c r="BD1" s="32"/>
      <c r="BE1" s="32"/>
      <c r="BF1" s="32"/>
      <c r="BG1" s="32" t="s">
        <v>10</v>
      </c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32"/>
      <c r="CE1" s="32"/>
      <c r="CF1" s="32"/>
      <c r="CG1" s="32"/>
      <c r="CH1" s="32"/>
      <c r="CI1" s="32"/>
      <c r="CJ1" s="32"/>
      <c r="CK1" s="47"/>
      <c r="CL1" s="32"/>
      <c r="CM1" s="32"/>
      <c r="CN1" s="32"/>
      <c r="CO1" s="32"/>
      <c r="CP1" s="32"/>
      <c r="CQ1" s="32"/>
      <c r="CR1" s="32"/>
      <c r="CS1" s="32"/>
      <c r="CT1" s="32"/>
      <c r="CU1" s="32"/>
      <c r="CV1" s="32"/>
      <c r="CW1" s="32"/>
      <c r="CX1" s="32"/>
      <c r="CY1" s="32"/>
      <c r="CZ1" s="32"/>
      <c r="DA1" s="32"/>
      <c r="DB1" s="32"/>
      <c r="DC1" s="32"/>
      <c r="DD1" s="32"/>
      <c r="DE1" s="32"/>
      <c r="DF1" s="32"/>
      <c r="DG1" s="32"/>
      <c r="DH1" s="32"/>
      <c r="DI1" s="32"/>
      <c r="DJ1" s="32"/>
      <c r="DK1" s="32"/>
      <c r="DL1" s="32"/>
      <c r="DM1" s="32"/>
      <c r="DN1" s="32"/>
      <c r="DO1" s="32"/>
      <c r="DP1" s="32"/>
      <c r="DQ1" s="32"/>
      <c r="DR1" s="32"/>
      <c r="DS1" s="32"/>
    </row>
    <row r="2" spans="48:123" ht="13.2">
      <c r="AV2" s="33"/>
      <c r="AW2" s="33"/>
      <c r="AX2" s="33"/>
      <c r="AY2" s="34"/>
      <c r="AZ2" s="32" t="s">
        <v>14</v>
      </c>
      <c r="BA2" s="36">
        <v>20</v>
      </c>
      <c r="BB2" s="32" t="s">
        <v>26</v>
      </c>
      <c r="BC2" s="32"/>
      <c r="BD2" s="32"/>
      <c r="BE2" s="32"/>
      <c r="BF2" s="32"/>
      <c r="BG2" s="32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48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  <c r="CZ2" s="34"/>
      <c r="DA2" s="34"/>
      <c r="DB2" s="34"/>
      <c r="DC2" s="34"/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</row>
    <row r="3" spans="48:123" ht="13.2">
      <c r="AV3" s="33" t="s">
        <v>25</v>
      </c>
      <c r="AW3" s="33"/>
      <c r="AX3" s="33"/>
      <c r="AY3" s="34"/>
      <c r="AZ3" s="34" t="s">
        <v>17</v>
      </c>
      <c r="BA3" s="34" t="s">
        <v>18</v>
      </c>
      <c r="BB3" s="34"/>
      <c r="BC3" s="34"/>
      <c r="BD3" s="32"/>
      <c r="BE3" s="32"/>
      <c r="BF3" s="32"/>
      <c r="BG3" s="32"/>
      <c r="BO3" s="34"/>
      <c r="BP3" s="34"/>
      <c r="BQ3" s="34"/>
      <c r="BR3" s="34"/>
      <c r="BS3" s="34"/>
      <c r="BT3" s="34"/>
      <c r="BU3" s="34"/>
      <c r="BV3" s="34"/>
      <c r="BW3" s="34"/>
      <c r="BX3" s="34"/>
      <c r="BY3" s="34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48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</row>
    <row r="4" spans="48:127" ht="13.2">
      <c r="AV4" s="28" t="s">
        <v>0</v>
      </c>
      <c r="AW4" s="28" t="s">
        <v>19</v>
      </c>
      <c r="AX4" s="28" t="s">
        <v>1</v>
      </c>
      <c r="AY4" s="28" t="s">
        <v>2</v>
      </c>
      <c r="AZ4" s="28" t="s">
        <v>22</v>
      </c>
      <c r="BA4" s="28" t="s">
        <v>20</v>
      </c>
      <c r="BB4" s="25" t="s">
        <v>27</v>
      </c>
      <c r="BC4" s="25" t="s">
        <v>3</v>
      </c>
      <c r="BD4" s="25" t="s">
        <v>28</v>
      </c>
      <c r="BE4" s="25" t="s">
        <v>29</v>
      </c>
      <c r="BF4" s="25" t="s">
        <v>30</v>
      </c>
      <c r="BG4" s="25" t="s">
        <v>6</v>
      </c>
      <c r="BH4" s="25" t="s">
        <v>31</v>
      </c>
      <c r="BI4" s="25" t="s">
        <v>32</v>
      </c>
      <c r="BJ4" s="25" t="s">
        <v>33</v>
      </c>
      <c r="BK4" s="25" t="s">
        <v>34</v>
      </c>
      <c r="BL4" s="25" t="s">
        <v>35</v>
      </c>
      <c r="BM4" s="25" t="s">
        <v>36</v>
      </c>
      <c r="BN4" s="25" t="s">
        <v>37</v>
      </c>
      <c r="BO4" s="28" t="s">
        <v>38</v>
      </c>
      <c r="BP4" s="28" t="s">
        <v>39</v>
      </c>
      <c r="BQ4" s="28" t="s">
        <v>24</v>
      </c>
      <c r="BR4" s="28" t="s">
        <v>40</v>
      </c>
      <c r="BS4" s="23" t="s">
        <v>41</v>
      </c>
      <c r="BT4" s="23" t="s">
        <v>42</v>
      </c>
      <c r="BU4" s="23" t="s">
        <v>43</v>
      </c>
      <c r="BV4" s="23" t="s">
        <v>44</v>
      </c>
      <c r="BW4" s="23" t="s">
        <v>45</v>
      </c>
      <c r="BX4" s="23" t="s">
        <v>46</v>
      </c>
      <c r="BY4" s="23" t="s">
        <v>47</v>
      </c>
      <c r="BZ4" s="23" t="s">
        <v>48</v>
      </c>
      <c r="CA4" s="23" t="s">
        <v>49</v>
      </c>
      <c r="CB4" s="23" t="s">
        <v>50</v>
      </c>
      <c r="CC4" s="23" t="s">
        <v>51</v>
      </c>
      <c r="CD4" s="23" t="s">
        <v>52</v>
      </c>
      <c r="CE4" s="23" t="s">
        <v>53</v>
      </c>
      <c r="CF4" s="23" t="s">
        <v>54</v>
      </c>
      <c r="CG4" s="23"/>
      <c r="CH4" s="23" t="s">
        <v>55</v>
      </c>
      <c r="CI4" s="23" t="s">
        <v>56</v>
      </c>
      <c r="CJ4" s="23" t="s">
        <v>57</v>
      </c>
      <c r="CK4" s="49" t="s">
        <v>58</v>
      </c>
      <c r="CL4" s="23" t="s">
        <v>59</v>
      </c>
      <c r="CM4" s="23" t="s">
        <v>60</v>
      </c>
      <c r="CN4" s="23" t="s">
        <v>61</v>
      </c>
      <c r="CO4" s="23" t="s">
        <v>62</v>
      </c>
      <c r="CP4" s="23" t="s">
        <v>63</v>
      </c>
      <c r="CQ4" s="23" t="s">
        <v>64</v>
      </c>
      <c r="CR4" s="23" t="s">
        <v>65</v>
      </c>
      <c r="CS4" s="23" t="s">
        <v>66</v>
      </c>
      <c r="CT4" s="23" t="s">
        <v>67</v>
      </c>
      <c r="CU4" s="23" t="s">
        <v>68</v>
      </c>
      <c r="CV4" s="23" t="s">
        <v>69</v>
      </c>
      <c r="CW4" s="23" t="s">
        <v>70</v>
      </c>
      <c r="CX4" s="23" t="s">
        <v>71</v>
      </c>
      <c r="CY4" s="23" t="s">
        <v>72</v>
      </c>
      <c r="CZ4" s="23" t="s">
        <v>73</v>
      </c>
      <c r="DA4" s="23" t="s">
        <v>74</v>
      </c>
      <c r="DB4" s="23" t="s">
        <v>75</v>
      </c>
      <c r="DC4" s="23" t="s">
        <v>76</v>
      </c>
      <c r="DD4" s="23" t="s">
        <v>77</v>
      </c>
      <c r="DE4" s="23" t="s">
        <v>78</v>
      </c>
      <c r="DF4" s="23" t="s">
        <v>79</v>
      </c>
      <c r="DG4" s="23" t="s">
        <v>80</v>
      </c>
      <c r="DH4" s="23" t="s">
        <v>81</v>
      </c>
      <c r="DI4" s="23" t="s">
        <v>82</v>
      </c>
      <c r="DJ4" s="23" t="s">
        <v>83</v>
      </c>
      <c r="DK4" s="23" t="s">
        <v>84</v>
      </c>
      <c r="DL4" s="23" t="s">
        <v>85</v>
      </c>
      <c r="DM4" s="23" t="s">
        <v>86</v>
      </c>
      <c r="DN4" s="23" t="s">
        <v>87</v>
      </c>
      <c r="DO4" s="23" t="s">
        <v>88</v>
      </c>
      <c r="DP4" s="23" t="s">
        <v>89</v>
      </c>
      <c r="DQ4" s="23" t="s">
        <v>90</v>
      </c>
      <c r="DR4" s="23" t="s">
        <v>91</v>
      </c>
      <c r="DS4" s="23" t="s">
        <v>92</v>
      </c>
      <c r="DT4" t="s">
        <v>138</v>
      </c>
      <c r="DU4" t="s">
        <v>149</v>
      </c>
      <c r="DV4" t="s">
        <v>179</v>
      </c>
      <c r="DW4" t="s">
        <v>180</v>
      </c>
    </row>
    <row r="5" spans="1:127" ht="17.4">
      <c r="A5" s="14" t="s">
        <v>124</v>
      </c>
      <c r="B5" s="14"/>
      <c r="C5" s="14"/>
      <c r="D5" s="14"/>
      <c r="E5" s="14"/>
      <c r="F5" s="14"/>
      <c r="AV5" t="s">
        <v>459</v>
      </c>
      <c r="AW5" s="29" t="s">
        <v>460</v>
      </c>
      <c r="AX5" s="29" t="s">
        <v>461</v>
      </c>
      <c r="AY5" s="29" t="s">
        <v>462</v>
      </c>
      <c r="AZ5" s="29" t="s">
        <v>463</v>
      </c>
      <c r="BA5" s="29" t="s">
        <v>464</v>
      </c>
      <c r="BC5" s="29" t="s">
        <v>465</v>
      </c>
      <c r="BD5" s="29" t="s">
        <v>153</v>
      </c>
      <c r="BE5" t="s">
        <v>466</v>
      </c>
      <c r="BF5" t="s">
        <v>467</v>
      </c>
      <c r="BH5" t="s">
        <v>468</v>
      </c>
      <c r="BI5" t="s">
        <v>469</v>
      </c>
      <c r="BJ5" t="s">
        <v>468</v>
      </c>
      <c r="BK5" t="s">
        <v>470</v>
      </c>
      <c r="BM5" t="s">
        <v>471</v>
      </c>
      <c r="BN5" t="s">
        <v>472</v>
      </c>
      <c r="BO5" s="23" t="s">
        <v>473</v>
      </c>
      <c r="BP5" s="27" t="s">
        <v>474</v>
      </c>
      <c r="BQ5" s="27"/>
      <c r="BR5" s="27" t="s">
        <v>475</v>
      </c>
      <c r="BS5" s="23" t="s">
        <v>468</v>
      </c>
      <c r="BT5" s="23" t="s">
        <v>476</v>
      </c>
      <c r="BU5" s="23"/>
      <c r="BV5" s="23"/>
      <c r="BW5" s="23"/>
      <c r="BX5" s="23"/>
      <c r="BY5" s="23" t="s">
        <v>477</v>
      </c>
      <c r="BZ5" s="23" t="s">
        <v>468</v>
      </c>
      <c r="CA5" s="23" t="s">
        <v>468</v>
      </c>
      <c r="CB5" s="23" t="s">
        <v>468</v>
      </c>
      <c r="CC5" s="23" t="s">
        <v>468</v>
      </c>
      <c r="CD5" s="23" t="s">
        <v>468</v>
      </c>
      <c r="CE5" s="23" t="s">
        <v>478</v>
      </c>
      <c r="CF5" s="23" t="s">
        <v>468</v>
      </c>
      <c r="CG5" s="23"/>
      <c r="CH5" s="23"/>
      <c r="CI5" s="23" t="s">
        <v>468</v>
      </c>
      <c r="CJ5" s="23" t="s">
        <v>469</v>
      </c>
      <c r="CK5" s="49" t="s">
        <v>468</v>
      </c>
      <c r="CL5" s="23" t="s">
        <v>470</v>
      </c>
      <c r="CM5" s="23"/>
      <c r="CN5" s="23" t="s">
        <v>471</v>
      </c>
      <c r="CO5" s="23" t="s">
        <v>472</v>
      </c>
      <c r="CP5" s="23" t="s">
        <v>473</v>
      </c>
      <c r="CQ5" s="23" t="s">
        <v>474</v>
      </c>
      <c r="CR5" s="23">
        <v>0</v>
      </c>
      <c r="CS5" s="23">
        <v>0</v>
      </c>
      <c r="CT5" s="23"/>
      <c r="CU5" s="23" t="s">
        <v>480</v>
      </c>
      <c r="CV5" s="23" t="s">
        <v>481</v>
      </c>
      <c r="CW5" s="23"/>
      <c r="CX5" s="23" t="s">
        <v>480</v>
      </c>
      <c r="CY5" s="23" t="s">
        <v>481</v>
      </c>
      <c r="CZ5" s="23" t="s">
        <v>482</v>
      </c>
      <c r="DA5" s="23" t="s">
        <v>468</v>
      </c>
      <c r="DB5" s="23" t="s">
        <v>476</v>
      </c>
      <c r="DC5" s="23"/>
      <c r="DD5" s="23"/>
      <c r="DE5" s="23"/>
      <c r="DF5" s="23"/>
      <c r="DG5" s="23" t="s">
        <v>483</v>
      </c>
      <c r="DH5" s="23">
        <v>0</v>
      </c>
      <c r="DI5" s="23">
        <v>8636.3634</v>
      </c>
      <c r="DJ5" s="23" t="s">
        <v>479</v>
      </c>
      <c r="DK5" s="23" t="s">
        <v>475</v>
      </c>
      <c r="DL5" s="23" t="s">
        <v>468</v>
      </c>
      <c r="DM5" s="23">
        <v>0</v>
      </c>
      <c r="DN5" s="23">
        <v>0</v>
      </c>
      <c r="DO5" s="23">
        <v>0</v>
      </c>
      <c r="DP5" s="23">
        <v>0</v>
      </c>
      <c r="DQ5" s="23">
        <v>9499.9997</v>
      </c>
      <c r="DR5" s="23" t="s">
        <v>484</v>
      </c>
      <c r="DS5" s="23" t="s">
        <v>485</v>
      </c>
      <c r="DT5" t="s">
        <v>486</v>
      </c>
      <c r="DU5" t="s">
        <v>487</v>
      </c>
    </row>
    <row r="6" spans="1:123" ht="13.2">
      <c r="A6" s="38" t="s">
        <v>125</v>
      </c>
      <c r="B6" s="38" t="s">
        <v>126</v>
      </c>
      <c r="C6" s="38" t="s">
        <v>127</v>
      </c>
      <c r="D6" s="38" t="s">
        <v>128</v>
      </c>
      <c r="E6" s="38" t="s">
        <v>129</v>
      </c>
      <c r="F6" s="38" t="s">
        <v>130</v>
      </c>
      <c r="AV6" s="23"/>
      <c r="AW6" s="23"/>
      <c r="AX6" s="23"/>
      <c r="AY6" s="27"/>
      <c r="AZ6" s="27"/>
      <c r="BA6" s="23"/>
      <c r="BO6" s="23"/>
      <c r="BP6" s="23"/>
      <c r="BQ6" s="23"/>
      <c r="BR6" s="23"/>
      <c r="BS6" s="23"/>
      <c r="BT6" s="27"/>
      <c r="BU6" s="27"/>
      <c r="BV6" s="27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3"/>
      <c r="CI6" s="23"/>
      <c r="CJ6" s="23"/>
      <c r="CK6" s="49"/>
      <c r="CL6" s="23"/>
      <c r="CM6" s="23"/>
      <c r="CN6" s="23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3"/>
      <c r="CZ6" s="23"/>
      <c r="DA6" s="23"/>
      <c r="DB6" s="23"/>
      <c r="DC6" s="23"/>
      <c r="DD6" s="23"/>
      <c r="DE6" s="23"/>
      <c r="DF6" s="23"/>
      <c r="DG6" s="23"/>
      <c r="DH6" s="23"/>
      <c r="DI6" s="23"/>
      <c r="DJ6" s="23"/>
      <c r="DK6" s="23"/>
      <c r="DL6" s="23"/>
      <c r="DM6" s="23"/>
      <c r="DN6" s="23"/>
      <c r="DO6" s="23"/>
      <c r="DP6" s="23"/>
      <c r="DQ6" s="23"/>
      <c r="DR6" s="23"/>
      <c r="DS6" s="23"/>
    </row>
    <row r="7" spans="1:123" ht="13.2">
      <c r="A7" s="43" t="s">
        <v>131</v>
      </c>
      <c r="B7" s="43">
        <v>11</v>
      </c>
      <c r="C7" s="43">
        <v>20</v>
      </c>
      <c r="D7" s="43" t="s">
        <v>455</v>
      </c>
      <c r="E7" s="43" t="b">
        <v>1</v>
      </c>
      <c r="F7" s="43">
        <v>1</v>
      </c>
      <c r="AV7" s="23"/>
      <c r="AW7" s="23"/>
      <c r="AX7" s="23"/>
      <c r="AY7" s="23"/>
      <c r="AZ7" s="23"/>
      <c r="BA7" s="23"/>
      <c r="BO7" s="23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49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3"/>
    </row>
    <row r="8" spans="1:123" ht="13.2">
      <c r="A8" s="43" t="s">
        <v>436</v>
      </c>
      <c r="B8" s="43">
        <v>11</v>
      </c>
      <c r="C8" s="43">
        <v>20</v>
      </c>
      <c r="D8" s="43" t="s">
        <v>133</v>
      </c>
      <c r="E8" s="43" t="b">
        <v>1</v>
      </c>
      <c r="F8" s="43">
        <v>1</v>
      </c>
      <c r="AV8" s="23"/>
      <c r="AW8" s="23"/>
      <c r="AX8" s="23"/>
      <c r="AY8" s="23"/>
      <c r="AZ8" s="23"/>
      <c r="BA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49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/>
      <c r="DH8" s="23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</row>
    <row r="9" spans="1:123" ht="13.2">
      <c r="A9" s="43" t="s">
        <v>437</v>
      </c>
      <c r="B9" s="43">
        <v>11</v>
      </c>
      <c r="C9" s="43">
        <v>20</v>
      </c>
      <c r="D9" s="43" t="s">
        <v>133</v>
      </c>
      <c r="E9" s="43" t="b">
        <v>1</v>
      </c>
      <c r="F9" s="43">
        <v>1</v>
      </c>
      <c r="AV9" s="23"/>
      <c r="AW9" s="23"/>
      <c r="AX9" s="23"/>
      <c r="AY9" s="23"/>
      <c r="AZ9" s="23"/>
      <c r="BA9" s="23"/>
      <c r="BP9" s="23"/>
      <c r="BQ9" s="23"/>
      <c r="BR9" s="23"/>
      <c r="BS9" s="23"/>
      <c r="BT9" s="23"/>
      <c r="BU9" s="23"/>
      <c r="BV9" s="23"/>
      <c r="BW9" s="23"/>
      <c r="BX9" s="24"/>
      <c r="BY9" s="24"/>
      <c r="BZ9" s="24"/>
      <c r="CA9" s="24"/>
      <c r="CB9" s="23"/>
      <c r="CC9" s="23"/>
      <c r="CD9" s="23"/>
      <c r="CE9" s="23"/>
      <c r="CF9" s="23"/>
      <c r="CG9" s="23"/>
      <c r="CH9" s="23"/>
      <c r="CI9" s="23"/>
      <c r="CJ9" s="23"/>
      <c r="CK9" s="49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3"/>
      <c r="DH9" s="23"/>
      <c r="DI9" s="23"/>
      <c r="DJ9" s="23"/>
      <c r="DK9" s="23"/>
      <c r="DL9" s="23"/>
      <c r="DM9" s="23"/>
      <c r="DN9" s="23"/>
      <c r="DO9" s="23"/>
      <c r="DP9" s="23"/>
      <c r="DQ9" s="23"/>
      <c r="DR9" s="23"/>
      <c r="DS9" s="23"/>
    </row>
    <row r="10" spans="1:123" ht="13.2">
      <c r="A10" s="43" t="s">
        <v>299</v>
      </c>
      <c r="B10" s="43">
        <v>11</v>
      </c>
      <c r="C10" s="43">
        <v>20</v>
      </c>
      <c r="D10" s="43" t="s">
        <v>133</v>
      </c>
      <c r="E10" s="43" t="b">
        <v>1</v>
      </c>
      <c r="F10" s="43">
        <v>1</v>
      </c>
      <c r="AV10" s="25" t="s">
        <v>0</v>
      </c>
      <c r="AW10" s="25" t="s">
        <v>13</v>
      </c>
      <c r="AX10" s="25" t="s">
        <v>93</v>
      </c>
      <c r="AY10" s="25" t="s">
        <v>1</v>
      </c>
      <c r="AZ10" s="25" t="s">
        <v>94</v>
      </c>
      <c r="BA10" s="25" t="s">
        <v>95</v>
      </c>
      <c r="BB10" s="25" t="s">
        <v>96</v>
      </c>
      <c r="BC10" s="25" t="s">
        <v>6</v>
      </c>
      <c r="BD10" s="25" t="s">
        <v>97</v>
      </c>
      <c r="BE10" s="25" t="s">
        <v>98</v>
      </c>
      <c r="BF10" s="25" t="s">
        <v>99</v>
      </c>
      <c r="BG10" s="25" t="s">
        <v>82</v>
      </c>
      <c r="BH10" s="25" t="s">
        <v>100</v>
      </c>
      <c r="BI10" s="25" t="s">
        <v>101</v>
      </c>
      <c r="BJ10" s="25" t="s">
        <v>102</v>
      </c>
      <c r="BK10" s="25" t="s">
        <v>103</v>
      </c>
      <c r="BL10" s="25" t="s">
        <v>104</v>
      </c>
      <c r="BM10" s="25" t="s">
        <v>105</v>
      </c>
      <c r="BN10" t="s">
        <v>106</v>
      </c>
      <c r="BO10" s="25" t="s">
        <v>107</v>
      </c>
      <c r="BP10" s="25" t="s">
        <v>108</v>
      </c>
      <c r="BQ10" s="25" t="s">
        <v>109</v>
      </c>
      <c r="BR10" s="25" t="s">
        <v>110</v>
      </c>
      <c r="BS10" s="25" t="s">
        <v>111</v>
      </c>
      <c r="BT10" s="24" t="s">
        <v>139</v>
      </c>
      <c r="BU10" s="24" t="s">
        <v>140</v>
      </c>
      <c r="BV10" s="24" t="s">
        <v>141</v>
      </c>
      <c r="BW10" s="24" t="s">
        <v>144</v>
      </c>
      <c r="BX10" s="24"/>
      <c r="BY10" s="24"/>
      <c r="BZ10" s="24"/>
      <c r="CA10" s="24" t="s">
        <v>112</v>
      </c>
      <c r="CB10" s="24" t="s">
        <v>0</v>
      </c>
      <c r="CC10" s="24" t="s">
        <v>0</v>
      </c>
      <c r="CD10" s="24" t="s">
        <v>21</v>
      </c>
      <c r="CE10" s="24" t="s">
        <v>112</v>
      </c>
      <c r="CF10" s="24" t="s">
        <v>0</v>
      </c>
      <c r="CG10" s="24" t="s">
        <v>0</v>
      </c>
      <c r="CH10" s="24" t="s">
        <v>21</v>
      </c>
      <c r="CI10" s="24" t="s">
        <v>1</v>
      </c>
      <c r="CJ10" s="24" t="s">
        <v>113</v>
      </c>
      <c r="CK10" s="50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</row>
    <row r="11" spans="1:123" ht="13.2">
      <c r="A11" s="43" t="s">
        <v>435</v>
      </c>
      <c r="B11" s="43">
        <v>11</v>
      </c>
      <c r="C11" s="43">
        <v>20</v>
      </c>
      <c r="D11" s="43" t="s">
        <v>211</v>
      </c>
      <c r="E11" s="43" t="b">
        <v>1</v>
      </c>
      <c r="F11" s="43">
        <v>1</v>
      </c>
      <c r="AV11" t="s">
        <v>488</v>
      </c>
      <c r="AW11">
        <v>7</v>
      </c>
      <c r="AX11" t="s">
        <v>489</v>
      </c>
      <c r="AY11" t="s">
        <v>490</v>
      </c>
      <c r="AZ11">
        <v>1</v>
      </c>
      <c r="BA11">
        <v>200</v>
      </c>
      <c r="BB11">
        <v>2075</v>
      </c>
      <c r="BC11" t="s">
        <v>491</v>
      </c>
      <c r="BD11" t="s">
        <v>492</v>
      </c>
      <c r="BE11" t="s">
        <v>493</v>
      </c>
      <c r="BF11" s="55">
        <v>46254</v>
      </c>
      <c r="BG11">
        <v>525.1442</v>
      </c>
      <c r="BH11">
        <v>0</v>
      </c>
      <c r="BI11">
        <v>52.5144</v>
      </c>
      <c r="BJ11">
        <v>530</v>
      </c>
      <c r="BK11">
        <v>-4.8556</v>
      </c>
      <c r="BL11">
        <v>383</v>
      </c>
      <c r="BM11" t="s">
        <v>494</v>
      </c>
      <c r="BN11" t="s">
        <v>495</v>
      </c>
      <c r="BO11" t="s">
        <v>229</v>
      </c>
      <c r="BP11" t="s">
        <v>381</v>
      </c>
      <c r="BR11" s="29" t="s">
        <v>468</v>
      </c>
      <c r="BS11" s="26" t="s">
        <v>468</v>
      </c>
      <c r="BT11" s="26" t="s">
        <v>496</v>
      </c>
      <c r="BU11" s="26">
        <v>0</v>
      </c>
      <c r="BV11" s="26" t="s">
        <v>468</v>
      </c>
      <c r="BW11" s="26" t="s">
        <v>468</v>
      </c>
      <c r="BX11" s="26"/>
      <c r="BY11" s="26"/>
      <c r="BZ11" s="26"/>
      <c r="CA11" s="26"/>
      <c r="CB11" s="26"/>
      <c r="CC11" s="26"/>
      <c r="CD11" s="26"/>
      <c r="CE11" s="26" t="s">
        <v>497</v>
      </c>
      <c r="CF11" s="26" t="s">
        <v>498</v>
      </c>
      <c r="CG11" s="26" t="s">
        <v>498</v>
      </c>
      <c r="CH11" s="26" t="s">
        <v>488</v>
      </c>
      <c r="CI11" s="26" t="s">
        <v>499</v>
      </c>
      <c r="CJ11" s="26" t="s">
        <v>490</v>
      </c>
      <c r="CK11" s="51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</row>
    <row r="12" spans="1:123" ht="13.2">
      <c r="A12" s="43" t="s">
        <v>247</v>
      </c>
      <c r="B12" s="43">
        <v>5</v>
      </c>
      <c r="C12" s="43">
        <v>14</v>
      </c>
      <c r="D12" s="43" t="s">
        <v>434</v>
      </c>
      <c r="E12" s="43" t="b">
        <v>0</v>
      </c>
      <c r="F12" s="43">
        <v>0</v>
      </c>
      <c r="BF12" s="55"/>
      <c r="BR12" s="29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 t="s">
        <v>500</v>
      </c>
      <c r="CF12" s="26" t="s">
        <v>501</v>
      </c>
      <c r="CG12" s="26" t="s">
        <v>501</v>
      </c>
      <c r="CH12" s="30" t="s">
        <v>488</v>
      </c>
      <c r="CI12" s="26" t="s">
        <v>502</v>
      </c>
      <c r="CJ12" s="30" t="s">
        <v>503</v>
      </c>
      <c r="CK12" s="51"/>
      <c r="CL12" s="30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</row>
    <row r="13" spans="1:123" ht="13.2">
      <c r="A13" s="43" t="s">
        <v>253</v>
      </c>
      <c r="B13" s="43">
        <v>9</v>
      </c>
      <c r="C13" s="43">
        <v>17</v>
      </c>
      <c r="D13" s="43" t="s">
        <v>263</v>
      </c>
      <c r="E13" s="43" t="b">
        <v>1</v>
      </c>
      <c r="F13" s="43">
        <v>1</v>
      </c>
      <c r="BF13" s="55"/>
      <c r="BR13" s="29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 t="s">
        <v>504</v>
      </c>
      <c r="CF13" s="26" t="s">
        <v>505</v>
      </c>
      <c r="CG13" s="26" t="s">
        <v>505</v>
      </c>
      <c r="CH13" s="30" t="s">
        <v>488</v>
      </c>
      <c r="CI13" s="26" t="s">
        <v>506</v>
      </c>
      <c r="CJ13" s="30" t="s">
        <v>507</v>
      </c>
      <c r="CK13" s="51"/>
      <c r="CL13" s="30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</row>
    <row r="14" spans="1:123" ht="13.2">
      <c r="A14" s="43" t="s">
        <v>252</v>
      </c>
      <c r="B14" s="43">
        <v>9</v>
      </c>
      <c r="C14" s="43">
        <v>17</v>
      </c>
      <c r="D14" s="43" t="s">
        <v>211</v>
      </c>
      <c r="E14" s="43" t="b">
        <v>1</v>
      </c>
      <c r="F14" s="43">
        <v>1</v>
      </c>
      <c r="BF14" s="55"/>
      <c r="BR14" s="29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 t="s">
        <v>508</v>
      </c>
      <c r="CF14" s="26" t="s">
        <v>509</v>
      </c>
      <c r="CG14" s="26" t="s">
        <v>509</v>
      </c>
      <c r="CH14" s="30" t="s">
        <v>488</v>
      </c>
      <c r="CI14" s="26" t="s">
        <v>510</v>
      </c>
      <c r="CJ14" s="30" t="s">
        <v>511</v>
      </c>
      <c r="CK14" s="51"/>
      <c r="CL14" s="30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</row>
    <row r="15" spans="1:123" ht="13.2">
      <c r="A15" s="43" t="s">
        <v>132</v>
      </c>
      <c r="B15" s="43">
        <v>11</v>
      </c>
      <c r="C15" s="43">
        <v>20</v>
      </c>
      <c r="D15" s="43" t="s">
        <v>133</v>
      </c>
      <c r="E15" s="43" t="b">
        <v>0</v>
      </c>
      <c r="F15" s="43">
        <v>1</v>
      </c>
      <c r="BF15" s="55"/>
      <c r="BR15" s="29"/>
      <c r="BS15" s="26"/>
      <c r="BT15" s="30"/>
      <c r="BU15" s="30"/>
      <c r="BV15" s="26"/>
      <c r="BW15" s="26"/>
      <c r="BX15" s="26"/>
      <c r="BY15" s="26"/>
      <c r="BZ15" s="26"/>
      <c r="CA15" s="26"/>
      <c r="CB15" s="26"/>
      <c r="CC15" s="26"/>
      <c r="CD15" s="26"/>
      <c r="CE15" s="26" t="s">
        <v>512</v>
      </c>
      <c r="CF15" s="26" t="s">
        <v>513</v>
      </c>
      <c r="CG15" s="26" t="s">
        <v>513</v>
      </c>
      <c r="CH15" s="26" t="s">
        <v>488</v>
      </c>
      <c r="CI15" s="26" t="s">
        <v>514</v>
      </c>
      <c r="CJ15" s="26" t="s">
        <v>159</v>
      </c>
      <c r="CK15" s="51"/>
      <c r="CL15" s="26"/>
      <c r="CM15" s="30"/>
      <c r="CN15" s="30"/>
      <c r="CO15" s="30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</row>
    <row r="16" spans="1:123" ht="13.2">
      <c r="A16" s="43" t="s">
        <v>152</v>
      </c>
      <c r="B16" s="43">
        <v>0</v>
      </c>
      <c r="C16" s="43">
        <v>0</v>
      </c>
      <c r="D16" s="43" t="s">
        <v>153</v>
      </c>
      <c r="E16" s="43" t="b">
        <v>0</v>
      </c>
      <c r="F16" s="43">
        <v>0</v>
      </c>
      <c r="BF16" s="55"/>
      <c r="BR16" s="29"/>
      <c r="BS16" s="26"/>
      <c r="BT16" s="30"/>
      <c r="BU16" s="30"/>
      <c r="BV16" s="26"/>
      <c r="BW16" s="26"/>
      <c r="BX16" s="26"/>
      <c r="BY16" s="26"/>
      <c r="BZ16" s="26"/>
      <c r="CA16" s="26"/>
      <c r="CB16" s="26"/>
      <c r="CC16" s="26"/>
      <c r="CD16" s="26"/>
      <c r="CE16" s="26" t="s">
        <v>515</v>
      </c>
      <c r="CF16" s="26" t="s">
        <v>516</v>
      </c>
      <c r="CG16" s="26" t="s">
        <v>516</v>
      </c>
      <c r="CH16" s="26" t="s">
        <v>488</v>
      </c>
      <c r="CI16" s="26" t="s">
        <v>517</v>
      </c>
      <c r="CJ16" s="26" t="s">
        <v>157</v>
      </c>
      <c r="CK16" s="51"/>
      <c r="CL16" s="26"/>
      <c r="CM16" s="30"/>
      <c r="CN16" s="30"/>
      <c r="CO16" s="30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</row>
    <row r="17" spans="1:123" ht="13.2">
      <c r="A17" s="43"/>
      <c r="B17" s="43"/>
      <c r="C17" s="43"/>
      <c r="D17" s="43"/>
      <c r="E17" s="43"/>
      <c r="F17" s="43"/>
      <c r="BF17" s="55"/>
      <c r="BR17" s="29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 t="s">
        <v>518</v>
      </c>
      <c r="CF17" s="26" t="s">
        <v>519</v>
      </c>
      <c r="CG17" s="26" t="s">
        <v>519</v>
      </c>
      <c r="CH17" s="26" t="s">
        <v>488</v>
      </c>
      <c r="CI17" s="26" t="s">
        <v>520</v>
      </c>
      <c r="CJ17" s="26" t="s">
        <v>521</v>
      </c>
      <c r="CK17" s="51"/>
      <c r="CL17" s="26"/>
      <c r="CM17" s="30"/>
      <c r="CN17" s="30"/>
      <c r="CO17" s="30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</row>
    <row r="18" spans="1:123" ht="13.2">
      <c r="A18" s="43"/>
      <c r="B18" s="43"/>
      <c r="C18" s="43"/>
      <c r="D18" s="43"/>
      <c r="E18" s="43"/>
      <c r="F18" s="43"/>
      <c r="BF18" s="55"/>
      <c r="BR18" s="29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 t="s">
        <v>522</v>
      </c>
      <c r="CF18" s="26" t="s">
        <v>523</v>
      </c>
      <c r="CG18" s="26" t="s">
        <v>523</v>
      </c>
      <c r="CH18" s="26" t="s">
        <v>488</v>
      </c>
      <c r="CI18" s="26" t="s">
        <v>524</v>
      </c>
      <c r="CJ18" s="26" t="s">
        <v>191</v>
      </c>
      <c r="CK18" s="51"/>
      <c r="CL18" s="26"/>
      <c r="CM18" s="30"/>
      <c r="CN18" s="30"/>
      <c r="CO18" s="30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</row>
    <row r="19" spans="48:123" ht="13.2">
      <c r="BF19" s="55"/>
      <c r="BR19" s="29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 t="s">
        <v>525</v>
      </c>
      <c r="CF19" s="26" t="s">
        <v>526</v>
      </c>
      <c r="CG19" s="26" t="s">
        <v>526</v>
      </c>
      <c r="CH19" s="26" t="s">
        <v>488</v>
      </c>
      <c r="CI19" s="26" t="s">
        <v>527</v>
      </c>
      <c r="CJ19" s="26" t="s">
        <v>147</v>
      </c>
      <c r="CK19" s="51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</row>
    <row r="20" spans="48:123" ht="13.2">
      <c r="BF20" s="55"/>
      <c r="BR20" s="29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 t="s">
        <v>528</v>
      </c>
      <c r="CF20" s="26" t="s">
        <v>529</v>
      </c>
      <c r="CG20" s="26" t="s">
        <v>529</v>
      </c>
      <c r="CH20" s="26" t="s">
        <v>488</v>
      </c>
      <c r="CI20" s="26" t="s">
        <v>530</v>
      </c>
      <c r="CJ20" s="26" t="s">
        <v>251</v>
      </c>
      <c r="CK20" s="51">
        <v>34.6793</v>
      </c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</row>
    <row r="21" spans="48:123" ht="13.2">
      <c r="BF21" s="55"/>
      <c r="BR21" s="29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 t="s">
        <v>531</v>
      </c>
      <c r="CF21" s="26" t="s">
        <v>532</v>
      </c>
      <c r="CG21" s="26" t="s">
        <v>532</v>
      </c>
      <c r="CH21" s="26" t="s">
        <v>488</v>
      </c>
      <c r="CI21" s="26" t="s">
        <v>533</v>
      </c>
      <c r="CJ21" s="26" t="s">
        <v>534</v>
      </c>
      <c r="CK21" s="51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</row>
    <row r="22" spans="48:88" ht="13.2">
      <c r="BF22" s="55"/>
      <c r="BR22" s="29"/>
      <c r="CE22" t="s">
        <v>535</v>
      </c>
      <c r="CF22" t="s">
        <v>536</v>
      </c>
      <c r="CG22" t="s">
        <v>536</v>
      </c>
      <c r="CH22" t="s">
        <v>488</v>
      </c>
      <c r="CI22" t="s">
        <v>537</v>
      </c>
      <c r="CJ22" t="s">
        <v>538</v>
      </c>
    </row>
    <row r="23" spans="48:88" ht="13.2">
      <c r="BF23" s="55"/>
      <c r="CE23" t="s">
        <v>539</v>
      </c>
      <c r="CF23" t="s">
        <v>540</v>
      </c>
      <c r="CG23" t="s">
        <v>540</v>
      </c>
      <c r="CH23" t="s">
        <v>488</v>
      </c>
      <c r="CI23" t="s">
        <v>541</v>
      </c>
      <c r="CJ23" t="s">
        <v>147</v>
      </c>
    </row>
    <row r="24" spans="48:88" ht="13.2">
      <c r="BF24" s="55"/>
      <c r="CE24" t="s">
        <v>542</v>
      </c>
      <c r="CF24" t="s">
        <v>543</v>
      </c>
      <c r="CG24" t="s">
        <v>543</v>
      </c>
      <c r="CH24" t="s">
        <v>488</v>
      </c>
      <c r="CI24" t="s">
        <v>544</v>
      </c>
      <c r="CJ24" t="s">
        <v>147</v>
      </c>
    </row>
    <row r="25" spans="48:88" ht="13.2">
      <c r="BF25" s="55"/>
      <c r="CE25" t="s">
        <v>545</v>
      </c>
      <c r="CF25" t="s">
        <v>546</v>
      </c>
      <c r="CG25" t="s">
        <v>546</v>
      </c>
      <c r="CH25" t="s">
        <v>488</v>
      </c>
      <c r="CI25" t="s">
        <v>547</v>
      </c>
      <c r="CJ25" t="s">
        <v>491</v>
      </c>
    </row>
    <row r="26" spans="48:88" ht="13.2">
      <c r="BF26" s="55"/>
      <c r="CE26" t="s">
        <v>548</v>
      </c>
      <c r="CF26" t="s">
        <v>549</v>
      </c>
      <c r="CG26" t="s">
        <v>549</v>
      </c>
      <c r="CH26" t="s">
        <v>550</v>
      </c>
      <c r="CI26" t="s">
        <v>551</v>
      </c>
      <c r="CJ26" t="s">
        <v>147</v>
      </c>
    </row>
    <row r="27" spans="48:88" ht="13.2">
      <c r="AX27" s="26"/>
      <c r="AY27" s="26"/>
      <c r="BA27" s="115"/>
      <c r="BF27" s="55"/>
      <c r="CE27" t="s">
        <v>552</v>
      </c>
      <c r="CF27" t="s">
        <v>553</v>
      </c>
      <c r="CG27" t="s">
        <v>553</v>
      </c>
      <c r="CH27" t="s">
        <v>550</v>
      </c>
      <c r="CI27" t="s">
        <v>554</v>
      </c>
      <c r="CJ27" t="s">
        <v>555</v>
      </c>
    </row>
    <row r="28" spans="48:74" ht="13.2">
      <c r="AX28" s="26"/>
      <c r="AY28" s="26"/>
      <c r="BF28" s="55"/>
    </row>
    <row r="29" spans="48:74" ht="13.2">
      <c r="BF29" s="55"/>
    </row>
    <row r="30" spans="48:74" ht="13.2">
      <c r="BF30" s="55"/>
    </row>
    <row r="31" spans="48:74" ht="13.2">
      <c r="BF31" s="55"/>
    </row>
    <row r="32" spans="48:74" ht="13.2">
      <c r="BF32" s="55"/>
    </row>
    <row r="33" spans="48:74" ht="13.2">
      <c r="BF33" s="55"/>
    </row>
    <row r="34" spans="48:74" ht="13.2">
      <c r="BF34" s="55"/>
    </row>
    <row r="35" spans="48:74" ht="13.2">
      <c r="BF35" s="55"/>
    </row>
    <row r="36" spans="48:74" ht="13.2">
      <c r="BF36" s="55"/>
    </row>
    <row r="37" spans="48:74" ht="13.2">
      <c r="BF37" s="55"/>
    </row>
    <row r="38" spans="48:74" ht="13.2">
      <c r="BF38" s="55"/>
    </row>
    <row r="39" spans="48:74" ht="13.2">
      <c r="BF39" s="55"/>
    </row>
    <row r="40" spans="48:74" ht="13.2">
      <c r="BF40" s="55"/>
    </row>
    <row r="41" spans="48:74" ht="13.2">
      <c r="BF41" s="55"/>
    </row>
    <row r="42" spans="48:74" ht="13.2">
      <c r="BF42" s="55"/>
    </row>
    <row r="43" spans="48:74" ht="13.2">
      <c r="BF43" s="55"/>
    </row>
    <row r="44" spans="48:74" ht="13.2">
      <c r="BF44" s="55"/>
    </row>
    <row r="45" spans="48:74" ht="13.2">
      <c r="BF45" s="55"/>
    </row>
    <row r="46" spans="48:74" ht="13.2">
      <c r="BF46" s="55"/>
    </row>
    <row r="47" spans="48:74" ht="13.2">
      <c r="BF47" s="55"/>
    </row>
    <row r="48" spans="48:74" ht="13.2">
      <c r="BF48" s="55"/>
    </row>
    <row r="49" spans="48:74" ht="13.2">
      <c r="BF49" s="55"/>
    </row>
    <row r="50" spans="48:74" ht="13.2">
      <c r="BF50" s="55"/>
    </row>
    <row r="51" spans="48:74" ht="13.2">
      <c r="BF51" s="55"/>
    </row>
    <row r="52" spans="48:74" ht="13.2">
      <c r="BF52" s="55"/>
    </row>
    <row r="53" spans="48:74" ht="13.2">
      <c r="BF53" s="55"/>
    </row>
    <row r="54" spans="48:74" ht="13.2">
      <c r="BF54" s="55"/>
    </row>
    <row r="55" spans="48:74" ht="13.2">
      <c r="BF55" s="55"/>
    </row>
    <row r="56" spans="48:74" ht="13.2">
      <c r="BF56" s="55"/>
    </row>
    <row r="57" spans="48:74" ht="13.2">
      <c r="BF57" s="55"/>
    </row>
    <row r="58" spans="48:74" ht="13.2">
      <c r="BF58" s="55"/>
    </row>
    <row r="59" spans="48:74" ht="13.2">
      <c r="BF59" s="55"/>
    </row>
    <row r="60" spans="48:74" ht="13.2">
      <c r="BF60" s="55"/>
    </row>
    <row r="61" spans="48:74" ht="13.2">
      <c r="BF61" s="55"/>
    </row>
    <row r="62" spans="48:74" ht="13.2">
      <c r="BF62" s="55"/>
    </row>
    <row r="63" spans="48:74" ht="13.2">
      <c r="BF63" s="55"/>
    </row>
    <row r="64" spans="48:74" ht="13.2">
      <c r="BF64" s="55"/>
    </row>
    <row r="65" spans="48:74" ht="13.2">
      <c r="BF65" s="55"/>
    </row>
    <row r="66" spans="48:74" ht="13.2">
      <c r="BF66" s="55"/>
    </row>
    <row r="67" spans="48:74" ht="13.2">
      <c r="BF67" s="55"/>
    </row>
    <row r="68" spans="48:74" ht="13.2">
      <c r="BF68" s="55"/>
    </row>
    <row r="69" spans="48:74" ht="13.2">
      <c r="BF69" s="55"/>
    </row>
    <row r="70" spans="48:74" ht="13.2">
      <c r="BF70" s="55"/>
    </row>
    <row r="71" spans="48:74" ht="13.2">
      <c r="BF71" s="55"/>
    </row>
    <row r="72" spans="48:74" ht="13.2">
      <c r="BF72" s="55"/>
    </row>
    <row r="73" spans="48:74" ht="13.2"/>
    <row r="74" spans="48:74" ht="13.2"/>
    <row r="75" spans="48:74" ht="13.2"/>
    <row r="76" spans="48:74" ht="13.2"/>
    <row r="77" spans="48:74" ht="13.2"/>
    <row r="78" spans="48:74" ht="13.2"/>
    <row r="79" spans="48:74" ht="13.2"/>
    <row r="80" spans="48:74" ht="13.2"/>
    <row r="81" spans="48:74" ht="13.2"/>
    <row r="82" spans="48:74" ht="13.2"/>
    <row r="83" spans="48:74" ht="13.2"/>
    <row r="84" spans="48:74" ht="13.2"/>
    <row r="85" spans="48:74" ht="13.2"/>
    <row r="86" spans="48:74" ht="13.2"/>
    <row r="87" spans="48:74" ht="13.2"/>
    <row r="88" spans="48:74" ht="13.2"/>
    <row r="89" spans="48:74" ht="13.2"/>
    <row r="90" spans="48:74" ht="13.2"/>
    <row r="91" spans="48:74" ht="13.2"/>
    <row r="92" spans="48:74" ht="13.2"/>
    <row r="93" spans="48:74" ht="13.2"/>
    <row r="94" spans="48:74" ht="13.2"/>
    <row r="95" spans="48:74" ht="13.2"/>
    <row r="96" spans="48:74" ht="13.2"/>
    <row r="97" spans="48:74" ht="13.2"/>
    <row r="98" spans="48:74" ht="13.2"/>
    <row r="99" spans="48:74" ht="13.2"/>
    <row r="100" spans="48:74" ht="13.2"/>
  </sheetData>
  <mergeCells count="1">
    <mergeCell ref="A5:F5"/>
  </mergeCells>
  <pageMargins left="0.7" right="0.7" top="0.75" bottom="0.75" header="0.3" footer="0.3"/>
  <pageSetup horizontalDpi="300" verticalDpi="30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JobSheet">
    <pageSetUpPr fitToPage="1"/>
  </sheetPr>
  <dimension ref="A1:AJ20"/>
  <sheetViews>
    <sheetView showZeros="0" view="pageBreakPreview" zoomScale="50" zoomScaleNormal="25" zoomScaleSheetLayoutView="50" zoomScalePageLayoutView="25" workbookViewId="0" topLeftCell="A2">
      <selection pane="topLeft" activeCell="R11" sqref="R11"/>
    </sheetView>
  </sheetViews>
  <sheetFormatPr defaultColWidth="9.44140625" defaultRowHeight="39.9" customHeight="1"/>
  <cols>
    <col min="1" max="1" width="10.4285714285714" style="56" customWidth="1"/>
    <col min="2" max="2" width="42" style="56" customWidth="1"/>
    <col min="3" max="3" width="24.4285714285714" style="56" customWidth="1"/>
    <col min="4" max="4" width="14.8571428571429" style="56" customWidth="1"/>
    <col min="5" max="5" width="14.7142857142857" style="56" customWidth="1"/>
    <col min="6" max="6" width="16.7142857142857" style="56" customWidth="1"/>
    <col min="7" max="7" width="15.4285714285714" style="56" customWidth="1"/>
    <col min="8" max="8" width="23.2857142857143" style="56" customWidth="1"/>
    <col min="9" max="9" width="28.8571428571429" style="56" customWidth="1"/>
    <col min="10" max="10" width="26.1428571428571" style="58" customWidth="1"/>
    <col min="11" max="11" width="27.1428571428571" style="58" customWidth="1"/>
    <col min="12" max="12" width="16.5714285714286" style="56" customWidth="1"/>
    <col min="13" max="13" width="17" style="56" customWidth="1"/>
    <col min="14" max="14" width="18.4285714285714" style="56" customWidth="1"/>
    <col min="15" max="15" width="17" style="56" customWidth="1"/>
    <col min="16" max="16" width="18.2857142857143" customWidth="1"/>
    <col min="17" max="17" width="21" customWidth="1"/>
    <col min="18" max="18" width="19.5714285714286" customWidth="1"/>
    <col min="19" max="19" width="21" customWidth="1"/>
    <col min="20" max="20" width="24" customWidth="1"/>
    <col min="21" max="21" width="21.5714285714286" customWidth="1"/>
    <col min="22" max="22" width="20.5714285714286" customWidth="1"/>
    <col min="23" max="23" width="16.5714285714286" customWidth="1"/>
    <col min="24" max="24" width="18.5714285714286" customWidth="1"/>
    <col min="25" max="25" width="47.7142857142857" customWidth="1"/>
    <col min="27" max="28" width="14.2857142857143" customWidth="1"/>
    <col min="29" max="29" width="19.8571428571429" customWidth="1"/>
    <col min="30" max="30" width="20.7142857142857" customWidth="1"/>
    <col min="31" max="31" width="23.7142857142857" customWidth="1"/>
    <col min="32" max="32" width="19.7142857142857" customWidth="1"/>
    <col min="33" max="33" width="17.8571428571429" customWidth="1"/>
    <col min="34" max="34" width="16.2857142857143" customWidth="1"/>
    <col min="35" max="35" width="19.7142857142857" customWidth="1"/>
    <col min="36" max="36" width="22.1428571428571" customWidth="1"/>
  </cols>
  <sheetData>
    <row r="1" spans="8:15" ht="37.5" customHeight="1" hidden="1">
      <c r="H1" s="57"/>
      <c r="I1" s="57"/>
      <c r="J1" s="57"/>
      <c r="K1" s="57"/>
      <c r="L1" s="57"/>
      <c r="M1" s="57"/>
      <c r="O1" s="57"/>
    </row>
    <row r="2" spans="1:30" s="32" customFormat="1" ht="219.15" customHeight="1">
      <c r="A2" s="1" t="s">
        <v>171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AC2" s="39"/>
      <c r="AD2" s="39"/>
    </row>
    <row r="3" spans="1:25" s="45" customFormat="1" ht="50.1" customHeight="1">
      <c r="A3" s="128" t="s">
        <v>7</v>
      </c>
      <c r="B3" s="128"/>
      <c r="C3" s="128"/>
      <c r="D3" s="10"/>
      <c r="E3" s="10"/>
      <c r="F3" s="10"/>
      <c r="G3" s="10"/>
      <c r="H3" s="10" t="s">
        <v>118</v>
      </c>
      <c r="I3" s="10"/>
      <c r="J3" s="10"/>
      <c r="K3" s="3" t="str">
        <f>Data!BF5</f>
        <v>McKinnis, Stephen</v>
      </c>
      <c r="L3" s="3"/>
      <c r="M3" s="3"/>
      <c r="N3" s="3"/>
      <c r="O3" s="3"/>
      <c r="P3" s="3"/>
      <c r="Q3" s="3"/>
      <c r="R3" s="3"/>
      <c r="S3" s="125" t="s">
        <v>4</v>
      </c>
      <c r="T3" s="125"/>
      <c r="U3" s="125"/>
      <c r="V3" s="125"/>
      <c r="W3" s="125"/>
      <c r="X3" s="125"/>
      <c r="Y3" s="125"/>
    </row>
    <row r="4" spans="1:25" s="45" customFormat="1" ht="50.1" customHeight="1">
      <c r="A4" s="126" t="s">
        <v>143</v>
      </c>
      <c r="B4" s="126"/>
      <c r="C4" s="126"/>
      <c r="D4" s="4" t="str">
        <f>Data!BC5</f>
        <v>12125</v>
      </c>
      <c r="E4" s="4"/>
      <c r="F4" s="4"/>
      <c r="G4" s="4"/>
      <c r="H4" s="8" t="s">
        <v>8</v>
      </c>
      <c r="I4" s="8"/>
      <c r="J4" s="8"/>
      <c r="K4" s="3" t="str">
        <f>TRIM(Data!AX5)</f>
        <v>Roller Shutters, Sheers &amp; Screen.</v>
      </c>
      <c r="L4" s="3"/>
      <c r="M4" s="3"/>
      <c r="N4" s="3"/>
      <c r="O4" s="3"/>
      <c r="P4" s="3"/>
      <c r="Q4" s="3"/>
      <c r="R4" s="3"/>
      <c r="S4" s="3" t="str">
        <f>TRIM(Data!BG5)</f>
        <v/>
      </c>
      <c r="T4" s="3"/>
      <c r="U4" s="3"/>
      <c r="V4" s="3"/>
      <c r="W4" s="3"/>
      <c r="X4" s="3"/>
      <c r="Y4" s="3"/>
    </row>
    <row r="5" spans="1:25" s="46" customFormat="1" ht="50.1" customHeight="1">
      <c r="A5" s="127" t="s">
        <v>15</v>
      </c>
      <c r="B5" s="127"/>
      <c r="C5" s="127"/>
      <c r="D5" s="4" t="str">
        <f>Data!BD5</f>
        <v>A</v>
      </c>
      <c r="E5" s="4"/>
      <c r="F5" s="4"/>
      <c r="G5" s="4"/>
      <c r="H5" s="8" t="s">
        <v>137</v>
      </c>
      <c r="I5" s="8"/>
      <c r="J5" s="8"/>
      <c r="K5" s="3" t="str">
        <f>LEFT(Data!BA5,10)</f>
        <v>24/09/2026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5" s="46" customFormat="1" ht="50.1" customHeight="1">
      <c r="A6" s="2" t="s">
        <v>9</v>
      </c>
      <c r="B6" s="2"/>
      <c r="C6" s="2"/>
      <c r="D6" s="9" t="str">
        <f>Data!AY5</f>
        <v>18/08/2026 12:00:00 AM</v>
      </c>
      <c r="E6" s="9"/>
      <c r="F6" s="9"/>
      <c r="G6" s="9"/>
      <c r="H6" s="4" t="s">
        <v>12</v>
      </c>
      <c r="I6" s="4"/>
      <c r="J6" s="4"/>
      <c r="K6" s="3" t="str">
        <f>TRIM(Data!BF5)</f>
        <v>McKinnis, Stephen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5" s="46" customFormat="1" ht="50.1" customHeight="1">
      <c r="A7" s="130" t="str">
        <f>Data!CZ5</f>
        <v>Retail Customer</v>
      </c>
      <c r="B7" s="130"/>
      <c r="C7" s="130"/>
      <c r="D7" s="130"/>
      <c r="E7" s="130"/>
      <c r="F7" s="130"/>
      <c r="G7" s="130"/>
      <c r="H7" s="4"/>
      <c r="I7" s="4"/>
      <c r="J7" s="4"/>
      <c r="K7" s="3" t="str">
        <f>CONCATENATE(Data!BH5," ",Data!BI5," ",Data!BJ5," ",Data!BK5," ",Data!BL5)</f>
        <v xml:space="preserve"> 6  Sorrento Drive 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5" s="46" customFormat="1" ht="50.1" customHeight="1">
      <c r="A8" s="130"/>
      <c r="B8" s="130"/>
      <c r="C8" s="130"/>
      <c r="D8" s="130"/>
      <c r="E8" s="130"/>
      <c r="F8" s="130"/>
      <c r="G8" s="130"/>
      <c r="H8" s="4"/>
      <c r="I8" s="4"/>
      <c r="J8" s="4"/>
      <c r="K8" s="3" t="str">
        <f>CONCATENATE(Data!BM5," ",Data!BN5," ",Data!BO5," ",Data!BP5)</f>
        <v>Alfredton VIC 3350 Australia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36" s="53" customFormat="1" ht="108.6" customHeight="1">
      <c r="A9" s="131" t="s">
        <v>142</v>
      </c>
      <c r="B9" s="7" t="s">
        <v>172</v>
      </c>
      <c r="C9" s="6" t="s">
        <v>120</v>
      </c>
      <c r="D9" s="129" t="s">
        <v>150</v>
      </c>
      <c r="E9" s="129" t="s">
        <v>170</v>
      </c>
      <c r="F9" s="5" t="s">
        <v>145</v>
      </c>
      <c r="G9" s="129" t="s">
        <v>11</v>
      </c>
      <c r="H9" s="129" t="s">
        <v>158</v>
      </c>
      <c r="I9" s="7" t="s">
        <v>154</v>
      </c>
      <c r="J9" s="7" t="s">
        <v>155</v>
      </c>
      <c r="K9" s="7" t="s">
        <v>178</v>
      </c>
      <c r="L9" s="7" t="s">
        <v>173</v>
      </c>
      <c r="M9" s="7" t="s">
        <v>174</v>
      </c>
      <c r="N9" s="7" t="s">
        <v>190</v>
      </c>
      <c r="O9" s="7" t="s">
        <v>208</v>
      </c>
      <c r="P9" s="7" t="s">
        <v>209</v>
      </c>
      <c r="Q9" s="7" t="s">
        <v>445</v>
      </c>
      <c r="R9" s="7" t="s">
        <v>446</v>
      </c>
      <c r="S9" s="7" t="s">
        <v>428</v>
      </c>
      <c r="T9" s="5" t="s">
        <v>260</v>
      </c>
      <c r="U9" s="5" t="s">
        <v>151</v>
      </c>
      <c r="V9" s="7" t="s">
        <v>148</v>
      </c>
      <c r="W9" s="7" t="s">
        <v>261</v>
      </c>
      <c r="X9" s="7" t="s">
        <v>262</v>
      </c>
      <c r="Y9" s="7" t="s">
        <v>5</v>
      </c>
      <c r="AA9" s="11" t="s">
        <v>440</v>
      </c>
      <c r="AB9" s="11" t="s">
        <v>441</v>
      </c>
      <c r="AC9" s="13" t="s">
        <v>448</v>
      </c>
      <c r="AD9" s="22" t="s">
        <v>449</v>
      </c>
      <c r="AE9" s="13" t="s">
        <v>451</v>
      </c>
      <c r="AF9" s="22" t="s">
        <v>450</v>
      </c>
      <c r="AG9" s="7" t="s">
        <v>442</v>
      </c>
      <c r="AH9" s="7" t="s">
        <v>443</v>
      </c>
      <c r="AI9" s="22" t="s">
        <v>453</v>
      </c>
      <c r="AJ9" s="22" t="s">
        <v>454</v>
      </c>
    </row>
    <row r="10" spans="1:36" s="53" customFormat="1" ht="14.25" customHeight="1" hidden="1">
      <c r="A10" s="131"/>
      <c r="B10" s="7"/>
      <c r="C10" s="6"/>
      <c r="D10" s="129"/>
      <c r="E10" s="129"/>
      <c r="F10" s="5"/>
      <c r="G10" s="129"/>
      <c r="H10" s="129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5"/>
      <c r="U10" s="5"/>
      <c r="V10" s="7"/>
      <c r="W10" s="7"/>
      <c r="X10" s="7"/>
      <c r="Y10" s="7"/>
      <c r="AA10" s="11"/>
      <c r="AB10" s="11"/>
      <c r="AC10" s="12"/>
      <c r="AD10" s="21"/>
      <c r="AE10" s="12"/>
      <c r="AF10" s="21"/>
      <c r="AG10" s="7"/>
      <c r="AH10" s="7"/>
      <c r="AI10" s="21"/>
      <c r="AJ10" s="21"/>
    </row>
    <row r="11" spans="1:36" s="40" customFormat="1" ht="69.75">
      <c r="A11" s="71">
        <f>Data!AW11</f>
        <v>7</v>
      </c>
      <c r="B11" s="73" t="str">
        <f>IF(Data!BE11="","",MID(Data!BE11,6,80))</f>
        <v>Screen Alu-Gard Perforated Aluminium Dune</v>
      </c>
      <c r="C11" s="72" t="str">
        <f>Data!AY11</f>
        <v>Side Light</v>
      </c>
      <c r="D11" s="79">
        <f>SUM(Data!BA11)</f>
        <v>200</v>
      </c>
      <c r="E11" s="79">
        <f>SUM(Data!BB11)</f>
        <v>2075</v>
      </c>
      <c r="F11" s="78" t="str">
        <f t="array" ref="F11">bpLOOKUP(Data!$AV11,"Size",CustOrdOpt,6,FALSE)</f>
        <v>Opening</v>
      </c>
      <c r="G11" s="78" t="str">
        <f t="array" ref="G11">bpLOOKUP(Data!$AV11,"FIT",CustOrdOpt,6,FALSE)</f>
        <v>Outside</v>
      </c>
      <c r="H11" s="78" t="str">
        <f t="array" ref="H11">bpLOOKUP(Data!$AV11,"FIXING",CustOrdOpt,6,FALSE)</f>
        <v>Timber</v>
      </c>
      <c r="I11" s="73" t="str">
        <f t="array" ref="I11">IF(bpLOOKUP(Data!$AV11,"COLOURTYPE",CustOrdOpt,6,FALSE)="Custom Powdercoat",bpLOOKUP(Data!$AV11,"COLOUR",CustOrdOpt,6,FALSE),bpLOOKUP(Data!$AV11,"COLOURTYPE",CustOrdOpt,6,FALSE))</f>
        <v/>
      </c>
      <c r="J11" s="73" t="str">
        <f t="array" ref="J11">bpLOOKUP(Data!$AV11,"MESH",CustOrdOpt,6,FALSE)</f>
        <v/>
      </c>
      <c r="K11" s="73" t="str">
        <f t="array" ref="K11">bpLOOKUP(Data!$AV11,"DVACOLOUR",CustOrdOpt,6,FALSE)</f>
        <v/>
      </c>
      <c r="L11" s="73" t="str">
        <f t="array" ref="L11">bpLOOKUP(Data!$AV11,"FRAMESIZE",CustOrdOpt,6,FALSE)</f>
        <v>37mm x 11mm</v>
      </c>
      <c r="M11" s="73" t="str">
        <f t="array" ref="M11">bpLOOKUP(Data!$AV11,"MOUNT",CustOrdOpt,6,FALSE)</f>
        <v>Fixed</v>
      </c>
      <c r="N11" s="73" t="str">
        <f t="array" ref="N11">bpLOOKUP(Data!$AV11,"LIFTTABS",CustOrdOpt,6,FALSE)</f>
        <v/>
      </c>
      <c r="O11" s="73" t="str">
        <f t="array" ref="O11">bpLOOKUP(Data!$AV11,"CUTOUTS",CustOrdOpt,6,FALSE)</f>
        <v/>
      </c>
      <c r="P11" s="73" t="str">
        <f t="array" ref="P11">bpLOOKUP(Data!$AV11,"MIDRAIL",CustOrdOpt,6,FALSE)</f>
        <v/>
      </c>
      <c r="Q11" s="73" t="str">
        <f t="array" ref="Q11">IF(OR(P11="Yes - Centre Horizontal",P11="Yes - Centre Horizontal &amp; Vertical"),X11/2,bpLOOKUP(Data!$AV11,"MIDRAILHEIGHT",CustOrdOpt,6,FALSE))</f>
        <v/>
      </c>
      <c r="R11" s="73" t="str">
        <f t="array" ref="R11">IF(OR(P11="Yes - Centre Vertical",P11="Yes - Centre Horizontal &amp; Vertical"),W11/2,bpLOOKUP(Data!$AV11,"VMIDRAILHEIGHT",CustOrdOpt,6,FALSE))</f>
        <v/>
      </c>
      <c r="S11" s="73" t="str">
        <f t="array" ref="S11">bpLOOKUP(Data!$AV11,"MIDRAILCOLOUR",CustOrdOpt,6,FALSE)</f>
        <v/>
      </c>
      <c r="T11" s="78" t="str">
        <f t="array" ref="T11">bpLOOKUP(Data!$AV11,"ANGLE",CustOrdOpt,6,FALSE)</f>
        <v/>
      </c>
      <c r="U11" s="78" t="str">
        <f t="array" ref="U11">bpLOOKUP(Data!$AV11,"SIDEBYSIDE",CustOrdOpt,6,FALSE)</f>
        <v>No</v>
      </c>
      <c r="V11" s="73" t="str">
        <f t="array" ref="V11">bpLOOKUP(Data!$AV11,"INSTALLATION",CustOrdOpt,6,FALSE)</f>
        <v>Installation</v>
      </c>
      <c r="W11" s="44">
        <f>IF(Data!BA11="","",IF(F11="Opening",Data!BA11-VLOOKUP(U11,SideDeduct,2,FALSE)-VLOOKUP(CONCATENATE(G11,M11),MountingMethod,2,FALSE)-(IF(OR(L11="37mm x 11mm",L11="Invisi-Gard 37mm x 9mm",L11="Invisi-Gard 37mm x 11mm"),4)),IF(F11="Making",Data!BA11)))</f>
        <v>196</v>
      </c>
      <c r="X11" s="44">
        <f>IF(Data!BB11="","",IF(F11="Opening",Data!BB11-VLOOKUP(U11,SideDeduct,2,FALSE)-IF(O11="Yes",55,0)-VLOOKUP(CONCATENATE(G11,M11),MountingMethod,3,FALSE)-(IF(OR(L11="37mm x 11mm",L11="Invisi-Gard 37mm x 9mm",L11="Invisi-Gard 37mm x 11mm"),4)),IF(F11="Making",Data!BB11)))</f>
        <v>2071</v>
      </c>
      <c r="Y11" s="73" t="str">
        <f t="array" ref="Y11">bpLOOKUP(Data!$AV11,"Notes",CustOrdOpt,6,FALSE)</f>
        <v>Mesh is on bottom shelf of Assembly A</v>
      </c>
      <c r="AA11" s="113">
        <f>IF(Data!BN11="Invisi-Scape","",IF(AND(L11="37mm x 11mm",R11&lt;&gt;""),W11-55,IF(L11="37mm x 11mm",W11-50,IF(AND(L11="70mm x 20mm",R11&lt;&gt;""),W11-119,IF(L11="70mm x 20mm",W11-114,IF(AND(L11="Invisi-Gard 70mm x 20mm",R11&lt;&gt;""),W11-125,IF(L11="Invisi-Gard 70mm x 20mm",W11-110,IF(AND(R11&lt;&gt;"",OR(L11="Invisi-Gard 37mm x 9mm",L11="Invisi-Gard 37mm x 11mm")),W11-60,IF(OR(L11="Invisi-Gard 37mm x 9mm",L11="Invisi-Gard 37mm x 11mm"),W11-45,"")))))))))</f>
        <v>146</v>
      </c>
      <c r="AB11" s="113">
        <f>IF(Data!BN11="Invisi-Scape","",IF(AND(L11="37mm x 11mm",Q11&lt;&gt;""),X11-55,IF(L11="37mm x 11mm",X11-50,IF(AND(L11="70mm x 20mm",Q11&lt;&gt;""),X11-119,IF(L11="70mm x 20mm",X11-114,IF(AND(L11="Invisi-Gard 70mm x 20mm",Q11&lt;&gt;""),X11-125,IF(L11="Invisi-Gard 70mm x 20mm",X11-110,IF(AND(Q11&lt;&gt;"",OR(L11="Invisi-Gard 37mm x 9mm",L11="Invisi-Gard 37mm x 11mm")),X11-60,IF(OR(L11="Invisi-Gard 37mm x 9mm",L11="Invisi-Gard 37mm x 11mm"),X11-45,"")))))))))</f>
        <v>2021</v>
      </c>
      <c r="AC11" s="116" t="str">
        <f>IF(OR(Data!AW11="",Data!BN11="Invisi-Scape"),"",IF(L11="Invisi-Gard 70mm x 20mm",W11-149,IF(AND(OR(L11="Invisi-Gard 37mm x 11mm",L11="Invisi-Gard 37mm x 9mm"),R11&lt;&gt;""),R11-74,IF(OR(L11="Invisi-Gard 37mm x 11mm",L11="Invisi-Gard 37mm x 9mm"),W11-85,""))))</f>
        <v/>
      </c>
      <c r="AD11" s="116" t="str">
        <f>IF(OR(Data!AW11="",Data!BN11="Invisi-Scape",P11="",R11=""),"",IF(L11="Invisi-Gard 70mm x 20mm",W11-149,IF(AND(OR(L11="Invisi-Gard 37mm x 11mm",L11="Invisi-Gard 37mm x 9mm"),R11&lt;&gt;""),W11-AC11-148,IF(OR(L11="Invisi-Gard 37mm x 11mm",L11="Invisi-Gard 37mm x 9mm"),W11-85,""))))</f>
        <v/>
      </c>
      <c r="AE11" s="116" t="str">
        <f>IF(OR(Data!AW11="",Data!BN11="Invisi-Scape"),"",IF(L11="Invisi-Gard 70mm x 20mm",X11-160,IF(AND(OR(L11="Invisi-Gard 37mm x 11mm",L11="Invisi-Gard 37mm x 9mm"),Q11&lt;&gt;""),Q11-85,IF(OR(L11="Invisi-Gard 37mm x 11mm",L11="Invisi-Gard 37mm x 9mm"),X11-96,""))))</f>
        <v/>
      </c>
      <c r="AF11" s="116" t="str">
        <f>IF(OR(Data!AW11="",Data!BN11="Invisi-Scape",P11="",Q11=""),"",IF(L11="Invisi-Gard 70mm x 20mm",X11-160,IF(AND(OR(L11="Invisi-Gard 37mm x 11mm",L11="Invisi-Gard 37mm x 9mm"),Q11&lt;&gt;""),X11-AE11-170,IF(OR(L11="Invisi-Gard 37mm x 11mm",L11="Invisi-Gard 37mm x 9mm"),X11-96,""))))</f>
        <v/>
      </c>
      <c r="AG11" s="113" t="str">
        <f>IF(OR(Data!AX11="",Data!BN11="Invisi-Scape"),"",IF(AND(OR(L11="11mm",L11="9mm"),OR(P11="Yes - Centre Horizontal",P11="Yes - Horizontal",P11="Yes - Centre Horizontal &amp; Vertical",P11="Yes - Horizontal &amp; Vertical")),W11-44,IF(AND(OR(L11="Invisi-Gard 37mm x 11mm",L11="Invisi-Gard 37mm x 9mm"),OR(P11="Yes - Centre Horizontal",P11="Yes - Horizontal",P11="Yes - Centre Horizontal &amp; Vertical",P11="Yes - Horizontal &amp; Vertical")),W11-84,IF(AND(L11="37mm x 11mm",OR(P11="Yes - Centre Horizontal",P11="Yes - Horizontal",P11="Yes - Centre Horizontal &amp; Vertical",P11="Yes - Horizontal &amp; Vertical")),W11-90,IF(AND(L11="Invisi-Gard 70mm x 20mm",OR(P11="Yes - Centre Horizontal",P11="Yes - Horizontal",P11="Yes - Centre Horizontal &amp; Vertical",P11="Yes - Horizontal &amp; Vertical")),W11-149,IF(AND(L11="70mm x 20mm",OR(P11="Yes - Centre Horizontal",P11="Yes - Horizontal",P11="Yes - Centre Horizontal &amp; Vertical",P11="Yes - Horizontal &amp; Vertical")),W11-115,IF(OR(P11="Yes - Centre Horizontal",P11="Yes - Horizontal",P11="Yes - Centre Horizontal &amp; Vertical",P11="Yes - Horizontal &amp; Vertical"),W11-46,"")))))))</f>
        <v/>
      </c>
      <c r="AH11" s="113" t="str">
        <f>IF(OR(Data!AX11="",Data!BN11="Invisi-Scape"),"",IF(AND(OR(L11="11mm",L11="9mm"),OR(P11="Yes - Centre Vertical",P11="Yes - Vertical")),X11-44,IF(AND(OR(L11="11mm",L11="9mm"),OR(P11="Yes - Centre Horizontal &amp; Vertical",P11="Yes - Horizontal &amp; Vertical")),X11-66,IF(AND(OR(L11="Invisi-Gard 37mm x 11mm",L11="Invisi-Gard 37mm x 9mm"),OR(P11="Yes - Centre Vertical",P11="Yes - Vertical")),X11-84,IF(AND(OR(L11="Invisi-Gard 37mm x 11mm",L11="Invisi-Gard 37mm x 9mm"),OR(P11="Yes - Centre Horizontal &amp; Vertical",P11="Yes - Horizontal &amp; Vertical")),X11-144,IF(AND(L11="37mm x 11mm",OR(P11="Yes - Centre Vertical",P11="Yes - Vertical")),X11-90,IF(AND(L11="37mm x 11mm",OR(P11="Yes - Centre Horizontal &amp; Vertical",P11="Yes - Horizontal &amp; Vertical")),X11-118,IF(AND(L11="Invisi-Gard 70mm x 20mm",OR(P11="Yes - Centre Vertical",P11="Yes - Vertical")),X11-149,IF(AND(L11="Invisi-Gard 70mm x 20mm",OR(P11="Yes - Centre Horizontal &amp; Vertical",P11="Yes - Horizontal &amp; Vertical")),X11-209,IF(AND(L11="70mm x 20mm",OR(P11="Yes - Centre Vertical",P11="Yes - Vertical")),X11-115,IF(AND(L11="70mm x 20mm",OR(P11="Yes - Centre Horizontal &amp; Vertical",P11="Yes - Horizontal &amp; Vertical")),X11-143,IF(OR(P11="Yes - Centre Vertical",P11="Yes - Vertical",P11="Yes - Centre Horizontal &amp; Vertical",P11="Yes - Horizontal &amp; Vertical"),X11-46,""))))))))))))</f>
        <v/>
      </c>
      <c r="AI11" s="116" t="str">
        <f>IF(OR(Data!AX11="",Data!BN11="Invisi-Scape"),"",IF(AND(OR(L11="Invisi-Gard 37mm x 11mm",L11="Invisi-Gard 37mm x 9mm"),OR(P11="Yes - Centre Horizontal &amp; Vertical",P11="Yes - Horizontal &amp; Vertical")),X11-Q11-72,IF(AND(L11="37mm x 11mm",OR(P11="Yes - Centre Horizontal &amp; Vertical",P11="Yes - Horizontal &amp; Vertical")),X11-118,IF(AND(L11="Invisi-Gard 70mm x 20mm",OR(P11="Yes - Centre Horizontal &amp; Vertical",P11="Yes - Horizontal &amp; Vertical")),X11-209,IF(AND(L11="70mm x 20mm",OR(P11="Yes - Centre Horizontal &amp; Vertical",P11="Yes - Horizontal &amp; Vertical")),X11-143,IF(OR(P11="Yes - Centre Horizontal &amp; Vertical",P11="Yes - Horizontal &amp; Vertical"),X11-46,""))))))</f>
        <v/>
      </c>
      <c r="AJ11" s="116" t="str">
        <f>IF(OR(P11="Yes - Centre Horizontal &amp; Vertical",P11="Yes - Horizontal &amp; Vertical"),AH11-AI11,"")</f>
        <v/>
      </c>
    </row>
    <row r="12" spans="1:36" s="40" customFormat="1" ht="60" customHeight="1">
      <c r="A12" s="71">
        <f>Data!AW12</f>
        <v>0</v>
      </c>
      <c r="B12" s="73" t="str">
        <f>IF(Data!BE12="","",MID(Data!BE12,6,80))</f>
        <v/>
      </c>
      <c r="C12" s="72">
        <f>Data!AY12</f>
        <v>0</v>
      </c>
      <c r="D12" s="79">
        <f>SUM(Data!BA12)</f>
        <v>0</v>
      </c>
      <c r="E12" s="79">
        <f>SUM(Data!BB12)</f>
        <v>0</v>
      </c>
      <c r="F12" s="78" t="str">
        <f t="array" ref="F12">bpLOOKUP(Data!$AV12,"Size",CustOrdOpt,6,FALSE)</f>
        <v/>
      </c>
      <c r="G12" s="78" t="str">
        <f t="array" ref="G12">bpLOOKUP(Data!$AV12,"FIT",CustOrdOpt,6,FALSE)</f>
        <v/>
      </c>
      <c r="H12" s="78" t="str">
        <f t="array" ref="H12">bpLOOKUP(Data!$AV12,"FIXING",CustOrdOpt,6,FALSE)</f>
        <v/>
      </c>
      <c r="I12" s="73" t="str">
        <f t="array" ref="I12">IF(bpLOOKUP(Data!$AV12,"COLOURTYPE",CustOrdOpt,6,FALSE)="Custom Powdercoat",bpLOOKUP(Data!$AV12,"COLOUR",CustOrdOpt,6,FALSE),bpLOOKUP(Data!$AV12,"COLOURTYPE",CustOrdOpt,6,FALSE))</f>
        <v/>
      </c>
      <c r="J12" s="73" t="str">
        <f t="array" ref="J12">bpLOOKUP(Data!$AV12,"MESH",CustOrdOpt,6,FALSE)</f>
        <v/>
      </c>
      <c r="K12" s="73" t="str">
        <f t="array" ref="K12">bpLOOKUP(Data!$AV12,"DVACOLOUR",CustOrdOpt,6,FALSE)</f>
        <v/>
      </c>
      <c r="L12" s="73" t="str">
        <f t="array" ref="L12">bpLOOKUP(Data!$AV12,"FRAMESIZE",CustOrdOpt,6,FALSE)</f>
        <v/>
      </c>
      <c r="M12" s="73" t="str">
        <f t="array" ref="M12">bpLOOKUP(Data!$AV12,"MOUNT",CustOrdOpt,6,FALSE)</f>
        <v/>
      </c>
      <c r="N12" s="73" t="str">
        <f t="array" ref="N12">bpLOOKUP(Data!$AV12,"LIFTTABS",CustOrdOpt,6,FALSE)</f>
        <v/>
      </c>
      <c r="O12" s="73" t="str">
        <f t="array" ref="O12">bpLOOKUP(Data!$AV12,"CUTOUTS",CustOrdOpt,6,FALSE)</f>
        <v/>
      </c>
      <c r="P12" s="73" t="str">
        <f t="array" ref="P12">bpLOOKUP(Data!$AV12,"MIDRAIL",CustOrdOpt,6,FALSE)</f>
        <v/>
      </c>
      <c r="Q12" s="73" t="str">
        <f t="array" ref="Q12">IF(OR(P12="Yes - Centre Horizontal",P12="Yes - Centre Horizontal &amp; Vertical"),X12/2,bpLOOKUP(Data!$AV12,"MIDRAILHEIGHT",CustOrdOpt,6,FALSE))</f>
        <v/>
      </c>
      <c r="R12" s="73" t="str">
        <f t="array" ref="R12">IF(OR(P12="Yes - Centre Vertical",P12="Yes - Centre Horizontal &amp; Vertical"),W12/2,bpLOOKUP(Data!$AV12,"VMIDRAILHEIGHT",CustOrdOpt,6,FALSE))</f>
        <v/>
      </c>
      <c r="S12" s="73" t="str">
        <f t="array" ref="S12">bpLOOKUP(Data!$AV12,"MIDRAILCOLOUR",CustOrdOpt,6,FALSE)</f>
        <v/>
      </c>
      <c r="T12" s="78" t="str">
        <f t="array" ref="T12">bpLOOKUP(Data!$AV12,"ANGLE",CustOrdOpt,6,FALSE)</f>
        <v/>
      </c>
      <c r="U12" s="78" t="str">
        <f t="array" ref="U12">bpLOOKUP(Data!$AV12,"SIDEBYSIDE",CustOrdOpt,6,FALSE)</f>
        <v/>
      </c>
      <c r="V12" s="73" t="str">
        <f t="array" ref="V12">bpLOOKUP(Data!$AV12,"INSTALLATION",CustOrdOpt,6,FALSE)</f>
        <v/>
      </c>
      <c r="W12" s="44" t="str">
        <f>IF(Data!BA12="","",IF(F12="Opening",Data!BA12-VLOOKUP(U12,SideDeduct,2,FALSE)-VLOOKUP(CONCATENATE(G12,M12),MountingMethod,2,FALSE)-(IF(OR(L12="37mm x 11mm",L12="Invisi-Gard 37mm x 9mm",L12="Invisi-Gard 37mm x 11mm"),4)),IF(F12="Making",Data!BA12)))</f>
        <v/>
      </c>
      <c r="X12" s="44" t="str">
        <f>IF(Data!BB12="","",IF(F12="Opening",Data!BB12-VLOOKUP(U12,SideDeduct,2,FALSE)-IF(O12="Yes",55,0)-VLOOKUP(CONCATENATE(G12,M12),MountingMethod,3,FALSE)-(IF(OR(L12="37mm x 11mm",L12="Invisi-Gard 37mm x 9mm",L12="Invisi-Gard 37mm x 11mm"),4)),IF(F12="Making",Data!BB12)))</f>
        <v/>
      </c>
      <c r="Y12" s="73" t="str">
        <f t="array" ref="Y12">bpLOOKUP(Data!$AV12,"Notes",CustOrdOpt,6,FALSE)</f>
        <v/>
      </c>
      <c r="AA12" s="113" t="str">
        <f>IF(Data!BN12="Invisi-Scape","",IF(AND(L12="37mm x 11mm",R12&lt;&gt;""),W12-55,IF(L12="37mm x 11mm",W12-50,IF(AND(L12="70mm x 20mm",R12&lt;&gt;""),W12-119,IF(L12="70mm x 20mm",W12-114,IF(AND(L12="Invisi-Gard 70mm x 20mm",R12&lt;&gt;""),W12-125,IF(L12="Invisi-Gard 70mm x 20mm",W12-110,IF(AND(R12&lt;&gt;"",OR(L12="Invisi-Gard 37mm x 9mm",L12="Invisi-Gard 37mm x 11mm")),W12-60,IF(OR(L12="Invisi-Gard 37mm x 9mm",L12="Invisi-Gard 37mm x 11mm"),W12-45,"")))))))))</f>
        <v/>
      </c>
      <c r="AB12" s="113" t="str">
        <f>IF(Data!BN12="Invisi-Scape","",IF(AND(L12="37mm x 11mm",Q12&lt;&gt;""),X12-55,IF(L12="37mm x 11mm",X12-50,IF(AND(L12="70mm x 20mm",Q12&lt;&gt;""),X12-119,IF(L12="70mm x 20mm",X12-114,IF(AND(L12="Invisi-Gard 70mm x 20mm",Q12&lt;&gt;""),X12-125,IF(L12="Invisi-Gard 70mm x 20mm",X12-110,IF(AND(Q12&lt;&gt;"",OR(L12="Invisi-Gard 37mm x 9mm",L12="Invisi-Gard 37mm x 11mm")),X12-60,IF(OR(L12="Invisi-Gard 37mm x 9mm",L12="Invisi-Gard 37mm x 11mm"),X12-45,"")))))))))</f>
        <v/>
      </c>
      <c r="AC12" s="116" t="str">
        <f>IF(OR(Data!AW12="",Data!BN12="Invisi-Scape"),"",IF(L12="Invisi-Gard 70mm x 20mm",W12-149,IF(AND(OR(L12="Invisi-Gard 37mm x 11mm",L12="Invisi-Gard 37mm x 9mm"),R12&lt;&gt;""),R12-74,IF(OR(L12="Invisi-Gard 37mm x 11mm",L12="Invisi-Gard 37mm x 9mm"),W12-85,""))))</f>
        <v/>
      </c>
      <c r="AD12" s="116" t="str">
        <f>IF(OR(Data!AW12="",Data!BN12="Invisi-Scape",P12="",R12=""),"",IF(L12="Invisi-Gard 70mm x 20mm",W12-149,IF(AND(OR(L12="Invisi-Gard 37mm x 11mm",L12="Invisi-Gard 37mm x 9mm"),R12&lt;&gt;""),W12-AC12-148,IF(OR(L12="Invisi-Gard 37mm x 11mm",L12="Invisi-Gard 37mm x 9mm"),W12-85,""))))</f>
        <v/>
      </c>
      <c r="AE12" s="116" t="str">
        <f>IF(OR(Data!AW12="",Data!BN12="Invisi-Scape"),"",IF(L12="Invisi-Gard 70mm x 20mm",X12-160,IF(AND(OR(L12="Invisi-Gard 37mm x 11mm",L12="Invisi-Gard 37mm x 9mm"),Q12&lt;&gt;""),Q12-85,IF(OR(L12="Invisi-Gard 37mm x 11mm",L12="Invisi-Gard 37mm x 9mm"),X12-96,""))))</f>
        <v/>
      </c>
      <c r="AF12" s="116" t="str">
        <f>IF(OR(Data!AW12="",Data!BN12="Invisi-Scape",P12="",Q12=""),"",IF(L12="Invisi-Gard 70mm x 20mm",X12-160,IF(AND(OR(L12="Invisi-Gard 37mm x 11mm",L12="Invisi-Gard 37mm x 9mm"),Q12&lt;&gt;""),X12-AE12-170,IF(OR(L12="Invisi-Gard 37mm x 11mm",L12="Invisi-Gard 37mm x 9mm"),X12-96,""))))</f>
        <v/>
      </c>
      <c r="AG12" s="113" t="str">
        <f>IF(OR(Data!AX12="",Data!BN12="Invisi-Scape"),"",IF(AND(OR(L12="11mm",L12="9mm"),OR(P12="Yes - Centre Horizontal",P12="Yes - Horizontal",P12="Yes - Centre Horizontal &amp; Vertical",P12="Yes - Horizontal &amp; Vertical")),W12-44,IF(AND(OR(L12="Invisi-Gard 37mm x 11mm",L12="Invisi-Gard 37mm x 9mm"),OR(P12="Yes - Centre Horizontal",P12="Yes - Horizontal",P12="Yes - Centre Horizontal &amp; Vertical",P12="Yes - Horizontal &amp; Vertical")),W12-84,IF(AND(L12="37mm x 11mm",OR(P12="Yes - Centre Horizontal",P12="Yes - Horizontal",P12="Yes - Centre Horizontal &amp; Vertical",P12="Yes - Horizontal &amp; Vertical")),W12-90,IF(AND(L12="Invisi-Gard 70mm x 20mm",OR(P12="Yes - Centre Horizontal",P12="Yes - Horizontal",P12="Yes - Centre Horizontal &amp; Vertical",P12="Yes - Horizontal &amp; Vertical")),W12-149,IF(AND(L12="70mm x 20mm",OR(P12="Yes - Centre Horizontal",P12="Yes - Horizontal",P12="Yes - Centre Horizontal &amp; Vertical",P12="Yes - Horizontal &amp; Vertical")),W12-115,IF(OR(P12="Yes - Centre Horizontal",P12="Yes - Horizontal",P12="Yes - Centre Horizontal &amp; Vertical",P12="Yes - Horizontal &amp; Vertical"),W12-46,"")))))))</f>
        <v/>
      </c>
      <c r="AH12" s="113" t="str">
        <f>IF(OR(Data!AX12="",Data!BN12="Invisi-Scape"),"",IF(AND(OR(L12="Invisi-Gard 37mm x 11mm",L12="Invisi-Gard 37mm x 9mm"),OR(P12="Yes - Centre Vertical",P12="Yes - Vertical")),X12-84,IF(AND(OR(L12="Invisi-Gard 37mm x 11mm",L12="Invisi-Gard 37mm x 9mm"),OR(P12="Yes - Centre Horizontal &amp; Vertical",P12="Yes - Horizontal &amp; Vertical")),X12-144,IF(AND(L12="37mm x 11mm",OR(P12="Yes - Centre Vertical",P12="Yes - Vertical")),X12-90,IF(AND(L12="37mm x 11mm",OR(P12="Yes - Centre Horizontal &amp; Vertical",P12="Yes - Horizontal &amp; Vertical")),X12-118,IF(AND(L12="Invisi-Gard 70mm x 20mm",OR(P12="Yes - Centre Vertical",P12="Yes - Vertical")),X12-149,IF(AND(L12="Invisi-Gard 70mm x 20mm",OR(P12="Yes - Centre Horizontal &amp; Vertical",P12="Yes - Horizontal &amp; Vertical")),X12-209,IF(AND(L12="70mm x 20mm",OR(P12="Yes - Centre Vertical",P12="Yes - Vertical")),X12-115,IF(AND(L12="70mm x 20mm",OR(P12="Yes - Centre Horizontal &amp; Vertical",P12="Yes - Horizontal &amp; Vertical")),X12-143,IF(OR(P12="Yes - Centre Vertical",P12="Yes - Vertical",P12="Yes - Centre Horizontal &amp; Vertical",P12="Yes - Horizontal &amp; Vertical"),X12-46,""))))))))))</f>
        <v/>
      </c>
      <c r="AI12" s="116" t="str">
        <f>IF(OR(Data!AX12="",Data!BN12="Invisi-Scape"),"",IF(AND(OR(L12="Invisi-Gard 37mm x 11mm",L12="Invisi-Gard 37mm x 9mm"),OR(P12="Yes - Centre Horizontal &amp; Vertical",P12="Yes - Horizontal &amp; Vertical")),X12-Q12-72,IF(AND(L12="37mm x 11mm",OR(P12="Yes - Centre Horizontal &amp; Vertical",P12="Yes - Horizontal &amp; Vertical")),X12-118,IF(AND(L12="Invisi-Gard 70mm x 20mm",OR(P12="Yes - Centre Horizontal &amp; Vertical",P12="Yes - Horizontal &amp; Vertical")),X12-209,IF(AND(L12="70mm x 20mm",OR(P12="Yes - Centre Horizontal &amp; Vertical",P12="Yes - Horizontal &amp; Vertical")),X12-143,IF(OR(P12="Yes - Centre Horizontal &amp; Vertical",P12="Yes - Horizontal &amp; Vertical"),X12-46,""))))))</f>
        <v/>
      </c>
      <c r="AJ12" s="116" t="str">
        <f>IF(OR(P12="Yes - Centre Horizontal &amp; Vertical",P12="Yes - Horizontal &amp; Vertical"),AH12-AI12,"")</f>
        <v/>
      </c>
    </row>
    <row r="13" spans="1:36" s="40" customFormat="1" ht="60" customHeight="1">
      <c r="A13" s="71">
        <f>Data!AW13</f>
        <v>0</v>
      </c>
      <c r="B13" s="73" t="str">
        <f>IF(Data!BE13="","",MID(Data!BE13,6,80))</f>
        <v/>
      </c>
      <c r="C13" s="72">
        <f>Data!AY13</f>
        <v>0</v>
      </c>
      <c r="D13" s="79">
        <f>SUM(Data!BA13)</f>
        <v>0</v>
      </c>
      <c r="E13" s="79">
        <f>SUM(Data!BB13)</f>
        <v>0</v>
      </c>
      <c r="F13" s="78" t="str">
        <f t="array" ref="F13">bpLOOKUP(Data!$AV13,"Size",CustOrdOpt,6,FALSE)</f>
        <v/>
      </c>
      <c r="G13" s="78" t="str">
        <f t="array" ref="G13">bpLOOKUP(Data!$AV13,"FIT",CustOrdOpt,6,FALSE)</f>
        <v/>
      </c>
      <c r="H13" s="78" t="str">
        <f t="array" ref="H13">bpLOOKUP(Data!$AV13,"FIXING",CustOrdOpt,6,FALSE)</f>
        <v/>
      </c>
      <c r="I13" s="73" t="str">
        <f t="array" ref="I13">IF(bpLOOKUP(Data!$AV13,"COLOURTYPE",CustOrdOpt,6,FALSE)="Custom Powdercoat",bpLOOKUP(Data!$AV13,"COLOUR",CustOrdOpt,6,FALSE),bpLOOKUP(Data!$AV13,"COLOURTYPE",CustOrdOpt,6,FALSE))</f>
        <v/>
      </c>
      <c r="J13" s="73" t="str">
        <f t="array" ref="J13">bpLOOKUP(Data!$AV13,"MESH",CustOrdOpt,6,FALSE)</f>
        <v/>
      </c>
      <c r="K13" s="73" t="str">
        <f t="array" ref="K13">bpLOOKUP(Data!$AV13,"DVACOLOUR",CustOrdOpt,6,FALSE)</f>
        <v/>
      </c>
      <c r="L13" s="73" t="str">
        <f t="array" ref="L13">bpLOOKUP(Data!$AV13,"FRAMESIZE",CustOrdOpt,6,FALSE)</f>
        <v/>
      </c>
      <c r="M13" s="73" t="str">
        <f t="array" ref="M13">bpLOOKUP(Data!$AV13,"MOUNT",CustOrdOpt,6,FALSE)</f>
        <v/>
      </c>
      <c r="N13" s="73" t="str">
        <f t="array" ref="N13">bpLOOKUP(Data!$AV13,"LIFTTABS",CustOrdOpt,6,FALSE)</f>
        <v/>
      </c>
      <c r="O13" s="73" t="str">
        <f t="array" ref="O13">bpLOOKUP(Data!$AV13,"CUTOUTS",CustOrdOpt,6,FALSE)</f>
        <v/>
      </c>
      <c r="P13" s="73" t="str">
        <f t="array" ref="P13">bpLOOKUP(Data!$AV13,"MIDRAIL",CustOrdOpt,6,FALSE)</f>
        <v/>
      </c>
      <c r="Q13" s="73" t="str">
        <f t="array" ref="Q13">IF(OR(P13="Yes - Centre Horizontal",P13="Yes - Centre Horizontal &amp; Vertical"),X13/2,bpLOOKUP(Data!$AV13,"MIDRAILHEIGHT",CustOrdOpt,6,FALSE))</f>
        <v/>
      </c>
      <c r="R13" s="73" t="str">
        <f t="array" ref="R13">IF(OR(P13="Yes - Centre Vertical",P13="Yes - Centre Horizontal &amp; Vertical"),W13/2,bpLOOKUP(Data!$AV13,"VMIDRAILHEIGHT",CustOrdOpt,6,FALSE))</f>
        <v/>
      </c>
      <c r="S13" s="73" t="str">
        <f t="array" ref="S13">bpLOOKUP(Data!$AV13,"MIDRAILCOLOUR",CustOrdOpt,6,FALSE)</f>
        <v/>
      </c>
      <c r="T13" s="78" t="str">
        <f t="array" ref="T13">bpLOOKUP(Data!$AV13,"ANGLE",CustOrdOpt,6,FALSE)</f>
        <v/>
      </c>
      <c r="U13" s="78" t="str">
        <f t="array" ref="U13">bpLOOKUP(Data!$AV13,"SIDEBYSIDE",CustOrdOpt,6,FALSE)</f>
        <v/>
      </c>
      <c r="V13" s="73" t="str">
        <f t="array" ref="V13">bpLOOKUP(Data!$AV13,"INSTALLATION",CustOrdOpt,6,FALSE)</f>
        <v/>
      </c>
      <c r="W13" s="44" t="str">
        <f>IF(Data!BA13="","",IF(F13="Opening",Data!BA13-VLOOKUP(U13,SideDeduct,2,FALSE)-VLOOKUP(CONCATENATE(G13,M13),MountingMethod,2,FALSE)-(IF(OR(L13="37mm x 11mm",L13="Invisi-Gard 37mm x 9mm",L13="Invisi-Gard 37mm x 11mm"),4)),IF(F13="Making",Data!BA13)))</f>
        <v/>
      </c>
      <c r="X13" s="44" t="str">
        <f>IF(Data!BB13="","",IF(F13="Opening",Data!BB13-VLOOKUP(U13,SideDeduct,2,FALSE)-IF(O13="Yes",55,0)-VLOOKUP(CONCATENATE(G13,M13),MountingMethod,3,FALSE)-(IF(OR(L13="37mm x 11mm",L13="Invisi-Gard 37mm x 9mm",L13="Invisi-Gard 37mm x 11mm"),4)),IF(F13="Making",Data!BB13)))</f>
        <v/>
      </c>
      <c r="Y13" s="73" t="str">
        <f t="array" ref="Y13">bpLOOKUP(Data!$AV13,"Notes",CustOrdOpt,6,FALSE)</f>
        <v/>
      </c>
      <c r="AA13" s="113" t="str">
        <f>IF(Data!BN13="Invisi-Scape","",IF(AND(L13="37mm x 11mm",R13&lt;&gt;""),W13-55,IF(L13="37mm x 11mm",W13-50,IF(AND(L13="70mm x 20mm",R13&lt;&gt;""),W13-119,IF(L13="70mm x 20mm",W13-114,IF(AND(L13="Invisi-Gard 70mm x 20mm",R13&lt;&gt;""),W13-125,IF(L13="Invisi-Gard 70mm x 20mm",W13-110,IF(AND(R13&lt;&gt;"",OR(L13="Invisi-Gard 37mm x 9mm",L13="Invisi-Gard 37mm x 11mm")),W13-60,IF(OR(L13="Invisi-Gard 37mm x 9mm",L13="Invisi-Gard 37mm x 11mm"),W13-45,"")))))))))</f>
        <v/>
      </c>
      <c r="AB13" s="113" t="str">
        <f>IF(Data!BN13="Invisi-Scape","",IF(AND(L13="37mm x 11mm",Q13&lt;&gt;""),X13-55,IF(L13="37mm x 11mm",X13-50,IF(AND(L13="70mm x 20mm",Q13&lt;&gt;""),X13-119,IF(L13="70mm x 20mm",X13-114,IF(AND(L13="Invisi-Gard 70mm x 20mm",Q13&lt;&gt;""),X13-125,IF(L13="Invisi-Gard 70mm x 20mm",X13-110,IF(AND(Q13&lt;&gt;"",OR(L13="Invisi-Gard 37mm x 9mm",L13="Invisi-Gard 37mm x 11mm")),X13-60,IF(OR(L13="Invisi-Gard 37mm x 9mm",L13="Invisi-Gard 37mm x 11mm"),X13-45,"")))))))))</f>
        <v/>
      </c>
      <c r="AC13" s="116" t="str">
        <f>IF(OR(Data!AW13="",Data!BN13="Invisi-Scape"),"",IF(L13="Invisi-Gard 70mm x 20mm",W13-149,IF(AND(OR(L13="Invisi-Gard 37mm x 11mm",L13="Invisi-Gard 37mm x 9mm"),R13&lt;&gt;""),R13-74,IF(OR(L13="Invisi-Gard 37mm x 11mm",L13="Invisi-Gard 37mm x 9mm"),W13-85,""))))</f>
        <v/>
      </c>
      <c r="AD13" s="116" t="str">
        <f>IF(OR(Data!AW13="",Data!BN13="Invisi-Scape",P13="",R13=""),"",IF(L13="Invisi-Gard 70mm x 20mm",W13-149,IF(AND(OR(L13="Invisi-Gard 37mm x 11mm",L13="Invisi-Gard 37mm x 9mm"),R13&lt;&gt;""),W13-AC13-148,IF(OR(L13="Invisi-Gard 37mm x 11mm",L13="Invisi-Gard 37mm x 9mm"),W13-85,""))))</f>
        <v/>
      </c>
      <c r="AE13" s="116" t="str">
        <f>IF(OR(Data!AW13="",Data!BN13="Invisi-Scape"),"",IF(L13="Invisi-Gard 70mm x 20mm",X13-160,IF(AND(OR(L13="Invisi-Gard 37mm x 11mm",L13="Invisi-Gard 37mm x 9mm"),Q13&lt;&gt;""),Q13-85,IF(OR(L13="Invisi-Gard 37mm x 11mm",L13="Invisi-Gard 37mm x 9mm"),X13-96,""))))</f>
        <v/>
      </c>
      <c r="AF13" s="116" t="str">
        <f>IF(OR(Data!AW13="",Data!BN13="Invisi-Scape",P13="",Q13=""),"",IF(L13="Invisi-Gard 70mm x 20mm",X13-160,IF(AND(OR(L13="Invisi-Gard 37mm x 11mm",L13="Invisi-Gard 37mm x 9mm"),Q13&lt;&gt;""),X13-AE13-170,IF(OR(L13="Invisi-Gard 37mm x 11mm",L13="Invisi-Gard 37mm x 9mm"),X13-96,""))))</f>
        <v/>
      </c>
      <c r="AG13" s="113" t="str">
        <f>IF(OR(Data!AX13="",Data!BN13="Invisi-Scape"),"",IF(AND(OR(L13="11mm",L13="9mm"),OR(P13="Yes - Centre Horizontal",P13="Yes - Horizontal",P13="Yes - Centre Horizontal &amp; Vertical",P13="Yes - Horizontal &amp; Vertical")),W13-44,IF(AND(OR(L13="Invisi-Gard 37mm x 11mm",L13="Invisi-Gard 37mm x 9mm"),OR(P13="Yes - Centre Horizontal",P13="Yes - Horizontal",P13="Yes - Centre Horizontal &amp; Vertical",P13="Yes - Horizontal &amp; Vertical")),W13-84,IF(AND(L13="37mm x 11mm",OR(P13="Yes - Centre Horizontal",P13="Yes - Horizontal",P13="Yes - Centre Horizontal &amp; Vertical",P13="Yes - Horizontal &amp; Vertical")),W13-90,IF(AND(L13="Invisi-Gard 70mm x 20mm",OR(P13="Yes - Centre Horizontal",P13="Yes - Horizontal",P13="Yes - Centre Horizontal &amp; Vertical",P13="Yes - Horizontal &amp; Vertical")),W13-149,IF(AND(L13="70mm x 20mm",OR(P13="Yes - Centre Horizontal",P13="Yes - Horizontal",P13="Yes - Centre Horizontal &amp; Vertical",P13="Yes - Horizontal &amp; Vertical")),W13-115,IF(OR(P13="Yes - Centre Horizontal",P13="Yes - Horizontal",P13="Yes - Centre Horizontal &amp; Vertical",P13="Yes - Horizontal &amp; Vertical"),W13-46,"")))))))</f>
        <v/>
      </c>
      <c r="AH13" s="113" t="str">
        <f>IF(OR(Data!AX13="",Data!BN13="Invisi-Scape"),"",IF(AND(OR(L13="Invisi-Gard 37mm x 11mm",L13="Invisi-Gard 37mm x 9mm"),OR(P13="Yes - Centre Vertical",P13="Yes - Vertical")),X13-84,IF(AND(OR(L13="Invisi-Gard 37mm x 11mm",L13="Invisi-Gard 37mm x 9mm"),OR(P13="Yes - Centre Horizontal &amp; Vertical",P13="Yes - Horizontal &amp; Vertical")),X13-144,IF(AND(L13="37mm x 11mm",OR(P13="Yes - Centre Vertical",P13="Yes - Vertical")),X13-90,IF(AND(L13="37mm x 11mm",OR(P13="Yes - Centre Horizontal &amp; Vertical",P13="Yes - Horizontal &amp; Vertical")),X13-118,IF(AND(L13="Invisi-Gard 70mm x 20mm",OR(P13="Yes - Centre Vertical",P13="Yes - Vertical")),X13-149,IF(AND(L13="Invisi-Gard 70mm x 20mm",OR(P13="Yes - Centre Horizontal &amp; Vertical",P13="Yes - Horizontal &amp; Vertical")),X13-209,IF(AND(L13="70mm x 20mm",OR(P13="Yes - Centre Vertical",P13="Yes - Vertical")),X13-115,IF(AND(L13="70mm x 20mm",OR(P13="Yes - Centre Horizontal &amp; Vertical",P13="Yes - Horizontal &amp; Vertical")),X13-143,IF(OR(P13="Yes - Centre Vertical",P13="Yes - Vertical",P13="Yes - Centre Horizontal &amp; Vertical",P13="Yes - Horizontal &amp; Vertical"),X13-46,""))))))))))</f>
        <v/>
      </c>
      <c r="AI13" s="116" t="str">
        <f>IF(OR(Data!AX13="",Data!BN13="Invisi-Scape"),"",IF(AND(OR(L13="Invisi-Gard 37mm x 11mm",L13="Invisi-Gard 37mm x 9mm"),OR(P13="Yes - Centre Horizontal &amp; Vertical",P13="Yes - Horizontal &amp; Vertical")),X13-Q13-72,IF(AND(L13="37mm x 11mm",OR(P13="Yes - Centre Horizontal &amp; Vertical",P13="Yes - Horizontal &amp; Vertical")),X13-118,IF(AND(L13="Invisi-Gard 70mm x 20mm",OR(P13="Yes - Centre Horizontal &amp; Vertical",P13="Yes - Horizontal &amp; Vertical")),X13-209,IF(AND(L13="70mm x 20mm",OR(P13="Yes - Centre Horizontal &amp; Vertical",P13="Yes - Horizontal &amp; Vertical")),X13-143,IF(OR(P13="Yes - Centre Horizontal &amp; Vertical",P13="Yes - Horizontal &amp; Vertical"),X13-46,""))))))</f>
        <v/>
      </c>
      <c r="AJ13" s="116" t="str">
        <f t="shared" si="0" ref="AJ13:AJ20">IF(OR(P13="Yes - Centre Horizontal &amp; Vertical",P13="Yes - Horizontal &amp; Vertical"),AH13-AI13,"")</f>
        <v/>
      </c>
    </row>
    <row r="14" spans="1:36" s="40" customFormat="1" ht="60" customHeight="1">
      <c r="A14" s="71">
        <f>Data!AW14</f>
        <v>0</v>
      </c>
      <c r="B14" s="73" t="str">
        <f>IF(Data!BE14="","",MID(Data!BE14,6,80))</f>
        <v/>
      </c>
      <c r="C14" s="72">
        <f>Data!AY14</f>
        <v>0</v>
      </c>
      <c r="D14" s="79">
        <f>SUM(Data!BA14)</f>
        <v>0</v>
      </c>
      <c r="E14" s="79">
        <f>SUM(Data!BB14)</f>
        <v>0</v>
      </c>
      <c r="F14" s="78" t="str">
        <f t="array" ref="F14">bpLOOKUP(Data!$AV14,"Size",CustOrdOpt,6,FALSE)</f>
        <v/>
      </c>
      <c r="G14" s="78" t="str">
        <f t="array" ref="G14">bpLOOKUP(Data!$AV14,"FIT",CustOrdOpt,6,FALSE)</f>
        <v/>
      </c>
      <c r="H14" s="78" t="str">
        <f t="array" ref="H14">bpLOOKUP(Data!$AV14,"FIXING",CustOrdOpt,6,FALSE)</f>
        <v/>
      </c>
      <c r="I14" s="73" t="str">
        <f t="array" ref="I14">IF(bpLOOKUP(Data!$AV14,"COLOURTYPE",CustOrdOpt,6,FALSE)="Custom Powdercoat",bpLOOKUP(Data!$AV14,"COLOUR",CustOrdOpt,6,FALSE),bpLOOKUP(Data!$AV14,"COLOURTYPE",CustOrdOpt,6,FALSE))</f>
        <v/>
      </c>
      <c r="J14" s="73" t="str">
        <f t="array" ref="J14">bpLOOKUP(Data!$AV14,"MESH",CustOrdOpt,6,FALSE)</f>
        <v/>
      </c>
      <c r="K14" s="73" t="str">
        <f t="array" ref="K14">bpLOOKUP(Data!$AV14,"DVACOLOUR",CustOrdOpt,6,FALSE)</f>
        <v/>
      </c>
      <c r="L14" s="73" t="str">
        <f t="array" ref="L14">bpLOOKUP(Data!$AV14,"FRAMESIZE",CustOrdOpt,6,FALSE)</f>
        <v/>
      </c>
      <c r="M14" s="73" t="str">
        <f t="array" ref="M14">bpLOOKUP(Data!$AV14,"MOUNT",CustOrdOpt,6,FALSE)</f>
        <v/>
      </c>
      <c r="N14" s="73" t="str">
        <f t="array" ref="N14">bpLOOKUP(Data!$AV14,"LIFTTABS",CustOrdOpt,6,FALSE)</f>
        <v/>
      </c>
      <c r="O14" s="73" t="str">
        <f t="array" ref="O14">bpLOOKUP(Data!$AV14,"CUTOUTS",CustOrdOpt,6,FALSE)</f>
        <v/>
      </c>
      <c r="P14" s="73" t="str">
        <f t="array" ref="P14">bpLOOKUP(Data!$AV14,"MIDRAIL",CustOrdOpt,6,FALSE)</f>
        <v/>
      </c>
      <c r="Q14" s="73" t="str">
        <f t="array" ref="Q14">IF(OR(P14="Yes - Centre Horizontal",P14="Yes - Centre Horizontal &amp; Vertical"),X14/2,bpLOOKUP(Data!$AV14,"MIDRAILHEIGHT",CustOrdOpt,6,FALSE))</f>
        <v/>
      </c>
      <c r="R14" s="73" t="str">
        <f t="array" ref="R14">IF(OR(P14="Yes - Centre Vertical",P14="Yes - Centre Horizontal &amp; Vertical"),W14/2,bpLOOKUP(Data!$AV14,"VMIDRAILHEIGHT",CustOrdOpt,6,FALSE))</f>
        <v/>
      </c>
      <c r="S14" s="73" t="str">
        <f t="array" ref="S14">bpLOOKUP(Data!$AV14,"MIDRAILCOLOUR",CustOrdOpt,6,FALSE)</f>
        <v/>
      </c>
      <c r="T14" s="78" t="str">
        <f t="array" ref="T14">bpLOOKUP(Data!$AV14,"ANGLE",CustOrdOpt,6,FALSE)</f>
        <v/>
      </c>
      <c r="U14" s="78" t="str">
        <f t="array" ref="U14">bpLOOKUP(Data!$AV14,"SIDEBYSIDE",CustOrdOpt,6,FALSE)</f>
        <v/>
      </c>
      <c r="V14" s="73" t="str">
        <f t="array" ref="V14">bpLOOKUP(Data!$AV14,"INSTALLATION",CustOrdOpt,6,FALSE)</f>
        <v/>
      </c>
      <c r="W14" s="44" t="str">
        <f>IF(Data!BA14="","",IF(F14="Opening",Data!BA14-VLOOKUP(U14,SideDeduct,2,FALSE)-VLOOKUP(CONCATENATE(G14,M14),MountingMethod,2,FALSE)-(IF(OR(L14="37mm x 11mm",L14="Invisi-Gard 37mm x 9mm",L14="Invisi-Gard 37mm x 11mm"),4)),IF(F14="Making",Data!BA14)))</f>
        <v/>
      </c>
      <c r="X14" s="44" t="str">
        <f>IF(Data!BB14="","",IF(F14="Opening",Data!BB14-VLOOKUP(U14,SideDeduct,2,FALSE)-IF(O14="Yes",55,0)-VLOOKUP(CONCATENATE(G14,M14),MountingMethod,3,FALSE)-(IF(OR(L14="37mm x 11mm",L14="Invisi-Gard 37mm x 9mm",L14="Invisi-Gard 37mm x 11mm"),4)),IF(F14="Making",Data!BB14)))</f>
        <v/>
      </c>
      <c r="Y14" s="73" t="str">
        <f t="array" ref="Y14">bpLOOKUP(Data!$AV14,"Notes",CustOrdOpt,6,FALSE)</f>
        <v/>
      </c>
      <c r="AA14" s="113" t="str">
        <f>IF(Data!BN14="Invisi-Scape","",IF(AND(L14="37mm x 11mm",R14&lt;&gt;""),W14-55,IF(L14="37mm x 11mm",W14-50,IF(AND(L14="70mm x 20mm",R14&lt;&gt;""),W14-119,IF(L14="70mm x 20mm",W14-114,IF(AND(L14="Invisi-Gard 70mm x 20mm",R14&lt;&gt;""),W14-125,IF(L14="Invisi-Gard 70mm x 20mm",W14-110,IF(AND(R14&lt;&gt;"",OR(L14="Invisi-Gard 37mm x 9mm",L14="Invisi-Gard 37mm x 11mm")),W14-60,IF(OR(L14="Invisi-Gard 37mm x 9mm",L14="Invisi-Gard 37mm x 11mm"),W14-45,"")))))))))</f>
        <v/>
      </c>
      <c r="AB14" s="113" t="str">
        <f>IF(Data!BN14="Invisi-Scape","",IF(AND(L14="37mm x 11mm",Q14&lt;&gt;""),X14-55,IF(L14="37mm x 11mm",X14-50,IF(AND(L14="70mm x 20mm",Q14&lt;&gt;""),X14-119,IF(L14="70mm x 20mm",X14-114,IF(AND(L14="Invisi-Gard 70mm x 20mm",Q14&lt;&gt;""),X14-125,IF(L14="Invisi-Gard 70mm x 20mm",X14-110,IF(AND(Q14&lt;&gt;"",OR(L14="Invisi-Gard 37mm x 9mm",L14="Invisi-Gard 37mm x 11mm")),X14-60,IF(OR(L14="Invisi-Gard 37mm x 9mm",L14="Invisi-Gard 37mm x 11mm"),X14-45,"")))))))))</f>
        <v/>
      </c>
      <c r="AC14" s="116" t="str">
        <f>IF(OR(Data!AW14="",Data!BN14="Invisi-Scape"),"",IF(L14="Invisi-Gard 70mm x 20mm",W14-149,IF(AND(OR(L14="Invisi-Gard 37mm x 11mm",L14="Invisi-Gard 37mm x 9mm"),R14&lt;&gt;""),R14-74,IF(OR(L14="Invisi-Gard 37mm x 11mm",L14="Invisi-Gard 37mm x 9mm"),W14-85,""))))</f>
        <v/>
      </c>
      <c r="AD14" s="116" t="str">
        <f>IF(OR(Data!AW14="",Data!BN14="Invisi-Scape",P14="",R14=""),"",IF(L14="Invisi-Gard 70mm x 20mm",W14-149,IF(AND(OR(L14="Invisi-Gard 37mm x 11mm",L14="Invisi-Gard 37mm x 9mm"),R14&lt;&gt;""),W14-AC14-148,IF(OR(L14="Invisi-Gard 37mm x 11mm",L14="Invisi-Gard 37mm x 9mm"),W14-85,""))))</f>
        <v/>
      </c>
      <c r="AE14" s="116" t="str">
        <f>IF(OR(Data!AW14="",Data!BN14="Invisi-Scape"),"",IF(L14="Invisi-Gard 70mm x 20mm",X14-160,IF(AND(OR(L14="Invisi-Gard 37mm x 11mm",L14="Invisi-Gard 37mm x 9mm"),Q14&lt;&gt;""),Q14-85,IF(OR(L14="Invisi-Gard 37mm x 11mm",L14="Invisi-Gard 37mm x 9mm"),X14-96,""))))</f>
        <v/>
      </c>
      <c r="AF14" s="116" t="str">
        <f>IF(OR(Data!AW14="",Data!BN14="Invisi-Scape",P14="",Q14=""),"",IF(L14="Invisi-Gard 70mm x 20mm",X14-160,IF(AND(OR(L14="Invisi-Gard 37mm x 11mm",L14="Invisi-Gard 37mm x 9mm"),Q14&lt;&gt;""),X14-AE14-170,IF(OR(L14="Invisi-Gard 37mm x 11mm",L14="Invisi-Gard 37mm x 9mm"),X14-96,""))))</f>
        <v/>
      </c>
      <c r="AG14" s="113" t="str">
        <f>IF(OR(Data!AX14="",Data!BN14="Invisi-Scape"),"",IF(AND(OR(L14="11mm",L14="9mm"),OR(P14="Yes - Centre Horizontal",P14="Yes - Horizontal",P14="Yes - Centre Horizontal &amp; Vertical",P14="Yes - Horizontal &amp; Vertical")),W14-44,IF(AND(OR(L14="Invisi-Gard 37mm x 11mm",L14="Invisi-Gard 37mm x 9mm"),OR(P14="Yes - Centre Horizontal",P14="Yes - Horizontal",P14="Yes - Centre Horizontal &amp; Vertical",P14="Yes - Horizontal &amp; Vertical")),W14-84,IF(AND(L14="37mm x 11mm",OR(P14="Yes - Centre Horizontal",P14="Yes - Horizontal",P14="Yes - Centre Horizontal &amp; Vertical",P14="Yes - Horizontal &amp; Vertical")),W14-90,IF(AND(L14="Invisi-Gard 70mm x 20mm",OR(P14="Yes - Centre Horizontal",P14="Yes - Horizontal",P14="Yes - Centre Horizontal &amp; Vertical",P14="Yes - Horizontal &amp; Vertical")),W14-149,IF(AND(L14="70mm x 20mm",OR(P14="Yes - Centre Horizontal",P14="Yes - Horizontal",P14="Yes - Centre Horizontal &amp; Vertical",P14="Yes - Horizontal &amp; Vertical")),W14-115,IF(OR(P14="Yes - Centre Horizontal",P14="Yes - Horizontal",P14="Yes - Centre Horizontal &amp; Vertical",P14="Yes - Horizontal &amp; Vertical"),W14-46,"")))))))</f>
        <v/>
      </c>
      <c r="AH14" s="113" t="str">
        <f>IF(OR(Data!AX14="",Data!BN14="Invisi-Scape"),"",IF(AND(OR(L14="Invisi-Gard 37mm x 11mm",L14="Invisi-Gard 37mm x 9mm"),OR(P14="Yes - Centre Vertical",P14="Yes - Vertical")),X14-84,IF(AND(OR(L14="Invisi-Gard 37mm x 11mm",L14="Invisi-Gard 37mm x 9mm"),OR(P14="Yes - Centre Horizontal &amp; Vertical",P14="Yes - Horizontal &amp; Vertical")),X14-144,IF(AND(L14="37mm x 11mm",OR(P14="Yes - Centre Vertical",P14="Yes - Vertical")),X14-90,IF(AND(L14="37mm x 11mm",OR(P14="Yes - Centre Horizontal &amp; Vertical",P14="Yes - Horizontal &amp; Vertical")),X14-118,IF(AND(L14="Invisi-Gard 70mm x 20mm",OR(P14="Yes - Centre Vertical",P14="Yes - Vertical")),X14-149,IF(AND(L14="Invisi-Gard 70mm x 20mm",OR(P14="Yes - Centre Horizontal &amp; Vertical",P14="Yes - Horizontal &amp; Vertical")),X14-209,IF(AND(L14="70mm x 20mm",OR(P14="Yes - Centre Vertical",P14="Yes - Vertical")),X14-115,IF(AND(L14="70mm x 20mm",OR(P14="Yes - Centre Horizontal &amp; Vertical",P14="Yes - Horizontal &amp; Vertical")),X14-143,IF(OR(P14="Yes - Centre Vertical",P14="Yes - Vertical",P14="Yes - Centre Horizontal &amp; Vertical",P14="Yes - Horizontal &amp; Vertical"),X14-46,""))))))))))</f>
        <v/>
      </c>
      <c r="AI14" s="116" t="str">
        <f>IF(OR(Data!AX14="",Data!BN14="Invisi-Scape"),"",IF(AND(OR(L14="Invisi-Gard 37mm x 11mm",L14="Invisi-Gard 37mm x 9mm"),OR(P14="Yes - Centre Horizontal &amp; Vertical",P14="Yes - Horizontal &amp; Vertical")),X14-Q14-72,IF(AND(L14="37mm x 11mm",OR(P14="Yes - Centre Horizontal &amp; Vertical",P14="Yes - Horizontal &amp; Vertical")),X14-118,IF(AND(L14="Invisi-Gard 70mm x 20mm",OR(P14="Yes - Centre Horizontal &amp; Vertical",P14="Yes - Horizontal &amp; Vertical")),X14-209,IF(AND(L14="70mm x 20mm",OR(P14="Yes - Centre Horizontal &amp; Vertical",P14="Yes - Horizontal &amp; Vertical")),X14-143,IF(OR(P14="Yes - Centre Horizontal &amp; Vertical",P14="Yes - Horizontal &amp; Vertical"),X14-46,""))))))</f>
        <v/>
      </c>
      <c r="AJ14" s="116" t="str">
        <f t="shared" si="0"/>
        <v/>
      </c>
    </row>
    <row r="15" spans="1:36" s="40" customFormat="1" ht="60" customHeight="1">
      <c r="A15" s="71">
        <f>Data!AW15</f>
        <v>0</v>
      </c>
      <c r="B15" s="73" t="str">
        <f>IF(Data!BE15="","",MID(Data!BE15,6,80))</f>
        <v/>
      </c>
      <c r="C15" s="72">
        <f>Data!AY15</f>
        <v>0</v>
      </c>
      <c r="D15" s="79">
        <f>SUM(Data!BA15)</f>
        <v>0</v>
      </c>
      <c r="E15" s="79">
        <f>SUM(Data!BB15)</f>
        <v>0</v>
      </c>
      <c r="F15" s="78" t="str">
        <f t="array" ref="F15">bpLOOKUP(Data!$AV15,"Size",CustOrdOpt,6,FALSE)</f>
        <v/>
      </c>
      <c r="G15" s="78" t="str">
        <f t="array" ref="G15">bpLOOKUP(Data!$AV15,"FIT",CustOrdOpt,6,FALSE)</f>
        <v/>
      </c>
      <c r="H15" s="78" t="str">
        <f t="array" ref="H15">bpLOOKUP(Data!$AV15,"FIXING",CustOrdOpt,6,FALSE)</f>
        <v/>
      </c>
      <c r="I15" s="73" t="str">
        <f t="array" ref="I15">IF(bpLOOKUP(Data!$AV15,"COLOURTYPE",CustOrdOpt,6,FALSE)="Custom Powdercoat",bpLOOKUP(Data!$AV15,"COLOUR",CustOrdOpt,6,FALSE),bpLOOKUP(Data!$AV15,"COLOURTYPE",CustOrdOpt,6,FALSE))</f>
        <v/>
      </c>
      <c r="J15" s="73" t="str">
        <f t="array" ref="J15">bpLOOKUP(Data!$AV15,"MESH",CustOrdOpt,6,FALSE)</f>
        <v/>
      </c>
      <c r="K15" s="73" t="str">
        <f t="array" ref="K15">bpLOOKUP(Data!$AV15,"DVACOLOUR",CustOrdOpt,6,FALSE)</f>
        <v/>
      </c>
      <c r="L15" s="73" t="str">
        <f t="array" ref="L15">bpLOOKUP(Data!$AV15,"FRAMESIZE",CustOrdOpt,6,FALSE)</f>
        <v/>
      </c>
      <c r="M15" s="73" t="str">
        <f t="array" ref="M15">bpLOOKUP(Data!$AV15,"MOUNT",CustOrdOpt,6,FALSE)</f>
        <v/>
      </c>
      <c r="N15" s="73" t="str">
        <f t="array" ref="N15">bpLOOKUP(Data!$AV15,"LIFTTABS",CustOrdOpt,6,FALSE)</f>
        <v/>
      </c>
      <c r="O15" s="73" t="str">
        <f t="array" ref="O15">bpLOOKUP(Data!$AV15,"CUTOUTS",CustOrdOpt,6,FALSE)</f>
        <v/>
      </c>
      <c r="P15" s="73" t="str">
        <f t="array" ref="P15">bpLOOKUP(Data!$AV15,"MIDRAIL",CustOrdOpt,6,FALSE)</f>
        <v/>
      </c>
      <c r="Q15" s="73" t="str">
        <f t="array" ref="Q15">IF(OR(P15="Yes - Centre Horizontal",P15="Yes - Centre Horizontal &amp; Vertical"),X15/2,bpLOOKUP(Data!$AV15,"MIDRAILHEIGHT",CustOrdOpt,6,FALSE))</f>
        <v/>
      </c>
      <c r="R15" s="73" t="str">
        <f t="array" ref="R15">IF(OR(P15="Yes - Centre Vertical",P15="Yes - Centre Horizontal &amp; Vertical"),W15/2,bpLOOKUP(Data!$AV15,"VMIDRAILHEIGHT",CustOrdOpt,6,FALSE))</f>
        <v/>
      </c>
      <c r="S15" s="73" t="str">
        <f t="array" ref="S15">bpLOOKUP(Data!$AV15,"MIDRAILCOLOUR",CustOrdOpt,6,FALSE)</f>
        <v/>
      </c>
      <c r="T15" s="78" t="str">
        <f t="array" ref="T15">bpLOOKUP(Data!$AV15,"ANGLE",CustOrdOpt,6,FALSE)</f>
        <v/>
      </c>
      <c r="U15" s="78" t="str">
        <f t="array" ref="U15">bpLOOKUP(Data!$AV15,"SIDEBYSIDE",CustOrdOpt,6,FALSE)</f>
        <v/>
      </c>
      <c r="V15" s="73" t="str">
        <f t="array" ref="V15">bpLOOKUP(Data!$AV15,"INSTALLATION",CustOrdOpt,6,FALSE)</f>
        <v/>
      </c>
      <c r="W15" s="44" t="str">
        <f>IF(Data!BA15="","",IF(F15="Opening",Data!BA15-VLOOKUP(U15,SideDeduct,2,FALSE)-VLOOKUP(CONCATENATE(G15,M15),MountingMethod,2,FALSE)-(IF(OR(L15="37mm x 11mm",L15="Invisi-Gard 37mm x 9mm",L15="Invisi-Gard 37mm x 11mm"),4)),IF(F15="Making",Data!BA15)))</f>
        <v/>
      </c>
      <c r="X15" s="44" t="str">
        <f>IF(Data!BB15="","",IF(F15="Opening",Data!BB15-VLOOKUP(U15,SideDeduct,2,FALSE)-IF(O15="Yes",55,0)-VLOOKUP(CONCATENATE(G15,M15),MountingMethod,3,FALSE)-(IF(OR(L15="37mm x 11mm",L15="Invisi-Gard 37mm x 9mm",L15="Invisi-Gard 37mm x 11mm"),4)),IF(F15="Making",Data!BB15)))</f>
        <v/>
      </c>
      <c r="Y15" s="73" t="str">
        <f t="array" ref="Y15">bpLOOKUP(Data!$AV15,"Notes",CustOrdOpt,6,FALSE)</f>
        <v/>
      </c>
      <c r="AA15" s="113" t="str">
        <f>IF(Data!BN15="Invisi-Scape","",IF(AND(L15="37mm x 11mm",R15&lt;&gt;""),W15-55,IF(L15="37mm x 11mm",W15-50,IF(AND(L15="70mm x 20mm",R15&lt;&gt;""),W15-119,IF(L15="70mm x 20mm",W15-114,IF(AND(L15="Invisi-Gard 70mm x 20mm",R15&lt;&gt;""),W15-125,IF(L15="Invisi-Gard 70mm x 20mm",W15-110,IF(AND(R15&lt;&gt;"",OR(L15="Invisi-Gard 37mm x 9mm",L15="Invisi-Gard 37mm x 11mm")),W15-60,IF(OR(L15="Invisi-Gard 37mm x 9mm",L15="Invisi-Gard 37mm x 11mm"),W15-45,"")))))))))</f>
        <v/>
      </c>
      <c r="AB15" s="113" t="str">
        <f>IF(Data!BN15="Invisi-Scape","",IF(AND(L15="37mm x 11mm",Q15&lt;&gt;""),X15-55,IF(L15="37mm x 11mm",X15-50,IF(AND(L15="70mm x 20mm",Q15&lt;&gt;""),X15-119,IF(L15="70mm x 20mm",X15-114,IF(AND(L15="Invisi-Gard 70mm x 20mm",Q15&lt;&gt;""),X15-125,IF(L15="Invisi-Gard 70mm x 20mm",X15-110,IF(AND(Q15&lt;&gt;"",OR(L15="Invisi-Gard 37mm x 9mm",L15="Invisi-Gard 37mm x 11mm")),X15-60,IF(OR(L15="Invisi-Gard 37mm x 9mm",L15="Invisi-Gard 37mm x 11mm"),X15-45,"")))))))))</f>
        <v/>
      </c>
      <c r="AC15" s="116" t="str">
        <f>IF(OR(Data!AW15="",Data!BN15="Invisi-Scape"),"",IF(L15="Invisi-Gard 70mm x 20mm",W15-149,IF(AND(OR(L15="Invisi-Gard 37mm x 11mm",L15="Invisi-Gard 37mm x 9mm"),R15&lt;&gt;""),R15-74,IF(OR(L15="Invisi-Gard 37mm x 11mm",L15="Invisi-Gard 37mm x 9mm"),W15-85,""))))</f>
        <v/>
      </c>
      <c r="AD15" s="116" t="str">
        <f>IF(OR(Data!AW15="",Data!BN15="Invisi-Scape",P15="",R15=""),"",IF(L15="Invisi-Gard 70mm x 20mm",W15-149,IF(AND(OR(L15="Invisi-Gard 37mm x 11mm",L15="Invisi-Gard 37mm x 9mm"),R15&lt;&gt;""),W15-AC15-148,IF(OR(L15="Invisi-Gard 37mm x 11mm",L15="Invisi-Gard 37mm x 9mm"),W15-85,""))))</f>
        <v/>
      </c>
      <c r="AE15" s="116" t="str">
        <f>IF(OR(Data!AW15="",Data!BN15="Invisi-Scape"),"",IF(L15="Invisi-Gard 70mm x 20mm",X15-160,IF(AND(OR(L15="Invisi-Gard 37mm x 11mm",L15="Invisi-Gard 37mm x 9mm"),Q15&lt;&gt;""),Q15-85,IF(OR(L15="Invisi-Gard 37mm x 11mm",L15="Invisi-Gard 37mm x 9mm"),X15-96,""))))</f>
        <v/>
      </c>
      <c r="AF15" s="116" t="str">
        <f>IF(OR(Data!AW15="",Data!BN15="Invisi-Scape",P15="",Q15=""),"",IF(L15="Invisi-Gard 70mm x 20mm",X15-160,IF(AND(OR(L15="Invisi-Gard 37mm x 11mm",L15="Invisi-Gard 37mm x 9mm"),Q15&lt;&gt;""),X15-AE15-170,IF(OR(L15="Invisi-Gard 37mm x 11mm",L15="Invisi-Gard 37mm x 9mm"),X15-96,""))))</f>
        <v/>
      </c>
      <c r="AG15" s="113" t="str">
        <f>IF(OR(Data!AX15="",Data!BN15="Invisi-Scape"),"",IF(AND(OR(L15="11mm",L15="9mm"),OR(P15="Yes - Centre Horizontal",P15="Yes - Horizontal",P15="Yes - Centre Horizontal &amp; Vertical",P15="Yes - Horizontal &amp; Vertical")),W15-44,IF(AND(OR(L15="Invisi-Gard 37mm x 11mm",L15="Invisi-Gard 37mm x 9mm"),OR(P15="Yes - Centre Horizontal",P15="Yes - Horizontal",P15="Yes - Centre Horizontal &amp; Vertical",P15="Yes - Horizontal &amp; Vertical")),W15-84,IF(AND(L15="37mm x 11mm",OR(P15="Yes - Centre Horizontal",P15="Yes - Horizontal",P15="Yes - Centre Horizontal &amp; Vertical",P15="Yes - Horizontal &amp; Vertical")),W15-90,IF(AND(L15="Invisi-Gard 70mm x 20mm",OR(P15="Yes - Centre Horizontal",P15="Yes - Horizontal",P15="Yes - Centre Horizontal &amp; Vertical",P15="Yes - Horizontal &amp; Vertical")),W15-149,IF(AND(L15="70mm x 20mm",OR(P15="Yes - Centre Horizontal",P15="Yes - Horizontal",P15="Yes - Centre Horizontal &amp; Vertical",P15="Yes - Horizontal &amp; Vertical")),W15-115,IF(OR(P15="Yes - Centre Horizontal",P15="Yes - Horizontal",P15="Yes - Centre Horizontal &amp; Vertical",P15="Yes - Horizontal &amp; Vertical"),W15-46,"")))))))</f>
        <v/>
      </c>
      <c r="AH15" s="113" t="str">
        <f>IF(OR(Data!AX15="",Data!BN15="Invisi-Scape"),"",IF(AND(OR(L15="Invisi-Gard 37mm x 11mm",L15="Invisi-Gard 37mm x 9mm"),OR(P15="Yes - Centre Vertical",P15="Yes - Vertical")),X15-84,IF(AND(OR(L15="Invisi-Gard 37mm x 11mm",L15="Invisi-Gard 37mm x 9mm"),OR(P15="Yes - Centre Horizontal &amp; Vertical",P15="Yes - Horizontal &amp; Vertical")),X15-144,IF(AND(L15="37mm x 11mm",OR(P15="Yes - Centre Vertical",P15="Yes - Vertical")),X15-90,IF(AND(L15="37mm x 11mm",OR(P15="Yes - Centre Horizontal &amp; Vertical",P15="Yes - Horizontal &amp; Vertical")),X15-118,IF(AND(L15="Invisi-Gard 70mm x 20mm",OR(P15="Yes - Centre Vertical",P15="Yes - Vertical")),X15-149,IF(AND(L15="Invisi-Gard 70mm x 20mm",OR(P15="Yes - Centre Horizontal &amp; Vertical",P15="Yes - Horizontal &amp; Vertical")),X15-209,IF(AND(L15="70mm x 20mm",OR(P15="Yes - Centre Vertical",P15="Yes - Vertical")),X15-115,IF(AND(L15="70mm x 20mm",OR(P15="Yes - Centre Horizontal &amp; Vertical",P15="Yes - Horizontal &amp; Vertical")),X15-143,IF(OR(P15="Yes - Centre Vertical",P15="Yes - Vertical",P15="Yes - Centre Horizontal &amp; Vertical",P15="Yes - Horizontal &amp; Vertical"),X15-46,""))))))))))</f>
        <v/>
      </c>
      <c r="AI15" s="116" t="str">
        <f>IF(OR(Data!AX15="",Data!BN15="Invisi-Scape"),"",IF(AND(OR(L15="Invisi-Gard 37mm x 11mm",L15="Invisi-Gard 37mm x 9mm"),OR(P15="Yes - Centre Horizontal &amp; Vertical",P15="Yes - Horizontal &amp; Vertical")),X15-Q15-72,IF(AND(L15="37mm x 11mm",OR(P15="Yes - Centre Horizontal &amp; Vertical",P15="Yes - Horizontal &amp; Vertical")),X15-118,IF(AND(L15="Invisi-Gard 70mm x 20mm",OR(P15="Yes - Centre Horizontal &amp; Vertical",P15="Yes - Horizontal &amp; Vertical")),X15-209,IF(AND(L15="70mm x 20mm",OR(P15="Yes - Centre Horizontal &amp; Vertical",P15="Yes - Horizontal &amp; Vertical")),X15-143,IF(OR(P15="Yes - Centre Horizontal &amp; Vertical",P15="Yes - Horizontal &amp; Vertical"),X15-46,""))))))</f>
        <v/>
      </c>
      <c r="AJ15" s="116" t="str">
        <f t="shared" si="0"/>
        <v/>
      </c>
    </row>
    <row r="16" spans="1:36" s="40" customFormat="1" ht="60" customHeight="1">
      <c r="A16" s="71">
        <f>Data!AW16</f>
        <v>0</v>
      </c>
      <c r="B16" s="73" t="str">
        <f>IF(Data!BE16="","",MID(Data!BE16,6,80))</f>
        <v/>
      </c>
      <c r="C16" s="72">
        <f>Data!AY16</f>
        <v>0</v>
      </c>
      <c r="D16" s="79">
        <f>SUM(Data!BA16)</f>
        <v>0</v>
      </c>
      <c r="E16" s="79">
        <f>SUM(Data!BB16)</f>
        <v>0</v>
      </c>
      <c r="F16" s="78" t="str">
        <f t="array" ref="F16">bpLOOKUP(Data!$AV16,"Size",CustOrdOpt,6,FALSE)</f>
        <v/>
      </c>
      <c r="G16" s="78" t="str">
        <f t="array" ref="G16">bpLOOKUP(Data!$AV16,"FIT",CustOrdOpt,6,FALSE)</f>
        <v/>
      </c>
      <c r="H16" s="78" t="str">
        <f t="array" ref="H16">bpLOOKUP(Data!$AV16,"FIXING",CustOrdOpt,6,FALSE)</f>
        <v/>
      </c>
      <c r="I16" s="73" t="str">
        <f t="array" ref="I16">IF(bpLOOKUP(Data!$AV16,"COLOURTYPE",CustOrdOpt,6,FALSE)="Custom Powdercoat",bpLOOKUP(Data!$AV16,"COLOUR",CustOrdOpt,6,FALSE),bpLOOKUP(Data!$AV16,"COLOURTYPE",CustOrdOpt,6,FALSE))</f>
        <v/>
      </c>
      <c r="J16" s="73" t="str">
        <f t="array" ref="J16">bpLOOKUP(Data!$AV16,"MESH",CustOrdOpt,6,FALSE)</f>
        <v/>
      </c>
      <c r="K16" s="73" t="str">
        <f t="array" ref="K16">bpLOOKUP(Data!$AV16,"DVACOLOUR",CustOrdOpt,6,FALSE)</f>
        <v/>
      </c>
      <c r="L16" s="73" t="str">
        <f t="array" ref="L16">bpLOOKUP(Data!$AV16,"FRAMESIZE",CustOrdOpt,6,FALSE)</f>
        <v/>
      </c>
      <c r="M16" s="73" t="str">
        <f t="array" ref="M16">bpLOOKUP(Data!$AV16,"MOUNT",CustOrdOpt,6,FALSE)</f>
        <v/>
      </c>
      <c r="N16" s="73" t="str">
        <f t="array" ref="N16">bpLOOKUP(Data!$AV16,"LIFTTABS",CustOrdOpt,6,FALSE)</f>
        <v/>
      </c>
      <c r="O16" s="73" t="str">
        <f t="array" ref="O16">bpLOOKUP(Data!$AV16,"CUTOUTS",CustOrdOpt,6,FALSE)</f>
        <v/>
      </c>
      <c r="P16" s="73" t="str">
        <f t="array" ref="P16">bpLOOKUP(Data!$AV16,"MIDRAIL",CustOrdOpt,6,FALSE)</f>
        <v/>
      </c>
      <c r="Q16" s="73" t="str">
        <f t="array" ref="Q16">IF(OR(P16="Yes - Centre Horizontal",P16="Yes - Centre Horizontal &amp; Vertical"),X16/2,bpLOOKUP(Data!$AV16,"MIDRAILHEIGHT",CustOrdOpt,6,FALSE))</f>
        <v/>
      </c>
      <c r="R16" s="73" t="str">
        <f t="array" ref="R16">IF(OR(P16="Yes - Centre Vertical",P16="Yes - Centre Horizontal &amp; Vertical"),W16/2,bpLOOKUP(Data!$AV16,"VMIDRAILHEIGHT",CustOrdOpt,6,FALSE))</f>
        <v/>
      </c>
      <c r="S16" s="73" t="str">
        <f t="array" ref="S16">bpLOOKUP(Data!$AV16,"MIDRAILCOLOUR",CustOrdOpt,6,FALSE)</f>
        <v/>
      </c>
      <c r="T16" s="78" t="str">
        <f t="array" ref="T16">bpLOOKUP(Data!$AV16,"ANGLE",CustOrdOpt,6,FALSE)</f>
        <v/>
      </c>
      <c r="U16" s="78" t="str">
        <f t="array" ref="U16">bpLOOKUP(Data!$AV16,"SIDEBYSIDE",CustOrdOpt,6,FALSE)</f>
        <v/>
      </c>
      <c r="V16" s="73" t="str">
        <f t="array" ref="V16">bpLOOKUP(Data!$AV16,"INSTALLATION",CustOrdOpt,6,FALSE)</f>
        <v/>
      </c>
      <c r="W16" s="44" t="str">
        <f>IF(Data!BA16="","",IF(F16="Opening",Data!BA16-VLOOKUP(U16,SideDeduct,2,FALSE)-VLOOKUP(CONCATENATE(G16,M16),MountingMethod,2,FALSE)-(IF(OR(L16="37mm x 11mm",L16="Invisi-Gard 37mm x 9mm",L16="Invisi-Gard 37mm x 11mm"),4)),IF(F16="Making",Data!BA16)))</f>
        <v/>
      </c>
      <c r="X16" s="44" t="str">
        <f>IF(Data!BB16="","",IF(F16="Opening",Data!BB16-VLOOKUP(U16,SideDeduct,2,FALSE)-IF(O16="Yes",55,0)-VLOOKUP(CONCATENATE(G16,M16),MountingMethod,3,FALSE)-(IF(OR(L16="37mm x 11mm",L16="Invisi-Gard 37mm x 9mm",L16="Invisi-Gard 37mm x 11mm"),4)),IF(F16="Making",Data!BB16)))</f>
        <v/>
      </c>
      <c r="Y16" s="73" t="str">
        <f t="array" ref="Y16">bpLOOKUP(Data!$AV16,"Notes",CustOrdOpt,6,FALSE)</f>
        <v/>
      </c>
      <c r="AA16" s="113" t="str">
        <f>IF(Data!BN16="Invisi-Scape","",IF(AND(L16="37mm x 11mm",R16&lt;&gt;""),W16-55,IF(L16="37mm x 11mm",W16-50,IF(AND(L16="70mm x 20mm",R16&lt;&gt;""),W16-119,IF(L16="70mm x 20mm",W16-114,IF(AND(L16="Invisi-Gard 70mm x 20mm",R16&lt;&gt;""),W16-125,IF(L16="Invisi-Gard 70mm x 20mm",W16-110,IF(AND(R16&lt;&gt;"",OR(L16="Invisi-Gard 37mm x 9mm",L16="Invisi-Gard 37mm x 11mm")),W16-60,IF(OR(L16="Invisi-Gard 37mm x 9mm",L16="Invisi-Gard 37mm x 11mm"),W16-45,"")))))))))</f>
        <v/>
      </c>
      <c r="AB16" s="113" t="str">
        <f>IF(Data!BN16="Invisi-Scape","",IF(AND(L16="37mm x 11mm",Q16&lt;&gt;""),X16-55,IF(L16="37mm x 11mm",X16-50,IF(AND(L16="70mm x 20mm",Q16&lt;&gt;""),X16-119,IF(L16="70mm x 20mm",X16-114,IF(AND(L16="Invisi-Gard 70mm x 20mm",Q16&lt;&gt;""),X16-125,IF(L16="Invisi-Gard 70mm x 20mm",X16-110,IF(AND(Q16&lt;&gt;"",OR(L16="Invisi-Gard 37mm x 9mm",L16="Invisi-Gard 37mm x 11mm")),X16-60,IF(OR(L16="Invisi-Gard 37mm x 9mm",L16="Invisi-Gard 37mm x 11mm"),X16-45,"")))))))))</f>
        <v/>
      </c>
      <c r="AC16" s="116" t="str">
        <f>IF(OR(Data!AW16="",Data!BN16="Invisi-Scape"),"",IF(L16="Invisi-Gard 70mm x 20mm",W16-149,IF(AND(OR(L16="Invisi-Gard 37mm x 11mm",L16="Invisi-Gard 37mm x 9mm"),R16&lt;&gt;""),R16-74,IF(OR(L16="Invisi-Gard 37mm x 11mm",L16="Invisi-Gard 37mm x 9mm"),W16-85,""))))</f>
        <v/>
      </c>
      <c r="AD16" s="116" t="str">
        <f>IF(OR(Data!AW16="",Data!BN16="Invisi-Scape",P16="",R16=""),"",IF(L16="Invisi-Gard 70mm x 20mm",W16-149,IF(AND(OR(L16="Invisi-Gard 37mm x 11mm",L16="Invisi-Gard 37mm x 9mm"),R16&lt;&gt;""),W16-AC16-148,IF(OR(L16="Invisi-Gard 37mm x 11mm",L16="Invisi-Gard 37mm x 9mm"),W16-85,""))))</f>
        <v/>
      </c>
      <c r="AE16" s="116" t="str">
        <f>IF(OR(Data!AW16="",Data!BN16="Invisi-Scape"),"",IF(L16="Invisi-Gard 70mm x 20mm",X16-160,IF(AND(OR(L16="Invisi-Gard 37mm x 11mm",L16="Invisi-Gard 37mm x 9mm"),Q16&lt;&gt;""),Q16-85,IF(OR(L16="Invisi-Gard 37mm x 11mm",L16="Invisi-Gard 37mm x 9mm"),X16-96,""))))</f>
        <v/>
      </c>
      <c r="AF16" s="116" t="str">
        <f>IF(OR(Data!AW16="",Data!BN16="Invisi-Scape",P16="",Q16=""),"",IF(L16="Invisi-Gard 70mm x 20mm",X16-160,IF(AND(OR(L16="Invisi-Gard 37mm x 11mm",L16="Invisi-Gard 37mm x 9mm"),Q16&lt;&gt;""),X16-AE16-170,IF(OR(L16="Invisi-Gard 37mm x 11mm",L16="Invisi-Gard 37mm x 9mm"),X16-96,""))))</f>
        <v/>
      </c>
      <c r="AG16" s="113" t="str">
        <f>IF(OR(Data!AX16="",Data!BN16="Invisi-Scape"),"",IF(AND(OR(L16="11mm",L16="9mm"),OR(P16="Yes - Centre Horizontal",P16="Yes - Horizontal",P16="Yes - Centre Horizontal &amp; Vertical",P16="Yes - Horizontal &amp; Vertical")),W16-44,IF(AND(OR(L16="Invisi-Gard 37mm x 11mm",L16="Invisi-Gard 37mm x 9mm"),OR(P16="Yes - Centre Horizontal",P16="Yes - Horizontal",P16="Yes - Centre Horizontal &amp; Vertical",P16="Yes - Horizontal &amp; Vertical")),W16-84,IF(AND(L16="37mm x 11mm",OR(P16="Yes - Centre Horizontal",P16="Yes - Horizontal",P16="Yes - Centre Horizontal &amp; Vertical",P16="Yes - Horizontal &amp; Vertical")),W16-90,IF(AND(L16="Invisi-Gard 70mm x 20mm",OR(P16="Yes - Centre Horizontal",P16="Yes - Horizontal",P16="Yes - Centre Horizontal &amp; Vertical",P16="Yes - Horizontal &amp; Vertical")),W16-149,IF(AND(L16="70mm x 20mm",OR(P16="Yes - Centre Horizontal",P16="Yes - Horizontal",P16="Yes - Centre Horizontal &amp; Vertical",P16="Yes - Horizontal &amp; Vertical")),W16-115,IF(OR(P16="Yes - Centre Horizontal",P16="Yes - Horizontal",P16="Yes - Centre Horizontal &amp; Vertical",P16="Yes - Horizontal &amp; Vertical"),W16-46,"")))))))</f>
        <v/>
      </c>
      <c r="AH16" s="113" t="str">
        <f>IF(OR(Data!AX16="",Data!BN16="Invisi-Scape"),"",IF(AND(OR(L16="Invisi-Gard 37mm x 11mm",L16="Invisi-Gard 37mm x 9mm"),OR(P16="Yes - Centre Vertical",P16="Yes - Vertical")),X16-84,IF(AND(OR(L16="Invisi-Gard 37mm x 11mm",L16="Invisi-Gard 37mm x 9mm"),OR(P16="Yes - Centre Horizontal &amp; Vertical",P16="Yes - Horizontal &amp; Vertical")),X16-144,IF(AND(L16="37mm x 11mm",OR(P16="Yes - Centre Vertical",P16="Yes - Vertical")),X16-90,IF(AND(L16="37mm x 11mm",OR(P16="Yes - Centre Horizontal &amp; Vertical",P16="Yes - Horizontal &amp; Vertical")),X16-118,IF(AND(L16="Invisi-Gard 70mm x 20mm",OR(P16="Yes - Centre Vertical",P16="Yes - Vertical")),X16-149,IF(AND(L16="Invisi-Gard 70mm x 20mm",OR(P16="Yes - Centre Horizontal &amp; Vertical",P16="Yes - Horizontal &amp; Vertical")),X16-209,IF(AND(L16="70mm x 20mm",OR(P16="Yes - Centre Vertical",P16="Yes - Vertical")),X16-115,IF(AND(L16="70mm x 20mm",OR(P16="Yes - Centre Horizontal &amp; Vertical",P16="Yes - Horizontal &amp; Vertical")),X16-143,IF(OR(P16="Yes - Centre Vertical",P16="Yes - Vertical",P16="Yes - Centre Horizontal &amp; Vertical",P16="Yes - Horizontal &amp; Vertical"),X16-46,""))))))))))</f>
        <v/>
      </c>
      <c r="AI16" s="116" t="str">
        <f>IF(OR(Data!AX16="",Data!BN16="Invisi-Scape"),"",IF(AND(OR(L16="Invisi-Gard 37mm x 11mm",L16="Invisi-Gard 37mm x 9mm"),OR(P16="Yes - Centre Horizontal &amp; Vertical",P16="Yes - Horizontal &amp; Vertical")),X16-Q16-72,IF(AND(L16="37mm x 11mm",OR(P16="Yes - Centre Horizontal &amp; Vertical",P16="Yes - Horizontal &amp; Vertical")),X16-118,IF(AND(L16="Invisi-Gard 70mm x 20mm",OR(P16="Yes - Centre Horizontal &amp; Vertical",P16="Yes - Horizontal &amp; Vertical")),X16-209,IF(AND(L16="70mm x 20mm",OR(P16="Yes - Centre Horizontal &amp; Vertical",P16="Yes - Horizontal &amp; Vertical")),X16-143,IF(OR(P16="Yes - Centre Horizontal &amp; Vertical",P16="Yes - Horizontal &amp; Vertical"),X16-46,""))))))</f>
        <v/>
      </c>
      <c r="AJ16" s="116" t="str">
        <f t="shared" si="0"/>
        <v/>
      </c>
    </row>
    <row r="17" spans="1:36" s="40" customFormat="1" ht="60" customHeight="1">
      <c r="A17" s="71">
        <f>Data!AW17</f>
        <v>0</v>
      </c>
      <c r="B17" s="73" t="str">
        <f>IF(Data!BE17="","",MID(Data!BE17,6,80))</f>
        <v/>
      </c>
      <c r="C17" s="72">
        <f>Data!AY17</f>
        <v>0</v>
      </c>
      <c r="D17" s="79">
        <f>SUM(Data!BA17)</f>
        <v>0</v>
      </c>
      <c r="E17" s="79">
        <f>SUM(Data!BB17)</f>
        <v>0</v>
      </c>
      <c r="F17" s="78" t="str">
        <f t="array" ref="F17">bpLOOKUP(Data!$AV17,"Size",CustOrdOpt,6,FALSE)</f>
        <v/>
      </c>
      <c r="G17" s="78" t="str">
        <f t="array" ref="G17">bpLOOKUP(Data!$AV17,"FIT",CustOrdOpt,6,FALSE)</f>
        <v/>
      </c>
      <c r="H17" s="78" t="str">
        <f t="array" ref="H17">bpLOOKUP(Data!$AV17,"FIXING",CustOrdOpt,6,FALSE)</f>
        <v/>
      </c>
      <c r="I17" s="73" t="str">
        <f t="array" ref="I17">IF(bpLOOKUP(Data!$AV17,"COLOURTYPE",CustOrdOpt,6,FALSE)="Custom Powdercoat",bpLOOKUP(Data!$AV17,"COLOUR",CustOrdOpt,6,FALSE),bpLOOKUP(Data!$AV17,"COLOURTYPE",CustOrdOpt,6,FALSE))</f>
        <v/>
      </c>
      <c r="J17" s="73" t="str">
        <f t="array" ref="J17">bpLOOKUP(Data!$AV17,"MESH",CustOrdOpt,6,FALSE)</f>
        <v/>
      </c>
      <c r="K17" s="73" t="str">
        <f t="array" ref="K17">bpLOOKUP(Data!$AV17,"DVACOLOUR",CustOrdOpt,6,FALSE)</f>
        <v/>
      </c>
      <c r="L17" s="73" t="str">
        <f t="array" ref="L17">bpLOOKUP(Data!$AV17,"FRAMESIZE",CustOrdOpt,6,FALSE)</f>
        <v/>
      </c>
      <c r="M17" s="73" t="str">
        <f t="array" ref="M17">bpLOOKUP(Data!$AV17,"MOUNT",CustOrdOpt,6,FALSE)</f>
        <v/>
      </c>
      <c r="N17" s="73" t="str">
        <f t="array" ref="N17">bpLOOKUP(Data!$AV17,"LIFTTABS",CustOrdOpt,6,FALSE)</f>
        <v/>
      </c>
      <c r="O17" s="73" t="str">
        <f t="array" ref="O17">bpLOOKUP(Data!$AV17,"CUTOUTS",CustOrdOpt,6,FALSE)</f>
        <v/>
      </c>
      <c r="P17" s="73" t="str">
        <f t="array" ref="P17">bpLOOKUP(Data!$AV17,"MIDRAIL",CustOrdOpt,6,FALSE)</f>
        <v/>
      </c>
      <c r="Q17" s="73" t="str">
        <f t="array" ref="Q17">IF(OR(P17="Yes - Centre Horizontal",P17="Yes - Centre Horizontal &amp; Vertical"),X17/2,bpLOOKUP(Data!$AV17,"MIDRAILHEIGHT",CustOrdOpt,6,FALSE))</f>
        <v/>
      </c>
      <c r="R17" s="73" t="str">
        <f t="array" ref="R17">IF(OR(P17="Yes - Centre Vertical",P17="Yes - Centre Horizontal &amp; Vertical"),W17/2,bpLOOKUP(Data!$AV17,"VMIDRAILHEIGHT",CustOrdOpt,6,FALSE))</f>
        <v/>
      </c>
      <c r="S17" s="73" t="str">
        <f t="array" ref="S17">bpLOOKUP(Data!$AV17,"MIDRAILCOLOUR",CustOrdOpt,6,FALSE)</f>
        <v/>
      </c>
      <c r="T17" s="78" t="str">
        <f t="array" ref="T17">bpLOOKUP(Data!$AV17,"ANGLE",CustOrdOpt,6,FALSE)</f>
        <v/>
      </c>
      <c r="U17" s="78" t="str">
        <f t="array" ref="U17">bpLOOKUP(Data!$AV17,"SIDEBYSIDE",CustOrdOpt,6,FALSE)</f>
        <v/>
      </c>
      <c r="V17" s="73" t="str">
        <f t="array" ref="V17">bpLOOKUP(Data!$AV17,"INSTALLATION",CustOrdOpt,6,FALSE)</f>
        <v/>
      </c>
      <c r="W17" s="44" t="str">
        <f>IF(Data!BA17="","",IF(F17="Opening",Data!BA17-VLOOKUP(U17,SideDeduct,2,FALSE)-VLOOKUP(CONCATENATE(G17,M17),MountingMethod,2,FALSE)-(IF(OR(L17="37mm x 11mm",L17="Invisi-Gard 37mm x 9mm",L17="Invisi-Gard 37mm x 11mm"),4)),IF(F17="Making",Data!BA17)))</f>
        <v/>
      </c>
      <c r="X17" s="44" t="str">
        <f>IF(Data!BB17="","",IF(F17="Opening",Data!BB17-VLOOKUP(U17,SideDeduct,2,FALSE)-IF(O17="Yes",55,0)-VLOOKUP(CONCATENATE(G17,M17),MountingMethod,3,FALSE)-(IF(OR(L17="37mm x 11mm",L17="Invisi-Gard 37mm x 9mm",L17="Invisi-Gard 37mm x 11mm"),4)),IF(F17="Making",Data!BB17)))</f>
        <v/>
      </c>
      <c r="Y17" s="73" t="str">
        <f t="array" ref="Y17">bpLOOKUP(Data!$AV17,"Notes",CustOrdOpt,6,FALSE)</f>
        <v/>
      </c>
      <c r="AA17" s="113" t="str">
        <f>IF(Data!BN17="Invisi-Scape","",IF(AND(L17="37mm x 11mm",R17&lt;&gt;""),W17-55,IF(L17="37mm x 11mm",W17-50,IF(AND(L17="70mm x 20mm",R17&lt;&gt;""),W17-119,IF(L17="70mm x 20mm",W17-114,IF(AND(L17="Invisi-Gard 70mm x 20mm",R17&lt;&gt;""),W17-125,IF(L17="Invisi-Gard 70mm x 20mm",W17-110,IF(AND(R17&lt;&gt;"",OR(L17="Invisi-Gard 37mm x 9mm",L17="Invisi-Gard 37mm x 11mm")),W17-60,IF(OR(L17="Invisi-Gard 37mm x 9mm",L17="Invisi-Gard 37mm x 11mm"),W17-45,"")))))))))</f>
        <v/>
      </c>
      <c r="AB17" s="113" t="str">
        <f>IF(Data!BN17="Invisi-Scape","",IF(AND(L17="37mm x 11mm",Q17&lt;&gt;""),X17-55,IF(L17="37mm x 11mm",X17-50,IF(AND(L17="70mm x 20mm",Q17&lt;&gt;""),X17-119,IF(L17="70mm x 20mm",X17-114,IF(AND(L17="Invisi-Gard 70mm x 20mm",Q17&lt;&gt;""),X17-125,IF(L17="Invisi-Gard 70mm x 20mm",X17-110,IF(AND(Q17&lt;&gt;"",OR(L17="Invisi-Gard 37mm x 9mm",L17="Invisi-Gard 37mm x 11mm")),X17-60,IF(OR(L17="Invisi-Gard 37mm x 9mm",L17="Invisi-Gard 37mm x 11mm"),X17-45,"")))))))))</f>
        <v/>
      </c>
      <c r="AC17" s="116" t="str">
        <f>IF(OR(Data!AW17="",Data!BN17="Invisi-Scape"),"",IF(L17="Invisi-Gard 70mm x 20mm",W17-149,IF(AND(OR(L17="Invisi-Gard 37mm x 11mm",L17="Invisi-Gard 37mm x 9mm"),R17&lt;&gt;""),R17-74,IF(OR(L17="Invisi-Gard 37mm x 11mm",L17="Invisi-Gard 37mm x 9mm"),W17-85,""))))</f>
        <v/>
      </c>
      <c r="AD17" s="116" t="str">
        <f>IF(OR(Data!AW17="",Data!BN17="Invisi-Scape",P17="",R17=""),"",IF(L17="Invisi-Gard 70mm x 20mm",W17-149,IF(AND(OR(L17="Invisi-Gard 37mm x 11mm",L17="Invisi-Gard 37mm x 9mm"),R17&lt;&gt;""),W17-AC17-148,IF(OR(L17="Invisi-Gard 37mm x 11mm",L17="Invisi-Gard 37mm x 9mm"),W17-85,""))))</f>
        <v/>
      </c>
      <c r="AE17" s="116" t="str">
        <f>IF(OR(Data!AW17="",Data!BN17="Invisi-Scape"),"",IF(L17="Invisi-Gard 70mm x 20mm",X17-160,IF(AND(OR(L17="Invisi-Gard 37mm x 11mm",L17="Invisi-Gard 37mm x 9mm"),Q17&lt;&gt;""),Q17-85,IF(OR(L17="Invisi-Gard 37mm x 11mm",L17="Invisi-Gard 37mm x 9mm"),X17-96,""))))</f>
        <v/>
      </c>
      <c r="AF17" s="116" t="str">
        <f>IF(OR(Data!AW17="",Data!BN17="Invisi-Scape",P17="",Q17=""),"",IF(L17="Invisi-Gard 70mm x 20mm",X17-160,IF(AND(OR(L17="Invisi-Gard 37mm x 11mm",L17="Invisi-Gard 37mm x 9mm"),Q17&lt;&gt;""),X17-AE17-170,IF(OR(L17="Invisi-Gard 37mm x 11mm",L17="Invisi-Gard 37mm x 9mm"),X17-96,""))))</f>
        <v/>
      </c>
      <c r="AG17" s="113" t="str">
        <f>IF(OR(Data!AX17="",Data!BN17="Invisi-Scape"),"",IF(AND(OR(L17="11mm",L17="9mm"),OR(P17="Yes - Centre Horizontal",P17="Yes - Horizontal",P17="Yes - Centre Horizontal &amp; Vertical",P17="Yes - Horizontal &amp; Vertical")),W17-44,IF(AND(OR(L17="Invisi-Gard 37mm x 11mm",L17="Invisi-Gard 37mm x 9mm"),OR(P17="Yes - Centre Horizontal",P17="Yes - Horizontal",P17="Yes - Centre Horizontal &amp; Vertical",P17="Yes - Horizontal &amp; Vertical")),W17-84,IF(AND(L17="37mm x 11mm",OR(P17="Yes - Centre Horizontal",P17="Yes - Horizontal",P17="Yes - Centre Horizontal &amp; Vertical",P17="Yes - Horizontal &amp; Vertical")),W17-90,IF(AND(L17="Invisi-Gard 70mm x 20mm",OR(P17="Yes - Centre Horizontal",P17="Yes - Horizontal",P17="Yes - Centre Horizontal &amp; Vertical",P17="Yes - Horizontal &amp; Vertical")),W17-149,IF(AND(L17="70mm x 20mm",OR(P17="Yes - Centre Horizontal",P17="Yes - Horizontal",P17="Yes - Centre Horizontal &amp; Vertical",P17="Yes - Horizontal &amp; Vertical")),W17-115,IF(OR(P17="Yes - Centre Horizontal",P17="Yes - Horizontal",P17="Yes - Centre Horizontal &amp; Vertical",P17="Yes - Horizontal &amp; Vertical"),W17-46,"")))))))</f>
        <v/>
      </c>
      <c r="AH17" s="113" t="str">
        <f>IF(OR(Data!AX17="",Data!BN17="Invisi-Scape"),"",IF(AND(OR(L17="Invisi-Gard 37mm x 11mm",L17="Invisi-Gard 37mm x 9mm"),OR(P17="Yes - Centre Vertical",P17="Yes - Vertical")),X17-84,IF(AND(OR(L17="Invisi-Gard 37mm x 11mm",L17="Invisi-Gard 37mm x 9mm"),OR(P17="Yes - Centre Horizontal &amp; Vertical",P17="Yes - Horizontal &amp; Vertical")),X17-144,IF(AND(L17="37mm x 11mm",OR(P17="Yes - Centre Vertical",P17="Yes - Vertical")),X17-90,IF(AND(L17="37mm x 11mm",OR(P17="Yes - Centre Horizontal &amp; Vertical",P17="Yes - Horizontal &amp; Vertical")),X17-118,IF(AND(L17="Invisi-Gard 70mm x 20mm",OR(P17="Yes - Centre Vertical",P17="Yes - Vertical")),X17-149,IF(AND(L17="Invisi-Gard 70mm x 20mm",OR(P17="Yes - Centre Horizontal &amp; Vertical",P17="Yes - Horizontal &amp; Vertical")),X17-209,IF(AND(L17="70mm x 20mm",OR(P17="Yes - Centre Vertical",P17="Yes - Vertical")),X17-115,IF(AND(L17="70mm x 20mm",OR(P17="Yes - Centre Horizontal &amp; Vertical",P17="Yes - Horizontal &amp; Vertical")),X17-143,IF(OR(P17="Yes - Centre Vertical",P17="Yes - Vertical",P17="Yes - Centre Horizontal &amp; Vertical",P17="Yes - Horizontal &amp; Vertical"),X17-46,""))))))))))</f>
        <v/>
      </c>
      <c r="AI17" s="116" t="str">
        <f>IF(OR(Data!AX17="",Data!BN17="Invisi-Scape"),"",IF(AND(OR(L17="Invisi-Gard 37mm x 11mm",L17="Invisi-Gard 37mm x 9mm"),OR(P17="Yes - Centre Horizontal &amp; Vertical",P17="Yes - Horizontal &amp; Vertical")),X17-Q17-72,IF(AND(L17="37mm x 11mm",OR(P17="Yes - Centre Horizontal &amp; Vertical",P17="Yes - Horizontal &amp; Vertical")),X17-118,IF(AND(L17="Invisi-Gard 70mm x 20mm",OR(P17="Yes - Centre Horizontal &amp; Vertical",P17="Yes - Horizontal &amp; Vertical")),X17-209,IF(AND(L17="70mm x 20mm",OR(P17="Yes - Centre Horizontal &amp; Vertical",P17="Yes - Horizontal &amp; Vertical")),X17-143,IF(OR(P17="Yes - Centre Horizontal &amp; Vertical",P17="Yes - Horizontal &amp; Vertical"),X17-46,""))))))</f>
        <v/>
      </c>
      <c r="AJ17" s="116" t="str">
        <f t="shared" si="0"/>
        <v/>
      </c>
    </row>
    <row r="18" spans="1:36" s="40" customFormat="1" ht="60" customHeight="1">
      <c r="A18" s="71">
        <f>Data!AW18</f>
        <v>0</v>
      </c>
      <c r="B18" s="73" t="str">
        <f>IF(Data!BE18="","",MID(Data!BE18,6,80))</f>
        <v/>
      </c>
      <c r="C18" s="72">
        <f>Data!AY18</f>
        <v>0</v>
      </c>
      <c r="D18" s="79">
        <f>SUM(Data!BA18)</f>
        <v>0</v>
      </c>
      <c r="E18" s="79">
        <f>SUM(Data!BB18)</f>
        <v>0</v>
      </c>
      <c r="F18" s="78" t="str">
        <f t="array" ref="F18">bpLOOKUP(Data!$AV18,"Size",CustOrdOpt,6,FALSE)</f>
        <v/>
      </c>
      <c r="G18" s="78" t="str">
        <f t="array" ref="G18">bpLOOKUP(Data!$AV18,"FIT",CustOrdOpt,6,FALSE)</f>
        <v/>
      </c>
      <c r="H18" s="78" t="str">
        <f t="array" ref="H18">bpLOOKUP(Data!$AV18,"FIXING",CustOrdOpt,6,FALSE)</f>
        <v/>
      </c>
      <c r="I18" s="73" t="str">
        <f t="array" ref="I18">IF(bpLOOKUP(Data!$AV18,"COLOURTYPE",CustOrdOpt,6,FALSE)="Custom Powdercoat",bpLOOKUP(Data!$AV18,"COLOUR",CustOrdOpt,6,FALSE),bpLOOKUP(Data!$AV18,"COLOURTYPE",CustOrdOpt,6,FALSE))</f>
        <v/>
      </c>
      <c r="J18" s="73" t="str">
        <f t="array" ref="J18">bpLOOKUP(Data!$AV18,"MESH",CustOrdOpt,6,FALSE)</f>
        <v/>
      </c>
      <c r="K18" s="73" t="str">
        <f t="array" ref="K18">bpLOOKUP(Data!$AV18,"DVACOLOUR",CustOrdOpt,6,FALSE)</f>
        <v/>
      </c>
      <c r="L18" s="73" t="str">
        <f t="array" ref="L18">bpLOOKUP(Data!$AV18,"FRAMESIZE",CustOrdOpt,6,FALSE)</f>
        <v/>
      </c>
      <c r="M18" s="73" t="str">
        <f t="array" ref="M18">bpLOOKUP(Data!$AV18,"MOUNT",CustOrdOpt,6,FALSE)</f>
        <v/>
      </c>
      <c r="N18" s="73" t="str">
        <f t="array" ref="N18">bpLOOKUP(Data!$AV18,"LIFTTABS",CustOrdOpt,6,FALSE)</f>
        <v/>
      </c>
      <c r="O18" s="73" t="str">
        <f t="array" ref="O18">bpLOOKUP(Data!$AV18,"CUTOUTS",CustOrdOpt,6,FALSE)</f>
        <v/>
      </c>
      <c r="P18" s="73" t="str">
        <f t="array" ref="P18">bpLOOKUP(Data!$AV18,"MIDRAIL",CustOrdOpt,6,FALSE)</f>
        <v/>
      </c>
      <c r="Q18" s="73" t="str">
        <f t="array" ref="Q18">IF(OR(P18="Yes - Centre Horizontal",P18="Yes - Centre Horizontal &amp; Vertical"),X18/2,bpLOOKUP(Data!$AV18,"MIDRAILHEIGHT",CustOrdOpt,6,FALSE))</f>
        <v/>
      </c>
      <c r="R18" s="73" t="str">
        <f t="array" ref="R18">IF(OR(P18="Yes - Centre Vertical",P18="Yes - Centre Horizontal &amp; Vertical"),W18/2,bpLOOKUP(Data!$AV18,"VMIDRAILHEIGHT",CustOrdOpt,6,FALSE))</f>
        <v/>
      </c>
      <c r="S18" s="73" t="str">
        <f t="array" ref="S18">bpLOOKUP(Data!$AV18,"MIDRAILCOLOUR",CustOrdOpt,6,FALSE)</f>
        <v/>
      </c>
      <c r="T18" s="78" t="str">
        <f t="array" ref="T18">bpLOOKUP(Data!$AV18,"ANGLE",CustOrdOpt,6,FALSE)</f>
        <v/>
      </c>
      <c r="U18" s="78" t="str">
        <f t="array" ref="U18">bpLOOKUP(Data!$AV18,"SIDEBYSIDE",CustOrdOpt,6,FALSE)</f>
        <v/>
      </c>
      <c r="V18" s="73" t="str">
        <f t="array" ref="V18">bpLOOKUP(Data!$AV18,"INSTALLATION",CustOrdOpt,6,FALSE)</f>
        <v/>
      </c>
      <c r="W18" s="44" t="str">
        <f>IF(Data!BA18="","",IF(F18="Opening",Data!BA18-VLOOKUP(U18,SideDeduct,2,FALSE)-VLOOKUP(CONCATENATE(G18,M18),MountingMethod,2,FALSE)-(IF(OR(L18="37mm x 11mm",L18="Invisi-Gard 37mm x 9mm",L18="Invisi-Gard 37mm x 11mm"),4)),IF(F18="Making",Data!BA18)))</f>
        <v/>
      </c>
      <c r="X18" s="44" t="str">
        <f>IF(Data!BB18="","",IF(F18="Opening",Data!BB18-VLOOKUP(U18,SideDeduct,2,FALSE)-IF(O18="Yes",55,0)-VLOOKUP(CONCATENATE(G18,M18),MountingMethod,3,FALSE)-(IF(OR(L18="37mm x 11mm",L18="Invisi-Gard 37mm x 9mm",L18="Invisi-Gard 37mm x 11mm"),4)),IF(F18="Making",Data!BB18)))</f>
        <v/>
      </c>
      <c r="Y18" s="73" t="str">
        <f t="array" ref="Y18">bpLOOKUP(Data!$AV18,"Notes",CustOrdOpt,6,FALSE)</f>
        <v/>
      </c>
      <c r="AA18" s="113" t="str">
        <f>IF(Data!BN18="Invisi-Scape","",IF(AND(L18="37mm x 11mm",R18&lt;&gt;""),W18-55,IF(L18="37mm x 11mm",W18-50,IF(AND(L18="70mm x 20mm",R18&lt;&gt;""),W18-119,IF(L18="70mm x 20mm",W18-114,IF(AND(L18="Invisi-Gard 70mm x 20mm",R18&lt;&gt;""),W18-125,IF(L18="Invisi-Gard 70mm x 20mm",W18-110,IF(AND(R18&lt;&gt;"",OR(L18="Invisi-Gard 37mm x 9mm",L18="Invisi-Gard 37mm x 11mm")),W18-60,IF(OR(L18="Invisi-Gard 37mm x 9mm",L18="Invisi-Gard 37mm x 11mm"),W18-45,"")))))))))</f>
        <v/>
      </c>
      <c r="AB18" s="113" t="str">
        <f>IF(Data!BN18="Invisi-Scape","",IF(AND(L18="37mm x 11mm",Q18&lt;&gt;""),X18-55,IF(L18="37mm x 11mm",X18-50,IF(AND(L18="70mm x 20mm",Q18&lt;&gt;""),X18-119,IF(L18="70mm x 20mm",X18-114,IF(AND(L18="Invisi-Gard 70mm x 20mm",Q18&lt;&gt;""),X18-125,IF(L18="Invisi-Gard 70mm x 20mm",X18-110,IF(AND(Q18&lt;&gt;"",OR(L18="Invisi-Gard 37mm x 9mm",L18="Invisi-Gard 37mm x 11mm")),X18-60,IF(OR(L18="Invisi-Gard 37mm x 9mm",L18="Invisi-Gard 37mm x 11mm"),X18-45,"")))))))))</f>
        <v/>
      </c>
      <c r="AC18" s="116" t="str">
        <f>IF(OR(Data!AW18="",Data!BN18="Invisi-Scape"),"",IF(L18="Invisi-Gard 70mm x 20mm",W18-149,IF(AND(OR(L18="Invisi-Gard 37mm x 11mm",L18="Invisi-Gard 37mm x 9mm"),R18&lt;&gt;""),R18-74,IF(OR(L18="Invisi-Gard 37mm x 11mm",L18="Invisi-Gard 37mm x 9mm"),W18-85,""))))</f>
        <v/>
      </c>
      <c r="AD18" s="116" t="str">
        <f>IF(OR(Data!AW18="",Data!BN18="Invisi-Scape",P18="",R18=""),"",IF(L18="Invisi-Gard 70mm x 20mm",W18-149,IF(AND(OR(L18="Invisi-Gard 37mm x 11mm",L18="Invisi-Gard 37mm x 9mm"),R18&lt;&gt;""),W18-AC18-148,IF(OR(L18="Invisi-Gard 37mm x 11mm",L18="Invisi-Gard 37mm x 9mm"),W18-85,""))))</f>
        <v/>
      </c>
      <c r="AE18" s="116" t="str">
        <f>IF(OR(Data!AW18="",Data!BN18="Invisi-Scape"),"",IF(L18="Invisi-Gard 70mm x 20mm",X18-160,IF(AND(OR(L18="Invisi-Gard 37mm x 11mm",L18="Invisi-Gard 37mm x 9mm"),Q18&lt;&gt;""),Q18-85,IF(OR(L18="Invisi-Gard 37mm x 11mm",L18="Invisi-Gard 37mm x 9mm"),X18-96,""))))</f>
        <v/>
      </c>
      <c r="AF18" s="116" t="str">
        <f>IF(OR(Data!AW18="",Data!BN18="Invisi-Scape",P18="",Q18=""),"",IF(L18="Invisi-Gard 70mm x 20mm",X18-160,IF(AND(OR(L18="Invisi-Gard 37mm x 11mm",L18="Invisi-Gard 37mm x 9mm"),Q18&lt;&gt;""),X18-AE18-170,IF(OR(L18="Invisi-Gard 37mm x 11mm",L18="Invisi-Gard 37mm x 9mm"),X18-96,""))))</f>
        <v/>
      </c>
      <c r="AG18" s="113" t="str">
        <f>IF(OR(Data!AX18="",Data!BN18="Invisi-Scape"),"",IF(AND(OR(L18="11mm",L18="9mm"),OR(P18="Yes - Centre Horizontal",P18="Yes - Horizontal",P18="Yes - Centre Horizontal &amp; Vertical",P18="Yes - Horizontal &amp; Vertical")),W18-44,IF(AND(OR(L18="Invisi-Gard 37mm x 11mm",L18="Invisi-Gard 37mm x 9mm"),OR(P18="Yes - Centre Horizontal",P18="Yes - Horizontal",P18="Yes - Centre Horizontal &amp; Vertical",P18="Yes - Horizontal &amp; Vertical")),W18-84,IF(AND(L18="37mm x 11mm",OR(P18="Yes - Centre Horizontal",P18="Yes - Horizontal",P18="Yes - Centre Horizontal &amp; Vertical",P18="Yes - Horizontal &amp; Vertical")),W18-90,IF(AND(L18="Invisi-Gard 70mm x 20mm",OR(P18="Yes - Centre Horizontal",P18="Yes - Horizontal",P18="Yes - Centre Horizontal &amp; Vertical",P18="Yes - Horizontal &amp; Vertical")),W18-149,IF(AND(L18="70mm x 20mm",OR(P18="Yes - Centre Horizontal",P18="Yes - Horizontal",P18="Yes - Centre Horizontal &amp; Vertical",P18="Yes - Horizontal &amp; Vertical")),W18-115,IF(OR(P18="Yes - Centre Horizontal",P18="Yes - Horizontal",P18="Yes - Centre Horizontal &amp; Vertical",P18="Yes - Horizontal &amp; Vertical"),W18-46,"")))))))</f>
        <v/>
      </c>
      <c r="AH18" s="113" t="str">
        <f>IF(OR(Data!AX18="",Data!BN18="Invisi-Scape"),"",IF(AND(OR(L18="Invisi-Gard 37mm x 11mm",L18="Invisi-Gard 37mm x 9mm"),OR(P18="Yes - Centre Vertical",P18="Yes - Vertical")),X18-84,IF(AND(OR(L18="Invisi-Gard 37mm x 11mm",L18="Invisi-Gard 37mm x 9mm"),OR(P18="Yes - Centre Horizontal &amp; Vertical",P18="Yes - Horizontal &amp; Vertical")),X18-144,IF(AND(L18="37mm x 11mm",OR(P18="Yes - Centre Vertical",P18="Yes - Vertical")),X18-90,IF(AND(L18="37mm x 11mm",OR(P18="Yes - Centre Horizontal &amp; Vertical",P18="Yes - Horizontal &amp; Vertical")),X18-118,IF(AND(L18="Invisi-Gard 70mm x 20mm",OR(P18="Yes - Centre Vertical",P18="Yes - Vertical")),X18-149,IF(AND(L18="Invisi-Gard 70mm x 20mm",OR(P18="Yes - Centre Horizontal &amp; Vertical",P18="Yes - Horizontal &amp; Vertical")),X18-209,IF(AND(L18="70mm x 20mm",OR(P18="Yes - Centre Vertical",P18="Yes - Vertical")),X18-115,IF(AND(L18="70mm x 20mm",OR(P18="Yes - Centre Horizontal &amp; Vertical",P18="Yes - Horizontal &amp; Vertical")),X18-143,IF(OR(P18="Yes - Centre Vertical",P18="Yes - Vertical",P18="Yes - Centre Horizontal &amp; Vertical",P18="Yes - Horizontal &amp; Vertical"),X18-46,""))))))))))</f>
        <v/>
      </c>
      <c r="AI18" s="116" t="str">
        <f>IF(OR(Data!AX18="",Data!BN18="Invisi-Scape"),"",IF(AND(OR(L18="Invisi-Gard 37mm x 11mm",L18="Invisi-Gard 37mm x 9mm"),OR(P18="Yes - Centre Horizontal &amp; Vertical",P18="Yes - Horizontal &amp; Vertical")),X18-Q18-72,IF(AND(L18="37mm x 11mm",OR(P18="Yes - Centre Horizontal &amp; Vertical",P18="Yes - Horizontal &amp; Vertical")),X18-118,IF(AND(L18="Invisi-Gard 70mm x 20mm",OR(P18="Yes - Centre Horizontal &amp; Vertical",P18="Yes - Horizontal &amp; Vertical")),X18-209,IF(AND(L18="70mm x 20mm",OR(P18="Yes - Centre Horizontal &amp; Vertical",P18="Yes - Horizontal &amp; Vertical")),X18-143,IF(OR(P18="Yes - Centre Horizontal &amp; Vertical",P18="Yes - Horizontal &amp; Vertical"),X18-46,""))))))</f>
        <v/>
      </c>
      <c r="AJ18" s="116" t="str">
        <f t="shared" si="0"/>
        <v/>
      </c>
    </row>
    <row r="19" spans="1:36" s="40" customFormat="1" ht="60" customHeight="1">
      <c r="A19" s="71">
        <f>Data!AW19</f>
        <v>0</v>
      </c>
      <c r="B19" s="73" t="str">
        <f>IF(Data!BE19="","",MID(Data!BE19,6,80))</f>
        <v/>
      </c>
      <c r="C19" s="72">
        <f>Data!AY19</f>
        <v>0</v>
      </c>
      <c r="D19" s="79">
        <f>SUM(Data!BA19)</f>
        <v>0</v>
      </c>
      <c r="E19" s="79">
        <f>SUM(Data!BB19)</f>
        <v>0</v>
      </c>
      <c r="F19" s="78" t="str">
        <f t="array" ref="F19">bpLOOKUP(Data!$AV19,"Size",CustOrdOpt,6,FALSE)</f>
        <v/>
      </c>
      <c r="G19" s="78" t="str">
        <f t="array" ref="G19">bpLOOKUP(Data!$AV19,"FIT",CustOrdOpt,6,FALSE)</f>
        <v/>
      </c>
      <c r="H19" s="78" t="str">
        <f t="array" ref="H19">bpLOOKUP(Data!$AV19,"FIXING",CustOrdOpt,6,FALSE)</f>
        <v/>
      </c>
      <c r="I19" s="73" t="str">
        <f t="array" ref="I19">IF(bpLOOKUP(Data!$AV19,"COLOURTYPE",CustOrdOpt,6,FALSE)="Custom Powdercoat",bpLOOKUP(Data!$AV19,"COLOUR",CustOrdOpt,6,FALSE),bpLOOKUP(Data!$AV19,"COLOURTYPE",CustOrdOpt,6,FALSE))</f>
        <v/>
      </c>
      <c r="J19" s="73" t="str">
        <f t="array" ref="J19">bpLOOKUP(Data!$AV19,"MESH",CustOrdOpt,6,FALSE)</f>
        <v/>
      </c>
      <c r="K19" s="73" t="str">
        <f t="array" ref="K19">bpLOOKUP(Data!$AV19,"DVACOLOUR",CustOrdOpt,6,FALSE)</f>
        <v/>
      </c>
      <c r="L19" s="73" t="str">
        <f t="array" ref="L19">bpLOOKUP(Data!$AV19,"FRAMESIZE",CustOrdOpt,6,FALSE)</f>
        <v/>
      </c>
      <c r="M19" s="73" t="str">
        <f t="array" ref="M19">bpLOOKUP(Data!$AV19,"MOUNT",CustOrdOpt,6,FALSE)</f>
        <v/>
      </c>
      <c r="N19" s="73" t="str">
        <f t="array" ref="N19">bpLOOKUP(Data!$AV19,"LIFTTABS",CustOrdOpt,6,FALSE)</f>
        <v/>
      </c>
      <c r="O19" s="73" t="str">
        <f t="array" ref="O19">bpLOOKUP(Data!$AV19,"CUTOUTS",CustOrdOpt,6,FALSE)</f>
        <v/>
      </c>
      <c r="P19" s="73" t="str">
        <f t="array" ref="P19">bpLOOKUP(Data!$AV19,"MIDRAIL",CustOrdOpt,6,FALSE)</f>
        <v/>
      </c>
      <c r="Q19" s="73" t="str">
        <f t="array" ref="Q19">IF(OR(P19="Yes - Centre Horizontal",P19="Yes - Centre Horizontal &amp; Vertical"),X19/2,bpLOOKUP(Data!$AV19,"MIDRAILHEIGHT",CustOrdOpt,6,FALSE))</f>
        <v/>
      </c>
      <c r="R19" s="73" t="str">
        <f t="array" ref="R19">IF(OR(P19="Yes - Centre Vertical",P19="Yes - Centre Horizontal &amp; Vertical"),W19/2,bpLOOKUP(Data!$AV19,"VMIDRAILHEIGHT",CustOrdOpt,6,FALSE))</f>
        <v/>
      </c>
      <c r="S19" s="73" t="str">
        <f t="array" ref="S19">bpLOOKUP(Data!$AV19,"MIDRAILCOLOUR",CustOrdOpt,6,FALSE)</f>
        <v/>
      </c>
      <c r="T19" s="78" t="str">
        <f t="array" ref="T19">bpLOOKUP(Data!$AV19,"ANGLE",CustOrdOpt,6,FALSE)</f>
        <v/>
      </c>
      <c r="U19" s="78" t="str">
        <f t="array" ref="U19">bpLOOKUP(Data!$AV19,"SIDEBYSIDE",CustOrdOpt,6,FALSE)</f>
        <v/>
      </c>
      <c r="V19" s="73" t="str">
        <f t="array" ref="V19">bpLOOKUP(Data!$AV19,"INSTALLATION",CustOrdOpt,6,FALSE)</f>
        <v/>
      </c>
      <c r="W19" s="44" t="str">
        <f>IF(Data!BA19="","",IF(F19="Opening",Data!BA19-VLOOKUP(U19,SideDeduct,2,FALSE)-VLOOKUP(CONCATENATE(G19,M19),MountingMethod,2,FALSE)-(IF(OR(L19="37mm x 11mm",L19="Invisi-Gard 37mm x 9mm",L19="Invisi-Gard 37mm x 11mm"),4)),IF(F19="Making",Data!BA19)))</f>
        <v/>
      </c>
      <c r="X19" s="44" t="str">
        <f>IF(Data!BB19="","",IF(F19="Opening",Data!BB19-VLOOKUP(U19,SideDeduct,2,FALSE)-IF(O19="Yes",55,0)-VLOOKUP(CONCATENATE(G19,M19),MountingMethod,3,FALSE)-(IF(OR(L19="37mm x 11mm",L19="Invisi-Gard 37mm x 9mm",L19="Invisi-Gard 37mm x 11mm"),4)),IF(F19="Making",Data!BB19)))</f>
        <v/>
      </c>
      <c r="Y19" s="73" t="str">
        <f t="array" ref="Y19">bpLOOKUP(Data!$AV19,"Notes",CustOrdOpt,6,FALSE)</f>
        <v/>
      </c>
      <c r="AA19" s="113" t="str">
        <f>IF(Data!BN19="Invisi-Scape","",IF(AND(L19="37mm x 11mm",R19&lt;&gt;""),W19-55,IF(L19="37mm x 11mm",W19-50,IF(AND(L19="70mm x 20mm",R19&lt;&gt;""),W19-119,IF(L19="70mm x 20mm",W19-114,IF(AND(L19="Invisi-Gard 70mm x 20mm",R19&lt;&gt;""),W19-125,IF(L19="Invisi-Gard 70mm x 20mm",W19-110,IF(AND(R19&lt;&gt;"",OR(L19="Invisi-Gard 37mm x 9mm",L19="Invisi-Gard 37mm x 11mm")),W19-60,IF(OR(L19="Invisi-Gard 37mm x 9mm",L19="Invisi-Gard 37mm x 11mm"),W19-45,"")))))))))</f>
        <v/>
      </c>
      <c r="AB19" s="113" t="str">
        <f>IF(Data!BN19="Invisi-Scape","",IF(AND(L19="37mm x 11mm",Q19&lt;&gt;""),X19-55,IF(L19="37mm x 11mm",X19-50,IF(AND(L19="70mm x 20mm",Q19&lt;&gt;""),X19-119,IF(L19="70mm x 20mm",X19-114,IF(AND(L19="Invisi-Gard 70mm x 20mm",Q19&lt;&gt;""),X19-125,IF(L19="Invisi-Gard 70mm x 20mm",X19-110,IF(AND(Q19&lt;&gt;"",OR(L19="Invisi-Gard 37mm x 9mm",L19="Invisi-Gard 37mm x 11mm")),X19-60,IF(OR(L19="Invisi-Gard 37mm x 9mm",L19="Invisi-Gard 37mm x 11mm"),X19-45,"")))))))))</f>
        <v/>
      </c>
      <c r="AC19" s="116" t="str">
        <f>IF(OR(Data!AW19="",Data!BN19="Invisi-Scape"),"",IF(L19="Invisi-Gard 70mm x 20mm",W19-149,IF(AND(OR(L19="Invisi-Gard 37mm x 11mm",L19="Invisi-Gard 37mm x 9mm"),R19&lt;&gt;""),R19-74,IF(OR(L19="Invisi-Gard 37mm x 11mm",L19="Invisi-Gard 37mm x 9mm"),W19-85,""))))</f>
        <v/>
      </c>
      <c r="AD19" s="116" t="str">
        <f>IF(OR(Data!AW19="",Data!BN19="Invisi-Scape",P19="",R19=""),"",IF(L19="Invisi-Gard 70mm x 20mm",W19-149,IF(AND(OR(L19="Invisi-Gard 37mm x 11mm",L19="Invisi-Gard 37mm x 9mm"),R19&lt;&gt;""),W19-AC19-148,IF(OR(L19="Invisi-Gard 37mm x 11mm",L19="Invisi-Gard 37mm x 9mm"),W19-85,""))))</f>
        <v/>
      </c>
      <c r="AE19" s="116" t="str">
        <f>IF(OR(Data!AW19="",Data!BN19="Invisi-Scape"),"",IF(L19="Invisi-Gard 70mm x 20mm",X19-160,IF(AND(OR(L19="Invisi-Gard 37mm x 11mm",L19="Invisi-Gard 37mm x 9mm"),Q19&lt;&gt;""),Q19-85,IF(OR(L19="Invisi-Gard 37mm x 11mm",L19="Invisi-Gard 37mm x 9mm"),X19-96,""))))</f>
        <v/>
      </c>
      <c r="AF19" s="116" t="str">
        <f>IF(OR(Data!AW19="",Data!BN19="Invisi-Scape",P19="",Q19=""),"",IF(L19="Invisi-Gard 70mm x 20mm",X19-160,IF(AND(OR(L19="Invisi-Gard 37mm x 11mm",L19="Invisi-Gard 37mm x 9mm"),Q19&lt;&gt;""),X19-AE19-170,IF(OR(L19="Invisi-Gard 37mm x 11mm",L19="Invisi-Gard 37mm x 9mm"),X19-96,""))))</f>
        <v/>
      </c>
      <c r="AG19" s="113" t="str">
        <f>IF(OR(Data!AX19="",Data!BN19="Invisi-Scape"),"",IF(AND(OR(L19="11mm",L19="9mm"),OR(P19="Yes - Centre Horizontal",P19="Yes - Horizontal",P19="Yes - Centre Horizontal &amp; Vertical",P19="Yes - Horizontal &amp; Vertical")),W19-44,IF(AND(OR(L19="Invisi-Gard 37mm x 11mm",L19="Invisi-Gard 37mm x 9mm"),OR(P19="Yes - Centre Horizontal",P19="Yes - Horizontal",P19="Yes - Centre Horizontal &amp; Vertical",P19="Yes - Horizontal &amp; Vertical")),W19-84,IF(AND(L19="37mm x 11mm",OR(P19="Yes - Centre Horizontal",P19="Yes - Horizontal",P19="Yes - Centre Horizontal &amp; Vertical",P19="Yes - Horizontal &amp; Vertical")),W19-90,IF(AND(L19="Invisi-Gard 70mm x 20mm",OR(P19="Yes - Centre Horizontal",P19="Yes - Horizontal",P19="Yes - Centre Horizontal &amp; Vertical",P19="Yes - Horizontal &amp; Vertical")),W19-149,IF(AND(L19="70mm x 20mm",OR(P19="Yes - Centre Horizontal",P19="Yes - Horizontal",P19="Yes - Centre Horizontal &amp; Vertical",P19="Yes - Horizontal &amp; Vertical")),W19-115,IF(OR(P19="Yes - Centre Horizontal",P19="Yes - Horizontal",P19="Yes - Centre Horizontal &amp; Vertical",P19="Yes - Horizontal &amp; Vertical"),W19-46,"")))))))</f>
        <v/>
      </c>
      <c r="AH19" s="113" t="str">
        <f>IF(OR(Data!AX19="",Data!BN19="Invisi-Scape"),"",IF(AND(OR(L19="Invisi-Gard 37mm x 11mm",L19="Invisi-Gard 37mm x 9mm"),OR(P19="Yes - Centre Vertical",P19="Yes - Vertical")),X19-84,IF(AND(OR(L19="Invisi-Gard 37mm x 11mm",L19="Invisi-Gard 37mm x 9mm"),OR(P19="Yes - Centre Horizontal &amp; Vertical",P19="Yes - Horizontal &amp; Vertical")),X19-144,IF(AND(L19="37mm x 11mm",OR(P19="Yes - Centre Vertical",P19="Yes - Vertical")),X19-90,IF(AND(L19="37mm x 11mm",OR(P19="Yes - Centre Horizontal &amp; Vertical",P19="Yes - Horizontal &amp; Vertical")),X19-118,IF(AND(L19="Invisi-Gard 70mm x 20mm",OR(P19="Yes - Centre Vertical",P19="Yes - Vertical")),X19-149,IF(AND(L19="Invisi-Gard 70mm x 20mm",OR(P19="Yes - Centre Horizontal &amp; Vertical",P19="Yes - Horizontal &amp; Vertical")),X19-209,IF(AND(L19="70mm x 20mm",OR(P19="Yes - Centre Vertical",P19="Yes - Vertical")),X19-115,IF(AND(L19="70mm x 20mm",OR(P19="Yes - Centre Horizontal &amp; Vertical",P19="Yes - Horizontal &amp; Vertical")),X19-143,IF(OR(P19="Yes - Centre Vertical",P19="Yes - Vertical",P19="Yes - Centre Horizontal &amp; Vertical",P19="Yes - Horizontal &amp; Vertical"),X19-46,""))))))))))</f>
        <v/>
      </c>
      <c r="AI19" s="116" t="str">
        <f>IF(OR(Data!AX19="",Data!BN19="Invisi-Scape"),"",IF(AND(OR(L19="Invisi-Gard 37mm x 11mm",L19="Invisi-Gard 37mm x 9mm"),OR(P19="Yes - Centre Horizontal &amp; Vertical",P19="Yes - Horizontal &amp; Vertical")),X19-Q19-72,IF(AND(L19="37mm x 11mm",OR(P19="Yes - Centre Horizontal &amp; Vertical",P19="Yes - Horizontal &amp; Vertical")),X19-118,IF(AND(L19="Invisi-Gard 70mm x 20mm",OR(P19="Yes - Centre Horizontal &amp; Vertical",P19="Yes - Horizontal &amp; Vertical")),X19-209,IF(AND(L19="70mm x 20mm",OR(P19="Yes - Centre Horizontal &amp; Vertical",P19="Yes - Horizontal &amp; Vertical")),X19-143,IF(OR(P19="Yes - Centre Horizontal &amp; Vertical",P19="Yes - Horizontal &amp; Vertical"),X19-46,""))))))</f>
        <v/>
      </c>
      <c r="AJ19" s="116" t="str">
        <f t="shared" si="0"/>
        <v/>
      </c>
    </row>
    <row r="20" spans="1:36" s="40" customFormat="1" ht="60" customHeight="1">
      <c r="A20" s="71">
        <f>Data!AW20</f>
        <v>0</v>
      </c>
      <c r="B20" s="73" t="str">
        <f>IF(Data!BE20="","",MID(Data!BE20,6,80))</f>
        <v/>
      </c>
      <c r="C20" s="72">
        <f>Data!AY20</f>
        <v>0</v>
      </c>
      <c r="D20" s="79">
        <f>SUM(Data!BA20)</f>
        <v>0</v>
      </c>
      <c r="E20" s="79">
        <f>SUM(Data!BB20)</f>
        <v>0</v>
      </c>
      <c r="F20" s="78" t="str">
        <f t="array" ref="F20">bpLOOKUP(Data!$AV20,"Size",CustOrdOpt,6,FALSE)</f>
        <v/>
      </c>
      <c r="G20" s="78" t="str">
        <f t="array" ref="G20">bpLOOKUP(Data!$AV20,"FIT",CustOrdOpt,6,FALSE)</f>
        <v/>
      </c>
      <c r="H20" s="78" t="str">
        <f t="array" ref="H20">bpLOOKUP(Data!$AV20,"FIXING",CustOrdOpt,6,FALSE)</f>
        <v/>
      </c>
      <c r="I20" s="73" t="str">
        <f t="array" ref="I20">IF(bpLOOKUP(Data!$AV20,"COLOURTYPE",CustOrdOpt,6,FALSE)="Custom Powdercoat",bpLOOKUP(Data!$AV20,"COLOUR",CustOrdOpt,6,FALSE),bpLOOKUP(Data!$AV20,"COLOURTYPE",CustOrdOpt,6,FALSE))</f>
        <v/>
      </c>
      <c r="J20" s="73" t="str">
        <f t="array" ref="J20">bpLOOKUP(Data!$AV20,"MESH",CustOrdOpt,6,FALSE)</f>
        <v/>
      </c>
      <c r="K20" s="73" t="str">
        <f t="array" ref="K20">bpLOOKUP(Data!$AV20,"DVACOLOUR",CustOrdOpt,6,FALSE)</f>
        <v/>
      </c>
      <c r="L20" s="73" t="str">
        <f t="array" ref="L20">bpLOOKUP(Data!$AV20,"FRAMESIZE",CustOrdOpt,6,FALSE)</f>
        <v/>
      </c>
      <c r="M20" s="73" t="str">
        <f t="array" ref="M20">bpLOOKUP(Data!$AV20,"MOUNT",CustOrdOpt,6,FALSE)</f>
        <v/>
      </c>
      <c r="N20" s="73" t="str">
        <f t="array" ref="N20">bpLOOKUP(Data!$AV20,"LIFTTABS",CustOrdOpt,6,FALSE)</f>
        <v/>
      </c>
      <c r="O20" s="73" t="str">
        <f t="array" ref="O20">bpLOOKUP(Data!$AV20,"CUTOUTS",CustOrdOpt,6,FALSE)</f>
        <v/>
      </c>
      <c r="P20" s="73" t="str">
        <f t="array" ref="P20">bpLOOKUP(Data!$AV20,"MIDRAIL",CustOrdOpt,6,FALSE)</f>
        <v/>
      </c>
      <c r="Q20" s="73" t="str">
        <f t="array" ref="Q20">IF(OR(P20="Yes - Centre Horizontal",P20="Yes - Centre Horizontal &amp; Vertical"),X20/2,bpLOOKUP(Data!$AV20,"MIDRAILHEIGHT",CustOrdOpt,6,FALSE))</f>
        <v/>
      </c>
      <c r="R20" s="73" t="str">
        <f t="array" ref="R20">IF(OR(P20="Yes - Centre Vertical",P20="Yes - Centre Horizontal &amp; Vertical"),W20/2,bpLOOKUP(Data!$AV20,"VMIDRAILHEIGHT",CustOrdOpt,6,FALSE))</f>
        <v/>
      </c>
      <c r="S20" s="73" t="str">
        <f t="array" ref="S20">bpLOOKUP(Data!$AV20,"MIDRAILCOLOUR",CustOrdOpt,6,FALSE)</f>
        <v/>
      </c>
      <c r="T20" s="78" t="str">
        <f t="array" ref="T20">bpLOOKUP(Data!$AV20,"ANGLE",CustOrdOpt,6,FALSE)</f>
        <v/>
      </c>
      <c r="U20" s="78" t="str">
        <f t="array" ref="U20">bpLOOKUP(Data!$AV20,"SIDEBYSIDE",CustOrdOpt,6,FALSE)</f>
        <v/>
      </c>
      <c r="V20" s="73" t="str">
        <f t="array" ref="V20">bpLOOKUP(Data!$AV20,"INSTALLATION",CustOrdOpt,6,FALSE)</f>
        <v/>
      </c>
      <c r="W20" s="44" t="str">
        <f>IF(Data!BA20="","",IF(F20="Opening",Data!BA20-VLOOKUP(U20,SideDeduct,2,FALSE)-VLOOKUP(CONCATENATE(G20,M20),MountingMethod,2,FALSE)-(IF(OR(L20="37mm x 11mm",L20="Invisi-Gard 37mm x 9mm",L20="Invisi-Gard 37mm x 11mm"),4)),IF(F20="Making",Data!BA20)))</f>
        <v/>
      </c>
      <c r="X20" s="44" t="str">
        <f>IF(Data!BB20="","",IF(F20="Opening",Data!BB20-VLOOKUP(U20,SideDeduct,2,FALSE)-IF(O20="Yes",55,0)-VLOOKUP(CONCATENATE(G20,M20),MountingMethod,3,FALSE)-(IF(OR(L20="37mm x 11mm",L20="Invisi-Gard 37mm x 9mm",L20="Invisi-Gard 37mm x 11mm"),4)),IF(F20="Making",Data!BB20)))</f>
        <v/>
      </c>
      <c r="Y20" s="73" t="str">
        <f t="array" ref="Y20">bpLOOKUP(Data!$AV20,"Notes",CustOrdOpt,6,FALSE)</f>
        <v/>
      </c>
      <c r="Z20" s="114"/>
      <c r="AA20" s="113" t="str">
        <f>IF(Data!BN20="Invisi-Scape","",IF(AND(L20="37mm x 11mm",R20&lt;&gt;""),W20-55,IF(L20="37mm x 11mm",W20-50,IF(AND(L20="70mm x 20mm",R20&lt;&gt;""),W20-119,IF(L20="70mm x 20mm",W20-114,IF(AND(L20="Invisi-Gard 70mm x 20mm",R20&lt;&gt;""),W20-125,IF(L20="Invisi-Gard 70mm x 20mm",W20-110,IF(AND(R20&lt;&gt;"",OR(L20="Invisi-Gard 37mm x 9mm",L20="Invisi-Gard 37mm x 11mm")),W20-60,IF(OR(L20="Invisi-Gard 37mm x 9mm",L20="Invisi-Gard 37mm x 11mm"),W20-45,"")))))))))</f>
        <v/>
      </c>
      <c r="AB20" s="113" t="str">
        <f>IF(Data!BN20="Invisi-Scape","",IF(AND(L20="37mm x 11mm",Q20&lt;&gt;""),X20-55,IF(L20="37mm x 11mm",X20-50,IF(AND(L20="70mm x 20mm",Q20&lt;&gt;""),X20-119,IF(L20="70mm x 20mm",X20-114,IF(AND(L20="Invisi-Gard 70mm x 20mm",Q20&lt;&gt;""),X20-125,IF(L20="Invisi-Gard 70mm x 20mm",X20-110,IF(AND(Q20&lt;&gt;"",OR(L20="Invisi-Gard 37mm x 9mm",L20="Invisi-Gard 37mm x 11mm")),X20-60,IF(OR(L20="Invisi-Gard 37mm x 9mm",L20="Invisi-Gard 37mm x 11mm"),X20-45,"")))))))))</f>
        <v/>
      </c>
      <c r="AC20" s="116" t="str">
        <f>IF(OR(Data!AW20="",Data!BN20="Invisi-Scape"),"",IF(L20="Invisi-Gard 70mm x 20mm",W20-149,IF(AND(OR(L20="Invisi-Gard 37mm x 11mm",L20="Invisi-Gard 37mm x 9mm"),R20&lt;&gt;""),R20-74,IF(OR(L20="Invisi-Gard 37mm x 11mm",L20="Invisi-Gard 37mm x 9mm"),W20-85,""))))</f>
        <v/>
      </c>
      <c r="AD20" s="116" t="str">
        <f>IF(OR(Data!AW20="",Data!BN20="Invisi-Scape",P20="",R20=""),"",IF(L20="Invisi-Gard 70mm x 20mm",W20-149,IF(AND(OR(L20="Invisi-Gard 37mm x 11mm",L20="Invisi-Gard 37mm x 9mm"),R20&lt;&gt;""),W20-AC20-148,IF(OR(L20="Invisi-Gard 37mm x 11mm",L20="Invisi-Gard 37mm x 9mm"),W20-85,""))))</f>
        <v/>
      </c>
      <c r="AE20" s="116" t="str">
        <f>IF(OR(Data!AW20="",Data!BN20="Invisi-Scape"),"",IF(L20="Invisi-Gard 70mm x 20mm",X20-160,IF(AND(OR(L20="Invisi-Gard 37mm x 11mm",L20="Invisi-Gard 37mm x 9mm"),Q20&lt;&gt;""),Q20-85,IF(OR(L20="Invisi-Gard 37mm x 11mm",L20="Invisi-Gard 37mm x 9mm"),X20-96,""))))</f>
        <v/>
      </c>
      <c r="AF20" s="116" t="str">
        <f>IF(OR(Data!AW20="",Data!BN20="Invisi-Scape",P20="",Q20=""),"",IF(L20="Invisi-Gard 70mm x 20mm",X20-160,IF(AND(OR(L20="Invisi-Gard 37mm x 11mm",L20="Invisi-Gard 37mm x 9mm"),Q20&lt;&gt;""),X20-AE20-170,IF(OR(L20="Invisi-Gard 37mm x 11mm",L20="Invisi-Gard 37mm x 9mm"),X20-96,""))))</f>
        <v/>
      </c>
      <c r="AG20" s="113" t="str">
        <f>IF(OR(Data!AX20="",Data!BN20="Invisi-Scape"),"",IF(AND(OR(L20="11mm",L20="9mm"),OR(P20="Yes - Centre Horizontal",P20="Yes - Horizontal",P20="Yes - Centre Horizontal &amp; Vertical",P20="Yes - Horizontal &amp; Vertical")),W20-44,IF(AND(OR(L20="Invisi-Gard 37mm x 11mm",L20="Invisi-Gard 37mm x 9mm"),OR(P20="Yes - Centre Horizontal",P20="Yes - Horizontal",P20="Yes - Centre Horizontal &amp; Vertical",P20="Yes - Horizontal &amp; Vertical")),W20-84,IF(AND(L20="37mm x 11mm",OR(P20="Yes - Centre Horizontal",P20="Yes - Horizontal",P20="Yes - Centre Horizontal &amp; Vertical",P20="Yes - Horizontal &amp; Vertical")),W20-90,IF(AND(L20="Invisi-Gard 70mm x 20mm",OR(P20="Yes - Centre Horizontal",P20="Yes - Horizontal",P20="Yes - Centre Horizontal &amp; Vertical",P20="Yes - Horizontal &amp; Vertical")),W20-149,IF(AND(L20="70mm x 20mm",OR(P20="Yes - Centre Horizontal",P20="Yes - Horizontal",P20="Yes - Centre Horizontal &amp; Vertical",P20="Yes - Horizontal &amp; Vertical")),W20-115,IF(OR(P20="Yes - Centre Horizontal",P20="Yes - Horizontal",P20="Yes - Centre Horizontal &amp; Vertical",P20="Yes - Horizontal &amp; Vertical"),W20-46,"")))))))</f>
        <v/>
      </c>
      <c r="AH20" s="113" t="str">
        <f>IF(OR(Data!AX20="",Data!BN20="Invisi-Scape"),"",IF(AND(OR(L20="Invisi-Gard 37mm x 11mm",L20="Invisi-Gard 37mm x 9mm"),OR(P20="Yes - Centre Vertical",P20="Yes - Vertical")),X20-84,IF(AND(OR(L20="Invisi-Gard 37mm x 11mm",L20="Invisi-Gard 37mm x 9mm"),OR(P20="Yes - Centre Horizontal &amp; Vertical",P20="Yes - Horizontal &amp; Vertical")),X20-144,IF(AND(L20="37mm x 11mm",OR(P20="Yes - Centre Vertical",P20="Yes - Vertical")),X20-90,IF(AND(L20="37mm x 11mm",OR(P20="Yes - Centre Horizontal &amp; Vertical",P20="Yes - Horizontal &amp; Vertical")),X20-118,IF(AND(L20="Invisi-Gard 70mm x 20mm",OR(P20="Yes - Centre Vertical",P20="Yes - Vertical")),X20-149,IF(AND(L20="Invisi-Gard 70mm x 20mm",OR(P20="Yes - Centre Horizontal &amp; Vertical",P20="Yes - Horizontal &amp; Vertical")),X20-209,IF(AND(L20="70mm x 20mm",OR(P20="Yes - Centre Vertical",P20="Yes - Vertical")),X20-115,IF(AND(L20="70mm x 20mm",OR(P20="Yes - Centre Horizontal &amp; Vertical",P20="Yes - Horizontal &amp; Vertical")),X20-143,IF(OR(P20="Yes - Centre Vertical",P20="Yes - Vertical",P20="Yes - Centre Horizontal &amp; Vertical",P20="Yes - Horizontal &amp; Vertical"),X20-46,""))))))))))</f>
        <v/>
      </c>
      <c r="AI20" s="116" t="str">
        <f>IF(OR(Data!AX20="",Data!BN20="Invisi-Scape"),"",IF(AND(OR(L20="Invisi-Gard 37mm x 11mm",L20="Invisi-Gard 37mm x 9mm"),OR(P20="Yes - Centre Horizontal &amp; Vertical",P20="Yes - Horizontal &amp; Vertical")),X20-Q20-72,IF(AND(L20="37mm x 11mm",OR(P20="Yes - Centre Horizontal &amp; Vertical",P20="Yes - Horizontal &amp; Vertical")),X20-118,IF(AND(L20="Invisi-Gard 70mm x 20mm",OR(P20="Yes - Centre Horizontal &amp; Vertical",P20="Yes - Horizontal &amp; Vertical")),X20-209,IF(AND(L20="70mm x 20mm",OR(P20="Yes - Centre Horizontal &amp; Vertical",P20="Yes - Horizontal &amp; Vertical")),X20-143,IF(OR(P20="Yes - Centre Horizontal &amp; Vertical",P20="Yes - Horizontal &amp; Vertical"),X20-46,""))))))</f>
        <v/>
      </c>
      <c r="AJ20" s="116" t="str">
        <f t="shared" si="0"/>
        <v/>
      </c>
    </row>
  </sheetData>
  <sheetProtection formatCells="0" formatRows="0" insertColumns="0" insertRows="0"/>
  <mergeCells count="53">
    <mergeCell ref="AG9:AG10"/>
    <mergeCell ref="AH9:AH10"/>
    <mergeCell ref="Y9:Y10"/>
    <mergeCell ref="E9:E10"/>
    <mergeCell ref="A7:G8"/>
    <mergeCell ref="D9:D10"/>
    <mergeCell ref="F9:F10"/>
    <mergeCell ref="B9:B10"/>
    <mergeCell ref="W9:W10"/>
    <mergeCell ref="A9:A10"/>
    <mergeCell ref="T9:T10"/>
    <mergeCell ref="G9:G10"/>
    <mergeCell ref="H9:H10"/>
    <mergeCell ref="I9:I10"/>
    <mergeCell ref="V9:V10"/>
    <mergeCell ref="M9:M10"/>
    <mergeCell ref="A2:Y2"/>
    <mergeCell ref="K3:R3"/>
    <mergeCell ref="K4:R4"/>
    <mergeCell ref="K5:R5"/>
    <mergeCell ref="K6:R6"/>
    <mergeCell ref="S3:Y3"/>
    <mergeCell ref="S4:Y8"/>
    <mergeCell ref="H4:J4"/>
    <mergeCell ref="D4:G4"/>
    <mergeCell ref="D5:G5"/>
    <mergeCell ref="A4:C4"/>
    <mergeCell ref="A5:C5"/>
    <mergeCell ref="A3:C3"/>
    <mergeCell ref="C9:C10"/>
    <mergeCell ref="U9:U10"/>
    <mergeCell ref="R9:R10"/>
    <mergeCell ref="S9:S10"/>
    <mergeCell ref="H6:J8"/>
    <mergeCell ref="P9:P10"/>
    <mergeCell ref="Q9:Q10"/>
    <mergeCell ref="K7:R7"/>
    <mergeCell ref="K8:R8"/>
    <mergeCell ref="A6:C6"/>
    <mergeCell ref="AE9:AE10"/>
    <mergeCell ref="AC9:AC10"/>
    <mergeCell ref="AB9:AB10"/>
    <mergeCell ref="AA9:AA10"/>
    <mergeCell ref="D3:G3"/>
    <mergeCell ref="D6:G6"/>
    <mergeCell ref="H3:J3"/>
    <mergeCell ref="H5:J5"/>
    <mergeCell ref="X9:X10"/>
    <mergeCell ref="O9:O10"/>
    <mergeCell ref="L9:L10"/>
    <mergeCell ref="J9:J10"/>
    <mergeCell ref="K9:K10"/>
    <mergeCell ref="N9:N10"/>
  </mergeCells>
  <conditionalFormatting sqref="B11:B20">
    <cfRule type="notContainsBlanks" priority="1" dxfId="0">
      <formula>LEN(TRIM(B11))&gt;0</formula>
    </cfRule>
  </conditionalFormatting>
  <printOptions horizontalCentered="1"/>
  <pageMargins left="0.236220472440945" right="0.236220472440945" top="0.15748031496063" bottom="0.196850393700787" header="0.118110236220472" footer="0.118110236220472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D218E-257F-4FA6-9F51-CA6B84F13548}">
  <sheetPr codeName="Sheet1">
    <pageSetUpPr fitToPage="1"/>
  </sheetPr>
  <dimension ref="A1:K363"/>
  <sheetViews>
    <sheetView view="pageBreakPreview" zoomScale="40" zoomScaleNormal="50" zoomScaleSheetLayoutView="40" workbookViewId="0" topLeftCell="A1">
      <selection pane="topLeft" activeCell="A11" sqref="A11:XFD20"/>
    </sheetView>
  </sheetViews>
  <sheetFormatPr defaultColWidth="9.109375" defaultRowHeight="13.5"/>
  <cols>
    <col min="1" max="1" width="12.4285714285714" style="68" customWidth="1"/>
    <col min="2" max="2" width="38.2857142857143" style="68" customWidth="1"/>
    <col min="3" max="3" width="26.1428571428571" style="68" customWidth="1"/>
    <col min="4" max="4" width="34.1428571428571" style="68" customWidth="1"/>
    <col min="5" max="5" width="35.2857142857143" style="68" customWidth="1"/>
    <col min="6" max="6" width="23.2857142857143" style="68" customWidth="1"/>
    <col min="7" max="7" width="41.7142857142857" customWidth="1"/>
    <col min="8" max="8" width="25.2857142857143" customWidth="1"/>
    <col min="9" max="9" width="25.7142857142857" customWidth="1"/>
    <col min="10" max="10" width="107.857142857143" customWidth="1"/>
    <col min="11" max="11" width="17.8571428571429" customWidth="1"/>
  </cols>
  <sheetData>
    <row r="1" spans="1:11" ht="199.8" customHeight="1">
      <c r="A1" s="147" t="s">
        <v>438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</row>
    <row r="2" spans="1:11" ht="50.1" customHeight="1">
      <c r="A2" s="128" t="s">
        <v>7</v>
      </c>
      <c r="B2" s="128"/>
      <c r="C2" s="10"/>
      <c r="D2" s="10"/>
      <c r="E2" s="10" t="s">
        <v>118</v>
      </c>
      <c r="F2" s="10"/>
      <c r="G2" s="3" t="str">
        <f>TRIM('Job Sheet'!K3)</f>
        <v>McKinnis, Stephen</v>
      </c>
      <c r="H2" s="3"/>
      <c r="I2" s="3"/>
      <c r="J2" s="125" t="s">
        <v>4</v>
      </c>
      <c r="K2" s="125"/>
    </row>
    <row r="3" spans="1:11" ht="50.1" customHeight="1">
      <c r="A3" s="126" t="s">
        <v>143</v>
      </c>
      <c r="B3" s="126"/>
      <c r="C3" s="4" t="str">
        <f>TRIM(Data!BC5)</f>
        <v>12125</v>
      </c>
      <c r="D3" s="4"/>
      <c r="E3" s="8" t="s">
        <v>8</v>
      </c>
      <c r="F3" s="8"/>
      <c r="G3" s="150" t="str">
        <f>'Job Sheet'!K4</f>
        <v>Roller Shutters, Sheers &amp; Screen.</v>
      </c>
      <c r="H3" s="150"/>
      <c r="I3" s="150"/>
      <c r="J3" s="149" t="str">
        <f>'Job Sheet'!S4</f>
        <v/>
      </c>
      <c r="K3" s="149"/>
    </row>
    <row r="4" spans="1:11" ht="50.1" customHeight="1">
      <c r="A4" s="128" t="s">
        <v>15</v>
      </c>
      <c r="B4" s="128"/>
      <c r="C4" s="4" t="str">
        <f>TRIM(Data!BD5)</f>
        <v>A</v>
      </c>
      <c r="D4" s="4"/>
      <c r="E4" s="8" t="s">
        <v>137</v>
      </c>
      <c r="F4" s="8"/>
      <c r="G4" s="150" t="str">
        <f>'Job Sheet'!K5</f>
        <v>24/09/2026</v>
      </c>
      <c r="H4" s="150"/>
      <c r="I4" s="150"/>
      <c r="J4" s="149"/>
      <c r="K4" s="149"/>
    </row>
    <row r="5" spans="1:11" ht="50.1" customHeight="1">
      <c r="A5" s="148" t="s">
        <v>9</v>
      </c>
      <c r="B5" s="148"/>
      <c r="C5" s="9" t="str">
        <f>TRIM(Data!AY5)</f>
        <v>18/08/2026 12:00:00 AM</v>
      </c>
      <c r="D5" s="9"/>
      <c r="E5" s="4" t="s">
        <v>12</v>
      </c>
      <c r="F5" s="4"/>
      <c r="G5" s="3" t="str">
        <f>'Job Sheet'!K6</f>
        <v>McKinnis, Stephen</v>
      </c>
      <c r="H5" s="3"/>
      <c r="I5" s="3"/>
      <c r="J5" s="149"/>
      <c r="K5" s="149"/>
    </row>
    <row r="6" spans="1:11" ht="50.1" customHeight="1">
      <c r="A6" s="130" t="str">
        <f>TRIM(Data!CZ5)</f>
        <v>Retail Customer</v>
      </c>
      <c r="B6" s="130"/>
      <c r="C6" s="130"/>
      <c r="D6" s="130"/>
      <c r="E6" s="4"/>
      <c r="F6" s="4"/>
      <c r="G6" s="3" t="str">
        <f>'Job Sheet'!K7</f>
        <v xml:space="preserve"> 6  Sorrento Drive </v>
      </c>
      <c r="H6" s="3"/>
      <c r="I6" s="3"/>
      <c r="J6" s="149"/>
      <c r="K6" s="149"/>
    </row>
    <row r="7" spans="1:11" ht="50.1" customHeight="1">
      <c r="A7" s="130"/>
      <c r="B7" s="130"/>
      <c r="C7" s="130"/>
      <c r="D7" s="130"/>
      <c r="E7" s="4"/>
      <c r="F7" s="4"/>
      <c r="G7" s="3" t="str">
        <f>'Job Sheet'!K8</f>
        <v>Alfredton VIC 3350 Australia</v>
      </c>
      <c r="H7" s="3"/>
      <c r="I7" s="3"/>
      <c r="J7" s="149"/>
      <c r="K7" s="149"/>
    </row>
    <row r="8" spans="1:11" s="32" customFormat="1" ht="39.75" customHeight="1">
      <c r="A8" s="138" t="s">
        <v>142</v>
      </c>
      <c r="B8" s="135" t="s">
        <v>120</v>
      </c>
      <c r="C8" s="132" t="s">
        <v>213</v>
      </c>
      <c r="D8" s="141" t="s">
        <v>212</v>
      </c>
      <c r="E8" s="141" t="s">
        <v>173</v>
      </c>
      <c r="F8" s="141" t="s">
        <v>218</v>
      </c>
      <c r="G8" s="132" t="s">
        <v>216</v>
      </c>
      <c r="H8" s="132" t="s">
        <v>217</v>
      </c>
      <c r="I8" s="141" t="s">
        <v>246</v>
      </c>
      <c r="J8" s="144" t="s">
        <v>5</v>
      </c>
      <c r="K8" s="144" t="s">
        <v>297</v>
      </c>
    </row>
    <row r="9" spans="1:11" ht="50.25" customHeight="1">
      <c r="A9" s="139"/>
      <c r="B9" s="136"/>
      <c r="C9" s="133"/>
      <c r="D9" s="142"/>
      <c r="E9" s="142"/>
      <c r="F9" s="142"/>
      <c r="G9" s="133"/>
      <c r="H9" s="133"/>
      <c r="I9" s="142"/>
      <c r="J9" s="145"/>
      <c r="K9" s="145"/>
    </row>
    <row r="10" spans="1:11" ht="19.8" customHeight="1">
      <c r="A10" s="140"/>
      <c r="B10" s="137"/>
      <c r="C10" s="134"/>
      <c r="D10" s="143"/>
      <c r="E10" s="143"/>
      <c r="F10" s="143"/>
      <c r="G10" s="134"/>
      <c r="H10" s="134"/>
      <c r="I10" s="143"/>
      <c r="J10" s="146"/>
      <c r="K10" s="146"/>
    </row>
    <row r="11" spans="1:11" ht="66">
      <c r="A11" s="15">
        <f>IF(Data!AW11="","",IF(Data!BN11="Invisi-Scape","",Data!AW11))</f>
        <v>7</v>
      </c>
      <c r="B11" s="61" t="str">
        <f>IF(Data!AV11="","",IF(Data!BN11="Invisi-Scape","",'Job Sheet'!C11))</f>
        <v>Side Light</v>
      </c>
      <c r="C11" s="62" t="str">
        <f>IF(Data!AW11="","",IF(Data!BN11="Invisi-Scape","",Data!BN11))</f>
        <v>Screen</v>
      </c>
      <c r="D11" s="69" t="str">
        <f>IF(Data!AW11="","",IF(Data!BN11="Invisi-Scape","",IF(Data!BP11="Powdercoat",'Job Sheet'!I11,Data!BP11)))</f>
        <v>Dune</v>
      </c>
      <c r="E11" s="69" t="str">
        <f>IF(Data!AW11="","",IF(Data!BN11="Invisi-Scape","",'Job Sheet'!L11))</f>
        <v>37mm x 11mm</v>
      </c>
      <c r="F11" s="69" t="str">
        <f>IF(Data!AW11="","",IF(Data!BN11="Invisi-Scape","",CONCATENATE('Job Sheet'!W11," x 2 ",'Job Sheet'!X11," x 2")))</f>
        <v>196 x 2 2071 x 2</v>
      </c>
      <c r="G11" s="62" t="str">
        <f>IF(OR(Data!AV11="",Data!BN11="Invisi-Scape",Data!BO11="Flywire"),"",IF(VLOOKUP(CONCATENATE(Data!BO11,'Job Sheet'!J11),DoorType,3,FALSE)="N/A","",VLOOKUP(CONCATENATE(Data!BO11,'Job Sheet'!J11),DoorType,3,FALSE)))</f>
        <v>1.6mm</v>
      </c>
      <c r="H11" s="62" t="str">
        <f>IF(OR(Data!AW11="",Data!BN11="Invisi-Scape",G11="",Data!BO11="Flywire"),"",CONCATENATE('Job Sheet'!AA11," x 2 ",'Job Sheet'!AB11," x 2"))</f>
        <v>146 x 2 2021 x 2</v>
      </c>
      <c r="I11" s="69" t="str">
        <f>IF(OR(Data!AW11="",Data!BN11="Invisi-Scape",E11="37mm x 11mm",Data!BO11="Flywire"),"",IF(VLOOKUP(CONCATENATE(Data!BO11,'Job Sheet'!J11),DoorType,4,FALSE)="Yes",CONCATENATE('Job Sheet'!W11-96," x 2 ",'Job Sheet'!X11-96," x 2"),""))</f>
        <v/>
      </c>
      <c r="J11" s="62" t="str">
        <f>IF(Data!BN11="Invisi-Scape","",'Job Sheet'!Y11)</f>
        <v>Mesh is on bottom shelf of Assembly A</v>
      </c>
      <c r="K11" s="85">
        <f t="shared" si="0" ref="K11:K20">A11</f>
        <v>7</v>
      </c>
    </row>
    <row r="12" spans="1:11" ht="60" customHeight="1">
      <c r="A12" s="15" t="str">
        <f>IF(Data!AW12="","",IF(Data!BN12="Invisi-Scape","",Data!AW12))</f>
        <v/>
      </c>
      <c r="B12" s="61" t="str">
        <f>IF(Data!AV12="","",IF(Data!BN12="Invisi-Scape","",'Job Sheet'!C12))</f>
        <v/>
      </c>
      <c r="C12" s="62" t="str">
        <f>IF(Data!AW12="","",IF(Data!BN12="Invisi-Scape","",Data!BN12))</f>
        <v/>
      </c>
      <c r="D12" s="69" t="str">
        <f>IF(Data!AW12="","",IF(Data!BN12="Invisi-Scape","",IF(Data!BP12="Powdercoat",'Job Sheet'!I12,Data!BP12)))</f>
        <v/>
      </c>
      <c r="E12" s="69" t="str">
        <f>IF(Data!AW12="","",IF(Data!BN12="Invisi-Scape","",'Job Sheet'!L12))</f>
        <v/>
      </c>
      <c r="F12" s="69" t="str">
        <f>IF(Data!AW12="","",IF(Data!BN12="Invisi-Scape","",CONCATENATE('Job Sheet'!W12," x 2 ",'Job Sheet'!X12," x 2")))</f>
        <v/>
      </c>
      <c r="G12" s="62" t="str">
        <f>IF(OR(Data!AV12="",Data!BN12="Invisi-Scape",Data!BO12="Flywire"),"",IF(VLOOKUP(CONCATENATE(Data!BO12,'Job Sheet'!J12),DoorType,3,FALSE)="N/A","",VLOOKUP(CONCATENATE(Data!BO12,'Job Sheet'!J12),DoorType,3,FALSE)))</f>
        <v/>
      </c>
      <c r="H12" s="62" t="str">
        <f>IF(OR(Data!AW12="",Data!BN12="Invisi-Scape",G12="",Data!BO12="Flywire"),"",CONCATENATE('Job Sheet'!AA12," x 2 ",'Job Sheet'!AB12," x 2"))</f>
        <v/>
      </c>
      <c r="I12" s="69" t="str">
        <f>IF(OR(Data!AW12="",Data!BN12="Invisi-Scape",E12="37mm x 11mm",Data!BO12="Flywire"),"",IF(VLOOKUP(CONCATENATE(Data!BO12,'Job Sheet'!J12),DoorType,4,FALSE)="Yes",CONCATENATE('Job Sheet'!W12-96," x 2 ",'Job Sheet'!X12-96," x 2"),""))</f>
        <v/>
      </c>
      <c r="J12" s="62" t="str">
        <f>IF(Data!BN12="Invisi-Scape","",'Job Sheet'!Y12)</f>
        <v/>
      </c>
      <c r="K12" s="85" t="str">
        <f t="shared" si="0"/>
        <v/>
      </c>
    </row>
    <row r="13" spans="1:11" ht="60" customHeight="1">
      <c r="A13" s="15" t="str">
        <f>IF(Data!AW13="","",IF(Data!BN13="Invisi-Scape","",Data!AW13))</f>
        <v/>
      </c>
      <c r="B13" s="61" t="str">
        <f>IF(Data!AV13="","",IF(Data!BN13="Invisi-Scape","",'Job Sheet'!C13))</f>
        <v/>
      </c>
      <c r="C13" s="62" t="str">
        <f>IF(Data!AW13="","",IF(Data!BN13="Invisi-Scape","",Data!BN13))</f>
        <v/>
      </c>
      <c r="D13" s="69" t="str">
        <f>IF(Data!AW13="","",IF(Data!BN13="Invisi-Scape","",IF(Data!BP13="Powdercoat",'Job Sheet'!I13,Data!BP13)))</f>
        <v/>
      </c>
      <c r="E13" s="69" t="str">
        <f>IF(Data!AW13="","",IF(Data!BN13="Invisi-Scape","",'Job Sheet'!L13))</f>
        <v/>
      </c>
      <c r="F13" s="69" t="str">
        <f>IF(Data!AW13="","",IF(Data!BN13="Invisi-Scape","",CONCATENATE('Job Sheet'!W13," x 2 ",'Job Sheet'!X13," x 2")))</f>
        <v/>
      </c>
      <c r="G13" s="62" t="str">
        <f>IF(OR(Data!AV13="",Data!BN13="Invisi-Scape",Data!BO13="Flywire"),"",IF(VLOOKUP(CONCATENATE(Data!BO13,'Job Sheet'!J13),DoorType,3,FALSE)="N/A","",VLOOKUP(CONCATENATE(Data!BO13,'Job Sheet'!J13),DoorType,3,FALSE)))</f>
        <v/>
      </c>
      <c r="H13" s="62" t="str">
        <f>IF(OR(Data!AW13="",Data!BN13="Invisi-Scape",G13="",Data!BO13="Flywire"),"",CONCATENATE('Job Sheet'!AA13," x 2 ",'Job Sheet'!AB13," x 2"))</f>
        <v/>
      </c>
      <c r="I13" s="69" t="str">
        <f>IF(OR(Data!AW13="",Data!BN13="Invisi-Scape",E13="37mm x 11mm",Data!BO13="Flywire"),"",IF(VLOOKUP(CONCATENATE(Data!BO13,'Job Sheet'!J13),DoorType,4,FALSE)="Yes",CONCATENATE('Job Sheet'!W13-96," x 2 ",'Job Sheet'!X13-96," x 2"),""))</f>
        <v/>
      </c>
      <c r="J13" s="62" t="str">
        <f>IF(Data!BN13="Invisi-Scape","",'Job Sheet'!Y13)</f>
        <v/>
      </c>
      <c r="K13" s="85" t="str">
        <f t="shared" si="0"/>
        <v/>
      </c>
    </row>
    <row r="14" spans="1:11" ht="60" customHeight="1">
      <c r="A14" s="15" t="str">
        <f>IF(Data!AW14="","",IF(Data!BN14="Invisi-Scape","",Data!AW14))</f>
        <v/>
      </c>
      <c r="B14" s="61" t="str">
        <f>IF(Data!AV14="","",IF(Data!BN14="Invisi-Scape","",'Job Sheet'!C14))</f>
        <v/>
      </c>
      <c r="C14" s="62" t="str">
        <f>IF(Data!AW14="","",IF(Data!BN14="Invisi-Scape","",Data!BN14))</f>
        <v/>
      </c>
      <c r="D14" s="69" t="str">
        <f>IF(Data!AW14="","",IF(Data!BN14="Invisi-Scape","",IF(Data!BP14="Powdercoat",'Job Sheet'!I14,Data!BP14)))</f>
        <v/>
      </c>
      <c r="E14" s="69" t="str">
        <f>IF(Data!AW14="","",IF(Data!BN14="Invisi-Scape","",'Job Sheet'!L14))</f>
        <v/>
      </c>
      <c r="F14" s="69" t="str">
        <f>IF(Data!AW14="","",IF(Data!BN14="Invisi-Scape","",CONCATENATE('Job Sheet'!W14," x 2 ",'Job Sheet'!X14," x 2")))</f>
        <v/>
      </c>
      <c r="G14" s="62" t="str">
        <f>IF(OR(Data!AV14="",Data!BN14="Invisi-Scape",Data!BO14="Flywire"),"",IF(VLOOKUP(CONCATENATE(Data!BO14,'Job Sheet'!J14),DoorType,3,FALSE)="N/A","",VLOOKUP(CONCATENATE(Data!BO14,'Job Sheet'!J14),DoorType,3,FALSE)))</f>
        <v/>
      </c>
      <c r="H14" s="62" t="str">
        <f>IF(OR(Data!AW14="",Data!BN14="Invisi-Scape",G14="",Data!BO14="Flywire"),"",CONCATENATE('Job Sheet'!AA14," x 2 ",'Job Sheet'!AB14," x 2"))</f>
        <v/>
      </c>
      <c r="I14" s="69" t="str">
        <f>IF(OR(Data!AW14="",Data!BN14="Invisi-Scape",E14="37mm x 11mm",Data!BO14="Flywire"),"",IF(VLOOKUP(CONCATENATE(Data!BO14,'Job Sheet'!J14),DoorType,4,FALSE)="Yes",CONCATENATE('Job Sheet'!W14-96," x 2 ",'Job Sheet'!X14-96," x 2"),""))</f>
        <v/>
      </c>
      <c r="J14" s="62" t="str">
        <f>IF(Data!BN14="Invisi-Scape","",'Job Sheet'!Y14)</f>
        <v/>
      </c>
      <c r="K14" s="85" t="str">
        <f t="shared" si="0"/>
        <v/>
      </c>
    </row>
    <row r="15" spans="1:11" ht="60" customHeight="1">
      <c r="A15" s="15" t="str">
        <f>IF(Data!AW15="","",IF(Data!BN15="Invisi-Scape","",Data!AW15))</f>
        <v/>
      </c>
      <c r="B15" s="61" t="str">
        <f>IF(Data!AV15="","",IF(Data!BN15="Invisi-Scape","",'Job Sheet'!C15))</f>
        <v/>
      </c>
      <c r="C15" s="62" t="str">
        <f>IF(Data!AW15="","",IF(Data!BN15="Invisi-Scape","",Data!BN15))</f>
        <v/>
      </c>
      <c r="D15" s="69" t="str">
        <f>IF(Data!AW15="","",IF(Data!BN15="Invisi-Scape","",IF(Data!BP15="Powdercoat",'Job Sheet'!I15,Data!BP15)))</f>
        <v/>
      </c>
      <c r="E15" s="69" t="str">
        <f>IF(Data!AW15="","",IF(Data!BN15="Invisi-Scape","",'Job Sheet'!L15))</f>
        <v/>
      </c>
      <c r="F15" s="69" t="str">
        <f>IF(Data!AW15="","",IF(Data!BN15="Invisi-Scape","",CONCATENATE('Job Sheet'!W15," x 2 ",'Job Sheet'!X15," x 2")))</f>
        <v/>
      </c>
      <c r="G15" s="62" t="str">
        <f>IF(OR(Data!AV15="",Data!BN15="Invisi-Scape",Data!BO15="Flywire"),"",IF(VLOOKUP(CONCATENATE(Data!BO15,'Job Sheet'!J15),DoorType,3,FALSE)="N/A","",VLOOKUP(CONCATENATE(Data!BO15,'Job Sheet'!J15),DoorType,3,FALSE)))</f>
        <v/>
      </c>
      <c r="H15" s="62" t="str">
        <f>IF(OR(Data!AW15="",Data!BN15="Invisi-Scape",G15="",Data!BO15="Flywire"),"",CONCATENATE('Job Sheet'!AA15," x 2 ",'Job Sheet'!AB15," x 2"))</f>
        <v/>
      </c>
      <c r="I15" s="69" t="str">
        <f>IF(OR(Data!AW15="",Data!BN15="Invisi-Scape",E15="37mm x 11mm",Data!BO15="Flywire"),"",IF(VLOOKUP(CONCATENATE(Data!BO15,'Job Sheet'!J15),DoorType,4,FALSE)="Yes",CONCATENATE('Job Sheet'!W15-96," x 2 ",'Job Sheet'!X15-96," x 2"),""))</f>
        <v/>
      </c>
      <c r="J15" s="62" t="str">
        <f>IF(Data!BN15="Invisi-Scape","",'Job Sheet'!Y15)</f>
        <v/>
      </c>
      <c r="K15" s="85" t="str">
        <f t="shared" si="0"/>
        <v/>
      </c>
    </row>
    <row r="16" spans="1:11" ht="60" customHeight="1">
      <c r="A16" s="15" t="str">
        <f>IF(Data!AW16="","",IF(Data!BN16="Invisi-Scape","",Data!AW16))</f>
        <v/>
      </c>
      <c r="B16" s="61" t="str">
        <f>IF(Data!AV16="","",IF(Data!BN16="Invisi-Scape","",'Job Sheet'!C16))</f>
        <v/>
      </c>
      <c r="C16" s="62" t="str">
        <f>IF(Data!AW16="","",IF(Data!BN16="Invisi-Scape","",Data!BN16))</f>
        <v/>
      </c>
      <c r="D16" s="69" t="str">
        <f>IF(Data!AW16="","",IF(Data!BN16="Invisi-Scape","",IF(Data!BP16="Powdercoat",'Job Sheet'!I16,Data!BP16)))</f>
        <v/>
      </c>
      <c r="E16" s="69" t="str">
        <f>IF(Data!AW16="","",IF(Data!BN16="Invisi-Scape","",'Job Sheet'!L16))</f>
        <v/>
      </c>
      <c r="F16" s="69" t="str">
        <f>IF(Data!AW16="","",IF(Data!BN16="Invisi-Scape","",CONCATENATE('Job Sheet'!W16," x 2 ",'Job Sheet'!X16," x 2")))</f>
        <v/>
      </c>
      <c r="G16" s="62" t="str">
        <f>IF(OR(Data!AV16="",Data!BN16="Invisi-Scape",Data!BO16="Flywire"),"",IF(VLOOKUP(CONCATENATE(Data!BO16,'Job Sheet'!J16),DoorType,3,FALSE)="N/A","",VLOOKUP(CONCATENATE(Data!BO16,'Job Sheet'!J16),DoorType,3,FALSE)))</f>
        <v/>
      </c>
      <c r="H16" s="62" t="str">
        <f>IF(OR(Data!AW16="",Data!BN16="Invisi-Scape",G16="",Data!BO16="Flywire"),"",CONCATENATE('Job Sheet'!AA16," x 2 ",'Job Sheet'!AB16," x 2"))</f>
        <v/>
      </c>
      <c r="I16" s="69" t="str">
        <f>IF(OR(Data!AW16="",Data!BN16="Invisi-Scape",E16="37mm x 11mm",Data!BO16="Flywire"),"",IF(VLOOKUP(CONCATENATE(Data!BO16,'Job Sheet'!J16),DoorType,4,FALSE)="Yes",CONCATENATE('Job Sheet'!W16-96," x 2 ",'Job Sheet'!X16-96," x 2"),""))</f>
        <v/>
      </c>
      <c r="J16" s="62" t="str">
        <f>IF(Data!BN16="Invisi-Scape","",'Job Sheet'!Y16)</f>
        <v/>
      </c>
      <c r="K16" s="85" t="str">
        <f t="shared" si="0"/>
        <v/>
      </c>
    </row>
    <row r="17" spans="1:11" ht="60" customHeight="1">
      <c r="A17" s="15" t="str">
        <f>IF(Data!AW17="","",IF(Data!BN17="Invisi-Scape","",Data!AW17))</f>
        <v/>
      </c>
      <c r="B17" s="61" t="str">
        <f>IF(Data!AV17="","",IF(Data!BN17="Invisi-Scape","",'Job Sheet'!C17))</f>
        <v/>
      </c>
      <c r="C17" s="62" t="str">
        <f>IF(Data!AW17="","",IF(Data!BN17="Invisi-Scape","",Data!BN17))</f>
        <v/>
      </c>
      <c r="D17" s="69" t="str">
        <f>IF(Data!AW17="","",IF(Data!BN17="Invisi-Scape","",IF(Data!BP17="Powdercoat",'Job Sheet'!I17,Data!BP17)))</f>
        <v/>
      </c>
      <c r="E17" s="69" t="str">
        <f>IF(Data!AW17="","",IF(Data!BN17="Invisi-Scape","",'Job Sheet'!L17))</f>
        <v/>
      </c>
      <c r="F17" s="69" t="str">
        <f>IF(Data!AW17="","",IF(Data!BN17="Invisi-Scape","",CONCATENATE('Job Sheet'!W17," x 2 ",'Job Sheet'!X17," x 2")))</f>
        <v/>
      </c>
      <c r="G17" s="62" t="str">
        <f>IF(OR(Data!AV17="",Data!BN17="Invisi-Scape",Data!BO17="Flywire"),"",IF(VLOOKUP(CONCATENATE(Data!BO17,'Job Sheet'!J17),DoorType,3,FALSE)="N/A","",VLOOKUP(CONCATENATE(Data!BO17,'Job Sheet'!J17),DoorType,3,FALSE)))</f>
        <v/>
      </c>
      <c r="H17" s="62" t="str">
        <f>IF(OR(Data!AW17="",Data!BN17="Invisi-Scape",G17="",Data!BO17="Flywire"),"",CONCATENATE('Job Sheet'!AA17," x 2 ",'Job Sheet'!AB17," x 2"))</f>
        <v/>
      </c>
      <c r="I17" s="69" t="str">
        <f>IF(OR(Data!AW17="",Data!BN17="Invisi-Scape",E17="37mm x 11mm",Data!BO17="Flywire"),"",IF(VLOOKUP(CONCATENATE(Data!BO17,'Job Sheet'!J17),DoorType,4,FALSE)="Yes",CONCATENATE('Job Sheet'!W17-96," x 2 ",'Job Sheet'!X17-96," x 2"),""))</f>
        <v/>
      </c>
      <c r="J17" s="62" t="str">
        <f>IF(Data!BN17="Invisi-Scape","",'Job Sheet'!Y17)</f>
        <v/>
      </c>
      <c r="K17" s="85" t="str">
        <f t="shared" si="0"/>
        <v/>
      </c>
    </row>
    <row r="18" spans="1:11" ht="60" customHeight="1">
      <c r="A18" s="15" t="str">
        <f>IF(Data!AW18="","",IF(Data!BN18="Invisi-Scape","",Data!AW18))</f>
        <v/>
      </c>
      <c r="B18" s="61" t="str">
        <f>IF(Data!AV18="","",IF(Data!BN18="Invisi-Scape","",'Job Sheet'!C18))</f>
        <v/>
      </c>
      <c r="C18" s="62" t="str">
        <f>IF(Data!AW18="","",IF(Data!BN18="Invisi-Scape","",Data!BN18))</f>
        <v/>
      </c>
      <c r="D18" s="69" t="str">
        <f>IF(Data!AW18="","",IF(Data!BN18="Invisi-Scape","",IF(Data!BP18="Powdercoat",'Job Sheet'!I18,Data!BP18)))</f>
        <v/>
      </c>
      <c r="E18" s="69" t="str">
        <f>IF(Data!AW18="","",IF(Data!BN18="Invisi-Scape","",'Job Sheet'!L18))</f>
        <v/>
      </c>
      <c r="F18" s="69" t="str">
        <f>IF(Data!AW18="","",IF(Data!BN18="Invisi-Scape","",CONCATENATE('Job Sheet'!W18," x 2 ",'Job Sheet'!X18," x 2")))</f>
        <v/>
      </c>
      <c r="G18" s="62" t="str">
        <f>IF(OR(Data!AV18="",Data!BN18="Invisi-Scape",Data!BO18="Flywire"),"",IF(VLOOKUP(CONCATENATE(Data!BO18,'Job Sheet'!J18),DoorType,3,FALSE)="N/A","",VLOOKUP(CONCATENATE(Data!BO18,'Job Sheet'!J18),DoorType,3,FALSE)))</f>
        <v/>
      </c>
      <c r="H18" s="62" t="str">
        <f>IF(OR(Data!AW18="",Data!BN18="Invisi-Scape",G18="",Data!BO18="Flywire"),"",CONCATENATE('Job Sheet'!AA18," x 2 ",'Job Sheet'!AB18," x 2"))</f>
        <v/>
      </c>
      <c r="I18" s="69" t="str">
        <f>IF(OR(Data!AW18="",Data!BN18="Invisi-Scape",E18="37mm x 11mm",Data!BO18="Flywire"),"",IF(VLOOKUP(CONCATENATE(Data!BO18,'Job Sheet'!J18),DoorType,4,FALSE)="Yes",CONCATENATE('Job Sheet'!W18-96," x 2 ",'Job Sheet'!X18-96," x 2"),""))</f>
        <v/>
      </c>
      <c r="J18" s="62" t="str">
        <f>IF(Data!BN18="Invisi-Scape","",'Job Sheet'!Y18)</f>
        <v/>
      </c>
      <c r="K18" s="85" t="str">
        <f t="shared" si="0"/>
        <v/>
      </c>
    </row>
    <row r="19" spans="1:11" ht="60" customHeight="1">
      <c r="A19" s="15" t="str">
        <f>IF(Data!AW19="","",IF(Data!BN19="Invisi-Scape","",Data!AW19))</f>
        <v/>
      </c>
      <c r="B19" s="61" t="str">
        <f>IF(Data!AV19="","",IF(Data!BN19="Invisi-Scape","",'Job Sheet'!C19))</f>
        <v/>
      </c>
      <c r="C19" s="62" t="str">
        <f>IF(Data!AW19="","",IF(Data!BN19="Invisi-Scape","",Data!BN19))</f>
        <v/>
      </c>
      <c r="D19" s="69" t="str">
        <f>IF(Data!AW19="","",IF(Data!BN19="Invisi-Scape","",IF(Data!BP19="Powdercoat",'Job Sheet'!I19,Data!BP19)))</f>
        <v/>
      </c>
      <c r="E19" s="69" t="str">
        <f>IF(Data!AW19="","",IF(Data!BN19="Invisi-Scape","",'Job Sheet'!L19))</f>
        <v/>
      </c>
      <c r="F19" s="69" t="str">
        <f>IF(Data!AW19="","",IF(Data!BN19="Invisi-Scape","",CONCATENATE('Job Sheet'!W19," x 2 ",'Job Sheet'!X19," x 2")))</f>
        <v/>
      </c>
      <c r="G19" s="62" t="str">
        <f>IF(OR(Data!AV19="",Data!BN19="Invisi-Scape",Data!BO19="Flywire"),"",IF(VLOOKUP(CONCATENATE(Data!BO19,'Job Sheet'!J19),DoorType,3,FALSE)="N/A","",VLOOKUP(CONCATENATE(Data!BO19,'Job Sheet'!J19),DoorType,3,FALSE)))</f>
        <v/>
      </c>
      <c r="H19" s="62" t="str">
        <f>IF(OR(Data!AW19="",Data!BN19="Invisi-Scape",G19="",Data!BO19="Flywire"),"",CONCATENATE('Job Sheet'!AA19," x 2 ",'Job Sheet'!AB19," x 2"))</f>
        <v/>
      </c>
      <c r="I19" s="69" t="str">
        <f>IF(OR(Data!AW19="",Data!BN19="Invisi-Scape",E19="37mm x 11mm",Data!BO19="Flywire"),"",IF(VLOOKUP(CONCATENATE(Data!BO19,'Job Sheet'!J19),DoorType,4,FALSE)="Yes",CONCATENATE('Job Sheet'!W19-96," x 2 ",'Job Sheet'!X19-96," x 2"),""))</f>
        <v/>
      </c>
      <c r="J19" s="62" t="str">
        <f>IF(Data!BN19="Invisi-Scape","",'Job Sheet'!Y19)</f>
        <v/>
      </c>
      <c r="K19" s="85" t="str">
        <f t="shared" si="0"/>
        <v/>
      </c>
    </row>
    <row r="20" spans="1:11" ht="60" customHeight="1">
      <c r="A20" s="15" t="str">
        <f>IF(Data!AW20="","",IF(Data!BN20="Invisi-Scape","",Data!AW20))</f>
        <v/>
      </c>
      <c r="B20" s="61" t="str">
        <f>IF(Data!AV20="","",IF(Data!BN20="Invisi-Scape","",'Job Sheet'!C20))</f>
        <v/>
      </c>
      <c r="C20" s="62" t="str">
        <f>IF(Data!AW20="","",IF(Data!BN20="Invisi-Scape","",Data!BN20))</f>
        <v/>
      </c>
      <c r="D20" s="69" t="str">
        <f>IF(Data!AW20="","",IF(Data!BN20="Invisi-Scape","",IF(Data!BP20="Powdercoat",'Job Sheet'!I20,Data!BP20)))</f>
        <v/>
      </c>
      <c r="E20" s="69" t="str">
        <f>IF(Data!AW20="","",IF(Data!BN20="Invisi-Scape","",'Job Sheet'!L20))</f>
        <v/>
      </c>
      <c r="F20" s="69" t="str">
        <f>IF(Data!AW20="","",IF(Data!BN20="Invisi-Scape","",CONCATENATE('Job Sheet'!W20," x 2 ",'Job Sheet'!X20," x 2")))</f>
        <v/>
      </c>
      <c r="G20" s="62" t="str">
        <f>IF(OR(Data!AV20="",Data!BN20="Invisi-Scape",Data!BO20="Flywire"),"",IF(VLOOKUP(CONCATENATE(Data!BO20,'Job Sheet'!J20),DoorType,3,FALSE)="N/A","",VLOOKUP(CONCATENATE(Data!BO20,'Job Sheet'!J20),DoorType,3,FALSE)))</f>
        <v/>
      </c>
      <c r="H20" s="62" t="str">
        <f>IF(OR(Data!AW20="",Data!BN20="Invisi-Scape",G20="",Data!BO20="Flywire"),"",CONCATENATE('Job Sheet'!AA20," x 2 ",'Job Sheet'!AB20," x 2"))</f>
        <v/>
      </c>
      <c r="I20" s="69" t="str">
        <f>IF(OR(Data!AW20="",Data!BN20="Invisi-Scape",E20="37mm x 11mm",Data!BO20="Flywire"),"",IF(VLOOKUP(CONCATENATE(Data!BO20,'Job Sheet'!J20),DoorType,4,FALSE)="Yes",CONCATENATE('Job Sheet'!W20-96," x 2 ",'Job Sheet'!X20-96," x 2"),""))</f>
        <v/>
      </c>
      <c r="J20" s="62" t="str">
        <f>IF(Data!BN20="Invisi-Scape","",'Job Sheet'!Y20)</f>
        <v/>
      </c>
      <c r="K20" s="85" t="str">
        <f t="shared" si="0"/>
        <v/>
      </c>
    </row>
    <row r="21" spans="1:6" ht="32.4">
      <c r="A21" s="63"/>
      <c r="B21" s="64"/>
      <c r="C21" s="65"/>
      <c r="D21" s="65"/>
      <c r="E21" s="66"/>
      <c r="F21" s="66"/>
    </row>
    <row r="22" spans="1:6" ht="32.4">
      <c r="A22" s="63"/>
      <c r="B22" s="64"/>
      <c r="C22" s="65"/>
      <c r="D22" s="65"/>
      <c r="E22" s="66"/>
      <c r="F22" s="66"/>
    </row>
    <row r="23" spans="1:6" ht="32.4">
      <c r="A23" s="63"/>
      <c r="B23" s="64"/>
      <c r="C23" s="65"/>
      <c r="D23" s="65"/>
      <c r="E23" s="66"/>
      <c r="F23" s="66"/>
    </row>
    <row r="24" spans="1:6" ht="32.4">
      <c r="A24" s="63"/>
      <c r="B24" s="64"/>
      <c r="C24" s="65"/>
      <c r="D24" s="65"/>
      <c r="E24" s="66"/>
      <c r="F24" s="66"/>
    </row>
    <row r="25" spans="1:6" ht="32.4">
      <c r="A25" s="63"/>
      <c r="B25" s="64"/>
      <c r="C25" s="65"/>
      <c r="D25" s="65"/>
      <c r="E25" s="66"/>
      <c r="F25" s="66"/>
    </row>
    <row r="26" spans="1:6" ht="32.4">
      <c r="A26" s="63"/>
      <c r="B26" s="64"/>
      <c r="C26" s="65"/>
      <c r="D26" s="65"/>
      <c r="E26" s="66"/>
      <c r="F26" s="66"/>
    </row>
    <row r="27" spans="1:6" ht="32.4">
      <c r="A27" s="63"/>
      <c r="B27" s="64"/>
      <c r="C27" s="65"/>
      <c r="D27" s="65"/>
      <c r="E27" s="66"/>
      <c r="F27" s="66"/>
    </row>
    <row r="28" spans="1:6" ht="32.4">
      <c r="A28" s="63"/>
      <c r="B28" s="64"/>
      <c r="C28" s="65"/>
      <c r="D28" s="65"/>
      <c r="E28" s="66"/>
      <c r="F28" s="66"/>
    </row>
    <row r="29" spans="1:6" ht="32.4">
      <c r="A29" s="63"/>
      <c r="B29" s="64"/>
      <c r="C29" s="65"/>
      <c r="D29" s="65"/>
      <c r="E29" s="66"/>
      <c r="F29" s="66"/>
    </row>
    <row r="30" spans="1:6" ht="32.4">
      <c r="A30" s="63"/>
      <c r="B30" s="64"/>
      <c r="C30" s="65"/>
      <c r="D30" s="65"/>
      <c r="E30" s="66"/>
      <c r="F30" s="66"/>
    </row>
    <row r="31" spans="1:6" ht="32.4">
      <c r="A31" s="63"/>
      <c r="B31" s="64"/>
      <c r="C31" s="65"/>
      <c r="D31" s="65"/>
      <c r="E31" s="66"/>
      <c r="F31" s="66"/>
    </row>
    <row r="32" spans="1:6" ht="32.4">
      <c r="A32" s="67"/>
      <c r="B32" s="67"/>
      <c r="C32" s="67"/>
      <c r="D32" s="67"/>
      <c r="E32" s="67"/>
      <c r="F32" s="67"/>
    </row>
    <row r="33" spans="1:6" ht="32.4">
      <c r="A33" s="67"/>
      <c r="B33" s="67"/>
      <c r="C33" s="67"/>
      <c r="D33" s="67"/>
      <c r="E33" s="67"/>
      <c r="F33" s="67"/>
    </row>
    <row r="34" spans="1:6" ht="32.4">
      <c r="A34" s="67"/>
      <c r="B34" s="67"/>
      <c r="C34" s="67"/>
      <c r="D34" s="67"/>
      <c r="E34" s="67"/>
      <c r="F34" s="67"/>
    </row>
    <row r="35" spans="1:6" ht="32.4">
      <c r="A35" s="67"/>
      <c r="B35" s="67"/>
      <c r="C35" s="67"/>
      <c r="D35" s="67"/>
      <c r="E35" s="67"/>
      <c r="F35" s="67"/>
    </row>
    <row r="36" spans="1:6" ht="32.4">
      <c r="A36" s="67"/>
      <c r="B36" s="67"/>
      <c r="C36" s="67"/>
      <c r="D36" s="67"/>
      <c r="E36" s="67"/>
      <c r="F36" s="67"/>
    </row>
    <row r="37" spans="1:6" ht="32.4">
      <c r="A37" s="67"/>
      <c r="B37" s="67"/>
      <c r="C37" s="67"/>
      <c r="D37" s="67"/>
      <c r="E37" s="67"/>
      <c r="F37" s="67"/>
    </row>
    <row r="38" spans="1:6" ht="32.4">
      <c r="A38" s="67"/>
      <c r="B38" s="67"/>
      <c r="C38" s="67"/>
      <c r="D38" s="67"/>
      <c r="E38" s="67"/>
      <c r="F38" s="67"/>
    </row>
    <row r="39" spans="1:6" ht="32.4">
      <c r="A39" s="67"/>
      <c r="B39" s="67"/>
      <c r="C39" s="67"/>
      <c r="D39" s="67"/>
      <c r="E39" s="67"/>
      <c r="F39" s="67"/>
    </row>
    <row r="40" spans="1:6" ht="32.4">
      <c r="A40" s="67"/>
      <c r="B40" s="67"/>
      <c r="C40" s="67"/>
      <c r="D40" s="67"/>
      <c r="E40" s="67"/>
      <c r="F40" s="67"/>
    </row>
    <row r="41" spans="1:6" ht="32.4">
      <c r="A41" s="67"/>
      <c r="B41" s="67"/>
      <c r="C41" s="67"/>
      <c r="D41" s="67"/>
      <c r="E41" s="67"/>
      <c r="F41" s="67"/>
    </row>
    <row r="42" spans="1:6" ht="32.4">
      <c r="A42" s="67"/>
      <c r="B42" s="67"/>
      <c r="C42" s="67"/>
      <c r="D42" s="67"/>
      <c r="E42" s="67"/>
      <c r="F42" s="67"/>
    </row>
    <row r="43" spans="1:6" ht="32.4">
      <c r="A43" s="67"/>
      <c r="B43" s="67"/>
      <c r="C43" s="67"/>
      <c r="D43" s="67"/>
      <c r="E43" s="67"/>
      <c r="F43" s="67"/>
    </row>
    <row r="44" spans="1:6" ht="32.4">
      <c r="A44" s="67"/>
      <c r="B44" s="67"/>
      <c r="C44" s="67"/>
      <c r="D44" s="67"/>
      <c r="E44" s="67"/>
      <c r="F44" s="67"/>
    </row>
    <row r="45" spans="1:6" ht="32.4">
      <c r="A45" s="67"/>
      <c r="B45" s="67"/>
      <c r="C45" s="67"/>
      <c r="D45" s="67"/>
      <c r="E45" s="67"/>
      <c r="F45" s="67"/>
    </row>
    <row r="46" spans="1:6" ht="32.4">
      <c r="A46" s="67"/>
      <c r="B46" s="67"/>
      <c r="C46" s="67"/>
      <c r="D46" s="67"/>
      <c r="E46" s="67"/>
      <c r="F46" s="67"/>
    </row>
    <row r="47" spans="1:6" ht="32.4">
      <c r="A47" s="67"/>
      <c r="B47" s="67"/>
      <c r="C47" s="67"/>
      <c r="D47" s="67"/>
      <c r="E47" s="67"/>
      <c r="F47" s="67"/>
    </row>
    <row r="48" spans="1:6" ht="32.4">
      <c r="A48" s="67"/>
      <c r="B48" s="67"/>
      <c r="C48" s="67"/>
      <c r="D48" s="67"/>
      <c r="E48" s="67"/>
      <c r="F48" s="67"/>
    </row>
    <row r="49" spans="1:6" ht="32.4">
      <c r="A49" s="67"/>
      <c r="B49" s="67"/>
      <c r="C49" s="67"/>
      <c r="D49" s="67"/>
      <c r="E49" s="67"/>
      <c r="F49" s="67"/>
    </row>
    <row r="50" spans="1:6" ht="32.4">
      <c r="A50" s="67"/>
      <c r="B50" s="67"/>
      <c r="C50" s="67"/>
      <c r="D50" s="67"/>
      <c r="E50" s="67"/>
      <c r="F50" s="67"/>
    </row>
    <row r="51" spans="1:6" ht="32.4">
      <c r="A51" s="67"/>
      <c r="B51" s="67"/>
      <c r="C51" s="67"/>
      <c r="D51" s="67"/>
      <c r="E51" s="67"/>
      <c r="F51" s="67"/>
    </row>
    <row r="52" spans="1:6" ht="32.4">
      <c r="A52" s="67"/>
      <c r="B52" s="67"/>
      <c r="C52" s="67"/>
      <c r="D52" s="67"/>
      <c r="E52" s="67"/>
      <c r="F52" s="67"/>
    </row>
    <row r="53" spans="1:6" ht="32.4">
      <c r="A53" s="67"/>
      <c r="B53" s="67"/>
      <c r="C53" s="67"/>
      <c r="D53" s="67"/>
      <c r="E53" s="67"/>
      <c r="F53" s="67"/>
    </row>
    <row r="54" spans="1:6" ht="32.4">
      <c r="A54" s="67"/>
      <c r="B54" s="67"/>
      <c r="C54" s="67"/>
      <c r="D54" s="67"/>
      <c r="E54" s="67"/>
      <c r="F54" s="67"/>
    </row>
    <row r="55" spans="1:6" ht="32.4">
      <c r="A55" s="67"/>
      <c r="B55" s="67"/>
      <c r="C55" s="67"/>
      <c r="D55" s="67"/>
      <c r="E55" s="67"/>
      <c r="F55" s="67"/>
    </row>
    <row r="56" spans="1:6" ht="32.4">
      <c r="A56" s="67"/>
      <c r="B56" s="67"/>
      <c r="C56" s="67"/>
      <c r="D56" s="67"/>
      <c r="E56" s="67"/>
      <c r="F56" s="67"/>
    </row>
    <row r="57" spans="1:6" ht="32.4">
      <c r="A57" s="67"/>
      <c r="B57" s="67"/>
      <c r="C57" s="67"/>
      <c r="D57" s="67"/>
      <c r="E57" s="67"/>
      <c r="F57" s="67"/>
    </row>
    <row r="58" spans="1:6" ht="32.4">
      <c r="A58" s="67"/>
      <c r="B58" s="67"/>
      <c r="C58" s="67"/>
      <c r="D58" s="67"/>
      <c r="E58" s="67"/>
      <c r="F58" s="67"/>
    </row>
    <row r="59" spans="1:6" ht="32.4">
      <c r="A59" s="67"/>
      <c r="B59" s="67"/>
      <c r="C59" s="67"/>
      <c r="D59" s="67"/>
      <c r="E59" s="67"/>
      <c r="F59" s="67"/>
    </row>
    <row r="60" spans="1:6" ht="32.4">
      <c r="A60" s="67"/>
      <c r="B60" s="67"/>
      <c r="C60" s="67"/>
      <c r="D60" s="67"/>
      <c r="E60" s="67"/>
      <c r="F60" s="67"/>
    </row>
    <row r="61" spans="1:6" ht="32.4">
      <c r="A61" s="67"/>
      <c r="B61" s="67"/>
      <c r="C61" s="67"/>
      <c r="D61" s="67"/>
      <c r="E61" s="67"/>
      <c r="F61" s="67"/>
    </row>
    <row r="62" spans="1:6" ht="32.4">
      <c r="A62" s="67"/>
      <c r="B62" s="67"/>
      <c r="C62" s="67"/>
      <c r="D62" s="67"/>
      <c r="E62" s="67"/>
      <c r="F62" s="67"/>
    </row>
    <row r="63" spans="1:6" ht="32.4">
      <c r="A63" s="67"/>
      <c r="B63" s="67"/>
      <c r="C63" s="67"/>
      <c r="D63" s="67"/>
      <c r="E63" s="67"/>
      <c r="F63" s="67"/>
    </row>
    <row r="64" spans="1:6" ht="32.4">
      <c r="A64" s="67"/>
      <c r="B64" s="67"/>
      <c r="C64" s="67"/>
      <c r="D64" s="67"/>
      <c r="E64" s="67"/>
      <c r="F64" s="67"/>
    </row>
    <row r="65" spans="1:6" ht="32.4">
      <c r="A65" s="67"/>
      <c r="B65" s="67"/>
      <c r="C65" s="67"/>
      <c r="D65" s="67"/>
      <c r="E65" s="67"/>
      <c r="F65" s="67"/>
    </row>
    <row r="66" spans="1:6" ht="32.4">
      <c r="A66" s="67"/>
      <c r="B66" s="67"/>
      <c r="C66" s="67"/>
      <c r="D66" s="67"/>
      <c r="E66" s="67"/>
      <c r="F66" s="67"/>
    </row>
    <row r="67" spans="1:6" ht="32.4">
      <c r="A67" s="67"/>
      <c r="B67" s="67"/>
      <c r="C67" s="67"/>
      <c r="D67" s="67"/>
      <c r="E67" s="67"/>
      <c r="F67" s="67"/>
    </row>
    <row r="68" spans="1:6" ht="32.4">
      <c r="A68" s="67"/>
      <c r="B68" s="67"/>
      <c r="C68" s="67"/>
      <c r="D68" s="67"/>
      <c r="E68" s="67"/>
      <c r="F68" s="67"/>
    </row>
    <row r="69" spans="1:6" ht="32.4">
      <c r="A69" s="67"/>
      <c r="B69" s="67"/>
      <c r="C69" s="67"/>
      <c r="D69" s="67"/>
      <c r="E69" s="67"/>
      <c r="F69" s="67"/>
    </row>
    <row r="70" spans="1:6" ht="32.4">
      <c r="A70" s="67"/>
      <c r="B70" s="67"/>
      <c r="C70" s="67"/>
      <c r="D70" s="67"/>
      <c r="E70" s="67"/>
      <c r="F70" s="67"/>
    </row>
    <row r="71" spans="1:6" ht="32.4">
      <c r="A71" s="67"/>
      <c r="B71" s="67"/>
      <c r="C71" s="67"/>
      <c r="D71" s="67"/>
      <c r="E71" s="67"/>
      <c r="F71" s="67"/>
    </row>
    <row r="72" spans="1:6" ht="32.4">
      <c r="A72" s="67"/>
      <c r="B72" s="67"/>
      <c r="C72" s="67"/>
      <c r="D72" s="67"/>
      <c r="E72" s="67"/>
      <c r="F72" s="67"/>
    </row>
    <row r="73" spans="1:6" ht="32.4">
      <c r="A73" s="67"/>
      <c r="B73" s="67"/>
      <c r="C73" s="67"/>
      <c r="D73" s="67"/>
      <c r="E73" s="67"/>
      <c r="F73" s="67"/>
    </row>
    <row r="74" spans="1:6" ht="32.4">
      <c r="A74" s="67"/>
      <c r="B74" s="67"/>
      <c r="C74" s="67"/>
      <c r="D74" s="67"/>
      <c r="E74" s="67"/>
      <c r="F74" s="67"/>
    </row>
    <row r="75" spans="1:6" ht="32.4">
      <c r="A75" s="67"/>
      <c r="B75" s="67"/>
      <c r="C75" s="67"/>
      <c r="D75" s="67"/>
      <c r="E75" s="67"/>
      <c r="F75" s="67"/>
    </row>
    <row r="76" spans="1:6" ht="32.4">
      <c r="A76" s="67"/>
      <c r="B76" s="67"/>
      <c r="C76" s="67"/>
      <c r="D76" s="67"/>
      <c r="E76" s="67"/>
      <c r="F76" s="67"/>
    </row>
    <row r="77" spans="1:6" ht="32.4">
      <c r="A77" s="67"/>
      <c r="B77" s="67"/>
      <c r="C77" s="67"/>
      <c r="D77" s="67"/>
      <c r="E77" s="67"/>
      <c r="F77" s="67"/>
    </row>
    <row r="78" spans="1:6" ht="32.4">
      <c r="A78" s="67"/>
      <c r="B78" s="67"/>
      <c r="C78" s="67"/>
      <c r="D78" s="67"/>
      <c r="E78" s="67"/>
      <c r="F78" s="67"/>
    </row>
    <row r="79" spans="1:6" ht="32.4">
      <c r="A79" s="67"/>
      <c r="B79" s="67"/>
      <c r="C79" s="67"/>
      <c r="D79" s="67"/>
      <c r="E79" s="67"/>
      <c r="F79" s="67"/>
    </row>
    <row r="80" spans="1:6" ht="32.4">
      <c r="A80" s="67"/>
      <c r="B80" s="67"/>
      <c r="C80" s="67"/>
      <c r="D80" s="67"/>
      <c r="E80" s="67"/>
      <c r="F80" s="67"/>
    </row>
    <row r="81" spans="1:6" ht="32.4">
      <c r="A81" s="67"/>
      <c r="B81" s="67"/>
      <c r="C81" s="67"/>
      <c r="D81" s="67"/>
      <c r="E81" s="67"/>
      <c r="F81" s="67"/>
    </row>
    <row r="82" spans="1:6" ht="32.4">
      <c r="A82" s="67"/>
      <c r="B82" s="67"/>
      <c r="C82" s="67"/>
      <c r="D82" s="67"/>
      <c r="E82" s="67"/>
      <c r="F82" s="67"/>
    </row>
    <row r="83" spans="1:6" ht="32.4">
      <c r="A83" s="67"/>
      <c r="B83" s="67"/>
      <c r="C83" s="67"/>
      <c r="D83" s="67"/>
      <c r="E83" s="67"/>
      <c r="F83" s="67"/>
    </row>
    <row r="84" spans="1:6" ht="32.4">
      <c r="A84" s="67"/>
      <c r="B84" s="67"/>
      <c r="C84" s="67"/>
      <c r="D84" s="67"/>
      <c r="E84" s="67"/>
      <c r="F84" s="67"/>
    </row>
    <row r="85" spans="1:6" ht="32.4">
      <c r="A85" s="67"/>
      <c r="B85" s="67"/>
      <c r="C85" s="67"/>
      <c r="D85" s="67"/>
      <c r="E85" s="67"/>
      <c r="F85" s="67"/>
    </row>
    <row r="86" spans="1:6" ht="32.4">
      <c r="A86" s="67"/>
      <c r="B86" s="67"/>
      <c r="C86" s="67"/>
      <c r="D86" s="67"/>
      <c r="E86" s="67"/>
      <c r="F86" s="67"/>
    </row>
    <row r="87" spans="1:6" ht="32.4">
      <c r="A87" s="67"/>
      <c r="B87" s="67"/>
      <c r="C87" s="67"/>
      <c r="D87" s="67"/>
      <c r="E87" s="67"/>
      <c r="F87" s="67"/>
    </row>
    <row r="88" spans="1:6" ht="32.4">
      <c r="A88" s="67"/>
      <c r="B88" s="67"/>
      <c r="C88" s="67"/>
      <c r="D88" s="67"/>
      <c r="E88" s="67"/>
      <c r="F88" s="67"/>
    </row>
    <row r="89" spans="1:6" ht="32.4">
      <c r="A89" s="67"/>
      <c r="B89" s="67"/>
      <c r="C89" s="67"/>
      <c r="D89" s="67"/>
      <c r="E89" s="67"/>
      <c r="F89" s="67"/>
    </row>
    <row r="90" spans="1:6" ht="32.4">
      <c r="A90" s="67"/>
      <c r="B90" s="67"/>
      <c r="C90" s="67"/>
      <c r="D90" s="67"/>
      <c r="E90" s="67"/>
      <c r="F90" s="67"/>
    </row>
    <row r="91" spans="1:6" ht="32.4">
      <c r="A91" s="67"/>
      <c r="B91" s="67"/>
      <c r="C91" s="67"/>
      <c r="D91" s="67"/>
      <c r="E91" s="67"/>
      <c r="F91" s="67"/>
    </row>
    <row r="92" spans="1:6" ht="32.4">
      <c r="A92" s="67"/>
      <c r="B92" s="67"/>
      <c r="C92" s="67"/>
      <c r="D92" s="67"/>
      <c r="E92" s="67"/>
      <c r="F92" s="67"/>
    </row>
    <row r="93" spans="1:6" ht="32.4">
      <c r="A93" s="67"/>
      <c r="B93" s="67"/>
      <c r="C93" s="67"/>
      <c r="D93" s="67"/>
      <c r="E93" s="67"/>
      <c r="F93" s="67"/>
    </row>
    <row r="94" spans="1:6" ht="32.4">
      <c r="A94" s="67"/>
      <c r="B94" s="67"/>
      <c r="C94" s="67"/>
      <c r="D94" s="67"/>
      <c r="E94" s="67"/>
      <c r="F94" s="67"/>
    </row>
    <row r="95" spans="1:6" ht="32.4">
      <c r="A95" s="67"/>
      <c r="B95" s="67"/>
      <c r="C95" s="67"/>
      <c r="D95" s="67"/>
      <c r="E95" s="67"/>
      <c r="F95" s="67"/>
    </row>
    <row r="96" spans="1:6" ht="32.4">
      <c r="A96" s="67"/>
      <c r="B96" s="67"/>
      <c r="C96" s="67"/>
      <c r="D96" s="67"/>
      <c r="E96" s="67"/>
      <c r="F96" s="67"/>
    </row>
    <row r="97" spans="1:6" ht="32.4">
      <c r="A97" s="67"/>
      <c r="B97" s="67"/>
      <c r="C97" s="67"/>
      <c r="D97" s="67"/>
      <c r="E97" s="67"/>
      <c r="F97" s="67"/>
    </row>
    <row r="98" spans="1:6" ht="32.4">
      <c r="A98" s="67"/>
      <c r="B98" s="67"/>
      <c r="C98" s="67"/>
      <c r="D98" s="67"/>
      <c r="E98" s="67"/>
      <c r="F98" s="67"/>
    </row>
    <row r="99" spans="1:6" ht="32.4">
      <c r="A99" s="67"/>
      <c r="B99" s="67"/>
      <c r="C99" s="67"/>
      <c r="D99" s="67"/>
      <c r="E99" s="67"/>
      <c r="F99" s="67"/>
    </row>
    <row r="100" spans="1:6" ht="32.4">
      <c r="A100" s="67"/>
      <c r="B100" s="67"/>
      <c r="C100" s="67"/>
      <c r="D100" s="67"/>
      <c r="E100" s="67"/>
      <c r="F100" s="67"/>
    </row>
    <row r="101" spans="1:6" ht="32.4">
      <c r="A101" s="67"/>
      <c r="B101" s="67"/>
      <c r="C101" s="67"/>
      <c r="D101" s="67"/>
      <c r="E101" s="67"/>
      <c r="F101" s="67"/>
    </row>
    <row r="102" spans="1:6" ht="32.4">
      <c r="A102" s="67"/>
      <c r="B102" s="67"/>
      <c r="C102" s="67"/>
      <c r="D102" s="67"/>
      <c r="E102" s="67"/>
      <c r="F102" s="67"/>
    </row>
    <row r="103" spans="1:6" ht="32.4">
      <c r="A103" s="67"/>
      <c r="B103" s="67"/>
      <c r="C103" s="67"/>
      <c r="D103" s="67"/>
      <c r="E103" s="67"/>
      <c r="F103" s="67"/>
    </row>
    <row r="104" spans="1:6" ht="32.4">
      <c r="A104" s="67"/>
      <c r="B104" s="67"/>
      <c r="C104" s="67"/>
      <c r="D104" s="67"/>
      <c r="E104" s="67"/>
      <c r="F104" s="67"/>
    </row>
    <row r="105" spans="1:6" ht="32.4">
      <c r="A105" s="67"/>
      <c r="B105" s="67"/>
      <c r="C105" s="67"/>
      <c r="D105" s="67"/>
      <c r="E105" s="67"/>
      <c r="F105" s="67"/>
    </row>
    <row r="106" spans="1:6" ht="32.4">
      <c r="A106" s="67"/>
      <c r="B106" s="67"/>
      <c r="C106" s="67"/>
      <c r="D106" s="67"/>
      <c r="E106" s="67"/>
      <c r="F106" s="67"/>
    </row>
    <row r="107" spans="1:6" ht="32.4">
      <c r="A107" s="67"/>
      <c r="B107" s="67"/>
      <c r="C107" s="67"/>
      <c r="D107" s="67"/>
      <c r="E107" s="67"/>
      <c r="F107" s="67"/>
    </row>
    <row r="108" spans="1:6" ht="32.4">
      <c r="A108" s="67"/>
      <c r="B108" s="67"/>
      <c r="C108" s="67"/>
      <c r="D108" s="67"/>
      <c r="E108" s="67"/>
      <c r="F108" s="67"/>
    </row>
    <row r="109" spans="1:6" ht="32.4">
      <c r="A109" s="67"/>
      <c r="B109" s="67"/>
      <c r="C109" s="67"/>
      <c r="D109" s="67"/>
      <c r="E109" s="67"/>
      <c r="F109" s="67"/>
    </row>
    <row r="110" spans="1:6" ht="32.4">
      <c r="A110" s="67"/>
      <c r="B110" s="67"/>
      <c r="C110" s="67"/>
      <c r="D110" s="67"/>
      <c r="E110" s="67"/>
      <c r="F110" s="67"/>
    </row>
    <row r="111" spans="1:6" ht="32.4">
      <c r="A111" s="67"/>
      <c r="B111" s="67"/>
      <c r="C111" s="67"/>
      <c r="D111" s="67"/>
      <c r="E111" s="67"/>
      <c r="F111" s="67"/>
    </row>
    <row r="112" spans="1:6" ht="32.4">
      <c r="A112" s="67"/>
      <c r="B112" s="67"/>
      <c r="C112" s="67"/>
      <c r="D112" s="67"/>
      <c r="E112" s="67"/>
      <c r="F112" s="67"/>
    </row>
    <row r="113" spans="1:6" ht="32.4">
      <c r="A113" s="67"/>
      <c r="B113" s="67"/>
      <c r="C113" s="67"/>
      <c r="D113" s="67"/>
      <c r="E113" s="67"/>
      <c r="F113" s="67"/>
    </row>
    <row r="114" spans="1:6" ht="32.4">
      <c r="A114" s="67"/>
      <c r="B114" s="67"/>
      <c r="C114" s="67"/>
      <c r="D114" s="67"/>
      <c r="E114" s="67"/>
      <c r="F114" s="67"/>
    </row>
    <row r="115" spans="1:6" ht="32.4">
      <c r="A115" s="67"/>
      <c r="B115" s="67"/>
      <c r="C115" s="67"/>
      <c r="D115" s="67"/>
      <c r="E115" s="67"/>
      <c r="F115" s="67"/>
    </row>
    <row r="116" spans="1:6" ht="32.4">
      <c r="A116" s="67"/>
      <c r="B116" s="67"/>
      <c r="C116" s="67"/>
      <c r="D116" s="67"/>
      <c r="E116" s="67"/>
      <c r="F116" s="67"/>
    </row>
    <row r="117" spans="1:6" ht="32.4">
      <c r="A117" s="67"/>
      <c r="B117" s="67"/>
      <c r="C117" s="67"/>
      <c r="D117" s="67"/>
      <c r="E117" s="67"/>
      <c r="F117" s="67"/>
    </row>
    <row r="118" spans="1:6" ht="32.4">
      <c r="A118" s="67"/>
      <c r="B118" s="67"/>
      <c r="C118" s="67"/>
      <c r="D118" s="67"/>
      <c r="E118" s="67"/>
      <c r="F118" s="67"/>
    </row>
    <row r="119" spans="1:6" ht="32.4">
      <c r="A119" s="67"/>
      <c r="B119" s="67"/>
      <c r="C119" s="67"/>
      <c r="D119" s="67"/>
      <c r="E119" s="67"/>
      <c r="F119" s="67"/>
    </row>
    <row r="120" spans="1:6" ht="32.4">
      <c r="A120" s="67"/>
      <c r="B120" s="67"/>
      <c r="C120" s="67"/>
      <c r="D120" s="67"/>
      <c r="E120" s="67"/>
      <c r="F120" s="67"/>
    </row>
    <row r="121" spans="1:6" ht="32.4">
      <c r="A121" s="67"/>
      <c r="B121" s="67"/>
      <c r="C121" s="67"/>
      <c r="D121" s="67"/>
      <c r="E121" s="67"/>
      <c r="F121" s="67"/>
    </row>
    <row r="122" spans="1:6" ht="32.4">
      <c r="A122" s="67"/>
      <c r="B122" s="67"/>
      <c r="C122" s="67"/>
      <c r="D122" s="67"/>
      <c r="E122" s="67"/>
      <c r="F122" s="67"/>
    </row>
    <row r="123" spans="1:6" ht="32.4">
      <c r="A123" s="67"/>
      <c r="B123" s="67"/>
      <c r="C123" s="67"/>
      <c r="D123" s="67"/>
      <c r="E123" s="67"/>
      <c r="F123" s="67"/>
    </row>
    <row r="124" spans="1:6" ht="32.4">
      <c r="A124" s="67"/>
      <c r="B124" s="67"/>
      <c r="C124" s="67"/>
      <c r="D124" s="67"/>
      <c r="E124" s="67"/>
      <c r="F124" s="67"/>
    </row>
    <row r="125" spans="1:6" ht="32.4">
      <c r="A125" s="67"/>
      <c r="B125" s="67"/>
      <c r="C125" s="67"/>
      <c r="D125" s="67"/>
      <c r="E125" s="67"/>
      <c r="F125" s="67"/>
    </row>
    <row r="126" spans="1:6" ht="32.4">
      <c r="A126" s="67"/>
      <c r="B126" s="67"/>
      <c r="C126" s="67"/>
      <c r="D126" s="67"/>
      <c r="E126" s="67"/>
      <c r="F126" s="67"/>
    </row>
    <row r="127" spans="1:6" ht="32.4">
      <c r="A127" s="67"/>
      <c r="B127" s="67"/>
      <c r="C127" s="67"/>
      <c r="D127" s="67"/>
      <c r="E127" s="67"/>
      <c r="F127" s="67"/>
    </row>
    <row r="128" spans="1:6" ht="32.4">
      <c r="A128" s="67"/>
      <c r="B128" s="67"/>
      <c r="C128" s="67"/>
      <c r="D128" s="67"/>
      <c r="E128" s="67"/>
      <c r="F128" s="67"/>
    </row>
    <row r="129" spans="1:6" ht="32.4">
      <c r="A129" s="67"/>
      <c r="B129" s="67"/>
      <c r="C129" s="67"/>
      <c r="D129" s="67"/>
      <c r="E129" s="67"/>
      <c r="F129" s="67"/>
    </row>
    <row r="130" spans="1:6" ht="32.4">
      <c r="A130" s="67"/>
      <c r="B130" s="67"/>
      <c r="C130" s="67"/>
      <c r="D130" s="67"/>
      <c r="E130" s="67"/>
      <c r="F130" s="67"/>
    </row>
    <row r="131" spans="1:6" ht="32.4">
      <c r="A131" s="67"/>
      <c r="B131" s="67"/>
      <c r="C131" s="67"/>
      <c r="D131" s="67"/>
      <c r="E131" s="67"/>
      <c r="F131" s="67"/>
    </row>
    <row r="132" spans="1:6" ht="32.4">
      <c r="A132" s="67"/>
      <c r="B132" s="67"/>
      <c r="C132" s="67"/>
      <c r="D132" s="67"/>
      <c r="E132" s="67"/>
      <c r="F132" s="67"/>
    </row>
    <row r="133" spans="1:6" ht="32.4">
      <c r="A133" s="67"/>
      <c r="B133" s="67"/>
      <c r="C133" s="67"/>
      <c r="D133" s="67"/>
      <c r="E133" s="67"/>
      <c r="F133" s="67"/>
    </row>
    <row r="134" spans="1:6" ht="32.4">
      <c r="A134" s="67"/>
      <c r="B134" s="67"/>
      <c r="C134" s="67"/>
      <c r="D134" s="67"/>
      <c r="E134" s="67"/>
      <c r="F134" s="67"/>
    </row>
    <row r="135" spans="1:6" ht="32.4">
      <c r="A135" s="67"/>
      <c r="B135" s="67"/>
      <c r="C135" s="67"/>
      <c r="D135" s="67"/>
      <c r="E135" s="67"/>
      <c r="F135" s="67"/>
    </row>
    <row r="136" spans="1:6" ht="32.4">
      <c r="A136" s="67"/>
      <c r="B136" s="67"/>
      <c r="C136" s="67"/>
      <c r="D136" s="67"/>
      <c r="E136" s="67"/>
      <c r="F136" s="67"/>
    </row>
    <row r="137" spans="1:6" ht="32.4">
      <c r="A137" s="67"/>
      <c r="B137" s="67"/>
      <c r="C137" s="67"/>
      <c r="D137" s="67"/>
      <c r="E137" s="67"/>
      <c r="F137" s="67"/>
    </row>
    <row r="138" spans="1:6" ht="32.4">
      <c r="A138" s="67"/>
      <c r="B138" s="67"/>
      <c r="C138" s="67"/>
      <c r="D138" s="67"/>
      <c r="E138" s="67"/>
      <c r="F138" s="67"/>
    </row>
    <row r="139" spans="1:6" ht="32.4">
      <c r="A139" s="67"/>
      <c r="B139" s="67"/>
      <c r="C139" s="67"/>
      <c r="D139" s="67"/>
      <c r="E139" s="67"/>
      <c r="F139" s="67"/>
    </row>
    <row r="140" spans="1:6" ht="32.4">
      <c r="A140" s="67"/>
      <c r="B140" s="67"/>
      <c r="C140" s="67"/>
      <c r="D140" s="67"/>
      <c r="E140" s="67"/>
      <c r="F140" s="67"/>
    </row>
    <row r="141" spans="1:6" ht="32.4">
      <c r="A141" s="67"/>
      <c r="B141" s="67"/>
      <c r="C141" s="67"/>
      <c r="D141" s="67"/>
      <c r="E141" s="67"/>
      <c r="F141" s="67"/>
    </row>
    <row r="142" spans="1:6" ht="32.4">
      <c r="A142" s="67"/>
      <c r="B142" s="67"/>
      <c r="C142" s="67"/>
      <c r="D142" s="67"/>
      <c r="E142" s="67"/>
      <c r="F142" s="67"/>
    </row>
    <row r="143" spans="1:6" ht="32.4">
      <c r="A143" s="67"/>
      <c r="B143" s="67"/>
      <c r="C143" s="67"/>
      <c r="D143" s="67"/>
      <c r="E143" s="67"/>
      <c r="F143" s="67"/>
    </row>
    <row r="144" spans="1:6" ht="32.4">
      <c r="A144" s="67"/>
      <c r="B144" s="67"/>
      <c r="C144" s="67"/>
      <c r="D144" s="67"/>
      <c r="E144" s="67"/>
      <c r="F144" s="67"/>
    </row>
    <row r="145" spans="1:6" ht="32.4">
      <c r="A145" s="67"/>
      <c r="B145" s="67"/>
      <c r="C145" s="67"/>
      <c r="D145" s="67"/>
      <c r="E145" s="67"/>
      <c r="F145" s="67"/>
    </row>
    <row r="146" spans="1:6" ht="32.4">
      <c r="A146" s="67"/>
      <c r="B146" s="67"/>
      <c r="C146" s="67"/>
      <c r="D146" s="67"/>
      <c r="E146" s="67"/>
      <c r="F146" s="67"/>
    </row>
    <row r="147" spans="1:6" ht="32.4">
      <c r="A147" s="67"/>
      <c r="B147" s="67"/>
      <c r="C147" s="67"/>
      <c r="D147" s="67"/>
      <c r="E147" s="67"/>
      <c r="F147" s="67"/>
    </row>
    <row r="148" spans="1:6" ht="32.4">
      <c r="A148" s="67"/>
      <c r="B148" s="67"/>
      <c r="C148" s="67"/>
      <c r="D148" s="67"/>
      <c r="E148" s="67"/>
      <c r="F148" s="67"/>
    </row>
    <row r="149" spans="1:6" ht="32.4">
      <c r="A149" s="67"/>
      <c r="B149" s="67"/>
      <c r="C149" s="67"/>
      <c r="D149" s="67"/>
      <c r="E149" s="67"/>
      <c r="F149" s="67"/>
    </row>
    <row r="150" spans="1:6" ht="32.4">
      <c r="A150" s="67"/>
      <c r="B150" s="67"/>
      <c r="C150" s="67"/>
      <c r="D150" s="67"/>
      <c r="E150" s="67"/>
      <c r="F150" s="67"/>
    </row>
    <row r="151" spans="1:6" ht="32.4">
      <c r="A151" s="67"/>
      <c r="B151" s="67"/>
      <c r="C151" s="67"/>
      <c r="D151" s="67"/>
      <c r="E151" s="67"/>
      <c r="F151" s="67"/>
    </row>
    <row r="152" spans="1:6" ht="32.4">
      <c r="A152" s="67"/>
      <c r="B152" s="67"/>
      <c r="C152" s="67"/>
      <c r="D152" s="67"/>
      <c r="E152" s="67"/>
      <c r="F152" s="67"/>
    </row>
    <row r="153" spans="1:6" ht="32.4">
      <c r="A153" s="67"/>
      <c r="B153" s="67"/>
      <c r="C153" s="67"/>
      <c r="D153" s="67"/>
      <c r="E153" s="67"/>
      <c r="F153" s="67"/>
    </row>
    <row r="154" spans="1:6" ht="32.4">
      <c r="A154" s="67"/>
      <c r="B154" s="67"/>
      <c r="C154" s="67"/>
      <c r="D154" s="67"/>
      <c r="E154" s="67"/>
      <c r="F154" s="67"/>
    </row>
    <row r="155" spans="1:6" ht="32.4">
      <c r="A155" s="67"/>
      <c r="B155" s="67"/>
      <c r="C155" s="67"/>
      <c r="D155" s="67"/>
      <c r="E155" s="67"/>
      <c r="F155" s="67"/>
    </row>
    <row r="156" spans="1:6" ht="32.4">
      <c r="A156" s="67"/>
      <c r="B156" s="67"/>
      <c r="C156" s="67"/>
      <c r="D156" s="67"/>
      <c r="E156" s="67"/>
      <c r="F156" s="67"/>
    </row>
    <row r="157" spans="1:6" ht="32.4">
      <c r="A157" s="67"/>
      <c r="B157" s="67"/>
      <c r="C157" s="67"/>
      <c r="D157" s="67"/>
      <c r="E157" s="67"/>
      <c r="F157" s="67"/>
    </row>
    <row r="158" spans="1:6" ht="32.4">
      <c r="A158" s="67"/>
      <c r="B158" s="67"/>
      <c r="C158" s="67"/>
      <c r="D158" s="67"/>
      <c r="E158" s="67"/>
      <c r="F158" s="67"/>
    </row>
    <row r="159" spans="1:6" ht="32.4">
      <c r="A159" s="67"/>
      <c r="B159" s="67"/>
      <c r="C159" s="67"/>
      <c r="D159" s="67"/>
      <c r="E159" s="67"/>
      <c r="F159" s="67"/>
    </row>
    <row r="160" spans="1:6" ht="32.4">
      <c r="A160" s="67"/>
      <c r="B160" s="67"/>
      <c r="C160" s="67"/>
      <c r="D160" s="67"/>
      <c r="E160" s="67"/>
      <c r="F160" s="67"/>
    </row>
    <row r="161" spans="1:6" ht="32.4">
      <c r="A161" s="67"/>
      <c r="B161" s="67"/>
      <c r="C161" s="67"/>
      <c r="D161" s="67"/>
      <c r="E161" s="67"/>
      <c r="F161" s="67"/>
    </row>
    <row r="162" spans="1:6" ht="32.4">
      <c r="A162" s="67"/>
      <c r="B162" s="67"/>
      <c r="C162" s="67"/>
      <c r="D162" s="67"/>
      <c r="E162" s="67"/>
      <c r="F162" s="67"/>
    </row>
    <row r="163" spans="1:6" ht="32.4">
      <c r="A163" s="67"/>
      <c r="B163" s="67"/>
      <c r="C163" s="67"/>
      <c r="D163" s="67"/>
      <c r="E163" s="67"/>
      <c r="F163" s="67"/>
    </row>
    <row r="164" spans="1:6" ht="32.4">
      <c r="A164" s="67"/>
      <c r="B164" s="67"/>
      <c r="C164" s="67"/>
      <c r="D164" s="67"/>
      <c r="E164" s="67"/>
      <c r="F164" s="67"/>
    </row>
    <row r="165" spans="1:6" ht="32.4">
      <c r="A165" s="67"/>
      <c r="B165" s="67"/>
      <c r="C165" s="67"/>
      <c r="D165" s="67"/>
      <c r="E165" s="67"/>
      <c r="F165" s="67"/>
    </row>
    <row r="166" spans="1:6" ht="32.4">
      <c r="A166" s="67"/>
      <c r="B166" s="67"/>
      <c r="C166" s="67"/>
      <c r="D166" s="67"/>
      <c r="E166" s="67"/>
      <c r="F166" s="67"/>
    </row>
    <row r="167" spans="1:6" ht="32.4">
      <c r="A167" s="67"/>
      <c r="B167" s="67"/>
      <c r="C167" s="67"/>
      <c r="D167" s="67"/>
      <c r="E167" s="67"/>
      <c r="F167" s="67"/>
    </row>
    <row r="168" spans="1:6" ht="32.4">
      <c r="A168" s="67"/>
      <c r="B168" s="67"/>
      <c r="C168" s="67"/>
      <c r="D168" s="67"/>
      <c r="E168" s="67"/>
      <c r="F168" s="67"/>
    </row>
    <row r="169" spans="1:6" ht="32.4">
      <c r="A169" s="67"/>
      <c r="B169" s="67"/>
      <c r="C169" s="67"/>
      <c r="D169" s="67"/>
      <c r="E169" s="67"/>
      <c r="F169" s="67"/>
    </row>
    <row r="170" spans="1:6" ht="32.4">
      <c r="A170" s="67"/>
      <c r="B170" s="67"/>
      <c r="C170" s="67"/>
      <c r="D170" s="67"/>
      <c r="E170" s="67"/>
      <c r="F170" s="67"/>
    </row>
    <row r="171" spans="1:6" ht="32.4">
      <c r="A171" s="67"/>
      <c r="B171" s="67"/>
      <c r="C171" s="67"/>
      <c r="D171" s="67"/>
      <c r="E171" s="67"/>
      <c r="F171" s="67"/>
    </row>
    <row r="172" spans="1:6" ht="32.4">
      <c r="A172" s="67"/>
      <c r="B172" s="67"/>
      <c r="C172" s="67"/>
      <c r="D172" s="67"/>
      <c r="E172" s="67"/>
      <c r="F172" s="67"/>
    </row>
    <row r="173" spans="1:6" ht="32.4">
      <c r="A173" s="67"/>
      <c r="B173" s="67"/>
      <c r="C173" s="67"/>
      <c r="D173" s="67"/>
      <c r="E173" s="67"/>
      <c r="F173" s="67"/>
    </row>
    <row r="174" spans="1:6" ht="32.4">
      <c r="A174" s="67"/>
      <c r="B174" s="67"/>
      <c r="C174" s="67"/>
      <c r="D174" s="67"/>
      <c r="E174" s="67"/>
      <c r="F174" s="67"/>
    </row>
    <row r="175" spans="1:6" ht="32.4">
      <c r="A175" s="67"/>
      <c r="B175" s="67"/>
      <c r="C175" s="67"/>
      <c r="D175" s="67"/>
      <c r="E175" s="67"/>
      <c r="F175" s="67"/>
    </row>
    <row r="176" spans="1:6" ht="32.4">
      <c r="A176" s="67"/>
      <c r="B176" s="67"/>
      <c r="C176" s="67"/>
      <c r="D176" s="67"/>
      <c r="E176" s="67"/>
      <c r="F176" s="67"/>
    </row>
    <row r="177" spans="1:6" ht="32.4">
      <c r="A177" s="67"/>
      <c r="B177" s="67"/>
      <c r="C177" s="67"/>
      <c r="D177" s="67"/>
      <c r="E177" s="67"/>
      <c r="F177" s="67"/>
    </row>
    <row r="178" spans="1:6" ht="32.4">
      <c r="A178" s="67"/>
      <c r="B178" s="67"/>
      <c r="C178" s="67"/>
      <c r="D178" s="67"/>
      <c r="E178" s="67"/>
      <c r="F178" s="67"/>
    </row>
    <row r="179" spans="1:6" ht="32.4">
      <c r="A179" s="67"/>
      <c r="B179" s="67"/>
      <c r="C179" s="67"/>
      <c r="D179" s="67"/>
      <c r="E179" s="67"/>
      <c r="F179" s="67"/>
    </row>
    <row r="180" spans="1:6" ht="32.4">
      <c r="A180" s="67"/>
      <c r="B180" s="67"/>
      <c r="C180" s="67"/>
      <c r="D180" s="67"/>
      <c r="E180" s="67"/>
      <c r="F180" s="67"/>
    </row>
    <row r="181" spans="1:6" ht="32.4">
      <c r="A181" s="67"/>
      <c r="B181" s="67"/>
      <c r="C181" s="67"/>
      <c r="D181" s="67"/>
      <c r="E181" s="67"/>
      <c r="F181" s="67"/>
    </row>
    <row r="182" spans="1:6" ht="32.4">
      <c r="A182" s="67"/>
      <c r="B182" s="67"/>
      <c r="C182" s="67"/>
      <c r="D182" s="67"/>
      <c r="E182" s="67"/>
      <c r="F182" s="67"/>
    </row>
    <row r="183" spans="1:6" ht="32.4">
      <c r="A183" s="67"/>
      <c r="B183" s="67"/>
      <c r="C183" s="67"/>
      <c r="D183" s="67"/>
      <c r="E183" s="67"/>
      <c r="F183" s="67"/>
    </row>
    <row r="184" spans="1:6" ht="32.4">
      <c r="A184" s="67"/>
      <c r="B184" s="67"/>
      <c r="C184" s="67"/>
      <c r="D184" s="67"/>
      <c r="E184" s="67"/>
      <c r="F184" s="67"/>
    </row>
    <row r="185" spans="1:6" ht="32.4">
      <c r="A185" s="67"/>
      <c r="B185" s="67"/>
      <c r="C185" s="67"/>
      <c r="D185" s="67"/>
      <c r="E185" s="67"/>
      <c r="F185" s="67"/>
    </row>
    <row r="186" spans="1:6" ht="32.4">
      <c r="A186" s="67"/>
      <c r="B186" s="67"/>
      <c r="C186" s="67"/>
      <c r="D186" s="67"/>
      <c r="E186" s="67"/>
      <c r="F186" s="67"/>
    </row>
    <row r="187" spans="1:6" ht="32.4">
      <c r="A187" s="67"/>
      <c r="B187" s="67"/>
      <c r="C187" s="67"/>
      <c r="D187" s="67"/>
      <c r="E187" s="67"/>
      <c r="F187" s="67"/>
    </row>
    <row r="188" spans="1:6" ht="32.4">
      <c r="A188" s="67"/>
      <c r="B188" s="67"/>
      <c r="C188" s="67"/>
      <c r="D188" s="67"/>
      <c r="E188" s="67"/>
      <c r="F188" s="67"/>
    </row>
    <row r="189" spans="1:6" ht="32.4">
      <c r="A189" s="67"/>
      <c r="B189" s="67"/>
      <c r="C189" s="67"/>
      <c r="D189" s="67"/>
      <c r="E189" s="67"/>
      <c r="F189" s="67"/>
    </row>
    <row r="190" spans="1:6" ht="32.4">
      <c r="A190" s="67"/>
      <c r="B190" s="67"/>
      <c r="C190" s="67"/>
      <c r="D190" s="67"/>
      <c r="E190" s="67"/>
      <c r="F190" s="67"/>
    </row>
    <row r="191" spans="1:6" ht="32.4">
      <c r="A191" s="67"/>
      <c r="B191" s="67"/>
      <c r="C191" s="67"/>
      <c r="D191" s="67"/>
      <c r="E191" s="67"/>
      <c r="F191" s="67"/>
    </row>
    <row r="192" spans="1:6" ht="32.4">
      <c r="A192" s="67"/>
      <c r="B192" s="67"/>
      <c r="C192" s="67"/>
      <c r="D192" s="67"/>
      <c r="E192" s="67"/>
      <c r="F192" s="67"/>
    </row>
    <row r="193" spans="1:6" ht="32.4">
      <c r="A193" s="67"/>
      <c r="B193" s="67"/>
      <c r="C193" s="67"/>
      <c r="D193" s="67"/>
      <c r="E193" s="67"/>
      <c r="F193" s="67"/>
    </row>
    <row r="194" spans="1:6" ht="32.4">
      <c r="A194" s="67"/>
      <c r="B194" s="67"/>
      <c r="C194" s="67"/>
      <c r="D194" s="67"/>
      <c r="E194" s="67"/>
      <c r="F194" s="67"/>
    </row>
    <row r="195" spans="1:6" ht="32.4">
      <c r="A195" s="67"/>
      <c r="B195" s="67"/>
      <c r="C195" s="67"/>
      <c r="D195" s="67"/>
      <c r="E195" s="67"/>
      <c r="F195" s="67"/>
    </row>
    <row r="196" spans="1:6" ht="32.4">
      <c r="A196" s="67"/>
      <c r="B196" s="67"/>
      <c r="C196" s="67"/>
      <c r="D196" s="67"/>
      <c r="E196" s="67"/>
      <c r="F196" s="67"/>
    </row>
    <row r="197" spans="1:6" ht="32.4">
      <c r="A197" s="67"/>
      <c r="B197" s="67"/>
      <c r="C197" s="67"/>
      <c r="D197" s="67"/>
      <c r="E197" s="67"/>
      <c r="F197" s="67"/>
    </row>
    <row r="198" spans="1:6" ht="32.4">
      <c r="A198" s="67"/>
      <c r="B198" s="67"/>
      <c r="C198" s="67"/>
      <c r="D198" s="67"/>
      <c r="E198" s="67"/>
      <c r="F198" s="67"/>
    </row>
    <row r="199" spans="1:6" ht="32.4">
      <c r="A199" s="67"/>
      <c r="B199" s="67"/>
      <c r="C199" s="67"/>
      <c r="D199" s="67"/>
      <c r="E199" s="67"/>
      <c r="F199" s="67"/>
    </row>
    <row r="200" spans="1:6" ht="32.4">
      <c r="A200" s="67"/>
      <c r="B200" s="67"/>
      <c r="C200" s="67"/>
      <c r="D200" s="67"/>
      <c r="E200" s="67"/>
      <c r="F200" s="67"/>
    </row>
    <row r="201" spans="1:6" ht="32.4">
      <c r="A201" s="67"/>
      <c r="B201" s="67"/>
      <c r="C201" s="67"/>
      <c r="D201" s="67"/>
      <c r="E201" s="67"/>
      <c r="F201" s="67"/>
    </row>
    <row r="202" spans="1:6" ht="32.4">
      <c r="A202" s="67"/>
      <c r="B202" s="67"/>
      <c r="C202" s="67"/>
      <c r="D202" s="67"/>
      <c r="E202" s="67"/>
      <c r="F202" s="67"/>
    </row>
    <row r="203" spans="1:6" ht="32.4">
      <c r="A203" s="67"/>
      <c r="B203" s="67"/>
      <c r="C203" s="67"/>
      <c r="D203" s="67"/>
      <c r="E203" s="67"/>
      <c r="F203" s="67"/>
    </row>
    <row r="204" spans="1:6" ht="32.4">
      <c r="A204" s="67"/>
      <c r="B204" s="67"/>
      <c r="C204" s="67"/>
      <c r="D204" s="67"/>
      <c r="E204" s="67"/>
      <c r="F204" s="67"/>
    </row>
    <row r="205" spans="1:6" ht="32.4">
      <c r="A205" s="67"/>
      <c r="B205" s="67"/>
      <c r="C205" s="67"/>
      <c r="D205" s="67"/>
      <c r="E205" s="67"/>
      <c r="F205" s="67"/>
    </row>
    <row r="206" spans="1:6" ht="32.4">
      <c r="A206" s="67"/>
      <c r="B206" s="67"/>
      <c r="C206" s="67"/>
      <c r="D206" s="67"/>
      <c r="E206" s="67"/>
      <c r="F206" s="67"/>
    </row>
    <row r="207" spans="1:6" ht="32.4">
      <c r="A207" s="67"/>
      <c r="B207" s="67"/>
      <c r="C207" s="67"/>
      <c r="D207" s="67"/>
      <c r="E207" s="67"/>
      <c r="F207" s="67"/>
    </row>
    <row r="208" spans="1:6" ht="32.4">
      <c r="A208" s="67"/>
      <c r="B208" s="67"/>
      <c r="C208" s="67"/>
      <c r="D208" s="67"/>
      <c r="E208" s="67"/>
      <c r="F208" s="67"/>
    </row>
    <row r="209" spans="1:6" ht="32.4">
      <c r="A209" s="67"/>
      <c r="B209" s="67"/>
      <c r="C209" s="67"/>
      <c r="D209" s="67"/>
      <c r="E209" s="67"/>
      <c r="F209" s="67"/>
    </row>
    <row r="210" spans="1:6" ht="32.4">
      <c r="A210" s="67"/>
      <c r="B210" s="67"/>
      <c r="C210" s="67"/>
      <c r="D210" s="67"/>
      <c r="E210" s="67"/>
      <c r="F210" s="67"/>
    </row>
    <row r="211" spans="1:6" ht="32.4">
      <c r="A211" s="67"/>
      <c r="B211" s="67"/>
      <c r="C211" s="67"/>
      <c r="D211" s="67"/>
      <c r="E211" s="67"/>
      <c r="F211" s="67"/>
    </row>
    <row r="212" spans="1:6" ht="32.4">
      <c r="A212" s="67"/>
      <c r="B212" s="67"/>
      <c r="C212" s="67"/>
      <c r="D212" s="67"/>
      <c r="E212" s="67"/>
      <c r="F212" s="67"/>
    </row>
    <row r="213" spans="1:6" ht="32.4">
      <c r="A213" s="67"/>
      <c r="B213" s="67"/>
      <c r="C213" s="67"/>
      <c r="D213" s="67"/>
      <c r="E213" s="67"/>
      <c r="F213" s="67"/>
    </row>
    <row r="214" spans="1:6" ht="32.4">
      <c r="A214" s="67"/>
      <c r="B214" s="67"/>
      <c r="C214" s="67"/>
      <c r="D214" s="67"/>
      <c r="E214" s="67"/>
      <c r="F214" s="67"/>
    </row>
    <row r="215" spans="1:6" ht="32.4">
      <c r="A215" s="67"/>
      <c r="B215" s="67"/>
      <c r="C215" s="67"/>
      <c r="D215" s="67"/>
      <c r="E215" s="67"/>
      <c r="F215" s="67"/>
    </row>
    <row r="216" spans="1:6" ht="32.4">
      <c r="A216" s="67"/>
      <c r="B216" s="67"/>
      <c r="C216" s="67"/>
      <c r="D216" s="67"/>
      <c r="E216" s="67"/>
      <c r="F216" s="67"/>
    </row>
    <row r="217" spans="1:6" ht="32.4">
      <c r="A217" s="67"/>
      <c r="B217" s="67"/>
      <c r="C217" s="67"/>
      <c r="D217" s="67"/>
      <c r="E217" s="67"/>
      <c r="F217" s="67"/>
    </row>
    <row r="218" spans="1:6" ht="32.4">
      <c r="A218" s="67"/>
      <c r="B218" s="67"/>
      <c r="C218" s="67"/>
      <c r="D218" s="67"/>
      <c r="E218" s="67"/>
      <c r="F218" s="67"/>
    </row>
    <row r="219" spans="1:6" ht="32.4">
      <c r="A219" s="67"/>
      <c r="B219" s="67"/>
      <c r="C219" s="67"/>
      <c r="D219" s="67"/>
      <c r="E219" s="67"/>
      <c r="F219" s="67"/>
    </row>
    <row r="220" spans="1:6" ht="32.4">
      <c r="A220" s="67"/>
      <c r="B220" s="67"/>
      <c r="C220" s="67"/>
      <c r="D220" s="67"/>
      <c r="E220" s="67"/>
      <c r="F220" s="67"/>
    </row>
    <row r="221" spans="1:6" ht="32.4">
      <c r="A221" s="67"/>
      <c r="B221" s="67"/>
      <c r="C221" s="67"/>
      <c r="D221" s="67"/>
      <c r="E221" s="67"/>
      <c r="F221" s="67"/>
    </row>
    <row r="222" spans="1:6" ht="32.4">
      <c r="A222" s="67"/>
      <c r="B222" s="67"/>
      <c r="C222" s="67"/>
      <c r="D222" s="67"/>
      <c r="E222" s="67"/>
      <c r="F222" s="67"/>
    </row>
    <row r="223" spans="1:6" ht="32.4">
      <c r="A223" s="67"/>
      <c r="B223" s="67"/>
      <c r="C223" s="67"/>
      <c r="D223" s="67"/>
      <c r="E223" s="67"/>
      <c r="F223" s="67"/>
    </row>
    <row r="224" spans="1:6" ht="32.4">
      <c r="A224" s="67"/>
      <c r="B224" s="67"/>
      <c r="C224" s="67"/>
      <c r="D224" s="67"/>
      <c r="E224" s="67"/>
      <c r="F224" s="67"/>
    </row>
    <row r="225" spans="1:6" ht="32.4">
      <c r="A225" s="67"/>
      <c r="B225" s="67"/>
      <c r="C225" s="67"/>
      <c r="D225" s="67"/>
      <c r="E225" s="67"/>
      <c r="F225" s="67"/>
    </row>
    <row r="226" spans="1:6" ht="32.4">
      <c r="A226" s="67"/>
      <c r="B226" s="67"/>
      <c r="C226" s="67"/>
      <c r="D226" s="67"/>
      <c r="E226" s="67"/>
      <c r="F226" s="67"/>
    </row>
    <row r="227" spans="1:6" ht="32.4">
      <c r="A227" s="67"/>
      <c r="B227" s="67"/>
      <c r="C227" s="67"/>
      <c r="D227" s="67"/>
      <c r="E227" s="67"/>
      <c r="F227" s="67"/>
    </row>
    <row r="228" spans="1:6" ht="32.4">
      <c r="A228" s="67"/>
      <c r="B228" s="67"/>
      <c r="C228" s="67"/>
      <c r="D228" s="67"/>
      <c r="E228" s="67"/>
      <c r="F228" s="67"/>
    </row>
    <row r="229" spans="1:6" ht="32.4">
      <c r="A229" s="67"/>
      <c r="B229" s="67"/>
      <c r="C229" s="67"/>
      <c r="D229" s="67"/>
      <c r="E229" s="67"/>
      <c r="F229" s="67"/>
    </row>
    <row r="230" spans="1:6" ht="32.4">
      <c r="A230" s="67"/>
      <c r="B230" s="67"/>
      <c r="C230" s="67"/>
      <c r="D230" s="67"/>
      <c r="E230" s="67"/>
      <c r="F230" s="67"/>
    </row>
    <row r="231" spans="1:6" ht="32.4">
      <c r="A231" s="67"/>
      <c r="B231" s="67"/>
      <c r="C231" s="67"/>
      <c r="D231" s="67"/>
      <c r="E231" s="67"/>
      <c r="F231" s="67"/>
    </row>
    <row r="232" spans="1:6" ht="32.4">
      <c r="A232" s="67"/>
      <c r="B232" s="67"/>
      <c r="C232" s="67"/>
      <c r="D232" s="67"/>
      <c r="E232" s="67"/>
      <c r="F232" s="67"/>
    </row>
    <row r="233" spans="1:6" ht="32.4">
      <c r="A233" s="67"/>
      <c r="B233" s="67"/>
      <c r="C233" s="67"/>
      <c r="D233" s="67"/>
      <c r="E233" s="67"/>
      <c r="F233" s="67"/>
    </row>
    <row r="234" spans="1:6" ht="32.4">
      <c r="A234" s="67"/>
      <c r="B234" s="67"/>
      <c r="C234" s="67"/>
      <c r="D234" s="67"/>
      <c r="E234" s="67"/>
      <c r="F234" s="67"/>
    </row>
    <row r="235" spans="1:6" ht="32.4">
      <c r="A235" s="67"/>
      <c r="B235" s="67"/>
      <c r="C235" s="67"/>
      <c r="D235" s="67"/>
      <c r="E235" s="67"/>
      <c r="F235" s="67"/>
    </row>
    <row r="236" spans="1:6" ht="32.4">
      <c r="A236" s="67"/>
      <c r="B236" s="67"/>
      <c r="C236" s="67"/>
      <c r="D236" s="67"/>
      <c r="E236" s="67"/>
      <c r="F236" s="67"/>
    </row>
    <row r="237" spans="1:6" ht="32.4">
      <c r="A237" s="67"/>
      <c r="B237" s="67"/>
      <c r="C237" s="67"/>
      <c r="D237" s="67"/>
      <c r="E237" s="67"/>
      <c r="F237" s="67"/>
    </row>
    <row r="238" spans="1:6" ht="32.4">
      <c r="A238" s="67"/>
      <c r="B238" s="67"/>
      <c r="C238" s="67"/>
      <c r="D238" s="67"/>
      <c r="E238" s="67"/>
      <c r="F238" s="67"/>
    </row>
    <row r="239" spans="1:6" ht="32.4">
      <c r="A239" s="67"/>
      <c r="B239" s="67"/>
      <c r="C239" s="67"/>
      <c r="D239" s="67"/>
      <c r="E239" s="67"/>
      <c r="F239" s="67"/>
    </row>
    <row r="240" spans="1:6" ht="32.4">
      <c r="A240" s="67"/>
      <c r="B240" s="67"/>
      <c r="C240" s="67"/>
      <c r="D240" s="67"/>
      <c r="E240" s="67"/>
      <c r="F240" s="67"/>
    </row>
    <row r="241" spans="1:6" ht="32.4">
      <c r="A241" s="67"/>
      <c r="B241" s="67"/>
      <c r="C241" s="67"/>
      <c r="D241" s="67"/>
      <c r="E241" s="67"/>
      <c r="F241" s="67"/>
    </row>
    <row r="242" spans="1:6" ht="32.4">
      <c r="A242" s="67"/>
      <c r="B242" s="67"/>
      <c r="C242" s="67"/>
      <c r="D242" s="67"/>
      <c r="E242" s="67"/>
      <c r="F242" s="67"/>
    </row>
    <row r="243" spans="1:6" ht="32.4">
      <c r="A243" s="67"/>
      <c r="B243" s="67"/>
      <c r="C243" s="67"/>
      <c r="D243" s="67"/>
      <c r="E243" s="67"/>
      <c r="F243" s="67"/>
    </row>
    <row r="244" spans="1:6" ht="32.4">
      <c r="A244" s="67"/>
      <c r="B244" s="67"/>
      <c r="C244" s="67"/>
      <c r="D244" s="67"/>
      <c r="E244" s="67"/>
      <c r="F244" s="67"/>
    </row>
    <row r="245" spans="1:6" ht="32.4">
      <c r="A245" s="67"/>
      <c r="B245" s="67"/>
      <c r="C245" s="67"/>
      <c r="D245" s="67"/>
      <c r="E245" s="67"/>
      <c r="F245" s="67"/>
    </row>
    <row r="246" spans="1:6" ht="32.4">
      <c r="A246" s="67"/>
      <c r="B246" s="67"/>
      <c r="C246" s="67"/>
      <c r="D246" s="67"/>
      <c r="E246" s="67"/>
      <c r="F246" s="67"/>
    </row>
    <row r="247" spans="1:6" ht="32.4">
      <c r="A247" s="67"/>
      <c r="B247" s="67"/>
      <c r="C247" s="67"/>
      <c r="D247" s="67"/>
      <c r="E247" s="67"/>
      <c r="F247" s="67"/>
    </row>
    <row r="248" spans="1:6" ht="32.4">
      <c r="A248" s="67"/>
      <c r="B248" s="67"/>
      <c r="C248" s="67"/>
      <c r="D248" s="67"/>
      <c r="E248" s="67"/>
      <c r="F248" s="67"/>
    </row>
    <row r="249" spans="1:6" ht="32.4">
      <c r="A249" s="67"/>
      <c r="B249" s="67"/>
      <c r="C249" s="67"/>
      <c r="D249" s="67"/>
      <c r="E249" s="67"/>
      <c r="F249" s="67"/>
    </row>
    <row r="250" spans="1:6" ht="32.4">
      <c r="A250" s="67"/>
      <c r="B250" s="67"/>
      <c r="C250" s="67"/>
      <c r="D250" s="67"/>
      <c r="E250" s="67"/>
      <c r="F250" s="67"/>
    </row>
    <row r="251" spans="1:6" ht="32.4">
      <c r="A251" s="67"/>
      <c r="B251" s="67"/>
      <c r="C251" s="67"/>
      <c r="D251" s="67"/>
      <c r="E251" s="67"/>
      <c r="F251" s="67"/>
    </row>
    <row r="252" spans="1:6" ht="32.4">
      <c r="A252" s="67"/>
      <c r="B252" s="67"/>
      <c r="C252" s="67"/>
      <c r="D252" s="67"/>
      <c r="E252" s="67"/>
      <c r="F252" s="67"/>
    </row>
    <row r="253" spans="1:6" ht="32.4">
      <c r="A253" s="67"/>
      <c r="B253" s="67"/>
      <c r="C253" s="67"/>
      <c r="D253" s="67"/>
      <c r="E253" s="67"/>
      <c r="F253" s="67"/>
    </row>
    <row r="254" spans="1:6" ht="32.4">
      <c r="A254" s="67"/>
      <c r="B254" s="67"/>
      <c r="C254" s="67"/>
      <c r="D254" s="67"/>
      <c r="E254" s="67"/>
      <c r="F254" s="67"/>
    </row>
    <row r="255" spans="1:6" ht="32.4">
      <c r="A255" s="67"/>
      <c r="B255" s="67"/>
      <c r="C255" s="67"/>
      <c r="D255" s="67"/>
      <c r="E255" s="67"/>
      <c r="F255" s="67"/>
    </row>
    <row r="256" spans="1:6" ht="32.4">
      <c r="A256" s="67"/>
      <c r="B256" s="67"/>
      <c r="C256" s="67"/>
      <c r="D256" s="67"/>
      <c r="E256" s="67"/>
      <c r="F256" s="67"/>
    </row>
    <row r="257" spans="1:6" ht="32.4">
      <c r="A257" s="67"/>
      <c r="B257" s="67"/>
      <c r="C257" s="67"/>
      <c r="D257" s="67"/>
      <c r="E257" s="67"/>
      <c r="F257" s="67"/>
    </row>
    <row r="258" spans="1:6" ht="32.4">
      <c r="A258" s="67"/>
      <c r="B258" s="67"/>
      <c r="C258" s="67"/>
      <c r="D258" s="67"/>
      <c r="E258" s="67"/>
      <c r="F258" s="67"/>
    </row>
    <row r="259" spans="1:6" ht="32.4">
      <c r="A259" s="67"/>
      <c r="B259" s="67"/>
      <c r="C259" s="67"/>
      <c r="D259" s="67"/>
      <c r="E259" s="67"/>
      <c r="F259" s="67"/>
    </row>
    <row r="260" spans="1:6" ht="32.4">
      <c r="A260" s="67"/>
      <c r="B260" s="67"/>
      <c r="C260" s="67"/>
      <c r="D260" s="67"/>
      <c r="E260" s="67"/>
      <c r="F260" s="67"/>
    </row>
    <row r="261" spans="1:6" ht="32.4">
      <c r="A261" s="67"/>
      <c r="B261" s="67"/>
      <c r="C261" s="67"/>
      <c r="D261" s="67"/>
      <c r="E261" s="67"/>
      <c r="F261" s="67"/>
    </row>
    <row r="262" spans="1:6" ht="32.4">
      <c r="A262" s="67"/>
      <c r="B262" s="67"/>
      <c r="C262" s="67"/>
      <c r="D262" s="67"/>
      <c r="E262" s="67"/>
      <c r="F262" s="67"/>
    </row>
    <row r="263" spans="1:6" ht="32.4">
      <c r="A263" s="67"/>
      <c r="B263" s="67"/>
      <c r="C263" s="67"/>
      <c r="D263" s="67"/>
      <c r="E263" s="67"/>
      <c r="F263" s="67"/>
    </row>
    <row r="264" spans="1:6" ht="32.4">
      <c r="A264" s="67"/>
      <c r="B264" s="67"/>
      <c r="C264" s="67"/>
      <c r="D264" s="67"/>
      <c r="E264" s="67"/>
      <c r="F264" s="67"/>
    </row>
    <row r="265" spans="1:6" ht="32.4">
      <c r="A265" s="67"/>
      <c r="B265" s="67"/>
      <c r="C265" s="67"/>
      <c r="D265" s="67"/>
      <c r="E265" s="67"/>
      <c r="F265" s="67"/>
    </row>
    <row r="266" spans="1:6" ht="32.4">
      <c r="A266" s="67"/>
      <c r="B266" s="67"/>
      <c r="C266" s="67"/>
      <c r="D266" s="67"/>
      <c r="E266" s="67"/>
      <c r="F266" s="67"/>
    </row>
    <row r="267" spans="1:6" ht="32.4">
      <c r="A267" s="67"/>
      <c r="B267" s="67"/>
      <c r="C267" s="67"/>
      <c r="D267" s="67"/>
      <c r="E267" s="67"/>
      <c r="F267" s="67"/>
    </row>
    <row r="268" spans="1:6" ht="32.4">
      <c r="A268" s="67"/>
      <c r="B268" s="67"/>
      <c r="C268" s="67"/>
      <c r="D268" s="67"/>
      <c r="E268" s="67"/>
      <c r="F268" s="67"/>
    </row>
    <row r="269" spans="1:6" ht="32.4">
      <c r="A269" s="67"/>
      <c r="B269" s="67"/>
      <c r="C269" s="67"/>
      <c r="D269" s="67"/>
      <c r="E269" s="67"/>
      <c r="F269" s="67"/>
    </row>
    <row r="270" spans="1:6" ht="32.4">
      <c r="A270" s="67"/>
      <c r="B270" s="67"/>
      <c r="C270" s="67"/>
      <c r="D270" s="67"/>
      <c r="E270" s="67"/>
      <c r="F270" s="67"/>
    </row>
    <row r="271" spans="1:6" ht="32.4">
      <c r="A271" s="67"/>
      <c r="B271" s="67"/>
      <c r="C271" s="67"/>
      <c r="D271" s="67"/>
      <c r="E271" s="67"/>
      <c r="F271" s="67"/>
    </row>
    <row r="272" spans="1:6" ht="32.4">
      <c r="A272" s="67"/>
      <c r="B272" s="67"/>
      <c r="C272" s="67"/>
      <c r="D272" s="67"/>
      <c r="E272" s="67"/>
      <c r="F272" s="67"/>
    </row>
    <row r="273" spans="1:6" ht="32.4">
      <c r="A273" s="67"/>
      <c r="B273" s="67"/>
      <c r="C273" s="67"/>
      <c r="D273" s="67"/>
      <c r="E273" s="67"/>
      <c r="F273" s="67"/>
    </row>
    <row r="274" spans="1:6" ht="32.4">
      <c r="A274" s="67"/>
      <c r="B274" s="67"/>
      <c r="C274" s="67"/>
      <c r="D274" s="67"/>
      <c r="E274" s="67"/>
      <c r="F274" s="67"/>
    </row>
    <row r="275" spans="1:6" ht="32.4">
      <c r="A275" s="67"/>
      <c r="B275" s="67"/>
      <c r="C275" s="67"/>
      <c r="D275" s="67"/>
      <c r="E275" s="67"/>
      <c r="F275" s="67"/>
    </row>
    <row r="276" spans="1:6" ht="32.4">
      <c r="A276" s="67"/>
      <c r="B276" s="67"/>
      <c r="C276" s="67"/>
      <c r="D276" s="67"/>
      <c r="E276" s="67"/>
      <c r="F276" s="67"/>
    </row>
    <row r="277" spans="1:6" ht="32.4">
      <c r="A277" s="67"/>
      <c r="B277" s="67"/>
      <c r="C277" s="67"/>
      <c r="D277" s="67"/>
      <c r="E277" s="67"/>
      <c r="F277" s="67"/>
    </row>
    <row r="278" spans="1:6" ht="32.4">
      <c r="A278" s="67"/>
      <c r="B278" s="67"/>
      <c r="C278" s="67"/>
      <c r="D278" s="67"/>
      <c r="E278" s="67"/>
      <c r="F278" s="67"/>
    </row>
    <row r="279" spans="1:6" ht="32.4">
      <c r="A279" s="67"/>
      <c r="B279" s="67"/>
      <c r="C279" s="67"/>
      <c r="D279" s="67"/>
      <c r="E279" s="67"/>
      <c r="F279" s="67"/>
    </row>
    <row r="280" spans="1:6" ht="32.4">
      <c r="A280" s="67"/>
      <c r="B280" s="67"/>
      <c r="C280" s="67"/>
      <c r="D280" s="67"/>
      <c r="E280" s="67"/>
      <c r="F280" s="67"/>
    </row>
    <row r="281" spans="1:6" ht="32.4">
      <c r="A281" s="67"/>
      <c r="B281" s="67"/>
      <c r="C281" s="67"/>
      <c r="D281" s="67"/>
      <c r="E281" s="67"/>
      <c r="F281" s="67"/>
    </row>
    <row r="282" spans="1:6" ht="32.4">
      <c r="A282" s="67"/>
      <c r="B282" s="67"/>
      <c r="C282" s="67"/>
      <c r="D282" s="67"/>
      <c r="E282" s="67"/>
      <c r="F282" s="67"/>
    </row>
    <row r="283" spans="1:6" ht="32.4">
      <c r="A283" s="67"/>
      <c r="B283" s="67"/>
      <c r="C283" s="67"/>
      <c r="D283" s="67"/>
      <c r="E283" s="67"/>
      <c r="F283" s="67"/>
    </row>
    <row r="284" spans="1:6" ht="32.4">
      <c r="A284" s="67"/>
      <c r="B284" s="67"/>
      <c r="C284" s="67"/>
      <c r="D284" s="67"/>
      <c r="E284" s="67"/>
      <c r="F284" s="67"/>
    </row>
    <row r="285" spans="1:6" ht="32.4">
      <c r="A285" s="67"/>
      <c r="B285" s="67"/>
      <c r="C285" s="67"/>
      <c r="D285" s="67"/>
      <c r="E285" s="67"/>
      <c r="F285" s="67"/>
    </row>
    <row r="286" spans="1:6" ht="32.4">
      <c r="A286" s="67"/>
      <c r="B286" s="67"/>
      <c r="C286" s="67"/>
      <c r="D286" s="67"/>
      <c r="E286" s="67"/>
      <c r="F286" s="67"/>
    </row>
    <row r="287" spans="1:6" ht="32.4">
      <c r="A287" s="67"/>
      <c r="B287" s="67"/>
      <c r="C287" s="67"/>
      <c r="D287" s="67"/>
      <c r="E287" s="67"/>
      <c r="F287" s="67"/>
    </row>
    <row r="288" spans="1:6" ht="32.4">
      <c r="A288" s="67"/>
      <c r="B288" s="67"/>
      <c r="C288" s="67"/>
      <c r="D288" s="67"/>
      <c r="E288" s="67"/>
      <c r="F288" s="67"/>
    </row>
    <row r="289" spans="1:6" ht="32.4">
      <c r="A289" s="67"/>
      <c r="B289" s="67"/>
      <c r="C289" s="67"/>
      <c r="D289" s="67"/>
      <c r="E289" s="67"/>
      <c r="F289" s="67"/>
    </row>
    <row r="290" spans="1:6" ht="32.4">
      <c r="A290" s="67"/>
      <c r="B290" s="67"/>
      <c r="C290" s="67"/>
      <c r="D290" s="67"/>
      <c r="E290" s="67"/>
      <c r="F290" s="67"/>
    </row>
    <row r="291" spans="1:6" ht="32.4">
      <c r="A291" s="67"/>
      <c r="B291" s="67"/>
      <c r="C291" s="67"/>
      <c r="D291" s="67"/>
      <c r="E291" s="67"/>
      <c r="F291" s="67"/>
    </row>
    <row r="292" spans="1:6" ht="32.4">
      <c r="A292" s="67"/>
      <c r="B292" s="67"/>
      <c r="C292" s="67"/>
      <c r="D292" s="67"/>
      <c r="E292" s="67"/>
      <c r="F292" s="67"/>
    </row>
    <row r="293" spans="1:6" ht="32.4">
      <c r="A293" s="67"/>
      <c r="B293" s="67"/>
      <c r="C293" s="67"/>
      <c r="D293" s="67"/>
      <c r="E293" s="67"/>
      <c r="F293" s="67"/>
    </row>
    <row r="294" spans="1:6" ht="32.4">
      <c r="A294" s="67"/>
      <c r="B294" s="67"/>
      <c r="C294" s="67"/>
      <c r="D294" s="67"/>
      <c r="E294" s="67"/>
      <c r="F294" s="67"/>
    </row>
    <row r="295" spans="1:6" ht="32.4">
      <c r="A295" s="67"/>
      <c r="B295" s="67"/>
      <c r="C295" s="67"/>
      <c r="D295" s="67"/>
      <c r="E295" s="67"/>
      <c r="F295" s="67"/>
    </row>
    <row r="296" spans="1:6" ht="32.4">
      <c r="A296" s="67"/>
      <c r="B296" s="67"/>
      <c r="C296" s="67"/>
      <c r="D296" s="67"/>
      <c r="E296" s="67"/>
      <c r="F296" s="67"/>
    </row>
    <row r="297" spans="1:6" ht="32.4">
      <c r="A297" s="67"/>
      <c r="B297" s="67"/>
      <c r="C297" s="67"/>
      <c r="D297" s="67"/>
      <c r="E297" s="67"/>
      <c r="F297" s="67"/>
    </row>
    <row r="298" spans="1:6" ht="32.4">
      <c r="A298" s="67"/>
      <c r="B298" s="67"/>
      <c r="C298" s="67"/>
      <c r="D298" s="67"/>
      <c r="E298" s="67"/>
      <c r="F298" s="67"/>
    </row>
    <row r="299" spans="1:6" ht="32.4">
      <c r="A299" s="67"/>
      <c r="B299" s="67"/>
      <c r="C299" s="67"/>
      <c r="D299" s="67"/>
      <c r="E299" s="67"/>
      <c r="F299" s="67"/>
    </row>
    <row r="300" spans="1:6" ht="32.4">
      <c r="A300" s="67"/>
      <c r="B300" s="67"/>
      <c r="C300" s="67"/>
      <c r="D300" s="67"/>
      <c r="E300" s="67"/>
      <c r="F300" s="67"/>
    </row>
    <row r="301" spans="1:6" ht="32.4">
      <c r="A301" s="67"/>
      <c r="B301" s="67"/>
      <c r="C301" s="67"/>
      <c r="D301" s="67"/>
      <c r="E301" s="67"/>
      <c r="F301" s="67"/>
    </row>
    <row r="302" spans="1:6" ht="32.4">
      <c r="A302" s="67"/>
      <c r="B302" s="67"/>
      <c r="C302" s="67"/>
      <c r="D302" s="67"/>
      <c r="E302" s="67"/>
      <c r="F302" s="67"/>
    </row>
    <row r="303" spans="1:6" ht="32.4">
      <c r="A303" s="67"/>
      <c r="B303" s="67"/>
      <c r="C303" s="67"/>
      <c r="D303" s="67"/>
      <c r="E303" s="67"/>
      <c r="F303" s="67"/>
    </row>
    <row r="304" spans="1:6" ht="32.4">
      <c r="A304" s="67"/>
      <c r="B304" s="67"/>
      <c r="C304" s="67"/>
      <c r="D304" s="67"/>
      <c r="E304" s="67"/>
      <c r="F304" s="67"/>
    </row>
    <row r="305" spans="1:6" ht="32.4">
      <c r="A305" s="67"/>
      <c r="B305" s="67"/>
      <c r="C305" s="67"/>
      <c r="D305" s="67"/>
      <c r="E305" s="67"/>
      <c r="F305" s="67"/>
    </row>
    <row r="306" spans="1:6" ht="32.4">
      <c r="A306" s="67"/>
      <c r="B306" s="67"/>
      <c r="C306" s="67"/>
      <c r="D306" s="67"/>
      <c r="E306" s="67"/>
      <c r="F306" s="67"/>
    </row>
    <row r="307" spans="1:6" ht="32.4">
      <c r="A307" s="67"/>
      <c r="B307" s="67"/>
      <c r="C307" s="67"/>
      <c r="D307" s="67"/>
      <c r="E307" s="67"/>
      <c r="F307" s="67"/>
    </row>
    <row r="308" spans="1:6" ht="32.4">
      <c r="A308" s="67"/>
      <c r="B308" s="67"/>
      <c r="C308" s="67"/>
      <c r="D308" s="67"/>
      <c r="E308" s="67"/>
      <c r="F308" s="67"/>
    </row>
    <row r="309" spans="1:6" ht="32.4">
      <c r="A309" s="67"/>
      <c r="B309" s="67"/>
      <c r="C309" s="67"/>
      <c r="D309" s="67"/>
      <c r="E309" s="67"/>
      <c r="F309" s="67"/>
    </row>
    <row r="310" spans="1:6" ht="32.4">
      <c r="A310" s="67"/>
      <c r="B310" s="67"/>
      <c r="C310" s="67"/>
      <c r="D310" s="67"/>
      <c r="E310" s="67"/>
      <c r="F310" s="67"/>
    </row>
    <row r="311" spans="1:6" ht="32.4">
      <c r="A311" s="67"/>
      <c r="B311" s="67"/>
      <c r="C311" s="67"/>
      <c r="D311" s="67"/>
      <c r="E311" s="67"/>
      <c r="F311" s="67"/>
    </row>
    <row r="312" spans="1:6" ht="32.4">
      <c r="A312" s="67"/>
      <c r="B312" s="67"/>
      <c r="C312" s="67"/>
      <c r="D312" s="67"/>
      <c r="E312" s="67"/>
      <c r="F312" s="67"/>
    </row>
    <row r="313" spans="1:6" ht="32.4">
      <c r="A313" s="67"/>
      <c r="B313" s="67"/>
      <c r="C313" s="67"/>
      <c r="D313" s="67"/>
      <c r="E313" s="67"/>
      <c r="F313" s="67"/>
    </row>
    <row r="314" spans="1:6" ht="32.4">
      <c r="A314" s="67"/>
      <c r="B314" s="67"/>
      <c r="C314" s="67"/>
      <c r="D314" s="67"/>
      <c r="E314" s="67"/>
      <c r="F314" s="67"/>
    </row>
    <row r="315" spans="1:6" ht="32.4">
      <c r="A315" s="67"/>
      <c r="B315" s="67"/>
      <c r="C315" s="67"/>
      <c r="D315" s="67"/>
      <c r="E315" s="67"/>
      <c r="F315" s="67"/>
    </row>
    <row r="316" spans="1:6" ht="32.4">
      <c r="A316" s="67"/>
      <c r="B316" s="67"/>
      <c r="C316" s="67"/>
      <c r="D316" s="67"/>
      <c r="E316" s="67"/>
      <c r="F316" s="67"/>
    </row>
    <row r="317" spans="1:6" ht="32.4">
      <c r="A317" s="67"/>
      <c r="B317" s="67"/>
      <c r="C317" s="67"/>
      <c r="D317" s="67"/>
      <c r="E317" s="67"/>
      <c r="F317" s="67"/>
    </row>
    <row r="318" spans="1:6" ht="32.4">
      <c r="A318" s="67"/>
      <c r="B318" s="67"/>
      <c r="C318" s="67"/>
      <c r="D318" s="67"/>
      <c r="E318" s="67"/>
      <c r="F318" s="67"/>
    </row>
    <row r="319" spans="1:6" ht="32.4">
      <c r="A319" s="67"/>
      <c r="B319" s="67"/>
      <c r="C319" s="67"/>
      <c r="D319" s="67"/>
      <c r="E319" s="67"/>
      <c r="F319" s="67"/>
    </row>
    <row r="320" spans="1:6" ht="32.4">
      <c r="A320" s="67"/>
      <c r="B320" s="67"/>
      <c r="C320" s="67"/>
      <c r="D320" s="67"/>
      <c r="E320" s="67"/>
      <c r="F320" s="67"/>
    </row>
    <row r="321" spans="1:6" ht="32.4">
      <c r="A321" s="67"/>
      <c r="B321" s="67"/>
      <c r="C321" s="67"/>
      <c r="D321" s="67"/>
      <c r="E321" s="67"/>
      <c r="F321" s="67"/>
    </row>
    <row r="322" spans="1:6" ht="32.4">
      <c r="A322" s="67"/>
      <c r="B322" s="67"/>
      <c r="C322" s="67"/>
      <c r="D322" s="67"/>
      <c r="E322" s="67"/>
      <c r="F322" s="67"/>
    </row>
    <row r="323" spans="1:6" ht="32.4">
      <c r="A323" s="67"/>
      <c r="B323" s="67"/>
      <c r="C323" s="67"/>
      <c r="D323" s="67"/>
      <c r="E323" s="67"/>
      <c r="F323" s="67"/>
    </row>
    <row r="324" spans="1:6" ht="32.4">
      <c r="A324" s="67"/>
      <c r="B324" s="67"/>
      <c r="C324" s="67"/>
      <c r="D324" s="67"/>
      <c r="E324" s="67"/>
      <c r="F324" s="67"/>
    </row>
    <row r="325" spans="1:6" ht="32.4">
      <c r="A325" s="67"/>
      <c r="B325" s="67"/>
      <c r="C325" s="67"/>
      <c r="D325" s="67"/>
      <c r="E325" s="67"/>
      <c r="F325" s="67"/>
    </row>
    <row r="326" spans="1:6" ht="32.4">
      <c r="A326" s="67"/>
      <c r="B326" s="67"/>
      <c r="C326" s="67"/>
      <c r="D326" s="67"/>
      <c r="E326" s="67"/>
      <c r="F326" s="67"/>
    </row>
    <row r="327" spans="1:6" ht="32.4">
      <c r="A327" s="67"/>
      <c r="B327" s="67"/>
      <c r="C327" s="67"/>
      <c r="D327" s="67"/>
      <c r="E327" s="67"/>
      <c r="F327" s="67"/>
    </row>
    <row r="328" spans="1:6" ht="32.4">
      <c r="A328" s="67"/>
      <c r="B328" s="67"/>
      <c r="C328" s="67"/>
      <c r="D328" s="67"/>
      <c r="E328" s="67"/>
      <c r="F328" s="67"/>
    </row>
    <row r="329" spans="1:6" ht="32.4">
      <c r="A329" s="67"/>
      <c r="B329" s="67"/>
      <c r="C329" s="67"/>
      <c r="D329" s="67"/>
      <c r="E329" s="67"/>
      <c r="F329" s="67"/>
    </row>
    <row r="330" spans="1:6" ht="32.4">
      <c r="A330" s="67"/>
      <c r="B330" s="67"/>
      <c r="C330" s="67"/>
      <c r="D330" s="67"/>
      <c r="E330" s="67"/>
      <c r="F330" s="67"/>
    </row>
    <row r="331" spans="1:6" ht="32.4">
      <c r="A331" s="67"/>
      <c r="B331" s="67"/>
      <c r="C331" s="67"/>
      <c r="D331" s="67"/>
      <c r="E331" s="67"/>
      <c r="F331" s="67"/>
    </row>
    <row r="332" spans="1:6" ht="32.4">
      <c r="A332" s="67"/>
      <c r="B332" s="67"/>
      <c r="C332" s="67"/>
      <c r="D332" s="67"/>
      <c r="E332" s="67"/>
      <c r="F332" s="67"/>
    </row>
    <row r="333" spans="1:6" ht="32.4">
      <c r="A333" s="67"/>
      <c r="B333" s="67"/>
      <c r="C333" s="67"/>
      <c r="D333" s="67"/>
      <c r="E333" s="67"/>
      <c r="F333" s="67"/>
    </row>
    <row r="334" spans="1:6" ht="32.4">
      <c r="A334" s="67"/>
      <c r="B334" s="67"/>
      <c r="C334" s="67"/>
      <c r="D334" s="67"/>
      <c r="E334" s="67"/>
      <c r="F334" s="67"/>
    </row>
    <row r="335" spans="1:6" ht="32.4">
      <c r="A335" s="67"/>
      <c r="B335" s="67"/>
      <c r="C335" s="67"/>
      <c r="D335" s="67"/>
      <c r="E335" s="67"/>
      <c r="F335" s="67"/>
    </row>
    <row r="336" spans="1:6" ht="32.4">
      <c r="A336" s="67"/>
      <c r="B336" s="67"/>
      <c r="C336" s="67"/>
      <c r="D336" s="67"/>
      <c r="E336" s="67"/>
      <c r="F336" s="67"/>
    </row>
    <row r="337" spans="1:6" ht="32.4">
      <c r="A337" s="67"/>
      <c r="B337" s="67"/>
      <c r="C337" s="67"/>
      <c r="D337" s="67"/>
      <c r="E337" s="67"/>
      <c r="F337" s="67"/>
    </row>
    <row r="338" spans="1:6" ht="32.4">
      <c r="A338" s="67"/>
      <c r="B338" s="67"/>
      <c r="C338" s="67"/>
      <c r="D338" s="67"/>
      <c r="E338" s="67"/>
      <c r="F338" s="67"/>
    </row>
    <row r="339" spans="1:6" ht="32.4">
      <c r="A339" s="67"/>
      <c r="B339" s="67"/>
      <c r="C339" s="67"/>
      <c r="D339" s="67"/>
      <c r="E339" s="67"/>
      <c r="F339" s="67"/>
    </row>
    <row r="340" spans="1:6" ht="32.4">
      <c r="A340" s="67"/>
      <c r="B340" s="67"/>
      <c r="C340" s="67"/>
      <c r="D340" s="67"/>
      <c r="E340" s="67"/>
      <c r="F340" s="67"/>
    </row>
    <row r="341" spans="1:6" ht="32.4">
      <c r="A341" s="67"/>
      <c r="B341" s="67"/>
      <c r="C341" s="67"/>
      <c r="D341" s="67"/>
      <c r="E341" s="67"/>
      <c r="F341" s="67"/>
    </row>
    <row r="342" spans="1:6" ht="32.4">
      <c r="A342" s="67"/>
      <c r="B342" s="67"/>
      <c r="C342" s="67"/>
      <c r="D342" s="67"/>
      <c r="E342" s="67"/>
      <c r="F342" s="67"/>
    </row>
    <row r="343" spans="1:6" ht="32.4">
      <c r="A343" s="67"/>
      <c r="B343" s="67"/>
      <c r="C343" s="67"/>
      <c r="D343" s="67"/>
      <c r="E343" s="67"/>
      <c r="F343" s="67"/>
    </row>
    <row r="344" spans="1:6" ht="32.4">
      <c r="A344" s="67"/>
      <c r="B344" s="67"/>
      <c r="C344" s="67"/>
      <c r="D344" s="67"/>
      <c r="E344" s="67"/>
      <c r="F344" s="67"/>
    </row>
    <row r="345" spans="1:6" ht="32.4">
      <c r="A345" s="67"/>
      <c r="B345" s="67"/>
      <c r="C345" s="67"/>
      <c r="D345" s="67"/>
      <c r="E345" s="67"/>
      <c r="F345" s="67"/>
    </row>
    <row r="346" spans="1:6" ht="32.4">
      <c r="A346" s="67"/>
      <c r="B346" s="67"/>
      <c r="C346" s="67"/>
      <c r="D346" s="67"/>
      <c r="E346" s="67"/>
      <c r="F346" s="67"/>
    </row>
    <row r="347" spans="1:6" ht="32.4">
      <c r="A347" s="67"/>
      <c r="B347" s="67"/>
      <c r="C347" s="67"/>
      <c r="D347" s="67"/>
      <c r="E347" s="67"/>
      <c r="F347" s="67"/>
    </row>
    <row r="348" spans="1:6" ht="32.4">
      <c r="A348" s="67"/>
      <c r="B348" s="67"/>
      <c r="C348" s="67"/>
      <c r="D348" s="67"/>
      <c r="E348" s="67"/>
      <c r="F348" s="67"/>
    </row>
    <row r="349" spans="1:6" ht="32.4">
      <c r="A349" s="67"/>
      <c r="B349" s="67"/>
      <c r="C349" s="67"/>
      <c r="D349" s="67"/>
      <c r="E349" s="67"/>
      <c r="F349" s="67"/>
    </row>
    <row r="350" spans="1:6" ht="32.4">
      <c r="A350" s="67"/>
      <c r="B350" s="67"/>
      <c r="C350" s="67"/>
      <c r="D350" s="67"/>
      <c r="E350" s="67"/>
      <c r="F350" s="67"/>
    </row>
    <row r="351" spans="1:6" ht="32.4">
      <c r="A351" s="67"/>
      <c r="B351" s="67"/>
      <c r="C351" s="67"/>
      <c r="D351" s="67"/>
      <c r="E351" s="67"/>
      <c r="F351" s="67"/>
    </row>
    <row r="352" spans="1:6" ht="32.4">
      <c r="A352" s="67"/>
      <c r="B352" s="67"/>
      <c r="C352" s="67"/>
      <c r="D352" s="67"/>
      <c r="E352" s="67"/>
      <c r="F352" s="67"/>
    </row>
    <row r="353" spans="1:6" ht="32.4">
      <c r="A353" s="67"/>
      <c r="B353" s="67"/>
      <c r="C353" s="67"/>
      <c r="D353" s="67"/>
      <c r="E353" s="67"/>
      <c r="F353" s="67"/>
    </row>
    <row r="354" spans="1:6" ht="32.4">
      <c r="A354" s="67"/>
      <c r="B354" s="67"/>
      <c r="C354" s="67"/>
      <c r="D354" s="67"/>
      <c r="E354" s="67"/>
      <c r="F354" s="67"/>
    </row>
    <row r="355" spans="1:6" ht="32.4">
      <c r="A355" s="67"/>
      <c r="B355" s="67"/>
      <c r="C355" s="67"/>
      <c r="D355" s="67"/>
      <c r="E355" s="67"/>
      <c r="F355" s="67"/>
    </row>
    <row r="356" spans="1:6" ht="32.4">
      <c r="A356" s="67"/>
      <c r="B356" s="67"/>
      <c r="C356" s="67"/>
      <c r="D356" s="67"/>
      <c r="E356" s="67"/>
      <c r="F356" s="67"/>
    </row>
    <row r="357" spans="1:6" ht="32.4">
      <c r="A357" s="67"/>
      <c r="B357" s="67"/>
      <c r="C357" s="67"/>
      <c r="D357" s="67"/>
      <c r="E357" s="67"/>
      <c r="F357" s="67"/>
    </row>
    <row r="358" spans="1:6" ht="32.4">
      <c r="A358" s="67"/>
      <c r="B358" s="67"/>
      <c r="C358" s="67"/>
      <c r="D358" s="67"/>
      <c r="E358" s="67"/>
      <c r="F358" s="67"/>
    </row>
    <row r="359" spans="1:6" ht="32.4">
      <c r="A359" s="67"/>
      <c r="B359" s="67"/>
      <c r="C359" s="67"/>
      <c r="D359" s="67"/>
      <c r="E359" s="67"/>
      <c r="F359" s="67"/>
    </row>
    <row r="360" spans="1:6" ht="32.4">
      <c r="A360" s="67"/>
      <c r="B360" s="67"/>
      <c r="C360" s="67"/>
      <c r="D360" s="67"/>
      <c r="E360" s="67"/>
      <c r="F360" s="67"/>
    </row>
    <row r="361" spans="1:6" ht="32.4">
      <c r="A361" s="67"/>
      <c r="B361" s="67"/>
      <c r="C361" s="67"/>
      <c r="D361" s="67"/>
      <c r="E361" s="67"/>
      <c r="F361" s="67"/>
    </row>
    <row r="362" spans="1:6" ht="32.4">
      <c r="A362" s="67"/>
      <c r="B362" s="67"/>
      <c r="C362" s="67"/>
      <c r="D362" s="67"/>
      <c r="E362" s="67"/>
      <c r="F362" s="67"/>
    </row>
    <row r="363" spans="1:6" ht="32.4">
      <c r="A363" s="67"/>
      <c r="B363" s="67"/>
      <c r="C363" s="67"/>
      <c r="D363" s="67"/>
      <c r="E363" s="67"/>
      <c r="F363" s="67"/>
    </row>
  </sheetData>
  <mergeCells count="33">
    <mergeCell ref="C4:D4"/>
    <mergeCell ref="J3:K7"/>
    <mergeCell ref="J2:K2"/>
    <mergeCell ref="G7:I7"/>
    <mergeCell ref="G6:I6"/>
    <mergeCell ref="G5:I5"/>
    <mergeCell ref="G4:I4"/>
    <mergeCell ref="G3:I3"/>
    <mergeCell ref="G2:I2"/>
    <mergeCell ref="K8:K10"/>
    <mergeCell ref="J8:J10"/>
    <mergeCell ref="I8:I10"/>
    <mergeCell ref="H8:H10"/>
    <mergeCell ref="A1:K1"/>
    <mergeCell ref="C2:D2"/>
    <mergeCell ref="A3:B3"/>
    <mergeCell ref="A4:B4"/>
    <mergeCell ref="C5:D5"/>
    <mergeCell ref="A2:B2"/>
    <mergeCell ref="A5:B5"/>
    <mergeCell ref="C3:D3"/>
    <mergeCell ref="E4:F4"/>
    <mergeCell ref="E3:F3"/>
    <mergeCell ref="E2:F2"/>
    <mergeCell ref="A6:D7"/>
    <mergeCell ref="C8:C10"/>
    <mergeCell ref="B8:B10"/>
    <mergeCell ref="A8:A10"/>
    <mergeCell ref="E5:F7"/>
    <mergeCell ref="G8:G10"/>
    <mergeCell ref="F8:F10"/>
    <mergeCell ref="D8:D10"/>
    <mergeCell ref="E8:E10"/>
  </mergeCells>
  <pageMargins left="0.91653543307088" right="0.91653543307088" top="0.75" bottom="0.75" header="0.3" footer="0.3"/>
  <pageSetup fitToHeight="0" orientation="landscape" paperSize="9" scale="1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7A34-1B0E-445B-A2DE-0BBA514283C2}">
  <sheetPr codeName="Sheet7">
    <pageSetUpPr fitToPage="1"/>
  </sheetPr>
  <dimension ref="A1:K361"/>
  <sheetViews>
    <sheetView view="pageBreakPreview" zoomScale="40" zoomScaleNormal="40" zoomScaleSheetLayoutView="40" workbookViewId="0" topLeftCell="A1">
      <selection pane="topLeft" activeCell="F24" sqref="F24"/>
    </sheetView>
  </sheetViews>
  <sheetFormatPr defaultColWidth="9.109375" defaultRowHeight="13.5"/>
  <cols>
    <col min="1" max="1" width="12.4285714285714" style="68" customWidth="1"/>
    <col min="2" max="2" width="38.2857142857143" style="68" customWidth="1"/>
    <col min="3" max="3" width="24.7142857142857" style="68" customWidth="1"/>
    <col min="4" max="4" width="32.2857142857143" style="68" customWidth="1"/>
    <col min="5" max="5" width="53.2857142857143" customWidth="1"/>
    <col min="6" max="6" width="25.8571428571429" customWidth="1"/>
    <col min="7" max="7" width="24.1428571428571" customWidth="1"/>
    <col min="8" max="8" width="41.2857142857143" customWidth="1"/>
    <col min="9" max="9" width="20.7142857142857" customWidth="1"/>
    <col min="10" max="10" width="94" customWidth="1"/>
    <col min="11" max="11" width="15.7142857142857" customWidth="1"/>
  </cols>
  <sheetData>
    <row r="1" spans="1:11" ht="276.6" customHeight="1">
      <c r="A1" s="158" t="s">
        <v>439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</row>
    <row r="2" spans="1:11" ht="50.1" customHeight="1">
      <c r="A2" s="128" t="s">
        <v>7</v>
      </c>
      <c r="B2" s="128"/>
      <c r="C2" s="153"/>
      <c r="D2" s="154"/>
      <c r="E2" s="20" t="s">
        <v>118</v>
      </c>
      <c r="F2" s="3" t="str">
        <f>TRIM('Job Sheet'!K3)</f>
        <v>McKinnis, Stephen</v>
      </c>
      <c r="G2" s="3"/>
      <c r="H2" s="3"/>
      <c r="I2" s="3"/>
      <c r="J2" s="125" t="s">
        <v>4</v>
      </c>
      <c r="K2" s="125"/>
    </row>
    <row r="3" spans="1:11" ht="50.1" customHeight="1">
      <c r="A3" s="126" t="s">
        <v>143</v>
      </c>
      <c r="B3" s="126"/>
      <c r="C3" s="151" t="str">
        <f>TRIM(Data!BC5)</f>
        <v>12125</v>
      </c>
      <c r="D3" s="152"/>
      <c r="E3" s="17" t="s">
        <v>8</v>
      </c>
      <c r="F3" s="150" t="str">
        <f>'Job Sheet'!K4</f>
        <v>Roller Shutters, Sheers &amp; Screen.</v>
      </c>
      <c r="G3" s="150"/>
      <c r="H3" s="150"/>
      <c r="I3" s="150"/>
      <c r="J3" s="172" t="str">
        <f>'Job Sheet'!S4</f>
        <v/>
      </c>
      <c r="K3" s="173"/>
    </row>
    <row r="4" spans="1:11" ht="50.1" customHeight="1">
      <c r="A4" s="128" t="s">
        <v>15</v>
      </c>
      <c r="B4" s="128"/>
      <c r="C4" s="151" t="str">
        <f>TRIM(Data!BD5)</f>
        <v>A</v>
      </c>
      <c r="D4" s="152"/>
      <c r="E4" s="17" t="s">
        <v>137</v>
      </c>
      <c r="F4" s="150" t="str">
        <f>'Job Sheet'!K5</f>
        <v>24/09/2026</v>
      </c>
      <c r="G4" s="150"/>
      <c r="H4" s="150"/>
      <c r="I4" s="150"/>
      <c r="J4" s="174"/>
      <c r="K4" s="175"/>
    </row>
    <row r="5" spans="1:11" ht="50.1" customHeight="1">
      <c r="A5" s="148" t="s">
        <v>9</v>
      </c>
      <c r="B5" s="148"/>
      <c r="C5" s="165" t="str">
        <f>TRIM(Data!AY5)</f>
        <v>18/08/2026 12:00:00 AM</v>
      </c>
      <c r="D5" s="166"/>
      <c r="E5" s="155" t="s">
        <v>12</v>
      </c>
      <c r="F5" s="3" t="str">
        <f>'Job Sheet'!K6</f>
        <v>McKinnis, Stephen</v>
      </c>
      <c r="G5" s="3"/>
      <c r="H5" s="3"/>
      <c r="I5" s="3"/>
      <c r="J5" s="174"/>
      <c r="K5" s="175"/>
    </row>
    <row r="6" spans="1:11" ht="50.1" customHeight="1">
      <c r="A6" s="159" t="str">
        <f>TRIM(Data!CZ5)</f>
        <v>Retail Customer</v>
      </c>
      <c r="B6" s="160"/>
      <c r="C6" s="160"/>
      <c r="D6" s="161"/>
      <c r="E6" s="156"/>
      <c r="F6" s="3" t="str">
        <f>'Job Sheet'!K7</f>
        <v xml:space="preserve"> 6  Sorrento Drive </v>
      </c>
      <c r="G6" s="3"/>
      <c r="H6" s="3"/>
      <c r="I6" s="3"/>
      <c r="J6" s="174"/>
      <c r="K6" s="175"/>
    </row>
    <row r="7" spans="1:11" ht="50.1" customHeight="1">
      <c r="A7" s="162"/>
      <c r="B7" s="163"/>
      <c r="C7" s="163"/>
      <c r="D7" s="164"/>
      <c r="E7" s="157"/>
      <c r="F7" s="3" t="str">
        <f>'Job Sheet'!K8</f>
        <v>Alfredton VIC 3350 Australia</v>
      </c>
      <c r="G7" s="3"/>
      <c r="H7" s="3"/>
      <c r="I7" s="3"/>
      <c r="J7" s="176"/>
      <c r="K7" s="177"/>
    </row>
    <row r="8" spans="1:11" s="32" customFormat="1" ht="39.75" customHeight="1">
      <c r="A8" s="167" t="s">
        <v>142</v>
      </c>
      <c r="B8" s="168" t="s">
        <v>120</v>
      </c>
      <c r="C8" s="171" t="s">
        <v>225</v>
      </c>
      <c r="D8" s="170" t="s">
        <v>248</v>
      </c>
      <c r="E8" s="170" t="s">
        <v>429</v>
      </c>
      <c r="F8" s="170" t="s">
        <v>442</v>
      </c>
      <c r="G8" s="170" t="s">
        <v>443</v>
      </c>
      <c r="H8" s="169" t="s">
        <v>430</v>
      </c>
      <c r="I8" s="169" t="s">
        <v>447</v>
      </c>
      <c r="J8" s="125" t="s">
        <v>5</v>
      </c>
      <c r="K8" s="125" t="s">
        <v>297</v>
      </c>
    </row>
    <row r="9" spans="1:11" ht="21" customHeight="1">
      <c r="A9" s="167"/>
      <c r="B9" s="168"/>
      <c r="C9" s="171"/>
      <c r="D9" s="170"/>
      <c r="E9" s="170"/>
      <c r="F9" s="170"/>
      <c r="G9" s="170"/>
      <c r="H9" s="169"/>
      <c r="I9" s="169"/>
      <c r="J9" s="125"/>
      <c r="K9" s="125"/>
    </row>
    <row r="10" spans="1:11" ht="51.6" customHeight="1">
      <c r="A10" s="167"/>
      <c r="B10" s="168"/>
      <c r="C10" s="171"/>
      <c r="D10" s="170"/>
      <c r="E10" s="170"/>
      <c r="F10" s="170"/>
      <c r="G10" s="170"/>
      <c r="H10" s="169"/>
      <c r="I10" s="169"/>
      <c r="J10" s="125"/>
      <c r="K10" s="125"/>
    </row>
    <row r="11" spans="1:11" ht="64.8" customHeight="1">
      <c r="A11" s="15">
        <f>IF(Data!AW11="","",IF(Data!BN11="Invisi-Scape","",Data!AW11))</f>
        <v>7</v>
      </c>
      <c r="B11" s="61" t="str">
        <f>IF(Data!AV11="","",IF(Data!BN11="Invisi-Scape","",'Job Sheet'!C11))</f>
        <v>Side Light</v>
      </c>
      <c r="C11" s="112" t="str">
        <f>IF(OR(Data!AW11="",Data!BN11="Invisi-Scape",'Job Sheet'!AC11=""),"",IF(OR('Job Sheet'!P11="Yes - Centre Horizontal",'Job Sheet'!P11="Yes - Centre Vertical"),CONCATENATE('Job Sheet'!AC11," x 4 ",'Job Sheet'!AE11," x 4"),IF('Job Sheet'!P11="Yes - Horizontal",CONCATENATE('Job Sheet'!AC11," x 4 ",'Job Sheet'!AE11," x 2 ",'Job Sheet'!AF11," x 2"),IF('Job Sheet'!P11="Yes - Vertical",CONCATENATE('Job Sheet'!AC11," x 2 ",'Job Sheet'!AE11," x 4"),IF('Job Sheet'!P11="",CONCATENATE('Job Sheet'!AC11," x 2 ",'Job Sheet'!AE11," x 2"),IF('Job Sheet'!P11="Yes - Horizontal &amp; Vertical",CONCATENATE('Job Sheet'!AC11," x 4 ",'Job Sheet'!AD11," x 4 ",'Job Sheet'!AE11," x 4 ",'Job Sheet'!AF11," x 4"),IF('Job Sheet'!P11="Yes - Centre Horizontal &amp; Vertical",CONCATENATE('Job Sheet'!AC11," x 8 ",'Job Sheet'!AE11," x 8"),"")))))))</f>
        <v/>
      </c>
      <c r="D11" s="62" t="str">
        <f>IF(OR(Data!AW11="",Data!BN11="Invisi-Scape",'Job Sheet'!P11=""),"",IF(Data!BN11="Invisi-Screen","Invisi-Gard",IF('Mitred Cutting'!C11="Flyscreen",CONCATENATE('Mitred Cutting'!E11," Flyscreen Frame"),"Standard")))</f>
        <v/>
      </c>
      <c r="E11" s="117" t="str">
        <f>IF('Job Sheet'!S11="Same as Door",Data!BP11,'Job Sheet'!S11)</f>
        <v/>
      </c>
      <c r="F11" s="117" t="str">
        <f>'Job Sheet'!AG11</f>
        <v/>
      </c>
      <c r="G11" s="117" t="str">
        <f>IF('Job Sheet'!P11="Yes - Centre Horizontal &amp; Vertical",CONCATENATE("2 x ",'Job Sheet'!AI11),IF('Job Sheet'!P11="Yes - Horizontal &amp; Vertical",CONCATENATE("1 x ",'Job Sheet'!AI11," 1 x ",'Job Sheet'!AJ11),'Job Sheet'!AH11))</f>
        <v/>
      </c>
      <c r="H11" s="124" t="str">
        <f>IF(OR(Data!AW11="",Data!BN11="Invisi-Scape",I11=""),"",IF(Data!BP11="Powdercoat",'Job Sheet'!I11,Data!BP11))</f>
        <v/>
      </c>
      <c r="I11" s="124" t="str">
        <f>IF('Job Sheet'!O11="Yes",'Job Sheet'!W11,"")</f>
        <v/>
      </c>
      <c r="J11" s="62" t="str">
        <f>IF(Data!BN11="Invisi-Scape","",'Job Sheet'!Y11)</f>
        <v>Mesh is on bottom shelf of Assembly A</v>
      </c>
      <c r="K11" s="85">
        <f t="shared" si="0" ref="K11:K20">A11</f>
        <v>7</v>
      </c>
    </row>
    <row r="12" spans="1:11" ht="60" customHeight="1">
      <c r="A12" s="15" t="str">
        <f>IF(Data!AW12="","",IF(Data!BN12="Invisi-Scape","",Data!AW12))</f>
        <v/>
      </c>
      <c r="B12" s="61" t="str">
        <f>IF(Data!AV12="","",IF(Data!BN12="Invisi-Scape","",'Job Sheet'!C12))</f>
        <v/>
      </c>
      <c r="C12" s="112" t="str">
        <f>IF(OR(Data!AW12="",Data!BN12="Invisi-Scape",'Job Sheet'!AC12=""),"",IF(OR('Job Sheet'!P12="Yes - Centre Horizontal",'Job Sheet'!P12="Yes - Centre Vertical"),CONCATENATE('Job Sheet'!AC12," x 4 ",'Job Sheet'!AE12," x 4"),IF('Job Sheet'!P12="Yes - Horizontal",CONCATENATE('Job Sheet'!AC12," x 4 ",'Job Sheet'!AE12," x 2 ",'Job Sheet'!AF12," x 2"),IF('Job Sheet'!P12="Yes - Vertical",CONCATENATE('Job Sheet'!AC12," x 2 ",'Job Sheet'!AE12," x 4"),IF('Job Sheet'!P12="",CONCATENATE('Job Sheet'!AC12," x 2 ",'Job Sheet'!AE12," x 2"),IF('Job Sheet'!P12="Yes - Horizontal &amp; Vertical",CONCATENATE('Job Sheet'!AC12," x 4 ",'Job Sheet'!AD12," x 4 ",'Job Sheet'!AE12," x 4 ",'Job Sheet'!AF12," x 4"),IF('Job Sheet'!P12="Yes - Centre Horizontal &amp; Vertical",CONCATENATE('Job Sheet'!AC12," x 8 ",'Job Sheet'!AE12," x 8"),"")))))))</f>
        <v/>
      </c>
      <c r="D12" s="62" t="str">
        <f>IF(OR(Data!AW12="",Data!BN12="Invisi-Scape",'Job Sheet'!P12=""),"",IF(Data!BN12="Invisi-Screen","Invisi-Gard",IF('Mitred Cutting'!C12="Flyscreen",CONCATENATE('Mitred Cutting'!E12," Flyscreen Frame"),"Standard")))</f>
        <v/>
      </c>
      <c r="E12" s="117" t="str">
        <f>IF('Job Sheet'!S12="Same as Door",Data!BP12,'Job Sheet'!S12)</f>
        <v/>
      </c>
      <c r="F12" s="117" t="str">
        <f>'Job Sheet'!AG12</f>
        <v/>
      </c>
      <c r="G12" s="117" t="str">
        <f>IF('Job Sheet'!P12="Yes - Centre Horizontal &amp; Vertical",CONCATENATE("2 x ",'Job Sheet'!AI12),IF('Job Sheet'!P12="Yes - Horizontal &amp; Vertical",CONCATENATE("1 x ",'Job Sheet'!AI12," 1 x ",'Job Sheet'!AJ12),'Job Sheet'!AH12))</f>
        <v/>
      </c>
      <c r="H12" s="124" t="str">
        <f>IF(OR(Data!AW12="",Data!BN12="Invisi-Scape",I12=""),"",IF(Data!BP12="Powdercoat",'Job Sheet'!I12,Data!BP12))</f>
        <v/>
      </c>
      <c r="I12" s="124" t="str">
        <f>IF('Job Sheet'!O12="Yes",'Job Sheet'!W12,"")</f>
        <v/>
      </c>
      <c r="J12" s="62" t="str">
        <f>IF(Data!BN12="Invisi-Scape","",'Job Sheet'!Y12)</f>
        <v/>
      </c>
      <c r="K12" s="85" t="str">
        <f t="shared" si="0"/>
        <v/>
      </c>
    </row>
    <row r="13" spans="1:11" ht="60" customHeight="1">
      <c r="A13" s="15" t="str">
        <f>IF(Data!AW13="","",IF(Data!BN13="Invisi-Scape","",Data!AW13))</f>
        <v/>
      </c>
      <c r="B13" s="61" t="str">
        <f>IF(Data!AV13="","",IF(Data!BN13="Invisi-Scape","",'Job Sheet'!C13))</f>
        <v/>
      </c>
      <c r="C13" s="112" t="str">
        <f>IF(OR(Data!AW13="",Data!BN13="Invisi-Scape",'Job Sheet'!AC13=""),"",IF(OR('Job Sheet'!P13="Yes - Centre Horizontal",'Job Sheet'!P13="Yes - Centre Vertical"),CONCATENATE('Job Sheet'!AC13," x 4 ",'Job Sheet'!AE13," x 4"),IF('Job Sheet'!P13="Yes - Horizontal",CONCATENATE('Job Sheet'!AC13," x 4 ",'Job Sheet'!AE13," x 2 ",'Job Sheet'!AF13," x 2"),IF('Job Sheet'!P13="Yes - Vertical",CONCATENATE('Job Sheet'!AC13," x 2 ",'Job Sheet'!AE13," x 4"),IF('Job Sheet'!P13="",CONCATENATE('Job Sheet'!AC13," x 2 ",'Job Sheet'!AE13," x 2"),IF('Job Sheet'!P13="Yes - Horizontal &amp; Vertical",CONCATENATE('Job Sheet'!AC13," x 4 ",'Job Sheet'!AD13," x 4 ",'Job Sheet'!AE13," x 4 ",'Job Sheet'!AF13," x 4"),IF('Job Sheet'!P13="Yes - Centre Horizontal &amp; Vertical",CONCATENATE('Job Sheet'!AC13," x 8 ",'Job Sheet'!AE13," x 8"),"")))))))</f>
        <v/>
      </c>
      <c r="D13" s="62" t="str">
        <f>IF(OR(Data!AW13="",Data!BN13="Invisi-Scape",'Job Sheet'!P13=""),"",IF(Data!BN13="Invisi-Screen","Invisi-Gard",IF('Mitred Cutting'!C13="Flyscreen",CONCATENATE('Mitred Cutting'!E13," Flyscreen Frame"),"Standard")))</f>
        <v/>
      </c>
      <c r="E13" s="117" t="str">
        <f>IF('Job Sheet'!S13="Same as Door",Data!BP13,'Job Sheet'!S13)</f>
        <v/>
      </c>
      <c r="F13" s="117" t="str">
        <f>'Job Sheet'!AG13</f>
        <v/>
      </c>
      <c r="G13" s="117" t="str">
        <f>IF('Job Sheet'!P13="Yes - Centre Horizontal &amp; Vertical",CONCATENATE("2 x ",'Job Sheet'!AI13),IF('Job Sheet'!P13="Yes - Horizontal &amp; Vertical",CONCATENATE("1 x ",'Job Sheet'!AI13," 1 x ",'Job Sheet'!AJ13),'Job Sheet'!AH13))</f>
        <v/>
      </c>
      <c r="H13" s="124" t="str">
        <f>IF(OR(Data!AW13="",Data!BN13="Invisi-Scape",I13=""),"",IF(Data!BP13="Powdercoat",'Job Sheet'!I13,Data!BP13))</f>
        <v/>
      </c>
      <c r="I13" s="124" t="str">
        <f>IF('Job Sheet'!O13="Yes",'Job Sheet'!W13,"")</f>
        <v/>
      </c>
      <c r="J13" s="62" t="str">
        <f>IF(Data!BN13="Invisi-Scape","",'Job Sheet'!Y13)</f>
        <v/>
      </c>
      <c r="K13" s="85" t="str">
        <f t="shared" si="0"/>
        <v/>
      </c>
    </row>
    <row r="14" spans="1:11" ht="60" customHeight="1">
      <c r="A14" s="15" t="str">
        <f>IF(Data!AW14="","",IF(Data!BN14="Invisi-Scape","",Data!AW14))</f>
        <v/>
      </c>
      <c r="B14" s="61" t="str">
        <f>IF(Data!AV14="","",IF(Data!BN14="Invisi-Scape","",'Job Sheet'!C14))</f>
        <v/>
      </c>
      <c r="C14" s="112" t="str">
        <f>IF(OR(Data!AW14="",Data!BN14="Invisi-Scape",'Job Sheet'!AC14=""),"",IF(OR('Job Sheet'!P14="Yes - Centre Horizontal",'Job Sheet'!P14="Yes - Centre Vertical"),CONCATENATE('Job Sheet'!AC14," x 4 ",'Job Sheet'!AE14," x 4"),IF('Job Sheet'!P14="Yes - Horizontal",CONCATENATE('Job Sheet'!AC14," x 4 ",'Job Sheet'!AE14," x 2 ",'Job Sheet'!AF14," x 2"),IF('Job Sheet'!P14="Yes - Vertical",CONCATENATE('Job Sheet'!AC14," x 2 ",'Job Sheet'!AE14," x 4"),IF('Job Sheet'!P14="",CONCATENATE('Job Sheet'!AC14," x 2 ",'Job Sheet'!AE14," x 2"),IF('Job Sheet'!P14="Yes - Horizontal &amp; Vertical",CONCATENATE('Job Sheet'!AC14," x 4 ",'Job Sheet'!AD14," x 4 ",'Job Sheet'!AE14," x 4 ",'Job Sheet'!AF14," x 4"),IF('Job Sheet'!P14="Yes - Centre Horizontal &amp; Vertical",CONCATENATE('Job Sheet'!AC14," x 8 ",'Job Sheet'!AE14," x 8"),"")))))))</f>
        <v/>
      </c>
      <c r="D14" s="62" t="str">
        <f>IF(OR(Data!AW14="",Data!BN14="Invisi-Scape",'Job Sheet'!P14=""),"",IF(Data!BN14="Invisi-Screen","Invisi-Gard",IF('Mitred Cutting'!C14="Flyscreen",CONCATENATE('Mitred Cutting'!E14," Flyscreen Frame"),"Standard")))</f>
        <v/>
      </c>
      <c r="E14" s="117" t="str">
        <f>IF('Job Sheet'!S14="Same as Door",Data!BP14,'Job Sheet'!S14)</f>
        <v/>
      </c>
      <c r="F14" s="117" t="str">
        <f>'Job Sheet'!AG14</f>
        <v/>
      </c>
      <c r="G14" s="117" t="str">
        <f>IF('Job Sheet'!P14="Yes - Centre Horizontal &amp; Vertical",CONCATENATE("2 x ",'Job Sheet'!AI14),IF('Job Sheet'!P14="Yes - Horizontal &amp; Vertical",CONCATENATE("1 x ",'Job Sheet'!AI14," 1 x ",'Job Sheet'!AJ14),'Job Sheet'!AH14))</f>
        <v/>
      </c>
      <c r="H14" s="124" t="str">
        <f>IF(OR(Data!AW14="",Data!BN14="Invisi-Scape",I14=""),"",IF(Data!BP14="Powdercoat",'Job Sheet'!I14,Data!BP14))</f>
        <v/>
      </c>
      <c r="I14" s="124" t="str">
        <f>IF('Job Sheet'!O14="Yes",'Job Sheet'!W14,"")</f>
        <v/>
      </c>
      <c r="J14" s="62" t="str">
        <f>IF(Data!BN14="Invisi-Scape","",'Job Sheet'!Y14)</f>
        <v/>
      </c>
      <c r="K14" s="85" t="str">
        <f t="shared" si="0"/>
        <v/>
      </c>
    </row>
    <row r="15" spans="1:11" ht="60" customHeight="1">
      <c r="A15" s="15" t="str">
        <f>IF(Data!AW15="","",IF(Data!BN15="Invisi-Scape","",Data!AW15))</f>
        <v/>
      </c>
      <c r="B15" s="61" t="str">
        <f>IF(Data!AV15="","",IF(Data!BN15="Invisi-Scape","",'Job Sheet'!C15))</f>
        <v/>
      </c>
      <c r="C15" s="112" t="str">
        <f>IF(OR(Data!AW15="",Data!BN15="Invisi-Scape",'Job Sheet'!AC15=""),"",IF(OR('Job Sheet'!P15="Yes - Centre Horizontal",'Job Sheet'!P15="Yes - Centre Vertical"),CONCATENATE('Job Sheet'!AC15," x 4 ",'Job Sheet'!AE15," x 4"),IF('Job Sheet'!P15="Yes - Horizontal",CONCATENATE('Job Sheet'!AC15," x 4 ",'Job Sheet'!AE15," x 2 ",'Job Sheet'!AF15," x 2"),IF('Job Sheet'!P15="Yes - Vertical",CONCATENATE('Job Sheet'!AC15," x 2 ",'Job Sheet'!AE15," x 4"),IF('Job Sheet'!P15="",CONCATENATE('Job Sheet'!AC15," x 2 ",'Job Sheet'!AE15," x 2"),IF('Job Sheet'!P15="Yes - Horizontal &amp; Vertical",CONCATENATE('Job Sheet'!AC15," x 4 ",'Job Sheet'!AD15," x 4 ",'Job Sheet'!AE15," x 4 ",'Job Sheet'!AF15," x 4"),IF('Job Sheet'!P15="Yes - Centre Horizontal &amp; Vertical",CONCATENATE('Job Sheet'!AC15," x 8 ",'Job Sheet'!AE15," x 8"),"")))))))</f>
        <v/>
      </c>
      <c r="D15" s="62" t="str">
        <f>IF(OR(Data!AW15="",Data!BN15="Invisi-Scape",'Job Sheet'!P15=""),"",IF(Data!BN15="Invisi-Screen","Invisi-Gard",IF('Mitred Cutting'!C15="Flyscreen",CONCATENATE('Mitred Cutting'!E15," Flyscreen Frame"),"Standard")))</f>
        <v/>
      </c>
      <c r="E15" s="117" t="str">
        <f>IF('Job Sheet'!S15="Same as Door",Data!BP15,'Job Sheet'!S15)</f>
        <v/>
      </c>
      <c r="F15" s="117" t="str">
        <f>'Job Sheet'!AG15</f>
        <v/>
      </c>
      <c r="G15" s="117" t="str">
        <f>IF('Job Sheet'!P15="Yes - Centre Horizontal &amp; Vertical",CONCATENATE("2 x ",'Job Sheet'!AI15),IF('Job Sheet'!P15="Yes - Horizontal &amp; Vertical",CONCATENATE("1 x ",'Job Sheet'!AI15," 1 x ",'Job Sheet'!AJ15),'Job Sheet'!AH15))</f>
        <v/>
      </c>
      <c r="H15" s="124" t="str">
        <f>IF(OR(Data!AW15="",Data!BN15="Invisi-Scape",I15=""),"",IF(Data!BP15="Powdercoat",'Job Sheet'!I15,Data!BP15))</f>
        <v/>
      </c>
      <c r="I15" s="124" t="str">
        <f>IF('Job Sheet'!O15="Yes",'Job Sheet'!W15,"")</f>
        <v/>
      </c>
      <c r="J15" s="62" t="str">
        <f>IF(Data!BN15="Invisi-Scape","",'Job Sheet'!Y15)</f>
        <v/>
      </c>
      <c r="K15" s="85" t="str">
        <f t="shared" si="0"/>
        <v/>
      </c>
    </row>
    <row r="16" spans="1:11" ht="60" customHeight="1">
      <c r="A16" s="15" t="str">
        <f>IF(Data!AW16="","",IF(Data!BN16="Invisi-Scape","",Data!AW16))</f>
        <v/>
      </c>
      <c r="B16" s="61" t="str">
        <f>IF(Data!AV16="","",IF(Data!BN16="Invisi-Scape","",'Job Sheet'!C16))</f>
        <v/>
      </c>
      <c r="C16" s="112" t="str">
        <f>IF(OR(Data!AW16="",Data!BN16="Invisi-Scape",'Job Sheet'!AC16=""),"",IF(OR('Job Sheet'!P16="Yes - Centre Horizontal",'Job Sheet'!P16="Yes - Centre Vertical"),CONCATENATE('Job Sheet'!AC16," x 4 ",'Job Sheet'!AE16," x 4"),IF('Job Sheet'!P16="Yes - Horizontal",CONCATENATE('Job Sheet'!AC16," x 4 ",'Job Sheet'!AE16," x 2 ",'Job Sheet'!AF16," x 2"),IF('Job Sheet'!P16="Yes - Vertical",CONCATENATE('Job Sheet'!AC16," x 2 ",'Job Sheet'!AE16," x 4"),IF('Job Sheet'!P16="",CONCATENATE('Job Sheet'!AC16," x 2 ",'Job Sheet'!AE16," x 2"),IF('Job Sheet'!P16="Yes - Horizontal &amp; Vertical",CONCATENATE('Job Sheet'!AC16," x 4 ",'Job Sheet'!AD16," x 4 ",'Job Sheet'!AE16," x 4 ",'Job Sheet'!AF16," x 4"),IF('Job Sheet'!P16="Yes - Centre Horizontal &amp; Vertical",CONCATENATE('Job Sheet'!AC16," x 8 ",'Job Sheet'!AE16," x 8"),"")))))))</f>
        <v/>
      </c>
      <c r="D16" s="62" t="str">
        <f>IF(OR(Data!AW16="",Data!BN16="Invisi-Scape",'Job Sheet'!P16=""),"",IF(Data!BN16="Invisi-Screen","Invisi-Gard",IF('Mitred Cutting'!C16="Flyscreen",CONCATENATE('Mitred Cutting'!E16," Flyscreen Frame"),"Standard")))</f>
        <v/>
      </c>
      <c r="E16" s="117" t="str">
        <f>IF('Job Sheet'!S16="Same as Door",Data!BP16,'Job Sheet'!S16)</f>
        <v/>
      </c>
      <c r="F16" s="117" t="str">
        <f>'Job Sheet'!AG16</f>
        <v/>
      </c>
      <c r="G16" s="117" t="str">
        <f>IF('Job Sheet'!P16="Yes - Centre Horizontal &amp; Vertical",CONCATENATE("2 x ",'Job Sheet'!AI16),IF('Job Sheet'!P16="Yes - Horizontal &amp; Vertical",CONCATENATE("1 x ",'Job Sheet'!AI16," 1 x ",'Job Sheet'!AJ16),'Job Sheet'!AH16))</f>
        <v/>
      </c>
      <c r="H16" s="124" t="str">
        <f>IF(OR(Data!AW16="",Data!BN16="Invisi-Scape",I16=""),"",IF(Data!BP16="Powdercoat",'Job Sheet'!I16,Data!BP16))</f>
        <v/>
      </c>
      <c r="I16" s="124" t="str">
        <f>IF('Job Sheet'!O16="Yes",'Job Sheet'!W16,"")</f>
        <v/>
      </c>
      <c r="J16" s="62" t="str">
        <f>IF(Data!BN16="Invisi-Scape","",'Job Sheet'!Y16)</f>
        <v/>
      </c>
      <c r="K16" s="85" t="str">
        <f t="shared" si="0"/>
        <v/>
      </c>
    </row>
    <row r="17" spans="1:11" ht="60" customHeight="1">
      <c r="A17" s="15" t="str">
        <f>IF(Data!AW17="","",IF(Data!BN17="Invisi-Scape","",Data!AW17))</f>
        <v/>
      </c>
      <c r="B17" s="61" t="str">
        <f>IF(Data!AV17="","",IF(Data!BN17="Invisi-Scape","",'Job Sheet'!C17))</f>
        <v/>
      </c>
      <c r="C17" s="112" t="str">
        <f>IF(OR(Data!AW17="",Data!BN17="Invisi-Scape",'Job Sheet'!AC17=""),"",IF(OR('Job Sheet'!P17="Yes - Centre Horizontal",'Job Sheet'!P17="Yes - Centre Vertical"),CONCATENATE('Job Sheet'!AC17," x 4 ",'Job Sheet'!AE17," x 4"),IF('Job Sheet'!P17="Yes - Horizontal",CONCATENATE('Job Sheet'!AC17," x 4 ",'Job Sheet'!AE17," x 2 ",'Job Sheet'!AF17," x 2"),IF('Job Sheet'!P17="Yes - Vertical",CONCATENATE('Job Sheet'!AC17," x 2 ",'Job Sheet'!AE17," x 4"),IF('Job Sheet'!P17="",CONCATENATE('Job Sheet'!AC17," x 2 ",'Job Sheet'!AE17," x 2"),IF('Job Sheet'!P17="Yes - Horizontal &amp; Vertical",CONCATENATE('Job Sheet'!AC17," x 4 ",'Job Sheet'!AD17," x 4 ",'Job Sheet'!AE17," x 4 ",'Job Sheet'!AF17," x 4"),IF('Job Sheet'!P17="Yes - Centre Horizontal &amp; Vertical",CONCATENATE('Job Sheet'!AC17," x 8 ",'Job Sheet'!AE17," x 8"),"")))))))</f>
        <v/>
      </c>
      <c r="D17" s="62" t="str">
        <f>IF(OR(Data!AW17="",Data!BN17="Invisi-Scape",'Job Sheet'!P17=""),"",IF(Data!BN17="Invisi-Screen","Invisi-Gard",IF('Mitred Cutting'!C17="Flyscreen",CONCATENATE('Mitred Cutting'!E17," Flyscreen Frame"),"Standard")))</f>
        <v/>
      </c>
      <c r="E17" s="117" t="str">
        <f>IF('Job Sheet'!S17="Same as Door",Data!BP17,'Job Sheet'!S17)</f>
        <v/>
      </c>
      <c r="F17" s="117" t="str">
        <f>'Job Sheet'!AG17</f>
        <v/>
      </c>
      <c r="G17" s="117" t="str">
        <f>IF('Job Sheet'!P17="Yes - Centre Horizontal &amp; Vertical",CONCATENATE("2 x ",'Job Sheet'!AI17),IF('Job Sheet'!P17="Yes - Horizontal &amp; Vertical",CONCATENATE("1 x ",'Job Sheet'!AI17," 1 x ",'Job Sheet'!AJ17),'Job Sheet'!AH17))</f>
        <v/>
      </c>
      <c r="H17" s="124" t="str">
        <f>IF(OR(Data!AW17="",Data!BN17="Invisi-Scape",I17=""),"",IF(Data!BP17="Powdercoat",'Job Sheet'!I17,Data!BP17))</f>
        <v/>
      </c>
      <c r="I17" s="124" t="str">
        <f>IF('Job Sheet'!O17="Yes",'Job Sheet'!W17,"")</f>
        <v/>
      </c>
      <c r="J17" s="62" t="str">
        <f>IF(Data!BN17="Invisi-Scape","",'Job Sheet'!Y17)</f>
        <v/>
      </c>
      <c r="K17" s="85" t="str">
        <f t="shared" si="0"/>
        <v/>
      </c>
    </row>
    <row r="18" spans="1:11" ht="60" customHeight="1">
      <c r="A18" s="15" t="str">
        <f>IF(Data!AW18="","",IF(Data!BN18="Invisi-Scape","",Data!AW18))</f>
        <v/>
      </c>
      <c r="B18" s="61" t="str">
        <f>IF(Data!AV18="","",IF(Data!BN18="Invisi-Scape","",'Job Sheet'!C18))</f>
        <v/>
      </c>
      <c r="C18" s="112" t="str">
        <f>IF(OR(Data!AW18="",Data!BN18="Invisi-Scape",'Job Sheet'!AC18=""),"",IF(OR('Job Sheet'!P18="Yes - Centre Horizontal",'Job Sheet'!P18="Yes - Centre Vertical"),CONCATENATE('Job Sheet'!AC18," x 4 ",'Job Sheet'!AE18," x 4"),IF('Job Sheet'!P18="Yes - Horizontal",CONCATENATE('Job Sheet'!AC18," x 4 ",'Job Sheet'!AE18," x 2 ",'Job Sheet'!AF18," x 2"),IF('Job Sheet'!P18="Yes - Vertical",CONCATENATE('Job Sheet'!AC18," x 2 ",'Job Sheet'!AE18," x 4"),IF('Job Sheet'!P18="",CONCATENATE('Job Sheet'!AC18," x 2 ",'Job Sheet'!AE18," x 2"),IF('Job Sheet'!P18="Yes - Horizontal &amp; Vertical",CONCATENATE('Job Sheet'!AC18," x 4 ",'Job Sheet'!AD18," x 4 ",'Job Sheet'!AE18," x 4 ",'Job Sheet'!AF18," x 4"),IF('Job Sheet'!P18="Yes - Centre Horizontal &amp; Vertical",CONCATENATE('Job Sheet'!AC18," x 8 ",'Job Sheet'!AE18," x 8"),"")))))))</f>
        <v/>
      </c>
      <c r="D18" s="62" t="str">
        <f>IF(OR(Data!AW18="",Data!BN18="Invisi-Scape",'Job Sheet'!P18=""),"",IF(Data!BN18="Invisi-Screen","Invisi-Gard",IF('Mitred Cutting'!C18="Flyscreen",CONCATENATE('Mitred Cutting'!E18," Flyscreen Frame"),"Standard")))</f>
        <v/>
      </c>
      <c r="E18" s="117" t="str">
        <f>IF('Job Sheet'!S18="Same as Door",Data!BP18,'Job Sheet'!S18)</f>
        <v/>
      </c>
      <c r="F18" s="117" t="str">
        <f>'Job Sheet'!AG18</f>
        <v/>
      </c>
      <c r="G18" s="117" t="str">
        <f>IF('Job Sheet'!P18="Yes - Centre Horizontal &amp; Vertical",CONCATENATE("2 x ",'Job Sheet'!AI18),IF('Job Sheet'!P18="Yes - Horizontal &amp; Vertical",CONCATENATE("1 x ",'Job Sheet'!AI18," 1 x ",'Job Sheet'!AJ18),'Job Sheet'!AH18))</f>
        <v/>
      </c>
      <c r="H18" s="124" t="str">
        <f>IF(OR(Data!AW18="",Data!BN18="Invisi-Scape",I18=""),"",IF(Data!BP18="Powdercoat",'Job Sheet'!I18,Data!BP18))</f>
        <v/>
      </c>
      <c r="I18" s="124" t="str">
        <f>IF('Job Sheet'!O18="Yes",'Job Sheet'!W18,"")</f>
        <v/>
      </c>
      <c r="J18" s="62" t="str">
        <f>IF(Data!BN18="Invisi-Scape","",'Job Sheet'!Y18)</f>
        <v/>
      </c>
      <c r="K18" s="85" t="str">
        <f t="shared" si="0"/>
        <v/>
      </c>
    </row>
    <row r="19" spans="1:11" ht="60" customHeight="1">
      <c r="A19" s="15" t="str">
        <f>IF(Data!AW19="","",IF(Data!BN19="Invisi-Scape","",Data!AW19))</f>
        <v/>
      </c>
      <c r="B19" s="61" t="str">
        <f>IF(Data!AV19="","",IF(Data!BN19="Invisi-Scape","",'Job Sheet'!C19))</f>
        <v/>
      </c>
      <c r="C19" s="112" t="str">
        <f>IF(OR(Data!AW19="",Data!BN19="Invisi-Scape",'Job Sheet'!AC19=""),"",IF(OR('Job Sheet'!P19="Yes - Centre Horizontal",'Job Sheet'!P19="Yes - Centre Vertical"),CONCATENATE('Job Sheet'!AC19," x 4 ",'Job Sheet'!AE19," x 4"),IF('Job Sheet'!P19="Yes - Horizontal",CONCATENATE('Job Sheet'!AC19," x 4 ",'Job Sheet'!AE19," x 2 ",'Job Sheet'!AF19," x 2"),IF('Job Sheet'!P19="Yes - Vertical",CONCATENATE('Job Sheet'!AC19," x 2 ",'Job Sheet'!AE19," x 4"),IF('Job Sheet'!P19="",CONCATENATE('Job Sheet'!AC19," x 2 ",'Job Sheet'!AE19," x 2"),IF('Job Sheet'!P19="Yes - Horizontal &amp; Vertical",CONCATENATE('Job Sheet'!AC19," x 4 ",'Job Sheet'!AD19," x 4 ",'Job Sheet'!AE19," x 4 ",'Job Sheet'!AF19," x 4"),IF('Job Sheet'!P19="Yes - Centre Horizontal &amp; Vertical",CONCATENATE('Job Sheet'!AC19," x 8 ",'Job Sheet'!AE19," x 8"),"")))))))</f>
        <v/>
      </c>
      <c r="D19" s="62" t="str">
        <f>IF(OR(Data!AW19="",Data!BN19="Invisi-Scape",'Job Sheet'!P19=""),"",IF(Data!BN19="Invisi-Screen","Invisi-Gard",IF('Mitred Cutting'!C19="Flyscreen",CONCATENATE('Mitred Cutting'!E19," Flyscreen Frame"),"Standard")))</f>
        <v/>
      </c>
      <c r="E19" s="117" t="str">
        <f>IF('Job Sheet'!S19="Same as Door",Data!BP19,'Job Sheet'!S19)</f>
        <v/>
      </c>
      <c r="F19" s="117" t="str">
        <f>'Job Sheet'!AG19</f>
        <v/>
      </c>
      <c r="G19" s="117" t="str">
        <f>IF('Job Sheet'!P19="Yes - Centre Horizontal &amp; Vertical",CONCATENATE("2 x ",'Job Sheet'!AI19),IF('Job Sheet'!P19="Yes - Horizontal &amp; Vertical",CONCATENATE("1 x ",'Job Sheet'!AI19," 1 x ",'Job Sheet'!AJ19),'Job Sheet'!AH19))</f>
        <v/>
      </c>
      <c r="H19" s="124" t="str">
        <f>IF(OR(Data!AW19="",Data!BN19="Invisi-Scape",I19=""),"",IF(Data!BP19="Powdercoat",'Job Sheet'!I19,Data!BP19))</f>
        <v/>
      </c>
      <c r="I19" s="124" t="str">
        <f>IF('Job Sheet'!O19="Yes",'Job Sheet'!W19,"")</f>
        <v/>
      </c>
      <c r="J19" s="62" t="str">
        <f>IF(Data!BN19="Invisi-Scape","",'Job Sheet'!Y19)</f>
        <v/>
      </c>
      <c r="K19" s="85" t="str">
        <f t="shared" si="0"/>
        <v/>
      </c>
    </row>
    <row r="20" spans="1:11" ht="60" customHeight="1">
      <c r="A20" s="15" t="str">
        <f>IF(Data!AW20="","",IF(Data!BN20="Invisi-Scape","",Data!AW20))</f>
        <v/>
      </c>
      <c r="B20" s="61" t="str">
        <f>IF(Data!AV20="","",IF(Data!BN20="Invisi-Scape","",'Job Sheet'!C20))</f>
        <v/>
      </c>
      <c r="C20" s="112" t="str">
        <f>IF(OR(Data!AW20="",Data!BN20="Invisi-Scape",'Job Sheet'!AC20=""),"",IF(OR('Job Sheet'!P20="Yes - Centre Horizontal",'Job Sheet'!P20="Yes - Centre Vertical"),CONCATENATE('Job Sheet'!AC20," x 4 ",'Job Sheet'!AE20," x 4"),IF('Job Sheet'!P20="Yes - Horizontal",CONCATENATE('Job Sheet'!AC20," x 4 ",'Job Sheet'!AE20," x 2 ",'Job Sheet'!AF20," x 2"),IF('Job Sheet'!P20="Yes - Vertical",CONCATENATE('Job Sheet'!AC20," x 2 ",'Job Sheet'!AE20," x 4"),IF('Job Sheet'!P20="",CONCATENATE('Job Sheet'!AC20," x 2 ",'Job Sheet'!AE20," x 2"),IF('Job Sheet'!P20="Yes - Horizontal &amp; Vertical",CONCATENATE('Job Sheet'!AC20," x 4 ",'Job Sheet'!AD20," x 4 ",'Job Sheet'!AE20," x 4 ",'Job Sheet'!AF20," x 4"),IF('Job Sheet'!P20="Yes - Centre Horizontal &amp; Vertical",CONCATENATE('Job Sheet'!AC20," x 8 ",'Job Sheet'!AE20," x 8"),"")))))))</f>
        <v/>
      </c>
      <c r="D20" s="62" t="str">
        <f>IF(OR(Data!AW20="",Data!BN20="Invisi-Scape",'Job Sheet'!P20=""),"",IF(Data!BN20="Invisi-Screen","Invisi-Gard",IF('Mitred Cutting'!C20="Flyscreen",CONCATENATE('Mitred Cutting'!E20," Flyscreen Frame"),"Standard")))</f>
        <v/>
      </c>
      <c r="E20" s="117" t="str">
        <f>IF('Job Sheet'!S20="Same as Door",Data!BP20,'Job Sheet'!S20)</f>
        <v/>
      </c>
      <c r="F20" s="117" t="str">
        <f>'Job Sheet'!AG20</f>
        <v/>
      </c>
      <c r="G20" s="117" t="str">
        <f>IF('Job Sheet'!P20="Yes - Centre Horizontal &amp; Vertical",CONCATENATE("2 x ",'Job Sheet'!AI20),IF('Job Sheet'!P20="Yes - Horizontal &amp; Vertical",CONCATENATE("1 x ",'Job Sheet'!AI20," 1 x ",'Job Sheet'!AJ20),'Job Sheet'!AH20))</f>
        <v/>
      </c>
      <c r="H20" s="124" t="str">
        <f>IF(OR(Data!AW20="",Data!BN20="Invisi-Scape",I20=""),"",IF(Data!BP20="Powdercoat",'Job Sheet'!I20,Data!BP20))</f>
        <v/>
      </c>
      <c r="I20" s="124" t="str">
        <f>IF('Job Sheet'!O20="Yes",'Job Sheet'!W20,"")</f>
        <v/>
      </c>
      <c r="J20" s="62" t="str">
        <f>IF(Data!BN20="Invisi-Scape","",'Job Sheet'!Y20)</f>
        <v/>
      </c>
      <c r="K20" s="85" t="str">
        <f t="shared" si="0"/>
        <v/>
      </c>
    </row>
    <row r="21" spans="1:4" ht="32.4">
      <c r="A21" s="63"/>
      <c r="B21" s="64"/>
      <c r="C21" s="65"/>
      <c r="D21" s="66"/>
    </row>
    <row r="22" spans="1:4" ht="32.4">
      <c r="A22" s="63"/>
      <c r="B22" s="64"/>
      <c r="C22" s="65"/>
      <c r="D22" s="66"/>
    </row>
    <row r="23" spans="1:4" ht="32.4">
      <c r="A23" s="63"/>
      <c r="B23" s="64"/>
      <c r="C23" s="65"/>
      <c r="D23" s="66"/>
    </row>
    <row r="24" spans="1:4" ht="32.4">
      <c r="A24" s="63"/>
      <c r="B24" s="64"/>
      <c r="C24" s="65"/>
      <c r="D24" s="66"/>
    </row>
    <row r="25" spans="1:4" ht="32.4">
      <c r="A25" s="63"/>
      <c r="B25" s="64"/>
      <c r="C25" s="65"/>
      <c r="D25" s="66"/>
    </row>
    <row r="26" spans="1:4" ht="32.4">
      <c r="A26" s="63"/>
      <c r="B26" s="64"/>
      <c r="C26" s="65"/>
      <c r="D26" s="66"/>
    </row>
    <row r="27" spans="1:4" ht="32.4">
      <c r="A27" s="63"/>
      <c r="B27" s="64"/>
      <c r="C27" s="65"/>
      <c r="D27" s="66"/>
    </row>
    <row r="28" spans="1:4" ht="32.4">
      <c r="A28" s="63"/>
      <c r="B28" s="64"/>
      <c r="C28" s="65"/>
      <c r="D28" s="66"/>
    </row>
    <row r="29" spans="1:4" ht="32.4">
      <c r="A29" s="63"/>
      <c r="B29" s="64"/>
      <c r="C29" s="65"/>
      <c r="D29" s="66"/>
    </row>
    <row r="30" spans="1:4" ht="32.4">
      <c r="A30" s="67"/>
      <c r="B30" s="67"/>
      <c r="C30" s="67"/>
      <c r="D30" s="67"/>
    </row>
    <row r="31" spans="1:4" ht="32.4">
      <c r="A31" s="67"/>
      <c r="B31" s="67"/>
      <c r="C31" s="67"/>
      <c r="D31" s="67"/>
    </row>
    <row r="32" spans="1:4" ht="32.4">
      <c r="A32" s="67"/>
      <c r="B32" s="67"/>
      <c r="C32" s="67"/>
      <c r="D32" s="67"/>
    </row>
    <row r="33" spans="1:4" ht="32.4">
      <c r="A33" s="67"/>
      <c r="B33" s="67"/>
      <c r="C33" s="67"/>
      <c r="D33" s="67"/>
    </row>
    <row r="34" spans="1:4" ht="32.4">
      <c r="A34" s="67"/>
      <c r="B34" s="67"/>
      <c r="C34" s="67"/>
      <c r="D34" s="67"/>
    </row>
    <row r="35" spans="1:4" ht="32.4">
      <c r="A35" s="67"/>
      <c r="B35" s="67"/>
      <c r="C35" s="67"/>
      <c r="D35" s="67"/>
    </row>
    <row r="36" spans="1:4" ht="32.4">
      <c r="A36" s="67"/>
      <c r="B36" s="67"/>
      <c r="C36" s="67"/>
      <c r="D36" s="67"/>
    </row>
    <row r="37" spans="1:4" ht="32.4">
      <c r="A37" s="67"/>
      <c r="B37" s="67"/>
      <c r="C37" s="67"/>
      <c r="D37" s="67"/>
    </row>
    <row r="38" spans="1:4" ht="32.4">
      <c r="A38" s="67"/>
      <c r="B38" s="67"/>
      <c r="C38" s="67"/>
      <c r="D38" s="67"/>
    </row>
    <row r="39" spans="1:4" ht="32.4">
      <c r="A39" s="67"/>
      <c r="B39" s="67"/>
      <c r="C39" s="67"/>
      <c r="D39" s="67"/>
    </row>
    <row r="40" spans="1:4" ht="32.4">
      <c r="A40" s="67"/>
      <c r="B40" s="67"/>
      <c r="C40" s="67"/>
      <c r="D40" s="67"/>
    </row>
    <row r="41" spans="1:4" ht="32.4">
      <c r="A41" s="67"/>
      <c r="B41" s="67"/>
      <c r="C41" s="67"/>
      <c r="D41" s="67"/>
    </row>
    <row r="42" spans="1:4" ht="32.4">
      <c r="A42" s="67"/>
      <c r="B42" s="67"/>
      <c r="C42" s="67"/>
      <c r="D42" s="67"/>
    </row>
    <row r="43" spans="1:4" ht="32.4">
      <c r="A43" s="67"/>
      <c r="B43" s="67"/>
      <c r="C43" s="67"/>
      <c r="D43" s="67"/>
    </row>
    <row r="44" spans="1:4" ht="32.4">
      <c r="A44" s="67"/>
      <c r="B44" s="67"/>
      <c r="C44" s="67"/>
      <c r="D44" s="67"/>
    </row>
    <row r="45" spans="1:4" ht="32.4">
      <c r="A45" s="67"/>
      <c r="B45" s="67"/>
      <c r="C45" s="67"/>
      <c r="D45" s="67"/>
    </row>
    <row r="46" spans="1:4" ht="32.4">
      <c r="A46" s="67"/>
      <c r="B46" s="67"/>
      <c r="C46" s="67"/>
      <c r="D46" s="67"/>
    </row>
    <row r="47" spans="1:4" ht="32.4">
      <c r="A47" s="67"/>
      <c r="B47" s="67"/>
      <c r="C47" s="67"/>
      <c r="D47" s="67"/>
    </row>
    <row r="48" spans="1:4" ht="32.4">
      <c r="A48" s="67"/>
      <c r="B48" s="67"/>
      <c r="C48" s="67"/>
      <c r="D48" s="67"/>
    </row>
    <row r="49" spans="1:4" ht="32.4">
      <c r="A49" s="67"/>
      <c r="B49" s="67"/>
      <c r="C49" s="67"/>
      <c r="D49" s="67"/>
    </row>
    <row r="50" spans="1:4" ht="32.4">
      <c r="A50" s="67"/>
      <c r="B50" s="67"/>
      <c r="C50" s="67"/>
      <c r="D50" s="67"/>
    </row>
    <row r="51" spans="1:4" ht="32.4">
      <c r="A51" s="67"/>
      <c r="B51" s="67"/>
      <c r="C51" s="67"/>
      <c r="D51" s="67"/>
    </row>
    <row r="52" spans="1:4" ht="32.4">
      <c r="A52" s="67"/>
      <c r="B52" s="67"/>
      <c r="C52" s="67"/>
      <c r="D52" s="67"/>
    </row>
    <row r="53" spans="1:4" ht="32.4">
      <c r="A53" s="67"/>
      <c r="B53" s="67"/>
      <c r="C53" s="67"/>
      <c r="D53" s="67"/>
    </row>
    <row r="54" spans="1:4" ht="32.4">
      <c r="A54" s="67"/>
      <c r="B54" s="67"/>
      <c r="C54" s="67"/>
      <c r="D54" s="67"/>
    </row>
    <row r="55" spans="1:4" ht="32.4">
      <c r="A55" s="67"/>
      <c r="B55" s="67"/>
      <c r="C55" s="67"/>
      <c r="D55" s="67"/>
    </row>
    <row r="56" spans="1:4" ht="32.4">
      <c r="A56" s="67"/>
      <c r="B56" s="67"/>
      <c r="C56" s="67"/>
      <c r="D56" s="67"/>
    </row>
    <row r="57" spans="1:4" ht="32.4">
      <c r="A57" s="67"/>
      <c r="B57" s="67"/>
      <c r="C57" s="67"/>
      <c r="D57" s="67"/>
    </row>
    <row r="58" spans="1:4" ht="32.4">
      <c r="A58" s="67"/>
      <c r="B58" s="67"/>
      <c r="C58" s="67"/>
      <c r="D58" s="67"/>
    </row>
    <row r="59" spans="1:4" ht="32.4">
      <c r="A59" s="67"/>
      <c r="B59" s="67"/>
      <c r="C59" s="67"/>
      <c r="D59" s="67"/>
    </row>
    <row r="60" spans="1:4" ht="32.4">
      <c r="A60" s="67"/>
      <c r="B60" s="67"/>
      <c r="C60" s="67"/>
      <c r="D60" s="67"/>
    </row>
    <row r="61" spans="1:4" ht="32.4">
      <c r="A61" s="67"/>
      <c r="B61" s="67"/>
      <c r="C61" s="67"/>
      <c r="D61" s="67"/>
    </row>
    <row r="62" spans="1:4" ht="32.4">
      <c r="A62" s="67"/>
      <c r="B62" s="67"/>
      <c r="C62" s="67"/>
      <c r="D62" s="67"/>
    </row>
    <row r="63" spans="1:4" ht="32.4">
      <c r="A63" s="67"/>
      <c r="B63" s="67"/>
      <c r="C63" s="67"/>
      <c r="D63" s="67"/>
    </row>
    <row r="64" spans="1:4" ht="32.4">
      <c r="A64" s="67"/>
      <c r="B64" s="67"/>
      <c r="C64" s="67"/>
      <c r="D64" s="67"/>
    </row>
    <row r="65" spans="1:4" ht="32.4">
      <c r="A65" s="67"/>
      <c r="B65" s="67"/>
      <c r="C65" s="67"/>
      <c r="D65" s="67"/>
    </row>
    <row r="66" spans="1:4" ht="32.4">
      <c r="A66" s="67"/>
      <c r="B66" s="67"/>
      <c r="C66" s="67"/>
      <c r="D66" s="67"/>
    </row>
    <row r="67" spans="1:4" ht="32.4">
      <c r="A67" s="67"/>
      <c r="B67" s="67"/>
      <c r="C67" s="67"/>
      <c r="D67" s="67"/>
    </row>
    <row r="68" spans="1:4" ht="32.4">
      <c r="A68" s="67"/>
      <c r="B68" s="67"/>
      <c r="C68" s="67"/>
      <c r="D68" s="67"/>
    </row>
    <row r="69" spans="1:4" ht="32.4">
      <c r="A69" s="67"/>
      <c r="B69" s="67"/>
      <c r="C69" s="67"/>
      <c r="D69" s="67"/>
    </row>
    <row r="70" spans="1:4" ht="32.4">
      <c r="A70" s="67"/>
      <c r="B70" s="67"/>
      <c r="C70" s="67"/>
      <c r="D70" s="67"/>
    </row>
    <row r="71" spans="1:4" ht="32.4">
      <c r="A71" s="67"/>
      <c r="B71" s="67"/>
      <c r="C71" s="67"/>
      <c r="D71" s="67"/>
    </row>
    <row r="72" spans="1:4" ht="32.4">
      <c r="A72" s="67"/>
      <c r="B72" s="67"/>
      <c r="C72" s="67"/>
      <c r="D72" s="67"/>
    </row>
    <row r="73" spans="1:4" ht="32.4">
      <c r="A73" s="67"/>
      <c r="B73" s="67"/>
      <c r="C73" s="67"/>
      <c r="D73" s="67"/>
    </row>
    <row r="74" spans="1:4" ht="32.4">
      <c r="A74" s="67"/>
      <c r="B74" s="67"/>
      <c r="C74" s="67"/>
      <c r="D74" s="67"/>
    </row>
    <row r="75" spans="1:4" ht="32.4">
      <c r="A75" s="67"/>
      <c r="B75" s="67"/>
      <c r="C75" s="67"/>
      <c r="D75" s="67"/>
    </row>
    <row r="76" spans="1:4" ht="32.4">
      <c r="A76" s="67"/>
      <c r="B76" s="67"/>
      <c r="C76" s="67"/>
      <c r="D76" s="67"/>
    </row>
    <row r="77" spans="1:4" ht="32.4">
      <c r="A77" s="67"/>
      <c r="B77" s="67"/>
      <c r="C77" s="67"/>
      <c r="D77" s="67"/>
    </row>
    <row r="78" spans="1:4" ht="32.4">
      <c r="A78" s="67"/>
      <c r="B78" s="67"/>
      <c r="C78" s="67"/>
      <c r="D78" s="67"/>
    </row>
    <row r="79" spans="1:4" ht="32.4">
      <c r="A79" s="67"/>
      <c r="B79" s="67"/>
      <c r="C79" s="67"/>
      <c r="D79" s="67"/>
    </row>
    <row r="80" spans="1:4" ht="32.4">
      <c r="A80" s="67"/>
      <c r="B80" s="67"/>
      <c r="C80" s="67"/>
      <c r="D80" s="67"/>
    </row>
    <row r="81" spans="1:4" ht="32.4">
      <c r="A81" s="67"/>
      <c r="B81" s="67"/>
      <c r="C81" s="67"/>
      <c r="D81" s="67"/>
    </row>
    <row r="82" spans="1:4" ht="32.4">
      <c r="A82" s="67"/>
      <c r="B82" s="67"/>
      <c r="C82" s="67"/>
      <c r="D82" s="67"/>
    </row>
    <row r="83" spans="1:4" ht="32.4">
      <c r="A83" s="67"/>
      <c r="B83" s="67"/>
      <c r="C83" s="67"/>
      <c r="D83" s="67"/>
    </row>
    <row r="84" spans="1:4" ht="32.4">
      <c r="A84" s="67"/>
      <c r="B84" s="67"/>
      <c r="C84" s="67"/>
      <c r="D84" s="67"/>
    </row>
    <row r="85" spans="1:4" ht="32.4">
      <c r="A85" s="67"/>
      <c r="B85" s="67"/>
      <c r="C85" s="67"/>
      <c r="D85" s="67"/>
    </row>
    <row r="86" spans="1:4" ht="32.4">
      <c r="A86" s="67"/>
      <c r="B86" s="67"/>
      <c r="C86" s="67"/>
      <c r="D86" s="67"/>
    </row>
    <row r="87" spans="1:4" ht="32.4">
      <c r="A87" s="67"/>
      <c r="B87" s="67"/>
      <c r="C87" s="67"/>
      <c r="D87" s="67"/>
    </row>
    <row r="88" spans="1:4" ht="32.4">
      <c r="A88" s="67"/>
      <c r="B88" s="67"/>
      <c r="C88" s="67"/>
      <c r="D88" s="67"/>
    </row>
    <row r="89" spans="1:4" ht="32.4">
      <c r="A89" s="67"/>
      <c r="B89" s="67"/>
      <c r="C89" s="67"/>
      <c r="D89" s="67"/>
    </row>
    <row r="90" spans="1:4" ht="32.4">
      <c r="A90" s="67"/>
      <c r="B90" s="67"/>
      <c r="C90" s="67"/>
      <c r="D90" s="67"/>
    </row>
    <row r="91" spans="1:4" ht="32.4">
      <c r="A91" s="67"/>
      <c r="B91" s="67"/>
      <c r="C91" s="67"/>
      <c r="D91" s="67"/>
    </row>
    <row r="92" spans="1:4" ht="32.4">
      <c r="A92" s="67"/>
      <c r="B92" s="67"/>
      <c r="C92" s="67"/>
      <c r="D92" s="67"/>
    </row>
    <row r="93" spans="1:4" ht="32.4">
      <c r="A93" s="67"/>
      <c r="B93" s="67"/>
      <c r="C93" s="67"/>
      <c r="D93" s="67"/>
    </row>
    <row r="94" spans="1:4" ht="32.4">
      <c r="A94" s="67"/>
      <c r="B94" s="67"/>
      <c r="C94" s="67"/>
      <c r="D94" s="67"/>
    </row>
    <row r="95" spans="1:4" ht="32.4">
      <c r="A95" s="67"/>
      <c r="B95" s="67"/>
      <c r="C95" s="67"/>
      <c r="D95" s="67"/>
    </row>
    <row r="96" spans="1:4" ht="32.4">
      <c r="A96" s="67"/>
      <c r="B96" s="67"/>
      <c r="C96" s="67"/>
      <c r="D96" s="67"/>
    </row>
    <row r="97" spans="1:4" ht="32.4">
      <c r="A97" s="67"/>
      <c r="B97" s="67"/>
      <c r="C97" s="67"/>
      <c r="D97" s="67"/>
    </row>
    <row r="98" spans="1:4" ht="32.4">
      <c r="A98" s="67"/>
      <c r="B98" s="67"/>
      <c r="C98" s="67"/>
      <c r="D98" s="67"/>
    </row>
    <row r="99" spans="1:4" ht="32.4">
      <c r="A99" s="67"/>
      <c r="B99" s="67"/>
      <c r="C99" s="67"/>
      <c r="D99" s="67"/>
    </row>
    <row r="100" spans="1:4" ht="32.4">
      <c r="A100" s="67"/>
      <c r="B100" s="67"/>
      <c r="C100" s="67"/>
      <c r="D100" s="67"/>
    </row>
    <row r="101" spans="1:4" ht="32.4">
      <c r="A101" s="67"/>
      <c r="B101" s="67"/>
      <c r="C101" s="67"/>
      <c r="D101" s="67"/>
    </row>
    <row r="102" spans="1:4" ht="32.4">
      <c r="A102" s="67"/>
      <c r="B102" s="67"/>
      <c r="C102" s="67"/>
      <c r="D102" s="67"/>
    </row>
    <row r="103" spans="1:4" ht="32.4">
      <c r="A103" s="67"/>
      <c r="B103" s="67"/>
      <c r="C103" s="67"/>
      <c r="D103" s="67"/>
    </row>
    <row r="104" spans="1:4" ht="32.4">
      <c r="A104" s="67"/>
      <c r="B104" s="67"/>
      <c r="C104" s="67"/>
      <c r="D104" s="67"/>
    </row>
    <row r="105" spans="1:4" ht="32.4">
      <c r="A105" s="67"/>
      <c r="B105" s="67"/>
      <c r="C105" s="67"/>
      <c r="D105" s="67"/>
    </row>
    <row r="106" spans="1:4" ht="32.4">
      <c r="A106" s="67"/>
      <c r="B106" s="67"/>
      <c r="C106" s="67"/>
      <c r="D106" s="67"/>
    </row>
    <row r="107" spans="1:4" ht="32.4">
      <c r="A107" s="67"/>
      <c r="B107" s="67"/>
      <c r="C107" s="67"/>
      <c r="D107" s="67"/>
    </row>
    <row r="108" spans="1:4" ht="32.4">
      <c r="A108" s="67"/>
      <c r="B108" s="67"/>
      <c r="C108" s="67"/>
      <c r="D108" s="67"/>
    </row>
    <row r="109" spans="1:4" ht="32.4">
      <c r="A109" s="67"/>
      <c r="B109" s="67"/>
      <c r="C109" s="67"/>
      <c r="D109" s="67"/>
    </row>
    <row r="110" spans="1:4" ht="32.4">
      <c r="A110" s="67"/>
      <c r="B110" s="67"/>
      <c r="C110" s="67"/>
      <c r="D110" s="67"/>
    </row>
    <row r="111" spans="1:4" ht="32.4">
      <c r="A111" s="67"/>
      <c r="B111" s="67"/>
      <c r="C111" s="67"/>
      <c r="D111" s="67"/>
    </row>
    <row r="112" spans="1:4" ht="32.4">
      <c r="A112" s="67"/>
      <c r="B112" s="67"/>
      <c r="C112" s="67"/>
      <c r="D112" s="67"/>
    </row>
    <row r="113" spans="1:4" ht="32.4">
      <c r="A113" s="67"/>
      <c r="B113" s="67"/>
      <c r="C113" s="67"/>
      <c r="D113" s="67"/>
    </row>
    <row r="114" spans="1:4" ht="32.4">
      <c r="A114" s="67"/>
      <c r="B114" s="67"/>
      <c r="C114" s="67"/>
      <c r="D114" s="67"/>
    </row>
    <row r="115" spans="1:4" ht="32.4">
      <c r="A115" s="67"/>
      <c r="B115" s="67"/>
      <c r="C115" s="67"/>
      <c r="D115" s="67"/>
    </row>
    <row r="116" spans="1:4" ht="32.4">
      <c r="A116" s="67"/>
      <c r="B116" s="67"/>
      <c r="C116" s="67"/>
      <c r="D116" s="67"/>
    </row>
    <row r="117" spans="1:4" ht="32.4">
      <c r="A117" s="67"/>
      <c r="B117" s="67"/>
      <c r="C117" s="67"/>
      <c r="D117" s="67"/>
    </row>
    <row r="118" spans="1:4" ht="32.4">
      <c r="A118" s="67"/>
      <c r="B118" s="67"/>
      <c r="C118" s="67"/>
      <c r="D118" s="67"/>
    </row>
    <row r="119" spans="1:4" ht="32.4">
      <c r="A119" s="67"/>
      <c r="B119" s="67"/>
      <c r="C119" s="67"/>
      <c r="D119" s="67"/>
    </row>
    <row r="120" spans="1:4" ht="32.4">
      <c r="A120" s="67"/>
      <c r="B120" s="67"/>
      <c r="C120" s="67"/>
      <c r="D120" s="67"/>
    </row>
    <row r="121" spans="1:4" ht="32.4">
      <c r="A121" s="67"/>
      <c r="B121" s="67"/>
      <c r="C121" s="67"/>
      <c r="D121" s="67"/>
    </row>
    <row r="122" spans="1:4" ht="32.4">
      <c r="A122" s="67"/>
      <c r="B122" s="67"/>
      <c r="C122" s="67"/>
      <c r="D122" s="67"/>
    </row>
    <row r="123" spans="1:4" ht="32.4">
      <c r="A123" s="67"/>
      <c r="B123" s="67"/>
      <c r="C123" s="67"/>
      <c r="D123" s="67"/>
    </row>
    <row r="124" spans="1:4" ht="32.4">
      <c r="A124" s="67"/>
      <c r="B124" s="67"/>
      <c r="C124" s="67"/>
      <c r="D124" s="67"/>
    </row>
    <row r="125" spans="1:4" ht="32.4">
      <c r="A125" s="67"/>
      <c r="B125" s="67"/>
      <c r="C125" s="67"/>
      <c r="D125" s="67"/>
    </row>
    <row r="126" spans="1:4" ht="32.4">
      <c r="A126" s="67"/>
      <c r="B126" s="67"/>
      <c r="C126" s="67"/>
      <c r="D126" s="67"/>
    </row>
    <row r="127" spans="1:4" ht="32.4">
      <c r="A127" s="67"/>
      <c r="B127" s="67"/>
      <c r="C127" s="67"/>
      <c r="D127" s="67"/>
    </row>
    <row r="128" spans="1:4" ht="32.4">
      <c r="A128" s="67"/>
      <c r="B128" s="67"/>
      <c r="C128" s="67"/>
      <c r="D128" s="67"/>
    </row>
    <row r="129" spans="1:4" ht="32.4">
      <c r="A129" s="67"/>
      <c r="B129" s="67"/>
      <c r="C129" s="67"/>
      <c r="D129" s="67"/>
    </row>
    <row r="130" spans="1:4" ht="32.4">
      <c r="A130" s="67"/>
      <c r="B130" s="67"/>
      <c r="C130" s="67"/>
      <c r="D130" s="67"/>
    </row>
    <row r="131" spans="1:4" ht="32.4">
      <c r="A131" s="67"/>
      <c r="B131" s="67"/>
      <c r="C131" s="67"/>
      <c r="D131" s="67"/>
    </row>
    <row r="132" spans="1:4" ht="32.4">
      <c r="A132" s="67"/>
      <c r="B132" s="67"/>
      <c r="C132" s="67"/>
      <c r="D132" s="67"/>
    </row>
    <row r="133" spans="1:4" ht="32.4">
      <c r="A133" s="67"/>
      <c r="B133" s="67"/>
      <c r="C133" s="67"/>
      <c r="D133" s="67"/>
    </row>
    <row r="134" spans="1:4" ht="32.4">
      <c r="A134" s="67"/>
      <c r="B134" s="67"/>
      <c r="C134" s="67"/>
      <c r="D134" s="67"/>
    </row>
    <row r="135" spans="1:4" ht="32.4">
      <c r="A135" s="67"/>
      <c r="B135" s="67"/>
      <c r="C135" s="67"/>
      <c r="D135" s="67"/>
    </row>
    <row r="136" spans="1:4" ht="32.4">
      <c r="A136" s="67"/>
      <c r="B136" s="67"/>
      <c r="C136" s="67"/>
      <c r="D136" s="67"/>
    </row>
    <row r="137" spans="1:4" ht="32.4">
      <c r="A137" s="67"/>
      <c r="B137" s="67"/>
      <c r="C137" s="67"/>
      <c r="D137" s="67"/>
    </row>
    <row r="138" spans="1:4" ht="32.4">
      <c r="A138" s="67"/>
      <c r="B138" s="67"/>
      <c r="C138" s="67"/>
      <c r="D138" s="67"/>
    </row>
    <row r="139" spans="1:4" ht="32.4">
      <c r="A139" s="67"/>
      <c r="B139" s="67"/>
      <c r="C139" s="67"/>
      <c r="D139" s="67"/>
    </row>
    <row r="140" spans="1:4" ht="32.4">
      <c r="A140" s="67"/>
      <c r="B140" s="67"/>
      <c r="C140" s="67"/>
      <c r="D140" s="67"/>
    </row>
    <row r="141" spans="1:4" ht="32.4">
      <c r="A141" s="67"/>
      <c r="B141" s="67"/>
      <c r="C141" s="67"/>
      <c r="D141" s="67"/>
    </row>
    <row r="142" spans="1:4" ht="32.4">
      <c r="A142" s="67"/>
      <c r="B142" s="67"/>
      <c r="C142" s="67"/>
      <c r="D142" s="67"/>
    </row>
    <row r="143" spans="1:4" ht="32.4">
      <c r="A143" s="67"/>
      <c r="B143" s="67"/>
      <c r="C143" s="67"/>
      <c r="D143" s="67"/>
    </row>
    <row r="144" spans="1:4" ht="32.4">
      <c r="A144" s="67"/>
      <c r="B144" s="67"/>
      <c r="C144" s="67"/>
      <c r="D144" s="67"/>
    </row>
    <row r="145" spans="1:4" ht="32.4">
      <c r="A145" s="67"/>
      <c r="B145" s="67"/>
      <c r="C145" s="67"/>
      <c r="D145" s="67"/>
    </row>
    <row r="146" spans="1:4" ht="32.4">
      <c r="A146" s="67"/>
      <c r="B146" s="67"/>
      <c r="C146" s="67"/>
      <c r="D146" s="67"/>
    </row>
    <row r="147" spans="1:4" ht="32.4">
      <c r="A147" s="67"/>
      <c r="B147" s="67"/>
      <c r="C147" s="67"/>
      <c r="D147" s="67"/>
    </row>
    <row r="148" spans="1:4" ht="32.4">
      <c r="A148" s="67"/>
      <c r="B148" s="67"/>
      <c r="C148" s="67"/>
      <c r="D148" s="67"/>
    </row>
    <row r="149" spans="1:4" ht="32.4">
      <c r="A149" s="67"/>
      <c r="B149" s="67"/>
      <c r="C149" s="67"/>
      <c r="D149" s="67"/>
    </row>
    <row r="150" spans="1:4" ht="32.4">
      <c r="A150" s="67"/>
      <c r="B150" s="67"/>
      <c r="C150" s="67"/>
      <c r="D150" s="67"/>
    </row>
    <row r="151" spans="1:4" ht="32.4">
      <c r="A151" s="67"/>
      <c r="B151" s="67"/>
      <c r="C151" s="67"/>
      <c r="D151" s="67"/>
    </row>
    <row r="152" spans="1:4" ht="32.4">
      <c r="A152" s="67"/>
      <c r="B152" s="67"/>
      <c r="C152" s="67"/>
      <c r="D152" s="67"/>
    </row>
    <row r="153" spans="1:4" ht="32.4">
      <c r="A153" s="67"/>
      <c r="B153" s="67"/>
      <c r="C153" s="67"/>
      <c r="D153" s="67"/>
    </row>
    <row r="154" spans="1:4" ht="32.4">
      <c r="A154" s="67"/>
      <c r="B154" s="67"/>
      <c r="C154" s="67"/>
      <c r="D154" s="67"/>
    </row>
    <row r="155" spans="1:4" ht="32.4">
      <c r="A155" s="67"/>
      <c r="B155" s="67"/>
      <c r="C155" s="67"/>
      <c r="D155" s="67"/>
    </row>
    <row r="156" spans="1:4" ht="32.4">
      <c r="A156" s="67"/>
      <c r="B156" s="67"/>
      <c r="C156" s="67"/>
      <c r="D156" s="67"/>
    </row>
    <row r="157" spans="1:4" ht="32.4">
      <c r="A157" s="67"/>
      <c r="B157" s="67"/>
      <c r="C157" s="67"/>
      <c r="D157" s="67"/>
    </row>
    <row r="158" spans="1:4" ht="32.4">
      <c r="A158" s="67"/>
      <c r="B158" s="67"/>
      <c r="C158" s="67"/>
      <c r="D158" s="67"/>
    </row>
    <row r="159" spans="1:4" ht="32.4">
      <c r="A159" s="67"/>
      <c r="B159" s="67"/>
      <c r="C159" s="67"/>
      <c r="D159" s="67"/>
    </row>
    <row r="160" spans="1:4" ht="32.4">
      <c r="A160" s="67"/>
      <c r="B160" s="67"/>
      <c r="C160" s="67"/>
      <c r="D160" s="67"/>
    </row>
    <row r="161" spans="1:4" ht="32.4">
      <c r="A161" s="67"/>
      <c r="B161" s="67"/>
      <c r="C161" s="67"/>
      <c r="D161" s="67"/>
    </row>
    <row r="162" spans="1:4" ht="32.4">
      <c r="A162" s="67"/>
      <c r="B162" s="67"/>
      <c r="C162" s="67"/>
      <c r="D162" s="67"/>
    </row>
    <row r="163" spans="1:4" ht="32.4">
      <c r="A163" s="67"/>
      <c r="B163" s="67"/>
      <c r="C163" s="67"/>
      <c r="D163" s="67"/>
    </row>
    <row r="164" spans="1:4" ht="32.4">
      <c r="A164" s="67"/>
      <c r="B164" s="67"/>
      <c r="C164" s="67"/>
      <c r="D164" s="67"/>
    </row>
    <row r="165" spans="1:4" ht="32.4">
      <c r="A165" s="67"/>
      <c r="B165" s="67"/>
      <c r="C165" s="67"/>
      <c r="D165" s="67"/>
    </row>
    <row r="166" spans="1:4" ht="32.4">
      <c r="A166" s="67"/>
      <c r="B166" s="67"/>
      <c r="C166" s="67"/>
      <c r="D166" s="67"/>
    </row>
    <row r="167" spans="1:4" ht="32.4">
      <c r="A167" s="67"/>
      <c r="B167" s="67"/>
      <c r="C167" s="67"/>
      <c r="D167" s="67"/>
    </row>
    <row r="168" spans="1:4" ht="32.4">
      <c r="A168" s="67"/>
      <c r="B168" s="67"/>
      <c r="C168" s="67"/>
      <c r="D168" s="67"/>
    </row>
    <row r="169" spans="1:4" ht="32.4">
      <c r="A169" s="67"/>
      <c r="B169" s="67"/>
      <c r="C169" s="67"/>
      <c r="D169" s="67"/>
    </row>
    <row r="170" spans="1:4" ht="32.4">
      <c r="A170" s="67"/>
      <c r="B170" s="67"/>
      <c r="C170" s="67"/>
      <c r="D170" s="67"/>
    </row>
    <row r="171" spans="1:4" ht="32.4">
      <c r="A171" s="67"/>
      <c r="B171" s="67"/>
      <c r="C171" s="67"/>
      <c r="D171" s="67"/>
    </row>
    <row r="172" spans="1:4" ht="32.4">
      <c r="A172" s="67"/>
      <c r="B172" s="67"/>
      <c r="C172" s="67"/>
      <c r="D172" s="67"/>
    </row>
    <row r="173" spans="1:4" ht="32.4">
      <c r="A173" s="67"/>
      <c r="B173" s="67"/>
      <c r="C173" s="67"/>
      <c r="D173" s="67"/>
    </row>
    <row r="174" spans="1:4" ht="32.4">
      <c r="A174" s="67"/>
      <c r="B174" s="67"/>
      <c r="C174" s="67"/>
      <c r="D174" s="67"/>
    </row>
    <row r="175" spans="1:4" ht="32.4">
      <c r="A175" s="67"/>
      <c r="B175" s="67"/>
      <c r="C175" s="67"/>
      <c r="D175" s="67"/>
    </row>
    <row r="176" spans="1:4" ht="32.4">
      <c r="A176" s="67"/>
      <c r="B176" s="67"/>
      <c r="C176" s="67"/>
      <c r="D176" s="67"/>
    </row>
    <row r="177" spans="1:4" ht="32.4">
      <c r="A177" s="67"/>
      <c r="B177" s="67"/>
      <c r="C177" s="67"/>
      <c r="D177" s="67"/>
    </row>
    <row r="178" spans="1:4" ht="32.4">
      <c r="A178" s="67"/>
      <c r="B178" s="67"/>
      <c r="C178" s="67"/>
      <c r="D178" s="67"/>
    </row>
    <row r="179" spans="1:4" ht="32.4">
      <c r="A179" s="67"/>
      <c r="B179" s="67"/>
      <c r="C179" s="67"/>
      <c r="D179" s="67"/>
    </row>
    <row r="180" spans="1:4" ht="32.4">
      <c r="A180" s="67"/>
      <c r="B180" s="67"/>
      <c r="C180" s="67"/>
      <c r="D180" s="67"/>
    </row>
    <row r="181" spans="1:4" ht="32.4">
      <c r="A181" s="67"/>
      <c r="B181" s="67"/>
      <c r="C181" s="67"/>
      <c r="D181" s="67"/>
    </row>
    <row r="182" spans="1:4" ht="32.4">
      <c r="A182" s="67"/>
      <c r="B182" s="67"/>
      <c r="C182" s="67"/>
      <c r="D182" s="67"/>
    </row>
    <row r="183" spans="1:4" ht="32.4">
      <c r="A183" s="67"/>
      <c r="B183" s="67"/>
      <c r="C183" s="67"/>
      <c r="D183" s="67"/>
    </row>
    <row r="184" spans="1:4" ht="32.4">
      <c r="A184" s="67"/>
      <c r="B184" s="67"/>
      <c r="C184" s="67"/>
      <c r="D184" s="67"/>
    </row>
    <row r="185" spans="1:4" ht="32.4">
      <c r="A185" s="67"/>
      <c r="B185" s="67"/>
      <c r="C185" s="67"/>
      <c r="D185" s="67"/>
    </row>
    <row r="186" spans="1:4" ht="32.4">
      <c r="A186" s="67"/>
      <c r="B186" s="67"/>
      <c r="C186" s="67"/>
      <c r="D186" s="67"/>
    </row>
    <row r="187" spans="1:4" ht="32.4">
      <c r="A187" s="67"/>
      <c r="B187" s="67"/>
      <c r="C187" s="67"/>
      <c r="D187" s="67"/>
    </row>
    <row r="188" spans="1:4" ht="32.4">
      <c r="A188" s="67"/>
      <c r="B188" s="67"/>
      <c r="C188" s="67"/>
      <c r="D188" s="67"/>
    </row>
    <row r="189" spans="1:4" ht="32.4">
      <c r="A189" s="67"/>
      <c r="B189" s="67"/>
      <c r="C189" s="67"/>
      <c r="D189" s="67"/>
    </row>
    <row r="190" spans="1:4" ht="32.4">
      <c r="A190" s="67"/>
      <c r="B190" s="67"/>
      <c r="C190" s="67"/>
      <c r="D190" s="67"/>
    </row>
    <row r="191" spans="1:4" ht="32.4">
      <c r="A191" s="67"/>
      <c r="B191" s="67"/>
      <c r="C191" s="67"/>
      <c r="D191" s="67"/>
    </row>
    <row r="192" spans="1:4" ht="32.4">
      <c r="A192" s="67"/>
      <c r="B192" s="67"/>
      <c r="C192" s="67"/>
      <c r="D192" s="67"/>
    </row>
    <row r="193" spans="1:4" ht="32.4">
      <c r="A193" s="67"/>
      <c r="B193" s="67"/>
      <c r="C193" s="67"/>
      <c r="D193" s="67"/>
    </row>
    <row r="194" spans="1:4" ht="32.4">
      <c r="A194" s="67"/>
      <c r="B194" s="67"/>
      <c r="C194" s="67"/>
      <c r="D194" s="67"/>
    </row>
    <row r="195" spans="1:4" ht="32.4">
      <c r="A195" s="67"/>
      <c r="B195" s="67"/>
      <c r="C195" s="67"/>
      <c r="D195" s="67"/>
    </row>
    <row r="196" spans="1:4" ht="32.4">
      <c r="A196" s="67"/>
      <c r="B196" s="67"/>
      <c r="C196" s="67"/>
      <c r="D196" s="67"/>
    </row>
    <row r="197" spans="1:4" ht="32.4">
      <c r="A197" s="67"/>
      <c r="B197" s="67"/>
      <c r="C197" s="67"/>
      <c r="D197" s="67"/>
    </row>
    <row r="198" spans="1:4" ht="32.4">
      <c r="A198" s="67"/>
      <c r="B198" s="67"/>
      <c r="C198" s="67"/>
      <c r="D198" s="67"/>
    </row>
    <row r="199" spans="1:4" ht="32.4">
      <c r="A199" s="67"/>
      <c r="B199" s="67"/>
      <c r="C199" s="67"/>
      <c r="D199" s="67"/>
    </row>
    <row r="200" spans="1:4" ht="32.4">
      <c r="A200" s="67"/>
      <c r="B200" s="67"/>
      <c r="C200" s="67"/>
      <c r="D200" s="67"/>
    </row>
    <row r="201" spans="1:4" ht="32.4">
      <c r="A201" s="67"/>
      <c r="B201" s="67"/>
      <c r="C201" s="67"/>
      <c r="D201" s="67"/>
    </row>
    <row r="202" spans="1:4" ht="32.4">
      <c r="A202" s="67"/>
      <c r="B202" s="67"/>
      <c r="C202" s="67"/>
      <c r="D202" s="67"/>
    </row>
    <row r="203" spans="1:4" ht="32.4">
      <c r="A203" s="67"/>
      <c r="B203" s="67"/>
      <c r="C203" s="67"/>
      <c r="D203" s="67"/>
    </row>
    <row r="204" spans="1:4" ht="32.4">
      <c r="A204" s="67"/>
      <c r="B204" s="67"/>
      <c r="C204" s="67"/>
      <c r="D204" s="67"/>
    </row>
    <row r="205" spans="1:4" ht="32.4">
      <c r="A205" s="67"/>
      <c r="B205" s="67"/>
      <c r="C205" s="67"/>
      <c r="D205" s="67"/>
    </row>
    <row r="206" spans="1:4" ht="32.4">
      <c r="A206" s="67"/>
      <c r="B206" s="67"/>
      <c r="C206" s="67"/>
      <c r="D206" s="67"/>
    </row>
    <row r="207" spans="1:4" ht="32.4">
      <c r="A207" s="67"/>
      <c r="B207" s="67"/>
      <c r="C207" s="67"/>
      <c r="D207" s="67"/>
    </row>
    <row r="208" spans="1:4" ht="32.4">
      <c r="A208" s="67"/>
      <c r="B208" s="67"/>
      <c r="C208" s="67"/>
      <c r="D208" s="67"/>
    </row>
    <row r="209" spans="1:4" ht="32.4">
      <c r="A209" s="67"/>
      <c r="B209" s="67"/>
      <c r="C209" s="67"/>
      <c r="D209" s="67"/>
    </row>
    <row r="210" spans="1:4" ht="32.4">
      <c r="A210" s="67"/>
      <c r="B210" s="67"/>
      <c r="C210" s="67"/>
      <c r="D210" s="67"/>
    </row>
    <row r="211" spans="1:4" ht="32.4">
      <c r="A211" s="67"/>
      <c r="B211" s="67"/>
      <c r="C211" s="67"/>
      <c r="D211" s="67"/>
    </row>
    <row r="212" spans="1:4" ht="32.4">
      <c r="A212" s="67"/>
      <c r="B212" s="67"/>
      <c r="C212" s="67"/>
      <c r="D212" s="67"/>
    </row>
    <row r="213" spans="1:4" ht="32.4">
      <c r="A213" s="67"/>
      <c r="B213" s="67"/>
      <c r="C213" s="67"/>
      <c r="D213" s="67"/>
    </row>
    <row r="214" spans="1:4" ht="32.4">
      <c r="A214" s="67"/>
      <c r="B214" s="67"/>
      <c r="C214" s="67"/>
      <c r="D214" s="67"/>
    </row>
    <row r="215" spans="1:4" ht="32.4">
      <c r="A215" s="67"/>
      <c r="B215" s="67"/>
      <c r="C215" s="67"/>
      <c r="D215" s="67"/>
    </row>
    <row r="216" spans="1:4" ht="32.4">
      <c r="A216" s="67"/>
      <c r="B216" s="67"/>
      <c r="C216" s="67"/>
      <c r="D216" s="67"/>
    </row>
    <row r="217" spans="1:4" ht="32.4">
      <c r="A217" s="67"/>
      <c r="B217" s="67"/>
      <c r="C217" s="67"/>
      <c r="D217" s="67"/>
    </row>
    <row r="218" spans="1:4" ht="32.4">
      <c r="A218" s="67"/>
      <c r="B218" s="67"/>
      <c r="C218" s="67"/>
      <c r="D218" s="67"/>
    </row>
    <row r="219" spans="1:4" ht="32.4">
      <c r="A219" s="67"/>
      <c r="B219" s="67"/>
      <c r="C219" s="67"/>
      <c r="D219" s="67"/>
    </row>
    <row r="220" spans="1:4" ht="32.4">
      <c r="A220" s="67"/>
      <c r="B220" s="67"/>
      <c r="C220" s="67"/>
      <c r="D220" s="67"/>
    </row>
    <row r="221" spans="1:4" ht="32.4">
      <c r="A221" s="67"/>
      <c r="B221" s="67"/>
      <c r="C221" s="67"/>
      <c r="D221" s="67"/>
    </row>
    <row r="222" spans="1:4" ht="32.4">
      <c r="A222" s="67"/>
      <c r="B222" s="67"/>
      <c r="C222" s="67"/>
      <c r="D222" s="67"/>
    </row>
    <row r="223" spans="1:4" ht="32.4">
      <c r="A223" s="67"/>
      <c r="B223" s="67"/>
      <c r="C223" s="67"/>
      <c r="D223" s="67"/>
    </row>
    <row r="224" spans="1:4" ht="32.4">
      <c r="A224" s="67"/>
      <c r="B224" s="67"/>
      <c r="C224" s="67"/>
      <c r="D224" s="67"/>
    </row>
    <row r="225" spans="1:4" ht="32.4">
      <c r="A225" s="67"/>
      <c r="B225" s="67"/>
      <c r="C225" s="67"/>
      <c r="D225" s="67"/>
    </row>
    <row r="226" spans="1:4" ht="32.4">
      <c r="A226" s="67"/>
      <c r="B226" s="67"/>
      <c r="C226" s="67"/>
      <c r="D226" s="67"/>
    </row>
    <row r="227" spans="1:4" ht="32.4">
      <c r="A227" s="67"/>
      <c r="B227" s="67"/>
      <c r="C227" s="67"/>
      <c r="D227" s="67"/>
    </row>
    <row r="228" spans="1:4" ht="32.4">
      <c r="A228" s="67"/>
      <c r="B228" s="67"/>
      <c r="C228" s="67"/>
      <c r="D228" s="67"/>
    </row>
    <row r="229" spans="1:4" ht="32.4">
      <c r="A229" s="67"/>
      <c r="B229" s="67"/>
      <c r="C229" s="67"/>
      <c r="D229" s="67"/>
    </row>
    <row r="230" spans="1:4" ht="32.4">
      <c r="A230" s="67"/>
      <c r="B230" s="67"/>
      <c r="C230" s="67"/>
      <c r="D230" s="67"/>
    </row>
    <row r="231" spans="1:4" ht="32.4">
      <c r="A231" s="67"/>
      <c r="B231" s="67"/>
      <c r="C231" s="67"/>
      <c r="D231" s="67"/>
    </row>
    <row r="232" spans="1:4" ht="32.4">
      <c r="A232" s="67"/>
      <c r="B232" s="67"/>
      <c r="C232" s="67"/>
      <c r="D232" s="67"/>
    </row>
    <row r="233" spans="1:4" ht="32.4">
      <c r="A233" s="67"/>
      <c r="B233" s="67"/>
      <c r="C233" s="67"/>
      <c r="D233" s="67"/>
    </row>
    <row r="234" spans="1:4" ht="32.4">
      <c r="A234" s="67"/>
      <c r="B234" s="67"/>
      <c r="C234" s="67"/>
      <c r="D234" s="67"/>
    </row>
    <row r="235" spans="1:4" ht="32.4">
      <c r="A235" s="67"/>
      <c r="B235" s="67"/>
      <c r="C235" s="67"/>
      <c r="D235" s="67"/>
    </row>
    <row r="236" spans="1:4" ht="32.4">
      <c r="A236" s="67"/>
      <c r="B236" s="67"/>
      <c r="C236" s="67"/>
      <c r="D236" s="67"/>
    </row>
    <row r="237" spans="1:4" ht="32.4">
      <c r="A237" s="67"/>
      <c r="B237" s="67"/>
      <c r="C237" s="67"/>
      <c r="D237" s="67"/>
    </row>
    <row r="238" spans="1:4" ht="32.4">
      <c r="A238" s="67"/>
      <c r="B238" s="67"/>
      <c r="C238" s="67"/>
      <c r="D238" s="67"/>
    </row>
    <row r="239" spans="1:4" ht="32.4">
      <c r="A239" s="67"/>
      <c r="B239" s="67"/>
      <c r="C239" s="67"/>
      <c r="D239" s="67"/>
    </row>
    <row r="240" spans="1:4" ht="32.4">
      <c r="A240" s="67"/>
      <c r="B240" s="67"/>
      <c r="C240" s="67"/>
      <c r="D240" s="67"/>
    </row>
    <row r="241" spans="1:4" ht="32.4">
      <c r="A241" s="67"/>
      <c r="B241" s="67"/>
      <c r="C241" s="67"/>
      <c r="D241" s="67"/>
    </row>
    <row r="242" spans="1:4" ht="32.4">
      <c r="A242" s="67"/>
      <c r="B242" s="67"/>
      <c r="C242" s="67"/>
      <c r="D242" s="67"/>
    </row>
    <row r="243" spans="1:4" ht="32.4">
      <c r="A243" s="67"/>
      <c r="B243" s="67"/>
      <c r="C243" s="67"/>
      <c r="D243" s="67"/>
    </row>
    <row r="244" spans="1:4" ht="32.4">
      <c r="A244" s="67"/>
      <c r="B244" s="67"/>
      <c r="C244" s="67"/>
      <c r="D244" s="67"/>
    </row>
    <row r="245" spans="1:4" ht="32.4">
      <c r="A245" s="67"/>
      <c r="B245" s="67"/>
      <c r="C245" s="67"/>
      <c r="D245" s="67"/>
    </row>
    <row r="246" spans="1:4" ht="32.4">
      <c r="A246" s="67"/>
      <c r="B246" s="67"/>
      <c r="C246" s="67"/>
      <c r="D246" s="67"/>
    </row>
    <row r="247" spans="1:4" ht="32.4">
      <c r="A247" s="67"/>
      <c r="B247" s="67"/>
      <c r="C247" s="67"/>
      <c r="D247" s="67"/>
    </row>
    <row r="248" spans="1:4" ht="32.4">
      <c r="A248" s="67"/>
      <c r="B248" s="67"/>
      <c r="C248" s="67"/>
      <c r="D248" s="67"/>
    </row>
    <row r="249" spans="1:4" ht="32.4">
      <c r="A249" s="67"/>
      <c r="B249" s="67"/>
      <c r="C249" s="67"/>
      <c r="D249" s="67"/>
    </row>
    <row r="250" spans="1:4" ht="32.4">
      <c r="A250" s="67"/>
      <c r="B250" s="67"/>
      <c r="C250" s="67"/>
      <c r="D250" s="67"/>
    </row>
    <row r="251" spans="1:4" ht="32.4">
      <c r="A251" s="67"/>
      <c r="B251" s="67"/>
      <c r="C251" s="67"/>
      <c r="D251" s="67"/>
    </row>
    <row r="252" spans="1:4" ht="32.4">
      <c r="A252" s="67"/>
      <c r="B252" s="67"/>
      <c r="C252" s="67"/>
      <c r="D252" s="67"/>
    </row>
    <row r="253" spans="1:4" ht="32.4">
      <c r="A253" s="67"/>
      <c r="B253" s="67"/>
      <c r="C253" s="67"/>
      <c r="D253" s="67"/>
    </row>
    <row r="254" spans="1:4" ht="32.4">
      <c r="A254" s="67"/>
      <c r="B254" s="67"/>
      <c r="C254" s="67"/>
      <c r="D254" s="67"/>
    </row>
    <row r="255" spans="1:4" ht="32.4">
      <c r="A255" s="67"/>
      <c r="B255" s="67"/>
      <c r="C255" s="67"/>
      <c r="D255" s="67"/>
    </row>
    <row r="256" spans="1:4" ht="32.4">
      <c r="A256" s="67"/>
      <c r="B256" s="67"/>
      <c r="C256" s="67"/>
      <c r="D256" s="67"/>
    </row>
    <row r="257" spans="1:4" ht="32.4">
      <c r="A257" s="67"/>
      <c r="B257" s="67"/>
      <c r="C257" s="67"/>
      <c r="D257" s="67"/>
    </row>
    <row r="258" spans="1:4" ht="32.4">
      <c r="A258" s="67"/>
      <c r="B258" s="67"/>
      <c r="C258" s="67"/>
      <c r="D258" s="67"/>
    </row>
    <row r="259" spans="1:4" ht="32.4">
      <c r="A259" s="67"/>
      <c r="B259" s="67"/>
      <c r="C259" s="67"/>
      <c r="D259" s="67"/>
    </row>
    <row r="260" spans="1:4" ht="32.4">
      <c r="A260" s="67"/>
      <c r="B260" s="67"/>
      <c r="C260" s="67"/>
      <c r="D260" s="67"/>
    </row>
    <row r="261" spans="1:4" ht="32.4">
      <c r="A261" s="67"/>
      <c r="B261" s="67"/>
      <c r="C261" s="67"/>
      <c r="D261" s="67"/>
    </row>
    <row r="262" spans="1:4" ht="32.4">
      <c r="A262" s="67"/>
      <c r="B262" s="67"/>
      <c r="C262" s="67"/>
      <c r="D262" s="67"/>
    </row>
    <row r="263" spans="1:4" ht="32.4">
      <c r="A263" s="67"/>
      <c r="B263" s="67"/>
      <c r="C263" s="67"/>
      <c r="D263" s="67"/>
    </row>
    <row r="264" spans="1:4" ht="32.4">
      <c r="A264" s="67"/>
      <c r="B264" s="67"/>
      <c r="C264" s="67"/>
      <c r="D264" s="67"/>
    </row>
    <row r="265" spans="1:4" ht="32.4">
      <c r="A265" s="67"/>
      <c r="B265" s="67"/>
      <c r="C265" s="67"/>
      <c r="D265" s="67"/>
    </row>
    <row r="266" spans="1:4" ht="32.4">
      <c r="A266" s="67"/>
      <c r="B266" s="67"/>
      <c r="C266" s="67"/>
      <c r="D266" s="67"/>
    </row>
    <row r="267" spans="1:4" ht="32.4">
      <c r="A267" s="67"/>
      <c r="B267" s="67"/>
      <c r="C267" s="67"/>
      <c r="D267" s="67"/>
    </row>
    <row r="268" spans="1:4" ht="32.4">
      <c r="A268" s="67"/>
      <c r="B268" s="67"/>
      <c r="C268" s="67"/>
      <c r="D268" s="67"/>
    </row>
    <row r="269" spans="1:4" ht="32.4">
      <c r="A269" s="67"/>
      <c r="B269" s="67"/>
      <c r="C269" s="67"/>
      <c r="D269" s="67"/>
    </row>
    <row r="270" spans="1:4" ht="32.4">
      <c r="A270" s="67"/>
      <c r="B270" s="67"/>
      <c r="C270" s="67"/>
      <c r="D270" s="67"/>
    </row>
    <row r="271" spans="1:4" ht="32.4">
      <c r="A271" s="67"/>
      <c r="B271" s="67"/>
      <c r="C271" s="67"/>
      <c r="D271" s="67"/>
    </row>
    <row r="272" spans="1:4" ht="32.4">
      <c r="A272" s="67"/>
      <c r="B272" s="67"/>
      <c r="C272" s="67"/>
      <c r="D272" s="67"/>
    </row>
    <row r="273" spans="1:4" ht="32.4">
      <c r="A273" s="67"/>
      <c r="B273" s="67"/>
      <c r="C273" s="67"/>
      <c r="D273" s="67"/>
    </row>
    <row r="274" spans="1:4" ht="32.4">
      <c r="A274" s="67"/>
      <c r="B274" s="67"/>
      <c r="C274" s="67"/>
      <c r="D274" s="67"/>
    </row>
    <row r="275" spans="1:4" ht="32.4">
      <c r="A275" s="67"/>
      <c r="B275" s="67"/>
      <c r="C275" s="67"/>
      <c r="D275" s="67"/>
    </row>
    <row r="276" spans="1:4" ht="32.4">
      <c r="A276" s="67"/>
      <c r="B276" s="67"/>
      <c r="C276" s="67"/>
      <c r="D276" s="67"/>
    </row>
    <row r="277" spans="1:4" ht="32.4">
      <c r="A277" s="67"/>
      <c r="B277" s="67"/>
      <c r="C277" s="67"/>
      <c r="D277" s="67"/>
    </row>
    <row r="278" spans="1:4" ht="32.4">
      <c r="A278" s="67"/>
      <c r="B278" s="67"/>
      <c r="C278" s="67"/>
      <c r="D278" s="67"/>
    </row>
    <row r="279" spans="1:4" ht="32.4">
      <c r="A279" s="67"/>
      <c r="B279" s="67"/>
      <c r="C279" s="67"/>
      <c r="D279" s="67"/>
    </row>
    <row r="280" spans="1:4" ht="32.4">
      <c r="A280" s="67"/>
      <c r="B280" s="67"/>
      <c r="C280" s="67"/>
      <c r="D280" s="67"/>
    </row>
    <row r="281" spans="1:4" ht="32.4">
      <c r="A281" s="67"/>
      <c r="B281" s="67"/>
      <c r="C281" s="67"/>
      <c r="D281" s="67"/>
    </row>
    <row r="282" spans="1:4" ht="32.4">
      <c r="A282" s="67"/>
      <c r="B282" s="67"/>
      <c r="C282" s="67"/>
      <c r="D282" s="67"/>
    </row>
    <row r="283" spans="1:4" ht="32.4">
      <c r="A283" s="67"/>
      <c r="B283" s="67"/>
      <c r="C283" s="67"/>
      <c r="D283" s="67"/>
    </row>
    <row r="284" spans="1:4" ht="32.4">
      <c r="A284" s="67"/>
      <c r="B284" s="67"/>
      <c r="C284" s="67"/>
      <c r="D284" s="67"/>
    </row>
    <row r="285" spans="1:4" ht="32.4">
      <c r="A285" s="67"/>
      <c r="B285" s="67"/>
      <c r="C285" s="67"/>
      <c r="D285" s="67"/>
    </row>
    <row r="286" spans="1:4" ht="32.4">
      <c r="A286" s="67"/>
      <c r="B286" s="67"/>
      <c r="C286" s="67"/>
      <c r="D286" s="67"/>
    </row>
    <row r="287" spans="1:4" ht="32.4">
      <c r="A287" s="67"/>
      <c r="B287" s="67"/>
      <c r="C287" s="67"/>
      <c r="D287" s="67"/>
    </row>
    <row r="288" spans="1:4" ht="32.4">
      <c r="A288" s="67"/>
      <c r="B288" s="67"/>
      <c r="C288" s="67"/>
      <c r="D288" s="67"/>
    </row>
    <row r="289" spans="1:4" ht="32.4">
      <c r="A289" s="67"/>
      <c r="B289" s="67"/>
      <c r="C289" s="67"/>
      <c r="D289" s="67"/>
    </row>
    <row r="290" spans="1:4" ht="32.4">
      <c r="A290" s="67"/>
      <c r="B290" s="67"/>
      <c r="C290" s="67"/>
      <c r="D290" s="67"/>
    </row>
    <row r="291" spans="1:4" ht="32.4">
      <c r="A291" s="67"/>
      <c r="B291" s="67"/>
      <c r="C291" s="67"/>
      <c r="D291" s="67"/>
    </row>
    <row r="292" spans="1:4" ht="32.4">
      <c r="A292" s="67"/>
      <c r="B292" s="67"/>
      <c r="C292" s="67"/>
      <c r="D292" s="67"/>
    </row>
    <row r="293" spans="1:4" ht="32.4">
      <c r="A293" s="67"/>
      <c r="B293" s="67"/>
      <c r="C293" s="67"/>
      <c r="D293" s="67"/>
    </row>
    <row r="294" spans="1:4" ht="32.4">
      <c r="A294" s="67"/>
      <c r="B294" s="67"/>
      <c r="C294" s="67"/>
      <c r="D294" s="67"/>
    </row>
    <row r="295" spans="1:4" ht="32.4">
      <c r="A295" s="67"/>
      <c r="B295" s="67"/>
      <c r="C295" s="67"/>
      <c r="D295" s="67"/>
    </row>
    <row r="296" spans="1:4" ht="32.4">
      <c r="A296" s="67"/>
      <c r="B296" s="67"/>
      <c r="C296" s="67"/>
      <c r="D296" s="67"/>
    </row>
    <row r="297" spans="1:4" ht="32.4">
      <c r="A297" s="67"/>
      <c r="B297" s="67"/>
      <c r="C297" s="67"/>
      <c r="D297" s="67"/>
    </row>
    <row r="298" spans="1:4" ht="32.4">
      <c r="A298" s="67"/>
      <c r="B298" s="67"/>
      <c r="C298" s="67"/>
      <c r="D298" s="67"/>
    </row>
    <row r="299" spans="1:4" ht="32.4">
      <c r="A299" s="67"/>
      <c r="B299" s="67"/>
      <c r="C299" s="67"/>
      <c r="D299" s="67"/>
    </row>
    <row r="300" spans="1:4" ht="32.4">
      <c r="A300" s="67"/>
      <c r="B300" s="67"/>
      <c r="C300" s="67"/>
      <c r="D300" s="67"/>
    </row>
    <row r="301" spans="1:4" ht="32.4">
      <c r="A301" s="67"/>
      <c r="B301" s="67"/>
      <c r="C301" s="67"/>
      <c r="D301" s="67"/>
    </row>
    <row r="302" spans="1:4" ht="32.4">
      <c r="A302" s="67"/>
      <c r="B302" s="67"/>
      <c r="C302" s="67"/>
      <c r="D302" s="67"/>
    </row>
    <row r="303" spans="1:4" ht="32.4">
      <c r="A303" s="67"/>
      <c r="B303" s="67"/>
      <c r="C303" s="67"/>
      <c r="D303" s="67"/>
    </row>
    <row r="304" spans="1:4" ht="32.4">
      <c r="A304" s="67"/>
      <c r="B304" s="67"/>
      <c r="C304" s="67"/>
      <c r="D304" s="67"/>
    </row>
    <row r="305" spans="1:4" ht="32.4">
      <c r="A305" s="67"/>
      <c r="B305" s="67"/>
      <c r="C305" s="67"/>
      <c r="D305" s="67"/>
    </row>
    <row r="306" spans="1:4" ht="32.4">
      <c r="A306" s="67"/>
      <c r="B306" s="67"/>
      <c r="C306" s="67"/>
      <c r="D306" s="67"/>
    </row>
    <row r="307" spans="1:4" ht="32.4">
      <c r="A307" s="67"/>
      <c r="B307" s="67"/>
      <c r="C307" s="67"/>
      <c r="D307" s="67"/>
    </row>
    <row r="308" spans="1:4" ht="32.4">
      <c r="A308" s="67"/>
      <c r="B308" s="67"/>
      <c r="C308" s="67"/>
      <c r="D308" s="67"/>
    </row>
    <row r="309" spans="1:4" ht="32.4">
      <c r="A309" s="67"/>
      <c r="B309" s="67"/>
      <c r="C309" s="67"/>
      <c r="D309" s="67"/>
    </row>
    <row r="310" spans="1:4" ht="32.4">
      <c r="A310" s="67"/>
      <c r="B310" s="67"/>
      <c r="C310" s="67"/>
      <c r="D310" s="67"/>
    </row>
    <row r="311" spans="1:4" ht="32.4">
      <c r="A311" s="67"/>
      <c r="B311" s="67"/>
      <c r="C311" s="67"/>
      <c r="D311" s="67"/>
    </row>
    <row r="312" spans="1:4" ht="32.4">
      <c r="A312" s="67"/>
      <c r="B312" s="67"/>
      <c r="C312" s="67"/>
      <c r="D312" s="67"/>
    </row>
    <row r="313" spans="1:4" ht="32.4">
      <c r="A313" s="67"/>
      <c r="B313" s="67"/>
      <c r="C313" s="67"/>
      <c r="D313" s="67"/>
    </row>
    <row r="314" spans="1:4" ht="32.4">
      <c r="A314" s="67"/>
      <c r="B314" s="67"/>
      <c r="C314" s="67"/>
      <c r="D314" s="67"/>
    </row>
    <row r="315" spans="1:4" ht="32.4">
      <c r="A315" s="67"/>
      <c r="B315" s="67"/>
      <c r="C315" s="67"/>
      <c r="D315" s="67"/>
    </row>
    <row r="316" spans="1:4" ht="32.4">
      <c r="A316" s="67"/>
      <c r="B316" s="67"/>
      <c r="C316" s="67"/>
      <c r="D316" s="67"/>
    </row>
    <row r="317" spans="1:4" ht="32.4">
      <c r="A317" s="67"/>
      <c r="B317" s="67"/>
      <c r="C317" s="67"/>
      <c r="D317" s="67"/>
    </row>
    <row r="318" spans="1:4" ht="32.4">
      <c r="A318" s="67"/>
      <c r="B318" s="67"/>
      <c r="C318" s="67"/>
      <c r="D318" s="67"/>
    </row>
    <row r="319" spans="1:4" ht="32.4">
      <c r="A319" s="67"/>
      <c r="B319" s="67"/>
      <c r="C319" s="67"/>
      <c r="D319" s="67"/>
    </row>
    <row r="320" spans="1:4" ht="32.4">
      <c r="A320" s="67"/>
      <c r="B320" s="67"/>
      <c r="C320" s="67"/>
      <c r="D320" s="67"/>
    </row>
    <row r="321" spans="1:4" ht="32.4">
      <c r="A321" s="67"/>
      <c r="B321" s="67"/>
      <c r="C321" s="67"/>
      <c r="D321" s="67"/>
    </row>
    <row r="322" spans="1:4" ht="32.4">
      <c r="A322" s="67"/>
      <c r="B322" s="67"/>
      <c r="C322" s="67"/>
      <c r="D322" s="67"/>
    </row>
    <row r="323" spans="1:4" ht="32.4">
      <c r="A323" s="67"/>
      <c r="B323" s="67"/>
      <c r="C323" s="67"/>
      <c r="D323" s="67"/>
    </row>
    <row r="324" spans="1:4" ht="32.4">
      <c r="A324" s="67"/>
      <c r="B324" s="67"/>
      <c r="C324" s="67"/>
      <c r="D324" s="67"/>
    </row>
    <row r="325" spans="1:4" ht="32.4">
      <c r="A325" s="67"/>
      <c r="B325" s="67"/>
      <c r="C325" s="67"/>
      <c r="D325" s="67"/>
    </row>
    <row r="326" spans="1:4" ht="32.4">
      <c r="A326" s="67"/>
      <c r="B326" s="67"/>
      <c r="C326" s="67"/>
      <c r="D326" s="67"/>
    </row>
    <row r="327" spans="1:4" ht="32.4">
      <c r="A327" s="67"/>
      <c r="B327" s="67"/>
      <c r="C327" s="67"/>
      <c r="D327" s="67"/>
    </row>
    <row r="328" spans="1:4" ht="32.4">
      <c r="A328" s="67"/>
      <c r="B328" s="67"/>
      <c r="C328" s="67"/>
      <c r="D328" s="67"/>
    </row>
    <row r="329" spans="1:4" ht="32.4">
      <c r="A329" s="67"/>
      <c r="B329" s="67"/>
      <c r="C329" s="67"/>
      <c r="D329" s="67"/>
    </row>
    <row r="330" spans="1:4" ht="32.4">
      <c r="A330" s="67"/>
      <c r="B330" s="67"/>
      <c r="C330" s="67"/>
      <c r="D330" s="67"/>
    </row>
    <row r="331" spans="1:4" ht="32.4">
      <c r="A331" s="67"/>
      <c r="B331" s="67"/>
      <c r="C331" s="67"/>
      <c r="D331" s="67"/>
    </row>
    <row r="332" spans="1:4" ht="32.4">
      <c r="A332" s="67"/>
      <c r="B332" s="67"/>
      <c r="C332" s="67"/>
      <c r="D332" s="67"/>
    </row>
    <row r="333" spans="1:4" ht="32.4">
      <c r="A333" s="67"/>
      <c r="B333" s="67"/>
      <c r="C333" s="67"/>
      <c r="D333" s="67"/>
    </row>
    <row r="334" spans="1:4" ht="32.4">
      <c r="A334" s="67"/>
      <c r="B334" s="67"/>
      <c r="C334" s="67"/>
      <c r="D334" s="67"/>
    </row>
    <row r="335" spans="1:4" ht="32.4">
      <c r="A335" s="67"/>
      <c r="B335" s="67"/>
      <c r="C335" s="67"/>
      <c r="D335" s="67"/>
    </row>
    <row r="336" spans="1:4" ht="32.4">
      <c r="A336" s="67"/>
      <c r="B336" s="67"/>
      <c r="C336" s="67"/>
      <c r="D336" s="67"/>
    </row>
    <row r="337" spans="1:4" ht="32.4">
      <c r="A337" s="67"/>
      <c r="B337" s="67"/>
      <c r="C337" s="67"/>
      <c r="D337" s="67"/>
    </row>
    <row r="338" spans="1:4" ht="32.4">
      <c r="A338" s="67"/>
      <c r="B338" s="67"/>
      <c r="C338" s="67"/>
      <c r="D338" s="67"/>
    </row>
    <row r="339" spans="1:4" ht="32.4">
      <c r="A339" s="67"/>
      <c r="B339" s="67"/>
      <c r="C339" s="67"/>
      <c r="D339" s="67"/>
    </row>
    <row r="340" spans="1:4" ht="32.4">
      <c r="A340" s="67"/>
      <c r="B340" s="67"/>
      <c r="C340" s="67"/>
      <c r="D340" s="67"/>
    </row>
    <row r="341" spans="1:4" ht="32.4">
      <c r="A341" s="67"/>
      <c r="B341" s="67"/>
      <c r="C341" s="67"/>
      <c r="D341" s="67"/>
    </row>
    <row r="342" spans="1:4" ht="32.4">
      <c r="A342" s="67"/>
      <c r="B342" s="67"/>
      <c r="C342" s="67"/>
      <c r="D342" s="67"/>
    </row>
    <row r="343" spans="1:4" ht="32.4">
      <c r="A343" s="67"/>
      <c r="B343" s="67"/>
      <c r="C343" s="67"/>
      <c r="D343" s="67"/>
    </row>
    <row r="344" spans="1:4" ht="32.4">
      <c r="A344" s="67"/>
      <c r="B344" s="67"/>
      <c r="C344" s="67"/>
      <c r="D344" s="67"/>
    </row>
    <row r="345" spans="1:4" ht="32.4">
      <c r="A345" s="67"/>
      <c r="B345" s="67"/>
      <c r="C345" s="67"/>
      <c r="D345" s="67"/>
    </row>
    <row r="346" spans="1:4" ht="32.4">
      <c r="A346" s="67"/>
      <c r="B346" s="67"/>
      <c r="C346" s="67"/>
      <c r="D346" s="67"/>
    </row>
    <row r="347" spans="1:4" ht="32.4">
      <c r="A347" s="67"/>
      <c r="B347" s="67"/>
      <c r="C347" s="67"/>
      <c r="D347" s="67"/>
    </row>
    <row r="348" spans="1:4" ht="32.4">
      <c r="A348" s="67"/>
      <c r="B348" s="67"/>
      <c r="C348" s="67"/>
      <c r="D348" s="67"/>
    </row>
    <row r="349" spans="1:4" ht="32.4">
      <c r="A349" s="67"/>
      <c r="B349" s="67"/>
      <c r="C349" s="67"/>
      <c r="D349" s="67"/>
    </row>
    <row r="350" spans="1:4" ht="32.4">
      <c r="A350" s="67"/>
      <c r="B350" s="67"/>
      <c r="C350" s="67"/>
      <c r="D350" s="67"/>
    </row>
    <row r="351" spans="1:4" ht="32.4">
      <c r="A351" s="67"/>
      <c r="B351" s="67"/>
      <c r="C351" s="67"/>
      <c r="D351" s="67"/>
    </row>
    <row r="352" spans="1:4" ht="32.4">
      <c r="A352" s="67"/>
      <c r="B352" s="67"/>
      <c r="C352" s="67"/>
      <c r="D352" s="67"/>
    </row>
    <row r="353" spans="1:4" ht="32.4">
      <c r="A353" s="67"/>
      <c r="B353" s="67"/>
      <c r="C353" s="67"/>
      <c r="D353" s="67"/>
    </row>
    <row r="354" spans="1:4" ht="32.4">
      <c r="A354" s="67"/>
      <c r="B354" s="67"/>
      <c r="C354" s="67"/>
      <c r="D354" s="67"/>
    </row>
    <row r="355" spans="1:4" ht="32.4">
      <c r="A355" s="67"/>
      <c r="B355" s="67"/>
      <c r="C355" s="67"/>
      <c r="D355" s="67"/>
    </row>
    <row r="356" spans="1:4" ht="32.4">
      <c r="A356" s="67"/>
      <c r="B356" s="67"/>
      <c r="C356" s="67"/>
      <c r="D356" s="67"/>
    </row>
    <row r="357" spans="1:4" ht="32.4">
      <c r="A357" s="67"/>
      <c r="B357" s="67"/>
      <c r="C357" s="67"/>
      <c r="D357" s="67"/>
    </row>
    <row r="358" spans="1:4" ht="32.4">
      <c r="A358" s="67"/>
      <c r="B358" s="67"/>
      <c r="C358" s="67"/>
      <c r="D358" s="67"/>
    </row>
    <row r="359" spans="1:4" ht="32.4">
      <c r="A359" s="67"/>
      <c r="B359" s="67"/>
      <c r="C359" s="67"/>
      <c r="D359" s="67"/>
    </row>
    <row r="360" spans="1:4" ht="32.4">
      <c r="A360" s="67"/>
      <c r="B360" s="67"/>
      <c r="C360" s="67"/>
      <c r="D360" s="67"/>
    </row>
    <row r="361" spans="1:4" ht="32.4">
      <c r="A361" s="67"/>
      <c r="B361" s="67"/>
      <c r="C361" s="67"/>
      <c r="D361" s="67"/>
    </row>
  </sheetData>
  <mergeCells count="30">
    <mergeCell ref="K8:K10"/>
    <mergeCell ref="J8:J10"/>
    <mergeCell ref="I8:I10"/>
    <mergeCell ref="E8:E10"/>
    <mergeCell ref="F4:I4"/>
    <mergeCell ref="J3:K7"/>
    <mergeCell ref="F5:I5"/>
    <mergeCell ref="F6:I6"/>
    <mergeCell ref="F7:I7"/>
    <mergeCell ref="A8:A10"/>
    <mergeCell ref="B8:B10"/>
    <mergeCell ref="H8:H10"/>
    <mergeCell ref="F8:F10"/>
    <mergeCell ref="D8:D10"/>
    <mergeCell ref="C8:C10"/>
    <mergeCell ref="G8:G10"/>
    <mergeCell ref="C3:D3"/>
    <mergeCell ref="C2:D2"/>
    <mergeCell ref="E5:E7"/>
    <mergeCell ref="A1:K1"/>
    <mergeCell ref="F2:I2"/>
    <mergeCell ref="F3:I3"/>
    <mergeCell ref="J2:K2"/>
    <mergeCell ref="A3:B3"/>
    <mergeCell ref="A4:B4"/>
    <mergeCell ref="A5:B5"/>
    <mergeCell ref="A2:B2"/>
    <mergeCell ref="A6:D7"/>
    <mergeCell ref="C5:D5"/>
    <mergeCell ref="C4:D4"/>
  </mergeCells>
  <pageMargins left="0.743307086614176" right="0.743307086614176" top="0.75" bottom="0.75" header="0.3" footer="0.3"/>
  <pageSetup fitToHeight="0" orientation="landscape" paperSize="9" scale="1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6F091-DEAE-4C3D-BA24-AD7359440EEC}">
  <sheetPr codeName="Sheet6">
    <pageSetUpPr fitToPage="1"/>
  </sheetPr>
  <dimension ref="A1:K20"/>
  <sheetViews>
    <sheetView view="pageBreakPreview" zoomScale="40" zoomScaleNormal="50" zoomScaleSheetLayoutView="40" workbookViewId="0" topLeftCell="A1">
      <selection pane="topLeft" activeCell="A11" sqref="A11:XFD20"/>
    </sheetView>
  </sheetViews>
  <sheetFormatPr defaultColWidth="9.109375" defaultRowHeight="13.5"/>
  <cols>
    <col min="1" max="1" width="11.7142857142857" customWidth="1"/>
    <col min="2" max="2" width="31.8571428571429" customWidth="1"/>
    <col min="3" max="3" width="56.2857142857143" customWidth="1"/>
    <col min="4" max="4" width="31" customWidth="1"/>
    <col min="5" max="5" width="20.5714285714286" customWidth="1"/>
    <col min="6" max="6" width="37.5714285714286" customWidth="1"/>
    <col min="7" max="7" width="29.7142857142857" customWidth="1"/>
    <col min="8" max="8" width="28" customWidth="1"/>
    <col min="9" max="9" width="27.7142857142857" customWidth="1"/>
    <col min="10" max="10" width="111.571428571429" customWidth="1"/>
    <col min="11" max="11" width="16.8571428571429" customWidth="1"/>
  </cols>
  <sheetData>
    <row r="1" spans="1:11" ht="139.2" customHeight="1">
      <c r="A1" s="178" t="s">
        <v>300</v>
      </c>
      <c r="B1" s="179"/>
      <c r="C1" s="179"/>
      <c r="D1" s="179"/>
      <c r="E1" s="179"/>
      <c r="F1" s="179"/>
      <c r="G1" s="179"/>
      <c r="H1" s="179"/>
      <c r="I1" s="179"/>
      <c r="J1" s="179"/>
      <c r="K1" s="180"/>
    </row>
    <row r="2" spans="1:11" ht="29.4" customHeight="1">
      <c r="A2" s="181"/>
      <c r="B2" s="182"/>
      <c r="C2" s="182"/>
      <c r="D2" s="182"/>
      <c r="E2" s="182"/>
      <c r="F2" s="182"/>
      <c r="G2" s="182"/>
      <c r="H2" s="182"/>
      <c r="I2" s="182"/>
      <c r="J2" s="182"/>
      <c r="K2" s="183"/>
    </row>
    <row r="3" spans="1:11" ht="49.95" customHeight="1">
      <c r="A3" s="128" t="s">
        <v>7</v>
      </c>
      <c r="B3" s="128"/>
      <c r="C3" s="20"/>
      <c r="D3" s="10" t="s">
        <v>118</v>
      </c>
      <c r="E3" s="10"/>
      <c r="F3" s="3" t="str">
        <f>TRIM(Data!BF5)</f>
        <v>McKinnis, Stephen</v>
      </c>
      <c r="G3" s="3"/>
      <c r="H3" s="3"/>
      <c r="I3" s="3"/>
      <c r="J3" s="191" t="s">
        <v>4</v>
      </c>
      <c r="K3" s="192"/>
    </row>
    <row r="4" spans="1:11" ht="49.95" customHeight="1">
      <c r="A4" s="126" t="s">
        <v>143</v>
      </c>
      <c r="B4" s="126"/>
      <c r="C4" s="16" t="str">
        <f>TRIM(Data!BC5)</f>
        <v>12125</v>
      </c>
      <c r="D4" s="8" t="s">
        <v>8</v>
      </c>
      <c r="E4" s="8"/>
      <c r="F4" s="3" t="str">
        <f>TRIM(Data!AX5)</f>
        <v>Roller Shutters, Sheers &amp; Screen.</v>
      </c>
      <c r="G4" s="3"/>
      <c r="H4" s="3"/>
      <c r="I4" s="3"/>
      <c r="J4" s="185" t="str">
        <f>TRIM(Data!BG5)</f>
        <v/>
      </c>
      <c r="K4" s="186"/>
    </row>
    <row r="5" spans="1:11" ht="49.95" customHeight="1">
      <c r="A5" s="127" t="s">
        <v>15</v>
      </c>
      <c r="B5" s="127"/>
      <c r="C5" s="16" t="str">
        <f>TRIM(Data!BD5)</f>
        <v>A</v>
      </c>
      <c r="D5" s="8" t="s">
        <v>137</v>
      </c>
      <c r="E5" s="8"/>
      <c r="F5" s="3" t="str">
        <f>LEFT(Data!BA5,10)</f>
        <v>24/09/2026</v>
      </c>
      <c r="G5" s="3"/>
      <c r="H5" s="3"/>
      <c r="I5" s="3"/>
      <c r="J5" s="187"/>
      <c r="K5" s="188"/>
    </row>
    <row r="6" spans="1:11" ht="49.95" customHeight="1">
      <c r="A6" s="2" t="s">
        <v>9</v>
      </c>
      <c r="B6" s="2"/>
      <c r="C6" s="19" t="str">
        <f>TRIM(Data!AY5)</f>
        <v>18/08/2026 12:00:00 AM</v>
      </c>
      <c r="D6" s="4" t="s">
        <v>12</v>
      </c>
      <c r="E6" s="4"/>
      <c r="F6" s="3" t="str">
        <f>TRIM(Data!BF5)</f>
        <v>McKinnis, Stephen</v>
      </c>
      <c r="G6" s="3"/>
      <c r="H6" s="3"/>
      <c r="I6" s="3"/>
      <c r="J6" s="187"/>
      <c r="K6" s="188"/>
    </row>
    <row r="7" spans="1:11" ht="49.95" customHeight="1">
      <c r="A7" s="130" t="str">
        <f>TRIM('Job Sheet'!A7)</f>
        <v>Retail Customer</v>
      </c>
      <c r="B7" s="130"/>
      <c r="C7" s="130"/>
      <c r="D7" s="4"/>
      <c r="E7" s="4"/>
      <c r="F7" s="3" t="str">
        <f>CONCATENATE(Data!BH5," ",Data!BI5," ",Data!BJ5," ",Data!BK5," ",Data!BL5)</f>
        <v xml:space="preserve"> 6  Sorrento Drive </v>
      </c>
      <c r="G7" s="3"/>
      <c r="H7" s="3"/>
      <c r="I7" s="3"/>
      <c r="J7" s="187"/>
      <c r="K7" s="188"/>
    </row>
    <row r="8" spans="1:11" ht="49.95" customHeight="1">
      <c r="A8" s="130"/>
      <c r="B8" s="130"/>
      <c r="C8" s="130"/>
      <c r="D8" s="4"/>
      <c r="E8" s="4"/>
      <c r="F8" s="3" t="str">
        <f>CONCATENATE(Data!BM5," ",Data!BN5," ",Data!BO5," ",Data!BP5)</f>
        <v>Alfredton VIC 3350 Australia</v>
      </c>
      <c r="G8" s="3"/>
      <c r="H8" s="3"/>
      <c r="I8" s="3"/>
      <c r="J8" s="189"/>
      <c r="K8" s="190"/>
    </row>
    <row r="9" spans="1:11" ht="49.95" customHeight="1">
      <c r="A9" s="184" t="s">
        <v>142</v>
      </c>
      <c r="B9" s="168" t="s">
        <v>120</v>
      </c>
      <c r="C9" s="128" t="s">
        <v>219</v>
      </c>
      <c r="D9" s="128" t="s">
        <v>456</v>
      </c>
      <c r="E9" s="128" t="s">
        <v>224</v>
      </c>
      <c r="F9" s="125" t="s">
        <v>214</v>
      </c>
      <c r="G9" s="125" t="s">
        <v>215</v>
      </c>
      <c r="H9" s="125" t="s">
        <v>444</v>
      </c>
      <c r="I9" s="125" t="s">
        <v>452</v>
      </c>
      <c r="J9" s="125" t="s">
        <v>5</v>
      </c>
      <c r="K9" s="125" t="s">
        <v>297</v>
      </c>
    </row>
    <row r="10" spans="1:11" ht="92.4" customHeight="1">
      <c r="A10" s="184"/>
      <c r="B10" s="168"/>
      <c r="C10" s="128"/>
      <c r="D10" s="128"/>
      <c r="E10" s="128"/>
      <c r="F10" s="125"/>
      <c r="G10" s="125"/>
      <c r="H10" s="125"/>
      <c r="I10" s="125"/>
      <c r="J10" s="125"/>
      <c r="K10" s="125"/>
    </row>
    <row r="11" spans="1:11" ht="66">
      <c r="A11" s="15">
        <f>IF(Data!AV11="","",IF(Data!BN11="Invisi-Scape","",Data!AW11))</f>
        <v>7</v>
      </c>
      <c r="B11" s="61" t="str">
        <f>IF(Data!AV11="","",IF(Data!BN11="Invisi-Scape","",Data!AY11))</f>
        <v>Side Light</v>
      </c>
      <c r="C11" s="62" t="str">
        <f>IF(Data!AV11="","",IF(Data!BN11="Invisi-Scape","",Data!BO11))</f>
        <v>Alu-Gard Perforated Aluminium</v>
      </c>
      <c r="D11" s="62" t="str">
        <f>IF(OR(G11="Yes - Horizontal &amp; Vertical",G11="Yes - Centre Horizontal &amp; Vertical"),CONCATENATE(I11," x ",'Job Sheet'!AB11-H11," ",I11," x ",H11," ",'Job Sheet'!AA11-I11," x ",'Job Sheet'!AB11-H11," ",'Job Sheet'!AA11-I11," x ",H12),"")</f>
        <v/>
      </c>
      <c r="E11" s="62" t="str">
        <f>IF(OR(Data!BN11="Invisi-Scape",Data!AV11="",C11="Flywire"),"",CONCATENATE('Job Sheet'!AA11," x ",'Job Sheet'!AB11))</f>
        <v>146 x 2021</v>
      </c>
      <c r="F11" s="62" t="str">
        <f>IF(Data!BN11="Invisi-Scape","",'Job Sheet'!K11)</f>
        <v/>
      </c>
      <c r="G11" s="62" t="str">
        <f>IF(OR(Data!BN11="Invisi-Scape",C11="Flywire"),"",'Job Sheet'!P11)</f>
        <v/>
      </c>
      <c r="H11" s="118" t="str">
        <f>IF(OR(Data!AV11="",Data!BN11="Invisi-Scape",'Job Sheet'!Q11=""),"",IF('Job Sheet'!L11="70mm x 20mm",'Job Sheet'!Q11-59,IF('Job Sheet'!L11="Invisi-Gard 70mm x 20mm",'Job Sheet'!Q11-62,IF(OR('Job Sheet'!L11="Invisi-Gard 37mm x 11mm",'Job Sheet'!L11="Invisi-Gard 37mm x 9mm"),'Job Sheet'!Q11-30,IF('Job Sheet'!L11="37mm x 11mm",'Job Sheet'!Q11-27,"")))))</f>
        <v/>
      </c>
      <c r="I11" s="118" t="str">
        <f>IF(OR(Data!AV11="",Data!BN11="Invisi-Scape",'Job Sheet'!R11=""),"",IF('Job Sheet'!L11="70mm x 20mm",'Job Sheet'!R11-59,IF('Job Sheet'!L11="Invisi-Gard 70mm x 20mm",'Job Sheet'!R11-62,IF(OR('Job Sheet'!L11="Invisi-Gard 37mm x 11mm",'Job Sheet'!L11="Invisi-Gard 37mm x 9mm"),'Job Sheet'!R11-30,IF('Job Sheet'!L11="37mm x 11mm",'Job Sheet'!R11-27,"")))))</f>
        <v/>
      </c>
      <c r="J11" s="62" t="str">
        <f>IF(Data!BN11="Invisi-Scape","",'Job Sheet'!Y11)</f>
        <v>Mesh is on bottom shelf of Assembly A</v>
      </c>
      <c r="K11" s="85">
        <f t="shared" si="0" ref="K11:K20">A11</f>
        <v>7</v>
      </c>
    </row>
    <row r="12" spans="1:11" ht="60" customHeight="1">
      <c r="A12" s="15" t="str">
        <f>IF(Data!AV12="","",IF(Data!BN12="Invisi-Scape","",Data!AW12))</f>
        <v/>
      </c>
      <c r="B12" s="61" t="str">
        <f>IF(Data!AV12="","",IF(Data!BN12="Invisi-Scape","",Data!AY12))</f>
        <v/>
      </c>
      <c r="C12" s="62" t="str">
        <f>IF(Data!AV12="","",IF(Data!BN12="Invisi-Scape","",Data!BO12))</f>
        <v/>
      </c>
      <c r="D12" s="62" t="str">
        <f>IF(OR(G12="Yes - Horizontal &amp; Vertical",G12="Yes - Centre Horizontal &amp; Vertical"),CONCATENATE(I12," x ",'Job Sheet'!AB12-H12," ",I12," x ",H12," ",'Job Sheet'!AA12-I12," x ",'Job Sheet'!AB12-H12," ",'Job Sheet'!AA12-I12," x ",H13),"")</f>
        <v/>
      </c>
      <c r="E12" s="62" t="str">
        <f>IF(OR(Data!BN12="Invisi-Scape",Data!AV12="",C12="Flywire"),"",CONCATENATE('Job Sheet'!AA12," x ",'Job Sheet'!AB12))</f>
        <v/>
      </c>
      <c r="F12" s="62" t="str">
        <f>IF(Data!BN12="Invisi-Scape","",'Job Sheet'!K12)</f>
        <v/>
      </c>
      <c r="G12" s="62" t="str">
        <f>IF(OR(Data!BN12="Invisi-Scape",C12="Flywire"),"",'Job Sheet'!P12)</f>
        <v/>
      </c>
      <c r="H12" s="118" t="str">
        <f>IF(OR(Data!AV12="",Data!BN12="Invisi-Scape",'Job Sheet'!Q12=""),"",IF('Job Sheet'!L12="70mm x 20mm",'Job Sheet'!Q12-59,IF('Job Sheet'!L12="Invisi-Gard 70mm x 20mm",'Job Sheet'!Q12-62,IF(OR('Job Sheet'!L12="Invisi-Gard 37mm x 11mm",'Job Sheet'!L12="Invisi-Gard 37mm x 9mm"),'Job Sheet'!Q12-30,IF('Job Sheet'!L12="37mm x 11mm",'Job Sheet'!Q12-27,"")))))</f>
        <v/>
      </c>
      <c r="I12" s="118" t="str">
        <f>IF(OR(Data!AV12="",Data!BN12="Invisi-Scape",'Job Sheet'!R12=""),"",IF('Job Sheet'!L12="70mm x 20mm",'Job Sheet'!R12-59,IF('Job Sheet'!L12="Invisi-Gard 70mm x 20mm",'Job Sheet'!R12-62,IF(OR('Job Sheet'!L12="Invisi-Gard 37mm x 11mm",'Job Sheet'!L12="Invisi-Gard 37mm x 9mm"),'Job Sheet'!R12-30,IF('Job Sheet'!L12="37mm x 11mm",'Job Sheet'!R12-27,"")))))</f>
        <v/>
      </c>
      <c r="J12" s="62" t="str">
        <f>IF(Data!BN12="Invisi-Scape","",'Job Sheet'!Y12)</f>
        <v/>
      </c>
      <c r="K12" s="85" t="str">
        <f t="shared" si="0"/>
        <v/>
      </c>
    </row>
    <row r="13" spans="1:11" ht="60" customHeight="1">
      <c r="A13" s="15" t="str">
        <f>IF(Data!AV13="","",IF(Data!BN13="Invisi-Scape","",Data!AW13))</f>
        <v/>
      </c>
      <c r="B13" s="61" t="str">
        <f>IF(Data!AV13="","",IF(Data!BN13="Invisi-Scape","",Data!AY13))</f>
        <v/>
      </c>
      <c r="C13" s="62" t="str">
        <f>IF(Data!AV13="","",IF(Data!BN13="Invisi-Scape","",Data!BO13))</f>
        <v/>
      </c>
      <c r="D13" s="62" t="str">
        <f>IF(OR(G13="Yes - Horizontal &amp; Vertical",G13="Yes - Centre Horizontal &amp; Vertical"),CONCATENATE(I13," x ",'Job Sheet'!AB13-H13," ",I13," x ",H13," ",'Job Sheet'!AA13-I13," x ",'Job Sheet'!AB13-H13," ",'Job Sheet'!AA13-I13," x ",H14),"")</f>
        <v/>
      </c>
      <c r="E13" s="62" t="str">
        <f>IF(OR(Data!BN13="Invisi-Scape",Data!AV13="",C13="Flywire"),"",CONCATENATE('Job Sheet'!AA13," x ",'Job Sheet'!AB13))</f>
        <v/>
      </c>
      <c r="F13" s="62" t="str">
        <f>IF(Data!BN13="Invisi-Scape","",'Job Sheet'!K13)</f>
        <v/>
      </c>
      <c r="G13" s="62" t="str">
        <f>IF(OR(Data!BN13="Invisi-Scape",C13="Flywire"),"",'Job Sheet'!P13)</f>
        <v/>
      </c>
      <c r="H13" s="118" t="str">
        <f>IF(OR(Data!AV13="",Data!BN13="Invisi-Scape",'Job Sheet'!Q13=""),"",IF('Job Sheet'!L13="70mm x 20mm",'Job Sheet'!Q13-59,IF('Job Sheet'!L13="Invisi-Gard 70mm x 20mm",'Job Sheet'!Q13-62,IF(OR('Job Sheet'!L13="Invisi-Gard 37mm x 11mm",'Job Sheet'!L13="Invisi-Gard 37mm x 9mm"),'Job Sheet'!Q13-30,IF('Job Sheet'!L13="37mm x 11mm",'Job Sheet'!Q13-27,"")))))</f>
        <v/>
      </c>
      <c r="I13" s="118" t="str">
        <f>IF(OR(Data!AV13="",Data!BN13="Invisi-Scape",'Job Sheet'!R13=""),"",IF('Job Sheet'!L13="70mm x 20mm",'Job Sheet'!R13-59,IF('Job Sheet'!L13="Invisi-Gard 70mm x 20mm",'Job Sheet'!R13-62,IF(OR('Job Sheet'!L13="Invisi-Gard 37mm x 11mm",'Job Sheet'!L13="Invisi-Gard 37mm x 9mm"),'Job Sheet'!R13-30,IF('Job Sheet'!L13="37mm x 11mm",'Job Sheet'!R13-27,"")))))</f>
        <v/>
      </c>
      <c r="J13" s="62" t="str">
        <f>IF(Data!BN13="Invisi-Scape","",'Job Sheet'!Y13)</f>
        <v/>
      </c>
      <c r="K13" s="85" t="str">
        <f t="shared" si="0"/>
        <v/>
      </c>
    </row>
    <row r="14" spans="1:11" ht="60" customHeight="1">
      <c r="A14" s="15" t="str">
        <f>IF(Data!AV14="","",IF(Data!BN14="Invisi-Scape","",Data!AW14))</f>
        <v/>
      </c>
      <c r="B14" s="61" t="str">
        <f>IF(Data!AV14="","",IF(Data!BN14="Invisi-Scape","",Data!AY14))</f>
        <v/>
      </c>
      <c r="C14" s="62" t="str">
        <f>IF(Data!AV14="","",IF(Data!BN14="Invisi-Scape","",Data!BO14))</f>
        <v/>
      </c>
      <c r="D14" s="62" t="str">
        <f>IF(OR(G14="Yes - Horizontal &amp; Vertical",G14="Yes - Centre Horizontal &amp; Vertical"),CONCATENATE(I14," x ",'Job Sheet'!AB14-H14," ",I14," x ",H14," ",'Job Sheet'!AA14-I14," x ",'Job Sheet'!AB14-H14," ",'Job Sheet'!AA14-I14," x ",H15),"")</f>
        <v/>
      </c>
      <c r="E14" s="62" t="str">
        <f>IF(OR(Data!BN14="Invisi-Scape",Data!AV14="",C14="Flywire"),"",CONCATENATE('Job Sheet'!AA14," x ",'Job Sheet'!AB14))</f>
        <v/>
      </c>
      <c r="F14" s="62" t="str">
        <f>IF(Data!BN14="Invisi-Scape","",'Job Sheet'!K14)</f>
        <v/>
      </c>
      <c r="G14" s="62" t="str">
        <f>IF(OR(Data!BN14="Invisi-Scape",C14="Flywire"),"",'Job Sheet'!P14)</f>
        <v/>
      </c>
      <c r="H14" s="118" t="str">
        <f>IF(OR(Data!AV14="",Data!BN14="Invisi-Scape",'Job Sheet'!Q14=""),"",IF('Job Sheet'!L14="70mm x 20mm",'Job Sheet'!Q14-59,IF('Job Sheet'!L14="Invisi-Gard 70mm x 20mm",'Job Sheet'!Q14-62,IF(OR('Job Sheet'!L14="Invisi-Gard 37mm x 11mm",'Job Sheet'!L14="Invisi-Gard 37mm x 9mm"),'Job Sheet'!Q14-30,IF('Job Sheet'!L14="37mm x 11mm",'Job Sheet'!Q14-27,"")))))</f>
        <v/>
      </c>
      <c r="I14" s="118" t="str">
        <f>IF(OR(Data!AV14="",Data!BN14="Invisi-Scape",'Job Sheet'!R14=""),"",IF('Job Sheet'!L14="70mm x 20mm",'Job Sheet'!R14-59,IF('Job Sheet'!L14="Invisi-Gard 70mm x 20mm",'Job Sheet'!R14-62,IF(OR('Job Sheet'!L14="Invisi-Gard 37mm x 11mm",'Job Sheet'!L14="Invisi-Gard 37mm x 9mm"),'Job Sheet'!R14-30,IF('Job Sheet'!L14="37mm x 11mm",'Job Sheet'!R14-27,"")))))</f>
        <v/>
      </c>
      <c r="J14" s="62" t="str">
        <f>IF(Data!BN14="Invisi-Scape","",'Job Sheet'!Y14)</f>
        <v/>
      </c>
      <c r="K14" s="85" t="str">
        <f t="shared" si="0"/>
        <v/>
      </c>
    </row>
    <row r="15" spans="1:11" ht="60" customHeight="1">
      <c r="A15" s="15" t="str">
        <f>IF(Data!AV15="","",IF(Data!BN15="Invisi-Scape","",Data!AW15))</f>
        <v/>
      </c>
      <c r="B15" s="61" t="str">
        <f>IF(Data!AV15="","",IF(Data!BN15="Invisi-Scape","",Data!AY15))</f>
        <v/>
      </c>
      <c r="C15" s="62" t="str">
        <f>IF(Data!AV15="","",IF(Data!BN15="Invisi-Scape","",Data!BO15))</f>
        <v/>
      </c>
      <c r="D15" s="62" t="str">
        <f>IF(OR(G15="Yes - Horizontal &amp; Vertical",G15="Yes - Centre Horizontal &amp; Vertical"),CONCATENATE(I15," x ",'Job Sheet'!AB15-H15," ",I15," x ",H15," ",'Job Sheet'!AA15-I15," x ",'Job Sheet'!AB15-H15," ",'Job Sheet'!AA15-I15," x ",H16),"")</f>
        <v/>
      </c>
      <c r="E15" s="62" t="str">
        <f>IF(OR(Data!BN15="Invisi-Scape",Data!AV15="",C15="Flywire"),"",CONCATENATE('Job Sheet'!AA15," x ",'Job Sheet'!AB15))</f>
        <v/>
      </c>
      <c r="F15" s="62" t="str">
        <f>IF(Data!BN15="Invisi-Scape","",'Job Sheet'!K15)</f>
        <v/>
      </c>
      <c r="G15" s="62" t="str">
        <f>IF(OR(Data!BN15="Invisi-Scape",C15="Flywire"),"",'Job Sheet'!P15)</f>
        <v/>
      </c>
      <c r="H15" s="118" t="str">
        <f>IF(OR(Data!AV15="",Data!BN15="Invisi-Scape",'Job Sheet'!Q15=""),"",IF('Job Sheet'!L15="70mm x 20mm",'Job Sheet'!Q15-59,IF('Job Sheet'!L15="Invisi-Gard 70mm x 20mm",'Job Sheet'!Q15-62,IF(OR('Job Sheet'!L15="Invisi-Gard 37mm x 11mm",'Job Sheet'!L15="Invisi-Gard 37mm x 9mm"),'Job Sheet'!Q15-30,IF('Job Sheet'!L15="37mm x 11mm",'Job Sheet'!Q15-27,"")))))</f>
        <v/>
      </c>
      <c r="I15" s="118" t="str">
        <f>IF(OR(Data!AV15="",Data!BN15="Invisi-Scape",'Job Sheet'!R15=""),"",IF('Job Sheet'!L15="70mm x 20mm",'Job Sheet'!R15-59,IF('Job Sheet'!L15="Invisi-Gard 70mm x 20mm",'Job Sheet'!R15-62,IF(OR('Job Sheet'!L15="Invisi-Gard 37mm x 11mm",'Job Sheet'!L15="Invisi-Gard 37mm x 9mm"),'Job Sheet'!R15-30,IF('Job Sheet'!L15="37mm x 11mm",'Job Sheet'!R15-27,"")))))</f>
        <v/>
      </c>
      <c r="J15" s="62" t="str">
        <f>IF(Data!BN15="Invisi-Scape","",'Job Sheet'!Y15)</f>
        <v/>
      </c>
      <c r="K15" s="85" t="str">
        <f t="shared" si="0"/>
        <v/>
      </c>
    </row>
    <row r="16" spans="1:11" ht="60" customHeight="1">
      <c r="A16" s="15" t="str">
        <f>IF(Data!AV16="","",IF(Data!BN16="Invisi-Scape","",Data!AW16))</f>
        <v/>
      </c>
      <c r="B16" s="61" t="str">
        <f>IF(Data!AV16="","",IF(Data!BN16="Invisi-Scape","",Data!AY16))</f>
        <v/>
      </c>
      <c r="C16" s="62" t="str">
        <f>IF(Data!AV16="","",IF(Data!BN16="Invisi-Scape","",Data!BO16))</f>
        <v/>
      </c>
      <c r="D16" s="62" t="str">
        <f>IF(OR(G16="Yes - Horizontal &amp; Vertical",G16="Yes - Centre Horizontal &amp; Vertical"),CONCATENATE(I16," x ",'Job Sheet'!AB16-H16," ",I16," x ",H16," ",'Job Sheet'!AA16-I16," x ",'Job Sheet'!AB16-H16," ",'Job Sheet'!AA16-I16," x ",H17),"")</f>
        <v/>
      </c>
      <c r="E16" s="62" t="str">
        <f>IF(OR(Data!BN16="Invisi-Scape",Data!AV16="",C16="Flywire"),"",CONCATENATE('Job Sheet'!AA16," x ",'Job Sheet'!AB16))</f>
        <v/>
      </c>
      <c r="F16" s="62" t="str">
        <f>IF(Data!BN16="Invisi-Scape","",'Job Sheet'!K16)</f>
        <v/>
      </c>
      <c r="G16" s="62" t="str">
        <f>IF(OR(Data!BN16="Invisi-Scape",C16="Flywire"),"",'Job Sheet'!P16)</f>
        <v/>
      </c>
      <c r="H16" s="118" t="str">
        <f>IF(OR(Data!AV16="",Data!BN16="Invisi-Scape",'Job Sheet'!Q16=""),"",IF('Job Sheet'!L16="70mm x 20mm",'Job Sheet'!Q16-59,IF('Job Sheet'!L16="Invisi-Gard 70mm x 20mm",'Job Sheet'!Q16-62,IF(OR('Job Sheet'!L16="Invisi-Gard 37mm x 11mm",'Job Sheet'!L16="Invisi-Gard 37mm x 9mm"),'Job Sheet'!Q16-30,IF('Job Sheet'!L16="37mm x 11mm",'Job Sheet'!Q16-27,"")))))</f>
        <v/>
      </c>
      <c r="I16" s="118" t="str">
        <f>IF(OR(Data!AV16="",Data!BN16="Invisi-Scape",'Job Sheet'!R16=""),"",IF('Job Sheet'!L16="70mm x 20mm",'Job Sheet'!R16-59,IF('Job Sheet'!L16="Invisi-Gard 70mm x 20mm",'Job Sheet'!R16-62,IF(OR('Job Sheet'!L16="Invisi-Gard 37mm x 11mm",'Job Sheet'!L16="Invisi-Gard 37mm x 9mm"),'Job Sheet'!R16-30,IF('Job Sheet'!L16="37mm x 11mm",'Job Sheet'!R16-27,"")))))</f>
        <v/>
      </c>
      <c r="J16" s="62" t="str">
        <f>IF(Data!BN16="Invisi-Scape","",'Job Sheet'!Y16)</f>
        <v/>
      </c>
      <c r="K16" s="85" t="str">
        <f t="shared" si="0"/>
        <v/>
      </c>
    </row>
    <row r="17" spans="1:11" ht="60" customHeight="1">
      <c r="A17" s="15" t="str">
        <f>IF(Data!AV17="","",IF(Data!BN17="Invisi-Scape","",Data!AW17))</f>
        <v/>
      </c>
      <c r="B17" s="61" t="str">
        <f>IF(Data!AV17="","",IF(Data!BN17="Invisi-Scape","",Data!AY17))</f>
        <v/>
      </c>
      <c r="C17" s="62" t="str">
        <f>IF(Data!AV17="","",IF(Data!BN17="Invisi-Scape","",Data!BO17))</f>
        <v/>
      </c>
      <c r="D17" s="62" t="str">
        <f>IF(OR(G17="Yes - Horizontal &amp; Vertical",G17="Yes - Centre Horizontal &amp; Vertical"),CONCATENATE(I17," x ",'Job Sheet'!AB17-H17," ",I17," x ",H17," ",'Job Sheet'!AA17-I17," x ",'Job Sheet'!AB17-H17," ",'Job Sheet'!AA17-I17," x ",H18),"")</f>
        <v/>
      </c>
      <c r="E17" s="62" t="str">
        <f>IF(OR(Data!BN17="Invisi-Scape",Data!AV17="",C17="Flywire"),"",CONCATENATE('Job Sheet'!AA17," x ",'Job Sheet'!AB17))</f>
        <v/>
      </c>
      <c r="F17" s="62" t="str">
        <f>IF(Data!BN17="Invisi-Scape","",'Job Sheet'!K17)</f>
        <v/>
      </c>
      <c r="G17" s="62" t="str">
        <f>IF(OR(Data!BN17="Invisi-Scape",C17="Flywire"),"",'Job Sheet'!P17)</f>
        <v/>
      </c>
      <c r="H17" s="118" t="str">
        <f>IF(OR(Data!AV17="",Data!BN17="Invisi-Scape",'Job Sheet'!Q17=""),"",IF('Job Sheet'!L17="70mm x 20mm",'Job Sheet'!Q17-59,IF('Job Sheet'!L17="Invisi-Gard 70mm x 20mm",'Job Sheet'!Q17-62,IF(OR('Job Sheet'!L17="Invisi-Gard 37mm x 11mm",'Job Sheet'!L17="Invisi-Gard 37mm x 9mm"),'Job Sheet'!Q17-30,IF('Job Sheet'!L17="37mm x 11mm",'Job Sheet'!Q17-27,"")))))</f>
        <v/>
      </c>
      <c r="I17" s="118" t="str">
        <f>IF(OR(Data!AV17="",Data!BN17="Invisi-Scape",'Job Sheet'!R17=""),"",IF('Job Sheet'!L17="70mm x 20mm",'Job Sheet'!R17-59,IF('Job Sheet'!L17="Invisi-Gard 70mm x 20mm",'Job Sheet'!R17-62,IF(OR('Job Sheet'!L17="Invisi-Gard 37mm x 11mm",'Job Sheet'!L17="Invisi-Gard 37mm x 9mm"),'Job Sheet'!R17-30,IF('Job Sheet'!L17="37mm x 11mm",'Job Sheet'!R17-27,"")))))</f>
        <v/>
      </c>
      <c r="J17" s="62" t="str">
        <f>IF(Data!BN17="Invisi-Scape","",'Job Sheet'!Y17)</f>
        <v/>
      </c>
      <c r="K17" s="85" t="str">
        <f t="shared" si="0"/>
        <v/>
      </c>
    </row>
    <row r="18" spans="1:11" ht="60" customHeight="1">
      <c r="A18" s="15" t="str">
        <f>IF(Data!AV18="","",IF(Data!BN18="Invisi-Scape","",Data!AW18))</f>
        <v/>
      </c>
      <c r="B18" s="61" t="str">
        <f>IF(Data!AV18="","",IF(Data!BN18="Invisi-Scape","",Data!AY18))</f>
        <v/>
      </c>
      <c r="C18" s="62" t="str">
        <f>IF(Data!AV18="","",IF(Data!BN18="Invisi-Scape","",Data!BO18))</f>
        <v/>
      </c>
      <c r="D18" s="62" t="str">
        <f>IF(OR(G18="Yes - Horizontal &amp; Vertical",G18="Yes - Centre Horizontal &amp; Vertical"),CONCATENATE(I18," x ",'Job Sheet'!AB18-H18," ",I18," x ",H18," ",'Job Sheet'!AA18-I18," x ",'Job Sheet'!AB18-H18," ",'Job Sheet'!AA18-I18," x ",H19),"")</f>
        <v/>
      </c>
      <c r="E18" s="62" t="str">
        <f>IF(OR(Data!BN18="Invisi-Scape",Data!AV18="",C18="Flywire"),"",CONCATENATE('Job Sheet'!AA18," x ",'Job Sheet'!AB18))</f>
        <v/>
      </c>
      <c r="F18" s="62" t="str">
        <f>IF(Data!BN18="Invisi-Scape","",'Job Sheet'!K18)</f>
        <v/>
      </c>
      <c r="G18" s="62" t="str">
        <f>IF(OR(Data!BN18="Invisi-Scape",C18="Flywire"),"",'Job Sheet'!P18)</f>
        <v/>
      </c>
      <c r="H18" s="118" t="str">
        <f>IF(OR(Data!AV18="",Data!BN18="Invisi-Scape",'Job Sheet'!Q18=""),"",IF('Job Sheet'!L18="70mm x 20mm",'Job Sheet'!Q18-59,IF('Job Sheet'!L18="Invisi-Gard 70mm x 20mm",'Job Sheet'!Q18-62,IF(OR('Job Sheet'!L18="Invisi-Gard 37mm x 11mm",'Job Sheet'!L18="Invisi-Gard 37mm x 9mm"),'Job Sheet'!Q18-30,IF('Job Sheet'!L18="37mm x 11mm",'Job Sheet'!Q18-27,"")))))</f>
        <v/>
      </c>
      <c r="I18" s="118" t="str">
        <f>IF(OR(Data!AV18="",Data!BN18="Invisi-Scape",'Job Sheet'!R18=""),"",IF('Job Sheet'!L18="70mm x 20mm",'Job Sheet'!R18-59,IF('Job Sheet'!L18="Invisi-Gard 70mm x 20mm",'Job Sheet'!R18-62,IF(OR('Job Sheet'!L18="Invisi-Gard 37mm x 11mm",'Job Sheet'!L18="Invisi-Gard 37mm x 9mm"),'Job Sheet'!R18-30,IF('Job Sheet'!L18="37mm x 11mm",'Job Sheet'!R18-27,"")))))</f>
        <v/>
      </c>
      <c r="J18" s="62" t="str">
        <f>IF(Data!BN18="Invisi-Scape","",'Job Sheet'!Y18)</f>
        <v/>
      </c>
      <c r="K18" s="85" t="str">
        <f t="shared" si="0"/>
        <v/>
      </c>
    </row>
    <row r="19" spans="1:11" ht="60" customHeight="1">
      <c r="A19" s="15" t="str">
        <f>IF(Data!AV19="","",IF(Data!BN19="Invisi-Scape","",Data!AW19))</f>
        <v/>
      </c>
      <c r="B19" s="61" t="str">
        <f>IF(Data!AV19="","",IF(Data!BN19="Invisi-Scape","",Data!AY19))</f>
        <v/>
      </c>
      <c r="C19" s="62" t="str">
        <f>IF(Data!AV19="","",IF(Data!BN19="Invisi-Scape","",Data!BO19))</f>
        <v/>
      </c>
      <c r="D19" s="62" t="str">
        <f>IF(OR(G19="Yes - Horizontal &amp; Vertical",G19="Yes - Centre Horizontal &amp; Vertical"),CONCATENATE(I19," x ",'Job Sheet'!AB19-H19," ",I19," x ",H19," ",'Job Sheet'!AA19-I19," x ",'Job Sheet'!AB19-H19," ",'Job Sheet'!AA19-I19," x ",H20),"")</f>
        <v/>
      </c>
      <c r="E19" s="62" t="str">
        <f>IF(OR(Data!BN19="Invisi-Scape",Data!AV19="",C19="Flywire"),"",CONCATENATE('Job Sheet'!AA19," x ",'Job Sheet'!AB19))</f>
        <v/>
      </c>
      <c r="F19" s="62" t="str">
        <f>IF(Data!BN19="Invisi-Scape","",'Job Sheet'!K19)</f>
        <v/>
      </c>
      <c r="G19" s="62" t="str">
        <f>IF(OR(Data!BN19="Invisi-Scape",C19="Flywire"),"",'Job Sheet'!P19)</f>
        <v/>
      </c>
      <c r="H19" s="118" t="str">
        <f>IF(OR(Data!AV19="",Data!BN19="Invisi-Scape",'Job Sheet'!Q19=""),"",IF('Job Sheet'!L19="70mm x 20mm",'Job Sheet'!Q19-59,IF('Job Sheet'!L19="Invisi-Gard 70mm x 20mm",'Job Sheet'!Q19-62,IF(OR('Job Sheet'!L19="Invisi-Gard 37mm x 11mm",'Job Sheet'!L19="Invisi-Gard 37mm x 9mm"),'Job Sheet'!Q19-30,IF('Job Sheet'!L19="37mm x 11mm",'Job Sheet'!Q19-27,"")))))</f>
        <v/>
      </c>
      <c r="I19" s="118" t="str">
        <f>IF(OR(Data!AV19="",Data!BN19="Invisi-Scape",'Job Sheet'!R19=""),"",IF('Job Sheet'!L19="70mm x 20mm",'Job Sheet'!R19-59,IF('Job Sheet'!L19="Invisi-Gard 70mm x 20mm",'Job Sheet'!R19-62,IF(OR('Job Sheet'!L19="Invisi-Gard 37mm x 11mm",'Job Sheet'!L19="Invisi-Gard 37mm x 9mm"),'Job Sheet'!R19-30,IF('Job Sheet'!L19="37mm x 11mm",'Job Sheet'!R19-27,"")))))</f>
        <v/>
      </c>
      <c r="J19" s="62" t="str">
        <f>IF(Data!BN19="Invisi-Scape","",'Job Sheet'!Y19)</f>
        <v/>
      </c>
      <c r="K19" s="85" t="str">
        <f t="shared" si="0"/>
        <v/>
      </c>
    </row>
    <row r="20" spans="1:11" ht="60" customHeight="1">
      <c r="A20" s="15" t="str">
        <f>IF(Data!AV20="","",IF(Data!BN20="Invisi-Scape","",Data!AW20))</f>
        <v/>
      </c>
      <c r="B20" s="61" t="str">
        <f>IF(Data!AV20="","",IF(Data!BN20="Invisi-Scape","",Data!AY20))</f>
        <v/>
      </c>
      <c r="C20" s="62" t="str">
        <f>IF(Data!AV20="","",IF(Data!BN20="Invisi-Scape","",Data!BO20))</f>
        <v/>
      </c>
      <c r="D20" s="62" t="str">
        <f>IF(OR(G20="Yes - Horizontal &amp; Vertical",G20="Yes - Centre Horizontal &amp; Vertical"),CONCATENATE(I20," x ",'Job Sheet'!AB20-H20," ",I20," x ",H20," ",'Job Sheet'!AA20-I20," x ",'Job Sheet'!AB20-H20," ",'Job Sheet'!AA20-I20," x ",#REF!),"")</f>
        <v/>
      </c>
      <c r="E20" s="62" t="str">
        <f>IF(OR(Data!BN20="Invisi-Scape",Data!AV20="",C20="Flywire"),"",CONCATENATE('Job Sheet'!AA20," x ",'Job Sheet'!AB20))</f>
        <v/>
      </c>
      <c r="F20" s="62" t="str">
        <f>IF(Data!BN20="Invisi-Scape","",'Job Sheet'!K20)</f>
        <v/>
      </c>
      <c r="G20" s="62" t="str">
        <f>IF(OR(Data!BN20="Invisi-Scape",C20="Flywire"),"",'Job Sheet'!P20)</f>
        <v/>
      </c>
      <c r="H20" s="118" t="str">
        <f>IF(OR(Data!AV20="",Data!BN20="Invisi-Scape",'Job Sheet'!Q20=""),"",IF('Job Sheet'!L20="70mm x 20mm",'Job Sheet'!Q20-59,IF('Job Sheet'!L20="Invisi-Gard 70mm x 20mm",'Job Sheet'!Q20-62,IF(OR('Job Sheet'!L20="Invisi-Gard 37mm x 11mm",'Job Sheet'!L20="Invisi-Gard 37mm x 9mm"),'Job Sheet'!Q20-30,IF('Job Sheet'!L20="37mm x 11mm",'Job Sheet'!Q20-27,"")))))</f>
        <v/>
      </c>
      <c r="I20" s="118" t="str">
        <f>IF(OR(Data!AV20="",Data!BN20="Invisi-Scape",'Job Sheet'!R20=""),"",IF('Job Sheet'!L20="70mm x 20mm",'Job Sheet'!R20-59,IF('Job Sheet'!L20="Invisi-Gard 70mm x 20mm",'Job Sheet'!R20-62,IF(OR('Job Sheet'!L20="Invisi-Gard 37mm x 11mm",'Job Sheet'!L20="Invisi-Gard 37mm x 9mm"),'Job Sheet'!R20-30,IF('Job Sheet'!L20="37mm x 11mm",'Job Sheet'!R20-27,"")))))</f>
        <v/>
      </c>
      <c r="J20" s="62" t="str">
        <f>IF(Data!BN20="Invisi-Scape","",'Job Sheet'!Y20)</f>
        <v/>
      </c>
      <c r="K20" s="85" t="str">
        <f t="shared" si="0"/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  <row r="71" ht="60" customHeight="1"/>
    <row r="72" ht="60" customHeight="1"/>
  </sheetData>
  <mergeCells count="29">
    <mergeCell ref="F5:I5"/>
    <mergeCell ref="F4:I4"/>
    <mergeCell ref="F3:I3"/>
    <mergeCell ref="J4:K8"/>
    <mergeCell ref="J3:K3"/>
    <mergeCell ref="J9:J10"/>
    <mergeCell ref="K9:K10"/>
    <mergeCell ref="D6:E8"/>
    <mergeCell ref="F8:I8"/>
    <mergeCell ref="F7:I7"/>
    <mergeCell ref="F6:I6"/>
    <mergeCell ref="I9:I10"/>
    <mergeCell ref="H9:H10"/>
    <mergeCell ref="A1:K2"/>
    <mergeCell ref="A3:B3"/>
    <mergeCell ref="D3:E3"/>
    <mergeCell ref="A7:C8"/>
    <mergeCell ref="A9:A10"/>
    <mergeCell ref="B9:B10"/>
    <mergeCell ref="A4:B4"/>
    <mergeCell ref="D4:E4"/>
    <mergeCell ref="D5:E5"/>
    <mergeCell ref="A5:B5"/>
    <mergeCell ref="A6:B6"/>
    <mergeCell ref="C9:C10"/>
    <mergeCell ref="D9:D10"/>
    <mergeCell ref="E9:E10"/>
    <mergeCell ref="F9:F10"/>
    <mergeCell ref="G9:G10"/>
  </mergeCells>
  <pageMargins left="0.751181102362208" right="0.751181102362208" top="0.75" bottom="0.75" header="0.3" footer="0.3"/>
  <pageSetup fitToHeight="0" orientation="landscape" paperSize="9" scale="1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FC5B4-4832-4A77-ACE4-A999B2329FF6}">
  <sheetPr codeName="Sheet2">
    <pageSetUpPr fitToPage="1"/>
  </sheetPr>
  <dimension ref="A1:O20"/>
  <sheetViews>
    <sheetView view="pageBreakPreview" zoomScale="40" zoomScaleNormal="40" zoomScaleSheetLayoutView="40" workbookViewId="0" topLeftCell="A1">
      <selection pane="topLeft" activeCell="L11" sqref="L11:L20"/>
    </sheetView>
  </sheetViews>
  <sheetFormatPr defaultColWidth="9.109375" defaultRowHeight="13.5"/>
  <cols>
    <col min="1" max="1" width="13.5714285714286" style="68" customWidth="1"/>
    <col min="2" max="2" width="35.1428571428571" style="68" customWidth="1"/>
    <col min="3" max="3" width="28.1428571428571" style="68" customWidth="1"/>
    <col min="4" max="4" width="30.8571428571429" style="68" customWidth="1"/>
    <col min="5" max="5" width="36.7142857142857" style="68" customWidth="1"/>
    <col min="6" max="6" width="30" style="68" customWidth="1"/>
    <col min="7" max="7" width="25" style="68" customWidth="1"/>
    <col min="8" max="8" width="32.4285714285714" customWidth="1"/>
    <col min="9" max="9" width="30.2857142857143" customWidth="1"/>
    <col min="10" max="10" width="27.7142857142857" customWidth="1"/>
    <col min="11" max="12" width="19.1428571428571" customWidth="1"/>
    <col min="13" max="13" width="28.1428571428571" customWidth="1"/>
    <col min="14" max="14" width="68.8571428571429" customWidth="1"/>
    <col min="15" max="15" width="18.1428571428571" customWidth="1"/>
  </cols>
  <sheetData>
    <row r="1" spans="1:15" ht="95.4" customHeight="1">
      <c r="A1" s="193" t="s">
        <v>431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5"/>
    </row>
    <row r="2" spans="1:15" ht="103.2" customHeight="1">
      <c r="A2" s="196"/>
      <c r="B2" s="197"/>
      <c r="C2" s="197"/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8"/>
    </row>
    <row r="3" spans="1:15" ht="49.95" customHeight="1">
      <c r="A3" s="128" t="s">
        <v>7</v>
      </c>
      <c r="B3" s="128"/>
      <c r="C3" s="10"/>
      <c r="D3" s="10"/>
      <c r="E3" s="10" t="s">
        <v>118</v>
      </c>
      <c r="F3" s="10"/>
      <c r="G3" s="3" t="str">
        <f>TRIM(Data!BF5)</f>
        <v>McKinnis, Stephen</v>
      </c>
      <c r="H3" s="3"/>
      <c r="I3" s="3"/>
      <c r="J3" s="3"/>
      <c r="K3" s="125" t="s">
        <v>4</v>
      </c>
      <c r="L3" s="125"/>
      <c r="M3" s="125"/>
      <c r="N3" s="125"/>
      <c r="O3" s="125"/>
    </row>
    <row r="4" spans="1:15" ht="49.95" customHeight="1">
      <c r="A4" s="126" t="s">
        <v>143</v>
      </c>
      <c r="B4" s="126"/>
      <c r="C4" s="4" t="str">
        <f>TRIM(Data!BC5)</f>
        <v>12125</v>
      </c>
      <c r="D4" s="4"/>
      <c r="E4" s="8" t="s">
        <v>8</v>
      </c>
      <c r="F4" s="8"/>
      <c r="G4" s="3" t="str">
        <f>TRIM(Data!AX5)</f>
        <v>Roller Shutters, Sheers &amp; Screen.</v>
      </c>
      <c r="H4" s="3"/>
      <c r="I4" s="3"/>
      <c r="J4" s="3"/>
      <c r="K4" s="3" t="str">
        <f>TRIM(Data!BG5)</f>
        <v/>
      </c>
      <c r="L4" s="3"/>
      <c r="M4" s="3"/>
      <c r="N4" s="3"/>
      <c r="O4" s="3"/>
    </row>
    <row r="5" spans="1:15" ht="49.95" customHeight="1">
      <c r="A5" s="127" t="s">
        <v>15</v>
      </c>
      <c r="B5" s="127"/>
      <c r="C5" s="4" t="str">
        <f>TRIM(Data!BD5)</f>
        <v>A</v>
      </c>
      <c r="D5" s="4"/>
      <c r="E5" s="8" t="s">
        <v>137</v>
      </c>
      <c r="F5" s="8"/>
      <c r="G5" s="3" t="str">
        <f>LEFT(Data!BA5,10)</f>
        <v>24/09/2026</v>
      </c>
      <c r="H5" s="3"/>
      <c r="I5" s="3"/>
      <c r="J5" s="3"/>
      <c r="K5" s="3"/>
      <c r="L5" s="3"/>
      <c r="M5" s="3"/>
      <c r="N5" s="3"/>
      <c r="O5" s="3"/>
    </row>
    <row r="6" spans="1:15" ht="49.95" customHeight="1">
      <c r="A6" s="2" t="s">
        <v>9</v>
      </c>
      <c r="B6" s="2"/>
      <c r="C6" s="9" t="str">
        <f>TRIM(Data!AY5)</f>
        <v>18/08/2026 12:00:00 AM</v>
      </c>
      <c r="D6" s="9"/>
      <c r="E6" s="4" t="s">
        <v>12</v>
      </c>
      <c r="F6" s="4"/>
      <c r="G6" s="3" t="str">
        <f>TRIM(Data!BF5)</f>
        <v>McKinnis, Stephen</v>
      </c>
      <c r="H6" s="3"/>
      <c r="I6" s="3"/>
      <c r="J6" s="3"/>
      <c r="K6" s="3"/>
      <c r="L6" s="3"/>
      <c r="M6" s="3"/>
      <c r="N6" s="3"/>
      <c r="O6" s="3"/>
    </row>
    <row r="7" spans="1:15" ht="49.95" customHeight="1">
      <c r="A7" s="130" t="str">
        <f>TRIM('Job Sheet'!A7)</f>
        <v>Retail Customer</v>
      </c>
      <c r="B7" s="130"/>
      <c r="C7" s="130"/>
      <c r="D7" s="130"/>
      <c r="E7" s="4"/>
      <c r="F7" s="4"/>
      <c r="G7" s="3" t="str">
        <f>CONCATENATE(Data!BH5," ",Data!BI5," ",Data!BJ5," ",Data!BK5," ",Data!BL5)</f>
        <v xml:space="preserve"> 6  Sorrento Drive </v>
      </c>
      <c r="H7" s="3"/>
      <c r="I7" s="3"/>
      <c r="J7" s="3"/>
      <c r="K7" s="3"/>
      <c r="L7" s="3"/>
      <c r="M7" s="3"/>
      <c r="N7" s="3"/>
      <c r="O7" s="3"/>
    </row>
    <row r="8" spans="1:15" ht="49.95" customHeight="1">
      <c r="A8" s="130"/>
      <c r="B8" s="130"/>
      <c r="C8" s="130"/>
      <c r="D8" s="130"/>
      <c r="E8" s="4"/>
      <c r="F8" s="4"/>
      <c r="G8" s="3" t="str">
        <f>CONCATENATE(Data!BM5," ",Data!BN5," ",Data!BO5," ",Data!BP5)</f>
        <v>Alfredton VIC 3350 Australia</v>
      </c>
      <c r="H8" s="3"/>
      <c r="I8" s="3"/>
      <c r="J8" s="3"/>
      <c r="K8" s="3"/>
      <c r="L8" s="3"/>
      <c r="M8" s="3"/>
      <c r="N8" s="3"/>
      <c r="O8" s="3"/>
    </row>
    <row r="9" spans="1:15" ht="12.75" customHeight="1">
      <c r="A9" s="167" t="s">
        <v>142</v>
      </c>
      <c r="B9" s="168" t="s">
        <v>120</v>
      </c>
      <c r="C9" s="125" t="s">
        <v>173</v>
      </c>
      <c r="D9" s="125" t="s">
        <v>212</v>
      </c>
      <c r="E9" s="128" t="s">
        <v>219</v>
      </c>
      <c r="F9" s="125" t="s">
        <v>458</v>
      </c>
      <c r="G9" s="125" t="s">
        <v>215</v>
      </c>
      <c r="H9" s="125" t="s">
        <v>445</v>
      </c>
      <c r="I9" s="125" t="s">
        <v>446</v>
      </c>
      <c r="J9" s="125" t="s">
        <v>174</v>
      </c>
      <c r="K9" s="125" t="s">
        <v>190</v>
      </c>
      <c r="L9" s="125" t="s">
        <v>457</v>
      </c>
      <c r="M9" s="125" t="s">
        <v>208</v>
      </c>
      <c r="N9" s="125" t="s">
        <v>5</v>
      </c>
      <c r="O9" s="125" t="s">
        <v>297</v>
      </c>
    </row>
    <row r="10" spans="1:15" ht="117.75" customHeight="1">
      <c r="A10" s="167"/>
      <c r="B10" s="168"/>
      <c r="C10" s="125"/>
      <c r="D10" s="125"/>
      <c r="E10" s="128"/>
      <c r="F10" s="125"/>
      <c r="G10" s="125"/>
      <c r="H10" s="125"/>
      <c r="I10" s="125"/>
      <c r="J10" s="125"/>
      <c r="K10" s="125"/>
      <c r="L10" s="125"/>
      <c r="M10" s="125"/>
      <c r="N10" s="125"/>
      <c r="O10" s="125"/>
    </row>
    <row r="11" spans="1:15" ht="99">
      <c r="A11" s="15">
        <f>IF(Data!AV11="","",IF(Data!BN11="Invisi-Scape","",Data!AW11))</f>
        <v>7</v>
      </c>
      <c r="B11" s="61" t="str">
        <f>IF(Data!AV11="","",IF(Data!BN11="Invisi-Scape","",Data!AY11))</f>
        <v>Side Light</v>
      </c>
      <c r="C11" s="62" t="str">
        <f>IF(Data!BN11="Invisi-Scape","",'Job Sheet'!L11)</f>
        <v>37mm x 11mm</v>
      </c>
      <c r="D11" s="62" t="str">
        <f>IF(Data!BN11="Invisi-Scape","",'Mitred Cutting'!D11)</f>
        <v>Dune</v>
      </c>
      <c r="E11" s="62" t="str">
        <f>IF(Data!AV11="","",IF(Data!BN11="Invisi-Scape","",Data!BO11))</f>
        <v>Alu-Gard Perforated Aluminium</v>
      </c>
      <c r="F11" s="62" t="str">
        <f>IF(Data!BN11="Invisi-Scape","",'Job Sheet'!J11)</f>
        <v/>
      </c>
      <c r="G11" s="62" t="str">
        <f>IF(Data!BN11="Invisi-Scape","",'Job Sheet'!P11)</f>
        <v/>
      </c>
      <c r="H11" s="117" t="str">
        <f>IF(Data!BN11="Invisi-Scape","",'Job Sheet'!Q11)</f>
        <v/>
      </c>
      <c r="I11" s="117" t="str">
        <f>IF(Data!BO11="Invisi-Scape","",'Job Sheet'!R11)</f>
        <v/>
      </c>
      <c r="J11" s="62" t="str">
        <f>IF(OR(Data!BN11="Invisi-Scape",'Job Sheet'!M11="Inside Existing Frame"),"",IF(AND('Job Sheet'!X11&lt;1200,OR('Job Sheet'!M11="Hinged RHS",'Job Sheet'!M11="Hinged LHS",'Job Sheet'!M11="Hinged RHS with Slide Bolt on Inside",'Job Sheet'!M11="Hinged LHS with Slide Bolt on Inside")),"2 Hinges",IF(AND('Job Sheet'!X11&gt;1200,OR('Job Sheet'!M11="Hinged RHS",'Job Sheet'!M11="Hinged LHS",'Job Sheet'!M11="Hinged RHS with Slide Bolt on Inside",'Job Sheet'!M11="Hinged LHS with Slide Bolt on Inside")),"3 Hinges","")))</f>
        <v/>
      </c>
      <c r="K11" s="62" t="str">
        <f>IF(OR(Data!BN11="Invisi-Scape",'Job Sheet'!N11="No"),"",'Job Sheet'!N11)</f>
        <v/>
      </c>
      <c r="L11" s="62" t="str">
        <f>IF(OR('Job Sheet'!M11="Fixed",'Job Sheet'!M11="Inside Existing Frame"),"",'Job Sheet'!M11)</f>
        <v/>
      </c>
      <c r="M11" s="62" t="str">
        <f>IF(Data!BN11="Invisi-Scape","",'Job Sheet'!O11)</f>
        <v/>
      </c>
      <c r="N11" s="62" t="str">
        <f>IF(Data!BN11="Invisi-Scape","",'Job Sheet'!Y11)</f>
        <v>Mesh is on bottom shelf of Assembly A</v>
      </c>
      <c r="O11" s="85">
        <f t="shared" si="0" ref="O11:O20">A11</f>
        <v>7</v>
      </c>
    </row>
    <row r="12" spans="1:15" ht="60" customHeight="1">
      <c r="A12" s="15" t="str">
        <f>IF(Data!AV12="","",IF(Data!BN12="Invisi-Scape","",Data!AW12))</f>
        <v/>
      </c>
      <c r="B12" s="61" t="str">
        <f>IF(Data!AV12="","",IF(Data!BN12="Invisi-Scape","",Data!AY12))</f>
        <v/>
      </c>
      <c r="C12" s="62" t="str">
        <f>IF(Data!BN12="Invisi-Scape","",'Job Sheet'!L12)</f>
        <v/>
      </c>
      <c r="D12" s="62" t="str">
        <f>IF(Data!BN12="Invisi-Scape","",'Mitred Cutting'!D12)</f>
        <v/>
      </c>
      <c r="E12" s="62" t="str">
        <f>IF(Data!AV12="","",IF(Data!BN12="Invisi-Scape","",Data!BO12))</f>
        <v/>
      </c>
      <c r="F12" s="62" t="str">
        <f>IF(Data!BN12="Invisi-Scape","",'Job Sheet'!J12)</f>
        <v/>
      </c>
      <c r="G12" s="62" t="str">
        <f>IF(Data!BN12="Invisi-Scape","",'Job Sheet'!P12)</f>
        <v/>
      </c>
      <c r="H12" s="117" t="str">
        <f>IF(Data!BN12="Invisi-Scape","",'Job Sheet'!Q12)</f>
        <v/>
      </c>
      <c r="I12" s="117" t="str">
        <f>IF(Data!BO12="Invisi-Scape","",'Job Sheet'!R12)</f>
        <v/>
      </c>
      <c r="J12" s="62" t="str">
        <f>IF(OR(Data!BN12="Invisi-Scape",'Job Sheet'!M12="Inside Existing Frame"),"",IF(AND('Job Sheet'!X12&lt;1200,OR('Job Sheet'!M12="Hinged RHS",'Job Sheet'!M12="Hinged LHS",'Job Sheet'!M12="Hinged RHS with Slide Bolt on Inside",'Job Sheet'!M12="Hinged LHS with Slide Bolt on Inside")),"2 Hinges",IF(AND('Job Sheet'!X12&gt;1200,OR('Job Sheet'!M12="Hinged RHS",'Job Sheet'!M12="Hinged LHS",'Job Sheet'!M12="Hinged RHS with Slide Bolt on Inside",'Job Sheet'!M12="Hinged LHS with Slide Bolt on Inside")),"3 Hinges","")))</f>
        <v/>
      </c>
      <c r="K12" s="62" t="str">
        <f>IF(OR(Data!BN12="Invisi-Scape",'Job Sheet'!N12="No"),"",'Job Sheet'!N12)</f>
        <v/>
      </c>
      <c r="L12" s="62" t="str">
        <f>IF(OR('Job Sheet'!M12="Fixed",'Job Sheet'!M12="Inside Existing Frame"),"",'Job Sheet'!M12)</f>
        <v/>
      </c>
      <c r="M12" s="62" t="str">
        <f>IF(Data!BN12="Invisi-Scape","",'Job Sheet'!O12)</f>
        <v/>
      </c>
      <c r="N12" s="62" t="str">
        <f>IF(Data!BN12="Invisi-Scape","",'Job Sheet'!Y12)</f>
        <v/>
      </c>
      <c r="O12" s="85" t="str">
        <f t="shared" si="0"/>
        <v/>
      </c>
    </row>
    <row r="13" spans="1:15" ht="60" customHeight="1">
      <c r="A13" s="15" t="str">
        <f>IF(Data!AV13="","",IF(Data!BN13="Invisi-Scape","",Data!AW13))</f>
        <v/>
      </c>
      <c r="B13" s="61" t="str">
        <f>IF(Data!AV13="","",IF(Data!BN13="Invisi-Scape","",Data!AY13))</f>
        <v/>
      </c>
      <c r="C13" s="62" t="str">
        <f>IF(Data!BN13="Invisi-Scape","",'Job Sheet'!L13)</f>
        <v/>
      </c>
      <c r="D13" s="62" t="str">
        <f>IF(Data!BN13="Invisi-Scape","",'Mitred Cutting'!D13)</f>
        <v/>
      </c>
      <c r="E13" s="62" t="str">
        <f>IF(Data!AV13="","",IF(Data!BN13="Invisi-Scape","",Data!BO13))</f>
        <v/>
      </c>
      <c r="F13" s="62" t="str">
        <f>IF(Data!BN13="Invisi-Scape","",'Job Sheet'!J13)</f>
        <v/>
      </c>
      <c r="G13" s="62" t="str">
        <f>IF(Data!BN13="Invisi-Scape","",'Job Sheet'!P13)</f>
        <v/>
      </c>
      <c r="H13" s="117" t="str">
        <f>IF(Data!BN13="Invisi-Scape","",'Job Sheet'!Q13)</f>
        <v/>
      </c>
      <c r="I13" s="117" t="str">
        <f>IF(Data!BO13="Invisi-Scape","",'Job Sheet'!R13)</f>
        <v/>
      </c>
      <c r="J13" s="62" t="str">
        <f>IF(OR(Data!BN13="Invisi-Scape",'Job Sheet'!M13="Inside Existing Frame"),"",IF(AND('Job Sheet'!X13&lt;1200,OR('Job Sheet'!M13="Hinged RHS",'Job Sheet'!M13="Hinged LHS",'Job Sheet'!M13="Hinged RHS with Slide Bolt on Inside",'Job Sheet'!M13="Hinged LHS with Slide Bolt on Inside")),"2 Hinges",IF(AND('Job Sheet'!X13&gt;1200,OR('Job Sheet'!M13="Hinged RHS",'Job Sheet'!M13="Hinged LHS",'Job Sheet'!M13="Hinged RHS with Slide Bolt on Inside",'Job Sheet'!M13="Hinged LHS with Slide Bolt on Inside")),"3 Hinges","")))</f>
        <v/>
      </c>
      <c r="K13" s="62" t="str">
        <f>IF(OR(Data!BN13="Invisi-Scape",'Job Sheet'!N13="No"),"",'Job Sheet'!N13)</f>
        <v/>
      </c>
      <c r="L13" s="62" t="str">
        <f>IF(OR('Job Sheet'!M13="Fixed",'Job Sheet'!M13="Inside Existing Frame"),"",'Job Sheet'!M13)</f>
        <v/>
      </c>
      <c r="M13" s="62" t="str">
        <f>IF(Data!BN13="Invisi-Scape","",'Job Sheet'!O13)</f>
        <v/>
      </c>
      <c r="N13" s="62" t="str">
        <f>IF(Data!BN13="Invisi-Scape","",'Job Sheet'!Y13)</f>
        <v/>
      </c>
      <c r="O13" s="85" t="str">
        <f t="shared" si="0"/>
        <v/>
      </c>
    </row>
    <row r="14" spans="1:15" ht="60" customHeight="1">
      <c r="A14" s="15" t="str">
        <f>IF(Data!AV14="","",IF(Data!BN14="Invisi-Scape","",Data!AW14))</f>
        <v/>
      </c>
      <c r="B14" s="61" t="str">
        <f>IF(Data!AV14="","",IF(Data!BN14="Invisi-Scape","",Data!AY14))</f>
        <v/>
      </c>
      <c r="C14" s="62" t="str">
        <f>IF(Data!BN14="Invisi-Scape","",'Job Sheet'!L14)</f>
        <v/>
      </c>
      <c r="D14" s="62" t="str">
        <f>IF(Data!BN14="Invisi-Scape","",'Mitred Cutting'!D14)</f>
        <v/>
      </c>
      <c r="E14" s="62" t="str">
        <f>IF(Data!AV14="","",IF(Data!BN14="Invisi-Scape","",Data!BO14))</f>
        <v/>
      </c>
      <c r="F14" s="62" t="str">
        <f>IF(Data!BN14="Invisi-Scape","",'Job Sheet'!J14)</f>
        <v/>
      </c>
      <c r="G14" s="62" t="str">
        <f>IF(Data!BN14="Invisi-Scape","",'Job Sheet'!P14)</f>
        <v/>
      </c>
      <c r="H14" s="117" t="str">
        <f>IF(Data!BN14="Invisi-Scape","",'Job Sheet'!Q14)</f>
        <v/>
      </c>
      <c r="I14" s="117" t="str">
        <f>IF(Data!BO14="Invisi-Scape","",'Job Sheet'!R14)</f>
        <v/>
      </c>
      <c r="J14" s="62" t="str">
        <f>IF(OR(Data!BN14="Invisi-Scape",'Job Sheet'!M14="Inside Existing Frame"),"",IF(AND('Job Sheet'!X14&lt;1200,OR('Job Sheet'!M14="Hinged RHS",'Job Sheet'!M14="Hinged LHS",'Job Sheet'!M14="Hinged RHS with Slide Bolt on Inside",'Job Sheet'!M14="Hinged LHS with Slide Bolt on Inside")),"2 Hinges",IF(AND('Job Sheet'!X14&gt;1200,OR('Job Sheet'!M14="Hinged RHS",'Job Sheet'!M14="Hinged LHS",'Job Sheet'!M14="Hinged RHS with Slide Bolt on Inside",'Job Sheet'!M14="Hinged LHS with Slide Bolt on Inside")),"3 Hinges","")))</f>
        <v/>
      </c>
      <c r="K14" s="62" t="str">
        <f>IF(OR(Data!BN14="Invisi-Scape",'Job Sheet'!N14="No"),"",'Job Sheet'!N14)</f>
        <v/>
      </c>
      <c r="L14" s="62" t="str">
        <f>IF(OR('Job Sheet'!M14="Fixed",'Job Sheet'!M14="Inside Existing Frame"),"",'Job Sheet'!M14)</f>
        <v/>
      </c>
      <c r="M14" s="62" t="str">
        <f>IF(Data!BN14="Invisi-Scape","",'Job Sheet'!O14)</f>
        <v/>
      </c>
      <c r="N14" s="62" t="str">
        <f>IF(Data!BN14="Invisi-Scape","",'Job Sheet'!Y14)</f>
        <v/>
      </c>
      <c r="O14" s="85" t="str">
        <f t="shared" si="0"/>
        <v/>
      </c>
    </row>
    <row r="15" spans="1:15" ht="60" customHeight="1">
      <c r="A15" s="15" t="str">
        <f>IF(Data!AV15="","",IF(Data!BN15="Invisi-Scape","",Data!AW15))</f>
        <v/>
      </c>
      <c r="B15" s="61" t="str">
        <f>IF(Data!AV15="","",IF(Data!BN15="Invisi-Scape","",Data!AY15))</f>
        <v/>
      </c>
      <c r="C15" s="62" t="str">
        <f>IF(Data!BN15="Invisi-Scape","",'Job Sheet'!L15)</f>
        <v/>
      </c>
      <c r="D15" s="62" t="str">
        <f>IF(Data!BN15="Invisi-Scape","",'Mitred Cutting'!D15)</f>
        <v/>
      </c>
      <c r="E15" s="62" t="str">
        <f>IF(Data!AV15="","",IF(Data!BN15="Invisi-Scape","",Data!BO15))</f>
        <v/>
      </c>
      <c r="F15" s="62" t="str">
        <f>IF(Data!BN15="Invisi-Scape","",'Job Sheet'!J15)</f>
        <v/>
      </c>
      <c r="G15" s="62" t="str">
        <f>IF(Data!BN15="Invisi-Scape","",'Job Sheet'!P15)</f>
        <v/>
      </c>
      <c r="H15" s="117" t="str">
        <f>IF(Data!BN15="Invisi-Scape","",'Job Sheet'!Q15)</f>
        <v/>
      </c>
      <c r="I15" s="117" t="str">
        <f>IF(Data!BO15="Invisi-Scape","",'Job Sheet'!R15)</f>
        <v/>
      </c>
      <c r="J15" s="62" t="str">
        <f>IF(OR(Data!BN15="Invisi-Scape",'Job Sheet'!M15="Inside Existing Frame"),"",IF(AND('Job Sheet'!X15&lt;1200,OR('Job Sheet'!M15="Hinged RHS",'Job Sheet'!M15="Hinged LHS",'Job Sheet'!M15="Hinged RHS with Slide Bolt on Inside",'Job Sheet'!M15="Hinged LHS with Slide Bolt on Inside")),"2 Hinges",IF(AND('Job Sheet'!X15&gt;1200,OR('Job Sheet'!M15="Hinged RHS",'Job Sheet'!M15="Hinged LHS",'Job Sheet'!M15="Hinged RHS with Slide Bolt on Inside",'Job Sheet'!M15="Hinged LHS with Slide Bolt on Inside")),"3 Hinges","")))</f>
        <v/>
      </c>
      <c r="K15" s="62" t="str">
        <f>IF(OR(Data!BN15="Invisi-Scape",'Job Sheet'!N15="No"),"",'Job Sheet'!N15)</f>
        <v/>
      </c>
      <c r="L15" s="62" t="str">
        <f>IF(OR('Job Sheet'!M15="Fixed",'Job Sheet'!M15="Inside Existing Frame"),"",'Job Sheet'!M15)</f>
        <v/>
      </c>
      <c r="M15" s="62" t="str">
        <f>IF(Data!BN15="Invisi-Scape","",'Job Sheet'!O15)</f>
        <v/>
      </c>
      <c r="N15" s="62" t="str">
        <f>IF(Data!BN15="Invisi-Scape","",'Job Sheet'!Y15)</f>
        <v/>
      </c>
      <c r="O15" s="85" t="str">
        <f t="shared" si="0"/>
        <v/>
      </c>
    </row>
    <row r="16" spans="1:15" ht="60" customHeight="1">
      <c r="A16" s="15" t="str">
        <f>IF(Data!AV16="","",IF(Data!BN16="Invisi-Scape","",Data!AW16))</f>
        <v/>
      </c>
      <c r="B16" s="61" t="str">
        <f>IF(Data!AV16="","",IF(Data!BN16="Invisi-Scape","",Data!AY16))</f>
        <v/>
      </c>
      <c r="C16" s="62" t="str">
        <f>IF(Data!BN16="Invisi-Scape","",'Job Sheet'!L16)</f>
        <v/>
      </c>
      <c r="D16" s="62" t="str">
        <f>IF(Data!BN16="Invisi-Scape","",'Mitred Cutting'!D16)</f>
        <v/>
      </c>
      <c r="E16" s="62" t="str">
        <f>IF(Data!AV16="","",IF(Data!BN16="Invisi-Scape","",Data!BO16))</f>
        <v/>
      </c>
      <c r="F16" s="62" t="str">
        <f>IF(Data!BN16="Invisi-Scape","",'Job Sheet'!J16)</f>
        <v/>
      </c>
      <c r="G16" s="62" t="str">
        <f>IF(Data!BN16="Invisi-Scape","",'Job Sheet'!P16)</f>
        <v/>
      </c>
      <c r="H16" s="117" t="str">
        <f>IF(Data!BN16="Invisi-Scape","",'Job Sheet'!Q16)</f>
        <v/>
      </c>
      <c r="I16" s="117" t="str">
        <f>IF(Data!BO16="Invisi-Scape","",'Job Sheet'!R16)</f>
        <v/>
      </c>
      <c r="J16" s="62" t="str">
        <f>IF(OR(Data!BN16="Invisi-Scape",'Job Sheet'!M16="Inside Existing Frame"),"",IF(AND('Job Sheet'!X16&lt;1200,OR('Job Sheet'!M16="Hinged RHS",'Job Sheet'!M16="Hinged LHS",'Job Sheet'!M16="Hinged RHS with Slide Bolt on Inside",'Job Sheet'!M16="Hinged LHS with Slide Bolt on Inside")),"2 Hinges",IF(AND('Job Sheet'!X16&gt;1200,OR('Job Sheet'!M16="Hinged RHS",'Job Sheet'!M16="Hinged LHS",'Job Sheet'!M16="Hinged RHS with Slide Bolt on Inside",'Job Sheet'!M16="Hinged LHS with Slide Bolt on Inside")),"3 Hinges","")))</f>
        <v/>
      </c>
      <c r="K16" s="62" t="str">
        <f>IF(OR(Data!BN16="Invisi-Scape",'Job Sheet'!N16="No"),"",'Job Sheet'!N16)</f>
        <v/>
      </c>
      <c r="L16" s="62" t="str">
        <f>IF(OR('Job Sheet'!M16="Fixed",'Job Sheet'!M16="Inside Existing Frame"),"",'Job Sheet'!M16)</f>
        <v/>
      </c>
      <c r="M16" s="62" t="str">
        <f>IF(Data!BN16="Invisi-Scape","",'Job Sheet'!O16)</f>
        <v/>
      </c>
      <c r="N16" s="62" t="str">
        <f>IF(Data!BN16="Invisi-Scape","",'Job Sheet'!Y16)</f>
        <v/>
      </c>
      <c r="O16" s="85" t="str">
        <f t="shared" si="0"/>
        <v/>
      </c>
    </row>
    <row r="17" spans="1:15" ht="60" customHeight="1">
      <c r="A17" s="15" t="str">
        <f>IF(Data!AV17="","",IF(Data!BN17="Invisi-Scape","",Data!AW17))</f>
        <v/>
      </c>
      <c r="B17" s="61" t="str">
        <f>IF(Data!AV17="","",IF(Data!BN17="Invisi-Scape","",Data!AY17))</f>
        <v/>
      </c>
      <c r="C17" s="62" t="str">
        <f>IF(Data!BN17="Invisi-Scape","",'Job Sheet'!L17)</f>
        <v/>
      </c>
      <c r="D17" s="62" t="str">
        <f>IF(Data!BN17="Invisi-Scape","",'Mitred Cutting'!D17)</f>
        <v/>
      </c>
      <c r="E17" s="62" t="str">
        <f>IF(Data!AV17="","",IF(Data!BN17="Invisi-Scape","",Data!BO17))</f>
        <v/>
      </c>
      <c r="F17" s="62" t="str">
        <f>IF(Data!BN17="Invisi-Scape","",'Job Sheet'!J17)</f>
        <v/>
      </c>
      <c r="G17" s="62" t="str">
        <f>IF(Data!BN17="Invisi-Scape","",'Job Sheet'!P17)</f>
        <v/>
      </c>
      <c r="H17" s="117" t="str">
        <f>IF(Data!BN17="Invisi-Scape","",'Job Sheet'!Q17)</f>
        <v/>
      </c>
      <c r="I17" s="117" t="str">
        <f>IF(Data!BO17="Invisi-Scape","",'Job Sheet'!R17)</f>
        <v/>
      </c>
      <c r="J17" s="62" t="str">
        <f>IF(OR(Data!BN17="Invisi-Scape",'Job Sheet'!M17="Inside Existing Frame"),"",IF(AND('Job Sheet'!X17&lt;1200,OR('Job Sheet'!M17="Hinged RHS",'Job Sheet'!M17="Hinged LHS",'Job Sheet'!M17="Hinged RHS with Slide Bolt on Inside",'Job Sheet'!M17="Hinged LHS with Slide Bolt on Inside")),"2 Hinges",IF(AND('Job Sheet'!X17&gt;1200,OR('Job Sheet'!M17="Hinged RHS",'Job Sheet'!M17="Hinged LHS",'Job Sheet'!M17="Hinged RHS with Slide Bolt on Inside",'Job Sheet'!M17="Hinged LHS with Slide Bolt on Inside")),"3 Hinges","")))</f>
        <v/>
      </c>
      <c r="K17" s="62" t="str">
        <f>IF(OR(Data!BN17="Invisi-Scape",'Job Sheet'!N17="No"),"",'Job Sheet'!N17)</f>
        <v/>
      </c>
      <c r="L17" s="62" t="str">
        <f>IF(OR('Job Sheet'!M17="Fixed",'Job Sheet'!M17="Inside Existing Frame"),"",'Job Sheet'!M17)</f>
        <v/>
      </c>
      <c r="M17" s="62" t="str">
        <f>IF(Data!BN17="Invisi-Scape","",'Job Sheet'!O17)</f>
        <v/>
      </c>
      <c r="N17" s="62" t="str">
        <f>IF(Data!BN17="Invisi-Scape","",'Job Sheet'!Y17)</f>
        <v/>
      </c>
      <c r="O17" s="85" t="str">
        <f t="shared" si="0"/>
        <v/>
      </c>
    </row>
    <row r="18" spans="1:15" ht="60" customHeight="1">
      <c r="A18" s="15" t="str">
        <f>IF(Data!AV18="","",IF(Data!BN18="Invisi-Scape","",Data!AW18))</f>
        <v/>
      </c>
      <c r="B18" s="61" t="str">
        <f>IF(Data!AV18="","",IF(Data!BN18="Invisi-Scape","",Data!AY18))</f>
        <v/>
      </c>
      <c r="C18" s="62" t="str">
        <f>IF(Data!BN18="Invisi-Scape","",'Job Sheet'!L18)</f>
        <v/>
      </c>
      <c r="D18" s="62" t="str">
        <f>IF(Data!BN18="Invisi-Scape","",'Mitred Cutting'!D18)</f>
        <v/>
      </c>
      <c r="E18" s="62" t="str">
        <f>IF(Data!AV18="","",IF(Data!BN18="Invisi-Scape","",Data!BO18))</f>
        <v/>
      </c>
      <c r="F18" s="62" t="str">
        <f>IF(Data!BN18="Invisi-Scape","",'Job Sheet'!J18)</f>
        <v/>
      </c>
      <c r="G18" s="62" t="str">
        <f>IF(Data!BN18="Invisi-Scape","",'Job Sheet'!P18)</f>
        <v/>
      </c>
      <c r="H18" s="117" t="str">
        <f>IF(Data!BN18="Invisi-Scape","",'Job Sheet'!Q18)</f>
        <v/>
      </c>
      <c r="I18" s="117" t="str">
        <f>IF(Data!BO18="Invisi-Scape","",'Job Sheet'!R18)</f>
        <v/>
      </c>
      <c r="J18" s="62" t="str">
        <f>IF(OR(Data!BN18="Invisi-Scape",'Job Sheet'!M18="Inside Existing Frame"),"",IF(AND('Job Sheet'!X18&lt;1200,OR('Job Sheet'!M18="Hinged RHS",'Job Sheet'!M18="Hinged LHS",'Job Sheet'!M18="Hinged RHS with Slide Bolt on Inside",'Job Sheet'!M18="Hinged LHS with Slide Bolt on Inside")),"2 Hinges",IF(AND('Job Sheet'!X18&gt;1200,OR('Job Sheet'!M18="Hinged RHS",'Job Sheet'!M18="Hinged LHS",'Job Sheet'!M18="Hinged RHS with Slide Bolt on Inside",'Job Sheet'!M18="Hinged LHS with Slide Bolt on Inside")),"3 Hinges","")))</f>
        <v/>
      </c>
      <c r="K18" s="62" t="str">
        <f>IF(OR(Data!BN18="Invisi-Scape",'Job Sheet'!N18="No"),"",'Job Sheet'!N18)</f>
        <v/>
      </c>
      <c r="L18" s="62" t="str">
        <f>IF(OR('Job Sheet'!M18="Fixed",'Job Sheet'!M18="Inside Existing Frame"),"",'Job Sheet'!M18)</f>
        <v/>
      </c>
      <c r="M18" s="62" t="str">
        <f>IF(Data!BN18="Invisi-Scape","",'Job Sheet'!O18)</f>
        <v/>
      </c>
      <c r="N18" s="62" t="str">
        <f>IF(Data!BN18="Invisi-Scape","",'Job Sheet'!Y18)</f>
        <v/>
      </c>
      <c r="O18" s="85" t="str">
        <f t="shared" si="0"/>
        <v/>
      </c>
    </row>
    <row r="19" spans="1:15" ht="60" customHeight="1">
      <c r="A19" s="15" t="str">
        <f>IF(Data!AV19="","",IF(Data!BN19="Invisi-Scape","",Data!AW19))</f>
        <v/>
      </c>
      <c r="B19" s="61" t="str">
        <f>IF(Data!AV19="","",IF(Data!BN19="Invisi-Scape","",Data!AY19))</f>
        <v/>
      </c>
      <c r="C19" s="62" t="str">
        <f>IF(Data!BN19="Invisi-Scape","",'Job Sheet'!L19)</f>
        <v/>
      </c>
      <c r="D19" s="62" t="str">
        <f>IF(Data!BN19="Invisi-Scape","",'Mitred Cutting'!D19)</f>
        <v/>
      </c>
      <c r="E19" s="62" t="str">
        <f>IF(Data!AV19="","",IF(Data!BN19="Invisi-Scape","",Data!BO19))</f>
        <v/>
      </c>
      <c r="F19" s="62" t="str">
        <f>IF(Data!BN19="Invisi-Scape","",'Job Sheet'!J19)</f>
        <v/>
      </c>
      <c r="G19" s="62" t="str">
        <f>IF(Data!BN19="Invisi-Scape","",'Job Sheet'!P19)</f>
        <v/>
      </c>
      <c r="H19" s="117" t="str">
        <f>IF(Data!BN19="Invisi-Scape","",'Job Sheet'!Q19)</f>
        <v/>
      </c>
      <c r="I19" s="117" t="str">
        <f>IF(Data!BO19="Invisi-Scape","",'Job Sheet'!R19)</f>
        <v/>
      </c>
      <c r="J19" s="62" t="str">
        <f>IF(OR(Data!BN19="Invisi-Scape",'Job Sheet'!M19="Inside Existing Frame"),"",IF(AND('Job Sheet'!X19&lt;1200,OR('Job Sheet'!M19="Hinged RHS",'Job Sheet'!M19="Hinged LHS",'Job Sheet'!M19="Hinged RHS with Slide Bolt on Inside",'Job Sheet'!M19="Hinged LHS with Slide Bolt on Inside")),"2 Hinges",IF(AND('Job Sheet'!X19&gt;1200,OR('Job Sheet'!M19="Hinged RHS",'Job Sheet'!M19="Hinged LHS",'Job Sheet'!M19="Hinged RHS with Slide Bolt on Inside",'Job Sheet'!M19="Hinged LHS with Slide Bolt on Inside")),"3 Hinges","")))</f>
        <v/>
      </c>
      <c r="K19" s="62" t="str">
        <f>IF(OR(Data!BN19="Invisi-Scape",'Job Sheet'!N19="No"),"",'Job Sheet'!N19)</f>
        <v/>
      </c>
      <c r="L19" s="62" t="str">
        <f>IF(OR('Job Sheet'!M19="Fixed",'Job Sheet'!M19="Inside Existing Frame"),"",'Job Sheet'!M19)</f>
        <v/>
      </c>
      <c r="M19" s="62" t="str">
        <f>IF(Data!BN19="Invisi-Scape","",'Job Sheet'!O19)</f>
        <v/>
      </c>
      <c r="N19" s="62" t="str">
        <f>IF(Data!BN19="Invisi-Scape","",'Job Sheet'!Y19)</f>
        <v/>
      </c>
      <c r="O19" s="85" t="str">
        <f t="shared" si="0"/>
        <v/>
      </c>
    </row>
    <row r="20" spans="1:15" ht="60" customHeight="1">
      <c r="A20" s="15" t="str">
        <f>IF(Data!AV20="","",IF(Data!BN20="Invisi-Scape","",Data!AW20))</f>
        <v/>
      </c>
      <c r="B20" s="61" t="str">
        <f>IF(Data!AV20="","",IF(Data!BN20="Invisi-Scape","",Data!AY20))</f>
        <v/>
      </c>
      <c r="C20" s="62" t="str">
        <f>IF(Data!BN20="Invisi-Scape","",'Job Sheet'!L20)</f>
        <v/>
      </c>
      <c r="D20" s="62" t="str">
        <f>IF(Data!BN20="Invisi-Scape","",'Mitred Cutting'!D20)</f>
        <v/>
      </c>
      <c r="E20" s="62" t="str">
        <f>IF(Data!AV20="","",IF(Data!BN20="Invisi-Scape","",Data!BO20))</f>
        <v/>
      </c>
      <c r="F20" s="62" t="str">
        <f>IF(Data!BN20="Invisi-Scape","",'Job Sheet'!J20)</f>
        <v/>
      </c>
      <c r="G20" s="62" t="str">
        <f>IF(Data!BN20="Invisi-Scape","",'Job Sheet'!P20)</f>
        <v/>
      </c>
      <c r="H20" s="117" t="str">
        <f>IF(Data!BN20="Invisi-Scape","",'Job Sheet'!Q20)</f>
        <v/>
      </c>
      <c r="I20" s="117" t="str">
        <f>IF(Data!BO20="Invisi-Scape","",'Job Sheet'!R20)</f>
        <v/>
      </c>
      <c r="J20" s="62" t="str">
        <f>IF(OR(Data!BN20="Invisi-Scape",'Job Sheet'!M20="Inside Existing Frame"),"",IF(AND('Job Sheet'!X20&lt;1200,OR('Job Sheet'!M20="Hinged RHS",'Job Sheet'!M20="Hinged LHS",'Job Sheet'!M20="Hinged RHS with Slide Bolt on Inside",'Job Sheet'!M20="Hinged LHS with Slide Bolt on Inside")),"2 Hinges",IF(AND('Job Sheet'!X20&gt;1200,OR('Job Sheet'!M20="Hinged RHS",'Job Sheet'!M20="Hinged LHS",'Job Sheet'!M20="Hinged RHS with Slide Bolt on Inside",'Job Sheet'!M20="Hinged LHS with Slide Bolt on Inside")),"3 Hinges","")))</f>
        <v/>
      </c>
      <c r="K20" s="62" t="str">
        <f>IF(OR(Data!BN20="Invisi-Scape",'Job Sheet'!N20="No"),"",'Job Sheet'!N20)</f>
        <v/>
      </c>
      <c r="L20" s="62" t="str">
        <f>IF(OR('Job Sheet'!M20="Fixed",'Job Sheet'!M20="Inside Existing Frame"),"",'Job Sheet'!M20)</f>
        <v/>
      </c>
      <c r="M20" s="62" t="str">
        <f>IF(Data!BN20="Invisi-Scape","",'Job Sheet'!O20)</f>
        <v/>
      </c>
      <c r="N20" s="62" t="str">
        <f>IF(Data!BN20="Invisi-Scape","",'Job Sheet'!Y20)</f>
        <v/>
      </c>
      <c r="O20" s="85" t="str">
        <f t="shared" si="0"/>
        <v/>
      </c>
    </row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</sheetData>
  <mergeCells count="37">
    <mergeCell ref="L9:L10"/>
    <mergeCell ref="A1:O2"/>
    <mergeCell ref="K3:O3"/>
    <mergeCell ref="K4:O8"/>
    <mergeCell ref="O9:O10"/>
    <mergeCell ref="G8:J8"/>
    <mergeCell ref="G7:J7"/>
    <mergeCell ref="G6:J6"/>
    <mergeCell ref="G5:J5"/>
    <mergeCell ref="G4:J4"/>
    <mergeCell ref="G3:J3"/>
    <mergeCell ref="A6:B6"/>
    <mergeCell ref="N9:N10"/>
    <mergeCell ref="J9:J10"/>
    <mergeCell ref="K9:K10"/>
    <mergeCell ref="M9:M10"/>
    <mergeCell ref="E6:F8"/>
    <mergeCell ref="C9:C10"/>
    <mergeCell ref="A3:B3"/>
    <mergeCell ref="A4:B4"/>
    <mergeCell ref="A5:B5"/>
    <mergeCell ref="E5:F5"/>
    <mergeCell ref="E4:F4"/>
    <mergeCell ref="E3:F3"/>
    <mergeCell ref="C5:D5"/>
    <mergeCell ref="C4:D4"/>
    <mergeCell ref="C3:D3"/>
    <mergeCell ref="C6:D6"/>
    <mergeCell ref="F9:F10"/>
    <mergeCell ref="A7:D8"/>
    <mergeCell ref="E9:E10"/>
    <mergeCell ref="I9:I10"/>
    <mergeCell ref="A9:A10"/>
    <mergeCell ref="B9:B10"/>
    <mergeCell ref="D9:D10"/>
    <mergeCell ref="H9:H10"/>
    <mergeCell ref="G9:G10"/>
  </mergeCells>
  <pageMargins left="0.91653543307088" right="0.91653543307088" top="0.75" bottom="0.75" header="0.3" footer="0.3"/>
  <pageSetup fitToHeight="0" orientation="landscape" paperSize="9" scale="1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CC0D-C641-4BF9-80F1-314D86575C7D}">
  <sheetPr codeName="Sheet3"/>
  <dimension ref="A1:AMF14"/>
  <sheetViews>
    <sheetView workbookViewId="0" topLeftCell="A1">
      <pane ySplit="4" topLeftCell="A5" activePane="bottomLeft" state="frozen"/>
      <selection pane="bottomLeft" activeCell="EZ10" sqref="EZ10"/>
    </sheetView>
  </sheetViews>
  <sheetFormatPr defaultColWidth="9.109375" defaultRowHeight="13.5"/>
  <cols>
    <col min="1" max="3" width="5.71428571428571" bestFit="1" customWidth="1"/>
    <col min="4" max="4" width="7.71428571428571" bestFit="1" customWidth="1"/>
    <col min="5" max="5" width="4.71428571428571" customWidth="1"/>
    <col min="6" max="6" width="6.14285714285714" customWidth="1"/>
    <col min="7" max="7" width="7.71428571428571" bestFit="1" customWidth="1"/>
    <col min="8" max="8" width="21.7142857142857" bestFit="1" customWidth="1"/>
    <col min="9" max="9" width="50.7142857142857" bestFit="1" customWidth="1"/>
    <col min="10" max="406" width="5" customWidth="1"/>
    <col min="407" max="407" width="8.42857142857143" bestFit="1" customWidth="1"/>
    <col min="408" max="408" width="9.85714285714286" customWidth="1"/>
    <col min="409" max="411" width="5" customWidth="1"/>
    <col min="412" max="412" width="4.14285714285714" customWidth="1"/>
    <col min="413" max="413" width="3.85714285714286" customWidth="1"/>
    <col min="414" max="485" width="5" customWidth="1"/>
    <col min="486" max="486" width="10.8571428571429" bestFit="1" customWidth="1"/>
    <col min="487" max="487" width="26.7142857142857" bestFit="1" customWidth="1"/>
    <col min="488" max="726" width="5" customWidth="1"/>
    <col min="727" max="727" width="6" customWidth="1"/>
    <col min="728" max="728" width="5.14285714285714" customWidth="1"/>
    <col min="729" max="741" width="5.71428571428571" customWidth="1"/>
    <col min="742" max="757" width="5" customWidth="1"/>
    <col min="758" max="758" width="10.8571428571429" bestFit="1" customWidth="1"/>
    <col min="760" max="760" width="10.1428571428571" customWidth="1"/>
    <col min="761" max="761" width="14.2857142857143" customWidth="1"/>
    <col min="763" max="763" width="10.1428571428571" customWidth="1"/>
    <col min="764" max="764" width="19.4285714285714" bestFit="1" customWidth="1"/>
    <col min="765" max="1020" width="4.71428571428571" customWidth="1"/>
  </cols>
  <sheetData>
    <row r="1" spans="4:1020" s="95" customFormat="1" ht="55.95" customHeight="1">
      <c r="D1" s="86"/>
      <c r="E1" s="86"/>
      <c r="F1" s="86"/>
      <c r="G1" s="86"/>
      <c r="H1" s="86"/>
      <c r="I1" s="86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8"/>
      <c r="AU1" s="88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88"/>
      <c r="CR1" s="88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8"/>
      <c r="ER1" s="88"/>
      <c r="ES1" s="87"/>
      <c r="ET1" s="87"/>
      <c r="EU1" s="87"/>
      <c r="EV1" s="87"/>
      <c r="EW1" s="87"/>
      <c r="EX1" s="87"/>
      <c r="EY1" s="87"/>
      <c r="EZ1" s="87"/>
      <c r="FA1" s="88"/>
      <c r="FB1" s="88"/>
      <c r="FC1" s="87"/>
      <c r="FD1" s="87"/>
      <c r="FE1" s="89"/>
      <c r="FF1" s="89"/>
      <c r="FG1" s="89"/>
      <c r="FH1" s="89"/>
      <c r="FI1" s="89"/>
      <c r="FJ1" s="87"/>
      <c r="FK1" s="88"/>
      <c r="FL1" s="88"/>
      <c r="FM1" s="88"/>
      <c r="FN1" s="87"/>
      <c r="FO1" s="87"/>
      <c r="FP1" s="87"/>
      <c r="FQ1" s="87"/>
      <c r="FR1" s="87"/>
      <c r="FS1" s="87"/>
      <c r="FT1" s="87"/>
      <c r="FU1" s="88"/>
      <c r="FV1" s="88"/>
      <c r="FW1" s="88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8"/>
      <c r="HB1" s="88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8"/>
      <c r="HN1" s="88"/>
      <c r="HO1" s="88"/>
      <c r="HP1" s="88"/>
      <c r="HQ1" s="88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8"/>
      <c r="KG1" s="88"/>
      <c r="KH1" s="88"/>
      <c r="KI1" s="88"/>
      <c r="KJ1" s="88"/>
      <c r="KK1" s="88"/>
      <c r="KL1" s="88"/>
      <c r="KM1" s="88"/>
      <c r="KN1" s="88"/>
      <c r="KO1" s="88"/>
      <c r="KP1" s="88"/>
      <c r="KQ1" s="88"/>
      <c r="KR1" s="88"/>
      <c r="KS1" s="88"/>
      <c r="KT1" s="88"/>
      <c r="KU1" s="88"/>
      <c r="KV1" s="88"/>
      <c r="KW1" s="88"/>
      <c r="KX1" s="88"/>
      <c r="KY1" s="88"/>
      <c r="KZ1" s="88"/>
      <c r="LA1" s="88"/>
      <c r="LB1" s="88"/>
      <c r="LC1" s="88"/>
      <c r="LD1" s="88"/>
      <c r="LE1" s="88"/>
      <c r="LF1" s="88"/>
      <c r="LG1" s="88"/>
      <c r="LH1" s="88"/>
      <c r="LI1" s="88"/>
      <c r="LJ1" s="88"/>
      <c r="LK1" s="88"/>
      <c r="LL1" s="88"/>
      <c r="LM1" s="88"/>
      <c r="LN1" s="88"/>
      <c r="LO1" s="88"/>
      <c r="LP1" s="88"/>
      <c r="LQ1" s="88"/>
      <c r="LR1" s="88"/>
      <c r="LS1" s="88"/>
      <c r="LT1" s="88"/>
      <c r="LU1" s="88"/>
      <c r="LV1" s="88"/>
      <c r="LW1" s="88"/>
      <c r="LX1" s="88"/>
      <c r="LY1" s="88"/>
      <c r="LZ1" s="88"/>
      <c r="MA1" s="88"/>
      <c r="MB1" s="88"/>
      <c r="MC1" s="88"/>
      <c r="MD1" s="88"/>
      <c r="ME1" s="88"/>
      <c r="MF1" s="88"/>
      <c r="MG1" s="88"/>
      <c r="MH1" s="88"/>
      <c r="MI1" s="88"/>
      <c r="MJ1" s="88"/>
      <c r="MK1" s="88"/>
      <c r="ML1" s="88"/>
      <c r="MM1" s="88"/>
      <c r="MN1" s="88"/>
      <c r="MO1" s="88"/>
      <c r="MP1" s="88"/>
      <c r="MQ1" s="88"/>
      <c r="MR1" s="87"/>
      <c r="MS1" s="87"/>
      <c r="MT1" s="87"/>
      <c r="MU1" s="87"/>
      <c r="MV1" s="88"/>
      <c r="MW1" s="88"/>
      <c r="MX1" s="87"/>
      <c r="MY1" s="87"/>
      <c r="MZ1" s="87"/>
      <c r="NA1" s="87"/>
      <c r="NB1" s="87"/>
      <c r="NC1" s="87"/>
      <c r="ND1" s="88"/>
      <c r="NE1" s="88"/>
      <c r="NF1" s="88"/>
      <c r="NG1" s="88"/>
      <c r="NH1" s="88"/>
      <c r="NI1" s="88"/>
      <c r="NJ1" s="88"/>
      <c r="NK1" s="88"/>
      <c r="NL1" s="88"/>
      <c r="NM1" s="88"/>
      <c r="NN1" s="88"/>
      <c r="NO1" s="88"/>
      <c r="NP1" s="88"/>
      <c r="NQ1" s="88"/>
      <c r="NR1" s="88"/>
      <c r="NS1" s="88"/>
      <c r="NT1" s="88"/>
      <c r="NU1" s="88"/>
      <c r="NV1" s="88"/>
      <c r="NW1" s="88"/>
      <c r="NX1" s="88"/>
      <c r="NY1" s="88"/>
      <c r="NZ1" s="88"/>
      <c r="OA1" s="88"/>
      <c r="OB1" s="88"/>
      <c r="OC1" s="88"/>
      <c r="OD1" s="88"/>
      <c r="OE1" s="88"/>
      <c r="OF1" s="88"/>
      <c r="OG1" s="88"/>
      <c r="OH1" s="88"/>
      <c r="OI1" s="88"/>
      <c r="OJ1" s="88"/>
      <c r="OK1" s="88"/>
      <c r="OL1" s="88"/>
      <c r="OM1" s="88"/>
      <c r="ON1" s="93"/>
      <c r="OO1" s="93"/>
      <c r="OP1" s="93"/>
      <c r="OQ1" s="93"/>
      <c r="OR1" s="93"/>
      <c r="OS1" s="93"/>
      <c r="OT1" s="88"/>
      <c r="OU1" s="88"/>
      <c r="OV1" s="88"/>
      <c r="OW1" s="86"/>
      <c r="OX1" s="88"/>
      <c r="OY1" s="88"/>
      <c r="OZ1" s="88"/>
      <c r="PA1" s="88"/>
      <c r="PB1" s="88"/>
      <c r="PC1" s="88"/>
      <c r="PD1" s="88"/>
      <c r="PE1" s="88"/>
      <c r="PF1" s="88"/>
      <c r="PG1" s="88"/>
      <c r="PH1" s="88"/>
      <c r="PI1" s="88"/>
      <c r="PJ1" s="88"/>
      <c r="PK1" s="88"/>
      <c r="PL1" s="88"/>
      <c r="PM1" s="88"/>
      <c r="PN1" s="88"/>
      <c r="PO1" s="88"/>
      <c r="PP1" s="88"/>
      <c r="PQ1" s="88"/>
      <c r="PR1" s="88"/>
      <c r="PS1" s="88"/>
      <c r="PT1" s="88"/>
      <c r="PU1" s="88"/>
      <c r="PV1" s="88"/>
      <c r="PW1" s="88"/>
      <c r="PX1" s="88"/>
      <c r="PY1" s="88"/>
      <c r="PZ1" s="88"/>
      <c r="QA1" s="88"/>
      <c r="QB1" s="88"/>
      <c r="QC1" s="88"/>
      <c r="QD1" s="88"/>
      <c r="QE1" s="88"/>
      <c r="QF1" s="88"/>
      <c r="QG1" s="88"/>
      <c r="QH1" s="88"/>
      <c r="QI1" s="88"/>
      <c r="QJ1" s="88"/>
      <c r="QK1" s="88"/>
      <c r="QL1" s="88"/>
      <c r="QM1" s="88"/>
      <c r="QN1" s="88"/>
      <c r="QO1" s="88"/>
      <c r="QP1" s="88"/>
      <c r="QQ1" s="88"/>
      <c r="QR1" s="88"/>
      <c r="QS1" s="88"/>
      <c r="QT1" s="88"/>
      <c r="QU1" s="88"/>
      <c r="QV1" s="88"/>
      <c r="QW1" s="88"/>
      <c r="QX1" s="88"/>
      <c r="QY1" s="88"/>
      <c r="QZ1" s="88"/>
      <c r="RA1" s="88"/>
      <c r="RB1" s="88"/>
      <c r="RC1" s="88"/>
      <c r="RD1" s="88"/>
      <c r="RE1" s="88"/>
      <c r="RF1" s="88"/>
      <c r="RG1" s="88"/>
      <c r="RH1" s="88"/>
      <c r="RI1" s="88"/>
      <c r="RJ1" s="88"/>
      <c r="RK1" s="88"/>
      <c r="RL1" s="88"/>
      <c r="RM1" s="88"/>
      <c r="RN1" s="88"/>
      <c r="RO1" s="88"/>
      <c r="RP1" s="88"/>
      <c r="RQ1" s="88"/>
      <c r="RR1" s="88"/>
      <c r="RS1" s="88"/>
      <c r="RT1" s="88"/>
      <c r="RU1" s="88"/>
      <c r="RV1" s="88"/>
      <c r="RW1" s="88"/>
      <c r="RX1" s="88"/>
      <c r="RY1" s="88"/>
      <c r="RZ1" s="88"/>
      <c r="SA1" s="88"/>
      <c r="SB1" s="88"/>
      <c r="SC1" s="88"/>
      <c r="SD1" s="88"/>
      <c r="SE1" s="88"/>
      <c r="SF1" s="88"/>
      <c r="SG1" s="88"/>
      <c r="SH1" s="88"/>
      <c r="SI1" s="88"/>
      <c r="SJ1" s="88"/>
      <c r="SK1" s="88"/>
      <c r="SL1" s="88"/>
      <c r="SM1" s="88"/>
      <c r="SN1" s="88"/>
      <c r="SO1" s="88"/>
      <c r="SP1" s="88"/>
      <c r="SQ1" s="88"/>
      <c r="SR1" s="88"/>
      <c r="SS1" s="88"/>
      <c r="ST1" s="88"/>
      <c r="SU1" s="88"/>
      <c r="SV1" s="88"/>
      <c r="SW1" s="88"/>
      <c r="SX1" s="88"/>
      <c r="SY1" s="88"/>
      <c r="SZ1" s="88"/>
      <c r="TA1" s="88"/>
      <c r="TB1" s="88"/>
      <c r="TC1" s="88"/>
      <c r="TD1" s="88"/>
      <c r="TE1" s="88"/>
      <c r="TF1" s="88"/>
      <c r="TG1" s="88"/>
      <c r="TH1" s="88"/>
      <c r="TI1" s="88"/>
      <c r="TJ1" s="88"/>
      <c r="TK1" s="88"/>
      <c r="TL1" s="88"/>
      <c r="TM1" s="88"/>
      <c r="TN1" s="88"/>
      <c r="TO1" s="88"/>
      <c r="TP1" s="88"/>
      <c r="TQ1" s="88"/>
      <c r="TR1" s="88"/>
      <c r="TS1" s="88"/>
      <c r="TT1" s="88"/>
      <c r="TU1" s="88"/>
      <c r="TV1" s="88"/>
      <c r="TW1" s="88"/>
      <c r="TX1" s="88"/>
      <c r="TY1" s="88"/>
      <c r="TZ1" s="88"/>
      <c r="UA1" s="88"/>
      <c r="UB1" s="88"/>
      <c r="UC1" s="88"/>
      <c r="UD1" s="88"/>
      <c r="UE1" s="88"/>
      <c r="UF1" s="88"/>
      <c r="UG1" s="88"/>
      <c r="UH1" s="88"/>
      <c r="UI1" s="88"/>
      <c r="UJ1" s="88"/>
      <c r="UK1" s="88"/>
      <c r="UL1" s="88"/>
      <c r="UM1" s="88"/>
      <c r="UN1" s="88"/>
      <c r="UO1" s="88"/>
      <c r="UP1" s="88"/>
      <c r="UQ1" s="88"/>
      <c r="UR1" s="88"/>
      <c r="US1" s="88"/>
      <c r="UT1" s="88"/>
      <c r="UU1" s="88"/>
      <c r="UV1" s="88"/>
      <c r="UW1" s="88"/>
      <c r="UX1" s="88"/>
      <c r="UY1" s="88"/>
      <c r="UZ1" s="88"/>
      <c r="VA1" s="88"/>
      <c r="VB1" s="88"/>
      <c r="VC1" s="88"/>
      <c r="VD1" s="88"/>
      <c r="VE1" s="88"/>
      <c r="VF1" s="88"/>
      <c r="VG1" s="88"/>
      <c r="VH1" s="88"/>
      <c r="VI1" s="88"/>
      <c r="VJ1" s="88"/>
      <c r="VK1" s="88"/>
      <c r="VL1" s="88"/>
      <c r="VM1" s="88"/>
      <c r="VN1" s="88"/>
      <c r="VO1" s="88"/>
      <c r="VP1" s="88"/>
      <c r="VQ1" s="88"/>
      <c r="VR1" s="88"/>
      <c r="VS1" s="88"/>
      <c r="VT1" s="88"/>
      <c r="VU1" s="88"/>
      <c r="VV1" s="88"/>
      <c r="VW1" s="88"/>
      <c r="VX1" s="88"/>
      <c r="VY1" s="88"/>
      <c r="VZ1" s="88"/>
      <c r="WA1" s="88"/>
      <c r="WB1" s="88"/>
      <c r="WC1" s="88"/>
      <c r="WD1" s="88"/>
      <c r="WE1" s="88"/>
      <c r="WF1" s="88"/>
      <c r="WG1" s="88"/>
      <c r="WH1" s="88"/>
      <c r="WI1" s="88"/>
      <c r="WJ1" s="88"/>
      <c r="WK1" s="88"/>
      <c r="WL1" s="88"/>
      <c r="WM1" s="88"/>
      <c r="WN1" s="88"/>
      <c r="WO1" s="88"/>
      <c r="WP1" s="88"/>
      <c r="WQ1" s="88"/>
      <c r="WR1" s="88"/>
      <c r="WS1" s="88"/>
      <c r="WT1" s="88"/>
      <c r="WU1" s="88"/>
      <c r="WV1" s="88"/>
      <c r="WW1" s="88"/>
      <c r="WX1" s="88"/>
      <c r="WY1" s="88"/>
      <c r="WZ1" s="88"/>
      <c r="XA1" s="88"/>
      <c r="XB1" s="88"/>
      <c r="XC1" s="88"/>
      <c r="XD1" s="88"/>
      <c r="XE1" s="88"/>
      <c r="XF1" s="88"/>
      <c r="XG1" s="88"/>
      <c r="XH1" s="88"/>
      <c r="XI1" s="88"/>
      <c r="XJ1" s="88"/>
      <c r="XK1" s="88"/>
      <c r="XL1" s="88"/>
      <c r="XM1" s="88"/>
      <c r="XN1" s="88"/>
      <c r="XO1" s="88"/>
      <c r="XP1" s="88"/>
      <c r="XQ1" s="88"/>
      <c r="XR1" s="88"/>
      <c r="XS1" s="88"/>
      <c r="XT1" s="88"/>
      <c r="XU1" s="88"/>
      <c r="XV1" s="88"/>
      <c r="XW1" s="88"/>
      <c r="XX1" s="88"/>
      <c r="XY1" s="88"/>
      <c r="XZ1" s="88"/>
      <c r="YA1" s="88"/>
      <c r="YB1" s="88"/>
      <c r="YC1" s="88"/>
      <c r="YD1" s="88"/>
      <c r="YE1" s="88"/>
      <c r="YF1" s="88"/>
      <c r="YG1" s="88"/>
      <c r="YH1" s="88"/>
      <c r="YI1" s="88"/>
      <c r="YJ1" s="88"/>
      <c r="YK1" s="88"/>
      <c r="YL1" s="88"/>
      <c r="YM1" s="88"/>
      <c r="YN1" s="88"/>
      <c r="YO1" s="88"/>
      <c r="YP1" s="88"/>
      <c r="YQ1" s="88"/>
      <c r="YR1" s="88"/>
      <c r="YS1" s="88"/>
      <c r="YT1" s="88"/>
      <c r="YU1" s="88"/>
      <c r="YV1" s="88"/>
      <c r="YW1" s="88"/>
      <c r="YX1" s="88"/>
      <c r="YY1" s="88"/>
      <c r="YZ1" s="88"/>
      <c r="ZA1" s="88"/>
      <c r="ZB1" s="88"/>
      <c r="ZC1" s="88"/>
      <c r="ZD1" s="88"/>
      <c r="ZE1" s="88"/>
      <c r="ZF1" s="88"/>
      <c r="ZG1" s="88"/>
      <c r="ZH1" s="88"/>
      <c r="ZI1" s="88"/>
      <c r="ZJ1" s="88"/>
      <c r="ZK1" s="88"/>
      <c r="ZL1" s="88"/>
      <c r="ZM1" s="88"/>
      <c r="ZN1" s="88"/>
      <c r="ZO1" s="88"/>
      <c r="ZP1" s="88"/>
      <c r="ZQ1" s="88"/>
      <c r="ZR1" s="88"/>
      <c r="ZS1" s="88"/>
      <c r="ZT1" s="88"/>
      <c r="ZU1" s="88"/>
      <c r="ZV1" s="88"/>
      <c r="ZW1" s="88"/>
      <c r="ZX1" s="88"/>
      <c r="ZY1" s="88"/>
      <c r="ZZ1" s="88"/>
      <c r="AAA1" s="88"/>
      <c r="AAB1" s="88"/>
      <c r="AAC1" s="88"/>
      <c r="AAD1" s="88"/>
      <c r="AAE1" s="88"/>
      <c r="AAF1" s="88"/>
      <c r="AAG1" s="88"/>
      <c r="AAH1" s="88"/>
      <c r="AAI1" s="88"/>
      <c r="AAJ1" s="88"/>
      <c r="AAK1" s="88"/>
      <c r="AAL1" s="88"/>
      <c r="AAM1" s="88"/>
      <c r="AAN1" s="88"/>
      <c r="AAO1" s="88"/>
      <c r="AAP1" s="88"/>
      <c r="AAQ1" s="88"/>
      <c r="AAR1" s="88"/>
      <c r="AAS1" s="88"/>
      <c r="AAT1" s="88"/>
      <c r="AAU1" s="88"/>
      <c r="AAV1" s="88"/>
      <c r="AAW1" s="88"/>
      <c r="AAX1" s="88"/>
      <c r="AAY1" s="88"/>
      <c r="AAZ1" s="88"/>
      <c r="ABA1" s="88"/>
      <c r="ABB1" s="88"/>
      <c r="ABC1" s="88"/>
      <c r="ABD1" s="88"/>
      <c r="ABE1" s="88"/>
      <c r="ABF1" s="88"/>
      <c r="ABG1" s="88"/>
      <c r="ABH1" s="88"/>
      <c r="ABI1" s="88"/>
      <c r="ABJ1" s="88"/>
      <c r="ABK1" s="88"/>
      <c r="ABL1" s="88"/>
      <c r="ABM1" s="88"/>
      <c r="ABN1" s="88"/>
      <c r="ABO1" s="88"/>
      <c r="ABP1" s="88"/>
      <c r="ABQ1" s="88"/>
      <c r="ABR1" s="88"/>
      <c r="ABS1" s="88"/>
      <c r="ABT1" s="88"/>
      <c r="ABU1" s="88"/>
      <c r="ABV1" s="88"/>
      <c r="ABW1" s="88"/>
      <c r="ABX1" s="88"/>
      <c r="ABY1" s="88"/>
      <c r="ABZ1" s="88"/>
      <c r="ACA1" s="88"/>
      <c r="ACB1" s="88"/>
      <c r="ACC1" s="88"/>
      <c r="ACD1" s="88"/>
      <c r="ACE1" s="88"/>
      <c r="ACF1" s="88"/>
      <c r="ACG1" s="88"/>
      <c r="ACH1" s="88"/>
      <c r="ACI1" s="88"/>
      <c r="ACJ1" s="88"/>
      <c r="ACK1" s="86"/>
      <c r="ACL1" s="86"/>
      <c r="ACM1" s="86"/>
      <c r="ACN1" s="86"/>
      <c r="ACO1" s="86"/>
      <c r="ACP1" s="86"/>
      <c r="ACQ1" s="86"/>
      <c r="ACR1" s="86"/>
      <c r="ACS1" s="86"/>
      <c r="ACT1" s="86"/>
      <c r="ACU1" s="86"/>
      <c r="ACV1" s="86"/>
      <c r="ACW1" s="86"/>
      <c r="ACX1" s="86"/>
      <c r="ACY1" s="86"/>
      <c r="ACZ1" s="86"/>
      <c r="ADA1" s="86"/>
      <c r="ADB1" s="86"/>
      <c r="ADC1" s="86"/>
      <c r="ADD1" s="86"/>
      <c r="ADE1" s="86"/>
      <c r="ADF1" s="86"/>
      <c r="ADG1" s="86"/>
      <c r="ADH1" s="86"/>
      <c r="ADI1" s="86"/>
      <c r="ADJ1" s="86"/>
      <c r="ADK1" s="86"/>
      <c r="ADL1" s="86"/>
      <c r="ADM1" s="86"/>
      <c r="ADN1" s="86"/>
      <c r="ADO1" s="86"/>
      <c r="ADP1" s="86"/>
      <c r="ADQ1" s="86"/>
      <c r="ADR1" s="86"/>
      <c r="ADS1" s="86"/>
      <c r="ADT1" s="86"/>
      <c r="ADU1" s="86"/>
      <c r="ADV1" s="86"/>
      <c r="ADW1" s="86"/>
      <c r="ADX1" s="86"/>
      <c r="ADY1" s="86"/>
      <c r="ADZ1" s="86"/>
      <c r="AEA1" s="86"/>
      <c r="AEB1" s="86"/>
      <c r="AEC1" s="86"/>
      <c r="AED1" s="86"/>
      <c r="AEE1" s="86"/>
      <c r="AEF1" s="86"/>
      <c r="AEG1" s="86"/>
      <c r="AEH1" s="86"/>
      <c r="AEI1" s="86"/>
      <c r="AEJ1" s="86"/>
      <c r="AEK1" s="86"/>
      <c r="AEL1" s="86"/>
      <c r="AEM1" s="86"/>
      <c r="AEN1" s="86"/>
      <c r="AEO1" s="86"/>
      <c r="AEP1" s="86"/>
      <c r="AEQ1" s="86"/>
      <c r="AER1" s="86"/>
      <c r="AES1" s="86"/>
      <c r="AET1" s="86"/>
      <c r="AEU1" s="86"/>
      <c r="AEV1" s="86"/>
      <c r="AEW1" s="86"/>
      <c r="AEX1" s="86"/>
      <c r="AEY1" s="86"/>
      <c r="AEZ1" s="86"/>
      <c r="AFA1" s="86"/>
      <c r="AFB1" s="86"/>
      <c r="AFC1" s="86"/>
      <c r="AFD1" s="86"/>
      <c r="AFE1" s="86"/>
      <c r="AFF1" s="86"/>
      <c r="AFG1" s="86"/>
      <c r="AFH1" s="86"/>
      <c r="AFI1" s="86"/>
      <c r="AFJ1" s="86"/>
      <c r="AFK1" s="86"/>
      <c r="AFL1" s="86"/>
      <c r="AFM1" s="86"/>
      <c r="AFN1" s="86"/>
      <c r="AFO1" s="86"/>
      <c r="AFP1" s="86"/>
      <c r="AFQ1" s="86"/>
      <c r="AFR1" s="86"/>
      <c r="AFS1" s="86"/>
      <c r="AFT1" s="86"/>
      <c r="AFU1" s="86"/>
      <c r="AFV1" s="86"/>
      <c r="AFW1" s="86"/>
      <c r="AFX1" s="86"/>
      <c r="AFY1" s="86"/>
      <c r="AFZ1" s="86"/>
      <c r="AGA1" s="86"/>
      <c r="AGB1" s="86"/>
      <c r="AGC1" s="86"/>
      <c r="AGD1" s="86"/>
      <c r="AGE1" s="86"/>
      <c r="AGF1" s="86"/>
      <c r="AGG1" s="86"/>
      <c r="AGH1" s="86"/>
      <c r="AGI1" s="86"/>
      <c r="AGJ1" s="86"/>
      <c r="AGK1" s="86"/>
      <c r="AGL1" s="86"/>
      <c r="AGM1" s="86"/>
      <c r="AGN1" s="86"/>
      <c r="AGO1" s="86"/>
      <c r="AGP1" s="86"/>
      <c r="AGQ1" s="86"/>
      <c r="AGR1" s="86"/>
      <c r="AGS1" s="86"/>
      <c r="AGT1" s="86"/>
      <c r="AGU1" s="86"/>
      <c r="AGV1" s="86"/>
      <c r="AGW1" s="86"/>
      <c r="AGX1" s="86"/>
      <c r="AGY1" s="86"/>
      <c r="AGZ1" s="86"/>
      <c r="AHA1" s="86"/>
      <c r="AHB1" s="86"/>
      <c r="AHC1" s="86"/>
      <c r="AHD1" s="86"/>
      <c r="AHE1" s="86"/>
      <c r="AHF1" s="86"/>
      <c r="AHG1" s="86"/>
      <c r="AHH1" s="86"/>
      <c r="AHI1" s="86"/>
      <c r="AHJ1" s="86"/>
      <c r="AHK1" s="86"/>
      <c r="AHL1" s="86"/>
      <c r="AHM1" s="86"/>
      <c r="AHN1" s="86"/>
      <c r="AHO1" s="86"/>
      <c r="AHP1" s="86"/>
      <c r="AHQ1" s="86"/>
      <c r="AHR1" s="86"/>
      <c r="AHS1" s="86"/>
      <c r="AHT1" s="86"/>
      <c r="AHU1" s="86"/>
      <c r="AHV1" s="86"/>
      <c r="AHW1" s="86"/>
      <c r="AHX1" s="86"/>
      <c r="AHY1" s="86"/>
      <c r="AHZ1" s="86"/>
      <c r="AIA1" s="86"/>
      <c r="AIB1" s="86"/>
      <c r="AIC1" s="86"/>
      <c r="AID1" s="86"/>
      <c r="AIE1" s="86"/>
      <c r="AIF1" s="86"/>
      <c r="AIG1" s="86"/>
      <c r="AIH1" s="86"/>
      <c r="AII1" s="86"/>
      <c r="AIJ1" s="86"/>
      <c r="AIK1" s="86"/>
      <c r="AIL1" s="86"/>
      <c r="AIM1" s="86"/>
      <c r="AIN1" s="86"/>
      <c r="AIO1" s="86"/>
      <c r="AIP1" s="86"/>
      <c r="AIQ1" s="86"/>
      <c r="AIR1" s="86"/>
      <c r="AIS1" s="86"/>
      <c r="AIT1" s="86"/>
      <c r="AIU1" s="86"/>
      <c r="AIV1" s="86"/>
      <c r="AIW1" s="86"/>
      <c r="AIX1" s="86"/>
      <c r="AIY1" s="86"/>
      <c r="AIZ1" s="86"/>
      <c r="AJA1" s="86"/>
      <c r="AJB1" s="86"/>
      <c r="AJC1" s="86"/>
      <c r="AJD1" s="86"/>
      <c r="AJE1" s="86"/>
      <c r="AJF1" s="86"/>
      <c r="AJG1" s="86"/>
      <c r="AJH1" s="86"/>
      <c r="AJI1" s="86"/>
      <c r="AJJ1" s="86"/>
      <c r="AJK1" s="86"/>
      <c r="AJL1" s="86"/>
      <c r="AJM1" s="86"/>
      <c r="AJN1" s="86"/>
      <c r="AJO1" s="86"/>
      <c r="AJP1" s="86"/>
      <c r="AJQ1" s="86"/>
      <c r="AJR1" s="86"/>
      <c r="AJS1" s="86"/>
      <c r="AJT1" s="86"/>
      <c r="AJU1" s="86"/>
      <c r="AJV1" s="86"/>
      <c r="AJW1" s="86"/>
      <c r="AJX1" s="86"/>
      <c r="AJY1" s="86"/>
      <c r="AJZ1" s="86"/>
      <c r="AKA1" s="86"/>
      <c r="AKB1" s="86"/>
      <c r="AKC1" s="86"/>
      <c r="AKD1" s="86"/>
      <c r="AKE1" s="86"/>
      <c r="AKF1" s="86"/>
      <c r="AKG1" s="86"/>
      <c r="AKH1" s="86"/>
      <c r="AKI1" s="86"/>
      <c r="AKJ1" s="86"/>
      <c r="AKK1" s="86"/>
      <c r="AKL1" s="86"/>
      <c r="AKM1" s="86"/>
      <c r="AKN1" s="86"/>
      <c r="AKO1" s="86"/>
      <c r="AKP1" s="86"/>
      <c r="AKQ1" s="86"/>
      <c r="AKR1" s="86"/>
      <c r="AKS1" s="86"/>
      <c r="AKT1" s="86"/>
      <c r="AKU1" s="86"/>
      <c r="AKV1" s="86"/>
      <c r="AKW1" s="86"/>
      <c r="AKX1" s="86"/>
      <c r="AKY1" s="86"/>
      <c r="AKZ1" s="86"/>
      <c r="ALA1" s="86"/>
      <c r="ALB1" s="86"/>
      <c r="ALC1" s="86"/>
      <c r="ALD1" s="86"/>
      <c r="ALE1" s="86"/>
      <c r="ALF1" s="86"/>
      <c r="ALG1" s="86"/>
      <c r="ALH1" s="86"/>
      <c r="ALI1" s="86"/>
      <c r="ALJ1" s="86"/>
      <c r="ALK1" s="86"/>
      <c r="ALL1" s="86"/>
      <c r="ALM1" s="86"/>
      <c r="ALN1" s="86"/>
      <c r="ALO1" s="86"/>
      <c r="ALP1" s="86"/>
      <c r="ALQ1" s="86"/>
      <c r="ALR1" s="86"/>
      <c r="ALS1" s="86"/>
      <c r="ALT1" s="86"/>
      <c r="ALU1" s="86"/>
      <c r="ALV1" s="86"/>
      <c r="ALW1" s="86"/>
      <c r="ALX1" s="86"/>
      <c r="ALY1" s="86"/>
      <c r="ALZ1" s="86"/>
      <c r="AMA1" s="86"/>
      <c r="AMB1" s="86"/>
      <c r="AMC1" s="86"/>
      <c r="AMD1" s="86"/>
      <c r="AME1" s="86"/>
      <c r="AMF1" s="94"/>
    </row>
    <row r="2" spans="1:1020" s="97" customFormat="1" ht="12.6" customHeight="1">
      <c r="A2" s="110"/>
      <c r="B2" s="110"/>
      <c r="C2" s="110"/>
      <c r="D2" s="199"/>
      <c r="E2" s="200"/>
      <c r="F2" s="200"/>
      <c r="G2" s="200"/>
      <c r="H2" s="200"/>
      <c r="I2" s="200"/>
      <c r="J2" s="217" t="s">
        <v>301</v>
      </c>
      <c r="K2" s="218"/>
      <c r="L2" s="218"/>
      <c r="M2" s="218"/>
      <c r="N2" s="218"/>
      <c r="O2" s="218"/>
      <c r="P2" s="218"/>
      <c r="Q2" s="218"/>
      <c r="R2" s="218"/>
      <c r="S2" s="218"/>
      <c r="T2" s="218"/>
      <c r="U2" s="218"/>
      <c r="V2" s="218"/>
      <c r="W2" s="218"/>
      <c r="X2" s="218"/>
      <c r="Y2" s="218"/>
      <c r="Z2" s="219"/>
      <c r="AA2" s="212" t="s">
        <v>302</v>
      </c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2"/>
      <c r="AP2" s="212"/>
      <c r="AQ2" s="213"/>
      <c r="AR2" s="214" t="s">
        <v>303</v>
      </c>
      <c r="AS2" s="215"/>
      <c r="AT2" s="215"/>
      <c r="AU2" s="215"/>
      <c r="AV2" s="215"/>
      <c r="AW2" s="215"/>
      <c r="AX2" s="215"/>
      <c r="AY2" s="215"/>
      <c r="AZ2" s="215"/>
      <c r="BA2" s="215"/>
      <c r="BB2" s="215"/>
      <c r="BC2" s="215"/>
      <c r="BD2" s="215"/>
      <c r="BE2" s="215"/>
      <c r="BF2" s="215"/>
      <c r="BG2" s="215"/>
      <c r="BH2" s="216"/>
      <c r="BI2" s="211" t="s">
        <v>304</v>
      </c>
      <c r="BJ2" s="212"/>
      <c r="BK2" s="212"/>
      <c r="BL2" s="212"/>
      <c r="BM2" s="212"/>
      <c r="BN2" s="212"/>
      <c r="BO2" s="212"/>
      <c r="BP2" s="212"/>
      <c r="BQ2" s="212"/>
      <c r="BR2" s="212"/>
      <c r="BS2" s="212"/>
      <c r="BT2" s="212"/>
      <c r="BU2" s="212"/>
      <c r="BV2" s="212"/>
      <c r="BW2" s="212"/>
      <c r="BX2" s="212"/>
      <c r="BY2" s="213"/>
      <c r="BZ2" s="205" t="s">
        <v>305</v>
      </c>
      <c r="CA2" s="206"/>
      <c r="CB2" s="206"/>
      <c r="CC2" s="206"/>
      <c r="CD2" s="206"/>
      <c r="CE2" s="206"/>
      <c r="CF2" s="206"/>
      <c r="CG2" s="206"/>
      <c r="CH2" s="206"/>
      <c r="CI2" s="206"/>
      <c r="CJ2" s="206"/>
      <c r="CK2" s="206"/>
      <c r="CL2" s="206"/>
      <c r="CM2" s="206"/>
      <c r="CN2" s="206"/>
      <c r="CO2" s="206"/>
      <c r="CP2" s="207"/>
      <c r="CQ2" s="202" t="s">
        <v>306</v>
      </c>
      <c r="CR2" s="203"/>
      <c r="CS2" s="203"/>
      <c r="CT2" s="203"/>
      <c r="CU2" s="203"/>
      <c r="CV2" s="203"/>
      <c r="CW2" s="203"/>
      <c r="CX2" s="203"/>
      <c r="CY2" s="203"/>
      <c r="CZ2" s="203"/>
      <c r="DA2" s="203"/>
      <c r="DB2" s="203"/>
      <c r="DC2" s="203"/>
      <c r="DD2" s="203"/>
      <c r="DE2" s="203"/>
      <c r="DF2" s="203"/>
      <c r="DG2" s="204"/>
      <c r="DH2" s="214" t="s">
        <v>307</v>
      </c>
      <c r="DI2" s="215"/>
      <c r="DJ2" s="215"/>
      <c r="DK2" s="215"/>
      <c r="DL2" s="215"/>
      <c r="DM2" s="215"/>
      <c r="DN2" s="215"/>
      <c r="DO2" s="215"/>
      <c r="DP2" s="215"/>
      <c r="DQ2" s="215"/>
      <c r="DR2" s="215"/>
      <c r="DS2" s="215"/>
      <c r="DT2" s="215"/>
      <c r="DU2" s="215"/>
      <c r="DV2" s="215"/>
      <c r="DW2" s="215"/>
      <c r="DX2" s="216"/>
      <c r="DY2" s="211" t="s">
        <v>308</v>
      </c>
      <c r="DZ2" s="212"/>
      <c r="EA2" s="212"/>
      <c r="EB2" s="212"/>
      <c r="EC2" s="212"/>
      <c r="ED2" s="212"/>
      <c r="EE2" s="212"/>
      <c r="EF2" s="212"/>
      <c r="EG2" s="212"/>
      <c r="EH2" s="212"/>
      <c r="EI2" s="212"/>
      <c r="EJ2" s="212"/>
      <c r="EK2" s="212"/>
      <c r="EL2" s="212"/>
      <c r="EM2" s="212"/>
      <c r="EN2" s="213"/>
      <c r="EO2" s="214" t="s">
        <v>309</v>
      </c>
      <c r="EP2" s="215"/>
      <c r="EQ2" s="215"/>
      <c r="ER2" s="215"/>
      <c r="ES2" s="215"/>
      <c r="ET2" s="215"/>
      <c r="EU2" s="215"/>
      <c r="EV2" s="215"/>
      <c r="EW2" s="215"/>
      <c r="EX2" s="215"/>
      <c r="EY2" s="215"/>
      <c r="EZ2" s="215"/>
      <c r="FA2" s="215"/>
      <c r="FB2" s="215"/>
      <c r="FC2" s="215"/>
      <c r="FD2" s="216"/>
      <c r="FE2" s="202" t="s">
        <v>310</v>
      </c>
      <c r="FF2" s="203"/>
      <c r="FG2" s="203"/>
      <c r="FH2" s="203"/>
      <c r="FI2" s="203"/>
      <c r="FJ2" s="203"/>
      <c r="FK2" s="203"/>
      <c r="FL2" s="203"/>
      <c r="FM2" s="203"/>
      <c r="FN2" s="203"/>
      <c r="FO2" s="203"/>
      <c r="FP2" s="203"/>
      <c r="FQ2" s="203"/>
      <c r="FR2" s="203"/>
      <c r="FS2" s="203"/>
      <c r="FT2" s="203"/>
      <c r="FU2" s="204"/>
      <c r="FV2" s="205" t="s">
        <v>311</v>
      </c>
      <c r="FW2" s="206"/>
      <c r="FX2" s="206"/>
      <c r="FY2" s="206"/>
      <c r="FZ2" s="206"/>
      <c r="GA2" s="206"/>
      <c r="GB2" s="206"/>
      <c r="GC2" s="206"/>
      <c r="GD2" s="206"/>
      <c r="GE2" s="206"/>
      <c r="GF2" s="206"/>
      <c r="GG2" s="206"/>
      <c r="GH2" s="206"/>
      <c r="GI2" s="206"/>
      <c r="GJ2" s="206"/>
      <c r="GK2" s="207"/>
      <c r="GL2" s="211" t="s">
        <v>312</v>
      </c>
      <c r="GM2" s="212"/>
      <c r="GN2" s="212"/>
      <c r="GO2" s="212"/>
      <c r="GP2" s="212"/>
      <c r="GQ2" s="212"/>
      <c r="GR2" s="212"/>
      <c r="GS2" s="212"/>
      <c r="GT2" s="212"/>
      <c r="GU2" s="212"/>
      <c r="GV2" s="212"/>
      <c r="GW2" s="212"/>
      <c r="GX2" s="212"/>
      <c r="GY2" s="212"/>
      <c r="GZ2" s="212"/>
      <c r="HA2" s="213"/>
      <c r="HB2" s="205" t="s">
        <v>313</v>
      </c>
      <c r="HC2" s="206"/>
      <c r="HD2" s="206"/>
      <c r="HE2" s="206"/>
      <c r="HF2" s="206"/>
      <c r="HG2" s="206"/>
      <c r="HH2" s="206"/>
      <c r="HI2" s="206"/>
      <c r="HJ2" s="206"/>
      <c r="HK2" s="206"/>
      <c r="HL2" s="206"/>
      <c r="HM2" s="206"/>
      <c r="HN2" s="206"/>
      <c r="HO2" s="206"/>
      <c r="HP2" s="206"/>
      <c r="HQ2" s="206"/>
      <c r="HR2" s="207"/>
      <c r="HS2" s="211" t="s">
        <v>314</v>
      </c>
      <c r="HT2" s="212"/>
      <c r="HU2" s="212"/>
      <c r="HV2" s="212"/>
      <c r="HW2" s="212"/>
      <c r="HX2" s="212"/>
      <c r="HY2" s="212"/>
      <c r="HZ2" s="212"/>
      <c r="IA2" s="212"/>
      <c r="IB2" s="212"/>
      <c r="IC2" s="212"/>
      <c r="ID2" s="212"/>
      <c r="IE2" s="212"/>
      <c r="IF2" s="212"/>
      <c r="IG2" s="212"/>
      <c r="IH2" s="213"/>
      <c r="II2" s="214" t="s">
        <v>315</v>
      </c>
      <c r="IJ2" s="215"/>
      <c r="IK2" s="215"/>
      <c r="IL2" s="215"/>
      <c r="IM2" s="215"/>
      <c r="IN2" s="215"/>
      <c r="IO2" s="215"/>
      <c r="IP2" s="215"/>
      <c r="IQ2" s="215"/>
      <c r="IR2" s="215"/>
      <c r="IS2" s="215"/>
      <c r="IT2" s="215"/>
      <c r="IU2" s="215"/>
      <c r="IV2" s="215"/>
      <c r="IW2" s="215"/>
      <c r="IX2" s="215"/>
      <c r="IY2" s="216"/>
      <c r="IZ2" s="211" t="s">
        <v>316</v>
      </c>
      <c r="JA2" s="212"/>
      <c r="JB2" s="212"/>
      <c r="JC2" s="212"/>
      <c r="JD2" s="212"/>
      <c r="JE2" s="212"/>
      <c r="JF2" s="212"/>
      <c r="JG2" s="212"/>
      <c r="JH2" s="212"/>
      <c r="JI2" s="212"/>
      <c r="JJ2" s="212"/>
      <c r="JK2" s="212"/>
      <c r="JL2" s="212"/>
      <c r="JM2" s="212"/>
      <c r="JN2" s="212"/>
      <c r="JO2" s="213"/>
      <c r="JP2" s="214" t="s">
        <v>317</v>
      </c>
      <c r="JQ2" s="215"/>
      <c r="JR2" s="215"/>
      <c r="JS2" s="215"/>
      <c r="JT2" s="215"/>
      <c r="JU2" s="215"/>
      <c r="JV2" s="215"/>
      <c r="JW2" s="215"/>
      <c r="JX2" s="215"/>
      <c r="JY2" s="215"/>
      <c r="JZ2" s="215"/>
      <c r="KA2" s="215"/>
      <c r="KB2" s="215"/>
      <c r="KC2" s="215"/>
      <c r="KD2" s="215"/>
      <c r="KE2" s="216"/>
      <c r="KF2" s="202" t="s">
        <v>318</v>
      </c>
      <c r="KG2" s="203"/>
      <c r="KH2" s="203"/>
      <c r="KI2" s="203"/>
      <c r="KJ2" s="203"/>
      <c r="KK2" s="203"/>
      <c r="KL2" s="203"/>
      <c r="KM2" s="203"/>
      <c r="KN2" s="203"/>
      <c r="KO2" s="203"/>
      <c r="KP2" s="203"/>
      <c r="KQ2" s="203"/>
      <c r="KR2" s="203"/>
      <c r="KS2" s="203"/>
      <c r="KT2" s="203"/>
      <c r="KU2" s="204"/>
      <c r="KV2" s="205" t="s">
        <v>319</v>
      </c>
      <c r="KW2" s="206"/>
      <c r="KX2" s="206"/>
      <c r="KY2" s="206"/>
      <c r="KZ2" s="206"/>
      <c r="LA2" s="206"/>
      <c r="LB2" s="206"/>
      <c r="LC2" s="206"/>
      <c r="LD2" s="206"/>
      <c r="LE2" s="206"/>
      <c r="LF2" s="206"/>
      <c r="LG2" s="206"/>
      <c r="LH2" s="206"/>
      <c r="LI2" s="206"/>
      <c r="LJ2" s="206"/>
      <c r="LK2" s="207"/>
      <c r="LL2" s="202" t="s">
        <v>320</v>
      </c>
      <c r="LM2" s="203"/>
      <c r="LN2" s="203"/>
      <c r="LO2" s="203"/>
      <c r="LP2" s="203"/>
      <c r="LQ2" s="203"/>
      <c r="LR2" s="203"/>
      <c r="LS2" s="203"/>
      <c r="LT2" s="203"/>
      <c r="LU2" s="203"/>
      <c r="LV2" s="203"/>
      <c r="LW2" s="203"/>
      <c r="LX2" s="203"/>
      <c r="LY2" s="203"/>
      <c r="LZ2" s="203"/>
      <c r="MA2" s="204"/>
      <c r="MB2" s="205" t="s">
        <v>321</v>
      </c>
      <c r="MC2" s="206"/>
      <c r="MD2" s="206"/>
      <c r="ME2" s="206"/>
      <c r="MF2" s="206"/>
      <c r="MG2" s="206"/>
      <c r="MH2" s="206"/>
      <c r="MI2" s="206"/>
      <c r="MJ2" s="206"/>
      <c r="MK2" s="206"/>
      <c r="ML2" s="206"/>
      <c r="MM2" s="206"/>
      <c r="MN2" s="206"/>
      <c r="MO2" s="206"/>
      <c r="MP2" s="206"/>
      <c r="MQ2" s="207"/>
      <c r="MR2" s="211" t="s">
        <v>215</v>
      </c>
      <c r="MS2" s="212"/>
      <c r="MT2" s="212"/>
      <c r="MU2" s="212"/>
      <c r="MV2" s="212"/>
      <c r="MW2" s="212"/>
      <c r="MX2" s="212"/>
      <c r="MY2" s="212"/>
      <c r="MZ2" s="212"/>
      <c r="NA2" s="212"/>
      <c r="NB2" s="212"/>
      <c r="NC2" s="212"/>
      <c r="ND2" s="212"/>
      <c r="NE2" s="212"/>
      <c r="NF2" s="212"/>
      <c r="NG2" s="213"/>
      <c r="NH2" s="205" t="s">
        <v>322</v>
      </c>
      <c r="NI2" s="206"/>
      <c r="NJ2" s="206"/>
      <c r="NK2" s="206"/>
      <c r="NL2" s="206"/>
      <c r="NM2" s="206"/>
      <c r="NN2" s="206"/>
      <c r="NO2" s="206"/>
      <c r="NP2" s="206"/>
      <c r="NQ2" s="206"/>
      <c r="NR2" s="206"/>
      <c r="NS2" s="206"/>
      <c r="NT2" s="206"/>
      <c r="NU2" s="206"/>
      <c r="NV2" s="206"/>
      <c r="NW2" s="207"/>
      <c r="NX2" s="202" t="s">
        <v>323</v>
      </c>
      <c r="NY2" s="203"/>
      <c r="NZ2" s="203"/>
      <c r="OA2" s="203"/>
      <c r="OB2" s="203"/>
      <c r="OC2" s="203"/>
      <c r="OD2" s="203"/>
      <c r="OE2" s="203"/>
      <c r="OF2" s="203"/>
      <c r="OG2" s="203"/>
      <c r="OH2" s="203"/>
      <c r="OI2" s="203"/>
      <c r="OJ2" s="203"/>
      <c r="OK2" s="203"/>
      <c r="OL2" s="203"/>
      <c r="OM2" s="204"/>
      <c r="ON2" s="208" t="s">
        <v>324</v>
      </c>
      <c r="OO2" s="209"/>
      <c r="OP2" s="209"/>
      <c r="OQ2" s="209"/>
      <c r="OR2" s="209"/>
      <c r="OS2" s="210"/>
      <c r="OT2" s="202" t="s">
        <v>325</v>
      </c>
      <c r="OU2" s="204"/>
      <c r="OV2" s="202" t="s">
        <v>326</v>
      </c>
      <c r="OW2" s="203"/>
      <c r="OX2" s="203"/>
      <c r="OY2" s="203"/>
      <c r="OZ2" s="203"/>
      <c r="PA2" s="203"/>
      <c r="PB2" s="203"/>
      <c r="PC2" s="204"/>
      <c r="PD2" s="202" t="s">
        <v>327</v>
      </c>
      <c r="PE2" s="203"/>
      <c r="PF2" s="203"/>
      <c r="PG2" s="203"/>
      <c r="PH2" s="203"/>
      <c r="PI2" s="204"/>
      <c r="PJ2" s="202" t="s">
        <v>328</v>
      </c>
      <c r="PK2" s="203"/>
      <c r="PL2" s="203"/>
      <c r="PM2" s="203"/>
      <c r="PN2" s="204"/>
      <c r="PO2" s="202" t="s">
        <v>325</v>
      </c>
      <c r="PP2" s="204"/>
      <c r="PQ2" s="202" t="s">
        <v>329</v>
      </c>
      <c r="PR2" s="203"/>
      <c r="PS2" s="203"/>
      <c r="PT2" s="203"/>
      <c r="PU2" s="203"/>
      <c r="PV2" s="203"/>
      <c r="PW2" s="203"/>
      <c r="PX2" s="203"/>
      <c r="PY2" s="204"/>
      <c r="PZ2" s="202" t="s">
        <v>330</v>
      </c>
      <c r="QA2" s="203"/>
      <c r="QB2" s="203"/>
      <c r="QC2" s="203"/>
      <c r="QD2" s="203"/>
      <c r="QE2" s="203"/>
      <c r="QF2" s="203"/>
      <c r="QG2" s="203"/>
      <c r="QH2" s="204"/>
      <c r="QI2" s="202" t="s">
        <v>331</v>
      </c>
      <c r="QJ2" s="203"/>
      <c r="QK2" s="203"/>
      <c r="QL2" s="203"/>
      <c r="QM2" s="203"/>
      <c r="QN2" s="203"/>
      <c r="QO2" s="203"/>
      <c r="QP2" s="203"/>
      <c r="QQ2" s="204"/>
      <c r="QR2" s="202" t="s">
        <v>332</v>
      </c>
      <c r="QS2" s="203"/>
      <c r="QT2" s="203"/>
      <c r="QU2" s="203"/>
      <c r="QV2" s="203"/>
      <c r="QW2" s="203"/>
      <c r="QX2" s="203"/>
      <c r="QY2" s="203"/>
      <c r="QZ2" s="204"/>
      <c r="RA2" s="202" t="s">
        <v>325</v>
      </c>
      <c r="RB2" s="203"/>
      <c r="RC2" s="203"/>
      <c r="RD2" s="204"/>
      <c r="RE2" s="96" t="s">
        <v>328</v>
      </c>
      <c r="RF2" s="202" t="s">
        <v>333</v>
      </c>
      <c r="RG2" s="203"/>
      <c r="RH2" s="203"/>
      <c r="RI2" s="203"/>
      <c r="RJ2" s="203"/>
      <c r="RK2" s="204"/>
      <c r="RL2" s="202" t="s">
        <v>325</v>
      </c>
      <c r="RM2" s="203"/>
      <c r="RN2" s="203"/>
      <c r="RO2" s="203"/>
      <c r="RP2" s="203"/>
      <c r="RQ2" s="204"/>
      <c r="RR2" s="202" t="s">
        <v>334</v>
      </c>
      <c r="RS2" s="204"/>
      <c r="RT2" s="205" t="s">
        <v>335</v>
      </c>
      <c r="RU2" s="206"/>
      <c r="RV2" s="206"/>
      <c r="RW2" s="206"/>
      <c r="RX2" s="206"/>
      <c r="RY2" s="206"/>
      <c r="RZ2" s="206"/>
      <c r="SA2" s="206"/>
      <c r="SB2" s="206"/>
      <c r="SC2" s="206"/>
      <c r="SD2" s="206"/>
      <c r="SE2" s="207"/>
      <c r="SF2" s="202" t="s">
        <v>238</v>
      </c>
      <c r="SG2" s="203"/>
      <c r="SH2" s="203"/>
      <c r="SI2" s="203"/>
      <c r="SJ2" s="203"/>
      <c r="SK2" s="203"/>
      <c r="SL2" s="203"/>
      <c r="SM2" s="203"/>
      <c r="SN2" s="203"/>
      <c r="SO2" s="203"/>
      <c r="SP2" s="203"/>
      <c r="SQ2" s="204"/>
      <c r="SR2" s="205" t="s">
        <v>336</v>
      </c>
      <c r="SS2" s="206"/>
      <c r="ST2" s="206"/>
      <c r="SU2" s="206"/>
      <c r="SV2" s="206"/>
      <c r="SW2" s="207"/>
      <c r="SX2" s="202" t="s">
        <v>337</v>
      </c>
      <c r="SY2" s="203"/>
      <c r="SZ2" s="203"/>
      <c r="TA2" s="203"/>
      <c r="TB2" s="203"/>
      <c r="TC2" s="203"/>
      <c r="TD2" s="203"/>
      <c r="TE2" s="203"/>
      <c r="TF2" s="203"/>
      <c r="TG2" s="203"/>
      <c r="TH2" s="203"/>
      <c r="TI2" s="203"/>
      <c r="TJ2" s="203"/>
      <c r="TK2" s="203"/>
      <c r="TL2" s="203"/>
      <c r="TM2" s="204"/>
      <c r="TN2" s="205" t="s">
        <v>338</v>
      </c>
      <c r="TO2" s="206"/>
      <c r="TP2" s="206"/>
      <c r="TQ2" s="206"/>
      <c r="TR2" s="206"/>
      <c r="TS2" s="206"/>
      <c r="TT2" s="206"/>
      <c r="TU2" s="206"/>
      <c r="TV2" s="206"/>
      <c r="TW2" s="206"/>
      <c r="TX2" s="206"/>
      <c r="TY2" s="206"/>
      <c r="TZ2" s="206"/>
      <c r="UA2" s="206"/>
      <c r="UB2" s="206"/>
      <c r="UC2" s="207"/>
      <c r="UD2" s="202" t="s">
        <v>339</v>
      </c>
      <c r="UE2" s="203"/>
      <c r="UF2" s="203"/>
      <c r="UG2" s="203"/>
      <c r="UH2" s="203"/>
      <c r="UI2" s="203"/>
      <c r="UJ2" s="203"/>
      <c r="UK2" s="203"/>
      <c r="UL2" s="203"/>
      <c r="UM2" s="203"/>
      <c r="UN2" s="203"/>
      <c r="UO2" s="203"/>
      <c r="UP2" s="203"/>
      <c r="UQ2" s="203"/>
      <c r="UR2" s="203"/>
      <c r="US2" s="204"/>
      <c r="UT2" s="205" t="s">
        <v>340</v>
      </c>
      <c r="UU2" s="206"/>
      <c r="UV2" s="206"/>
      <c r="UW2" s="206"/>
      <c r="UX2" s="206"/>
      <c r="UY2" s="206"/>
      <c r="UZ2" s="206"/>
      <c r="VA2" s="206"/>
      <c r="VB2" s="206"/>
      <c r="VC2" s="206"/>
      <c r="VD2" s="206"/>
      <c r="VE2" s="206"/>
      <c r="VF2" s="206"/>
      <c r="VG2" s="206"/>
      <c r="VH2" s="206"/>
      <c r="VI2" s="207"/>
      <c r="VJ2" s="202" t="s">
        <v>341</v>
      </c>
      <c r="VK2" s="203"/>
      <c r="VL2" s="203"/>
      <c r="VM2" s="203"/>
      <c r="VN2" s="203"/>
      <c r="VO2" s="203"/>
      <c r="VP2" s="203"/>
      <c r="VQ2" s="203"/>
      <c r="VR2" s="203"/>
      <c r="VS2" s="203"/>
      <c r="VT2" s="203"/>
      <c r="VU2" s="203"/>
      <c r="VV2" s="203"/>
      <c r="VW2" s="203"/>
      <c r="VX2" s="203"/>
      <c r="VY2" s="204"/>
      <c r="VZ2" s="202" t="s">
        <v>342</v>
      </c>
      <c r="WA2" s="203"/>
      <c r="WB2" s="203"/>
      <c r="WC2" s="203"/>
      <c r="WD2" s="203"/>
      <c r="WE2" s="203"/>
      <c r="WF2" s="203"/>
      <c r="WG2" s="203"/>
      <c r="WH2" s="203"/>
      <c r="WI2" s="203"/>
      <c r="WJ2" s="203"/>
      <c r="WK2" s="203"/>
      <c r="WL2" s="203"/>
      <c r="WM2" s="203"/>
      <c r="WN2" s="203"/>
      <c r="WO2" s="204"/>
      <c r="WP2" s="205" t="s">
        <v>343</v>
      </c>
      <c r="WQ2" s="206"/>
      <c r="WR2" s="206"/>
      <c r="WS2" s="206"/>
      <c r="WT2" s="206"/>
      <c r="WU2" s="206"/>
      <c r="WV2" s="206"/>
      <c r="WW2" s="206"/>
      <c r="WX2" s="206"/>
      <c r="WY2" s="206"/>
      <c r="WZ2" s="206"/>
      <c r="XA2" s="206"/>
      <c r="XB2" s="206"/>
      <c r="XC2" s="206"/>
      <c r="XD2" s="206"/>
      <c r="XE2" s="207"/>
      <c r="XF2" s="202" t="s">
        <v>344</v>
      </c>
      <c r="XG2" s="203"/>
      <c r="XH2" s="203"/>
      <c r="XI2" s="203"/>
      <c r="XJ2" s="203"/>
      <c r="XK2" s="203"/>
      <c r="XL2" s="203"/>
      <c r="XM2" s="203"/>
      <c r="XN2" s="203"/>
      <c r="XO2" s="203"/>
      <c r="XP2" s="203"/>
      <c r="XQ2" s="203"/>
      <c r="XR2" s="203"/>
      <c r="XS2" s="203"/>
      <c r="XT2" s="203"/>
      <c r="XU2" s="204"/>
      <c r="XV2" s="205" t="s">
        <v>345</v>
      </c>
      <c r="XW2" s="206"/>
      <c r="XX2" s="206"/>
      <c r="XY2" s="206"/>
      <c r="XZ2" s="206"/>
      <c r="YA2" s="206"/>
      <c r="YB2" s="206"/>
      <c r="YC2" s="206"/>
      <c r="YD2" s="206"/>
      <c r="YE2" s="206"/>
      <c r="YF2" s="206"/>
      <c r="YG2" s="206"/>
      <c r="YH2" s="206"/>
      <c r="YI2" s="206"/>
      <c r="YJ2" s="206"/>
      <c r="YK2" s="207"/>
      <c r="YL2" s="202" t="s">
        <v>346</v>
      </c>
      <c r="YM2" s="203"/>
      <c r="YN2" s="203"/>
      <c r="YO2" s="203"/>
      <c r="YP2" s="203"/>
      <c r="YQ2" s="203"/>
      <c r="YR2" s="203"/>
      <c r="YS2" s="203"/>
      <c r="YT2" s="203"/>
      <c r="YU2" s="203"/>
      <c r="YV2" s="203"/>
      <c r="YW2" s="203"/>
      <c r="YX2" s="203"/>
      <c r="YY2" s="203"/>
      <c r="YZ2" s="203"/>
      <c r="ZA2" s="204"/>
      <c r="ZB2" s="205" t="s">
        <v>347</v>
      </c>
      <c r="ZC2" s="206"/>
      <c r="ZD2" s="206"/>
      <c r="ZE2" s="206"/>
      <c r="ZF2" s="206"/>
      <c r="ZG2" s="206"/>
      <c r="ZH2" s="206"/>
      <c r="ZI2" s="206"/>
      <c r="ZJ2" s="206"/>
      <c r="ZK2" s="206"/>
      <c r="ZL2" s="206"/>
      <c r="ZM2" s="206"/>
      <c r="ZN2" s="206"/>
      <c r="ZO2" s="206"/>
      <c r="ZP2" s="206"/>
      <c r="ZQ2" s="207"/>
      <c r="ZR2" s="202" t="s">
        <v>348</v>
      </c>
      <c r="ZS2" s="203"/>
      <c r="ZT2" s="203"/>
      <c r="ZU2" s="203"/>
      <c r="ZV2" s="203"/>
      <c r="ZW2" s="203"/>
      <c r="ZX2" s="203"/>
      <c r="ZY2" s="203"/>
      <c r="ZZ2" s="203"/>
      <c r="AAA2" s="203"/>
      <c r="AAB2" s="203"/>
      <c r="AAC2" s="203"/>
      <c r="AAD2" s="203"/>
      <c r="AAE2" s="203"/>
      <c r="AAF2" s="203"/>
      <c r="AAG2" s="204"/>
      <c r="AAH2" s="202" t="s">
        <v>432</v>
      </c>
      <c r="AAI2" s="203"/>
      <c r="AAJ2" s="203"/>
      <c r="AAK2" s="203"/>
      <c r="AAL2" s="203"/>
      <c r="AAM2" s="203"/>
      <c r="AAN2" s="203"/>
      <c r="AAO2" s="203"/>
      <c r="AAP2" s="203"/>
      <c r="AAQ2" s="203"/>
      <c r="AAR2" s="203"/>
      <c r="AAS2" s="203"/>
      <c r="AAT2" s="203"/>
      <c r="AAU2" s="203"/>
      <c r="AAV2" s="203"/>
      <c r="AAW2" s="204"/>
      <c r="AAX2" s="205" t="s">
        <v>349</v>
      </c>
      <c r="AAY2" s="206"/>
      <c r="AAZ2" s="206"/>
      <c r="ABA2" s="206"/>
      <c r="ABB2" s="206"/>
      <c r="ABC2" s="206"/>
      <c r="ABD2" s="206"/>
      <c r="ABE2" s="206"/>
      <c r="ABF2" s="206"/>
      <c r="ABG2" s="206"/>
      <c r="ABH2" s="206"/>
      <c r="ABI2" s="206"/>
      <c r="ABJ2" s="206"/>
      <c r="ABK2" s="206"/>
      <c r="ABL2" s="206"/>
      <c r="ABM2" s="207"/>
      <c r="ABN2" s="205" t="s">
        <v>433</v>
      </c>
      <c r="ABO2" s="206"/>
      <c r="ABP2" s="206"/>
      <c r="ABQ2" s="206"/>
      <c r="ABR2" s="206"/>
      <c r="ABS2" s="206"/>
      <c r="ABT2" s="206"/>
      <c r="ABU2" s="206"/>
      <c r="ABV2" s="206"/>
      <c r="ABW2" s="206"/>
      <c r="ABX2" s="206"/>
      <c r="ABY2" s="206"/>
      <c r="ABZ2" s="206"/>
      <c r="ACA2" s="206"/>
      <c r="ACB2" s="206"/>
      <c r="ACC2" s="207"/>
      <c r="ACD2" s="202" t="s">
        <v>350</v>
      </c>
      <c r="ACE2" s="203"/>
      <c r="ACF2" s="203"/>
      <c r="ACG2" s="203"/>
      <c r="ACH2" s="203"/>
      <c r="ACI2" s="203"/>
      <c r="ACJ2" s="204"/>
      <c r="ACK2" s="199" t="s">
        <v>351</v>
      </c>
      <c r="ACL2" s="200"/>
      <c r="ACM2" s="200"/>
      <c r="ACN2" s="200"/>
      <c r="ACO2" s="200"/>
      <c r="ACP2" s="200"/>
      <c r="ACQ2" s="200"/>
      <c r="ACR2" s="200"/>
      <c r="ACS2" s="200"/>
      <c r="ACT2" s="200"/>
      <c r="ACU2" s="200"/>
      <c r="ACV2" s="200"/>
      <c r="ACW2" s="200"/>
      <c r="ACX2" s="200"/>
      <c r="ACY2" s="200"/>
      <c r="ACZ2" s="201"/>
      <c r="ADA2" s="199" t="s">
        <v>352</v>
      </c>
      <c r="ADB2" s="200"/>
      <c r="ADC2" s="200"/>
      <c r="ADD2" s="200"/>
      <c r="ADE2" s="200"/>
      <c r="ADF2" s="200"/>
      <c r="ADG2" s="200"/>
      <c r="ADH2" s="200"/>
      <c r="ADI2" s="200"/>
      <c r="ADJ2" s="200"/>
      <c r="ADK2" s="200"/>
      <c r="ADL2" s="200"/>
      <c r="ADM2" s="200"/>
      <c r="ADN2" s="200"/>
      <c r="ADO2" s="200"/>
      <c r="ADP2" s="201"/>
      <c r="ADQ2" s="199" t="s">
        <v>353</v>
      </c>
      <c r="ADR2" s="200"/>
      <c r="ADS2" s="200"/>
      <c r="ADT2" s="200"/>
      <c r="ADU2" s="200"/>
      <c r="ADV2" s="200"/>
      <c r="ADW2" s="200"/>
      <c r="ADX2" s="200"/>
      <c r="ADY2" s="200"/>
      <c r="ADZ2" s="200"/>
      <c r="AEA2" s="200"/>
      <c r="AEB2" s="200"/>
      <c r="AEC2" s="200"/>
      <c r="AED2" s="200"/>
      <c r="AEE2" s="200"/>
      <c r="AEF2" s="201"/>
      <c r="AEG2" s="199" t="s">
        <v>354</v>
      </c>
      <c r="AEH2" s="200"/>
      <c r="AEI2" s="200"/>
      <c r="AEJ2" s="200"/>
      <c r="AEK2" s="200"/>
      <c r="AEL2" s="200"/>
      <c r="AEM2" s="200"/>
      <c r="AEN2" s="200"/>
      <c r="AEO2" s="200"/>
      <c r="AEP2" s="200"/>
      <c r="AEQ2" s="200"/>
      <c r="AER2" s="200"/>
      <c r="AES2" s="200"/>
      <c r="AET2" s="200"/>
      <c r="AEU2" s="200"/>
      <c r="AEV2" s="201"/>
      <c r="AEW2" s="199" t="s">
        <v>355</v>
      </c>
      <c r="AEX2" s="200"/>
      <c r="AEY2" s="200"/>
      <c r="AEZ2" s="200"/>
      <c r="AFA2" s="200"/>
      <c r="AFB2" s="200"/>
      <c r="AFC2" s="200"/>
      <c r="AFD2" s="200"/>
      <c r="AFE2" s="200"/>
      <c r="AFF2" s="200"/>
      <c r="AFG2" s="200"/>
      <c r="AFH2" s="200"/>
      <c r="AFI2" s="200"/>
      <c r="AFJ2" s="200"/>
      <c r="AFK2" s="200"/>
      <c r="AFL2" s="201"/>
      <c r="AFM2" s="199" t="s">
        <v>356</v>
      </c>
      <c r="AFN2" s="200"/>
      <c r="AFO2" s="200"/>
      <c r="AFP2" s="200"/>
      <c r="AFQ2" s="200"/>
      <c r="AFR2" s="200"/>
      <c r="AFS2" s="200"/>
      <c r="AFT2" s="200"/>
      <c r="AFU2" s="200"/>
      <c r="AFV2" s="200"/>
      <c r="AFW2" s="200"/>
      <c r="AFX2" s="200"/>
      <c r="AFY2" s="200"/>
      <c r="AFZ2" s="200"/>
      <c r="AGA2" s="200"/>
      <c r="AGB2" s="201"/>
      <c r="AGC2" s="199" t="s">
        <v>357</v>
      </c>
      <c r="AGD2" s="200"/>
      <c r="AGE2" s="200"/>
      <c r="AGF2" s="200"/>
      <c r="AGG2" s="200"/>
      <c r="AGH2" s="200"/>
      <c r="AGI2" s="200"/>
      <c r="AGJ2" s="200"/>
      <c r="AGK2" s="200"/>
      <c r="AGL2" s="200"/>
      <c r="AGM2" s="200"/>
      <c r="AGN2" s="200"/>
      <c r="AGO2" s="200"/>
      <c r="AGP2" s="200"/>
      <c r="AGQ2" s="200"/>
      <c r="AGR2" s="201"/>
      <c r="AGS2" s="199" t="s">
        <v>358</v>
      </c>
      <c r="AGT2" s="200"/>
      <c r="AGU2" s="200"/>
      <c r="AGV2" s="200"/>
      <c r="AGW2" s="200"/>
      <c r="AGX2" s="200"/>
      <c r="AGY2" s="200"/>
      <c r="AGZ2" s="200"/>
      <c r="AHA2" s="200"/>
      <c r="AHB2" s="200"/>
      <c r="AHC2" s="200"/>
      <c r="AHD2" s="200"/>
      <c r="AHE2" s="200"/>
      <c r="AHF2" s="200"/>
      <c r="AHG2" s="200"/>
      <c r="AHH2" s="201"/>
      <c r="AHI2" s="199" t="s">
        <v>359</v>
      </c>
      <c r="AHJ2" s="200"/>
      <c r="AHK2" s="200"/>
      <c r="AHL2" s="200"/>
      <c r="AHM2" s="200"/>
      <c r="AHN2" s="200"/>
      <c r="AHO2" s="200"/>
      <c r="AHP2" s="200"/>
      <c r="AHQ2" s="200"/>
      <c r="AHR2" s="200"/>
      <c r="AHS2" s="200"/>
      <c r="AHT2" s="200"/>
      <c r="AHU2" s="200"/>
      <c r="AHV2" s="200"/>
      <c r="AHW2" s="200"/>
      <c r="AHX2" s="201"/>
      <c r="AHY2" s="199" t="s">
        <v>360</v>
      </c>
      <c r="AHZ2" s="200"/>
      <c r="AIA2" s="200"/>
      <c r="AIB2" s="200"/>
      <c r="AIC2" s="200"/>
      <c r="AID2" s="200"/>
      <c r="AIE2" s="200"/>
      <c r="AIF2" s="200"/>
      <c r="AIG2" s="200"/>
      <c r="AIH2" s="200"/>
      <c r="AII2" s="200"/>
      <c r="AIJ2" s="200"/>
      <c r="AIK2" s="200"/>
      <c r="AIL2" s="200"/>
      <c r="AIM2" s="200"/>
      <c r="AIN2" s="201"/>
      <c r="AIO2" s="199" t="s">
        <v>361</v>
      </c>
      <c r="AIP2" s="200"/>
      <c r="AIQ2" s="200"/>
      <c r="AIR2" s="200"/>
      <c r="AIS2" s="200"/>
      <c r="AIT2" s="200"/>
      <c r="AIU2" s="200"/>
      <c r="AIV2" s="200"/>
      <c r="AIW2" s="200"/>
      <c r="AIX2" s="200"/>
      <c r="AIY2" s="200"/>
      <c r="AIZ2" s="200"/>
      <c r="AJA2" s="200"/>
      <c r="AJB2" s="200"/>
      <c r="AJC2" s="200"/>
      <c r="AJD2" s="201"/>
      <c r="AJE2" s="199" t="s">
        <v>362</v>
      </c>
      <c r="AJF2" s="200"/>
      <c r="AJG2" s="200"/>
      <c r="AJH2" s="200"/>
      <c r="AJI2" s="200"/>
      <c r="AJJ2" s="200"/>
      <c r="AJK2" s="200"/>
      <c r="AJL2" s="200"/>
      <c r="AJM2" s="200"/>
      <c r="AJN2" s="200"/>
      <c r="AJO2" s="200"/>
      <c r="AJP2" s="200"/>
      <c r="AJQ2" s="200"/>
      <c r="AJR2" s="200"/>
      <c r="AJS2" s="200"/>
      <c r="AJT2" s="201"/>
      <c r="AJU2" s="199" t="s">
        <v>363</v>
      </c>
      <c r="AJV2" s="200"/>
      <c r="AJW2" s="200"/>
      <c r="AJX2" s="200"/>
      <c r="AJY2" s="200"/>
      <c r="AJZ2" s="200"/>
      <c r="AKA2" s="200"/>
      <c r="AKB2" s="200"/>
      <c r="AKC2" s="200"/>
      <c r="AKD2" s="200"/>
      <c r="AKE2" s="200"/>
      <c r="AKF2" s="200"/>
      <c r="AKG2" s="200"/>
      <c r="AKH2" s="200"/>
      <c r="AKI2" s="200"/>
      <c r="AKJ2" s="201"/>
      <c r="AKK2" s="199" t="s">
        <v>364</v>
      </c>
      <c r="AKL2" s="200"/>
      <c r="AKM2" s="200"/>
      <c r="AKN2" s="200"/>
      <c r="AKO2" s="200"/>
      <c r="AKP2" s="200"/>
      <c r="AKQ2" s="200"/>
      <c r="AKR2" s="200"/>
      <c r="AKS2" s="200"/>
      <c r="AKT2" s="200"/>
      <c r="AKU2" s="200"/>
      <c r="AKV2" s="200"/>
      <c r="AKW2" s="200"/>
      <c r="AKX2" s="200"/>
      <c r="AKY2" s="200"/>
      <c r="AKZ2" s="201"/>
      <c r="ALA2" s="199" t="s">
        <v>365</v>
      </c>
      <c r="ALB2" s="200"/>
      <c r="ALC2" s="200"/>
      <c r="ALD2" s="200"/>
      <c r="ALE2" s="200"/>
      <c r="ALF2" s="200"/>
      <c r="ALG2" s="200"/>
      <c r="ALH2" s="200"/>
      <c r="ALI2" s="200"/>
      <c r="ALJ2" s="200"/>
      <c r="ALK2" s="200"/>
      <c r="ALL2" s="200"/>
      <c r="ALM2" s="200"/>
      <c r="ALN2" s="200"/>
      <c r="ALO2" s="200"/>
      <c r="ALP2" s="201"/>
      <c r="ALQ2" s="199" t="s">
        <v>366</v>
      </c>
      <c r="ALR2" s="200"/>
      <c r="ALS2" s="200"/>
      <c r="ALT2" s="200"/>
      <c r="ALU2" s="200"/>
      <c r="ALV2" s="200"/>
      <c r="ALW2" s="200"/>
      <c r="ALX2" s="200"/>
      <c r="ALY2" s="200"/>
      <c r="ALZ2" s="200"/>
      <c r="AMA2" s="200"/>
      <c r="AMB2" s="200"/>
      <c r="AMC2" s="200"/>
      <c r="AMD2" s="200"/>
      <c r="AME2" s="200"/>
      <c r="AMF2" s="201"/>
    </row>
    <row r="3" spans="1:1020" s="106" customFormat="1" ht="64.2" customHeight="1">
      <c r="A3" s="111" t="s">
        <v>425</v>
      </c>
      <c r="B3" s="111" t="s">
        <v>426</v>
      </c>
      <c r="C3" s="111" t="s">
        <v>427</v>
      </c>
      <c r="D3" s="90" t="s">
        <v>264</v>
      </c>
      <c r="E3" s="90" t="s">
        <v>265</v>
      </c>
      <c r="F3" s="90" t="s">
        <v>266</v>
      </c>
      <c r="G3" s="90" t="s">
        <v>119</v>
      </c>
      <c r="H3" s="90" t="s">
        <v>267</v>
      </c>
      <c r="I3" s="98" t="s">
        <v>268</v>
      </c>
      <c r="J3" s="99" t="s">
        <v>367</v>
      </c>
      <c r="K3" s="100" t="s">
        <v>368</v>
      </c>
      <c r="L3" s="100" t="s">
        <v>369</v>
      </c>
      <c r="M3" s="100" t="s">
        <v>370</v>
      </c>
      <c r="N3" s="100" t="s">
        <v>371</v>
      </c>
      <c r="O3" s="100" t="s">
        <v>372</v>
      </c>
      <c r="P3" s="100" t="s">
        <v>373</v>
      </c>
      <c r="Q3" s="100" t="s">
        <v>374</v>
      </c>
      <c r="R3" s="100" t="s">
        <v>375</v>
      </c>
      <c r="S3" s="100" t="s">
        <v>376</v>
      </c>
      <c r="T3" s="100" t="s">
        <v>377</v>
      </c>
      <c r="U3" s="100" t="s">
        <v>378</v>
      </c>
      <c r="V3" s="100" t="s">
        <v>379</v>
      </c>
      <c r="W3" s="100" t="s">
        <v>380</v>
      </c>
      <c r="X3" s="100" t="s">
        <v>381</v>
      </c>
      <c r="Y3" s="100" t="s">
        <v>382</v>
      </c>
      <c r="Z3" s="101" t="s">
        <v>383</v>
      </c>
      <c r="AA3" s="102" t="s">
        <v>367</v>
      </c>
      <c r="AB3" s="91" t="s">
        <v>368</v>
      </c>
      <c r="AC3" s="91" t="s">
        <v>369</v>
      </c>
      <c r="AD3" s="91" t="s">
        <v>370</v>
      </c>
      <c r="AE3" s="91" t="s">
        <v>371</v>
      </c>
      <c r="AF3" s="91" t="s">
        <v>372</v>
      </c>
      <c r="AG3" s="91" t="s">
        <v>373</v>
      </c>
      <c r="AH3" s="91" t="s">
        <v>374</v>
      </c>
      <c r="AI3" s="91" t="s">
        <v>375</v>
      </c>
      <c r="AJ3" s="91" t="s">
        <v>376</v>
      </c>
      <c r="AK3" s="91" t="s">
        <v>377</v>
      </c>
      <c r="AL3" s="91" t="s">
        <v>378</v>
      </c>
      <c r="AM3" s="91" t="s">
        <v>379</v>
      </c>
      <c r="AN3" s="91" t="s">
        <v>380</v>
      </c>
      <c r="AO3" s="91" t="s">
        <v>381</v>
      </c>
      <c r="AP3" s="91" t="s">
        <v>382</v>
      </c>
      <c r="AQ3" s="91" t="s">
        <v>383</v>
      </c>
      <c r="AR3" s="100" t="s">
        <v>367</v>
      </c>
      <c r="AS3" s="100" t="s">
        <v>368</v>
      </c>
      <c r="AT3" s="100" t="s">
        <v>369</v>
      </c>
      <c r="AU3" s="100" t="s">
        <v>370</v>
      </c>
      <c r="AV3" s="100" t="s">
        <v>371</v>
      </c>
      <c r="AW3" s="100" t="s">
        <v>372</v>
      </c>
      <c r="AX3" s="100" t="s">
        <v>373</v>
      </c>
      <c r="AY3" s="100" t="s">
        <v>374</v>
      </c>
      <c r="AZ3" s="100" t="s">
        <v>375</v>
      </c>
      <c r="BA3" s="100" t="s">
        <v>376</v>
      </c>
      <c r="BB3" s="100" t="s">
        <v>377</v>
      </c>
      <c r="BC3" s="100" t="s">
        <v>378</v>
      </c>
      <c r="BD3" s="100" t="s">
        <v>379</v>
      </c>
      <c r="BE3" s="100" t="s">
        <v>380</v>
      </c>
      <c r="BF3" s="100" t="s">
        <v>381</v>
      </c>
      <c r="BG3" s="100" t="s">
        <v>382</v>
      </c>
      <c r="BH3" s="100" t="s">
        <v>383</v>
      </c>
      <c r="BI3" s="91" t="s">
        <v>367</v>
      </c>
      <c r="BJ3" s="91" t="s">
        <v>368</v>
      </c>
      <c r="BK3" s="91" t="s">
        <v>369</v>
      </c>
      <c r="BL3" s="91" t="s">
        <v>370</v>
      </c>
      <c r="BM3" s="91" t="s">
        <v>371</v>
      </c>
      <c r="BN3" s="91" t="s">
        <v>372</v>
      </c>
      <c r="BO3" s="91" t="s">
        <v>373</v>
      </c>
      <c r="BP3" s="91" t="s">
        <v>374</v>
      </c>
      <c r="BQ3" s="91" t="s">
        <v>375</v>
      </c>
      <c r="BR3" s="91" t="s">
        <v>376</v>
      </c>
      <c r="BS3" s="91" t="s">
        <v>377</v>
      </c>
      <c r="BT3" s="91" t="s">
        <v>378</v>
      </c>
      <c r="BU3" s="91" t="s">
        <v>379</v>
      </c>
      <c r="BV3" s="91" t="s">
        <v>380</v>
      </c>
      <c r="BW3" s="91" t="s">
        <v>381</v>
      </c>
      <c r="BX3" s="91" t="s">
        <v>382</v>
      </c>
      <c r="BY3" s="91" t="s">
        <v>383</v>
      </c>
      <c r="BZ3" s="100" t="s">
        <v>367</v>
      </c>
      <c r="CA3" s="100" t="s">
        <v>368</v>
      </c>
      <c r="CB3" s="100" t="s">
        <v>369</v>
      </c>
      <c r="CC3" s="100" t="s">
        <v>370</v>
      </c>
      <c r="CD3" s="100" t="s">
        <v>371</v>
      </c>
      <c r="CE3" s="100" t="s">
        <v>372</v>
      </c>
      <c r="CF3" s="100" t="s">
        <v>373</v>
      </c>
      <c r="CG3" s="100" t="s">
        <v>374</v>
      </c>
      <c r="CH3" s="100" t="s">
        <v>375</v>
      </c>
      <c r="CI3" s="100" t="s">
        <v>376</v>
      </c>
      <c r="CJ3" s="100" t="s">
        <v>377</v>
      </c>
      <c r="CK3" s="100" t="s">
        <v>378</v>
      </c>
      <c r="CL3" s="100" t="s">
        <v>379</v>
      </c>
      <c r="CM3" s="100" t="s">
        <v>380</v>
      </c>
      <c r="CN3" s="100" t="s">
        <v>381</v>
      </c>
      <c r="CO3" s="100" t="s">
        <v>382</v>
      </c>
      <c r="CP3" s="100" t="s">
        <v>383</v>
      </c>
      <c r="CQ3" s="91" t="s">
        <v>367</v>
      </c>
      <c r="CR3" s="91" t="s">
        <v>368</v>
      </c>
      <c r="CS3" s="91" t="s">
        <v>369</v>
      </c>
      <c r="CT3" s="91" t="s">
        <v>370</v>
      </c>
      <c r="CU3" s="91" t="s">
        <v>371</v>
      </c>
      <c r="CV3" s="91" t="s">
        <v>372</v>
      </c>
      <c r="CW3" s="91" t="s">
        <v>373</v>
      </c>
      <c r="CX3" s="91" t="s">
        <v>374</v>
      </c>
      <c r="CY3" s="91" t="s">
        <v>375</v>
      </c>
      <c r="CZ3" s="91" t="s">
        <v>376</v>
      </c>
      <c r="DA3" s="91" t="s">
        <v>377</v>
      </c>
      <c r="DB3" s="91" t="s">
        <v>378</v>
      </c>
      <c r="DC3" s="91" t="s">
        <v>379</v>
      </c>
      <c r="DD3" s="91" t="s">
        <v>380</v>
      </c>
      <c r="DE3" s="91" t="s">
        <v>381</v>
      </c>
      <c r="DF3" s="91" t="s">
        <v>382</v>
      </c>
      <c r="DG3" s="91" t="s">
        <v>383</v>
      </c>
      <c r="DH3" s="100" t="s">
        <v>367</v>
      </c>
      <c r="DI3" s="100" t="s">
        <v>368</v>
      </c>
      <c r="DJ3" s="100" t="s">
        <v>369</v>
      </c>
      <c r="DK3" s="100" t="s">
        <v>370</v>
      </c>
      <c r="DL3" s="100" t="s">
        <v>371</v>
      </c>
      <c r="DM3" s="100" t="s">
        <v>372</v>
      </c>
      <c r="DN3" s="100" t="s">
        <v>373</v>
      </c>
      <c r="DO3" s="100" t="s">
        <v>374</v>
      </c>
      <c r="DP3" s="100" t="s">
        <v>375</v>
      </c>
      <c r="DQ3" s="100" t="s">
        <v>376</v>
      </c>
      <c r="DR3" s="100" t="s">
        <v>377</v>
      </c>
      <c r="DS3" s="100" t="s">
        <v>378</v>
      </c>
      <c r="DT3" s="100" t="s">
        <v>379</v>
      </c>
      <c r="DU3" s="100" t="s">
        <v>380</v>
      </c>
      <c r="DV3" s="100" t="s">
        <v>381</v>
      </c>
      <c r="DW3" s="100" t="s">
        <v>382</v>
      </c>
      <c r="DX3" s="100" t="s">
        <v>383</v>
      </c>
      <c r="DY3" s="91" t="s">
        <v>367</v>
      </c>
      <c r="DZ3" s="91" t="s">
        <v>368</v>
      </c>
      <c r="EA3" s="91" t="s">
        <v>369</v>
      </c>
      <c r="EB3" s="91" t="s">
        <v>370</v>
      </c>
      <c r="EC3" s="91" t="s">
        <v>371</v>
      </c>
      <c r="ED3" s="91" t="s">
        <v>372</v>
      </c>
      <c r="EE3" s="91" t="s">
        <v>373</v>
      </c>
      <c r="EF3" s="91" t="s">
        <v>374</v>
      </c>
      <c r="EG3" s="91" t="s">
        <v>375</v>
      </c>
      <c r="EH3" s="91" t="s">
        <v>376</v>
      </c>
      <c r="EI3" s="91" t="s">
        <v>377</v>
      </c>
      <c r="EJ3" s="91" t="s">
        <v>378</v>
      </c>
      <c r="EK3" s="91" t="s">
        <v>379</v>
      </c>
      <c r="EL3" s="91" t="s">
        <v>380</v>
      </c>
      <c r="EM3" s="91" t="s">
        <v>381</v>
      </c>
      <c r="EN3" s="91" t="s">
        <v>383</v>
      </c>
      <c r="EO3" s="100" t="s">
        <v>367</v>
      </c>
      <c r="EP3" s="100" t="s">
        <v>368</v>
      </c>
      <c r="EQ3" s="100" t="s">
        <v>369</v>
      </c>
      <c r="ER3" s="100" t="s">
        <v>370</v>
      </c>
      <c r="ES3" s="100" t="s">
        <v>371</v>
      </c>
      <c r="ET3" s="100" t="s">
        <v>372</v>
      </c>
      <c r="EU3" s="100" t="s">
        <v>373</v>
      </c>
      <c r="EV3" s="100" t="s">
        <v>374</v>
      </c>
      <c r="EW3" s="100" t="s">
        <v>375</v>
      </c>
      <c r="EX3" s="100" t="s">
        <v>376</v>
      </c>
      <c r="EY3" s="100" t="s">
        <v>377</v>
      </c>
      <c r="EZ3" s="100" t="s">
        <v>378</v>
      </c>
      <c r="FA3" s="100" t="s">
        <v>379</v>
      </c>
      <c r="FB3" s="100" t="s">
        <v>380</v>
      </c>
      <c r="FC3" s="100" t="s">
        <v>381</v>
      </c>
      <c r="FD3" s="100" t="s">
        <v>383</v>
      </c>
      <c r="FE3" s="91" t="s">
        <v>367</v>
      </c>
      <c r="FF3" s="91" t="s">
        <v>368</v>
      </c>
      <c r="FG3" s="91" t="s">
        <v>369</v>
      </c>
      <c r="FH3" s="91" t="s">
        <v>370</v>
      </c>
      <c r="FI3" s="91" t="s">
        <v>371</v>
      </c>
      <c r="FJ3" s="91" t="s">
        <v>372</v>
      </c>
      <c r="FK3" s="91" t="s">
        <v>373</v>
      </c>
      <c r="FL3" s="91" t="s">
        <v>374</v>
      </c>
      <c r="FM3" s="91" t="s">
        <v>375</v>
      </c>
      <c r="FN3" s="91" t="s">
        <v>376</v>
      </c>
      <c r="FO3" s="91" t="s">
        <v>377</v>
      </c>
      <c r="FP3" s="91" t="s">
        <v>378</v>
      </c>
      <c r="FQ3" s="91" t="s">
        <v>379</v>
      </c>
      <c r="FR3" s="91" t="s">
        <v>380</v>
      </c>
      <c r="FS3" s="91" t="s">
        <v>381</v>
      </c>
      <c r="FT3" s="91" t="s">
        <v>382</v>
      </c>
      <c r="FU3" s="91" t="s">
        <v>383</v>
      </c>
      <c r="FV3" s="100" t="s">
        <v>367</v>
      </c>
      <c r="FW3" s="100" t="s">
        <v>368</v>
      </c>
      <c r="FX3" s="100" t="s">
        <v>369</v>
      </c>
      <c r="FY3" s="100" t="s">
        <v>370</v>
      </c>
      <c r="FZ3" s="100" t="s">
        <v>371</v>
      </c>
      <c r="GA3" s="100" t="s">
        <v>372</v>
      </c>
      <c r="GB3" s="100" t="s">
        <v>373</v>
      </c>
      <c r="GC3" s="100" t="s">
        <v>374</v>
      </c>
      <c r="GD3" s="100" t="s">
        <v>375</v>
      </c>
      <c r="GE3" s="100" t="s">
        <v>376</v>
      </c>
      <c r="GF3" s="100" t="s">
        <v>377</v>
      </c>
      <c r="GG3" s="100" t="s">
        <v>378</v>
      </c>
      <c r="GH3" s="100" t="s">
        <v>379</v>
      </c>
      <c r="GI3" s="100" t="s">
        <v>380</v>
      </c>
      <c r="GJ3" s="100" t="s">
        <v>381</v>
      </c>
      <c r="GK3" s="100" t="s">
        <v>383</v>
      </c>
      <c r="GL3" s="91" t="s">
        <v>367</v>
      </c>
      <c r="GM3" s="91" t="s">
        <v>368</v>
      </c>
      <c r="GN3" s="91" t="s">
        <v>369</v>
      </c>
      <c r="GO3" s="91" t="s">
        <v>370</v>
      </c>
      <c r="GP3" s="91" t="s">
        <v>371</v>
      </c>
      <c r="GQ3" s="91" t="s">
        <v>372</v>
      </c>
      <c r="GR3" s="91" t="s">
        <v>373</v>
      </c>
      <c r="GS3" s="91" t="s">
        <v>374</v>
      </c>
      <c r="GT3" s="91" t="s">
        <v>375</v>
      </c>
      <c r="GU3" s="91" t="s">
        <v>376</v>
      </c>
      <c r="GV3" s="91" t="s">
        <v>377</v>
      </c>
      <c r="GW3" s="91" t="s">
        <v>378</v>
      </c>
      <c r="GX3" s="91" t="s">
        <v>379</v>
      </c>
      <c r="GY3" s="91" t="s">
        <v>380</v>
      </c>
      <c r="GZ3" s="91" t="s">
        <v>381</v>
      </c>
      <c r="HA3" s="91" t="s">
        <v>383</v>
      </c>
      <c r="HB3" s="100" t="s">
        <v>367</v>
      </c>
      <c r="HC3" s="100" t="s">
        <v>368</v>
      </c>
      <c r="HD3" s="100" t="s">
        <v>369</v>
      </c>
      <c r="HE3" s="100" t="s">
        <v>370</v>
      </c>
      <c r="HF3" s="100" t="s">
        <v>371</v>
      </c>
      <c r="HG3" s="100" t="s">
        <v>372</v>
      </c>
      <c r="HH3" s="100" t="s">
        <v>373</v>
      </c>
      <c r="HI3" s="100" t="s">
        <v>374</v>
      </c>
      <c r="HJ3" s="100" t="s">
        <v>375</v>
      </c>
      <c r="HK3" s="100" t="s">
        <v>376</v>
      </c>
      <c r="HL3" s="100" t="s">
        <v>377</v>
      </c>
      <c r="HM3" s="100" t="s">
        <v>378</v>
      </c>
      <c r="HN3" s="100" t="s">
        <v>379</v>
      </c>
      <c r="HO3" s="100" t="s">
        <v>380</v>
      </c>
      <c r="HP3" s="100" t="s">
        <v>381</v>
      </c>
      <c r="HQ3" s="100" t="s">
        <v>382</v>
      </c>
      <c r="HR3" s="100" t="s">
        <v>383</v>
      </c>
      <c r="HS3" s="91" t="s">
        <v>367</v>
      </c>
      <c r="HT3" s="91" t="s">
        <v>368</v>
      </c>
      <c r="HU3" s="91" t="s">
        <v>369</v>
      </c>
      <c r="HV3" s="91" t="s">
        <v>370</v>
      </c>
      <c r="HW3" s="91" t="s">
        <v>371</v>
      </c>
      <c r="HX3" s="91" t="s">
        <v>372</v>
      </c>
      <c r="HY3" s="91" t="s">
        <v>373</v>
      </c>
      <c r="HZ3" s="91" t="s">
        <v>374</v>
      </c>
      <c r="IA3" s="91" t="s">
        <v>375</v>
      </c>
      <c r="IB3" s="91" t="s">
        <v>376</v>
      </c>
      <c r="IC3" s="91" t="s">
        <v>377</v>
      </c>
      <c r="ID3" s="91" t="s">
        <v>378</v>
      </c>
      <c r="IE3" s="91" t="s">
        <v>379</v>
      </c>
      <c r="IF3" s="91" t="s">
        <v>380</v>
      </c>
      <c r="IG3" s="91" t="s">
        <v>381</v>
      </c>
      <c r="IH3" s="91" t="s">
        <v>383</v>
      </c>
      <c r="II3" s="100" t="s">
        <v>367</v>
      </c>
      <c r="IJ3" s="100" t="s">
        <v>368</v>
      </c>
      <c r="IK3" s="100" t="s">
        <v>369</v>
      </c>
      <c r="IL3" s="100" t="s">
        <v>370</v>
      </c>
      <c r="IM3" s="100" t="s">
        <v>371</v>
      </c>
      <c r="IN3" s="100" t="s">
        <v>372</v>
      </c>
      <c r="IO3" s="100" t="s">
        <v>373</v>
      </c>
      <c r="IP3" s="100" t="s">
        <v>374</v>
      </c>
      <c r="IQ3" s="100" t="s">
        <v>375</v>
      </c>
      <c r="IR3" s="100" t="s">
        <v>376</v>
      </c>
      <c r="IS3" s="100" t="s">
        <v>377</v>
      </c>
      <c r="IT3" s="100" t="s">
        <v>378</v>
      </c>
      <c r="IU3" s="100" t="s">
        <v>379</v>
      </c>
      <c r="IV3" s="100" t="s">
        <v>380</v>
      </c>
      <c r="IW3" s="100" t="s">
        <v>381</v>
      </c>
      <c r="IX3" s="100" t="s">
        <v>382</v>
      </c>
      <c r="IY3" s="100" t="s">
        <v>383</v>
      </c>
      <c r="IZ3" s="91" t="s">
        <v>367</v>
      </c>
      <c r="JA3" s="91" t="s">
        <v>368</v>
      </c>
      <c r="JB3" s="91" t="s">
        <v>369</v>
      </c>
      <c r="JC3" s="91" t="s">
        <v>370</v>
      </c>
      <c r="JD3" s="91" t="s">
        <v>371</v>
      </c>
      <c r="JE3" s="91" t="s">
        <v>372</v>
      </c>
      <c r="JF3" s="91" t="s">
        <v>373</v>
      </c>
      <c r="JG3" s="91" t="s">
        <v>374</v>
      </c>
      <c r="JH3" s="91" t="s">
        <v>375</v>
      </c>
      <c r="JI3" s="91" t="s">
        <v>376</v>
      </c>
      <c r="JJ3" s="91" t="s">
        <v>377</v>
      </c>
      <c r="JK3" s="91" t="s">
        <v>378</v>
      </c>
      <c r="JL3" s="91" t="s">
        <v>379</v>
      </c>
      <c r="JM3" s="91" t="s">
        <v>380</v>
      </c>
      <c r="JN3" s="91" t="s">
        <v>381</v>
      </c>
      <c r="JO3" s="91" t="s">
        <v>383</v>
      </c>
      <c r="JP3" s="100" t="s">
        <v>367</v>
      </c>
      <c r="JQ3" s="100" t="s">
        <v>368</v>
      </c>
      <c r="JR3" s="100" t="s">
        <v>369</v>
      </c>
      <c r="JS3" s="100" t="s">
        <v>370</v>
      </c>
      <c r="JT3" s="100" t="s">
        <v>371</v>
      </c>
      <c r="JU3" s="100" t="s">
        <v>372</v>
      </c>
      <c r="JV3" s="100" t="s">
        <v>373</v>
      </c>
      <c r="JW3" s="100" t="s">
        <v>374</v>
      </c>
      <c r="JX3" s="100" t="s">
        <v>375</v>
      </c>
      <c r="JY3" s="100" t="s">
        <v>376</v>
      </c>
      <c r="JZ3" s="100" t="s">
        <v>377</v>
      </c>
      <c r="KA3" s="100" t="s">
        <v>378</v>
      </c>
      <c r="KB3" s="100" t="s">
        <v>379</v>
      </c>
      <c r="KC3" s="100" t="s">
        <v>380</v>
      </c>
      <c r="KD3" s="100" t="s">
        <v>381</v>
      </c>
      <c r="KE3" s="100" t="s">
        <v>383</v>
      </c>
      <c r="KF3" s="91" t="s">
        <v>367</v>
      </c>
      <c r="KG3" s="91" t="s">
        <v>368</v>
      </c>
      <c r="KH3" s="91" t="s">
        <v>369</v>
      </c>
      <c r="KI3" s="91" t="s">
        <v>370</v>
      </c>
      <c r="KJ3" s="91" t="s">
        <v>371</v>
      </c>
      <c r="KK3" s="91" t="s">
        <v>372</v>
      </c>
      <c r="KL3" s="91" t="s">
        <v>373</v>
      </c>
      <c r="KM3" s="91" t="s">
        <v>374</v>
      </c>
      <c r="KN3" s="91" t="s">
        <v>375</v>
      </c>
      <c r="KO3" s="91" t="s">
        <v>376</v>
      </c>
      <c r="KP3" s="91" t="s">
        <v>377</v>
      </c>
      <c r="KQ3" s="91" t="s">
        <v>378</v>
      </c>
      <c r="KR3" s="91" t="s">
        <v>379</v>
      </c>
      <c r="KS3" s="91" t="s">
        <v>380</v>
      </c>
      <c r="KT3" s="91" t="s">
        <v>381</v>
      </c>
      <c r="KU3" s="91" t="s">
        <v>383</v>
      </c>
      <c r="KV3" s="100" t="s">
        <v>367</v>
      </c>
      <c r="KW3" s="100" t="s">
        <v>368</v>
      </c>
      <c r="KX3" s="100" t="s">
        <v>369</v>
      </c>
      <c r="KY3" s="100" t="s">
        <v>370</v>
      </c>
      <c r="KZ3" s="100" t="s">
        <v>371</v>
      </c>
      <c r="LA3" s="100" t="s">
        <v>372</v>
      </c>
      <c r="LB3" s="100" t="s">
        <v>373</v>
      </c>
      <c r="LC3" s="100" t="s">
        <v>374</v>
      </c>
      <c r="LD3" s="100" t="s">
        <v>375</v>
      </c>
      <c r="LE3" s="100" t="s">
        <v>376</v>
      </c>
      <c r="LF3" s="100" t="s">
        <v>377</v>
      </c>
      <c r="LG3" s="100" t="s">
        <v>378</v>
      </c>
      <c r="LH3" s="100" t="s">
        <v>379</v>
      </c>
      <c r="LI3" s="100" t="s">
        <v>380</v>
      </c>
      <c r="LJ3" s="100" t="s">
        <v>381</v>
      </c>
      <c r="LK3" s="100" t="s">
        <v>383</v>
      </c>
      <c r="LL3" s="91" t="s">
        <v>367</v>
      </c>
      <c r="LM3" s="91" t="s">
        <v>368</v>
      </c>
      <c r="LN3" s="91" t="s">
        <v>369</v>
      </c>
      <c r="LO3" s="91" t="s">
        <v>370</v>
      </c>
      <c r="LP3" s="91" t="s">
        <v>371</v>
      </c>
      <c r="LQ3" s="91" t="s">
        <v>372</v>
      </c>
      <c r="LR3" s="91" t="s">
        <v>373</v>
      </c>
      <c r="LS3" s="91" t="s">
        <v>374</v>
      </c>
      <c r="LT3" s="91" t="s">
        <v>375</v>
      </c>
      <c r="LU3" s="91" t="s">
        <v>376</v>
      </c>
      <c r="LV3" s="91" t="s">
        <v>377</v>
      </c>
      <c r="LW3" s="91" t="s">
        <v>378</v>
      </c>
      <c r="LX3" s="91" t="s">
        <v>379</v>
      </c>
      <c r="LY3" s="91" t="s">
        <v>380</v>
      </c>
      <c r="LZ3" s="91" t="s">
        <v>381</v>
      </c>
      <c r="MA3" s="91" t="s">
        <v>383</v>
      </c>
      <c r="MB3" s="100" t="s">
        <v>367</v>
      </c>
      <c r="MC3" s="100" t="s">
        <v>368</v>
      </c>
      <c r="MD3" s="100" t="s">
        <v>369</v>
      </c>
      <c r="ME3" s="100" t="s">
        <v>370</v>
      </c>
      <c r="MF3" s="100" t="s">
        <v>371</v>
      </c>
      <c r="MG3" s="100" t="s">
        <v>372</v>
      </c>
      <c r="MH3" s="100" t="s">
        <v>373</v>
      </c>
      <c r="MI3" s="100" t="s">
        <v>374</v>
      </c>
      <c r="MJ3" s="100" t="s">
        <v>375</v>
      </c>
      <c r="MK3" s="100" t="s">
        <v>376</v>
      </c>
      <c r="ML3" s="100" t="s">
        <v>377</v>
      </c>
      <c r="MM3" s="100" t="s">
        <v>378</v>
      </c>
      <c r="MN3" s="100" t="s">
        <v>379</v>
      </c>
      <c r="MO3" s="100" t="s">
        <v>380</v>
      </c>
      <c r="MP3" s="100" t="s">
        <v>381</v>
      </c>
      <c r="MQ3" s="100" t="s">
        <v>383</v>
      </c>
      <c r="MR3" s="91" t="s">
        <v>367</v>
      </c>
      <c r="MS3" s="91" t="s">
        <v>368</v>
      </c>
      <c r="MT3" s="91" t="s">
        <v>369</v>
      </c>
      <c r="MU3" s="91" t="s">
        <v>370</v>
      </c>
      <c r="MV3" s="91" t="s">
        <v>371</v>
      </c>
      <c r="MW3" s="91" t="s">
        <v>372</v>
      </c>
      <c r="MX3" s="91" t="s">
        <v>373</v>
      </c>
      <c r="MY3" s="91" t="s">
        <v>374</v>
      </c>
      <c r="MZ3" s="91" t="s">
        <v>375</v>
      </c>
      <c r="NA3" s="91" t="s">
        <v>376</v>
      </c>
      <c r="NB3" s="91" t="s">
        <v>377</v>
      </c>
      <c r="NC3" s="91" t="s">
        <v>378</v>
      </c>
      <c r="ND3" s="91" t="s">
        <v>379</v>
      </c>
      <c r="NE3" s="91" t="s">
        <v>380</v>
      </c>
      <c r="NF3" s="91" t="s">
        <v>381</v>
      </c>
      <c r="NG3" s="91" t="s">
        <v>383</v>
      </c>
      <c r="NH3" s="100" t="s">
        <v>367</v>
      </c>
      <c r="NI3" s="100" t="s">
        <v>368</v>
      </c>
      <c r="NJ3" s="100" t="s">
        <v>369</v>
      </c>
      <c r="NK3" s="100" t="s">
        <v>370</v>
      </c>
      <c r="NL3" s="100" t="s">
        <v>371</v>
      </c>
      <c r="NM3" s="100" t="s">
        <v>372</v>
      </c>
      <c r="NN3" s="100" t="s">
        <v>373</v>
      </c>
      <c r="NO3" s="100" t="s">
        <v>374</v>
      </c>
      <c r="NP3" s="100" t="s">
        <v>375</v>
      </c>
      <c r="NQ3" s="100" t="s">
        <v>376</v>
      </c>
      <c r="NR3" s="100" t="s">
        <v>377</v>
      </c>
      <c r="NS3" s="100" t="s">
        <v>378</v>
      </c>
      <c r="NT3" s="100" t="s">
        <v>379</v>
      </c>
      <c r="NU3" s="100" t="s">
        <v>380</v>
      </c>
      <c r="NV3" s="100" t="s">
        <v>381</v>
      </c>
      <c r="NW3" s="100" t="s">
        <v>383</v>
      </c>
      <c r="NX3" s="91" t="s">
        <v>367</v>
      </c>
      <c r="NY3" s="91" t="s">
        <v>368</v>
      </c>
      <c r="NZ3" s="91" t="s">
        <v>369</v>
      </c>
      <c r="OA3" s="91" t="s">
        <v>370</v>
      </c>
      <c r="OB3" s="91" t="s">
        <v>371</v>
      </c>
      <c r="OC3" s="91" t="s">
        <v>372</v>
      </c>
      <c r="OD3" s="91" t="s">
        <v>373</v>
      </c>
      <c r="OE3" s="91" t="s">
        <v>374</v>
      </c>
      <c r="OF3" s="91" t="s">
        <v>375</v>
      </c>
      <c r="OG3" s="91" t="s">
        <v>376</v>
      </c>
      <c r="OH3" s="91" t="s">
        <v>377</v>
      </c>
      <c r="OI3" s="91" t="s">
        <v>378</v>
      </c>
      <c r="OJ3" s="91" t="s">
        <v>379</v>
      </c>
      <c r="OK3" s="91" t="s">
        <v>380</v>
      </c>
      <c r="OL3" s="91" t="s">
        <v>381</v>
      </c>
      <c r="OM3" s="91" t="s">
        <v>383</v>
      </c>
      <c r="ON3" s="103" t="s">
        <v>246</v>
      </c>
      <c r="OO3" s="103" t="s">
        <v>384</v>
      </c>
      <c r="OP3" s="103" t="s">
        <v>385</v>
      </c>
      <c r="OQ3" s="104" t="s">
        <v>269</v>
      </c>
      <c r="OR3" s="104" t="s">
        <v>270</v>
      </c>
      <c r="OS3" s="104" t="s">
        <v>271</v>
      </c>
      <c r="OT3" s="100" t="s">
        <v>386</v>
      </c>
      <c r="OU3" s="100" t="s">
        <v>272</v>
      </c>
      <c r="OV3" s="105" t="s">
        <v>387</v>
      </c>
      <c r="OW3" s="105" t="s">
        <v>388</v>
      </c>
      <c r="OX3" s="105" t="s">
        <v>389</v>
      </c>
      <c r="OY3" s="105" t="s">
        <v>390</v>
      </c>
      <c r="OZ3" s="91" t="s">
        <v>391</v>
      </c>
      <c r="PA3" s="91" t="s">
        <v>392</v>
      </c>
      <c r="PB3" s="91" t="s">
        <v>393</v>
      </c>
      <c r="PC3" s="91" t="s">
        <v>394</v>
      </c>
      <c r="PD3" s="105" t="s">
        <v>395</v>
      </c>
      <c r="PE3" s="105" t="s">
        <v>396</v>
      </c>
      <c r="PF3" s="105" t="s">
        <v>397</v>
      </c>
      <c r="PG3" s="105" t="s">
        <v>398</v>
      </c>
      <c r="PH3" s="105" t="s">
        <v>399</v>
      </c>
      <c r="PI3" s="105" t="s">
        <v>400</v>
      </c>
      <c r="PJ3" s="91" t="s">
        <v>273</v>
      </c>
      <c r="PK3" s="91" t="s">
        <v>274</v>
      </c>
      <c r="PL3" s="91" t="s">
        <v>275</v>
      </c>
      <c r="PM3" s="91" t="s">
        <v>276</v>
      </c>
      <c r="PN3" s="91" t="s">
        <v>277</v>
      </c>
      <c r="PO3" s="91" t="s">
        <v>278</v>
      </c>
      <c r="PP3" s="105" t="s">
        <v>279</v>
      </c>
      <c r="PQ3" s="91" t="s">
        <v>369</v>
      </c>
      <c r="PR3" s="91" t="s">
        <v>381</v>
      </c>
      <c r="PS3" s="91" t="s">
        <v>372</v>
      </c>
      <c r="PT3" s="91" t="s">
        <v>379</v>
      </c>
      <c r="PU3" s="91" t="s">
        <v>373</v>
      </c>
      <c r="PV3" s="91" t="s">
        <v>375</v>
      </c>
      <c r="PW3" s="91" t="s">
        <v>380</v>
      </c>
      <c r="PX3" s="91" t="s">
        <v>378</v>
      </c>
      <c r="PY3" s="91" t="s">
        <v>377</v>
      </c>
      <c r="PZ3" s="105" t="s">
        <v>369</v>
      </c>
      <c r="QA3" s="105" t="s">
        <v>381</v>
      </c>
      <c r="QB3" s="105" t="s">
        <v>372</v>
      </c>
      <c r="QC3" s="105" t="s">
        <v>379</v>
      </c>
      <c r="QD3" s="105" t="s">
        <v>373</v>
      </c>
      <c r="QE3" s="105" t="s">
        <v>375</v>
      </c>
      <c r="QF3" s="105" t="s">
        <v>380</v>
      </c>
      <c r="QG3" s="105" t="s">
        <v>378</v>
      </c>
      <c r="QH3" s="105" t="s">
        <v>377</v>
      </c>
      <c r="QI3" s="91" t="s">
        <v>369</v>
      </c>
      <c r="QJ3" s="91" t="s">
        <v>381</v>
      </c>
      <c r="QK3" s="91" t="s">
        <v>372</v>
      </c>
      <c r="QL3" s="91" t="s">
        <v>379</v>
      </c>
      <c r="QM3" s="91" t="s">
        <v>373</v>
      </c>
      <c r="QN3" s="91" t="s">
        <v>375</v>
      </c>
      <c r="QO3" s="91" t="s">
        <v>380</v>
      </c>
      <c r="QP3" s="91" t="s">
        <v>378</v>
      </c>
      <c r="QQ3" s="91" t="s">
        <v>377</v>
      </c>
      <c r="QR3" s="105" t="s">
        <v>369</v>
      </c>
      <c r="QS3" s="105" t="s">
        <v>381</v>
      </c>
      <c r="QT3" s="105" t="s">
        <v>372</v>
      </c>
      <c r="QU3" s="105" t="s">
        <v>379</v>
      </c>
      <c r="QV3" s="105" t="s">
        <v>373</v>
      </c>
      <c r="QW3" s="105" t="s">
        <v>375</v>
      </c>
      <c r="QX3" s="105" t="s">
        <v>380</v>
      </c>
      <c r="QY3" s="105" t="s">
        <v>378</v>
      </c>
      <c r="QZ3" s="105" t="s">
        <v>377</v>
      </c>
      <c r="RA3" s="91" t="s">
        <v>280</v>
      </c>
      <c r="RB3" s="91" t="s">
        <v>296</v>
      </c>
      <c r="RC3" s="91" t="s">
        <v>281</v>
      </c>
      <c r="RD3" s="91" t="s">
        <v>282</v>
      </c>
      <c r="RE3" s="91" t="s">
        <v>283</v>
      </c>
      <c r="RF3" s="105" t="s">
        <v>401</v>
      </c>
      <c r="RG3" s="105" t="s">
        <v>402</v>
      </c>
      <c r="RH3" s="105" t="s">
        <v>403</v>
      </c>
      <c r="RI3" s="105" t="s">
        <v>404</v>
      </c>
      <c r="RJ3" s="105" t="s">
        <v>405</v>
      </c>
      <c r="RK3" s="105" t="s">
        <v>406</v>
      </c>
      <c r="RL3" s="91" t="s">
        <v>284</v>
      </c>
      <c r="RM3" s="91" t="s">
        <v>285</v>
      </c>
      <c r="RN3" s="91" t="s">
        <v>286</v>
      </c>
      <c r="RO3" s="91" t="s">
        <v>287</v>
      </c>
      <c r="RP3" s="91" t="s">
        <v>288</v>
      </c>
      <c r="RQ3" s="91" t="s">
        <v>289</v>
      </c>
      <c r="RR3" s="91" t="s">
        <v>292</v>
      </c>
      <c r="RS3" s="106" t="s">
        <v>295</v>
      </c>
      <c r="RT3" s="100" t="s">
        <v>407</v>
      </c>
      <c r="RU3" s="100" t="s">
        <v>408</v>
      </c>
      <c r="RV3" s="100" t="s">
        <v>409</v>
      </c>
      <c r="RW3" s="100" t="s">
        <v>410</v>
      </c>
      <c r="RX3" s="100" t="s">
        <v>411</v>
      </c>
      <c r="RY3" s="100" t="s">
        <v>412</v>
      </c>
      <c r="RZ3" s="100" t="s">
        <v>413</v>
      </c>
      <c r="SA3" s="100" t="s">
        <v>414</v>
      </c>
      <c r="SB3" s="100" t="s">
        <v>415</v>
      </c>
      <c r="SC3" s="100" t="s">
        <v>416</v>
      </c>
      <c r="SD3" s="100" t="s">
        <v>417</v>
      </c>
      <c r="SE3" s="100" t="s">
        <v>418</v>
      </c>
      <c r="SF3" s="91" t="s">
        <v>407</v>
      </c>
      <c r="SG3" s="91" t="s">
        <v>419</v>
      </c>
      <c r="SH3" s="91" t="s">
        <v>409</v>
      </c>
      <c r="SI3" s="91" t="s">
        <v>410</v>
      </c>
      <c r="SJ3" s="91" t="s">
        <v>411</v>
      </c>
      <c r="SK3" s="91" t="s">
        <v>412</v>
      </c>
      <c r="SL3" s="91" t="s">
        <v>413</v>
      </c>
      <c r="SM3" s="91" t="s">
        <v>414</v>
      </c>
      <c r="SN3" s="91" t="s">
        <v>415</v>
      </c>
      <c r="SO3" s="91" t="s">
        <v>416</v>
      </c>
      <c r="SP3" s="91" t="s">
        <v>417</v>
      </c>
      <c r="SQ3" s="91" t="s">
        <v>418</v>
      </c>
      <c r="SR3" s="100" t="s">
        <v>407</v>
      </c>
      <c r="SS3" s="100" t="s">
        <v>408</v>
      </c>
      <c r="ST3" s="100" t="s">
        <v>410</v>
      </c>
      <c r="SU3" s="100" t="s">
        <v>411</v>
      </c>
      <c r="SV3" s="100" t="s">
        <v>413</v>
      </c>
      <c r="SW3" s="100" t="s">
        <v>420</v>
      </c>
      <c r="SX3" s="91" t="s">
        <v>367</v>
      </c>
      <c r="SY3" s="91" t="s">
        <v>368</v>
      </c>
      <c r="SZ3" s="91" t="s">
        <v>369</v>
      </c>
      <c r="TA3" s="91" t="s">
        <v>370</v>
      </c>
      <c r="TB3" s="91" t="s">
        <v>371</v>
      </c>
      <c r="TC3" s="91" t="s">
        <v>372</v>
      </c>
      <c r="TD3" s="91" t="s">
        <v>373</v>
      </c>
      <c r="TE3" s="91" t="s">
        <v>374</v>
      </c>
      <c r="TF3" s="91" t="s">
        <v>375</v>
      </c>
      <c r="TG3" s="91" t="s">
        <v>376</v>
      </c>
      <c r="TH3" s="91" t="s">
        <v>377</v>
      </c>
      <c r="TI3" s="91" t="s">
        <v>378</v>
      </c>
      <c r="TJ3" s="91" t="s">
        <v>379</v>
      </c>
      <c r="TK3" s="91" t="s">
        <v>380</v>
      </c>
      <c r="TL3" s="91" t="s">
        <v>381</v>
      </c>
      <c r="TM3" s="91" t="s">
        <v>383</v>
      </c>
      <c r="TN3" s="100" t="s">
        <v>367</v>
      </c>
      <c r="TO3" s="100" t="s">
        <v>368</v>
      </c>
      <c r="TP3" s="100" t="s">
        <v>369</v>
      </c>
      <c r="TQ3" s="100" t="s">
        <v>370</v>
      </c>
      <c r="TR3" s="100" t="s">
        <v>371</v>
      </c>
      <c r="TS3" s="100" t="s">
        <v>372</v>
      </c>
      <c r="TT3" s="100" t="s">
        <v>373</v>
      </c>
      <c r="TU3" s="100" t="s">
        <v>374</v>
      </c>
      <c r="TV3" s="100" t="s">
        <v>375</v>
      </c>
      <c r="TW3" s="100" t="s">
        <v>376</v>
      </c>
      <c r="TX3" s="100" t="s">
        <v>377</v>
      </c>
      <c r="TY3" s="100" t="s">
        <v>378</v>
      </c>
      <c r="TZ3" s="100" t="s">
        <v>379</v>
      </c>
      <c r="UA3" s="100" t="s">
        <v>380</v>
      </c>
      <c r="UB3" s="100" t="s">
        <v>381</v>
      </c>
      <c r="UC3" s="100" t="s">
        <v>383</v>
      </c>
      <c r="UD3" s="91" t="s">
        <v>367</v>
      </c>
      <c r="UE3" s="91" t="s">
        <v>368</v>
      </c>
      <c r="UF3" s="91" t="s">
        <v>369</v>
      </c>
      <c r="UG3" s="91" t="s">
        <v>370</v>
      </c>
      <c r="UH3" s="91" t="s">
        <v>371</v>
      </c>
      <c r="UI3" s="91" t="s">
        <v>372</v>
      </c>
      <c r="UJ3" s="91" t="s">
        <v>373</v>
      </c>
      <c r="UK3" s="91" t="s">
        <v>374</v>
      </c>
      <c r="UL3" s="91" t="s">
        <v>375</v>
      </c>
      <c r="UM3" s="91" t="s">
        <v>376</v>
      </c>
      <c r="UN3" s="91" t="s">
        <v>377</v>
      </c>
      <c r="UO3" s="91" t="s">
        <v>378</v>
      </c>
      <c r="UP3" s="91" t="s">
        <v>379</v>
      </c>
      <c r="UQ3" s="91" t="s">
        <v>380</v>
      </c>
      <c r="UR3" s="91" t="s">
        <v>381</v>
      </c>
      <c r="US3" s="91" t="s">
        <v>383</v>
      </c>
      <c r="UT3" s="100" t="s">
        <v>367</v>
      </c>
      <c r="UU3" s="100" t="s">
        <v>368</v>
      </c>
      <c r="UV3" s="100" t="s">
        <v>369</v>
      </c>
      <c r="UW3" s="100" t="s">
        <v>370</v>
      </c>
      <c r="UX3" s="100" t="s">
        <v>371</v>
      </c>
      <c r="UY3" s="100" t="s">
        <v>372</v>
      </c>
      <c r="UZ3" s="100" t="s">
        <v>373</v>
      </c>
      <c r="VA3" s="100" t="s">
        <v>374</v>
      </c>
      <c r="VB3" s="100" t="s">
        <v>375</v>
      </c>
      <c r="VC3" s="100" t="s">
        <v>376</v>
      </c>
      <c r="VD3" s="100" t="s">
        <v>377</v>
      </c>
      <c r="VE3" s="100" t="s">
        <v>378</v>
      </c>
      <c r="VF3" s="100" t="s">
        <v>379</v>
      </c>
      <c r="VG3" s="100" t="s">
        <v>380</v>
      </c>
      <c r="VH3" s="100" t="s">
        <v>381</v>
      </c>
      <c r="VI3" s="100" t="s">
        <v>383</v>
      </c>
      <c r="VJ3" s="91" t="s">
        <v>367</v>
      </c>
      <c r="VK3" s="91" t="s">
        <v>368</v>
      </c>
      <c r="VL3" s="91" t="s">
        <v>369</v>
      </c>
      <c r="VM3" s="91" t="s">
        <v>370</v>
      </c>
      <c r="VN3" s="91" t="s">
        <v>371</v>
      </c>
      <c r="VO3" s="91" t="s">
        <v>372</v>
      </c>
      <c r="VP3" s="91" t="s">
        <v>373</v>
      </c>
      <c r="VQ3" s="91" t="s">
        <v>374</v>
      </c>
      <c r="VR3" s="91" t="s">
        <v>375</v>
      </c>
      <c r="VS3" s="91" t="s">
        <v>376</v>
      </c>
      <c r="VT3" s="91" t="s">
        <v>377</v>
      </c>
      <c r="VU3" s="91" t="s">
        <v>378</v>
      </c>
      <c r="VV3" s="91" t="s">
        <v>379</v>
      </c>
      <c r="VW3" s="91" t="s">
        <v>380</v>
      </c>
      <c r="VX3" s="91" t="s">
        <v>381</v>
      </c>
      <c r="VY3" s="91" t="s">
        <v>383</v>
      </c>
      <c r="VZ3" s="91" t="s">
        <v>367</v>
      </c>
      <c r="WA3" s="91" t="s">
        <v>368</v>
      </c>
      <c r="WB3" s="91" t="s">
        <v>369</v>
      </c>
      <c r="WC3" s="91" t="s">
        <v>370</v>
      </c>
      <c r="WD3" s="91" t="s">
        <v>371</v>
      </c>
      <c r="WE3" s="91" t="s">
        <v>372</v>
      </c>
      <c r="WF3" s="91" t="s">
        <v>373</v>
      </c>
      <c r="WG3" s="91" t="s">
        <v>374</v>
      </c>
      <c r="WH3" s="91" t="s">
        <v>375</v>
      </c>
      <c r="WI3" s="91" t="s">
        <v>376</v>
      </c>
      <c r="WJ3" s="91" t="s">
        <v>377</v>
      </c>
      <c r="WK3" s="91" t="s">
        <v>378</v>
      </c>
      <c r="WL3" s="91" t="s">
        <v>379</v>
      </c>
      <c r="WM3" s="91" t="s">
        <v>380</v>
      </c>
      <c r="WN3" s="91" t="s">
        <v>381</v>
      </c>
      <c r="WO3" s="91" t="s">
        <v>383</v>
      </c>
      <c r="WP3" s="100" t="s">
        <v>367</v>
      </c>
      <c r="WQ3" s="100" t="s">
        <v>368</v>
      </c>
      <c r="WR3" s="100" t="s">
        <v>369</v>
      </c>
      <c r="WS3" s="100" t="s">
        <v>370</v>
      </c>
      <c r="WT3" s="100" t="s">
        <v>371</v>
      </c>
      <c r="WU3" s="100" t="s">
        <v>372</v>
      </c>
      <c r="WV3" s="100" t="s">
        <v>373</v>
      </c>
      <c r="WW3" s="100" t="s">
        <v>374</v>
      </c>
      <c r="WX3" s="100" t="s">
        <v>375</v>
      </c>
      <c r="WY3" s="100" t="s">
        <v>376</v>
      </c>
      <c r="WZ3" s="100" t="s">
        <v>377</v>
      </c>
      <c r="XA3" s="100" t="s">
        <v>378</v>
      </c>
      <c r="XB3" s="100" t="s">
        <v>379</v>
      </c>
      <c r="XC3" s="100" t="s">
        <v>380</v>
      </c>
      <c r="XD3" s="100" t="s">
        <v>381</v>
      </c>
      <c r="XE3" s="100" t="s">
        <v>383</v>
      </c>
      <c r="XF3" s="91" t="s">
        <v>367</v>
      </c>
      <c r="XG3" s="91" t="s">
        <v>368</v>
      </c>
      <c r="XH3" s="91" t="s">
        <v>369</v>
      </c>
      <c r="XI3" s="91" t="s">
        <v>370</v>
      </c>
      <c r="XJ3" s="91" t="s">
        <v>371</v>
      </c>
      <c r="XK3" s="91" t="s">
        <v>372</v>
      </c>
      <c r="XL3" s="91" t="s">
        <v>373</v>
      </c>
      <c r="XM3" s="91" t="s">
        <v>374</v>
      </c>
      <c r="XN3" s="91" t="s">
        <v>375</v>
      </c>
      <c r="XO3" s="91" t="s">
        <v>376</v>
      </c>
      <c r="XP3" s="91" t="s">
        <v>377</v>
      </c>
      <c r="XQ3" s="91" t="s">
        <v>378</v>
      </c>
      <c r="XR3" s="91" t="s">
        <v>379</v>
      </c>
      <c r="XS3" s="91" t="s">
        <v>380</v>
      </c>
      <c r="XT3" s="91" t="s">
        <v>381</v>
      </c>
      <c r="XU3" s="91" t="s">
        <v>383</v>
      </c>
      <c r="XV3" s="100" t="s">
        <v>367</v>
      </c>
      <c r="XW3" s="100" t="s">
        <v>368</v>
      </c>
      <c r="XX3" s="100" t="s">
        <v>369</v>
      </c>
      <c r="XY3" s="100" t="s">
        <v>370</v>
      </c>
      <c r="XZ3" s="100" t="s">
        <v>371</v>
      </c>
      <c r="YA3" s="100" t="s">
        <v>372</v>
      </c>
      <c r="YB3" s="100" t="s">
        <v>373</v>
      </c>
      <c r="YC3" s="100" t="s">
        <v>374</v>
      </c>
      <c r="YD3" s="100" t="s">
        <v>375</v>
      </c>
      <c r="YE3" s="100" t="s">
        <v>376</v>
      </c>
      <c r="YF3" s="100" t="s">
        <v>377</v>
      </c>
      <c r="YG3" s="100" t="s">
        <v>378</v>
      </c>
      <c r="YH3" s="100" t="s">
        <v>379</v>
      </c>
      <c r="YI3" s="100" t="s">
        <v>380</v>
      </c>
      <c r="YJ3" s="100" t="s">
        <v>381</v>
      </c>
      <c r="YK3" s="100" t="s">
        <v>383</v>
      </c>
      <c r="YL3" s="91" t="s">
        <v>367</v>
      </c>
      <c r="YM3" s="91" t="s">
        <v>368</v>
      </c>
      <c r="YN3" s="91" t="s">
        <v>369</v>
      </c>
      <c r="YO3" s="91" t="s">
        <v>370</v>
      </c>
      <c r="YP3" s="91" t="s">
        <v>371</v>
      </c>
      <c r="YQ3" s="91" t="s">
        <v>372</v>
      </c>
      <c r="YR3" s="91" t="s">
        <v>373</v>
      </c>
      <c r="YS3" s="91" t="s">
        <v>374</v>
      </c>
      <c r="YT3" s="91" t="s">
        <v>375</v>
      </c>
      <c r="YU3" s="91" t="s">
        <v>376</v>
      </c>
      <c r="YV3" s="91" t="s">
        <v>377</v>
      </c>
      <c r="YW3" s="91" t="s">
        <v>378</v>
      </c>
      <c r="YX3" s="91" t="s">
        <v>379</v>
      </c>
      <c r="YY3" s="91" t="s">
        <v>380</v>
      </c>
      <c r="YZ3" s="91" t="s">
        <v>381</v>
      </c>
      <c r="ZA3" s="91" t="s">
        <v>383</v>
      </c>
      <c r="ZB3" s="100" t="s">
        <v>367</v>
      </c>
      <c r="ZC3" s="100" t="s">
        <v>368</v>
      </c>
      <c r="ZD3" s="100" t="s">
        <v>369</v>
      </c>
      <c r="ZE3" s="100" t="s">
        <v>370</v>
      </c>
      <c r="ZF3" s="100" t="s">
        <v>371</v>
      </c>
      <c r="ZG3" s="100" t="s">
        <v>372</v>
      </c>
      <c r="ZH3" s="100" t="s">
        <v>373</v>
      </c>
      <c r="ZI3" s="100" t="s">
        <v>374</v>
      </c>
      <c r="ZJ3" s="100" t="s">
        <v>375</v>
      </c>
      <c r="ZK3" s="100" t="s">
        <v>376</v>
      </c>
      <c r="ZL3" s="100" t="s">
        <v>377</v>
      </c>
      <c r="ZM3" s="100" t="s">
        <v>378</v>
      </c>
      <c r="ZN3" s="100" t="s">
        <v>379</v>
      </c>
      <c r="ZO3" s="100" t="s">
        <v>380</v>
      </c>
      <c r="ZP3" s="100" t="s">
        <v>381</v>
      </c>
      <c r="ZQ3" s="100" t="s">
        <v>383</v>
      </c>
      <c r="ZR3" s="91" t="s">
        <v>367</v>
      </c>
      <c r="ZS3" s="91" t="s">
        <v>368</v>
      </c>
      <c r="ZT3" s="91" t="s">
        <v>369</v>
      </c>
      <c r="ZU3" s="91" t="s">
        <v>370</v>
      </c>
      <c r="ZV3" s="91" t="s">
        <v>371</v>
      </c>
      <c r="ZW3" s="91" t="s">
        <v>372</v>
      </c>
      <c r="ZX3" s="91" t="s">
        <v>373</v>
      </c>
      <c r="ZY3" s="91" t="s">
        <v>374</v>
      </c>
      <c r="ZZ3" s="91" t="s">
        <v>375</v>
      </c>
      <c r="AAA3" s="91" t="s">
        <v>376</v>
      </c>
      <c r="AAB3" s="91" t="s">
        <v>377</v>
      </c>
      <c r="AAC3" s="91" t="s">
        <v>378</v>
      </c>
      <c r="AAD3" s="91" t="s">
        <v>379</v>
      </c>
      <c r="AAE3" s="91" t="s">
        <v>380</v>
      </c>
      <c r="AAF3" s="91" t="s">
        <v>381</v>
      </c>
      <c r="AAG3" s="91" t="s">
        <v>383</v>
      </c>
      <c r="AAH3" s="91" t="s">
        <v>367</v>
      </c>
      <c r="AAI3" s="91" t="s">
        <v>368</v>
      </c>
      <c r="AAJ3" s="91" t="s">
        <v>369</v>
      </c>
      <c r="AAK3" s="91" t="s">
        <v>370</v>
      </c>
      <c r="AAL3" s="91" t="s">
        <v>371</v>
      </c>
      <c r="AAM3" s="91" t="s">
        <v>372</v>
      </c>
      <c r="AAN3" s="91" t="s">
        <v>373</v>
      </c>
      <c r="AAO3" s="91" t="s">
        <v>374</v>
      </c>
      <c r="AAP3" s="91" t="s">
        <v>375</v>
      </c>
      <c r="AAQ3" s="91" t="s">
        <v>376</v>
      </c>
      <c r="AAR3" s="91" t="s">
        <v>377</v>
      </c>
      <c r="AAS3" s="91" t="s">
        <v>378</v>
      </c>
      <c r="AAT3" s="91" t="s">
        <v>379</v>
      </c>
      <c r="AAU3" s="91" t="s">
        <v>380</v>
      </c>
      <c r="AAV3" s="91" t="s">
        <v>381</v>
      </c>
      <c r="AAW3" s="91" t="s">
        <v>383</v>
      </c>
      <c r="AAX3" s="100" t="s">
        <v>367</v>
      </c>
      <c r="AAY3" s="100" t="s">
        <v>368</v>
      </c>
      <c r="AAZ3" s="100" t="s">
        <v>369</v>
      </c>
      <c r="ABA3" s="100" t="s">
        <v>370</v>
      </c>
      <c r="ABB3" s="100" t="s">
        <v>371</v>
      </c>
      <c r="ABC3" s="100" t="s">
        <v>372</v>
      </c>
      <c r="ABD3" s="100" t="s">
        <v>373</v>
      </c>
      <c r="ABE3" s="100" t="s">
        <v>374</v>
      </c>
      <c r="ABF3" s="100" t="s">
        <v>375</v>
      </c>
      <c r="ABG3" s="100" t="s">
        <v>376</v>
      </c>
      <c r="ABH3" s="100" t="s">
        <v>377</v>
      </c>
      <c r="ABI3" s="100" t="s">
        <v>378</v>
      </c>
      <c r="ABJ3" s="100" t="s">
        <v>379</v>
      </c>
      <c r="ABK3" s="100" t="s">
        <v>380</v>
      </c>
      <c r="ABL3" s="100" t="s">
        <v>381</v>
      </c>
      <c r="ABM3" s="100" t="s">
        <v>383</v>
      </c>
      <c r="ABN3" s="100" t="s">
        <v>367</v>
      </c>
      <c r="ABO3" s="100" t="s">
        <v>368</v>
      </c>
      <c r="ABP3" s="100" t="s">
        <v>369</v>
      </c>
      <c r="ABQ3" s="100" t="s">
        <v>370</v>
      </c>
      <c r="ABR3" s="100" t="s">
        <v>371</v>
      </c>
      <c r="ABS3" s="100" t="s">
        <v>372</v>
      </c>
      <c r="ABT3" s="100" t="s">
        <v>373</v>
      </c>
      <c r="ABU3" s="100" t="s">
        <v>374</v>
      </c>
      <c r="ABV3" s="100" t="s">
        <v>375</v>
      </c>
      <c r="ABW3" s="100" t="s">
        <v>376</v>
      </c>
      <c r="ABX3" s="100" t="s">
        <v>377</v>
      </c>
      <c r="ABY3" s="100" t="s">
        <v>378</v>
      </c>
      <c r="ABZ3" s="100" t="s">
        <v>379</v>
      </c>
      <c r="ACA3" s="100" t="s">
        <v>380</v>
      </c>
      <c r="ACB3" s="100" t="s">
        <v>381</v>
      </c>
      <c r="ACC3" s="100" t="s">
        <v>383</v>
      </c>
      <c r="ACD3" s="91" t="s">
        <v>421</v>
      </c>
      <c r="ACE3" s="91" t="s">
        <v>294</v>
      </c>
      <c r="ACF3" s="91" t="s">
        <v>290</v>
      </c>
      <c r="ACG3" s="91" t="s">
        <v>250</v>
      </c>
      <c r="ACH3" s="91" t="s">
        <v>291</v>
      </c>
      <c r="ACI3" s="91" t="s">
        <v>422</v>
      </c>
      <c r="ACJ3" s="91" t="s">
        <v>293</v>
      </c>
      <c r="ACK3" s="107" t="s">
        <v>367</v>
      </c>
      <c r="ACL3" s="107" t="s">
        <v>368</v>
      </c>
      <c r="ACM3" s="107" t="s">
        <v>369</v>
      </c>
      <c r="ACN3" s="107" t="s">
        <v>370</v>
      </c>
      <c r="ACO3" s="107" t="s">
        <v>371</v>
      </c>
      <c r="ACP3" s="107" t="s">
        <v>372</v>
      </c>
      <c r="ACQ3" s="107" t="s">
        <v>373</v>
      </c>
      <c r="ACR3" s="107" t="s">
        <v>374</v>
      </c>
      <c r="ACS3" s="107" t="s">
        <v>375</v>
      </c>
      <c r="ACT3" s="107" t="s">
        <v>376</v>
      </c>
      <c r="ACU3" s="107" t="s">
        <v>377</v>
      </c>
      <c r="ACV3" s="107" t="s">
        <v>378</v>
      </c>
      <c r="ACW3" s="107" t="s">
        <v>379</v>
      </c>
      <c r="ACX3" s="107" t="s">
        <v>380</v>
      </c>
      <c r="ACY3" s="107" t="s">
        <v>381</v>
      </c>
      <c r="ACZ3" s="107" t="s">
        <v>383</v>
      </c>
      <c r="ADA3" s="107" t="s">
        <v>367</v>
      </c>
      <c r="ADB3" s="107" t="s">
        <v>368</v>
      </c>
      <c r="ADC3" s="107" t="s">
        <v>369</v>
      </c>
      <c r="ADD3" s="107" t="s">
        <v>370</v>
      </c>
      <c r="ADE3" s="107" t="s">
        <v>371</v>
      </c>
      <c r="ADF3" s="107" t="s">
        <v>372</v>
      </c>
      <c r="ADG3" s="107" t="s">
        <v>373</v>
      </c>
      <c r="ADH3" s="107" t="s">
        <v>374</v>
      </c>
      <c r="ADI3" s="107" t="s">
        <v>375</v>
      </c>
      <c r="ADJ3" s="107" t="s">
        <v>376</v>
      </c>
      <c r="ADK3" s="107" t="s">
        <v>377</v>
      </c>
      <c r="ADL3" s="107" t="s">
        <v>378</v>
      </c>
      <c r="ADM3" s="107" t="s">
        <v>379</v>
      </c>
      <c r="ADN3" s="107" t="s">
        <v>380</v>
      </c>
      <c r="ADO3" s="107" t="s">
        <v>381</v>
      </c>
      <c r="ADP3" s="107" t="s">
        <v>383</v>
      </c>
      <c r="ADQ3" s="107" t="s">
        <v>367</v>
      </c>
      <c r="ADR3" s="107" t="s">
        <v>368</v>
      </c>
      <c r="ADS3" s="107" t="s">
        <v>369</v>
      </c>
      <c r="ADT3" s="107" t="s">
        <v>370</v>
      </c>
      <c r="ADU3" s="107" t="s">
        <v>371</v>
      </c>
      <c r="ADV3" s="107" t="s">
        <v>372</v>
      </c>
      <c r="ADW3" s="107" t="s">
        <v>373</v>
      </c>
      <c r="ADX3" s="107" t="s">
        <v>374</v>
      </c>
      <c r="ADY3" s="107" t="s">
        <v>375</v>
      </c>
      <c r="ADZ3" s="107" t="s">
        <v>376</v>
      </c>
      <c r="AEA3" s="107" t="s">
        <v>377</v>
      </c>
      <c r="AEB3" s="107" t="s">
        <v>378</v>
      </c>
      <c r="AEC3" s="107" t="s">
        <v>379</v>
      </c>
      <c r="AED3" s="107" t="s">
        <v>380</v>
      </c>
      <c r="AEE3" s="107" t="s">
        <v>381</v>
      </c>
      <c r="AEF3" s="107" t="s">
        <v>383</v>
      </c>
      <c r="AEG3" s="107" t="s">
        <v>367</v>
      </c>
      <c r="AEH3" s="107" t="s">
        <v>368</v>
      </c>
      <c r="AEI3" s="107" t="s">
        <v>369</v>
      </c>
      <c r="AEJ3" s="107" t="s">
        <v>370</v>
      </c>
      <c r="AEK3" s="107" t="s">
        <v>371</v>
      </c>
      <c r="AEL3" s="107" t="s">
        <v>372</v>
      </c>
      <c r="AEM3" s="107" t="s">
        <v>373</v>
      </c>
      <c r="AEN3" s="107" t="s">
        <v>374</v>
      </c>
      <c r="AEO3" s="107" t="s">
        <v>375</v>
      </c>
      <c r="AEP3" s="107" t="s">
        <v>376</v>
      </c>
      <c r="AEQ3" s="107" t="s">
        <v>377</v>
      </c>
      <c r="AER3" s="107" t="s">
        <v>378</v>
      </c>
      <c r="AES3" s="107" t="s">
        <v>379</v>
      </c>
      <c r="AET3" s="107" t="s">
        <v>380</v>
      </c>
      <c r="AEU3" s="107" t="s">
        <v>381</v>
      </c>
      <c r="AEV3" s="107" t="s">
        <v>383</v>
      </c>
      <c r="AEW3" s="107" t="s">
        <v>367</v>
      </c>
      <c r="AEX3" s="107" t="s">
        <v>368</v>
      </c>
      <c r="AEY3" s="107" t="s">
        <v>369</v>
      </c>
      <c r="AEZ3" s="107" t="s">
        <v>370</v>
      </c>
      <c r="AFA3" s="107" t="s">
        <v>371</v>
      </c>
      <c r="AFB3" s="107" t="s">
        <v>372</v>
      </c>
      <c r="AFC3" s="107" t="s">
        <v>373</v>
      </c>
      <c r="AFD3" s="107" t="s">
        <v>374</v>
      </c>
      <c r="AFE3" s="107" t="s">
        <v>375</v>
      </c>
      <c r="AFF3" s="107" t="s">
        <v>376</v>
      </c>
      <c r="AFG3" s="107" t="s">
        <v>377</v>
      </c>
      <c r="AFH3" s="107" t="s">
        <v>378</v>
      </c>
      <c r="AFI3" s="107" t="s">
        <v>379</v>
      </c>
      <c r="AFJ3" s="107" t="s">
        <v>380</v>
      </c>
      <c r="AFK3" s="107" t="s">
        <v>381</v>
      </c>
      <c r="AFL3" s="107" t="s">
        <v>383</v>
      </c>
      <c r="AFM3" s="107" t="s">
        <v>367</v>
      </c>
      <c r="AFN3" s="107" t="s">
        <v>368</v>
      </c>
      <c r="AFO3" s="107" t="s">
        <v>369</v>
      </c>
      <c r="AFP3" s="107" t="s">
        <v>370</v>
      </c>
      <c r="AFQ3" s="107" t="s">
        <v>371</v>
      </c>
      <c r="AFR3" s="107" t="s">
        <v>372</v>
      </c>
      <c r="AFS3" s="107" t="s">
        <v>373</v>
      </c>
      <c r="AFT3" s="107" t="s">
        <v>374</v>
      </c>
      <c r="AFU3" s="107" t="s">
        <v>375</v>
      </c>
      <c r="AFV3" s="107" t="s">
        <v>376</v>
      </c>
      <c r="AFW3" s="107" t="s">
        <v>377</v>
      </c>
      <c r="AFX3" s="107" t="s">
        <v>378</v>
      </c>
      <c r="AFY3" s="107" t="s">
        <v>379</v>
      </c>
      <c r="AFZ3" s="107" t="s">
        <v>380</v>
      </c>
      <c r="AGA3" s="107" t="s">
        <v>381</v>
      </c>
      <c r="AGB3" s="107" t="s">
        <v>383</v>
      </c>
      <c r="AGC3" s="107" t="s">
        <v>367</v>
      </c>
      <c r="AGD3" s="107" t="s">
        <v>368</v>
      </c>
      <c r="AGE3" s="107" t="s">
        <v>369</v>
      </c>
      <c r="AGF3" s="107" t="s">
        <v>370</v>
      </c>
      <c r="AGG3" s="107" t="s">
        <v>371</v>
      </c>
      <c r="AGH3" s="107" t="s">
        <v>372</v>
      </c>
      <c r="AGI3" s="107" t="s">
        <v>373</v>
      </c>
      <c r="AGJ3" s="107" t="s">
        <v>374</v>
      </c>
      <c r="AGK3" s="107" t="s">
        <v>375</v>
      </c>
      <c r="AGL3" s="107" t="s">
        <v>376</v>
      </c>
      <c r="AGM3" s="107" t="s">
        <v>377</v>
      </c>
      <c r="AGN3" s="107" t="s">
        <v>378</v>
      </c>
      <c r="AGO3" s="107" t="s">
        <v>379</v>
      </c>
      <c r="AGP3" s="107" t="s">
        <v>380</v>
      </c>
      <c r="AGQ3" s="107" t="s">
        <v>381</v>
      </c>
      <c r="AGR3" s="107" t="s">
        <v>383</v>
      </c>
      <c r="AGS3" s="107" t="s">
        <v>367</v>
      </c>
      <c r="AGT3" s="107" t="s">
        <v>368</v>
      </c>
      <c r="AGU3" s="107" t="s">
        <v>369</v>
      </c>
      <c r="AGV3" s="107" t="s">
        <v>370</v>
      </c>
      <c r="AGW3" s="107" t="s">
        <v>371</v>
      </c>
      <c r="AGX3" s="107" t="s">
        <v>372</v>
      </c>
      <c r="AGY3" s="107" t="s">
        <v>373</v>
      </c>
      <c r="AGZ3" s="107" t="s">
        <v>374</v>
      </c>
      <c r="AHA3" s="107" t="s">
        <v>375</v>
      </c>
      <c r="AHB3" s="107" t="s">
        <v>376</v>
      </c>
      <c r="AHC3" s="107" t="s">
        <v>377</v>
      </c>
      <c r="AHD3" s="107" t="s">
        <v>378</v>
      </c>
      <c r="AHE3" s="107" t="s">
        <v>379</v>
      </c>
      <c r="AHF3" s="107" t="s">
        <v>380</v>
      </c>
      <c r="AHG3" s="107" t="s">
        <v>381</v>
      </c>
      <c r="AHH3" s="107" t="s">
        <v>383</v>
      </c>
      <c r="AHI3" s="107" t="s">
        <v>367</v>
      </c>
      <c r="AHJ3" s="107" t="s">
        <v>368</v>
      </c>
      <c r="AHK3" s="107" t="s">
        <v>369</v>
      </c>
      <c r="AHL3" s="107" t="s">
        <v>370</v>
      </c>
      <c r="AHM3" s="107" t="s">
        <v>371</v>
      </c>
      <c r="AHN3" s="107" t="s">
        <v>372</v>
      </c>
      <c r="AHO3" s="107" t="s">
        <v>373</v>
      </c>
      <c r="AHP3" s="107" t="s">
        <v>374</v>
      </c>
      <c r="AHQ3" s="107" t="s">
        <v>375</v>
      </c>
      <c r="AHR3" s="107" t="s">
        <v>376</v>
      </c>
      <c r="AHS3" s="107" t="s">
        <v>377</v>
      </c>
      <c r="AHT3" s="107" t="s">
        <v>378</v>
      </c>
      <c r="AHU3" s="107" t="s">
        <v>379</v>
      </c>
      <c r="AHV3" s="107" t="s">
        <v>380</v>
      </c>
      <c r="AHW3" s="107" t="s">
        <v>381</v>
      </c>
      <c r="AHX3" s="107" t="s">
        <v>383</v>
      </c>
      <c r="AHY3" s="107" t="s">
        <v>367</v>
      </c>
      <c r="AHZ3" s="107" t="s">
        <v>368</v>
      </c>
      <c r="AIA3" s="107" t="s">
        <v>369</v>
      </c>
      <c r="AIB3" s="107" t="s">
        <v>370</v>
      </c>
      <c r="AIC3" s="107" t="s">
        <v>371</v>
      </c>
      <c r="AID3" s="107" t="s">
        <v>372</v>
      </c>
      <c r="AIE3" s="107" t="s">
        <v>373</v>
      </c>
      <c r="AIF3" s="107" t="s">
        <v>374</v>
      </c>
      <c r="AIG3" s="107" t="s">
        <v>375</v>
      </c>
      <c r="AIH3" s="107" t="s">
        <v>376</v>
      </c>
      <c r="AII3" s="107" t="s">
        <v>377</v>
      </c>
      <c r="AIJ3" s="107" t="s">
        <v>378</v>
      </c>
      <c r="AIK3" s="107" t="s">
        <v>379</v>
      </c>
      <c r="AIL3" s="107" t="s">
        <v>380</v>
      </c>
      <c r="AIM3" s="107" t="s">
        <v>381</v>
      </c>
      <c r="AIN3" s="107" t="s">
        <v>383</v>
      </c>
      <c r="AIO3" s="107" t="s">
        <v>367</v>
      </c>
      <c r="AIP3" s="107" t="s">
        <v>368</v>
      </c>
      <c r="AIQ3" s="107" t="s">
        <v>369</v>
      </c>
      <c r="AIR3" s="107" t="s">
        <v>370</v>
      </c>
      <c r="AIS3" s="107" t="s">
        <v>371</v>
      </c>
      <c r="AIT3" s="107" t="s">
        <v>372</v>
      </c>
      <c r="AIU3" s="107" t="s">
        <v>373</v>
      </c>
      <c r="AIV3" s="107" t="s">
        <v>374</v>
      </c>
      <c r="AIW3" s="107" t="s">
        <v>375</v>
      </c>
      <c r="AIX3" s="107" t="s">
        <v>376</v>
      </c>
      <c r="AIY3" s="107" t="s">
        <v>377</v>
      </c>
      <c r="AIZ3" s="107" t="s">
        <v>378</v>
      </c>
      <c r="AJA3" s="107" t="s">
        <v>379</v>
      </c>
      <c r="AJB3" s="107" t="s">
        <v>380</v>
      </c>
      <c r="AJC3" s="107" t="s">
        <v>381</v>
      </c>
      <c r="AJD3" s="107" t="s">
        <v>383</v>
      </c>
      <c r="AJE3" s="107" t="s">
        <v>367</v>
      </c>
      <c r="AJF3" s="107" t="s">
        <v>368</v>
      </c>
      <c r="AJG3" s="107" t="s">
        <v>369</v>
      </c>
      <c r="AJH3" s="107" t="s">
        <v>370</v>
      </c>
      <c r="AJI3" s="107" t="s">
        <v>371</v>
      </c>
      <c r="AJJ3" s="107" t="s">
        <v>372</v>
      </c>
      <c r="AJK3" s="107" t="s">
        <v>373</v>
      </c>
      <c r="AJL3" s="107" t="s">
        <v>374</v>
      </c>
      <c r="AJM3" s="107" t="s">
        <v>375</v>
      </c>
      <c r="AJN3" s="107" t="s">
        <v>376</v>
      </c>
      <c r="AJO3" s="107" t="s">
        <v>377</v>
      </c>
      <c r="AJP3" s="107" t="s">
        <v>378</v>
      </c>
      <c r="AJQ3" s="107" t="s">
        <v>379</v>
      </c>
      <c r="AJR3" s="107" t="s">
        <v>380</v>
      </c>
      <c r="AJS3" s="107" t="s">
        <v>381</v>
      </c>
      <c r="AJT3" s="107" t="s">
        <v>383</v>
      </c>
      <c r="AJU3" s="107" t="s">
        <v>367</v>
      </c>
      <c r="AJV3" s="107" t="s">
        <v>368</v>
      </c>
      <c r="AJW3" s="107" t="s">
        <v>369</v>
      </c>
      <c r="AJX3" s="107" t="s">
        <v>370</v>
      </c>
      <c r="AJY3" s="107" t="s">
        <v>371</v>
      </c>
      <c r="AJZ3" s="107" t="s">
        <v>372</v>
      </c>
      <c r="AKA3" s="107" t="s">
        <v>373</v>
      </c>
      <c r="AKB3" s="107" t="s">
        <v>374</v>
      </c>
      <c r="AKC3" s="107" t="s">
        <v>375</v>
      </c>
      <c r="AKD3" s="107" t="s">
        <v>376</v>
      </c>
      <c r="AKE3" s="107" t="s">
        <v>377</v>
      </c>
      <c r="AKF3" s="107" t="s">
        <v>378</v>
      </c>
      <c r="AKG3" s="107" t="s">
        <v>379</v>
      </c>
      <c r="AKH3" s="107" t="s">
        <v>380</v>
      </c>
      <c r="AKI3" s="107" t="s">
        <v>381</v>
      </c>
      <c r="AKJ3" s="107" t="s">
        <v>383</v>
      </c>
      <c r="AKK3" s="107" t="s">
        <v>367</v>
      </c>
      <c r="AKL3" s="107" t="s">
        <v>368</v>
      </c>
      <c r="AKM3" s="107" t="s">
        <v>369</v>
      </c>
      <c r="AKN3" s="107" t="s">
        <v>370</v>
      </c>
      <c r="AKO3" s="107" t="s">
        <v>371</v>
      </c>
      <c r="AKP3" s="107" t="s">
        <v>372</v>
      </c>
      <c r="AKQ3" s="107" t="s">
        <v>373</v>
      </c>
      <c r="AKR3" s="107" t="s">
        <v>374</v>
      </c>
      <c r="AKS3" s="107" t="s">
        <v>375</v>
      </c>
      <c r="AKT3" s="107" t="s">
        <v>376</v>
      </c>
      <c r="AKU3" s="107" t="s">
        <v>377</v>
      </c>
      <c r="AKV3" s="107" t="s">
        <v>378</v>
      </c>
      <c r="AKW3" s="107" t="s">
        <v>379</v>
      </c>
      <c r="AKX3" s="107" t="s">
        <v>380</v>
      </c>
      <c r="AKY3" s="107" t="s">
        <v>381</v>
      </c>
      <c r="AKZ3" s="107" t="s">
        <v>383</v>
      </c>
      <c r="ALA3" s="107" t="s">
        <v>367</v>
      </c>
      <c r="ALB3" s="107" t="s">
        <v>368</v>
      </c>
      <c r="ALC3" s="107" t="s">
        <v>369</v>
      </c>
      <c r="ALD3" s="107" t="s">
        <v>370</v>
      </c>
      <c r="ALE3" s="107" t="s">
        <v>371</v>
      </c>
      <c r="ALF3" s="107" t="s">
        <v>372</v>
      </c>
      <c r="ALG3" s="107" t="s">
        <v>373</v>
      </c>
      <c r="ALH3" s="107" t="s">
        <v>374</v>
      </c>
      <c r="ALI3" s="107" t="s">
        <v>375</v>
      </c>
      <c r="ALJ3" s="107" t="s">
        <v>376</v>
      </c>
      <c r="ALK3" s="107" t="s">
        <v>377</v>
      </c>
      <c r="ALL3" s="107" t="s">
        <v>378</v>
      </c>
      <c r="ALM3" s="107" t="s">
        <v>379</v>
      </c>
      <c r="ALN3" s="107" t="s">
        <v>380</v>
      </c>
      <c r="ALO3" s="107" t="s">
        <v>381</v>
      </c>
      <c r="ALP3" s="107" t="s">
        <v>383</v>
      </c>
      <c r="ALQ3" s="107" t="s">
        <v>367</v>
      </c>
      <c r="ALR3" s="107" t="s">
        <v>368</v>
      </c>
      <c r="ALS3" s="107" t="s">
        <v>369</v>
      </c>
      <c r="ALT3" s="107" t="s">
        <v>370</v>
      </c>
      <c r="ALU3" s="107" t="s">
        <v>371</v>
      </c>
      <c r="ALV3" s="107" t="s">
        <v>372</v>
      </c>
      <c r="ALW3" s="107" t="s">
        <v>373</v>
      </c>
      <c r="ALX3" s="107" t="s">
        <v>374</v>
      </c>
      <c r="ALY3" s="107" t="s">
        <v>375</v>
      </c>
      <c r="ALZ3" s="107" t="s">
        <v>376</v>
      </c>
      <c r="AMA3" s="107" t="s">
        <v>377</v>
      </c>
      <c r="AMB3" s="107" t="s">
        <v>378</v>
      </c>
      <c r="AMC3" s="107" t="s">
        <v>379</v>
      </c>
      <c r="AMD3" s="107" t="s">
        <v>380</v>
      </c>
      <c r="AME3" s="107" t="s">
        <v>381</v>
      </c>
      <c r="AMF3" s="108" t="s">
        <v>383</v>
      </c>
    </row>
    <row r="4" spans="4:1020" s="109" customFormat="1" ht="40.8">
      <c r="D4" s="90"/>
      <c r="E4" s="90"/>
      <c r="F4" s="90"/>
      <c r="G4" s="90"/>
      <c r="H4" s="90"/>
      <c r="I4" s="98"/>
      <c r="J4" s="99" t="s">
        <v>423</v>
      </c>
      <c r="K4" s="100" t="s">
        <v>423</v>
      </c>
      <c r="L4" s="100" t="s">
        <v>423</v>
      </c>
      <c r="M4" s="100" t="s">
        <v>423</v>
      </c>
      <c r="N4" s="100" t="s">
        <v>423</v>
      </c>
      <c r="O4" s="100" t="s">
        <v>423</v>
      </c>
      <c r="P4" s="100" t="s">
        <v>423</v>
      </c>
      <c r="Q4" s="100" t="s">
        <v>423</v>
      </c>
      <c r="R4" s="100" t="s">
        <v>423</v>
      </c>
      <c r="S4" s="100" t="s">
        <v>423</v>
      </c>
      <c r="T4" s="100" t="s">
        <v>423</v>
      </c>
      <c r="U4" s="100" t="s">
        <v>423</v>
      </c>
      <c r="V4" s="100" t="s">
        <v>423</v>
      </c>
      <c r="W4" s="100" t="s">
        <v>423</v>
      </c>
      <c r="X4" s="100" t="s">
        <v>423</v>
      </c>
      <c r="Y4" s="100" t="s">
        <v>423</v>
      </c>
      <c r="Z4" s="101" t="s">
        <v>423</v>
      </c>
      <c r="AA4" s="102" t="s">
        <v>424</v>
      </c>
      <c r="AB4" s="91" t="s">
        <v>424</v>
      </c>
      <c r="AC4" s="91" t="s">
        <v>424</v>
      </c>
      <c r="AD4" s="91" t="s">
        <v>424</v>
      </c>
      <c r="AE4" s="91" t="s">
        <v>424</v>
      </c>
      <c r="AF4" s="91" t="s">
        <v>424</v>
      </c>
      <c r="AG4" s="91" t="s">
        <v>424</v>
      </c>
      <c r="AH4" s="91" t="s">
        <v>424</v>
      </c>
      <c r="AI4" s="91" t="s">
        <v>424</v>
      </c>
      <c r="AJ4" s="91" t="s">
        <v>424</v>
      </c>
      <c r="AK4" s="91" t="s">
        <v>424</v>
      </c>
      <c r="AL4" s="91" t="s">
        <v>424</v>
      </c>
      <c r="AM4" s="91" t="s">
        <v>424</v>
      </c>
      <c r="AN4" s="91" t="s">
        <v>424</v>
      </c>
      <c r="AO4" s="91" t="s">
        <v>424</v>
      </c>
      <c r="AP4" s="91" t="s">
        <v>424</v>
      </c>
      <c r="AQ4" s="91" t="s">
        <v>424</v>
      </c>
      <c r="AR4" s="100" t="s">
        <v>423</v>
      </c>
      <c r="AS4" s="100" t="s">
        <v>423</v>
      </c>
      <c r="AT4" s="100" t="s">
        <v>423</v>
      </c>
      <c r="AU4" s="100" t="s">
        <v>423</v>
      </c>
      <c r="AV4" s="100" t="s">
        <v>423</v>
      </c>
      <c r="AW4" s="100" t="s">
        <v>423</v>
      </c>
      <c r="AX4" s="100" t="s">
        <v>423</v>
      </c>
      <c r="AY4" s="100" t="s">
        <v>423</v>
      </c>
      <c r="AZ4" s="100" t="s">
        <v>423</v>
      </c>
      <c r="BA4" s="100" t="s">
        <v>423</v>
      </c>
      <c r="BB4" s="100" t="s">
        <v>423</v>
      </c>
      <c r="BC4" s="100" t="s">
        <v>423</v>
      </c>
      <c r="BD4" s="100" t="s">
        <v>423</v>
      </c>
      <c r="BE4" s="100" t="s">
        <v>423</v>
      </c>
      <c r="BF4" s="100" t="s">
        <v>423</v>
      </c>
      <c r="BG4" s="100" t="s">
        <v>423</v>
      </c>
      <c r="BH4" s="100" t="s">
        <v>423</v>
      </c>
      <c r="BI4" s="91" t="s">
        <v>424</v>
      </c>
      <c r="BJ4" s="91" t="s">
        <v>424</v>
      </c>
      <c r="BK4" s="91" t="s">
        <v>424</v>
      </c>
      <c r="BL4" s="91" t="s">
        <v>424</v>
      </c>
      <c r="BM4" s="91" t="s">
        <v>424</v>
      </c>
      <c r="BN4" s="91" t="s">
        <v>424</v>
      </c>
      <c r="BO4" s="91" t="s">
        <v>424</v>
      </c>
      <c r="BP4" s="91" t="s">
        <v>424</v>
      </c>
      <c r="BQ4" s="91" t="s">
        <v>424</v>
      </c>
      <c r="BR4" s="91" t="s">
        <v>424</v>
      </c>
      <c r="BS4" s="91" t="s">
        <v>424</v>
      </c>
      <c r="BT4" s="91" t="s">
        <v>424</v>
      </c>
      <c r="BU4" s="91" t="s">
        <v>424</v>
      </c>
      <c r="BV4" s="91" t="s">
        <v>424</v>
      </c>
      <c r="BW4" s="91" t="s">
        <v>424</v>
      </c>
      <c r="BX4" s="91" t="s">
        <v>424</v>
      </c>
      <c r="BY4" s="91" t="s">
        <v>424</v>
      </c>
      <c r="BZ4" s="100" t="s">
        <v>424</v>
      </c>
      <c r="CA4" s="100" t="s">
        <v>424</v>
      </c>
      <c r="CB4" s="100" t="s">
        <v>424</v>
      </c>
      <c r="CC4" s="100" t="s">
        <v>424</v>
      </c>
      <c r="CD4" s="100" t="s">
        <v>424</v>
      </c>
      <c r="CE4" s="100" t="s">
        <v>424</v>
      </c>
      <c r="CF4" s="100" t="s">
        <v>424</v>
      </c>
      <c r="CG4" s="100" t="s">
        <v>424</v>
      </c>
      <c r="CH4" s="100" t="s">
        <v>424</v>
      </c>
      <c r="CI4" s="100" t="s">
        <v>424</v>
      </c>
      <c r="CJ4" s="100" t="s">
        <v>424</v>
      </c>
      <c r="CK4" s="100" t="s">
        <v>424</v>
      </c>
      <c r="CL4" s="100" t="s">
        <v>424</v>
      </c>
      <c r="CM4" s="100" t="s">
        <v>424</v>
      </c>
      <c r="CN4" s="100" t="s">
        <v>424</v>
      </c>
      <c r="CO4" s="100" t="s">
        <v>424</v>
      </c>
      <c r="CP4" s="100" t="s">
        <v>424</v>
      </c>
      <c r="CQ4" s="91" t="s">
        <v>423</v>
      </c>
      <c r="CR4" s="91" t="s">
        <v>423</v>
      </c>
      <c r="CS4" s="91" t="s">
        <v>423</v>
      </c>
      <c r="CT4" s="91" t="s">
        <v>423</v>
      </c>
      <c r="CU4" s="91" t="s">
        <v>423</v>
      </c>
      <c r="CV4" s="91" t="s">
        <v>423</v>
      </c>
      <c r="CW4" s="91" t="s">
        <v>423</v>
      </c>
      <c r="CX4" s="91" t="s">
        <v>423</v>
      </c>
      <c r="CY4" s="91" t="s">
        <v>423</v>
      </c>
      <c r="CZ4" s="91" t="s">
        <v>423</v>
      </c>
      <c r="DA4" s="91" t="s">
        <v>423</v>
      </c>
      <c r="DB4" s="91" t="s">
        <v>423</v>
      </c>
      <c r="DC4" s="91" t="s">
        <v>423</v>
      </c>
      <c r="DD4" s="91" t="s">
        <v>423</v>
      </c>
      <c r="DE4" s="91" t="s">
        <v>423</v>
      </c>
      <c r="DF4" s="91" t="s">
        <v>423</v>
      </c>
      <c r="DG4" s="91" t="s">
        <v>423</v>
      </c>
      <c r="DH4" s="100" t="s">
        <v>423</v>
      </c>
      <c r="DI4" s="100" t="s">
        <v>423</v>
      </c>
      <c r="DJ4" s="100" t="s">
        <v>423</v>
      </c>
      <c r="DK4" s="100" t="s">
        <v>423</v>
      </c>
      <c r="DL4" s="100" t="s">
        <v>423</v>
      </c>
      <c r="DM4" s="100" t="s">
        <v>423</v>
      </c>
      <c r="DN4" s="100" t="s">
        <v>423</v>
      </c>
      <c r="DO4" s="100" t="s">
        <v>423</v>
      </c>
      <c r="DP4" s="100" t="s">
        <v>423</v>
      </c>
      <c r="DQ4" s="100" t="s">
        <v>423</v>
      </c>
      <c r="DR4" s="100" t="s">
        <v>423</v>
      </c>
      <c r="DS4" s="100" t="s">
        <v>423</v>
      </c>
      <c r="DT4" s="100" t="s">
        <v>423</v>
      </c>
      <c r="DU4" s="100" t="s">
        <v>423</v>
      </c>
      <c r="DV4" s="100" t="s">
        <v>423</v>
      </c>
      <c r="DW4" s="100" t="s">
        <v>423</v>
      </c>
      <c r="DX4" s="100" t="s">
        <v>423</v>
      </c>
      <c r="DY4" s="91" t="s">
        <v>423</v>
      </c>
      <c r="DZ4" s="91" t="s">
        <v>423</v>
      </c>
      <c r="EA4" s="91" t="s">
        <v>423</v>
      </c>
      <c r="EB4" s="91" t="s">
        <v>423</v>
      </c>
      <c r="EC4" s="91" t="s">
        <v>423</v>
      </c>
      <c r="ED4" s="91" t="s">
        <v>423</v>
      </c>
      <c r="EE4" s="91" t="s">
        <v>423</v>
      </c>
      <c r="EF4" s="91" t="s">
        <v>423</v>
      </c>
      <c r="EG4" s="91" t="s">
        <v>423</v>
      </c>
      <c r="EH4" s="91" t="s">
        <v>423</v>
      </c>
      <c r="EI4" s="91" t="s">
        <v>423</v>
      </c>
      <c r="EJ4" s="91" t="s">
        <v>423</v>
      </c>
      <c r="EK4" s="91" t="s">
        <v>423</v>
      </c>
      <c r="EL4" s="91" t="s">
        <v>423</v>
      </c>
      <c r="EM4" s="91" t="s">
        <v>423</v>
      </c>
      <c r="EN4" s="91" t="s">
        <v>423</v>
      </c>
      <c r="EO4" s="100" t="s">
        <v>423</v>
      </c>
      <c r="EP4" s="100" t="s">
        <v>423</v>
      </c>
      <c r="EQ4" s="100" t="s">
        <v>423</v>
      </c>
      <c r="ER4" s="100" t="s">
        <v>423</v>
      </c>
      <c r="ES4" s="100" t="s">
        <v>423</v>
      </c>
      <c r="ET4" s="100" t="s">
        <v>423</v>
      </c>
      <c r="EU4" s="100" t="s">
        <v>423</v>
      </c>
      <c r="EV4" s="100" t="s">
        <v>423</v>
      </c>
      <c r="EW4" s="100" t="s">
        <v>423</v>
      </c>
      <c r="EX4" s="100" t="s">
        <v>423</v>
      </c>
      <c r="EY4" s="100" t="s">
        <v>423</v>
      </c>
      <c r="EZ4" s="100" t="s">
        <v>423</v>
      </c>
      <c r="FA4" s="100" t="s">
        <v>423</v>
      </c>
      <c r="FB4" s="100" t="s">
        <v>423</v>
      </c>
      <c r="FC4" s="100" t="s">
        <v>423</v>
      </c>
      <c r="FD4" s="100" t="s">
        <v>423</v>
      </c>
      <c r="FE4" s="91" t="s">
        <v>423</v>
      </c>
      <c r="FF4" s="91" t="s">
        <v>423</v>
      </c>
      <c r="FG4" s="91" t="s">
        <v>423</v>
      </c>
      <c r="FH4" s="91" t="s">
        <v>423</v>
      </c>
      <c r="FI4" s="91" t="s">
        <v>423</v>
      </c>
      <c r="FJ4" s="91" t="s">
        <v>423</v>
      </c>
      <c r="FK4" s="91" t="s">
        <v>423</v>
      </c>
      <c r="FL4" s="91" t="s">
        <v>423</v>
      </c>
      <c r="FM4" s="91" t="s">
        <v>423</v>
      </c>
      <c r="FN4" s="91" t="s">
        <v>423</v>
      </c>
      <c r="FO4" s="91" t="s">
        <v>423</v>
      </c>
      <c r="FP4" s="91" t="s">
        <v>423</v>
      </c>
      <c r="FQ4" s="91" t="s">
        <v>423</v>
      </c>
      <c r="FR4" s="91" t="s">
        <v>423</v>
      </c>
      <c r="FS4" s="91" t="s">
        <v>423</v>
      </c>
      <c r="FT4" s="91" t="s">
        <v>423</v>
      </c>
      <c r="FU4" s="91" t="s">
        <v>423</v>
      </c>
      <c r="FV4" s="100" t="s">
        <v>423</v>
      </c>
      <c r="FW4" s="100" t="s">
        <v>423</v>
      </c>
      <c r="FX4" s="100" t="s">
        <v>423</v>
      </c>
      <c r="FY4" s="100" t="s">
        <v>423</v>
      </c>
      <c r="FZ4" s="100" t="s">
        <v>423</v>
      </c>
      <c r="GA4" s="100" t="s">
        <v>423</v>
      </c>
      <c r="GB4" s="100" t="s">
        <v>423</v>
      </c>
      <c r="GC4" s="100" t="s">
        <v>423</v>
      </c>
      <c r="GD4" s="100" t="s">
        <v>423</v>
      </c>
      <c r="GE4" s="100" t="s">
        <v>423</v>
      </c>
      <c r="GF4" s="100" t="s">
        <v>423</v>
      </c>
      <c r="GG4" s="100" t="s">
        <v>423</v>
      </c>
      <c r="GH4" s="100" t="s">
        <v>423</v>
      </c>
      <c r="GI4" s="100" t="s">
        <v>423</v>
      </c>
      <c r="GJ4" s="100" t="s">
        <v>423</v>
      </c>
      <c r="GK4" s="100" t="s">
        <v>423</v>
      </c>
      <c r="GL4" s="91" t="s">
        <v>423</v>
      </c>
      <c r="GM4" s="91" t="s">
        <v>423</v>
      </c>
      <c r="GN4" s="91" t="s">
        <v>423</v>
      </c>
      <c r="GO4" s="91" t="s">
        <v>423</v>
      </c>
      <c r="GP4" s="91" t="s">
        <v>423</v>
      </c>
      <c r="GQ4" s="91" t="s">
        <v>423</v>
      </c>
      <c r="GR4" s="91" t="s">
        <v>423</v>
      </c>
      <c r="GS4" s="91" t="s">
        <v>423</v>
      </c>
      <c r="GT4" s="91" t="s">
        <v>423</v>
      </c>
      <c r="GU4" s="91" t="s">
        <v>423</v>
      </c>
      <c r="GV4" s="91" t="s">
        <v>423</v>
      </c>
      <c r="GW4" s="91" t="s">
        <v>423</v>
      </c>
      <c r="GX4" s="91" t="s">
        <v>423</v>
      </c>
      <c r="GY4" s="91" t="s">
        <v>423</v>
      </c>
      <c r="GZ4" s="91" t="s">
        <v>423</v>
      </c>
      <c r="HA4" s="91" t="s">
        <v>423</v>
      </c>
      <c r="HB4" s="100" t="s">
        <v>423</v>
      </c>
      <c r="HC4" s="100" t="s">
        <v>423</v>
      </c>
      <c r="HD4" s="100" t="s">
        <v>423</v>
      </c>
      <c r="HE4" s="100" t="s">
        <v>423</v>
      </c>
      <c r="HF4" s="100" t="s">
        <v>423</v>
      </c>
      <c r="HG4" s="100" t="s">
        <v>423</v>
      </c>
      <c r="HH4" s="100" t="s">
        <v>423</v>
      </c>
      <c r="HI4" s="100" t="s">
        <v>423</v>
      </c>
      <c r="HJ4" s="100" t="s">
        <v>423</v>
      </c>
      <c r="HK4" s="100" t="s">
        <v>423</v>
      </c>
      <c r="HL4" s="100" t="s">
        <v>423</v>
      </c>
      <c r="HM4" s="100" t="s">
        <v>423</v>
      </c>
      <c r="HN4" s="100" t="s">
        <v>423</v>
      </c>
      <c r="HO4" s="100" t="s">
        <v>423</v>
      </c>
      <c r="HP4" s="100" t="s">
        <v>423</v>
      </c>
      <c r="HQ4" s="100" t="s">
        <v>423</v>
      </c>
      <c r="HR4" s="100" t="s">
        <v>423</v>
      </c>
      <c r="HS4" s="91" t="s">
        <v>424</v>
      </c>
      <c r="HT4" s="91" t="s">
        <v>424</v>
      </c>
      <c r="HU4" s="91" t="s">
        <v>424</v>
      </c>
      <c r="HV4" s="91" t="s">
        <v>424</v>
      </c>
      <c r="HW4" s="91" t="s">
        <v>424</v>
      </c>
      <c r="HX4" s="91" t="s">
        <v>424</v>
      </c>
      <c r="HY4" s="91" t="s">
        <v>424</v>
      </c>
      <c r="HZ4" s="91" t="s">
        <v>424</v>
      </c>
      <c r="IA4" s="91" t="s">
        <v>424</v>
      </c>
      <c r="IB4" s="91" t="s">
        <v>424</v>
      </c>
      <c r="IC4" s="91" t="s">
        <v>424</v>
      </c>
      <c r="ID4" s="91" t="s">
        <v>424</v>
      </c>
      <c r="IE4" s="91" t="s">
        <v>424</v>
      </c>
      <c r="IF4" s="91" t="s">
        <v>424</v>
      </c>
      <c r="IG4" s="91" t="s">
        <v>424</v>
      </c>
      <c r="IH4" s="91" t="s">
        <v>424</v>
      </c>
      <c r="II4" s="100" t="s">
        <v>423</v>
      </c>
      <c r="IJ4" s="100" t="s">
        <v>423</v>
      </c>
      <c r="IK4" s="100" t="s">
        <v>423</v>
      </c>
      <c r="IL4" s="100" t="s">
        <v>423</v>
      </c>
      <c r="IM4" s="100" t="s">
        <v>423</v>
      </c>
      <c r="IN4" s="100" t="s">
        <v>423</v>
      </c>
      <c r="IO4" s="100" t="s">
        <v>423</v>
      </c>
      <c r="IP4" s="100" t="s">
        <v>423</v>
      </c>
      <c r="IQ4" s="100" t="s">
        <v>423</v>
      </c>
      <c r="IR4" s="100" t="s">
        <v>423</v>
      </c>
      <c r="IS4" s="100" t="s">
        <v>423</v>
      </c>
      <c r="IT4" s="100" t="s">
        <v>423</v>
      </c>
      <c r="IU4" s="100" t="s">
        <v>423</v>
      </c>
      <c r="IV4" s="100" t="s">
        <v>423</v>
      </c>
      <c r="IW4" s="100" t="s">
        <v>423</v>
      </c>
      <c r="IX4" s="100" t="s">
        <v>423</v>
      </c>
      <c r="IY4" s="100" t="s">
        <v>423</v>
      </c>
      <c r="IZ4" s="91" t="s">
        <v>423</v>
      </c>
      <c r="JA4" s="91" t="s">
        <v>423</v>
      </c>
      <c r="JB4" s="91" t="s">
        <v>423</v>
      </c>
      <c r="JC4" s="91" t="s">
        <v>423</v>
      </c>
      <c r="JD4" s="91" t="s">
        <v>423</v>
      </c>
      <c r="JE4" s="91" t="s">
        <v>423</v>
      </c>
      <c r="JF4" s="91" t="s">
        <v>423</v>
      </c>
      <c r="JG4" s="91" t="s">
        <v>423</v>
      </c>
      <c r="JH4" s="91" t="s">
        <v>423</v>
      </c>
      <c r="JI4" s="91" t="s">
        <v>423</v>
      </c>
      <c r="JJ4" s="91" t="s">
        <v>423</v>
      </c>
      <c r="JK4" s="91" t="s">
        <v>423</v>
      </c>
      <c r="JL4" s="91" t="s">
        <v>423</v>
      </c>
      <c r="JM4" s="91" t="s">
        <v>423</v>
      </c>
      <c r="JN4" s="91" t="s">
        <v>423</v>
      </c>
      <c r="JO4" s="91" t="s">
        <v>423</v>
      </c>
      <c r="JP4" s="100" t="s">
        <v>423</v>
      </c>
      <c r="JQ4" s="100" t="s">
        <v>423</v>
      </c>
      <c r="JR4" s="100" t="s">
        <v>423</v>
      </c>
      <c r="JS4" s="100" t="s">
        <v>423</v>
      </c>
      <c r="JT4" s="100" t="s">
        <v>423</v>
      </c>
      <c r="JU4" s="100" t="s">
        <v>423</v>
      </c>
      <c r="JV4" s="100" t="s">
        <v>423</v>
      </c>
      <c r="JW4" s="100" t="s">
        <v>423</v>
      </c>
      <c r="JX4" s="100" t="s">
        <v>423</v>
      </c>
      <c r="JY4" s="100" t="s">
        <v>423</v>
      </c>
      <c r="JZ4" s="100" t="s">
        <v>423</v>
      </c>
      <c r="KA4" s="100" t="s">
        <v>423</v>
      </c>
      <c r="KB4" s="100" t="s">
        <v>423</v>
      </c>
      <c r="KC4" s="100" t="s">
        <v>423</v>
      </c>
      <c r="KD4" s="100" t="s">
        <v>423</v>
      </c>
      <c r="KE4" s="100" t="s">
        <v>423</v>
      </c>
      <c r="KF4" s="91" t="s">
        <v>423</v>
      </c>
      <c r="KG4" s="91" t="s">
        <v>423</v>
      </c>
      <c r="KH4" s="91" t="s">
        <v>423</v>
      </c>
      <c r="KI4" s="91" t="s">
        <v>423</v>
      </c>
      <c r="KJ4" s="91" t="s">
        <v>423</v>
      </c>
      <c r="KK4" s="91" t="s">
        <v>423</v>
      </c>
      <c r="KL4" s="91" t="s">
        <v>423</v>
      </c>
      <c r="KM4" s="91" t="s">
        <v>423</v>
      </c>
      <c r="KN4" s="91" t="s">
        <v>423</v>
      </c>
      <c r="KO4" s="91" t="s">
        <v>423</v>
      </c>
      <c r="KP4" s="91" t="s">
        <v>423</v>
      </c>
      <c r="KQ4" s="91" t="s">
        <v>423</v>
      </c>
      <c r="KR4" s="91" t="s">
        <v>423</v>
      </c>
      <c r="KS4" s="91" t="s">
        <v>423</v>
      </c>
      <c r="KT4" s="91" t="s">
        <v>423</v>
      </c>
      <c r="KU4" s="91" t="s">
        <v>423</v>
      </c>
      <c r="KV4" s="100" t="s">
        <v>423</v>
      </c>
      <c r="KW4" s="100" t="s">
        <v>423</v>
      </c>
      <c r="KX4" s="100" t="s">
        <v>423</v>
      </c>
      <c r="KY4" s="100" t="s">
        <v>423</v>
      </c>
      <c r="KZ4" s="100" t="s">
        <v>423</v>
      </c>
      <c r="LA4" s="100" t="s">
        <v>423</v>
      </c>
      <c r="LB4" s="100" t="s">
        <v>423</v>
      </c>
      <c r="LC4" s="100" t="s">
        <v>423</v>
      </c>
      <c r="LD4" s="100" t="s">
        <v>423</v>
      </c>
      <c r="LE4" s="100" t="s">
        <v>423</v>
      </c>
      <c r="LF4" s="100" t="s">
        <v>423</v>
      </c>
      <c r="LG4" s="100" t="s">
        <v>423</v>
      </c>
      <c r="LH4" s="100" t="s">
        <v>423</v>
      </c>
      <c r="LI4" s="100" t="s">
        <v>423</v>
      </c>
      <c r="LJ4" s="100" t="s">
        <v>423</v>
      </c>
      <c r="LK4" s="100" t="s">
        <v>423</v>
      </c>
      <c r="LL4" s="91" t="s">
        <v>423</v>
      </c>
      <c r="LM4" s="91" t="s">
        <v>423</v>
      </c>
      <c r="LN4" s="91" t="s">
        <v>423</v>
      </c>
      <c r="LO4" s="91" t="s">
        <v>423</v>
      </c>
      <c r="LP4" s="91" t="s">
        <v>423</v>
      </c>
      <c r="LQ4" s="91" t="s">
        <v>423</v>
      </c>
      <c r="LR4" s="91" t="s">
        <v>423</v>
      </c>
      <c r="LS4" s="91" t="s">
        <v>423</v>
      </c>
      <c r="LT4" s="91" t="s">
        <v>423</v>
      </c>
      <c r="LU4" s="91" t="s">
        <v>423</v>
      </c>
      <c r="LV4" s="91" t="s">
        <v>423</v>
      </c>
      <c r="LW4" s="91" t="s">
        <v>423</v>
      </c>
      <c r="LX4" s="91" t="s">
        <v>423</v>
      </c>
      <c r="LY4" s="91" t="s">
        <v>423</v>
      </c>
      <c r="LZ4" s="91" t="s">
        <v>423</v>
      </c>
      <c r="MA4" s="91" t="s">
        <v>423</v>
      </c>
      <c r="MB4" s="100" t="s">
        <v>424</v>
      </c>
      <c r="MC4" s="100" t="s">
        <v>424</v>
      </c>
      <c r="MD4" s="100" t="s">
        <v>424</v>
      </c>
      <c r="ME4" s="100" t="s">
        <v>424</v>
      </c>
      <c r="MF4" s="100" t="s">
        <v>424</v>
      </c>
      <c r="MG4" s="100" t="s">
        <v>424</v>
      </c>
      <c r="MH4" s="100" t="s">
        <v>424</v>
      </c>
      <c r="MI4" s="100" t="s">
        <v>424</v>
      </c>
      <c r="MJ4" s="100" t="s">
        <v>424</v>
      </c>
      <c r="MK4" s="100" t="s">
        <v>424</v>
      </c>
      <c r="ML4" s="100" t="s">
        <v>424</v>
      </c>
      <c r="MM4" s="100" t="s">
        <v>424</v>
      </c>
      <c r="MN4" s="100" t="s">
        <v>424</v>
      </c>
      <c r="MO4" s="100" t="s">
        <v>424</v>
      </c>
      <c r="MP4" s="100" t="s">
        <v>424</v>
      </c>
      <c r="MQ4" s="100" t="s">
        <v>424</v>
      </c>
      <c r="MR4" s="91" t="s">
        <v>423</v>
      </c>
      <c r="MS4" s="91" t="s">
        <v>423</v>
      </c>
      <c r="MT4" s="91" t="s">
        <v>423</v>
      </c>
      <c r="MU4" s="91" t="s">
        <v>423</v>
      </c>
      <c r="MV4" s="91" t="s">
        <v>423</v>
      </c>
      <c r="MW4" s="91" t="s">
        <v>423</v>
      </c>
      <c r="MX4" s="91" t="s">
        <v>423</v>
      </c>
      <c r="MY4" s="91" t="s">
        <v>423</v>
      </c>
      <c r="MZ4" s="91" t="s">
        <v>423</v>
      </c>
      <c r="NA4" s="91" t="s">
        <v>423</v>
      </c>
      <c r="NB4" s="91" t="s">
        <v>423</v>
      </c>
      <c r="NC4" s="91" t="s">
        <v>423</v>
      </c>
      <c r="ND4" s="91" t="s">
        <v>423</v>
      </c>
      <c r="NE4" s="91" t="s">
        <v>423</v>
      </c>
      <c r="NF4" s="91" t="s">
        <v>423</v>
      </c>
      <c r="NG4" s="91" t="s">
        <v>423</v>
      </c>
      <c r="NH4" s="100" t="s">
        <v>424</v>
      </c>
      <c r="NI4" s="100" t="s">
        <v>424</v>
      </c>
      <c r="NJ4" s="100" t="s">
        <v>424</v>
      </c>
      <c r="NK4" s="100" t="s">
        <v>424</v>
      </c>
      <c r="NL4" s="100" t="s">
        <v>424</v>
      </c>
      <c r="NM4" s="100" t="s">
        <v>424</v>
      </c>
      <c r="NN4" s="100" t="s">
        <v>424</v>
      </c>
      <c r="NO4" s="100" t="s">
        <v>424</v>
      </c>
      <c r="NP4" s="100" t="s">
        <v>424</v>
      </c>
      <c r="NQ4" s="100" t="s">
        <v>424</v>
      </c>
      <c r="NR4" s="100" t="s">
        <v>424</v>
      </c>
      <c r="NS4" s="100" t="s">
        <v>424</v>
      </c>
      <c r="NT4" s="100" t="s">
        <v>424</v>
      </c>
      <c r="NU4" s="100" t="s">
        <v>424</v>
      </c>
      <c r="NV4" s="100" t="s">
        <v>424</v>
      </c>
      <c r="NW4" s="100" t="s">
        <v>424</v>
      </c>
      <c r="NX4" s="91" t="s">
        <v>423</v>
      </c>
      <c r="NY4" s="91" t="s">
        <v>423</v>
      </c>
      <c r="NZ4" s="91" t="s">
        <v>423</v>
      </c>
      <c r="OA4" s="91" t="s">
        <v>423</v>
      </c>
      <c r="OB4" s="91" t="s">
        <v>423</v>
      </c>
      <c r="OC4" s="91" t="s">
        <v>423</v>
      </c>
      <c r="OD4" s="91" t="s">
        <v>423</v>
      </c>
      <c r="OE4" s="91" t="s">
        <v>423</v>
      </c>
      <c r="OF4" s="91" t="s">
        <v>423</v>
      </c>
      <c r="OG4" s="91" t="s">
        <v>423</v>
      </c>
      <c r="OH4" s="91" t="s">
        <v>423</v>
      </c>
      <c r="OI4" s="91" t="s">
        <v>423</v>
      </c>
      <c r="OJ4" s="91" t="s">
        <v>423</v>
      </c>
      <c r="OK4" s="91" t="s">
        <v>423</v>
      </c>
      <c r="OL4" s="91" t="s">
        <v>423</v>
      </c>
      <c r="OM4" s="91" t="s">
        <v>423</v>
      </c>
      <c r="ON4" s="100" t="s">
        <v>423</v>
      </c>
      <c r="OO4" s="100" t="s">
        <v>423</v>
      </c>
      <c r="OP4" s="100" t="s">
        <v>423</v>
      </c>
      <c r="OQ4" s="91" t="s">
        <v>424</v>
      </c>
      <c r="OR4" s="91" t="s">
        <v>424</v>
      </c>
      <c r="OS4" s="91" t="s">
        <v>424</v>
      </c>
      <c r="OT4" s="100" t="s">
        <v>423</v>
      </c>
      <c r="OU4" s="100" t="s">
        <v>423</v>
      </c>
      <c r="OV4" s="105" t="s">
        <v>424</v>
      </c>
      <c r="OW4" s="105" t="s">
        <v>424</v>
      </c>
      <c r="OX4" s="105" t="s">
        <v>424</v>
      </c>
      <c r="OY4" s="105" t="s">
        <v>424</v>
      </c>
      <c r="OZ4" s="91" t="s">
        <v>424</v>
      </c>
      <c r="PA4" s="91" t="s">
        <v>424</v>
      </c>
      <c r="PB4" s="91" t="s">
        <v>424</v>
      </c>
      <c r="PC4" s="91" t="s">
        <v>424</v>
      </c>
      <c r="PD4" s="105" t="s">
        <v>424</v>
      </c>
      <c r="PE4" s="105" t="s">
        <v>423</v>
      </c>
      <c r="PF4" s="105" t="s">
        <v>424</v>
      </c>
      <c r="PG4" s="105" t="s">
        <v>424</v>
      </c>
      <c r="PH4" s="105" t="s">
        <v>423</v>
      </c>
      <c r="PI4" s="105" t="s">
        <v>423</v>
      </c>
      <c r="PJ4" s="91" t="s">
        <v>423</v>
      </c>
      <c r="PK4" s="91" t="s">
        <v>423</v>
      </c>
      <c r="PL4" s="91" t="s">
        <v>423</v>
      </c>
      <c r="PM4" s="91" t="s">
        <v>423</v>
      </c>
      <c r="PN4" s="91" t="s">
        <v>423</v>
      </c>
      <c r="PO4" s="91" t="s">
        <v>424</v>
      </c>
      <c r="PP4" s="105" t="s">
        <v>424</v>
      </c>
      <c r="PQ4" s="91" t="s">
        <v>424</v>
      </c>
      <c r="PR4" s="91" t="s">
        <v>424</v>
      </c>
      <c r="PS4" s="91" t="s">
        <v>424</v>
      </c>
      <c r="PT4" s="91" t="s">
        <v>424</v>
      </c>
      <c r="PU4" s="91" t="s">
        <v>424</v>
      </c>
      <c r="PV4" s="91" t="s">
        <v>424</v>
      </c>
      <c r="PW4" s="91" t="s">
        <v>424</v>
      </c>
      <c r="PX4" s="91" t="s">
        <v>424</v>
      </c>
      <c r="PY4" s="91" t="s">
        <v>424</v>
      </c>
      <c r="PZ4" s="91" t="s">
        <v>424</v>
      </c>
      <c r="QA4" s="91" t="s">
        <v>424</v>
      </c>
      <c r="QB4" s="91" t="s">
        <v>424</v>
      </c>
      <c r="QC4" s="91" t="s">
        <v>424</v>
      </c>
      <c r="QD4" s="91" t="s">
        <v>424</v>
      </c>
      <c r="QE4" s="91" t="s">
        <v>424</v>
      </c>
      <c r="QF4" s="91" t="s">
        <v>424</v>
      </c>
      <c r="QG4" s="91" t="s">
        <v>424</v>
      </c>
      <c r="QH4" s="91" t="s">
        <v>424</v>
      </c>
      <c r="QI4" s="91" t="s">
        <v>424</v>
      </c>
      <c r="QJ4" s="91" t="s">
        <v>424</v>
      </c>
      <c r="QK4" s="91" t="s">
        <v>424</v>
      </c>
      <c r="QL4" s="91" t="s">
        <v>424</v>
      </c>
      <c r="QM4" s="91" t="s">
        <v>424</v>
      </c>
      <c r="QN4" s="91" t="s">
        <v>424</v>
      </c>
      <c r="QO4" s="91" t="s">
        <v>424</v>
      </c>
      <c r="QP4" s="91" t="s">
        <v>424</v>
      </c>
      <c r="QQ4" s="91" t="s">
        <v>424</v>
      </c>
      <c r="QR4" s="91" t="s">
        <v>424</v>
      </c>
      <c r="QS4" s="91" t="s">
        <v>424</v>
      </c>
      <c r="QT4" s="91" t="s">
        <v>424</v>
      </c>
      <c r="QU4" s="91" t="s">
        <v>424</v>
      </c>
      <c r="QV4" s="91" t="s">
        <v>424</v>
      </c>
      <c r="QW4" s="91" t="s">
        <v>424</v>
      </c>
      <c r="QX4" s="91" t="s">
        <v>424</v>
      </c>
      <c r="QY4" s="91" t="s">
        <v>424</v>
      </c>
      <c r="QZ4" s="91" t="s">
        <v>424</v>
      </c>
      <c r="RA4" s="91" t="s">
        <v>424</v>
      </c>
      <c r="RB4" s="100" t="s">
        <v>423</v>
      </c>
      <c r="RC4" s="100" t="s">
        <v>423</v>
      </c>
      <c r="RD4" s="100" t="s">
        <v>423</v>
      </c>
      <c r="RE4" s="100" t="s">
        <v>423</v>
      </c>
      <c r="RF4" s="100" t="s">
        <v>423</v>
      </c>
      <c r="RG4" s="100" t="s">
        <v>423</v>
      </c>
      <c r="RH4" s="100" t="s">
        <v>423</v>
      </c>
      <c r="RI4" s="100" t="s">
        <v>423</v>
      </c>
      <c r="RJ4" s="100" t="s">
        <v>423</v>
      </c>
      <c r="RK4" s="100" t="s">
        <v>423</v>
      </c>
      <c r="RL4" s="100" t="s">
        <v>423</v>
      </c>
      <c r="RM4" s="100" t="s">
        <v>423</v>
      </c>
      <c r="RN4" s="100" t="s">
        <v>423</v>
      </c>
      <c r="RO4" s="100" t="s">
        <v>423</v>
      </c>
      <c r="RP4" s="100" t="s">
        <v>423</v>
      </c>
      <c r="RQ4" s="100" t="s">
        <v>423</v>
      </c>
      <c r="RR4" s="91"/>
      <c r="RS4" s="91"/>
      <c r="RT4" s="100" t="s">
        <v>424</v>
      </c>
      <c r="RU4" s="100" t="s">
        <v>424</v>
      </c>
      <c r="RV4" s="100" t="s">
        <v>424</v>
      </c>
      <c r="RW4" s="100" t="s">
        <v>424</v>
      </c>
      <c r="RX4" s="100" t="s">
        <v>424</v>
      </c>
      <c r="RY4" s="100" t="s">
        <v>424</v>
      </c>
      <c r="RZ4" s="100" t="s">
        <v>424</v>
      </c>
      <c r="SA4" s="100" t="s">
        <v>424</v>
      </c>
      <c r="SB4" s="100" t="s">
        <v>424</v>
      </c>
      <c r="SC4" s="100" t="s">
        <v>424</v>
      </c>
      <c r="SD4" s="100" t="s">
        <v>424</v>
      </c>
      <c r="SE4" s="100" t="s">
        <v>424</v>
      </c>
      <c r="SF4" s="91" t="s">
        <v>423</v>
      </c>
      <c r="SG4" s="91" t="s">
        <v>423</v>
      </c>
      <c r="SH4" s="91" t="s">
        <v>424</v>
      </c>
      <c r="SI4" s="91" t="s">
        <v>423</v>
      </c>
      <c r="SJ4" s="91" t="s">
        <v>423</v>
      </c>
      <c r="SK4" s="91" t="s">
        <v>424</v>
      </c>
      <c r="SL4" s="91" t="s">
        <v>423</v>
      </c>
      <c r="SM4" s="91" t="s">
        <v>423</v>
      </c>
      <c r="SN4" s="91" t="s">
        <v>424</v>
      </c>
      <c r="SO4" s="91" t="s">
        <v>424</v>
      </c>
      <c r="SP4" s="91" t="s">
        <v>424</v>
      </c>
      <c r="SQ4" s="91" t="s">
        <v>424</v>
      </c>
      <c r="SR4" s="100" t="s">
        <v>423</v>
      </c>
      <c r="SS4" s="100" t="s">
        <v>423</v>
      </c>
      <c r="ST4" s="100" t="s">
        <v>423</v>
      </c>
      <c r="SU4" s="100" t="s">
        <v>423</v>
      </c>
      <c r="SV4" s="100" t="s">
        <v>423</v>
      </c>
      <c r="SW4" s="100" t="s">
        <v>423</v>
      </c>
      <c r="SX4" s="91" t="s">
        <v>423</v>
      </c>
      <c r="SY4" s="91" t="s">
        <v>423</v>
      </c>
      <c r="SZ4" s="91" t="s">
        <v>423</v>
      </c>
      <c r="TA4" s="91" t="s">
        <v>423</v>
      </c>
      <c r="TB4" s="91" t="s">
        <v>423</v>
      </c>
      <c r="TC4" s="91" t="s">
        <v>423</v>
      </c>
      <c r="TD4" s="91" t="s">
        <v>423</v>
      </c>
      <c r="TE4" s="91" t="s">
        <v>423</v>
      </c>
      <c r="TF4" s="91" t="s">
        <v>423</v>
      </c>
      <c r="TG4" s="91" t="s">
        <v>423</v>
      </c>
      <c r="TH4" s="91" t="s">
        <v>423</v>
      </c>
      <c r="TI4" s="91" t="s">
        <v>423</v>
      </c>
      <c r="TJ4" s="91" t="s">
        <v>423</v>
      </c>
      <c r="TK4" s="91" t="s">
        <v>423</v>
      </c>
      <c r="TL4" s="91" t="s">
        <v>423</v>
      </c>
      <c r="TM4" s="91" t="s">
        <v>423</v>
      </c>
      <c r="TN4" s="100" t="s">
        <v>423</v>
      </c>
      <c r="TO4" s="100" t="s">
        <v>423</v>
      </c>
      <c r="TP4" s="100" t="s">
        <v>423</v>
      </c>
      <c r="TQ4" s="100" t="s">
        <v>423</v>
      </c>
      <c r="TR4" s="100" t="s">
        <v>423</v>
      </c>
      <c r="TS4" s="100" t="s">
        <v>423</v>
      </c>
      <c r="TT4" s="100" t="s">
        <v>423</v>
      </c>
      <c r="TU4" s="100" t="s">
        <v>423</v>
      </c>
      <c r="TV4" s="100" t="s">
        <v>423</v>
      </c>
      <c r="TW4" s="100" t="s">
        <v>423</v>
      </c>
      <c r="TX4" s="100" t="s">
        <v>423</v>
      </c>
      <c r="TY4" s="100" t="s">
        <v>423</v>
      </c>
      <c r="TZ4" s="100" t="s">
        <v>423</v>
      </c>
      <c r="UA4" s="100" t="s">
        <v>423</v>
      </c>
      <c r="UB4" s="100" t="s">
        <v>423</v>
      </c>
      <c r="UC4" s="100" t="s">
        <v>423</v>
      </c>
      <c r="UD4" s="91" t="s">
        <v>423</v>
      </c>
      <c r="UE4" s="91" t="s">
        <v>423</v>
      </c>
      <c r="UF4" s="91" t="s">
        <v>423</v>
      </c>
      <c r="UG4" s="91" t="s">
        <v>423</v>
      </c>
      <c r="UH4" s="91" t="s">
        <v>423</v>
      </c>
      <c r="UI4" s="91" t="s">
        <v>423</v>
      </c>
      <c r="UJ4" s="91" t="s">
        <v>423</v>
      </c>
      <c r="UK4" s="91" t="s">
        <v>423</v>
      </c>
      <c r="UL4" s="91" t="s">
        <v>423</v>
      </c>
      <c r="UM4" s="91" t="s">
        <v>423</v>
      </c>
      <c r="UN4" s="91" t="s">
        <v>423</v>
      </c>
      <c r="UO4" s="91" t="s">
        <v>423</v>
      </c>
      <c r="UP4" s="91" t="s">
        <v>423</v>
      </c>
      <c r="UQ4" s="91" t="s">
        <v>423</v>
      </c>
      <c r="UR4" s="91" t="s">
        <v>423</v>
      </c>
      <c r="US4" s="91" t="s">
        <v>423</v>
      </c>
      <c r="UT4" s="100" t="s">
        <v>423</v>
      </c>
      <c r="UU4" s="100" t="s">
        <v>423</v>
      </c>
      <c r="UV4" s="100" t="s">
        <v>423</v>
      </c>
      <c r="UW4" s="100" t="s">
        <v>423</v>
      </c>
      <c r="UX4" s="100" t="s">
        <v>423</v>
      </c>
      <c r="UY4" s="100" t="s">
        <v>423</v>
      </c>
      <c r="UZ4" s="100" t="s">
        <v>423</v>
      </c>
      <c r="VA4" s="100" t="s">
        <v>423</v>
      </c>
      <c r="VB4" s="100" t="s">
        <v>423</v>
      </c>
      <c r="VC4" s="100" t="s">
        <v>423</v>
      </c>
      <c r="VD4" s="100" t="s">
        <v>423</v>
      </c>
      <c r="VE4" s="100" t="s">
        <v>423</v>
      </c>
      <c r="VF4" s="100" t="s">
        <v>423</v>
      </c>
      <c r="VG4" s="100" t="s">
        <v>423</v>
      </c>
      <c r="VH4" s="100" t="s">
        <v>423</v>
      </c>
      <c r="VI4" s="100" t="s">
        <v>423</v>
      </c>
      <c r="VJ4" s="91" t="s">
        <v>423</v>
      </c>
      <c r="VK4" s="91" t="s">
        <v>423</v>
      </c>
      <c r="VL4" s="91" t="s">
        <v>423</v>
      </c>
      <c r="VM4" s="91" t="s">
        <v>423</v>
      </c>
      <c r="VN4" s="91" t="s">
        <v>423</v>
      </c>
      <c r="VO4" s="91" t="s">
        <v>423</v>
      </c>
      <c r="VP4" s="91" t="s">
        <v>423</v>
      </c>
      <c r="VQ4" s="91" t="s">
        <v>423</v>
      </c>
      <c r="VR4" s="91" t="s">
        <v>423</v>
      </c>
      <c r="VS4" s="91" t="s">
        <v>423</v>
      </c>
      <c r="VT4" s="91" t="s">
        <v>423</v>
      </c>
      <c r="VU4" s="91" t="s">
        <v>423</v>
      </c>
      <c r="VV4" s="91" t="s">
        <v>423</v>
      </c>
      <c r="VW4" s="91" t="s">
        <v>423</v>
      </c>
      <c r="VX4" s="91" t="s">
        <v>423</v>
      </c>
      <c r="VY4" s="91" t="s">
        <v>423</v>
      </c>
      <c r="VZ4" s="91" t="s">
        <v>423</v>
      </c>
      <c r="WA4" s="91" t="s">
        <v>423</v>
      </c>
      <c r="WB4" s="91" t="s">
        <v>423</v>
      </c>
      <c r="WC4" s="91" t="s">
        <v>423</v>
      </c>
      <c r="WD4" s="91" t="s">
        <v>423</v>
      </c>
      <c r="WE4" s="91" t="s">
        <v>423</v>
      </c>
      <c r="WF4" s="91" t="s">
        <v>423</v>
      </c>
      <c r="WG4" s="91" t="s">
        <v>423</v>
      </c>
      <c r="WH4" s="91" t="s">
        <v>423</v>
      </c>
      <c r="WI4" s="91" t="s">
        <v>423</v>
      </c>
      <c r="WJ4" s="91" t="s">
        <v>423</v>
      </c>
      <c r="WK4" s="91" t="s">
        <v>423</v>
      </c>
      <c r="WL4" s="91" t="s">
        <v>423</v>
      </c>
      <c r="WM4" s="91" t="s">
        <v>423</v>
      </c>
      <c r="WN4" s="91" t="s">
        <v>423</v>
      </c>
      <c r="WO4" s="91" t="s">
        <v>423</v>
      </c>
      <c r="WP4" s="100" t="s">
        <v>423</v>
      </c>
      <c r="WQ4" s="100" t="s">
        <v>423</v>
      </c>
      <c r="WR4" s="100" t="s">
        <v>423</v>
      </c>
      <c r="WS4" s="100" t="s">
        <v>423</v>
      </c>
      <c r="WT4" s="100" t="s">
        <v>423</v>
      </c>
      <c r="WU4" s="100" t="s">
        <v>423</v>
      </c>
      <c r="WV4" s="100" t="s">
        <v>423</v>
      </c>
      <c r="WW4" s="100" t="s">
        <v>423</v>
      </c>
      <c r="WX4" s="100" t="s">
        <v>423</v>
      </c>
      <c r="WY4" s="100" t="s">
        <v>423</v>
      </c>
      <c r="WZ4" s="100" t="s">
        <v>423</v>
      </c>
      <c r="XA4" s="100" t="s">
        <v>423</v>
      </c>
      <c r="XB4" s="100" t="s">
        <v>423</v>
      </c>
      <c r="XC4" s="100" t="s">
        <v>423</v>
      </c>
      <c r="XD4" s="100" t="s">
        <v>423</v>
      </c>
      <c r="XE4" s="100" t="s">
        <v>423</v>
      </c>
      <c r="XF4" s="91" t="s">
        <v>423</v>
      </c>
      <c r="XG4" s="91" t="s">
        <v>423</v>
      </c>
      <c r="XH4" s="91" t="s">
        <v>423</v>
      </c>
      <c r="XI4" s="91" t="s">
        <v>423</v>
      </c>
      <c r="XJ4" s="91" t="s">
        <v>423</v>
      </c>
      <c r="XK4" s="91" t="s">
        <v>423</v>
      </c>
      <c r="XL4" s="91" t="s">
        <v>423</v>
      </c>
      <c r="XM4" s="91" t="s">
        <v>423</v>
      </c>
      <c r="XN4" s="91" t="s">
        <v>423</v>
      </c>
      <c r="XO4" s="91" t="s">
        <v>423</v>
      </c>
      <c r="XP4" s="91" t="s">
        <v>423</v>
      </c>
      <c r="XQ4" s="91" t="s">
        <v>423</v>
      </c>
      <c r="XR4" s="91" t="s">
        <v>423</v>
      </c>
      <c r="XS4" s="91" t="s">
        <v>423</v>
      </c>
      <c r="XT4" s="91" t="s">
        <v>423</v>
      </c>
      <c r="XU4" s="91" t="s">
        <v>423</v>
      </c>
      <c r="XV4" s="100" t="s">
        <v>423</v>
      </c>
      <c r="XW4" s="100" t="s">
        <v>423</v>
      </c>
      <c r="XX4" s="100" t="s">
        <v>423</v>
      </c>
      <c r="XY4" s="100" t="s">
        <v>423</v>
      </c>
      <c r="XZ4" s="100" t="s">
        <v>423</v>
      </c>
      <c r="YA4" s="100" t="s">
        <v>423</v>
      </c>
      <c r="YB4" s="100" t="s">
        <v>423</v>
      </c>
      <c r="YC4" s="100" t="s">
        <v>423</v>
      </c>
      <c r="YD4" s="100" t="s">
        <v>423</v>
      </c>
      <c r="YE4" s="100" t="s">
        <v>423</v>
      </c>
      <c r="YF4" s="100" t="s">
        <v>423</v>
      </c>
      <c r="YG4" s="100" t="s">
        <v>423</v>
      </c>
      <c r="YH4" s="100" t="s">
        <v>423</v>
      </c>
      <c r="YI4" s="100" t="s">
        <v>423</v>
      </c>
      <c r="YJ4" s="100" t="s">
        <v>423</v>
      </c>
      <c r="YK4" s="100" t="s">
        <v>423</v>
      </c>
      <c r="YL4" s="91" t="s">
        <v>423</v>
      </c>
      <c r="YM4" s="91" t="s">
        <v>423</v>
      </c>
      <c r="YN4" s="91" t="s">
        <v>423</v>
      </c>
      <c r="YO4" s="91" t="s">
        <v>423</v>
      </c>
      <c r="YP4" s="91" t="s">
        <v>423</v>
      </c>
      <c r="YQ4" s="91" t="s">
        <v>423</v>
      </c>
      <c r="YR4" s="91" t="s">
        <v>423</v>
      </c>
      <c r="YS4" s="91" t="s">
        <v>423</v>
      </c>
      <c r="YT4" s="91" t="s">
        <v>423</v>
      </c>
      <c r="YU4" s="91" t="s">
        <v>423</v>
      </c>
      <c r="YV4" s="91" t="s">
        <v>423</v>
      </c>
      <c r="YW4" s="91" t="s">
        <v>423</v>
      </c>
      <c r="YX4" s="91" t="s">
        <v>423</v>
      </c>
      <c r="YY4" s="91" t="s">
        <v>423</v>
      </c>
      <c r="YZ4" s="91" t="s">
        <v>423</v>
      </c>
      <c r="ZA4" s="91" t="s">
        <v>423</v>
      </c>
      <c r="ZB4" s="100" t="s">
        <v>423</v>
      </c>
      <c r="ZC4" s="100" t="s">
        <v>423</v>
      </c>
      <c r="ZD4" s="100" t="s">
        <v>423</v>
      </c>
      <c r="ZE4" s="100" t="s">
        <v>423</v>
      </c>
      <c r="ZF4" s="100" t="s">
        <v>423</v>
      </c>
      <c r="ZG4" s="100" t="s">
        <v>423</v>
      </c>
      <c r="ZH4" s="100" t="s">
        <v>423</v>
      </c>
      <c r="ZI4" s="100" t="s">
        <v>423</v>
      </c>
      <c r="ZJ4" s="100" t="s">
        <v>423</v>
      </c>
      <c r="ZK4" s="100" t="s">
        <v>423</v>
      </c>
      <c r="ZL4" s="100" t="s">
        <v>423</v>
      </c>
      <c r="ZM4" s="100" t="s">
        <v>423</v>
      </c>
      <c r="ZN4" s="100" t="s">
        <v>423</v>
      </c>
      <c r="ZO4" s="100" t="s">
        <v>423</v>
      </c>
      <c r="ZP4" s="100" t="s">
        <v>423</v>
      </c>
      <c r="ZQ4" s="100" t="s">
        <v>423</v>
      </c>
      <c r="ZR4" s="91" t="s">
        <v>423</v>
      </c>
      <c r="ZS4" s="91" t="s">
        <v>423</v>
      </c>
      <c r="ZT4" s="91" t="s">
        <v>423</v>
      </c>
      <c r="ZU4" s="91" t="s">
        <v>423</v>
      </c>
      <c r="ZV4" s="91" t="s">
        <v>423</v>
      </c>
      <c r="ZW4" s="91" t="s">
        <v>423</v>
      </c>
      <c r="ZX4" s="91" t="s">
        <v>423</v>
      </c>
      <c r="ZY4" s="91" t="s">
        <v>423</v>
      </c>
      <c r="ZZ4" s="91" t="s">
        <v>423</v>
      </c>
      <c r="AAA4" s="91" t="s">
        <v>423</v>
      </c>
      <c r="AAB4" s="91" t="s">
        <v>423</v>
      </c>
      <c r="AAC4" s="91" t="s">
        <v>423</v>
      </c>
      <c r="AAD4" s="91" t="s">
        <v>423</v>
      </c>
      <c r="AAE4" s="91" t="s">
        <v>423</v>
      </c>
      <c r="AAF4" s="91" t="s">
        <v>423</v>
      </c>
      <c r="AAG4" s="91" t="s">
        <v>423</v>
      </c>
      <c r="AAH4" s="91" t="s">
        <v>423</v>
      </c>
      <c r="AAI4" s="91" t="s">
        <v>423</v>
      </c>
      <c r="AAJ4" s="91" t="s">
        <v>423</v>
      </c>
      <c r="AAK4" s="91" t="s">
        <v>423</v>
      </c>
      <c r="AAL4" s="91" t="s">
        <v>423</v>
      </c>
      <c r="AAM4" s="91" t="s">
        <v>423</v>
      </c>
      <c r="AAN4" s="91" t="s">
        <v>423</v>
      </c>
      <c r="AAO4" s="91" t="s">
        <v>423</v>
      </c>
      <c r="AAP4" s="91" t="s">
        <v>423</v>
      </c>
      <c r="AAQ4" s="91" t="s">
        <v>423</v>
      </c>
      <c r="AAR4" s="91" t="s">
        <v>423</v>
      </c>
      <c r="AAS4" s="91" t="s">
        <v>423</v>
      </c>
      <c r="AAT4" s="91" t="s">
        <v>423</v>
      </c>
      <c r="AAU4" s="91" t="s">
        <v>423</v>
      </c>
      <c r="AAV4" s="91" t="s">
        <v>423</v>
      </c>
      <c r="AAW4" s="91" t="s">
        <v>423</v>
      </c>
      <c r="AAX4" s="100" t="s">
        <v>423</v>
      </c>
      <c r="AAY4" s="100" t="s">
        <v>423</v>
      </c>
      <c r="AAZ4" s="100" t="s">
        <v>423</v>
      </c>
      <c r="ABA4" s="100" t="s">
        <v>423</v>
      </c>
      <c r="ABB4" s="100" t="s">
        <v>423</v>
      </c>
      <c r="ABC4" s="100" t="s">
        <v>423</v>
      </c>
      <c r="ABD4" s="100" t="s">
        <v>423</v>
      </c>
      <c r="ABE4" s="100" t="s">
        <v>423</v>
      </c>
      <c r="ABF4" s="100" t="s">
        <v>423</v>
      </c>
      <c r="ABG4" s="100" t="s">
        <v>423</v>
      </c>
      <c r="ABH4" s="100" t="s">
        <v>423</v>
      </c>
      <c r="ABI4" s="100" t="s">
        <v>423</v>
      </c>
      <c r="ABJ4" s="100" t="s">
        <v>423</v>
      </c>
      <c r="ABK4" s="100" t="s">
        <v>423</v>
      </c>
      <c r="ABL4" s="100" t="s">
        <v>423</v>
      </c>
      <c r="ABM4" s="100" t="s">
        <v>423</v>
      </c>
      <c r="ABN4" s="100" t="s">
        <v>423</v>
      </c>
      <c r="ABO4" s="100" t="s">
        <v>423</v>
      </c>
      <c r="ABP4" s="100" t="s">
        <v>423</v>
      </c>
      <c r="ABQ4" s="100" t="s">
        <v>423</v>
      </c>
      <c r="ABR4" s="100" t="s">
        <v>423</v>
      </c>
      <c r="ABS4" s="100" t="s">
        <v>423</v>
      </c>
      <c r="ABT4" s="100" t="s">
        <v>423</v>
      </c>
      <c r="ABU4" s="100" t="s">
        <v>423</v>
      </c>
      <c r="ABV4" s="100" t="s">
        <v>423</v>
      </c>
      <c r="ABW4" s="100" t="s">
        <v>423</v>
      </c>
      <c r="ABX4" s="100" t="s">
        <v>423</v>
      </c>
      <c r="ABY4" s="100" t="s">
        <v>423</v>
      </c>
      <c r="ABZ4" s="100" t="s">
        <v>423</v>
      </c>
      <c r="ACA4" s="100" t="s">
        <v>423</v>
      </c>
      <c r="ACB4" s="100" t="s">
        <v>423</v>
      </c>
      <c r="ACC4" s="100" t="s">
        <v>423</v>
      </c>
      <c r="ACD4" s="100" t="s">
        <v>423</v>
      </c>
      <c r="ACE4" s="100" t="s">
        <v>423</v>
      </c>
      <c r="ACF4" s="100" t="s">
        <v>423</v>
      </c>
      <c r="ACG4" s="100" t="s">
        <v>423</v>
      </c>
      <c r="ACH4" s="100" t="s">
        <v>423</v>
      </c>
      <c r="ACI4" s="100" t="s">
        <v>423</v>
      </c>
      <c r="ACJ4" s="100" t="s">
        <v>423</v>
      </c>
      <c r="ACK4" s="100" t="s">
        <v>423</v>
      </c>
      <c r="ACL4" s="100" t="s">
        <v>423</v>
      </c>
      <c r="ACM4" s="100" t="s">
        <v>423</v>
      </c>
      <c r="ACN4" s="100" t="s">
        <v>423</v>
      </c>
      <c r="ACO4" s="100" t="s">
        <v>423</v>
      </c>
      <c r="ACP4" s="100" t="s">
        <v>423</v>
      </c>
      <c r="ACQ4" s="100" t="s">
        <v>423</v>
      </c>
      <c r="ACR4" s="100" t="s">
        <v>423</v>
      </c>
      <c r="ACS4" s="100" t="s">
        <v>423</v>
      </c>
      <c r="ACT4" s="100" t="s">
        <v>423</v>
      </c>
      <c r="ACU4" s="100" t="s">
        <v>423</v>
      </c>
      <c r="ACV4" s="100" t="s">
        <v>423</v>
      </c>
      <c r="ACW4" s="100" t="s">
        <v>423</v>
      </c>
      <c r="ACX4" s="100" t="s">
        <v>423</v>
      </c>
      <c r="ACY4" s="100" t="s">
        <v>423</v>
      </c>
      <c r="ACZ4" s="100" t="s">
        <v>423</v>
      </c>
      <c r="ADA4" s="100" t="s">
        <v>423</v>
      </c>
      <c r="ADB4" s="100" t="s">
        <v>423</v>
      </c>
      <c r="ADC4" s="100" t="s">
        <v>423</v>
      </c>
      <c r="ADD4" s="100" t="s">
        <v>423</v>
      </c>
      <c r="ADE4" s="100" t="s">
        <v>423</v>
      </c>
      <c r="ADF4" s="100" t="s">
        <v>423</v>
      </c>
      <c r="ADG4" s="100" t="s">
        <v>423</v>
      </c>
      <c r="ADH4" s="100" t="s">
        <v>423</v>
      </c>
      <c r="ADI4" s="100" t="s">
        <v>423</v>
      </c>
      <c r="ADJ4" s="100" t="s">
        <v>423</v>
      </c>
      <c r="ADK4" s="100" t="s">
        <v>423</v>
      </c>
      <c r="ADL4" s="100" t="s">
        <v>423</v>
      </c>
      <c r="ADM4" s="100" t="s">
        <v>423</v>
      </c>
      <c r="ADN4" s="100" t="s">
        <v>423</v>
      </c>
      <c r="ADO4" s="100" t="s">
        <v>423</v>
      </c>
      <c r="ADP4" s="100" t="s">
        <v>423</v>
      </c>
      <c r="ADQ4" s="100" t="s">
        <v>423</v>
      </c>
      <c r="ADR4" s="100" t="s">
        <v>423</v>
      </c>
      <c r="ADS4" s="100" t="s">
        <v>423</v>
      </c>
      <c r="ADT4" s="100" t="s">
        <v>423</v>
      </c>
      <c r="ADU4" s="100" t="s">
        <v>423</v>
      </c>
      <c r="ADV4" s="100" t="s">
        <v>423</v>
      </c>
      <c r="ADW4" s="100" t="s">
        <v>423</v>
      </c>
      <c r="ADX4" s="100" t="s">
        <v>423</v>
      </c>
      <c r="ADY4" s="100" t="s">
        <v>423</v>
      </c>
      <c r="ADZ4" s="100" t="s">
        <v>423</v>
      </c>
      <c r="AEA4" s="100" t="s">
        <v>423</v>
      </c>
      <c r="AEB4" s="100" t="s">
        <v>423</v>
      </c>
      <c r="AEC4" s="100" t="s">
        <v>423</v>
      </c>
      <c r="AED4" s="100" t="s">
        <v>423</v>
      </c>
      <c r="AEE4" s="100" t="s">
        <v>423</v>
      </c>
      <c r="AEF4" s="100" t="s">
        <v>423</v>
      </c>
      <c r="AEG4" s="100" t="s">
        <v>423</v>
      </c>
      <c r="AEH4" s="100" t="s">
        <v>423</v>
      </c>
      <c r="AEI4" s="100" t="s">
        <v>423</v>
      </c>
      <c r="AEJ4" s="100" t="s">
        <v>423</v>
      </c>
      <c r="AEK4" s="100" t="s">
        <v>423</v>
      </c>
      <c r="AEL4" s="100" t="s">
        <v>423</v>
      </c>
      <c r="AEM4" s="100" t="s">
        <v>423</v>
      </c>
      <c r="AEN4" s="100" t="s">
        <v>423</v>
      </c>
      <c r="AEO4" s="100" t="s">
        <v>423</v>
      </c>
      <c r="AEP4" s="100" t="s">
        <v>423</v>
      </c>
      <c r="AEQ4" s="100" t="s">
        <v>423</v>
      </c>
      <c r="AER4" s="100" t="s">
        <v>423</v>
      </c>
      <c r="AES4" s="100" t="s">
        <v>423</v>
      </c>
      <c r="AET4" s="100" t="s">
        <v>423</v>
      </c>
      <c r="AEU4" s="100" t="s">
        <v>423</v>
      </c>
      <c r="AEV4" s="100" t="s">
        <v>423</v>
      </c>
      <c r="AEW4" s="100" t="s">
        <v>423</v>
      </c>
      <c r="AEX4" s="100" t="s">
        <v>423</v>
      </c>
      <c r="AEY4" s="100" t="s">
        <v>423</v>
      </c>
      <c r="AEZ4" s="100" t="s">
        <v>423</v>
      </c>
      <c r="AFA4" s="100" t="s">
        <v>423</v>
      </c>
      <c r="AFB4" s="100" t="s">
        <v>423</v>
      </c>
      <c r="AFC4" s="100" t="s">
        <v>423</v>
      </c>
      <c r="AFD4" s="100" t="s">
        <v>423</v>
      </c>
      <c r="AFE4" s="100" t="s">
        <v>423</v>
      </c>
      <c r="AFF4" s="100" t="s">
        <v>423</v>
      </c>
      <c r="AFG4" s="100" t="s">
        <v>423</v>
      </c>
      <c r="AFH4" s="100" t="s">
        <v>423</v>
      </c>
      <c r="AFI4" s="100" t="s">
        <v>423</v>
      </c>
      <c r="AFJ4" s="100" t="s">
        <v>423</v>
      </c>
      <c r="AFK4" s="100" t="s">
        <v>423</v>
      </c>
      <c r="AFL4" s="100" t="s">
        <v>423</v>
      </c>
      <c r="AFM4" s="100" t="s">
        <v>423</v>
      </c>
      <c r="AFN4" s="100" t="s">
        <v>423</v>
      </c>
      <c r="AFO4" s="100" t="s">
        <v>423</v>
      </c>
      <c r="AFP4" s="100" t="s">
        <v>423</v>
      </c>
      <c r="AFQ4" s="100" t="s">
        <v>423</v>
      </c>
      <c r="AFR4" s="100" t="s">
        <v>423</v>
      </c>
      <c r="AFS4" s="100" t="s">
        <v>423</v>
      </c>
      <c r="AFT4" s="100" t="s">
        <v>423</v>
      </c>
      <c r="AFU4" s="100" t="s">
        <v>423</v>
      </c>
      <c r="AFV4" s="100" t="s">
        <v>423</v>
      </c>
      <c r="AFW4" s="100" t="s">
        <v>423</v>
      </c>
      <c r="AFX4" s="100" t="s">
        <v>423</v>
      </c>
      <c r="AFY4" s="100" t="s">
        <v>423</v>
      </c>
      <c r="AFZ4" s="100" t="s">
        <v>423</v>
      </c>
      <c r="AGA4" s="100" t="s">
        <v>423</v>
      </c>
      <c r="AGB4" s="100" t="s">
        <v>423</v>
      </c>
      <c r="AGC4" s="100" t="s">
        <v>423</v>
      </c>
      <c r="AGD4" s="100" t="s">
        <v>423</v>
      </c>
      <c r="AGE4" s="100" t="s">
        <v>423</v>
      </c>
      <c r="AGF4" s="100" t="s">
        <v>423</v>
      </c>
      <c r="AGG4" s="100" t="s">
        <v>423</v>
      </c>
      <c r="AGH4" s="100" t="s">
        <v>423</v>
      </c>
      <c r="AGI4" s="100" t="s">
        <v>423</v>
      </c>
      <c r="AGJ4" s="100" t="s">
        <v>423</v>
      </c>
      <c r="AGK4" s="100" t="s">
        <v>423</v>
      </c>
      <c r="AGL4" s="100" t="s">
        <v>423</v>
      </c>
      <c r="AGM4" s="100" t="s">
        <v>423</v>
      </c>
      <c r="AGN4" s="100" t="s">
        <v>423</v>
      </c>
      <c r="AGO4" s="100" t="s">
        <v>423</v>
      </c>
      <c r="AGP4" s="100" t="s">
        <v>423</v>
      </c>
      <c r="AGQ4" s="100" t="s">
        <v>423</v>
      </c>
      <c r="AGR4" s="100" t="s">
        <v>423</v>
      </c>
      <c r="AGS4" s="100" t="s">
        <v>423</v>
      </c>
      <c r="AGT4" s="100" t="s">
        <v>423</v>
      </c>
      <c r="AGU4" s="100" t="s">
        <v>423</v>
      </c>
      <c r="AGV4" s="100" t="s">
        <v>423</v>
      </c>
      <c r="AGW4" s="100" t="s">
        <v>423</v>
      </c>
      <c r="AGX4" s="100" t="s">
        <v>423</v>
      </c>
      <c r="AGY4" s="100" t="s">
        <v>423</v>
      </c>
      <c r="AGZ4" s="100" t="s">
        <v>423</v>
      </c>
      <c r="AHA4" s="100" t="s">
        <v>423</v>
      </c>
      <c r="AHB4" s="100" t="s">
        <v>423</v>
      </c>
      <c r="AHC4" s="100" t="s">
        <v>423</v>
      </c>
      <c r="AHD4" s="100" t="s">
        <v>423</v>
      </c>
      <c r="AHE4" s="100" t="s">
        <v>423</v>
      </c>
      <c r="AHF4" s="100" t="s">
        <v>423</v>
      </c>
      <c r="AHG4" s="100" t="s">
        <v>423</v>
      </c>
      <c r="AHH4" s="100" t="s">
        <v>423</v>
      </c>
      <c r="AHI4" s="100" t="s">
        <v>423</v>
      </c>
      <c r="AHJ4" s="100" t="s">
        <v>423</v>
      </c>
      <c r="AHK4" s="100" t="s">
        <v>423</v>
      </c>
      <c r="AHL4" s="100" t="s">
        <v>423</v>
      </c>
      <c r="AHM4" s="100" t="s">
        <v>423</v>
      </c>
      <c r="AHN4" s="100" t="s">
        <v>423</v>
      </c>
      <c r="AHO4" s="100" t="s">
        <v>423</v>
      </c>
      <c r="AHP4" s="100" t="s">
        <v>423</v>
      </c>
      <c r="AHQ4" s="100" t="s">
        <v>423</v>
      </c>
      <c r="AHR4" s="100" t="s">
        <v>423</v>
      </c>
      <c r="AHS4" s="100" t="s">
        <v>423</v>
      </c>
      <c r="AHT4" s="100" t="s">
        <v>423</v>
      </c>
      <c r="AHU4" s="100" t="s">
        <v>423</v>
      </c>
      <c r="AHV4" s="100" t="s">
        <v>423</v>
      </c>
      <c r="AHW4" s="100" t="s">
        <v>423</v>
      </c>
      <c r="AHX4" s="100" t="s">
        <v>423</v>
      </c>
      <c r="AHY4" s="100" t="s">
        <v>423</v>
      </c>
      <c r="AHZ4" s="100" t="s">
        <v>423</v>
      </c>
      <c r="AIA4" s="100" t="s">
        <v>423</v>
      </c>
      <c r="AIB4" s="100" t="s">
        <v>423</v>
      </c>
      <c r="AIC4" s="100" t="s">
        <v>423</v>
      </c>
      <c r="AID4" s="100" t="s">
        <v>423</v>
      </c>
      <c r="AIE4" s="100" t="s">
        <v>423</v>
      </c>
      <c r="AIF4" s="100" t="s">
        <v>423</v>
      </c>
      <c r="AIG4" s="100" t="s">
        <v>423</v>
      </c>
      <c r="AIH4" s="100" t="s">
        <v>423</v>
      </c>
      <c r="AII4" s="100" t="s">
        <v>423</v>
      </c>
      <c r="AIJ4" s="100" t="s">
        <v>423</v>
      </c>
      <c r="AIK4" s="100" t="s">
        <v>423</v>
      </c>
      <c r="AIL4" s="100" t="s">
        <v>423</v>
      </c>
      <c r="AIM4" s="100" t="s">
        <v>423</v>
      </c>
      <c r="AIN4" s="100" t="s">
        <v>423</v>
      </c>
      <c r="AIO4" s="100" t="s">
        <v>423</v>
      </c>
      <c r="AIP4" s="100" t="s">
        <v>423</v>
      </c>
      <c r="AIQ4" s="100" t="s">
        <v>423</v>
      </c>
      <c r="AIR4" s="100" t="s">
        <v>423</v>
      </c>
      <c r="AIS4" s="100" t="s">
        <v>423</v>
      </c>
      <c r="AIT4" s="100" t="s">
        <v>423</v>
      </c>
      <c r="AIU4" s="100" t="s">
        <v>423</v>
      </c>
      <c r="AIV4" s="100" t="s">
        <v>423</v>
      </c>
      <c r="AIW4" s="100" t="s">
        <v>423</v>
      </c>
      <c r="AIX4" s="100" t="s">
        <v>423</v>
      </c>
      <c r="AIY4" s="100" t="s">
        <v>423</v>
      </c>
      <c r="AIZ4" s="100" t="s">
        <v>423</v>
      </c>
      <c r="AJA4" s="100" t="s">
        <v>423</v>
      </c>
      <c r="AJB4" s="100" t="s">
        <v>423</v>
      </c>
      <c r="AJC4" s="100" t="s">
        <v>423</v>
      </c>
      <c r="AJD4" s="100" t="s">
        <v>423</v>
      </c>
      <c r="AJE4" s="100" t="s">
        <v>423</v>
      </c>
      <c r="AJF4" s="100" t="s">
        <v>423</v>
      </c>
      <c r="AJG4" s="100" t="s">
        <v>423</v>
      </c>
      <c r="AJH4" s="100" t="s">
        <v>423</v>
      </c>
      <c r="AJI4" s="100" t="s">
        <v>423</v>
      </c>
      <c r="AJJ4" s="100" t="s">
        <v>423</v>
      </c>
      <c r="AJK4" s="100" t="s">
        <v>423</v>
      </c>
      <c r="AJL4" s="100" t="s">
        <v>423</v>
      </c>
      <c r="AJM4" s="100" t="s">
        <v>423</v>
      </c>
      <c r="AJN4" s="100" t="s">
        <v>423</v>
      </c>
      <c r="AJO4" s="100" t="s">
        <v>423</v>
      </c>
      <c r="AJP4" s="100" t="s">
        <v>423</v>
      </c>
      <c r="AJQ4" s="100" t="s">
        <v>423</v>
      </c>
      <c r="AJR4" s="100" t="s">
        <v>423</v>
      </c>
      <c r="AJS4" s="100" t="s">
        <v>423</v>
      </c>
      <c r="AJT4" s="100" t="s">
        <v>423</v>
      </c>
      <c r="AJU4" s="100" t="s">
        <v>423</v>
      </c>
      <c r="AJV4" s="100" t="s">
        <v>423</v>
      </c>
      <c r="AJW4" s="100" t="s">
        <v>423</v>
      </c>
      <c r="AJX4" s="100" t="s">
        <v>423</v>
      </c>
      <c r="AJY4" s="100" t="s">
        <v>423</v>
      </c>
      <c r="AJZ4" s="100" t="s">
        <v>423</v>
      </c>
      <c r="AKA4" s="100" t="s">
        <v>423</v>
      </c>
      <c r="AKB4" s="100" t="s">
        <v>423</v>
      </c>
      <c r="AKC4" s="100" t="s">
        <v>423</v>
      </c>
      <c r="AKD4" s="100" t="s">
        <v>423</v>
      </c>
      <c r="AKE4" s="100" t="s">
        <v>423</v>
      </c>
      <c r="AKF4" s="100" t="s">
        <v>423</v>
      </c>
      <c r="AKG4" s="100" t="s">
        <v>423</v>
      </c>
      <c r="AKH4" s="100" t="s">
        <v>423</v>
      </c>
      <c r="AKI4" s="100" t="s">
        <v>423</v>
      </c>
      <c r="AKJ4" s="100" t="s">
        <v>423</v>
      </c>
      <c r="AKK4" s="100" t="s">
        <v>423</v>
      </c>
      <c r="AKL4" s="100" t="s">
        <v>423</v>
      </c>
      <c r="AKM4" s="100" t="s">
        <v>423</v>
      </c>
      <c r="AKN4" s="100" t="s">
        <v>423</v>
      </c>
      <c r="AKO4" s="100" t="s">
        <v>423</v>
      </c>
      <c r="AKP4" s="100" t="s">
        <v>423</v>
      </c>
      <c r="AKQ4" s="100" t="s">
        <v>423</v>
      </c>
      <c r="AKR4" s="100" t="s">
        <v>423</v>
      </c>
      <c r="AKS4" s="100" t="s">
        <v>423</v>
      </c>
      <c r="AKT4" s="100" t="s">
        <v>423</v>
      </c>
      <c r="AKU4" s="100" t="s">
        <v>423</v>
      </c>
      <c r="AKV4" s="100" t="s">
        <v>423</v>
      </c>
      <c r="AKW4" s="100" t="s">
        <v>423</v>
      </c>
      <c r="AKX4" s="100" t="s">
        <v>423</v>
      </c>
      <c r="AKY4" s="100" t="s">
        <v>423</v>
      </c>
      <c r="AKZ4" s="100" t="s">
        <v>423</v>
      </c>
      <c r="ALA4" s="100" t="s">
        <v>423</v>
      </c>
      <c r="ALB4" s="100" t="s">
        <v>423</v>
      </c>
      <c r="ALC4" s="100" t="s">
        <v>423</v>
      </c>
      <c r="ALD4" s="100" t="s">
        <v>423</v>
      </c>
      <c r="ALE4" s="100" t="s">
        <v>423</v>
      </c>
      <c r="ALF4" s="100" t="s">
        <v>423</v>
      </c>
      <c r="ALG4" s="100" t="s">
        <v>423</v>
      </c>
      <c r="ALH4" s="100" t="s">
        <v>423</v>
      </c>
      <c r="ALI4" s="100" t="s">
        <v>423</v>
      </c>
      <c r="ALJ4" s="100" t="s">
        <v>423</v>
      </c>
      <c r="ALK4" s="100" t="s">
        <v>423</v>
      </c>
      <c r="ALL4" s="100" t="s">
        <v>423</v>
      </c>
      <c r="ALM4" s="100" t="s">
        <v>423</v>
      </c>
      <c r="ALN4" s="100" t="s">
        <v>423</v>
      </c>
      <c r="ALO4" s="100" t="s">
        <v>423</v>
      </c>
      <c r="ALP4" s="100" t="s">
        <v>423</v>
      </c>
      <c r="ALQ4" s="100" t="s">
        <v>423</v>
      </c>
      <c r="ALR4" s="100" t="s">
        <v>423</v>
      </c>
      <c r="ALS4" s="100" t="s">
        <v>423</v>
      </c>
      <c r="ALT4" s="100" t="s">
        <v>423</v>
      </c>
      <c r="ALU4" s="100" t="s">
        <v>423</v>
      </c>
      <c r="ALV4" s="100" t="s">
        <v>423</v>
      </c>
      <c r="ALW4" s="100" t="s">
        <v>423</v>
      </c>
      <c r="ALX4" s="100" t="s">
        <v>423</v>
      </c>
      <c r="ALY4" s="100" t="s">
        <v>423</v>
      </c>
      <c r="ALZ4" s="100" t="s">
        <v>423</v>
      </c>
      <c r="AMA4" s="100" t="s">
        <v>423</v>
      </c>
      <c r="AMB4" s="100" t="s">
        <v>423</v>
      </c>
      <c r="AMC4" s="100" t="s">
        <v>423</v>
      </c>
      <c r="AMD4" s="100" t="s">
        <v>423</v>
      </c>
      <c r="AME4" s="100" t="s">
        <v>423</v>
      </c>
      <c r="AMF4" s="100" t="s">
        <v>423</v>
      </c>
    </row>
    <row r="5" spans="4:762" ht="13.2" customHeight="1">
      <c r="D5" t="str">
        <f>IF(OR(Data!AV11="",Data!BN11="Invisi-Scape"),"",CONCATENATE(Data!BC$5,".",Data!BD$5))</f>
        <v>12125.A</v>
      </c>
      <c r="E5">
        <f>IF(D5="","",Data!AW11)</f>
        <v>7</v>
      </c>
      <c r="F5" t="str">
        <f>IF(D5="","",Data!AV11)</f>
        <v>af7f7705-9a28-43b7-9d3e-73d036d7cd0f</v>
      </c>
      <c r="G5" t="str">
        <f t="shared" si="0" ref="G5:G14">IF(D5="","","Screens")</f>
        <v>Screens</v>
      </c>
      <c r="H5" t="str">
        <f>IF(D5="","",Data!BF$5)</f>
        <v>McKinnis, Stephen</v>
      </c>
      <c r="I5" t="str">
        <f>IF(D5="","",Data!AX$5)</f>
        <v>Roller Shutters, Sheers &amp; Screen.</v>
      </c>
      <c r="J5" s="80" t="str">
        <f>IF(AND('Mitred Cutting'!E11="70mm x 20mm",'Mitred Cutting'!D11="APO Grey"),(('Job Sheet'!W11+'Job Sheet'!X11)*2),"")</f>
        <v/>
      </c>
      <c r="K5" s="80" t="str">
        <f>IF(AND('Mitred Cutting'!E11="70mm x 20mm",'Mitred Cutting'!D11="White Birch"),(('Job Sheet'!W11+'Job Sheet'!X11)*2),"")</f>
        <v/>
      </c>
      <c r="L5" s="80" t="str">
        <f>IF(AND('Mitred Cutting'!E11="70mm x 20mm",'Mitred Cutting'!D11="Black"),(('Job Sheet'!W11+'Job Sheet'!X11)*2),"")</f>
        <v/>
      </c>
      <c r="M5" s="80" t="str">
        <f>IF(AND('Mitred Cutting'!E11="70mm x 20mm",'Mitred Cutting'!D11="Brown"),(('Job Sheet'!W11+'Job Sheet'!X11)*2),"")</f>
        <v/>
      </c>
      <c r="N5" s="80" t="str">
        <f>IF(AND('Mitred Cutting'!E11="70mm x 20mm",'Mitred Cutting'!D11="Deep Ocean"),(('Job Sheet'!W11+'Job Sheet'!X11)*2),"")</f>
        <v/>
      </c>
      <c r="O5" s="80" t="str">
        <f>IF(AND('Mitred Cutting'!E11="70mm x 20mm",'Mitred Cutting'!D11="Jasper"),(('Job Sheet'!W11+'Job Sheet'!X11)*2),"")</f>
        <v/>
      </c>
      <c r="P5" s="80" t="str">
        <f>IF(AND('Mitred Cutting'!E11="70mm x 20mm",'Mitred Cutting'!D11="Paperbark"),(('Job Sheet'!W11+'Job Sheet'!X11)*2),"")</f>
        <v/>
      </c>
      <c r="Q5" s="80" t="str">
        <f>IF(AND('Mitred Cutting'!E11="70mm x 20mm",'Mitred Cutting'!D11="Mist Green"),(('Job Sheet'!W11+'Job Sheet'!X11)*2),"")</f>
        <v/>
      </c>
      <c r="R5" s="80" t="str">
        <f>IF(AND('Mitred Cutting'!E11="70mm x 20mm",'Mitred Cutting'!D11="Primrose"),(('Job Sheet'!W11+'Job Sheet'!X11)*2),"")</f>
        <v/>
      </c>
      <c r="S5" s="80" t="str">
        <f>IF(AND('Mitred Cutting'!E11="70mm x 20mm",'Mitred Cutting'!D11="Ultra Silver"),(('Job Sheet'!W11+'Job Sheet'!X11)*2),"")</f>
        <v/>
      </c>
      <c r="T5" s="80" t="str">
        <f>IF(AND('Mitred Cutting'!E11="70mm x 20mm",'Mitred Cutting'!D11="Woodland Grey(Green Tone)"),(('Job Sheet'!W11+'Job Sheet'!X11)*2),"")</f>
        <v/>
      </c>
      <c r="U5" s="80" t="str">
        <f>IF(AND('Mitred Cutting'!E11="70mm x 20mm",'Mitred Cutting'!D11="Pearl White"),(('Job Sheet'!W11+'Job Sheet'!X11)*2),"")</f>
        <v/>
      </c>
      <c r="V5" s="80" t="str">
        <f>IF(AND('Mitred Cutting'!E11="70mm x 20mm",'Mitred Cutting'!D11="Monument"),(('Job Sheet'!W11+'Job Sheet'!X11)*2),"")</f>
        <v/>
      </c>
      <c r="W5" s="80" t="str">
        <f>IF(AND('Mitred Cutting'!E11="70mm x 20mm",'Mitred Cutting'!D11="Surfmist"),(('Job Sheet'!W11+'Job Sheet'!X11)*2),"")</f>
        <v/>
      </c>
      <c r="X5" s="80" t="str">
        <f>IF(AND('Mitred Cutting'!E11="70mm x 20mm",'Mitred Cutting'!D11="Dune"),(('Job Sheet'!W11+'Job Sheet'!X11)*2),"")</f>
        <v/>
      </c>
      <c r="Y5" s="80"/>
      <c r="Z5" s="80" t="str">
        <f>IF(AND('Mitred Cutting'!E11="70mm x 20mm",'Mitred Cutting'!D11="Powdercoat"),(('Job Sheet'!W11+'Job Sheet'!X11)*2),"")</f>
        <v/>
      </c>
      <c r="AA5" s="80" t="str">
        <f>IF(AND('Mitred Cutting'!E11="Invisi-Gard 70mm x 20mm",'Mitred Cutting'!D11="APO Grey"),(('Job Sheet'!W11+'Job Sheet'!X11)*2),"")</f>
        <v/>
      </c>
      <c r="AB5" s="80" t="str">
        <f>IF(AND('Mitred Cutting'!E11="Invisi-Gard 70mm x 20mm",'Mitred Cutting'!D11="White Birch"),(('Job Sheet'!W11+'Job Sheet'!X11)*2),"")</f>
        <v/>
      </c>
      <c r="AC5" s="80" t="str">
        <f>IF(AND('Mitred Cutting'!E11="Invisi-Gard 70mm x 20mm",'Mitred Cutting'!D11="Black"),(('Job Sheet'!W11+'Job Sheet'!X11)*2),"")</f>
        <v/>
      </c>
      <c r="AD5" s="80" t="str">
        <f>IF(AND('Mitred Cutting'!E11="Invisi-Gard 70mm x 20mm",'Mitred Cutting'!D11="Brown"),(('Job Sheet'!W11+'Job Sheet'!X11)*2),"")</f>
        <v/>
      </c>
      <c r="AE5" s="80" t="str">
        <f>IF(AND('Mitred Cutting'!E11="Invisi-Gard 70mm x 20mm",'Mitred Cutting'!D11="Deep Ocean"),(('Job Sheet'!W11+'Job Sheet'!X11)*2),"")</f>
        <v/>
      </c>
      <c r="AF5" s="80" t="str">
        <f>IF(AND('Mitred Cutting'!E11="Invisi-Gard 70mm x 20mm",'Mitred Cutting'!D11="Jasper"),(('Job Sheet'!W11+'Job Sheet'!X11)*2),"")</f>
        <v/>
      </c>
      <c r="AG5" s="80" t="str">
        <f>IF(AND('Mitred Cutting'!E11="Invisi-Gard 70mm x 20mm",'Mitred Cutting'!D11="Paperbark"),(('Job Sheet'!W11+'Job Sheet'!X11)*2),"")</f>
        <v/>
      </c>
      <c r="AH5" s="80" t="str">
        <f>IF(AND('Mitred Cutting'!E11="Invisi-Gard 70mm x 20mm",'Mitred Cutting'!D11="Mist Green"),(('Job Sheet'!W11+'Job Sheet'!X11)*2),"")</f>
        <v/>
      </c>
      <c r="AI5" s="80" t="str">
        <f>IF(AND('Mitred Cutting'!E11="Invisi-Gard 70mm x 20mm",'Mitred Cutting'!D11="Primrose"),(('Job Sheet'!W11+'Job Sheet'!X11)*2),"")</f>
        <v/>
      </c>
      <c r="AJ5" s="80" t="str">
        <f>IF(AND('Mitred Cutting'!E11="Invisi-Gard 70mm x 20mm",'Mitred Cutting'!D11="Ultra Silver"),(('Job Sheet'!W11+'Job Sheet'!X11)*2),"")</f>
        <v/>
      </c>
      <c r="AK5" s="80" t="str">
        <f>IF(AND('Mitred Cutting'!E11="Invisi-Gard 70mm x 20mm",'Mitred Cutting'!D11="Woodland Grey(Green Tone)"),(('Job Sheet'!W11+'Job Sheet'!X11)*2),"")</f>
        <v/>
      </c>
      <c r="AL5" s="80" t="str">
        <f>IF(AND('Mitred Cutting'!E11="Invisi-Gard 70mm x 20mm",'Mitred Cutting'!D11="Pearl White"),(('Job Sheet'!W11+'Job Sheet'!X11)*2),"")</f>
        <v/>
      </c>
      <c r="AM5" s="80" t="str">
        <f>IF(AND('Mitred Cutting'!E11="Invisi-Gard 70mm x 20mm",'Mitred Cutting'!D11="Monument"),(('Job Sheet'!W11+'Job Sheet'!X11)*2),"")</f>
        <v/>
      </c>
      <c r="AN5" s="80" t="str">
        <f>IF(AND('Mitred Cutting'!E11="Invisi-Gard 70mm x 20mm",'Mitred Cutting'!D11="Surfmist"),(('Job Sheet'!W11+'Job Sheet'!X11)*2),"")</f>
        <v/>
      </c>
      <c r="AO5" s="80" t="str">
        <f>IF(AND('Mitred Cutting'!E11="Invisi-Gard 70mm x 20mm",'Mitred Cutting'!D11="Dune"),(('Job Sheet'!W11+'Job Sheet'!X11)*2),"")</f>
        <v/>
      </c>
      <c r="AP5" s="80"/>
      <c r="AQ5" s="80" t="str">
        <f>IF(AND('Mitred Cutting'!E11="Invisi-Gard 70mm x 20mm",'Mitred Cutting'!D11="Powdercoat"),(('Job Sheet'!W11+'Job Sheet'!X11)*2),"")</f>
        <v/>
      </c>
      <c r="AR5" s="80" t="str">
        <f>IF(AND('Mitred Cutting'!E11="37mm x 11mm",'Mitred Cutting'!D11="APO Grey"),(('Job Sheet'!W11+'Job Sheet'!X11)*2),"")</f>
        <v/>
      </c>
      <c r="AS5" s="80" t="str">
        <f>IF(AND('Mitred Cutting'!E11="37mm x 11mm",'Mitred Cutting'!D11="White Birch"),(('Job Sheet'!W11+'Job Sheet'!X11)*2),"")</f>
        <v/>
      </c>
      <c r="AT5" s="80" t="str">
        <f>IF(AND('Mitred Cutting'!E11="37mm x 11mm",'Mitred Cutting'!D11="Black"),(('Job Sheet'!W11+'Job Sheet'!X11)*2),"")</f>
        <v/>
      </c>
      <c r="AU5" s="80" t="str">
        <f>IF(AND('Mitred Cutting'!E11="37mm x 11mm",'Mitred Cutting'!D11="Brown"),(('Job Sheet'!W11+'Job Sheet'!X11)*2),"")</f>
        <v/>
      </c>
      <c r="AV5" s="80" t="str">
        <f>IF(AND('Mitred Cutting'!E11="37mm x 11mm",'Mitred Cutting'!D11="Deep Ocean"),(('Job Sheet'!W11+'Job Sheet'!X11)*2),"")</f>
        <v/>
      </c>
      <c r="AW5" s="80" t="str">
        <f>IF(AND('Mitred Cutting'!E11="37mm x 11mm",'Mitred Cutting'!D11="Jasper"),(('Job Sheet'!W11+'Job Sheet'!X11)*2),"")</f>
        <v/>
      </c>
      <c r="AX5" s="80" t="str">
        <f>IF(AND('Mitred Cutting'!E11="37mm x 11mm",'Mitred Cutting'!D11="Paperbark"),(('Job Sheet'!W11+'Job Sheet'!X11)*2),"")</f>
        <v/>
      </c>
      <c r="AY5" s="80" t="str">
        <f>IF(AND('Mitred Cutting'!E11="37mm x 11mm",'Mitred Cutting'!D11="Mist Green"),(('Job Sheet'!W11+'Job Sheet'!X11)*2),"")</f>
        <v/>
      </c>
      <c r="AZ5" s="80" t="str">
        <f>IF(AND('Mitred Cutting'!E11="37mm x 11mm",'Mitred Cutting'!D11="Primrose"),(('Job Sheet'!W11+'Job Sheet'!X11)*2),"")</f>
        <v/>
      </c>
      <c r="BA5" s="80" t="str">
        <f>IF(AND('Mitred Cutting'!E11="37mm x 11mm",'Mitred Cutting'!D11="Ultra Silver"),(('Job Sheet'!W11+'Job Sheet'!X11)*2),"")</f>
        <v/>
      </c>
      <c r="BB5" s="80" t="str">
        <f>IF(AND('Mitred Cutting'!E11="37mm x 11mm",'Mitred Cutting'!D11="Woodland Grey(Green Tone)"),(('Job Sheet'!W11+'Job Sheet'!X11)*2),"")</f>
        <v/>
      </c>
      <c r="BC5" s="80" t="str">
        <f>IF(AND('Mitred Cutting'!E11="37mm x 11mm",'Mitred Cutting'!D11="Pearl White"),(('Job Sheet'!W11+'Job Sheet'!X11)*2),"")</f>
        <v/>
      </c>
      <c r="BD5" s="80" t="str">
        <f>IF(AND('Mitred Cutting'!E11="37mm x 11mm",'Mitred Cutting'!D11="Monument"),(('Job Sheet'!W11+'Job Sheet'!X11)*2),"")</f>
        <v/>
      </c>
      <c r="BE5" s="80" t="str">
        <f>IF(AND('Mitred Cutting'!E11="37mm x 11mm",'Mitred Cutting'!D11="Surfmist"),(('Job Sheet'!W11+'Job Sheet'!X11)*2),"")</f>
        <v/>
      </c>
      <c r="BF5" s="80">
        <f>IF(AND('Mitred Cutting'!E11="37mm x 11mm",'Mitred Cutting'!D11="Dune"),(('Job Sheet'!W11+'Job Sheet'!X11)*2),"")</f>
        <v>4534</v>
      </c>
      <c r="BG5" s="80" t="str">
        <f>IF(AND('Mitred Cutting'!E11="37mm x 11mm",'Mitred Cutting'!D11="Woodland Grey (Dulux)"),(('Job Sheet'!W11+'Job Sheet'!X11)*2),"")</f>
        <v/>
      </c>
      <c r="BH5" s="80" t="str">
        <f>IF(AND('Mitred Cutting'!E11="37mm x 11mm",'Mitred Cutting'!D11="Powdercoat"),(('Job Sheet'!W11+'Job Sheet'!X11)*2),"")</f>
        <v/>
      </c>
      <c r="BI5" s="80" t="str">
        <f>IF(AND('Mitred Cutting'!E11="Invisi-Gard 37mm x 11mm",'Mitred Cutting'!D11="APO Grey"),(('Job Sheet'!W11+'Job Sheet'!X11)*2),"")</f>
        <v/>
      </c>
      <c r="BJ5" s="80" t="str">
        <f>IF(AND('Mitred Cutting'!E11="Invisi-Gard 37mm x 11mm",'Mitred Cutting'!D11="White Birch"),(('Job Sheet'!W11+'Job Sheet'!X11)*2),"")</f>
        <v/>
      </c>
      <c r="BK5" s="80" t="str">
        <f>IF(AND('Mitred Cutting'!E11="Invisi-Gard 37mm x 11mm",'Mitred Cutting'!D11="Black"),(('Job Sheet'!W11+'Job Sheet'!X11)*2),"")</f>
        <v/>
      </c>
      <c r="BL5" s="80" t="str">
        <f>IF(AND('Mitred Cutting'!E11="Invisi-Gard 37mm x 11mm",'Mitred Cutting'!D11="Brown"),(('Job Sheet'!W11+'Job Sheet'!X11)*2),"")</f>
        <v/>
      </c>
      <c r="BM5" s="80" t="str">
        <f>IF(AND('Mitred Cutting'!E11="Invisi-Gard 37mm x 11mm",'Mitred Cutting'!D11="Deep Ocean"),(('Job Sheet'!W11+'Job Sheet'!X11)*2),"")</f>
        <v/>
      </c>
      <c r="BN5" s="80" t="str">
        <f>IF(AND('Mitred Cutting'!E11="Invisi-Gard 37mm x 11mm",'Mitred Cutting'!D11="Jasper"),(('Job Sheet'!W11+'Job Sheet'!X11)*2),"")</f>
        <v/>
      </c>
      <c r="BO5" s="80" t="str">
        <f>IF(AND('Mitred Cutting'!E11="Invisi-Gard 37mm x 11mm",'Mitred Cutting'!D11="Paperbark"),(('Job Sheet'!W11+'Job Sheet'!X11)*2),"")</f>
        <v/>
      </c>
      <c r="BP5" s="80" t="str">
        <f>IF(AND('Mitred Cutting'!E11="Invisi-Gard 37mm x 11mm",'Mitred Cutting'!D11="Mist Green"),(('Job Sheet'!W11+'Job Sheet'!X11)*2),"")</f>
        <v/>
      </c>
      <c r="BQ5" s="80" t="str">
        <f>IF(AND('Mitred Cutting'!E11="Invisi-Gard 37mm x 11mm",'Mitred Cutting'!D11="Primrose"),(('Job Sheet'!W11+'Job Sheet'!X11)*2),"")</f>
        <v/>
      </c>
      <c r="BR5" s="80" t="str">
        <f>IF(AND('Mitred Cutting'!E11="Invisi-Gard 37mm x 11mm",'Mitred Cutting'!D11="Ultra Silver"),(('Job Sheet'!W11+'Job Sheet'!X11)*2),"")</f>
        <v/>
      </c>
      <c r="BS5" s="80" t="str">
        <f>IF(AND('Mitred Cutting'!E11="Invisi-Gard 37mm x 11mm",'Mitred Cutting'!D11="Woodland Grey(Green Tone)"),(('Job Sheet'!W11+'Job Sheet'!X11)*2),"")</f>
        <v/>
      </c>
      <c r="BT5" s="80" t="str">
        <f>IF(AND('Mitred Cutting'!E11="Invisi-Gard 37mm x 11mm",'Mitred Cutting'!D11="Pearl White"),(('Job Sheet'!W11+'Job Sheet'!X11)*2),"")</f>
        <v/>
      </c>
      <c r="BU5" s="80" t="str">
        <f>IF(AND('Mitred Cutting'!E11="Invisi-Gard 37mm x 11mm",'Mitred Cutting'!D11="Monument"),(('Job Sheet'!W11+'Job Sheet'!X11)*2),"")</f>
        <v/>
      </c>
      <c r="BV5" s="80" t="str">
        <f>IF(AND('Mitred Cutting'!E11="Invisi-Gard 37mm x 11mm",'Mitred Cutting'!D11="Surfmist"),(('Job Sheet'!W11+'Job Sheet'!X11)*2),"")</f>
        <v/>
      </c>
      <c r="BW5" s="80" t="str">
        <f>IF(AND('Mitred Cutting'!E11="Invisi-Gard 37mm x 11mm",'Mitred Cutting'!D11="Dune"),(('Job Sheet'!W11+'Job Sheet'!X11)*2),"")</f>
        <v/>
      </c>
      <c r="BX5" s="80"/>
      <c r="BY5" s="80" t="str">
        <f>IF(AND('Mitred Cutting'!E11="Invisi-Gard 37mm x 11mm",'Mitred Cutting'!D11="Powdercoat"),(('Job Sheet'!W11+'Job Sheet'!X11)*2),"")</f>
        <v/>
      </c>
      <c r="BZ5" s="80" t="str">
        <f>IF(AND('Mitred Cutting'!E11="Invisi-Gard 37mm x 9mm",'Mitred Cutting'!D11="APO Grey"),(('Job Sheet'!W11+'Job Sheet'!X11)*2),"")</f>
        <v/>
      </c>
      <c r="CA5" s="80" t="str">
        <f>IF(AND('Mitred Cutting'!E11="Invisi-Gard 37mm x 9mm",'Mitred Cutting'!D11="White Birch"),(('Job Sheet'!W11+'Job Sheet'!X11)*2),"")</f>
        <v/>
      </c>
      <c r="CB5" s="80" t="str">
        <f>IF(AND('Mitred Cutting'!E11="Invisi-Gard 37mm x 9mm",'Mitred Cutting'!D11="Black"),(('Job Sheet'!W11+'Job Sheet'!X11)*2),"")</f>
        <v/>
      </c>
      <c r="CC5" s="80" t="str">
        <f>IF(AND('Mitred Cutting'!E11="Invisi-Gard 37mm x 9mm",'Mitred Cutting'!D11="Brown"),(('Job Sheet'!W11+'Job Sheet'!X11)*2),"")</f>
        <v/>
      </c>
      <c r="CD5" s="80" t="str">
        <f>IF(AND('Mitred Cutting'!E11="Invisi-Gard 37mm x 9mm",'Mitred Cutting'!D11="Deep Ocean"),(('Job Sheet'!W11+'Job Sheet'!X11)*2),"")</f>
        <v/>
      </c>
      <c r="CE5" s="80" t="str">
        <f>IF(AND('Mitred Cutting'!E11="Invisi-Gard 37mm x 9mm",'Mitred Cutting'!D11="Jasper"),(('Job Sheet'!W11+'Job Sheet'!X11)*2),"")</f>
        <v/>
      </c>
      <c r="CF5" s="80" t="str">
        <f>IF(AND('Mitred Cutting'!E11="Invisi-Gard 37mm x 9mm",'Mitred Cutting'!D11="Paperbark"),(('Job Sheet'!W11+'Job Sheet'!X11)*2),"")</f>
        <v/>
      </c>
      <c r="CG5" s="80" t="str">
        <f>IF(AND('Mitred Cutting'!E11="Invisi-Gard 37mm x 9mm",'Mitred Cutting'!D11="Mist Green"),(('Job Sheet'!W11+'Job Sheet'!X11)*2),"")</f>
        <v/>
      </c>
      <c r="CH5" s="80" t="str">
        <f>IF(AND('Mitred Cutting'!E11="Invisi-Gard 37mm x 9mm",'Mitred Cutting'!D11="Primrose"),(('Job Sheet'!W11+'Job Sheet'!X11)*2),"")</f>
        <v/>
      </c>
      <c r="CI5" s="80" t="str">
        <f>IF(AND('Mitred Cutting'!E11="Invisi-Gard 37mm x 9mm",'Mitred Cutting'!D11="Ultra Silver"),(('Job Sheet'!W11+'Job Sheet'!X11)*2),"")</f>
        <v/>
      </c>
      <c r="CJ5" s="80" t="str">
        <f>IF(AND('Mitred Cutting'!E11="Invisi-Gard 37mm x 9mm",'Mitred Cutting'!D11="Woodland Grey(Green Tone)"),(('Job Sheet'!W11+'Job Sheet'!X11)*2),"")</f>
        <v/>
      </c>
      <c r="CK5" s="80" t="str">
        <f>IF(AND('Mitred Cutting'!E11="Invisi-Gard 37mm x 9mm",'Mitred Cutting'!D11="Pearl White"),(('Job Sheet'!W11+'Job Sheet'!X11)*2),"")</f>
        <v/>
      </c>
      <c r="CL5" s="80" t="str">
        <f>IF(AND('Mitred Cutting'!E11="Invisi-Gard 37mm x 9mm",'Mitred Cutting'!D11="Monument"),(('Job Sheet'!W11+'Job Sheet'!X11)*2),"")</f>
        <v/>
      </c>
      <c r="CM5" s="80" t="str">
        <f>IF(AND('Mitred Cutting'!E11="Invisi-Gard 37mm x 9mm",'Mitred Cutting'!D11="Surfmist"),(('Job Sheet'!W11+'Job Sheet'!X11)*2),"")</f>
        <v/>
      </c>
      <c r="CN5" s="80" t="str">
        <f>IF(AND('Mitred Cutting'!E11="Invisi-Gard 37mm x 9mm",'Mitred Cutting'!D11="Dune"),(('Job Sheet'!W11+'Job Sheet'!X11)*2),"")</f>
        <v/>
      </c>
      <c r="CO5" s="80"/>
      <c r="CP5" s="80" t="str">
        <f>IF(AND('Mitred Cutting'!E11="Invisi-Gard 37mm x 9mm",'Mitred Cutting'!D11="Powdercoat"),(('Job Sheet'!W11+'Job Sheet'!X11)*2),"")</f>
        <v/>
      </c>
      <c r="CQ5" s="80"/>
      <c r="CR5" s="80"/>
      <c r="CS5" s="80"/>
      <c r="CT5" s="80"/>
      <c r="CU5" s="80"/>
      <c r="CV5" s="80"/>
      <c r="CW5" s="80"/>
      <c r="CX5" s="80"/>
      <c r="CY5" s="80"/>
      <c r="CZ5" s="80"/>
      <c r="DA5" s="80"/>
      <c r="DB5" s="80"/>
      <c r="DC5" s="80"/>
      <c r="DD5" s="80"/>
      <c r="DE5" s="80"/>
      <c r="DF5" s="80"/>
      <c r="DG5" s="80"/>
      <c r="DH5" s="80"/>
      <c r="DI5" s="80"/>
      <c r="DJ5" s="80"/>
      <c r="DK5" s="80"/>
      <c r="DL5" s="80"/>
      <c r="DM5" s="80"/>
      <c r="DN5" s="80"/>
      <c r="DO5" s="80"/>
      <c r="DP5" s="80"/>
      <c r="DQ5" s="80"/>
      <c r="DR5" s="80"/>
      <c r="DS5" s="80"/>
      <c r="DT5" s="80"/>
      <c r="DU5" s="80"/>
      <c r="DV5" s="80"/>
      <c r="DW5" s="80"/>
      <c r="DX5" s="80"/>
      <c r="DY5" s="80" t="str">
        <f>IF(AND('Mitred Cutting'!E11="9mm",'Mitred Cutting'!D11="APO Grey",'Job Sheet'!P11&lt;&gt;""),(('Job Sheet'!W11+'Job Sheet'!X11)*2)+'Job Sheet'!AG11,IF(AND('Mitred Cutting'!E11="9mm",'Mitred Cutting'!D11="APO Grey"),(('Job Sheet'!W11+'Job Sheet'!X11)*2),""))</f>
        <v/>
      </c>
      <c r="DZ5" s="80" t="str">
        <f>IF(AND('Mitred Cutting'!E11="9mm",'Mitred Cutting'!D11="White Birch",'Job Sheet'!P11&lt;&gt;""),(('Job Sheet'!W11+'Job Sheet'!X11)*2)+'Job Sheet'!AG11,IF(AND('Mitred Cutting'!E11="9mm",'Mitred Cutting'!D11="White Birch"),(('Job Sheet'!W11+'Job Sheet'!X11)*2),""))</f>
        <v/>
      </c>
      <c r="EA5" s="80" t="str">
        <f>IF(AND('Mitred Cutting'!E11="9mm",'Mitred Cutting'!D11="Black",'Job Sheet'!P11&lt;&gt;""),(('Job Sheet'!W11+'Job Sheet'!X11)*2)+'Job Sheet'!AG11,IF(AND('Mitred Cutting'!E11="9mm",'Mitred Cutting'!D11="Black"),(('Job Sheet'!W11+'Job Sheet'!X11)*2),""))</f>
        <v/>
      </c>
      <c r="EB5" s="80" t="str">
        <f>IF(AND('Mitred Cutting'!E11="9mm",'Mitred Cutting'!D11="Brown",'Job Sheet'!P11&lt;&gt;""),(('Job Sheet'!W11+'Job Sheet'!X11)*2)+'Job Sheet'!AG11,IF(AND('Mitred Cutting'!E11="9mm",'Mitred Cutting'!D11="Brown"),(('Job Sheet'!W11+'Job Sheet'!X11)*2),""))</f>
        <v/>
      </c>
      <c r="EC5" s="80" t="str">
        <f>IF(AND('Mitred Cutting'!E11="9mm",'Mitred Cutting'!D11="Deep Ocean",'Job Sheet'!P11&lt;&gt;""),(('Job Sheet'!W11+'Job Sheet'!X11)*2)+'Job Sheet'!AG11,IF(AND('Mitred Cutting'!E11="9mm",'Mitred Cutting'!D11="Deep Ocean"),(('Job Sheet'!W11+'Job Sheet'!X11)*2),""))</f>
        <v/>
      </c>
      <c r="ED5" s="80" t="str">
        <f>IF(AND('Mitred Cutting'!E11="9mm",'Mitred Cutting'!D11="Jasper",'Job Sheet'!P11&lt;&gt;""),(('Job Sheet'!W11+'Job Sheet'!X11)*2)+'Job Sheet'!AG11,IF(AND('Mitred Cutting'!E11="9mm",'Mitred Cutting'!D11="Jasper"),(('Job Sheet'!W11+'Job Sheet'!X11)*2),""))</f>
        <v/>
      </c>
      <c r="EE5" s="80" t="str">
        <f>IF(AND('Mitred Cutting'!E11="9mm",'Mitred Cutting'!D11="Paperbark",'Job Sheet'!P11&lt;&gt;""),(('Job Sheet'!W11+'Job Sheet'!X11)*2)+'Job Sheet'!AG11,IF(AND('Mitred Cutting'!E11="9mm",'Mitred Cutting'!D11="Paperbark"),(('Job Sheet'!W11+'Job Sheet'!X11)*2),""))</f>
        <v/>
      </c>
      <c r="EF5" s="80" t="str">
        <f>IF(AND('Mitred Cutting'!E11="9mm",'Mitred Cutting'!D11="Pale Eucalypt",'Job Sheet'!P11&lt;&gt;""),(('Job Sheet'!W11+'Job Sheet'!X11)*2)+'Job Sheet'!AG11,IF(AND('Mitred Cutting'!E11="9mm",'Mitred Cutting'!D11="Mist Green"),(('Job Sheet'!W11+'Job Sheet'!X11)*2),""))</f>
        <v/>
      </c>
      <c r="EG5" s="80" t="str">
        <f>IF(AND('Mitred Cutting'!E11="9mm",'Mitred Cutting'!D11="Primrose",'Job Sheet'!P11&lt;&gt;""),(('Job Sheet'!W11+'Job Sheet'!X11)*2)+'Job Sheet'!AG11,IF(AND('Mitred Cutting'!E11="9mm",'Mitred Cutting'!D11="Primrose"),(('Job Sheet'!W11+'Job Sheet'!X11)*2),""))</f>
        <v/>
      </c>
      <c r="EH5" s="80" t="str">
        <f>IF(AND('Mitred Cutting'!E11="9mm",'Mitred Cutting'!D11="Ultra Silver",'Job Sheet'!P11&lt;&gt;""),(('Job Sheet'!W11+'Job Sheet'!X11)*2)+'Job Sheet'!AG11,IF(AND('Mitred Cutting'!E11="9mm",'Mitred Cutting'!D11="Ultra Silver"),(('Job Sheet'!W11+'Job Sheet'!X11)*2),""))</f>
        <v/>
      </c>
      <c r="EI5" s="80" t="str">
        <f>IF(AND('Mitred Cutting'!E11="9mm",'Mitred Cutting'!D11="Woodland Grey(Green Tone)",'Job Sheet'!P11&lt;&gt;""),(('Job Sheet'!W11+'Job Sheet'!X11)*2)+'Job Sheet'!AG11,IF(AND('Mitred Cutting'!E11="9mm",'Mitred Cutting'!D11="Woodland Grey(Green Tone)"),(('Job Sheet'!W11+'Job Sheet'!X11)*2),""))</f>
        <v/>
      </c>
      <c r="EJ5" s="80" t="str">
        <f>IF(AND('Mitred Cutting'!E11="9mm",'Mitred Cutting'!D11="Pearl White",'Job Sheet'!P11&lt;&gt;""),(('Job Sheet'!W11+'Job Sheet'!X11)*2)+'Job Sheet'!AG11,IF(AND('Mitred Cutting'!E11="9mm",'Mitred Cutting'!D11="Pearl White"),(('Job Sheet'!W11+'Job Sheet'!X11)*2),""))</f>
        <v/>
      </c>
      <c r="EK5" s="80" t="str">
        <f>IF(AND('Mitred Cutting'!E11="9mm",'Mitred Cutting'!D11="Monument",'Job Sheet'!P11&lt;&gt;""),(('Job Sheet'!W11+'Job Sheet'!X11)*2)+'Job Sheet'!AG11,IF(AND('Mitred Cutting'!E11="9mm",'Mitred Cutting'!D11="Monument"),(('Job Sheet'!W11+'Job Sheet'!X11)*2),""))</f>
        <v/>
      </c>
      <c r="EL5" s="80" t="str">
        <f>IF(AND('Mitred Cutting'!E11="9mm",'Mitred Cutting'!D11="Surfmist",'Job Sheet'!P11&lt;&gt;""),(('Job Sheet'!W11+'Job Sheet'!X11)*2)+'Job Sheet'!AG11,IF(AND('Mitred Cutting'!E11="9mm",'Mitred Cutting'!D11="Surfmist"),(('Job Sheet'!W11+'Job Sheet'!X11)*2),""))</f>
        <v/>
      </c>
      <c r="EM5" s="80" t="str">
        <f>IF(AND('Mitred Cutting'!E11="9mm",'Mitred Cutting'!D11="Dune",'Job Sheet'!P11&lt;&gt;""),(('Job Sheet'!W11+'Job Sheet'!X11)*2)+'Job Sheet'!AG11,IF(AND('Mitred Cutting'!E11="9mm",'Mitred Cutting'!D11="Dune"),(('Job Sheet'!W11+'Job Sheet'!X11)*2),""))</f>
        <v/>
      </c>
      <c r="EN5" s="80" t="str">
        <f>IF(AND('Mitred Cutting'!E11="9mm",'Mitred Cutting'!D11="Powdercoat",'Job Sheet'!P11&lt;&gt;""),(('Job Sheet'!W11+'Job Sheet'!X11)*2)+'Job Sheet'!AG11,IF(AND('Mitred Cutting'!E11="9mm",'Mitred Cutting'!D11="Powdercoat"),(('Job Sheet'!W11+'Job Sheet'!X11)*2),""))</f>
        <v/>
      </c>
      <c r="EO5" s="80" t="str">
        <f>IF(AND('Mitred Cutting'!E11="11mm",'Mitred Cutting'!D11="APO Grey",'Job Sheet'!P11&lt;&gt;""),(('Job Sheet'!W11+'Job Sheet'!X11)*2)+'Job Sheet'!AG11,IF(AND('Mitred Cutting'!E11="11mm",'Mitred Cutting'!D11="APO Grey"),(('Job Sheet'!W11+'Job Sheet'!X11)*2),""))</f>
        <v/>
      </c>
      <c r="EP5" s="80" t="str">
        <f>IF(AND('Mitred Cutting'!E11="11mm",'Mitred Cutting'!D11="White Birch",'Job Sheet'!P11&lt;&gt;""),(('Job Sheet'!W11+'Job Sheet'!X11)*2)+'Job Sheet'!AG11,IF(AND('Mitred Cutting'!E11="11mm",'Mitred Cutting'!D11="White Birch"),(('Job Sheet'!W11+'Job Sheet'!X11)*2),""))</f>
        <v/>
      </c>
      <c r="EQ5" s="84" t="str">
        <f>IF(AND('Mitred Cutting'!E11="11mm",'Mitred Cutting'!D11="Black",'Job Sheet'!P11&lt;&gt;""),(('Job Sheet'!W11+'Job Sheet'!X11)*2)+'Job Sheet'!AG11,IF(AND('Mitred Cutting'!E11="11mm",'Mitred Cutting'!D11="Black"),(('Job Sheet'!W11+'Job Sheet'!X11)*2),""))</f>
        <v/>
      </c>
      <c r="ER5" s="80" t="str">
        <f>IF(AND('Mitred Cutting'!E11="11mm",'Mitred Cutting'!D11="Brown",'Job Sheet'!P11&lt;&gt;""),(('Job Sheet'!W11+'Job Sheet'!X11)*2)+'Job Sheet'!AG11,IF(AND('Mitred Cutting'!E11="11mm",'Mitred Cutting'!D11="Brown"),(('Job Sheet'!W11+'Job Sheet'!X11)*2),""))</f>
        <v/>
      </c>
      <c r="ES5" s="80" t="str">
        <f>IF(AND('Mitred Cutting'!E11="11mm",'Mitred Cutting'!D11="Deep Ocean",'Job Sheet'!P11&lt;&gt;""),(('Job Sheet'!W11+'Job Sheet'!X11)*2)+'Job Sheet'!AG11,IF(AND('Mitred Cutting'!E11="11mm",'Mitred Cutting'!D11="Deep Ocean"),(('Job Sheet'!W11+'Job Sheet'!X11)*2),""))</f>
        <v/>
      </c>
      <c r="ET5" s="80" t="str">
        <f>IF(AND('Mitred Cutting'!E11="11mm",'Mitred Cutting'!D11="Jasper",'Job Sheet'!P11&lt;&gt;""),(('Job Sheet'!W11+'Job Sheet'!X11)*2)+'Job Sheet'!AG11,IF(AND('Mitred Cutting'!E11="11mm",'Mitred Cutting'!D11="Jasper"),(('Job Sheet'!W11+'Job Sheet'!X11)*2),""))</f>
        <v/>
      </c>
      <c r="EU5" s="80" t="str">
        <f>IF(AND('Mitred Cutting'!E11="11mm",'Mitred Cutting'!D11="Paperbark",'Job Sheet'!P11&lt;&gt;""),(('Job Sheet'!W11+'Job Sheet'!X11)*2)+'Job Sheet'!AG11,IF(AND('Mitred Cutting'!E11="11mm",'Mitred Cutting'!D11="Paperbark"),(('Job Sheet'!W11+'Job Sheet'!X11)*2),""))</f>
        <v/>
      </c>
      <c r="EV5" s="80" t="str">
        <f>IF(AND('Mitred Cutting'!E11="11mm",'Mitred Cutting'!D11="Pale Eucalypt",'Job Sheet'!P11&lt;&gt;""),(('Job Sheet'!W11+'Job Sheet'!X11)*2)+'Job Sheet'!AG11,IF(AND('Mitred Cutting'!E11="11mm",'Mitred Cutting'!D11="Pale Eucalypt"),(('Job Sheet'!W11+'Job Sheet'!X11)*2),""))</f>
        <v/>
      </c>
      <c r="EW5" s="80" t="str">
        <f>IF(AND('Mitred Cutting'!E11="11mm",'Mitred Cutting'!D11="Primrose",'Job Sheet'!P11&lt;&gt;""),(('Job Sheet'!W11+'Job Sheet'!X11)*2)+'Job Sheet'!AG11,IF(AND('Mitred Cutting'!E11="11mm",'Mitred Cutting'!D11="Primrose"),(('Job Sheet'!W11+'Job Sheet'!X11)*2),""))</f>
        <v/>
      </c>
      <c r="EX5" s="80" t="str">
        <f>IF(AND('Mitred Cutting'!E11="11mm",'Mitred Cutting'!D11="Ultra Silver",'Job Sheet'!P11&lt;&gt;""),(('Job Sheet'!W11+'Job Sheet'!X11)*2)+'Job Sheet'!AG11,IF(AND('Mitred Cutting'!E11="11mm",'Mitred Cutting'!D11="Ultra Silver"),(('Job Sheet'!W11+'Job Sheet'!X11)*2),""))</f>
        <v/>
      </c>
      <c r="EY5" s="80" t="str">
        <f>IF(AND('Mitred Cutting'!E11="11mm",'Mitred Cutting'!D11="Woodland Grey(Green Tone)",'Job Sheet'!P11&lt;&gt;""),(('Job Sheet'!W11+'Job Sheet'!X11)*2)+'Job Sheet'!AG11,IF(AND('Mitred Cutting'!E11="11mm",'Mitred Cutting'!D11="Woodland Grey(Green Tone)"),(('Job Sheet'!W11+'Job Sheet'!X11)*2),""))</f>
        <v/>
      </c>
      <c r="EZ5" s="80" t="str">
        <f>IF(AND('Mitred Cutting'!E11="11mm",'Mitred Cutting'!D11="Pearl White",'Job Sheet'!P11&lt;&gt;""),(('Job Sheet'!W11+'Job Sheet'!X11)*2)+'Job Sheet'!AG11,IF(AND('Mitred Cutting'!E11="11mm",'Mitred Cutting'!D11="Pearl White"),(('Job Sheet'!W11+'Job Sheet'!X11)*2),""))</f>
        <v/>
      </c>
      <c r="FA5" s="80" t="str">
        <f>IF(AND('Mitred Cutting'!E11="11mm",'Mitred Cutting'!D11="Monument",'Job Sheet'!P11&lt;&gt;""),(('Job Sheet'!W11+'Job Sheet'!X11)*2)+'Job Sheet'!AG11,IF(AND('Mitred Cutting'!E11="11mm",'Mitred Cutting'!D11="Monument"),(('Job Sheet'!W11+'Job Sheet'!X11)*2),""))</f>
        <v/>
      </c>
      <c r="FB5" s="80" t="str">
        <f>IF(AND('Mitred Cutting'!E11="11mm",'Mitred Cutting'!D11="Surfmist",'Job Sheet'!P11&lt;&gt;""),(('Job Sheet'!W11+'Job Sheet'!X11)*2)+'Job Sheet'!AG11,IF(AND('Mitred Cutting'!E11="11mm",'Mitred Cutting'!D11="Surfmist"),(('Job Sheet'!W11+'Job Sheet'!X11)*2),""))</f>
        <v/>
      </c>
      <c r="FC5" s="80" t="str">
        <f>IF(AND('Mitred Cutting'!E11="11mm",'Mitred Cutting'!D11="Dune",'Job Sheet'!P11&lt;&gt;""),(('Job Sheet'!W11+'Job Sheet'!X11)*2)+'Job Sheet'!AG11,IF(AND('Mitred Cutting'!E11="11mm",'Mitred Cutting'!D11="Dune"),(('Job Sheet'!W11+'Job Sheet'!X11)*2),""))</f>
        <v/>
      </c>
      <c r="FD5" s="80" t="str">
        <f>IF(AND('Mitred Cutting'!E11="11mm",'Mitred Cutting'!D11="Powdercoat",'Job Sheet'!P11&lt;&gt;""),(('Job Sheet'!W11+'Job Sheet'!X11)*2)+'Job Sheet'!AG11,IF(AND('Mitred Cutting'!E11="11mm",'Mitred Cutting'!D11="Powdercoat"),(('Job Sheet'!W11+'Job Sheet'!X11)*2),""))</f>
        <v/>
      </c>
      <c r="FE5" s="80"/>
      <c r="FF5" s="80"/>
      <c r="FG5" s="80"/>
      <c r="FH5" s="80"/>
      <c r="FI5" s="80"/>
      <c r="FJ5" s="80"/>
      <c r="FK5" s="80"/>
      <c r="FL5" s="80"/>
      <c r="FM5" s="80"/>
      <c r="FN5" s="80"/>
      <c r="FO5" s="80"/>
      <c r="FP5" s="80"/>
      <c r="FQ5" s="80"/>
      <c r="FR5" s="80"/>
      <c r="FS5" s="80"/>
      <c r="FT5" s="80"/>
      <c r="FU5" s="80"/>
      <c r="FV5" s="80"/>
      <c r="FW5" s="80"/>
      <c r="FX5" s="80"/>
      <c r="FY5" s="80"/>
      <c r="FZ5" s="80"/>
      <c r="GA5" s="80"/>
      <c r="GB5" s="80"/>
      <c r="GC5" s="80"/>
      <c r="GD5" s="80"/>
      <c r="GE5" s="80"/>
      <c r="GF5" s="80"/>
      <c r="GG5" s="80"/>
      <c r="GH5" s="80"/>
      <c r="GI5" s="80"/>
      <c r="GJ5" s="80"/>
      <c r="GK5" s="80"/>
      <c r="GL5" s="80"/>
      <c r="GM5" s="80"/>
      <c r="GN5" s="80"/>
      <c r="GO5" s="80"/>
      <c r="GP5" s="80"/>
      <c r="GQ5" s="80"/>
      <c r="GR5" s="80"/>
      <c r="GS5" s="80"/>
      <c r="GT5" s="80"/>
      <c r="GU5" s="80"/>
      <c r="GV5" s="80"/>
      <c r="GW5" s="80"/>
      <c r="GX5" s="80"/>
      <c r="GY5" s="80"/>
      <c r="GZ5" s="80"/>
      <c r="HA5" s="80"/>
      <c r="HB5" s="80"/>
      <c r="HC5" s="80"/>
      <c r="HD5" s="80"/>
      <c r="HE5" s="80"/>
      <c r="HF5" s="80"/>
      <c r="HG5" s="80"/>
      <c r="HH5" s="80"/>
      <c r="HI5" s="80"/>
      <c r="HJ5" s="80"/>
      <c r="HK5" s="80"/>
      <c r="HL5" s="80"/>
      <c r="HM5" s="80"/>
      <c r="HN5" s="80"/>
      <c r="HO5" s="80"/>
      <c r="HP5" s="80"/>
      <c r="HQ5" s="80"/>
      <c r="HR5" s="80"/>
      <c r="HS5" s="80"/>
      <c r="HT5" s="80"/>
      <c r="HU5" s="80"/>
      <c r="HV5" s="80"/>
      <c r="HW5" s="80"/>
      <c r="HX5" s="80"/>
      <c r="HY5" s="80"/>
      <c r="HZ5" s="80"/>
      <c r="IA5" s="80"/>
      <c r="IB5" s="80"/>
      <c r="IC5" s="80"/>
      <c r="ID5" s="80"/>
      <c r="IE5" s="80"/>
      <c r="IF5" s="80"/>
      <c r="IG5" s="80"/>
      <c r="IH5" s="80"/>
      <c r="II5" s="80"/>
      <c r="IJ5" s="80"/>
      <c r="IK5" s="80"/>
      <c r="IL5" s="80"/>
      <c r="IM5" s="80"/>
      <c r="IN5" s="80"/>
      <c r="IO5" s="80"/>
      <c r="IP5" s="80"/>
      <c r="IQ5" s="80"/>
      <c r="IR5" s="80"/>
      <c r="IS5" s="80"/>
      <c r="IT5" s="80"/>
      <c r="IU5" s="80"/>
      <c r="IV5" s="80"/>
      <c r="IW5" s="80"/>
      <c r="IX5" s="80"/>
      <c r="IY5" s="80"/>
      <c r="IZ5" s="80"/>
      <c r="JA5" s="80"/>
      <c r="JB5" s="80"/>
      <c r="JC5" s="80"/>
      <c r="JD5" s="80"/>
      <c r="JE5" s="80"/>
      <c r="JF5" s="80"/>
      <c r="JG5" s="80"/>
      <c r="JH5" s="80"/>
      <c r="JI5" s="80"/>
      <c r="JJ5" s="80"/>
      <c r="JK5" s="80"/>
      <c r="JL5" s="80"/>
      <c r="JM5" s="80"/>
      <c r="JN5" s="80"/>
      <c r="JO5" s="80"/>
      <c r="JP5" s="80"/>
      <c r="JQ5" s="80"/>
      <c r="JR5" s="80"/>
      <c r="JS5" s="80"/>
      <c r="JT5" s="80"/>
      <c r="JU5" s="80"/>
      <c r="JV5" s="80"/>
      <c r="JW5" s="80"/>
      <c r="JX5" s="80"/>
      <c r="JY5" s="80"/>
      <c r="JZ5" s="80"/>
      <c r="KA5" s="80"/>
      <c r="KB5" s="80"/>
      <c r="KC5" s="80"/>
      <c r="KD5" s="80"/>
      <c r="KE5" s="80"/>
      <c r="KF5" s="80"/>
      <c r="KG5" s="80"/>
      <c r="KH5" s="80"/>
      <c r="KI5" s="80"/>
      <c r="KJ5" s="80"/>
      <c r="KK5" s="80"/>
      <c r="KL5" s="80"/>
      <c r="KM5" s="80"/>
      <c r="KN5" s="80"/>
      <c r="KO5" s="80"/>
      <c r="KP5" s="80"/>
      <c r="KQ5" s="80"/>
      <c r="KR5" s="80"/>
      <c r="KS5" s="80"/>
      <c r="KT5" s="80"/>
      <c r="KU5" s="80"/>
      <c r="KV5" s="80"/>
      <c r="KW5" s="80"/>
      <c r="KX5" s="80"/>
      <c r="KY5" s="80"/>
      <c r="KZ5" s="80"/>
      <c r="LA5" s="80"/>
      <c r="LB5" s="80"/>
      <c r="LC5" s="80"/>
      <c r="LD5" s="80"/>
      <c r="LE5" s="80"/>
      <c r="LF5" s="80"/>
      <c r="LG5" s="80"/>
      <c r="LH5" s="80"/>
      <c r="LI5" s="80"/>
      <c r="LJ5" s="80"/>
      <c r="LK5" s="80"/>
      <c r="LL5" s="80"/>
      <c r="LM5" s="80"/>
      <c r="LN5" s="80"/>
      <c r="LO5" s="80"/>
      <c r="LP5" s="80"/>
      <c r="LQ5" s="80"/>
      <c r="LR5" s="80"/>
      <c r="LS5" s="80"/>
      <c r="LT5" s="80"/>
      <c r="LU5" s="80"/>
      <c r="LV5" s="80"/>
      <c r="LW5" s="80"/>
      <c r="LX5" s="80"/>
      <c r="LY5" s="80"/>
      <c r="LZ5" s="80"/>
      <c r="MA5" s="80"/>
      <c r="MB5" s="80"/>
      <c r="MC5" s="80"/>
      <c r="MD5" s="80"/>
      <c r="ME5" s="80"/>
      <c r="MF5" s="80"/>
      <c r="MG5" s="80"/>
      <c r="MH5" s="80"/>
      <c r="MI5" s="80"/>
      <c r="MJ5" s="80"/>
      <c r="MK5" s="81"/>
      <c r="ML5" s="81"/>
      <c r="MM5" s="81"/>
      <c r="MN5" s="81"/>
      <c r="MO5" s="81"/>
      <c r="MP5" s="81"/>
      <c r="MQ5" s="81"/>
      <c r="MR5" s="80" t="str">
        <f>IF(AND('Straight Cutting'!D11="Standard",'Straight Cutting'!E11="APO Grey",'Straight Cutting'!F11&lt;&gt;"",'Straight Cutting'!G11=""),'Straight Cutting'!F11,IF(AND('Straight Cutting'!D11="Standard",'Straight Cutting'!E11="APO Grey",'Straight Cutting'!F11="",'Straight Cutting'!G11&lt;&gt;""),'Straight Cutting'!G11,IF(AND('Straight Cutting'!D11="Standard",'Straight Cutting'!E11="APO Grey",'Straight Cutting'!F11&lt;&gt;"",'Straight Cutting'!G11&lt;&gt;""),'Straight Cutting'!F11+'Job Sheet'!AH11,"")))</f>
        <v/>
      </c>
      <c r="MS5" s="80" t="str">
        <f>IF(AND('Straight Cutting'!D11="Standard",'Straight Cutting'!E11="White Birch",'Straight Cutting'!F11&lt;&gt;"",'Straight Cutting'!G11=""),'Straight Cutting'!F11,IF(AND('Straight Cutting'!D11="Standard",'Straight Cutting'!E11="White Birch",'Straight Cutting'!F11="",'Straight Cutting'!G11&lt;&gt;""),'Straight Cutting'!G11,IF(AND('Straight Cutting'!D11="Standard",'Straight Cutting'!E11="White Birch",'Straight Cutting'!F11&lt;&gt;"",'Straight Cutting'!G11&lt;&gt;""),'Straight Cutting'!F11+'Job Sheet'!AH11,"")))</f>
        <v/>
      </c>
      <c r="MT5" s="80" t="str">
        <f>IF(AND('Straight Cutting'!D11="Standard",'Straight Cutting'!E11="Black",'Straight Cutting'!F11&lt;&gt;"",'Straight Cutting'!G11=""),'Straight Cutting'!F11,IF(AND('Straight Cutting'!D11="Standard",'Straight Cutting'!E11="Black",'Straight Cutting'!F11="",'Straight Cutting'!G11&lt;&gt;""),'Straight Cutting'!G11,IF(AND('Straight Cutting'!D11="Standard",'Straight Cutting'!E11="Black",'Straight Cutting'!F11&lt;&gt;"",'Straight Cutting'!G11&lt;&gt;""),'Straight Cutting'!F11+'Job Sheet'!AH11,"")))</f>
        <v/>
      </c>
      <c r="MU5" s="80" t="str">
        <f>IF(AND('Straight Cutting'!D11="Standard",'Straight Cutting'!E11="Brown",'Straight Cutting'!F11&lt;&gt;"",'Straight Cutting'!G11=""),'Straight Cutting'!F11,IF(AND('Straight Cutting'!D11="Standard",'Straight Cutting'!E11="Brown",'Straight Cutting'!F11="",'Straight Cutting'!G11&lt;&gt;""),'Straight Cutting'!G11,IF(AND('Straight Cutting'!D11="Standard",'Straight Cutting'!E11="Brown",'Straight Cutting'!F11&lt;&gt;"",'Straight Cutting'!G11&lt;&gt;""),'Straight Cutting'!F11+'Job Sheet'!AH11,"")))</f>
        <v/>
      </c>
      <c r="MV5" s="80" t="str">
        <f>IF(AND('Straight Cutting'!D11="Standard",'Straight Cutting'!E11="Deep Ocean",'Straight Cutting'!F11&lt;&gt;"",'Straight Cutting'!G11=""),'Straight Cutting'!F11,IF(AND('Straight Cutting'!D11="Standard",'Straight Cutting'!E11="Deep Ocean",'Straight Cutting'!F11="",'Straight Cutting'!G11&lt;&gt;""),'Straight Cutting'!G11,IF(AND('Straight Cutting'!D11="Standard",'Straight Cutting'!E11="Deep Ocean",'Straight Cutting'!F11&lt;&gt;"",'Straight Cutting'!G11&lt;&gt;""),'Straight Cutting'!F11+'Job Sheet'!AH11,"")))</f>
        <v/>
      </c>
      <c r="MW5" s="80" t="str">
        <f>IF(AND('Straight Cutting'!D11="Standard",'Straight Cutting'!E11="Jasper",'Straight Cutting'!F11&lt;&gt;"",'Straight Cutting'!G11=""),'Straight Cutting'!F11,IF(AND('Straight Cutting'!D11="Standard",'Straight Cutting'!E11="Jasper",'Straight Cutting'!F11="",'Straight Cutting'!G11&lt;&gt;""),'Straight Cutting'!G11,IF(AND('Straight Cutting'!D11="Standard",'Straight Cutting'!E11="Jasper",'Straight Cutting'!F11&lt;&gt;"",'Straight Cutting'!G11&lt;&gt;""),'Straight Cutting'!F11+'Job Sheet'!AH11,"")))</f>
        <v/>
      </c>
      <c r="MX5" s="80" t="str">
        <f>IF(AND('Straight Cutting'!D11="Standard",'Straight Cutting'!E11="Paperbark",'Straight Cutting'!F11&lt;&gt;"",'Straight Cutting'!G11=""),'Straight Cutting'!F11,IF(AND('Straight Cutting'!D11="Standard",'Straight Cutting'!E11="Paperbark",'Straight Cutting'!F11="",'Straight Cutting'!G11&lt;&gt;""),'Straight Cutting'!G11,IF(AND('Straight Cutting'!D11="Standard",'Straight Cutting'!E11="Paperbark",'Straight Cutting'!F11&lt;&gt;"",'Straight Cutting'!G11&lt;&gt;""),'Straight Cutting'!F11+'Job Sheet'!AH11,"")))</f>
        <v/>
      </c>
      <c r="MY5" s="80" t="str">
        <f>IF(AND('Straight Cutting'!D11="Standard",'Straight Cutting'!E11="Mist Green",'Straight Cutting'!F11&lt;&gt;"",'Straight Cutting'!G11=""),'Straight Cutting'!F11,IF(AND('Straight Cutting'!D11="Standard",'Straight Cutting'!E11="Mist Green",'Straight Cutting'!F11="",'Straight Cutting'!G11&lt;&gt;""),'Straight Cutting'!G11,IF(AND('Straight Cutting'!D11="Standard",'Straight Cutting'!E11="Mist Green",'Straight Cutting'!F11&lt;&gt;"",'Straight Cutting'!G11&lt;&gt;""),'Straight Cutting'!F11+'Job Sheet'!AH11,"")))</f>
        <v/>
      </c>
      <c r="MZ5" s="80" t="str">
        <f>IF(AND('Straight Cutting'!D11="Standard",'Straight Cutting'!E11="Primrose",'Straight Cutting'!F11&lt;&gt;"",'Straight Cutting'!G11=""),'Straight Cutting'!F11,IF(AND('Straight Cutting'!D11="Standard",'Straight Cutting'!E11="Primrose",'Straight Cutting'!F11="",'Straight Cutting'!G11&lt;&gt;""),'Straight Cutting'!G11,IF(AND('Straight Cutting'!D11="Standard",'Straight Cutting'!E11="Primrose",'Straight Cutting'!F11&lt;&gt;"",'Straight Cutting'!G11&lt;&gt;""),'Straight Cutting'!F11+'Job Sheet'!AH11,"")))</f>
        <v/>
      </c>
      <c r="NA5" s="80" t="str">
        <f>IF(AND('Straight Cutting'!D11="Standard",'Straight Cutting'!E11="Ultra Silver",'Straight Cutting'!F11&lt;&gt;"",'Straight Cutting'!G11=""),'Straight Cutting'!F11,IF(AND('Straight Cutting'!D11="Standard",'Straight Cutting'!E11="Ultra Silver",'Straight Cutting'!F11="",'Straight Cutting'!G11&lt;&gt;""),'Straight Cutting'!G11,IF(AND('Straight Cutting'!D11="Standard",'Straight Cutting'!E11="Ultra Silver",'Straight Cutting'!F11&lt;&gt;"",'Straight Cutting'!G11&lt;&gt;""),'Straight Cutting'!F11+'Job Sheet'!AH11,"")))</f>
        <v/>
      </c>
      <c r="NB5" s="80" t="str">
        <f>IF(AND('Straight Cutting'!D11="Standard",'Straight Cutting'!E11="Woodland Grey(Green Tone)",'Straight Cutting'!F11&lt;&gt;"",'Straight Cutting'!G11=""),'Straight Cutting'!F11,IF(AND('Straight Cutting'!D11="Standard",'Straight Cutting'!E11="Woodland Grey(Green Tone)",'Straight Cutting'!F11="",'Straight Cutting'!G11&lt;&gt;""),'Straight Cutting'!G11,IF(AND('Straight Cutting'!D11="Standard",'Straight Cutting'!E11="Woodland Grey(Green Tone)",'Straight Cutting'!F11&lt;&gt;"",'Straight Cutting'!G11&lt;&gt;""),'Straight Cutting'!F11+'Job Sheet'!AH11,"")))</f>
        <v/>
      </c>
      <c r="NC5" s="80" t="str">
        <f>IF(AND('Straight Cutting'!D11="Standard",'Straight Cutting'!E11="Pearl White",'Straight Cutting'!F11&lt;&gt;"",'Straight Cutting'!G11=""),'Straight Cutting'!F11,IF(AND('Straight Cutting'!D11="Standard",'Straight Cutting'!E11="Pearl White",'Straight Cutting'!F11="",'Straight Cutting'!G11&lt;&gt;""),'Straight Cutting'!G11,IF(AND('Straight Cutting'!D11="Standard",'Straight Cutting'!E11="Pearl White",'Straight Cutting'!F11&lt;&gt;"",'Straight Cutting'!G11&lt;&gt;""),'Straight Cutting'!F11+'Job Sheet'!AH11,"")))</f>
        <v/>
      </c>
      <c r="ND5" s="80" t="str">
        <f>IF(AND('Straight Cutting'!D11="Standard",'Straight Cutting'!E11="Monument",'Straight Cutting'!F11&lt;&gt;"",'Straight Cutting'!G11=""),'Straight Cutting'!F11,IF(AND('Straight Cutting'!D11="Standard",'Straight Cutting'!E11="Monument",'Straight Cutting'!F11="",'Straight Cutting'!G11&lt;&gt;""),'Straight Cutting'!G11,IF(AND('Straight Cutting'!D11="Standard",'Straight Cutting'!E11="Monument",'Straight Cutting'!F11&lt;&gt;"",'Straight Cutting'!G11&lt;&gt;""),'Straight Cutting'!F11+'Job Sheet'!AH11,"")))</f>
        <v/>
      </c>
      <c r="NE5" s="80" t="str">
        <f>IF(AND('Straight Cutting'!D11="Standard",'Straight Cutting'!E11="Surfmist",'Straight Cutting'!F11&lt;&gt;"",'Straight Cutting'!G11=""),'Straight Cutting'!F11,IF(AND('Straight Cutting'!D11="Standard",'Straight Cutting'!E11="Surfmist",'Straight Cutting'!F11="",'Straight Cutting'!G11&lt;&gt;""),'Straight Cutting'!G11,IF(AND('Straight Cutting'!D11="Standard",'Straight Cutting'!E11="Surfmist",'Straight Cutting'!F11&lt;&gt;"",'Straight Cutting'!G11&lt;&gt;""),'Straight Cutting'!F11+'Job Sheet'!AH11,"")))</f>
        <v/>
      </c>
      <c r="NF5" s="80" t="str">
        <f>IF(AND('Straight Cutting'!D11="Standard",'Straight Cutting'!E11="Dune",'Straight Cutting'!F11&lt;&gt;"",'Straight Cutting'!G11=""),'Straight Cutting'!F11,IF(AND('Straight Cutting'!D11="Standard",'Straight Cutting'!E11="Dune",'Straight Cutting'!F11="",'Straight Cutting'!G11&lt;&gt;""),'Straight Cutting'!G11,IF(AND('Straight Cutting'!D11="Standard",'Straight Cutting'!E11="Dune",'Straight Cutting'!F11&lt;&gt;"",'Straight Cutting'!G11&lt;&gt;""),'Straight Cutting'!F11+'Job Sheet'!AH11,"")))</f>
        <v/>
      </c>
      <c r="NG5" s="80" t="str">
        <f>IF(AND('Straight Cutting'!D11="Standard",'Straight Cutting'!E11="Powdercoat",'Straight Cutting'!F11&lt;&gt;"",'Straight Cutting'!G11=""),'Straight Cutting'!F11,IF(AND('Straight Cutting'!D11="Standard",'Straight Cutting'!E11="Powdercoat",'Straight Cutting'!F11="",'Straight Cutting'!G11&lt;&gt;""),'Straight Cutting'!G11,IF(AND('Straight Cutting'!D11="Standard",'Straight Cutting'!E11="Powdercoat",'Straight Cutting'!F11&lt;&gt;"",'Straight Cutting'!G11&lt;&gt;""),'Straight Cutting'!F11+'Job Sheet'!AH11,"")))</f>
        <v/>
      </c>
      <c r="NH5" s="80" t="str">
        <f>IF(AND('Straight Cutting'!D11="Invisi-Gard",'Straight Cutting'!E11="APO Grey",'Straight Cutting'!F11&lt;&gt;"",'Straight Cutting'!G11=""),'Straight Cutting'!F11,IF(AND('Straight Cutting'!D11="Invisi-Gard",'Straight Cutting'!E11="APO Grey",'Straight Cutting'!F11="",'Straight Cutting'!G11&lt;&gt;""),'Straight Cutting'!G11,IF(AND('Straight Cutting'!D11="Invisi-Gard",'Straight Cutting'!E11="APO Grey",'Straight Cutting'!F11&lt;&gt;"",'Straight Cutting'!G11&lt;&gt;""),'Straight Cutting'!F11+'Job Sheet'!AH11,"")))</f>
        <v/>
      </c>
      <c r="NI5" s="80" t="str">
        <f>IF(AND('Straight Cutting'!D11="Invisi-Gard",'Straight Cutting'!E11="White Birch",'Straight Cutting'!F11&lt;&gt;"",'Straight Cutting'!G11=""),'Straight Cutting'!F11,IF(AND('Straight Cutting'!D11="Invisi-Gard",'Straight Cutting'!E11="White Birch",'Straight Cutting'!F11="",'Straight Cutting'!G11&lt;&gt;""),'Straight Cutting'!G11,IF(AND('Straight Cutting'!D11="Invisi-Gard",'Straight Cutting'!E11="White Birch",'Straight Cutting'!F11&lt;&gt;"",'Straight Cutting'!G11&lt;&gt;""),'Straight Cutting'!F11+'Job Sheet'!AH11,"")))</f>
        <v/>
      </c>
      <c r="NJ5" s="80" t="str">
        <f>IF(AND('Straight Cutting'!D11="Invisi-Gard",'Straight Cutting'!E11="Black",'Straight Cutting'!F11&lt;&gt;"",'Straight Cutting'!G11=""),'Straight Cutting'!F11,IF(AND('Straight Cutting'!D11="Invisi-Gard",'Straight Cutting'!E11="Black",'Straight Cutting'!F11="",'Straight Cutting'!G11&lt;&gt;""),'Straight Cutting'!G11,IF(AND('Straight Cutting'!D11="Invisi-Gard",'Straight Cutting'!E11="Black",'Straight Cutting'!F11&lt;&gt;"",'Straight Cutting'!G11&lt;&gt;""),'Straight Cutting'!F11+'Job Sheet'!AH11,"")))</f>
        <v/>
      </c>
      <c r="NK5" s="80" t="str">
        <f>IF(AND('Straight Cutting'!D11="Invisi-Gard",'Straight Cutting'!E11="Brown",'Straight Cutting'!F11&lt;&gt;"",'Straight Cutting'!G11=""),'Straight Cutting'!F11,IF(AND('Straight Cutting'!D11="Invisi-Gard",'Straight Cutting'!E11="Brown",'Straight Cutting'!F11="",'Straight Cutting'!G11&lt;&gt;""),'Straight Cutting'!G11,IF(AND('Straight Cutting'!D11="Invisi-Gard",'Straight Cutting'!E11="Brown",'Straight Cutting'!F11&lt;&gt;"",'Straight Cutting'!G11&lt;&gt;""),'Straight Cutting'!F11+'Job Sheet'!AH11,"")))</f>
        <v/>
      </c>
      <c r="NL5" s="80" t="str">
        <f>IF(AND('Straight Cutting'!D11="Invisi-Gard",'Straight Cutting'!E11="Deep Ocean",'Straight Cutting'!F11&lt;&gt;"",'Straight Cutting'!G11=""),'Straight Cutting'!F11,IF(AND('Straight Cutting'!D11="Invisi-Gard",'Straight Cutting'!E11="Deep Ocean",'Straight Cutting'!F11="",'Straight Cutting'!G11&lt;&gt;""),'Straight Cutting'!G11,IF(AND('Straight Cutting'!D11="Invisi-Gard",'Straight Cutting'!E11="Deep Ocean",'Straight Cutting'!F11&lt;&gt;"",'Straight Cutting'!G11&lt;&gt;""),'Straight Cutting'!F11+'Job Sheet'!AH11,"")))</f>
        <v/>
      </c>
      <c r="NM5" s="80" t="str">
        <f>IF(AND('Straight Cutting'!D11="Invisi-Gard",'Straight Cutting'!E11="Jasper",'Straight Cutting'!F11&lt;&gt;"",'Straight Cutting'!G11=""),'Straight Cutting'!F11,IF(AND('Straight Cutting'!D11="Invisi-Gard",'Straight Cutting'!E11="Jasper",'Straight Cutting'!F11="",'Straight Cutting'!G11&lt;&gt;""),'Straight Cutting'!G11,IF(AND('Straight Cutting'!D11="Invisi-Gard",'Straight Cutting'!E11="Jasper",'Straight Cutting'!F11&lt;&gt;"",'Straight Cutting'!G11&lt;&gt;""),'Straight Cutting'!F11+'Job Sheet'!AH11,"")))</f>
        <v/>
      </c>
      <c r="NN5" s="80" t="str">
        <f>IF(AND('Straight Cutting'!D11="Invisi-Gard",'Straight Cutting'!E11="Paperbark",'Straight Cutting'!F11&lt;&gt;"",'Straight Cutting'!G11=""),'Straight Cutting'!F11,IF(AND('Straight Cutting'!D11="Invisi-Gard",'Straight Cutting'!E11="Paperbark",'Straight Cutting'!F11="",'Straight Cutting'!G11&lt;&gt;""),'Straight Cutting'!G11,IF(AND('Straight Cutting'!D11="Invisi-Gard",'Straight Cutting'!E11="Paperbark",'Straight Cutting'!F11&lt;&gt;"",'Straight Cutting'!G11&lt;&gt;""),'Straight Cutting'!F11+'Job Sheet'!AH11,"")))</f>
        <v/>
      </c>
      <c r="NO5" s="80" t="str">
        <f>IF(AND('Straight Cutting'!D11="Invisi-Gard",'Straight Cutting'!E11="Mist Green",'Straight Cutting'!F11&lt;&gt;"",'Straight Cutting'!G11=""),'Straight Cutting'!F11,IF(AND('Straight Cutting'!D11="Invisi-Gard",'Straight Cutting'!E11="Mist Green",'Straight Cutting'!F11="",'Straight Cutting'!G11&lt;&gt;""),'Straight Cutting'!G11,IF(AND('Straight Cutting'!D11="Invisi-Gard",'Straight Cutting'!E11="Mist Green",'Straight Cutting'!F11&lt;&gt;"",'Straight Cutting'!G11&lt;&gt;""),'Straight Cutting'!F11+'Job Sheet'!AH11,"")))</f>
        <v/>
      </c>
      <c r="NP5" s="80" t="str">
        <f>IF(AND('Straight Cutting'!D11="Invisi-Gard",'Straight Cutting'!E11="Primrose",'Straight Cutting'!F11&lt;&gt;"",'Straight Cutting'!G11=""),'Straight Cutting'!F11,IF(AND('Straight Cutting'!D11="Invisi-Gard",'Straight Cutting'!E11="Primrose",'Straight Cutting'!F11="",'Straight Cutting'!G11&lt;&gt;""),'Straight Cutting'!G11,IF(AND('Straight Cutting'!D11="Invisi-Gard",'Straight Cutting'!E11="Primrose",'Straight Cutting'!F11&lt;&gt;"",'Straight Cutting'!G11&lt;&gt;""),'Straight Cutting'!F11+'Job Sheet'!AH11,"")))</f>
        <v/>
      </c>
      <c r="NQ5" s="80" t="str">
        <f>IF(AND('Straight Cutting'!D11="Invisi-Gard",'Straight Cutting'!E11="Ultra Silver",'Straight Cutting'!F11&lt;&gt;"",'Straight Cutting'!G11=""),'Straight Cutting'!F11,IF(AND('Straight Cutting'!D11="Invisi-Gard",'Straight Cutting'!E11="Ultra Silver",'Straight Cutting'!F11="",'Straight Cutting'!G11&lt;&gt;""),'Straight Cutting'!G11,IF(AND('Straight Cutting'!D11="Invisi-Gard",'Straight Cutting'!E11="Ultra Silver",'Straight Cutting'!F11&lt;&gt;"",'Straight Cutting'!G11&lt;&gt;""),'Straight Cutting'!F11+'Job Sheet'!AH11,"")))</f>
        <v/>
      </c>
      <c r="NR5" s="80" t="str">
        <f>IF(AND('Straight Cutting'!D11="Invisi-Gard",'Straight Cutting'!E11="Woodland Grey(Green Tone)",'Straight Cutting'!F11&lt;&gt;"",'Straight Cutting'!G11=""),'Straight Cutting'!F11,IF(AND('Straight Cutting'!D11="Invisi-Gard",'Straight Cutting'!E11="Woodland Grey(Green Tone)",'Straight Cutting'!F11="",'Straight Cutting'!G11&lt;&gt;""),'Straight Cutting'!G11,IF(AND('Straight Cutting'!D11="Invisi-Gard",'Straight Cutting'!E11="Woodland Grey(Green Tone)",'Straight Cutting'!F11&lt;&gt;"",'Straight Cutting'!G11&lt;&gt;""),'Straight Cutting'!F11+'Job Sheet'!AH11,"")))</f>
        <v/>
      </c>
      <c r="NS5" s="80" t="str">
        <f>IF(AND('Straight Cutting'!D11="Invisi-Gard",'Straight Cutting'!E11="Pearl White",'Straight Cutting'!F11&lt;&gt;"",'Straight Cutting'!G11=""),'Straight Cutting'!F11,IF(AND('Straight Cutting'!D11="Invisi-Gard",'Straight Cutting'!E11="Pearl White",'Straight Cutting'!F11="",'Straight Cutting'!G11&lt;&gt;""),'Straight Cutting'!G11,IF(AND('Straight Cutting'!D11="Invisi-Gard",'Straight Cutting'!E11="Pearl White",'Straight Cutting'!F11&lt;&gt;"",'Straight Cutting'!G11&lt;&gt;""),'Straight Cutting'!F11+'Job Sheet'!AH11,"")))</f>
        <v/>
      </c>
      <c r="NT5" s="80" t="str">
        <f>IF(AND('Straight Cutting'!D11="Invisi-Gard",'Straight Cutting'!E11="Monument",'Straight Cutting'!F11&lt;&gt;"",'Straight Cutting'!G11=""),'Straight Cutting'!F11,IF(AND('Straight Cutting'!D11="Invisi-Gard",'Straight Cutting'!E11="Monument",'Straight Cutting'!F11="",'Straight Cutting'!G11&lt;&gt;""),'Straight Cutting'!G11,IF(AND('Straight Cutting'!D11="Invisi-Gard",'Straight Cutting'!E11="Monument",'Straight Cutting'!F11&lt;&gt;"",'Straight Cutting'!G11&lt;&gt;""),'Straight Cutting'!F11+'Job Sheet'!AH11,"")))</f>
        <v/>
      </c>
      <c r="NU5" s="80" t="str">
        <f>IF(AND('Straight Cutting'!D11="Invisi-Gard",'Straight Cutting'!E11="Surfmist",'Straight Cutting'!F11&lt;&gt;"",'Straight Cutting'!G11=""),'Straight Cutting'!F11,IF(AND('Straight Cutting'!D11="Invisi-Gard",'Straight Cutting'!E11="Surfmist",'Straight Cutting'!F11="",'Straight Cutting'!G11&lt;&gt;""),'Straight Cutting'!G11,IF(AND('Straight Cutting'!D11="Invisi-Gard",'Straight Cutting'!E11="Surfmist",'Straight Cutting'!F11&lt;&gt;"",'Straight Cutting'!G11&lt;&gt;""),'Straight Cutting'!F11+'Job Sheet'!AH11,"")))</f>
        <v/>
      </c>
      <c r="NV5" s="80" t="str">
        <f>IF(AND('Straight Cutting'!D11="Invisi-Gard",'Straight Cutting'!E11="Dune",'Straight Cutting'!F11&lt;&gt;"",'Straight Cutting'!G11=""),'Straight Cutting'!F11,IF(AND('Straight Cutting'!D11="Invisi-Gard",'Straight Cutting'!E11="Dune",'Straight Cutting'!F11="",'Straight Cutting'!G11&lt;&gt;""),'Straight Cutting'!G11,IF(AND('Straight Cutting'!D11="Invisi-Gard",'Straight Cutting'!E11="Dune",'Straight Cutting'!F11&lt;&gt;"",'Straight Cutting'!G11&lt;&gt;""),'Straight Cutting'!F11+'Job Sheet'!AH11,"")))</f>
        <v/>
      </c>
      <c r="NW5" s="80" t="str">
        <f>IF(AND('Straight Cutting'!D11="Invisi-Gard",'Straight Cutting'!E11="Powdercoat",'Straight Cutting'!F11&lt;&gt;"",'Straight Cutting'!G11=""),'Straight Cutting'!F11,IF(AND('Straight Cutting'!D11="Invisi-Gard",'Straight Cutting'!E11="Powdercoat",'Straight Cutting'!F11="",'Straight Cutting'!G11&lt;&gt;""),'Straight Cutting'!G11,IF(AND('Straight Cutting'!D11="Invisi-Gard",'Straight Cutting'!E11="Powdercoat",'Straight Cutting'!F11&lt;&gt;"",'Straight Cutting'!G11&lt;&gt;""),'Straight Cutting'!F11+'Job Sheet'!AH11,"")))</f>
        <v/>
      </c>
      <c r="NX5" s="80" t="str">
        <f>IF(AND('Job Sheet'!O11="Yes",'Mitred Cutting'!D11="APO Grey"),'Straight Cutting'!I11,"")</f>
        <v/>
      </c>
      <c r="NY5" s="80" t="str">
        <f>IF(AND('Job Sheet'!O11="Yes",'Mitred Cutting'!D11="White Birch"),'Straight Cutting'!I11,"")</f>
        <v/>
      </c>
      <c r="NZ5" s="80" t="str">
        <f>IF(AND('Job Sheet'!O11="Yes",'Mitred Cutting'!D11="Black"),'Straight Cutting'!I11,"")</f>
        <v/>
      </c>
      <c r="OA5" s="80" t="str">
        <f>IF(AND('Job Sheet'!O11="Yes",'Mitred Cutting'!D11="Brown"),'Straight Cutting'!I11,"")</f>
        <v/>
      </c>
      <c r="OB5" s="80" t="str">
        <f>IF(AND('Job Sheet'!O11="Yes",'Mitred Cutting'!D11="Deep Ocean"),'Straight Cutting'!I11,"")</f>
        <v/>
      </c>
      <c r="OC5" s="80" t="str">
        <f>IF(AND('Job Sheet'!O11="Yes",'Mitred Cutting'!D11="Jasper"),'Straight Cutting'!I11,"")</f>
        <v/>
      </c>
      <c r="OD5" s="80" t="str">
        <f>IF(AND('Job Sheet'!O11="Yes",'Mitred Cutting'!D11="Paperbark"),'Straight Cutting'!I11,"")</f>
        <v/>
      </c>
      <c r="OE5" s="80" t="str">
        <f>IF(AND('Job Sheet'!O11="Yes",'Mitred Cutting'!D11="Mist Green"),'Straight Cutting'!I11,"")</f>
        <v/>
      </c>
      <c r="OF5" s="80" t="str">
        <f>IF(AND('Job Sheet'!O11="Yes",'Mitred Cutting'!D11="Primrose"),'Straight Cutting'!I11,"")</f>
        <v/>
      </c>
      <c r="OG5" s="80" t="str">
        <f>IF(AND('Job Sheet'!O11="Yes",'Mitred Cutting'!D11="Ultra Silver"),'Straight Cutting'!I11,"")</f>
        <v/>
      </c>
      <c r="OH5" s="80" t="str">
        <f>IF(AND('Job Sheet'!O11="Yes",'Mitred Cutting'!D11="Woodland Grey(Green Tone)"),'Straight Cutting'!I11,"")</f>
        <v/>
      </c>
      <c r="OI5" s="80" t="str">
        <f>IF(AND('Job Sheet'!O11="Yes",'Mitred Cutting'!D11="Pearl White"),'Straight Cutting'!I11,"")</f>
        <v/>
      </c>
      <c r="OJ5" s="80" t="str">
        <f>IF(AND('Job Sheet'!O11="Yes",'Mitred Cutting'!D11="Monument"),'Straight Cutting'!I11,"")</f>
        <v/>
      </c>
      <c r="OK5" s="80" t="str">
        <f>IF(AND('Job Sheet'!O11="Yes",'Mitred Cutting'!D11="Surfmist"),'Straight Cutting'!I11,"")</f>
        <v/>
      </c>
      <c r="OL5" s="80" t="str">
        <f>IF(AND('Job Sheet'!O11="Yes",'Mitred Cutting'!D11="Dune"),'Straight Cutting'!I11,"")</f>
        <v/>
      </c>
      <c r="OM5" s="80" t="str">
        <f>IF(AND('Job Sheet'!O11="Yes",'Mitred Cutting'!D11="Powdercoat"),'Straight Cutting'!I11,"")</f>
        <v/>
      </c>
      <c r="ON5" s="81" t="str">
        <f>IF(OR(Data!AW11="",'Job Sheet'!L11="37mm x 11mm",'Job Sheet'!L11="9mm",'Job Sheet'!L11="11mm"),"",IF(VLOOKUP(CONCATENATE(Data!BO11,'Job Sheet'!J11),DoorType,4,FALSE)="Yes",(('Job Sheet'!W11-98)*2+('Job Sheet'!X11-96)*2)/2700,""))</f>
        <v/>
      </c>
      <c r="OO5" s="81">
        <f>IF(Data!AW11="","",IF('Mitred Cutting'!G11="1.6mm",(('Job Sheet'!W11-114)*2+('Job Sheet'!X11-114)*2)/3100,""))</f>
        <v>1.31548387096774</v>
      </c>
      <c r="OP5" s="81" t="str">
        <f>IF(Data!AW11="","",IF('Mitred Cutting'!G11="2mm",(('Job Sheet'!W11-114)*2+('Job Sheet'!X11-114)*2)/3100,""))</f>
        <v/>
      </c>
      <c r="OQ5" s="52" t="str">
        <f>IF(OR(Data!AW11="",Data!BN11="Invisi-Scape",'Job Sheet'!AC11=""),"",IF(OR('Job Sheet'!P11="Yes - Centre Horizontal",'Job Sheet'!P11="Yes - Centre Vertical"),('Job Sheet'!AC11*4+'Job Sheet'!AE11*4)/4000,IF('Job Sheet'!P11="Yes - Horizontal",('Job Sheet'!AC11*4+'Job Sheet'!AE11*2+'Job Sheet'!AF11*2)/4000,IF('Job Sheet'!P11="Yes - Vertical",('Job Sheet'!AC11*2+'Job Sheet'!AE11*4)/4000,IF('Job Sheet'!P11="",('Job Sheet'!AC11*2+'Job Sheet'!AE11*2)/4000,IF('Job Sheet'!P11="Yes - Horizontal &amp; Vertical",('Job Sheet'!AC11*4+'Job Sheet'!AD11*4+'Job Sheet'!AE11*4+'Job Sheet'!AF11*4)/4000,IF('Job Sheet'!P11="Yes - Centre Horizontal &amp; Vertical",('Job Sheet'!AC11*8+'Job Sheet'!AE11*8)/4000,"")))))))</f>
        <v/>
      </c>
      <c r="OR5" s="52" t="str">
        <f t="shared" si="1" ref="OR5:OR14">IF(OQ5="","",OQ5/25)</f>
        <v/>
      </c>
      <c r="OS5" s="52" t="str">
        <f t="shared" si="2" ref="OS5:OS14">OR5</f>
        <v/>
      </c>
      <c r="OT5" s="80"/>
      <c r="OU5" s="80" t="str">
        <f>IF(Data!AW11="","",IF(OR('Job Sheet'!J11="Fibreglass Mesh",'Job Sheet'!J11="Pet Mesh",'Job Sheet'!J11="DVA Mesh",'Job Sheet'!J11="Tuff Mesh",'Job Sheet'!J11="Alu-screen",Data!BO11="Fibreglass Mesh",Data!BO11="Pet Mesh",Data!BO11="DVA Mesh",Data!BO11="Tuff Mesh",Data!BO11="Alu-screen"),(('Job Sheet'!W11-98)*2+('Job Sheet'!X11-96)*2),""))</f>
        <v/>
      </c>
      <c r="OV5" s="80"/>
      <c r="OW5" s="80"/>
      <c r="OX5" s="80"/>
      <c r="OY5" s="80"/>
      <c r="OZ5" s="80"/>
      <c r="PA5" s="80"/>
      <c r="PB5" s="80"/>
      <c r="PC5" s="80"/>
      <c r="PD5" s="80" t="str">
        <f>IF(OR('Mitred Cutting'!E11="70mm x 20mm",'Mitred Cutting'!E11="Invisi-Gard 70mm x 20mm"),4,"")</f>
        <v/>
      </c>
      <c r="PE5" s="80">
        <f>IF('Mitred Cutting'!E11="37mm x 11mm",4,"")</f>
        <v>4</v>
      </c>
      <c r="PF5" s="80" t="str">
        <f>IF('Mitred Cutting'!E11="Invisi-Gard 37mm x 9mm",4,"")</f>
        <v/>
      </c>
      <c r="PG5" s="80" t="str">
        <f>IF('Mitred Cutting'!E11="Invisi-Gard 37mm x 11mm",4,"")</f>
        <v/>
      </c>
      <c r="PH5" s="80" t="str">
        <f>IF('Mitred Cutting'!E11="9mm",4,"")</f>
        <v/>
      </c>
      <c r="PI5" s="80" t="str">
        <f>IF('Mitred Cutting'!E11="11mm",4,"")</f>
        <v/>
      </c>
      <c r="PJ5" s="80"/>
      <c r="PK5" s="80" t="str">
        <f>IF(OR('Job Sheet'!N11="Yes - Front of Frame",'Job Sheet'!N11="Yes - Back of Frame"),1,"")</f>
        <v/>
      </c>
      <c r="PL5" s="80" t="str">
        <f>IF('Job Sheet'!M11="Swivel Clips Extended x 2",2,IF('Job Sheet'!M11="Swivel Clips Extended x 4",4,IF('Job Sheet'!M11="Swivel Clips Extended x 6",6,"")))</f>
        <v/>
      </c>
      <c r="PM5" s="80" t="str">
        <f>IF('Job Sheet'!M11="Swivel Clips Flush x 2",2,IF('Job Sheet'!M11="Swivel Clips Flush x 4",4,IF('Job Sheet'!M11="Swivel Clips Flush x 6",6,"")))</f>
        <v/>
      </c>
      <c r="PN5" s="80" t="str">
        <f>IF('Job Sheet'!M11="Plunger Pins x 2",2,IF('Job Sheet'!M11="Plunger Pins x 4",4,IF('Job Sheet'!M11="Plunger Pins x 6",6,"")))</f>
        <v/>
      </c>
      <c r="PO5" s="80"/>
      <c r="PP5" s="80"/>
      <c r="PQ5" s="80"/>
      <c r="PR5" s="80"/>
      <c r="PS5" s="80"/>
      <c r="PT5" s="80"/>
      <c r="PU5" s="80"/>
      <c r="PV5" s="80"/>
      <c r="PW5" s="80"/>
      <c r="PX5" s="80"/>
      <c r="PY5" s="80"/>
      <c r="PZ5" s="80"/>
      <c r="QA5" s="80"/>
      <c r="QB5" s="80"/>
      <c r="QC5" s="80"/>
      <c r="QD5" s="80"/>
      <c r="QE5" s="80"/>
      <c r="QF5" s="80"/>
      <c r="QG5" s="80"/>
      <c r="QH5" s="80"/>
      <c r="QI5" s="80"/>
      <c r="QJ5" s="80"/>
      <c r="QK5" s="80"/>
      <c r="QL5" s="80"/>
      <c r="QM5" s="80"/>
      <c r="QN5" s="80"/>
      <c r="QO5" s="80"/>
      <c r="QP5" s="80"/>
      <c r="QQ5" s="80"/>
      <c r="QR5" s="80"/>
      <c r="QS5" s="80"/>
      <c r="QT5" s="80"/>
      <c r="QU5" s="80"/>
      <c r="QV5" s="80"/>
      <c r="QW5" s="80"/>
      <c r="QX5" s="80"/>
      <c r="QY5" s="82"/>
      <c r="RD5" t="str">
        <f>IF('Assembly &amp; Bagging'!J11="2 Hinges","2",IF('Assembly &amp; Bagging'!J11="3 Hinges","3",""))</f>
        <v/>
      </c>
      <c r="RH5" s="80"/>
      <c r="RL5" t="str">
        <f>IF(OR('Job Sheet'!M11="Hinged LHS with Slide Bolt on Inside",'Job Sheet'!M11="Hinged LHS with Slide Bolt on Inside"),1,"")</f>
        <v/>
      </c>
      <c r="RM5" s="80"/>
      <c r="RO5" t="str">
        <f>IF('Straight Cutting'!D11&lt;&gt;"Invisi-Gard","",IF(AND('Straight Cutting'!F11&lt;&gt;"",'Straight Cutting'!G11&lt;&gt;""),6,2))</f>
        <v/>
      </c>
      <c r="RP5" t="str">
        <f>IF(AND('Job Sheet'!P11&lt;&gt;"",(OR('Mitred Cutting'!E11="9mm",'Mitred Cutting'!E11="11mm"))),2,"")</f>
        <v/>
      </c>
      <c r="RR5" s="80" t="str">
        <f>Guillotine!E11</f>
        <v>146 x 2021</v>
      </c>
      <c r="RS5" t="str">
        <f>IF('Assembly &amp; Bagging'!E11="Flywire","",IF('Assembly &amp; Bagging'!E11="Invisi-Gard Woven Stainless Steel","Woven Stainless Steel",'Assembly &amp; Bagging'!E11))</f>
        <v>Alu-Gard Perforated Aluminium</v>
      </c>
      <c r="RT5" s="80"/>
      <c r="RU5" s="80"/>
      <c r="RV5" s="80"/>
      <c r="RW5" s="80"/>
      <c r="RX5" s="80"/>
      <c r="RY5" s="80"/>
      <c r="RZ5" s="80"/>
      <c r="SA5" s="80"/>
      <c r="SB5" s="80"/>
      <c r="SC5" s="80"/>
      <c r="SD5" s="80"/>
      <c r="SE5" s="80"/>
      <c r="SF5" s="80"/>
      <c r="SG5" s="80"/>
      <c r="SH5" s="80"/>
      <c r="SI5" s="80"/>
      <c r="SJ5" s="80"/>
      <c r="SK5" s="80"/>
      <c r="SL5" s="80"/>
      <c r="SM5" s="80"/>
      <c r="SN5" s="80"/>
      <c r="SO5" s="80"/>
      <c r="SP5" s="80"/>
      <c r="SQ5" s="80"/>
      <c r="SR5" s="80"/>
      <c r="SS5" s="80"/>
      <c r="ST5" s="80"/>
      <c r="SU5" s="80"/>
      <c r="SV5" s="80"/>
      <c r="SW5" s="80"/>
      <c r="SX5" s="80"/>
      <c r="SY5" s="80"/>
      <c r="SZ5" s="80"/>
      <c r="TA5" s="80"/>
      <c r="TB5" s="80"/>
      <c r="TC5" s="80"/>
      <c r="TD5" s="80"/>
      <c r="TE5" s="80"/>
      <c r="TF5" s="80"/>
      <c r="TG5" s="80"/>
      <c r="TH5" s="80"/>
      <c r="TI5" s="80"/>
      <c r="TJ5" s="80"/>
      <c r="TK5" s="80"/>
      <c r="TL5" s="80"/>
      <c r="TM5" s="80"/>
      <c r="TN5" s="80"/>
      <c r="TO5" s="80"/>
      <c r="TP5" s="80"/>
      <c r="TQ5" s="80"/>
      <c r="TR5" s="80"/>
      <c r="TS5" s="80"/>
      <c r="TT5" s="80"/>
      <c r="TU5" s="80"/>
      <c r="TV5" s="80"/>
      <c r="TW5" s="80"/>
      <c r="TX5" s="80"/>
      <c r="TY5" s="80"/>
      <c r="TZ5" s="80"/>
      <c r="UA5" s="80"/>
      <c r="UB5" s="80"/>
      <c r="UC5" s="80"/>
      <c r="UD5" s="80"/>
      <c r="UE5" s="80"/>
      <c r="UF5" s="80"/>
      <c r="UG5" s="80"/>
      <c r="UH5" s="80"/>
      <c r="UI5" s="80"/>
      <c r="UJ5" s="80"/>
      <c r="UK5" s="80"/>
      <c r="UL5" s="80"/>
      <c r="UM5" s="80"/>
      <c r="UN5" s="80"/>
      <c r="UO5" s="80"/>
      <c r="UP5" s="80"/>
      <c r="UQ5" s="80"/>
      <c r="UR5" s="80"/>
      <c r="US5" s="80"/>
      <c r="UT5" s="80"/>
      <c r="UU5" s="80"/>
      <c r="UV5" s="80"/>
      <c r="UW5" s="80"/>
      <c r="UX5" s="80"/>
      <c r="UY5" s="80"/>
      <c r="UZ5" s="80"/>
      <c r="VA5" s="80"/>
      <c r="VB5" s="80"/>
      <c r="VC5" s="80"/>
      <c r="VD5" s="80"/>
      <c r="VE5" s="80"/>
      <c r="VF5" s="80"/>
      <c r="VG5" s="80"/>
      <c r="VH5" s="80"/>
      <c r="VI5" s="80"/>
      <c r="VJ5" s="80"/>
      <c r="VK5" s="80"/>
      <c r="VL5" s="80"/>
      <c r="VM5" s="80"/>
      <c r="VN5" s="80"/>
      <c r="VO5" s="80"/>
      <c r="VP5" s="80"/>
      <c r="VQ5" s="80"/>
      <c r="VR5" s="80"/>
      <c r="VS5" s="80"/>
      <c r="VT5" s="80"/>
      <c r="VU5" s="80"/>
      <c r="VV5" s="80"/>
      <c r="VW5" s="80"/>
      <c r="VX5" s="80"/>
      <c r="VY5" s="80"/>
      <c r="VZ5" s="80"/>
      <c r="WA5" s="80"/>
      <c r="WB5" s="80"/>
      <c r="WC5" s="80"/>
      <c r="WD5" s="80"/>
      <c r="WE5" s="80"/>
      <c r="WF5" s="80"/>
      <c r="WG5" s="80"/>
      <c r="WH5" s="80"/>
      <c r="WI5" s="80"/>
      <c r="WJ5" s="80"/>
      <c r="WK5" s="80"/>
      <c r="WL5" s="80"/>
      <c r="WM5" s="80"/>
      <c r="WN5" s="80"/>
      <c r="WO5" s="80"/>
      <c r="WP5" s="80"/>
      <c r="WQ5" s="80"/>
      <c r="WR5" s="80"/>
      <c r="WS5" s="80"/>
      <c r="WT5" s="80"/>
      <c r="WU5" s="80"/>
      <c r="WV5" s="80"/>
      <c r="WW5" s="80"/>
      <c r="WX5" s="80"/>
      <c r="WY5" s="80"/>
      <c r="WZ5" s="80"/>
      <c r="XA5" s="80"/>
      <c r="XB5" s="80"/>
      <c r="XC5" s="80"/>
      <c r="XD5" s="80"/>
      <c r="XE5" s="80"/>
      <c r="XF5" s="80"/>
      <c r="XG5" s="80"/>
      <c r="XH5" s="80"/>
      <c r="XI5" s="80"/>
      <c r="XJ5" s="80"/>
      <c r="XK5" s="80"/>
      <c r="XL5" s="80"/>
      <c r="XM5" s="80"/>
      <c r="XN5" s="80"/>
      <c r="XO5" s="80"/>
      <c r="XP5" s="80"/>
      <c r="XQ5" s="80"/>
      <c r="XR5" s="80"/>
      <c r="XS5" s="80"/>
      <c r="XT5" s="80"/>
      <c r="XU5" s="80"/>
      <c r="XV5" s="80"/>
      <c r="XW5" s="80"/>
      <c r="XX5" s="80"/>
      <c r="XY5" s="80"/>
      <c r="XZ5" s="80"/>
      <c r="YA5" s="80"/>
      <c r="YB5" s="80"/>
      <c r="YC5" s="80"/>
      <c r="YD5" s="80"/>
      <c r="YE5" s="80"/>
      <c r="YF5" s="80"/>
      <c r="YG5" s="80"/>
      <c r="YH5" s="80"/>
      <c r="YI5" s="80"/>
      <c r="YJ5" s="80"/>
      <c r="YK5" s="80"/>
      <c r="YL5" s="80"/>
      <c r="YM5" s="80"/>
      <c r="YN5" s="80"/>
      <c r="YO5" s="80"/>
      <c r="YP5" s="80"/>
      <c r="YQ5" s="80"/>
      <c r="YR5" s="80"/>
      <c r="YS5" s="80"/>
      <c r="YT5" s="80"/>
      <c r="YU5" s="80"/>
      <c r="YV5" s="80"/>
      <c r="YW5" s="80"/>
      <c r="YX5" s="80"/>
      <c r="YY5" s="80"/>
      <c r="YZ5" s="80"/>
      <c r="ZA5" s="80"/>
      <c r="ZB5" s="80"/>
      <c r="ZC5" s="80"/>
      <c r="ZD5" s="80"/>
      <c r="ZE5" s="80"/>
      <c r="ZF5" s="80"/>
      <c r="ZG5" s="80"/>
      <c r="ZH5" s="80"/>
      <c r="ZI5" s="80"/>
      <c r="ZJ5" s="80"/>
      <c r="ZK5" s="80"/>
      <c r="ZL5" s="80"/>
      <c r="ZM5" s="80"/>
      <c r="ZN5" s="80"/>
      <c r="ZO5" s="80"/>
      <c r="ZP5" s="80"/>
      <c r="ZQ5" s="80"/>
      <c r="ZR5" s="80"/>
      <c r="ZS5" s="80"/>
      <c r="ZT5" s="80"/>
      <c r="ZU5" s="80"/>
      <c r="ZV5" s="80"/>
      <c r="ZW5" s="80"/>
      <c r="ZX5" s="80"/>
      <c r="ZY5" s="80"/>
      <c r="ZZ5" s="80"/>
      <c r="AAA5" s="80"/>
      <c r="AAB5" s="80"/>
      <c r="AAC5" s="80"/>
      <c r="AAD5" s="80"/>
      <c r="AAE5" s="80"/>
      <c r="AAF5" s="80"/>
      <c r="AAG5" s="80"/>
      <c r="AAH5" s="80"/>
      <c r="AAI5" s="80"/>
      <c r="AAJ5" s="80"/>
      <c r="AAK5" s="80"/>
      <c r="AAL5" s="80"/>
      <c r="AAM5" s="80"/>
      <c r="AAN5" s="80"/>
      <c r="AAO5" s="80"/>
      <c r="AAP5" s="80"/>
      <c r="AAQ5" s="80"/>
      <c r="AAR5" s="80"/>
      <c r="AAS5" s="80"/>
      <c r="AAT5" s="80"/>
      <c r="AAU5" s="80"/>
      <c r="AAV5" s="80"/>
      <c r="AAW5" s="80"/>
      <c r="AAX5" s="80"/>
      <c r="AAY5" s="80"/>
      <c r="AAZ5" s="80"/>
      <c r="ABA5" s="80"/>
      <c r="ABB5" s="80"/>
      <c r="ABC5" s="80"/>
      <c r="ABD5" s="80"/>
      <c r="ABE5" s="80"/>
      <c r="ABF5" s="80"/>
      <c r="ABG5" s="80"/>
      <c r="ABH5" s="80"/>
      <c r="ABI5" s="80"/>
      <c r="ABJ5" s="80"/>
      <c r="ABK5" s="80"/>
      <c r="ABL5" s="80"/>
      <c r="ABM5" s="80"/>
      <c r="ABN5" s="80"/>
      <c r="ABO5" s="80"/>
      <c r="ABP5" s="80"/>
      <c r="ABQ5" s="80"/>
      <c r="ABR5" s="80"/>
      <c r="ABS5" s="80"/>
      <c r="ABT5" s="80"/>
      <c r="ABU5" s="80"/>
      <c r="ABV5" s="80"/>
      <c r="ABW5" s="80"/>
      <c r="ABX5" s="80"/>
      <c r="ABY5" s="80"/>
      <c r="ABZ5" s="80"/>
      <c r="ACA5" s="80"/>
      <c r="ACB5" s="80"/>
      <c r="ACC5" s="80"/>
      <c r="ACD5" s="80" t="str">
        <f>IF('Job Sheet'!J11="Fibreglass Mesh",CONCATENATE('Job Sheet'!W11," x ",'Job Sheet'!X11),"")</f>
        <v/>
      </c>
      <c r="ACE5" s="80" t="str">
        <f>IF('Job Sheet'!J11="Alu-screen",CONCATENATE('Job Sheet'!W11," x ",'Job Sheet'!X11),"")</f>
        <v/>
      </c>
      <c r="ACF5" s="80" t="str">
        <f>IF('Job Sheet'!J11="Pet Mesh",CONCATENATE('Job Sheet'!W11," x ",'Job Sheet'!X11),"")</f>
        <v/>
      </c>
      <c r="ACH5" s="80"/>
    </row>
    <row r="6" spans="4:762" ht="13.2" customHeight="1">
      <c r="D6" t="str">
        <f>IF(OR(Data!AV12="",Data!BN12="Invisi-Scape"),"",CONCATENATE(Data!BC$5,".",Data!BD$5))</f>
        <v/>
      </c>
      <c r="E6" t="str">
        <f>IF(D6="","",Data!AW12)</f>
        <v/>
      </c>
      <c r="F6" t="str">
        <f>IF(D6="","",Data!AV12)</f>
        <v/>
      </c>
      <c r="G6" t="str">
        <f t="shared" si="0"/>
        <v/>
      </c>
      <c r="H6" t="str">
        <f>IF(D6="","",Data!BF$5)</f>
        <v/>
      </c>
      <c r="I6" t="str">
        <f>IF(D6="","",Data!AX$5)</f>
        <v/>
      </c>
      <c r="J6" s="80" t="str">
        <f>IF(AND('Mitred Cutting'!E12="70mm x 20mm",'Mitred Cutting'!D12="APO Grey"),(('Job Sheet'!W12+'Job Sheet'!X12)*2),"")</f>
        <v/>
      </c>
      <c r="K6" s="80" t="str">
        <f>IF(AND('Mitred Cutting'!E12="70mm x 20mm",'Mitred Cutting'!D12="White Birch"),(('Job Sheet'!W12+'Job Sheet'!X12)*2),"")</f>
        <v/>
      </c>
      <c r="L6" s="80" t="str">
        <f>IF(AND('Mitred Cutting'!E12="70mm x 20mm",'Mitred Cutting'!D12="Black"),(('Job Sheet'!W12+'Job Sheet'!X12)*2),"")</f>
        <v/>
      </c>
      <c r="M6" s="80" t="str">
        <f>IF(AND('Mitred Cutting'!E12="70mm x 20mm",'Mitred Cutting'!D12="Brown"),(('Job Sheet'!W12+'Job Sheet'!X12)*2),"")</f>
        <v/>
      </c>
      <c r="N6" s="80" t="str">
        <f>IF(AND('Mitred Cutting'!E12="70mm x 20mm",'Mitred Cutting'!D12="Deep Ocean"),(('Job Sheet'!W12+'Job Sheet'!X12)*2),"")</f>
        <v/>
      </c>
      <c r="O6" s="80" t="str">
        <f>IF(AND('Mitred Cutting'!E12="70mm x 20mm",'Mitred Cutting'!D12="Jasper"),(('Job Sheet'!W12+'Job Sheet'!X12)*2),"")</f>
        <v/>
      </c>
      <c r="P6" s="80" t="str">
        <f>IF(AND('Mitred Cutting'!E12="70mm x 20mm",'Mitred Cutting'!D12="Paperbark"),(('Job Sheet'!W12+'Job Sheet'!X12)*2),"")</f>
        <v/>
      </c>
      <c r="Q6" s="80" t="str">
        <f>IF(AND('Mitred Cutting'!E12="70mm x 20mm",'Mitred Cutting'!D12="Mist Green"),(('Job Sheet'!W12+'Job Sheet'!X12)*2),"")</f>
        <v/>
      </c>
      <c r="R6" s="80" t="str">
        <f>IF(AND('Mitred Cutting'!E12="70mm x 20mm",'Mitred Cutting'!D12="Primrose"),(('Job Sheet'!W12+'Job Sheet'!X12)*2),"")</f>
        <v/>
      </c>
      <c r="S6" s="80" t="str">
        <f>IF(AND('Mitred Cutting'!E12="70mm x 20mm",'Mitred Cutting'!D12="Ultra Silver"),(('Job Sheet'!W12+'Job Sheet'!X12)*2),"")</f>
        <v/>
      </c>
      <c r="T6" s="80" t="str">
        <f>IF(AND('Mitred Cutting'!E12="70mm x 20mm",'Mitred Cutting'!D12="Woodland Grey(Green Tone)"),(('Job Sheet'!W12+'Job Sheet'!X12)*2),"")</f>
        <v/>
      </c>
      <c r="U6" s="80" t="str">
        <f>IF(AND('Mitred Cutting'!E12="70mm x 20mm",'Mitred Cutting'!D12="Pearl White"),(('Job Sheet'!W12+'Job Sheet'!X12)*2),"")</f>
        <v/>
      </c>
      <c r="V6" s="80" t="str">
        <f>IF(AND('Mitred Cutting'!E12="70mm x 20mm",'Mitred Cutting'!D12="Monument"),(('Job Sheet'!W12+'Job Sheet'!X12)*2),"")</f>
        <v/>
      </c>
      <c r="W6" s="80" t="str">
        <f>IF(AND('Mitred Cutting'!E12="70mm x 20mm",'Mitred Cutting'!D12="Surfmist"),(('Job Sheet'!W12+'Job Sheet'!X12)*2),"")</f>
        <v/>
      </c>
      <c r="X6" s="80" t="str">
        <f>IF(AND('Mitred Cutting'!E12="70mm x 20mm",'Mitred Cutting'!D12="Dune"),(('Job Sheet'!W12+'Job Sheet'!X12)*2),"")</f>
        <v/>
      </c>
      <c r="Y6" s="80"/>
      <c r="Z6" s="80" t="str">
        <f>IF(AND('Mitred Cutting'!E12="70mm x 20mm",'Mitred Cutting'!D12="Powdercoat"),(('Job Sheet'!W12+'Job Sheet'!X12)*2),"")</f>
        <v/>
      </c>
      <c r="AA6" s="80" t="str">
        <f>IF(AND('Mitred Cutting'!E12="Invisi-Gard 70mm x 20mm",'Mitred Cutting'!D12="APO Grey"),(('Job Sheet'!W12+'Job Sheet'!X12)*2),"")</f>
        <v/>
      </c>
      <c r="AB6" s="80" t="str">
        <f>IF(AND('Mitred Cutting'!E12="Invisi-Gard 70mm x 20mm",'Mitred Cutting'!D12="White Birch"),(('Job Sheet'!W12+'Job Sheet'!X12)*2),"")</f>
        <v/>
      </c>
      <c r="AC6" s="80" t="str">
        <f>IF(AND('Mitred Cutting'!E12="Invisi-Gard 70mm x 20mm",'Mitred Cutting'!D12="Black"),(('Job Sheet'!W12+'Job Sheet'!X12)*2),"")</f>
        <v/>
      </c>
      <c r="AD6" s="80" t="str">
        <f>IF(AND('Mitred Cutting'!E12="Invisi-Gard 70mm x 20mm",'Mitred Cutting'!D12="Brown"),(('Job Sheet'!W12+'Job Sheet'!X12)*2),"")</f>
        <v/>
      </c>
      <c r="AE6" s="80" t="str">
        <f>IF(AND('Mitred Cutting'!E12="Invisi-Gard 70mm x 20mm",'Mitred Cutting'!D12="Deep Ocean"),(('Job Sheet'!W12+'Job Sheet'!X12)*2),"")</f>
        <v/>
      </c>
      <c r="AF6" s="80" t="str">
        <f>IF(AND('Mitred Cutting'!E12="Invisi-Gard 70mm x 20mm",'Mitred Cutting'!D12="Jasper"),(('Job Sheet'!W12+'Job Sheet'!X12)*2),"")</f>
        <v/>
      </c>
      <c r="AG6" s="80" t="str">
        <f>IF(AND('Mitred Cutting'!E12="Invisi-Gard 70mm x 20mm",'Mitred Cutting'!D12="Paperbark"),(('Job Sheet'!W12+'Job Sheet'!X12)*2),"")</f>
        <v/>
      </c>
      <c r="AH6" s="80" t="str">
        <f>IF(AND('Mitred Cutting'!E12="Invisi-Gard 70mm x 20mm",'Mitred Cutting'!D12="Mist Green"),(('Job Sheet'!W12+'Job Sheet'!X12)*2),"")</f>
        <v/>
      </c>
      <c r="AI6" s="80" t="str">
        <f>IF(AND('Mitred Cutting'!E12="Invisi-Gard 70mm x 20mm",'Mitred Cutting'!D12="Primrose"),(('Job Sheet'!W12+'Job Sheet'!X12)*2),"")</f>
        <v/>
      </c>
      <c r="AJ6" s="80" t="str">
        <f>IF(AND('Mitred Cutting'!E12="Invisi-Gard 70mm x 20mm",'Mitred Cutting'!D12="Ultra Silver"),(('Job Sheet'!W12+'Job Sheet'!X12)*2),"")</f>
        <v/>
      </c>
      <c r="AK6" s="80" t="str">
        <f>IF(AND('Mitred Cutting'!E12="Invisi-Gard 70mm x 20mm",'Mitred Cutting'!D12="Woodland Grey(Green Tone)"),(('Job Sheet'!W12+'Job Sheet'!X12)*2),"")</f>
        <v/>
      </c>
      <c r="AL6" s="80" t="str">
        <f>IF(AND('Mitred Cutting'!E12="Invisi-Gard 70mm x 20mm",'Mitred Cutting'!D12="Pearl White"),(('Job Sheet'!W12+'Job Sheet'!X12)*2),"")</f>
        <v/>
      </c>
      <c r="AM6" s="80" t="str">
        <f>IF(AND('Mitred Cutting'!E12="Invisi-Gard 70mm x 20mm",'Mitred Cutting'!D12="Monument"),(('Job Sheet'!W12+'Job Sheet'!X12)*2),"")</f>
        <v/>
      </c>
      <c r="AN6" s="80" t="str">
        <f>IF(AND('Mitred Cutting'!E12="Invisi-Gard 70mm x 20mm",'Mitred Cutting'!D12="Surfmist"),(('Job Sheet'!W12+'Job Sheet'!X12)*2),"")</f>
        <v/>
      </c>
      <c r="AO6" s="80" t="str">
        <f>IF(AND('Mitred Cutting'!E12="Invisi-Gard 70mm x 20mm",'Mitred Cutting'!D12="Dune"),(('Job Sheet'!W12+'Job Sheet'!X12)*2),"")</f>
        <v/>
      </c>
      <c r="AP6" s="80"/>
      <c r="AQ6" s="80" t="str">
        <f>IF(AND('Mitred Cutting'!E12="Invisi-Gard 70mm x 20mm",'Mitred Cutting'!D12="Powdercoat"),(('Job Sheet'!W12+'Job Sheet'!X12)*2),"")</f>
        <v/>
      </c>
      <c r="AR6" s="80" t="str">
        <f>IF(AND('Mitred Cutting'!E12="37mm x 11mm",'Mitred Cutting'!D12="APO Grey"),(('Job Sheet'!W12+'Job Sheet'!X12)*2),"")</f>
        <v/>
      </c>
      <c r="AS6" s="80" t="str">
        <f>IF(AND('Mitred Cutting'!E12="37mm x 11mm",'Mitred Cutting'!D12="White Birch"),(('Job Sheet'!W12+'Job Sheet'!X12)*2),"")</f>
        <v/>
      </c>
      <c r="AT6" s="80" t="str">
        <f>IF(AND('Mitred Cutting'!E12="37mm x 11mm",'Mitred Cutting'!D12="Black"),(('Job Sheet'!W12+'Job Sheet'!X12)*2),"")</f>
        <v/>
      </c>
      <c r="AU6" s="80" t="str">
        <f>IF(AND('Mitred Cutting'!E12="37mm x 11mm",'Mitred Cutting'!D12="Brown"),(('Job Sheet'!W12+'Job Sheet'!X12)*2),"")</f>
        <v/>
      </c>
      <c r="AV6" s="80" t="str">
        <f>IF(AND('Mitred Cutting'!E12="37mm x 11mm",'Mitred Cutting'!D12="Deep Ocean"),(('Job Sheet'!W12+'Job Sheet'!X12)*2),"")</f>
        <v/>
      </c>
      <c r="AW6" s="80" t="str">
        <f>IF(AND('Mitred Cutting'!E12="37mm x 11mm",'Mitred Cutting'!D12="Jasper"),(('Job Sheet'!W12+'Job Sheet'!X12)*2),"")</f>
        <v/>
      </c>
      <c r="AX6" s="80" t="str">
        <f>IF(AND('Mitred Cutting'!E12="37mm x 11mm",'Mitred Cutting'!D12="Paperbark"),(('Job Sheet'!W12+'Job Sheet'!X12)*2),"")</f>
        <v/>
      </c>
      <c r="AY6" s="80" t="str">
        <f>IF(AND('Mitred Cutting'!E12="37mm x 11mm",'Mitred Cutting'!D12="Mist Green"),(('Job Sheet'!W12+'Job Sheet'!X12)*2),"")</f>
        <v/>
      </c>
      <c r="AZ6" s="80" t="str">
        <f>IF(AND('Mitred Cutting'!E12="37mm x 11mm",'Mitred Cutting'!D12="Primrose"),(('Job Sheet'!W12+'Job Sheet'!X12)*2),"")</f>
        <v/>
      </c>
      <c r="BA6" s="80" t="str">
        <f>IF(AND('Mitred Cutting'!E12="37mm x 11mm",'Mitred Cutting'!D12="Ultra Silver"),(('Job Sheet'!W12+'Job Sheet'!X12)*2),"")</f>
        <v/>
      </c>
      <c r="BB6" s="80" t="str">
        <f>IF(AND('Mitred Cutting'!E12="37mm x 11mm",'Mitred Cutting'!D12="Woodland Grey(Green Tone)"),(('Job Sheet'!W12+'Job Sheet'!X12)*2),"")</f>
        <v/>
      </c>
      <c r="BC6" s="80" t="str">
        <f>IF(AND('Mitred Cutting'!E12="37mm x 11mm",'Mitred Cutting'!D12="Pearl White"),(('Job Sheet'!W12+'Job Sheet'!X12)*2),"")</f>
        <v/>
      </c>
      <c r="BD6" s="80" t="str">
        <f>IF(AND('Mitred Cutting'!E12="37mm x 11mm",'Mitred Cutting'!D12="Monument"),(('Job Sheet'!W12+'Job Sheet'!X12)*2),"")</f>
        <v/>
      </c>
      <c r="BE6" s="80" t="str">
        <f>IF(AND('Mitred Cutting'!E12="37mm x 11mm",'Mitred Cutting'!D12="Surfmist"),(('Job Sheet'!W12+'Job Sheet'!X12)*2),"")</f>
        <v/>
      </c>
      <c r="BF6" s="80" t="str">
        <f>IF(AND('Mitred Cutting'!E12="37mm x 11mm",'Mitred Cutting'!D12="Dune"),(('Job Sheet'!W12+'Job Sheet'!X12)*2),"")</f>
        <v/>
      </c>
      <c r="BG6" s="80" t="str">
        <f>IF(AND('Mitred Cutting'!E12="37mm x 11mm",'Mitred Cutting'!D12="Woodland Grey (Dulux)"),(('Job Sheet'!W12+'Job Sheet'!X12)*2),"")</f>
        <v/>
      </c>
      <c r="BH6" s="80" t="str">
        <f>IF(AND('Mitred Cutting'!E12="37mm x 11mm",'Mitred Cutting'!D12="Powdercoat"),(('Job Sheet'!W12+'Job Sheet'!X12)*2),"")</f>
        <v/>
      </c>
      <c r="BI6" s="80" t="str">
        <f>IF(AND('Mitred Cutting'!E12="Invisi-Gard 37mm x 11mm",'Mitred Cutting'!D12="APO Grey"),(('Job Sheet'!W12+'Job Sheet'!X12)*2),"")</f>
        <v/>
      </c>
      <c r="BJ6" s="80" t="str">
        <f>IF(AND('Mitred Cutting'!E12="Invisi-Gard 37mm x 11mm",'Mitred Cutting'!D12="White Birch"),(('Job Sheet'!W12+'Job Sheet'!X12)*2),"")</f>
        <v/>
      </c>
      <c r="BK6" s="80" t="str">
        <f>IF(AND('Mitred Cutting'!E12="Invisi-Gard 37mm x 11mm",'Mitred Cutting'!D12="Black"),(('Job Sheet'!W12+'Job Sheet'!X12)*2),"")</f>
        <v/>
      </c>
      <c r="BL6" s="80" t="str">
        <f>IF(AND('Mitred Cutting'!E12="Invisi-Gard 37mm x 11mm",'Mitred Cutting'!D12="Brown"),(('Job Sheet'!W12+'Job Sheet'!X12)*2),"")</f>
        <v/>
      </c>
      <c r="BM6" s="80" t="str">
        <f>IF(AND('Mitred Cutting'!E12="Invisi-Gard 37mm x 11mm",'Mitred Cutting'!D12="Deep Ocean"),(('Job Sheet'!W12+'Job Sheet'!X12)*2),"")</f>
        <v/>
      </c>
      <c r="BN6" s="80" t="str">
        <f>IF(AND('Mitred Cutting'!E12="Invisi-Gard 37mm x 11mm",'Mitred Cutting'!D12="Jasper"),(('Job Sheet'!W12+'Job Sheet'!X12)*2),"")</f>
        <v/>
      </c>
      <c r="BO6" s="80" t="str">
        <f>IF(AND('Mitred Cutting'!E12="Invisi-Gard 37mm x 11mm",'Mitred Cutting'!D12="Paperbark"),(('Job Sheet'!W12+'Job Sheet'!X12)*2),"")</f>
        <v/>
      </c>
      <c r="BP6" s="80" t="str">
        <f>IF(AND('Mitred Cutting'!E12="Invisi-Gard 37mm x 11mm",'Mitred Cutting'!D12="Mist Green"),(('Job Sheet'!W12+'Job Sheet'!X12)*2),"")</f>
        <v/>
      </c>
      <c r="BQ6" s="80" t="str">
        <f>IF(AND('Mitred Cutting'!E12="Invisi-Gard 37mm x 11mm",'Mitred Cutting'!D12="Primrose"),(('Job Sheet'!W12+'Job Sheet'!X12)*2),"")</f>
        <v/>
      </c>
      <c r="BR6" s="80" t="str">
        <f>IF(AND('Mitred Cutting'!E12="Invisi-Gard 37mm x 11mm",'Mitred Cutting'!D12="Ultra Silver"),(('Job Sheet'!W12+'Job Sheet'!X12)*2),"")</f>
        <v/>
      </c>
      <c r="BS6" s="80" t="str">
        <f>IF(AND('Mitred Cutting'!E12="Invisi-Gard 37mm x 11mm",'Mitred Cutting'!D12="Woodland Grey(Green Tone)"),(('Job Sheet'!W12+'Job Sheet'!X12)*2),"")</f>
        <v/>
      </c>
      <c r="BT6" s="80" t="str">
        <f>IF(AND('Mitred Cutting'!E12="Invisi-Gard 37mm x 11mm",'Mitred Cutting'!D12="Pearl White"),(('Job Sheet'!W12+'Job Sheet'!X12)*2),"")</f>
        <v/>
      </c>
      <c r="BU6" s="80" t="str">
        <f>IF(AND('Mitred Cutting'!E12="Invisi-Gard 37mm x 11mm",'Mitred Cutting'!D12="Monument"),(('Job Sheet'!W12+'Job Sheet'!X12)*2),"")</f>
        <v/>
      </c>
      <c r="BV6" s="80" t="str">
        <f>IF(AND('Mitred Cutting'!E12="Invisi-Gard 37mm x 11mm",'Mitred Cutting'!D12="Surfmist"),(('Job Sheet'!W12+'Job Sheet'!X12)*2),"")</f>
        <v/>
      </c>
      <c r="BW6" s="80" t="str">
        <f>IF(AND('Mitred Cutting'!E12="Invisi-Gard 37mm x 11mm",'Mitred Cutting'!D12="Dune"),(('Job Sheet'!W12+'Job Sheet'!X12)*2),"")</f>
        <v/>
      </c>
      <c r="BX6" s="80"/>
      <c r="BY6" s="80" t="str">
        <f>IF(AND('Mitred Cutting'!E12="Invisi-Gard 37mm x 11mm",'Mitred Cutting'!D12="Powdercoat"),(('Job Sheet'!W12+'Job Sheet'!X12)*2),"")</f>
        <v/>
      </c>
      <c r="BZ6" s="80" t="str">
        <f>IF(AND('Mitred Cutting'!E12="Invisi-Gard 37mm x 9mm",'Mitred Cutting'!D12="APO Grey"),(('Job Sheet'!W12+'Job Sheet'!X12)*2),"")</f>
        <v/>
      </c>
      <c r="CA6" s="80" t="str">
        <f>IF(AND('Mitred Cutting'!E12="Invisi-Gard 37mm x 9mm",'Mitred Cutting'!D12="White Birch"),(('Job Sheet'!W12+'Job Sheet'!X12)*2),"")</f>
        <v/>
      </c>
      <c r="CB6" s="80" t="str">
        <f>IF(AND('Mitred Cutting'!E12="Invisi-Gard 37mm x 9mm",'Mitred Cutting'!D12="Black"),(('Job Sheet'!W12+'Job Sheet'!X12)*2),"")</f>
        <v/>
      </c>
      <c r="CC6" s="80" t="str">
        <f>IF(AND('Mitred Cutting'!E12="Invisi-Gard 37mm x 9mm",'Mitred Cutting'!D12="Brown"),(('Job Sheet'!W12+'Job Sheet'!X12)*2),"")</f>
        <v/>
      </c>
      <c r="CD6" s="80" t="str">
        <f>IF(AND('Mitred Cutting'!E12="Invisi-Gard 37mm x 9mm",'Mitred Cutting'!D12="Deep Ocean"),(('Job Sheet'!W12+'Job Sheet'!X12)*2),"")</f>
        <v/>
      </c>
      <c r="CE6" s="80" t="str">
        <f>IF(AND('Mitred Cutting'!E12="Invisi-Gard 37mm x 9mm",'Mitred Cutting'!D12="Jasper"),(('Job Sheet'!W12+'Job Sheet'!X12)*2),"")</f>
        <v/>
      </c>
      <c r="CF6" s="80" t="str">
        <f>IF(AND('Mitred Cutting'!E12="Invisi-Gard 37mm x 9mm",'Mitred Cutting'!D12="Paperbark"),(('Job Sheet'!W12+'Job Sheet'!X12)*2),"")</f>
        <v/>
      </c>
      <c r="CG6" s="80" t="str">
        <f>IF(AND('Mitred Cutting'!E12="Invisi-Gard 37mm x 9mm",'Mitred Cutting'!D12="Mist Green"),(('Job Sheet'!W12+'Job Sheet'!X12)*2),"")</f>
        <v/>
      </c>
      <c r="CH6" s="80" t="str">
        <f>IF(AND('Mitred Cutting'!E12="Invisi-Gard 37mm x 9mm",'Mitred Cutting'!D12="Primrose"),(('Job Sheet'!W12+'Job Sheet'!X12)*2),"")</f>
        <v/>
      </c>
      <c r="CI6" s="80" t="str">
        <f>IF(AND('Mitred Cutting'!E12="Invisi-Gard 37mm x 9mm",'Mitred Cutting'!D12="Ultra Silver"),(('Job Sheet'!W12+'Job Sheet'!X12)*2),"")</f>
        <v/>
      </c>
      <c r="CJ6" s="80" t="str">
        <f>IF(AND('Mitred Cutting'!E12="Invisi-Gard 37mm x 9mm",'Mitred Cutting'!D12="Woodland Grey(Green Tone)"),(('Job Sheet'!W12+'Job Sheet'!X12)*2),"")</f>
        <v/>
      </c>
      <c r="CK6" s="80" t="str">
        <f>IF(AND('Mitred Cutting'!E12="Invisi-Gard 37mm x 9mm",'Mitred Cutting'!D12="Pearl White"),(('Job Sheet'!W12+'Job Sheet'!X12)*2),"")</f>
        <v/>
      </c>
      <c r="CL6" s="80" t="str">
        <f>IF(AND('Mitred Cutting'!E12="Invisi-Gard 37mm x 9mm",'Mitred Cutting'!D12="Monument"),(('Job Sheet'!W12+'Job Sheet'!X12)*2),"")</f>
        <v/>
      </c>
      <c r="CM6" s="80" t="str">
        <f>IF(AND('Mitred Cutting'!E12="Invisi-Gard 37mm x 9mm",'Mitred Cutting'!D12="Surfmist"),(('Job Sheet'!W12+'Job Sheet'!X12)*2),"")</f>
        <v/>
      </c>
      <c r="CN6" s="80" t="str">
        <f>IF(AND('Mitred Cutting'!E12="Invisi-Gard 37mm x 9mm",'Mitred Cutting'!D12="Dune"),(('Job Sheet'!W12+'Job Sheet'!X12)*2),"")</f>
        <v/>
      </c>
      <c r="CO6" s="80"/>
      <c r="CP6" s="80" t="str">
        <f>IF(AND('Mitred Cutting'!E12="Invisi-Gard 37mm x 9mm",'Mitred Cutting'!D12="Powdercoat"),(('Job Sheet'!W12+'Job Sheet'!X12)*2),"")</f>
        <v/>
      </c>
      <c r="CQ6" s="80"/>
      <c r="CR6" s="80"/>
      <c r="CS6" s="80"/>
      <c r="CT6" s="80"/>
      <c r="CU6" s="80"/>
      <c r="CV6" s="80"/>
      <c r="CW6" s="80"/>
      <c r="CX6" s="80"/>
      <c r="CY6" s="80"/>
      <c r="CZ6" s="80"/>
      <c r="DA6" s="80"/>
      <c r="DB6" s="80"/>
      <c r="DC6" s="80"/>
      <c r="DD6" s="80"/>
      <c r="DE6" s="80"/>
      <c r="DF6" s="80"/>
      <c r="DG6" s="80"/>
      <c r="DH6" s="80"/>
      <c r="DI6" s="80"/>
      <c r="DJ6" s="80"/>
      <c r="DK6" s="80"/>
      <c r="DL6" s="80"/>
      <c r="DM6" s="80"/>
      <c r="DN6" s="80"/>
      <c r="DO6" s="80"/>
      <c r="DP6" s="80"/>
      <c r="DQ6" s="80"/>
      <c r="DR6" s="80"/>
      <c r="DS6" s="80"/>
      <c r="DT6" s="80"/>
      <c r="DU6" s="80"/>
      <c r="DV6" s="80"/>
      <c r="DW6" s="80"/>
      <c r="DX6" s="80"/>
      <c r="DY6" s="80" t="str">
        <f>IF(AND('Mitred Cutting'!E12="9mm",'Mitred Cutting'!D12="APO Grey",'Job Sheet'!P12&lt;&gt;""),(('Job Sheet'!W12+'Job Sheet'!X12)*2)+'Job Sheet'!AG12,IF(AND('Mitred Cutting'!E12="9mm",'Mitred Cutting'!D12="APO Grey"),(('Job Sheet'!W12+'Job Sheet'!X12)*2),""))</f>
        <v/>
      </c>
      <c r="DZ6" s="80" t="str">
        <f>IF(AND('Mitred Cutting'!E12="9mm",'Mitred Cutting'!D12="White Birch",'Job Sheet'!P12&lt;&gt;""),(('Job Sheet'!W12+'Job Sheet'!X12)*2)+'Job Sheet'!AG12,IF(AND('Mitred Cutting'!E12="9mm",'Mitred Cutting'!D12="White Birch"),(('Job Sheet'!W12+'Job Sheet'!X12)*2),""))</f>
        <v/>
      </c>
      <c r="EA6" s="80" t="str">
        <f>IF(AND('Mitred Cutting'!E12="9mm",'Mitred Cutting'!D12="Black",'Job Sheet'!P12&lt;&gt;""),(('Job Sheet'!W12+'Job Sheet'!X12)*2)+'Job Sheet'!AG12,IF(AND('Mitred Cutting'!E12="9mm",'Mitred Cutting'!D12="Black"),(('Job Sheet'!W12+'Job Sheet'!X12)*2),""))</f>
        <v/>
      </c>
      <c r="EB6" s="80" t="str">
        <f>IF(AND('Mitred Cutting'!E12="9mm",'Mitred Cutting'!D12="Brown",'Job Sheet'!P12&lt;&gt;""),(('Job Sheet'!W12+'Job Sheet'!X12)*2)+'Job Sheet'!AG12,IF(AND('Mitred Cutting'!E12="9mm",'Mitred Cutting'!D12="Brown"),(('Job Sheet'!W12+'Job Sheet'!X12)*2),""))</f>
        <v/>
      </c>
      <c r="EC6" s="80" t="str">
        <f>IF(AND('Mitred Cutting'!E12="9mm",'Mitred Cutting'!D12="Deep Ocean",'Job Sheet'!P12&lt;&gt;""),(('Job Sheet'!W12+'Job Sheet'!X12)*2)+'Job Sheet'!AG12,IF(AND('Mitred Cutting'!E12="9mm",'Mitred Cutting'!D12="Deep Ocean"),(('Job Sheet'!W12+'Job Sheet'!X12)*2),""))</f>
        <v/>
      </c>
      <c r="ED6" s="80" t="str">
        <f>IF(AND('Mitred Cutting'!E12="9mm",'Mitred Cutting'!D12="Jasper",'Job Sheet'!P12&lt;&gt;""),(('Job Sheet'!W12+'Job Sheet'!X12)*2)+'Job Sheet'!AG12,IF(AND('Mitred Cutting'!E12="9mm",'Mitred Cutting'!D12="Jasper"),(('Job Sheet'!W12+'Job Sheet'!X12)*2),""))</f>
        <v/>
      </c>
      <c r="EE6" s="80" t="str">
        <f>IF(AND('Mitred Cutting'!E12="9mm",'Mitred Cutting'!D12="Paperbark",'Job Sheet'!P12&lt;&gt;""),(('Job Sheet'!W12+'Job Sheet'!X12)*2)+'Job Sheet'!AG12,IF(AND('Mitred Cutting'!E12="9mm",'Mitred Cutting'!D12="Paperbark"),(('Job Sheet'!W12+'Job Sheet'!X12)*2),""))</f>
        <v/>
      </c>
      <c r="EF6" s="80" t="str">
        <f>IF(AND('Mitred Cutting'!E12="9mm",'Mitred Cutting'!D12="Pale Eucalypt",'Job Sheet'!P12&lt;&gt;""),(('Job Sheet'!W12+'Job Sheet'!X12)*2)+'Job Sheet'!AG12,IF(AND('Mitred Cutting'!E12="9mm",'Mitred Cutting'!D12="Mist Green"),(('Job Sheet'!W12+'Job Sheet'!X12)*2),""))</f>
        <v/>
      </c>
      <c r="EG6" s="80" t="str">
        <f>IF(AND('Mitred Cutting'!E12="9mm",'Mitred Cutting'!D12="Primrose",'Job Sheet'!P12&lt;&gt;""),(('Job Sheet'!W12+'Job Sheet'!X12)*2)+'Job Sheet'!AG12,IF(AND('Mitred Cutting'!E12="9mm",'Mitred Cutting'!D12="Primrose"),(('Job Sheet'!W12+'Job Sheet'!X12)*2),""))</f>
        <v/>
      </c>
      <c r="EH6" s="80" t="str">
        <f>IF(AND('Mitred Cutting'!E12="9mm",'Mitred Cutting'!D12="Ultra Silver",'Job Sheet'!P12&lt;&gt;""),(('Job Sheet'!W12+'Job Sheet'!X12)*2)+'Job Sheet'!AG12,IF(AND('Mitred Cutting'!E12="9mm",'Mitred Cutting'!D12="Ultra Silver"),(('Job Sheet'!W12+'Job Sheet'!X12)*2),""))</f>
        <v/>
      </c>
      <c r="EI6" s="80" t="str">
        <f>IF(AND('Mitred Cutting'!E12="9mm",'Mitred Cutting'!D12="Woodland Grey(Green Tone)",'Job Sheet'!P12&lt;&gt;""),(('Job Sheet'!W12+'Job Sheet'!X12)*2)+'Job Sheet'!AG12,IF(AND('Mitred Cutting'!E12="9mm",'Mitred Cutting'!D12="Woodland Grey(Green Tone)"),(('Job Sheet'!W12+'Job Sheet'!X12)*2),""))</f>
        <v/>
      </c>
      <c r="EJ6" s="80" t="str">
        <f>IF(AND('Mitred Cutting'!E12="9mm",'Mitred Cutting'!D12="Pearl White",'Job Sheet'!P12&lt;&gt;""),(('Job Sheet'!W12+'Job Sheet'!X12)*2)+'Job Sheet'!AG12,IF(AND('Mitred Cutting'!E12="9mm",'Mitred Cutting'!D12="Pearl White"),(('Job Sheet'!W12+'Job Sheet'!X12)*2),""))</f>
        <v/>
      </c>
      <c r="EK6" s="80" t="str">
        <f>IF(AND('Mitred Cutting'!E12="9mm",'Mitred Cutting'!D12="Monument",'Job Sheet'!P12&lt;&gt;""),(('Job Sheet'!W12+'Job Sheet'!X12)*2)+'Job Sheet'!AG12,IF(AND('Mitred Cutting'!E12="9mm",'Mitred Cutting'!D12="Monument"),(('Job Sheet'!W12+'Job Sheet'!X12)*2),""))</f>
        <v/>
      </c>
      <c r="EL6" s="80" t="str">
        <f>IF(AND('Mitred Cutting'!E12="9mm",'Mitred Cutting'!D12="Surfmist",'Job Sheet'!P12&lt;&gt;""),(('Job Sheet'!W12+'Job Sheet'!X12)*2)+'Job Sheet'!AG12,IF(AND('Mitred Cutting'!E12="9mm",'Mitred Cutting'!D12="Surfmist"),(('Job Sheet'!W12+'Job Sheet'!X12)*2),""))</f>
        <v/>
      </c>
      <c r="EM6" s="80" t="str">
        <f>IF(AND('Mitred Cutting'!E12="9mm",'Mitred Cutting'!D12="Dune",'Job Sheet'!P12&lt;&gt;""),(('Job Sheet'!W12+'Job Sheet'!X12)*2)+'Job Sheet'!AG12,IF(AND('Mitred Cutting'!E12="9mm",'Mitred Cutting'!D12="Dune"),(('Job Sheet'!W12+'Job Sheet'!X12)*2),""))</f>
        <v/>
      </c>
      <c r="EN6" s="80" t="str">
        <f>IF(AND('Mitred Cutting'!E12="9mm",'Mitred Cutting'!D12="Powdercoat",'Job Sheet'!P12&lt;&gt;""),(('Job Sheet'!W12+'Job Sheet'!X12)*2)+'Job Sheet'!AG12,IF(AND('Mitred Cutting'!E12="9mm",'Mitred Cutting'!D12="Powdercoat"),(('Job Sheet'!W12+'Job Sheet'!X12)*2),""))</f>
        <v/>
      </c>
      <c r="EO6" s="80" t="str">
        <f>IF(AND('Mitred Cutting'!E12="11mm",'Mitred Cutting'!D12="APO Grey",'Job Sheet'!P12&lt;&gt;""),(('Job Sheet'!W12+'Job Sheet'!X12)*2)+'Job Sheet'!AG12,IF(AND('Mitred Cutting'!E12="11mm",'Mitred Cutting'!D12="APO Grey"),(('Job Sheet'!W12+'Job Sheet'!X12)*2),""))</f>
        <v/>
      </c>
      <c r="EP6" s="80" t="str">
        <f>IF(AND('Mitred Cutting'!E12="11mm",'Mitred Cutting'!D12="White Birch",'Job Sheet'!P12&lt;&gt;""),(('Job Sheet'!W12+'Job Sheet'!X12)*2)+'Job Sheet'!AG12,IF(AND('Mitred Cutting'!E12="11mm",'Mitred Cutting'!D12="White Birch"),(('Job Sheet'!W12+'Job Sheet'!X12)*2),""))</f>
        <v/>
      </c>
      <c r="EQ6" s="84" t="str">
        <f>IF(AND('Mitred Cutting'!E12="11mm",'Mitred Cutting'!D12="Black",'Job Sheet'!P12&lt;&gt;""),(('Job Sheet'!W12+'Job Sheet'!X12)*2)+'Job Sheet'!AG12,IF(AND('Mitred Cutting'!E12="11mm",'Mitred Cutting'!D12="Black"),(('Job Sheet'!W12+'Job Sheet'!X12)*2),""))</f>
        <v/>
      </c>
      <c r="ER6" s="80" t="str">
        <f>IF(AND('Mitred Cutting'!E12="11mm",'Mitred Cutting'!D12="Brown",'Job Sheet'!P12&lt;&gt;""),(('Job Sheet'!W12+'Job Sheet'!X12)*2)+'Job Sheet'!AG12,IF(AND('Mitred Cutting'!E12="11mm",'Mitred Cutting'!D12="Brown"),(('Job Sheet'!W12+'Job Sheet'!X12)*2),""))</f>
        <v/>
      </c>
      <c r="ES6" s="80" t="str">
        <f>IF(AND('Mitred Cutting'!E12="11mm",'Mitred Cutting'!D12="Deep Ocean",'Job Sheet'!P12&lt;&gt;""),(('Job Sheet'!W12+'Job Sheet'!X12)*2)+'Job Sheet'!AG12,IF(AND('Mitred Cutting'!E12="11mm",'Mitred Cutting'!D12="Deep Ocean"),(('Job Sheet'!W12+'Job Sheet'!X12)*2),""))</f>
        <v/>
      </c>
      <c r="ET6" s="80" t="str">
        <f>IF(AND('Mitred Cutting'!E12="11mm",'Mitred Cutting'!D12="Jasper",'Job Sheet'!P12&lt;&gt;""),(('Job Sheet'!W12+'Job Sheet'!X12)*2)+'Job Sheet'!AG12,IF(AND('Mitred Cutting'!E12="11mm",'Mitred Cutting'!D12="Jasper"),(('Job Sheet'!W12+'Job Sheet'!X12)*2),""))</f>
        <v/>
      </c>
      <c r="EU6" s="80" t="str">
        <f>IF(AND('Mitred Cutting'!E12="11mm",'Mitred Cutting'!D12="Paperbark",'Job Sheet'!P12&lt;&gt;""),(('Job Sheet'!W12+'Job Sheet'!X12)*2)+'Job Sheet'!AG12,IF(AND('Mitred Cutting'!E12="11mm",'Mitred Cutting'!D12="Paperbark"),(('Job Sheet'!W12+'Job Sheet'!X12)*2),""))</f>
        <v/>
      </c>
      <c r="EV6" s="80" t="str">
        <f>IF(AND('Mitred Cutting'!E12="11mm",'Mitred Cutting'!D12="Pale Eucalypt",'Job Sheet'!P12&lt;&gt;""),(('Job Sheet'!W12+'Job Sheet'!X12)*2)+'Job Sheet'!AG12,IF(AND('Mitred Cutting'!E12="11mm",'Mitred Cutting'!D12="Pale Eucalypt"),(('Job Sheet'!W12+'Job Sheet'!X12)*2),""))</f>
        <v/>
      </c>
      <c r="EW6" s="80" t="str">
        <f>IF(AND('Mitred Cutting'!E12="11mm",'Mitred Cutting'!D12="Primrose",'Job Sheet'!P12&lt;&gt;""),(('Job Sheet'!W12+'Job Sheet'!X12)*2)+'Job Sheet'!AG12,IF(AND('Mitred Cutting'!E12="11mm",'Mitred Cutting'!D12="Primrose"),(('Job Sheet'!W12+'Job Sheet'!X12)*2),""))</f>
        <v/>
      </c>
      <c r="EX6" s="80" t="str">
        <f>IF(AND('Mitred Cutting'!E12="11mm",'Mitred Cutting'!D12="Ultra Silver",'Job Sheet'!P12&lt;&gt;""),(('Job Sheet'!W12+'Job Sheet'!X12)*2)+'Job Sheet'!AG12,IF(AND('Mitred Cutting'!E12="11mm",'Mitred Cutting'!D12="Ultra Silver"),(('Job Sheet'!W12+'Job Sheet'!X12)*2),""))</f>
        <v/>
      </c>
      <c r="EY6" s="80" t="str">
        <f>IF(AND('Mitred Cutting'!E12="11mm",'Mitred Cutting'!D12="Woodland Grey(Green Tone)",'Job Sheet'!P12&lt;&gt;""),(('Job Sheet'!W12+'Job Sheet'!X12)*2)+'Job Sheet'!AG12,IF(AND('Mitred Cutting'!E12="11mm",'Mitred Cutting'!D12="Woodland Grey(Green Tone)"),(('Job Sheet'!W12+'Job Sheet'!X12)*2),""))</f>
        <v/>
      </c>
      <c r="EZ6" s="80" t="str">
        <f>IF(AND('Mitred Cutting'!E12="11mm",'Mitred Cutting'!D12="Pearl White",'Job Sheet'!P12&lt;&gt;""),(('Job Sheet'!W12+'Job Sheet'!X12)*2)+'Job Sheet'!AG12,IF(AND('Mitred Cutting'!E12="11mm",'Mitred Cutting'!D12="Pearl White"),(('Job Sheet'!W12+'Job Sheet'!X12)*2),""))</f>
        <v/>
      </c>
      <c r="FA6" s="80" t="str">
        <f>IF(AND('Mitred Cutting'!E12="11mm",'Mitred Cutting'!D12="Monument",'Job Sheet'!P12&lt;&gt;""),(('Job Sheet'!W12+'Job Sheet'!X12)*2)+'Job Sheet'!AG12,IF(AND('Mitred Cutting'!E12="11mm",'Mitred Cutting'!D12="Monument"),(('Job Sheet'!W12+'Job Sheet'!X12)*2),""))</f>
        <v/>
      </c>
      <c r="FB6" s="80" t="str">
        <f>IF(AND('Mitred Cutting'!E12="11mm",'Mitred Cutting'!D12="Surfmist",'Job Sheet'!P12&lt;&gt;""),(('Job Sheet'!W12+'Job Sheet'!X12)*2)+'Job Sheet'!AG12,IF(AND('Mitred Cutting'!E12="11mm",'Mitred Cutting'!D12="Surfmist"),(('Job Sheet'!W12+'Job Sheet'!X12)*2),""))</f>
        <v/>
      </c>
      <c r="FC6" s="80" t="str">
        <f>IF(AND('Mitred Cutting'!E12="11mm",'Mitred Cutting'!D12="Dune",'Job Sheet'!P12&lt;&gt;""),(('Job Sheet'!W12+'Job Sheet'!X12)*2)+'Job Sheet'!AG12,IF(AND('Mitred Cutting'!E12="11mm",'Mitred Cutting'!D12="Dune"),(('Job Sheet'!W12+'Job Sheet'!X12)*2),""))</f>
        <v/>
      </c>
      <c r="FD6" s="80" t="str">
        <f>IF(AND('Mitred Cutting'!E12="11mm",'Mitred Cutting'!D12="Powdercoat",'Job Sheet'!P12&lt;&gt;""),(('Job Sheet'!W12+'Job Sheet'!X12)*2)+'Job Sheet'!AG12,IF(AND('Mitred Cutting'!E12="11mm",'Mitred Cutting'!D12="Powdercoat"),(('Job Sheet'!W12+'Job Sheet'!X12)*2),""))</f>
        <v/>
      </c>
      <c r="FE6" s="80"/>
      <c r="FF6" s="80"/>
      <c r="FG6" s="80"/>
      <c r="FH6" s="80"/>
      <c r="FI6" s="80"/>
      <c r="FJ6" s="80"/>
      <c r="FK6" s="80"/>
      <c r="FL6" s="80"/>
      <c r="FM6" s="80"/>
      <c r="FN6" s="80"/>
      <c r="FO6" s="80"/>
      <c r="FP6" s="80"/>
      <c r="FQ6" s="80"/>
      <c r="FR6" s="80"/>
      <c r="FS6" s="80"/>
      <c r="FT6" s="80"/>
      <c r="FU6" s="80"/>
      <c r="FV6" s="80"/>
      <c r="FW6" s="80"/>
      <c r="FX6" s="80"/>
      <c r="FY6" s="80"/>
      <c r="FZ6" s="80"/>
      <c r="GA6" s="80"/>
      <c r="GB6" s="80"/>
      <c r="GC6" s="80"/>
      <c r="GD6" s="80"/>
      <c r="GE6" s="80"/>
      <c r="GF6" s="80"/>
      <c r="GG6" s="80"/>
      <c r="GH6" s="80"/>
      <c r="GI6" s="80"/>
      <c r="GJ6" s="80"/>
      <c r="GK6" s="80"/>
      <c r="GL6" s="80"/>
      <c r="GM6" s="80"/>
      <c r="GN6" s="80"/>
      <c r="GO6" s="80"/>
      <c r="GP6" s="80"/>
      <c r="GQ6" s="80"/>
      <c r="GR6" s="80"/>
      <c r="GS6" s="80"/>
      <c r="GT6" s="80"/>
      <c r="GU6" s="80"/>
      <c r="GV6" s="80"/>
      <c r="GW6" s="80"/>
      <c r="GX6" s="80"/>
      <c r="GY6" s="80"/>
      <c r="GZ6" s="80"/>
      <c r="HA6" s="80"/>
      <c r="HB6" s="80"/>
      <c r="HC6" s="80"/>
      <c r="HD6" s="80"/>
      <c r="HE6" s="80"/>
      <c r="HF6" s="80"/>
      <c r="HG6" s="80"/>
      <c r="HH6" s="80"/>
      <c r="HI6" s="80"/>
      <c r="HJ6" s="80"/>
      <c r="HK6" s="80"/>
      <c r="HL6" s="80"/>
      <c r="HM6" s="80"/>
      <c r="HN6" s="80"/>
      <c r="HO6" s="80"/>
      <c r="HP6" s="80"/>
      <c r="HQ6" s="80"/>
      <c r="HR6" s="80"/>
      <c r="HS6" s="80"/>
      <c r="HT6" s="80"/>
      <c r="HU6" s="80"/>
      <c r="HV6" s="80"/>
      <c r="HW6" s="80"/>
      <c r="HX6" s="80"/>
      <c r="HY6" s="80"/>
      <c r="HZ6" s="80"/>
      <c r="IA6" s="80"/>
      <c r="IB6" s="80"/>
      <c r="IC6" s="80"/>
      <c r="ID6" s="80"/>
      <c r="IE6" s="80"/>
      <c r="IF6" s="80"/>
      <c r="IG6" s="80"/>
      <c r="IH6" s="80"/>
      <c r="II6" s="80"/>
      <c r="IJ6" s="80"/>
      <c r="IK6" s="80"/>
      <c r="IL6" s="80"/>
      <c r="IM6" s="80"/>
      <c r="IN6" s="80"/>
      <c r="IO6" s="80"/>
      <c r="IP6" s="80"/>
      <c r="IQ6" s="80"/>
      <c r="IR6" s="80"/>
      <c r="IS6" s="80"/>
      <c r="IT6" s="80"/>
      <c r="IU6" s="80"/>
      <c r="IV6" s="80"/>
      <c r="IW6" s="80"/>
      <c r="IX6" s="80"/>
      <c r="IY6" s="80"/>
      <c r="IZ6" s="80"/>
      <c r="JA6" s="80"/>
      <c r="JB6" s="80"/>
      <c r="JC6" s="80"/>
      <c r="JD6" s="80"/>
      <c r="JE6" s="80"/>
      <c r="JF6" s="80"/>
      <c r="JG6" s="80"/>
      <c r="JH6" s="80"/>
      <c r="JI6" s="80"/>
      <c r="JJ6" s="80"/>
      <c r="JK6" s="80"/>
      <c r="JL6" s="80"/>
      <c r="JM6" s="80"/>
      <c r="JN6" s="80"/>
      <c r="JO6" s="80"/>
      <c r="JP6" s="80"/>
      <c r="JQ6" s="80"/>
      <c r="JR6" s="80"/>
      <c r="JS6" s="80"/>
      <c r="JT6" s="80"/>
      <c r="JU6" s="80"/>
      <c r="JV6" s="80"/>
      <c r="JW6" s="80"/>
      <c r="JX6" s="80"/>
      <c r="JY6" s="80"/>
      <c r="JZ6" s="80"/>
      <c r="KA6" s="80"/>
      <c r="KB6" s="80"/>
      <c r="KC6" s="80"/>
      <c r="KD6" s="80"/>
      <c r="KE6" s="80"/>
      <c r="KF6" s="80"/>
      <c r="KG6" s="80"/>
      <c r="KH6" s="80"/>
      <c r="KI6" s="80"/>
      <c r="KJ6" s="80"/>
      <c r="KK6" s="80"/>
      <c r="KL6" s="80"/>
      <c r="KM6" s="80"/>
      <c r="KN6" s="80"/>
      <c r="KO6" s="80"/>
      <c r="KP6" s="80"/>
      <c r="KQ6" s="80"/>
      <c r="KR6" s="80"/>
      <c r="KS6" s="80"/>
      <c r="KT6" s="80"/>
      <c r="KU6" s="80"/>
      <c r="KV6" s="80"/>
      <c r="KW6" s="80"/>
      <c r="KX6" s="80"/>
      <c r="KY6" s="80"/>
      <c r="KZ6" s="80"/>
      <c r="LA6" s="80"/>
      <c r="LB6" s="80"/>
      <c r="LC6" s="80"/>
      <c r="LD6" s="80"/>
      <c r="LE6" s="80"/>
      <c r="LF6" s="80"/>
      <c r="LG6" s="80"/>
      <c r="LH6" s="80"/>
      <c r="LI6" s="80"/>
      <c r="LJ6" s="80"/>
      <c r="LK6" s="80"/>
      <c r="LL6" s="80"/>
      <c r="LM6" s="80"/>
      <c r="LN6" s="80"/>
      <c r="LO6" s="80"/>
      <c r="LP6" s="80"/>
      <c r="LQ6" s="80"/>
      <c r="LR6" s="80"/>
      <c r="LS6" s="80"/>
      <c r="LT6" s="80"/>
      <c r="LU6" s="80"/>
      <c r="LV6" s="80"/>
      <c r="LW6" s="80"/>
      <c r="LX6" s="80"/>
      <c r="LY6" s="80"/>
      <c r="LZ6" s="80"/>
      <c r="MA6" s="80"/>
      <c r="MB6" s="80"/>
      <c r="MC6" s="80"/>
      <c r="MD6" s="80"/>
      <c r="ME6" s="80"/>
      <c r="MF6" s="80"/>
      <c r="MG6" s="80"/>
      <c r="MH6" s="80"/>
      <c r="MI6" s="80"/>
      <c r="MJ6" s="80"/>
      <c r="MK6" s="81"/>
      <c r="ML6" s="81"/>
      <c r="MM6" s="81"/>
      <c r="MN6" s="81"/>
      <c r="MO6" s="81"/>
      <c r="MP6" s="81"/>
      <c r="MQ6" s="81"/>
      <c r="MR6" s="80" t="str">
        <f>IF(AND('Straight Cutting'!D12="Standard",'Straight Cutting'!E12="APO Grey",'Straight Cutting'!F12&lt;&gt;"",'Straight Cutting'!G12=""),'Straight Cutting'!F12,IF(AND('Straight Cutting'!D12="Standard",'Straight Cutting'!E12="APO Grey",'Straight Cutting'!F12="",'Straight Cutting'!G12&lt;&gt;""),'Straight Cutting'!G12,IF(AND('Straight Cutting'!D12="Standard",'Straight Cutting'!E12="APO Grey",'Straight Cutting'!F12&lt;&gt;"",'Straight Cutting'!G12&lt;&gt;""),'Straight Cutting'!F12+'Job Sheet'!AH12,"")))</f>
        <v/>
      </c>
      <c r="MS6" s="80" t="str">
        <f>IF(AND('Straight Cutting'!D12="Standard",'Straight Cutting'!E12="White Birch",'Straight Cutting'!F12&lt;&gt;"",'Straight Cutting'!G12=""),'Straight Cutting'!F12,IF(AND('Straight Cutting'!D12="Standard",'Straight Cutting'!E12="White Birch",'Straight Cutting'!F12="",'Straight Cutting'!G12&lt;&gt;""),'Straight Cutting'!G12,IF(AND('Straight Cutting'!D12="Standard",'Straight Cutting'!E12="White Birch",'Straight Cutting'!F12&lt;&gt;"",'Straight Cutting'!G12&lt;&gt;""),'Straight Cutting'!F12+'Job Sheet'!AH12,"")))</f>
        <v/>
      </c>
      <c r="MT6" s="80" t="str">
        <f>IF(AND('Straight Cutting'!D12="Standard",'Straight Cutting'!E12="Black",'Straight Cutting'!F12&lt;&gt;"",'Straight Cutting'!G12=""),'Straight Cutting'!F12,IF(AND('Straight Cutting'!D12="Standard",'Straight Cutting'!E12="Black",'Straight Cutting'!F12="",'Straight Cutting'!G12&lt;&gt;""),'Straight Cutting'!G12,IF(AND('Straight Cutting'!D12="Standard",'Straight Cutting'!E12="Black",'Straight Cutting'!F12&lt;&gt;"",'Straight Cutting'!G12&lt;&gt;""),'Straight Cutting'!F12+'Job Sheet'!AH12,"")))</f>
        <v/>
      </c>
      <c r="MU6" s="80" t="str">
        <f>IF(AND('Straight Cutting'!D12="Standard",'Straight Cutting'!E12="Brown",'Straight Cutting'!F12&lt;&gt;"",'Straight Cutting'!G12=""),'Straight Cutting'!F12,IF(AND('Straight Cutting'!D12="Standard",'Straight Cutting'!E12="Brown",'Straight Cutting'!F12="",'Straight Cutting'!G12&lt;&gt;""),'Straight Cutting'!G12,IF(AND('Straight Cutting'!D12="Standard",'Straight Cutting'!E12="Brown",'Straight Cutting'!F12&lt;&gt;"",'Straight Cutting'!G12&lt;&gt;""),'Straight Cutting'!F12+'Job Sheet'!AH12,"")))</f>
        <v/>
      </c>
      <c r="MV6" s="80" t="str">
        <f>IF(AND('Straight Cutting'!D12="Standard",'Straight Cutting'!E12="Deep Ocean",'Straight Cutting'!F12&lt;&gt;"",'Straight Cutting'!G12=""),'Straight Cutting'!F12,IF(AND('Straight Cutting'!D12="Standard",'Straight Cutting'!E12="Deep Ocean",'Straight Cutting'!F12="",'Straight Cutting'!G12&lt;&gt;""),'Straight Cutting'!G12,IF(AND('Straight Cutting'!D12="Standard",'Straight Cutting'!E12="Deep Ocean",'Straight Cutting'!F12&lt;&gt;"",'Straight Cutting'!G12&lt;&gt;""),'Straight Cutting'!F12+'Job Sheet'!AH12,"")))</f>
        <v/>
      </c>
      <c r="MW6" s="80" t="str">
        <f>IF(AND('Straight Cutting'!D12="Standard",'Straight Cutting'!E12="Jasper",'Straight Cutting'!F12&lt;&gt;"",'Straight Cutting'!G12=""),'Straight Cutting'!F12,IF(AND('Straight Cutting'!D12="Standard",'Straight Cutting'!E12="Jasper",'Straight Cutting'!F12="",'Straight Cutting'!G12&lt;&gt;""),'Straight Cutting'!G12,IF(AND('Straight Cutting'!D12="Standard",'Straight Cutting'!E12="Jasper",'Straight Cutting'!F12&lt;&gt;"",'Straight Cutting'!G12&lt;&gt;""),'Straight Cutting'!F12+'Job Sheet'!AH12,"")))</f>
        <v/>
      </c>
      <c r="MX6" s="80" t="str">
        <f>IF(AND('Straight Cutting'!D12="Standard",'Straight Cutting'!E12="Paperbark",'Straight Cutting'!F12&lt;&gt;"",'Straight Cutting'!G12=""),'Straight Cutting'!F12,IF(AND('Straight Cutting'!D12="Standard",'Straight Cutting'!E12="Paperbark",'Straight Cutting'!F12="",'Straight Cutting'!G12&lt;&gt;""),'Straight Cutting'!G12,IF(AND('Straight Cutting'!D12="Standard",'Straight Cutting'!E12="Paperbark",'Straight Cutting'!F12&lt;&gt;"",'Straight Cutting'!G12&lt;&gt;""),'Straight Cutting'!F12+'Job Sheet'!AH12,"")))</f>
        <v/>
      </c>
      <c r="MY6" s="80" t="str">
        <f>IF(AND('Straight Cutting'!D12="Standard",'Straight Cutting'!E12="Mist Green",'Straight Cutting'!F12&lt;&gt;"",'Straight Cutting'!G12=""),'Straight Cutting'!F12,IF(AND('Straight Cutting'!D12="Standard",'Straight Cutting'!E12="Mist Green",'Straight Cutting'!F12="",'Straight Cutting'!G12&lt;&gt;""),'Straight Cutting'!G12,IF(AND('Straight Cutting'!D12="Standard",'Straight Cutting'!E12="Mist Green",'Straight Cutting'!F12&lt;&gt;"",'Straight Cutting'!G12&lt;&gt;""),'Straight Cutting'!F12+'Job Sheet'!AH12,"")))</f>
        <v/>
      </c>
      <c r="MZ6" s="80" t="str">
        <f>IF(AND('Straight Cutting'!D12="Standard",'Straight Cutting'!E12="Primrose",'Straight Cutting'!F12&lt;&gt;"",'Straight Cutting'!G12=""),'Straight Cutting'!F12,IF(AND('Straight Cutting'!D12="Standard",'Straight Cutting'!E12="Primrose",'Straight Cutting'!F12="",'Straight Cutting'!G12&lt;&gt;""),'Straight Cutting'!G12,IF(AND('Straight Cutting'!D12="Standard",'Straight Cutting'!E12="Primrose",'Straight Cutting'!F12&lt;&gt;"",'Straight Cutting'!G12&lt;&gt;""),'Straight Cutting'!F12+'Job Sheet'!AH12,"")))</f>
        <v/>
      </c>
      <c r="NA6" s="80" t="str">
        <f>IF(AND('Straight Cutting'!D12="Standard",'Straight Cutting'!E12="Ultra Silver",'Straight Cutting'!F12&lt;&gt;"",'Straight Cutting'!G12=""),'Straight Cutting'!F12,IF(AND('Straight Cutting'!D12="Standard",'Straight Cutting'!E12="Ultra Silver",'Straight Cutting'!F12="",'Straight Cutting'!G12&lt;&gt;""),'Straight Cutting'!G12,IF(AND('Straight Cutting'!D12="Standard",'Straight Cutting'!E12="Ultra Silver",'Straight Cutting'!F12&lt;&gt;"",'Straight Cutting'!G12&lt;&gt;""),'Straight Cutting'!F12+'Job Sheet'!AH12,"")))</f>
        <v/>
      </c>
      <c r="NB6" s="80" t="str">
        <f>IF(AND('Straight Cutting'!D12="Standard",'Straight Cutting'!E12="Woodland Grey(Green Tone)",'Straight Cutting'!F12&lt;&gt;"",'Straight Cutting'!G12=""),'Straight Cutting'!F12,IF(AND('Straight Cutting'!D12="Standard",'Straight Cutting'!E12="Woodland Grey(Green Tone)",'Straight Cutting'!F12="",'Straight Cutting'!G12&lt;&gt;""),'Straight Cutting'!G12,IF(AND('Straight Cutting'!D12="Standard",'Straight Cutting'!E12="Woodland Grey(Green Tone)",'Straight Cutting'!F12&lt;&gt;"",'Straight Cutting'!G12&lt;&gt;""),'Straight Cutting'!F12+'Job Sheet'!AH12,"")))</f>
        <v/>
      </c>
      <c r="NC6" s="80" t="str">
        <f>IF(AND('Straight Cutting'!D12="Standard",'Straight Cutting'!E12="Pearl White",'Straight Cutting'!F12&lt;&gt;"",'Straight Cutting'!G12=""),'Straight Cutting'!F12,IF(AND('Straight Cutting'!D12="Standard",'Straight Cutting'!E12="Pearl White",'Straight Cutting'!F12="",'Straight Cutting'!G12&lt;&gt;""),'Straight Cutting'!G12,IF(AND('Straight Cutting'!D12="Standard",'Straight Cutting'!E12="Pearl White",'Straight Cutting'!F12&lt;&gt;"",'Straight Cutting'!G12&lt;&gt;""),'Straight Cutting'!F12+'Job Sheet'!AH12,"")))</f>
        <v/>
      </c>
      <c r="ND6" s="80" t="str">
        <f>IF(AND('Straight Cutting'!D12="Standard",'Straight Cutting'!E12="Monument",'Straight Cutting'!F12&lt;&gt;"",'Straight Cutting'!G12=""),'Straight Cutting'!F12,IF(AND('Straight Cutting'!D12="Standard",'Straight Cutting'!E12="Monument",'Straight Cutting'!F12="",'Straight Cutting'!G12&lt;&gt;""),'Straight Cutting'!G12,IF(AND('Straight Cutting'!D12="Standard",'Straight Cutting'!E12="Monument",'Straight Cutting'!F12&lt;&gt;"",'Straight Cutting'!G12&lt;&gt;""),'Straight Cutting'!F12+'Job Sheet'!AH12,"")))</f>
        <v/>
      </c>
      <c r="NE6" s="80" t="str">
        <f>IF(AND('Straight Cutting'!D12="Standard",'Straight Cutting'!E12="Surfmist",'Straight Cutting'!F12&lt;&gt;"",'Straight Cutting'!G12=""),'Straight Cutting'!F12,IF(AND('Straight Cutting'!D12="Standard",'Straight Cutting'!E12="Surfmist",'Straight Cutting'!F12="",'Straight Cutting'!G12&lt;&gt;""),'Straight Cutting'!G12,IF(AND('Straight Cutting'!D12="Standard",'Straight Cutting'!E12="Surfmist",'Straight Cutting'!F12&lt;&gt;"",'Straight Cutting'!G12&lt;&gt;""),'Straight Cutting'!F12+'Job Sheet'!AH12,"")))</f>
        <v/>
      </c>
      <c r="NF6" s="80" t="str">
        <f>IF(AND('Straight Cutting'!D12="Standard",'Straight Cutting'!E12="Dune",'Straight Cutting'!F12&lt;&gt;"",'Straight Cutting'!G12=""),'Straight Cutting'!F12,IF(AND('Straight Cutting'!D12="Standard",'Straight Cutting'!E12="Dune",'Straight Cutting'!F12="",'Straight Cutting'!G12&lt;&gt;""),'Straight Cutting'!G12,IF(AND('Straight Cutting'!D12="Standard",'Straight Cutting'!E12="Dune",'Straight Cutting'!F12&lt;&gt;"",'Straight Cutting'!G12&lt;&gt;""),'Straight Cutting'!F12+'Job Sheet'!AH12,"")))</f>
        <v/>
      </c>
      <c r="NG6" s="80" t="str">
        <f>IF(AND('Straight Cutting'!D12="Standard",'Straight Cutting'!E12="Powdercoat",'Straight Cutting'!F12&lt;&gt;"",'Straight Cutting'!G12=""),'Straight Cutting'!F12,IF(AND('Straight Cutting'!D12="Standard",'Straight Cutting'!E12="Powdercoat",'Straight Cutting'!F12="",'Straight Cutting'!G12&lt;&gt;""),'Straight Cutting'!G12,IF(AND('Straight Cutting'!D12="Standard",'Straight Cutting'!E12="Powdercoat",'Straight Cutting'!F12&lt;&gt;"",'Straight Cutting'!G12&lt;&gt;""),'Straight Cutting'!F12+'Job Sheet'!AH12,"")))</f>
        <v/>
      </c>
      <c r="NH6" s="80" t="str">
        <f>IF(AND('Straight Cutting'!D12="Invisi-Gard",'Straight Cutting'!E12="APO Grey",'Straight Cutting'!F12&lt;&gt;"",'Straight Cutting'!G12=""),'Straight Cutting'!F12,IF(AND('Straight Cutting'!D12="Invisi-Gard",'Straight Cutting'!E12="APO Grey",'Straight Cutting'!F12="",'Straight Cutting'!G12&lt;&gt;""),'Straight Cutting'!G12,IF(AND('Straight Cutting'!D12="Invisi-Gard",'Straight Cutting'!E12="APO Grey",'Straight Cutting'!F12&lt;&gt;"",'Straight Cutting'!G12&lt;&gt;""),'Straight Cutting'!F12+'Job Sheet'!AH12,"")))</f>
        <v/>
      </c>
      <c r="NI6" s="80" t="str">
        <f>IF(AND('Straight Cutting'!D12="Invisi-Gard",'Straight Cutting'!E12="White Birch",'Straight Cutting'!F12&lt;&gt;"",'Straight Cutting'!G12=""),'Straight Cutting'!F12,IF(AND('Straight Cutting'!D12="Invisi-Gard",'Straight Cutting'!E12="White Birch",'Straight Cutting'!F12="",'Straight Cutting'!G12&lt;&gt;""),'Straight Cutting'!G12,IF(AND('Straight Cutting'!D12="Invisi-Gard",'Straight Cutting'!E12="White Birch",'Straight Cutting'!F12&lt;&gt;"",'Straight Cutting'!G12&lt;&gt;""),'Straight Cutting'!F12+'Job Sheet'!AH12,"")))</f>
        <v/>
      </c>
      <c r="NJ6" s="80" t="str">
        <f>IF(AND('Straight Cutting'!D12="Invisi-Gard",'Straight Cutting'!E12="Black",'Straight Cutting'!F12&lt;&gt;"",'Straight Cutting'!G12=""),'Straight Cutting'!F12,IF(AND('Straight Cutting'!D12="Invisi-Gard",'Straight Cutting'!E12="Black",'Straight Cutting'!F12="",'Straight Cutting'!G12&lt;&gt;""),'Straight Cutting'!G12,IF(AND('Straight Cutting'!D12="Invisi-Gard",'Straight Cutting'!E12="Black",'Straight Cutting'!F12&lt;&gt;"",'Straight Cutting'!G12&lt;&gt;""),'Straight Cutting'!F12+'Job Sheet'!AH12,"")))</f>
        <v/>
      </c>
      <c r="NK6" s="80" t="str">
        <f>IF(AND('Straight Cutting'!D12="Invisi-Gard",'Straight Cutting'!E12="Brown",'Straight Cutting'!F12&lt;&gt;"",'Straight Cutting'!G12=""),'Straight Cutting'!F12,IF(AND('Straight Cutting'!D12="Invisi-Gard",'Straight Cutting'!E12="Brown",'Straight Cutting'!F12="",'Straight Cutting'!G12&lt;&gt;""),'Straight Cutting'!G12,IF(AND('Straight Cutting'!D12="Invisi-Gard",'Straight Cutting'!E12="Brown",'Straight Cutting'!F12&lt;&gt;"",'Straight Cutting'!G12&lt;&gt;""),'Straight Cutting'!F12+'Job Sheet'!AH12,"")))</f>
        <v/>
      </c>
      <c r="NL6" s="80" t="str">
        <f>IF(AND('Straight Cutting'!D12="Invisi-Gard",'Straight Cutting'!E12="Deep Ocean",'Straight Cutting'!F12&lt;&gt;"",'Straight Cutting'!G12=""),'Straight Cutting'!F12,IF(AND('Straight Cutting'!D12="Invisi-Gard",'Straight Cutting'!E12="Deep Ocean",'Straight Cutting'!F12="",'Straight Cutting'!G12&lt;&gt;""),'Straight Cutting'!G12,IF(AND('Straight Cutting'!D12="Invisi-Gard",'Straight Cutting'!E12="Deep Ocean",'Straight Cutting'!F12&lt;&gt;"",'Straight Cutting'!G12&lt;&gt;""),'Straight Cutting'!F12+'Job Sheet'!AH12,"")))</f>
        <v/>
      </c>
      <c r="NM6" s="80" t="str">
        <f>IF(AND('Straight Cutting'!D12="Invisi-Gard",'Straight Cutting'!E12="Jasper",'Straight Cutting'!F12&lt;&gt;"",'Straight Cutting'!G12=""),'Straight Cutting'!F12,IF(AND('Straight Cutting'!D12="Invisi-Gard",'Straight Cutting'!E12="Jasper",'Straight Cutting'!F12="",'Straight Cutting'!G12&lt;&gt;""),'Straight Cutting'!G12,IF(AND('Straight Cutting'!D12="Invisi-Gard",'Straight Cutting'!E12="Jasper",'Straight Cutting'!F12&lt;&gt;"",'Straight Cutting'!G12&lt;&gt;""),'Straight Cutting'!F12+'Job Sheet'!AH12,"")))</f>
        <v/>
      </c>
      <c r="NN6" s="80" t="str">
        <f>IF(AND('Straight Cutting'!D12="Invisi-Gard",'Straight Cutting'!E12="Paperbark",'Straight Cutting'!F12&lt;&gt;"",'Straight Cutting'!G12=""),'Straight Cutting'!F12,IF(AND('Straight Cutting'!D12="Invisi-Gard",'Straight Cutting'!E12="Paperbark",'Straight Cutting'!F12="",'Straight Cutting'!G12&lt;&gt;""),'Straight Cutting'!G12,IF(AND('Straight Cutting'!D12="Invisi-Gard",'Straight Cutting'!E12="Paperbark",'Straight Cutting'!F12&lt;&gt;"",'Straight Cutting'!G12&lt;&gt;""),'Straight Cutting'!F12+'Job Sheet'!AH12,"")))</f>
        <v/>
      </c>
      <c r="NO6" s="80" t="str">
        <f>IF(AND('Straight Cutting'!D12="Invisi-Gard",'Straight Cutting'!E12="Mist Green",'Straight Cutting'!F12&lt;&gt;"",'Straight Cutting'!G12=""),'Straight Cutting'!F12,IF(AND('Straight Cutting'!D12="Invisi-Gard",'Straight Cutting'!E12="Mist Green",'Straight Cutting'!F12="",'Straight Cutting'!G12&lt;&gt;""),'Straight Cutting'!G12,IF(AND('Straight Cutting'!D12="Invisi-Gard",'Straight Cutting'!E12="Mist Green",'Straight Cutting'!F12&lt;&gt;"",'Straight Cutting'!G12&lt;&gt;""),'Straight Cutting'!F12+'Job Sheet'!AH12,"")))</f>
        <v/>
      </c>
      <c r="NP6" s="80" t="str">
        <f>IF(AND('Straight Cutting'!D12="Invisi-Gard",'Straight Cutting'!E12="Primrose",'Straight Cutting'!F12&lt;&gt;"",'Straight Cutting'!G12=""),'Straight Cutting'!F12,IF(AND('Straight Cutting'!D12="Invisi-Gard",'Straight Cutting'!E12="Primrose",'Straight Cutting'!F12="",'Straight Cutting'!G12&lt;&gt;""),'Straight Cutting'!G12,IF(AND('Straight Cutting'!D12="Invisi-Gard",'Straight Cutting'!E12="Primrose",'Straight Cutting'!F12&lt;&gt;"",'Straight Cutting'!G12&lt;&gt;""),'Straight Cutting'!F12+'Job Sheet'!AH12,"")))</f>
        <v/>
      </c>
      <c r="NQ6" s="80" t="str">
        <f>IF(AND('Straight Cutting'!D12="Invisi-Gard",'Straight Cutting'!E12="Ultra Silver",'Straight Cutting'!F12&lt;&gt;"",'Straight Cutting'!G12=""),'Straight Cutting'!F12,IF(AND('Straight Cutting'!D12="Invisi-Gard",'Straight Cutting'!E12="Ultra Silver",'Straight Cutting'!F12="",'Straight Cutting'!G12&lt;&gt;""),'Straight Cutting'!G12,IF(AND('Straight Cutting'!D12="Invisi-Gard",'Straight Cutting'!E12="Ultra Silver",'Straight Cutting'!F12&lt;&gt;"",'Straight Cutting'!G12&lt;&gt;""),'Straight Cutting'!F12+'Job Sheet'!AH12,"")))</f>
        <v/>
      </c>
      <c r="NR6" s="80" t="str">
        <f>IF(AND('Straight Cutting'!D12="Invisi-Gard",'Straight Cutting'!E12="Woodland Grey(Green Tone)",'Straight Cutting'!F12&lt;&gt;"",'Straight Cutting'!G12=""),'Straight Cutting'!F12,IF(AND('Straight Cutting'!D12="Invisi-Gard",'Straight Cutting'!E12="Woodland Grey(Green Tone)",'Straight Cutting'!F12="",'Straight Cutting'!G12&lt;&gt;""),'Straight Cutting'!G12,IF(AND('Straight Cutting'!D12="Invisi-Gard",'Straight Cutting'!E12="Woodland Grey(Green Tone)",'Straight Cutting'!F12&lt;&gt;"",'Straight Cutting'!G12&lt;&gt;""),'Straight Cutting'!F12+'Job Sheet'!AH12,"")))</f>
        <v/>
      </c>
      <c r="NS6" s="80" t="str">
        <f>IF(AND('Straight Cutting'!D12="Invisi-Gard",'Straight Cutting'!E12="Pearl White",'Straight Cutting'!F12&lt;&gt;"",'Straight Cutting'!G12=""),'Straight Cutting'!F12,IF(AND('Straight Cutting'!D12="Invisi-Gard",'Straight Cutting'!E12="Pearl White",'Straight Cutting'!F12="",'Straight Cutting'!G12&lt;&gt;""),'Straight Cutting'!G12,IF(AND('Straight Cutting'!D12="Invisi-Gard",'Straight Cutting'!E12="Pearl White",'Straight Cutting'!F12&lt;&gt;"",'Straight Cutting'!G12&lt;&gt;""),'Straight Cutting'!F12+'Job Sheet'!AH12,"")))</f>
        <v/>
      </c>
      <c r="NT6" s="80" t="str">
        <f>IF(AND('Straight Cutting'!D12="Invisi-Gard",'Straight Cutting'!E12="Monument",'Straight Cutting'!F12&lt;&gt;"",'Straight Cutting'!G12=""),'Straight Cutting'!F12,IF(AND('Straight Cutting'!D12="Invisi-Gard",'Straight Cutting'!E12="Monument",'Straight Cutting'!F12="",'Straight Cutting'!G12&lt;&gt;""),'Straight Cutting'!G12,IF(AND('Straight Cutting'!D12="Invisi-Gard",'Straight Cutting'!E12="Monument",'Straight Cutting'!F12&lt;&gt;"",'Straight Cutting'!G12&lt;&gt;""),'Straight Cutting'!F12+'Job Sheet'!AH12,"")))</f>
        <v/>
      </c>
      <c r="NU6" s="80" t="str">
        <f>IF(AND('Straight Cutting'!D12="Invisi-Gard",'Straight Cutting'!E12="Surfmist",'Straight Cutting'!F12&lt;&gt;"",'Straight Cutting'!G12=""),'Straight Cutting'!F12,IF(AND('Straight Cutting'!D12="Invisi-Gard",'Straight Cutting'!E12="Surfmist",'Straight Cutting'!F12="",'Straight Cutting'!G12&lt;&gt;""),'Straight Cutting'!G12,IF(AND('Straight Cutting'!D12="Invisi-Gard",'Straight Cutting'!E12="Surfmist",'Straight Cutting'!F12&lt;&gt;"",'Straight Cutting'!G12&lt;&gt;""),'Straight Cutting'!F12+'Job Sheet'!AH12,"")))</f>
        <v/>
      </c>
      <c r="NV6" s="80" t="str">
        <f>IF(AND('Straight Cutting'!D12="Invisi-Gard",'Straight Cutting'!E12="Dune",'Straight Cutting'!F12&lt;&gt;"",'Straight Cutting'!G12=""),'Straight Cutting'!F12,IF(AND('Straight Cutting'!D12="Invisi-Gard",'Straight Cutting'!E12="Dune",'Straight Cutting'!F12="",'Straight Cutting'!G12&lt;&gt;""),'Straight Cutting'!G12,IF(AND('Straight Cutting'!D12="Invisi-Gard",'Straight Cutting'!E12="Dune",'Straight Cutting'!F12&lt;&gt;"",'Straight Cutting'!G12&lt;&gt;""),'Straight Cutting'!F12+'Job Sheet'!AH12,"")))</f>
        <v/>
      </c>
      <c r="NW6" s="80" t="str">
        <f>IF(AND('Straight Cutting'!D12="Invisi-Gard",'Straight Cutting'!E12="Powdercoat",'Straight Cutting'!F12&lt;&gt;"",'Straight Cutting'!G12=""),'Straight Cutting'!F12,IF(AND('Straight Cutting'!D12="Invisi-Gard",'Straight Cutting'!E12="Powdercoat",'Straight Cutting'!F12="",'Straight Cutting'!G12&lt;&gt;""),'Straight Cutting'!G12,IF(AND('Straight Cutting'!D12="Invisi-Gard",'Straight Cutting'!E12="Powdercoat",'Straight Cutting'!F12&lt;&gt;"",'Straight Cutting'!G12&lt;&gt;""),'Straight Cutting'!F12+'Job Sheet'!AH12,"")))</f>
        <v/>
      </c>
      <c r="NX6" s="80" t="str">
        <f>IF(AND('Job Sheet'!O12="Yes",'Mitred Cutting'!D12="APO Grey"),'Straight Cutting'!I12,"")</f>
        <v/>
      </c>
      <c r="NY6" s="80" t="str">
        <f>IF(AND('Job Sheet'!O12="Yes",'Mitred Cutting'!D12="White Birch"),'Straight Cutting'!I12,"")</f>
        <v/>
      </c>
      <c r="NZ6" s="80" t="str">
        <f>IF(AND('Job Sheet'!O12="Yes",'Mitred Cutting'!D12="Black"),'Straight Cutting'!I12,"")</f>
        <v/>
      </c>
      <c r="OA6" s="80" t="str">
        <f>IF(AND('Job Sheet'!O12="Yes",'Mitred Cutting'!D12="Brown"),'Straight Cutting'!I12,"")</f>
        <v/>
      </c>
      <c r="OB6" s="80" t="str">
        <f>IF(AND('Job Sheet'!O12="Yes",'Mitred Cutting'!D12="Deep Ocean"),'Straight Cutting'!I12,"")</f>
        <v/>
      </c>
      <c r="OC6" s="80" t="str">
        <f>IF(AND('Job Sheet'!O12="Yes",'Mitred Cutting'!D12="Jasper"),'Straight Cutting'!I12,"")</f>
        <v/>
      </c>
      <c r="OD6" s="80" t="str">
        <f>IF(AND('Job Sheet'!O12="Yes",'Mitred Cutting'!D12="Paperbark"),'Straight Cutting'!I12,"")</f>
        <v/>
      </c>
      <c r="OE6" s="80" t="str">
        <f>IF(AND('Job Sheet'!O12="Yes",'Mitred Cutting'!D12="Mist Green"),'Straight Cutting'!I12,"")</f>
        <v/>
      </c>
      <c r="OF6" s="80" t="str">
        <f>IF(AND('Job Sheet'!O12="Yes",'Mitred Cutting'!D12="Primrose"),'Straight Cutting'!I12,"")</f>
        <v/>
      </c>
      <c r="OG6" s="80" t="str">
        <f>IF(AND('Job Sheet'!O12="Yes",'Mitred Cutting'!D12="Ultra Silver"),'Straight Cutting'!I12,"")</f>
        <v/>
      </c>
      <c r="OH6" s="80" t="str">
        <f>IF(AND('Job Sheet'!O12="Yes",'Mitred Cutting'!D12="Woodland Grey(Green Tone)"),'Straight Cutting'!I12,"")</f>
        <v/>
      </c>
      <c r="OI6" s="80" t="str">
        <f>IF(AND('Job Sheet'!O12="Yes",'Mitred Cutting'!D12="Pearl White"),'Straight Cutting'!I12,"")</f>
        <v/>
      </c>
      <c r="OJ6" s="80" t="str">
        <f>IF(AND('Job Sheet'!O12="Yes",'Mitred Cutting'!D12="Monument"),'Straight Cutting'!I12,"")</f>
        <v/>
      </c>
      <c r="OK6" s="80" t="str">
        <f>IF(AND('Job Sheet'!O12="Yes",'Mitred Cutting'!D12="Surfmist"),'Straight Cutting'!I12,"")</f>
        <v/>
      </c>
      <c r="OL6" s="80" t="str">
        <f>IF(AND('Job Sheet'!O12="Yes",'Mitred Cutting'!D12="Dune"),'Straight Cutting'!I12,"")</f>
        <v/>
      </c>
      <c r="OM6" s="80" t="str">
        <f>IF(AND('Job Sheet'!O12="Yes",'Mitred Cutting'!D12="Powdercoat"),'Straight Cutting'!I12,"")</f>
        <v/>
      </c>
      <c r="ON6" s="81" t="str">
        <f>IF(OR(Data!AW12="",'Job Sheet'!L12="37mm x 11mm",'Job Sheet'!L12="9mm",'Job Sheet'!L12="11mm"),"",IF(VLOOKUP(CONCATENATE(Data!BO12,'Job Sheet'!J12),DoorType,4,FALSE)="Yes",(('Job Sheet'!W12-98)*2+('Job Sheet'!X12-96)*2)/2700,""))</f>
        <v/>
      </c>
      <c r="OO6" s="81" t="str">
        <f>IF(Data!AW12="","",IF('Mitred Cutting'!G12="1.6mm",(('Job Sheet'!W12-114)*2+('Job Sheet'!X12-114)*2)/3100,""))</f>
        <v/>
      </c>
      <c r="OP6" s="81" t="str">
        <f>IF(Data!AW12="","",IF('Mitred Cutting'!G12="2mm",(('Job Sheet'!W12-114)*2+('Job Sheet'!X12-114)*2)/3100,""))</f>
        <v/>
      </c>
      <c r="OQ6" s="52" t="str">
        <f>IF(OR(Data!AW12="",Data!BN12="Invisi-Scape",'Job Sheet'!AC12=""),"",IF(OR('Job Sheet'!P12="Yes - Centre Horizontal",'Job Sheet'!P12="Yes - Centre Vertical"),('Job Sheet'!AC12*4+'Job Sheet'!AE12*4)/4000,IF('Job Sheet'!P12="Yes - Horizontal",('Job Sheet'!AC12*4+'Job Sheet'!AE12*2+'Job Sheet'!AF12*2)/4000,IF('Job Sheet'!P12="Yes - Vertical",('Job Sheet'!AC12*2+'Job Sheet'!AE12*4)/4000,IF('Job Sheet'!P12="",('Job Sheet'!AC12*2+'Job Sheet'!AE12*2)/4000,IF('Job Sheet'!P12="Yes - Horizontal &amp; Vertical",('Job Sheet'!AC12*4+'Job Sheet'!AD12*4+'Job Sheet'!AE12*4+'Job Sheet'!AF12*4)/4000,IF('Job Sheet'!P12="Yes - Centre Horizontal &amp; Vertical",('Job Sheet'!AC12*8+'Job Sheet'!AE12*8)/4000,"")))))))</f>
        <v/>
      </c>
      <c r="OR6" s="52" t="str">
        <f t="shared" si="1"/>
        <v/>
      </c>
      <c r="OS6" s="52" t="str">
        <f t="shared" si="2"/>
        <v/>
      </c>
      <c r="OT6" s="80"/>
      <c r="OU6" s="80" t="str">
        <f>IF(Data!AW12="","",IF(OR('Job Sheet'!J12="Fibreglass Mesh",'Job Sheet'!J12="Pet Mesh",'Job Sheet'!J12="DVA Mesh",'Job Sheet'!J12="Tuff Mesh",'Job Sheet'!J12="Alu-screen",Data!BO12="Fibreglass Mesh",Data!BO12="Pet Mesh",Data!BO12="DVA Mesh",Data!BO12="Tuff Mesh",Data!BO12="Alu-screen"),(('Job Sheet'!W12-98)*2+('Job Sheet'!X12-96)*2),""))</f>
        <v/>
      </c>
      <c r="OV6" s="80"/>
      <c r="OW6" s="80"/>
      <c r="OX6" s="80"/>
      <c r="OY6" s="80"/>
      <c r="OZ6" s="80"/>
      <c r="PA6" s="80"/>
      <c r="PB6" s="80"/>
      <c r="PC6" s="80"/>
      <c r="PD6" s="80" t="str">
        <f>IF(OR('Mitred Cutting'!E12="70mm x 20mm",'Mitred Cutting'!E12="Invisi-Gard 70mm x 20mm"),4,"")</f>
        <v/>
      </c>
      <c r="PE6" s="80" t="str">
        <f>IF('Mitred Cutting'!E12="37mm x 11mm",4,"")</f>
        <v/>
      </c>
      <c r="PF6" s="80" t="str">
        <f>IF('Mitred Cutting'!E12="Invisi-Gard 37mm x 9mm",4,"")</f>
        <v/>
      </c>
      <c r="PG6" s="80" t="str">
        <f>IF('Mitred Cutting'!E12="Invisi-Gard 37mm x 11mm",4,"")</f>
        <v/>
      </c>
      <c r="PH6" s="80" t="str">
        <f>IF('Mitred Cutting'!E12="9mm",4,"")</f>
        <v/>
      </c>
      <c r="PI6" s="80" t="str">
        <f>IF('Mitred Cutting'!E12="11mm",4,"")</f>
        <v/>
      </c>
      <c r="PJ6" s="80"/>
      <c r="PK6" s="80" t="str">
        <f>IF(OR('Job Sheet'!N12="Yes - Front of Frame",'Job Sheet'!N12="Yes - Back of Frame"),1,"")</f>
        <v/>
      </c>
      <c r="PL6" s="80" t="str">
        <f>IF('Job Sheet'!M12="Swivel Clips Extended x 2",2,IF('Job Sheet'!M12="Swivel Clips Extended x 4",4,IF('Job Sheet'!M12="Swivel Clips Extended x 6",6,"")))</f>
        <v/>
      </c>
      <c r="PM6" s="80" t="str">
        <f>IF('Job Sheet'!M12="Swivel Clips Flush x 2",2,IF('Job Sheet'!M12="Swivel Clips Flush x 4",4,IF('Job Sheet'!M12="Swivel Clips Flush x 6",6,"")))</f>
        <v/>
      </c>
      <c r="PN6" s="80" t="str">
        <f>IF('Job Sheet'!M12="Plunger Pins x 2",2,IF('Job Sheet'!M12="Plunger Pins x 4",4,IF('Job Sheet'!M12="Plunger Pins x 6",6,"")))</f>
        <v/>
      </c>
      <c r="PO6" s="80"/>
      <c r="PP6" s="80"/>
      <c r="PQ6" s="80"/>
      <c r="PR6" s="80"/>
      <c r="PS6" s="80"/>
      <c r="PT6" s="80"/>
      <c r="PU6" s="80"/>
      <c r="PV6" s="80"/>
      <c r="PW6" s="80"/>
      <c r="PX6" s="80"/>
      <c r="PY6" s="80"/>
      <c r="PZ6" s="80"/>
      <c r="QA6" s="80"/>
      <c r="QB6" s="80"/>
      <c r="QC6" s="80"/>
      <c r="QD6" s="80"/>
      <c r="QE6" s="80"/>
      <c r="QF6" s="80"/>
      <c r="QG6" s="80"/>
      <c r="QH6" s="80"/>
      <c r="QI6" s="80"/>
      <c r="QJ6" s="80"/>
      <c r="QK6" s="80"/>
      <c r="QL6" s="80"/>
      <c r="QM6" s="80"/>
      <c r="QN6" s="80"/>
      <c r="QO6" s="80"/>
      <c r="QP6" s="80"/>
      <c r="QQ6" s="80"/>
      <c r="QR6" s="80"/>
      <c r="QS6" s="80"/>
      <c r="QT6" s="80"/>
      <c r="QU6" s="80"/>
      <c r="QV6" s="80"/>
      <c r="QW6" s="80"/>
      <c r="QX6" s="80"/>
      <c r="QY6" s="82"/>
      <c r="RD6" t="str">
        <f>IF('Assembly &amp; Bagging'!J12="2 Hinges","2",IF('Assembly &amp; Bagging'!J12="3 Hinges","3",""))</f>
        <v/>
      </c>
      <c r="RH6" s="80"/>
      <c r="RL6" t="str">
        <f>IF(OR('Job Sheet'!M12="Hinged LHS with Slide Bolt on Inside",'Job Sheet'!M12="Hinged LHS with Slide Bolt on Inside"),1,"")</f>
        <v/>
      </c>
      <c r="RM6" s="80"/>
      <c r="RO6" t="str">
        <f>IF('Straight Cutting'!D12&lt;&gt;"Invisi-Gard","",IF(AND('Straight Cutting'!F12&lt;&gt;"",'Straight Cutting'!G12&lt;&gt;""),6,2))</f>
        <v/>
      </c>
      <c r="RP6" t="str">
        <f>IF(AND('Job Sheet'!P12&lt;&gt;"",(OR('Mitred Cutting'!E12="9mm",'Mitred Cutting'!E12="11mm"))),2,"")</f>
        <v/>
      </c>
      <c r="RR6" s="80" t="str">
        <f>Guillotine!E12</f>
        <v/>
      </c>
      <c r="RS6" t="str">
        <f>IF('Assembly &amp; Bagging'!E12="Flywire","",IF('Assembly &amp; Bagging'!E12="Invisi-Gard Woven Stainless Steel","Woven Stainless Steel",'Assembly &amp; Bagging'!E12))</f>
        <v/>
      </c>
      <c r="RT6" s="80"/>
      <c r="RU6" s="80"/>
      <c r="RV6" s="80"/>
      <c r="RW6" s="80"/>
      <c r="RX6" s="80"/>
      <c r="RY6" s="80"/>
      <c r="RZ6" s="80"/>
      <c r="SA6" s="80"/>
      <c r="SB6" s="80"/>
      <c r="SC6" s="80"/>
      <c r="SD6" s="80"/>
      <c r="SE6" s="80"/>
      <c r="SF6" s="80"/>
      <c r="SG6" s="80"/>
      <c r="SH6" s="80"/>
      <c r="SI6" s="80"/>
      <c r="SJ6" s="80"/>
      <c r="SK6" s="80"/>
      <c r="SL6" s="80"/>
      <c r="SM6" s="80"/>
      <c r="SN6" s="80"/>
      <c r="SO6" s="80"/>
      <c r="SP6" s="80"/>
      <c r="SQ6" s="80"/>
      <c r="SR6" s="80"/>
      <c r="SS6" s="80"/>
      <c r="ST6" s="80"/>
      <c r="SU6" s="80"/>
      <c r="SV6" s="80"/>
      <c r="SW6" s="80"/>
      <c r="SX6" s="80"/>
      <c r="SY6" s="80"/>
      <c r="SZ6" s="80"/>
      <c r="TA6" s="80"/>
      <c r="TB6" s="80"/>
      <c r="TC6" s="80"/>
      <c r="TD6" s="80"/>
      <c r="TE6" s="80"/>
      <c r="TF6" s="80"/>
      <c r="TG6" s="80"/>
      <c r="TH6" s="80"/>
      <c r="TI6" s="80"/>
      <c r="TJ6" s="80"/>
      <c r="TK6" s="80"/>
      <c r="TL6" s="80"/>
      <c r="TM6" s="80"/>
      <c r="TN6" s="80"/>
      <c r="TO6" s="80"/>
      <c r="TP6" s="80"/>
      <c r="TQ6" s="80"/>
      <c r="TR6" s="80"/>
      <c r="TS6" s="80"/>
      <c r="TT6" s="80"/>
      <c r="TU6" s="80"/>
      <c r="TV6" s="80"/>
      <c r="TW6" s="80"/>
      <c r="TX6" s="80"/>
      <c r="TY6" s="80"/>
      <c r="TZ6" s="80"/>
      <c r="UA6" s="80"/>
      <c r="UB6" s="80"/>
      <c r="UC6" s="80"/>
      <c r="UD6" s="80"/>
      <c r="UE6" s="80"/>
      <c r="UF6" s="80"/>
      <c r="UG6" s="80"/>
      <c r="UH6" s="80"/>
      <c r="UI6" s="80"/>
      <c r="UJ6" s="80"/>
      <c r="UK6" s="80"/>
      <c r="UL6" s="80"/>
      <c r="UM6" s="80"/>
      <c r="UN6" s="80"/>
      <c r="UO6" s="80"/>
      <c r="UP6" s="80"/>
      <c r="UQ6" s="80"/>
      <c r="UR6" s="80"/>
      <c r="US6" s="80"/>
      <c r="UT6" s="80"/>
      <c r="UU6" s="80"/>
      <c r="UV6" s="80"/>
      <c r="UW6" s="80"/>
      <c r="UX6" s="80"/>
      <c r="UY6" s="80"/>
      <c r="UZ6" s="80"/>
      <c r="VA6" s="80"/>
      <c r="VB6" s="80"/>
      <c r="VC6" s="80"/>
      <c r="VD6" s="80"/>
      <c r="VE6" s="80"/>
      <c r="VF6" s="80"/>
      <c r="VG6" s="80"/>
      <c r="VH6" s="80"/>
      <c r="VI6" s="80"/>
      <c r="VJ6" s="80"/>
      <c r="VK6" s="80"/>
      <c r="VL6" s="80"/>
      <c r="VM6" s="80"/>
      <c r="VN6" s="80"/>
      <c r="VO6" s="80"/>
      <c r="VP6" s="80"/>
      <c r="VQ6" s="80"/>
      <c r="VR6" s="80"/>
      <c r="VS6" s="80"/>
      <c r="VT6" s="80"/>
      <c r="VU6" s="80"/>
      <c r="VV6" s="80"/>
      <c r="VW6" s="80"/>
      <c r="VX6" s="80"/>
      <c r="VY6" s="80"/>
      <c r="VZ6" s="80"/>
      <c r="WA6" s="80"/>
      <c r="WB6" s="80"/>
      <c r="WC6" s="80"/>
      <c r="WD6" s="80"/>
      <c r="WE6" s="80"/>
      <c r="WF6" s="80"/>
      <c r="WG6" s="80"/>
      <c r="WH6" s="80"/>
      <c r="WI6" s="80"/>
      <c r="WJ6" s="80"/>
      <c r="WK6" s="80"/>
      <c r="WL6" s="80"/>
      <c r="WM6" s="80"/>
      <c r="WN6" s="80"/>
      <c r="WO6" s="80"/>
      <c r="WP6" s="80"/>
      <c r="WQ6" s="80"/>
      <c r="WR6" s="80"/>
      <c r="WS6" s="80"/>
      <c r="WT6" s="80"/>
      <c r="WU6" s="80"/>
      <c r="WV6" s="80"/>
      <c r="WW6" s="80"/>
      <c r="WX6" s="80"/>
      <c r="WY6" s="80"/>
      <c r="WZ6" s="80"/>
      <c r="XA6" s="80"/>
      <c r="XB6" s="80"/>
      <c r="XC6" s="80"/>
      <c r="XD6" s="80"/>
      <c r="XE6" s="80"/>
      <c r="XF6" s="80"/>
      <c r="XG6" s="80"/>
      <c r="XH6" s="80"/>
      <c r="XI6" s="80"/>
      <c r="XJ6" s="80"/>
      <c r="XK6" s="80"/>
      <c r="XL6" s="80"/>
      <c r="XM6" s="80"/>
      <c r="XN6" s="80"/>
      <c r="XO6" s="80"/>
      <c r="XP6" s="80"/>
      <c r="XQ6" s="80"/>
      <c r="XR6" s="80"/>
      <c r="XS6" s="80"/>
      <c r="XT6" s="80"/>
      <c r="XU6" s="80"/>
      <c r="XV6" s="80"/>
      <c r="XW6" s="80"/>
      <c r="XX6" s="80"/>
      <c r="XY6" s="80"/>
      <c r="XZ6" s="80"/>
      <c r="YA6" s="80"/>
      <c r="YB6" s="80"/>
      <c r="YC6" s="80"/>
      <c r="YD6" s="80"/>
      <c r="YE6" s="80"/>
      <c r="YF6" s="80"/>
      <c r="YG6" s="80"/>
      <c r="YH6" s="80"/>
      <c r="YI6" s="80"/>
      <c r="YJ6" s="80"/>
      <c r="YK6" s="80"/>
      <c r="YL6" s="80"/>
      <c r="YM6" s="80"/>
      <c r="YN6" s="80"/>
      <c r="YO6" s="80"/>
      <c r="YP6" s="80"/>
      <c r="YQ6" s="80"/>
      <c r="YR6" s="80"/>
      <c r="YS6" s="80"/>
      <c r="YT6" s="80"/>
      <c r="YU6" s="80"/>
      <c r="YV6" s="80"/>
      <c r="YW6" s="80"/>
      <c r="YX6" s="80"/>
      <c r="YY6" s="80"/>
      <c r="YZ6" s="80"/>
      <c r="ZA6" s="80"/>
      <c r="ZB6" s="80"/>
      <c r="ZC6" s="80"/>
      <c r="ZD6" s="80"/>
      <c r="ZE6" s="80"/>
      <c r="ZF6" s="80"/>
      <c r="ZG6" s="80"/>
      <c r="ZH6" s="80"/>
      <c r="ZI6" s="80"/>
      <c r="ZJ6" s="80"/>
      <c r="ZK6" s="80"/>
      <c r="ZL6" s="80"/>
      <c r="ZM6" s="80"/>
      <c r="ZN6" s="80"/>
      <c r="ZO6" s="80"/>
      <c r="ZP6" s="80"/>
      <c r="ZQ6" s="80"/>
      <c r="ZR6" s="80"/>
      <c r="ZS6" s="80"/>
      <c r="ZT6" s="80"/>
      <c r="ZU6" s="80"/>
      <c r="ZV6" s="80"/>
      <c r="ZW6" s="80"/>
      <c r="ZX6" s="80"/>
      <c r="ZY6" s="80"/>
      <c r="ZZ6" s="80"/>
      <c r="AAA6" s="80"/>
      <c r="AAB6" s="80"/>
      <c r="AAC6" s="80"/>
      <c r="AAD6" s="80"/>
      <c r="AAE6" s="80"/>
      <c r="AAF6" s="80"/>
      <c r="AAG6" s="80"/>
      <c r="AAH6" s="80"/>
      <c r="AAI6" s="80"/>
      <c r="AAJ6" s="80"/>
      <c r="AAK6" s="80"/>
      <c r="AAL6" s="80"/>
      <c r="AAM6" s="80"/>
      <c r="AAN6" s="80"/>
      <c r="AAO6" s="80"/>
      <c r="AAP6" s="80"/>
      <c r="AAQ6" s="80"/>
      <c r="AAR6" s="80"/>
      <c r="AAS6" s="80"/>
      <c r="AAT6" s="80"/>
      <c r="AAU6" s="80"/>
      <c r="AAV6" s="80"/>
      <c r="AAW6" s="80"/>
      <c r="AAX6" s="80"/>
      <c r="AAY6" s="80"/>
      <c r="AAZ6" s="80"/>
      <c r="ABA6" s="80"/>
      <c r="ABB6" s="80"/>
      <c r="ABC6" s="80"/>
      <c r="ABD6" s="80"/>
      <c r="ABE6" s="80"/>
      <c r="ABF6" s="80"/>
      <c r="ABG6" s="80"/>
      <c r="ABH6" s="80"/>
      <c r="ABI6" s="80"/>
      <c r="ABJ6" s="80"/>
      <c r="ABK6" s="80"/>
      <c r="ABL6" s="80"/>
      <c r="ABM6" s="80"/>
      <c r="ABN6" s="80"/>
      <c r="ABO6" s="80"/>
      <c r="ABP6" s="80"/>
      <c r="ABQ6" s="80"/>
      <c r="ABR6" s="80"/>
      <c r="ABS6" s="80"/>
      <c r="ABT6" s="80"/>
      <c r="ABU6" s="80"/>
      <c r="ABV6" s="80"/>
      <c r="ABW6" s="80"/>
      <c r="ABX6" s="80"/>
      <c r="ABY6" s="80"/>
      <c r="ABZ6" s="80"/>
      <c r="ACA6" s="80"/>
      <c r="ACB6" s="80"/>
      <c r="ACC6" s="80"/>
      <c r="ACD6" s="80" t="str">
        <f>IF('Job Sheet'!J12="Fibreglass Mesh",CONCATENATE('Job Sheet'!W12," x ",'Job Sheet'!X12),"")</f>
        <v/>
      </c>
      <c r="ACE6" s="80" t="str">
        <f>IF('Job Sheet'!J12="Alu-screen",CONCATENATE('Job Sheet'!W12," x ",'Job Sheet'!X12),"")</f>
        <v/>
      </c>
      <c r="ACF6" s="80" t="str">
        <f>IF('Job Sheet'!J12="Pet Mesh",CONCATENATE('Job Sheet'!W12," x ",'Job Sheet'!X12),"")</f>
        <v/>
      </c>
      <c r="ACH6" s="80"/>
    </row>
    <row r="7" spans="4:762" ht="13.2" customHeight="1">
      <c r="D7" t="str">
        <f>IF(OR(Data!AV13="",Data!BN13="Invisi-Scape"),"",CONCATENATE(Data!BC$5,".",Data!BD$5))</f>
        <v/>
      </c>
      <c r="E7" t="str">
        <f>IF(D7="","",Data!AW13)</f>
        <v/>
      </c>
      <c r="F7" t="str">
        <f>IF(D7="","",Data!AV13)</f>
        <v/>
      </c>
      <c r="G7" t="str">
        <f t="shared" si="0"/>
        <v/>
      </c>
      <c r="H7" t="str">
        <f>IF(D7="","",Data!BF$5)</f>
        <v/>
      </c>
      <c r="I7" t="str">
        <f>IF(D7="","",Data!AX$5)</f>
        <v/>
      </c>
      <c r="J7" s="80" t="str">
        <f>IF(AND('Mitred Cutting'!E13="70mm x 20mm",'Mitred Cutting'!D13="APO Grey"),(('Job Sheet'!W13+'Job Sheet'!X13)*2),"")</f>
        <v/>
      </c>
      <c r="K7" s="80" t="str">
        <f>IF(AND('Mitred Cutting'!E13="70mm x 20mm",'Mitred Cutting'!D13="White Birch"),(('Job Sheet'!W13+'Job Sheet'!X13)*2),"")</f>
        <v/>
      </c>
      <c r="L7" s="80" t="str">
        <f>IF(AND('Mitred Cutting'!E13="70mm x 20mm",'Mitred Cutting'!D13="Black"),(('Job Sheet'!W13+'Job Sheet'!X13)*2),"")</f>
        <v/>
      </c>
      <c r="M7" s="80" t="str">
        <f>IF(AND('Mitred Cutting'!E13="70mm x 20mm",'Mitred Cutting'!D13="Brown"),(('Job Sheet'!W13+'Job Sheet'!X13)*2),"")</f>
        <v/>
      </c>
      <c r="N7" s="80" t="str">
        <f>IF(AND('Mitred Cutting'!E13="70mm x 20mm",'Mitred Cutting'!D13="Deep Ocean"),(('Job Sheet'!W13+'Job Sheet'!X13)*2),"")</f>
        <v/>
      </c>
      <c r="O7" s="80" t="str">
        <f>IF(AND('Mitred Cutting'!E13="70mm x 20mm",'Mitred Cutting'!D13="Jasper"),(('Job Sheet'!W13+'Job Sheet'!X13)*2),"")</f>
        <v/>
      </c>
      <c r="P7" s="80" t="str">
        <f>IF(AND('Mitred Cutting'!E13="70mm x 20mm",'Mitred Cutting'!D13="Paperbark"),(('Job Sheet'!W13+'Job Sheet'!X13)*2),"")</f>
        <v/>
      </c>
      <c r="Q7" s="80" t="str">
        <f>IF(AND('Mitred Cutting'!E13="70mm x 20mm",'Mitred Cutting'!D13="Mist Green"),(('Job Sheet'!W13+'Job Sheet'!X13)*2),"")</f>
        <v/>
      </c>
      <c r="R7" s="80" t="str">
        <f>IF(AND('Mitred Cutting'!E13="70mm x 20mm",'Mitred Cutting'!D13="Primrose"),(('Job Sheet'!W13+'Job Sheet'!X13)*2),"")</f>
        <v/>
      </c>
      <c r="S7" s="80" t="str">
        <f>IF(AND('Mitred Cutting'!E13="70mm x 20mm",'Mitred Cutting'!D13="Ultra Silver"),(('Job Sheet'!W13+'Job Sheet'!X13)*2),"")</f>
        <v/>
      </c>
      <c r="T7" s="80" t="str">
        <f>IF(AND('Mitred Cutting'!E13="70mm x 20mm",'Mitred Cutting'!D13="Woodland Grey(Green Tone)"),(('Job Sheet'!W13+'Job Sheet'!X13)*2),"")</f>
        <v/>
      </c>
      <c r="U7" s="80" t="str">
        <f>IF(AND('Mitred Cutting'!E13="70mm x 20mm",'Mitred Cutting'!D13="Pearl White"),(('Job Sheet'!W13+'Job Sheet'!X13)*2),"")</f>
        <v/>
      </c>
      <c r="V7" s="80" t="str">
        <f>IF(AND('Mitred Cutting'!E13="70mm x 20mm",'Mitred Cutting'!D13="Monument"),(('Job Sheet'!W13+'Job Sheet'!X13)*2),"")</f>
        <v/>
      </c>
      <c r="W7" s="80" t="str">
        <f>IF(AND('Mitred Cutting'!E13="70mm x 20mm",'Mitred Cutting'!D13="Surfmist"),(('Job Sheet'!W13+'Job Sheet'!X13)*2),"")</f>
        <v/>
      </c>
      <c r="X7" s="80" t="str">
        <f>IF(AND('Mitred Cutting'!E13="70mm x 20mm",'Mitred Cutting'!D13="Dune"),(('Job Sheet'!W13+'Job Sheet'!X13)*2),"")</f>
        <v/>
      </c>
      <c r="Y7" s="80"/>
      <c r="Z7" s="80" t="str">
        <f>IF(AND('Mitred Cutting'!E13="70mm x 20mm",'Mitred Cutting'!D13="Powdercoat"),(('Job Sheet'!W13+'Job Sheet'!X13)*2),"")</f>
        <v/>
      </c>
      <c r="AA7" s="80" t="str">
        <f>IF(AND('Mitred Cutting'!E13="Invisi-Gard 70mm x 20mm",'Mitred Cutting'!D13="APO Grey"),(('Job Sheet'!W13+'Job Sheet'!X13)*2),"")</f>
        <v/>
      </c>
      <c r="AB7" s="80" t="str">
        <f>IF(AND('Mitred Cutting'!E13="Invisi-Gard 70mm x 20mm",'Mitred Cutting'!D13="White Birch"),(('Job Sheet'!W13+'Job Sheet'!X13)*2),"")</f>
        <v/>
      </c>
      <c r="AC7" s="80" t="str">
        <f>IF(AND('Mitred Cutting'!E13="Invisi-Gard 70mm x 20mm",'Mitred Cutting'!D13="Black"),(('Job Sheet'!W13+'Job Sheet'!X13)*2),"")</f>
        <v/>
      </c>
      <c r="AD7" s="80" t="str">
        <f>IF(AND('Mitred Cutting'!E13="Invisi-Gard 70mm x 20mm",'Mitred Cutting'!D13="Brown"),(('Job Sheet'!W13+'Job Sheet'!X13)*2),"")</f>
        <v/>
      </c>
      <c r="AE7" s="80" t="str">
        <f>IF(AND('Mitred Cutting'!E13="Invisi-Gard 70mm x 20mm",'Mitred Cutting'!D13="Deep Ocean"),(('Job Sheet'!W13+'Job Sheet'!X13)*2),"")</f>
        <v/>
      </c>
      <c r="AF7" s="80" t="str">
        <f>IF(AND('Mitred Cutting'!E13="Invisi-Gard 70mm x 20mm",'Mitred Cutting'!D13="Jasper"),(('Job Sheet'!W13+'Job Sheet'!X13)*2),"")</f>
        <v/>
      </c>
      <c r="AG7" s="80" t="str">
        <f>IF(AND('Mitred Cutting'!E13="Invisi-Gard 70mm x 20mm",'Mitred Cutting'!D13="Paperbark"),(('Job Sheet'!W13+'Job Sheet'!X13)*2),"")</f>
        <v/>
      </c>
      <c r="AH7" s="80" t="str">
        <f>IF(AND('Mitred Cutting'!E13="Invisi-Gard 70mm x 20mm",'Mitred Cutting'!D13="Mist Green"),(('Job Sheet'!W13+'Job Sheet'!X13)*2),"")</f>
        <v/>
      </c>
      <c r="AI7" s="80" t="str">
        <f>IF(AND('Mitred Cutting'!E13="Invisi-Gard 70mm x 20mm",'Mitred Cutting'!D13="Primrose"),(('Job Sheet'!W13+'Job Sheet'!X13)*2),"")</f>
        <v/>
      </c>
      <c r="AJ7" s="80" t="str">
        <f>IF(AND('Mitred Cutting'!E13="Invisi-Gard 70mm x 20mm",'Mitred Cutting'!D13="Ultra Silver"),(('Job Sheet'!W13+'Job Sheet'!X13)*2),"")</f>
        <v/>
      </c>
      <c r="AK7" s="80" t="str">
        <f>IF(AND('Mitred Cutting'!E13="Invisi-Gard 70mm x 20mm",'Mitred Cutting'!D13="Woodland Grey(Green Tone)"),(('Job Sheet'!W13+'Job Sheet'!X13)*2),"")</f>
        <v/>
      </c>
      <c r="AL7" s="80" t="str">
        <f>IF(AND('Mitred Cutting'!E13="Invisi-Gard 70mm x 20mm",'Mitred Cutting'!D13="Pearl White"),(('Job Sheet'!W13+'Job Sheet'!X13)*2),"")</f>
        <v/>
      </c>
      <c r="AM7" s="80" t="str">
        <f>IF(AND('Mitred Cutting'!E13="Invisi-Gard 70mm x 20mm",'Mitred Cutting'!D13="Monument"),(('Job Sheet'!W13+'Job Sheet'!X13)*2),"")</f>
        <v/>
      </c>
      <c r="AN7" s="80" t="str">
        <f>IF(AND('Mitred Cutting'!E13="Invisi-Gard 70mm x 20mm",'Mitred Cutting'!D13="Surfmist"),(('Job Sheet'!W13+'Job Sheet'!X13)*2),"")</f>
        <v/>
      </c>
      <c r="AO7" s="80" t="str">
        <f>IF(AND('Mitred Cutting'!E13="Invisi-Gard 70mm x 20mm",'Mitred Cutting'!D13="Dune"),(('Job Sheet'!W13+'Job Sheet'!X13)*2),"")</f>
        <v/>
      </c>
      <c r="AP7" s="80"/>
      <c r="AQ7" s="80" t="str">
        <f>IF(AND('Mitred Cutting'!E13="Invisi-Gard 70mm x 20mm",'Mitred Cutting'!D13="Powdercoat"),(('Job Sheet'!W13+'Job Sheet'!X13)*2),"")</f>
        <v/>
      </c>
      <c r="AR7" s="80" t="str">
        <f>IF(AND('Mitred Cutting'!E13="37mm x 11mm",'Mitred Cutting'!D13="APO Grey"),(('Job Sheet'!W13+'Job Sheet'!X13)*2),"")</f>
        <v/>
      </c>
      <c r="AS7" s="80" t="str">
        <f>IF(AND('Mitred Cutting'!E13="37mm x 11mm",'Mitred Cutting'!D13="White Birch"),(('Job Sheet'!W13+'Job Sheet'!X13)*2),"")</f>
        <v/>
      </c>
      <c r="AT7" s="80" t="str">
        <f>IF(AND('Mitred Cutting'!E13="37mm x 11mm",'Mitred Cutting'!D13="Black"),(('Job Sheet'!W13+'Job Sheet'!X13)*2),"")</f>
        <v/>
      </c>
      <c r="AU7" s="80" t="str">
        <f>IF(AND('Mitred Cutting'!E13="37mm x 11mm",'Mitred Cutting'!D13="Brown"),(('Job Sheet'!W13+'Job Sheet'!X13)*2),"")</f>
        <v/>
      </c>
      <c r="AV7" s="80" t="str">
        <f>IF(AND('Mitred Cutting'!E13="37mm x 11mm",'Mitred Cutting'!D13="Deep Ocean"),(('Job Sheet'!W13+'Job Sheet'!X13)*2),"")</f>
        <v/>
      </c>
      <c r="AW7" s="80" t="str">
        <f>IF(AND('Mitred Cutting'!E13="37mm x 11mm",'Mitred Cutting'!D13="Jasper"),(('Job Sheet'!W13+'Job Sheet'!X13)*2),"")</f>
        <v/>
      </c>
      <c r="AX7" s="80" t="str">
        <f>IF(AND('Mitred Cutting'!E13="37mm x 11mm",'Mitred Cutting'!D13="Paperbark"),(('Job Sheet'!W13+'Job Sheet'!X13)*2),"")</f>
        <v/>
      </c>
      <c r="AY7" s="80" t="str">
        <f>IF(AND('Mitred Cutting'!E13="37mm x 11mm",'Mitred Cutting'!D13="Mist Green"),(('Job Sheet'!W13+'Job Sheet'!X13)*2),"")</f>
        <v/>
      </c>
      <c r="AZ7" s="80" t="str">
        <f>IF(AND('Mitred Cutting'!E13="37mm x 11mm",'Mitred Cutting'!D13="Primrose"),(('Job Sheet'!W13+'Job Sheet'!X13)*2),"")</f>
        <v/>
      </c>
      <c r="BA7" s="80" t="str">
        <f>IF(AND('Mitred Cutting'!E13="37mm x 11mm",'Mitred Cutting'!D13="Ultra Silver"),(('Job Sheet'!W13+'Job Sheet'!X13)*2),"")</f>
        <v/>
      </c>
      <c r="BB7" s="80" t="str">
        <f>IF(AND('Mitred Cutting'!E13="37mm x 11mm",'Mitred Cutting'!D13="Woodland Grey(Green Tone)"),(('Job Sheet'!W13+'Job Sheet'!X13)*2),"")</f>
        <v/>
      </c>
      <c r="BC7" s="80" t="str">
        <f>IF(AND('Mitred Cutting'!E13="37mm x 11mm",'Mitred Cutting'!D13="Pearl White"),(('Job Sheet'!W13+'Job Sheet'!X13)*2),"")</f>
        <v/>
      </c>
      <c r="BD7" s="80" t="str">
        <f>IF(AND('Mitred Cutting'!E13="37mm x 11mm",'Mitred Cutting'!D13="Monument"),(('Job Sheet'!W13+'Job Sheet'!X13)*2),"")</f>
        <v/>
      </c>
      <c r="BE7" s="80" t="str">
        <f>IF(AND('Mitred Cutting'!E13="37mm x 11mm",'Mitred Cutting'!D13="Surfmist"),(('Job Sheet'!W13+'Job Sheet'!X13)*2),"")</f>
        <v/>
      </c>
      <c r="BF7" s="80" t="str">
        <f>IF(AND('Mitred Cutting'!E13="37mm x 11mm",'Mitred Cutting'!D13="Dune"),(('Job Sheet'!W13+'Job Sheet'!X13)*2),"")</f>
        <v/>
      </c>
      <c r="BG7" s="80" t="str">
        <f>IF(AND('Mitred Cutting'!E13="37mm x 11mm",'Mitred Cutting'!D13="Woodland Grey (Dulux)"),(('Job Sheet'!W13+'Job Sheet'!X13)*2),"")</f>
        <v/>
      </c>
      <c r="BH7" s="80" t="str">
        <f>IF(AND('Mitred Cutting'!E13="37mm x 11mm",'Mitred Cutting'!D13="Powdercoat"),(('Job Sheet'!W13+'Job Sheet'!X13)*2),"")</f>
        <v/>
      </c>
      <c r="BI7" s="80" t="str">
        <f>IF(AND('Mitred Cutting'!E13="Invisi-Gard 37mm x 11mm",'Mitred Cutting'!D13="APO Grey"),(('Job Sheet'!W13+'Job Sheet'!X13)*2),"")</f>
        <v/>
      </c>
      <c r="BJ7" s="80" t="str">
        <f>IF(AND('Mitred Cutting'!E13="Invisi-Gard 37mm x 11mm",'Mitred Cutting'!D13="White Birch"),(('Job Sheet'!W13+'Job Sheet'!X13)*2),"")</f>
        <v/>
      </c>
      <c r="BK7" s="80" t="str">
        <f>IF(AND('Mitred Cutting'!E13="Invisi-Gard 37mm x 11mm",'Mitred Cutting'!D13="Black"),(('Job Sheet'!W13+'Job Sheet'!X13)*2),"")</f>
        <v/>
      </c>
      <c r="BL7" s="80" t="str">
        <f>IF(AND('Mitred Cutting'!E13="Invisi-Gard 37mm x 11mm",'Mitred Cutting'!D13="Brown"),(('Job Sheet'!W13+'Job Sheet'!X13)*2),"")</f>
        <v/>
      </c>
      <c r="BM7" s="80" t="str">
        <f>IF(AND('Mitred Cutting'!E13="Invisi-Gard 37mm x 11mm",'Mitred Cutting'!D13="Deep Ocean"),(('Job Sheet'!W13+'Job Sheet'!X13)*2),"")</f>
        <v/>
      </c>
      <c r="BN7" s="80" t="str">
        <f>IF(AND('Mitred Cutting'!E13="Invisi-Gard 37mm x 11mm",'Mitred Cutting'!D13="Jasper"),(('Job Sheet'!W13+'Job Sheet'!X13)*2),"")</f>
        <v/>
      </c>
      <c r="BO7" s="80" t="str">
        <f>IF(AND('Mitred Cutting'!E13="Invisi-Gard 37mm x 11mm",'Mitred Cutting'!D13="Paperbark"),(('Job Sheet'!W13+'Job Sheet'!X13)*2),"")</f>
        <v/>
      </c>
      <c r="BP7" s="80" t="str">
        <f>IF(AND('Mitred Cutting'!E13="Invisi-Gard 37mm x 11mm",'Mitred Cutting'!D13="Mist Green"),(('Job Sheet'!W13+'Job Sheet'!X13)*2),"")</f>
        <v/>
      </c>
      <c r="BQ7" s="80" t="str">
        <f>IF(AND('Mitred Cutting'!E13="Invisi-Gard 37mm x 11mm",'Mitred Cutting'!D13="Primrose"),(('Job Sheet'!W13+'Job Sheet'!X13)*2),"")</f>
        <v/>
      </c>
      <c r="BR7" s="80" t="str">
        <f>IF(AND('Mitred Cutting'!E13="Invisi-Gard 37mm x 11mm",'Mitred Cutting'!D13="Ultra Silver"),(('Job Sheet'!W13+'Job Sheet'!X13)*2),"")</f>
        <v/>
      </c>
      <c r="BS7" s="80" t="str">
        <f>IF(AND('Mitred Cutting'!E13="Invisi-Gard 37mm x 11mm",'Mitred Cutting'!D13="Woodland Grey(Green Tone)"),(('Job Sheet'!W13+'Job Sheet'!X13)*2),"")</f>
        <v/>
      </c>
      <c r="BT7" s="80" t="str">
        <f>IF(AND('Mitred Cutting'!E13="Invisi-Gard 37mm x 11mm",'Mitred Cutting'!D13="Pearl White"),(('Job Sheet'!W13+'Job Sheet'!X13)*2),"")</f>
        <v/>
      </c>
      <c r="BU7" s="80" t="str">
        <f>IF(AND('Mitred Cutting'!E13="Invisi-Gard 37mm x 11mm",'Mitred Cutting'!D13="Monument"),(('Job Sheet'!W13+'Job Sheet'!X13)*2),"")</f>
        <v/>
      </c>
      <c r="BV7" s="80" t="str">
        <f>IF(AND('Mitred Cutting'!E13="Invisi-Gard 37mm x 11mm",'Mitred Cutting'!D13="Surfmist"),(('Job Sheet'!W13+'Job Sheet'!X13)*2),"")</f>
        <v/>
      </c>
      <c r="BW7" s="80" t="str">
        <f>IF(AND('Mitred Cutting'!E13="Invisi-Gard 37mm x 11mm",'Mitred Cutting'!D13="Dune"),(('Job Sheet'!W13+'Job Sheet'!X13)*2),"")</f>
        <v/>
      </c>
      <c r="BX7" s="80"/>
      <c r="BY7" s="80" t="str">
        <f>IF(AND('Mitred Cutting'!E13="Invisi-Gard 37mm x 11mm",'Mitred Cutting'!D13="Powdercoat"),(('Job Sheet'!W13+'Job Sheet'!X13)*2),"")</f>
        <v/>
      </c>
      <c r="BZ7" s="80" t="str">
        <f>IF(AND('Mitred Cutting'!E13="Invisi-Gard 37mm x 9mm",'Mitred Cutting'!D13="APO Grey"),(('Job Sheet'!W13+'Job Sheet'!X13)*2),"")</f>
        <v/>
      </c>
      <c r="CA7" s="80" t="str">
        <f>IF(AND('Mitred Cutting'!E13="Invisi-Gard 37mm x 9mm",'Mitred Cutting'!D13="White Birch"),(('Job Sheet'!W13+'Job Sheet'!X13)*2),"")</f>
        <v/>
      </c>
      <c r="CB7" s="80" t="str">
        <f>IF(AND('Mitred Cutting'!E13="Invisi-Gard 37mm x 9mm",'Mitred Cutting'!D13="Black"),(('Job Sheet'!W13+'Job Sheet'!X13)*2),"")</f>
        <v/>
      </c>
      <c r="CC7" s="80" t="str">
        <f>IF(AND('Mitred Cutting'!E13="Invisi-Gard 37mm x 9mm",'Mitred Cutting'!D13="Brown"),(('Job Sheet'!W13+'Job Sheet'!X13)*2),"")</f>
        <v/>
      </c>
      <c r="CD7" s="80" t="str">
        <f>IF(AND('Mitred Cutting'!E13="Invisi-Gard 37mm x 9mm",'Mitred Cutting'!D13="Deep Ocean"),(('Job Sheet'!W13+'Job Sheet'!X13)*2),"")</f>
        <v/>
      </c>
      <c r="CE7" s="80" t="str">
        <f>IF(AND('Mitred Cutting'!E13="Invisi-Gard 37mm x 9mm",'Mitred Cutting'!D13="Jasper"),(('Job Sheet'!W13+'Job Sheet'!X13)*2),"")</f>
        <v/>
      </c>
      <c r="CF7" s="80" t="str">
        <f>IF(AND('Mitred Cutting'!E13="Invisi-Gard 37mm x 9mm",'Mitred Cutting'!D13="Paperbark"),(('Job Sheet'!W13+'Job Sheet'!X13)*2),"")</f>
        <v/>
      </c>
      <c r="CG7" s="80" t="str">
        <f>IF(AND('Mitred Cutting'!E13="Invisi-Gard 37mm x 9mm",'Mitred Cutting'!D13="Mist Green"),(('Job Sheet'!W13+'Job Sheet'!X13)*2),"")</f>
        <v/>
      </c>
      <c r="CH7" s="80" t="str">
        <f>IF(AND('Mitred Cutting'!E13="Invisi-Gard 37mm x 9mm",'Mitred Cutting'!D13="Primrose"),(('Job Sheet'!W13+'Job Sheet'!X13)*2),"")</f>
        <v/>
      </c>
      <c r="CI7" s="80" t="str">
        <f>IF(AND('Mitred Cutting'!E13="Invisi-Gard 37mm x 9mm",'Mitred Cutting'!D13="Ultra Silver"),(('Job Sheet'!W13+'Job Sheet'!X13)*2),"")</f>
        <v/>
      </c>
      <c r="CJ7" s="80" t="str">
        <f>IF(AND('Mitred Cutting'!E13="Invisi-Gard 37mm x 9mm",'Mitred Cutting'!D13="Woodland Grey(Green Tone)"),(('Job Sheet'!W13+'Job Sheet'!X13)*2),"")</f>
        <v/>
      </c>
      <c r="CK7" s="80" t="str">
        <f>IF(AND('Mitred Cutting'!E13="Invisi-Gard 37mm x 9mm",'Mitred Cutting'!D13="Pearl White"),(('Job Sheet'!W13+'Job Sheet'!X13)*2),"")</f>
        <v/>
      </c>
      <c r="CL7" s="80" t="str">
        <f>IF(AND('Mitred Cutting'!E13="Invisi-Gard 37mm x 9mm",'Mitred Cutting'!D13="Monument"),(('Job Sheet'!W13+'Job Sheet'!X13)*2),"")</f>
        <v/>
      </c>
      <c r="CM7" s="80" t="str">
        <f>IF(AND('Mitred Cutting'!E13="Invisi-Gard 37mm x 9mm",'Mitred Cutting'!D13="Surfmist"),(('Job Sheet'!W13+'Job Sheet'!X13)*2),"")</f>
        <v/>
      </c>
      <c r="CN7" s="80" t="str">
        <f>IF(AND('Mitred Cutting'!E13="Invisi-Gard 37mm x 9mm",'Mitred Cutting'!D13="Dune"),(('Job Sheet'!W13+'Job Sheet'!X13)*2),"")</f>
        <v/>
      </c>
      <c r="CO7" s="80"/>
      <c r="CP7" s="80" t="str">
        <f>IF(AND('Mitred Cutting'!E13="Invisi-Gard 37mm x 9mm",'Mitred Cutting'!D13="Powdercoat"),(('Job Sheet'!W13+'Job Sheet'!X13)*2),"")</f>
        <v/>
      </c>
      <c r="CQ7" s="80"/>
      <c r="CR7" s="80"/>
      <c r="CS7" s="80"/>
      <c r="CT7" s="80"/>
      <c r="CU7" s="80"/>
      <c r="CV7" s="80"/>
      <c r="CW7" s="80"/>
      <c r="CX7" s="80"/>
      <c r="CY7" s="80"/>
      <c r="CZ7" s="80"/>
      <c r="DA7" s="80"/>
      <c r="DB7" s="80"/>
      <c r="DC7" s="80"/>
      <c r="DD7" s="80"/>
      <c r="DE7" s="80"/>
      <c r="DF7" s="80"/>
      <c r="DG7" s="80"/>
      <c r="DH7" s="80"/>
      <c r="DI7" s="80"/>
      <c r="DJ7" s="80"/>
      <c r="DK7" s="80"/>
      <c r="DL7" s="80"/>
      <c r="DM7" s="80"/>
      <c r="DN7" s="80"/>
      <c r="DO7" s="80"/>
      <c r="DP7" s="80"/>
      <c r="DQ7" s="80"/>
      <c r="DR7" s="80"/>
      <c r="DS7" s="80"/>
      <c r="DT7" s="80"/>
      <c r="DU7" s="80"/>
      <c r="DV7" s="80"/>
      <c r="DW7" s="80"/>
      <c r="DX7" s="80"/>
      <c r="DY7" s="80" t="str">
        <f>IF(AND('Mitred Cutting'!E13="9mm",'Mitred Cutting'!D13="APO Grey",'Job Sheet'!P13&lt;&gt;""),(('Job Sheet'!W13+'Job Sheet'!X13)*2)+'Job Sheet'!AG13,IF(AND('Mitred Cutting'!E13="9mm",'Mitred Cutting'!D13="APO Grey"),(('Job Sheet'!W13+'Job Sheet'!X13)*2),""))</f>
        <v/>
      </c>
      <c r="DZ7" s="80" t="str">
        <f>IF(AND('Mitred Cutting'!E13="9mm",'Mitred Cutting'!D13="White Birch",'Job Sheet'!P13&lt;&gt;""),(('Job Sheet'!W13+'Job Sheet'!X13)*2)+'Job Sheet'!AG13,IF(AND('Mitred Cutting'!E13="9mm",'Mitred Cutting'!D13="White Birch"),(('Job Sheet'!W13+'Job Sheet'!X13)*2),""))</f>
        <v/>
      </c>
      <c r="EA7" s="80" t="str">
        <f>IF(AND('Mitred Cutting'!E13="9mm",'Mitred Cutting'!D13="Black",'Job Sheet'!P13&lt;&gt;""),(('Job Sheet'!W13+'Job Sheet'!X13)*2)+'Job Sheet'!AG13,IF(AND('Mitred Cutting'!E13="9mm",'Mitred Cutting'!D13="Black"),(('Job Sheet'!W13+'Job Sheet'!X13)*2),""))</f>
        <v/>
      </c>
      <c r="EB7" s="80" t="str">
        <f>IF(AND('Mitred Cutting'!E13="9mm",'Mitred Cutting'!D13="Brown",'Job Sheet'!P13&lt;&gt;""),(('Job Sheet'!W13+'Job Sheet'!X13)*2)+'Job Sheet'!AG13,IF(AND('Mitred Cutting'!E13="9mm",'Mitred Cutting'!D13="Brown"),(('Job Sheet'!W13+'Job Sheet'!X13)*2),""))</f>
        <v/>
      </c>
      <c r="EC7" s="80" t="str">
        <f>IF(AND('Mitred Cutting'!E13="9mm",'Mitred Cutting'!D13="Deep Ocean",'Job Sheet'!P13&lt;&gt;""),(('Job Sheet'!W13+'Job Sheet'!X13)*2)+'Job Sheet'!AG13,IF(AND('Mitred Cutting'!E13="9mm",'Mitred Cutting'!D13="Deep Ocean"),(('Job Sheet'!W13+'Job Sheet'!X13)*2),""))</f>
        <v/>
      </c>
      <c r="ED7" s="80" t="str">
        <f>IF(AND('Mitred Cutting'!E13="9mm",'Mitred Cutting'!D13="Jasper",'Job Sheet'!P13&lt;&gt;""),(('Job Sheet'!W13+'Job Sheet'!X13)*2)+'Job Sheet'!AG13,IF(AND('Mitred Cutting'!E13="9mm",'Mitred Cutting'!D13="Jasper"),(('Job Sheet'!W13+'Job Sheet'!X13)*2),""))</f>
        <v/>
      </c>
      <c r="EE7" s="80" t="str">
        <f>IF(AND('Mitred Cutting'!E13="9mm",'Mitred Cutting'!D13="Paperbark",'Job Sheet'!P13&lt;&gt;""),(('Job Sheet'!W13+'Job Sheet'!X13)*2)+'Job Sheet'!AG13,IF(AND('Mitred Cutting'!E13="9mm",'Mitred Cutting'!D13="Paperbark"),(('Job Sheet'!W13+'Job Sheet'!X13)*2),""))</f>
        <v/>
      </c>
      <c r="EF7" s="80" t="str">
        <f>IF(AND('Mitred Cutting'!E13="9mm",'Mitred Cutting'!D13="Pale Eucalypt",'Job Sheet'!P13&lt;&gt;""),(('Job Sheet'!W13+'Job Sheet'!X13)*2)+'Job Sheet'!AG13,IF(AND('Mitred Cutting'!E13="9mm",'Mitred Cutting'!D13="Mist Green"),(('Job Sheet'!W13+'Job Sheet'!X13)*2),""))</f>
        <v/>
      </c>
      <c r="EG7" s="80" t="str">
        <f>IF(AND('Mitred Cutting'!E13="9mm",'Mitred Cutting'!D13="Primrose",'Job Sheet'!P13&lt;&gt;""),(('Job Sheet'!W13+'Job Sheet'!X13)*2)+'Job Sheet'!AG13,IF(AND('Mitred Cutting'!E13="9mm",'Mitred Cutting'!D13="Primrose"),(('Job Sheet'!W13+'Job Sheet'!X13)*2),""))</f>
        <v/>
      </c>
      <c r="EH7" s="80" t="str">
        <f>IF(AND('Mitred Cutting'!E13="9mm",'Mitred Cutting'!D13="Ultra Silver",'Job Sheet'!P13&lt;&gt;""),(('Job Sheet'!W13+'Job Sheet'!X13)*2)+'Job Sheet'!AG13,IF(AND('Mitred Cutting'!E13="9mm",'Mitred Cutting'!D13="Ultra Silver"),(('Job Sheet'!W13+'Job Sheet'!X13)*2),""))</f>
        <v/>
      </c>
      <c r="EI7" s="80" t="str">
        <f>IF(AND('Mitred Cutting'!E13="9mm",'Mitred Cutting'!D13="Woodland Grey(Green Tone)",'Job Sheet'!P13&lt;&gt;""),(('Job Sheet'!W13+'Job Sheet'!X13)*2)+'Job Sheet'!AG13,IF(AND('Mitred Cutting'!E13="9mm",'Mitred Cutting'!D13="Woodland Grey(Green Tone)"),(('Job Sheet'!W13+'Job Sheet'!X13)*2),""))</f>
        <v/>
      </c>
      <c r="EJ7" s="80" t="str">
        <f>IF(AND('Mitred Cutting'!E13="9mm",'Mitred Cutting'!D13="Pearl White",'Job Sheet'!P13&lt;&gt;""),(('Job Sheet'!W13+'Job Sheet'!X13)*2)+'Job Sheet'!AG13,IF(AND('Mitred Cutting'!E13="9mm",'Mitred Cutting'!D13="Pearl White"),(('Job Sheet'!W13+'Job Sheet'!X13)*2),""))</f>
        <v/>
      </c>
      <c r="EK7" s="80" t="str">
        <f>IF(AND('Mitred Cutting'!E13="9mm",'Mitred Cutting'!D13="Monument",'Job Sheet'!P13&lt;&gt;""),(('Job Sheet'!W13+'Job Sheet'!X13)*2)+'Job Sheet'!AG13,IF(AND('Mitred Cutting'!E13="9mm",'Mitred Cutting'!D13="Monument"),(('Job Sheet'!W13+'Job Sheet'!X13)*2),""))</f>
        <v/>
      </c>
      <c r="EL7" s="80" t="str">
        <f>IF(AND('Mitred Cutting'!E13="9mm",'Mitred Cutting'!D13="Surfmist",'Job Sheet'!P13&lt;&gt;""),(('Job Sheet'!W13+'Job Sheet'!X13)*2)+'Job Sheet'!AG13,IF(AND('Mitred Cutting'!E13="9mm",'Mitred Cutting'!D13="Surfmist"),(('Job Sheet'!W13+'Job Sheet'!X13)*2),""))</f>
        <v/>
      </c>
      <c r="EM7" s="80" t="str">
        <f>IF(AND('Mitred Cutting'!E13="9mm",'Mitred Cutting'!D13="Dune",'Job Sheet'!P13&lt;&gt;""),(('Job Sheet'!W13+'Job Sheet'!X13)*2)+'Job Sheet'!AG13,IF(AND('Mitred Cutting'!E13="9mm",'Mitred Cutting'!D13="Dune"),(('Job Sheet'!W13+'Job Sheet'!X13)*2),""))</f>
        <v/>
      </c>
      <c r="EN7" s="80" t="str">
        <f>IF(AND('Mitred Cutting'!E13="9mm",'Mitred Cutting'!D13="Powdercoat",'Job Sheet'!P13&lt;&gt;""),(('Job Sheet'!W13+'Job Sheet'!X13)*2)+'Job Sheet'!AG13,IF(AND('Mitred Cutting'!E13="9mm",'Mitred Cutting'!D13="Powdercoat"),(('Job Sheet'!W13+'Job Sheet'!X13)*2),""))</f>
        <v/>
      </c>
      <c r="EO7" s="80" t="str">
        <f>IF(AND('Mitred Cutting'!E13="11mm",'Mitred Cutting'!D13="APO Grey",'Job Sheet'!P13&lt;&gt;""),(('Job Sheet'!W13+'Job Sheet'!X13)*2)+'Job Sheet'!AG13,IF(AND('Mitred Cutting'!E13="11mm",'Mitred Cutting'!D13="APO Grey"),(('Job Sheet'!W13+'Job Sheet'!X13)*2),""))</f>
        <v/>
      </c>
      <c r="EP7" s="80" t="str">
        <f>IF(AND('Mitred Cutting'!E13="11mm",'Mitred Cutting'!D13="White Birch",'Job Sheet'!P13&lt;&gt;""),(('Job Sheet'!W13+'Job Sheet'!X13)*2)+'Job Sheet'!AG13,IF(AND('Mitred Cutting'!E13="11mm",'Mitred Cutting'!D13="White Birch"),(('Job Sheet'!W13+'Job Sheet'!X13)*2),""))</f>
        <v/>
      </c>
      <c r="EQ7" s="84" t="str">
        <f>IF(AND('Mitred Cutting'!E13="11mm",'Mitred Cutting'!D13="Black",'Job Sheet'!P13&lt;&gt;""),(('Job Sheet'!W13+'Job Sheet'!X13)*2)+'Job Sheet'!AG13,IF(AND('Mitred Cutting'!E13="11mm",'Mitred Cutting'!D13="Black"),(('Job Sheet'!W13+'Job Sheet'!X13)*2),""))</f>
        <v/>
      </c>
      <c r="ER7" s="80" t="str">
        <f>IF(AND('Mitred Cutting'!E13="11mm",'Mitred Cutting'!D13="Brown",'Job Sheet'!P13&lt;&gt;""),(('Job Sheet'!W13+'Job Sheet'!X13)*2)+'Job Sheet'!AG13,IF(AND('Mitred Cutting'!E13="11mm",'Mitred Cutting'!D13="Brown"),(('Job Sheet'!W13+'Job Sheet'!X13)*2),""))</f>
        <v/>
      </c>
      <c r="ES7" s="80" t="str">
        <f>IF(AND('Mitred Cutting'!E13="11mm",'Mitred Cutting'!D13="Deep Ocean",'Job Sheet'!P13&lt;&gt;""),(('Job Sheet'!W13+'Job Sheet'!X13)*2)+'Job Sheet'!AG13,IF(AND('Mitred Cutting'!E13="11mm",'Mitred Cutting'!D13="Deep Ocean"),(('Job Sheet'!W13+'Job Sheet'!X13)*2),""))</f>
        <v/>
      </c>
      <c r="ET7" s="80" t="str">
        <f>IF(AND('Mitred Cutting'!E13="11mm",'Mitred Cutting'!D13="Jasper",'Job Sheet'!P13&lt;&gt;""),(('Job Sheet'!W13+'Job Sheet'!X13)*2)+'Job Sheet'!AG13,IF(AND('Mitred Cutting'!E13="11mm",'Mitred Cutting'!D13="Jasper"),(('Job Sheet'!W13+'Job Sheet'!X13)*2),""))</f>
        <v/>
      </c>
      <c r="EU7" s="80" t="str">
        <f>IF(AND('Mitred Cutting'!E13="11mm",'Mitred Cutting'!D13="Paperbark",'Job Sheet'!P13&lt;&gt;""),(('Job Sheet'!W13+'Job Sheet'!X13)*2)+'Job Sheet'!AG13,IF(AND('Mitred Cutting'!E13="11mm",'Mitred Cutting'!D13="Paperbark"),(('Job Sheet'!W13+'Job Sheet'!X13)*2),""))</f>
        <v/>
      </c>
      <c r="EV7" s="80" t="str">
        <f>IF(AND('Mitred Cutting'!E13="11mm",'Mitred Cutting'!D13="Pale Eucalypt",'Job Sheet'!P13&lt;&gt;""),(('Job Sheet'!W13+'Job Sheet'!X13)*2)+'Job Sheet'!AG13,IF(AND('Mitred Cutting'!E13="11mm",'Mitred Cutting'!D13="Pale Eucalypt"),(('Job Sheet'!W13+'Job Sheet'!X13)*2),""))</f>
        <v/>
      </c>
      <c r="EW7" s="80" t="str">
        <f>IF(AND('Mitred Cutting'!E13="11mm",'Mitred Cutting'!D13="Primrose",'Job Sheet'!P13&lt;&gt;""),(('Job Sheet'!W13+'Job Sheet'!X13)*2)+'Job Sheet'!AG13,IF(AND('Mitred Cutting'!E13="11mm",'Mitred Cutting'!D13="Primrose"),(('Job Sheet'!W13+'Job Sheet'!X13)*2),""))</f>
        <v/>
      </c>
      <c r="EX7" s="80" t="str">
        <f>IF(AND('Mitred Cutting'!E13="11mm",'Mitred Cutting'!D13="Ultra Silver",'Job Sheet'!P13&lt;&gt;""),(('Job Sheet'!W13+'Job Sheet'!X13)*2)+'Job Sheet'!AG13,IF(AND('Mitred Cutting'!E13="11mm",'Mitred Cutting'!D13="Ultra Silver"),(('Job Sheet'!W13+'Job Sheet'!X13)*2),""))</f>
        <v/>
      </c>
      <c r="EY7" s="80" t="str">
        <f>IF(AND('Mitred Cutting'!E13="11mm",'Mitred Cutting'!D13="Woodland Grey(Green Tone)",'Job Sheet'!P13&lt;&gt;""),(('Job Sheet'!W13+'Job Sheet'!X13)*2)+'Job Sheet'!AG13,IF(AND('Mitred Cutting'!E13="11mm",'Mitred Cutting'!D13="Woodland Grey(Green Tone)"),(('Job Sheet'!W13+'Job Sheet'!X13)*2),""))</f>
        <v/>
      </c>
      <c r="EZ7" s="80" t="str">
        <f>IF(AND('Mitred Cutting'!E13="11mm",'Mitred Cutting'!D13="Pearl White",'Job Sheet'!P13&lt;&gt;""),(('Job Sheet'!W13+'Job Sheet'!X13)*2)+'Job Sheet'!AG13,IF(AND('Mitred Cutting'!E13="11mm",'Mitred Cutting'!D13="Pearl White"),(('Job Sheet'!W13+'Job Sheet'!X13)*2),""))</f>
        <v/>
      </c>
      <c r="FA7" s="80" t="str">
        <f>IF(AND('Mitred Cutting'!E13="11mm",'Mitred Cutting'!D13="Monument",'Job Sheet'!P13&lt;&gt;""),(('Job Sheet'!W13+'Job Sheet'!X13)*2)+'Job Sheet'!AG13,IF(AND('Mitred Cutting'!E13="11mm",'Mitred Cutting'!D13="Monument"),(('Job Sheet'!W13+'Job Sheet'!X13)*2),""))</f>
        <v/>
      </c>
      <c r="FB7" s="80" t="str">
        <f>IF(AND('Mitred Cutting'!E13="11mm",'Mitred Cutting'!D13="Surfmist",'Job Sheet'!P13&lt;&gt;""),(('Job Sheet'!W13+'Job Sheet'!X13)*2)+'Job Sheet'!AG13,IF(AND('Mitred Cutting'!E13="11mm",'Mitred Cutting'!D13="Surfmist"),(('Job Sheet'!W13+'Job Sheet'!X13)*2),""))</f>
        <v/>
      </c>
      <c r="FC7" s="80" t="str">
        <f>IF(AND('Mitred Cutting'!E13="11mm",'Mitred Cutting'!D13="Dune",'Job Sheet'!P13&lt;&gt;""),(('Job Sheet'!W13+'Job Sheet'!X13)*2)+'Job Sheet'!AG13,IF(AND('Mitred Cutting'!E13="11mm",'Mitred Cutting'!D13="Dune"),(('Job Sheet'!W13+'Job Sheet'!X13)*2),""))</f>
        <v/>
      </c>
      <c r="FD7" s="80" t="str">
        <f>IF(AND('Mitred Cutting'!E13="11mm",'Mitred Cutting'!D13="Powdercoat",'Job Sheet'!P13&lt;&gt;""),(('Job Sheet'!W13+'Job Sheet'!X13)*2)+'Job Sheet'!AG13,IF(AND('Mitred Cutting'!E13="11mm",'Mitred Cutting'!D13="Powdercoat"),(('Job Sheet'!W13+'Job Sheet'!X13)*2),""))</f>
        <v/>
      </c>
      <c r="FE7" s="80"/>
      <c r="FF7" s="80"/>
      <c r="FG7" s="80"/>
      <c r="FH7" s="80"/>
      <c r="FI7" s="80"/>
      <c r="FJ7" s="80"/>
      <c r="FK7" s="80"/>
      <c r="FL7" s="80"/>
      <c r="FM7" s="80"/>
      <c r="FN7" s="80"/>
      <c r="FO7" s="80"/>
      <c r="FP7" s="80"/>
      <c r="FQ7" s="80"/>
      <c r="FR7" s="80"/>
      <c r="FS7" s="80"/>
      <c r="FT7" s="80"/>
      <c r="FU7" s="80"/>
      <c r="FV7" s="80"/>
      <c r="FW7" s="80"/>
      <c r="FX7" s="80"/>
      <c r="FY7" s="80"/>
      <c r="FZ7" s="80"/>
      <c r="GA7" s="80"/>
      <c r="GB7" s="80"/>
      <c r="GC7" s="80"/>
      <c r="GD7" s="80"/>
      <c r="GE7" s="80"/>
      <c r="GF7" s="80"/>
      <c r="GG7" s="80"/>
      <c r="GH7" s="80"/>
      <c r="GI7" s="80"/>
      <c r="GJ7" s="80"/>
      <c r="GK7" s="80"/>
      <c r="GL7" s="80"/>
      <c r="GM7" s="80"/>
      <c r="GN7" s="80"/>
      <c r="GO7" s="80"/>
      <c r="GP7" s="80"/>
      <c r="GQ7" s="80"/>
      <c r="GR7" s="80"/>
      <c r="GS7" s="80"/>
      <c r="GT7" s="80"/>
      <c r="GU7" s="80"/>
      <c r="GV7" s="80"/>
      <c r="GW7" s="80"/>
      <c r="GX7" s="80"/>
      <c r="GY7" s="80"/>
      <c r="GZ7" s="80"/>
      <c r="HA7" s="80"/>
      <c r="HB7" s="80"/>
      <c r="HC7" s="80"/>
      <c r="HD7" s="80"/>
      <c r="HE7" s="80"/>
      <c r="HF7" s="80"/>
      <c r="HG7" s="80"/>
      <c r="HH7" s="80"/>
      <c r="HI7" s="80"/>
      <c r="HJ7" s="80"/>
      <c r="HK7" s="80"/>
      <c r="HL7" s="80"/>
      <c r="HM7" s="80"/>
      <c r="HN7" s="80"/>
      <c r="HO7" s="80"/>
      <c r="HP7" s="80"/>
      <c r="HQ7" s="80"/>
      <c r="HR7" s="80"/>
      <c r="HS7" s="80"/>
      <c r="HT7" s="80"/>
      <c r="HU7" s="80"/>
      <c r="HV7" s="80"/>
      <c r="HW7" s="80"/>
      <c r="HX7" s="80"/>
      <c r="HY7" s="80"/>
      <c r="HZ7" s="80"/>
      <c r="IA7" s="80"/>
      <c r="IB7" s="80"/>
      <c r="IC7" s="80"/>
      <c r="ID7" s="80"/>
      <c r="IE7" s="80"/>
      <c r="IF7" s="80"/>
      <c r="IG7" s="80"/>
      <c r="IH7" s="80"/>
      <c r="II7" s="80"/>
      <c r="IJ7" s="80"/>
      <c r="IK7" s="80"/>
      <c r="IL7" s="80"/>
      <c r="IM7" s="80"/>
      <c r="IN7" s="80"/>
      <c r="IO7" s="80"/>
      <c r="IP7" s="80"/>
      <c r="IQ7" s="80"/>
      <c r="IR7" s="80"/>
      <c r="IS7" s="80"/>
      <c r="IT7" s="80"/>
      <c r="IU7" s="80"/>
      <c r="IV7" s="80"/>
      <c r="IW7" s="80"/>
      <c r="IX7" s="80"/>
      <c r="IY7" s="80"/>
      <c r="IZ7" s="80"/>
      <c r="JA7" s="80"/>
      <c r="JB7" s="80"/>
      <c r="JC7" s="80"/>
      <c r="JD7" s="80"/>
      <c r="JE7" s="80"/>
      <c r="JF7" s="80"/>
      <c r="JG7" s="80"/>
      <c r="JH7" s="80"/>
      <c r="JI7" s="80"/>
      <c r="JJ7" s="80"/>
      <c r="JK7" s="80"/>
      <c r="JL7" s="80"/>
      <c r="JM7" s="80"/>
      <c r="JN7" s="80"/>
      <c r="JO7" s="80"/>
      <c r="JP7" s="80"/>
      <c r="JQ7" s="80"/>
      <c r="JR7" s="80"/>
      <c r="JS7" s="80"/>
      <c r="JT7" s="80"/>
      <c r="JU7" s="80"/>
      <c r="JV7" s="80"/>
      <c r="JW7" s="80"/>
      <c r="JX7" s="80"/>
      <c r="JY7" s="80"/>
      <c r="JZ7" s="80"/>
      <c r="KA7" s="80"/>
      <c r="KB7" s="80"/>
      <c r="KC7" s="80"/>
      <c r="KD7" s="80"/>
      <c r="KE7" s="80"/>
      <c r="KF7" s="80"/>
      <c r="KG7" s="80"/>
      <c r="KH7" s="80"/>
      <c r="KI7" s="80"/>
      <c r="KJ7" s="80"/>
      <c r="KK7" s="80"/>
      <c r="KL7" s="80"/>
      <c r="KM7" s="80"/>
      <c r="KN7" s="80"/>
      <c r="KO7" s="80"/>
      <c r="KP7" s="80"/>
      <c r="KQ7" s="80"/>
      <c r="KR7" s="80"/>
      <c r="KS7" s="80"/>
      <c r="KT7" s="80"/>
      <c r="KU7" s="80"/>
      <c r="KV7" s="80"/>
      <c r="KW7" s="80"/>
      <c r="KX7" s="80"/>
      <c r="KY7" s="80"/>
      <c r="KZ7" s="80"/>
      <c r="LA7" s="80"/>
      <c r="LB7" s="80"/>
      <c r="LC7" s="80"/>
      <c r="LD7" s="80"/>
      <c r="LE7" s="80"/>
      <c r="LF7" s="80"/>
      <c r="LG7" s="80"/>
      <c r="LH7" s="80"/>
      <c r="LI7" s="80"/>
      <c r="LJ7" s="80"/>
      <c r="LK7" s="80"/>
      <c r="LL7" s="80"/>
      <c r="LM7" s="80"/>
      <c r="LN7" s="80"/>
      <c r="LO7" s="80"/>
      <c r="LP7" s="80"/>
      <c r="LQ7" s="80"/>
      <c r="LR7" s="80"/>
      <c r="LS7" s="80"/>
      <c r="LT7" s="80"/>
      <c r="LU7" s="80"/>
      <c r="LV7" s="80"/>
      <c r="LW7" s="80"/>
      <c r="LX7" s="80"/>
      <c r="LY7" s="80"/>
      <c r="LZ7" s="80"/>
      <c r="MA7" s="80"/>
      <c r="MB7" s="80"/>
      <c r="MC7" s="80"/>
      <c r="MD7" s="80"/>
      <c r="ME7" s="80"/>
      <c r="MF7" s="80"/>
      <c r="MG7" s="80"/>
      <c r="MH7" s="80"/>
      <c r="MI7" s="80"/>
      <c r="MJ7" s="80"/>
      <c r="MK7" s="81"/>
      <c r="ML7" s="81"/>
      <c r="MM7" s="81"/>
      <c r="MN7" s="81"/>
      <c r="MO7" s="81"/>
      <c r="MP7" s="81"/>
      <c r="MQ7" s="81"/>
      <c r="MR7" s="80" t="str">
        <f>IF(AND('Straight Cutting'!D13="Standard",'Straight Cutting'!E13="APO Grey",'Straight Cutting'!F13&lt;&gt;"",'Straight Cutting'!G13=""),'Straight Cutting'!F13,IF(AND('Straight Cutting'!D13="Standard",'Straight Cutting'!E13="APO Grey",'Straight Cutting'!F13="",'Straight Cutting'!G13&lt;&gt;""),'Straight Cutting'!G13,IF(AND('Straight Cutting'!D13="Standard",'Straight Cutting'!E13="APO Grey",'Straight Cutting'!F13&lt;&gt;"",'Straight Cutting'!G13&lt;&gt;""),'Straight Cutting'!F13+'Job Sheet'!AH13,"")))</f>
        <v/>
      </c>
      <c r="MS7" s="80" t="str">
        <f>IF(AND('Straight Cutting'!D13="Standard",'Straight Cutting'!E13="White Birch",'Straight Cutting'!F13&lt;&gt;"",'Straight Cutting'!G13=""),'Straight Cutting'!F13,IF(AND('Straight Cutting'!D13="Standard",'Straight Cutting'!E13="White Birch",'Straight Cutting'!F13="",'Straight Cutting'!G13&lt;&gt;""),'Straight Cutting'!G13,IF(AND('Straight Cutting'!D13="Standard",'Straight Cutting'!E13="White Birch",'Straight Cutting'!F13&lt;&gt;"",'Straight Cutting'!G13&lt;&gt;""),'Straight Cutting'!F13+'Job Sheet'!AH13,"")))</f>
        <v/>
      </c>
      <c r="MT7" s="80" t="str">
        <f>IF(AND('Straight Cutting'!D13="Standard",'Straight Cutting'!E13="Black",'Straight Cutting'!F13&lt;&gt;"",'Straight Cutting'!G13=""),'Straight Cutting'!F13,IF(AND('Straight Cutting'!D13="Standard",'Straight Cutting'!E13="Black",'Straight Cutting'!F13="",'Straight Cutting'!G13&lt;&gt;""),'Straight Cutting'!G13,IF(AND('Straight Cutting'!D13="Standard",'Straight Cutting'!E13="Black",'Straight Cutting'!F13&lt;&gt;"",'Straight Cutting'!G13&lt;&gt;""),'Straight Cutting'!F13+'Job Sheet'!AH13,"")))</f>
        <v/>
      </c>
      <c r="MU7" s="80" t="str">
        <f>IF(AND('Straight Cutting'!D13="Standard",'Straight Cutting'!E13="Brown",'Straight Cutting'!F13&lt;&gt;"",'Straight Cutting'!G13=""),'Straight Cutting'!F13,IF(AND('Straight Cutting'!D13="Standard",'Straight Cutting'!E13="Brown",'Straight Cutting'!F13="",'Straight Cutting'!G13&lt;&gt;""),'Straight Cutting'!G13,IF(AND('Straight Cutting'!D13="Standard",'Straight Cutting'!E13="Brown",'Straight Cutting'!F13&lt;&gt;"",'Straight Cutting'!G13&lt;&gt;""),'Straight Cutting'!F13+'Job Sheet'!AH13,"")))</f>
        <v/>
      </c>
      <c r="MV7" s="80" t="str">
        <f>IF(AND('Straight Cutting'!D13="Standard",'Straight Cutting'!E13="Deep Ocean",'Straight Cutting'!F13&lt;&gt;"",'Straight Cutting'!G13=""),'Straight Cutting'!F13,IF(AND('Straight Cutting'!D13="Standard",'Straight Cutting'!E13="Deep Ocean",'Straight Cutting'!F13="",'Straight Cutting'!G13&lt;&gt;""),'Straight Cutting'!G13,IF(AND('Straight Cutting'!D13="Standard",'Straight Cutting'!E13="Deep Ocean",'Straight Cutting'!F13&lt;&gt;"",'Straight Cutting'!G13&lt;&gt;""),'Straight Cutting'!F13+'Job Sheet'!AH13,"")))</f>
        <v/>
      </c>
      <c r="MW7" s="80" t="str">
        <f>IF(AND('Straight Cutting'!D13="Standard",'Straight Cutting'!E13="Jasper",'Straight Cutting'!F13&lt;&gt;"",'Straight Cutting'!G13=""),'Straight Cutting'!F13,IF(AND('Straight Cutting'!D13="Standard",'Straight Cutting'!E13="Jasper",'Straight Cutting'!F13="",'Straight Cutting'!G13&lt;&gt;""),'Straight Cutting'!G13,IF(AND('Straight Cutting'!D13="Standard",'Straight Cutting'!E13="Jasper",'Straight Cutting'!F13&lt;&gt;"",'Straight Cutting'!G13&lt;&gt;""),'Straight Cutting'!F13+'Job Sheet'!AH13,"")))</f>
        <v/>
      </c>
      <c r="MX7" s="80" t="str">
        <f>IF(AND('Straight Cutting'!D13="Standard",'Straight Cutting'!E13="Paperbark",'Straight Cutting'!F13&lt;&gt;"",'Straight Cutting'!G13=""),'Straight Cutting'!F13,IF(AND('Straight Cutting'!D13="Standard",'Straight Cutting'!E13="Paperbark",'Straight Cutting'!F13="",'Straight Cutting'!G13&lt;&gt;""),'Straight Cutting'!G13,IF(AND('Straight Cutting'!D13="Standard",'Straight Cutting'!E13="Paperbark",'Straight Cutting'!F13&lt;&gt;"",'Straight Cutting'!G13&lt;&gt;""),'Straight Cutting'!F13+'Job Sheet'!AH13,"")))</f>
        <v/>
      </c>
      <c r="MY7" s="80" t="str">
        <f>IF(AND('Straight Cutting'!D13="Standard",'Straight Cutting'!E13="Mist Green",'Straight Cutting'!F13&lt;&gt;"",'Straight Cutting'!G13=""),'Straight Cutting'!F13,IF(AND('Straight Cutting'!D13="Standard",'Straight Cutting'!E13="Mist Green",'Straight Cutting'!F13="",'Straight Cutting'!G13&lt;&gt;""),'Straight Cutting'!G13,IF(AND('Straight Cutting'!D13="Standard",'Straight Cutting'!E13="Mist Green",'Straight Cutting'!F13&lt;&gt;"",'Straight Cutting'!G13&lt;&gt;""),'Straight Cutting'!F13+'Job Sheet'!AH13,"")))</f>
        <v/>
      </c>
      <c r="MZ7" s="80" t="str">
        <f>IF(AND('Straight Cutting'!D13="Standard",'Straight Cutting'!E13="Primrose",'Straight Cutting'!F13&lt;&gt;"",'Straight Cutting'!G13=""),'Straight Cutting'!F13,IF(AND('Straight Cutting'!D13="Standard",'Straight Cutting'!E13="Primrose",'Straight Cutting'!F13="",'Straight Cutting'!G13&lt;&gt;""),'Straight Cutting'!G13,IF(AND('Straight Cutting'!D13="Standard",'Straight Cutting'!E13="Primrose",'Straight Cutting'!F13&lt;&gt;"",'Straight Cutting'!G13&lt;&gt;""),'Straight Cutting'!F13+'Job Sheet'!AH13,"")))</f>
        <v/>
      </c>
      <c r="NA7" s="80" t="str">
        <f>IF(AND('Straight Cutting'!D13="Standard",'Straight Cutting'!E13="Ultra Silver",'Straight Cutting'!F13&lt;&gt;"",'Straight Cutting'!G13=""),'Straight Cutting'!F13,IF(AND('Straight Cutting'!D13="Standard",'Straight Cutting'!E13="Ultra Silver",'Straight Cutting'!F13="",'Straight Cutting'!G13&lt;&gt;""),'Straight Cutting'!G13,IF(AND('Straight Cutting'!D13="Standard",'Straight Cutting'!E13="Ultra Silver",'Straight Cutting'!F13&lt;&gt;"",'Straight Cutting'!G13&lt;&gt;""),'Straight Cutting'!F13+'Job Sheet'!AH13,"")))</f>
        <v/>
      </c>
      <c r="NB7" s="80" t="str">
        <f>IF(AND('Straight Cutting'!D13="Standard",'Straight Cutting'!E13="Woodland Grey(Green Tone)",'Straight Cutting'!F13&lt;&gt;"",'Straight Cutting'!G13=""),'Straight Cutting'!F13,IF(AND('Straight Cutting'!D13="Standard",'Straight Cutting'!E13="Woodland Grey(Green Tone)",'Straight Cutting'!F13="",'Straight Cutting'!G13&lt;&gt;""),'Straight Cutting'!G13,IF(AND('Straight Cutting'!D13="Standard",'Straight Cutting'!E13="Woodland Grey(Green Tone)",'Straight Cutting'!F13&lt;&gt;"",'Straight Cutting'!G13&lt;&gt;""),'Straight Cutting'!F13+'Job Sheet'!AH13,"")))</f>
        <v/>
      </c>
      <c r="NC7" s="80" t="str">
        <f>IF(AND('Straight Cutting'!D13="Standard",'Straight Cutting'!E13="Pearl White",'Straight Cutting'!F13&lt;&gt;"",'Straight Cutting'!G13=""),'Straight Cutting'!F13,IF(AND('Straight Cutting'!D13="Standard",'Straight Cutting'!E13="Pearl White",'Straight Cutting'!F13="",'Straight Cutting'!G13&lt;&gt;""),'Straight Cutting'!G13,IF(AND('Straight Cutting'!D13="Standard",'Straight Cutting'!E13="Pearl White",'Straight Cutting'!F13&lt;&gt;"",'Straight Cutting'!G13&lt;&gt;""),'Straight Cutting'!F13+'Job Sheet'!AH13,"")))</f>
        <v/>
      </c>
      <c r="ND7" s="80" t="str">
        <f>IF(AND('Straight Cutting'!D13="Standard",'Straight Cutting'!E13="Monument",'Straight Cutting'!F13&lt;&gt;"",'Straight Cutting'!G13=""),'Straight Cutting'!F13,IF(AND('Straight Cutting'!D13="Standard",'Straight Cutting'!E13="Monument",'Straight Cutting'!F13="",'Straight Cutting'!G13&lt;&gt;""),'Straight Cutting'!G13,IF(AND('Straight Cutting'!D13="Standard",'Straight Cutting'!E13="Monument",'Straight Cutting'!F13&lt;&gt;"",'Straight Cutting'!G13&lt;&gt;""),'Straight Cutting'!F13+'Job Sheet'!AH13,"")))</f>
        <v/>
      </c>
      <c r="NE7" s="80" t="str">
        <f>IF(AND('Straight Cutting'!D13="Standard",'Straight Cutting'!E13="Surfmist",'Straight Cutting'!F13&lt;&gt;"",'Straight Cutting'!G13=""),'Straight Cutting'!F13,IF(AND('Straight Cutting'!D13="Standard",'Straight Cutting'!E13="Surfmist",'Straight Cutting'!F13="",'Straight Cutting'!G13&lt;&gt;""),'Straight Cutting'!G13,IF(AND('Straight Cutting'!D13="Standard",'Straight Cutting'!E13="Surfmist",'Straight Cutting'!F13&lt;&gt;"",'Straight Cutting'!G13&lt;&gt;""),'Straight Cutting'!F13+'Job Sheet'!AH13,"")))</f>
        <v/>
      </c>
      <c r="NF7" s="80" t="str">
        <f>IF(AND('Straight Cutting'!D13="Standard",'Straight Cutting'!E13="Dune",'Straight Cutting'!F13&lt;&gt;"",'Straight Cutting'!G13=""),'Straight Cutting'!F13,IF(AND('Straight Cutting'!D13="Standard",'Straight Cutting'!E13="Dune",'Straight Cutting'!F13="",'Straight Cutting'!G13&lt;&gt;""),'Straight Cutting'!G13,IF(AND('Straight Cutting'!D13="Standard",'Straight Cutting'!E13="Dune",'Straight Cutting'!F13&lt;&gt;"",'Straight Cutting'!G13&lt;&gt;""),'Straight Cutting'!F13+'Job Sheet'!AH13,"")))</f>
        <v/>
      </c>
      <c r="NG7" s="80" t="str">
        <f>IF(AND('Straight Cutting'!D13="Standard",'Straight Cutting'!E13="Powdercoat",'Straight Cutting'!F13&lt;&gt;"",'Straight Cutting'!G13=""),'Straight Cutting'!F13,IF(AND('Straight Cutting'!D13="Standard",'Straight Cutting'!E13="Powdercoat",'Straight Cutting'!F13="",'Straight Cutting'!G13&lt;&gt;""),'Straight Cutting'!G13,IF(AND('Straight Cutting'!D13="Standard",'Straight Cutting'!E13="Powdercoat",'Straight Cutting'!F13&lt;&gt;"",'Straight Cutting'!G13&lt;&gt;""),'Straight Cutting'!F13+'Job Sheet'!AH13,"")))</f>
        <v/>
      </c>
      <c r="NH7" s="80" t="str">
        <f>IF(AND('Straight Cutting'!D13="Invisi-Gard",'Straight Cutting'!E13="APO Grey",'Straight Cutting'!F13&lt;&gt;"",'Straight Cutting'!G13=""),'Straight Cutting'!F13,IF(AND('Straight Cutting'!D13="Invisi-Gard",'Straight Cutting'!E13="APO Grey",'Straight Cutting'!F13="",'Straight Cutting'!G13&lt;&gt;""),'Straight Cutting'!G13,IF(AND('Straight Cutting'!D13="Invisi-Gard",'Straight Cutting'!E13="APO Grey",'Straight Cutting'!F13&lt;&gt;"",'Straight Cutting'!G13&lt;&gt;""),'Straight Cutting'!F13+'Job Sheet'!AH13,"")))</f>
        <v/>
      </c>
      <c r="NI7" s="80" t="str">
        <f>IF(AND('Straight Cutting'!D13="Invisi-Gard",'Straight Cutting'!E13="White Birch",'Straight Cutting'!F13&lt;&gt;"",'Straight Cutting'!G13=""),'Straight Cutting'!F13,IF(AND('Straight Cutting'!D13="Invisi-Gard",'Straight Cutting'!E13="White Birch",'Straight Cutting'!F13="",'Straight Cutting'!G13&lt;&gt;""),'Straight Cutting'!G13,IF(AND('Straight Cutting'!D13="Invisi-Gard",'Straight Cutting'!E13="White Birch",'Straight Cutting'!F13&lt;&gt;"",'Straight Cutting'!G13&lt;&gt;""),'Straight Cutting'!F13+'Job Sheet'!AH13,"")))</f>
        <v/>
      </c>
      <c r="NJ7" s="80" t="str">
        <f>IF(AND('Straight Cutting'!D13="Invisi-Gard",'Straight Cutting'!E13="Black",'Straight Cutting'!F13&lt;&gt;"",'Straight Cutting'!G13=""),'Straight Cutting'!F13,IF(AND('Straight Cutting'!D13="Invisi-Gard",'Straight Cutting'!E13="Black",'Straight Cutting'!F13="",'Straight Cutting'!G13&lt;&gt;""),'Straight Cutting'!G13,IF(AND('Straight Cutting'!D13="Invisi-Gard",'Straight Cutting'!E13="Black",'Straight Cutting'!F13&lt;&gt;"",'Straight Cutting'!G13&lt;&gt;""),'Straight Cutting'!F13+'Job Sheet'!AH13,"")))</f>
        <v/>
      </c>
      <c r="NK7" s="80" t="str">
        <f>IF(AND('Straight Cutting'!D13="Invisi-Gard",'Straight Cutting'!E13="Brown",'Straight Cutting'!F13&lt;&gt;"",'Straight Cutting'!G13=""),'Straight Cutting'!F13,IF(AND('Straight Cutting'!D13="Invisi-Gard",'Straight Cutting'!E13="Brown",'Straight Cutting'!F13="",'Straight Cutting'!G13&lt;&gt;""),'Straight Cutting'!G13,IF(AND('Straight Cutting'!D13="Invisi-Gard",'Straight Cutting'!E13="Brown",'Straight Cutting'!F13&lt;&gt;"",'Straight Cutting'!G13&lt;&gt;""),'Straight Cutting'!F13+'Job Sheet'!AH13,"")))</f>
        <v/>
      </c>
      <c r="NL7" s="80" t="str">
        <f>IF(AND('Straight Cutting'!D13="Invisi-Gard",'Straight Cutting'!E13="Deep Ocean",'Straight Cutting'!F13&lt;&gt;"",'Straight Cutting'!G13=""),'Straight Cutting'!F13,IF(AND('Straight Cutting'!D13="Invisi-Gard",'Straight Cutting'!E13="Deep Ocean",'Straight Cutting'!F13="",'Straight Cutting'!G13&lt;&gt;""),'Straight Cutting'!G13,IF(AND('Straight Cutting'!D13="Invisi-Gard",'Straight Cutting'!E13="Deep Ocean",'Straight Cutting'!F13&lt;&gt;"",'Straight Cutting'!G13&lt;&gt;""),'Straight Cutting'!F13+'Job Sheet'!AH13,"")))</f>
        <v/>
      </c>
      <c r="NM7" s="80" t="str">
        <f>IF(AND('Straight Cutting'!D13="Invisi-Gard",'Straight Cutting'!E13="Jasper",'Straight Cutting'!F13&lt;&gt;"",'Straight Cutting'!G13=""),'Straight Cutting'!F13,IF(AND('Straight Cutting'!D13="Invisi-Gard",'Straight Cutting'!E13="Jasper",'Straight Cutting'!F13="",'Straight Cutting'!G13&lt;&gt;""),'Straight Cutting'!G13,IF(AND('Straight Cutting'!D13="Invisi-Gard",'Straight Cutting'!E13="Jasper",'Straight Cutting'!F13&lt;&gt;"",'Straight Cutting'!G13&lt;&gt;""),'Straight Cutting'!F13+'Job Sheet'!AH13,"")))</f>
        <v/>
      </c>
      <c r="NN7" s="80" t="str">
        <f>IF(AND('Straight Cutting'!D13="Invisi-Gard",'Straight Cutting'!E13="Paperbark",'Straight Cutting'!F13&lt;&gt;"",'Straight Cutting'!G13=""),'Straight Cutting'!F13,IF(AND('Straight Cutting'!D13="Invisi-Gard",'Straight Cutting'!E13="Paperbark",'Straight Cutting'!F13="",'Straight Cutting'!G13&lt;&gt;""),'Straight Cutting'!G13,IF(AND('Straight Cutting'!D13="Invisi-Gard",'Straight Cutting'!E13="Paperbark",'Straight Cutting'!F13&lt;&gt;"",'Straight Cutting'!G13&lt;&gt;""),'Straight Cutting'!F13+'Job Sheet'!AH13,"")))</f>
        <v/>
      </c>
      <c r="NO7" s="80" t="str">
        <f>IF(AND('Straight Cutting'!D13="Invisi-Gard",'Straight Cutting'!E13="Mist Green",'Straight Cutting'!F13&lt;&gt;"",'Straight Cutting'!G13=""),'Straight Cutting'!F13,IF(AND('Straight Cutting'!D13="Invisi-Gard",'Straight Cutting'!E13="Mist Green",'Straight Cutting'!F13="",'Straight Cutting'!G13&lt;&gt;""),'Straight Cutting'!G13,IF(AND('Straight Cutting'!D13="Invisi-Gard",'Straight Cutting'!E13="Mist Green",'Straight Cutting'!F13&lt;&gt;"",'Straight Cutting'!G13&lt;&gt;""),'Straight Cutting'!F13+'Job Sheet'!AH13,"")))</f>
        <v/>
      </c>
      <c r="NP7" s="80" t="str">
        <f>IF(AND('Straight Cutting'!D13="Invisi-Gard",'Straight Cutting'!E13="Primrose",'Straight Cutting'!F13&lt;&gt;"",'Straight Cutting'!G13=""),'Straight Cutting'!F13,IF(AND('Straight Cutting'!D13="Invisi-Gard",'Straight Cutting'!E13="Primrose",'Straight Cutting'!F13="",'Straight Cutting'!G13&lt;&gt;""),'Straight Cutting'!G13,IF(AND('Straight Cutting'!D13="Invisi-Gard",'Straight Cutting'!E13="Primrose",'Straight Cutting'!F13&lt;&gt;"",'Straight Cutting'!G13&lt;&gt;""),'Straight Cutting'!F13+'Job Sheet'!AH13,"")))</f>
        <v/>
      </c>
      <c r="NQ7" s="80" t="str">
        <f>IF(AND('Straight Cutting'!D13="Invisi-Gard",'Straight Cutting'!E13="Ultra Silver",'Straight Cutting'!F13&lt;&gt;"",'Straight Cutting'!G13=""),'Straight Cutting'!F13,IF(AND('Straight Cutting'!D13="Invisi-Gard",'Straight Cutting'!E13="Ultra Silver",'Straight Cutting'!F13="",'Straight Cutting'!G13&lt;&gt;""),'Straight Cutting'!G13,IF(AND('Straight Cutting'!D13="Invisi-Gard",'Straight Cutting'!E13="Ultra Silver",'Straight Cutting'!F13&lt;&gt;"",'Straight Cutting'!G13&lt;&gt;""),'Straight Cutting'!F13+'Job Sheet'!AH13,"")))</f>
        <v/>
      </c>
      <c r="NR7" s="80" t="str">
        <f>IF(AND('Straight Cutting'!D13="Invisi-Gard",'Straight Cutting'!E13="Woodland Grey(Green Tone)",'Straight Cutting'!F13&lt;&gt;"",'Straight Cutting'!G13=""),'Straight Cutting'!F13,IF(AND('Straight Cutting'!D13="Invisi-Gard",'Straight Cutting'!E13="Woodland Grey(Green Tone)",'Straight Cutting'!F13="",'Straight Cutting'!G13&lt;&gt;""),'Straight Cutting'!G13,IF(AND('Straight Cutting'!D13="Invisi-Gard",'Straight Cutting'!E13="Woodland Grey(Green Tone)",'Straight Cutting'!F13&lt;&gt;"",'Straight Cutting'!G13&lt;&gt;""),'Straight Cutting'!F13+'Job Sheet'!AH13,"")))</f>
        <v/>
      </c>
      <c r="NS7" s="80" t="str">
        <f>IF(AND('Straight Cutting'!D13="Invisi-Gard",'Straight Cutting'!E13="Pearl White",'Straight Cutting'!F13&lt;&gt;"",'Straight Cutting'!G13=""),'Straight Cutting'!F13,IF(AND('Straight Cutting'!D13="Invisi-Gard",'Straight Cutting'!E13="Pearl White",'Straight Cutting'!F13="",'Straight Cutting'!G13&lt;&gt;""),'Straight Cutting'!G13,IF(AND('Straight Cutting'!D13="Invisi-Gard",'Straight Cutting'!E13="Pearl White",'Straight Cutting'!F13&lt;&gt;"",'Straight Cutting'!G13&lt;&gt;""),'Straight Cutting'!F13+'Job Sheet'!AH13,"")))</f>
        <v/>
      </c>
      <c r="NT7" s="80" t="str">
        <f>IF(AND('Straight Cutting'!D13="Invisi-Gard",'Straight Cutting'!E13="Monument",'Straight Cutting'!F13&lt;&gt;"",'Straight Cutting'!G13=""),'Straight Cutting'!F13,IF(AND('Straight Cutting'!D13="Invisi-Gard",'Straight Cutting'!E13="Monument",'Straight Cutting'!F13="",'Straight Cutting'!G13&lt;&gt;""),'Straight Cutting'!G13,IF(AND('Straight Cutting'!D13="Invisi-Gard",'Straight Cutting'!E13="Monument",'Straight Cutting'!F13&lt;&gt;"",'Straight Cutting'!G13&lt;&gt;""),'Straight Cutting'!F13+'Job Sheet'!AH13,"")))</f>
        <v/>
      </c>
      <c r="NU7" s="80" t="str">
        <f>IF(AND('Straight Cutting'!D13="Invisi-Gard",'Straight Cutting'!E13="Surfmist",'Straight Cutting'!F13&lt;&gt;"",'Straight Cutting'!G13=""),'Straight Cutting'!F13,IF(AND('Straight Cutting'!D13="Invisi-Gard",'Straight Cutting'!E13="Surfmist",'Straight Cutting'!F13="",'Straight Cutting'!G13&lt;&gt;""),'Straight Cutting'!G13,IF(AND('Straight Cutting'!D13="Invisi-Gard",'Straight Cutting'!E13="Surfmist",'Straight Cutting'!F13&lt;&gt;"",'Straight Cutting'!G13&lt;&gt;""),'Straight Cutting'!F13+'Job Sheet'!AH13,"")))</f>
        <v/>
      </c>
      <c r="NV7" s="80" t="str">
        <f>IF(AND('Straight Cutting'!D13="Invisi-Gard",'Straight Cutting'!E13="Dune",'Straight Cutting'!F13&lt;&gt;"",'Straight Cutting'!G13=""),'Straight Cutting'!F13,IF(AND('Straight Cutting'!D13="Invisi-Gard",'Straight Cutting'!E13="Dune",'Straight Cutting'!F13="",'Straight Cutting'!G13&lt;&gt;""),'Straight Cutting'!G13,IF(AND('Straight Cutting'!D13="Invisi-Gard",'Straight Cutting'!E13="Dune",'Straight Cutting'!F13&lt;&gt;"",'Straight Cutting'!G13&lt;&gt;""),'Straight Cutting'!F13+'Job Sheet'!AH13,"")))</f>
        <v/>
      </c>
      <c r="NW7" s="80" t="str">
        <f>IF(AND('Straight Cutting'!D13="Invisi-Gard",'Straight Cutting'!E13="Powdercoat",'Straight Cutting'!F13&lt;&gt;"",'Straight Cutting'!G13=""),'Straight Cutting'!F13,IF(AND('Straight Cutting'!D13="Invisi-Gard",'Straight Cutting'!E13="Powdercoat",'Straight Cutting'!F13="",'Straight Cutting'!G13&lt;&gt;""),'Straight Cutting'!G13,IF(AND('Straight Cutting'!D13="Invisi-Gard",'Straight Cutting'!E13="Powdercoat",'Straight Cutting'!F13&lt;&gt;"",'Straight Cutting'!G13&lt;&gt;""),'Straight Cutting'!F13+'Job Sheet'!AH13,"")))</f>
        <v/>
      </c>
      <c r="NX7" s="80" t="str">
        <f>IF(AND('Job Sheet'!O13="Yes",'Mitred Cutting'!D13="APO Grey"),'Straight Cutting'!I13,"")</f>
        <v/>
      </c>
      <c r="NY7" s="80" t="str">
        <f>IF(AND('Job Sheet'!O13="Yes",'Mitred Cutting'!D13="White Birch"),'Straight Cutting'!I13,"")</f>
        <v/>
      </c>
      <c r="NZ7" s="80" t="str">
        <f>IF(AND('Job Sheet'!O13="Yes",'Mitred Cutting'!D13="Black"),'Straight Cutting'!I13,"")</f>
        <v/>
      </c>
      <c r="OA7" s="80" t="str">
        <f>IF(AND('Job Sheet'!O13="Yes",'Mitred Cutting'!D13="Brown"),'Straight Cutting'!I13,"")</f>
        <v/>
      </c>
      <c r="OB7" s="80" t="str">
        <f>IF(AND('Job Sheet'!O13="Yes",'Mitred Cutting'!D13="Deep Ocean"),'Straight Cutting'!I13,"")</f>
        <v/>
      </c>
      <c r="OC7" s="80" t="str">
        <f>IF(AND('Job Sheet'!O13="Yes",'Mitred Cutting'!D13="Jasper"),'Straight Cutting'!I13,"")</f>
        <v/>
      </c>
      <c r="OD7" s="80" t="str">
        <f>IF(AND('Job Sheet'!O13="Yes",'Mitred Cutting'!D13="Paperbark"),'Straight Cutting'!I13,"")</f>
        <v/>
      </c>
      <c r="OE7" s="80" t="str">
        <f>IF(AND('Job Sheet'!O13="Yes",'Mitred Cutting'!D13="Mist Green"),'Straight Cutting'!I13,"")</f>
        <v/>
      </c>
      <c r="OF7" s="80" t="str">
        <f>IF(AND('Job Sheet'!O13="Yes",'Mitred Cutting'!D13="Primrose"),'Straight Cutting'!I13,"")</f>
        <v/>
      </c>
      <c r="OG7" s="80" t="str">
        <f>IF(AND('Job Sheet'!O13="Yes",'Mitred Cutting'!D13="Ultra Silver"),'Straight Cutting'!I13,"")</f>
        <v/>
      </c>
      <c r="OH7" s="80" t="str">
        <f>IF(AND('Job Sheet'!O13="Yes",'Mitred Cutting'!D13="Woodland Grey(Green Tone)"),'Straight Cutting'!I13,"")</f>
        <v/>
      </c>
      <c r="OI7" s="80" t="str">
        <f>IF(AND('Job Sheet'!O13="Yes",'Mitred Cutting'!D13="Pearl White"),'Straight Cutting'!I13,"")</f>
        <v/>
      </c>
      <c r="OJ7" s="80" t="str">
        <f>IF(AND('Job Sheet'!O13="Yes",'Mitred Cutting'!D13="Monument"),'Straight Cutting'!I13,"")</f>
        <v/>
      </c>
      <c r="OK7" s="80" t="str">
        <f>IF(AND('Job Sheet'!O13="Yes",'Mitred Cutting'!D13="Surfmist"),'Straight Cutting'!I13,"")</f>
        <v/>
      </c>
      <c r="OL7" s="80" t="str">
        <f>IF(AND('Job Sheet'!O13="Yes",'Mitred Cutting'!D13="Dune"),'Straight Cutting'!I13,"")</f>
        <v/>
      </c>
      <c r="OM7" s="80" t="str">
        <f>IF(AND('Job Sheet'!O13="Yes",'Mitred Cutting'!D13="Powdercoat"),'Straight Cutting'!I13,"")</f>
        <v/>
      </c>
      <c r="ON7" s="81" t="str">
        <f>IF(OR(Data!AW13="",'Job Sheet'!L13="37mm x 11mm",'Job Sheet'!L13="9mm",'Job Sheet'!L13="11mm"),"",IF(VLOOKUP(CONCATENATE(Data!BO13,'Job Sheet'!J13),DoorType,4,FALSE)="Yes",(('Job Sheet'!W13-98)*2+('Job Sheet'!X13-96)*2)/2700,""))</f>
        <v/>
      </c>
      <c r="OO7" s="81" t="str">
        <f>IF(Data!AW13="","",IF('Mitred Cutting'!G13="1.6mm",(('Job Sheet'!W13-114)*2+('Job Sheet'!X13-114)*2)/3100,""))</f>
        <v/>
      </c>
      <c r="OP7" s="81" t="str">
        <f>IF(Data!AW13="","",IF('Mitred Cutting'!G13="2mm",(('Job Sheet'!W13-114)*2+('Job Sheet'!X13-114)*2)/3100,""))</f>
        <v/>
      </c>
      <c r="OQ7" s="52" t="str">
        <f>IF(OR(Data!AW13="",Data!BN13="Invisi-Scape",'Job Sheet'!AC13=""),"",IF(OR('Job Sheet'!P13="Yes - Centre Horizontal",'Job Sheet'!P13="Yes - Centre Vertical"),('Job Sheet'!AC13*4+'Job Sheet'!AE13*4)/4000,IF('Job Sheet'!P13="Yes - Horizontal",('Job Sheet'!AC13*4+'Job Sheet'!AE13*2+'Job Sheet'!AF13*2)/4000,IF('Job Sheet'!P13="Yes - Vertical",('Job Sheet'!AC13*2+'Job Sheet'!AE13*4)/4000,IF('Job Sheet'!P13="",('Job Sheet'!AC13*2+'Job Sheet'!AE13*2)/4000,IF('Job Sheet'!P13="Yes - Horizontal &amp; Vertical",('Job Sheet'!AC13*4+'Job Sheet'!AD13*4+'Job Sheet'!AE13*4+'Job Sheet'!AF13*4)/4000,IF('Job Sheet'!P13="Yes - Centre Horizontal &amp; Vertical",('Job Sheet'!AC13*8+'Job Sheet'!AE13*8)/4000,"")))))))</f>
        <v/>
      </c>
      <c r="OR7" s="52" t="str">
        <f t="shared" si="1"/>
        <v/>
      </c>
      <c r="OS7" s="52" t="str">
        <f t="shared" si="2"/>
        <v/>
      </c>
      <c r="OT7" s="80"/>
      <c r="OU7" s="80" t="str">
        <f>IF(Data!AW13="","",IF(OR('Job Sheet'!J13="Fibreglass Mesh",'Job Sheet'!J13="Pet Mesh",'Job Sheet'!J13="DVA Mesh",'Job Sheet'!J13="Tuff Mesh",'Job Sheet'!J13="Alu-screen",Data!BO13="Fibreglass Mesh",Data!BO13="Pet Mesh",Data!BO13="DVA Mesh",Data!BO13="Tuff Mesh",Data!BO13="Alu-screen"),(('Job Sheet'!W13-98)*2+('Job Sheet'!X13-96)*2),""))</f>
        <v/>
      </c>
      <c r="OV7" s="80"/>
      <c r="OW7" s="80"/>
      <c r="OX7" s="80"/>
      <c r="OY7" s="80"/>
      <c r="OZ7" s="80"/>
      <c r="PA7" s="80"/>
      <c r="PB7" s="80"/>
      <c r="PC7" s="80"/>
      <c r="PD7" s="80" t="str">
        <f>IF(OR('Mitred Cutting'!E13="70mm x 20mm",'Mitred Cutting'!E13="Invisi-Gard 70mm x 20mm"),4,"")</f>
        <v/>
      </c>
      <c r="PE7" s="80" t="str">
        <f>IF('Mitred Cutting'!E13="37mm x 11mm",4,"")</f>
        <v/>
      </c>
      <c r="PF7" s="80" t="str">
        <f>IF('Mitred Cutting'!E13="Invisi-Gard 37mm x 9mm",4,"")</f>
        <v/>
      </c>
      <c r="PG7" s="80" t="str">
        <f>IF('Mitred Cutting'!E13="Invisi-Gard 37mm x 11mm",4,"")</f>
        <v/>
      </c>
      <c r="PH7" s="80" t="str">
        <f>IF('Mitred Cutting'!E13="9mm",4,"")</f>
        <v/>
      </c>
      <c r="PI7" s="80" t="str">
        <f>IF('Mitred Cutting'!E13="11mm",4,"")</f>
        <v/>
      </c>
      <c r="PJ7" s="80"/>
      <c r="PK7" s="80" t="str">
        <f>IF(OR('Job Sheet'!N13="Yes - Front of Frame",'Job Sheet'!N13="Yes - Back of Frame"),1,"")</f>
        <v/>
      </c>
      <c r="PL7" s="80" t="str">
        <f>IF('Job Sheet'!M13="Swivel Clips Extended x 2",2,IF('Job Sheet'!M13="Swivel Clips Extended x 4",4,IF('Job Sheet'!M13="Swivel Clips Extended x 6",6,"")))</f>
        <v/>
      </c>
      <c r="PM7" s="80" t="str">
        <f>IF('Job Sheet'!M13="Swivel Clips Flush x 2",2,IF('Job Sheet'!M13="Swivel Clips Flush x 4",4,IF('Job Sheet'!M13="Swivel Clips Flush x 6",6,"")))</f>
        <v/>
      </c>
      <c r="PN7" s="80" t="str">
        <f>IF('Job Sheet'!M13="Plunger Pins x 2",2,IF('Job Sheet'!M13="Plunger Pins x 4",4,IF('Job Sheet'!M13="Plunger Pins x 6",6,"")))</f>
        <v/>
      </c>
      <c r="PO7" s="80"/>
      <c r="PP7" s="80"/>
      <c r="PQ7" s="80"/>
      <c r="PR7" s="80"/>
      <c r="PS7" s="80"/>
      <c r="PT7" s="80"/>
      <c r="PU7" s="80"/>
      <c r="PV7" s="80"/>
      <c r="PW7" s="80"/>
      <c r="PX7" s="80"/>
      <c r="PY7" s="80"/>
      <c r="PZ7" s="80"/>
      <c r="QA7" s="80"/>
      <c r="QB7" s="80"/>
      <c r="QC7" s="80"/>
      <c r="QD7" s="80"/>
      <c r="QE7" s="80"/>
      <c r="QF7" s="80"/>
      <c r="QG7" s="80"/>
      <c r="QH7" s="80"/>
      <c r="QI7" s="80"/>
      <c r="QJ7" s="80"/>
      <c r="QK7" s="80"/>
      <c r="QL7" s="80"/>
      <c r="QM7" s="80"/>
      <c r="QN7" s="80"/>
      <c r="QO7" s="80"/>
      <c r="QP7" s="80"/>
      <c r="QQ7" s="80"/>
      <c r="QR7" s="80"/>
      <c r="QS7" s="80"/>
      <c r="QT7" s="80"/>
      <c r="QU7" s="80"/>
      <c r="QV7" s="80"/>
      <c r="QW7" s="80"/>
      <c r="QX7" s="80"/>
      <c r="QY7" s="82"/>
      <c r="RD7" t="str">
        <f>IF('Assembly &amp; Bagging'!J13="2 Hinges","2",IF('Assembly &amp; Bagging'!J13="3 Hinges","3",""))</f>
        <v/>
      </c>
      <c r="RH7" s="80"/>
      <c r="RL7" t="str">
        <f>IF(OR('Job Sheet'!M13="Hinged LHS with Slide Bolt on Inside",'Job Sheet'!M13="Hinged LHS with Slide Bolt on Inside"),1,"")</f>
        <v/>
      </c>
      <c r="RM7" s="80"/>
      <c r="RO7" t="str">
        <f>IF('Straight Cutting'!D13&lt;&gt;"Invisi-Gard","",IF(AND('Straight Cutting'!F13&lt;&gt;"",'Straight Cutting'!G13&lt;&gt;""),6,2))</f>
        <v/>
      </c>
      <c r="RP7" t="str">
        <f>IF(AND('Job Sheet'!P13&lt;&gt;"",(OR('Mitred Cutting'!E13="9mm",'Mitred Cutting'!E13="11mm"))),2,"")</f>
        <v/>
      </c>
      <c r="RR7" s="80" t="str">
        <f>Guillotine!E13</f>
        <v/>
      </c>
      <c r="RS7" t="str">
        <f>IF('Assembly &amp; Bagging'!E13="Flywire","",IF('Assembly &amp; Bagging'!E13="Invisi-Gard Woven Stainless Steel","Woven Stainless Steel",'Assembly &amp; Bagging'!E13))</f>
        <v/>
      </c>
      <c r="RT7" s="80"/>
      <c r="RU7" s="80"/>
      <c r="RV7" s="80"/>
      <c r="RW7" s="80"/>
      <c r="RX7" s="80"/>
      <c r="RY7" s="80"/>
      <c r="RZ7" s="80"/>
      <c r="SA7" s="80"/>
      <c r="SB7" s="80"/>
      <c r="SC7" s="80"/>
      <c r="SD7" s="80"/>
      <c r="SE7" s="80"/>
      <c r="SF7" s="80"/>
      <c r="SG7" s="80"/>
      <c r="SH7" s="80"/>
      <c r="SI7" s="80"/>
      <c r="SJ7" s="80"/>
      <c r="SK7" s="80"/>
      <c r="SL7" s="80"/>
      <c r="SM7" s="80"/>
      <c r="SN7" s="80"/>
      <c r="SO7" s="80"/>
      <c r="SP7" s="80"/>
      <c r="SQ7" s="80"/>
      <c r="SR7" s="80"/>
      <c r="SS7" s="80"/>
      <c r="ST7" s="80"/>
      <c r="SU7" s="80"/>
      <c r="SV7" s="80"/>
      <c r="SW7" s="80"/>
      <c r="SX7" s="80"/>
      <c r="SY7" s="80"/>
      <c r="SZ7" s="80"/>
      <c r="TA7" s="80"/>
      <c r="TB7" s="80"/>
      <c r="TC7" s="80"/>
      <c r="TD7" s="80"/>
      <c r="TE7" s="80"/>
      <c r="TF7" s="80"/>
      <c r="TG7" s="80"/>
      <c r="TH7" s="80"/>
      <c r="TI7" s="80"/>
      <c r="TJ7" s="80"/>
      <c r="TK7" s="80"/>
      <c r="TL7" s="80"/>
      <c r="TM7" s="80"/>
      <c r="TN7" s="80"/>
      <c r="TO7" s="80"/>
      <c r="TP7" s="80"/>
      <c r="TQ7" s="80"/>
      <c r="TR7" s="80"/>
      <c r="TS7" s="80"/>
      <c r="TT7" s="80"/>
      <c r="TU7" s="80"/>
      <c r="TV7" s="80"/>
      <c r="TW7" s="80"/>
      <c r="TX7" s="80"/>
      <c r="TY7" s="80"/>
      <c r="TZ7" s="80"/>
      <c r="UA7" s="80"/>
      <c r="UB7" s="80"/>
      <c r="UC7" s="80"/>
      <c r="UD7" s="80"/>
      <c r="UE7" s="80"/>
      <c r="UF7" s="80"/>
      <c r="UG7" s="80"/>
      <c r="UH7" s="80"/>
      <c r="UI7" s="80"/>
      <c r="UJ7" s="80"/>
      <c r="UK7" s="80"/>
      <c r="UL7" s="80"/>
      <c r="UM7" s="80"/>
      <c r="UN7" s="80"/>
      <c r="UO7" s="80"/>
      <c r="UP7" s="80"/>
      <c r="UQ7" s="80"/>
      <c r="UR7" s="80"/>
      <c r="US7" s="80"/>
      <c r="UT7" s="80"/>
      <c r="UU7" s="80"/>
      <c r="UV7" s="80"/>
      <c r="UW7" s="80"/>
      <c r="UX7" s="80"/>
      <c r="UY7" s="80"/>
      <c r="UZ7" s="80"/>
      <c r="VA7" s="80"/>
      <c r="VB7" s="80"/>
      <c r="VC7" s="80"/>
      <c r="VD7" s="80"/>
      <c r="VE7" s="80"/>
      <c r="VF7" s="80"/>
      <c r="VG7" s="80"/>
      <c r="VH7" s="80"/>
      <c r="VI7" s="80"/>
      <c r="VJ7" s="80"/>
      <c r="VK7" s="80"/>
      <c r="VL7" s="80"/>
      <c r="VM7" s="80"/>
      <c r="VN7" s="80"/>
      <c r="VO7" s="80"/>
      <c r="VP7" s="80"/>
      <c r="VQ7" s="80"/>
      <c r="VR7" s="80"/>
      <c r="VS7" s="80"/>
      <c r="VT7" s="80"/>
      <c r="VU7" s="80"/>
      <c r="VV7" s="80"/>
      <c r="VW7" s="80"/>
      <c r="VX7" s="80"/>
      <c r="VY7" s="80"/>
      <c r="VZ7" s="80"/>
      <c r="WA7" s="80"/>
      <c r="WB7" s="80"/>
      <c r="WC7" s="80"/>
      <c r="WD7" s="80"/>
      <c r="WE7" s="80"/>
      <c r="WF7" s="80"/>
      <c r="WG7" s="80"/>
      <c r="WH7" s="80"/>
      <c r="WI7" s="80"/>
      <c r="WJ7" s="80"/>
      <c r="WK7" s="80"/>
      <c r="WL7" s="80"/>
      <c r="WM7" s="80"/>
      <c r="WN7" s="80"/>
      <c r="WO7" s="80"/>
      <c r="WP7" s="80"/>
      <c r="WQ7" s="80"/>
      <c r="WR7" s="80"/>
      <c r="WS7" s="80"/>
      <c r="WT7" s="80"/>
      <c r="WU7" s="80"/>
      <c r="WV7" s="80"/>
      <c r="WW7" s="80"/>
      <c r="WX7" s="80"/>
      <c r="WY7" s="80"/>
      <c r="WZ7" s="80"/>
      <c r="XA7" s="80"/>
      <c r="XB7" s="80"/>
      <c r="XC7" s="80"/>
      <c r="XD7" s="80"/>
      <c r="XE7" s="80"/>
      <c r="XF7" s="80"/>
      <c r="XG7" s="80"/>
      <c r="XH7" s="80"/>
      <c r="XI7" s="80"/>
      <c r="XJ7" s="80"/>
      <c r="XK7" s="80"/>
      <c r="XL7" s="80"/>
      <c r="XM7" s="80"/>
      <c r="XN7" s="80"/>
      <c r="XO7" s="80"/>
      <c r="XP7" s="80"/>
      <c r="XQ7" s="80"/>
      <c r="XR7" s="80"/>
      <c r="XS7" s="80"/>
      <c r="XT7" s="80"/>
      <c r="XU7" s="80"/>
      <c r="XV7" s="80"/>
      <c r="XW7" s="80"/>
      <c r="XX7" s="80"/>
      <c r="XY7" s="80"/>
      <c r="XZ7" s="80"/>
      <c r="YA7" s="80"/>
      <c r="YB7" s="80"/>
      <c r="YC7" s="80"/>
      <c r="YD7" s="80"/>
      <c r="YE7" s="80"/>
      <c r="YF7" s="80"/>
      <c r="YG7" s="80"/>
      <c r="YH7" s="80"/>
      <c r="YI7" s="80"/>
      <c r="YJ7" s="80"/>
      <c r="YK7" s="80"/>
      <c r="YL7" s="80"/>
      <c r="YM7" s="80"/>
      <c r="YN7" s="80"/>
      <c r="YO7" s="80"/>
      <c r="YP7" s="80"/>
      <c r="YQ7" s="80"/>
      <c r="YR7" s="80"/>
      <c r="YS7" s="80"/>
      <c r="YT7" s="80"/>
      <c r="YU7" s="80"/>
      <c r="YV7" s="80"/>
      <c r="YW7" s="80"/>
      <c r="YX7" s="80"/>
      <c r="YY7" s="80"/>
      <c r="YZ7" s="80"/>
      <c r="ZA7" s="80"/>
      <c r="ZB7" s="80"/>
      <c r="ZC7" s="80"/>
      <c r="ZD7" s="80"/>
      <c r="ZE7" s="80"/>
      <c r="ZF7" s="80"/>
      <c r="ZG7" s="80"/>
      <c r="ZH7" s="80"/>
      <c r="ZI7" s="80"/>
      <c r="ZJ7" s="80"/>
      <c r="ZK7" s="80"/>
      <c r="ZL7" s="80"/>
      <c r="ZM7" s="80"/>
      <c r="ZN7" s="80"/>
      <c r="ZO7" s="80"/>
      <c r="ZP7" s="80"/>
      <c r="ZQ7" s="80"/>
      <c r="ZR7" s="80"/>
      <c r="ZS7" s="80"/>
      <c r="ZT7" s="80"/>
      <c r="ZU7" s="80"/>
      <c r="ZV7" s="80"/>
      <c r="ZW7" s="80"/>
      <c r="ZX7" s="80"/>
      <c r="ZY7" s="80"/>
      <c r="ZZ7" s="80"/>
      <c r="AAA7" s="80"/>
      <c r="AAB7" s="80"/>
      <c r="AAC7" s="80"/>
      <c r="AAD7" s="80"/>
      <c r="AAE7" s="80"/>
      <c r="AAF7" s="80"/>
      <c r="AAG7" s="80"/>
      <c r="AAH7" s="80"/>
      <c r="AAI7" s="80"/>
      <c r="AAJ7" s="80"/>
      <c r="AAK7" s="80"/>
      <c r="AAL7" s="80"/>
      <c r="AAM7" s="80"/>
      <c r="AAN7" s="80"/>
      <c r="AAO7" s="80"/>
      <c r="AAP7" s="80"/>
      <c r="AAQ7" s="80"/>
      <c r="AAR7" s="80"/>
      <c r="AAS7" s="80"/>
      <c r="AAT7" s="80"/>
      <c r="AAU7" s="80"/>
      <c r="AAV7" s="80"/>
      <c r="AAW7" s="80"/>
      <c r="AAX7" s="80"/>
      <c r="AAY7" s="80"/>
      <c r="AAZ7" s="80"/>
      <c r="ABA7" s="80"/>
      <c r="ABB7" s="80"/>
      <c r="ABC7" s="80"/>
      <c r="ABD7" s="80"/>
      <c r="ABE7" s="80"/>
      <c r="ABF7" s="80"/>
      <c r="ABG7" s="80"/>
      <c r="ABH7" s="80"/>
      <c r="ABI7" s="80"/>
      <c r="ABJ7" s="80"/>
      <c r="ABK7" s="80"/>
      <c r="ABL7" s="80"/>
      <c r="ABM7" s="80"/>
      <c r="ABN7" s="80"/>
      <c r="ABO7" s="80"/>
      <c r="ABP7" s="80"/>
      <c r="ABQ7" s="80"/>
      <c r="ABR7" s="80"/>
      <c r="ABS7" s="80"/>
      <c r="ABT7" s="80"/>
      <c r="ABU7" s="80"/>
      <c r="ABV7" s="80"/>
      <c r="ABW7" s="80"/>
      <c r="ABX7" s="80"/>
      <c r="ABY7" s="80"/>
      <c r="ABZ7" s="80"/>
      <c r="ACA7" s="80"/>
      <c r="ACB7" s="80"/>
      <c r="ACC7" s="80"/>
      <c r="ACD7" s="80" t="str">
        <f>IF('Job Sheet'!J13="Fibreglass Mesh",CONCATENATE('Job Sheet'!W13," x ",'Job Sheet'!X13),"")</f>
        <v/>
      </c>
      <c r="ACE7" s="80" t="str">
        <f>IF('Job Sheet'!J13="Alu-screen",CONCATENATE('Job Sheet'!W13," x ",'Job Sheet'!X13),"")</f>
        <v/>
      </c>
      <c r="ACF7" s="80" t="str">
        <f>IF('Job Sheet'!J13="Pet Mesh",CONCATENATE('Job Sheet'!W13," x ",'Job Sheet'!X13),"")</f>
        <v/>
      </c>
      <c r="ACH7" s="80"/>
    </row>
    <row r="8" spans="4:762" ht="13.2" customHeight="1">
      <c r="D8" t="str">
        <f>IF(OR(Data!AV14="",Data!BN14="Invisi-Scape"),"",CONCATENATE(Data!BC$5,".",Data!BD$5))</f>
        <v/>
      </c>
      <c r="E8" t="str">
        <f>IF(D8="","",Data!AW14)</f>
        <v/>
      </c>
      <c r="F8" t="str">
        <f>IF(D8="","",Data!AV14)</f>
        <v/>
      </c>
      <c r="G8" t="str">
        <f t="shared" si="0"/>
        <v/>
      </c>
      <c r="H8" t="str">
        <f>IF(D8="","",Data!BF$5)</f>
        <v/>
      </c>
      <c r="I8" t="str">
        <f>IF(D8="","",Data!AX$5)</f>
        <v/>
      </c>
      <c r="J8" s="80" t="str">
        <f>IF(AND('Mitred Cutting'!E14="70mm x 20mm",'Mitred Cutting'!D14="APO Grey"),(('Job Sheet'!W14+'Job Sheet'!X14)*2),"")</f>
        <v/>
      </c>
      <c r="K8" s="80" t="str">
        <f>IF(AND('Mitred Cutting'!E14="70mm x 20mm",'Mitred Cutting'!D14="White Birch"),(('Job Sheet'!W14+'Job Sheet'!X14)*2),"")</f>
        <v/>
      </c>
      <c r="L8" s="80" t="str">
        <f>IF(AND('Mitred Cutting'!E14="70mm x 20mm",'Mitred Cutting'!D14="Black"),(('Job Sheet'!W14+'Job Sheet'!X14)*2),"")</f>
        <v/>
      </c>
      <c r="M8" s="80" t="str">
        <f>IF(AND('Mitred Cutting'!E14="70mm x 20mm",'Mitred Cutting'!D14="Brown"),(('Job Sheet'!W14+'Job Sheet'!X14)*2),"")</f>
        <v/>
      </c>
      <c r="N8" s="80" t="str">
        <f>IF(AND('Mitred Cutting'!E14="70mm x 20mm",'Mitred Cutting'!D14="Deep Ocean"),(('Job Sheet'!W14+'Job Sheet'!X14)*2),"")</f>
        <v/>
      </c>
      <c r="O8" s="80" t="str">
        <f>IF(AND('Mitred Cutting'!E14="70mm x 20mm",'Mitred Cutting'!D14="Jasper"),(('Job Sheet'!W14+'Job Sheet'!X14)*2),"")</f>
        <v/>
      </c>
      <c r="P8" s="80" t="str">
        <f>IF(AND('Mitred Cutting'!E14="70mm x 20mm",'Mitred Cutting'!D14="Paperbark"),(('Job Sheet'!W14+'Job Sheet'!X14)*2),"")</f>
        <v/>
      </c>
      <c r="Q8" s="80" t="str">
        <f>IF(AND('Mitred Cutting'!E14="70mm x 20mm",'Mitred Cutting'!D14="Mist Green"),(('Job Sheet'!W14+'Job Sheet'!X14)*2),"")</f>
        <v/>
      </c>
      <c r="R8" s="80" t="str">
        <f>IF(AND('Mitred Cutting'!E14="70mm x 20mm",'Mitred Cutting'!D14="Primrose"),(('Job Sheet'!W14+'Job Sheet'!X14)*2),"")</f>
        <v/>
      </c>
      <c r="S8" s="80" t="str">
        <f>IF(AND('Mitred Cutting'!E14="70mm x 20mm",'Mitred Cutting'!D14="Ultra Silver"),(('Job Sheet'!W14+'Job Sheet'!X14)*2),"")</f>
        <v/>
      </c>
      <c r="T8" s="80" t="str">
        <f>IF(AND('Mitred Cutting'!E14="70mm x 20mm",'Mitred Cutting'!D14="Woodland Grey(Green Tone)"),(('Job Sheet'!W14+'Job Sheet'!X14)*2),"")</f>
        <v/>
      </c>
      <c r="U8" s="80" t="str">
        <f>IF(AND('Mitred Cutting'!E14="70mm x 20mm",'Mitred Cutting'!D14="Pearl White"),(('Job Sheet'!W14+'Job Sheet'!X14)*2),"")</f>
        <v/>
      </c>
      <c r="V8" s="80" t="str">
        <f>IF(AND('Mitred Cutting'!E14="70mm x 20mm",'Mitred Cutting'!D14="Monument"),(('Job Sheet'!W14+'Job Sheet'!X14)*2),"")</f>
        <v/>
      </c>
      <c r="W8" s="80" t="str">
        <f>IF(AND('Mitred Cutting'!E14="70mm x 20mm",'Mitred Cutting'!D14="Surfmist"),(('Job Sheet'!W14+'Job Sheet'!X14)*2),"")</f>
        <v/>
      </c>
      <c r="X8" s="80" t="str">
        <f>IF(AND('Mitred Cutting'!E14="70mm x 20mm",'Mitred Cutting'!D14="Dune"),(('Job Sheet'!W14+'Job Sheet'!X14)*2),"")</f>
        <v/>
      </c>
      <c r="Y8" s="80"/>
      <c r="Z8" s="80" t="str">
        <f>IF(AND('Mitred Cutting'!E14="70mm x 20mm",'Mitred Cutting'!D14="Powdercoat"),(('Job Sheet'!W14+'Job Sheet'!X14)*2),"")</f>
        <v/>
      </c>
      <c r="AA8" s="80" t="str">
        <f>IF(AND('Mitred Cutting'!E14="Invisi-Gard 70mm x 20mm",'Mitred Cutting'!D14="APO Grey"),(('Job Sheet'!W14+'Job Sheet'!X14)*2),"")</f>
        <v/>
      </c>
      <c r="AB8" s="80" t="str">
        <f>IF(AND('Mitred Cutting'!E14="Invisi-Gard 70mm x 20mm",'Mitred Cutting'!D14="White Birch"),(('Job Sheet'!W14+'Job Sheet'!X14)*2),"")</f>
        <v/>
      </c>
      <c r="AC8" s="80" t="str">
        <f>IF(AND('Mitred Cutting'!E14="Invisi-Gard 70mm x 20mm",'Mitred Cutting'!D14="Black"),(('Job Sheet'!W14+'Job Sheet'!X14)*2),"")</f>
        <v/>
      </c>
      <c r="AD8" s="80" t="str">
        <f>IF(AND('Mitred Cutting'!E14="Invisi-Gard 70mm x 20mm",'Mitred Cutting'!D14="Brown"),(('Job Sheet'!W14+'Job Sheet'!X14)*2),"")</f>
        <v/>
      </c>
      <c r="AE8" s="80" t="str">
        <f>IF(AND('Mitred Cutting'!E14="Invisi-Gard 70mm x 20mm",'Mitred Cutting'!D14="Deep Ocean"),(('Job Sheet'!W14+'Job Sheet'!X14)*2),"")</f>
        <v/>
      </c>
      <c r="AF8" s="80" t="str">
        <f>IF(AND('Mitred Cutting'!E14="Invisi-Gard 70mm x 20mm",'Mitred Cutting'!D14="Jasper"),(('Job Sheet'!W14+'Job Sheet'!X14)*2),"")</f>
        <v/>
      </c>
      <c r="AG8" s="80" t="str">
        <f>IF(AND('Mitred Cutting'!E14="Invisi-Gard 70mm x 20mm",'Mitred Cutting'!D14="Paperbark"),(('Job Sheet'!W14+'Job Sheet'!X14)*2),"")</f>
        <v/>
      </c>
      <c r="AH8" s="80" t="str">
        <f>IF(AND('Mitred Cutting'!E14="Invisi-Gard 70mm x 20mm",'Mitred Cutting'!D14="Mist Green"),(('Job Sheet'!W14+'Job Sheet'!X14)*2),"")</f>
        <v/>
      </c>
      <c r="AI8" s="80" t="str">
        <f>IF(AND('Mitred Cutting'!E14="Invisi-Gard 70mm x 20mm",'Mitred Cutting'!D14="Primrose"),(('Job Sheet'!W14+'Job Sheet'!X14)*2),"")</f>
        <v/>
      </c>
      <c r="AJ8" s="80" t="str">
        <f>IF(AND('Mitred Cutting'!E14="Invisi-Gard 70mm x 20mm",'Mitred Cutting'!D14="Ultra Silver"),(('Job Sheet'!W14+'Job Sheet'!X14)*2),"")</f>
        <v/>
      </c>
      <c r="AK8" s="80" t="str">
        <f>IF(AND('Mitred Cutting'!E14="Invisi-Gard 70mm x 20mm",'Mitred Cutting'!D14="Woodland Grey(Green Tone)"),(('Job Sheet'!W14+'Job Sheet'!X14)*2),"")</f>
        <v/>
      </c>
      <c r="AL8" s="80" t="str">
        <f>IF(AND('Mitred Cutting'!E14="Invisi-Gard 70mm x 20mm",'Mitred Cutting'!D14="Pearl White"),(('Job Sheet'!W14+'Job Sheet'!X14)*2),"")</f>
        <v/>
      </c>
      <c r="AM8" s="80" t="str">
        <f>IF(AND('Mitred Cutting'!E14="Invisi-Gard 70mm x 20mm",'Mitred Cutting'!D14="Monument"),(('Job Sheet'!W14+'Job Sheet'!X14)*2),"")</f>
        <v/>
      </c>
      <c r="AN8" s="80" t="str">
        <f>IF(AND('Mitred Cutting'!E14="Invisi-Gard 70mm x 20mm",'Mitred Cutting'!D14="Surfmist"),(('Job Sheet'!W14+'Job Sheet'!X14)*2),"")</f>
        <v/>
      </c>
      <c r="AO8" s="80" t="str">
        <f>IF(AND('Mitred Cutting'!E14="Invisi-Gard 70mm x 20mm",'Mitred Cutting'!D14="Dune"),(('Job Sheet'!W14+'Job Sheet'!X14)*2),"")</f>
        <v/>
      </c>
      <c r="AP8" s="80"/>
      <c r="AQ8" s="80" t="str">
        <f>IF(AND('Mitred Cutting'!E14="Invisi-Gard 70mm x 20mm",'Mitred Cutting'!D14="Powdercoat"),(('Job Sheet'!W14+'Job Sheet'!X14)*2),"")</f>
        <v/>
      </c>
      <c r="AR8" s="80" t="str">
        <f>IF(AND('Mitred Cutting'!E14="37mm x 11mm",'Mitred Cutting'!D14="APO Grey"),(('Job Sheet'!W14+'Job Sheet'!X14)*2),"")</f>
        <v/>
      </c>
      <c r="AS8" s="80" t="str">
        <f>IF(AND('Mitred Cutting'!E14="37mm x 11mm",'Mitred Cutting'!D14="White Birch"),(('Job Sheet'!W14+'Job Sheet'!X14)*2),"")</f>
        <v/>
      </c>
      <c r="AT8" s="80" t="str">
        <f>IF(AND('Mitred Cutting'!E14="37mm x 11mm",'Mitred Cutting'!D14="Black"),(('Job Sheet'!W14+'Job Sheet'!X14)*2),"")</f>
        <v/>
      </c>
      <c r="AU8" s="80" t="str">
        <f>IF(AND('Mitred Cutting'!E14="37mm x 11mm",'Mitred Cutting'!D14="Brown"),(('Job Sheet'!W14+'Job Sheet'!X14)*2),"")</f>
        <v/>
      </c>
      <c r="AV8" s="80" t="str">
        <f>IF(AND('Mitred Cutting'!E14="37mm x 11mm",'Mitred Cutting'!D14="Deep Ocean"),(('Job Sheet'!W14+'Job Sheet'!X14)*2),"")</f>
        <v/>
      </c>
      <c r="AW8" s="80" t="str">
        <f>IF(AND('Mitred Cutting'!E14="37mm x 11mm",'Mitred Cutting'!D14="Jasper"),(('Job Sheet'!W14+'Job Sheet'!X14)*2),"")</f>
        <v/>
      </c>
      <c r="AX8" s="80" t="str">
        <f>IF(AND('Mitred Cutting'!E14="37mm x 11mm",'Mitred Cutting'!D14="Paperbark"),(('Job Sheet'!W14+'Job Sheet'!X14)*2),"")</f>
        <v/>
      </c>
      <c r="AY8" s="80" t="str">
        <f>IF(AND('Mitred Cutting'!E14="37mm x 11mm",'Mitred Cutting'!D14="Mist Green"),(('Job Sheet'!W14+'Job Sheet'!X14)*2),"")</f>
        <v/>
      </c>
      <c r="AZ8" s="80" t="str">
        <f>IF(AND('Mitred Cutting'!E14="37mm x 11mm",'Mitred Cutting'!D14="Primrose"),(('Job Sheet'!W14+'Job Sheet'!X14)*2),"")</f>
        <v/>
      </c>
      <c r="BA8" s="80" t="str">
        <f>IF(AND('Mitred Cutting'!E14="37mm x 11mm",'Mitred Cutting'!D14="Ultra Silver"),(('Job Sheet'!W14+'Job Sheet'!X14)*2),"")</f>
        <v/>
      </c>
      <c r="BB8" s="80" t="str">
        <f>IF(AND('Mitred Cutting'!E14="37mm x 11mm",'Mitred Cutting'!D14="Woodland Grey(Green Tone)"),(('Job Sheet'!W14+'Job Sheet'!X14)*2),"")</f>
        <v/>
      </c>
      <c r="BC8" s="80" t="str">
        <f>IF(AND('Mitred Cutting'!E14="37mm x 11mm",'Mitred Cutting'!D14="Pearl White"),(('Job Sheet'!W14+'Job Sheet'!X14)*2),"")</f>
        <v/>
      </c>
      <c r="BD8" s="80" t="str">
        <f>IF(AND('Mitred Cutting'!E14="37mm x 11mm",'Mitred Cutting'!D14="Monument"),(('Job Sheet'!W14+'Job Sheet'!X14)*2),"")</f>
        <v/>
      </c>
      <c r="BE8" s="80" t="str">
        <f>IF(AND('Mitred Cutting'!E14="37mm x 11mm",'Mitred Cutting'!D14="Surfmist"),(('Job Sheet'!W14+'Job Sheet'!X14)*2),"")</f>
        <v/>
      </c>
      <c r="BF8" s="80" t="str">
        <f>IF(AND('Mitred Cutting'!E14="37mm x 11mm",'Mitred Cutting'!D14="Dune"),(('Job Sheet'!W14+'Job Sheet'!X14)*2),"")</f>
        <v/>
      </c>
      <c r="BG8" s="80" t="str">
        <f>IF(AND('Mitred Cutting'!E14="37mm x 11mm",'Mitred Cutting'!D14="Woodland Grey (Dulux)"),(('Job Sheet'!W14+'Job Sheet'!X14)*2),"")</f>
        <v/>
      </c>
      <c r="BH8" s="80" t="str">
        <f>IF(AND('Mitred Cutting'!E14="37mm x 11mm",'Mitred Cutting'!D14="Powdercoat"),(('Job Sheet'!W14+'Job Sheet'!X14)*2),"")</f>
        <v/>
      </c>
      <c r="BI8" s="80" t="str">
        <f>IF(AND('Mitred Cutting'!E14="Invisi-Gard 37mm x 11mm",'Mitred Cutting'!D14="APO Grey"),(('Job Sheet'!W14+'Job Sheet'!X14)*2),"")</f>
        <v/>
      </c>
      <c r="BJ8" s="80" t="str">
        <f>IF(AND('Mitred Cutting'!E14="Invisi-Gard 37mm x 11mm",'Mitred Cutting'!D14="White Birch"),(('Job Sheet'!W14+'Job Sheet'!X14)*2),"")</f>
        <v/>
      </c>
      <c r="BK8" s="80" t="str">
        <f>IF(AND('Mitred Cutting'!E14="Invisi-Gard 37mm x 11mm",'Mitred Cutting'!D14="Black"),(('Job Sheet'!W14+'Job Sheet'!X14)*2),"")</f>
        <v/>
      </c>
      <c r="BL8" s="80" t="str">
        <f>IF(AND('Mitred Cutting'!E14="Invisi-Gard 37mm x 11mm",'Mitred Cutting'!D14="Brown"),(('Job Sheet'!W14+'Job Sheet'!X14)*2),"")</f>
        <v/>
      </c>
      <c r="BM8" s="80" t="str">
        <f>IF(AND('Mitred Cutting'!E14="Invisi-Gard 37mm x 11mm",'Mitred Cutting'!D14="Deep Ocean"),(('Job Sheet'!W14+'Job Sheet'!X14)*2),"")</f>
        <v/>
      </c>
      <c r="BN8" s="80" t="str">
        <f>IF(AND('Mitred Cutting'!E14="Invisi-Gard 37mm x 11mm",'Mitred Cutting'!D14="Jasper"),(('Job Sheet'!W14+'Job Sheet'!X14)*2),"")</f>
        <v/>
      </c>
      <c r="BO8" s="80" t="str">
        <f>IF(AND('Mitred Cutting'!E14="Invisi-Gard 37mm x 11mm",'Mitred Cutting'!D14="Paperbark"),(('Job Sheet'!W14+'Job Sheet'!X14)*2),"")</f>
        <v/>
      </c>
      <c r="BP8" s="80" t="str">
        <f>IF(AND('Mitred Cutting'!E14="Invisi-Gard 37mm x 11mm",'Mitred Cutting'!D14="Mist Green"),(('Job Sheet'!W14+'Job Sheet'!X14)*2),"")</f>
        <v/>
      </c>
      <c r="BQ8" s="80" t="str">
        <f>IF(AND('Mitred Cutting'!E14="Invisi-Gard 37mm x 11mm",'Mitred Cutting'!D14="Primrose"),(('Job Sheet'!W14+'Job Sheet'!X14)*2),"")</f>
        <v/>
      </c>
      <c r="BR8" s="80" t="str">
        <f>IF(AND('Mitred Cutting'!E14="Invisi-Gard 37mm x 11mm",'Mitred Cutting'!D14="Ultra Silver"),(('Job Sheet'!W14+'Job Sheet'!X14)*2),"")</f>
        <v/>
      </c>
      <c r="BS8" s="80" t="str">
        <f>IF(AND('Mitred Cutting'!E14="Invisi-Gard 37mm x 11mm",'Mitred Cutting'!D14="Woodland Grey(Green Tone)"),(('Job Sheet'!W14+'Job Sheet'!X14)*2),"")</f>
        <v/>
      </c>
      <c r="BT8" s="80" t="str">
        <f>IF(AND('Mitred Cutting'!E14="Invisi-Gard 37mm x 11mm",'Mitred Cutting'!D14="Pearl White"),(('Job Sheet'!W14+'Job Sheet'!X14)*2),"")</f>
        <v/>
      </c>
      <c r="BU8" s="80" t="str">
        <f>IF(AND('Mitred Cutting'!E14="Invisi-Gard 37mm x 11mm",'Mitred Cutting'!D14="Monument"),(('Job Sheet'!W14+'Job Sheet'!X14)*2),"")</f>
        <v/>
      </c>
      <c r="BV8" s="80" t="str">
        <f>IF(AND('Mitred Cutting'!E14="Invisi-Gard 37mm x 11mm",'Mitred Cutting'!D14="Surfmist"),(('Job Sheet'!W14+'Job Sheet'!X14)*2),"")</f>
        <v/>
      </c>
      <c r="BW8" s="80" t="str">
        <f>IF(AND('Mitred Cutting'!E14="Invisi-Gard 37mm x 11mm",'Mitred Cutting'!D14="Dune"),(('Job Sheet'!W14+'Job Sheet'!X14)*2),"")</f>
        <v/>
      </c>
      <c r="BX8" s="80"/>
      <c r="BY8" s="80" t="str">
        <f>IF(AND('Mitred Cutting'!E14="Invisi-Gard 37mm x 11mm",'Mitred Cutting'!D14="Powdercoat"),(('Job Sheet'!W14+'Job Sheet'!X14)*2),"")</f>
        <v/>
      </c>
      <c r="BZ8" s="80" t="str">
        <f>IF(AND('Mitred Cutting'!E14="Invisi-Gard 37mm x 9mm",'Mitred Cutting'!D14="APO Grey"),(('Job Sheet'!W14+'Job Sheet'!X14)*2),"")</f>
        <v/>
      </c>
      <c r="CA8" s="80" t="str">
        <f>IF(AND('Mitred Cutting'!E14="Invisi-Gard 37mm x 9mm",'Mitred Cutting'!D14="White Birch"),(('Job Sheet'!W14+'Job Sheet'!X14)*2),"")</f>
        <v/>
      </c>
      <c r="CB8" s="80" t="str">
        <f>IF(AND('Mitred Cutting'!E14="Invisi-Gard 37mm x 9mm",'Mitred Cutting'!D14="Black"),(('Job Sheet'!W14+'Job Sheet'!X14)*2),"")</f>
        <v/>
      </c>
      <c r="CC8" s="80" t="str">
        <f>IF(AND('Mitred Cutting'!E14="Invisi-Gard 37mm x 9mm",'Mitred Cutting'!D14="Brown"),(('Job Sheet'!W14+'Job Sheet'!X14)*2),"")</f>
        <v/>
      </c>
      <c r="CD8" s="80" t="str">
        <f>IF(AND('Mitred Cutting'!E14="Invisi-Gard 37mm x 9mm",'Mitred Cutting'!D14="Deep Ocean"),(('Job Sheet'!W14+'Job Sheet'!X14)*2),"")</f>
        <v/>
      </c>
      <c r="CE8" s="80" t="str">
        <f>IF(AND('Mitred Cutting'!E14="Invisi-Gard 37mm x 9mm",'Mitred Cutting'!D14="Jasper"),(('Job Sheet'!W14+'Job Sheet'!X14)*2),"")</f>
        <v/>
      </c>
      <c r="CF8" s="80" t="str">
        <f>IF(AND('Mitred Cutting'!E14="Invisi-Gard 37mm x 9mm",'Mitred Cutting'!D14="Paperbark"),(('Job Sheet'!W14+'Job Sheet'!X14)*2),"")</f>
        <v/>
      </c>
      <c r="CG8" s="80" t="str">
        <f>IF(AND('Mitred Cutting'!E14="Invisi-Gard 37mm x 9mm",'Mitred Cutting'!D14="Mist Green"),(('Job Sheet'!W14+'Job Sheet'!X14)*2),"")</f>
        <v/>
      </c>
      <c r="CH8" s="80" t="str">
        <f>IF(AND('Mitred Cutting'!E14="Invisi-Gard 37mm x 9mm",'Mitred Cutting'!D14="Primrose"),(('Job Sheet'!W14+'Job Sheet'!X14)*2),"")</f>
        <v/>
      </c>
      <c r="CI8" s="80" t="str">
        <f>IF(AND('Mitred Cutting'!E14="Invisi-Gard 37mm x 9mm",'Mitred Cutting'!D14="Ultra Silver"),(('Job Sheet'!W14+'Job Sheet'!X14)*2),"")</f>
        <v/>
      </c>
      <c r="CJ8" s="80" t="str">
        <f>IF(AND('Mitred Cutting'!E14="Invisi-Gard 37mm x 9mm",'Mitred Cutting'!D14="Woodland Grey(Green Tone)"),(('Job Sheet'!W14+'Job Sheet'!X14)*2),"")</f>
        <v/>
      </c>
      <c r="CK8" s="80" t="str">
        <f>IF(AND('Mitred Cutting'!E14="Invisi-Gard 37mm x 9mm",'Mitred Cutting'!D14="Pearl White"),(('Job Sheet'!W14+'Job Sheet'!X14)*2),"")</f>
        <v/>
      </c>
      <c r="CL8" s="80" t="str">
        <f>IF(AND('Mitred Cutting'!E14="Invisi-Gard 37mm x 9mm",'Mitred Cutting'!D14="Monument"),(('Job Sheet'!W14+'Job Sheet'!X14)*2),"")</f>
        <v/>
      </c>
      <c r="CM8" s="80" t="str">
        <f>IF(AND('Mitred Cutting'!E14="Invisi-Gard 37mm x 9mm",'Mitred Cutting'!D14="Surfmist"),(('Job Sheet'!W14+'Job Sheet'!X14)*2),"")</f>
        <v/>
      </c>
      <c r="CN8" s="80" t="str">
        <f>IF(AND('Mitred Cutting'!E14="Invisi-Gard 37mm x 9mm",'Mitred Cutting'!D14="Dune"),(('Job Sheet'!W14+'Job Sheet'!X14)*2),"")</f>
        <v/>
      </c>
      <c r="CO8" s="80"/>
      <c r="CP8" s="80" t="str">
        <f>IF(AND('Mitred Cutting'!E14="Invisi-Gard 37mm x 9mm",'Mitred Cutting'!D14="Powdercoat"),(('Job Sheet'!W14+'Job Sheet'!X14)*2),"")</f>
        <v/>
      </c>
      <c r="CQ8" s="80"/>
      <c r="CR8" s="80"/>
      <c r="CS8" s="80"/>
      <c r="CT8" s="80"/>
      <c r="CU8" s="80"/>
      <c r="CV8" s="80"/>
      <c r="CW8" s="80"/>
      <c r="CX8" s="80"/>
      <c r="CY8" s="80"/>
      <c r="CZ8" s="80"/>
      <c r="DA8" s="80"/>
      <c r="DB8" s="80"/>
      <c r="DC8" s="80"/>
      <c r="DD8" s="80"/>
      <c r="DE8" s="80"/>
      <c r="DF8" s="80"/>
      <c r="DG8" s="80"/>
      <c r="DH8" s="80"/>
      <c r="DI8" s="80"/>
      <c r="DJ8" s="80"/>
      <c r="DK8" s="80"/>
      <c r="DL8" s="80"/>
      <c r="DM8" s="80"/>
      <c r="DN8" s="80"/>
      <c r="DO8" s="80"/>
      <c r="DP8" s="80"/>
      <c r="DQ8" s="80"/>
      <c r="DR8" s="80"/>
      <c r="DS8" s="80"/>
      <c r="DT8" s="80"/>
      <c r="DU8" s="80"/>
      <c r="DV8" s="80"/>
      <c r="DW8" s="80"/>
      <c r="DX8" s="80"/>
      <c r="DY8" s="80" t="str">
        <f>IF(AND('Mitred Cutting'!E14="9mm",'Mitred Cutting'!D14="APO Grey",'Job Sheet'!P14&lt;&gt;""),(('Job Sheet'!W14+'Job Sheet'!X14)*2)+'Job Sheet'!AG14,IF(AND('Mitred Cutting'!E14="9mm",'Mitred Cutting'!D14="APO Grey"),(('Job Sheet'!W14+'Job Sheet'!X14)*2),""))</f>
        <v/>
      </c>
      <c r="DZ8" s="80" t="str">
        <f>IF(AND('Mitred Cutting'!E14="9mm",'Mitred Cutting'!D14="White Birch",'Job Sheet'!P14&lt;&gt;""),(('Job Sheet'!W14+'Job Sheet'!X14)*2)+'Job Sheet'!AG14,IF(AND('Mitred Cutting'!E14="9mm",'Mitred Cutting'!D14="White Birch"),(('Job Sheet'!W14+'Job Sheet'!X14)*2),""))</f>
        <v/>
      </c>
      <c r="EA8" s="80" t="str">
        <f>IF(AND('Mitred Cutting'!E14="9mm",'Mitred Cutting'!D14="Black",'Job Sheet'!P14&lt;&gt;""),(('Job Sheet'!W14+'Job Sheet'!X14)*2)+'Job Sheet'!AG14,IF(AND('Mitred Cutting'!E14="9mm",'Mitred Cutting'!D14="Black"),(('Job Sheet'!W14+'Job Sheet'!X14)*2),""))</f>
        <v/>
      </c>
      <c r="EB8" s="80" t="str">
        <f>IF(AND('Mitred Cutting'!E14="9mm",'Mitred Cutting'!D14="Brown",'Job Sheet'!P14&lt;&gt;""),(('Job Sheet'!W14+'Job Sheet'!X14)*2)+'Job Sheet'!AG14,IF(AND('Mitred Cutting'!E14="9mm",'Mitred Cutting'!D14="Brown"),(('Job Sheet'!W14+'Job Sheet'!X14)*2),""))</f>
        <v/>
      </c>
      <c r="EC8" s="80" t="str">
        <f>IF(AND('Mitred Cutting'!E14="9mm",'Mitred Cutting'!D14="Deep Ocean",'Job Sheet'!P14&lt;&gt;""),(('Job Sheet'!W14+'Job Sheet'!X14)*2)+'Job Sheet'!AG14,IF(AND('Mitred Cutting'!E14="9mm",'Mitred Cutting'!D14="Deep Ocean"),(('Job Sheet'!W14+'Job Sheet'!X14)*2),""))</f>
        <v/>
      </c>
      <c r="ED8" s="80" t="str">
        <f>IF(AND('Mitred Cutting'!E14="9mm",'Mitred Cutting'!D14="Jasper",'Job Sheet'!P14&lt;&gt;""),(('Job Sheet'!W14+'Job Sheet'!X14)*2)+'Job Sheet'!AG14,IF(AND('Mitred Cutting'!E14="9mm",'Mitred Cutting'!D14="Jasper"),(('Job Sheet'!W14+'Job Sheet'!X14)*2),""))</f>
        <v/>
      </c>
      <c r="EE8" s="80" t="str">
        <f>IF(AND('Mitred Cutting'!E14="9mm",'Mitred Cutting'!D14="Paperbark",'Job Sheet'!P14&lt;&gt;""),(('Job Sheet'!W14+'Job Sheet'!X14)*2)+'Job Sheet'!AG14,IF(AND('Mitred Cutting'!E14="9mm",'Mitred Cutting'!D14="Paperbark"),(('Job Sheet'!W14+'Job Sheet'!X14)*2),""))</f>
        <v/>
      </c>
      <c r="EF8" s="80" t="str">
        <f>IF(AND('Mitred Cutting'!E14="9mm",'Mitred Cutting'!D14="Pale Eucalypt",'Job Sheet'!P14&lt;&gt;""),(('Job Sheet'!W14+'Job Sheet'!X14)*2)+'Job Sheet'!AG14,IF(AND('Mitred Cutting'!E14="9mm",'Mitred Cutting'!D14="Mist Green"),(('Job Sheet'!W14+'Job Sheet'!X14)*2),""))</f>
        <v/>
      </c>
      <c r="EG8" s="80" t="str">
        <f>IF(AND('Mitred Cutting'!E14="9mm",'Mitred Cutting'!D14="Primrose",'Job Sheet'!P14&lt;&gt;""),(('Job Sheet'!W14+'Job Sheet'!X14)*2)+'Job Sheet'!AG14,IF(AND('Mitred Cutting'!E14="9mm",'Mitred Cutting'!D14="Primrose"),(('Job Sheet'!W14+'Job Sheet'!X14)*2),""))</f>
        <v/>
      </c>
      <c r="EH8" s="80" t="str">
        <f>IF(AND('Mitred Cutting'!E14="9mm",'Mitred Cutting'!D14="Ultra Silver",'Job Sheet'!P14&lt;&gt;""),(('Job Sheet'!W14+'Job Sheet'!X14)*2)+'Job Sheet'!AG14,IF(AND('Mitred Cutting'!E14="9mm",'Mitred Cutting'!D14="Ultra Silver"),(('Job Sheet'!W14+'Job Sheet'!X14)*2),""))</f>
        <v/>
      </c>
      <c r="EI8" s="80" t="str">
        <f>IF(AND('Mitred Cutting'!E14="9mm",'Mitred Cutting'!D14="Woodland Grey(Green Tone)",'Job Sheet'!P14&lt;&gt;""),(('Job Sheet'!W14+'Job Sheet'!X14)*2)+'Job Sheet'!AG14,IF(AND('Mitred Cutting'!E14="9mm",'Mitred Cutting'!D14="Woodland Grey(Green Tone)"),(('Job Sheet'!W14+'Job Sheet'!X14)*2),""))</f>
        <v/>
      </c>
      <c r="EJ8" s="80" t="str">
        <f>IF(AND('Mitred Cutting'!E14="9mm",'Mitred Cutting'!D14="Pearl White",'Job Sheet'!P14&lt;&gt;""),(('Job Sheet'!W14+'Job Sheet'!X14)*2)+'Job Sheet'!AG14,IF(AND('Mitred Cutting'!E14="9mm",'Mitred Cutting'!D14="Pearl White"),(('Job Sheet'!W14+'Job Sheet'!X14)*2),""))</f>
        <v/>
      </c>
      <c r="EK8" s="80" t="str">
        <f>IF(AND('Mitred Cutting'!E14="9mm",'Mitred Cutting'!D14="Monument",'Job Sheet'!P14&lt;&gt;""),(('Job Sheet'!W14+'Job Sheet'!X14)*2)+'Job Sheet'!AG14,IF(AND('Mitred Cutting'!E14="9mm",'Mitred Cutting'!D14="Monument"),(('Job Sheet'!W14+'Job Sheet'!X14)*2),""))</f>
        <v/>
      </c>
      <c r="EL8" s="80" t="str">
        <f>IF(AND('Mitred Cutting'!E14="9mm",'Mitred Cutting'!D14="Surfmist",'Job Sheet'!P14&lt;&gt;""),(('Job Sheet'!W14+'Job Sheet'!X14)*2)+'Job Sheet'!AG14,IF(AND('Mitred Cutting'!E14="9mm",'Mitred Cutting'!D14="Surfmist"),(('Job Sheet'!W14+'Job Sheet'!X14)*2),""))</f>
        <v/>
      </c>
      <c r="EM8" s="80" t="str">
        <f>IF(AND('Mitred Cutting'!E14="9mm",'Mitred Cutting'!D14="Dune",'Job Sheet'!P14&lt;&gt;""),(('Job Sheet'!W14+'Job Sheet'!X14)*2)+'Job Sheet'!AG14,IF(AND('Mitred Cutting'!E14="9mm",'Mitred Cutting'!D14="Dune"),(('Job Sheet'!W14+'Job Sheet'!X14)*2),""))</f>
        <v/>
      </c>
      <c r="EN8" s="80" t="str">
        <f>IF(AND('Mitred Cutting'!E14="9mm",'Mitred Cutting'!D14="Powdercoat",'Job Sheet'!P14&lt;&gt;""),(('Job Sheet'!W14+'Job Sheet'!X14)*2)+'Job Sheet'!AG14,IF(AND('Mitred Cutting'!E14="9mm",'Mitred Cutting'!D14="Powdercoat"),(('Job Sheet'!W14+'Job Sheet'!X14)*2),""))</f>
        <v/>
      </c>
      <c r="EO8" s="80" t="str">
        <f>IF(AND('Mitred Cutting'!E14="11mm",'Mitred Cutting'!D14="APO Grey",'Job Sheet'!P14&lt;&gt;""),(('Job Sheet'!W14+'Job Sheet'!X14)*2)+'Job Sheet'!AG14,IF(AND('Mitred Cutting'!E14="11mm",'Mitred Cutting'!D14="APO Grey"),(('Job Sheet'!W14+'Job Sheet'!X14)*2),""))</f>
        <v/>
      </c>
      <c r="EP8" s="80" t="str">
        <f>IF(AND('Mitred Cutting'!E14="11mm",'Mitred Cutting'!D14="White Birch",'Job Sheet'!P14&lt;&gt;""),(('Job Sheet'!W14+'Job Sheet'!X14)*2)+'Job Sheet'!AG14,IF(AND('Mitred Cutting'!E14="11mm",'Mitred Cutting'!D14="White Birch"),(('Job Sheet'!W14+'Job Sheet'!X14)*2),""))</f>
        <v/>
      </c>
      <c r="EQ8" s="84" t="str">
        <f>IF(AND('Mitred Cutting'!E14="11mm",'Mitred Cutting'!D14="Black",'Job Sheet'!P14&lt;&gt;""),(('Job Sheet'!W14+'Job Sheet'!X14)*2)+'Job Sheet'!AG14,IF(AND('Mitred Cutting'!E14="11mm",'Mitred Cutting'!D14="Black"),(('Job Sheet'!W14+'Job Sheet'!X14)*2),""))</f>
        <v/>
      </c>
      <c r="ER8" s="80" t="str">
        <f>IF(AND('Mitred Cutting'!E14="11mm",'Mitred Cutting'!D14="Brown",'Job Sheet'!P14&lt;&gt;""),(('Job Sheet'!W14+'Job Sheet'!X14)*2)+'Job Sheet'!AG14,IF(AND('Mitred Cutting'!E14="11mm",'Mitred Cutting'!D14="Brown"),(('Job Sheet'!W14+'Job Sheet'!X14)*2),""))</f>
        <v/>
      </c>
      <c r="ES8" s="80" t="str">
        <f>IF(AND('Mitred Cutting'!E14="11mm",'Mitred Cutting'!D14="Deep Ocean",'Job Sheet'!P14&lt;&gt;""),(('Job Sheet'!W14+'Job Sheet'!X14)*2)+'Job Sheet'!AG14,IF(AND('Mitred Cutting'!E14="11mm",'Mitred Cutting'!D14="Deep Ocean"),(('Job Sheet'!W14+'Job Sheet'!X14)*2),""))</f>
        <v/>
      </c>
      <c r="ET8" s="80" t="str">
        <f>IF(AND('Mitred Cutting'!E14="11mm",'Mitred Cutting'!D14="Jasper",'Job Sheet'!P14&lt;&gt;""),(('Job Sheet'!W14+'Job Sheet'!X14)*2)+'Job Sheet'!AG14,IF(AND('Mitred Cutting'!E14="11mm",'Mitred Cutting'!D14="Jasper"),(('Job Sheet'!W14+'Job Sheet'!X14)*2),""))</f>
        <v/>
      </c>
      <c r="EU8" s="80" t="str">
        <f>IF(AND('Mitred Cutting'!E14="11mm",'Mitred Cutting'!D14="Paperbark",'Job Sheet'!P14&lt;&gt;""),(('Job Sheet'!W14+'Job Sheet'!X14)*2)+'Job Sheet'!AG14,IF(AND('Mitred Cutting'!E14="11mm",'Mitred Cutting'!D14="Paperbark"),(('Job Sheet'!W14+'Job Sheet'!X14)*2),""))</f>
        <v/>
      </c>
      <c r="EV8" s="80" t="str">
        <f>IF(AND('Mitred Cutting'!E14="11mm",'Mitred Cutting'!D14="Pale Eucalypt",'Job Sheet'!P14&lt;&gt;""),(('Job Sheet'!W14+'Job Sheet'!X14)*2)+'Job Sheet'!AG14,IF(AND('Mitred Cutting'!E14="11mm",'Mitred Cutting'!D14="Pale Eucalypt"),(('Job Sheet'!W14+'Job Sheet'!X14)*2),""))</f>
        <v/>
      </c>
      <c r="EW8" s="80" t="str">
        <f>IF(AND('Mitred Cutting'!E14="11mm",'Mitred Cutting'!D14="Primrose",'Job Sheet'!P14&lt;&gt;""),(('Job Sheet'!W14+'Job Sheet'!X14)*2)+'Job Sheet'!AG14,IF(AND('Mitred Cutting'!E14="11mm",'Mitred Cutting'!D14="Primrose"),(('Job Sheet'!W14+'Job Sheet'!X14)*2),""))</f>
        <v/>
      </c>
      <c r="EX8" s="80" t="str">
        <f>IF(AND('Mitred Cutting'!E14="11mm",'Mitred Cutting'!D14="Ultra Silver",'Job Sheet'!P14&lt;&gt;""),(('Job Sheet'!W14+'Job Sheet'!X14)*2)+'Job Sheet'!AG14,IF(AND('Mitred Cutting'!E14="11mm",'Mitred Cutting'!D14="Ultra Silver"),(('Job Sheet'!W14+'Job Sheet'!X14)*2),""))</f>
        <v/>
      </c>
      <c r="EY8" s="80" t="str">
        <f>IF(AND('Mitred Cutting'!E14="11mm",'Mitred Cutting'!D14="Woodland Grey(Green Tone)",'Job Sheet'!P14&lt;&gt;""),(('Job Sheet'!W14+'Job Sheet'!X14)*2)+'Job Sheet'!AG14,IF(AND('Mitred Cutting'!E14="11mm",'Mitred Cutting'!D14="Woodland Grey(Green Tone)"),(('Job Sheet'!W14+'Job Sheet'!X14)*2),""))</f>
        <v/>
      </c>
      <c r="EZ8" s="80" t="str">
        <f>IF(AND('Mitred Cutting'!E14="11mm",'Mitred Cutting'!D14="Pearl White",'Job Sheet'!P14&lt;&gt;""),(('Job Sheet'!W14+'Job Sheet'!X14)*2)+'Job Sheet'!AG14,IF(AND('Mitred Cutting'!E14="11mm",'Mitred Cutting'!D14="Pearl White"),(('Job Sheet'!W14+'Job Sheet'!X14)*2),""))</f>
        <v/>
      </c>
      <c r="FA8" s="80" t="str">
        <f>IF(AND('Mitred Cutting'!E14="11mm",'Mitred Cutting'!D14="Monument",'Job Sheet'!P14&lt;&gt;""),(('Job Sheet'!W14+'Job Sheet'!X14)*2)+'Job Sheet'!AG14,IF(AND('Mitred Cutting'!E14="11mm",'Mitred Cutting'!D14="Monument"),(('Job Sheet'!W14+'Job Sheet'!X14)*2),""))</f>
        <v/>
      </c>
      <c r="FB8" s="80" t="str">
        <f>IF(AND('Mitred Cutting'!E14="11mm",'Mitred Cutting'!D14="Surfmist",'Job Sheet'!P14&lt;&gt;""),(('Job Sheet'!W14+'Job Sheet'!X14)*2)+'Job Sheet'!AG14,IF(AND('Mitred Cutting'!E14="11mm",'Mitred Cutting'!D14="Surfmist"),(('Job Sheet'!W14+'Job Sheet'!X14)*2),""))</f>
        <v/>
      </c>
      <c r="FC8" s="80" t="str">
        <f>IF(AND('Mitred Cutting'!E14="11mm",'Mitred Cutting'!D14="Dune",'Job Sheet'!P14&lt;&gt;""),(('Job Sheet'!W14+'Job Sheet'!X14)*2)+'Job Sheet'!AG14,IF(AND('Mitred Cutting'!E14="11mm",'Mitred Cutting'!D14="Dune"),(('Job Sheet'!W14+'Job Sheet'!X14)*2),""))</f>
        <v/>
      </c>
      <c r="FD8" s="80" t="str">
        <f>IF(AND('Mitred Cutting'!E14="11mm",'Mitred Cutting'!D14="Powdercoat",'Job Sheet'!P14&lt;&gt;""),(('Job Sheet'!W14+'Job Sheet'!X14)*2)+'Job Sheet'!AG14,IF(AND('Mitred Cutting'!E14="11mm",'Mitred Cutting'!D14="Powdercoat"),(('Job Sheet'!W14+'Job Sheet'!X14)*2),""))</f>
        <v/>
      </c>
      <c r="FE8" s="80"/>
      <c r="FF8" s="80"/>
      <c r="FG8" s="80"/>
      <c r="FH8" s="80"/>
      <c r="FI8" s="80"/>
      <c r="FJ8" s="80"/>
      <c r="FK8" s="80"/>
      <c r="FL8" s="80"/>
      <c r="FM8" s="80"/>
      <c r="FN8" s="80"/>
      <c r="FO8" s="80"/>
      <c r="FP8" s="80"/>
      <c r="FQ8" s="80"/>
      <c r="FR8" s="80"/>
      <c r="FS8" s="80"/>
      <c r="FT8" s="80"/>
      <c r="FU8" s="80"/>
      <c r="FV8" s="80"/>
      <c r="FW8" s="80"/>
      <c r="FX8" s="80"/>
      <c r="FY8" s="80"/>
      <c r="FZ8" s="80"/>
      <c r="GA8" s="80"/>
      <c r="GB8" s="80"/>
      <c r="GC8" s="80"/>
      <c r="GD8" s="80"/>
      <c r="GE8" s="80"/>
      <c r="GF8" s="80"/>
      <c r="GG8" s="80"/>
      <c r="GH8" s="80"/>
      <c r="GI8" s="80"/>
      <c r="GJ8" s="80"/>
      <c r="GK8" s="80"/>
      <c r="GL8" s="80"/>
      <c r="GM8" s="80"/>
      <c r="GN8" s="80"/>
      <c r="GO8" s="80"/>
      <c r="GP8" s="80"/>
      <c r="GQ8" s="80"/>
      <c r="GR8" s="80"/>
      <c r="GS8" s="80"/>
      <c r="GT8" s="80"/>
      <c r="GU8" s="80"/>
      <c r="GV8" s="80"/>
      <c r="GW8" s="80"/>
      <c r="GX8" s="80"/>
      <c r="GY8" s="80"/>
      <c r="GZ8" s="80"/>
      <c r="HA8" s="80"/>
      <c r="HB8" s="80"/>
      <c r="HC8" s="80"/>
      <c r="HD8" s="80"/>
      <c r="HE8" s="80"/>
      <c r="HF8" s="80"/>
      <c r="HG8" s="80"/>
      <c r="HH8" s="80"/>
      <c r="HI8" s="80"/>
      <c r="HJ8" s="80"/>
      <c r="HK8" s="80"/>
      <c r="HL8" s="80"/>
      <c r="HM8" s="80"/>
      <c r="HN8" s="80"/>
      <c r="HO8" s="80"/>
      <c r="HP8" s="80"/>
      <c r="HQ8" s="80"/>
      <c r="HR8" s="80"/>
      <c r="HS8" s="80"/>
      <c r="HT8" s="80"/>
      <c r="HU8" s="80"/>
      <c r="HV8" s="80"/>
      <c r="HW8" s="80"/>
      <c r="HX8" s="80"/>
      <c r="HY8" s="80"/>
      <c r="HZ8" s="80"/>
      <c r="IA8" s="80"/>
      <c r="IB8" s="80"/>
      <c r="IC8" s="80"/>
      <c r="ID8" s="80"/>
      <c r="IE8" s="80"/>
      <c r="IF8" s="80"/>
      <c r="IG8" s="80"/>
      <c r="IH8" s="80"/>
      <c r="II8" s="80"/>
      <c r="IJ8" s="80"/>
      <c r="IK8" s="80"/>
      <c r="IL8" s="80"/>
      <c r="IM8" s="80"/>
      <c r="IN8" s="80"/>
      <c r="IO8" s="80"/>
      <c r="IP8" s="80"/>
      <c r="IQ8" s="80"/>
      <c r="IR8" s="80"/>
      <c r="IS8" s="80"/>
      <c r="IT8" s="80"/>
      <c r="IU8" s="80"/>
      <c r="IV8" s="80"/>
      <c r="IW8" s="80"/>
      <c r="IX8" s="80"/>
      <c r="IY8" s="80"/>
      <c r="IZ8" s="80"/>
      <c r="JA8" s="80"/>
      <c r="JB8" s="80"/>
      <c r="JC8" s="80"/>
      <c r="JD8" s="80"/>
      <c r="JE8" s="80"/>
      <c r="JF8" s="80"/>
      <c r="JG8" s="80"/>
      <c r="JH8" s="80"/>
      <c r="JI8" s="80"/>
      <c r="JJ8" s="80"/>
      <c r="JK8" s="80"/>
      <c r="JL8" s="80"/>
      <c r="JM8" s="80"/>
      <c r="JN8" s="80"/>
      <c r="JO8" s="80"/>
      <c r="JP8" s="80"/>
      <c r="JQ8" s="80"/>
      <c r="JR8" s="80"/>
      <c r="JS8" s="80"/>
      <c r="JT8" s="80"/>
      <c r="JU8" s="80"/>
      <c r="JV8" s="80"/>
      <c r="JW8" s="80"/>
      <c r="JX8" s="80"/>
      <c r="JY8" s="80"/>
      <c r="JZ8" s="80"/>
      <c r="KA8" s="80"/>
      <c r="KB8" s="80"/>
      <c r="KC8" s="80"/>
      <c r="KD8" s="80"/>
      <c r="KE8" s="80"/>
      <c r="KF8" s="80"/>
      <c r="KG8" s="80"/>
      <c r="KH8" s="80"/>
      <c r="KI8" s="80"/>
      <c r="KJ8" s="80"/>
      <c r="KK8" s="80"/>
      <c r="KL8" s="80"/>
      <c r="KM8" s="80"/>
      <c r="KN8" s="80"/>
      <c r="KO8" s="80"/>
      <c r="KP8" s="80"/>
      <c r="KQ8" s="80"/>
      <c r="KR8" s="80"/>
      <c r="KS8" s="80"/>
      <c r="KT8" s="80"/>
      <c r="KU8" s="80"/>
      <c r="KV8" s="80"/>
      <c r="KW8" s="80"/>
      <c r="KX8" s="80"/>
      <c r="KY8" s="80"/>
      <c r="KZ8" s="80"/>
      <c r="LA8" s="80"/>
      <c r="LB8" s="80"/>
      <c r="LC8" s="80"/>
      <c r="LD8" s="80"/>
      <c r="LE8" s="80"/>
      <c r="LF8" s="80"/>
      <c r="LG8" s="80"/>
      <c r="LH8" s="80"/>
      <c r="LI8" s="80"/>
      <c r="LJ8" s="80"/>
      <c r="LK8" s="80"/>
      <c r="LL8" s="80"/>
      <c r="LM8" s="80"/>
      <c r="LN8" s="80"/>
      <c r="LO8" s="80"/>
      <c r="LP8" s="80"/>
      <c r="LQ8" s="80"/>
      <c r="LR8" s="80"/>
      <c r="LS8" s="80"/>
      <c r="LT8" s="80"/>
      <c r="LU8" s="80"/>
      <c r="LV8" s="80"/>
      <c r="LW8" s="80"/>
      <c r="LX8" s="80"/>
      <c r="LY8" s="80"/>
      <c r="LZ8" s="80"/>
      <c r="MA8" s="80"/>
      <c r="MB8" s="80"/>
      <c r="MC8" s="80"/>
      <c r="MD8" s="80"/>
      <c r="ME8" s="80"/>
      <c r="MF8" s="80"/>
      <c r="MG8" s="80"/>
      <c r="MH8" s="80"/>
      <c r="MI8" s="80"/>
      <c r="MJ8" s="80"/>
      <c r="MK8" s="81"/>
      <c r="ML8" s="81"/>
      <c r="MM8" s="81"/>
      <c r="MN8" s="81"/>
      <c r="MO8" s="81"/>
      <c r="MP8" s="81"/>
      <c r="MQ8" s="81"/>
      <c r="MR8" s="80" t="str">
        <f>IF(AND('Straight Cutting'!D14="Standard",'Straight Cutting'!E14="APO Grey",'Straight Cutting'!F14&lt;&gt;"",'Straight Cutting'!G14=""),'Straight Cutting'!F14,IF(AND('Straight Cutting'!D14="Standard",'Straight Cutting'!E14="APO Grey",'Straight Cutting'!F14="",'Straight Cutting'!G14&lt;&gt;""),'Straight Cutting'!G14,IF(AND('Straight Cutting'!D14="Standard",'Straight Cutting'!E14="APO Grey",'Straight Cutting'!F14&lt;&gt;"",'Straight Cutting'!G14&lt;&gt;""),'Straight Cutting'!F14+'Job Sheet'!AH14,"")))</f>
        <v/>
      </c>
      <c r="MS8" s="80" t="str">
        <f>IF(AND('Straight Cutting'!D14="Standard",'Straight Cutting'!E14="White Birch",'Straight Cutting'!F14&lt;&gt;"",'Straight Cutting'!G14=""),'Straight Cutting'!F14,IF(AND('Straight Cutting'!D14="Standard",'Straight Cutting'!E14="White Birch",'Straight Cutting'!F14="",'Straight Cutting'!G14&lt;&gt;""),'Straight Cutting'!G14,IF(AND('Straight Cutting'!D14="Standard",'Straight Cutting'!E14="White Birch",'Straight Cutting'!F14&lt;&gt;"",'Straight Cutting'!G14&lt;&gt;""),'Straight Cutting'!F14+'Job Sheet'!AH14,"")))</f>
        <v/>
      </c>
      <c r="MT8" s="80" t="str">
        <f>IF(AND('Straight Cutting'!D14="Standard",'Straight Cutting'!E14="Black",'Straight Cutting'!F14&lt;&gt;"",'Straight Cutting'!G14=""),'Straight Cutting'!F14,IF(AND('Straight Cutting'!D14="Standard",'Straight Cutting'!E14="Black",'Straight Cutting'!F14="",'Straight Cutting'!G14&lt;&gt;""),'Straight Cutting'!G14,IF(AND('Straight Cutting'!D14="Standard",'Straight Cutting'!E14="Black",'Straight Cutting'!F14&lt;&gt;"",'Straight Cutting'!G14&lt;&gt;""),'Straight Cutting'!F14+'Job Sheet'!AH14,"")))</f>
        <v/>
      </c>
      <c r="MU8" s="80" t="str">
        <f>IF(AND('Straight Cutting'!D14="Standard",'Straight Cutting'!E14="Brown",'Straight Cutting'!F14&lt;&gt;"",'Straight Cutting'!G14=""),'Straight Cutting'!F14,IF(AND('Straight Cutting'!D14="Standard",'Straight Cutting'!E14="Brown",'Straight Cutting'!F14="",'Straight Cutting'!G14&lt;&gt;""),'Straight Cutting'!G14,IF(AND('Straight Cutting'!D14="Standard",'Straight Cutting'!E14="Brown",'Straight Cutting'!F14&lt;&gt;"",'Straight Cutting'!G14&lt;&gt;""),'Straight Cutting'!F14+'Job Sheet'!AH14,"")))</f>
        <v/>
      </c>
      <c r="MV8" s="80" t="str">
        <f>IF(AND('Straight Cutting'!D14="Standard",'Straight Cutting'!E14="Deep Ocean",'Straight Cutting'!F14&lt;&gt;"",'Straight Cutting'!G14=""),'Straight Cutting'!F14,IF(AND('Straight Cutting'!D14="Standard",'Straight Cutting'!E14="Deep Ocean",'Straight Cutting'!F14="",'Straight Cutting'!G14&lt;&gt;""),'Straight Cutting'!G14,IF(AND('Straight Cutting'!D14="Standard",'Straight Cutting'!E14="Deep Ocean",'Straight Cutting'!F14&lt;&gt;"",'Straight Cutting'!G14&lt;&gt;""),'Straight Cutting'!F14+'Job Sheet'!AH14,"")))</f>
        <v/>
      </c>
      <c r="MW8" s="80" t="str">
        <f>IF(AND('Straight Cutting'!D14="Standard",'Straight Cutting'!E14="Jasper",'Straight Cutting'!F14&lt;&gt;"",'Straight Cutting'!G14=""),'Straight Cutting'!F14,IF(AND('Straight Cutting'!D14="Standard",'Straight Cutting'!E14="Jasper",'Straight Cutting'!F14="",'Straight Cutting'!G14&lt;&gt;""),'Straight Cutting'!G14,IF(AND('Straight Cutting'!D14="Standard",'Straight Cutting'!E14="Jasper",'Straight Cutting'!F14&lt;&gt;"",'Straight Cutting'!G14&lt;&gt;""),'Straight Cutting'!F14+'Job Sheet'!AH14,"")))</f>
        <v/>
      </c>
      <c r="MX8" s="80" t="str">
        <f>IF(AND('Straight Cutting'!D14="Standard",'Straight Cutting'!E14="Paperbark",'Straight Cutting'!F14&lt;&gt;"",'Straight Cutting'!G14=""),'Straight Cutting'!F14,IF(AND('Straight Cutting'!D14="Standard",'Straight Cutting'!E14="Paperbark",'Straight Cutting'!F14="",'Straight Cutting'!G14&lt;&gt;""),'Straight Cutting'!G14,IF(AND('Straight Cutting'!D14="Standard",'Straight Cutting'!E14="Paperbark",'Straight Cutting'!F14&lt;&gt;"",'Straight Cutting'!G14&lt;&gt;""),'Straight Cutting'!F14+'Job Sheet'!AH14,"")))</f>
        <v/>
      </c>
      <c r="MY8" s="80" t="str">
        <f>IF(AND('Straight Cutting'!D14="Standard",'Straight Cutting'!E14="Mist Green",'Straight Cutting'!F14&lt;&gt;"",'Straight Cutting'!G14=""),'Straight Cutting'!F14,IF(AND('Straight Cutting'!D14="Standard",'Straight Cutting'!E14="Mist Green",'Straight Cutting'!F14="",'Straight Cutting'!G14&lt;&gt;""),'Straight Cutting'!G14,IF(AND('Straight Cutting'!D14="Standard",'Straight Cutting'!E14="Mist Green",'Straight Cutting'!F14&lt;&gt;"",'Straight Cutting'!G14&lt;&gt;""),'Straight Cutting'!F14+'Job Sheet'!AH14,"")))</f>
        <v/>
      </c>
      <c r="MZ8" s="80" t="str">
        <f>IF(AND('Straight Cutting'!D14="Standard",'Straight Cutting'!E14="Primrose",'Straight Cutting'!F14&lt;&gt;"",'Straight Cutting'!G14=""),'Straight Cutting'!F14,IF(AND('Straight Cutting'!D14="Standard",'Straight Cutting'!E14="Primrose",'Straight Cutting'!F14="",'Straight Cutting'!G14&lt;&gt;""),'Straight Cutting'!G14,IF(AND('Straight Cutting'!D14="Standard",'Straight Cutting'!E14="Primrose",'Straight Cutting'!F14&lt;&gt;"",'Straight Cutting'!G14&lt;&gt;""),'Straight Cutting'!F14+'Job Sheet'!AH14,"")))</f>
        <v/>
      </c>
      <c r="NA8" s="80" t="str">
        <f>IF(AND('Straight Cutting'!D14="Standard",'Straight Cutting'!E14="Ultra Silver",'Straight Cutting'!F14&lt;&gt;"",'Straight Cutting'!G14=""),'Straight Cutting'!F14,IF(AND('Straight Cutting'!D14="Standard",'Straight Cutting'!E14="Ultra Silver",'Straight Cutting'!F14="",'Straight Cutting'!G14&lt;&gt;""),'Straight Cutting'!G14,IF(AND('Straight Cutting'!D14="Standard",'Straight Cutting'!E14="Ultra Silver",'Straight Cutting'!F14&lt;&gt;"",'Straight Cutting'!G14&lt;&gt;""),'Straight Cutting'!F14+'Job Sheet'!AH14,"")))</f>
        <v/>
      </c>
      <c r="NB8" s="80" t="str">
        <f>IF(AND('Straight Cutting'!D14="Standard",'Straight Cutting'!E14="Woodland Grey(Green Tone)",'Straight Cutting'!F14&lt;&gt;"",'Straight Cutting'!G14=""),'Straight Cutting'!F14,IF(AND('Straight Cutting'!D14="Standard",'Straight Cutting'!E14="Woodland Grey(Green Tone)",'Straight Cutting'!F14="",'Straight Cutting'!G14&lt;&gt;""),'Straight Cutting'!G14,IF(AND('Straight Cutting'!D14="Standard",'Straight Cutting'!E14="Woodland Grey(Green Tone)",'Straight Cutting'!F14&lt;&gt;"",'Straight Cutting'!G14&lt;&gt;""),'Straight Cutting'!F14+'Job Sheet'!AH14,"")))</f>
        <v/>
      </c>
      <c r="NC8" s="80" t="str">
        <f>IF(AND('Straight Cutting'!D14="Standard",'Straight Cutting'!E14="Pearl White",'Straight Cutting'!F14&lt;&gt;"",'Straight Cutting'!G14=""),'Straight Cutting'!F14,IF(AND('Straight Cutting'!D14="Standard",'Straight Cutting'!E14="Pearl White",'Straight Cutting'!F14="",'Straight Cutting'!G14&lt;&gt;""),'Straight Cutting'!G14,IF(AND('Straight Cutting'!D14="Standard",'Straight Cutting'!E14="Pearl White",'Straight Cutting'!F14&lt;&gt;"",'Straight Cutting'!G14&lt;&gt;""),'Straight Cutting'!F14+'Job Sheet'!AH14,"")))</f>
        <v/>
      </c>
      <c r="ND8" s="80" t="str">
        <f>IF(AND('Straight Cutting'!D14="Standard",'Straight Cutting'!E14="Monument",'Straight Cutting'!F14&lt;&gt;"",'Straight Cutting'!G14=""),'Straight Cutting'!F14,IF(AND('Straight Cutting'!D14="Standard",'Straight Cutting'!E14="Monument",'Straight Cutting'!F14="",'Straight Cutting'!G14&lt;&gt;""),'Straight Cutting'!G14,IF(AND('Straight Cutting'!D14="Standard",'Straight Cutting'!E14="Monument",'Straight Cutting'!F14&lt;&gt;"",'Straight Cutting'!G14&lt;&gt;""),'Straight Cutting'!F14+'Job Sheet'!AH14,"")))</f>
        <v/>
      </c>
      <c r="NE8" s="80" t="str">
        <f>IF(AND('Straight Cutting'!D14="Standard",'Straight Cutting'!E14="Surfmist",'Straight Cutting'!F14&lt;&gt;"",'Straight Cutting'!G14=""),'Straight Cutting'!F14,IF(AND('Straight Cutting'!D14="Standard",'Straight Cutting'!E14="Surfmist",'Straight Cutting'!F14="",'Straight Cutting'!G14&lt;&gt;""),'Straight Cutting'!G14,IF(AND('Straight Cutting'!D14="Standard",'Straight Cutting'!E14="Surfmist",'Straight Cutting'!F14&lt;&gt;"",'Straight Cutting'!G14&lt;&gt;""),'Straight Cutting'!F14+'Job Sheet'!AH14,"")))</f>
        <v/>
      </c>
      <c r="NF8" s="80" t="str">
        <f>IF(AND('Straight Cutting'!D14="Standard",'Straight Cutting'!E14="Dune",'Straight Cutting'!F14&lt;&gt;"",'Straight Cutting'!G14=""),'Straight Cutting'!F14,IF(AND('Straight Cutting'!D14="Standard",'Straight Cutting'!E14="Dune",'Straight Cutting'!F14="",'Straight Cutting'!G14&lt;&gt;""),'Straight Cutting'!G14,IF(AND('Straight Cutting'!D14="Standard",'Straight Cutting'!E14="Dune",'Straight Cutting'!F14&lt;&gt;"",'Straight Cutting'!G14&lt;&gt;""),'Straight Cutting'!F14+'Job Sheet'!AH14,"")))</f>
        <v/>
      </c>
      <c r="NG8" s="80" t="str">
        <f>IF(AND('Straight Cutting'!D14="Standard",'Straight Cutting'!E14="Powdercoat",'Straight Cutting'!F14&lt;&gt;"",'Straight Cutting'!G14=""),'Straight Cutting'!F14,IF(AND('Straight Cutting'!D14="Standard",'Straight Cutting'!E14="Powdercoat",'Straight Cutting'!F14="",'Straight Cutting'!G14&lt;&gt;""),'Straight Cutting'!G14,IF(AND('Straight Cutting'!D14="Standard",'Straight Cutting'!E14="Powdercoat",'Straight Cutting'!F14&lt;&gt;"",'Straight Cutting'!G14&lt;&gt;""),'Straight Cutting'!F14+'Job Sheet'!AH14,"")))</f>
        <v/>
      </c>
      <c r="NH8" s="80" t="str">
        <f>IF(AND('Straight Cutting'!D14="Invisi-Gard",'Straight Cutting'!E14="APO Grey",'Straight Cutting'!F14&lt;&gt;"",'Straight Cutting'!G14=""),'Straight Cutting'!F14,IF(AND('Straight Cutting'!D14="Invisi-Gard",'Straight Cutting'!E14="APO Grey",'Straight Cutting'!F14="",'Straight Cutting'!G14&lt;&gt;""),'Straight Cutting'!G14,IF(AND('Straight Cutting'!D14="Invisi-Gard",'Straight Cutting'!E14="APO Grey",'Straight Cutting'!F14&lt;&gt;"",'Straight Cutting'!G14&lt;&gt;""),'Straight Cutting'!F14+'Job Sheet'!AH14,"")))</f>
        <v/>
      </c>
      <c r="NI8" s="80" t="str">
        <f>IF(AND('Straight Cutting'!D14="Invisi-Gard",'Straight Cutting'!E14="White Birch",'Straight Cutting'!F14&lt;&gt;"",'Straight Cutting'!G14=""),'Straight Cutting'!F14,IF(AND('Straight Cutting'!D14="Invisi-Gard",'Straight Cutting'!E14="White Birch",'Straight Cutting'!F14="",'Straight Cutting'!G14&lt;&gt;""),'Straight Cutting'!G14,IF(AND('Straight Cutting'!D14="Invisi-Gard",'Straight Cutting'!E14="White Birch",'Straight Cutting'!F14&lt;&gt;"",'Straight Cutting'!G14&lt;&gt;""),'Straight Cutting'!F14+'Job Sheet'!AH14,"")))</f>
        <v/>
      </c>
      <c r="NJ8" s="80" t="str">
        <f>IF(AND('Straight Cutting'!D14="Invisi-Gard",'Straight Cutting'!E14="Black",'Straight Cutting'!F14&lt;&gt;"",'Straight Cutting'!G14=""),'Straight Cutting'!F14,IF(AND('Straight Cutting'!D14="Invisi-Gard",'Straight Cutting'!E14="Black",'Straight Cutting'!F14="",'Straight Cutting'!G14&lt;&gt;""),'Straight Cutting'!G14,IF(AND('Straight Cutting'!D14="Invisi-Gard",'Straight Cutting'!E14="Black",'Straight Cutting'!F14&lt;&gt;"",'Straight Cutting'!G14&lt;&gt;""),'Straight Cutting'!F14+'Job Sheet'!AH14,"")))</f>
        <v/>
      </c>
      <c r="NK8" s="80" t="str">
        <f>IF(AND('Straight Cutting'!D14="Invisi-Gard",'Straight Cutting'!E14="Brown",'Straight Cutting'!F14&lt;&gt;"",'Straight Cutting'!G14=""),'Straight Cutting'!F14,IF(AND('Straight Cutting'!D14="Invisi-Gard",'Straight Cutting'!E14="Brown",'Straight Cutting'!F14="",'Straight Cutting'!G14&lt;&gt;""),'Straight Cutting'!G14,IF(AND('Straight Cutting'!D14="Invisi-Gard",'Straight Cutting'!E14="Brown",'Straight Cutting'!F14&lt;&gt;"",'Straight Cutting'!G14&lt;&gt;""),'Straight Cutting'!F14+'Job Sheet'!AH14,"")))</f>
        <v/>
      </c>
      <c r="NL8" s="80" t="str">
        <f>IF(AND('Straight Cutting'!D14="Invisi-Gard",'Straight Cutting'!E14="Deep Ocean",'Straight Cutting'!F14&lt;&gt;"",'Straight Cutting'!G14=""),'Straight Cutting'!F14,IF(AND('Straight Cutting'!D14="Invisi-Gard",'Straight Cutting'!E14="Deep Ocean",'Straight Cutting'!F14="",'Straight Cutting'!G14&lt;&gt;""),'Straight Cutting'!G14,IF(AND('Straight Cutting'!D14="Invisi-Gard",'Straight Cutting'!E14="Deep Ocean",'Straight Cutting'!F14&lt;&gt;"",'Straight Cutting'!G14&lt;&gt;""),'Straight Cutting'!F14+'Job Sheet'!AH14,"")))</f>
        <v/>
      </c>
      <c r="NM8" s="80" t="str">
        <f>IF(AND('Straight Cutting'!D14="Invisi-Gard",'Straight Cutting'!E14="Jasper",'Straight Cutting'!F14&lt;&gt;"",'Straight Cutting'!G14=""),'Straight Cutting'!F14,IF(AND('Straight Cutting'!D14="Invisi-Gard",'Straight Cutting'!E14="Jasper",'Straight Cutting'!F14="",'Straight Cutting'!G14&lt;&gt;""),'Straight Cutting'!G14,IF(AND('Straight Cutting'!D14="Invisi-Gard",'Straight Cutting'!E14="Jasper",'Straight Cutting'!F14&lt;&gt;"",'Straight Cutting'!G14&lt;&gt;""),'Straight Cutting'!F14+'Job Sheet'!AH14,"")))</f>
        <v/>
      </c>
      <c r="NN8" s="80" t="str">
        <f>IF(AND('Straight Cutting'!D14="Invisi-Gard",'Straight Cutting'!E14="Paperbark",'Straight Cutting'!F14&lt;&gt;"",'Straight Cutting'!G14=""),'Straight Cutting'!F14,IF(AND('Straight Cutting'!D14="Invisi-Gard",'Straight Cutting'!E14="Paperbark",'Straight Cutting'!F14="",'Straight Cutting'!G14&lt;&gt;""),'Straight Cutting'!G14,IF(AND('Straight Cutting'!D14="Invisi-Gard",'Straight Cutting'!E14="Paperbark",'Straight Cutting'!F14&lt;&gt;"",'Straight Cutting'!G14&lt;&gt;""),'Straight Cutting'!F14+'Job Sheet'!AH14,"")))</f>
        <v/>
      </c>
      <c r="NO8" s="80" t="str">
        <f>IF(AND('Straight Cutting'!D14="Invisi-Gard",'Straight Cutting'!E14="Mist Green",'Straight Cutting'!F14&lt;&gt;"",'Straight Cutting'!G14=""),'Straight Cutting'!F14,IF(AND('Straight Cutting'!D14="Invisi-Gard",'Straight Cutting'!E14="Mist Green",'Straight Cutting'!F14="",'Straight Cutting'!G14&lt;&gt;""),'Straight Cutting'!G14,IF(AND('Straight Cutting'!D14="Invisi-Gard",'Straight Cutting'!E14="Mist Green",'Straight Cutting'!F14&lt;&gt;"",'Straight Cutting'!G14&lt;&gt;""),'Straight Cutting'!F14+'Job Sheet'!AH14,"")))</f>
        <v/>
      </c>
      <c r="NP8" s="80" t="str">
        <f>IF(AND('Straight Cutting'!D14="Invisi-Gard",'Straight Cutting'!E14="Primrose",'Straight Cutting'!F14&lt;&gt;"",'Straight Cutting'!G14=""),'Straight Cutting'!F14,IF(AND('Straight Cutting'!D14="Invisi-Gard",'Straight Cutting'!E14="Primrose",'Straight Cutting'!F14="",'Straight Cutting'!G14&lt;&gt;""),'Straight Cutting'!G14,IF(AND('Straight Cutting'!D14="Invisi-Gard",'Straight Cutting'!E14="Primrose",'Straight Cutting'!F14&lt;&gt;"",'Straight Cutting'!G14&lt;&gt;""),'Straight Cutting'!F14+'Job Sheet'!AH14,"")))</f>
        <v/>
      </c>
      <c r="NQ8" s="80" t="str">
        <f>IF(AND('Straight Cutting'!D14="Invisi-Gard",'Straight Cutting'!E14="Ultra Silver",'Straight Cutting'!F14&lt;&gt;"",'Straight Cutting'!G14=""),'Straight Cutting'!F14,IF(AND('Straight Cutting'!D14="Invisi-Gard",'Straight Cutting'!E14="Ultra Silver",'Straight Cutting'!F14="",'Straight Cutting'!G14&lt;&gt;""),'Straight Cutting'!G14,IF(AND('Straight Cutting'!D14="Invisi-Gard",'Straight Cutting'!E14="Ultra Silver",'Straight Cutting'!F14&lt;&gt;"",'Straight Cutting'!G14&lt;&gt;""),'Straight Cutting'!F14+'Job Sheet'!AH14,"")))</f>
        <v/>
      </c>
      <c r="NR8" s="80" t="str">
        <f>IF(AND('Straight Cutting'!D14="Invisi-Gard",'Straight Cutting'!E14="Woodland Grey(Green Tone)",'Straight Cutting'!F14&lt;&gt;"",'Straight Cutting'!G14=""),'Straight Cutting'!F14,IF(AND('Straight Cutting'!D14="Invisi-Gard",'Straight Cutting'!E14="Woodland Grey(Green Tone)",'Straight Cutting'!F14="",'Straight Cutting'!G14&lt;&gt;""),'Straight Cutting'!G14,IF(AND('Straight Cutting'!D14="Invisi-Gard",'Straight Cutting'!E14="Woodland Grey(Green Tone)",'Straight Cutting'!F14&lt;&gt;"",'Straight Cutting'!G14&lt;&gt;""),'Straight Cutting'!F14+'Job Sheet'!AH14,"")))</f>
        <v/>
      </c>
      <c r="NS8" s="80" t="str">
        <f>IF(AND('Straight Cutting'!D14="Invisi-Gard",'Straight Cutting'!E14="Pearl White",'Straight Cutting'!F14&lt;&gt;"",'Straight Cutting'!G14=""),'Straight Cutting'!F14,IF(AND('Straight Cutting'!D14="Invisi-Gard",'Straight Cutting'!E14="Pearl White",'Straight Cutting'!F14="",'Straight Cutting'!G14&lt;&gt;""),'Straight Cutting'!G14,IF(AND('Straight Cutting'!D14="Invisi-Gard",'Straight Cutting'!E14="Pearl White",'Straight Cutting'!F14&lt;&gt;"",'Straight Cutting'!G14&lt;&gt;""),'Straight Cutting'!F14+'Job Sheet'!AH14,"")))</f>
        <v/>
      </c>
      <c r="NT8" s="80" t="str">
        <f>IF(AND('Straight Cutting'!D14="Invisi-Gard",'Straight Cutting'!E14="Monument",'Straight Cutting'!F14&lt;&gt;"",'Straight Cutting'!G14=""),'Straight Cutting'!F14,IF(AND('Straight Cutting'!D14="Invisi-Gard",'Straight Cutting'!E14="Monument",'Straight Cutting'!F14="",'Straight Cutting'!G14&lt;&gt;""),'Straight Cutting'!G14,IF(AND('Straight Cutting'!D14="Invisi-Gard",'Straight Cutting'!E14="Monument",'Straight Cutting'!F14&lt;&gt;"",'Straight Cutting'!G14&lt;&gt;""),'Straight Cutting'!F14+'Job Sheet'!AH14,"")))</f>
        <v/>
      </c>
      <c r="NU8" s="80" t="str">
        <f>IF(AND('Straight Cutting'!D14="Invisi-Gard",'Straight Cutting'!E14="Surfmist",'Straight Cutting'!F14&lt;&gt;"",'Straight Cutting'!G14=""),'Straight Cutting'!F14,IF(AND('Straight Cutting'!D14="Invisi-Gard",'Straight Cutting'!E14="Surfmist",'Straight Cutting'!F14="",'Straight Cutting'!G14&lt;&gt;""),'Straight Cutting'!G14,IF(AND('Straight Cutting'!D14="Invisi-Gard",'Straight Cutting'!E14="Surfmist",'Straight Cutting'!F14&lt;&gt;"",'Straight Cutting'!G14&lt;&gt;""),'Straight Cutting'!F14+'Job Sheet'!AH14,"")))</f>
        <v/>
      </c>
      <c r="NV8" s="80" t="str">
        <f>IF(AND('Straight Cutting'!D14="Invisi-Gard",'Straight Cutting'!E14="Dune",'Straight Cutting'!F14&lt;&gt;"",'Straight Cutting'!G14=""),'Straight Cutting'!F14,IF(AND('Straight Cutting'!D14="Invisi-Gard",'Straight Cutting'!E14="Dune",'Straight Cutting'!F14="",'Straight Cutting'!G14&lt;&gt;""),'Straight Cutting'!G14,IF(AND('Straight Cutting'!D14="Invisi-Gard",'Straight Cutting'!E14="Dune",'Straight Cutting'!F14&lt;&gt;"",'Straight Cutting'!G14&lt;&gt;""),'Straight Cutting'!F14+'Job Sheet'!AH14,"")))</f>
        <v/>
      </c>
      <c r="NW8" s="80" t="str">
        <f>IF(AND('Straight Cutting'!D14="Invisi-Gard",'Straight Cutting'!E14="Powdercoat",'Straight Cutting'!F14&lt;&gt;"",'Straight Cutting'!G14=""),'Straight Cutting'!F14,IF(AND('Straight Cutting'!D14="Invisi-Gard",'Straight Cutting'!E14="Powdercoat",'Straight Cutting'!F14="",'Straight Cutting'!G14&lt;&gt;""),'Straight Cutting'!G14,IF(AND('Straight Cutting'!D14="Invisi-Gard",'Straight Cutting'!E14="Powdercoat",'Straight Cutting'!F14&lt;&gt;"",'Straight Cutting'!G14&lt;&gt;""),'Straight Cutting'!F14+'Job Sheet'!AH14,"")))</f>
        <v/>
      </c>
      <c r="NX8" s="80" t="str">
        <f>IF(AND('Job Sheet'!O14="Yes",'Mitred Cutting'!D14="APO Grey"),'Straight Cutting'!I14,"")</f>
        <v/>
      </c>
      <c r="NY8" s="80" t="str">
        <f>IF(AND('Job Sheet'!O14="Yes",'Mitred Cutting'!D14="White Birch"),'Straight Cutting'!I14,"")</f>
        <v/>
      </c>
      <c r="NZ8" s="80" t="str">
        <f>IF(AND('Job Sheet'!O14="Yes",'Mitred Cutting'!D14="Black"),'Straight Cutting'!I14,"")</f>
        <v/>
      </c>
      <c r="OA8" s="80" t="str">
        <f>IF(AND('Job Sheet'!O14="Yes",'Mitred Cutting'!D14="Brown"),'Straight Cutting'!I14,"")</f>
        <v/>
      </c>
      <c r="OB8" s="80" t="str">
        <f>IF(AND('Job Sheet'!O14="Yes",'Mitred Cutting'!D14="Deep Ocean"),'Straight Cutting'!I14,"")</f>
        <v/>
      </c>
      <c r="OC8" s="80" t="str">
        <f>IF(AND('Job Sheet'!O14="Yes",'Mitred Cutting'!D14="Jasper"),'Straight Cutting'!I14,"")</f>
        <v/>
      </c>
      <c r="OD8" s="80" t="str">
        <f>IF(AND('Job Sheet'!O14="Yes",'Mitred Cutting'!D14="Paperbark"),'Straight Cutting'!I14,"")</f>
        <v/>
      </c>
      <c r="OE8" s="80" t="str">
        <f>IF(AND('Job Sheet'!O14="Yes",'Mitred Cutting'!D14="Mist Green"),'Straight Cutting'!I14,"")</f>
        <v/>
      </c>
      <c r="OF8" s="80" t="str">
        <f>IF(AND('Job Sheet'!O14="Yes",'Mitred Cutting'!D14="Primrose"),'Straight Cutting'!I14,"")</f>
        <v/>
      </c>
      <c r="OG8" s="80" t="str">
        <f>IF(AND('Job Sheet'!O14="Yes",'Mitred Cutting'!D14="Ultra Silver"),'Straight Cutting'!I14,"")</f>
        <v/>
      </c>
      <c r="OH8" s="80" t="str">
        <f>IF(AND('Job Sheet'!O14="Yes",'Mitred Cutting'!D14="Woodland Grey(Green Tone)"),'Straight Cutting'!I14,"")</f>
        <v/>
      </c>
      <c r="OI8" s="80" t="str">
        <f>IF(AND('Job Sheet'!O14="Yes",'Mitred Cutting'!D14="Pearl White"),'Straight Cutting'!I14,"")</f>
        <v/>
      </c>
      <c r="OJ8" s="80" t="str">
        <f>IF(AND('Job Sheet'!O14="Yes",'Mitred Cutting'!D14="Monument"),'Straight Cutting'!I14,"")</f>
        <v/>
      </c>
      <c r="OK8" s="80" t="str">
        <f>IF(AND('Job Sheet'!O14="Yes",'Mitred Cutting'!D14="Surfmist"),'Straight Cutting'!I14,"")</f>
        <v/>
      </c>
      <c r="OL8" s="80" t="str">
        <f>IF(AND('Job Sheet'!O14="Yes",'Mitred Cutting'!D14="Dune"),'Straight Cutting'!I14,"")</f>
        <v/>
      </c>
      <c r="OM8" s="80" t="str">
        <f>IF(AND('Job Sheet'!O14="Yes",'Mitred Cutting'!D14="Powdercoat"),'Straight Cutting'!I14,"")</f>
        <v/>
      </c>
      <c r="ON8" s="81" t="str">
        <f>IF(OR(Data!AW14="",'Job Sheet'!L14="37mm x 11mm",'Job Sheet'!L14="9mm",'Job Sheet'!L14="11mm"),"",IF(VLOOKUP(CONCATENATE(Data!BO14,'Job Sheet'!J14),DoorType,4,FALSE)="Yes",(('Job Sheet'!W14-98)*2+('Job Sheet'!X14-96)*2)/2700,""))</f>
        <v/>
      </c>
      <c r="OO8" s="81" t="str">
        <f>IF(Data!AW14="","",IF('Mitred Cutting'!G14="1.6mm",(('Job Sheet'!W14-114)*2+('Job Sheet'!X14-114)*2)/3100,""))</f>
        <v/>
      </c>
      <c r="OP8" s="81" t="str">
        <f>IF(Data!AW14="","",IF('Mitred Cutting'!G14="2mm",(('Job Sheet'!W14-114)*2+('Job Sheet'!X14-114)*2)/3100,""))</f>
        <v/>
      </c>
      <c r="OQ8" s="52" t="str">
        <f>IF(OR(Data!AW14="",Data!BN14="Invisi-Scape",'Job Sheet'!AC14=""),"",IF(OR('Job Sheet'!P14="Yes - Centre Horizontal",'Job Sheet'!P14="Yes - Centre Vertical"),('Job Sheet'!AC14*4+'Job Sheet'!AE14*4)/4000,IF('Job Sheet'!P14="Yes - Horizontal",('Job Sheet'!AC14*4+'Job Sheet'!AE14*2+'Job Sheet'!AF14*2)/4000,IF('Job Sheet'!P14="Yes - Vertical",('Job Sheet'!AC14*2+'Job Sheet'!AE14*4)/4000,IF('Job Sheet'!P14="",('Job Sheet'!AC14*2+'Job Sheet'!AE14*2)/4000,IF('Job Sheet'!P14="Yes - Horizontal &amp; Vertical",('Job Sheet'!AC14*4+'Job Sheet'!AD14*4+'Job Sheet'!AE14*4+'Job Sheet'!AF14*4)/4000,IF('Job Sheet'!P14="Yes - Centre Horizontal &amp; Vertical",('Job Sheet'!AC14*8+'Job Sheet'!AE14*8)/4000,"")))))))</f>
        <v/>
      </c>
      <c r="OR8" s="52" t="str">
        <f t="shared" si="1"/>
        <v/>
      </c>
      <c r="OS8" s="52" t="str">
        <f t="shared" si="2"/>
        <v/>
      </c>
      <c r="OT8" s="80"/>
      <c r="OU8" s="80" t="str">
        <f>IF(Data!AW14="","",IF(OR('Job Sheet'!J14="Fibreglass Mesh",'Job Sheet'!J14="Pet Mesh",'Job Sheet'!J14="DVA Mesh",'Job Sheet'!J14="Tuff Mesh",'Job Sheet'!J14="Alu-screen",Data!BO14="Fibreglass Mesh",Data!BO14="Pet Mesh",Data!BO14="DVA Mesh",Data!BO14="Tuff Mesh",Data!BO14="Alu-screen"),(('Job Sheet'!W14-98)*2+('Job Sheet'!X14-96)*2),""))</f>
        <v/>
      </c>
      <c r="OV8" s="80"/>
      <c r="OW8" s="80"/>
      <c r="OX8" s="80"/>
      <c r="OY8" s="80"/>
      <c r="OZ8" s="80"/>
      <c r="PA8" s="80"/>
      <c r="PB8" s="80"/>
      <c r="PC8" s="80"/>
      <c r="PD8" s="80" t="str">
        <f>IF(OR('Mitred Cutting'!E14="70mm x 20mm",'Mitred Cutting'!E14="Invisi-Gard 70mm x 20mm"),4,"")</f>
        <v/>
      </c>
      <c r="PE8" s="80" t="str">
        <f>IF('Mitred Cutting'!E14="37mm x 11mm",4,"")</f>
        <v/>
      </c>
      <c r="PF8" s="80" t="str">
        <f>IF('Mitred Cutting'!E14="Invisi-Gard 37mm x 9mm",4,"")</f>
        <v/>
      </c>
      <c r="PG8" s="80" t="str">
        <f>IF('Mitred Cutting'!E14="Invisi-Gard 37mm x 11mm",4,"")</f>
        <v/>
      </c>
      <c r="PH8" s="80" t="str">
        <f>IF('Mitred Cutting'!E14="9mm",4,"")</f>
        <v/>
      </c>
      <c r="PI8" s="80" t="str">
        <f>IF('Mitred Cutting'!E14="11mm",4,"")</f>
        <v/>
      </c>
      <c r="PJ8" s="80"/>
      <c r="PK8" s="80" t="str">
        <f>IF(OR('Job Sheet'!N14="Yes - Front of Frame",'Job Sheet'!N14="Yes - Back of Frame"),1,"")</f>
        <v/>
      </c>
      <c r="PL8" s="80" t="str">
        <f>IF('Job Sheet'!M14="Swivel Clips Extended x 2",2,IF('Job Sheet'!M14="Swivel Clips Extended x 4",4,IF('Job Sheet'!M14="Swivel Clips Extended x 6",6,"")))</f>
        <v/>
      </c>
      <c r="PM8" s="80" t="str">
        <f>IF('Job Sheet'!M14="Swivel Clips Flush x 2",2,IF('Job Sheet'!M14="Swivel Clips Flush x 4",4,IF('Job Sheet'!M14="Swivel Clips Flush x 6",6,"")))</f>
        <v/>
      </c>
      <c r="PN8" s="80" t="str">
        <f>IF('Job Sheet'!M14="Plunger Pins x 2",2,IF('Job Sheet'!M14="Plunger Pins x 4",4,IF('Job Sheet'!M14="Plunger Pins x 6",6,"")))</f>
        <v/>
      </c>
      <c r="PO8" s="80"/>
      <c r="PP8" s="80"/>
      <c r="PQ8" s="80"/>
      <c r="PR8" s="80"/>
      <c r="PS8" s="80"/>
      <c r="PT8" s="80"/>
      <c r="PU8" s="80"/>
      <c r="PV8" s="80"/>
      <c r="PW8" s="80"/>
      <c r="PX8" s="80"/>
      <c r="PY8" s="80"/>
      <c r="PZ8" s="80"/>
      <c r="QA8" s="80"/>
      <c r="QB8" s="80"/>
      <c r="QC8" s="80"/>
      <c r="QD8" s="80"/>
      <c r="QE8" s="80"/>
      <c r="QF8" s="80"/>
      <c r="QG8" s="80"/>
      <c r="QH8" s="80"/>
      <c r="QI8" s="80"/>
      <c r="QJ8" s="80"/>
      <c r="QK8" s="80"/>
      <c r="QL8" s="80"/>
      <c r="QM8" s="80"/>
      <c r="QN8" s="80"/>
      <c r="QO8" s="80"/>
      <c r="QP8" s="80"/>
      <c r="QQ8" s="80"/>
      <c r="QR8" s="80"/>
      <c r="QS8" s="80"/>
      <c r="QT8" s="80"/>
      <c r="QU8" s="80"/>
      <c r="QV8" s="80"/>
      <c r="QW8" s="80"/>
      <c r="QX8" s="80"/>
      <c r="QY8" s="82"/>
      <c r="RD8" t="str">
        <f>IF('Assembly &amp; Bagging'!J14="2 Hinges","2",IF('Assembly &amp; Bagging'!J14="3 Hinges","3",""))</f>
        <v/>
      </c>
      <c r="RH8" s="80"/>
      <c r="RL8" t="str">
        <f>IF(OR('Job Sheet'!M14="Hinged LHS with Slide Bolt on Inside",'Job Sheet'!M14="Hinged LHS with Slide Bolt on Inside"),1,"")</f>
        <v/>
      </c>
      <c r="RM8" s="80"/>
      <c r="RO8" t="str">
        <f>IF('Straight Cutting'!D14&lt;&gt;"Invisi-Gard","",IF(AND('Straight Cutting'!F14&lt;&gt;"",'Straight Cutting'!G14&lt;&gt;""),6,2))</f>
        <v/>
      </c>
      <c r="RP8" t="str">
        <f>IF(AND('Job Sheet'!P14&lt;&gt;"",(OR('Mitred Cutting'!E14="9mm",'Mitred Cutting'!E14="11mm"))),2,"")</f>
        <v/>
      </c>
      <c r="RR8" s="80" t="str">
        <f>Guillotine!E14</f>
        <v/>
      </c>
      <c r="RS8" t="str">
        <f>IF('Assembly &amp; Bagging'!E14="Flywire","",IF('Assembly &amp; Bagging'!E14="Invisi-Gard Woven Stainless Steel","Woven Stainless Steel",'Assembly &amp; Bagging'!E14))</f>
        <v/>
      </c>
      <c r="RT8" s="80"/>
      <c r="RU8" s="80"/>
      <c r="RV8" s="80"/>
      <c r="RW8" s="80"/>
      <c r="RX8" s="80"/>
      <c r="RY8" s="80"/>
      <c r="RZ8" s="80"/>
      <c r="SA8" s="80"/>
      <c r="SB8" s="80"/>
      <c r="SC8" s="80"/>
      <c r="SD8" s="80"/>
      <c r="SE8" s="80"/>
      <c r="SF8" s="80"/>
      <c r="SG8" s="80"/>
      <c r="SH8" s="80"/>
      <c r="SI8" s="80"/>
      <c r="SJ8" s="80"/>
      <c r="SK8" s="80"/>
      <c r="SL8" s="80"/>
      <c r="SM8" s="80"/>
      <c r="SN8" s="80"/>
      <c r="SO8" s="80"/>
      <c r="SP8" s="80"/>
      <c r="SQ8" s="80"/>
      <c r="SR8" s="80"/>
      <c r="SS8" s="80"/>
      <c r="ST8" s="80"/>
      <c r="SU8" s="80"/>
      <c r="SV8" s="80"/>
      <c r="SW8" s="80"/>
      <c r="SX8" s="80"/>
      <c r="SY8" s="80"/>
      <c r="SZ8" s="80"/>
      <c r="TA8" s="80"/>
      <c r="TB8" s="80"/>
      <c r="TC8" s="80"/>
      <c r="TD8" s="80"/>
      <c r="TE8" s="80"/>
      <c r="TF8" s="80"/>
      <c r="TG8" s="80"/>
      <c r="TH8" s="80"/>
      <c r="TI8" s="80"/>
      <c r="TJ8" s="80"/>
      <c r="TK8" s="80"/>
      <c r="TL8" s="80"/>
      <c r="TM8" s="80"/>
      <c r="TN8" s="80"/>
      <c r="TO8" s="80"/>
      <c r="TP8" s="80"/>
      <c r="TQ8" s="80"/>
      <c r="TR8" s="80"/>
      <c r="TS8" s="80"/>
      <c r="TT8" s="80"/>
      <c r="TU8" s="80"/>
      <c r="TV8" s="80"/>
      <c r="TW8" s="80"/>
      <c r="TX8" s="80"/>
      <c r="TY8" s="80"/>
      <c r="TZ8" s="80"/>
      <c r="UA8" s="80"/>
      <c r="UB8" s="80"/>
      <c r="UC8" s="80"/>
      <c r="UD8" s="80"/>
      <c r="UE8" s="80"/>
      <c r="UF8" s="80"/>
      <c r="UG8" s="80"/>
      <c r="UH8" s="80"/>
      <c r="UI8" s="80"/>
      <c r="UJ8" s="80"/>
      <c r="UK8" s="80"/>
      <c r="UL8" s="80"/>
      <c r="UM8" s="80"/>
      <c r="UN8" s="80"/>
      <c r="UO8" s="80"/>
      <c r="UP8" s="80"/>
      <c r="UQ8" s="80"/>
      <c r="UR8" s="80"/>
      <c r="US8" s="80"/>
      <c r="UT8" s="80"/>
      <c r="UU8" s="80"/>
      <c r="UV8" s="80"/>
      <c r="UW8" s="80"/>
      <c r="UX8" s="80"/>
      <c r="UY8" s="80"/>
      <c r="UZ8" s="80"/>
      <c r="VA8" s="80"/>
      <c r="VB8" s="80"/>
      <c r="VC8" s="80"/>
      <c r="VD8" s="80"/>
      <c r="VE8" s="80"/>
      <c r="VF8" s="80"/>
      <c r="VG8" s="80"/>
      <c r="VH8" s="80"/>
      <c r="VI8" s="80"/>
      <c r="VJ8" s="80"/>
      <c r="VK8" s="80"/>
      <c r="VL8" s="80"/>
      <c r="VM8" s="80"/>
      <c r="VN8" s="80"/>
      <c r="VO8" s="80"/>
      <c r="VP8" s="80"/>
      <c r="VQ8" s="80"/>
      <c r="VR8" s="80"/>
      <c r="VS8" s="80"/>
      <c r="VT8" s="80"/>
      <c r="VU8" s="80"/>
      <c r="VV8" s="80"/>
      <c r="VW8" s="80"/>
      <c r="VX8" s="80"/>
      <c r="VY8" s="80"/>
      <c r="VZ8" s="80"/>
      <c r="WA8" s="80"/>
      <c r="WB8" s="80"/>
      <c r="WC8" s="80"/>
      <c r="WD8" s="80"/>
      <c r="WE8" s="80"/>
      <c r="WF8" s="80"/>
      <c r="WG8" s="80"/>
      <c r="WH8" s="80"/>
      <c r="WI8" s="80"/>
      <c r="WJ8" s="80"/>
      <c r="WK8" s="80"/>
      <c r="WL8" s="80"/>
      <c r="WM8" s="80"/>
      <c r="WN8" s="80"/>
      <c r="WO8" s="80"/>
      <c r="WP8" s="80"/>
      <c r="WQ8" s="80"/>
      <c r="WR8" s="80"/>
      <c r="WS8" s="80"/>
      <c r="WT8" s="80"/>
      <c r="WU8" s="80"/>
      <c r="WV8" s="80"/>
      <c r="WW8" s="80"/>
      <c r="WX8" s="80"/>
      <c r="WY8" s="80"/>
      <c r="WZ8" s="80"/>
      <c r="XA8" s="80"/>
      <c r="XB8" s="80"/>
      <c r="XC8" s="80"/>
      <c r="XD8" s="80"/>
      <c r="XE8" s="80"/>
      <c r="XF8" s="80"/>
      <c r="XG8" s="80"/>
      <c r="XH8" s="80"/>
      <c r="XI8" s="80"/>
      <c r="XJ8" s="80"/>
      <c r="XK8" s="80"/>
      <c r="XL8" s="80"/>
      <c r="XM8" s="80"/>
      <c r="XN8" s="80"/>
      <c r="XO8" s="80"/>
      <c r="XP8" s="80"/>
      <c r="XQ8" s="80"/>
      <c r="XR8" s="80"/>
      <c r="XS8" s="80"/>
      <c r="XT8" s="80"/>
      <c r="XU8" s="80"/>
      <c r="XV8" s="80"/>
      <c r="XW8" s="80"/>
      <c r="XX8" s="80"/>
      <c r="XY8" s="80"/>
      <c r="XZ8" s="80"/>
      <c r="YA8" s="80"/>
      <c r="YB8" s="80"/>
      <c r="YC8" s="80"/>
      <c r="YD8" s="80"/>
      <c r="YE8" s="80"/>
      <c r="YF8" s="80"/>
      <c r="YG8" s="80"/>
      <c r="YH8" s="80"/>
      <c r="YI8" s="80"/>
      <c r="YJ8" s="80"/>
      <c r="YK8" s="80"/>
      <c r="YL8" s="80"/>
      <c r="YM8" s="80"/>
      <c r="YN8" s="80"/>
      <c r="YO8" s="80"/>
      <c r="YP8" s="80"/>
      <c r="YQ8" s="80"/>
      <c r="YR8" s="80"/>
      <c r="YS8" s="80"/>
      <c r="YT8" s="80"/>
      <c r="YU8" s="80"/>
      <c r="YV8" s="80"/>
      <c r="YW8" s="80"/>
      <c r="YX8" s="80"/>
      <c r="YY8" s="80"/>
      <c r="YZ8" s="80"/>
      <c r="ZA8" s="80"/>
      <c r="ZB8" s="80"/>
      <c r="ZC8" s="80"/>
      <c r="ZD8" s="80"/>
      <c r="ZE8" s="80"/>
      <c r="ZF8" s="80"/>
      <c r="ZG8" s="80"/>
      <c r="ZH8" s="80"/>
      <c r="ZI8" s="80"/>
      <c r="ZJ8" s="80"/>
      <c r="ZK8" s="80"/>
      <c r="ZL8" s="80"/>
      <c r="ZM8" s="80"/>
      <c r="ZN8" s="80"/>
      <c r="ZO8" s="80"/>
      <c r="ZP8" s="80"/>
      <c r="ZQ8" s="80"/>
      <c r="ZR8" s="80"/>
      <c r="ZS8" s="80"/>
      <c r="ZT8" s="80"/>
      <c r="ZU8" s="80"/>
      <c r="ZV8" s="80"/>
      <c r="ZW8" s="80"/>
      <c r="ZX8" s="80"/>
      <c r="ZY8" s="80"/>
      <c r="ZZ8" s="80"/>
      <c r="AAA8" s="80"/>
      <c r="AAB8" s="80"/>
      <c r="AAC8" s="80"/>
      <c r="AAD8" s="80"/>
      <c r="AAE8" s="80"/>
      <c r="AAF8" s="80"/>
      <c r="AAG8" s="80"/>
      <c r="AAH8" s="80"/>
      <c r="AAI8" s="80"/>
      <c r="AAJ8" s="80"/>
      <c r="AAK8" s="80"/>
      <c r="AAL8" s="80"/>
      <c r="AAM8" s="80"/>
      <c r="AAN8" s="80"/>
      <c r="AAO8" s="80"/>
      <c r="AAP8" s="80"/>
      <c r="AAQ8" s="80"/>
      <c r="AAR8" s="80"/>
      <c r="AAS8" s="80"/>
      <c r="AAT8" s="80"/>
      <c r="AAU8" s="80"/>
      <c r="AAV8" s="80"/>
      <c r="AAW8" s="80"/>
      <c r="AAX8" s="80"/>
      <c r="AAY8" s="80"/>
      <c r="AAZ8" s="80"/>
      <c r="ABA8" s="80"/>
      <c r="ABB8" s="80"/>
      <c r="ABC8" s="80"/>
      <c r="ABD8" s="80"/>
      <c r="ABE8" s="80"/>
      <c r="ABF8" s="80"/>
      <c r="ABG8" s="80"/>
      <c r="ABH8" s="80"/>
      <c r="ABI8" s="80"/>
      <c r="ABJ8" s="80"/>
      <c r="ABK8" s="80"/>
      <c r="ABL8" s="80"/>
      <c r="ABM8" s="80"/>
      <c r="ABN8" s="80"/>
      <c r="ABO8" s="80"/>
      <c r="ABP8" s="80"/>
      <c r="ABQ8" s="80"/>
      <c r="ABR8" s="80"/>
      <c r="ABS8" s="80"/>
      <c r="ABT8" s="80"/>
      <c r="ABU8" s="80"/>
      <c r="ABV8" s="80"/>
      <c r="ABW8" s="80"/>
      <c r="ABX8" s="80"/>
      <c r="ABY8" s="80"/>
      <c r="ABZ8" s="80"/>
      <c r="ACA8" s="80"/>
      <c r="ACB8" s="80"/>
      <c r="ACC8" s="80"/>
      <c r="ACD8" s="80" t="str">
        <f>IF('Job Sheet'!J14="Fibreglass Mesh",CONCATENATE('Job Sheet'!W14," x ",'Job Sheet'!X14),"")</f>
        <v/>
      </c>
      <c r="ACE8" s="80" t="str">
        <f>IF('Job Sheet'!J14="Alu-screen",CONCATENATE('Job Sheet'!W14," x ",'Job Sheet'!X14),"")</f>
        <v/>
      </c>
      <c r="ACF8" s="80" t="str">
        <f>IF('Job Sheet'!J14="Pet Mesh",CONCATENATE('Job Sheet'!W14," x ",'Job Sheet'!X14),"")</f>
        <v/>
      </c>
      <c r="ACH8" s="80"/>
    </row>
    <row r="9" spans="4:762" ht="13.2" customHeight="1">
      <c r="D9" t="str">
        <f>IF(OR(Data!AV15="",Data!BN15="Invisi-Scape"),"",CONCATENATE(Data!BC$5,".",Data!BD$5))</f>
        <v/>
      </c>
      <c r="E9" t="str">
        <f>IF(D9="","",Data!AW15)</f>
        <v/>
      </c>
      <c r="F9" t="str">
        <f>IF(D9="","",Data!AV15)</f>
        <v/>
      </c>
      <c r="G9" t="str">
        <f t="shared" si="0"/>
        <v/>
      </c>
      <c r="H9" t="str">
        <f>IF(D9="","",Data!BF$5)</f>
        <v/>
      </c>
      <c r="I9" t="str">
        <f>IF(D9="","",Data!AX$5)</f>
        <v/>
      </c>
      <c r="J9" s="80" t="str">
        <f>IF(AND('Mitred Cutting'!E15="70mm x 20mm",'Mitred Cutting'!D15="APO Grey"),(('Job Sheet'!W15+'Job Sheet'!X15)*2),"")</f>
        <v/>
      </c>
      <c r="K9" s="80" t="str">
        <f>IF(AND('Mitred Cutting'!E15="70mm x 20mm",'Mitred Cutting'!D15="White Birch"),(('Job Sheet'!W15+'Job Sheet'!X15)*2),"")</f>
        <v/>
      </c>
      <c r="L9" s="80" t="str">
        <f>IF(AND('Mitred Cutting'!E15="70mm x 20mm",'Mitred Cutting'!D15="Black"),(('Job Sheet'!W15+'Job Sheet'!X15)*2),"")</f>
        <v/>
      </c>
      <c r="M9" s="80" t="str">
        <f>IF(AND('Mitred Cutting'!E15="70mm x 20mm",'Mitred Cutting'!D15="Brown"),(('Job Sheet'!W15+'Job Sheet'!X15)*2),"")</f>
        <v/>
      </c>
      <c r="N9" s="80" t="str">
        <f>IF(AND('Mitred Cutting'!E15="70mm x 20mm",'Mitred Cutting'!D15="Deep Ocean"),(('Job Sheet'!W15+'Job Sheet'!X15)*2),"")</f>
        <v/>
      </c>
      <c r="O9" s="80" t="str">
        <f>IF(AND('Mitred Cutting'!E15="70mm x 20mm",'Mitred Cutting'!D15="Jasper"),(('Job Sheet'!W15+'Job Sheet'!X15)*2),"")</f>
        <v/>
      </c>
      <c r="P9" s="80" t="str">
        <f>IF(AND('Mitred Cutting'!E15="70mm x 20mm",'Mitred Cutting'!D15="Paperbark"),(('Job Sheet'!W15+'Job Sheet'!X15)*2),"")</f>
        <v/>
      </c>
      <c r="Q9" s="80" t="str">
        <f>IF(AND('Mitred Cutting'!E15="70mm x 20mm",'Mitred Cutting'!D15="Mist Green"),(('Job Sheet'!W15+'Job Sheet'!X15)*2),"")</f>
        <v/>
      </c>
      <c r="R9" s="80" t="str">
        <f>IF(AND('Mitred Cutting'!E15="70mm x 20mm",'Mitred Cutting'!D15="Primrose"),(('Job Sheet'!W15+'Job Sheet'!X15)*2),"")</f>
        <v/>
      </c>
      <c r="S9" s="80" t="str">
        <f>IF(AND('Mitred Cutting'!E15="70mm x 20mm",'Mitred Cutting'!D15="Ultra Silver"),(('Job Sheet'!W15+'Job Sheet'!X15)*2),"")</f>
        <v/>
      </c>
      <c r="T9" s="80" t="str">
        <f>IF(AND('Mitred Cutting'!E15="70mm x 20mm",'Mitred Cutting'!D15="Woodland Grey(Green Tone)"),(('Job Sheet'!W15+'Job Sheet'!X15)*2),"")</f>
        <v/>
      </c>
      <c r="U9" s="80" t="str">
        <f>IF(AND('Mitred Cutting'!E15="70mm x 20mm",'Mitred Cutting'!D15="Pearl White"),(('Job Sheet'!W15+'Job Sheet'!X15)*2),"")</f>
        <v/>
      </c>
      <c r="V9" s="80" t="str">
        <f>IF(AND('Mitred Cutting'!E15="70mm x 20mm",'Mitred Cutting'!D15="Monument"),(('Job Sheet'!W15+'Job Sheet'!X15)*2),"")</f>
        <v/>
      </c>
      <c r="W9" s="80" t="str">
        <f>IF(AND('Mitred Cutting'!E15="70mm x 20mm",'Mitred Cutting'!D15="Surfmist"),(('Job Sheet'!W15+'Job Sheet'!X15)*2),"")</f>
        <v/>
      </c>
      <c r="X9" s="80" t="str">
        <f>IF(AND('Mitred Cutting'!E15="70mm x 20mm",'Mitred Cutting'!D15="Dune"),(('Job Sheet'!W15+'Job Sheet'!X15)*2),"")</f>
        <v/>
      </c>
      <c r="Y9" s="80"/>
      <c r="Z9" s="80" t="str">
        <f>IF(AND('Mitred Cutting'!E15="70mm x 20mm",'Mitred Cutting'!D15="Powdercoat"),(('Job Sheet'!W15+'Job Sheet'!X15)*2),"")</f>
        <v/>
      </c>
      <c r="AA9" s="80" t="str">
        <f>IF(AND('Mitred Cutting'!E15="Invisi-Gard 70mm x 20mm",'Mitred Cutting'!D15="APO Grey"),(('Job Sheet'!W15+'Job Sheet'!X15)*2),"")</f>
        <v/>
      </c>
      <c r="AB9" s="80" t="str">
        <f>IF(AND('Mitred Cutting'!E15="Invisi-Gard 70mm x 20mm",'Mitred Cutting'!D15="White Birch"),(('Job Sheet'!W15+'Job Sheet'!X15)*2),"")</f>
        <v/>
      </c>
      <c r="AC9" s="80" t="str">
        <f>IF(AND('Mitred Cutting'!E15="Invisi-Gard 70mm x 20mm",'Mitred Cutting'!D15="Black"),(('Job Sheet'!W15+'Job Sheet'!X15)*2),"")</f>
        <v/>
      </c>
      <c r="AD9" s="80" t="str">
        <f>IF(AND('Mitred Cutting'!E15="Invisi-Gard 70mm x 20mm",'Mitred Cutting'!D15="Brown"),(('Job Sheet'!W15+'Job Sheet'!X15)*2),"")</f>
        <v/>
      </c>
      <c r="AE9" s="80" t="str">
        <f>IF(AND('Mitred Cutting'!E15="Invisi-Gard 70mm x 20mm",'Mitred Cutting'!D15="Deep Ocean"),(('Job Sheet'!W15+'Job Sheet'!X15)*2),"")</f>
        <v/>
      </c>
      <c r="AF9" s="80" t="str">
        <f>IF(AND('Mitred Cutting'!E15="Invisi-Gard 70mm x 20mm",'Mitred Cutting'!D15="Jasper"),(('Job Sheet'!W15+'Job Sheet'!X15)*2),"")</f>
        <v/>
      </c>
      <c r="AG9" s="80" t="str">
        <f>IF(AND('Mitred Cutting'!E15="Invisi-Gard 70mm x 20mm",'Mitred Cutting'!D15="Paperbark"),(('Job Sheet'!W15+'Job Sheet'!X15)*2),"")</f>
        <v/>
      </c>
      <c r="AH9" s="80" t="str">
        <f>IF(AND('Mitred Cutting'!E15="Invisi-Gard 70mm x 20mm",'Mitred Cutting'!D15="Mist Green"),(('Job Sheet'!W15+'Job Sheet'!X15)*2),"")</f>
        <v/>
      </c>
      <c r="AI9" s="80" t="str">
        <f>IF(AND('Mitred Cutting'!E15="Invisi-Gard 70mm x 20mm",'Mitred Cutting'!D15="Primrose"),(('Job Sheet'!W15+'Job Sheet'!X15)*2),"")</f>
        <v/>
      </c>
      <c r="AJ9" s="80" t="str">
        <f>IF(AND('Mitred Cutting'!E15="Invisi-Gard 70mm x 20mm",'Mitred Cutting'!D15="Ultra Silver"),(('Job Sheet'!W15+'Job Sheet'!X15)*2),"")</f>
        <v/>
      </c>
      <c r="AK9" s="80" t="str">
        <f>IF(AND('Mitred Cutting'!E15="Invisi-Gard 70mm x 20mm",'Mitred Cutting'!D15="Woodland Grey(Green Tone)"),(('Job Sheet'!W15+'Job Sheet'!X15)*2),"")</f>
        <v/>
      </c>
      <c r="AL9" s="80" t="str">
        <f>IF(AND('Mitred Cutting'!E15="Invisi-Gard 70mm x 20mm",'Mitred Cutting'!D15="Pearl White"),(('Job Sheet'!W15+'Job Sheet'!X15)*2),"")</f>
        <v/>
      </c>
      <c r="AM9" s="80" t="str">
        <f>IF(AND('Mitred Cutting'!E15="Invisi-Gard 70mm x 20mm",'Mitred Cutting'!D15="Monument"),(('Job Sheet'!W15+'Job Sheet'!X15)*2),"")</f>
        <v/>
      </c>
      <c r="AN9" s="80" t="str">
        <f>IF(AND('Mitred Cutting'!E15="Invisi-Gard 70mm x 20mm",'Mitred Cutting'!D15="Surfmist"),(('Job Sheet'!W15+'Job Sheet'!X15)*2),"")</f>
        <v/>
      </c>
      <c r="AO9" s="80" t="str">
        <f>IF(AND('Mitred Cutting'!E15="Invisi-Gard 70mm x 20mm",'Mitred Cutting'!D15="Dune"),(('Job Sheet'!W15+'Job Sheet'!X15)*2),"")</f>
        <v/>
      </c>
      <c r="AP9" s="80"/>
      <c r="AQ9" s="80" t="str">
        <f>IF(AND('Mitred Cutting'!E15="Invisi-Gard 70mm x 20mm",'Mitred Cutting'!D15="Powdercoat"),(('Job Sheet'!W15+'Job Sheet'!X15)*2),"")</f>
        <v/>
      </c>
      <c r="AR9" s="80" t="str">
        <f>IF(AND('Mitred Cutting'!E15="37mm x 11mm",'Mitred Cutting'!D15="APO Grey"),(('Job Sheet'!W15+'Job Sheet'!X15)*2),"")</f>
        <v/>
      </c>
      <c r="AS9" s="80" t="str">
        <f>IF(AND('Mitred Cutting'!E15="37mm x 11mm",'Mitred Cutting'!D15="White Birch"),(('Job Sheet'!W15+'Job Sheet'!X15)*2),"")</f>
        <v/>
      </c>
      <c r="AT9" s="80" t="str">
        <f>IF(AND('Mitred Cutting'!E15="37mm x 11mm",'Mitred Cutting'!D15="Black"),(('Job Sheet'!W15+'Job Sheet'!X15)*2),"")</f>
        <v/>
      </c>
      <c r="AU9" s="80" t="str">
        <f>IF(AND('Mitred Cutting'!E15="37mm x 11mm",'Mitred Cutting'!D15="Brown"),(('Job Sheet'!W15+'Job Sheet'!X15)*2),"")</f>
        <v/>
      </c>
      <c r="AV9" s="80" t="str">
        <f>IF(AND('Mitred Cutting'!E15="37mm x 11mm",'Mitred Cutting'!D15="Deep Ocean"),(('Job Sheet'!W15+'Job Sheet'!X15)*2),"")</f>
        <v/>
      </c>
      <c r="AW9" s="80" t="str">
        <f>IF(AND('Mitred Cutting'!E15="37mm x 11mm",'Mitred Cutting'!D15="Jasper"),(('Job Sheet'!W15+'Job Sheet'!X15)*2),"")</f>
        <v/>
      </c>
      <c r="AX9" s="80" t="str">
        <f>IF(AND('Mitred Cutting'!E15="37mm x 11mm",'Mitred Cutting'!D15="Paperbark"),(('Job Sheet'!W15+'Job Sheet'!X15)*2),"")</f>
        <v/>
      </c>
      <c r="AY9" s="80" t="str">
        <f>IF(AND('Mitred Cutting'!E15="37mm x 11mm",'Mitred Cutting'!D15="Mist Green"),(('Job Sheet'!W15+'Job Sheet'!X15)*2),"")</f>
        <v/>
      </c>
      <c r="AZ9" s="80" t="str">
        <f>IF(AND('Mitred Cutting'!E15="37mm x 11mm",'Mitred Cutting'!D15="Primrose"),(('Job Sheet'!W15+'Job Sheet'!X15)*2),"")</f>
        <v/>
      </c>
      <c r="BA9" s="80" t="str">
        <f>IF(AND('Mitred Cutting'!E15="37mm x 11mm",'Mitred Cutting'!D15="Ultra Silver"),(('Job Sheet'!W15+'Job Sheet'!X15)*2),"")</f>
        <v/>
      </c>
      <c r="BB9" s="80" t="str">
        <f>IF(AND('Mitred Cutting'!E15="37mm x 11mm",'Mitred Cutting'!D15="Woodland Grey(Green Tone)"),(('Job Sheet'!W15+'Job Sheet'!X15)*2),"")</f>
        <v/>
      </c>
      <c r="BC9" s="80" t="str">
        <f>IF(AND('Mitred Cutting'!E15="37mm x 11mm",'Mitred Cutting'!D15="Pearl White"),(('Job Sheet'!W15+'Job Sheet'!X15)*2),"")</f>
        <v/>
      </c>
      <c r="BD9" s="80" t="str">
        <f>IF(AND('Mitred Cutting'!E15="37mm x 11mm",'Mitred Cutting'!D15="Monument"),(('Job Sheet'!W15+'Job Sheet'!X15)*2),"")</f>
        <v/>
      </c>
      <c r="BE9" s="80" t="str">
        <f>IF(AND('Mitred Cutting'!E15="37mm x 11mm",'Mitred Cutting'!D15="Surfmist"),(('Job Sheet'!W15+'Job Sheet'!X15)*2),"")</f>
        <v/>
      </c>
      <c r="BF9" s="80" t="str">
        <f>IF(AND('Mitred Cutting'!E15="37mm x 11mm",'Mitred Cutting'!D15="Dune"),(('Job Sheet'!W15+'Job Sheet'!X15)*2),"")</f>
        <v/>
      </c>
      <c r="BG9" s="80" t="str">
        <f>IF(AND('Mitred Cutting'!E15="37mm x 11mm",'Mitred Cutting'!D15="Woodland Grey (Dulux)"),(('Job Sheet'!W15+'Job Sheet'!X15)*2),"")</f>
        <v/>
      </c>
      <c r="BH9" s="80" t="str">
        <f>IF(AND('Mitred Cutting'!E15="37mm x 11mm",'Mitred Cutting'!D15="Powdercoat"),(('Job Sheet'!W15+'Job Sheet'!X15)*2),"")</f>
        <v/>
      </c>
      <c r="BI9" s="80" t="str">
        <f>IF(AND('Mitred Cutting'!E15="Invisi-Gard 37mm x 11mm",'Mitred Cutting'!D15="APO Grey"),(('Job Sheet'!W15+'Job Sheet'!X15)*2),"")</f>
        <v/>
      </c>
      <c r="BJ9" s="80" t="str">
        <f>IF(AND('Mitred Cutting'!E15="Invisi-Gard 37mm x 11mm",'Mitred Cutting'!D15="White Birch"),(('Job Sheet'!W15+'Job Sheet'!X15)*2),"")</f>
        <v/>
      </c>
      <c r="BK9" s="80" t="str">
        <f>IF(AND('Mitred Cutting'!E15="Invisi-Gard 37mm x 11mm",'Mitred Cutting'!D15="Black"),(('Job Sheet'!W15+'Job Sheet'!X15)*2),"")</f>
        <v/>
      </c>
      <c r="BL9" s="80" t="str">
        <f>IF(AND('Mitred Cutting'!E15="Invisi-Gard 37mm x 11mm",'Mitred Cutting'!D15="Brown"),(('Job Sheet'!W15+'Job Sheet'!X15)*2),"")</f>
        <v/>
      </c>
      <c r="BM9" s="80" t="str">
        <f>IF(AND('Mitred Cutting'!E15="Invisi-Gard 37mm x 11mm",'Mitred Cutting'!D15="Deep Ocean"),(('Job Sheet'!W15+'Job Sheet'!X15)*2),"")</f>
        <v/>
      </c>
      <c r="BN9" s="80" t="str">
        <f>IF(AND('Mitred Cutting'!E15="Invisi-Gard 37mm x 11mm",'Mitred Cutting'!D15="Jasper"),(('Job Sheet'!W15+'Job Sheet'!X15)*2),"")</f>
        <v/>
      </c>
      <c r="BO9" s="80" t="str">
        <f>IF(AND('Mitred Cutting'!E15="Invisi-Gard 37mm x 11mm",'Mitred Cutting'!D15="Paperbark"),(('Job Sheet'!W15+'Job Sheet'!X15)*2),"")</f>
        <v/>
      </c>
      <c r="BP9" s="80" t="str">
        <f>IF(AND('Mitred Cutting'!E15="Invisi-Gard 37mm x 11mm",'Mitred Cutting'!D15="Mist Green"),(('Job Sheet'!W15+'Job Sheet'!X15)*2),"")</f>
        <v/>
      </c>
      <c r="BQ9" s="80" t="str">
        <f>IF(AND('Mitred Cutting'!E15="Invisi-Gard 37mm x 11mm",'Mitred Cutting'!D15="Primrose"),(('Job Sheet'!W15+'Job Sheet'!X15)*2),"")</f>
        <v/>
      </c>
      <c r="BR9" s="80" t="str">
        <f>IF(AND('Mitred Cutting'!E15="Invisi-Gard 37mm x 11mm",'Mitred Cutting'!D15="Ultra Silver"),(('Job Sheet'!W15+'Job Sheet'!X15)*2),"")</f>
        <v/>
      </c>
      <c r="BS9" s="80" t="str">
        <f>IF(AND('Mitred Cutting'!E15="Invisi-Gard 37mm x 11mm",'Mitred Cutting'!D15="Woodland Grey(Green Tone)"),(('Job Sheet'!W15+'Job Sheet'!X15)*2),"")</f>
        <v/>
      </c>
      <c r="BT9" s="80" t="str">
        <f>IF(AND('Mitred Cutting'!E15="Invisi-Gard 37mm x 11mm",'Mitred Cutting'!D15="Pearl White"),(('Job Sheet'!W15+'Job Sheet'!X15)*2),"")</f>
        <v/>
      </c>
      <c r="BU9" s="80" t="str">
        <f>IF(AND('Mitred Cutting'!E15="Invisi-Gard 37mm x 11mm",'Mitred Cutting'!D15="Monument"),(('Job Sheet'!W15+'Job Sheet'!X15)*2),"")</f>
        <v/>
      </c>
      <c r="BV9" s="80" t="str">
        <f>IF(AND('Mitred Cutting'!E15="Invisi-Gard 37mm x 11mm",'Mitred Cutting'!D15="Surfmist"),(('Job Sheet'!W15+'Job Sheet'!X15)*2),"")</f>
        <v/>
      </c>
      <c r="BW9" s="80" t="str">
        <f>IF(AND('Mitred Cutting'!E15="Invisi-Gard 37mm x 11mm",'Mitred Cutting'!D15="Dune"),(('Job Sheet'!W15+'Job Sheet'!X15)*2),"")</f>
        <v/>
      </c>
      <c r="BX9" s="80"/>
      <c r="BY9" s="80" t="str">
        <f>IF(AND('Mitred Cutting'!E15="Invisi-Gard 37mm x 11mm",'Mitred Cutting'!D15="Powdercoat"),(('Job Sheet'!W15+'Job Sheet'!X15)*2),"")</f>
        <v/>
      </c>
      <c r="BZ9" s="80" t="str">
        <f>IF(AND('Mitred Cutting'!E15="Invisi-Gard 37mm x 9mm",'Mitred Cutting'!D15="APO Grey"),(('Job Sheet'!W15+'Job Sheet'!X15)*2),"")</f>
        <v/>
      </c>
      <c r="CA9" s="80" t="str">
        <f>IF(AND('Mitred Cutting'!E15="Invisi-Gard 37mm x 9mm",'Mitred Cutting'!D15="White Birch"),(('Job Sheet'!W15+'Job Sheet'!X15)*2),"")</f>
        <v/>
      </c>
      <c r="CB9" s="80" t="str">
        <f>IF(AND('Mitred Cutting'!E15="Invisi-Gard 37mm x 9mm",'Mitred Cutting'!D15="Black"),(('Job Sheet'!W15+'Job Sheet'!X15)*2),"")</f>
        <v/>
      </c>
      <c r="CC9" s="80" t="str">
        <f>IF(AND('Mitred Cutting'!E15="Invisi-Gard 37mm x 9mm",'Mitred Cutting'!D15="Brown"),(('Job Sheet'!W15+'Job Sheet'!X15)*2),"")</f>
        <v/>
      </c>
      <c r="CD9" s="80" t="str">
        <f>IF(AND('Mitred Cutting'!E15="Invisi-Gard 37mm x 9mm",'Mitred Cutting'!D15="Deep Ocean"),(('Job Sheet'!W15+'Job Sheet'!X15)*2),"")</f>
        <v/>
      </c>
      <c r="CE9" s="80" t="str">
        <f>IF(AND('Mitred Cutting'!E15="Invisi-Gard 37mm x 9mm",'Mitred Cutting'!D15="Jasper"),(('Job Sheet'!W15+'Job Sheet'!X15)*2),"")</f>
        <v/>
      </c>
      <c r="CF9" s="80" t="str">
        <f>IF(AND('Mitred Cutting'!E15="Invisi-Gard 37mm x 9mm",'Mitred Cutting'!D15="Paperbark"),(('Job Sheet'!W15+'Job Sheet'!X15)*2),"")</f>
        <v/>
      </c>
      <c r="CG9" s="80" t="str">
        <f>IF(AND('Mitred Cutting'!E15="Invisi-Gard 37mm x 9mm",'Mitred Cutting'!D15="Mist Green"),(('Job Sheet'!W15+'Job Sheet'!X15)*2),"")</f>
        <v/>
      </c>
      <c r="CH9" s="80" t="str">
        <f>IF(AND('Mitred Cutting'!E15="Invisi-Gard 37mm x 9mm",'Mitred Cutting'!D15="Primrose"),(('Job Sheet'!W15+'Job Sheet'!X15)*2),"")</f>
        <v/>
      </c>
      <c r="CI9" s="80" t="str">
        <f>IF(AND('Mitred Cutting'!E15="Invisi-Gard 37mm x 9mm",'Mitred Cutting'!D15="Ultra Silver"),(('Job Sheet'!W15+'Job Sheet'!X15)*2),"")</f>
        <v/>
      </c>
      <c r="CJ9" s="80" t="str">
        <f>IF(AND('Mitred Cutting'!E15="Invisi-Gard 37mm x 9mm",'Mitred Cutting'!D15="Woodland Grey(Green Tone)"),(('Job Sheet'!W15+'Job Sheet'!X15)*2),"")</f>
        <v/>
      </c>
      <c r="CK9" s="80" t="str">
        <f>IF(AND('Mitred Cutting'!E15="Invisi-Gard 37mm x 9mm",'Mitred Cutting'!D15="Pearl White"),(('Job Sheet'!W15+'Job Sheet'!X15)*2),"")</f>
        <v/>
      </c>
      <c r="CL9" s="80" t="str">
        <f>IF(AND('Mitred Cutting'!E15="Invisi-Gard 37mm x 9mm",'Mitred Cutting'!D15="Monument"),(('Job Sheet'!W15+'Job Sheet'!X15)*2),"")</f>
        <v/>
      </c>
      <c r="CM9" s="80" t="str">
        <f>IF(AND('Mitred Cutting'!E15="Invisi-Gard 37mm x 9mm",'Mitred Cutting'!D15="Surfmist"),(('Job Sheet'!W15+'Job Sheet'!X15)*2),"")</f>
        <v/>
      </c>
      <c r="CN9" s="80" t="str">
        <f>IF(AND('Mitred Cutting'!E15="Invisi-Gard 37mm x 9mm",'Mitred Cutting'!D15="Dune"),(('Job Sheet'!W15+'Job Sheet'!X15)*2),"")</f>
        <v/>
      </c>
      <c r="CO9" s="80"/>
      <c r="CP9" s="80" t="str">
        <f>IF(AND('Mitred Cutting'!E15="Invisi-Gard 37mm x 9mm",'Mitred Cutting'!D15="Powdercoat"),(('Job Sheet'!W15+'Job Sheet'!X15)*2),"")</f>
        <v/>
      </c>
      <c r="CQ9" s="80"/>
      <c r="CR9" s="80"/>
      <c r="CS9" s="80"/>
      <c r="CT9" s="80"/>
      <c r="CU9" s="80"/>
      <c r="CV9" s="80"/>
      <c r="CW9" s="80"/>
      <c r="CX9" s="80"/>
      <c r="CY9" s="80"/>
      <c r="CZ9" s="80"/>
      <c r="DA9" s="80"/>
      <c r="DB9" s="80"/>
      <c r="DC9" s="80"/>
      <c r="DD9" s="80"/>
      <c r="DE9" s="80"/>
      <c r="DF9" s="80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 t="str">
        <f>IF(AND('Mitred Cutting'!E15="9mm",'Mitred Cutting'!D15="APO Grey",'Job Sheet'!P15&lt;&gt;""),(('Job Sheet'!W15+'Job Sheet'!X15)*2)+'Job Sheet'!AG15,IF(AND('Mitred Cutting'!E15="9mm",'Mitred Cutting'!D15="APO Grey"),(('Job Sheet'!W15+'Job Sheet'!X15)*2),""))</f>
        <v/>
      </c>
      <c r="DZ9" s="80" t="str">
        <f>IF(AND('Mitred Cutting'!E15="9mm",'Mitred Cutting'!D15="White Birch",'Job Sheet'!P15&lt;&gt;""),(('Job Sheet'!W15+'Job Sheet'!X15)*2)+'Job Sheet'!AG15,IF(AND('Mitred Cutting'!E15="9mm",'Mitred Cutting'!D15="White Birch"),(('Job Sheet'!W15+'Job Sheet'!X15)*2),""))</f>
        <v/>
      </c>
      <c r="EA9" s="80" t="str">
        <f>IF(AND('Mitred Cutting'!E15="9mm",'Mitred Cutting'!D15="Black",'Job Sheet'!P15&lt;&gt;""),(('Job Sheet'!W15+'Job Sheet'!X15)*2)+'Job Sheet'!AG15,IF(AND('Mitred Cutting'!E15="9mm",'Mitred Cutting'!D15="Black"),(('Job Sheet'!W15+'Job Sheet'!X15)*2),""))</f>
        <v/>
      </c>
      <c r="EB9" s="80" t="str">
        <f>IF(AND('Mitred Cutting'!E15="9mm",'Mitred Cutting'!D15="Brown",'Job Sheet'!P15&lt;&gt;""),(('Job Sheet'!W15+'Job Sheet'!X15)*2)+'Job Sheet'!AG15,IF(AND('Mitred Cutting'!E15="9mm",'Mitred Cutting'!D15="Brown"),(('Job Sheet'!W15+'Job Sheet'!X15)*2),""))</f>
        <v/>
      </c>
      <c r="EC9" s="80" t="str">
        <f>IF(AND('Mitred Cutting'!E15="9mm",'Mitred Cutting'!D15="Deep Ocean",'Job Sheet'!P15&lt;&gt;""),(('Job Sheet'!W15+'Job Sheet'!X15)*2)+'Job Sheet'!AG15,IF(AND('Mitred Cutting'!E15="9mm",'Mitred Cutting'!D15="Deep Ocean"),(('Job Sheet'!W15+'Job Sheet'!X15)*2),""))</f>
        <v/>
      </c>
      <c r="ED9" s="80" t="str">
        <f>IF(AND('Mitred Cutting'!E15="9mm",'Mitred Cutting'!D15="Jasper",'Job Sheet'!P15&lt;&gt;""),(('Job Sheet'!W15+'Job Sheet'!X15)*2)+'Job Sheet'!AG15,IF(AND('Mitred Cutting'!E15="9mm",'Mitred Cutting'!D15="Jasper"),(('Job Sheet'!W15+'Job Sheet'!X15)*2),""))</f>
        <v/>
      </c>
      <c r="EE9" s="80" t="str">
        <f>IF(AND('Mitred Cutting'!E15="9mm",'Mitred Cutting'!D15="Paperbark",'Job Sheet'!P15&lt;&gt;""),(('Job Sheet'!W15+'Job Sheet'!X15)*2)+'Job Sheet'!AG15,IF(AND('Mitred Cutting'!E15="9mm",'Mitred Cutting'!D15="Paperbark"),(('Job Sheet'!W15+'Job Sheet'!X15)*2),""))</f>
        <v/>
      </c>
      <c r="EF9" s="80" t="str">
        <f>IF(AND('Mitred Cutting'!E15="9mm",'Mitred Cutting'!D15="Pale Eucalypt",'Job Sheet'!P15&lt;&gt;""),(('Job Sheet'!W15+'Job Sheet'!X15)*2)+'Job Sheet'!AG15,IF(AND('Mitred Cutting'!E15="9mm",'Mitred Cutting'!D15="Mist Green"),(('Job Sheet'!W15+'Job Sheet'!X15)*2),""))</f>
        <v/>
      </c>
      <c r="EG9" s="80" t="str">
        <f>IF(AND('Mitred Cutting'!E15="9mm",'Mitred Cutting'!D15="Primrose",'Job Sheet'!P15&lt;&gt;""),(('Job Sheet'!W15+'Job Sheet'!X15)*2)+'Job Sheet'!AG15,IF(AND('Mitred Cutting'!E15="9mm",'Mitred Cutting'!D15="Primrose"),(('Job Sheet'!W15+'Job Sheet'!X15)*2),""))</f>
        <v/>
      </c>
      <c r="EH9" s="80" t="str">
        <f>IF(AND('Mitred Cutting'!E15="9mm",'Mitred Cutting'!D15="Ultra Silver",'Job Sheet'!P15&lt;&gt;""),(('Job Sheet'!W15+'Job Sheet'!X15)*2)+'Job Sheet'!AG15,IF(AND('Mitred Cutting'!E15="9mm",'Mitred Cutting'!D15="Ultra Silver"),(('Job Sheet'!W15+'Job Sheet'!X15)*2),""))</f>
        <v/>
      </c>
      <c r="EI9" s="80" t="str">
        <f>IF(AND('Mitred Cutting'!E15="9mm",'Mitred Cutting'!D15="Woodland Grey(Green Tone)",'Job Sheet'!P15&lt;&gt;""),(('Job Sheet'!W15+'Job Sheet'!X15)*2)+'Job Sheet'!AG15,IF(AND('Mitred Cutting'!E15="9mm",'Mitred Cutting'!D15="Woodland Grey(Green Tone)"),(('Job Sheet'!W15+'Job Sheet'!X15)*2),""))</f>
        <v/>
      </c>
      <c r="EJ9" s="80" t="str">
        <f>IF(AND('Mitred Cutting'!E15="9mm",'Mitred Cutting'!D15="Pearl White",'Job Sheet'!P15&lt;&gt;""),(('Job Sheet'!W15+'Job Sheet'!X15)*2)+'Job Sheet'!AG15,IF(AND('Mitred Cutting'!E15="9mm",'Mitred Cutting'!D15="Pearl White"),(('Job Sheet'!W15+'Job Sheet'!X15)*2),""))</f>
        <v/>
      </c>
      <c r="EK9" s="80" t="str">
        <f>IF(AND('Mitred Cutting'!E15="9mm",'Mitred Cutting'!D15="Monument",'Job Sheet'!P15&lt;&gt;""),(('Job Sheet'!W15+'Job Sheet'!X15)*2)+'Job Sheet'!AG15,IF(AND('Mitred Cutting'!E15="9mm",'Mitred Cutting'!D15="Monument"),(('Job Sheet'!W15+'Job Sheet'!X15)*2),""))</f>
        <v/>
      </c>
      <c r="EL9" s="80" t="str">
        <f>IF(AND('Mitred Cutting'!E15="9mm",'Mitred Cutting'!D15="Surfmist",'Job Sheet'!P15&lt;&gt;""),(('Job Sheet'!W15+'Job Sheet'!X15)*2)+'Job Sheet'!AG15,IF(AND('Mitred Cutting'!E15="9mm",'Mitred Cutting'!D15="Surfmist"),(('Job Sheet'!W15+'Job Sheet'!X15)*2),""))</f>
        <v/>
      </c>
      <c r="EM9" s="80" t="str">
        <f>IF(AND('Mitred Cutting'!E15="9mm",'Mitred Cutting'!D15="Dune",'Job Sheet'!P15&lt;&gt;""),(('Job Sheet'!W15+'Job Sheet'!X15)*2)+'Job Sheet'!AG15,IF(AND('Mitred Cutting'!E15="9mm",'Mitred Cutting'!D15="Dune"),(('Job Sheet'!W15+'Job Sheet'!X15)*2),""))</f>
        <v/>
      </c>
      <c r="EN9" s="80" t="str">
        <f>IF(AND('Mitred Cutting'!E15="9mm",'Mitred Cutting'!D15="Powdercoat",'Job Sheet'!P15&lt;&gt;""),(('Job Sheet'!W15+'Job Sheet'!X15)*2)+'Job Sheet'!AG15,IF(AND('Mitred Cutting'!E15="9mm",'Mitred Cutting'!D15="Powdercoat"),(('Job Sheet'!W15+'Job Sheet'!X15)*2),""))</f>
        <v/>
      </c>
      <c r="EO9" s="80" t="str">
        <f>IF(AND('Mitred Cutting'!E15="11mm",'Mitred Cutting'!D15="APO Grey",'Job Sheet'!P15&lt;&gt;""),(('Job Sheet'!W15+'Job Sheet'!X15)*2)+'Job Sheet'!AG15,IF(AND('Mitred Cutting'!E15="11mm",'Mitred Cutting'!D15="APO Grey"),(('Job Sheet'!W15+'Job Sheet'!X15)*2),""))</f>
        <v/>
      </c>
      <c r="EP9" s="80" t="str">
        <f>IF(AND('Mitred Cutting'!E15="11mm",'Mitred Cutting'!D15="White Birch",'Job Sheet'!P15&lt;&gt;""),(('Job Sheet'!W15+'Job Sheet'!X15)*2)+'Job Sheet'!AG15,IF(AND('Mitred Cutting'!E15="11mm",'Mitred Cutting'!D15="White Birch"),(('Job Sheet'!W15+'Job Sheet'!X15)*2),""))</f>
        <v/>
      </c>
      <c r="EQ9" s="84" t="str">
        <f>IF(AND('Mitred Cutting'!E15="11mm",'Mitred Cutting'!D15="Black",'Job Sheet'!P15&lt;&gt;""),(('Job Sheet'!W15+'Job Sheet'!X15)*2)+'Job Sheet'!AG15,IF(AND('Mitred Cutting'!E15="11mm",'Mitred Cutting'!D15="Black"),(('Job Sheet'!W15+'Job Sheet'!X15)*2),""))</f>
        <v/>
      </c>
      <c r="ER9" s="80" t="str">
        <f>IF(AND('Mitred Cutting'!E15="11mm",'Mitred Cutting'!D15="Brown",'Job Sheet'!P15&lt;&gt;""),(('Job Sheet'!W15+'Job Sheet'!X15)*2)+'Job Sheet'!AG15,IF(AND('Mitred Cutting'!E15="11mm",'Mitred Cutting'!D15="Brown"),(('Job Sheet'!W15+'Job Sheet'!X15)*2),""))</f>
        <v/>
      </c>
      <c r="ES9" s="80" t="str">
        <f>IF(AND('Mitred Cutting'!E15="11mm",'Mitred Cutting'!D15="Deep Ocean",'Job Sheet'!P15&lt;&gt;""),(('Job Sheet'!W15+'Job Sheet'!X15)*2)+'Job Sheet'!AG15,IF(AND('Mitred Cutting'!E15="11mm",'Mitred Cutting'!D15="Deep Ocean"),(('Job Sheet'!W15+'Job Sheet'!X15)*2),""))</f>
        <v/>
      </c>
      <c r="ET9" s="80" t="str">
        <f>IF(AND('Mitred Cutting'!E15="11mm",'Mitred Cutting'!D15="Jasper",'Job Sheet'!P15&lt;&gt;""),(('Job Sheet'!W15+'Job Sheet'!X15)*2)+'Job Sheet'!AG15,IF(AND('Mitred Cutting'!E15="11mm",'Mitred Cutting'!D15="Jasper"),(('Job Sheet'!W15+'Job Sheet'!X15)*2),""))</f>
        <v/>
      </c>
      <c r="EU9" s="80" t="str">
        <f>IF(AND('Mitred Cutting'!E15="11mm",'Mitred Cutting'!D15="Paperbark",'Job Sheet'!P15&lt;&gt;""),(('Job Sheet'!W15+'Job Sheet'!X15)*2)+'Job Sheet'!AG15,IF(AND('Mitred Cutting'!E15="11mm",'Mitred Cutting'!D15="Paperbark"),(('Job Sheet'!W15+'Job Sheet'!X15)*2),""))</f>
        <v/>
      </c>
      <c r="EV9" s="80" t="str">
        <f>IF(AND('Mitred Cutting'!E15="11mm",'Mitred Cutting'!D15="Pale Eucalypt",'Job Sheet'!P15&lt;&gt;""),(('Job Sheet'!W15+'Job Sheet'!X15)*2)+'Job Sheet'!AG15,IF(AND('Mitred Cutting'!E15="11mm",'Mitred Cutting'!D15="Pale Eucalypt"),(('Job Sheet'!W15+'Job Sheet'!X15)*2),""))</f>
        <v/>
      </c>
      <c r="EW9" s="80" t="str">
        <f>IF(AND('Mitred Cutting'!E15="11mm",'Mitred Cutting'!D15="Primrose",'Job Sheet'!P15&lt;&gt;""),(('Job Sheet'!W15+'Job Sheet'!X15)*2)+'Job Sheet'!AG15,IF(AND('Mitred Cutting'!E15="11mm",'Mitred Cutting'!D15="Primrose"),(('Job Sheet'!W15+'Job Sheet'!X15)*2),""))</f>
        <v/>
      </c>
      <c r="EX9" s="80" t="str">
        <f>IF(AND('Mitred Cutting'!E15="11mm",'Mitred Cutting'!D15="Ultra Silver",'Job Sheet'!P15&lt;&gt;""),(('Job Sheet'!W15+'Job Sheet'!X15)*2)+'Job Sheet'!AG15,IF(AND('Mitred Cutting'!E15="11mm",'Mitred Cutting'!D15="Ultra Silver"),(('Job Sheet'!W15+'Job Sheet'!X15)*2),""))</f>
        <v/>
      </c>
      <c r="EY9" s="80" t="str">
        <f>IF(AND('Mitred Cutting'!E15="11mm",'Mitred Cutting'!D15="Woodland Grey(Green Tone)",'Job Sheet'!P15&lt;&gt;""),(('Job Sheet'!W15+'Job Sheet'!X15)*2)+'Job Sheet'!AG15,IF(AND('Mitred Cutting'!E15="11mm",'Mitred Cutting'!D15="Woodland Grey(Green Tone)"),(('Job Sheet'!W15+'Job Sheet'!X15)*2),""))</f>
        <v/>
      </c>
      <c r="EZ9" s="80" t="str">
        <f>IF(AND('Mitred Cutting'!E15="11mm",'Mitred Cutting'!D15="Pearl White",'Job Sheet'!P15&lt;&gt;""),(('Job Sheet'!W15+'Job Sheet'!X15)*2)+'Job Sheet'!AG15,IF(AND('Mitred Cutting'!E15="11mm",'Mitred Cutting'!D15="Pearl White"),(('Job Sheet'!W15+'Job Sheet'!X15)*2),""))</f>
        <v/>
      </c>
      <c r="FA9" s="80" t="str">
        <f>IF(AND('Mitred Cutting'!E15="11mm",'Mitred Cutting'!D15="Monument",'Job Sheet'!P15&lt;&gt;""),(('Job Sheet'!W15+'Job Sheet'!X15)*2)+'Job Sheet'!AG15,IF(AND('Mitred Cutting'!E15="11mm",'Mitred Cutting'!D15="Monument"),(('Job Sheet'!W15+'Job Sheet'!X15)*2),""))</f>
        <v/>
      </c>
      <c r="FB9" s="80" t="str">
        <f>IF(AND('Mitred Cutting'!E15="11mm",'Mitred Cutting'!D15="Surfmist",'Job Sheet'!P15&lt;&gt;""),(('Job Sheet'!W15+'Job Sheet'!X15)*2)+'Job Sheet'!AG15,IF(AND('Mitred Cutting'!E15="11mm",'Mitred Cutting'!D15="Surfmist"),(('Job Sheet'!W15+'Job Sheet'!X15)*2),""))</f>
        <v/>
      </c>
      <c r="FC9" s="80" t="str">
        <f>IF(AND('Mitred Cutting'!E15="11mm",'Mitred Cutting'!D15="Dune",'Job Sheet'!P15&lt;&gt;""),(('Job Sheet'!W15+'Job Sheet'!X15)*2)+'Job Sheet'!AG15,IF(AND('Mitred Cutting'!E15="11mm",'Mitred Cutting'!D15="Dune"),(('Job Sheet'!W15+'Job Sheet'!X15)*2),""))</f>
        <v/>
      </c>
      <c r="FD9" s="80" t="str">
        <f>IF(AND('Mitred Cutting'!E15="11mm",'Mitred Cutting'!D15="Powdercoat",'Job Sheet'!P15&lt;&gt;""),(('Job Sheet'!W15+'Job Sheet'!X15)*2)+'Job Sheet'!AG15,IF(AND('Mitred Cutting'!E15="11mm",'Mitred Cutting'!D15="Powdercoat"),(('Job Sheet'!W15+'Job Sheet'!X15)*2),""))</f>
        <v/>
      </c>
      <c r="FE9" s="80"/>
      <c r="FF9" s="80"/>
      <c r="FG9" s="80"/>
      <c r="FH9" s="80"/>
      <c r="FI9" s="80"/>
      <c r="FJ9" s="80"/>
      <c r="FK9" s="80"/>
      <c r="FL9" s="80"/>
      <c r="FM9" s="80"/>
      <c r="FN9" s="80"/>
      <c r="FO9" s="80"/>
      <c r="FP9" s="80"/>
      <c r="FQ9" s="80"/>
      <c r="FR9" s="80"/>
      <c r="FS9" s="80"/>
      <c r="FT9" s="80"/>
      <c r="FU9" s="80"/>
      <c r="FV9" s="80"/>
      <c r="FW9" s="80"/>
      <c r="FX9" s="80"/>
      <c r="FY9" s="80"/>
      <c r="FZ9" s="80"/>
      <c r="GA9" s="80"/>
      <c r="GB9" s="80"/>
      <c r="GC9" s="80"/>
      <c r="GD9" s="80"/>
      <c r="GE9" s="80"/>
      <c r="GF9" s="80"/>
      <c r="GG9" s="80"/>
      <c r="GH9" s="80"/>
      <c r="GI9" s="80"/>
      <c r="GJ9" s="80"/>
      <c r="GK9" s="80"/>
      <c r="GL9" s="80"/>
      <c r="GM9" s="80"/>
      <c r="GN9" s="80"/>
      <c r="GO9" s="80"/>
      <c r="GP9" s="80"/>
      <c r="GQ9" s="80"/>
      <c r="GR9" s="80"/>
      <c r="GS9" s="80"/>
      <c r="GT9" s="80"/>
      <c r="GU9" s="80"/>
      <c r="GV9" s="80"/>
      <c r="GW9" s="80"/>
      <c r="GX9" s="80"/>
      <c r="GY9" s="80"/>
      <c r="GZ9" s="80"/>
      <c r="HA9" s="80"/>
      <c r="HB9" s="80"/>
      <c r="HC9" s="80"/>
      <c r="HD9" s="80"/>
      <c r="HE9" s="80"/>
      <c r="HF9" s="80"/>
      <c r="HG9" s="80"/>
      <c r="HH9" s="80"/>
      <c r="HI9" s="80"/>
      <c r="HJ9" s="80"/>
      <c r="HK9" s="80"/>
      <c r="HL9" s="80"/>
      <c r="HM9" s="80"/>
      <c r="HN9" s="80"/>
      <c r="HO9" s="80"/>
      <c r="HP9" s="80"/>
      <c r="HQ9" s="80"/>
      <c r="HR9" s="80"/>
      <c r="HS9" s="80"/>
      <c r="HT9" s="80"/>
      <c r="HU9" s="80"/>
      <c r="HV9" s="80"/>
      <c r="HW9" s="80"/>
      <c r="HX9" s="80"/>
      <c r="HY9" s="80"/>
      <c r="HZ9" s="80"/>
      <c r="IA9" s="80"/>
      <c r="IB9" s="80"/>
      <c r="IC9" s="80"/>
      <c r="ID9" s="80"/>
      <c r="IE9" s="80"/>
      <c r="IF9" s="80"/>
      <c r="IG9" s="80"/>
      <c r="IH9" s="80"/>
      <c r="II9" s="80"/>
      <c r="IJ9" s="80"/>
      <c r="IK9" s="80"/>
      <c r="IL9" s="80"/>
      <c r="IM9" s="80"/>
      <c r="IN9" s="80"/>
      <c r="IO9" s="80"/>
      <c r="IP9" s="80"/>
      <c r="IQ9" s="80"/>
      <c r="IR9" s="80"/>
      <c r="IS9" s="80"/>
      <c r="IT9" s="80"/>
      <c r="IU9" s="80"/>
      <c r="IV9" s="80"/>
      <c r="IW9" s="80"/>
      <c r="IX9" s="80"/>
      <c r="IY9" s="80"/>
      <c r="IZ9" s="80"/>
      <c r="JA9" s="80"/>
      <c r="JB9" s="80"/>
      <c r="JC9" s="80"/>
      <c r="JD9" s="80"/>
      <c r="JE9" s="80"/>
      <c r="JF9" s="80"/>
      <c r="JG9" s="80"/>
      <c r="JH9" s="80"/>
      <c r="JI9" s="80"/>
      <c r="JJ9" s="80"/>
      <c r="JK9" s="80"/>
      <c r="JL9" s="80"/>
      <c r="JM9" s="80"/>
      <c r="JN9" s="80"/>
      <c r="JO9" s="80"/>
      <c r="JP9" s="80"/>
      <c r="JQ9" s="80"/>
      <c r="JR9" s="80"/>
      <c r="JS9" s="80"/>
      <c r="JT9" s="80"/>
      <c r="JU9" s="80"/>
      <c r="JV9" s="80"/>
      <c r="JW9" s="80"/>
      <c r="JX9" s="80"/>
      <c r="JY9" s="80"/>
      <c r="JZ9" s="80"/>
      <c r="KA9" s="80"/>
      <c r="KB9" s="80"/>
      <c r="KC9" s="80"/>
      <c r="KD9" s="80"/>
      <c r="KE9" s="80"/>
      <c r="KF9" s="80"/>
      <c r="KG9" s="80"/>
      <c r="KH9" s="80"/>
      <c r="KI9" s="80"/>
      <c r="KJ9" s="80"/>
      <c r="KK9" s="80"/>
      <c r="KL9" s="80"/>
      <c r="KM9" s="80"/>
      <c r="KN9" s="80"/>
      <c r="KO9" s="80"/>
      <c r="KP9" s="80"/>
      <c r="KQ9" s="80"/>
      <c r="KR9" s="80"/>
      <c r="KS9" s="80"/>
      <c r="KT9" s="80"/>
      <c r="KU9" s="80"/>
      <c r="KV9" s="80"/>
      <c r="KW9" s="80"/>
      <c r="KX9" s="80"/>
      <c r="KY9" s="80"/>
      <c r="KZ9" s="80"/>
      <c r="LA9" s="80"/>
      <c r="LB9" s="80"/>
      <c r="LC9" s="80"/>
      <c r="LD9" s="80"/>
      <c r="LE9" s="80"/>
      <c r="LF9" s="80"/>
      <c r="LG9" s="80"/>
      <c r="LH9" s="80"/>
      <c r="LI9" s="80"/>
      <c r="LJ9" s="80"/>
      <c r="LK9" s="80"/>
      <c r="LL9" s="80"/>
      <c r="LM9" s="80"/>
      <c r="LN9" s="80"/>
      <c r="LO9" s="80"/>
      <c r="LP9" s="80"/>
      <c r="LQ9" s="80"/>
      <c r="LR9" s="80"/>
      <c r="LS9" s="80"/>
      <c r="LT9" s="80"/>
      <c r="LU9" s="80"/>
      <c r="LV9" s="80"/>
      <c r="LW9" s="80"/>
      <c r="LX9" s="80"/>
      <c r="LY9" s="80"/>
      <c r="LZ9" s="80"/>
      <c r="MA9" s="80"/>
      <c r="MB9" s="80"/>
      <c r="MC9" s="80"/>
      <c r="MD9" s="80"/>
      <c r="ME9" s="80"/>
      <c r="MF9" s="80"/>
      <c r="MG9" s="80"/>
      <c r="MH9" s="80"/>
      <c r="MI9" s="80"/>
      <c r="MJ9" s="80"/>
      <c r="MK9" s="81"/>
      <c r="ML9" s="81"/>
      <c r="MM9" s="81"/>
      <c r="MN9" s="81"/>
      <c r="MO9" s="81"/>
      <c r="MP9" s="81"/>
      <c r="MQ9" s="81"/>
      <c r="MR9" s="80" t="str">
        <f>IF(AND('Straight Cutting'!D15="Standard",'Straight Cutting'!E15="APO Grey",'Straight Cutting'!F15&lt;&gt;"",'Straight Cutting'!G15=""),'Straight Cutting'!F15,IF(AND('Straight Cutting'!D15="Standard",'Straight Cutting'!E15="APO Grey",'Straight Cutting'!F15="",'Straight Cutting'!G15&lt;&gt;""),'Straight Cutting'!G15,IF(AND('Straight Cutting'!D15="Standard",'Straight Cutting'!E15="APO Grey",'Straight Cutting'!F15&lt;&gt;"",'Straight Cutting'!G15&lt;&gt;""),'Straight Cutting'!F15+'Job Sheet'!AH15,"")))</f>
        <v/>
      </c>
      <c r="MS9" s="80" t="str">
        <f>IF(AND('Straight Cutting'!D15="Standard",'Straight Cutting'!E15="White Birch",'Straight Cutting'!F15&lt;&gt;"",'Straight Cutting'!G15=""),'Straight Cutting'!F15,IF(AND('Straight Cutting'!D15="Standard",'Straight Cutting'!E15="White Birch",'Straight Cutting'!F15="",'Straight Cutting'!G15&lt;&gt;""),'Straight Cutting'!G15,IF(AND('Straight Cutting'!D15="Standard",'Straight Cutting'!E15="White Birch",'Straight Cutting'!F15&lt;&gt;"",'Straight Cutting'!G15&lt;&gt;""),'Straight Cutting'!F15+'Job Sheet'!AH15,"")))</f>
        <v/>
      </c>
      <c r="MT9" s="80" t="str">
        <f>IF(AND('Straight Cutting'!D15="Standard",'Straight Cutting'!E15="Black",'Straight Cutting'!F15&lt;&gt;"",'Straight Cutting'!G15=""),'Straight Cutting'!F15,IF(AND('Straight Cutting'!D15="Standard",'Straight Cutting'!E15="Black",'Straight Cutting'!F15="",'Straight Cutting'!G15&lt;&gt;""),'Straight Cutting'!G15,IF(AND('Straight Cutting'!D15="Standard",'Straight Cutting'!E15="Black",'Straight Cutting'!F15&lt;&gt;"",'Straight Cutting'!G15&lt;&gt;""),'Straight Cutting'!F15+'Job Sheet'!AH15,"")))</f>
        <v/>
      </c>
      <c r="MU9" s="80" t="str">
        <f>IF(AND('Straight Cutting'!D15="Standard",'Straight Cutting'!E15="Brown",'Straight Cutting'!F15&lt;&gt;"",'Straight Cutting'!G15=""),'Straight Cutting'!F15,IF(AND('Straight Cutting'!D15="Standard",'Straight Cutting'!E15="Brown",'Straight Cutting'!F15="",'Straight Cutting'!G15&lt;&gt;""),'Straight Cutting'!G15,IF(AND('Straight Cutting'!D15="Standard",'Straight Cutting'!E15="Brown",'Straight Cutting'!F15&lt;&gt;"",'Straight Cutting'!G15&lt;&gt;""),'Straight Cutting'!F15+'Job Sheet'!AH15,"")))</f>
        <v/>
      </c>
      <c r="MV9" s="80" t="str">
        <f>IF(AND('Straight Cutting'!D15="Standard",'Straight Cutting'!E15="Deep Ocean",'Straight Cutting'!F15&lt;&gt;"",'Straight Cutting'!G15=""),'Straight Cutting'!F15,IF(AND('Straight Cutting'!D15="Standard",'Straight Cutting'!E15="Deep Ocean",'Straight Cutting'!F15="",'Straight Cutting'!G15&lt;&gt;""),'Straight Cutting'!G15,IF(AND('Straight Cutting'!D15="Standard",'Straight Cutting'!E15="Deep Ocean",'Straight Cutting'!F15&lt;&gt;"",'Straight Cutting'!G15&lt;&gt;""),'Straight Cutting'!F15+'Job Sheet'!AH15,"")))</f>
        <v/>
      </c>
      <c r="MW9" s="80" t="str">
        <f>IF(AND('Straight Cutting'!D15="Standard",'Straight Cutting'!E15="Jasper",'Straight Cutting'!F15&lt;&gt;"",'Straight Cutting'!G15=""),'Straight Cutting'!F15,IF(AND('Straight Cutting'!D15="Standard",'Straight Cutting'!E15="Jasper",'Straight Cutting'!F15="",'Straight Cutting'!G15&lt;&gt;""),'Straight Cutting'!G15,IF(AND('Straight Cutting'!D15="Standard",'Straight Cutting'!E15="Jasper",'Straight Cutting'!F15&lt;&gt;"",'Straight Cutting'!G15&lt;&gt;""),'Straight Cutting'!F15+'Job Sheet'!AH15,"")))</f>
        <v/>
      </c>
      <c r="MX9" s="80" t="str">
        <f>IF(AND('Straight Cutting'!D15="Standard",'Straight Cutting'!E15="Paperbark",'Straight Cutting'!F15&lt;&gt;"",'Straight Cutting'!G15=""),'Straight Cutting'!F15,IF(AND('Straight Cutting'!D15="Standard",'Straight Cutting'!E15="Paperbark",'Straight Cutting'!F15="",'Straight Cutting'!G15&lt;&gt;""),'Straight Cutting'!G15,IF(AND('Straight Cutting'!D15="Standard",'Straight Cutting'!E15="Paperbark",'Straight Cutting'!F15&lt;&gt;"",'Straight Cutting'!G15&lt;&gt;""),'Straight Cutting'!F15+'Job Sheet'!AH15,"")))</f>
        <v/>
      </c>
      <c r="MY9" s="80" t="str">
        <f>IF(AND('Straight Cutting'!D15="Standard",'Straight Cutting'!E15="Mist Green",'Straight Cutting'!F15&lt;&gt;"",'Straight Cutting'!G15=""),'Straight Cutting'!F15,IF(AND('Straight Cutting'!D15="Standard",'Straight Cutting'!E15="Mist Green",'Straight Cutting'!F15="",'Straight Cutting'!G15&lt;&gt;""),'Straight Cutting'!G15,IF(AND('Straight Cutting'!D15="Standard",'Straight Cutting'!E15="Mist Green",'Straight Cutting'!F15&lt;&gt;"",'Straight Cutting'!G15&lt;&gt;""),'Straight Cutting'!F15+'Job Sheet'!AH15,"")))</f>
        <v/>
      </c>
      <c r="MZ9" s="80" t="str">
        <f>IF(AND('Straight Cutting'!D15="Standard",'Straight Cutting'!E15="Primrose",'Straight Cutting'!F15&lt;&gt;"",'Straight Cutting'!G15=""),'Straight Cutting'!F15,IF(AND('Straight Cutting'!D15="Standard",'Straight Cutting'!E15="Primrose",'Straight Cutting'!F15="",'Straight Cutting'!G15&lt;&gt;""),'Straight Cutting'!G15,IF(AND('Straight Cutting'!D15="Standard",'Straight Cutting'!E15="Primrose",'Straight Cutting'!F15&lt;&gt;"",'Straight Cutting'!G15&lt;&gt;""),'Straight Cutting'!F15+'Job Sheet'!AH15,"")))</f>
        <v/>
      </c>
      <c r="NA9" s="80" t="str">
        <f>IF(AND('Straight Cutting'!D15="Standard",'Straight Cutting'!E15="Ultra Silver",'Straight Cutting'!F15&lt;&gt;"",'Straight Cutting'!G15=""),'Straight Cutting'!F15,IF(AND('Straight Cutting'!D15="Standard",'Straight Cutting'!E15="Ultra Silver",'Straight Cutting'!F15="",'Straight Cutting'!G15&lt;&gt;""),'Straight Cutting'!G15,IF(AND('Straight Cutting'!D15="Standard",'Straight Cutting'!E15="Ultra Silver",'Straight Cutting'!F15&lt;&gt;"",'Straight Cutting'!G15&lt;&gt;""),'Straight Cutting'!F15+'Job Sheet'!AH15,"")))</f>
        <v/>
      </c>
      <c r="NB9" s="80" t="str">
        <f>IF(AND('Straight Cutting'!D15="Standard",'Straight Cutting'!E15="Woodland Grey(Green Tone)",'Straight Cutting'!F15&lt;&gt;"",'Straight Cutting'!G15=""),'Straight Cutting'!F15,IF(AND('Straight Cutting'!D15="Standard",'Straight Cutting'!E15="Woodland Grey(Green Tone)",'Straight Cutting'!F15="",'Straight Cutting'!G15&lt;&gt;""),'Straight Cutting'!G15,IF(AND('Straight Cutting'!D15="Standard",'Straight Cutting'!E15="Woodland Grey(Green Tone)",'Straight Cutting'!F15&lt;&gt;"",'Straight Cutting'!G15&lt;&gt;""),'Straight Cutting'!F15+'Job Sheet'!AH15,"")))</f>
        <v/>
      </c>
      <c r="NC9" s="80" t="str">
        <f>IF(AND('Straight Cutting'!D15="Standard",'Straight Cutting'!E15="Pearl White",'Straight Cutting'!F15&lt;&gt;"",'Straight Cutting'!G15=""),'Straight Cutting'!F15,IF(AND('Straight Cutting'!D15="Standard",'Straight Cutting'!E15="Pearl White",'Straight Cutting'!F15="",'Straight Cutting'!G15&lt;&gt;""),'Straight Cutting'!G15,IF(AND('Straight Cutting'!D15="Standard",'Straight Cutting'!E15="Pearl White",'Straight Cutting'!F15&lt;&gt;"",'Straight Cutting'!G15&lt;&gt;""),'Straight Cutting'!F15+'Job Sheet'!AH15,"")))</f>
        <v/>
      </c>
      <c r="ND9" s="80" t="str">
        <f>IF(AND('Straight Cutting'!D15="Standard",'Straight Cutting'!E15="Monument",'Straight Cutting'!F15&lt;&gt;"",'Straight Cutting'!G15=""),'Straight Cutting'!F15,IF(AND('Straight Cutting'!D15="Standard",'Straight Cutting'!E15="Monument",'Straight Cutting'!F15="",'Straight Cutting'!G15&lt;&gt;""),'Straight Cutting'!G15,IF(AND('Straight Cutting'!D15="Standard",'Straight Cutting'!E15="Monument",'Straight Cutting'!F15&lt;&gt;"",'Straight Cutting'!G15&lt;&gt;""),'Straight Cutting'!F15+'Job Sheet'!AH15,"")))</f>
        <v/>
      </c>
      <c r="NE9" s="80" t="str">
        <f>IF(AND('Straight Cutting'!D15="Standard",'Straight Cutting'!E15="Surfmist",'Straight Cutting'!F15&lt;&gt;"",'Straight Cutting'!G15=""),'Straight Cutting'!F15,IF(AND('Straight Cutting'!D15="Standard",'Straight Cutting'!E15="Surfmist",'Straight Cutting'!F15="",'Straight Cutting'!G15&lt;&gt;""),'Straight Cutting'!G15,IF(AND('Straight Cutting'!D15="Standard",'Straight Cutting'!E15="Surfmist",'Straight Cutting'!F15&lt;&gt;"",'Straight Cutting'!G15&lt;&gt;""),'Straight Cutting'!F15+'Job Sheet'!AH15,"")))</f>
        <v/>
      </c>
      <c r="NF9" s="80" t="str">
        <f>IF(AND('Straight Cutting'!D15="Standard",'Straight Cutting'!E15="Dune",'Straight Cutting'!F15&lt;&gt;"",'Straight Cutting'!G15=""),'Straight Cutting'!F15,IF(AND('Straight Cutting'!D15="Standard",'Straight Cutting'!E15="Dune",'Straight Cutting'!F15="",'Straight Cutting'!G15&lt;&gt;""),'Straight Cutting'!G15,IF(AND('Straight Cutting'!D15="Standard",'Straight Cutting'!E15="Dune",'Straight Cutting'!F15&lt;&gt;"",'Straight Cutting'!G15&lt;&gt;""),'Straight Cutting'!F15+'Job Sheet'!AH15,"")))</f>
        <v/>
      </c>
      <c r="NG9" s="80" t="str">
        <f>IF(AND('Straight Cutting'!D15="Standard",'Straight Cutting'!E15="Powdercoat",'Straight Cutting'!F15&lt;&gt;"",'Straight Cutting'!G15=""),'Straight Cutting'!F15,IF(AND('Straight Cutting'!D15="Standard",'Straight Cutting'!E15="Powdercoat",'Straight Cutting'!F15="",'Straight Cutting'!G15&lt;&gt;""),'Straight Cutting'!G15,IF(AND('Straight Cutting'!D15="Standard",'Straight Cutting'!E15="Powdercoat",'Straight Cutting'!F15&lt;&gt;"",'Straight Cutting'!G15&lt;&gt;""),'Straight Cutting'!F15+'Job Sheet'!AH15,"")))</f>
        <v/>
      </c>
      <c r="NH9" s="80" t="str">
        <f>IF(AND('Straight Cutting'!D15="Invisi-Gard",'Straight Cutting'!E15="APO Grey",'Straight Cutting'!F15&lt;&gt;"",'Straight Cutting'!G15=""),'Straight Cutting'!F15,IF(AND('Straight Cutting'!D15="Invisi-Gard",'Straight Cutting'!E15="APO Grey",'Straight Cutting'!F15="",'Straight Cutting'!G15&lt;&gt;""),'Straight Cutting'!G15,IF(AND('Straight Cutting'!D15="Invisi-Gard",'Straight Cutting'!E15="APO Grey",'Straight Cutting'!F15&lt;&gt;"",'Straight Cutting'!G15&lt;&gt;""),'Straight Cutting'!F15+'Job Sheet'!AH15,"")))</f>
        <v/>
      </c>
      <c r="NI9" s="80" t="str">
        <f>IF(AND('Straight Cutting'!D15="Invisi-Gard",'Straight Cutting'!E15="White Birch",'Straight Cutting'!F15&lt;&gt;"",'Straight Cutting'!G15=""),'Straight Cutting'!F15,IF(AND('Straight Cutting'!D15="Invisi-Gard",'Straight Cutting'!E15="White Birch",'Straight Cutting'!F15="",'Straight Cutting'!G15&lt;&gt;""),'Straight Cutting'!G15,IF(AND('Straight Cutting'!D15="Invisi-Gard",'Straight Cutting'!E15="White Birch",'Straight Cutting'!F15&lt;&gt;"",'Straight Cutting'!G15&lt;&gt;""),'Straight Cutting'!F15+'Job Sheet'!AH15,"")))</f>
        <v/>
      </c>
      <c r="NJ9" s="80" t="str">
        <f>IF(AND('Straight Cutting'!D15="Invisi-Gard",'Straight Cutting'!E15="Black",'Straight Cutting'!F15&lt;&gt;"",'Straight Cutting'!G15=""),'Straight Cutting'!F15,IF(AND('Straight Cutting'!D15="Invisi-Gard",'Straight Cutting'!E15="Black",'Straight Cutting'!F15="",'Straight Cutting'!G15&lt;&gt;""),'Straight Cutting'!G15,IF(AND('Straight Cutting'!D15="Invisi-Gard",'Straight Cutting'!E15="Black",'Straight Cutting'!F15&lt;&gt;"",'Straight Cutting'!G15&lt;&gt;""),'Straight Cutting'!F15+'Job Sheet'!AH15,"")))</f>
        <v/>
      </c>
      <c r="NK9" s="80" t="str">
        <f>IF(AND('Straight Cutting'!D15="Invisi-Gard",'Straight Cutting'!E15="Brown",'Straight Cutting'!F15&lt;&gt;"",'Straight Cutting'!G15=""),'Straight Cutting'!F15,IF(AND('Straight Cutting'!D15="Invisi-Gard",'Straight Cutting'!E15="Brown",'Straight Cutting'!F15="",'Straight Cutting'!G15&lt;&gt;""),'Straight Cutting'!G15,IF(AND('Straight Cutting'!D15="Invisi-Gard",'Straight Cutting'!E15="Brown",'Straight Cutting'!F15&lt;&gt;"",'Straight Cutting'!G15&lt;&gt;""),'Straight Cutting'!F15+'Job Sheet'!AH15,"")))</f>
        <v/>
      </c>
      <c r="NL9" s="80" t="str">
        <f>IF(AND('Straight Cutting'!D15="Invisi-Gard",'Straight Cutting'!E15="Deep Ocean",'Straight Cutting'!F15&lt;&gt;"",'Straight Cutting'!G15=""),'Straight Cutting'!F15,IF(AND('Straight Cutting'!D15="Invisi-Gard",'Straight Cutting'!E15="Deep Ocean",'Straight Cutting'!F15="",'Straight Cutting'!G15&lt;&gt;""),'Straight Cutting'!G15,IF(AND('Straight Cutting'!D15="Invisi-Gard",'Straight Cutting'!E15="Deep Ocean",'Straight Cutting'!F15&lt;&gt;"",'Straight Cutting'!G15&lt;&gt;""),'Straight Cutting'!F15+'Job Sheet'!AH15,"")))</f>
        <v/>
      </c>
      <c r="NM9" s="80" t="str">
        <f>IF(AND('Straight Cutting'!D15="Invisi-Gard",'Straight Cutting'!E15="Jasper",'Straight Cutting'!F15&lt;&gt;"",'Straight Cutting'!G15=""),'Straight Cutting'!F15,IF(AND('Straight Cutting'!D15="Invisi-Gard",'Straight Cutting'!E15="Jasper",'Straight Cutting'!F15="",'Straight Cutting'!G15&lt;&gt;""),'Straight Cutting'!G15,IF(AND('Straight Cutting'!D15="Invisi-Gard",'Straight Cutting'!E15="Jasper",'Straight Cutting'!F15&lt;&gt;"",'Straight Cutting'!G15&lt;&gt;""),'Straight Cutting'!F15+'Job Sheet'!AH15,"")))</f>
        <v/>
      </c>
      <c r="NN9" s="80" t="str">
        <f>IF(AND('Straight Cutting'!D15="Invisi-Gard",'Straight Cutting'!E15="Paperbark",'Straight Cutting'!F15&lt;&gt;"",'Straight Cutting'!G15=""),'Straight Cutting'!F15,IF(AND('Straight Cutting'!D15="Invisi-Gard",'Straight Cutting'!E15="Paperbark",'Straight Cutting'!F15="",'Straight Cutting'!G15&lt;&gt;""),'Straight Cutting'!G15,IF(AND('Straight Cutting'!D15="Invisi-Gard",'Straight Cutting'!E15="Paperbark",'Straight Cutting'!F15&lt;&gt;"",'Straight Cutting'!G15&lt;&gt;""),'Straight Cutting'!F15+'Job Sheet'!AH15,"")))</f>
        <v/>
      </c>
      <c r="NO9" s="80" t="str">
        <f>IF(AND('Straight Cutting'!D15="Invisi-Gard",'Straight Cutting'!E15="Mist Green",'Straight Cutting'!F15&lt;&gt;"",'Straight Cutting'!G15=""),'Straight Cutting'!F15,IF(AND('Straight Cutting'!D15="Invisi-Gard",'Straight Cutting'!E15="Mist Green",'Straight Cutting'!F15="",'Straight Cutting'!G15&lt;&gt;""),'Straight Cutting'!G15,IF(AND('Straight Cutting'!D15="Invisi-Gard",'Straight Cutting'!E15="Mist Green",'Straight Cutting'!F15&lt;&gt;"",'Straight Cutting'!G15&lt;&gt;""),'Straight Cutting'!F15+'Job Sheet'!AH15,"")))</f>
        <v/>
      </c>
      <c r="NP9" s="80" t="str">
        <f>IF(AND('Straight Cutting'!D15="Invisi-Gard",'Straight Cutting'!E15="Primrose",'Straight Cutting'!F15&lt;&gt;"",'Straight Cutting'!G15=""),'Straight Cutting'!F15,IF(AND('Straight Cutting'!D15="Invisi-Gard",'Straight Cutting'!E15="Primrose",'Straight Cutting'!F15="",'Straight Cutting'!G15&lt;&gt;""),'Straight Cutting'!G15,IF(AND('Straight Cutting'!D15="Invisi-Gard",'Straight Cutting'!E15="Primrose",'Straight Cutting'!F15&lt;&gt;"",'Straight Cutting'!G15&lt;&gt;""),'Straight Cutting'!F15+'Job Sheet'!AH15,"")))</f>
        <v/>
      </c>
      <c r="NQ9" s="80" t="str">
        <f>IF(AND('Straight Cutting'!D15="Invisi-Gard",'Straight Cutting'!E15="Ultra Silver",'Straight Cutting'!F15&lt;&gt;"",'Straight Cutting'!G15=""),'Straight Cutting'!F15,IF(AND('Straight Cutting'!D15="Invisi-Gard",'Straight Cutting'!E15="Ultra Silver",'Straight Cutting'!F15="",'Straight Cutting'!G15&lt;&gt;""),'Straight Cutting'!G15,IF(AND('Straight Cutting'!D15="Invisi-Gard",'Straight Cutting'!E15="Ultra Silver",'Straight Cutting'!F15&lt;&gt;"",'Straight Cutting'!G15&lt;&gt;""),'Straight Cutting'!F15+'Job Sheet'!AH15,"")))</f>
        <v/>
      </c>
      <c r="NR9" s="80" t="str">
        <f>IF(AND('Straight Cutting'!D15="Invisi-Gard",'Straight Cutting'!E15="Woodland Grey(Green Tone)",'Straight Cutting'!F15&lt;&gt;"",'Straight Cutting'!G15=""),'Straight Cutting'!F15,IF(AND('Straight Cutting'!D15="Invisi-Gard",'Straight Cutting'!E15="Woodland Grey(Green Tone)",'Straight Cutting'!F15="",'Straight Cutting'!G15&lt;&gt;""),'Straight Cutting'!G15,IF(AND('Straight Cutting'!D15="Invisi-Gard",'Straight Cutting'!E15="Woodland Grey(Green Tone)",'Straight Cutting'!F15&lt;&gt;"",'Straight Cutting'!G15&lt;&gt;""),'Straight Cutting'!F15+'Job Sheet'!AH15,"")))</f>
        <v/>
      </c>
      <c r="NS9" s="80" t="str">
        <f>IF(AND('Straight Cutting'!D15="Invisi-Gard",'Straight Cutting'!E15="Pearl White",'Straight Cutting'!F15&lt;&gt;"",'Straight Cutting'!G15=""),'Straight Cutting'!F15,IF(AND('Straight Cutting'!D15="Invisi-Gard",'Straight Cutting'!E15="Pearl White",'Straight Cutting'!F15="",'Straight Cutting'!G15&lt;&gt;""),'Straight Cutting'!G15,IF(AND('Straight Cutting'!D15="Invisi-Gard",'Straight Cutting'!E15="Pearl White",'Straight Cutting'!F15&lt;&gt;"",'Straight Cutting'!G15&lt;&gt;""),'Straight Cutting'!F15+'Job Sheet'!AH15,"")))</f>
        <v/>
      </c>
      <c r="NT9" s="80" t="str">
        <f>IF(AND('Straight Cutting'!D15="Invisi-Gard",'Straight Cutting'!E15="Monument",'Straight Cutting'!F15&lt;&gt;"",'Straight Cutting'!G15=""),'Straight Cutting'!F15,IF(AND('Straight Cutting'!D15="Invisi-Gard",'Straight Cutting'!E15="Monument",'Straight Cutting'!F15="",'Straight Cutting'!G15&lt;&gt;""),'Straight Cutting'!G15,IF(AND('Straight Cutting'!D15="Invisi-Gard",'Straight Cutting'!E15="Monument",'Straight Cutting'!F15&lt;&gt;"",'Straight Cutting'!G15&lt;&gt;""),'Straight Cutting'!F15+'Job Sheet'!AH15,"")))</f>
        <v/>
      </c>
      <c r="NU9" s="80" t="str">
        <f>IF(AND('Straight Cutting'!D15="Invisi-Gard",'Straight Cutting'!E15="Surfmist",'Straight Cutting'!F15&lt;&gt;"",'Straight Cutting'!G15=""),'Straight Cutting'!F15,IF(AND('Straight Cutting'!D15="Invisi-Gard",'Straight Cutting'!E15="Surfmist",'Straight Cutting'!F15="",'Straight Cutting'!G15&lt;&gt;""),'Straight Cutting'!G15,IF(AND('Straight Cutting'!D15="Invisi-Gard",'Straight Cutting'!E15="Surfmist",'Straight Cutting'!F15&lt;&gt;"",'Straight Cutting'!G15&lt;&gt;""),'Straight Cutting'!F15+'Job Sheet'!AH15,"")))</f>
        <v/>
      </c>
      <c r="NV9" s="80" t="str">
        <f>IF(AND('Straight Cutting'!D15="Invisi-Gard",'Straight Cutting'!E15="Dune",'Straight Cutting'!F15&lt;&gt;"",'Straight Cutting'!G15=""),'Straight Cutting'!F15,IF(AND('Straight Cutting'!D15="Invisi-Gard",'Straight Cutting'!E15="Dune",'Straight Cutting'!F15="",'Straight Cutting'!G15&lt;&gt;""),'Straight Cutting'!G15,IF(AND('Straight Cutting'!D15="Invisi-Gard",'Straight Cutting'!E15="Dune",'Straight Cutting'!F15&lt;&gt;"",'Straight Cutting'!G15&lt;&gt;""),'Straight Cutting'!F15+'Job Sheet'!AH15,"")))</f>
        <v/>
      </c>
      <c r="NW9" s="80" t="str">
        <f>IF(AND('Straight Cutting'!D15="Invisi-Gard",'Straight Cutting'!E15="Powdercoat",'Straight Cutting'!F15&lt;&gt;"",'Straight Cutting'!G15=""),'Straight Cutting'!F15,IF(AND('Straight Cutting'!D15="Invisi-Gard",'Straight Cutting'!E15="Powdercoat",'Straight Cutting'!F15="",'Straight Cutting'!G15&lt;&gt;""),'Straight Cutting'!G15,IF(AND('Straight Cutting'!D15="Invisi-Gard",'Straight Cutting'!E15="Powdercoat",'Straight Cutting'!F15&lt;&gt;"",'Straight Cutting'!G15&lt;&gt;""),'Straight Cutting'!F15+'Job Sheet'!AH15,"")))</f>
        <v/>
      </c>
      <c r="NX9" s="80" t="str">
        <f>IF(AND('Job Sheet'!O15="Yes",'Mitred Cutting'!D15="APO Grey"),'Straight Cutting'!I15,"")</f>
        <v/>
      </c>
      <c r="NY9" s="80" t="str">
        <f>IF(AND('Job Sheet'!O15="Yes",'Mitred Cutting'!D15="White Birch"),'Straight Cutting'!I15,"")</f>
        <v/>
      </c>
      <c r="NZ9" s="80" t="str">
        <f>IF(AND('Job Sheet'!O15="Yes",'Mitred Cutting'!D15="Black"),'Straight Cutting'!I15,"")</f>
        <v/>
      </c>
      <c r="OA9" s="80" t="str">
        <f>IF(AND('Job Sheet'!O15="Yes",'Mitred Cutting'!D15="Brown"),'Straight Cutting'!I15,"")</f>
        <v/>
      </c>
      <c r="OB9" s="80" t="str">
        <f>IF(AND('Job Sheet'!O15="Yes",'Mitred Cutting'!D15="Deep Ocean"),'Straight Cutting'!I15,"")</f>
        <v/>
      </c>
      <c r="OC9" s="80" t="str">
        <f>IF(AND('Job Sheet'!O15="Yes",'Mitred Cutting'!D15="Jasper"),'Straight Cutting'!I15,"")</f>
        <v/>
      </c>
      <c r="OD9" s="80" t="str">
        <f>IF(AND('Job Sheet'!O15="Yes",'Mitred Cutting'!D15="Paperbark"),'Straight Cutting'!I15,"")</f>
        <v/>
      </c>
      <c r="OE9" s="80" t="str">
        <f>IF(AND('Job Sheet'!O15="Yes",'Mitred Cutting'!D15="Mist Green"),'Straight Cutting'!I15,"")</f>
        <v/>
      </c>
      <c r="OF9" s="80" t="str">
        <f>IF(AND('Job Sheet'!O15="Yes",'Mitred Cutting'!D15="Primrose"),'Straight Cutting'!I15,"")</f>
        <v/>
      </c>
      <c r="OG9" s="80" t="str">
        <f>IF(AND('Job Sheet'!O15="Yes",'Mitred Cutting'!D15="Ultra Silver"),'Straight Cutting'!I15,"")</f>
        <v/>
      </c>
      <c r="OH9" s="80" t="str">
        <f>IF(AND('Job Sheet'!O15="Yes",'Mitred Cutting'!D15="Woodland Grey(Green Tone)"),'Straight Cutting'!I15,"")</f>
        <v/>
      </c>
      <c r="OI9" s="80" t="str">
        <f>IF(AND('Job Sheet'!O15="Yes",'Mitred Cutting'!D15="Pearl White"),'Straight Cutting'!I15,"")</f>
        <v/>
      </c>
      <c r="OJ9" s="80" t="str">
        <f>IF(AND('Job Sheet'!O15="Yes",'Mitred Cutting'!D15="Monument"),'Straight Cutting'!I15,"")</f>
        <v/>
      </c>
      <c r="OK9" s="80" t="str">
        <f>IF(AND('Job Sheet'!O15="Yes",'Mitred Cutting'!D15="Surfmist"),'Straight Cutting'!I15,"")</f>
        <v/>
      </c>
      <c r="OL9" s="80" t="str">
        <f>IF(AND('Job Sheet'!O15="Yes",'Mitred Cutting'!D15="Dune"),'Straight Cutting'!I15,"")</f>
        <v/>
      </c>
      <c r="OM9" s="80" t="str">
        <f>IF(AND('Job Sheet'!O15="Yes",'Mitred Cutting'!D15="Powdercoat"),'Straight Cutting'!I15,"")</f>
        <v/>
      </c>
      <c r="ON9" s="81" t="str">
        <f>IF(OR(Data!AW15="",'Job Sheet'!L15="37mm x 11mm",'Job Sheet'!L15="9mm",'Job Sheet'!L15="11mm"),"",IF(VLOOKUP(CONCATENATE(Data!BO15,'Job Sheet'!J15),DoorType,4,FALSE)="Yes",(('Job Sheet'!W15-98)*2+('Job Sheet'!X15-96)*2)/2700,""))</f>
        <v/>
      </c>
      <c r="OO9" s="81" t="str">
        <f>IF(Data!AW15="","",IF('Mitred Cutting'!G15="1.6mm",(('Job Sheet'!W15-114)*2+('Job Sheet'!X15-114)*2)/3100,""))</f>
        <v/>
      </c>
      <c r="OP9" s="81" t="str">
        <f>IF(Data!AW15="","",IF('Mitred Cutting'!G15="2mm",(('Job Sheet'!W15-114)*2+('Job Sheet'!X15-114)*2)/3100,""))</f>
        <v/>
      </c>
      <c r="OQ9" s="52" t="str">
        <f>IF(OR(Data!AW15="",Data!BN15="Invisi-Scape",'Job Sheet'!AC15=""),"",IF(OR('Job Sheet'!P15="Yes - Centre Horizontal",'Job Sheet'!P15="Yes - Centre Vertical"),('Job Sheet'!AC15*4+'Job Sheet'!AE15*4)/4000,IF('Job Sheet'!P15="Yes - Horizontal",('Job Sheet'!AC15*4+'Job Sheet'!AE15*2+'Job Sheet'!AF15*2)/4000,IF('Job Sheet'!P15="Yes - Vertical",('Job Sheet'!AC15*2+'Job Sheet'!AE15*4)/4000,IF('Job Sheet'!P15="",('Job Sheet'!AC15*2+'Job Sheet'!AE15*2)/4000,IF('Job Sheet'!P15="Yes - Horizontal &amp; Vertical",('Job Sheet'!AC15*4+'Job Sheet'!AD15*4+'Job Sheet'!AE15*4+'Job Sheet'!AF15*4)/4000,IF('Job Sheet'!P15="Yes - Centre Horizontal &amp; Vertical",('Job Sheet'!AC15*8+'Job Sheet'!AE15*8)/4000,"")))))))</f>
        <v/>
      </c>
      <c r="OR9" s="52" t="str">
        <f t="shared" si="1"/>
        <v/>
      </c>
      <c r="OS9" s="52" t="str">
        <f t="shared" si="2"/>
        <v/>
      </c>
      <c r="OT9" s="80"/>
      <c r="OU9" s="80" t="str">
        <f>IF(Data!AW15="","",IF(OR('Job Sheet'!J15="Fibreglass Mesh",'Job Sheet'!J15="Pet Mesh",'Job Sheet'!J15="DVA Mesh",'Job Sheet'!J15="Tuff Mesh",'Job Sheet'!J15="Alu-screen",Data!BO15="Fibreglass Mesh",Data!BO15="Pet Mesh",Data!BO15="DVA Mesh",Data!BO15="Tuff Mesh",Data!BO15="Alu-screen"),(('Job Sheet'!W15-98)*2+('Job Sheet'!X15-96)*2),""))</f>
        <v/>
      </c>
      <c r="OV9" s="80"/>
      <c r="OW9" s="80"/>
      <c r="OX9" s="80"/>
      <c r="OY9" s="80"/>
      <c r="OZ9" s="80"/>
      <c r="PA9" s="80"/>
      <c r="PB9" s="80"/>
      <c r="PC9" s="80"/>
      <c r="PD9" s="80" t="str">
        <f>IF(OR('Mitred Cutting'!E15="70mm x 20mm",'Mitred Cutting'!E15="Invisi-Gard 70mm x 20mm"),4,"")</f>
        <v/>
      </c>
      <c r="PE9" s="80" t="str">
        <f>IF('Mitred Cutting'!E15="37mm x 11mm",4,"")</f>
        <v/>
      </c>
      <c r="PF9" s="80" t="str">
        <f>IF('Mitred Cutting'!E15="Invisi-Gard 37mm x 9mm",4,"")</f>
        <v/>
      </c>
      <c r="PG9" s="80" t="str">
        <f>IF('Mitred Cutting'!E15="Invisi-Gard 37mm x 11mm",4,"")</f>
        <v/>
      </c>
      <c r="PH9" s="80" t="str">
        <f>IF('Mitred Cutting'!E15="9mm",4,"")</f>
        <v/>
      </c>
      <c r="PI9" s="80" t="str">
        <f>IF('Mitred Cutting'!E15="11mm",4,"")</f>
        <v/>
      </c>
      <c r="PJ9" s="80"/>
      <c r="PK9" s="80" t="str">
        <f>IF(OR('Job Sheet'!N15="Yes - Front of Frame",'Job Sheet'!N15="Yes - Back of Frame"),1,"")</f>
        <v/>
      </c>
      <c r="PL9" s="80" t="str">
        <f>IF('Job Sheet'!M15="Swivel Clips Extended x 2",2,IF('Job Sheet'!M15="Swivel Clips Extended x 4",4,IF('Job Sheet'!M15="Swivel Clips Extended x 6",6,"")))</f>
        <v/>
      </c>
      <c r="PM9" s="80" t="str">
        <f>IF('Job Sheet'!M15="Swivel Clips Flush x 2",2,IF('Job Sheet'!M15="Swivel Clips Flush x 4",4,IF('Job Sheet'!M15="Swivel Clips Flush x 6",6,"")))</f>
        <v/>
      </c>
      <c r="PN9" s="80" t="str">
        <f>IF('Job Sheet'!M15="Plunger Pins x 2",2,IF('Job Sheet'!M15="Plunger Pins x 4",4,IF('Job Sheet'!M15="Plunger Pins x 6",6,"")))</f>
        <v/>
      </c>
      <c r="PO9" s="80"/>
      <c r="PP9" s="80"/>
      <c r="PQ9" s="80"/>
      <c r="PR9" s="80"/>
      <c r="PS9" s="80"/>
      <c r="PT9" s="80"/>
      <c r="PU9" s="80"/>
      <c r="PV9" s="80"/>
      <c r="PW9" s="80"/>
      <c r="PX9" s="80"/>
      <c r="PY9" s="80"/>
      <c r="PZ9" s="80"/>
      <c r="QA9" s="80"/>
      <c r="QB9" s="80"/>
      <c r="QC9" s="80"/>
      <c r="QD9" s="80"/>
      <c r="QE9" s="80"/>
      <c r="QF9" s="80"/>
      <c r="QG9" s="80"/>
      <c r="QH9" s="80"/>
      <c r="QI9" s="80"/>
      <c r="QJ9" s="80"/>
      <c r="QK9" s="80"/>
      <c r="QL9" s="80"/>
      <c r="QM9" s="80"/>
      <c r="QN9" s="80"/>
      <c r="QO9" s="80"/>
      <c r="QP9" s="80"/>
      <c r="QQ9" s="80"/>
      <c r="QR9" s="80"/>
      <c r="QS9" s="80"/>
      <c r="QT9" s="80"/>
      <c r="QU9" s="80"/>
      <c r="QV9" s="80"/>
      <c r="QW9" s="80"/>
      <c r="QX9" s="80"/>
      <c r="QY9" s="82"/>
      <c r="RD9" t="str">
        <f>IF('Assembly &amp; Bagging'!J15="2 Hinges","2",IF('Assembly &amp; Bagging'!J15="3 Hinges","3",""))</f>
        <v/>
      </c>
      <c r="RH9" s="80"/>
      <c r="RL9" t="str">
        <f>IF(OR('Job Sheet'!M15="Hinged LHS with Slide Bolt on Inside",'Job Sheet'!M15="Hinged LHS with Slide Bolt on Inside"),1,"")</f>
        <v/>
      </c>
      <c r="RM9" s="80"/>
      <c r="RO9" t="str">
        <f>IF('Straight Cutting'!D15&lt;&gt;"Invisi-Gard","",IF(AND('Straight Cutting'!F15&lt;&gt;"",'Straight Cutting'!G15&lt;&gt;""),6,2))</f>
        <v/>
      </c>
      <c r="RP9" t="str">
        <f>IF(AND('Job Sheet'!P15&lt;&gt;"",(OR('Mitred Cutting'!E15="9mm",'Mitred Cutting'!E15="11mm"))),2,"")</f>
        <v/>
      </c>
      <c r="RR9" s="80" t="str">
        <f>Guillotine!E15</f>
        <v/>
      </c>
      <c r="RS9" t="str">
        <f>IF('Assembly &amp; Bagging'!E15="Flywire","",IF('Assembly &amp; Bagging'!E15="Invisi-Gard Woven Stainless Steel","Woven Stainless Steel",'Assembly &amp; Bagging'!E15))</f>
        <v/>
      </c>
      <c r="RT9" s="80"/>
      <c r="RU9" s="80"/>
      <c r="RV9" s="80"/>
      <c r="RW9" s="80"/>
      <c r="RX9" s="80"/>
      <c r="RY9" s="80"/>
      <c r="RZ9" s="80"/>
      <c r="SA9" s="80"/>
      <c r="SB9" s="80"/>
      <c r="SC9" s="80"/>
      <c r="SD9" s="80"/>
      <c r="SE9" s="80"/>
      <c r="SF9" s="80"/>
      <c r="SG9" s="80"/>
      <c r="SH9" s="80"/>
      <c r="SI9" s="80"/>
      <c r="SJ9" s="80"/>
      <c r="SK9" s="80"/>
      <c r="SL9" s="80"/>
      <c r="SM9" s="80"/>
      <c r="SN9" s="80"/>
      <c r="SO9" s="80"/>
      <c r="SP9" s="80"/>
      <c r="SQ9" s="80"/>
      <c r="SR9" s="80"/>
      <c r="SS9" s="80"/>
      <c r="ST9" s="80"/>
      <c r="SU9" s="80"/>
      <c r="SV9" s="80"/>
      <c r="SW9" s="80"/>
      <c r="SX9" s="80"/>
      <c r="SY9" s="80"/>
      <c r="SZ9" s="80"/>
      <c r="TA9" s="80"/>
      <c r="TB9" s="80"/>
      <c r="TC9" s="80"/>
      <c r="TD9" s="80"/>
      <c r="TE9" s="80"/>
      <c r="TF9" s="80"/>
      <c r="TG9" s="80"/>
      <c r="TH9" s="80"/>
      <c r="TI9" s="80"/>
      <c r="TJ9" s="80"/>
      <c r="TK9" s="80"/>
      <c r="TL9" s="80"/>
      <c r="TM9" s="80"/>
      <c r="TN9" s="80"/>
      <c r="TO9" s="80"/>
      <c r="TP9" s="80"/>
      <c r="TQ9" s="80"/>
      <c r="TR9" s="80"/>
      <c r="TS9" s="80"/>
      <c r="TT9" s="80"/>
      <c r="TU9" s="80"/>
      <c r="TV9" s="80"/>
      <c r="TW9" s="80"/>
      <c r="TX9" s="80"/>
      <c r="TY9" s="80"/>
      <c r="TZ9" s="80"/>
      <c r="UA9" s="80"/>
      <c r="UB9" s="80"/>
      <c r="UC9" s="80"/>
      <c r="UD9" s="80"/>
      <c r="UE9" s="80"/>
      <c r="UF9" s="80"/>
      <c r="UG9" s="80"/>
      <c r="UH9" s="80"/>
      <c r="UI9" s="80"/>
      <c r="UJ9" s="80"/>
      <c r="UK9" s="80"/>
      <c r="UL9" s="80"/>
      <c r="UM9" s="80"/>
      <c r="UN9" s="80"/>
      <c r="UO9" s="80"/>
      <c r="UP9" s="80"/>
      <c r="UQ9" s="80"/>
      <c r="UR9" s="80"/>
      <c r="US9" s="80"/>
      <c r="UT9" s="80"/>
      <c r="UU9" s="80"/>
      <c r="UV9" s="80"/>
      <c r="UW9" s="80"/>
      <c r="UX9" s="80"/>
      <c r="UY9" s="80"/>
      <c r="UZ9" s="80"/>
      <c r="VA9" s="80"/>
      <c r="VB9" s="80"/>
      <c r="VC9" s="80"/>
      <c r="VD9" s="80"/>
      <c r="VE9" s="80"/>
      <c r="VF9" s="80"/>
      <c r="VG9" s="80"/>
      <c r="VH9" s="80"/>
      <c r="VI9" s="80"/>
      <c r="VJ9" s="80"/>
      <c r="VK9" s="80"/>
      <c r="VL9" s="80"/>
      <c r="VM9" s="80"/>
      <c r="VN9" s="80"/>
      <c r="VO9" s="80"/>
      <c r="VP9" s="80"/>
      <c r="VQ9" s="80"/>
      <c r="VR9" s="80"/>
      <c r="VS9" s="80"/>
      <c r="VT9" s="80"/>
      <c r="VU9" s="80"/>
      <c r="VV9" s="80"/>
      <c r="VW9" s="80"/>
      <c r="VX9" s="80"/>
      <c r="VY9" s="80"/>
      <c r="VZ9" s="80"/>
      <c r="WA9" s="80"/>
      <c r="WB9" s="80"/>
      <c r="WC9" s="80"/>
      <c r="WD9" s="80"/>
      <c r="WE9" s="80"/>
      <c r="WF9" s="80"/>
      <c r="WG9" s="80"/>
      <c r="WH9" s="80"/>
      <c r="WI9" s="80"/>
      <c r="WJ9" s="80"/>
      <c r="WK9" s="80"/>
      <c r="WL9" s="80"/>
      <c r="WM9" s="80"/>
      <c r="WN9" s="80"/>
      <c r="WO9" s="80"/>
      <c r="WP9" s="80"/>
      <c r="WQ9" s="80"/>
      <c r="WR9" s="80"/>
      <c r="WS9" s="80"/>
      <c r="WT9" s="80"/>
      <c r="WU9" s="80"/>
      <c r="WV9" s="80"/>
      <c r="WW9" s="80"/>
      <c r="WX9" s="80"/>
      <c r="WY9" s="80"/>
      <c r="WZ9" s="80"/>
      <c r="XA9" s="80"/>
      <c r="XB9" s="80"/>
      <c r="XC9" s="80"/>
      <c r="XD9" s="80"/>
      <c r="XE9" s="80"/>
      <c r="XF9" s="80"/>
      <c r="XG9" s="80"/>
      <c r="XH9" s="80"/>
      <c r="XI9" s="80"/>
      <c r="XJ9" s="80"/>
      <c r="XK9" s="80"/>
      <c r="XL9" s="80"/>
      <c r="XM9" s="80"/>
      <c r="XN9" s="80"/>
      <c r="XO9" s="80"/>
      <c r="XP9" s="80"/>
      <c r="XQ9" s="80"/>
      <c r="XR9" s="80"/>
      <c r="XS9" s="80"/>
      <c r="XT9" s="80"/>
      <c r="XU9" s="80"/>
      <c r="XV9" s="80"/>
      <c r="XW9" s="80"/>
      <c r="XX9" s="80"/>
      <c r="XY9" s="80"/>
      <c r="XZ9" s="80"/>
      <c r="YA9" s="80"/>
      <c r="YB9" s="80"/>
      <c r="YC9" s="80"/>
      <c r="YD9" s="80"/>
      <c r="YE9" s="80"/>
      <c r="YF9" s="80"/>
      <c r="YG9" s="80"/>
      <c r="YH9" s="80"/>
      <c r="YI9" s="80"/>
      <c r="YJ9" s="80"/>
      <c r="YK9" s="80"/>
      <c r="YL9" s="80"/>
      <c r="YM9" s="80"/>
      <c r="YN9" s="80"/>
      <c r="YO9" s="80"/>
      <c r="YP9" s="80"/>
      <c r="YQ9" s="80"/>
      <c r="YR9" s="80"/>
      <c r="YS9" s="80"/>
      <c r="YT9" s="80"/>
      <c r="YU9" s="80"/>
      <c r="YV9" s="80"/>
      <c r="YW9" s="80"/>
      <c r="YX9" s="80"/>
      <c r="YY9" s="80"/>
      <c r="YZ9" s="80"/>
      <c r="ZA9" s="80"/>
      <c r="ZB9" s="80"/>
      <c r="ZC9" s="80"/>
      <c r="ZD9" s="80"/>
      <c r="ZE9" s="80"/>
      <c r="ZF9" s="80"/>
      <c r="ZG9" s="80"/>
      <c r="ZH9" s="80"/>
      <c r="ZI9" s="80"/>
      <c r="ZJ9" s="80"/>
      <c r="ZK9" s="80"/>
      <c r="ZL9" s="80"/>
      <c r="ZM9" s="80"/>
      <c r="ZN9" s="80"/>
      <c r="ZO9" s="80"/>
      <c r="ZP9" s="80"/>
      <c r="ZQ9" s="80"/>
      <c r="ZR9" s="80"/>
      <c r="ZS9" s="80"/>
      <c r="ZT9" s="80"/>
      <c r="ZU9" s="80"/>
      <c r="ZV9" s="80"/>
      <c r="ZW9" s="80"/>
      <c r="ZX9" s="80"/>
      <c r="ZY9" s="80"/>
      <c r="ZZ9" s="80"/>
      <c r="AAA9" s="80"/>
      <c r="AAB9" s="80"/>
      <c r="AAC9" s="80"/>
      <c r="AAD9" s="80"/>
      <c r="AAE9" s="80"/>
      <c r="AAF9" s="80"/>
      <c r="AAG9" s="80"/>
      <c r="AAH9" s="80"/>
      <c r="AAI9" s="80"/>
      <c r="AAJ9" s="80"/>
      <c r="AAK9" s="80"/>
      <c r="AAL9" s="80"/>
      <c r="AAM9" s="80"/>
      <c r="AAN9" s="80"/>
      <c r="AAO9" s="80"/>
      <c r="AAP9" s="80"/>
      <c r="AAQ9" s="80"/>
      <c r="AAR9" s="80"/>
      <c r="AAS9" s="80"/>
      <c r="AAT9" s="80"/>
      <c r="AAU9" s="80"/>
      <c r="AAV9" s="80"/>
      <c r="AAW9" s="80"/>
      <c r="AAX9" s="80"/>
      <c r="AAY9" s="80"/>
      <c r="AAZ9" s="80"/>
      <c r="ABA9" s="80"/>
      <c r="ABB9" s="80"/>
      <c r="ABC9" s="80"/>
      <c r="ABD9" s="80"/>
      <c r="ABE9" s="80"/>
      <c r="ABF9" s="80"/>
      <c r="ABG9" s="80"/>
      <c r="ABH9" s="80"/>
      <c r="ABI9" s="80"/>
      <c r="ABJ9" s="80"/>
      <c r="ABK9" s="80"/>
      <c r="ABL9" s="80"/>
      <c r="ABM9" s="80"/>
      <c r="ABN9" s="80"/>
      <c r="ABO9" s="80"/>
      <c r="ABP9" s="80"/>
      <c r="ABQ9" s="80"/>
      <c r="ABR9" s="80"/>
      <c r="ABS9" s="80"/>
      <c r="ABT9" s="80"/>
      <c r="ABU9" s="80"/>
      <c r="ABV9" s="80"/>
      <c r="ABW9" s="80"/>
      <c r="ABX9" s="80"/>
      <c r="ABY9" s="80"/>
      <c r="ABZ9" s="80"/>
      <c r="ACA9" s="80"/>
      <c r="ACB9" s="80"/>
      <c r="ACC9" s="80"/>
      <c r="ACD9" s="80" t="str">
        <f>IF('Job Sheet'!J15="Fibreglass Mesh",CONCATENATE('Job Sheet'!W15," x ",'Job Sheet'!X15),"")</f>
        <v/>
      </c>
      <c r="ACE9" s="80" t="str">
        <f>IF('Job Sheet'!J15="Alu-screen",CONCATENATE('Job Sheet'!W15," x ",'Job Sheet'!X15),"")</f>
        <v/>
      </c>
      <c r="ACF9" s="80" t="str">
        <f>IF('Job Sheet'!J15="Pet Mesh",CONCATENATE('Job Sheet'!W15," x ",'Job Sheet'!X15),"")</f>
        <v/>
      </c>
      <c r="ACH9" s="80"/>
    </row>
    <row r="10" spans="4:762" ht="13.2" customHeight="1">
      <c r="D10" t="str">
        <f>IF(OR(Data!AV16="",Data!BN16="Invisi-Scape"),"",CONCATENATE(Data!BC$5,".",Data!BD$5))</f>
        <v/>
      </c>
      <c r="E10" t="str">
        <f>IF(D10="","",Data!AW16)</f>
        <v/>
      </c>
      <c r="F10" t="str">
        <f>IF(D10="","",Data!AV16)</f>
        <v/>
      </c>
      <c r="G10" t="str">
        <f t="shared" si="0"/>
        <v/>
      </c>
      <c r="H10" t="str">
        <f>IF(D10="","",Data!BF$5)</f>
        <v/>
      </c>
      <c r="I10" t="str">
        <f>IF(D10="","",Data!AX$5)</f>
        <v/>
      </c>
      <c r="J10" s="80" t="str">
        <f>IF(AND('Mitred Cutting'!E16="70mm x 20mm",'Mitred Cutting'!D16="APO Grey"),(('Job Sheet'!W16+'Job Sheet'!X16)*2),"")</f>
        <v/>
      </c>
      <c r="K10" s="80" t="str">
        <f>IF(AND('Mitred Cutting'!E16="70mm x 20mm",'Mitred Cutting'!D16="White Birch"),(('Job Sheet'!W16+'Job Sheet'!X16)*2),"")</f>
        <v/>
      </c>
      <c r="L10" s="80" t="str">
        <f>IF(AND('Mitred Cutting'!E16="70mm x 20mm",'Mitred Cutting'!D16="Black"),(('Job Sheet'!W16+'Job Sheet'!X16)*2),"")</f>
        <v/>
      </c>
      <c r="M10" s="80" t="str">
        <f>IF(AND('Mitred Cutting'!E16="70mm x 20mm",'Mitred Cutting'!D16="Brown"),(('Job Sheet'!W16+'Job Sheet'!X16)*2),"")</f>
        <v/>
      </c>
      <c r="N10" s="80" t="str">
        <f>IF(AND('Mitred Cutting'!E16="70mm x 20mm",'Mitred Cutting'!D16="Deep Ocean"),(('Job Sheet'!W16+'Job Sheet'!X16)*2),"")</f>
        <v/>
      </c>
      <c r="O10" s="80" t="str">
        <f>IF(AND('Mitred Cutting'!E16="70mm x 20mm",'Mitred Cutting'!D16="Jasper"),(('Job Sheet'!W16+'Job Sheet'!X16)*2),"")</f>
        <v/>
      </c>
      <c r="P10" s="80" t="str">
        <f>IF(AND('Mitred Cutting'!E16="70mm x 20mm",'Mitred Cutting'!D16="Paperbark"),(('Job Sheet'!W16+'Job Sheet'!X16)*2),"")</f>
        <v/>
      </c>
      <c r="Q10" s="80" t="str">
        <f>IF(AND('Mitred Cutting'!E16="70mm x 20mm",'Mitred Cutting'!D16="Mist Green"),(('Job Sheet'!W16+'Job Sheet'!X16)*2),"")</f>
        <v/>
      </c>
      <c r="R10" s="80" t="str">
        <f>IF(AND('Mitred Cutting'!E16="70mm x 20mm",'Mitred Cutting'!D16="Primrose"),(('Job Sheet'!W16+'Job Sheet'!X16)*2),"")</f>
        <v/>
      </c>
      <c r="S10" s="80" t="str">
        <f>IF(AND('Mitred Cutting'!E16="70mm x 20mm",'Mitred Cutting'!D16="Ultra Silver"),(('Job Sheet'!W16+'Job Sheet'!X16)*2),"")</f>
        <v/>
      </c>
      <c r="T10" s="80" t="str">
        <f>IF(AND('Mitred Cutting'!E16="70mm x 20mm",'Mitred Cutting'!D16="Woodland Grey(Green Tone)"),(('Job Sheet'!W16+'Job Sheet'!X16)*2),"")</f>
        <v/>
      </c>
      <c r="U10" s="80" t="str">
        <f>IF(AND('Mitred Cutting'!E16="70mm x 20mm",'Mitred Cutting'!D16="Pearl White"),(('Job Sheet'!W16+'Job Sheet'!X16)*2),"")</f>
        <v/>
      </c>
      <c r="V10" s="80" t="str">
        <f>IF(AND('Mitred Cutting'!E16="70mm x 20mm",'Mitred Cutting'!D16="Monument"),(('Job Sheet'!W16+'Job Sheet'!X16)*2),"")</f>
        <v/>
      </c>
      <c r="W10" s="80" t="str">
        <f>IF(AND('Mitred Cutting'!E16="70mm x 20mm",'Mitred Cutting'!D16="Surfmist"),(('Job Sheet'!W16+'Job Sheet'!X16)*2),"")</f>
        <v/>
      </c>
      <c r="X10" s="80" t="str">
        <f>IF(AND('Mitred Cutting'!E16="70mm x 20mm",'Mitred Cutting'!D16="Dune"),(('Job Sheet'!W16+'Job Sheet'!X16)*2),"")</f>
        <v/>
      </c>
      <c r="Y10" s="80"/>
      <c r="Z10" s="80" t="str">
        <f>IF(AND('Mitred Cutting'!E16="70mm x 20mm",'Mitred Cutting'!D16="Powdercoat"),(('Job Sheet'!W16+'Job Sheet'!X16)*2),"")</f>
        <v/>
      </c>
      <c r="AA10" s="80" t="str">
        <f>IF(AND('Mitred Cutting'!E16="Invisi-Gard 70mm x 20mm",'Mitred Cutting'!D16="APO Grey"),(('Job Sheet'!W16+'Job Sheet'!X16)*2),"")</f>
        <v/>
      </c>
      <c r="AB10" s="80" t="str">
        <f>IF(AND('Mitred Cutting'!E16="Invisi-Gard 70mm x 20mm",'Mitred Cutting'!D16="White Birch"),(('Job Sheet'!W16+'Job Sheet'!X16)*2),"")</f>
        <v/>
      </c>
      <c r="AC10" s="80" t="str">
        <f>IF(AND('Mitred Cutting'!E16="Invisi-Gard 70mm x 20mm",'Mitred Cutting'!D16="Black"),(('Job Sheet'!W16+'Job Sheet'!X16)*2),"")</f>
        <v/>
      </c>
      <c r="AD10" s="80" t="str">
        <f>IF(AND('Mitred Cutting'!E16="Invisi-Gard 70mm x 20mm",'Mitred Cutting'!D16="Brown"),(('Job Sheet'!W16+'Job Sheet'!X16)*2),"")</f>
        <v/>
      </c>
      <c r="AE10" s="80" t="str">
        <f>IF(AND('Mitred Cutting'!E16="Invisi-Gard 70mm x 20mm",'Mitred Cutting'!D16="Deep Ocean"),(('Job Sheet'!W16+'Job Sheet'!X16)*2),"")</f>
        <v/>
      </c>
      <c r="AF10" s="80" t="str">
        <f>IF(AND('Mitred Cutting'!E16="Invisi-Gard 70mm x 20mm",'Mitred Cutting'!D16="Jasper"),(('Job Sheet'!W16+'Job Sheet'!X16)*2),"")</f>
        <v/>
      </c>
      <c r="AG10" s="80" t="str">
        <f>IF(AND('Mitred Cutting'!E16="Invisi-Gard 70mm x 20mm",'Mitred Cutting'!D16="Paperbark"),(('Job Sheet'!W16+'Job Sheet'!X16)*2),"")</f>
        <v/>
      </c>
      <c r="AH10" s="80" t="str">
        <f>IF(AND('Mitred Cutting'!E16="Invisi-Gard 70mm x 20mm",'Mitred Cutting'!D16="Mist Green"),(('Job Sheet'!W16+'Job Sheet'!X16)*2),"")</f>
        <v/>
      </c>
      <c r="AI10" s="80" t="str">
        <f>IF(AND('Mitred Cutting'!E16="Invisi-Gard 70mm x 20mm",'Mitred Cutting'!D16="Primrose"),(('Job Sheet'!W16+'Job Sheet'!X16)*2),"")</f>
        <v/>
      </c>
      <c r="AJ10" s="80" t="str">
        <f>IF(AND('Mitred Cutting'!E16="Invisi-Gard 70mm x 20mm",'Mitred Cutting'!D16="Ultra Silver"),(('Job Sheet'!W16+'Job Sheet'!X16)*2),"")</f>
        <v/>
      </c>
      <c r="AK10" s="80" t="str">
        <f>IF(AND('Mitred Cutting'!E16="Invisi-Gard 70mm x 20mm",'Mitred Cutting'!D16="Woodland Grey(Green Tone)"),(('Job Sheet'!W16+'Job Sheet'!X16)*2),"")</f>
        <v/>
      </c>
      <c r="AL10" s="80" t="str">
        <f>IF(AND('Mitred Cutting'!E16="Invisi-Gard 70mm x 20mm",'Mitred Cutting'!D16="Pearl White"),(('Job Sheet'!W16+'Job Sheet'!X16)*2),"")</f>
        <v/>
      </c>
      <c r="AM10" s="80" t="str">
        <f>IF(AND('Mitred Cutting'!E16="Invisi-Gard 70mm x 20mm",'Mitred Cutting'!D16="Monument"),(('Job Sheet'!W16+'Job Sheet'!X16)*2),"")</f>
        <v/>
      </c>
      <c r="AN10" s="80" t="str">
        <f>IF(AND('Mitred Cutting'!E16="Invisi-Gard 70mm x 20mm",'Mitred Cutting'!D16="Surfmist"),(('Job Sheet'!W16+'Job Sheet'!X16)*2),"")</f>
        <v/>
      </c>
      <c r="AO10" s="80" t="str">
        <f>IF(AND('Mitred Cutting'!E16="Invisi-Gard 70mm x 20mm",'Mitred Cutting'!D16="Dune"),(('Job Sheet'!W16+'Job Sheet'!X16)*2),"")</f>
        <v/>
      </c>
      <c r="AP10" s="80"/>
      <c r="AQ10" s="80" t="str">
        <f>IF(AND('Mitred Cutting'!E16="Invisi-Gard 70mm x 20mm",'Mitred Cutting'!D16="Powdercoat"),(('Job Sheet'!W16+'Job Sheet'!X16)*2),"")</f>
        <v/>
      </c>
      <c r="AR10" s="80" t="str">
        <f>IF(AND('Mitred Cutting'!E16="37mm x 11mm",'Mitred Cutting'!D16="APO Grey"),(('Job Sheet'!W16+'Job Sheet'!X16)*2),"")</f>
        <v/>
      </c>
      <c r="AS10" s="80" t="str">
        <f>IF(AND('Mitred Cutting'!E16="37mm x 11mm",'Mitred Cutting'!D16="White Birch"),(('Job Sheet'!W16+'Job Sheet'!X16)*2),"")</f>
        <v/>
      </c>
      <c r="AT10" s="80" t="str">
        <f>IF(AND('Mitred Cutting'!E16="37mm x 11mm",'Mitred Cutting'!D16="Black"),(('Job Sheet'!W16+'Job Sheet'!X16)*2),"")</f>
        <v/>
      </c>
      <c r="AU10" s="80" t="str">
        <f>IF(AND('Mitred Cutting'!E16="37mm x 11mm",'Mitred Cutting'!D16="Brown"),(('Job Sheet'!W16+'Job Sheet'!X16)*2),"")</f>
        <v/>
      </c>
      <c r="AV10" s="80" t="str">
        <f>IF(AND('Mitred Cutting'!E16="37mm x 11mm",'Mitred Cutting'!D16="Deep Ocean"),(('Job Sheet'!W16+'Job Sheet'!X16)*2),"")</f>
        <v/>
      </c>
      <c r="AW10" s="80" t="str">
        <f>IF(AND('Mitred Cutting'!E16="37mm x 11mm",'Mitred Cutting'!D16="Jasper"),(('Job Sheet'!W16+'Job Sheet'!X16)*2),"")</f>
        <v/>
      </c>
      <c r="AX10" s="80" t="str">
        <f>IF(AND('Mitred Cutting'!E16="37mm x 11mm",'Mitred Cutting'!D16="Paperbark"),(('Job Sheet'!W16+'Job Sheet'!X16)*2),"")</f>
        <v/>
      </c>
      <c r="AY10" s="80" t="str">
        <f>IF(AND('Mitred Cutting'!E16="37mm x 11mm",'Mitred Cutting'!D16="Mist Green"),(('Job Sheet'!W16+'Job Sheet'!X16)*2),"")</f>
        <v/>
      </c>
      <c r="AZ10" s="80" t="str">
        <f>IF(AND('Mitred Cutting'!E16="37mm x 11mm",'Mitred Cutting'!D16="Primrose"),(('Job Sheet'!W16+'Job Sheet'!X16)*2),"")</f>
        <v/>
      </c>
      <c r="BA10" s="80" t="str">
        <f>IF(AND('Mitred Cutting'!E16="37mm x 11mm",'Mitred Cutting'!D16="Ultra Silver"),(('Job Sheet'!W16+'Job Sheet'!X16)*2),"")</f>
        <v/>
      </c>
      <c r="BB10" s="80" t="str">
        <f>IF(AND('Mitred Cutting'!E16="37mm x 11mm",'Mitred Cutting'!D16="Woodland Grey(Green Tone)"),(('Job Sheet'!W16+'Job Sheet'!X16)*2),"")</f>
        <v/>
      </c>
      <c r="BC10" s="80" t="str">
        <f>IF(AND('Mitred Cutting'!E16="37mm x 11mm",'Mitred Cutting'!D16="Pearl White"),(('Job Sheet'!W16+'Job Sheet'!X16)*2),"")</f>
        <v/>
      </c>
      <c r="BD10" s="80" t="str">
        <f>IF(AND('Mitred Cutting'!E16="37mm x 11mm",'Mitred Cutting'!D16="Monument"),(('Job Sheet'!W16+'Job Sheet'!X16)*2),"")</f>
        <v/>
      </c>
      <c r="BE10" s="80" t="str">
        <f>IF(AND('Mitred Cutting'!E16="37mm x 11mm",'Mitred Cutting'!D16="Surfmist"),(('Job Sheet'!W16+'Job Sheet'!X16)*2),"")</f>
        <v/>
      </c>
      <c r="BF10" s="80" t="str">
        <f>IF(AND('Mitred Cutting'!E16="37mm x 11mm",'Mitred Cutting'!D16="Dune"),(('Job Sheet'!W16+'Job Sheet'!X16)*2),"")</f>
        <v/>
      </c>
      <c r="BG10" s="80" t="str">
        <f>IF(AND('Mitred Cutting'!E16="37mm x 11mm",'Mitred Cutting'!D16="Woodland Grey (Dulux)"),(('Job Sheet'!W16+'Job Sheet'!X16)*2),"")</f>
        <v/>
      </c>
      <c r="BH10" s="80" t="str">
        <f>IF(AND('Mitred Cutting'!E16="37mm x 11mm",'Mitred Cutting'!D16="Powdercoat"),(('Job Sheet'!W16+'Job Sheet'!X16)*2),"")</f>
        <v/>
      </c>
      <c r="BI10" s="80" t="str">
        <f>IF(AND('Mitred Cutting'!E16="Invisi-Gard 37mm x 11mm",'Mitred Cutting'!D16="APO Grey"),(('Job Sheet'!W16+'Job Sheet'!X16)*2),"")</f>
        <v/>
      </c>
      <c r="BJ10" s="80" t="str">
        <f>IF(AND('Mitred Cutting'!E16="Invisi-Gard 37mm x 11mm",'Mitred Cutting'!D16="White Birch"),(('Job Sheet'!W16+'Job Sheet'!X16)*2),"")</f>
        <v/>
      </c>
      <c r="BK10" s="80" t="str">
        <f>IF(AND('Mitred Cutting'!E16="Invisi-Gard 37mm x 11mm",'Mitred Cutting'!D16="Black"),(('Job Sheet'!W16+'Job Sheet'!X16)*2),"")</f>
        <v/>
      </c>
      <c r="BL10" s="80" t="str">
        <f>IF(AND('Mitred Cutting'!E16="Invisi-Gard 37mm x 11mm",'Mitred Cutting'!D16="Brown"),(('Job Sheet'!W16+'Job Sheet'!X16)*2),"")</f>
        <v/>
      </c>
      <c r="BM10" s="80" t="str">
        <f>IF(AND('Mitred Cutting'!E16="Invisi-Gard 37mm x 11mm",'Mitred Cutting'!D16="Deep Ocean"),(('Job Sheet'!W16+'Job Sheet'!X16)*2),"")</f>
        <v/>
      </c>
      <c r="BN10" s="80" t="str">
        <f>IF(AND('Mitred Cutting'!E16="Invisi-Gard 37mm x 11mm",'Mitred Cutting'!D16="Jasper"),(('Job Sheet'!W16+'Job Sheet'!X16)*2),"")</f>
        <v/>
      </c>
      <c r="BO10" s="80" t="str">
        <f>IF(AND('Mitred Cutting'!E16="Invisi-Gard 37mm x 11mm",'Mitred Cutting'!D16="Paperbark"),(('Job Sheet'!W16+'Job Sheet'!X16)*2),"")</f>
        <v/>
      </c>
      <c r="BP10" s="80" t="str">
        <f>IF(AND('Mitred Cutting'!E16="Invisi-Gard 37mm x 11mm",'Mitred Cutting'!D16="Mist Green"),(('Job Sheet'!W16+'Job Sheet'!X16)*2),"")</f>
        <v/>
      </c>
      <c r="BQ10" s="80" t="str">
        <f>IF(AND('Mitred Cutting'!E16="Invisi-Gard 37mm x 11mm",'Mitred Cutting'!D16="Primrose"),(('Job Sheet'!W16+'Job Sheet'!X16)*2),"")</f>
        <v/>
      </c>
      <c r="BR10" s="80" t="str">
        <f>IF(AND('Mitred Cutting'!E16="Invisi-Gard 37mm x 11mm",'Mitred Cutting'!D16="Ultra Silver"),(('Job Sheet'!W16+'Job Sheet'!X16)*2),"")</f>
        <v/>
      </c>
      <c r="BS10" s="80" t="str">
        <f>IF(AND('Mitred Cutting'!E16="Invisi-Gard 37mm x 11mm",'Mitred Cutting'!D16="Woodland Grey(Green Tone)"),(('Job Sheet'!W16+'Job Sheet'!X16)*2),"")</f>
        <v/>
      </c>
      <c r="BT10" s="80" t="str">
        <f>IF(AND('Mitred Cutting'!E16="Invisi-Gard 37mm x 11mm",'Mitred Cutting'!D16="Pearl White"),(('Job Sheet'!W16+'Job Sheet'!X16)*2),"")</f>
        <v/>
      </c>
      <c r="BU10" s="80" t="str">
        <f>IF(AND('Mitred Cutting'!E16="Invisi-Gard 37mm x 11mm",'Mitred Cutting'!D16="Monument"),(('Job Sheet'!W16+'Job Sheet'!X16)*2),"")</f>
        <v/>
      </c>
      <c r="BV10" s="80" t="str">
        <f>IF(AND('Mitred Cutting'!E16="Invisi-Gard 37mm x 11mm",'Mitred Cutting'!D16="Surfmist"),(('Job Sheet'!W16+'Job Sheet'!X16)*2),"")</f>
        <v/>
      </c>
      <c r="BW10" s="80" t="str">
        <f>IF(AND('Mitred Cutting'!E16="Invisi-Gard 37mm x 11mm",'Mitred Cutting'!D16="Dune"),(('Job Sheet'!W16+'Job Sheet'!X16)*2),"")</f>
        <v/>
      </c>
      <c r="BX10" s="80"/>
      <c r="BY10" s="80" t="str">
        <f>IF(AND('Mitred Cutting'!E16="Invisi-Gard 37mm x 11mm",'Mitred Cutting'!D16="Powdercoat"),(('Job Sheet'!W16+'Job Sheet'!X16)*2),"")</f>
        <v/>
      </c>
      <c r="BZ10" s="80" t="str">
        <f>IF(AND('Mitred Cutting'!E16="Invisi-Gard 37mm x 9mm",'Mitred Cutting'!D16="APO Grey"),(('Job Sheet'!W16+'Job Sheet'!X16)*2),"")</f>
        <v/>
      </c>
      <c r="CA10" s="80" t="str">
        <f>IF(AND('Mitred Cutting'!E16="Invisi-Gard 37mm x 9mm",'Mitred Cutting'!D16="White Birch"),(('Job Sheet'!W16+'Job Sheet'!X16)*2),"")</f>
        <v/>
      </c>
      <c r="CB10" s="80" t="str">
        <f>IF(AND('Mitred Cutting'!E16="Invisi-Gard 37mm x 9mm",'Mitred Cutting'!D16="Black"),(('Job Sheet'!W16+'Job Sheet'!X16)*2),"")</f>
        <v/>
      </c>
      <c r="CC10" s="80" t="str">
        <f>IF(AND('Mitred Cutting'!E16="Invisi-Gard 37mm x 9mm",'Mitred Cutting'!D16="Brown"),(('Job Sheet'!W16+'Job Sheet'!X16)*2),"")</f>
        <v/>
      </c>
      <c r="CD10" s="80" t="str">
        <f>IF(AND('Mitred Cutting'!E16="Invisi-Gard 37mm x 9mm",'Mitred Cutting'!D16="Deep Ocean"),(('Job Sheet'!W16+'Job Sheet'!X16)*2),"")</f>
        <v/>
      </c>
      <c r="CE10" s="80" t="str">
        <f>IF(AND('Mitred Cutting'!E16="Invisi-Gard 37mm x 9mm",'Mitred Cutting'!D16="Jasper"),(('Job Sheet'!W16+'Job Sheet'!X16)*2),"")</f>
        <v/>
      </c>
      <c r="CF10" s="80" t="str">
        <f>IF(AND('Mitred Cutting'!E16="Invisi-Gard 37mm x 9mm",'Mitred Cutting'!D16="Paperbark"),(('Job Sheet'!W16+'Job Sheet'!X16)*2),"")</f>
        <v/>
      </c>
      <c r="CG10" s="80" t="str">
        <f>IF(AND('Mitred Cutting'!E16="Invisi-Gard 37mm x 9mm",'Mitred Cutting'!D16="Mist Green"),(('Job Sheet'!W16+'Job Sheet'!X16)*2),"")</f>
        <v/>
      </c>
      <c r="CH10" s="80" t="str">
        <f>IF(AND('Mitred Cutting'!E16="Invisi-Gard 37mm x 9mm",'Mitred Cutting'!D16="Primrose"),(('Job Sheet'!W16+'Job Sheet'!X16)*2),"")</f>
        <v/>
      </c>
      <c r="CI10" s="80" t="str">
        <f>IF(AND('Mitred Cutting'!E16="Invisi-Gard 37mm x 9mm",'Mitred Cutting'!D16="Ultra Silver"),(('Job Sheet'!W16+'Job Sheet'!X16)*2),"")</f>
        <v/>
      </c>
      <c r="CJ10" s="80" t="str">
        <f>IF(AND('Mitred Cutting'!E16="Invisi-Gard 37mm x 9mm",'Mitred Cutting'!D16="Woodland Grey(Green Tone)"),(('Job Sheet'!W16+'Job Sheet'!X16)*2),"")</f>
        <v/>
      </c>
      <c r="CK10" s="80" t="str">
        <f>IF(AND('Mitred Cutting'!E16="Invisi-Gard 37mm x 9mm",'Mitred Cutting'!D16="Pearl White"),(('Job Sheet'!W16+'Job Sheet'!X16)*2),"")</f>
        <v/>
      </c>
      <c r="CL10" s="80" t="str">
        <f>IF(AND('Mitred Cutting'!E16="Invisi-Gard 37mm x 9mm",'Mitred Cutting'!D16="Monument"),(('Job Sheet'!W16+'Job Sheet'!X16)*2),"")</f>
        <v/>
      </c>
      <c r="CM10" s="80" t="str">
        <f>IF(AND('Mitred Cutting'!E16="Invisi-Gard 37mm x 9mm",'Mitred Cutting'!D16="Surfmist"),(('Job Sheet'!W16+'Job Sheet'!X16)*2),"")</f>
        <v/>
      </c>
      <c r="CN10" s="80" t="str">
        <f>IF(AND('Mitred Cutting'!E16="Invisi-Gard 37mm x 9mm",'Mitred Cutting'!D16="Dune"),(('Job Sheet'!W16+'Job Sheet'!X16)*2),"")</f>
        <v/>
      </c>
      <c r="CO10" s="80"/>
      <c r="CP10" s="80" t="str">
        <f>IF(AND('Mitred Cutting'!E16="Invisi-Gard 37mm x 9mm",'Mitred Cutting'!D16="Powdercoat"),(('Job Sheet'!W16+'Job Sheet'!X16)*2),"")</f>
        <v/>
      </c>
      <c r="CQ10" s="80"/>
      <c r="CR10" s="80"/>
      <c r="CS10" s="80"/>
      <c r="CT10" s="80"/>
      <c r="CU10" s="80"/>
      <c r="CV10" s="80"/>
      <c r="CW10" s="80"/>
      <c r="CX10" s="80"/>
      <c r="CY10" s="80"/>
      <c r="CZ10" s="80"/>
      <c r="DA10" s="80"/>
      <c r="DB10" s="80"/>
      <c r="DC10" s="80"/>
      <c r="DD10" s="80"/>
      <c r="DE10" s="80"/>
      <c r="DF10" s="80"/>
      <c r="DG10" s="80"/>
      <c r="DH10" s="80"/>
      <c r="DI10" s="80"/>
      <c r="DJ10" s="80"/>
      <c r="DK10" s="80"/>
      <c r="DL10" s="80"/>
      <c r="DM10" s="80"/>
      <c r="DN10" s="80"/>
      <c r="DO10" s="80"/>
      <c r="DP10" s="80"/>
      <c r="DQ10" s="80"/>
      <c r="DR10" s="80"/>
      <c r="DS10" s="80"/>
      <c r="DT10" s="80"/>
      <c r="DU10" s="80"/>
      <c r="DV10" s="80"/>
      <c r="DW10" s="80"/>
      <c r="DX10" s="80"/>
      <c r="DY10" s="80" t="str">
        <f>IF(AND('Mitred Cutting'!E16="9mm",'Mitred Cutting'!D16="APO Grey",'Job Sheet'!P16&lt;&gt;""),(('Job Sheet'!W16+'Job Sheet'!X16)*2)+'Job Sheet'!AG16,IF(AND('Mitred Cutting'!E16="9mm",'Mitred Cutting'!D16="APO Grey"),(('Job Sheet'!W16+'Job Sheet'!X16)*2),""))</f>
        <v/>
      </c>
      <c r="DZ10" s="80" t="str">
        <f>IF(AND('Mitred Cutting'!E16="9mm",'Mitred Cutting'!D16="White Birch",'Job Sheet'!P16&lt;&gt;""),(('Job Sheet'!W16+'Job Sheet'!X16)*2)+'Job Sheet'!AG16,IF(AND('Mitred Cutting'!E16="9mm",'Mitred Cutting'!D16="White Birch"),(('Job Sheet'!W16+'Job Sheet'!X16)*2),""))</f>
        <v/>
      </c>
      <c r="EA10" s="80" t="str">
        <f>IF(AND('Mitred Cutting'!E16="9mm",'Mitred Cutting'!D16="Black",'Job Sheet'!P16&lt;&gt;""),(('Job Sheet'!W16+'Job Sheet'!X16)*2)+'Job Sheet'!AG16,IF(AND('Mitred Cutting'!E16="9mm",'Mitred Cutting'!D16="Black"),(('Job Sheet'!W16+'Job Sheet'!X16)*2),""))</f>
        <v/>
      </c>
      <c r="EB10" s="80" t="str">
        <f>IF(AND('Mitred Cutting'!E16="9mm",'Mitred Cutting'!D16="Brown",'Job Sheet'!P16&lt;&gt;""),(('Job Sheet'!W16+'Job Sheet'!X16)*2)+'Job Sheet'!AG16,IF(AND('Mitred Cutting'!E16="9mm",'Mitred Cutting'!D16="Brown"),(('Job Sheet'!W16+'Job Sheet'!X16)*2),""))</f>
        <v/>
      </c>
      <c r="EC10" s="80" t="str">
        <f>IF(AND('Mitred Cutting'!E16="9mm",'Mitred Cutting'!D16="Deep Ocean",'Job Sheet'!P16&lt;&gt;""),(('Job Sheet'!W16+'Job Sheet'!X16)*2)+'Job Sheet'!AG16,IF(AND('Mitred Cutting'!E16="9mm",'Mitred Cutting'!D16="Deep Ocean"),(('Job Sheet'!W16+'Job Sheet'!X16)*2),""))</f>
        <v/>
      </c>
      <c r="ED10" s="80" t="str">
        <f>IF(AND('Mitred Cutting'!E16="9mm",'Mitred Cutting'!D16="Jasper",'Job Sheet'!P16&lt;&gt;""),(('Job Sheet'!W16+'Job Sheet'!X16)*2)+'Job Sheet'!AG16,IF(AND('Mitred Cutting'!E16="9mm",'Mitred Cutting'!D16="Jasper"),(('Job Sheet'!W16+'Job Sheet'!X16)*2),""))</f>
        <v/>
      </c>
      <c r="EE10" s="80" t="str">
        <f>IF(AND('Mitred Cutting'!E16="9mm",'Mitred Cutting'!D16="Paperbark",'Job Sheet'!P16&lt;&gt;""),(('Job Sheet'!W16+'Job Sheet'!X16)*2)+'Job Sheet'!AG16,IF(AND('Mitred Cutting'!E16="9mm",'Mitred Cutting'!D16="Paperbark"),(('Job Sheet'!W16+'Job Sheet'!X16)*2),""))</f>
        <v/>
      </c>
      <c r="EF10" s="80" t="str">
        <f>IF(AND('Mitred Cutting'!E16="9mm",'Mitred Cutting'!D16="Pale Eucalypt",'Job Sheet'!P16&lt;&gt;""),(('Job Sheet'!W16+'Job Sheet'!X16)*2)+'Job Sheet'!AG16,IF(AND('Mitred Cutting'!E16="9mm",'Mitred Cutting'!D16="Mist Green"),(('Job Sheet'!W16+'Job Sheet'!X16)*2),""))</f>
        <v/>
      </c>
      <c r="EG10" s="80" t="str">
        <f>IF(AND('Mitred Cutting'!E16="9mm",'Mitred Cutting'!D16="Primrose",'Job Sheet'!P16&lt;&gt;""),(('Job Sheet'!W16+'Job Sheet'!X16)*2)+'Job Sheet'!AG16,IF(AND('Mitred Cutting'!E16="9mm",'Mitred Cutting'!D16="Primrose"),(('Job Sheet'!W16+'Job Sheet'!X16)*2),""))</f>
        <v/>
      </c>
      <c r="EH10" s="80" t="str">
        <f>IF(AND('Mitred Cutting'!E16="9mm",'Mitred Cutting'!D16="Ultra Silver",'Job Sheet'!P16&lt;&gt;""),(('Job Sheet'!W16+'Job Sheet'!X16)*2)+'Job Sheet'!AG16,IF(AND('Mitred Cutting'!E16="9mm",'Mitred Cutting'!D16="Ultra Silver"),(('Job Sheet'!W16+'Job Sheet'!X16)*2),""))</f>
        <v/>
      </c>
      <c r="EI10" s="80" t="str">
        <f>IF(AND('Mitred Cutting'!E16="9mm",'Mitred Cutting'!D16="Woodland Grey(Green Tone)",'Job Sheet'!P16&lt;&gt;""),(('Job Sheet'!W16+'Job Sheet'!X16)*2)+'Job Sheet'!AG16,IF(AND('Mitred Cutting'!E16="9mm",'Mitred Cutting'!D16="Woodland Grey(Green Tone)"),(('Job Sheet'!W16+'Job Sheet'!X16)*2),""))</f>
        <v/>
      </c>
      <c r="EJ10" s="80" t="str">
        <f>IF(AND('Mitred Cutting'!E16="9mm",'Mitred Cutting'!D16="Pearl White",'Job Sheet'!P16&lt;&gt;""),(('Job Sheet'!W16+'Job Sheet'!X16)*2)+'Job Sheet'!AG16,IF(AND('Mitred Cutting'!E16="9mm",'Mitred Cutting'!D16="Pearl White"),(('Job Sheet'!W16+'Job Sheet'!X16)*2),""))</f>
        <v/>
      </c>
      <c r="EK10" s="80" t="str">
        <f>IF(AND('Mitred Cutting'!E16="9mm",'Mitred Cutting'!D16="Monument",'Job Sheet'!P16&lt;&gt;""),(('Job Sheet'!W16+'Job Sheet'!X16)*2)+'Job Sheet'!AG16,IF(AND('Mitred Cutting'!E16="9mm",'Mitred Cutting'!D16="Monument"),(('Job Sheet'!W16+'Job Sheet'!X16)*2),""))</f>
        <v/>
      </c>
      <c r="EL10" s="80" t="str">
        <f>IF(AND('Mitred Cutting'!E16="9mm",'Mitred Cutting'!D16="Surfmist",'Job Sheet'!P16&lt;&gt;""),(('Job Sheet'!W16+'Job Sheet'!X16)*2)+'Job Sheet'!AG16,IF(AND('Mitred Cutting'!E16="9mm",'Mitred Cutting'!D16="Surfmist"),(('Job Sheet'!W16+'Job Sheet'!X16)*2),""))</f>
        <v/>
      </c>
      <c r="EM10" s="80" t="str">
        <f>IF(AND('Mitred Cutting'!E16="9mm",'Mitred Cutting'!D16="Dune",'Job Sheet'!P16&lt;&gt;""),(('Job Sheet'!W16+'Job Sheet'!X16)*2)+'Job Sheet'!AG16,IF(AND('Mitred Cutting'!E16="9mm",'Mitred Cutting'!D16="Dune"),(('Job Sheet'!W16+'Job Sheet'!X16)*2),""))</f>
        <v/>
      </c>
      <c r="EN10" s="80" t="str">
        <f>IF(AND('Mitred Cutting'!E16="9mm",'Mitred Cutting'!D16="Powdercoat",'Job Sheet'!P16&lt;&gt;""),(('Job Sheet'!W16+'Job Sheet'!X16)*2)+'Job Sheet'!AG16,IF(AND('Mitred Cutting'!E16="9mm",'Mitred Cutting'!D16="Powdercoat"),(('Job Sheet'!W16+'Job Sheet'!X16)*2),""))</f>
        <v/>
      </c>
      <c r="EO10" s="80" t="str">
        <f>IF(AND('Mitred Cutting'!E16="11mm",'Mitred Cutting'!D16="APO Grey",'Job Sheet'!P16&lt;&gt;""),(('Job Sheet'!W16+'Job Sheet'!X16)*2)+'Job Sheet'!AG16,IF(AND('Mitred Cutting'!E16="11mm",'Mitred Cutting'!D16="APO Grey"),(('Job Sheet'!W16+'Job Sheet'!X16)*2),""))</f>
        <v/>
      </c>
      <c r="EP10" s="80" t="str">
        <f>IF(AND('Mitred Cutting'!E16="11mm",'Mitred Cutting'!D16="White Birch",'Job Sheet'!P16&lt;&gt;""),(('Job Sheet'!W16+'Job Sheet'!X16)*2)+'Job Sheet'!AG16,IF(AND('Mitred Cutting'!E16="11mm",'Mitred Cutting'!D16="White Birch"),(('Job Sheet'!W16+'Job Sheet'!X16)*2),""))</f>
        <v/>
      </c>
      <c r="EQ10" s="84" t="str">
        <f>IF(AND('Mitred Cutting'!E16="11mm",'Mitred Cutting'!D16="Black",'Job Sheet'!P16&lt;&gt;""),(('Job Sheet'!W16+'Job Sheet'!X16)*2)+'Job Sheet'!AG16,IF(AND('Mitred Cutting'!E16="11mm",'Mitred Cutting'!D16="Black"),(('Job Sheet'!W16+'Job Sheet'!X16)*2),""))</f>
        <v/>
      </c>
      <c r="ER10" s="80" t="str">
        <f>IF(AND('Mitred Cutting'!E16="11mm",'Mitred Cutting'!D16="Brown",'Job Sheet'!P16&lt;&gt;""),(('Job Sheet'!W16+'Job Sheet'!X16)*2)+'Job Sheet'!AG16,IF(AND('Mitred Cutting'!E16="11mm",'Mitred Cutting'!D16="Brown"),(('Job Sheet'!W16+'Job Sheet'!X16)*2),""))</f>
        <v/>
      </c>
      <c r="ES10" s="80" t="str">
        <f>IF(AND('Mitred Cutting'!E16="11mm",'Mitred Cutting'!D16="Deep Ocean",'Job Sheet'!P16&lt;&gt;""),(('Job Sheet'!W16+'Job Sheet'!X16)*2)+'Job Sheet'!AG16,IF(AND('Mitred Cutting'!E16="11mm",'Mitred Cutting'!D16="Deep Ocean"),(('Job Sheet'!W16+'Job Sheet'!X16)*2),""))</f>
        <v/>
      </c>
      <c r="ET10" s="80" t="str">
        <f>IF(AND('Mitred Cutting'!E16="11mm",'Mitred Cutting'!D16="Jasper",'Job Sheet'!P16&lt;&gt;""),(('Job Sheet'!W16+'Job Sheet'!X16)*2)+'Job Sheet'!AG16,IF(AND('Mitred Cutting'!E16="11mm",'Mitred Cutting'!D16="Jasper"),(('Job Sheet'!W16+'Job Sheet'!X16)*2),""))</f>
        <v/>
      </c>
      <c r="EU10" s="80" t="str">
        <f>IF(AND('Mitred Cutting'!E16="11mm",'Mitred Cutting'!D16="Paperbark",'Job Sheet'!P16&lt;&gt;""),(('Job Sheet'!W16+'Job Sheet'!X16)*2)+'Job Sheet'!AG16,IF(AND('Mitred Cutting'!E16="11mm",'Mitred Cutting'!D16="Paperbark"),(('Job Sheet'!W16+'Job Sheet'!X16)*2),""))</f>
        <v/>
      </c>
      <c r="EV10" s="80" t="str">
        <f>IF(AND('Mitred Cutting'!E16="11mm",'Mitred Cutting'!D16="Pale Eucalypt",'Job Sheet'!P16&lt;&gt;""),(('Job Sheet'!W16+'Job Sheet'!X16)*2)+'Job Sheet'!AG16,IF(AND('Mitred Cutting'!E16="11mm",'Mitred Cutting'!D16="Pale Eucalypt"),(('Job Sheet'!W16+'Job Sheet'!X16)*2),""))</f>
        <v/>
      </c>
      <c r="EW10" s="80" t="str">
        <f>IF(AND('Mitred Cutting'!E16="11mm",'Mitred Cutting'!D16="Primrose",'Job Sheet'!P16&lt;&gt;""),(('Job Sheet'!W16+'Job Sheet'!X16)*2)+'Job Sheet'!AG16,IF(AND('Mitred Cutting'!E16="11mm",'Mitred Cutting'!D16="Primrose"),(('Job Sheet'!W16+'Job Sheet'!X16)*2),""))</f>
        <v/>
      </c>
      <c r="EX10" s="80" t="str">
        <f>IF(AND('Mitred Cutting'!E16="11mm",'Mitred Cutting'!D16="Ultra Silver",'Job Sheet'!P16&lt;&gt;""),(('Job Sheet'!W16+'Job Sheet'!X16)*2)+'Job Sheet'!AG16,IF(AND('Mitred Cutting'!E16="11mm",'Mitred Cutting'!D16="Ultra Silver"),(('Job Sheet'!W16+'Job Sheet'!X16)*2),""))</f>
        <v/>
      </c>
      <c r="EY10" s="80" t="str">
        <f>IF(AND('Mitred Cutting'!E16="11mm",'Mitred Cutting'!D16="Woodland Grey(Green Tone)",'Job Sheet'!P16&lt;&gt;""),(('Job Sheet'!W16+'Job Sheet'!X16)*2)+'Job Sheet'!AG16,IF(AND('Mitred Cutting'!E16="11mm",'Mitred Cutting'!D16="Woodland Grey(Green Tone)"),(('Job Sheet'!W16+'Job Sheet'!X16)*2),""))</f>
        <v/>
      </c>
      <c r="EZ10" s="80" t="str">
        <f>IF(AND('Mitred Cutting'!E16="11mm",'Mitred Cutting'!D16="Pearl White",'Job Sheet'!P16&lt;&gt;""),(('Job Sheet'!W16+'Job Sheet'!X16)*2)+'Job Sheet'!AG16,IF(AND('Mitred Cutting'!E16="11mm",'Mitred Cutting'!D16="Pearl White"),(('Job Sheet'!W16+'Job Sheet'!X16)*2),""))</f>
        <v/>
      </c>
      <c r="FA10" s="80" t="str">
        <f>IF(AND('Mitred Cutting'!E16="11mm",'Mitred Cutting'!D16="Monument",'Job Sheet'!P16&lt;&gt;""),(('Job Sheet'!W16+'Job Sheet'!X16)*2)+'Job Sheet'!AG16,IF(AND('Mitred Cutting'!E16="11mm",'Mitred Cutting'!D16="Monument"),(('Job Sheet'!W16+'Job Sheet'!X16)*2),""))</f>
        <v/>
      </c>
      <c r="FB10" s="80" t="str">
        <f>IF(AND('Mitred Cutting'!E16="11mm",'Mitred Cutting'!D16="Surfmist",'Job Sheet'!P16&lt;&gt;""),(('Job Sheet'!W16+'Job Sheet'!X16)*2)+'Job Sheet'!AG16,IF(AND('Mitred Cutting'!E16="11mm",'Mitred Cutting'!D16="Surfmist"),(('Job Sheet'!W16+'Job Sheet'!X16)*2),""))</f>
        <v/>
      </c>
      <c r="FC10" s="80" t="str">
        <f>IF(AND('Mitred Cutting'!E16="11mm",'Mitred Cutting'!D16="Dune",'Job Sheet'!P16&lt;&gt;""),(('Job Sheet'!W16+'Job Sheet'!X16)*2)+'Job Sheet'!AG16,IF(AND('Mitred Cutting'!E16="11mm",'Mitred Cutting'!D16="Dune"),(('Job Sheet'!W16+'Job Sheet'!X16)*2),""))</f>
        <v/>
      </c>
      <c r="FD10" s="80" t="str">
        <f>IF(AND('Mitred Cutting'!E16="11mm",'Mitred Cutting'!D16="Powdercoat",'Job Sheet'!P16&lt;&gt;""),(('Job Sheet'!W16+'Job Sheet'!X16)*2)+'Job Sheet'!AG16,IF(AND('Mitred Cutting'!E16="11mm",'Mitred Cutting'!D16="Powdercoat"),(('Job Sheet'!W16+'Job Sheet'!X16)*2),""))</f>
        <v/>
      </c>
      <c r="FE10" s="80"/>
      <c r="FF10" s="80"/>
      <c r="FG10" s="80"/>
      <c r="FH10" s="80"/>
      <c r="FI10" s="80"/>
      <c r="FJ10" s="80"/>
      <c r="FK10" s="80"/>
      <c r="FL10" s="80"/>
      <c r="FM10" s="80"/>
      <c r="FN10" s="80"/>
      <c r="FO10" s="80"/>
      <c r="FP10" s="80"/>
      <c r="FQ10" s="80"/>
      <c r="FR10" s="80"/>
      <c r="FS10" s="80"/>
      <c r="FT10" s="80"/>
      <c r="FU10" s="80"/>
      <c r="FV10" s="80"/>
      <c r="FW10" s="80"/>
      <c r="FX10" s="80"/>
      <c r="FY10" s="80"/>
      <c r="FZ10" s="80"/>
      <c r="GA10" s="80"/>
      <c r="GB10" s="80"/>
      <c r="GC10" s="80"/>
      <c r="GD10" s="80"/>
      <c r="GE10" s="80"/>
      <c r="GF10" s="80"/>
      <c r="GG10" s="80"/>
      <c r="GH10" s="80"/>
      <c r="GI10" s="80"/>
      <c r="GJ10" s="80"/>
      <c r="GK10" s="80"/>
      <c r="GL10" s="80"/>
      <c r="GM10" s="80"/>
      <c r="GN10" s="80"/>
      <c r="GO10" s="80"/>
      <c r="GP10" s="80"/>
      <c r="GQ10" s="80"/>
      <c r="GR10" s="80"/>
      <c r="GS10" s="80"/>
      <c r="GT10" s="80"/>
      <c r="GU10" s="80"/>
      <c r="GV10" s="80"/>
      <c r="GW10" s="80"/>
      <c r="GX10" s="80"/>
      <c r="GY10" s="80"/>
      <c r="GZ10" s="80"/>
      <c r="HA10" s="80"/>
      <c r="HB10" s="80"/>
      <c r="HC10" s="80"/>
      <c r="HD10" s="80"/>
      <c r="HE10" s="80"/>
      <c r="HF10" s="80"/>
      <c r="HG10" s="80"/>
      <c r="HH10" s="80"/>
      <c r="HI10" s="80"/>
      <c r="HJ10" s="80"/>
      <c r="HK10" s="80"/>
      <c r="HL10" s="80"/>
      <c r="HM10" s="80"/>
      <c r="HN10" s="80"/>
      <c r="HO10" s="80"/>
      <c r="HP10" s="80"/>
      <c r="HQ10" s="80"/>
      <c r="HR10" s="80"/>
      <c r="HS10" s="80"/>
      <c r="HT10" s="80"/>
      <c r="HU10" s="80"/>
      <c r="HV10" s="80"/>
      <c r="HW10" s="80"/>
      <c r="HX10" s="80"/>
      <c r="HY10" s="80"/>
      <c r="HZ10" s="80"/>
      <c r="IA10" s="80"/>
      <c r="IB10" s="80"/>
      <c r="IC10" s="80"/>
      <c r="ID10" s="80"/>
      <c r="IE10" s="80"/>
      <c r="IF10" s="80"/>
      <c r="IG10" s="80"/>
      <c r="IH10" s="80"/>
      <c r="II10" s="80"/>
      <c r="IJ10" s="80"/>
      <c r="IK10" s="80"/>
      <c r="IL10" s="80"/>
      <c r="IM10" s="80"/>
      <c r="IN10" s="80"/>
      <c r="IO10" s="80"/>
      <c r="IP10" s="80"/>
      <c r="IQ10" s="80"/>
      <c r="IR10" s="80"/>
      <c r="IS10" s="80"/>
      <c r="IT10" s="80"/>
      <c r="IU10" s="80"/>
      <c r="IV10" s="80"/>
      <c r="IW10" s="80"/>
      <c r="IX10" s="80"/>
      <c r="IY10" s="80"/>
      <c r="IZ10" s="80"/>
      <c r="JA10" s="80"/>
      <c r="JB10" s="80"/>
      <c r="JC10" s="80"/>
      <c r="JD10" s="80"/>
      <c r="JE10" s="80"/>
      <c r="JF10" s="80"/>
      <c r="JG10" s="80"/>
      <c r="JH10" s="80"/>
      <c r="JI10" s="80"/>
      <c r="JJ10" s="80"/>
      <c r="JK10" s="80"/>
      <c r="JL10" s="80"/>
      <c r="JM10" s="80"/>
      <c r="JN10" s="80"/>
      <c r="JO10" s="80"/>
      <c r="JP10" s="80"/>
      <c r="JQ10" s="80"/>
      <c r="JR10" s="80"/>
      <c r="JS10" s="80"/>
      <c r="JT10" s="80"/>
      <c r="JU10" s="80"/>
      <c r="JV10" s="80"/>
      <c r="JW10" s="80"/>
      <c r="JX10" s="80"/>
      <c r="JY10" s="80"/>
      <c r="JZ10" s="80"/>
      <c r="KA10" s="80"/>
      <c r="KB10" s="80"/>
      <c r="KC10" s="80"/>
      <c r="KD10" s="80"/>
      <c r="KE10" s="80"/>
      <c r="KF10" s="80"/>
      <c r="KG10" s="80"/>
      <c r="KH10" s="80"/>
      <c r="KI10" s="80"/>
      <c r="KJ10" s="80"/>
      <c r="KK10" s="80"/>
      <c r="KL10" s="80"/>
      <c r="KM10" s="80"/>
      <c r="KN10" s="80"/>
      <c r="KO10" s="80"/>
      <c r="KP10" s="80"/>
      <c r="KQ10" s="80"/>
      <c r="KR10" s="80"/>
      <c r="KS10" s="80"/>
      <c r="KT10" s="80"/>
      <c r="KU10" s="80"/>
      <c r="KV10" s="80"/>
      <c r="KW10" s="80"/>
      <c r="KX10" s="80"/>
      <c r="KY10" s="80"/>
      <c r="KZ10" s="80"/>
      <c r="LA10" s="80"/>
      <c r="LB10" s="80"/>
      <c r="LC10" s="80"/>
      <c r="LD10" s="80"/>
      <c r="LE10" s="80"/>
      <c r="LF10" s="80"/>
      <c r="LG10" s="80"/>
      <c r="LH10" s="80"/>
      <c r="LI10" s="80"/>
      <c r="LJ10" s="80"/>
      <c r="LK10" s="80"/>
      <c r="LL10" s="80"/>
      <c r="LM10" s="80"/>
      <c r="LN10" s="80"/>
      <c r="LO10" s="80"/>
      <c r="LP10" s="80"/>
      <c r="LQ10" s="80"/>
      <c r="LR10" s="80"/>
      <c r="LS10" s="80"/>
      <c r="LT10" s="80"/>
      <c r="LU10" s="80"/>
      <c r="LV10" s="80"/>
      <c r="LW10" s="80"/>
      <c r="LX10" s="80"/>
      <c r="LY10" s="80"/>
      <c r="LZ10" s="80"/>
      <c r="MA10" s="80"/>
      <c r="MB10" s="80"/>
      <c r="MC10" s="80"/>
      <c r="MD10" s="80"/>
      <c r="ME10" s="80"/>
      <c r="MF10" s="80"/>
      <c r="MG10" s="80"/>
      <c r="MH10" s="80"/>
      <c r="MI10" s="80"/>
      <c r="MJ10" s="80"/>
      <c r="MK10" s="81"/>
      <c r="ML10" s="81"/>
      <c r="MM10" s="81"/>
      <c r="MN10" s="81"/>
      <c r="MO10" s="81"/>
      <c r="MP10" s="81"/>
      <c r="MQ10" s="81"/>
      <c r="MR10" s="80" t="str">
        <f>IF(AND('Straight Cutting'!D16="Standard",'Straight Cutting'!E16="APO Grey",'Straight Cutting'!F16&lt;&gt;"",'Straight Cutting'!G16=""),'Straight Cutting'!F16,IF(AND('Straight Cutting'!D16="Standard",'Straight Cutting'!E16="APO Grey",'Straight Cutting'!F16="",'Straight Cutting'!G16&lt;&gt;""),'Straight Cutting'!G16,IF(AND('Straight Cutting'!D16="Standard",'Straight Cutting'!E16="APO Grey",'Straight Cutting'!F16&lt;&gt;"",'Straight Cutting'!G16&lt;&gt;""),'Straight Cutting'!F16+'Job Sheet'!AH16,"")))</f>
        <v/>
      </c>
      <c r="MS10" s="80" t="str">
        <f>IF(AND('Straight Cutting'!D16="Standard",'Straight Cutting'!E16="White Birch",'Straight Cutting'!F16&lt;&gt;"",'Straight Cutting'!G16=""),'Straight Cutting'!F16,IF(AND('Straight Cutting'!D16="Standard",'Straight Cutting'!E16="White Birch",'Straight Cutting'!F16="",'Straight Cutting'!G16&lt;&gt;""),'Straight Cutting'!G16,IF(AND('Straight Cutting'!D16="Standard",'Straight Cutting'!E16="White Birch",'Straight Cutting'!F16&lt;&gt;"",'Straight Cutting'!G16&lt;&gt;""),'Straight Cutting'!F16+'Job Sheet'!AH16,"")))</f>
        <v/>
      </c>
      <c r="MT10" s="80" t="str">
        <f>IF(AND('Straight Cutting'!D16="Standard",'Straight Cutting'!E16="Black",'Straight Cutting'!F16&lt;&gt;"",'Straight Cutting'!G16=""),'Straight Cutting'!F16,IF(AND('Straight Cutting'!D16="Standard",'Straight Cutting'!E16="Black",'Straight Cutting'!F16="",'Straight Cutting'!G16&lt;&gt;""),'Straight Cutting'!G16,IF(AND('Straight Cutting'!D16="Standard",'Straight Cutting'!E16="Black",'Straight Cutting'!F16&lt;&gt;"",'Straight Cutting'!G16&lt;&gt;""),'Straight Cutting'!F16+'Job Sheet'!AH16,"")))</f>
        <v/>
      </c>
      <c r="MU10" s="80" t="str">
        <f>IF(AND('Straight Cutting'!D16="Standard",'Straight Cutting'!E16="Brown",'Straight Cutting'!F16&lt;&gt;"",'Straight Cutting'!G16=""),'Straight Cutting'!F16,IF(AND('Straight Cutting'!D16="Standard",'Straight Cutting'!E16="Brown",'Straight Cutting'!F16="",'Straight Cutting'!G16&lt;&gt;""),'Straight Cutting'!G16,IF(AND('Straight Cutting'!D16="Standard",'Straight Cutting'!E16="Brown",'Straight Cutting'!F16&lt;&gt;"",'Straight Cutting'!G16&lt;&gt;""),'Straight Cutting'!F16+'Job Sheet'!AH16,"")))</f>
        <v/>
      </c>
      <c r="MV10" s="80" t="str">
        <f>IF(AND('Straight Cutting'!D16="Standard",'Straight Cutting'!E16="Deep Ocean",'Straight Cutting'!F16&lt;&gt;"",'Straight Cutting'!G16=""),'Straight Cutting'!F16,IF(AND('Straight Cutting'!D16="Standard",'Straight Cutting'!E16="Deep Ocean",'Straight Cutting'!F16="",'Straight Cutting'!G16&lt;&gt;""),'Straight Cutting'!G16,IF(AND('Straight Cutting'!D16="Standard",'Straight Cutting'!E16="Deep Ocean",'Straight Cutting'!F16&lt;&gt;"",'Straight Cutting'!G16&lt;&gt;""),'Straight Cutting'!F16+'Job Sheet'!AH16,"")))</f>
        <v/>
      </c>
      <c r="MW10" s="80" t="str">
        <f>IF(AND('Straight Cutting'!D16="Standard",'Straight Cutting'!E16="Jasper",'Straight Cutting'!F16&lt;&gt;"",'Straight Cutting'!G16=""),'Straight Cutting'!F16,IF(AND('Straight Cutting'!D16="Standard",'Straight Cutting'!E16="Jasper",'Straight Cutting'!F16="",'Straight Cutting'!G16&lt;&gt;""),'Straight Cutting'!G16,IF(AND('Straight Cutting'!D16="Standard",'Straight Cutting'!E16="Jasper",'Straight Cutting'!F16&lt;&gt;"",'Straight Cutting'!G16&lt;&gt;""),'Straight Cutting'!F16+'Job Sheet'!AH16,"")))</f>
        <v/>
      </c>
      <c r="MX10" s="80" t="str">
        <f>IF(AND('Straight Cutting'!D16="Standard",'Straight Cutting'!E16="Paperbark",'Straight Cutting'!F16&lt;&gt;"",'Straight Cutting'!G16=""),'Straight Cutting'!F16,IF(AND('Straight Cutting'!D16="Standard",'Straight Cutting'!E16="Paperbark",'Straight Cutting'!F16="",'Straight Cutting'!G16&lt;&gt;""),'Straight Cutting'!G16,IF(AND('Straight Cutting'!D16="Standard",'Straight Cutting'!E16="Paperbark",'Straight Cutting'!F16&lt;&gt;"",'Straight Cutting'!G16&lt;&gt;""),'Straight Cutting'!F16+'Job Sheet'!AH16,"")))</f>
        <v/>
      </c>
      <c r="MY10" s="80" t="str">
        <f>IF(AND('Straight Cutting'!D16="Standard",'Straight Cutting'!E16="Mist Green",'Straight Cutting'!F16&lt;&gt;"",'Straight Cutting'!G16=""),'Straight Cutting'!F16,IF(AND('Straight Cutting'!D16="Standard",'Straight Cutting'!E16="Mist Green",'Straight Cutting'!F16="",'Straight Cutting'!G16&lt;&gt;""),'Straight Cutting'!G16,IF(AND('Straight Cutting'!D16="Standard",'Straight Cutting'!E16="Mist Green",'Straight Cutting'!F16&lt;&gt;"",'Straight Cutting'!G16&lt;&gt;""),'Straight Cutting'!F16+'Job Sheet'!AH16,"")))</f>
        <v/>
      </c>
      <c r="MZ10" s="80" t="str">
        <f>IF(AND('Straight Cutting'!D16="Standard",'Straight Cutting'!E16="Primrose",'Straight Cutting'!F16&lt;&gt;"",'Straight Cutting'!G16=""),'Straight Cutting'!F16,IF(AND('Straight Cutting'!D16="Standard",'Straight Cutting'!E16="Primrose",'Straight Cutting'!F16="",'Straight Cutting'!G16&lt;&gt;""),'Straight Cutting'!G16,IF(AND('Straight Cutting'!D16="Standard",'Straight Cutting'!E16="Primrose",'Straight Cutting'!F16&lt;&gt;"",'Straight Cutting'!G16&lt;&gt;""),'Straight Cutting'!F16+'Job Sheet'!AH16,"")))</f>
        <v/>
      </c>
      <c r="NA10" s="80" t="str">
        <f>IF(AND('Straight Cutting'!D16="Standard",'Straight Cutting'!E16="Ultra Silver",'Straight Cutting'!F16&lt;&gt;"",'Straight Cutting'!G16=""),'Straight Cutting'!F16,IF(AND('Straight Cutting'!D16="Standard",'Straight Cutting'!E16="Ultra Silver",'Straight Cutting'!F16="",'Straight Cutting'!G16&lt;&gt;""),'Straight Cutting'!G16,IF(AND('Straight Cutting'!D16="Standard",'Straight Cutting'!E16="Ultra Silver",'Straight Cutting'!F16&lt;&gt;"",'Straight Cutting'!G16&lt;&gt;""),'Straight Cutting'!F16+'Job Sheet'!AH16,"")))</f>
        <v/>
      </c>
      <c r="NB10" s="80" t="str">
        <f>IF(AND('Straight Cutting'!D16="Standard",'Straight Cutting'!E16="Woodland Grey(Green Tone)",'Straight Cutting'!F16&lt;&gt;"",'Straight Cutting'!G16=""),'Straight Cutting'!F16,IF(AND('Straight Cutting'!D16="Standard",'Straight Cutting'!E16="Woodland Grey(Green Tone)",'Straight Cutting'!F16="",'Straight Cutting'!G16&lt;&gt;""),'Straight Cutting'!G16,IF(AND('Straight Cutting'!D16="Standard",'Straight Cutting'!E16="Woodland Grey(Green Tone)",'Straight Cutting'!F16&lt;&gt;"",'Straight Cutting'!G16&lt;&gt;""),'Straight Cutting'!F16+'Job Sheet'!AH16,"")))</f>
        <v/>
      </c>
      <c r="NC10" s="80" t="str">
        <f>IF(AND('Straight Cutting'!D16="Standard",'Straight Cutting'!E16="Pearl White",'Straight Cutting'!F16&lt;&gt;"",'Straight Cutting'!G16=""),'Straight Cutting'!F16,IF(AND('Straight Cutting'!D16="Standard",'Straight Cutting'!E16="Pearl White",'Straight Cutting'!F16="",'Straight Cutting'!G16&lt;&gt;""),'Straight Cutting'!G16,IF(AND('Straight Cutting'!D16="Standard",'Straight Cutting'!E16="Pearl White",'Straight Cutting'!F16&lt;&gt;"",'Straight Cutting'!G16&lt;&gt;""),'Straight Cutting'!F16+'Job Sheet'!AH16,"")))</f>
        <v/>
      </c>
      <c r="ND10" s="80" t="str">
        <f>IF(AND('Straight Cutting'!D16="Standard",'Straight Cutting'!E16="Monument",'Straight Cutting'!F16&lt;&gt;"",'Straight Cutting'!G16=""),'Straight Cutting'!F16,IF(AND('Straight Cutting'!D16="Standard",'Straight Cutting'!E16="Monument",'Straight Cutting'!F16="",'Straight Cutting'!G16&lt;&gt;""),'Straight Cutting'!G16,IF(AND('Straight Cutting'!D16="Standard",'Straight Cutting'!E16="Monument",'Straight Cutting'!F16&lt;&gt;"",'Straight Cutting'!G16&lt;&gt;""),'Straight Cutting'!F16+'Job Sheet'!AH16,"")))</f>
        <v/>
      </c>
      <c r="NE10" s="80" t="str">
        <f>IF(AND('Straight Cutting'!D16="Standard",'Straight Cutting'!E16="Surfmist",'Straight Cutting'!F16&lt;&gt;"",'Straight Cutting'!G16=""),'Straight Cutting'!F16,IF(AND('Straight Cutting'!D16="Standard",'Straight Cutting'!E16="Surfmist",'Straight Cutting'!F16="",'Straight Cutting'!G16&lt;&gt;""),'Straight Cutting'!G16,IF(AND('Straight Cutting'!D16="Standard",'Straight Cutting'!E16="Surfmist",'Straight Cutting'!F16&lt;&gt;"",'Straight Cutting'!G16&lt;&gt;""),'Straight Cutting'!F16+'Job Sheet'!AH16,"")))</f>
        <v/>
      </c>
      <c r="NF10" s="80" t="str">
        <f>IF(AND('Straight Cutting'!D16="Standard",'Straight Cutting'!E16="Dune",'Straight Cutting'!F16&lt;&gt;"",'Straight Cutting'!G16=""),'Straight Cutting'!F16,IF(AND('Straight Cutting'!D16="Standard",'Straight Cutting'!E16="Dune",'Straight Cutting'!F16="",'Straight Cutting'!G16&lt;&gt;""),'Straight Cutting'!G16,IF(AND('Straight Cutting'!D16="Standard",'Straight Cutting'!E16="Dune",'Straight Cutting'!F16&lt;&gt;"",'Straight Cutting'!G16&lt;&gt;""),'Straight Cutting'!F16+'Job Sheet'!AH16,"")))</f>
        <v/>
      </c>
      <c r="NG10" s="80" t="str">
        <f>IF(AND('Straight Cutting'!D16="Standard",'Straight Cutting'!E16="Powdercoat",'Straight Cutting'!F16&lt;&gt;"",'Straight Cutting'!G16=""),'Straight Cutting'!F16,IF(AND('Straight Cutting'!D16="Standard",'Straight Cutting'!E16="Powdercoat",'Straight Cutting'!F16="",'Straight Cutting'!G16&lt;&gt;""),'Straight Cutting'!G16,IF(AND('Straight Cutting'!D16="Standard",'Straight Cutting'!E16="Powdercoat",'Straight Cutting'!F16&lt;&gt;"",'Straight Cutting'!G16&lt;&gt;""),'Straight Cutting'!F16+'Job Sheet'!AH16,"")))</f>
        <v/>
      </c>
      <c r="NH10" s="80" t="str">
        <f>IF(AND('Straight Cutting'!D16="Invisi-Gard",'Straight Cutting'!E16="APO Grey",'Straight Cutting'!F16&lt;&gt;"",'Straight Cutting'!G16=""),'Straight Cutting'!F16,IF(AND('Straight Cutting'!D16="Invisi-Gard",'Straight Cutting'!E16="APO Grey",'Straight Cutting'!F16="",'Straight Cutting'!G16&lt;&gt;""),'Straight Cutting'!G16,IF(AND('Straight Cutting'!D16="Invisi-Gard",'Straight Cutting'!E16="APO Grey",'Straight Cutting'!F16&lt;&gt;"",'Straight Cutting'!G16&lt;&gt;""),'Straight Cutting'!F16+'Job Sheet'!AH16,"")))</f>
        <v/>
      </c>
      <c r="NI10" s="80" t="str">
        <f>IF(AND('Straight Cutting'!D16="Invisi-Gard",'Straight Cutting'!E16="White Birch",'Straight Cutting'!F16&lt;&gt;"",'Straight Cutting'!G16=""),'Straight Cutting'!F16,IF(AND('Straight Cutting'!D16="Invisi-Gard",'Straight Cutting'!E16="White Birch",'Straight Cutting'!F16="",'Straight Cutting'!G16&lt;&gt;""),'Straight Cutting'!G16,IF(AND('Straight Cutting'!D16="Invisi-Gard",'Straight Cutting'!E16="White Birch",'Straight Cutting'!F16&lt;&gt;"",'Straight Cutting'!G16&lt;&gt;""),'Straight Cutting'!F16+'Job Sheet'!AH16,"")))</f>
        <v/>
      </c>
      <c r="NJ10" s="80" t="str">
        <f>IF(AND('Straight Cutting'!D16="Invisi-Gard",'Straight Cutting'!E16="Black",'Straight Cutting'!F16&lt;&gt;"",'Straight Cutting'!G16=""),'Straight Cutting'!F16,IF(AND('Straight Cutting'!D16="Invisi-Gard",'Straight Cutting'!E16="Black",'Straight Cutting'!F16="",'Straight Cutting'!G16&lt;&gt;""),'Straight Cutting'!G16,IF(AND('Straight Cutting'!D16="Invisi-Gard",'Straight Cutting'!E16="Black",'Straight Cutting'!F16&lt;&gt;"",'Straight Cutting'!G16&lt;&gt;""),'Straight Cutting'!F16+'Job Sheet'!AH16,"")))</f>
        <v/>
      </c>
      <c r="NK10" s="80" t="str">
        <f>IF(AND('Straight Cutting'!D16="Invisi-Gard",'Straight Cutting'!E16="Brown",'Straight Cutting'!F16&lt;&gt;"",'Straight Cutting'!G16=""),'Straight Cutting'!F16,IF(AND('Straight Cutting'!D16="Invisi-Gard",'Straight Cutting'!E16="Brown",'Straight Cutting'!F16="",'Straight Cutting'!G16&lt;&gt;""),'Straight Cutting'!G16,IF(AND('Straight Cutting'!D16="Invisi-Gard",'Straight Cutting'!E16="Brown",'Straight Cutting'!F16&lt;&gt;"",'Straight Cutting'!G16&lt;&gt;""),'Straight Cutting'!F16+'Job Sheet'!AH16,"")))</f>
        <v/>
      </c>
      <c r="NL10" s="80" t="str">
        <f>IF(AND('Straight Cutting'!D16="Invisi-Gard",'Straight Cutting'!E16="Deep Ocean",'Straight Cutting'!F16&lt;&gt;"",'Straight Cutting'!G16=""),'Straight Cutting'!F16,IF(AND('Straight Cutting'!D16="Invisi-Gard",'Straight Cutting'!E16="Deep Ocean",'Straight Cutting'!F16="",'Straight Cutting'!G16&lt;&gt;""),'Straight Cutting'!G16,IF(AND('Straight Cutting'!D16="Invisi-Gard",'Straight Cutting'!E16="Deep Ocean",'Straight Cutting'!F16&lt;&gt;"",'Straight Cutting'!G16&lt;&gt;""),'Straight Cutting'!F16+'Job Sheet'!AH16,"")))</f>
        <v/>
      </c>
      <c r="NM10" s="80" t="str">
        <f>IF(AND('Straight Cutting'!D16="Invisi-Gard",'Straight Cutting'!E16="Jasper",'Straight Cutting'!F16&lt;&gt;"",'Straight Cutting'!G16=""),'Straight Cutting'!F16,IF(AND('Straight Cutting'!D16="Invisi-Gard",'Straight Cutting'!E16="Jasper",'Straight Cutting'!F16="",'Straight Cutting'!G16&lt;&gt;""),'Straight Cutting'!G16,IF(AND('Straight Cutting'!D16="Invisi-Gard",'Straight Cutting'!E16="Jasper",'Straight Cutting'!F16&lt;&gt;"",'Straight Cutting'!G16&lt;&gt;""),'Straight Cutting'!F16+'Job Sheet'!AH16,"")))</f>
        <v/>
      </c>
      <c r="NN10" s="80" t="str">
        <f>IF(AND('Straight Cutting'!D16="Invisi-Gard",'Straight Cutting'!E16="Paperbark",'Straight Cutting'!F16&lt;&gt;"",'Straight Cutting'!G16=""),'Straight Cutting'!F16,IF(AND('Straight Cutting'!D16="Invisi-Gard",'Straight Cutting'!E16="Paperbark",'Straight Cutting'!F16="",'Straight Cutting'!G16&lt;&gt;""),'Straight Cutting'!G16,IF(AND('Straight Cutting'!D16="Invisi-Gard",'Straight Cutting'!E16="Paperbark",'Straight Cutting'!F16&lt;&gt;"",'Straight Cutting'!G16&lt;&gt;""),'Straight Cutting'!F16+'Job Sheet'!AH16,"")))</f>
        <v/>
      </c>
      <c r="NO10" s="80" t="str">
        <f>IF(AND('Straight Cutting'!D16="Invisi-Gard",'Straight Cutting'!E16="Mist Green",'Straight Cutting'!F16&lt;&gt;"",'Straight Cutting'!G16=""),'Straight Cutting'!F16,IF(AND('Straight Cutting'!D16="Invisi-Gard",'Straight Cutting'!E16="Mist Green",'Straight Cutting'!F16="",'Straight Cutting'!G16&lt;&gt;""),'Straight Cutting'!G16,IF(AND('Straight Cutting'!D16="Invisi-Gard",'Straight Cutting'!E16="Mist Green",'Straight Cutting'!F16&lt;&gt;"",'Straight Cutting'!G16&lt;&gt;""),'Straight Cutting'!F16+'Job Sheet'!AH16,"")))</f>
        <v/>
      </c>
      <c r="NP10" s="80" t="str">
        <f>IF(AND('Straight Cutting'!D16="Invisi-Gard",'Straight Cutting'!E16="Primrose",'Straight Cutting'!F16&lt;&gt;"",'Straight Cutting'!G16=""),'Straight Cutting'!F16,IF(AND('Straight Cutting'!D16="Invisi-Gard",'Straight Cutting'!E16="Primrose",'Straight Cutting'!F16="",'Straight Cutting'!G16&lt;&gt;""),'Straight Cutting'!G16,IF(AND('Straight Cutting'!D16="Invisi-Gard",'Straight Cutting'!E16="Primrose",'Straight Cutting'!F16&lt;&gt;"",'Straight Cutting'!G16&lt;&gt;""),'Straight Cutting'!F16+'Job Sheet'!AH16,"")))</f>
        <v/>
      </c>
      <c r="NQ10" s="80" t="str">
        <f>IF(AND('Straight Cutting'!D16="Invisi-Gard",'Straight Cutting'!E16="Ultra Silver",'Straight Cutting'!F16&lt;&gt;"",'Straight Cutting'!G16=""),'Straight Cutting'!F16,IF(AND('Straight Cutting'!D16="Invisi-Gard",'Straight Cutting'!E16="Ultra Silver",'Straight Cutting'!F16="",'Straight Cutting'!G16&lt;&gt;""),'Straight Cutting'!G16,IF(AND('Straight Cutting'!D16="Invisi-Gard",'Straight Cutting'!E16="Ultra Silver",'Straight Cutting'!F16&lt;&gt;"",'Straight Cutting'!G16&lt;&gt;""),'Straight Cutting'!F16+'Job Sheet'!AH16,"")))</f>
        <v/>
      </c>
      <c r="NR10" s="80" t="str">
        <f>IF(AND('Straight Cutting'!D16="Invisi-Gard",'Straight Cutting'!E16="Woodland Grey(Green Tone)",'Straight Cutting'!F16&lt;&gt;"",'Straight Cutting'!G16=""),'Straight Cutting'!F16,IF(AND('Straight Cutting'!D16="Invisi-Gard",'Straight Cutting'!E16="Woodland Grey(Green Tone)",'Straight Cutting'!F16="",'Straight Cutting'!G16&lt;&gt;""),'Straight Cutting'!G16,IF(AND('Straight Cutting'!D16="Invisi-Gard",'Straight Cutting'!E16="Woodland Grey(Green Tone)",'Straight Cutting'!F16&lt;&gt;"",'Straight Cutting'!G16&lt;&gt;""),'Straight Cutting'!F16+'Job Sheet'!AH16,"")))</f>
        <v/>
      </c>
      <c r="NS10" s="80" t="str">
        <f>IF(AND('Straight Cutting'!D16="Invisi-Gard",'Straight Cutting'!E16="Pearl White",'Straight Cutting'!F16&lt;&gt;"",'Straight Cutting'!G16=""),'Straight Cutting'!F16,IF(AND('Straight Cutting'!D16="Invisi-Gard",'Straight Cutting'!E16="Pearl White",'Straight Cutting'!F16="",'Straight Cutting'!G16&lt;&gt;""),'Straight Cutting'!G16,IF(AND('Straight Cutting'!D16="Invisi-Gard",'Straight Cutting'!E16="Pearl White",'Straight Cutting'!F16&lt;&gt;"",'Straight Cutting'!G16&lt;&gt;""),'Straight Cutting'!F16+'Job Sheet'!AH16,"")))</f>
        <v/>
      </c>
      <c r="NT10" s="80" t="str">
        <f>IF(AND('Straight Cutting'!D16="Invisi-Gard",'Straight Cutting'!E16="Monument",'Straight Cutting'!F16&lt;&gt;"",'Straight Cutting'!G16=""),'Straight Cutting'!F16,IF(AND('Straight Cutting'!D16="Invisi-Gard",'Straight Cutting'!E16="Monument",'Straight Cutting'!F16="",'Straight Cutting'!G16&lt;&gt;""),'Straight Cutting'!G16,IF(AND('Straight Cutting'!D16="Invisi-Gard",'Straight Cutting'!E16="Monument",'Straight Cutting'!F16&lt;&gt;"",'Straight Cutting'!G16&lt;&gt;""),'Straight Cutting'!F16+'Job Sheet'!AH16,"")))</f>
        <v/>
      </c>
      <c r="NU10" s="80" t="str">
        <f>IF(AND('Straight Cutting'!D16="Invisi-Gard",'Straight Cutting'!E16="Surfmist",'Straight Cutting'!F16&lt;&gt;"",'Straight Cutting'!G16=""),'Straight Cutting'!F16,IF(AND('Straight Cutting'!D16="Invisi-Gard",'Straight Cutting'!E16="Surfmist",'Straight Cutting'!F16="",'Straight Cutting'!G16&lt;&gt;""),'Straight Cutting'!G16,IF(AND('Straight Cutting'!D16="Invisi-Gard",'Straight Cutting'!E16="Surfmist",'Straight Cutting'!F16&lt;&gt;"",'Straight Cutting'!G16&lt;&gt;""),'Straight Cutting'!F16+'Job Sheet'!AH16,"")))</f>
        <v/>
      </c>
      <c r="NV10" s="80" t="str">
        <f>IF(AND('Straight Cutting'!D16="Invisi-Gard",'Straight Cutting'!E16="Dune",'Straight Cutting'!F16&lt;&gt;"",'Straight Cutting'!G16=""),'Straight Cutting'!F16,IF(AND('Straight Cutting'!D16="Invisi-Gard",'Straight Cutting'!E16="Dune",'Straight Cutting'!F16="",'Straight Cutting'!G16&lt;&gt;""),'Straight Cutting'!G16,IF(AND('Straight Cutting'!D16="Invisi-Gard",'Straight Cutting'!E16="Dune",'Straight Cutting'!F16&lt;&gt;"",'Straight Cutting'!G16&lt;&gt;""),'Straight Cutting'!F16+'Job Sheet'!AH16,"")))</f>
        <v/>
      </c>
      <c r="NW10" s="80" t="str">
        <f>IF(AND('Straight Cutting'!D16="Invisi-Gard",'Straight Cutting'!E16="Powdercoat",'Straight Cutting'!F16&lt;&gt;"",'Straight Cutting'!G16=""),'Straight Cutting'!F16,IF(AND('Straight Cutting'!D16="Invisi-Gard",'Straight Cutting'!E16="Powdercoat",'Straight Cutting'!F16="",'Straight Cutting'!G16&lt;&gt;""),'Straight Cutting'!G16,IF(AND('Straight Cutting'!D16="Invisi-Gard",'Straight Cutting'!E16="Powdercoat",'Straight Cutting'!F16&lt;&gt;"",'Straight Cutting'!G16&lt;&gt;""),'Straight Cutting'!F16+'Job Sheet'!AH16,"")))</f>
        <v/>
      </c>
      <c r="NX10" s="80" t="str">
        <f>IF(AND('Job Sheet'!O16="Yes",'Mitred Cutting'!D16="APO Grey"),'Straight Cutting'!I16,"")</f>
        <v/>
      </c>
      <c r="NY10" s="80" t="str">
        <f>IF(AND('Job Sheet'!O16="Yes",'Mitred Cutting'!D16="White Birch"),'Straight Cutting'!I16,"")</f>
        <v/>
      </c>
      <c r="NZ10" s="80" t="str">
        <f>IF(AND('Job Sheet'!O16="Yes",'Mitred Cutting'!D16="Black"),'Straight Cutting'!I16,"")</f>
        <v/>
      </c>
      <c r="OA10" s="80" t="str">
        <f>IF(AND('Job Sheet'!O16="Yes",'Mitred Cutting'!D16="Brown"),'Straight Cutting'!I16,"")</f>
        <v/>
      </c>
      <c r="OB10" s="80" t="str">
        <f>IF(AND('Job Sheet'!O16="Yes",'Mitred Cutting'!D16="Deep Ocean"),'Straight Cutting'!I16,"")</f>
        <v/>
      </c>
      <c r="OC10" s="80" t="str">
        <f>IF(AND('Job Sheet'!O16="Yes",'Mitred Cutting'!D16="Jasper"),'Straight Cutting'!I16,"")</f>
        <v/>
      </c>
      <c r="OD10" s="80" t="str">
        <f>IF(AND('Job Sheet'!O16="Yes",'Mitred Cutting'!D16="Paperbark"),'Straight Cutting'!I16,"")</f>
        <v/>
      </c>
      <c r="OE10" s="80" t="str">
        <f>IF(AND('Job Sheet'!O16="Yes",'Mitred Cutting'!D16="Mist Green"),'Straight Cutting'!I16,"")</f>
        <v/>
      </c>
      <c r="OF10" s="80" t="str">
        <f>IF(AND('Job Sheet'!O16="Yes",'Mitred Cutting'!D16="Primrose"),'Straight Cutting'!I16,"")</f>
        <v/>
      </c>
      <c r="OG10" s="80" t="str">
        <f>IF(AND('Job Sheet'!O16="Yes",'Mitred Cutting'!D16="Ultra Silver"),'Straight Cutting'!I16,"")</f>
        <v/>
      </c>
      <c r="OH10" s="80" t="str">
        <f>IF(AND('Job Sheet'!O16="Yes",'Mitred Cutting'!D16="Woodland Grey(Green Tone)"),'Straight Cutting'!I16,"")</f>
        <v/>
      </c>
      <c r="OI10" s="80" t="str">
        <f>IF(AND('Job Sheet'!O16="Yes",'Mitred Cutting'!D16="Pearl White"),'Straight Cutting'!I16,"")</f>
        <v/>
      </c>
      <c r="OJ10" s="80" t="str">
        <f>IF(AND('Job Sheet'!O16="Yes",'Mitred Cutting'!D16="Monument"),'Straight Cutting'!I16,"")</f>
        <v/>
      </c>
      <c r="OK10" s="80" t="str">
        <f>IF(AND('Job Sheet'!O16="Yes",'Mitred Cutting'!D16="Surfmist"),'Straight Cutting'!I16,"")</f>
        <v/>
      </c>
      <c r="OL10" s="80" t="str">
        <f>IF(AND('Job Sheet'!O16="Yes",'Mitred Cutting'!D16="Dune"),'Straight Cutting'!I16,"")</f>
        <v/>
      </c>
      <c r="OM10" s="80" t="str">
        <f>IF(AND('Job Sheet'!O16="Yes",'Mitred Cutting'!D16="Powdercoat"),'Straight Cutting'!I16,"")</f>
        <v/>
      </c>
      <c r="ON10" s="81" t="str">
        <f>IF(OR(Data!AW16="",'Job Sheet'!L16="37mm x 11mm",'Job Sheet'!L16="9mm",'Job Sheet'!L16="11mm"),"",IF(VLOOKUP(CONCATENATE(Data!BO16,'Job Sheet'!J16),DoorType,4,FALSE)="Yes",(('Job Sheet'!W16-98)*2+('Job Sheet'!X16-96)*2)/2700,""))</f>
        <v/>
      </c>
      <c r="OO10" s="81" t="str">
        <f>IF(Data!AW16="","",IF('Mitred Cutting'!G16="1.6mm",(('Job Sheet'!W16-114)*2+('Job Sheet'!X16-114)*2)/3100,""))</f>
        <v/>
      </c>
      <c r="OP10" s="81" t="str">
        <f>IF(Data!AW16="","",IF('Mitred Cutting'!G16="2mm",(('Job Sheet'!W16-114)*2+('Job Sheet'!X16-114)*2)/3100,""))</f>
        <v/>
      </c>
      <c r="OQ10" s="52" t="str">
        <f>IF(OR(Data!AW16="",Data!BN16="Invisi-Scape",'Job Sheet'!AC16=""),"",IF(OR('Job Sheet'!P16="Yes - Centre Horizontal",'Job Sheet'!P16="Yes - Centre Vertical"),('Job Sheet'!AC16*4+'Job Sheet'!AE16*4)/4000,IF('Job Sheet'!P16="Yes - Horizontal",('Job Sheet'!AC16*4+'Job Sheet'!AE16*2+'Job Sheet'!AF16*2)/4000,IF('Job Sheet'!P16="Yes - Vertical",('Job Sheet'!AC16*2+'Job Sheet'!AE16*4)/4000,IF('Job Sheet'!P16="",('Job Sheet'!AC16*2+'Job Sheet'!AE16*2)/4000,IF('Job Sheet'!P16="Yes - Horizontal &amp; Vertical",('Job Sheet'!AC16*4+'Job Sheet'!AD16*4+'Job Sheet'!AE16*4+'Job Sheet'!AF16*4)/4000,IF('Job Sheet'!P16="Yes - Centre Horizontal &amp; Vertical",('Job Sheet'!AC16*8+'Job Sheet'!AE16*8)/4000,"")))))))</f>
        <v/>
      </c>
      <c r="OR10" s="52" t="str">
        <f t="shared" si="1"/>
        <v/>
      </c>
      <c r="OS10" s="52" t="str">
        <f t="shared" si="2"/>
        <v/>
      </c>
      <c r="OT10" s="80"/>
      <c r="OU10" s="80" t="str">
        <f>IF(Data!AW16="","",IF(OR('Job Sheet'!J16="Fibreglass Mesh",'Job Sheet'!J16="Pet Mesh",'Job Sheet'!J16="DVA Mesh",'Job Sheet'!J16="Tuff Mesh",'Job Sheet'!J16="Alu-screen",Data!BO16="Fibreglass Mesh",Data!BO16="Pet Mesh",Data!BO16="DVA Mesh",Data!BO16="Tuff Mesh",Data!BO16="Alu-screen"),(('Job Sheet'!W16-98)*2+('Job Sheet'!X16-96)*2),""))</f>
        <v/>
      </c>
      <c r="OV10" s="80"/>
      <c r="OW10" s="80"/>
      <c r="OX10" s="80"/>
      <c r="OY10" s="80"/>
      <c r="OZ10" s="80"/>
      <c r="PA10" s="80"/>
      <c r="PB10" s="80"/>
      <c r="PC10" s="80"/>
      <c r="PD10" s="80" t="str">
        <f>IF(OR('Mitred Cutting'!E16="70mm x 20mm",'Mitred Cutting'!E16="Invisi-Gard 70mm x 20mm"),4,"")</f>
        <v/>
      </c>
      <c r="PE10" s="80" t="str">
        <f>IF('Mitred Cutting'!E16="37mm x 11mm",4,"")</f>
        <v/>
      </c>
      <c r="PF10" s="80" t="str">
        <f>IF('Mitred Cutting'!E16="Invisi-Gard 37mm x 9mm",4,"")</f>
        <v/>
      </c>
      <c r="PG10" s="80" t="str">
        <f>IF('Mitred Cutting'!E16="Invisi-Gard 37mm x 11mm",4,"")</f>
        <v/>
      </c>
      <c r="PH10" s="80" t="str">
        <f>IF('Mitred Cutting'!E16="9mm",4,"")</f>
        <v/>
      </c>
      <c r="PI10" s="80" t="str">
        <f>IF('Mitred Cutting'!E16="11mm",4,"")</f>
        <v/>
      </c>
      <c r="PJ10" s="80"/>
      <c r="PK10" s="80" t="str">
        <f>IF(OR('Job Sheet'!N16="Yes - Front of Frame",'Job Sheet'!N16="Yes - Back of Frame"),1,"")</f>
        <v/>
      </c>
      <c r="PL10" s="80" t="str">
        <f>IF('Job Sheet'!M16="Swivel Clips Extended x 2",2,IF('Job Sheet'!M16="Swivel Clips Extended x 4",4,IF('Job Sheet'!M16="Swivel Clips Extended x 6",6,"")))</f>
        <v/>
      </c>
      <c r="PM10" s="80" t="str">
        <f>IF('Job Sheet'!M16="Swivel Clips Flush x 2",2,IF('Job Sheet'!M16="Swivel Clips Flush x 4",4,IF('Job Sheet'!M16="Swivel Clips Flush x 6",6,"")))</f>
        <v/>
      </c>
      <c r="PN10" s="80" t="str">
        <f>IF('Job Sheet'!M16="Plunger Pins x 2",2,IF('Job Sheet'!M16="Plunger Pins x 4",4,IF('Job Sheet'!M16="Plunger Pins x 6",6,"")))</f>
        <v/>
      </c>
      <c r="PO10" s="80"/>
      <c r="PP10" s="80"/>
      <c r="PQ10" s="80"/>
      <c r="PR10" s="80"/>
      <c r="PS10" s="80"/>
      <c r="PT10" s="80"/>
      <c r="PU10" s="80"/>
      <c r="PV10" s="80"/>
      <c r="PW10" s="80"/>
      <c r="PX10" s="80"/>
      <c r="PY10" s="80"/>
      <c r="PZ10" s="80"/>
      <c r="QA10" s="80"/>
      <c r="QB10" s="80"/>
      <c r="QC10" s="80"/>
      <c r="QD10" s="80"/>
      <c r="QE10" s="80"/>
      <c r="QF10" s="80"/>
      <c r="QG10" s="80"/>
      <c r="QH10" s="80"/>
      <c r="QI10" s="80"/>
      <c r="QJ10" s="80"/>
      <c r="QK10" s="80"/>
      <c r="QL10" s="80"/>
      <c r="QM10" s="80"/>
      <c r="QN10" s="80"/>
      <c r="QO10" s="80"/>
      <c r="QP10" s="80"/>
      <c r="QQ10" s="80"/>
      <c r="QR10" s="80"/>
      <c r="QS10" s="80"/>
      <c r="QT10" s="80"/>
      <c r="QU10" s="80"/>
      <c r="QV10" s="80"/>
      <c r="QW10" s="80"/>
      <c r="QX10" s="80"/>
      <c r="QY10" s="82"/>
      <c r="RD10" t="str">
        <f>IF('Assembly &amp; Bagging'!J16="2 Hinges","2",IF('Assembly &amp; Bagging'!J16="3 Hinges","3",""))</f>
        <v/>
      </c>
      <c r="RH10" s="80"/>
      <c r="RL10" t="str">
        <f>IF(OR('Job Sheet'!M16="Hinged LHS with Slide Bolt on Inside",'Job Sheet'!M16="Hinged LHS with Slide Bolt on Inside"),1,"")</f>
        <v/>
      </c>
      <c r="RM10" s="80"/>
      <c r="RO10" t="str">
        <f>IF('Straight Cutting'!D16&lt;&gt;"Invisi-Gard","",IF(AND('Straight Cutting'!F16&lt;&gt;"",'Straight Cutting'!G16&lt;&gt;""),6,2))</f>
        <v/>
      </c>
      <c r="RP10" t="str">
        <f>IF(AND('Job Sheet'!P16&lt;&gt;"",(OR('Mitred Cutting'!E16="9mm",'Mitred Cutting'!E16="11mm"))),2,"")</f>
        <v/>
      </c>
      <c r="RR10" s="80" t="str">
        <f>Guillotine!E16</f>
        <v/>
      </c>
      <c r="RS10" t="str">
        <f>IF('Assembly &amp; Bagging'!E16="Flywire","",IF('Assembly &amp; Bagging'!E16="Invisi-Gard Woven Stainless Steel","Woven Stainless Steel",'Assembly &amp; Bagging'!E16))</f>
        <v/>
      </c>
      <c r="RT10" s="80"/>
      <c r="RU10" s="80"/>
      <c r="RV10" s="80"/>
      <c r="RW10" s="80"/>
      <c r="RX10" s="80"/>
      <c r="RY10" s="80"/>
      <c r="RZ10" s="80"/>
      <c r="SA10" s="80"/>
      <c r="SB10" s="80"/>
      <c r="SC10" s="80"/>
      <c r="SD10" s="80"/>
      <c r="SE10" s="80"/>
      <c r="SF10" s="80"/>
      <c r="SG10" s="80"/>
      <c r="SH10" s="80"/>
      <c r="SI10" s="80"/>
      <c r="SJ10" s="80"/>
      <c r="SK10" s="80"/>
      <c r="SL10" s="80"/>
      <c r="SM10" s="80"/>
      <c r="SN10" s="80"/>
      <c r="SO10" s="80"/>
      <c r="SP10" s="80"/>
      <c r="SQ10" s="80"/>
      <c r="SR10" s="80"/>
      <c r="SS10" s="80"/>
      <c r="ST10" s="80"/>
      <c r="SU10" s="80"/>
      <c r="SV10" s="80"/>
      <c r="SW10" s="80"/>
      <c r="SX10" s="80"/>
      <c r="SY10" s="80"/>
      <c r="SZ10" s="80"/>
      <c r="TA10" s="80"/>
      <c r="TB10" s="80"/>
      <c r="TC10" s="80"/>
      <c r="TD10" s="80"/>
      <c r="TE10" s="80"/>
      <c r="TF10" s="80"/>
      <c r="TG10" s="80"/>
      <c r="TH10" s="80"/>
      <c r="TI10" s="80"/>
      <c r="TJ10" s="80"/>
      <c r="TK10" s="80"/>
      <c r="TL10" s="80"/>
      <c r="TM10" s="80"/>
      <c r="TN10" s="80"/>
      <c r="TO10" s="80"/>
      <c r="TP10" s="80"/>
      <c r="TQ10" s="80"/>
      <c r="TR10" s="80"/>
      <c r="TS10" s="80"/>
      <c r="TT10" s="80"/>
      <c r="TU10" s="80"/>
      <c r="TV10" s="80"/>
      <c r="TW10" s="80"/>
      <c r="TX10" s="80"/>
      <c r="TY10" s="80"/>
      <c r="TZ10" s="80"/>
      <c r="UA10" s="80"/>
      <c r="UB10" s="80"/>
      <c r="UC10" s="80"/>
      <c r="UD10" s="80"/>
      <c r="UE10" s="80"/>
      <c r="UF10" s="80"/>
      <c r="UG10" s="80"/>
      <c r="UH10" s="80"/>
      <c r="UI10" s="80"/>
      <c r="UJ10" s="80"/>
      <c r="UK10" s="80"/>
      <c r="UL10" s="80"/>
      <c r="UM10" s="80"/>
      <c r="UN10" s="80"/>
      <c r="UO10" s="80"/>
      <c r="UP10" s="80"/>
      <c r="UQ10" s="80"/>
      <c r="UR10" s="80"/>
      <c r="US10" s="80"/>
      <c r="UT10" s="80"/>
      <c r="UU10" s="80"/>
      <c r="UV10" s="80"/>
      <c r="UW10" s="80"/>
      <c r="UX10" s="80"/>
      <c r="UY10" s="80"/>
      <c r="UZ10" s="80"/>
      <c r="VA10" s="80"/>
      <c r="VB10" s="80"/>
      <c r="VC10" s="80"/>
      <c r="VD10" s="80"/>
      <c r="VE10" s="80"/>
      <c r="VF10" s="80"/>
      <c r="VG10" s="80"/>
      <c r="VH10" s="80"/>
      <c r="VI10" s="80"/>
      <c r="VJ10" s="80"/>
      <c r="VK10" s="80"/>
      <c r="VL10" s="80"/>
      <c r="VM10" s="80"/>
      <c r="VN10" s="80"/>
      <c r="VO10" s="80"/>
      <c r="VP10" s="80"/>
      <c r="VQ10" s="80"/>
      <c r="VR10" s="80"/>
      <c r="VS10" s="80"/>
      <c r="VT10" s="80"/>
      <c r="VU10" s="80"/>
      <c r="VV10" s="80"/>
      <c r="VW10" s="80"/>
      <c r="VX10" s="80"/>
      <c r="VY10" s="80"/>
      <c r="VZ10" s="80"/>
      <c r="WA10" s="80"/>
      <c r="WB10" s="80"/>
      <c r="WC10" s="80"/>
      <c r="WD10" s="80"/>
      <c r="WE10" s="80"/>
      <c r="WF10" s="80"/>
      <c r="WG10" s="80"/>
      <c r="WH10" s="80"/>
      <c r="WI10" s="80"/>
      <c r="WJ10" s="80"/>
      <c r="WK10" s="80"/>
      <c r="WL10" s="80"/>
      <c r="WM10" s="80"/>
      <c r="WN10" s="80"/>
      <c r="WO10" s="80"/>
      <c r="WP10" s="80"/>
      <c r="WQ10" s="80"/>
      <c r="WR10" s="80"/>
      <c r="WS10" s="80"/>
      <c r="WT10" s="80"/>
      <c r="WU10" s="80"/>
      <c r="WV10" s="80"/>
      <c r="WW10" s="80"/>
      <c r="WX10" s="80"/>
      <c r="WY10" s="80"/>
      <c r="WZ10" s="80"/>
      <c r="XA10" s="80"/>
      <c r="XB10" s="80"/>
      <c r="XC10" s="80"/>
      <c r="XD10" s="80"/>
      <c r="XE10" s="80"/>
      <c r="XF10" s="80"/>
      <c r="XG10" s="80"/>
      <c r="XH10" s="80"/>
      <c r="XI10" s="80"/>
      <c r="XJ10" s="80"/>
      <c r="XK10" s="80"/>
      <c r="XL10" s="80"/>
      <c r="XM10" s="80"/>
      <c r="XN10" s="80"/>
      <c r="XO10" s="80"/>
      <c r="XP10" s="80"/>
      <c r="XQ10" s="80"/>
      <c r="XR10" s="80"/>
      <c r="XS10" s="80"/>
      <c r="XT10" s="80"/>
      <c r="XU10" s="80"/>
      <c r="XV10" s="80"/>
      <c r="XW10" s="80"/>
      <c r="XX10" s="80"/>
      <c r="XY10" s="80"/>
      <c r="XZ10" s="80"/>
      <c r="YA10" s="80"/>
      <c r="YB10" s="80"/>
      <c r="YC10" s="80"/>
      <c r="YD10" s="80"/>
      <c r="YE10" s="80"/>
      <c r="YF10" s="80"/>
      <c r="YG10" s="80"/>
      <c r="YH10" s="80"/>
      <c r="YI10" s="80"/>
      <c r="YJ10" s="80"/>
      <c r="YK10" s="80"/>
      <c r="YL10" s="80"/>
      <c r="YM10" s="80"/>
      <c r="YN10" s="80"/>
      <c r="YO10" s="80"/>
      <c r="YP10" s="80"/>
      <c r="YQ10" s="80"/>
      <c r="YR10" s="80"/>
      <c r="YS10" s="80"/>
      <c r="YT10" s="80"/>
      <c r="YU10" s="80"/>
      <c r="YV10" s="80"/>
      <c r="YW10" s="80"/>
      <c r="YX10" s="80"/>
      <c r="YY10" s="80"/>
      <c r="YZ10" s="80"/>
      <c r="ZA10" s="80"/>
      <c r="ZB10" s="80"/>
      <c r="ZC10" s="80"/>
      <c r="ZD10" s="80"/>
      <c r="ZE10" s="80"/>
      <c r="ZF10" s="80"/>
      <c r="ZG10" s="80"/>
      <c r="ZH10" s="80"/>
      <c r="ZI10" s="80"/>
      <c r="ZJ10" s="80"/>
      <c r="ZK10" s="80"/>
      <c r="ZL10" s="80"/>
      <c r="ZM10" s="80"/>
      <c r="ZN10" s="80"/>
      <c r="ZO10" s="80"/>
      <c r="ZP10" s="80"/>
      <c r="ZQ10" s="80"/>
      <c r="ZR10" s="80"/>
      <c r="ZS10" s="80"/>
      <c r="ZT10" s="80"/>
      <c r="ZU10" s="80"/>
      <c r="ZV10" s="80"/>
      <c r="ZW10" s="80"/>
      <c r="ZX10" s="80"/>
      <c r="ZY10" s="80"/>
      <c r="ZZ10" s="80"/>
      <c r="AAA10" s="80"/>
      <c r="AAB10" s="80"/>
      <c r="AAC10" s="80"/>
      <c r="AAD10" s="80"/>
      <c r="AAE10" s="80"/>
      <c r="AAF10" s="80"/>
      <c r="AAG10" s="80"/>
      <c r="AAH10" s="80"/>
      <c r="AAI10" s="80"/>
      <c r="AAJ10" s="80"/>
      <c r="AAK10" s="80"/>
      <c r="AAL10" s="80"/>
      <c r="AAM10" s="80"/>
      <c r="AAN10" s="80"/>
      <c r="AAO10" s="80"/>
      <c r="AAP10" s="80"/>
      <c r="AAQ10" s="80"/>
      <c r="AAR10" s="80"/>
      <c r="AAS10" s="80"/>
      <c r="AAT10" s="80"/>
      <c r="AAU10" s="80"/>
      <c r="AAV10" s="80"/>
      <c r="AAW10" s="80"/>
      <c r="AAX10" s="80"/>
      <c r="AAY10" s="80"/>
      <c r="AAZ10" s="80"/>
      <c r="ABA10" s="80"/>
      <c r="ABB10" s="80"/>
      <c r="ABC10" s="80"/>
      <c r="ABD10" s="80"/>
      <c r="ABE10" s="80"/>
      <c r="ABF10" s="80"/>
      <c r="ABG10" s="80"/>
      <c r="ABH10" s="80"/>
      <c r="ABI10" s="80"/>
      <c r="ABJ10" s="80"/>
      <c r="ABK10" s="80"/>
      <c r="ABL10" s="80"/>
      <c r="ABM10" s="80"/>
      <c r="ABN10" s="80"/>
      <c r="ABO10" s="80"/>
      <c r="ABP10" s="80"/>
      <c r="ABQ10" s="80"/>
      <c r="ABR10" s="80"/>
      <c r="ABS10" s="80"/>
      <c r="ABT10" s="80"/>
      <c r="ABU10" s="80"/>
      <c r="ABV10" s="80"/>
      <c r="ABW10" s="80"/>
      <c r="ABX10" s="80"/>
      <c r="ABY10" s="80"/>
      <c r="ABZ10" s="80"/>
      <c r="ACA10" s="80"/>
      <c r="ACB10" s="80"/>
      <c r="ACC10" s="80"/>
      <c r="ACD10" s="80" t="str">
        <f>IF('Job Sheet'!J16="Fibreglass Mesh",CONCATENATE('Job Sheet'!W16," x ",'Job Sheet'!X16),"")</f>
        <v/>
      </c>
      <c r="ACE10" s="80" t="str">
        <f>IF('Job Sheet'!J16="Alu-screen",CONCATENATE('Job Sheet'!W16," x ",'Job Sheet'!X16),"")</f>
        <v/>
      </c>
      <c r="ACF10" s="80" t="str">
        <f>IF('Job Sheet'!J16="Pet Mesh",CONCATENATE('Job Sheet'!W16," x ",'Job Sheet'!X16),"")</f>
        <v/>
      </c>
      <c r="ACH10" s="80"/>
    </row>
    <row r="11" spans="4:762" ht="13.2" customHeight="1">
      <c r="D11" t="str">
        <f>IF(OR(Data!AV17="",Data!BN17="Invisi-Scape"),"",CONCATENATE(Data!BC$5,".",Data!BD$5))</f>
        <v/>
      </c>
      <c r="E11" t="str">
        <f>IF(D11="","",Data!AW17)</f>
        <v/>
      </c>
      <c r="F11" t="str">
        <f>IF(D11="","",Data!AV17)</f>
        <v/>
      </c>
      <c r="G11" t="str">
        <f t="shared" si="0"/>
        <v/>
      </c>
      <c r="H11" t="str">
        <f>IF(D11="","",Data!BF$5)</f>
        <v/>
      </c>
      <c r="I11" t="str">
        <f>IF(D11="","",Data!AX$5)</f>
        <v/>
      </c>
      <c r="J11" s="80" t="str">
        <f>IF(AND('Mitred Cutting'!E17="70mm x 20mm",'Mitred Cutting'!D17="APO Grey"),(('Job Sheet'!W17+'Job Sheet'!X17)*2),"")</f>
        <v/>
      </c>
      <c r="K11" s="80" t="str">
        <f>IF(AND('Mitred Cutting'!E17="70mm x 20mm",'Mitred Cutting'!D17="White Birch"),(('Job Sheet'!W17+'Job Sheet'!X17)*2),"")</f>
        <v/>
      </c>
      <c r="L11" s="80" t="str">
        <f>IF(AND('Mitred Cutting'!E17="70mm x 20mm",'Mitred Cutting'!D17="Black"),(('Job Sheet'!W17+'Job Sheet'!X17)*2),"")</f>
        <v/>
      </c>
      <c r="M11" s="80" t="str">
        <f>IF(AND('Mitred Cutting'!E17="70mm x 20mm",'Mitred Cutting'!D17="Brown"),(('Job Sheet'!W17+'Job Sheet'!X17)*2),"")</f>
        <v/>
      </c>
      <c r="N11" s="80" t="str">
        <f>IF(AND('Mitred Cutting'!E17="70mm x 20mm",'Mitred Cutting'!D17="Deep Ocean"),(('Job Sheet'!W17+'Job Sheet'!X17)*2),"")</f>
        <v/>
      </c>
      <c r="O11" s="80" t="str">
        <f>IF(AND('Mitred Cutting'!E17="70mm x 20mm",'Mitred Cutting'!D17="Jasper"),(('Job Sheet'!W17+'Job Sheet'!X17)*2),"")</f>
        <v/>
      </c>
      <c r="P11" s="80" t="str">
        <f>IF(AND('Mitred Cutting'!E17="70mm x 20mm",'Mitred Cutting'!D17="Paperbark"),(('Job Sheet'!W17+'Job Sheet'!X17)*2),"")</f>
        <v/>
      </c>
      <c r="Q11" s="80" t="str">
        <f>IF(AND('Mitred Cutting'!E17="70mm x 20mm",'Mitred Cutting'!D17="Mist Green"),(('Job Sheet'!W17+'Job Sheet'!X17)*2),"")</f>
        <v/>
      </c>
      <c r="R11" s="80" t="str">
        <f>IF(AND('Mitred Cutting'!E17="70mm x 20mm",'Mitred Cutting'!D17="Primrose"),(('Job Sheet'!W17+'Job Sheet'!X17)*2),"")</f>
        <v/>
      </c>
      <c r="S11" s="80" t="str">
        <f>IF(AND('Mitred Cutting'!E17="70mm x 20mm",'Mitred Cutting'!D17="Ultra Silver"),(('Job Sheet'!W17+'Job Sheet'!X17)*2),"")</f>
        <v/>
      </c>
      <c r="T11" s="80" t="str">
        <f>IF(AND('Mitred Cutting'!E17="70mm x 20mm",'Mitred Cutting'!D17="Woodland Grey(Green Tone)"),(('Job Sheet'!W17+'Job Sheet'!X17)*2),"")</f>
        <v/>
      </c>
      <c r="U11" s="80" t="str">
        <f>IF(AND('Mitred Cutting'!E17="70mm x 20mm",'Mitred Cutting'!D17="Pearl White"),(('Job Sheet'!W17+'Job Sheet'!X17)*2),"")</f>
        <v/>
      </c>
      <c r="V11" s="80" t="str">
        <f>IF(AND('Mitred Cutting'!E17="70mm x 20mm",'Mitred Cutting'!D17="Monument"),(('Job Sheet'!W17+'Job Sheet'!X17)*2),"")</f>
        <v/>
      </c>
      <c r="W11" s="80" t="str">
        <f>IF(AND('Mitred Cutting'!E17="70mm x 20mm",'Mitred Cutting'!D17="Surfmist"),(('Job Sheet'!W17+'Job Sheet'!X17)*2),"")</f>
        <v/>
      </c>
      <c r="X11" s="80" t="str">
        <f>IF(AND('Mitred Cutting'!E17="70mm x 20mm",'Mitred Cutting'!D17="Dune"),(('Job Sheet'!W17+'Job Sheet'!X17)*2),"")</f>
        <v/>
      </c>
      <c r="Y11" s="80"/>
      <c r="Z11" s="80" t="str">
        <f>IF(AND('Mitred Cutting'!E17="70mm x 20mm",'Mitred Cutting'!D17="Powdercoat"),(('Job Sheet'!W17+'Job Sheet'!X17)*2),"")</f>
        <v/>
      </c>
      <c r="AA11" s="80" t="str">
        <f>IF(AND('Mitred Cutting'!E17="Invisi-Gard 70mm x 20mm",'Mitred Cutting'!D17="APO Grey"),(('Job Sheet'!W17+'Job Sheet'!X17)*2),"")</f>
        <v/>
      </c>
      <c r="AB11" s="80" t="str">
        <f>IF(AND('Mitred Cutting'!E17="Invisi-Gard 70mm x 20mm",'Mitred Cutting'!D17="White Birch"),(('Job Sheet'!W17+'Job Sheet'!X17)*2),"")</f>
        <v/>
      </c>
      <c r="AC11" s="80" t="str">
        <f>IF(AND('Mitred Cutting'!E17="Invisi-Gard 70mm x 20mm",'Mitred Cutting'!D17="Black"),(('Job Sheet'!W17+'Job Sheet'!X17)*2),"")</f>
        <v/>
      </c>
      <c r="AD11" s="80" t="str">
        <f>IF(AND('Mitred Cutting'!E17="Invisi-Gard 70mm x 20mm",'Mitred Cutting'!D17="Brown"),(('Job Sheet'!W17+'Job Sheet'!X17)*2),"")</f>
        <v/>
      </c>
      <c r="AE11" s="80" t="str">
        <f>IF(AND('Mitred Cutting'!E17="Invisi-Gard 70mm x 20mm",'Mitred Cutting'!D17="Deep Ocean"),(('Job Sheet'!W17+'Job Sheet'!X17)*2),"")</f>
        <v/>
      </c>
      <c r="AF11" s="80" t="str">
        <f>IF(AND('Mitred Cutting'!E17="Invisi-Gard 70mm x 20mm",'Mitred Cutting'!D17="Jasper"),(('Job Sheet'!W17+'Job Sheet'!X17)*2),"")</f>
        <v/>
      </c>
      <c r="AG11" s="80" t="str">
        <f>IF(AND('Mitred Cutting'!E17="Invisi-Gard 70mm x 20mm",'Mitred Cutting'!D17="Paperbark"),(('Job Sheet'!W17+'Job Sheet'!X17)*2),"")</f>
        <v/>
      </c>
      <c r="AH11" s="80" t="str">
        <f>IF(AND('Mitred Cutting'!E17="Invisi-Gard 70mm x 20mm",'Mitred Cutting'!D17="Mist Green"),(('Job Sheet'!W17+'Job Sheet'!X17)*2),"")</f>
        <v/>
      </c>
      <c r="AI11" s="80" t="str">
        <f>IF(AND('Mitred Cutting'!E17="Invisi-Gard 70mm x 20mm",'Mitred Cutting'!D17="Primrose"),(('Job Sheet'!W17+'Job Sheet'!X17)*2),"")</f>
        <v/>
      </c>
      <c r="AJ11" s="80" t="str">
        <f>IF(AND('Mitred Cutting'!E17="Invisi-Gard 70mm x 20mm",'Mitred Cutting'!D17="Ultra Silver"),(('Job Sheet'!W17+'Job Sheet'!X17)*2),"")</f>
        <v/>
      </c>
      <c r="AK11" s="80" t="str">
        <f>IF(AND('Mitred Cutting'!E17="Invisi-Gard 70mm x 20mm",'Mitred Cutting'!D17="Woodland Grey(Green Tone)"),(('Job Sheet'!W17+'Job Sheet'!X17)*2),"")</f>
        <v/>
      </c>
      <c r="AL11" s="80" t="str">
        <f>IF(AND('Mitred Cutting'!E17="Invisi-Gard 70mm x 20mm",'Mitred Cutting'!D17="Pearl White"),(('Job Sheet'!W17+'Job Sheet'!X17)*2),"")</f>
        <v/>
      </c>
      <c r="AM11" s="80" t="str">
        <f>IF(AND('Mitred Cutting'!E17="Invisi-Gard 70mm x 20mm",'Mitred Cutting'!D17="Monument"),(('Job Sheet'!W17+'Job Sheet'!X17)*2),"")</f>
        <v/>
      </c>
      <c r="AN11" s="80" t="str">
        <f>IF(AND('Mitred Cutting'!E17="Invisi-Gard 70mm x 20mm",'Mitred Cutting'!D17="Surfmist"),(('Job Sheet'!W17+'Job Sheet'!X17)*2),"")</f>
        <v/>
      </c>
      <c r="AO11" s="80" t="str">
        <f>IF(AND('Mitred Cutting'!E17="Invisi-Gard 70mm x 20mm",'Mitred Cutting'!D17="Dune"),(('Job Sheet'!W17+'Job Sheet'!X17)*2),"")</f>
        <v/>
      </c>
      <c r="AP11" s="80"/>
      <c r="AQ11" s="80" t="str">
        <f>IF(AND('Mitred Cutting'!E17="Invisi-Gard 70mm x 20mm",'Mitred Cutting'!D17="Powdercoat"),(('Job Sheet'!W17+'Job Sheet'!X17)*2),"")</f>
        <v/>
      </c>
      <c r="AR11" s="80" t="str">
        <f>IF(AND('Mitred Cutting'!E17="37mm x 11mm",'Mitred Cutting'!D17="APO Grey"),(('Job Sheet'!W17+'Job Sheet'!X17)*2),"")</f>
        <v/>
      </c>
      <c r="AS11" s="80" t="str">
        <f>IF(AND('Mitred Cutting'!E17="37mm x 11mm",'Mitred Cutting'!D17="White Birch"),(('Job Sheet'!W17+'Job Sheet'!X17)*2),"")</f>
        <v/>
      </c>
      <c r="AT11" s="80" t="str">
        <f>IF(AND('Mitred Cutting'!E17="37mm x 11mm",'Mitred Cutting'!D17="Black"),(('Job Sheet'!W17+'Job Sheet'!X17)*2),"")</f>
        <v/>
      </c>
      <c r="AU11" s="80" t="str">
        <f>IF(AND('Mitred Cutting'!E17="37mm x 11mm",'Mitred Cutting'!D17="Brown"),(('Job Sheet'!W17+'Job Sheet'!X17)*2),"")</f>
        <v/>
      </c>
      <c r="AV11" s="80" t="str">
        <f>IF(AND('Mitred Cutting'!E17="37mm x 11mm",'Mitred Cutting'!D17="Deep Ocean"),(('Job Sheet'!W17+'Job Sheet'!X17)*2),"")</f>
        <v/>
      </c>
      <c r="AW11" s="80" t="str">
        <f>IF(AND('Mitred Cutting'!E17="37mm x 11mm",'Mitred Cutting'!D17="Jasper"),(('Job Sheet'!W17+'Job Sheet'!X17)*2),"")</f>
        <v/>
      </c>
      <c r="AX11" s="80" t="str">
        <f>IF(AND('Mitred Cutting'!E17="37mm x 11mm",'Mitred Cutting'!D17="Paperbark"),(('Job Sheet'!W17+'Job Sheet'!X17)*2),"")</f>
        <v/>
      </c>
      <c r="AY11" s="80" t="str">
        <f>IF(AND('Mitred Cutting'!E17="37mm x 11mm",'Mitred Cutting'!D17="Mist Green"),(('Job Sheet'!W17+'Job Sheet'!X17)*2),"")</f>
        <v/>
      </c>
      <c r="AZ11" s="80" t="str">
        <f>IF(AND('Mitred Cutting'!E17="37mm x 11mm",'Mitred Cutting'!D17="Primrose"),(('Job Sheet'!W17+'Job Sheet'!X17)*2),"")</f>
        <v/>
      </c>
      <c r="BA11" s="80" t="str">
        <f>IF(AND('Mitred Cutting'!E17="37mm x 11mm",'Mitred Cutting'!D17="Ultra Silver"),(('Job Sheet'!W17+'Job Sheet'!X17)*2),"")</f>
        <v/>
      </c>
      <c r="BB11" s="80" t="str">
        <f>IF(AND('Mitred Cutting'!E17="37mm x 11mm",'Mitred Cutting'!D17="Woodland Grey(Green Tone)"),(('Job Sheet'!W17+'Job Sheet'!X17)*2),"")</f>
        <v/>
      </c>
      <c r="BC11" s="80" t="str">
        <f>IF(AND('Mitred Cutting'!E17="37mm x 11mm",'Mitred Cutting'!D17="Pearl White"),(('Job Sheet'!W17+'Job Sheet'!X17)*2),"")</f>
        <v/>
      </c>
      <c r="BD11" s="80" t="str">
        <f>IF(AND('Mitred Cutting'!E17="37mm x 11mm",'Mitred Cutting'!D17="Monument"),(('Job Sheet'!W17+'Job Sheet'!X17)*2),"")</f>
        <v/>
      </c>
      <c r="BE11" s="80" t="str">
        <f>IF(AND('Mitred Cutting'!E17="37mm x 11mm",'Mitred Cutting'!D17="Surfmist"),(('Job Sheet'!W17+'Job Sheet'!X17)*2),"")</f>
        <v/>
      </c>
      <c r="BF11" s="80" t="str">
        <f>IF(AND('Mitred Cutting'!E17="37mm x 11mm",'Mitred Cutting'!D17="Dune"),(('Job Sheet'!W17+'Job Sheet'!X17)*2),"")</f>
        <v/>
      </c>
      <c r="BG11" s="80" t="str">
        <f>IF(AND('Mitred Cutting'!E17="37mm x 11mm",'Mitred Cutting'!D17="Woodland Grey (Dulux)"),(('Job Sheet'!W17+'Job Sheet'!X17)*2),"")</f>
        <v/>
      </c>
      <c r="BH11" s="80" t="str">
        <f>IF(AND('Mitred Cutting'!E17="37mm x 11mm",'Mitred Cutting'!D17="Powdercoat"),(('Job Sheet'!W17+'Job Sheet'!X17)*2),"")</f>
        <v/>
      </c>
      <c r="BI11" s="80" t="str">
        <f>IF(AND('Mitred Cutting'!E17="Invisi-Gard 37mm x 11mm",'Mitred Cutting'!D17="APO Grey"),(('Job Sheet'!W17+'Job Sheet'!X17)*2),"")</f>
        <v/>
      </c>
      <c r="BJ11" s="80" t="str">
        <f>IF(AND('Mitred Cutting'!E17="Invisi-Gard 37mm x 11mm",'Mitred Cutting'!D17="White Birch"),(('Job Sheet'!W17+'Job Sheet'!X17)*2),"")</f>
        <v/>
      </c>
      <c r="BK11" s="80" t="str">
        <f>IF(AND('Mitred Cutting'!E17="Invisi-Gard 37mm x 11mm",'Mitred Cutting'!D17="Black"),(('Job Sheet'!W17+'Job Sheet'!X17)*2),"")</f>
        <v/>
      </c>
      <c r="BL11" s="80" t="str">
        <f>IF(AND('Mitred Cutting'!E17="Invisi-Gard 37mm x 11mm",'Mitred Cutting'!D17="Brown"),(('Job Sheet'!W17+'Job Sheet'!X17)*2),"")</f>
        <v/>
      </c>
      <c r="BM11" s="80" t="str">
        <f>IF(AND('Mitred Cutting'!E17="Invisi-Gard 37mm x 11mm",'Mitred Cutting'!D17="Deep Ocean"),(('Job Sheet'!W17+'Job Sheet'!X17)*2),"")</f>
        <v/>
      </c>
      <c r="BN11" s="80" t="str">
        <f>IF(AND('Mitred Cutting'!E17="Invisi-Gard 37mm x 11mm",'Mitred Cutting'!D17="Jasper"),(('Job Sheet'!W17+'Job Sheet'!X17)*2),"")</f>
        <v/>
      </c>
      <c r="BO11" s="80" t="str">
        <f>IF(AND('Mitred Cutting'!E17="Invisi-Gard 37mm x 11mm",'Mitred Cutting'!D17="Paperbark"),(('Job Sheet'!W17+'Job Sheet'!X17)*2),"")</f>
        <v/>
      </c>
      <c r="BP11" s="80" t="str">
        <f>IF(AND('Mitred Cutting'!E17="Invisi-Gard 37mm x 11mm",'Mitred Cutting'!D17="Mist Green"),(('Job Sheet'!W17+'Job Sheet'!X17)*2),"")</f>
        <v/>
      </c>
      <c r="BQ11" s="80" t="str">
        <f>IF(AND('Mitred Cutting'!E17="Invisi-Gard 37mm x 11mm",'Mitred Cutting'!D17="Primrose"),(('Job Sheet'!W17+'Job Sheet'!X17)*2),"")</f>
        <v/>
      </c>
      <c r="BR11" s="80" t="str">
        <f>IF(AND('Mitred Cutting'!E17="Invisi-Gard 37mm x 11mm",'Mitred Cutting'!D17="Ultra Silver"),(('Job Sheet'!W17+'Job Sheet'!X17)*2),"")</f>
        <v/>
      </c>
      <c r="BS11" s="80" t="str">
        <f>IF(AND('Mitred Cutting'!E17="Invisi-Gard 37mm x 11mm",'Mitred Cutting'!D17="Woodland Grey(Green Tone)"),(('Job Sheet'!W17+'Job Sheet'!X17)*2),"")</f>
        <v/>
      </c>
      <c r="BT11" s="80" t="str">
        <f>IF(AND('Mitred Cutting'!E17="Invisi-Gard 37mm x 11mm",'Mitred Cutting'!D17="Pearl White"),(('Job Sheet'!W17+'Job Sheet'!X17)*2),"")</f>
        <v/>
      </c>
      <c r="BU11" s="80" t="str">
        <f>IF(AND('Mitred Cutting'!E17="Invisi-Gard 37mm x 11mm",'Mitred Cutting'!D17="Monument"),(('Job Sheet'!W17+'Job Sheet'!X17)*2),"")</f>
        <v/>
      </c>
      <c r="BV11" s="80" t="str">
        <f>IF(AND('Mitred Cutting'!E17="Invisi-Gard 37mm x 11mm",'Mitred Cutting'!D17="Surfmist"),(('Job Sheet'!W17+'Job Sheet'!X17)*2),"")</f>
        <v/>
      </c>
      <c r="BW11" s="80" t="str">
        <f>IF(AND('Mitred Cutting'!E17="Invisi-Gard 37mm x 11mm",'Mitred Cutting'!D17="Dune"),(('Job Sheet'!W17+'Job Sheet'!X17)*2),"")</f>
        <v/>
      </c>
      <c r="BX11" s="80"/>
      <c r="BY11" s="80" t="str">
        <f>IF(AND('Mitred Cutting'!E17="Invisi-Gard 37mm x 11mm",'Mitred Cutting'!D17="Powdercoat"),(('Job Sheet'!W17+'Job Sheet'!X17)*2),"")</f>
        <v/>
      </c>
      <c r="BZ11" s="80" t="str">
        <f>IF(AND('Mitred Cutting'!E17="Invisi-Gard 37mm x 9mm",'Mitred Cutting'!D17="APO Grey"),(('Job Sheet'!W17+'Job Sheet'!X17)*2),"")</f>
        <v/>
      </c>
      <c r="CA11" s="80" t="str">
        <f>IF(AND('Mitred Cutting'!E17="Invisi-Gard 37mm x 9mm",'Mitred Cutting'!D17="White Birch"),(('Job Sheet'!W17+'Job Sheet'!X17)*2),"")</f>
        <v/>
      </c>
      <c r="CB11" s="80" t="str">
        <f>IF(AND('Mitred Cutting'!E17="Invisi-Gard 37mm x 9mm",'Mitred Cutting'!D17="Black"),(('Job Sheet'!W17+'Job Sheet'!X17)*2),"")</f>
        <v/>
      </c>
      <c r="CC11" s="80" t="str">
        <f>IF(AND('Mitred Cutting'!E17="Invisi-Gard 37mm x 9mm",'Mitred Cutting'!D17="Brown"),(('Job Sheet'!W17+'Job Sheet'!X17)*2),"")</f>
        <v/>
      </c>
      <c r="CD11" s="80" t="str">
        <f>IF(AND('Mitred Cutting'!E17="Invisi-Gard 37mm x 9mm",'Mitred Cutting'!D17="Deep Ocean"),(('Job Sheet'!W17+'Job Sheet'!X17)*2),"")</f>
        <v/>
      </c>
      <c r="CE11" s="80" t="str">
        <f>IF(AND('Mitred Cutting'!E17="Invisi-Gard 37mm x 9mm",'Mitred Cutting'!D17="Jasper"),(('Job Sheet'!W17+'Job Sheet'!X17)*2),"")</f>
        <v/>
      </c>
      <c r="CF11" s="80" t="str">
        <f>IF(AND('Mitred Cutting'!E17="Invisi-Gard 37mm x 9mm",'Mitred Cutting'!D17="Paperbark"),(('Job Sheet'!W17+'Job Sheet'!X17)*2),"")</f>
        <v/>
      </c>
      <c r="CG11" s="80" t="str">
        <f>IF(AND('Mitred Cutting'!E17="Invisi-Gard 37mm x 9mm",'Mitred Cutting'!D17="Mist Green"),(('Job Sheet'!W17+'Job Sheet'!X17)*2),"")</f>
        <v/>
      </c>
      <c r="CH11" s="80" t="str">
        <f>IF(AND('Mitred Cutting'!E17="Invisi-Gard 37mm x 9mm",'Mitred Cutting'!D17="Primrose"),(('Job Sheet'!W17+'Job Sheet'!X17)*2),"")</f>
        <v/>
      </c>
      <c r="CI11" s="80" t="str">
        <f>IF(AND('Mitred Cutting'!E17="Invisi-Gard 37mm x 9mm",'Mitred Cutting'!D17="Ultra Silver"),(('Job Sheet'!W17+'Job Sheet'!X17)*2),"")</f>
        <v/>
      </c>
      <c r="CJ11" s="80" t="str">
        <f>IF(AND('Mitred Cutting'!E17="Invisi-Gard 37mm x 9mm",'Mitred Cutting'!D17="Woodland Grey(Green Tone)"),(('Job Sheet'!W17+'Job Sheet'!X17)*2),"")</f>
        <v/>
      </c>
      <c r="CK11" s="80" t="str">
        <f>IF(AND('Mitred Cutting'!E17="Invisi-Gard 37mm x 9mm",'Mitred Cutting'!D17="Pearl White"),(('Job Sheet'!W17+'Job Sheet'!X17)*2),"")</f>
        <v/>
      </c>
      <c r="CL11" s="80" t="str">
        <f>IF(AND('Mitred Cutting'!E17="Invisi-Gard 37mm x 9mm",'Mitred Cutting'!D17="Monument"),(('Job Sheet'!W17+'Job Sheet'!X17)*2),"")</f>
        <v/>
      </c>
      <c r="CM11" s="80" t="str">
        <f>IF(AND('Mitred Cutting'!E17="Invisi-Gard 37mm x 9mm",'Mitred Cutting'!D17="Surfmist"),(('Job Sheet'!W17+'Job Sheet'!X17)*2),"")</f>
        <v/>
      </c>
      <c r="CN11" s="80" t="str">
        <f>IF(AND('Mitred Cutting'!E17="Invisi-Gard 37mm x 9mm",'Mitred Cutting'!D17="Dune"),(('Job Sheet'!W17+'Job Sheet'!X17)*2),"")</f>
        <v/>
      </c>
      <c r="CO11" s="80"/>
      <c r="CP11" s="80" t="str">
        <f>IF(AND('Mitred Cutting'!E17="Invisi-Gard 37mm x 9mm",'Mitred Cutting'!D17="Powdercoat"),(('Job Sheet'!W17+'Job Sheet'!X17)*2),"")</f>
        <v/>
      </c>
      <c r="CQ11" s="80"/>
      <c r="CR11" s="80"/>
      <c r="CS11" s="80"/>
      <c r="CT11" s="80"/>
      <c r="CU11" s="80"/>
      <c r="CV11" s="80"/>
      <c r="CW11" s="80"/>
      <c r="CX11" s="80"/>
      <c r="CY11" s="80"/>
      <c r="CZ11" s="80"/>
      <c r="DA11" s="80"/>
      <c r="DB11" s="80"/>
      <c r="DC11" s="80"/>
      <c r="DD11" s="80"/>
      <c r="DE11" s="80"/>
      <c r="DF11" s="80"/>
      <c r="DG11" s="80"/>
      <c r="DH11" s="80"/>
      <c r="DI11" s="80"/>
      <c r="DJ11" s="80"/>
      <c r="DK11" s="80"/>
      <c r="DL11" s="80"/>
      <c r="DM11" s="80"/>
      <c r="DN11" s="80"/>
      <c r="DO11" s="80"/>
      <c r="DP11" s="80"/>
      <c r="DQ11" s="80"/>
      <c r="DR11" s="80"/>
      <c r="DS11" s="80"/>
      <c r="DT11" s="80"/>
      <c r="DU11" s="80"/>
      <c r="DV11" s="80"/>
      <c r="DW11" s="80"/>
      <c r="DX11" s="80"/>
      <c r="DY11" s="80" t="str">
        <f>IF(AND('Mitred Cutting'!E17="9mm",'Mitred Cutting'!D17="APO Grey",'Job Sheet'!P17&lt;&gt;""),(('Job Sheet'!W17+'Job Sheet'!X17)*2)+'Job Sheet'!AG17,IF(AND('Mitred Cutting'!E17="9mm",'Mitred Cutting'!D17="APO Grey"),(('Job Sheet'!W17+'Job Sheet'!X17)*2),""))</f>
        <v/>
      </c>
      <c r="DZ11" s="80" t="str">
        <f>IF(AND('Mitred Cutting'!E17="9mm",'Mitred Cutting'!D17="White Birch",'Job Sheet'!P17&lt;&gt;""),(('Job Sheet'!W17+'Job Sheet'!X17)*2)+'Job Sheet'!AG17,IF(AND('Mitred Cutting'!E17="9mm",'Mitred Cutting'!D17="White Birch"),(('Job Sheet'!W17+'Job Sheet'!X17)*2),""))</f>
        <v/>
      </c>
      <c r="EA11" s="80" t="str">
        <f>IF(AND('Mitred Cutting'!E17="9mm",'Mitred Cutting'!D17="Black",'Job Sheet'!P17&lt;&gt;""),(('Job Sheet'!W17+'Job Sheet'!X17)*2)+'Job Sheet'!AG17,IF(AND('Mitred Cutting'!E17="9mm",'Mitred Cutting'!D17="Black"),(('Job Sheet'!W17+'Job Sheet'!X17)*2),""))</f>
        <v/>
      </c>
      <c r="EB11" s="80" t="str">
        <f>IF(AND('Mitred Cutting'!E17="9mm",'Mitred Cutting'!D17="Brown",'Job Sheet'!P17&lt;&gt;""),(('Job Sheet'!W17+'Job Sheet'!X17)*2)+'Job Sheet'!AG17,IF(AND('Mitred Cutting'!E17="9mm",'Mitred Cutting'!D17="Brown"),(('Job Sheet'!W17+'Job Sheet'!X17)*2),""))</f>
        <v/>
      </c>
      <c r="EC11" s="80" t="str">
        <f>IF(AND('Mitred Cutting'!E17="9mm",'Mitred Cutting'!D17="Deep Ocean",'Job Sheet'!P17&lt;&gt;""),(('Job Sheet'!W17+'Job Sheet'!X17)*2)+'Job Sheet'!AG17,IF(AND('Mitred Cutting'!E17="9mm",'Mitred Cutting'!D17="Deep Ocean"),(('Job Sheet'!W17+'Job Sheet'!X17)*2),""))</f>
        <v/>
      </c>
      <c r="ED11" s="80" t="str">
        <f>IF(AND('Mitred Cutting'!E17="9mm",'Mitred Cutting'!D17="Jasper",'Job Sheet'!P17&lt;&gt;""),(('Job Sheet'!W17+'Job Sheet'!X17)*2)+'Job Sheet'!AG17,IF(AND('Mitred Cutting'!E17="9mm",'Mitred Cutting'!D17="Jasper"),(('Job Sheet'!W17+'Job Sheet'!X17)*2),""))</f>
        <v/>
      </c>
      <c r="EE11" s="80" t="str">
        <f>IF(AND('Mitred Cutting'!E17="9mm",'Mitred Cutting'!D17="Paperbark",'Job Sheet'!P17&lt;&gt;""),(('Job Sheet'!W17+'Job Sheet'!X17)*2)+'Job Sheet'!AG17,IF(AND('Mitred Cutting'!E17="9mm",'Mitred Cutting'!D17="Paperbark"),(('Job Sheet'!W17+'Job Sheet'!X17)*2),""))</f>
        <v/>
      </c>
      <c r="EF11" s="80" t="str">
        <f>IF(AND('Mitred Cutting'!E17="9mm",'Mitred Cutting'!D17="Pale Eucalypt",'Job Sheet'!P17&lt;&gt;""),(('Job Sheet'!W17+'Job Sheet'!X17)*2)+'Job Sheet'!AG17,IF(AND('Mitred Cutting'!E17="9mm",'Mitred Cutting'!D17="Mist Green"),(('Job Sheet'!W17+'Job Sheet'!X17)*2),""))</f>
        <v/>
      </c>
      <c r="EG11" s="80" t="str">
        <f>IF(AND('Mitred Cutting'!E17="9mm",'Mitred Cutting'!D17="Primrose",'Job Sheet'!P17&lt;&gt;""),(('Job Sheet'!W17+'Job Sheet'!X17)*2)+'Job Sheet'!AG17,IF(AND('Mitred Cutting'!E17="9mm",'Mitred Cutting'!D17="Primrose"),(('Job Sheet'!W17+'Job Sheet'!X17)*2),""))</f>
        <v/>
      </c>
      <c r="EH11" s="80" t="str">
        <f>IF(AND('Mitred Cutting'!E17="9mm",'Mitred Cutting'!D17="Ultra Silver",'Job Sheet'!P17&lt;&gt;""),(('Job Sheet'!W17+'Job Sheet'!X17)*2)+'Job Sheet'!AG17,IF(AND('Mitred Cutting'!E17="9mm",'Mitred Cutting'!D17="Ultra Silver"),(('Job Sheet'!W17+'Job Sheet'!X17)*2),""))</f>
        <v/>
      </c>
      <c r="EI11" s="80" t="str">
        <f>IF(AND('Mitred Cutting'!E17="9mm",'Mitred Cutting'!D17="Woodland Grey(Green Tone)",'Job Sheet'!P17&lt;&gt;""),(('Job Sheet'!W17+'Job Sheet'!X17)*2)+'Job Sheet'!AG17,IF(AND('Mitred Cutting'!E17="9mm",'Mitred Cutting'!D17="Woodland Grey(Green Tone)"),(('Job Sheet'!W17+'Job Sheet'!X17)*2),""))</f>
        <v/>
      </c>
      <c r="EJ11" s="80" t="str">
        <f>IF(AND('Mitred Cutting'!E17="9mm",'Mitred Cutting'!D17="Pearl White",'Job Sheet'!P17&lt;&gt;""),(('Job Sheet'!W17+'Job Sheet'!X17)*2)+'Job Sheet'!AG17,IF(AND('Mitred Cutting'!E17="9mm",'Mitred Cutting'!D17="Pearl White"),(('Job Sheet'!W17+'Job Sheet'!X17)*2),""))</f>
        <v/>
      </c>
      <c r="EK11" s="80" t="str">
        <f>IF(AND('Mitred Cutting'!E17="9mm",'Mitred Cutting'!D17="Monument",'Job Sheet'!P17&lt;&gt;""),(('Job Sheet'!W17+'Job Sheet'!X17)*2)+'Job Sheet'!AG17,IF(AND('Mitred Cutting'!E17="9mm",'Mitred Cutting'!D17="Monument"),(('Job Sheet'!W17+'Job Sheet'!X17)*2),""))</f>
        <v/>
      </c>
      <c r="EL11" s="80" t="str">
        <f>IF(AND('Mitred Cutting'!E17="9mm",'Mitred Cutting'!D17="Surfmist",'Job Sheet'!P17&lt;&gt;""),(('Job Sheet'!W17+'Job Sheet'!X17)*2)+'Job Sheet'!AG17,IF(AND('Mitred Cutting'!E17="9mm",'Mitred Cutting'!D17="Surfmist"),(('Job Sheet'!W17+'Job Sheet'!X17)*2),""))</f>
        <v/>
      </c>
      <c r="EM11" s="80" t="str">
        <f>IF(AND('Mitred Cutting'!E17="9mm",'Mitred Cutting'!D17="Dune",'Job Sheet'!P17&lt;&gt;""),(('Job Sheet'!W17+'Job Sheet'!X17)*2)+'Job Sheet'!AG17,IF(AND('Mitred Cutting'!E17="9mm",'Mitred Cutting'!D17="Dune"),(('Job Sheet'!W17+'Job Sheet'!X17)*2),""))</f>
        <v/>
      </c>
      <c r="EN11" s="80" t="str">
        <f>IF(AND('Mitred Cutting'!E17="9mm",'Mitred Cutting'!D17="Powdercoat",'Job Sheet'!P17&lt;&gt;""),(('Job Sheet'!W17+'Job Sheet'!X17)*2)+'Job Sheet'!AG17,IF(AND('Mitred Cutting'!E17="9mm",'Mitred Cutting'!D17="Powdercoat"),(('Job Sheet'!W17+'Job Sheet'!X17)*2),""))</f>
        <v/>
      </c>
      <c r="EO11" s="80" t="str">
        <f>IF(AND('Mitred Cutting'!E17="11mm",'Mitred Cutting'!D17="APO Grey",'Job Sheet'!P17&lt;&gt;""),(('Job Sheet'!W17+'Job Sheet'!X17)*2)+'Job Sheet'!AG17,IF(AND('Mitred Cutting'!E17="11mm",'Mitred Cutting'!D17="APO Grey"),(('Job Sheet'!W17+'Job Sheet'!X17)*2),""))</f>
        <v/>
      </c>
      <c r="EP11" s="80" t="str">
        <f>IF(AND('Mitred Cutting'!E17="11mm",'Mitred Cutting'!D17="White Birch",'Job Sheet'!P17&lt;&gt;""),(('Job Sheet'!W17+'Job Sheet'!X17)*2)+'Job Sheet'!AG17,IF(AND('Mitred Cutting'!E17="11mm",'Mitred Cutting'!D17="White Birch"),(('Job Sheet'!W17+'Job Sheet'!X17)*2),""))</f>
        <v/>
      </c>
      <c r="EQ11" s="84" t="str">
        <f>IF(AND('Mitred Cutting'!E17="11mm",'Mitred Cutting'!D17="Black",'Job Sheet'!P17&lt;&gt;""),(('Job Sheet'!W17+'Job Sheet'!X17)*2)+'Job Sheet'!AG17,IF(AND('Mitred Cutting'!E17="11mm",'Mitred Cutting'!D17="Black"),(('Job Sheet'!W17+'Job Sheet'!X17)*2),""))</f>
        <v/>
      </c>
      <c r="ER11" s="80" t="str">
        <f>IF(AND('Mitred Cutting'!E17="11mm",'Mitred Cutting'!D17="Brown",'Job Sheet'!P17&lt;&gt;""),(('Job Sheet'!W17+'Job Sheet'!X17)*2)+'Job Sheet'!AG17,IF(AND('Mitred Cutting'!E17="11mm",'Mitred Cutting'!D17="Brown"),(('Job Sheet'!W17+'Job Sheet'!X17)*2),""))</f>
        <v/>
      </c>
      <c r="ES11" s="80" t="str">
        <f>IF(AND('Mitred Cutting'!E17="11mm",'Mitred Cutting'!D17="Deep Ocean",'Job Sheet'!P17&lt;&gt;""),(('Job Sheet'!W17+'Job Sheet'!X17)*2)+'Job Sheet'!AG17,IF(AND('Mitred Cutting'!E17="11mm",'Mitred Cutting'!D17="Deep Ocean"),(('Job Sheet'!W17+'Job Sheet'!X17)*2),""))</f>
        <v/>
      </c>
      <c r="ET11" s="80" t="str">
        <f>IF(AND('Mitred Cutting'!E17="11mm",'Mitred Cutting'!D17="Jasper",'Job Sheet'!P17&lt;&gt;""),(('Job Sheet'!W17+'Job Sheet'!X17)*2)+'Job Sheet'!AG17,IF(AND('Mitred Cutting'!E17="11mm",'Mitred Cutting'!D17="Jasper"),(('Job Sheet'!W17+'Job Sheet'!X17)*2),""))</f>
        <v/>
      </c>
      <c r="EU11" s="80" t="str">
        <f>IF(AND('Mitred Cutting'!E17="11mm",'Mitred Cutting'!D17="Paperbark",'Job Sheet'!P17&lt;&gt;""),(('Job Sheet'!W17+'Job Sheet'!X17)*2)+'Job Sheet'!AG17,IF(AND('Mitred Cutting'!E17="11mm",'Mitred Cutting'!D17="Paperbark"),(('Job Sheet'!W17+'Job Sheet'!X17)*2),""))</f>
        <v/>
      </c>
      <c r="EV11" s="80" t="str">
        <f>IF(AND('Mitred Cutting'!E17="11mm",'Mitred Cutting'!D17="Pale Eucalypt",'Job Sheet'!P17&lt;&gt;""),(('Job Sheet'!W17+'Job Sheet'!X17)*2)+'Job Sheet'!AG17,IF(AND('Mitred Cutting'!E17="11mm",'Mitred Cutting'!D17="Pale Eucalypt"),(('Job Sheet'!W17+'Job Sheet'!X17)*2),""))</f>
        <v/>
      </c>
      <c r="EW11" s="80" t="str">
        <f>IF(AND('Mitred Cutting'!E17="11mm",'Mitred Cutting'!D17="Primrose",'Job Sheet'!P17&lt;&gt;""),(('Job Sheet'!W17+'Job Sheet'!X17)*2)+'Job Sheet'!AG17,IF(AND('Mitred Cutting'!E17="11mm",'Mitred Cutting'!D17="Primrose"),(('Job Sheet'!W17+'Job Sheet'!X17)*2),""))</f>
        <v/>
      </c>
      <c r="EX11" s="80" t="str">
        <f>IF(AND('Mitred Cutting'!E17="11mm",'Mitred Cutting'!D17="Ultra Silver",'Job Sheet'!P17&lt;&gt;""),(('Job Sheet'!W17+'Job Sheet'!X17)*2)+'Job Sheet'!AG17,IF(AND('Mitred Cutting'!E17="11mm",'Mitred Cutting'!D17="Ultra Silver"),(('Job Sheet'!W17+'Job Sheet'!X17)*2),""))</f>
        <v/>
      </c>
      <c r="EY11" s="80" t="str">
        <f>IF(AND('Mitred Cutting'!E17="11mm",'Mitred Cutting'!D17="Woodland Grey(Green Tone)",'Job Sheet'!P17&lt;&gt;""),(('Job Sheet'!W17+'Job Sheet'!X17)*2)+'Job Sheet'!AG17,IF(AND('Mitred Cutting'!E17="11mm",'Mitred Cutting'!D17="Woodland Grey(Green Tone)"),(('Job Sheet'!W17+'Job Sheet'!X17)*2),""))</f>
        <v/>
      </c>
      <c r="EZ11" s="80" t="str">
        <f>IF(AND('Mitred Cutting'!E17="11mm",'Mitred Cutting'!D17="Pearl White",'Job Sheet'!P17&lt;&gt;""),(('Job Sheet'!W17+'Job Sheet'!X17)*2)+'Job Sheet'!AG17,IF(AND('Mitred Cutting'!E17="11mm",'Mitred Cutting'!D17="Pearl White"),(('Job Sheet'!W17+'Job Sheet'!X17)*2),""))</f>
        <v/>
      </c>
      <c r="FA11" s="80" t="str">
        <f>IF(AND('Mitred Cutting'!E17="11mm",'Mitred Cutting'!D17="Monument",'Job Sheet'!P17&lt;&gt;""),(('Job Sheet'!W17+'Job Sheet'!X17)*2)+'Job Sheet'!AG17,IF(AND('Mitred Cutting'!E17="11mm",'Mitred Cutting'!D17="Monument"),(('Job Sheet'!W17+'Job Sheet'!X17)*2),""))</f>
        <v/>
      </c>
      <c r="FB11" s="80" t="str">
        <f>IF(AND('Mitred Cutting'!E17="11mm",'Mitred Cutting'!D17="Surfmist",'Job Sheet'!P17&lt;&gt;""),(('Job Sheet'!W17+'Job Sheet'!X17)*2)+'Job Sheet'!AG17,IF(AND('Mitred Cutting'!E17="11mm",'Mitred Cutting'!D17="Surfmist"),(('Job Sheet'!W17+'Job Sheet'!X17)*2),""))</f>
        <v/>
      </c>
      <c r="FC11" s="80" t="str">
        <f>IF(AND('Mitred Cutting'!E17="11mm",'Mitred Cutting'!D17="Dune",'Job Sheet'!P17&lt;&gt;""),(('Job Sheet'!W17+'Job Sheet'!X17)*2)+'Job Sheet'!AG17,IF(AND('Mitred Cutting'!E17="11mm",'Mitred Cutting'!D17="Dune"),(('Job Sheet'!W17+'Job Sheet'!X17)*2),""))</f>
        <v/>
      </c>
      <c r="FD11" s="80" t="str">
        <f>IF(AND('Mitred Cutting'!E17="11mm",'Mitred Cutting'!D17="Powdercoat",'Job Sheet'!P17&lt;&gt;""),(('Job Sheet'!W17+'Job Sheet'!X17)*2)+'Job Sheet'!AG17,IF(AND('Mitred Cutting'!E17="11mm",'Mitred Cutting'!D17="Powdercoat"),(('Job Sheet'!W17+'Job Sheet'!X17)*2),""))</f>
        <v/>
      </c>
      <c r="FE11" s="80"/>
      <c r="FF11" s="80"/>
      <c r="FG11" s="80"/>
      <c r="FH11" s="80"/>
      <c r="FI11" s="80"/>
      <c r="FJ11" s="80"/>
      <c r="FK11" s="80"/>
      <c r="FL11" s="80"/>
      <c r="FM11" s="80"/>
      <c r="FN11" s="80"/>
      <c r="FO11" s="80"/>
      <c r="FP11" s="80"/>
      <c r="FQ11" s="80"/>
      <c r="FR11" s="80"/>
      <c r="FS11" s="80"/>
      <c r="FT11" s="80"/>
      <c r="FU11" s="80"/>
      <c r="FV11" s="80"/>
      <c r="FW11" s="80"/>
      <c r="FX11" s="80"/>
      <c r="FY11" s="80"/>
      <c r="FZ11" s="80"/>
      <c r="GA11" s="80"/>
      <c r="GB11" s="80"/>
      <c r="GC11" s="80"/>
      <c r="GD11" s="80"/>
      <c r="GE11" s="80"/>
      <c r="GF11" s="80"/>
      <c r="GG11" s="80"/>
      <c r="GH11" s="80"/>
      <c r="GI11" s="80"/>
      <c r="GJ11" s="80"/>
      <c r="GK11" s="80"/>
      <c r="GL11" s="80"/>
      <c r="GM11" s="80"/>
      <c r="GN11" s="80"/>
      <c r="GO11" s="80"/>
      <c r="GP11" s="80"/>
      <c r="GQ11" s="80"/>
      <c r="GR11" s="80"/>
      <c r="GS11" s="80"/>
      <c r="GT11" s="80"/>
      <c r="GU11" s="80"/>
      <c r="GV11" s="80"/>
      <c r="GW11" s="80"/>
      <c r="GX11" s="80"/>
      <c r="GY11" s="80"/>
      <c r="GZ11" s="80"/>
      <c r="HA11" s="80"/>
      <c r="HB11" s="80"/>
      <c r="HC11" s="80"/>
      <c r="HD11" s="80"/>
      <c r="HE11" s="80"/>
      <c r="HF11" s="80"/>
      <c r="HG11" s="80"/>
      <c r="HH11" s="80"/>
      <c r="HI11" s="80"/>
      <c r="HJ11" s="80"/>
      <c r="HK11" s="80"/>
      <c r="HL11" s="80"/>
      <c r="HM11" s="80"/>
      <c r="HN11" s="80"/>
      <c r="HO11" s="80"/>
      <c r="HP11" s="80"/>
      <c r="HQ11" s="80"/>
      <c r="HR11" s="80"/>
      <c r="HS11" s="80"/>
      <c r="HT11" s="80"/>
      <c r="HU11" s="80"/>
      <c r="HV11" s="80"/>
      <c r="HW11" s="80"/>
      <c r="HX11" s="80"/>
      <c r="HY11" s="80"/>
      <c r="HZ11" s="80"/>
      <c r="IA11" s="80"/>
      <c r="IB11" s="80"/>
      <c r="IC11" s="80"/>
      <c r="ID11" s="80"/>
      <c r="IE11" s="80"/>
      <c r="IF11" s="80"/>
      <c r="IG11" s="80"/>
      <c r="IH11" s="80"/>
      <c r="II11" s="80"/>
      <c r="IJ11" s="80"/>
      <c r="IK11" s="80"/>
      <c r="IL11" s="80"/>
      <c r="IM11" s="80"/>
      <c r="IN11" s="80"/>
      <c r="IO11" s="80"/>
      <c r="IP11" s="80"/>
      <c r="IQ11" s="80"/>
      <c r="IR11" s="80"/>
      <c r="IS11" s="80"/>
      <c r="IT11" s="80"/>
      <c r="IU11" s="80"/>
      <c r="IV11" s="80"/>
      <c r="IW11" s="80"/>
      <c r="IX11" s="80"/>
      <c r="IY11" s="80"/>
      <c r="IZ11" s="80"/>
      <c r="JA11" s="80"/>
      <c r="JB11" s="80"/>
      <c r="JC11" s="80"/>
      <c r="JD11" s="80"/>
      <c r="JE11" s="80"/>
      <c r="JF11" s="80"/>
      <c r="JG11" s="80"/>
      <c r="JH11" s="80"/>
      <c r="JI11" s="80"/>
      <c r="JJ11" s="80"/>
      <c r="JK11" s="80"/>
      <c r="JL11" s="80"/>
      <c r="JM11" s="80"/>
      <c r="JN11" s="80"/>
      <c r="JO11" s="80"/>
      <c r="JP11" s="80"/>
      <c r="JQ11" s="80"/>
      <c r="JR11" s="80"/>
      <c r="JS11" s="80"/>
      <c r="JT11" s="80"/>
      <c r="JU11" s="80"/>
      <c r="JV11" s="80"/>
      <c r="JW11" s="80"/>
      <c r="JX11" s="80"/>
      <c r="JY11" s="80"/>
      <c r="JZ11" s="80"/>
      <c r="KA11" s="80"/>
      <c r="KB11" s="80"/>
      <c r="KC11" s="80"/>
      <c r="KD11" s="80"/>
      <c r="KE11" s="80"/>
      <c r="KF11" s="80"/>
      <c r="KG11" s="80"/>
      <c r="KH11" s="80"/>
      <c r="KI11" s="80"/>
      <c r="KJ11" s="80"/>
      <c r="KK11" s="80"/>
      <c r="KL11" s="80"/>
      <c r="KM11" s="80"/>
      <c r="KN11" s="80"/>
      <c r="KO11" s="80"/>
      <c r="KP11" s="80"/>
      <c r="KQ11" s="80"/>
      <c r="KR11" s="80"/>
      <c r="KS11" s="80"/>
      <c r="KT11" s="80"/>
      <c r="KU11" s="80"/>
      <c r="KV11" s="80"/>
      <c r="KW11" s="80"/>
      <c r="KX11" s="80"/>
      <c r="KY11" s="80"/>
      <c r="KZ11" s="80"/>
      <c r="LA11" s="80"/>
      <c r="LB11" s="80"/>
      <c r="LC11" s="80"/>
      <c r="LD11" s="80"/>
      <c r="LE11" s="80"/>
      <c r="LF11" s="80"/>
      <c r="LG11" s="80"/>
      <c r="LH11" s="80"/>
      <c r="LI11" s="80"/>
      <c r="LJ11" s="80"/>
      <c r="LK11" s="80"/>
      <c r="LL11" s="80"/>
      <c r="LM11" s="80"/>
      <c r="LN11" s="80"/>
      <c r="LO11" s="80"/>
      <c r="LP11" s="80"/>
      <c r="LQ11" s="80"/>
      <c r="LR11" s="80"/>
      <c r="LS11" s="80"/>
      <c r="LT11" s="80"/>
      <c r="LU11" s="80"/>
      <c r="LV11" s="80"/>
      <c r="LW11" s="80"/>
      <c r="LX11" s="80"/>
      <c r="LY11" s="80"/>
      <c r="LZ11" s="80"/>
      <c r="MA11" s="80"/>
      <c r="MB11" s="80"/>
      <c r="MC11" s="80"/>
      <c r="MD11" s="80"/>
      <c r="ME11" s="80"/>
      <c r="MF11" s="80"/>
      <c r="MG11" s="80"/>
      <c r="MH11" s="80"/>
      <c r="MI11" s="80"/>
      <c r="MJ11" s="80"/>
      <c r="MK11" s="81"/>
      <c r="ML11" s="81"/>
      <c r="MM11" s="81"/>
      <c r="MN11" s="81"/>
      <c r="MO11" s="81"/>
      <c r="MP11" s="81"/>
      <c r="MQ11" s="81"/>
      <c r="MR11" s="80" t="str">
        <f>IF(AND('Straight Cutting'!D17="Standard",'Straight Cutting'!E17="APO Grey",'Straight Cutting'!F17&lt;&gt;"",'Straight Cutting'!G17=""),'Straight Cutting'!F17,IF(AND('Straight Cutting'!D17="Standard",'Straight Cutting'!E17="APO Grey",'Straight Cutting'!F17="",'Straight Cutting'!G17&lt;&gt;""),'Straight Cutting'!G17,IF(AND('Straight Cutting'!D17="Standard",'Straight Cutting'!E17="APO Grey",'Straight Cutting'!F17&lt;&gt;"",'Straight Cutting'!G17&lt;&gt;""),'Straight Cutting'!F17+'Job Sheet'!AH17,"")))</f>
        <v/>
      </c>
      <c r="MS11" s="80" t="str">
        <f>IF(AND('Straight Cutting'!D17="Standard",'Straight Cutting'!E17="White Birch",'Straight Cutting'!F17&lt;&gt;"",'Straight Cutting'!G17=""),'Straight Cutting'!F17,IF(AND('Straight Cutting'!D17="Standard",'Straight Cutting'!E17="White Birch",'Straight Cutting'!F17="",'Straight Cutting'!G17&lt;&gt;""),'Straight Cutting'!G17,IF(AND('Straight Cutting'!D17="Standard",'Straight Cutting'!E17="White Birch",'Straight Cutting'!F17&lt;&gt;"",'Straight Cutting'!G17&lt;&gt;""),'Straight Cutting'!F17+'Job Sheet'!AH17,"")))</f>
        <v/>
      </c>
      <c r="MT11" s="80" t="str">
        <f>IF(AND('Straight Cutting'!D17="Standard",'Straight Cutting'!E17="Black",'Straight Cutting'!F17&lt;&gt;"",'Straight Cutting'!G17=""),'Straight Cutting'!F17,IF(AND('Straight Cutting'!D17="Standard",'Straight Cutting'!E17="Black",'Straight Cutting'!F17="",'Straight Cutting'!G17&lt;&gt;""),'Straight Cutting'!G17,IF(AND('Straight Cutting'!D17="Standard",'Straight Cutting'!E17="Black",'Straight Cutting'!F17&lt;&gt;"",'Straight Cutting'!G17&lt;&gt;""),'Straight Cutting'!F17+'Job Sheet'!AH17,"")))</f>
        <v/>
      </c>
      <c r="MU11" s="80" t="str">
        <f>IF(AND('Straight Cutting'!D17="Standard",'Straight Cutting'!E17="Brown",'Straight Cutting'!F17&lt;&gt;"",'Straight Cutting'!G17=""),'Straight Cutting'!F17,IF(AND('Straight Cutting'!D17="Standard",'Straight Cutting'!E17="Brown",'Straight Cutting'!F17="",'Straight Cutting'!G17&lt;&gt;""),'Straight Cutting'!G17,IF(AND('Straight Cutting'!D17="Standard",'Straight Cutting'!E17="Brown",'Straight Cutting'!F17&lt;&gt;"",'Straight Cutting'!G17&lt;&gt;""),'Straight Cutting'!F17+'Job Sheet'!AH17,"")))</f>
        <v/>
      </c>
      <c r="MV11" s="80" t="str">
        <f>IF(AND('Straight Cutting'!D17="Standard",'Straight Cutting'!E17="Deep Ocean",'Straight Cutting'!F17&lt;&gt;"",'Straight Cutting'!G17=""),'Straight Cutting'!F17,IF(AND('Straight Cutting'!D17="Standard",'Straight Cutting'!E17="Deep Ocean",'Straight Cutting'!F17="",'Straight Cutting'!G17&lt;&gt;""),'Straight Cutting'!G17,IF(AND('Straight Cutting'!D17="Standard",'Straight Cutting'!E17="Deep Ocean",'Straight Cutting'!F17&lt;&gt;"",'Straight Cutting'!G17&lt;&gt;""),'Straight Cutting'!F17+'Job Sheet'!AH17,"")))</f>
        <v/>
      </c>
      <c r="MW11" s="80" t="str">
        <f>IF(AND('Straight Cutting'!D17="Standard",'Straight Cutting'!E17="Jasper",'Straight Cutting'!F17&lt;&gt;"",'Straight Cutting'!G17=""),'Straight Cutting'!F17,IF(AND('Straight Cutting'!D17="Standard",'Straight Cutting'!E17="Jasper",'Straight Cutting'!F17="",'Straight Cutting'!G17&lt;&gt;""),'Straight Cutting'!G17,IF(AND('Straight Cutting'!D17="Standard",'Straight Cutting'!E17="Jasper",'Straight Cutting'!F17&lt;&gt;"",'Straight Cutting'!G17&lt;&gt;""),'Straight Cutting'!F17+'Job Sheet'!AH17,"")))</f>
        <v/>
      </c>
      <c r="MX11" s="80" t="str">
        <f>IF(AND('Straight Cutting'!D17="Standard",'Straight Cutting'!E17="Paperbark",'Straight Cutting'!F17&lt;&gt;"",'Straight Cutting'!G17=""),'Straight Cutting'!F17,IF(AND('Straight Cutting'!D17="Standard",'Straight Cutting'!E17="Paperbark",'Straight Cutting'!F17="",'Straight Cutting'!G17&lt;&gt;""),'Straight Cutting'!G17,IF(AND('Straight Cutting'!D17="Standard",'Straight Cutting'!E17="Paperbark",'Straight Cutting'!F17&lt;&gt;"",'Straight Cutting'!G17&lt;&gt;""),'Straight Cutting'!F17+'Job Sheet'!AH17,"")))</f>
        <v/>
      </c>
      <c r="MY11" s="80" t="str">
        <f>IF(AND('Straight Cutting'!D17="Standard",'Straight Cutting'!E17="Mist Green",'Straight Cutting'!F17&lt;&gt;"",'Straight Cutting'!G17=""),'Straight Cutting'!F17,IF(AND('Straight Cutting'!D17="Standard",'Straight Cutting'!E17="Mist Green",'Straight Cutting'!F17="",'Straight Cutting'!G17&lt;&gt;""),'Straight Cutting'!G17,IF(AND('Straight Cutting'!D17="Standard",'Straight Cutting'!E17="Mist Green",'Straight Cutting'!F17&lt;&gt;"",'Straight Cutting'!G17&lt;&gt;""),'Straight Cutting'!F17+'Job Sheet'!AH17,"")))</f>
        <v/>
      </c>
      <c r="MZ11" s="80" t="str">
        <f>IF(AND('Straight Cutting'!D17="Standard",'Straight Cutting'!E17="Primrose",'Straight Cutting'!F17&lt;&gt;"",'Straight Cutting'!G17=""),'Straight Cutting'!F17,IF(AND('Straight Cutting'!D17="Standard",'Straight Cutting'!E17="Primrose",'Straight Cutting'!F17="",'Straight Cutting'!G17&lt;&gt;""),'Straight Cutting'!G17,IF(AND('Straight Cutting'!D17="Standard",'Straight Cutting'!E17="Primrose",'Straight Cutting'!F17&lt;&gt;"",'Straight Cutting'!G17&lt;&gt;""),'Straight Cutting'!F17+'Job Sheet'!AH17,"")))</f>
        <v/>
      </c>
      <c r="NA11" s="80" t="str">
        <f>IF(AND('Straight Cutting'!D17="Standard",'Straight Cutting'!E17="Ultra Silver",'Straight Cutting'!F17&lt;&gt;"",'Straight Cutting'!G17=""),'Straight Cutting'!F17,IF(AND('Straight Cutting'!D17="Standard",'Straight Cutting'!E17="Ultra Silver",'Straight Cutting'!F17="",'Straight Cutting'!G17&lt;&gt;""),'Straight Cutting'!G17,IF(AND('Straight Cutting'!D17="Standard",'Straight Cutting'!E17="Ultra Silver",'Straight Cutting'!F17&lt;&gt;"",'Straight Cutting'!G17&lt;&gt;""),'Straight Cutting'!F17+'Job Sheet'!AH17,"")))</f>
        <v/>
      </c>
      <c r="NB11" s="80" t="str">
        <f>IF(AND('Straight Cutting'!D17="Standard",'Straight Cutting'!E17="Woodland Grey(Green Tone)",'Straight Cutting'!F17&lt;&gt;"",'Straight Cutting'!G17=""),'Straight Cutting'!F17,IF(AND('Straight Cutting'!D17="Standard",'Straight Cutting'!E17="Woodland Grey(Green Tone)",'Straight Cutting'!F17="",'Straight Cutting'!G17&lt;&gt;""),'Straight Cutting'!G17,IF(AND('Straight Cutting'!D17="Standard",'Straight Cutting'!E17="Woodland Grey(Green Tone)",'Straight Cutting'!F17&lt;&gt;"",'Straight Cutting'!G17&lt;&gt;""),'Straight Cutting'!F17+'Job Sheet'!AH17,"")))</f>
        <v/>
      </c>
      <c r="NC11" s="80" t="str">
        <f>IF(AND('Straight Cutting'!D17="Standard",'Straight Cutting'!E17="Pearl White",'Straight Cutting'!F17&lt;&gt;"",'Straight Cutting'!G17=""),'Straight Cutting'!F17,IF(AND('Straight Cutting'!D17="Standard",'Straight Cutting'!E17="Pearl White",'Straight Cutting'!F17="",'Straight Cutting'!G17&lt;&gt;""),'Straight Cutting'!G17,IF(AND('Straight Cutting'!D17="Standard",'Straight Cutting'!E17="Pearl White",'Straight Cutting'!F17&lt;&gt;"",'Straight Cutting'!G17&lt;&gt;""),'Straight Cutting'!F17+'Job Sheet'!AH17,"")))</f>
        <v/>
      </c>
      <c r="ND11" s="80" t="str">
        <f>IF(AND('Straight Cutting'!D17="Standard",'Straight Cutting'!E17="Monument",'Straight Cutting'!F17&lt;&gt;"",'Straight Cutting'!G17=""),'Straight Cutting'!F17,IF(AND('Straight Cutting'!D17="Standard",'Straight Cutting'!E17="Monument",'Straight Cutting'!F17="",'Straight Cutting'!G17&lt;&gt;""),'Straight Cutting'!G17,IF(AND('Straight Cutting'!D17="Standard",'Straight Cutting'!E17="Monument",'Straight Cutting'!F17&lt;&gt;"",'Straight Cutting'!G17&lt;&gt;""),'Straight Cutting'!F17+'Job Sheet'!AH17,"")))</f>
        <v/>
      </c>
      <c r="NE11" s="80" t="str">
        <f>IF(AND('Straight Cutting'!D17="Standard",'Straight Cutting'!E17="Surfmist",'Straight Cutting'!F17&lt;&gt;"",'Straight Cutting'!G17=""),'Straight Cutting'!F17,IF(AND('Straight Cutting'!D17="Standard",'Straight Cutting'!E17="Surfmist",'Straight Cutting'!F17="",'Straight Cutting'!G17&lt;&gt;""),'Straight Cutting'!G17,IF(AND('Straight Cutting'!D17="Standard",'Straight Cutting'!E17="Surfmist",'Straight Cutting'!F17&lt;&gt;"",'Straight Cutting'!G17&lt;&gt;""),'Straight Cutting'!F17+'Job Sheet'!AH17,"")))</f>
        <v/>
      </c>
      <c r="NF11" s="80" t="str">
        <f>IF(AND('Straight Cutting'!D17="Standard",'Straight Cutting'!E17="Dune",'Straight Cutting'!F17&lt;&gt;"",'Straight Cutting'!G17=""),'Straight Cutting'!F17,IF(AND('Straight Cutting'!D17="Standard",'Straight Cutting'!E17="Dune",'Straight Cutting'!F17="",'Straight Cutting'!G17&lt;&gt;""),'Straight Cutting'!G17,IF(AND('Straight Cutting'!D17="Standard",'Straight Cutting'!E17="Dune",'Straight Cutting'!F17&lt;&gt;"",'Straight Cutting'!G17&lt;&gt;""),'Straight Cutting'!F17+'Job Sheet'!AH17,"")))</f>
        <v/>
      </c>
      <c r="NG11" s="80" t="str">
        <f>IF(AND('Straight Cutting'!D17="Standard",'Straight Cutting'!E17="Powdercoat",'Straight Cutting'!F17&lt;&gt;"",'Straight Cutting'!G17=""),'Straight Cutting'!F17,IF(AND('Straight Cutting'!D17="Standard",'Straight Cutting'!E17="Powdercoat",'Straight Cutting'!F17="",'Straight Cutting'!G17&lt;&gt;""),'Straight Cutting'!G17,IF(AND('Straight Cutting'!D17="Standard",'Straight Cutting'!E17="Powdercoat",'Straight Cutting'!F17&lt;&gt;"",'Straight Cutting'!G17&lt;&gt;""),'Straight Cutting'!F17+'Job Sheet'!AH17,"")))</f>
        <v/>
      </c>
      <c r="NH11" s="80" t="str">
        <f>IF(AND('Straight Cutting'!D17="Invisi-Gard",'Straight Cutting'!E17="APO Grey",'Straight Cutting'!F17&lt;&gt;"",'Straight Cutting'!G17=""),'Straight Cutting'!F17,IF(AND('Straight Cutting'!D17="Invisi-Gard",'Straight Cutting'!E17="APO Grey",'Straight Cutting'!F17="",'Straight Cutting'!G17&lt;&gt;""),'Straight Cutting'!G17,IF(AND('Straight Cutting'!D17="Invisi-Gard",'Straight Cutting'!E17="APO Grey",'Straight Cutting'!F17&lt;&gt;"",'Straight Cutting'!G17&lt;&gt;""),'Straight Cutting'!F17+'Job Sheet'!AH17,"")))</f>
        <v/>
      </c>
      <c r="NI11" s="80" t="str">
        <f>IF(AND('Straight Cutting'!D17="Invisi-Gard",'Straight Cutting'!E17="White Birch",'Straight Cutting'!F17&lt;&gt;"",'Straight Cutting'!G17=""),'Straight Cutting'!F17,IF(AND('Straight Cutting'!D17="Invisi-Gard",'Straight Cutting'!E17="White Birch",'Straight Cutting'!F17="",'Straight Cutting'!G17&lt;&gt;""),'Straight Cutting'!G17,IF(AND('Straight Cutting'!D17="Invisi-Gard",'Straight Cutting'!E17="White Birch",'Straight Cutting'!F17&lt;&gt;"",'Straight Cutting'!G17&lt;&gt;""),'Straight Cutting'!F17+'Job Sheet'!AH17,"")))</f>
        <v/>
      </c>
      <c r="NJ11" s="80" t="str">
        <f>IF(AND('Straight Cutting'!D17="Invisi-Gard",'Straight Cutting'!E17="Black",'Straight Cutting'!F17&lt;&gt;"",'Straight Cutting'!G17=""),'Straight Cutting'!F17,IF(AND('Straight Cutting'!D17="Invisi-Gard",'Straight Cutting'!E17="Black",'Straight Cutting'!F17="",'Straight Cutting'!G17&lt;&gt;""),'Straight Cutting'!G17,IF(AND('Straight Cutting'!D17="Invisi-Gard",'Straight Cutting'!E17="Black",'Straight Cutting'!F17&lt;&gt;"",'Straight Cutting'!G17&lt;&gt;""),'Straight Cutting'!F17+'Job Sheet'!AH17,"")))</f>
        <v/>
      </c>
      <c r="NK11" s="80" t="str">
        <f>IF(AND('Straight Cutting'!D17="Invisi-Gard",'Straight Cutting'!E17="Brown",'Straight Cutting'!F17&lt;&gt;"",'Straight Cutting'!G17=""),'Straight Cutting'!F17,IF(AND('Straight Cutting'!D17="Invisi-Gard",'Straight Cutting'!E17="Brown",'Straight Cutting'!F17="",'Straight Cutting'!G17&lt;&gt;""),'Straight Cutting'!G17,IF(AND('Straight Cutting'!D17="Invisi-Gard",'Straight Cutting'!E17="Brown",'Straight Cutting'!F17&lt;&gt;"",'Straight Cutting'!G17&lt;&gt;""),'Straight Cutting'!F17+'Job Sheet'!AH17,"")))</f>
        <v/>
      </c>
      <c r="NL11" s="80" t="str">
        <f>IF(AND('Straight Cutting'!D17="Invisi-Gard",'Straight Cutting'!E17="Deep Ocean",'Straight Cutting'!F17&lt;&gt;"",'Straight Cutting'!G17=""),'Straight Cutting'!F17,IF(AND('Straight Cutting'!D17="Invisi-Gard",'Straight Cutting'!E17="Deep Ocean",'Straight Cutting'!F17="",'Straight Cutting'!G17&lt;&gt;""),'Straight Cutting'!G17,IF(AND('Straight Cutting'!D17="Invisi-Gard",'Straight Cutting'!E17="Deep Ocean",'Straight Cutting'!F17&lt;&gt;"",'Straight Cutting'!G17&lt;&gt;""),'Straight Cutting'!F17+'Job Sheet'!AH17,"")))</f>
        <v/>
      </c>
      <c r="NM11" s="80" t="str">
        <f>IF(AND('Straight Cutting'!D17="Invisi-Gard",'Straight Cutting'!E17="Jasper",'Straight Cutting'!F17&lt;&gt;"",'Straight Cutting'!G17=""),'Straight Cutting'!F17,IF(AND('Straight Cutting'!D17="Invisi-Gard",'Straight Cutting'!E17="Jasper",'Straight Cutting'!F17="",'Straight Cutting'!G17&lt;&gt;""),'Straight Cutting'!G17,IF(AND('Straight Cutting'!D17="Invisi-Gard",'Straight Cutting'!E17="Jasper",'Straight Cutting'!F17&lt;&gt;"",'Straight Cutting'!G17&lt;&gt;""),'Straight Cutting'!F17+'Job Sheet'!AH17,"")))</f>
        <v/>
      </c>
      <c r="NN11" s="80" t="str">
        <f>IF(AND('Straight Cutting'!D17="Invisi-Gard",'Straight Cutting'!E17="Paperbark",'Straight Cutting'!F17&lt;&gt;"",'Straight Cutting'!G17=""),'Straight Cutting'!F17,IF(AND('Straight Cutting'!D17="Invisi-Gard",'Straight Cutting'!E17="Paperbark",'Straight Cutting'!F17="",'Straight Cutting'!G17&lt;&gt;""),'Straight Cutting'!G17,IF(AND('Straight Cutting'!D17="Invisi-Gard",'Straight Cutting'!E17="Paperbark",'Straight Cutting'!F17&lt;&gt;"",'Straight Cutting'!G17&lt;&gt;""),'Straight Cutting'!F17+'Job Sheet'!AH17,"")))</f>
        <v/>
      </c>
      <c r="NO11" s="80" t="str">
        <f>IF(AND('Straight Cutting'!D17="Invisi-Gard",'Straight Cutting'!E17="Mist Green",'Straight Cutting'!F17&lt;&gt;"",'Straight Cutting'!G17=""),'Straight Cutting'!F17,IF(AND('Straight Cutting'!D17="Invisi-Gard",'Straight Cutting'!E17="Mist Green",'Straight Cutting'!F17="",'Straight Cutting'!G17&lt;&gt;""),'Straight Cutting'!G17,IF(AND('Straight Cutting'!D17="Invisi-Gard",'Straight Cutting'!E17="Mist Green",'Straight Cutting'!F17&lt;&gt;"",'Straight Cutting'!G17&lt;&gt;""),'Straight Cutting'!F17+'Job Sheet'!AH17,"")))</f>
        <v/>
      </c>
      <c r="NP11" s="80" t="str">
        <f>IF(AND('Straight Cutting'!D17="Invisi-Gard",'Straight Cutting'!E17="Primrose",'Straight Cutting'!F17&lt;&gt;"",'Straight Cutting'!G17=""),'Straight Cutting'!F17,IF(AND('Straight Cutting'!D17="Invisi-Gard",'Straight Cutting'!E17="Primrose",'Straight Cutting'!F17="",'Straight Cutting'!G17&lt;&gt;""),'Straight Cutting'!G17,IF(AND('Straight Cutting'!D17="Invisi-Gard",'Straight Cutting'!E17="Primrose",'Straight Cutting'!F17&lt;&gt;"",'Straight Cutting'!G17&lt;&gt;""),'Straight Cutting'!F17+'Job Sheet'!AH17,"")))</f>
        <v/>
      </c>
      <c r="NQ11" s="80" t="str">
        <f>IF(AND('Straight Cutting'!D17="Invisi-Gard",'Straight Cutting'!E17="Ultra Silver",'Straight Cutting'!F17&lt;&gt;"",'Straight Cutting'!G17=""),'Straight Cutting'!F17,IF(AND('Straight Cutting'!D17="Invisi-Gard",'Straight Cutting'!E17="Ultra Silver",'Straight Cutting'!F17="",'Straight Cutting'!G17&lt;&gt;""),'Straight Cutting'!G17,IF(AND('Straight Cutting'!D17="Invisi-Gard",'Straight Cutting'!E17="Ultra Silver",'Straight Cutting'!F17&lt;&gt;"",'Straight Cutting'!G17&lt;&gt;""),'Straight Cutting'!F17+'Job Sheet'!AH17,"")))</f>
        <v/>
      </c>
      <c r="NR11" s="80" t="str">
        <f>IF(AND('Straight Cutting'!D17="Invisi-Gard",'Straight Cutting'!E17="Woodland Grey(Green Tone)",'Straight Cutting'!F17&lt;&gt;"",'Straight Cutting'!G17=""),'Straight Cutting'!F17,IF(AND('Straight Cutting'!D17="Invisi-Gard",'Straight Cutting'!E17="Woodland Grey(Green Tone)",'Straight Cutting'!F17="",'Straight Cutting'!G17&lt;&gt;""),'Straight Cutting'!G17,IF(AND('Straight Cutting'!D17="Invisi-Gard",'Straight Cutting'!E17="Woodland Grey(Green Tone)",'Straight Cutting'!F17&lt;&gt;"",'Straight Cutting'!G17&lt;&gt;""),'Straight Cutting'!F17+'Job Sheet'!AH17,"")))</f>
        <v/>
      </c>
      <c r="NS11" s="80" t="str">
        <f>IF(AND('Straight Cutting'!D17="Invisi-Gard",'Straight Cutting'!E17="Pearl White",'Straight Cutting'!F17&lt;&gt;"",'Straight Cutting'!G17=""),'Straight Cutting'!F17,IF(AND('Straight Cutting'!D17="Invisi-Gard",'Straight Cutting'!E17="Pearl White",'Straight Cutting'!F17="",'Straight Cutting'!G17&lt;&gt;""),'Straight Cutting'!G17,IF(AND('Straight Cutting'!D17="Invisi-Gard",'Straight Cutting'!E17="Pearl White",'Straight Cutting'!F17&lt;&gt;"",'Straight Cutting'!G17&lt;&gt;""),'Straight Cutting'!F17+'Job Sheet'!AH17,"")))</f>
        <v/>
      </c>
      <c r="NT11" s="80" t="str">
        <f>IF(AND('Straight Cutting'!D17="Invisi-Gard",'Straight Cutting'!E17="Monument",'Straight Cutting'!F17&lt;&gt;"",'Straight Cutting'!G17=""),'Straight Cutting'!F17,IF(AND('Straight Cutting'!D17="Invisi-Gard",'Straight Cutting'!E17="Monument",'Straight Cutting'!F17="",'Straight Cutting'!G17&lt;&gt;""),'Straight Cutting'!G17,IF(AND('Straight Cutting'!D17="Invisi-Gard",'Straight Cutting'!E17="Monument",'Straight Cutting'!F17&lt;&gt;"",'Straight Cutting'!G17&lt;&gt;""),'Straight Cutting'!F17+'Job Sheet'!AH17,"")))</f>
        <v/>
      </c>
      <c r="NU11" s="80" t="str">
        <f>IF(AND('Straight Cutting'!D17="Invisi-Gard",'Straight Cutting'!E17="Surfmist",'Straight Cutting'!F17&lt;&gt;"",'Straight Cutting'!G17=""),'Straight Cutting'!F17,IF(AND('Straight Cutting'!D17="Invisi-Gard",'Straight Cutting'!E17="Surfmist",'Straight Cutting'!F17="",'Straight Cutting'!G17&lt;&gt;""),'Straight Cutting'!G17,IF(AND('Straight Cutting'!D17="Invisi-Gard",'Straight Cutting'!E17="Surfmist",'Straight Cutting'!F17&lt;&gt;"",'Straight Cutting'!G17&lt;&gt;""),'Straight Cutting'!F17+'Job Sheet'!AH17,"")))</f>
        <v/>
      </c>
      <c r="NV11" s="80" t="str">
        <f>IF(AND('Straight Cutting'!D17="Invisi-Gard",'Straight Cutting'!E17="Dune",'Straight Cutting'!F17&lt;&gt;"",'Straight Cutting'!G17=""),'Straight Cutting'!F17,IF(AND('Straight Cutting'!D17="Invisi-Gard",'Straight Cutting'!E17="Dune",'Straight Cutting'!F17="",'Straight Cutting'!G17&lt;&gt;""),'Straight Cutting'!G17,IF(AND('Straight Cutting'!D17="Invisi-Gard",'Straight Cutting'!E17="Dune",'Straight Cutting'!F17&lt;&gt;"",'Straight Cutting'!G17&lt;&gt;""),'Straight Cutting'!F17+'Job Sheet'!AH17,"")))</f>
        <v/>
      </c>
      <c r="NW11" s="80" t="str">
        <f>IF(AND('Straight Cutting'!D17="Invisi-Gard",'Straight Cutting'!E17="Powdercoat",'Straight Cutting'!F17&lt;&gt;"",'Straight Cutting'!G17=""),'Straight Cutting'!F17,IF(AND('Straight Cutting'!D17="Invisi-Gard",'Straight Cutting'!E17="Powdercoat",'Straight Cutting'!F17="",'Straight Cutting'!G17&lt;&gt;""),'Straight Cutting'!G17,IF(AND('Straight Cutting'!D17="Invisi-Gard",'Straight Cutting'!E17="Powdercoat",'Straight Cutting'!F17&lt;&gt;"",'Straight Cutting'!G17&lt;&gt;""),'Straight Cutting'!F17+'Job Sheet'!AH17,"")))</f>
        <v/>
      </c>
      <c r="NX11" s="80" t="str">
        <f>IF(AND('Job Sheet'!O17="Yes",'Mitred Cutting'!D17="APO Grey"),'Straight Cutting'!I17,"")</f>
        <v/>
      </c>
      <c r="NY11" s="80" t="str">
        <f>IF(AND('Job Sheet'!O17="Yes",'Mitred Cutting'!D17="White Birch"),'Straight Cutting'!I17,"")</f>
        <v/>
      </c>
      <c r="NZ11" s="80" t="str">
        <f>IF(AND('Job Sheet'!O17="Yes",'Mitred Cutting'!D17="Black"),'Straight Cutting'!I17,"")</f>
        <v/>
      </c>
      <c r="OA11" s="80" t="str">
        <f>IF(AND('Job Sheet'!O17="Yes",'Mitred Cutting'!D17="Brown"),'Straight Cutting'!I17,"")</f>
        <v/>
      </c>
      <c r="OB11" s="80" t="str">
        <f>IF(AND('Job Sheet'!O17="Yes",'Mitred Cutting'!D17="Deep Ocean"),'Straight Cutting'!I17,"")</f>
        <v/>
      </c>
      <c r="OC11" s="80" t="str">
        <f>IF(AND('Job Sheet'!O17="Yes",'Mitred Cutting'!D17="Jasper"),'Straight Cutting'!I17,"")</f>
        <v/>
      </c>
      <c r="OD11" s="80" t="str">
        <f>IF(AND('Job Sheet'!O17="Yes",'Mitred Cutting'!D17="Paperbark"),'Straight Cutting'!I17,"")</f>
        <v/>
      </c>
      <c r="OE11" s="80" t="str">
        <f>IF(AND('Job Sheet'!O17="Yes",'Mitred Cutting'!D17="Mist Green"),'Straight Cutting'!I17,"")</f>
        <v/>
      </c>
      <c r="OF11" s="80" t="str">
        <f>IF(AND('Job Sheet'!O17="Yes",'Mitred Cutting'!D17="Primrose"),'Straight Cutting'!I17,"")</f>
        <v/>
      </c>
      <c r="OG11" s="80" t="str">
        <f>IF(AND('Job Sheet'!O17="Yes",'Mitred Cutting'!D17="Ultra Silver"),'Straight Cutting'!I17,"")</f>
        <v/>
      </c>
      <c r="OH11" s="80" t="str">
        <f>IF(AND('Job Sheet'!O17="Yes",'Mitred Cutting'!D17="Woodland Grey(Green Tone)"),'Straight Cutting'!I17,"")</f>
        <v/>
      </c>
      <c r="OI11" s="80" t="str">
        <f>IF(AND('Job Sheet'!O17="Yes",'Mitred Cutting'!D17="Pearl White"),'Straight Cutting'!I17,"")</f>
        <v/>
      </c>
      <c r="OJ11" s="80" t="str">
        <f>IF(AND('Job Sheet'!O17="Yes",'Mitred Cutting'!D17="Monument"),'Straight Cutting'!I17,"")</f>
        <v/>
      </c>
      <c r="OK11" s="80" t="str">
        <f>IF(AND('Job Sheet'!O17="Yes",'Mitred Cutting'!D17="Surfmist"),'Straight Cutting'!I17,"")</f>
        <v/>
      </c>
      <c r="OL11" s="80" t="str">
        <f>IF(AND('Job Sheet'!O17="Yes",'Mitred Cutting'!D17="Dune"),'Straight Cutting'!I17,"")</f>
        <v/>
      </c>
      <c r="OM11" s="80" t="str">
        <f>IF(AND('Job Sheet'!O17="Yes",'Mitred Cutting'!D17="Powdercoat"),'Straight Cutting'!I17,"")</f>
        <v/>
      </c>
      <c r="ON11" s="81" t="str">
        <f>IF(OR(Data!AW17="",'Job Sheet'!L17="37mm x 11mm",'Job Sheet'!L17="9mm",'Job Sheet'!L17="11mm"),"",IF(VLOOKUP(CONCATENATE(Data!BO17,'Job Sheet'!J17),DoorType,4,FALSE)="Yes",(('Job Sheet'!W17-98)*2+('Job Sheet'!X17-96)*2)/2700,""))</f>
        <v/>
      </c>
      <c r="OO11" s="81" t="str">
        <f>IF(Data!AW17="","",IF('Mitred Cutting'!G17="1.6mm",(('Job Sheet'!W17-114)*2+('Job Sheet'!X17-114)*2)/3100,""))</f>
        <v/>
      </c>
      <c r="OP11" s="81" t="str">
        <f>IF(Data!AW17="","",IF('Mitred Cutting'!G17="2mm",(('Job Sheet'!W17-114)*2+('Job Sheet'!X17-114)*2)/3100,""))</f>
        <v/>
      </c>
      <c r="OQ11" s="52" t="str">
        <f>IF(OR(Data!AW17="",Data!BN17="Invisi-Scape",'Job Sheet'!AC17=""),"",IF(OR('Job Sheet'!P17="Yes - Centre Horizontal",'Job Sheet'!P17="Yes - Centre Vertical"),('Job Sheet'!AC17*4+'Job Sheet'!AE17*4)/4000,IF('Job Sheet'!P17="Yes - Horizontal",('Job Sheet'!AC17*4+'Job Sheet'!AE17*2+'Job Sheet'!AF17*2)/4000,IF('Job Sheet'!P17="Yes - Vertical",('Job Sheet'!AC17*2+'Job Sheet'!AE17*4)/4000,IF('Job Sheet'!P17="",('Job Sheet'!AC17*2+'Job Sheet'!AE17*2)/4000,IF('Job Sheet'!P17="Yes - Horizontal &amp; Vertical",('Job Sheet'!AC17*4+'Job Sheet'!AD17*4+'Job Sheet'!AE17*4+'Job Sheet'!AF17*4)/4000,IF('Job Sheet'!P17="Yes - Centre Horizontal &amp; Vertical",('Job Sheet'!AC17*8+'Job Sheet'!AE17*8)/4000,"")))))))</f>
        <v/>
      </c>
      <c r="OR11" s="52" t="str">
        <f t="shared" si="1"/>
        <v/>
      </c>
      <c r="OS11" s="52" t="str">
        <f t="shared" si="2"/>
        <v/>
      </c>
      <c r="OT11" s="80"/>
      <c r="OU11" s="80" t="str">
        <f>IF(Data!AW17="","",IF(OR('Job Sheet'!J17="Fibreglass Mesh",'Job Sheet'!J17="Pet Mesh",'Job Sheet'!J17="DVA Mesh",'Job Sheet'!J17="Tuff Mesh",'Job Sheet'!J17="Alu-screen",Data!BO17="Fibreglass Mesh",Data!BO17="Pet Mesh",Data!BO17="DVA Mesh",Data!BO17="Tuff Mesh",Data!BO17="Alu-screen"),(('Job Sheet'!W17-98)*2+('Job Sheet'!X17-96)*2),""))</f>
        <v/>
      </c>
      <c r="OV11" s="80"/>
      <c r="OW11" s="80"/>
      <c r="OX11" s="80"/>
      <c r="OY11" s="80"/>
      <c r="OZ11" s="80"/>
      <c r="PA11" s="80"/>
      <c r="PB11" s="80"/>
      <c r="PC11" s="80"/>
      <c r="PD11" s="80" t="str">
        <f>IF(OR('Mitred Cutting'!E17="70mm x 20mm",'Mitred Cutting'!E17="Invisi-Gard 70mm x 20mm"),4,"")</f>
        <v/>
      </c>
      <c r="PE11" s="80" t="str">
        <f>IF('Mitred Cutting'!E17="37mm x 11mm",4,"")</f>
        <v/>
      </c>
      <c r="PF11" s="80" t="str">
        <f>IF('Mitred Cutting'!E17="Invisi-Gard 37mm x 9mm",4,"")</f>
        <v/>
      </c>
      <c r="PG11" s="80" t="str">
        <f>IF('Mitred Cutting'!E17="Invisi-Gard 37mm x 11mm",4,"")</f>
        <v/>
      </c>
      <c r="PH11" s="80" t="str">
        <f>IF('Mitred Cutting'!E17="9mm",4,"")</f>
        <v/>
      </c>
      <c r="PI11" s="80" t="str">
        <f>IF('Mitred Cutting'!E17="11mm",4,"")</f>
        <v/>
      </c>
      <c r="PJ11" s="80"/>
      <c r="PK11" s="80" t="str">
        <f>IF(OR('Job Sheet'!N17="Yes - Front of Frame",'Job Sheet'!N17="Yes - Back of Frame"),1,"")</f>
        <v/>
      </c>
      <c r="PL11" s="80" t="str">
        <f>IF('Job Sheet'!M17="Swivel Clips Extended x 2",2,IF('Job Sheet'!M17="Swivel Clips Extended x 4",4,IF('Job Sheet'!M17="Swivel Clips Extended x 6",6,"")))</f>
        <v/>
      </c>
      <c r="PM11" s="80" t="str">
        <f>IF('Job Sheet'!M17="Swivel Clips Flush x 2",2,IF('Job Sheet'!M17="Swivel Clips Flush x 4",4,IF('Job Sheet'!M17="Swivel Clips Flush x 6",6,"")))</f>
        <v/>
      </c>
      <c r="PN11" s="80" t="str">
        <f>IF('Job Sheet'!M17="Plunger Pins x 2",2,IF('Job Sheet'!M17="Plunger Pins x 4",4,IF('Job Sheet'!M17="Plunger Pins x 6",6,"")))</f>
        <v/>
      </c>
      <c r="PO11" s="80"/>
      <c r="PP11" s="80"/>
      <c r="PQ11" s="80"/>
      <c r="PR11" s="80"/>
      <c r="PS11" s="80"/>
      <c r="PT11" s="80"/>
      <c r="PU11" s="80"/>
      <c r="PV11" s="80"/>
      <c r="PW11" s="80"/>
      <c r="PX11" s="80"/>
      <c r="PY11" s="80"/>
      <c r="PZ11" s="80"/>
      <c r="QA11" s="80"/>
      <c r="QB11" s="80"/>
      <c r="QC11" s="80"/>
      <c r="QD11" s="80"/>
      <c r="QE11" s="80"/>
      <c r="QF11" s="80"/>
      <c r="QG11" s="80"/>
      <c r="QH11" s="80"/>
      <c r="QI11" s="80"/>
      <c r="QJ11" s="80"/>
      <c r="QK11" s="80"/>
      <c r="QL11" s="80"/>
      <c r="QM11" s="80"/>
      <c r="QN11" s="80"/>
      <c r="QO11" s="80"/>
      <c r="QP11" s="80"/>
      <c r="QQ11" s="80"/>
      <c r="QR11" s="80"/>
      <c r="QS11" s="80"/>
      <c r="QT11" s="80"/>
      <c r="QU11" s="80"/>
      <c r="QV11" s="80"/>
      <c r="QW11" s="80"/>
      <c r="QX11" s="80"/>
      <c r="QY11" s="82"/>
      <c r="RD11" t="str">
        <f>IF('Assembly &amp; Bagging'!J17="2 Hinges","2",IF('Assembly &amp; Bagging'!J17="3 Hinges","3",""))</f>
        <v/>
      </c>
      <c r="RH11" s="80"/>
      <c r="RL11" t="str">
        <f>IF(OR('Job Sheet'!M17="Hinged LHS with Slide Bolt on Inside",'Job Sheet'!M17="Hinged LHS with Slide Bolt on Inside"),1,"")</f>
        <v/>
      </c>
      <c r="RM11" s="80"/>
      <c r="RO11" t="str">
        <f>IF('Straight Cutting'!D17&lt;&gt;"Invisi-Gard","",IF(AND('Straight Cutting'!F17&lt;&gt;"",'Straight Cutting'!G17&lt;&gt;""),6,2))</f>
        <v/>
      </c>
      <c r="RP11" t="str">
        <f>IF(AND('Job Sheet'!P17&lt;&gt;"",(OR('Mitred Cutting'!E17="9mm",'Mitred Cutting'!E17="11mm"))),2,"")</f>
        <v/>
      </c>
      <c r="RR11" s="80" t="str">
        <f>Guillotine!E17</f>
        <v/>
      </c>
      <c r="RS11" t="str">
        <f>IF('Assembly &amp; Bagging'!E17="Flywire","",IF('Assembly &amp; Bagging'!E17="Invisi-Gard Woven Stainless Steel","Woven Stainless Steel",'Assembly &amp; Bagging'!E17))</f>
        <v/>
      </c>
      <c r="RT11" s="80"/>
      <c r="RU11" s="80"/>
      <c r="RV11" s="80"/>
      <c r="RW11" s="80"/>
      <c r="RX11" s="80"/>
      <c r="RY11" s="80"/>
      <c r="RZ11" s="80"/>
      <c r="SA11" s="80"/>
      <c r="SB11" s="80"/>
      <c r="SC11" s="80"/>
      <c r="SD11" s="80"/>
      <c r="SE11" s="80"/>
      <c r="SF11" s="80"/>
      <c r="SG11" s="80"/>
      <c r="SH11" s="80"/>
      <c r="SI11" s="80"/>
      <c r="SJ11" s="80"/>
      <c r="SK11" s="80"/>
      <c r="SL11" s="80"/>
      <c r="SM11" s="80"/>
      <c r="SN11" s="80"/>
      <c r="SO11" s="80"/>
      <c r="SP11" s="80"/>
      <c r="SQ11" s="80"/>
      <c r="SR11" s="80"/>
      <c r="SS11" s="80"/>
      <c r="ST11" s="80"/>
      <c r="SU11" s="80"/>
      <c r="SV11" s="80"/>
      <c r="SW11" s="80"/>
      <c r="SX11" s="80"/>
      <c r="SY11" s="80"/>
      <c r="SZ11" s="80"/>
      <c r="TA11" s="80"/>
      <c r="TB11" s="80"/>
      <c r="TC11" s="80"/>
      <c r="TD11" s="80"/>
      <c r="TE11" s="80"/>
      <c r="TF11" s="80"/>
      <c r="TG11" s="80"/>
      <c r="TH11" s="80"/>
      <c r="TI11" s="80"/>
      <c r="TJ11" s="80"/>
      <c r="TK11" s="80"/>
      <c r="TL11" s="80"/>
      <c r="TM11" s="80"/>
      <c r="TN11" s="80"/>
      <c r="TO11" s="80"/>
      <c r="TP11" s="80"/>
      <c r="TQ11" s="80"/>
      <c r="TR11" s="80"/>
      <c r="TS11" s="80"/>
      <c r="TT11" s="80"/>
      <c r="TU11" s="80"/>
      <c r="TV11" s="80"/>
      <c r="TW11" s="80"/>
      <c r="TX11" s="80"/>
      <c r="TY11" s="80"/>
      <c r="TZ11" s="80"/>
      <c r="UA11" s="80"/>
      <c r="UB11" s="80"/>
      <c r="UC11" s="80"/>
      <c r="UD11" s="80"/>
      <c r="UE11" s="80"/>
      <c r="UF11" s="80"/>
      <c r="UG11" s="80"/>
      <c r="UH11" s="80"/>
      <c r="UI11" s="80"/>
      <c r="UJ11" s="80"/>
      <c r="UK11" s="80"/>
      <c r="UL11" s="80"/>
      <c r="UM11" s="80"/>
      <c r="UN11" s="80"/>
      <c r="UO11" s="80"/>
      <c r="UP11" s="80"/>
      <c r="UQ11" s="80"/>
      <c r="UR11" s="80"/>
      <c r="US11" s="80"/>
      <c r="UT11" s="80"/>
      <c r="UU11" s="80"/>
      <c r="UV11" s="80"/>
      <c r="UW11" s="80"/>
      <c r="UX11" s="80"/>
      <c r="UY11" s="80"/>
      <c r="UZ11" s="80"/>
      <c r="VA11" s="80"/>
      <c r="VB11" s="80"/>
      <c r="VC11" s="80"/>
      <c r="VD11" s="80"/>
      <c r="VE11" s="80"/>
      <c r="VF11" s="80"/>
      <c r="VG11" s="80"/>
      <c r="VH11" s="80"/>
      <c r="VI11" s="80"/>
      <c r="VJ11" s="80"/>
      <c r="VK11" s="80"/>
      <c r="VL11" s="80"/>
      <c r="VM11" s="80"/>
      <c r="VN11" s="80"/>
      <c r="VO11" s="80"/>
      <c r="VP11" s="80"/>
      <c r="VQ11" s="80"/>
      <c r="VR11" s="80"/>
      <c r="VS11" s="80"/>
      <c r="VT11" s="80"/>
      <c r="VU11" s="80"/>
      <c r="VV11" s="80"/>
      <c r="VW11" s="80"/>
      <c r="VX11" s="80"/>
      <c r="VY11" s="80"/>
      <c r="VZ11" s="80"/>
      <c r="WA11" s="80"/>
      <c r="WB11" s="80"/>
      <c r="WC11" s="80"/>
      <c r="WD11" s="80"/>
      <c r="WE11" s="80"/>
      <c r="WF11" s="80"/>
      <c r="WG11" s="80"/>
      <c r="WH11" s="80"/>
      <c r="WI11" s="80"/>
      <c r="WJ11" s="80"/>
      <c r="WK11" s="80"/>
      <c r="WL11" s="80"/>
      <c r="WM11" s="80"/>
      <c r="WN11" s="80"/>
      <c r="WO11" s="80"/>
      <c r="WP11" s="80"/>
      <c r="WQ11" s="80"/>
      <c r="WR11" s="80"/>
      <c r="WS11" s="80"/>
      <c r="WT11" s="80"/>
      <c r="WU11" s="80"/>
      <c r="WV11" s="80"/>
      <c r="WW11" s="80"/>
      <c r="WX11" s="80"/>
      <c r="WY11" s="80"/>
      <c r="WZ11" s="80"/>
      <c r="XA11" s="80"/>
      <c r="XB11" s="80"/>
      <c r="XC11" s="80"/>
      <c r="XD11" s="80"/>
      <c r="XE11" s="80"/>
      <c r="XF11" s="80"/>
      <c r="XG11" s="80"/>
      <c r="XH11" s="80"/>
      <c r="XI11" s="80"/>
      <c r="XJ11" s="80"/>
      <c r="XK11" s="80"/>
      <c r="XL11" s="80"/>
      <c r="XM11" s="80"/>
      <c r="XN11" s="80"/>
      <c r="XO11" s="80"/>
      <c r="XP11" s="80"/>
      <c r="XQ11" s="80"/>
      <c r="XR11" s="80"/>
      <c r="XS11" s="80"/>
      <c r="XT11" s="80"/>
      <c r="XU11" s="80"/>
      <c r="XV11" s="80"/>
      <c r="XW11" s="80"/>
      <c r="XX11" s="80"/>
      <c r="XY11" s="80"/>
      <c r="XZ11" s="80"/>
      <c r="YA11" s="80"/>
      <c r="YB11" s="80"/>
      <c r="YC11" s="80"/>
      <c r="YD11" s="80"/>
      <c r="YE11" s="80"/>
      <c r="YF11" s="80"/>
      <c r="YG11" s="80"/>
      <c r="YH11" s="80"/>
      <c r="YI11" s="80"/>
      <c r="YJ11" s="80"/>
      <c r="YK11" s="80"/>
      <c r="YL11" s="80"/>
      <c r="YM11" s="80"/>
      <c r="YN11" s="80"/>
      <c r="YO11" s="80"/>
      <c r="YP11" s="80"/>
      <c r="YQ11" s="80"/>
      <c r="YR11" s="80"/>
      <c r="YS11" s="80"/>
      <c r="YT11" s="80"/>
      <c r="YU11" s="80"/>
      <c r="YV11" s="80"/>
      <c r="YW11" s="80"/>
      <c r="YX11" s="80"/>
      <c r="YY11" s="80"/>
      <c r="YZ11" s="80"/>
      <c r="ZA11" s="80"/>
      <c r="ZB11" s="80"/>
      <c r="ZC11" s="80"/>
      <c r="ZD11" s="80"/>
      <c r="ZE11" s="80"/>
      <c r="ZF11" s="80"/>
      <c r="ZG11" s="80"/>
      <c r="ZH11" s="80"/>
      <c r="ZI11" s="80"/>
      <c r="ZJ11" s="80"/>
      <c r="ZK11" s="80"/>
      <c r="ZL11" s="80"/>
      <c r="ZM11" s="80"/>
      <c r="ZN11" s="80"/>
      <c r="ZO11" s="80"/>
      <c r="ZP11" s="80"/>
      <c r="ZQ11" s="80"/>
      <c r="ZR11" s="80"/>
      <c r="ZS11" s="80"/>
      <c r="ZT11" s="80"/>
      <c r="ZU11" s="80"/>
      <c r="ZV11" s="80"/>
      <c r="ZW11" s="80"/>
      <c r="ZX11" s="80"/>
      <c r="ZY11" s="80"/>
      <c r="ZZ11" s="80"/>
      <c r="AAA11" s="80"/>
      <c r="AAB11" s="80"/>
      <c r="AAC11" s="80"/>
      <c r="AAD11" s="80"/>
      <c r="AAE11" s="80"/>
      <c r="AAF11" s="80"/>
      <c r="AAG11" s="80"/>
      <c r="AAH11" s="80"/>
      <c r="AAI11" s="80"/>
      <c r="AAJ11" s="80"/>
      <c r="AAK11" s="80"/>
      <c r="AAL11" s="80"/>
      <c r="AAM11" s="80"/>
      <c r="AAN11" s="80"/>
      <c r="AAO11" s="80"/>
      <c r="AAP11" s="80"/>
      <c r="AAQ11" s="80"/>
      <c r="AAR11" s="80"/>
      <c r="AAS11" s="80"/>
      <c r="AAT11" s="80"/>
      <c r="AAU11" s="80"/>
      <c r="AAV11" s="80"/>
      <c r="AAW11" s="80"/>
      <c r="AAX11" s="80"/>
      <c r="AAY11" s="80"/>
      <c r="AAZ11" s="80"/>
      <c r="ABA11" s="80"/>
      <c r="ABB11" s="80"/>
      <c r="ABC11" s="80"/>
      <c r="ABD11" s="80"/>
      <c r="ABE11" s="80"/>
      <c r="ABF11" s="80"/>
      <c r="ABG11" s="80"/>
      <c r="ABH11" s="80"/>
      <c r="ABI11" s="80"/>
      <c r="ABJ11" s="80"/>
      <c r="ABK11" s="80"/>
      <c r="ABL11" s="80"/>
      <c r="ABM11" s="80"/>
      <c r="ABN11" s="80"/>
      <c r="ABO11" s="80"/>
      <c r="ABP11" s="80"/>
      <c r="ABQ11" s="80"/>
      <c r="ABR11" s="80"/>
      <c r="ABS11" s="80"/>
      <c r="ABT11" s="80"/>
      <c r="ABU11" s="80"/>
      <c r="ABV11" s="80"/>
      <c r="ABW11" s="80"/>
      <c r="ABX11" s="80"/>
      <c r="ABY11" s="80"/>
      <c r="ABZ11" s="80"/>
      <c r="ACA11" s="80"/>
      <c r="ACB11" s="80"/>
      <c r="ACC11" s="80"/>
      <c r="ACD11" s="80" t="str">
        <f>IF('Job Sheet'!J17="Fibreglass Mesh",CONCATENATE('Job Sheet'!W17," x ",'Job Sheet'!X17),"")</f>
        <v/>
      </c>
      <c r="ACE11" s="80" t="str">
        <f>IF('Job Sheet'!J17="Alu-screen",CONCATENATE('Job Sheet'!W17," x ",'Job Sheet'!X17),"")</f>
        <v/>
      </c>
      <c r="ACF11" s="80" t="str">
        <f>IF('Job Sheet'!J17="Pet Mesh",CONCATENATE('Job Sheet'!W17," x ",'Job Sheet'!X17),"")</f>
        <v/>
      </c>
      <c r="ACH11" s="80"/>
    </row>
    <row r="12" spans="4:762" ht="13.2" customHeight="1">
      <c r="D12" t="str">
        <f>IF(OR(Data!AV18="",Data!BN18="Invisi-Scape"),"",CONCATENATE(Data!BC$5,".",Data!BD$5))</f>
        <v/>
      </c>
      <c r="E12" t="str">
        <f>IF(D12="","",Data!AW18)</f>
        <v/>
      </c>
      <c r="F12" t="str">
        <f>IF(D12="","",Data!AV18)</f>
        <v/>
      </c>
      <c r="G12" t="str">
        <f t="shared" si="0"/>
        <v/>
      </c>
      <c r="H12" t="str">
        <f>IF(D12="","",Data!BF$5)</f>
        <v/>
      </c>
      <c r="I12" t="str">
        <f>IF(D12="","",Data!AX$5)</f>
        <v/>
      </c>
      <c r="J12" s="80" t="str">
        <f>IF(AND('Mitred Cutting'!E18="70mm x 20mm",'Mitred Cutting'!D18="APO Grey"),(('Job Sheet'!W18+'Job Sheet'!X18)*2),"")</f>
        <v/>
      </c>
      <c r="K12" s="80" t="str">
        <f>IF(AND('Mitred Cutting'!E18="70mm x 20mm",'Mitred Cutting'!D18="White Birch"),(('Job Sheet'!W18+'Job Sheet'!X18)*2),"")</f>
        <v/>
      </c>
      <c r="L12" s="80" t="str">
        <f>IF(AND('Mitred Cutting'!E18="70mm x 20mm",'Mitred Cutting'!D18="Black"),(('Job Sheet'!W18+'Job Sheet'!X18)*2),"")</f>
        <v/>
      </c>
      <c r="M12" s="80" t="str">
        <f>IF(AND('Mitred Cutting'!E18="70mm x 20mm",'Mitred Cutting'!D18="Brown"),(('Job Sheet'!W18+'Job Sheet'!X18)*2),"")</f>
        <v/>
      </c>
      <c r="N12" s="80" t="str">
        <f>IF(AND('Mitred Cutting'!E18="70mm x 20mm",'Mitred Cutting'!D18="Deep Ocean"),(('Job Sheet'!W18+'Job Sheet'!X18)*2),"")</f>
        <v/>
      </c>
      <c r="O12" s="80" t="str">
        <f>IF(AND('Mitred Cutting'!E18="70mm x 20mm",'Mitred Cutting'!D18="Jasper"),(('Job Sheet'!W18+'Job Sheet'!X18)*2),"")</f>
        <v/>
      </c>
      <c r="P12" s="80" t="str">
        <f>IF(AND('Mitred Cutting'!E18="70mm x 20mm",'Mitred Cutting'!D18="Paperbark"),(('Job Sheet'!W18+'Job Sheet'!X18)*2),"")</f>
        <v/>
      </c>
      <c r="Q12" s="80" t="str">
        <f>IF(AND('Mitred Cutting'!E18="70mm x 20mm",'Mitred Cutting'!D18="Mist Green"),(('Job Sheet'!W18+'Job Sheet'!X18)*2),"")</f>
        <v/>
      </c>
      <c r="R12" s="80" t="str">
        <f>IF(AND('Mitred Cutting'!E18="70mm x 20mm",'Mitred Cutting'!D18="Primrose"),(('Job Sheet'!W18+'Job Sheet'!X18)*2),"")</f>
        <v/>
      </c>
      <c r="S12" s="80" t="str">
        <f>IF(AND('Mitred Cutting'!E18="70mm x 20mm",'Mitred Cutting'!D18="Ultra Silver"),(('Job Sheet'!W18+'Job Sheet'!X18)*2),"")</f>
        <v/>
      </c>
      <c r="T12" s="80" t="str">
        <f>IF(AND('Mitred Cutting'!E18="70mm x 20mm",'Mitred Cutting'!D18="Woodland Grey(Green Tone)"),(('Job Sheet'!W18+'Job Sheet'!X18)*2),"")</f>
        <v/>
      </c>
      <c r="U12" s="80" t="str">
        <f>IF(AND('Mitred Cutting'!E18="70mm x 20mm",'Mitred Cutting'!D18="Pearl White"),(('Job Sheet'!W18+'Job Sheet'!X18)*2),"")</f>
        <v/>
      </c>
      <c r="V12" s="80" t="str">
        <f>IF(AND('Mitred Cutting'!E18="70mm x 20mm",'Mitred Cutting'!D18="Monument"),(('Job Sheet'!W18+'Job Sheet'!X18)*2),"")</f>
        <v/>
      </c>
      <c r="W12" s="80" t="str">
        <f>IF(AND('Mitred Cutting'!E18="70mm x 20mm",'Mitred Cutting'!D18="Surfmist"),(('Job Sheet'!W18+'Job Sheet'!X18)*2),"")</f>
        <v/>
      </c>
      <c r="X12" s="80" t="str">
        <f>IF(AND('Mitred Cutting'!E18="70mm x 20mm",'Mitred Cutting'!D18="Dune"),(('Job Sheet'!W18+'Job Sheet'!X18)*2),"")</f>
        <v/>
      </c>
      <c r="Y12" s="80"/>
      <c r="Z12" s="80" t="str">
        <f>IF(AND('Mitred Cutting'!E18="70mm x 20mm",'Mitred Cutting'!D18="Powdercoat"),(('Job Sheet'!W18+'Job Sheet'!X18)*2),"")</f>
        <v/>
      </c>
      <c r="AA12" s="80" t="str">
        <f>IF(AND('Mitred Cutting'!E18="Invisi-Gard 70mm x 20mm",'Mitred Cutting'!D18="APO Grey"),(('Job Sheet'!W18+'Job Sheet'!X18)*2),"")</f>
        <v/>
      </c>
      <c r="AB12" s="80" t="str">
        <f>IF(AND('Mitred Cutting'!E18="Invisi-Gard 70mm x 20mm",'Mitred Cutting'!D18="White Birch"),(('Job Sheet'!W18+'Job Sheet'!X18)*2),"")</f>
        <v/>
      </c>
      <c r="AC12" s="80" t="str">
        <f>IF(AND('Mitred Cutting'!E18="Invisi-Gard 70mm x 20mm",'Mitred Cutting'!D18="Black"),(('Job Sheet'!W18+'Job Sheet'!X18)*2),"")</f>
        <v/>
      </c>
      <c r="AD12" s="80" t="str">
        <f>IF(AND('Mitred Cutting'!E18="Invisi-Gard 70mm x 20mm",'Mitred Cutting'!D18="Brown"),(('Job Sheet'!W18+'Job Sheet'!X18)*2),"")</f>
        <v/>
      </c>
      <c r="AE12" s="80" t="str">
        <f>IF(AND('Mitred Cutting'!E18="Invisi-Gard 70mm x 20mm",'Mitred Cutting'!D18="Deep Ocean"),(('Job Sheet'!W18+'Job Sheet'!X18)*2),"")</f>
        <v/>
      </c>
      <c r="AF12" s="80" t="str">
        <f>IF(AND('Mitred Cutting'!E18="Invisi-Gard 70mm x 20mm",'Mitred Cutting'!D18="Jasper"),(('Job Sheet'!W18+'Job Sheet'!X18)*2),"")</f>
        <v/>
      </c>
      <c r="AG12" s="80" t="str">
        <f>IF(AND('Mitred Cutting'!E18="Invisi-Gard 70mm x 20mm",'Mitred Cutting'!D18="Paperbark"),(('Job Sheet'!W18+'Job Sheet'!X18)*2),"")</f>
        <v/>
      </c>
      <c r="AH12" s="80" t="str">
        <f>IF(AND('Mitred Cutting'!E18="Invisi-Gard 70mm x 20mm",'Mitred Cutting'!D18="Mist Green"),(('Job Sheet'!W18+'Job Sheet'!X18)*2),"")</f>
        <v/>
      </c>
      <c r="AI12" s="80" t="str">
        <f>IF(AND('Mitred Cutting'!E18="Invisi-Gard 70mm x 20mm",'Mitred Cutting'!D18="Primrose"),(('Job Sheet'!W18+'Job Sheet'!X18)*2),"")</f>
        <v/>
      </c>
      <c r="AJ12" s="80" t="str">
        <f>IF(AND('Mitred Cutting'!E18="Invisi-Gard 70mm x 20mm",'Mitred Cutting'!D18="Ultra Silver"),(('Job Sheet'!W18+'Job Sheet'!X18)*2),"")</f>
        <v/>
      </c>
      <c r="AK12" s="80" t="str">
        <f>IF(AND('Mitred Cutting'!E18="Invisi-Gard 70mm x 20mm",'Mitred Cutting'!D18="Woodland Grey(Green Tone)"),(('Job Sheet'!W18+'Job Sheet'!X18)*2),"")</f>
        <v/>
      </c>
      <c r="AL12" s="80" t="str">
        <f>IF(AND('Mitred Cutting'!E18="Invisi-Gard 70mm x 20mm",'Mitred Cutting'!D18="Pearl White"),(('Job Sheet'!W18+'Job Sheet'!X18)*2),"")</f>
        <v/>
      </c>
      <c r="AM12" s="80" t="str">
        <f>IF(AND('Mitred Cutting'!E18="Invisi-Gard 70mm x 20mm",'Mitred Cutting'!D18="Monument"),(('Job Sheet'!W18+'Job Sheet'!X18)*2),"")</f>
        <v/>
      </c>
      <c r="AN12" s="80" t="str">
        <f>IF(AND('Mitred Cutting'!E18="Invisi-Gard 70mm x 20mm",'Mitred Cutting'!D18="Surfmist"),(('Job Sheet'!W18+'Job Sheet'!X18)*2),"")</f>
        <v/>
      </c>
      <c r="AO12" s="80" t="str">
        <f>IF(AND('Mitred Cutting'!E18="Invisi-Gard 70mm x 20mm",'Mitred Cutting'!D18="Dune"),(('Job Sheet'!W18+'Job Sheet'!X18)*2),"")</f>
        <v/>
      </c>
      <c r="AP12" s="80"/>
      <c r="AQ12" s="80" t="str">
        <f>IF(AND('Mitred Cutting'!E18="Invisi-Gard 70mm x 20mm",'Mitred Cutting'!D18="Powdercoat"),(('Job Sheet'!W18+'Job Sheet'!X18)*2),"")</f>
        <v/>
      </c>
      <c r="AR12" s="80" t="str">
        <f>IF(AND('Mitred Cutting'!E18="37mm x 11mm",'Mitred Cutting'!D18="APO Grey"),(('Job Sheet'!W18+'Job Sheet'!X18)*2),"")</f>
        <v/>
      </c>
      <c r="AS12" s="80" t="str">
        <f>IF(AND('Mitred Cutting'!E18="37mm x 11mm",'Mitred Cutting'!D18="White Birch"),(('Job Sheet'!W18+'Job Sheet'!X18)*2),"")</f>
        <v/>
      </c>
      <c r="AT12" s="80" t="str">
        <f>IF(AND('Mitred Cutting'!E18="37mm x 11mm",'Mitred Cutting'!D18="Black"),(('Job Sheet'!W18+'Job Sheet'!X18)*2),"")</f>
        <v/>
      </c>
      <c r="AU12" s="80" t="str">
        <f>IF(AND('Mitred Cutting'!E18="37mm x 11mm",'Mitred Cutting'!D18="Brown"),(('Job Sheet'!W18+'Job Sheet'!X18)*2),"")</f>
        <v/>
      </c>
      <c r="AV12" s="80" t="str">
        <f>IF(AND('Mitred Cutting'!E18="37mm x 11mm",'Mitred Cutting'!D18="Deep Ocean"),(('Job Sheet'!W18+'Job Sheet'!X18)*2),"")</f>
        <v/>
      </c>
      <c r="AW12" s="80" t="str">
        <f>IF(AND('Mitred Cutting'!E18="37mm x 11mm",'Mitred Cutting'!D18="Jasper"),(('Job Sheet'!W18+'Job Sheet'!X18)*2),"")</f>
        <v/>
      </c>
      <c r="AX12" s="80" t="str">
        <f>IF(AND('Mitred Cutting'!E18="37mm x 11mm",'Mitred Cutting'!D18="Paperbark"),(('Job Sheet'!W18+'Job Sheet'!X18)*2),"")</f>
        <v/>
      </c>
      <c r="AY12" s="80" t="str">
        <f>IF(AND('Mitred Cutting'!E18="37mm x 11mm",'Mitred Cutting'!D18="Mist Green"),(('Job Sheet'!W18+'Job Sheet'!X18)*2),"")</f>
        <v/>
      </c>
      <c r="AZ12" s="80" t="str">
        <f>IF(AND('Mitred Cutting'!E18="37mm x 11mm",'Mitred Cutting'!D18="Primrose"),(('Job Sheet'!W18+'Job Sheet'!X18)*2),"")</f>
        <v/>
      </c>
      <c r="BA12" s="80" t="str">
        <f>IF(AND('Mitred Cutting'!E18="37mm x 11mm",'Mitred Cutting'!D18="Ultra Silver"),(('Job Sheet'!W18+'Job Sheet'!X18)*2),"")</f>
        <v/>
      </c>
      <c r="BB12" s="80" t="str">
        <f>IF(AND('Mitred Cutting'!E18="37mm x 11mm",'Mitred Cutting'!D18="Woodland Grey(Green Tone)"),(('Job Sheet'!W18+'Job Sheet'!X18)*2),"")</f>
        <v/>
      </c>
      <c r="BC12" s="80" t="str">
        <f>IF(AND('Mitred Cutting'!E18="37mm x 11mm",'Mitred Cutting'!D18="Pearl White"),(('Job Sheet'!W18+'Job Sheet'!X18)*2),"")</f>
        <v/>
      </c>
      <c r="BD12" s="80" t="str">
        <f>IF(AND('Mitred Cutting'!E18="37mm x 11mm",'Mitred Cutting'!D18="Monument"),(('Job Sheet'!W18+'Job Sheet'!X18)*2),"")</f>
        <v/>
      </c>
      <c r="BE12" s="80" t="str">
        <f>IF(AND('Mitred Cutting'!E18="37mm x 11mm",'Mitred Cutting'!D18="Surfmist"),(('Job Sheet'!W18+'Job Sheet'!X18)*2),"")</f>
        <v/>
      </c>
      <c r="BF12" s="80" t="str">
        <f>IF(AND('Mitred Cutting'!E18="37mm x 11mm",'Mitred Cutting'!D18="Dune"),(('Job Sheet'!W18+'Job Sheet'!X18)*2),"")</f>
        <v/>
      </c>
      <c r="BG12" s="80" t="str">
        <f>IF(AND('Mitred Cutting'!E18="37mm x 11mm",'Mitred Cutting'!D18="Woodland Grey (Dulux)"),(('Job Sheet'!W18+'Job Sheet'!X18)*2),"")</f>
        <v/>
      </c>
      <c r="BH12" s="80" t="str">
        <f>IF(AND('Mitred Cutting'!E18="37mm x 11mm",'Mitred Cutting'!D18="Powdercoat"),(('Job Sheet'!W18+'Job Sheet'!X18)*2),"")</f>
        <v/>
      </c>
      <c r="BI12" s="80" t="str">
        <f>IF(AND('Mitred Cutting'!E18="Invisi-Gard 37mm x 11mm",'Mitred Cutting'!D18="APO Grey"),(('Job Sheet'!W18+'Job Sheet'!X18)*2),"")</f>
        <v/>
      </c>
      <c r="BJ12" s="80" t="str">
        <f>IF(AND('Mitred Cutting'!E18="Invisi-Gard 37mm x 11mm",'Mitred Cutting'!D18="White Birch"),(('Job Sheet'!W18+'Job Sheet'!X18)*2),"")</f>
        <v/>
      </c>
      <c r="BK12" s="80" t="str">
        <f>IF(AND('Mitred Cutting'!E18="Invisi-Gard 37mm x 11mm",'Mitred Cutting'!D18="Black"),(('Job Sheet'!W18+'Job Sheet'!X18)*2),"")</f>
        <v/>
      </c>
      <c r="BL12" s="80" t="str">
        <f>IF(AND('Mitred Cutting'!E18="Invisi-Gard 37mm x 11mm",'Mitred Cutting'!D18="Brown"),(('Job Sheet'!W18+'Job Sheet'!X18)*2),"")</f>
        <v/>
      </c>
      <c r="BM12" s="80" t="str">
        <f>IF(AND('Mitred Cutting'!E18="Invisi-Gard 37mm x 11mm",'Mitred Cutting'!D18="Deep Ocean"),(('Job Sheet'!W18+'Job Sheet'!X18)*2),"")</f>
        <v/>
      </c>
      <c r="BN12" s="80" t="str">
        <f>IF(AND('Mitred Cutting'!E18="Invisi-Gard 37mm x 11mm",'Mitred Cutting'!D18="Jasper"),(('Job Sheet'!W18+'Job Sheet'!X18)*2),"")</f>
        <v/>
      </c>
      <c r="BO12" s="80" t="str">
        <f>IF(AND('Mitred Cutting'!E18="Invisi-Gard 37mm x 11mm",'Mitred Cutting'!D18="Paperbark"),(('Job Sheet'!W18+'Job Sheet'!X18)*2),"")</f>
        <v/>
      </c>
      <c r="BP12" s="80" t="str">
        <f>IF(AND('Mitred Cutting'!E18="Invisi-Gard 37mm x 11mm",'Mitred Cutting'!D18="Mist Green"),(('Job Sheet'!W18+'Job Sheet'!X18)*2),"")</f>
        <v/>
      </c>
      <c r="BQ12" s="80" t="str">
        <f>IF(AND('Mitred Cutting'!E18="Invisi-Gard 37mm x 11mm",'Mitred Cutting'!D18="Primrose"),(('Job Sheet'!W18+'Job Sheet'!X18)*2),"")</f>
        <v/>
      </c>
      <c r="BR12" s="80" t="str">
        <f>IF(AND('Mitred Cutting'!E18="Invisi-Gard 37mm x 11mm",'Mitred Cutting'!D18="Ultra Silver"),(('Job Sheet'!W18+'Job Sheet'!X18)*2),"")</f>
        <v/>
      </c>
      <c r="BS12" s="80" t="str">
        <f>IF(AND('Mitred Cutting'!E18="Invisi-Gard 37mm x 11mm",'Mitred Cutting'!D18="Woodland Grey(Green Tone)"),(('Job Sheet'!W18+'Job Sheet'!X18)*2),"")</f>
        <v/>
      </c>
      <c r="BT12" s="80" t="str">
        <f>IF(AND('Mitred Cutting'!E18="Invisi-Gard 37mm x 11mm",'Mitred Cutting'!D18="Pearl White"),(('Job Sheet'!W18+'Job Sheet'!X18)*2),"")</f>
        <v/>
      </c>
      <c r="BU12" s="80" t="str">
        <f>IF(AND('Mitred Cutting'!E18="Invisi-Gard 37mm x 11mm",'Mitred Cutting'!D18="Monument"),(('Job Sheet'!W18+'Job Sheet'!X18)*2),"")</f>
        <v/>
      </c>
      <c r="BV12" s="80" t="str">
        <f>IF(AND('Mitred Cutting'!E18="Invisi-Gard 37mm x 11mm",'Mitred Cutting'!D18="Surfmist"),(('Job Sheet'!W18+'Job Sheet'!X18)*2),"")</f>
        <v/>
      </c>
      <c r="BW12" s="80" t="str">
        <f>IF(AND('Mitred Cutting'!E18="Invisi-Gard 37mm x 11mm",'Mitred Cutting'!D18="Dune"),(('Job Sheet'!W18+'Job Sheet'!X18)*2),"")</f>
        <v/>
      </c>
      <c r="BX12" s="80"/>
      <c r="BY12" s="80" t="str">
        <f>IF(AND('Mitred Cutting'!E18="Invisi-Gard 37mm x 11mm",'Mitred Cutting'!D18="Powdercoat"),(('Job Sheet'!W18+'Job Sheet'!X18)*2),"")</f>
        <v/>
      </c>
      <c r="BZ12" s="80" t="str">
        <f>IF(AND('Mitred Cutting'!E18="Invisi-Gard 37mm x 9mm",'Mitred Cutting'!D18="APO Grey"),(('Job Sheet'!W18+'Job Sheet'!X18)*2),"")</f>
        <v/>
      </c>
      <c r="CA12" s="80" t="str">
        <f>IF(AND('Mitred Cutting'!E18="Invisi-Gard 37mm x 9mm",'Mitred Cutting'!D18="White Birch"),(('Job Sheet'!W18+'Job Sheet'!X18)*2),"")</f>
        <v/>
      </c>
      <c r="CB12" s="80" t="str">
        <f>IF(AND('Mitred Cutting'!E18="Invisi-Gard 37mm x 9mm",'Mitred Cutting'!D18="Black"),(('Job Sheet'!W18+'Job Sheet'!X18)*2),"")</f>
        <v/>
      </c>
      <c r="CC12" s="80" t="str">
        <f>IF(AND('Mitred Cutting'!E18="Invisi-Gard 37mm x 9mm",'Mitred Cutting'!D18="Brown"),(('Job Sheet'!W18+'Job Sheet'!X18)*2),"")</f>
        <v/>
      </c>
      <c r="CD12" s="80" t="str">
        <f>IF(AND('Mitred Cutting'!E18="Invisi-Gard 37mm x 9mm",'Mitred Cutting'!D18="Deep Ocean"),(('Job Sheet'!W18+'Job Sheet'!X18)*2),"")</f>
        <v/>
      </c>
      <c r="CE12" s="80" t="str">
        <f>IF(AND('Mitred Cutting'!E18="Invisi-Gard 37mm x 9mm",'Mitred Cutting'!D18="Jasper"),(('Job Sheet'!W18+'Job Sheet'!X18)*2),"")</f>
        <v/>
      </c>
      <c r="CF12" s="80" t="str">
        <f>IF(AND('Mitred Cutting'!E18="Invisi-Gard 37mm x 9mm",'Mitred Cutting'!D18="Paperbark"),(('Job Sheet'!W18+'Job Sheet'!X18)*2),"")</f>
        <v/>
      </c>
      <c r="CG12" s="80" t="str">
        <f>IF(AND('Mitred Cutting'!E18="Invisi-Gard 37mm x 9mm",'Mitred Cutting'!D18="Mist Green"),(('Job Sheet'!W18+'Job Sheet'!X18)*2),"")</f>
        <v/>
      </c>
      <c r="CH12" s="80" t="str">
        <f>IF(AND('Mitred Cutting'!E18="Invisi-Gard 37mm x 9mm",'Mitred Cutting'!D18="Primrose"),(('Job Sheet'!W18+'Job Sheet'!X18)*2),"")</f>
        <v/>
      </c>
      <c r="CI12" s="80" t="str">
        <f>IF(AND('Mitred Cutting'!E18="Invisi-Gard 37mm x 9mm",'Mitred Cutting'!D18="Ultra Silver"),(('Job Sheet'!W18+'Job Sheet'!X18)*2),"")</f>
        <v/>
      </c>
      <c r="CJ12" s="80" t="str">
        <f>IF(AND('Mitred Cutting'!E18="Invisi-Gard 37mm x 9mm",'Mitred Cutting'!D18="Woodland Grey(Green Tone)"),(('Job Sheet'!W18+'Job Sheet'!X18)*2),"")</f>
        <v/>
      </c>
      <c r="CK12" s="80" t="str">
        <f>IF(AND('Mitred Cutting'!E18="Invisi-Gard 37mm x 9mm",'Mitred Cutting'!D18="Pearl White"),(('Job Sheet'!W18+'Job Sheet'!X18)*2),"")</f>
        <v/>
      </c>
      <c r="CL12" s="80" t="str">
        <f>IF(AND('Mitred Cutting'!E18="Invisi-Gard 37mm x 9mm",'Mitred Cutting'!D18="Monument"),(('Job Sheet'!W18+'Job Sheet'!X18)*2),"")</f>
        <v/>
      </c>
      <c r="CM12" s="80" t="str">
        <f>IF(AND('Mitred Cutting'!E18="Invisi-Gard 37mm x 9mm",'Mitred Cutting'!D18="Surfmist"),(('Job Sheet'!W18+'Job Sheet'!X18)*2),"")</f>
        <v/>
      </c>
      <c r="CN12" s="80" t="str">
        <f>IF(AND('Mitred Cutting'!E18="Invisi-Gard 37mm x 9mm",'Mitred Cutting'!D18="Dune"),(('Job Sheet'!W18+'Job Sheet'!X18)*2),"")</f>
        <v/>
      </c>
      <c r="CO12" s="80"/>
      <c r="CP12" s="80" t="str">
        <f>IF(AND('Mitred Cutting'!E18="Invisi-Gard 37mm x 9mm",'Mitred Cutting'!D18="Powdercoat"),(('Job Sheet'!W18+'Job Sheet'!X18)*2),"")</f>
        <v/>
      </c>
      <c r="CQ12" s="80"/>
      <c r="CR12" s="80"/>
      <c r="CS12" s="80"/>
      <c r="CT12" s="80"/>
      <c r="CU12" s="80"/>
      <c r="CV12" s="80"/>
      <c r="CW12" s="80"/>
      <c r="CX12" s="80"/>
      <c r="CY12" s="80"/>
      <c r="CZ12" s="80"/>
      <c r="DA12" s="80"/>
      <c r="DB12" s="80"/>
      <c r="DC12" s="80"/>
      <c r="DD12" s="80"/>
      <c r="DE12" s="80"/>
      <c r="DF12" s="80"/>
      <c r="DG12" s="80"/>
      <c r="DH12" s="80"/>
      <c r="DI12" s="80"/>
      <c r="DJ12" s="80"/>
      <c r="DK12" s="80"/>
      <c r="DL12" s="80"/>
      <c r="DM12" s="80"/>
      <c r="DN12" s="80"/>
      <c r="DO12" s="80"/>
      <c r="DP12" s="80"/>
      <c r="DQ12" s="80"/>
      <c r="DR12" s="80"/>
      <c r="DS12" s="80"/>
      <c r="DT12" s="80"/>
      <c r="DU12" s="80"/>
      <c r="DV12" s="80"/>
      <c r="DW12" s="80"/>
      <c r="DX12" s="80"/>
      <c r="DY12" s="80" t="str">
        <f>IF(AND('Mitred Cutting'!E18="9mm",'Mitred Cutting'!D18="APO Grey",'Job Sheet'!P18&lt;&gt;""),(('Job Sheet'!W18+'Job Sheet'!X18)*2)+'Job Sheet'!AG18,IF(AND('Mitred Cutting'!E18="9mm",'Mitred Cutting'!D18="APO Grey"),(('Job Sheet'!W18+'Job Sheet'!X18)*2),""))</f>
        <v/>
      </c>
      <c r="DZ12" s="80" t="str">
        <f>IF(AND('Mitred Cutting'!E18="9mm",'Mitred Cutting'!D18="White Birch",'Job Sheet'!P18&lt;&gt;""),(('Job Sheet'!W18+'Job Sheet'!X18)*2)+'Job Sheet'!AG18,IF(AND('Mitred Cutting'!E18="9mm",'Mitred Cutting'!D18="White Birch"),(('Job Sheet'!W18+'Job Sheet'!X18)*2),""))</f>
        <v/>
      </c>
      <c r="EA12" s="80" t="str">
        <f>IF(AND('Mitred Cutting'!E18="9mm",'Mitred Cutting'!D18="Black",'Job Sheet'!P18&lt;&gt;""),(('Job Sheet'!W18+'Job Sheet'!X18)*2)+'Job Sheet'!AG18,IF(AND('Mitred Cutting'!E18="9mm",'Mitred Cutting'!D18="Black"),(('Job Sheet'!W18+'Job Sheet'!X18)*2),""))</f>
        <v/>
      </c>
      <c r="EB12" s="80" t="str">
        <f>IF(AND('Mitred Cutting'!E18="9mm",'Mitred Cutting'!D18="Brown",'Job Sheet'!P18&lt;&gt;""),(('Job Sheet'!W18+'Job Sheet'!X18)*2)+'Job Sheet'!AG18,IF(AND('Mitred Cutting'!E18="9mm",'Mitred Cutting'!D18="Brown"),(('Job Sheet'!W18+'Job Sheet'!X18)*2),""))</f>
        <v/>
      </c>
      <c r="EC12" s="80" t="str">
        <f>IF(AND('Mitred Cutting'!E18="9mm",'Mitred Cutting'!D18="Deep Ocean",'Job Sheet'!P18&lt;&gt;""),(('Job Sheet'!W18+'Job Sheet'!X18)*2)+'Job Sheet'!AG18,IF(AND('Mitred Cutting'!E18="9mm",'Mitred Cutting'!D18="Deep Ocean"),(('Job Sheet'!W18+'Job Sheet'!X18)*2),""))</f>
        <v/>
      </c>
      <c r="ED12" s="80" t="str">
        <f>IF(AND('Mitred Cutting'!E18="9mm",'Mitred Cutting'!D18="Jasper",'Job Sheet'!P18&lt;&gt;""),(('Job Sheet'!W18+'Job Sheet'!X18)*2)+'Job Sheet'!AG18,IF(AND('Mitred Cutting'!E18="9mm",'Mitred Cutting'!D18="Jasper"),(('Job Sheet'!W18+'Job Sheet'!X18)*2),""))</f>
        <v/>
      </c>
      <c r="EE12" s="80" t="str">
        <f>IF(AND('Mitred Cutting'!E18="9mm",'Mitred Cutting'!D18="Paperbark",'Job Sheet'!P18&lt;&gt;""),(('Job Sheet'!W18+'Job Sheet'!X18)*2)+'Job Sheet'!AG18,IF(AND('Mitred Cutting'!E18="9mm",'Mitred Cutting'!D18="Paperbark"),(('Job Sheet'!W18+'Job Sheet'!X18)*2),""))</f>
        <v/>
      </c>
      <c r="EF12" s="80" t="str">
        <f>IF(AND('Mitred Cutting'!E18="9mm",'Mitred Cutting'!D18="Pale Eucalypt",'Job Sheet'!P18&lt;&gt;""),(('Job Sheet'!W18+'Job Sheet'!X18)*2)+'Job Sheet'!AG18,IF(AND('Mitred Cutting'!E18="9mm",'Mitred Cutting'!D18="Mist Green"),(('Job Sheet'!W18+'Job Sheet'!X18)*2),""))</f>
        <v/>
      </c>
      <c r="EG12" s="80" t="str">
        <f>IF(AND('Mitred Cutting'!E18="9mm",'Mitred Cutting'!D18="Primrose",'Job Sheet'!P18&lt;&gt;""),(('Job Sheet'!W18+'Job Sheet'!X18)*2)+'Job Sheet'!AG18,IF(AND('Mitred Cutting'!E18="9mm",'Mitred Cutting'!D18="Primrose"),(('Job Sheet'!W18+'Job Sheet'!X18)*2),""))</f>
        <v/>
      </c>
      <c r="EH12" s="80" t="str">
        <f>IF(AND('Mitred Cutting'!E18="9mm",'Mitred Cutting'!D18="Ultra Silver",'Job Sheet'!P18&lt;&gt;""),(('Job Sheet'!W18+'Job Sheet'!X18)*2)+'Job Sheet'!AG18,IF(AND('Mitred Cutting'!E18="9mm",'Mitred Cutting'!D18="Ultra Silver"),(('Job Sheet'!W18+'Job Sheet'!X18)*2),""))</f>
        <v/>
      </c>
      <c r="EI12" s="80" t="str">
        <f>IF(AND('Mitred Cutting'!E18="9mm",'Mitred Cutting'!D18="Woodland Grey(Green Tone)",'Job Sheet'!P18&lt;&gt;""),(('Job Sheet'!W18+'Job Sheet'!X18)*2)+'Job Sheet'!AG18,IF(AND('Mitred Cutting'!E18="9mm",'Mitred Cutting'!D18="Woodland Grey(Green Tone)"),(('Job Sheet'!W18+'Job Sheet'!X18)*2),""))</f>
        <v/>
      </c>
      <c r="EJ12" s="80" t="str">
        <f>IF(AND('Mitred Cutting'!E18="9mm",'Mitred Cutting'!D18="Pearl White",'Job Sheet'!P18&lt;&gt;""),(('Job Sheet'!W18+'Job Sheet'!X18)*2)+'Job Sheet'!AG18,IF(AND('Mitred Cutting'!E18="9mm",'Mitred Cutting'!D18="Pearl White"),(('Job Sheet'!W18+'Job Sheet'!X18)*2),""))</f>
        <v/>
      </c>
      <c r="EK12" s="80" t="str">
        <f>IF(AND('Mitred Cutting'!E18="9mm",'Mitred Cutting'!D18="Monument",'Job Sheet'!P18&lt;&gt;""),(('Job Sheet'!W18+'Job Sheet'!X18)*2)+'Job Sheet'!AG18,IF(AND('Mitred Cutting'!E18="9mm",'Mitred Cutting'!D18="Monument"),(('Job Sheet'!W18+'Job Sheet'!X18)*2),""))</f>
        <v/>
      </c>
      <c r="EL12" s="80" t="str">
        <f>IF(AND('Mitred Cutting'!E18="9mm",'Mitred Cutting'!D18="Surfmist",'Job Sheet'!P18&lt;&gt;""),(('Job Sheet'!W18+'Job Sheet'!X18)*2)+'Job Sheet'!AG18,IF(AND('Mitred Cutting'!E18="9mm",'Mitred Cutting'!D18="Surfmist"),(('Job Sheet'!W18+'Job Sheet'!X18)*2),""))</f>
        <v/>
      </c>
      <c r="EM12" s="80" t="str">
        <f>IF(AND('Mitred Cutting'!E18="9mm",'Mitred Cutting'!D18="Dune",'Job Sheet'!P18&lt;&gt;""),(('Job Sheet'!W18+'Job Sheet'!X18)*2)+'Job Sheet'!AG18,IF(AND('Mitred Cutting'!E18="9mm",'Mitred Cutting'!D18="Dune"),(('Job Sheet'!W18+'Job Sheet'!X18)*2),""))</f>
        <v/>
      </c>
      <c r="EN12" s="80" t="str">
        <f>IF(AND('Mitred Cutting'!E18="9mm",'Mitred Cutting'!D18="Powdercoat",'Job Sheet'!P18&lt;&gt;""),(('Job Sheet'!W18+'Job Sheet'!X18)*2)+'Job Sheet'!AG18,IF(AND('Mitred Cutting'!E18="9mm",'Mitred Cutting'!D18="Powdercoat"),(('Job Sheet'!W18+'Job Sheet'!X18)*2),""))</f>
        <v/>
      </c>
      <c r="EO12" s="80" t="str">
        <f>IF(AND('Mitred Cutting'!E18="11mm",'Mitred Cutting'!D18="APO Grey",'Job Sheet'!P18&lt;&gt;""),(('Job Sheet'!W18+'Job Sheet'!X18)*2)+'Job Sheet'!AG18,IF(AND('Mitred Cutting'!E18="11mm",'Mitred Cutting'!D18="APO Grey"),(('Job Sheet'!W18+'Job Sheet'!X18)*2),""))</f>
        <v/>
      </c>
      <c r="EP12" s="80" t="str">
        <f>IF(AND('Mitred Cutting'!E18="11mm",'Mitred Cutting'!D18="White Birch",'Job Sheet'!P18&lt;&gt;""),(('Job Sheet'!W18+'Job Sheet'!X18)*2)+'Job Sheet'!AG18,IF(AND('Mitred Cutting'!E18="11mm",'Mitred Cutting'!D18="White Birch"),(('Job Sheet'!W18+'Job Sheet'!X18)*2),""))</f>
        <v/>
      </c>
      <c r="EQ12" s="84" t="str">
        <f>IF(AND('Mitred Cutting'!E18="11mm",'Mitred Cutting'!D18="Black",'Job Sheet'!P18&lt;&gt;""),(('Job Sheet'!W18+'Job Sheet'!X18)*2)+'Job Sheet'!AG18,IF(AND('Mitred Cutting'!E18="11mm",'Mitred Cutting'!D18="Black"),(('Job Sheet'!W18+'Job Sheet'!X18)*2),""))</f>
        <v/>
      </c>
      <c r="ER12" s="80" t="str">
        <f>IF(AND('Mitred Cutting'!E18="11mm",'Mitred Cutting'!D18="Brown",'Job Sheet'!P18&lt;&gt;""),(('Job Sheet'!W18+'Job Sheet'!X18)*2)+'Job Sheet'!AG18,IF(AND('Mitred Cutting'!E18="11mm",'Mitred Cutting'!D18="Brown"),(('Job Sheet'!W18+'Job Sheet'!X18)*2),""))</f>
        <v/>
      </c>
      <c r="ES12" s="80" t="str">
        <f>IF(AND('Mitred Cutting'!E18="11mm",'Mitred Cutting'!D18="Deep Ocean",'Job Sheet'!P18&lt;&gt;""),(('Job Sheet'!W18+'Job Sheet'!X18)*2)+'Job Sheet'!AG18,IF(AND('Mitred Cutting'!E18="11mm",'Mitred Cutting'!D18="Deep Ocean"),(('Job Sheet'!W18+'Job Sheet'!X18)*2),""))</f>
        <v/>
      </c>
      <c r="ET12" s="80" t="str">
        <f>IF(AND('Mitred Cutting'!E18="11mm",'Mitred Cutting'!D18="Jasper",'Job Sheet'!P18&lt;&gt;""),(('Job Sheet'!W18+'Job Sheet'!X18)*2)+'Job Sheet'!AG18,IF(AND('Mitred Cutting'!E18="11mm",'Mitred Cutting'!D18="Jasper"),(('Job Sheet'!W18+'Job Sheet'!X18)*2),""))</f>
        <v/>
      </c>
      <c r="EU12" s="80" t="str">
        <f>IF(AND('Mitred Cutting'!E18="11mm",'Mitred Cutting'!D18="Paperbark",'Job Sheet'!P18&lt;&gt;""),(('Job Sheet'!W18+'Job Sheet'!X18)*2)+'Job Sheet'!AG18,IF(AND('Mitred Cutting'!E18="11mm",'Mitred Cutting'!D18="Paperbark"),(('Job Sheet'!W18+'Job Sheet'!X18)*2),""))</f>
        <v/>
      </c>
      <c r="EV12" s="80" t="str">
        <f>IF(AND('Mitred Cutting'!E18="11mm",'Mitred Cutting'!D18="Pale Eucalypt",'Job Sheet'!P18&lt;&gt;""),(('Job Sheet'!W18+'Job Sheet'!X18)*2)+'Job Sheet'!AG18,IF(AND('Mitred Cutting'!E18="11mm",'Mitred Cutting'!D18="Pale Eucalypt"),(('Job Sheet'!W18+'Job Sheet'!X18)*2),""))</f>
        <v/>
      </c>
      <c r="EW12" s="80" t="str">
        <f>IF(AND('Mitred Cutting'!E18="11mm",'Mitred Cutting'!D18="Primrose",'Job Sheet'!P18&lt;&gt;""),(('Job Sheet'!W18+'Job Sheet'!X18)*2)+'Job Sheet'!AG18,IF(AND('Mitred Cutting'!E18="11mm",'Mitred Cutting'!D18="Primrose"),(('Job Sheet'!W18+'Job Sheet'!X18)*2),""))</f>
        <v/>
      </c>
      <c r="EX12" s="80" t="str">
        <f>IF(AND('Mitred Cutting'!E18="11mm",'Mitred Cutting'!D18="Ultra Silver",'Job Sheet'!P18&lt;&gt;""),(('Job Sheet'!W18+'Job Sheet'!X18)*2)+'Job Sheet'!AG18,IF(AND('Mitred Cutting'!E18="11mm",'Mitred Cutting'!D18="Ultra Silver"),(('Job Sheet'!W18+'Job Sheet'!X18)*2),""))</f>
        <v/>
      </c>
      <c r="EY12" s="80" t="str">
        <f>IF(AND('Mitred Cutting'!E18="11mm",'Mitred Cutting'!D18="Woodland Grey(Green Tone)",'Job Sheet'!P18&lt;&gt;""),(('Job Sheet'!W18+'Job Sheet'!X18)*2)+'Job Sheet'!AG18,IF(AND('Mitred Cutting'!E18="11mm",'Mitred Cutting'!D18="Woodland Grey(Green Tone)"),(('Job Sheet'!W18+'Job Sheet'!X18)*2),""))</f>
        <v/>
      </c>
      <c r="EZ12" s="80" t="str">
        <f>IF(AND('Mitred Cutting'!E18="11mm",'Mitred Cutting'!D18="Pearl White",'Job Sheet'!P18&lt;&gt;""),(('Job Sheet'!W18+'Job Sheet'!X18)*2)+'Job Sheet'!AG18,IF(AND('Mitred Cutting'!E18="11mm",'Mitred Cutting'!D18="Pearl White"),(('Job Sheet'!W18+'Job Sheet'!X18)*2),""))</f>
        <v/>
      </c>
      <c r="FA12" s="80" t="str">
        <f>IF(AND('Mitred Cutting'!E18="11mm",'Mitred Cutting'!D18="Monument",'Job Sheet'!P18&lt;&gt;""),(('Job Sheet'!W18+'Job Sheet'!X18)*2)+'Job Sheet'!AG18,IF(AND('Mitred Cutting'!E18="11mm",'Mitred Cutting'!D18="Monument"),(('Job Sheet'!W18+'Job Sheet'!X18)*2),""))</f>
        <v/>
      </c>
      <c r="FB12" s="80" t="str">
        <f>IF(AND('Mitred Cutting'!E18="11mm",'Mitred Cutting'!D18="Surfmist",'Job Sheet'!P18&lt;&gt;""),(('Job Sheet'!W18+'Job Sheet'!X18)*2)+'Job Sheet'!AG18,IF(AND('Mitred Cutting'!E18="11mm",'Mitred Cutting'!D18="Surfmist"),(('Job Sheet'!W18+'Job Sheet'!X18)*2),""))</f>
        <v/>
      </c>
      <c r="FC12" s="80" t="str">
        <f>IF(AND('Mitred Cutting'!E18="11mm",'Mitred Cutting'!D18="Dune",'Job Sheet'!P18&lt;&gt;""),(('Job Sheet'!W18+'Job Sheet'!X18)*2)+'Job Sheet'!AG18,IF(AND('Mitred Cutting'!E18="11mm",'Mitred Cutting'!D18="Dune"),(('Job Sheet'!W18+'Job Sheet'!X18)*2),""))</f>
        <v/>
      </c>
      <c r="FD12" s="80" t="str">
        <f>IF(AND('Mitred Cutting'!E18="11mm",'Mitred Cutting'!D18="Powdercoat",'Job Sheet'!P18&lt;&gt;""),(('Job Sheet'!W18+'Job Sheet'!X18)*2)+'Job Sheet'!AG18,IF(AND('Mitred Cutting'!E18="11mm",'Mitred Cutting'!D18="Powdercoat"),(('Job Sheet'!W18+'Job Sheet'!X18)*2),""))</f>
        <v/>
      </c>
      <c r="FE12" s="80"/>
      <c r="FF12" s="80"/>
      <c r="FG12" s="80"/>
      <c r="FH12" s="80"/>
      <c r="FI12" s="80"/>
      <c r="FJ12" s="80"/>
      <c r="FK12" s="80"/>
      <c r="FL12" s="80"/>
      <c r="FM12" s="80"/>
      <c r="FN12" s="80"/>
      <c r="FO12" s="80"/>
      <c r="FP12" s="80"/>
      <c r="FQ12" s="80"/>
      <c r="FR12" s="80"/>
      <c r="FS12" s="80"/>
      <c r="FT12" s="80"/>
      <c r="FU12" s="80"/>
      <c r="FV12" s="80"/>
      <c r="FW12" s="80"/>
      <c r="FX12" s="80"/>
      <c r="FY12" s="80"/>
      <c r="FZ12" s="80"/>
      <c r="GA12" s="80"/>
      <c r="GB12" s="80"/>
      <c r="GC12" s="80"/>
      <c r="GD12" s="80"/>
      <c r="GE12" s="80"/>
      <c r="GF12" s="80"/>
      <c r="GG12" s="80"/>
      <c r="GH12" s="80"/>
      <c r="GI12" s="80"/>
      <c r="GJ12" s="80"/>
      <c r="GK12" s="80"/>
      <c r="GL12" s="80"/>
      <c r="GM12" s="80"/>
      <c r="GN12" s="80"/>
      <c r="GO12" s="80"/>
      <c r="GP12" s="80"/>
      <c r="GQ12" s="80"/>
      <c r="GR12" s="80"/>
      <c r="GS12" s="80"/>
      <c r="GT12" s="80"/>
      <c r="GU12" s="80"/>
      <c r="GV12" s="80"/>
      <c r="GW12" s="80"/>
      <c r="GX12" s="80"/>
      <c r="GY12" s="80"/>
      <c r="GZ12" s="80"/>
      <c r="HA12" s="80"/>
      <c r="HB12" s="80"/>
      <c r="HC12" s="80"/>
      <c r="HD12" s="80"/>
      <c r="HE12" s="80"/>
      <c r="HF12" s="80"/>
      <c r="HG12" s="80"/>
      <c r="HH12" s="80"/>
      <c r="HI12" s="80"/>
      <c r="HJ12" s="80"/>
      <c r="HK12" s="80"/>
      <c r="HL12" s="80"/>
      <c r="HM12" s="80"/>
      <c r="HN12" s="80"/>
      <c r="HO12" s="80"/>
      <c r="HP12" s="80"/>
      <c r="HQ12" s="80"/>
      <c r="HR12" s="80"/>
      <c r="HS12" s="80"/>
      <c r="HT12" s="80"/>
      <c r="HU12" s="80"/>
      <c r="HV12" s="80"/>
      <c r="HW12" s="80"/>
      <c r="HX12" s="80"/>
      <c r="HY12" s="80"/>
      <c r="HZ12" s="80"/>
      <c r="IA12" s="80"/>
      <c r="IB12" s="80"/>
      <c r="IC12" s="80"/>
      <c r="ID12" s="80"/>
      <c r="IE12" s="80"/>
      <c r="IF12" s="80"/>
      <c r="IG12" s="80"/>
      <c r="IH12" s="80"/>
      <c r="II12" s="80"/>
      <c r="IJ12" s="80"/>
      <c r="IK12" s="80"/>
      <c r="IL12" s="80"/>
      <c r="IM12" s="80"/>
      <c r="IN12" s="80"/>
      <c r="IO12" s="80"/>
      <c r="IP12" s="80"/>
      <c r="IQ12" s="80"/>
      <c r="IR12" s="80"/>
      <c r="IS12" s="80"/>
      <c r="IT12" s="80"/>
      <c r="IU12" s="80"/>
      <c r="IV12" s="80"/>
      <c r="IW12" s="80"/>
      <c r="IX12" s="80"/>
      <c r="IY12" s="80"/>
      <c r="IZ12" s="80"/>
      <c r="JA12" s="80"/>
      <c r="JB12" s="80"/>
      <c r="JC12" s="80"/>
      <c r="JD12" s="80"/>
      <c r="JE12" s="80"/>
      <c r="JF12" s="80"/>
      <c r="JG12" s="80"/>
      <c r="JH12" s="80"/>
      <c r="JI12" s="80"/>
      <c r="JJ12" s="80"/>
      <c r="JK12" s="80"/>
      <c r="JL12" s="80"/>
      <c r="JM12" s="80"/>
      <c r="JN12" s="80"/>
      <c r="JO12" s="80"/>
      <c r="JP12" s="80"/>
      <c r="JQ12" s="80"/>
      <c r="JR12" s="80"/>
      <c r="JS12" s="80"/>
      <c r="JT12" s="80"/>
      <c r="JU12" s="80"/>
      <c r="JV12" s="80"/>
      <c r="JW12" s="80"/>
      <c r="JX12" s="80"/>
      <c r="JY12" s="80"/>
      <c r="JZ12" s="80"/>
      <c r="KA12" s="80"/>
      <c r="KB12" s="80"/>
      <c r="KC12" s="80"/>
      <c r="KD12" s="80"/>
      <c r="KE12" s="80"/>
      <c r="KF12" s="80"/>
      <c r="KG12" s="80"/>
      <c r="KH12" s="80"/>
      <c r="KI12" s="80"/>
      <c r="KJ12" s="80"/>
      <c r="KK12" s="80"/>
      <c r="KL12" s="80"/>
      <c r="KM12" s="80"/>
      <c r="KN12" s="80"/>
      <c r="KO12" s="80"/>
      <c r="KP12" s="80"/>
      <c r="KQ12" s="80"/>
      <c r="KR12" s="80"/>
      <c r="KS12" s="80"/>
      <c r="KT12" s="80"/>
      <c r="KU12" s="80"/>
      <c r="KV12" s="80"/>
      <c r="KW12" s="80"/>
      <c r="KX12" s="80"/>
      <c r="KY12" s="80"/>
      <c r="KZ12" s="80"/>
      <c r="LA12" s="80"/>
      <c r="LB12" s="80"/>
      <c r="LC12" s="80"/>
      <c r="LD12" s="80"/>
      <c r="LE12" s="80"/>
      <c r="LF12" s="80"/>
      <c r="LG12" s="80"/>
      <c r="LH12" s="80"/>
      <c r="LI12" s="80"/>
      <c r="LJ12" s="80"/>
      <c r="LK12" s="80"/>
      <c r="LL12" s="80"/>
      <c r="LM12" s="80"/>
      <c r="LN12" s="80"/>
      <c r="LO12" s="80"/>
      <c r="LP12" s="80"/>
      <c r="LQ12" s="80"/>
      <c r="LR12" s="80"/>
      <c r="LS12" s="80"/>
      <c r="LT12" s="80"/>
      <c r="LU12" s="80"/>
      <c r="LV12" s="80"/>
      <c r="LW12" s="80"/>
      <c r="LX12" s="80"/>
      <c r="LY12" s="80"/>
      <c r="LZ12" s="80"/>
      <c r="MA12" s="80"/>
      <c r="MB12" s="80"/>
      <c r="MC12" s="80"/>
      <c r="MD12" s="80"/>
      <c r="ME12" s="80"/>
      <c r="MF12" s="80"/>
      <c r="MG12" s="80"/>
      <c r="MH12" s="80"/>
      <c r="MI12" s="80"/>
      <c r="MJ12" s="80"/>
      <c r="MK12" s="81"/>
      <c r="ML12" s="81"/>
      <c r="MM12" s="81"/>
      <c r="MN12" s="81"/>
      <c r="MO12" s="81"/>
      <c r="MP12" s="81"/>
      <c r="MQ12" s="81"/>
      <c r="MR12" s="80" t="str">
        <f>IF(AND('Straight Cutting'!D18="Standard",'Straight Cutting'!E18="APO Grey",'Straight Cutting'!F18&lt;&gt;"",'Straight Cutting'!G18=""),'Straight Cutting'!F18,IF(AND('Straight Cutting'!D18="Standard",'Straight Cutting'!E18="APO Grey",'Straight Cutting'!F18="",'Straight Cutting'!G18&lt;&gt;""),'Straight Cutting'!G18,IF(AND('Straight Cutting'!D18="Standard",'Straight Cutting'!E18="APO Grey",'Straight Cutting'!F18&lt;&gt;"",'Straight Cutting'!G18&lt;&gt;""),'Straight Cutting'!F18+'Job Sheet'!AH18,"")))</f>
        <v/>
      </c>
      <c r="MS12" s="80" t="str">
        <f>IF(AND('Straight Cutting'!D18="Standard",'Straight Cutting'!E18="White Birch",'Straight Cutting'!F18&lt;&gt;"",'Straight Cutting'!G18=""),'Straight Cutting'!F18,IF(AND('Straight Cutting'!D18="Standard",'Straight Cutting'!E18="White Birch",'Straight Cutting'!F18="",'Straight Cutting'!G18&lt;&gt;""),'Straight Cutting'!G18,IF(AND('Straight Cutting'!D18="Standard",'Straight Cutting'!E18="White Birch",'Straight Cutting'!F18&lt;&gt;"",'Straight Cutting'!G18&lt;&gt;""),'Straight Cutting'!F18+'Job Sheet'!AH18,"")))</f>
        <v/>
      </c>
      <c r="MT12" s="80" t="str">
        <f>IF(AND('Straight Cutting'!D18="Standard",'Straight Cutting'!E18="Black",'Straight Cutting'!F18&lt;&gt;"",'Straight Cutting'!G18=""),'Straight Cutting'!F18,IF(AND('Straight Cutting'!D18="Standard",'Straight Cutting'!E18="Black",'Straight Cutting'!F18="",'Straight Cutting'!G18&lt;&gt;""),'Straight Cutting'!G18,IF(AND('Straight Cutting'!D18="Standard",'Straight Cutting'!E18="Black",'Straight Cutting'!F18&lt;&gt;"",'Straight Cutting'!G18&lt;&gt;""),'Straight Cutting'!F18+'Job Sheet'!AH18,"")))</f>
        <v/>
      </c>
      <c r="MU12" s="80" t="str">
        <f>IF(AND('Straight Cutting'!D18="Standard",'Straight Cutting'!E18="Brown",'Straight Cutting'!F18&lt;&gt;"",'Straight Cutting'!G18=""),'Straight Cutting'!F18,IF(AND('Straight Cutting'!D18="Standard",'Straight Cutting'!E18="Brown",'Straight Cutting'!F18="",'Straight Cutting'!G18&lt;&gt;""),'Straight Cutting'!G18,IF(AND('Straight Cutting'!D18="Standard",'Straight Cutting'!E18="Brown",'Straight Cutting'!F18&lt;&gt;"",'Straight Cutting'!G18&lt;&gt;""),'Straight Cutting'!F18+'Job Sheet'!AH18,"")))</f>
        <v/>
      </c>
      <c r="MV12" s="80" t="str">
        <f>IF(AND('Straight Cutting'!D18="Standard",'Straight Cutting'!E18="Deep Ocean",'Straight Cutting'!F18&lt;&gt;"",'Straight Cutting'!G18=""),'Straight Cutting'!F18,IF(AND('Straight Cutting'!D18="Standard",'Straight Cutting'!E18="Deep Ocean",'Straight Cutting'!F18="",'Straight Cutting'!G18&lt;&gt;""),'Straight Cutting'!G18,IF(AND('Straight Cutting'!D18="Standard",'Straight Cutting'!E18="Deep Ocean",'Straight Cutting'!F18&lt;&gt;"",'Straight Cutting'!G18&lt;&gt;""),'Straight Cutting'!F18+'Job Sheet'!AH18,"")))</f>
        <v/>
      </c>
      <c r="MW12" s="80" t="str">
        <f>IF(AND('Straight Cutting'!D18="Standard",'Straight Cutting'!E18="Jasper",'Straight Cutting'!F18&lt;&gt;"",'Straight Cutting'!G18=""),'Straight Cutting'!F18,IF(AND('Straight Cutting'!D18="Standard",'Straight Cutting'!E18="Jasper",'Straight Cutting'!F18="",'Straight Cutting'!G18&lt;&gt;""),'Straight Cutting'!G18,IF(AND('Straight Cutting'!D18="Standard",'Straight Cutting'!E18="Jasper",'Straight Cutting'!F18&lt;&gt;"",'Straight Cutting'!G18&lt;&gt;""),'Straight Cutting'!F18+'Job Sheet'!AH18,"")))</f>
        <v/>
      </c>
      <c r="MX12" s="80" t="str">
        <f>IF(AND('Straight Cutting'!D18="Standard",'Straight Cutting'!E18="Paperbark",'Straight Cutting'!F18&lt;&gt;"",'Straight Cutting'!G18=""),'Straight Cutting'!F18,IF(AND('Straight Cutting'!D18="Standard",'Straight Cutting'!E18="Paperbark",'Straight Cutting'!F18="",'Straight Cutting'!G18&lt;&gt;""),'Straight Cutting'!G18,IF(AND('Straight Cutting'!D18="Standard",'Straight Cutting'!E18="Paperbark",'Straight Cutting'!F18&lt;&gt;"",'Straight Cutting'!G18&lt;&gt;""),'Straight Cutting'!F18+'Job Sheet'!AH18,"")))</f>
        <v/>
      </c>
      <c r="MY12" s="80" t="str">
        <f>IF(AND('Straight Cutting'!D18="Standard",'Straight Cutting'!E18="Mist Green",'Straight Cutting'!F18&lt;&gt;"",'Straight Cutting'!G18=""),'Straight Cutting'!F18,IF(AND('Straight Cutting'!D18="Standard",'Straight Cutting'!E18="Mist Green",'Straight Cutting'!F18="",'Straight Cutting'!G18&lt;&gt;""),'Straight Cutting'!G18,IF(AND('Straight Cutting'!D18="Standard",'Straight Cutting'!E18="Mist Green",'Straight Cutting'!F18&lt;&gt;"",'Straight Cutting'!G18&lt;&gt;""),'Straight Cutting'!F18+'Job Sheet'!AH18,"")))</f>
        <v/>
      </c>
      <c r="MZ12" s="80" t="str">
        <f>IF(AND('Straight Cutting'!D18="Standard",'Straight Cutting'!E18="Primrose",'Straight Cutting'!F18&lt;&gt;"",'Straight Cutting'!G18=""),'Straight Cutting'!F18,IF(AND('Straight Cutting'!D18="Standard",'Straight Cutting'!E18="Primrose",'Straight Cutting'!F18="",'Straight Cutting'!G18&lt;&gt;""),'Straight Cutting'!G18,IF(AND('Straight Cutting'!D18="Standard",'Straight Cutting'!E18="Primrose",'Straight Cutting'!F18&lt;&gt;"",'Straight Cutting'!G18&lt;&gt;""),'Straight Cutting'!F18+'Job Sheet'!AH18,"")))</f>
        <v/>
      </c>
      <c r="NA12" s="80" t="str">
        <f>IF(AND('Straight Cutting'!D18="Standard",'Straight Cutting'!E18="Ultra Silver",'Straight Cutting'!F18&lt;&gt;"",'Straight Cutting'!G18=""),'Straight Cutting'!F18,IF(AND('Straight Cutting'!D18="Standard",'Straight Cutting'!E18="Ultra Silver",'Straight Cutting'!F18="",'Straight Cutting'!G18&lt;&gt;""),'Straight Cutting'!G18,IF(AND('Straight Cutting'!D18="Standard",'Straight Cutting'!E18="Ultra Silver",'Straight Cutting'!F18&lt;&gt;"",'Straight Cutting'!G18&lt;&gt;""),'Straight Cutting'!F18+'Job Sheet'!AH18,"")))</f>
        <v/>
      </c>
      <c r="NB12" s="80" t="str">
        <f>IF(AND('Straight Cutting'!D18="Standard",'Straight Cutting'!E18="Woodland Grey(Green Tone)",'Straight Cutting'!F18&lt;&gt;"",'Straight Cutting'!G18=""),'Straight Cutting'!F18,IF(AND('Straight Cutting'!D18="Standard",'Straight Cutting'!E18="Woodland Grey(Green Tone)",'Straight Cutting'!F18="",'Straight Cutting'!G18&lt;&gt;""),'Straight Cutting'!G18,IF(AND('Straight Cutting'!D18="Standard",'Straight Cutting'!E18="Woodland Grey(Green Tone)",'Straight Cutting'!F18&lt;&gt;"",'Straight Cutting'!G18&lt;&gt;""),'Straight Cutting'!F18+'Job Sheet'!AH18,"")))</f>
        <v/>
      </c>
      <c r="NC12" s="80" t="str">
        <f>IF(AND('Straight Cutting'!D18="Standard",'Straight Cutting'!E18="Pearl White",'Straight Cutting'!F18&lt;&gt;"",'Straight Cutting'!G18=""),'Straight Cutting'!F18,IF(AND('Straight Cutting'!D18="Standard",'Straight Cutting'!E18="Pearl White",'Straight Cutting'!F18="",'Straight Cutting'!G18&lt;&gt;""),'Straight Cutting'!G18,IF(AND('Straight Cutting'!D18="Standard",'Straight Cutting'!E18="Pearl White",'Straight Cutting'!F18&lt;&gt;"",'Straight Cutting'!G18&lt;&gt;""),'Straight Cutting'!F18+'Job Sheet'!AH18,"")))</f>
        <v/>
      </c>
      <c r="ND12" s="80" t="str">
        <f>IF(AND('Straight Cutting'!D18="Standard",'Straight Cutting'!E18="Monument",'Straight Cutting'!F18&lt;&gt;"",'Straight Cutting'!G18=""),'Straight Cutting'!F18,IF(AND('Straight Cutting'!D18="Standard",'Straight Cutting'!E18="Monument",'Straight Cutting'!F18="",'Straight Cutting'!G18&lt;&gt;""),'Straight Cutting'!G18,IF(AND('Straight Cutting'!D18="Standard",'Straight Cutting'!E18="Monument",'Straight Cutting'!F18&lt;&gt;"",'Straight Cutting'!G18&lt;&gt;""),'Straight Cutting'!F18+'Job Sheet'!AH18,"")))</f>
        <v/>
      </c>
      <c r="NE12" s="80" t="str">
        <f>IF(AND('Straight Cutting'!D18="Standard",'Straight Cutting'!E18="Surfmist",'Straight Cutting'!F18&lt;&gt;"",'Straight Cutting'!G18=""),'Straight Cutting'!F18,IF(AND('Straight Cutting'!D18="Standard",'Straight Cutting'!E18="Surfmist",'Straight Cutting'!F18="",'Straight Cutting'!G18&lt;&gt;""),'Straight Cutting'!G18,IF(AND('Straight Cutting'!D18="Standard",'Straight Cutting'!E18="Surfmist",'Straight Cutting'!F18&lt;&gt;"",'Straight Cutting'!G18&lt;&gt;""),'Straight Cutting'!F18+'Job Sheet'!AH18,"")))</f>
        <v/>
      </c>
      <c r="NF12" s="80" t="str">
        <f>IF(AND('Straight Cutting'!D18="Standard",'Straight Cutting'!E18="Dune",'Straight Cutting'!F18&lt;&gt;"",'Straight Cutting'!G18=""),'Straight Cutting'!F18,IF(AND('Straight Cutting'!D18="Standard",'Straight Cutting'!E18="Dune",'Straight Cutting'!F18="",'Straight Cutting'!G18&lt;&gt;""),'Straight Cutting'!G18,IF(AND('Straight Cutting'!D18="Standard",'Straight Cutting'!E18="Dune",'Straight Cutting'!F18&lt;&gt;"",'Straight Cutting'!G18&lt;&gt;""),'Straight Cutting'!F18+'Job Sheet'!AH18,"")))</f>
        <v/>
      </c>
      <c r="NG12" s="80" t="str">
        <f>IF(AND('Straight Cutting'!D18="Standard",'Straight Cutting'!E18="Powdercoat",'Straight Cutting'!F18&lt;&gt;"",'Straight Cutting'!G18=""),'Straight Cutting'!F18,IF(AND('Straight Cutting'!D18="Standard",'Straight Cutting'!E18="Powdercoat",'Straight Cutting'!F18="",'Straight Cutting'!G18&lt;&gt;""),'Straight Cutting'!G18,IF(AND('Straight Cutting'!D18="Standard",'Straight Cutting'!E18="Powdercoat",'Straight Cutting'!F18&lt;&gt;"",'Straight Cutting'!G18&lt;&gt;""),'Straight Cutting'!F18+'Job Sheet'!AH18,"")))</f>
        <v/>
      </c>
      <c r="NH12" s="80" t="str">
        <f>IF(AND('Straight Cutting'!D18="Invisi-Gard",'Straight Cutting'!E18="APO Grey",'Straight Cutting'!F18&lt;&gt;"",'Straight Cutting'!G18=""),'Straight Cutting'!F18,IF(AND('Straight Cutting'!D18="Invisi-Gard",'Straight Cutting'!E18="APO Grey",'Straight Cutting'!F18="",'Straight Cutting'!G18&lt;&gt;""),'Straight Cutting'!G18,IF(AND('Straight Cutting'!D18="Invisi-Gard",'Straight Cutting'!E18="APO Grey",'Straight Cutting'!F18&lt;&gt;"",'Straight Cutting'!G18&lt;&gt;""),'Straight Cutting'!F18+'Job Sheet'!AH18,"")))</f>
        <v/>
      </c>
      <c r="NI12" s="80" t="str">
        <f>IF(AND('Straight Cutting'!D18="Invisi-Gard",'Straight Cutting'!E18="White Birch",'Straight Cutting'!F18&lt;&gt;"",'Straight Cutting'!G18=""),'Straight Cutting'!F18,IF(AND('Straight Cutting'!D18="Invisi-Gard",'Straight Cutting'!E18="White Birch",'Straight Cutting'!F18="",'Straight Cutting'!G18&lt;&gt;""),'Straight Cutting'!G18,IF(AND('Straight Cutting'!D18="Invisi-Gard",'Straight Cutting'!E18="White Birch",'Straight Cutting'!F18&lt;&gt;"",'Straight Cutting'!G18&lt;&gt;""),'Straight Cutting'!F18+'Job Sheet'!AH18,"")))</f>
        <v/>
      </c>
      <c r="NJ12" s="80" t="str">
        <f>IF(AND('Straight Cutting'!D18="Invisi-Gard",'Straight Cutting'!E18="Black",'Straight Cutting'!F18&lt;&gt;"",'Straight Cutting'!G18=""),'Straight Cutting'!F18,IF(AND('Straight Cutting'!D18="Invisi-Gard",'Straight Cutting'!E18="Black",'Straight Cutting'!F18="",'Straight Cutting'!G18&lt;&gt;""),'Straight Cutting'!G18,IF(AND('Straight Cutting'!D18="Invisi-Gard",'Straight Cutting'!E18="Black",'Straight Cutting'!F18&lt;&gt;"",'Straight Cutting'!G18&lt;&gt;""),'Straight Cutting'!F18+'Job Sheet'!AH18,"")))</f>
        <v/>
      </c>
      <c r="NK12" s="80" t="str">
        <f>IF(AND('Straight Cutting'!D18="Invisi-Gard",'Straight Cutting'!E18="Brown",'Straight Cutting'!F18&lt;&gt;"",'Straight Cutting'!G18=""),'Straight Cutting'!F18,IF(AND('Straight Cutting'!D18="Invisi-Gard",'Straight Cutting'!E18="Brown",'Straight Cutting'!F18="",'Straight Cutting'!G18&lt;&gt;""),'Straight Cutting'!G18,IF(AND('Straight Cutting'!D18="Invisi-Gard",'Straight Cutting'!E18="Brown",'Straight Cutting'!F18&lt;&gt;"",'Straight Cutting'!G18&lt;&gt;""),'Straight Cutting'!F18+'Job Sheet'!AH18,"")))</f>
        <v/>
      </c>
      <c r="NL12" s="80" t="str">
        <f>IF(AND('Straight Cutting'!D18="Invisi-Gard",'Straight Cutting'!E18="Deep Ocean",'Straight Cutting'!F18&lt;&gt;"",'Straight Cutting'!G18=""),'Straight Cutting'!F18,IF(AND('Straight Cutting'!D18="Invisi-Gard",'Straight Cutting'!E18="Deep Ocean",'Straight Cutting'!F18="",'Straight Cutting'!G18&lt;&gt;""),'Straight Cutting'!G18,IF(AND('Straight Cutting'!D18="Invisi-Gard",'Straight Cutting'!E18="Deep Ocean",'Straight Cutting'!F18&lt;&gt;"",'Straight Cutting'!G18&lt;&gt;""),'Straight Cutting'!F18+'Job Sheet'!AH18,"")))</f>
        <v/>
      </c>
      <c r="NM12" s="80" t="str">
        <f>IF(AND('Straight Cutting'!D18="Invisi-Gard",'Straight Cutting'!E18="Jasper",'Straight Cutting'!F18&lt;&gt;"",'Straight Cutting'!G18=""),'Straight Cutting'!F18,IF(AND('Straight Cutting'!D18="Invisi-Gard",'Straight Cutting'!E18="Jasper",'Straight Cutting'!F18="",'Straight Cutting'!G18&lt;&gt;""),'Straight Cutting'!G18,IF(AND('Straight Cutting'!D18="Invisi-Gard",'Straight Cutting'!E18="Jasper",'Straight Cutting'!F18&lt;&gt;"",'Straight Cutting'!G18&lt;&gt;""),'Straight Cutting'!F18+'Job Sheet'!AH18,"")))</f>
        <v/>
      </c>
      <c r="NN12" s="80" t="str">
        <f>IF(AND('Straight Cutting'!D18="Invisi-Gard",'Straight Cutting'!E18="Paperbark",'Straight Cutting'!F18&lt;&gt;"",'Straight Cutting'!G18=""),'Straight Cutting'!F18,IF(AND('Straight Cutting'!D18="Invisi-Gard",'Straight Cutting'!E18="Paperbark",'Straight Cutting'!F18="",'Straight Cutting'!G18&lt;&gt;""),'Straight Cutting'!G18,IF(AND('Straight Cutting'!D18="Invisi-Gard",'Straight Cutting'!E18="Paperbark",'Straight Cutting'!F18&lt;&gt;"",'Straight Cutting'!G18&lt;&gt;""),'Straight Cutting'!F18+'Job Sheet'!AH18,"")))</f>
        <v/>
      </c>
      <c r="NO12" s="80" t="str">
        <f>IF(AND('Straight Cutting'!D18="Invisi-Gard",'Straight Cutting'!E18="Mist Green",'Straight Cutting'!F18&lt;&gt;"",'Straight Cutting'!G18=""),'Straight Cutting'!F18,IF(AND('Straight Cutting'!D18="Invisi-Gard",'Straight Cutting'!E18="Mist Green",'Straight Cutting'!F18="",'Straight Cutting'!G18&lt;&gt;""),'Straight Cutting'!G18,IF(AND('Straight Cutting'!D18="Invisi-Gard",'Straight Cutting'!E18="Mist Green",'Straight Cutting'!F18&lt;&gt;"",'Straight Cutting'!G18&lt;&gt;""),'Straight Cutting'!F18+'Job Sheet'!AH18,"")))</f>
        <v/>
      </c>
      <c r="NP12" s="80" t="str">
        <f>IF(AND('Straight Cutting'!D18="Invisi-Gard",'Straight Cutting'!E18="Primrose",'Straight Cutting'!F18&lt;&gt;"",'Straight Cutting'!G18=""),'Straight Cutting'!F18,IF(AND('Straight Cutting'!D18="Invisi-Gard",'Straight Cutting'!E18="Primrose",'Straight Cutting'!F18="",'Straight Cutting'!G18&lt;&gt;""),'Straight Cutting'!G18,IF(AND('Straight Cutting'!D18="Invisi-Gard",'Straight Cutting'!E18="Primrose",'Straight Cutting'!F18&lt;&gt;"",'Straight Cutting'!G18&lt;&gt;""),'Straight Cutting'!F18+'Job Sheet'!AH18,"")))</f>
        <v/>
      </c>
      <c r="NQ12" s="80" t="str">
        <f>IF(AND('Straight Cutting'!D18="Invisi-Gard",'Straight Cutting'!E18="Ultra Silver",'Straight Cutting'!F18&lt;&gt;"",'Straight Cutting'!G18=""),'Straight Cutting'!F18,IF(AND('Straight Cutting'!D18="Invisi-Gard",'Straight Cutting'!E18="Ultra Silver",'Straight Cutting'!F18="",'Straight Cutting'!G18&lt;&gt;""),'Straight Cutting'!G18,IF(AND('Straight Cutting'!D18="Invisi-Gard",'Straight Cutting'!E18="Ultra Silver",'Straight Cutting'!F18&lt;&gt;"",'Straight Cutting'!G18&lt;&gt;""),'Straight Cutting'!F18+'Job Sheet'!AH18,"")))</f>
        <v/>
      </c>
      <c r="NR12" s="80" t="str">
        <f>IF(AND('Straight Cutting'!D18="Invisi-Gard",'Straight Cutting'!E18="Woodland Grey(Green Tone)",'Straight Cutting'!F18&lt;&gt;"",'Straight Cutting'!G18=""),'Straight Cutting'!F18,IF(AND('Straight Cutting'!D18="Invisi-Gard",'Straight Cutting'!E18="Woodland Grey(Green Tone)",'Straight Cutting'!F18="",'Straight Cutting'!G18&lt;&gt;""),'Straight Cutting'!G18,IF(AND('Straight Cutting'!D18="Invisi-Gard",'Straight Cutting'!E18="Woodland Grey(Green Tone)",'Straight Cutting'!F18&lt;&gt;"",'Straight Cutting'!G18&lt;&gt;""),'Straight Cutting'!F18+'Job Sheet'!AH18,"")))</f>
        <v/>
      </c>
      <c r="NS12" s="80" t="str">
        <f>IF(AND('Straight Cutting'!D18="Invisi-Gard",'Straight Cutting'!E18="Pearl White",'Straight Cutting'!F18&lt;&gt;"",'Straight Cutting'!G18=""),'Straight Cutting'!F18,IF(AND('Straight Cutting'!D18="Invisi-Gard",'Straight Cutting'!E18="Pearl White",'Straight Cutting'!F18="",'Straight Cutting'!G18&lt;&gt;""),'Straight Cutting'!G18,IF(AND('Straight Cutting'!D18="Invisi-Gard",'Straight Cutting'!E18="Pearl White",'Straight Cutting'!F18&lt;&gt;"",'Straight Cutting'!G18&lt;&gt;""),'Straight Cutting'!F18+'Job Sheet'!AH18,"")))</f>
        <v/>
      </c>
      <c r="NT12" s="80" t="str">
        <f>IF(AND('Straight Cutting'!D18="Invisi-Gard",'Straight Cutting'!E18="Monument",'Straight Cutting'!F18&lt;&gt;"",'Straight Cutting'!G18=""),'Straight Cutting'!F18,IF(AND('Straight Cutting'!D18="Invisi-Gard",'Straight Cutting'!E18="Monument",'Straight Cutting'!F18="",'Straight Cutting'!G18&lt;&gt;""),'Straight Cutting'!G18,IF(AND('Straight Cutting'!D18="Invisi-Gard",'Straight Cutting'!E18="Monument",'Straight Cutting'!F18&lt;&gt;"",'Straight Cutting'!G18&lt;&gt;""),'Straight Cutting'!F18+'Job Sheet'!AH18,"")))</f>
        <v/>
      </c>
      <c r="NU12" s="80" t="str">
        <f>IF(AND('Straight Cutting'!D18="Invisi-Gard",'Straight Cutting'!E18="Surfmist",'Straight Cutting'!F18&lt;&gt;"",'Straight Cutting'!G18=""),'Straight Cutting'!F18,IF(AND('Straight Cutting'!D18="Invisi-Gard",'Straight Cutting'!E18="Surfmist",'Straight Cutting'!F18="",'Straight Cutting'!G18&lt;&gt;""),'Straight Cutting'!G18,IF(AND('Straight Cutting'!D18="Invisi-Gard",'Straight Cutting'!E18="Surfmist",'Straight Cutting'!F18&lt;&gt;"",'Straight Cutting'!G18&lt;&gt;""),'Straight Cutting'!F18+'Job Sheet'!AH18,"")))</f>
        <v/>
      </c>
      <c r="NV12" s="80" t="str">
        <f>IF(AND('Straight Cutting'!D18="Invisi-Gard",'Straight Cutting'!E18="Dune",'Straight Cutting'!F18&lt;&gt;"",'Straight Cutting'!G18=""),'Straight Cutting'!F18,IF(AND('Straight Cutting'!D18="Invisi-Gard",'Straight Cutting'!E18="Dune",'Straight Cutting'!F18="",'Straight Cutting'!G18&lt;&gt;""),'Straight Cutting'!G18,IF(AND('Straight Cutting'!D18="Invisi-Gard",'Straight Cutting'!E18="Dune",'Straight Cutting'!F18&lt;&gt;"",'Straight Cutting'!G18&lt;&gt;""),'Straight Cutting'!F18+'Job Sheet'!AH18,"")))</f>
        <v/>
      </c>
      <c r="NW12" s="80" t="str">
        <f>IF(AND('Straight Cutting'!D18="Invisi-Gard",'Straight Cutting'!E18="Powdercoat",'Straight Cutting'!F18&lt;&gt;"",'Straight Cutting'!G18=""),'Straight Cutting'!F18,IF(AND('Straight Cutting'!D18="Invisi-Gard",'Straight Cutting'!E18="Powdercoat",'Straight Cutting'!F18="",'Straight Cutting'!G18&lt;&gt;""),'Straight Cutting'!G18,IF(AND('Straight Cutting'!D18="Invisi-Gard",'Straight Cutting'!E18="Powdercoat",'Straight Cutting'!F18&lt;&gt;"",'Straight Cutting'!G18&lt;&gt;""),'Straight Cutting'!F18+'Job Sheet'!AH18,"")))</f>
        <v/>
      </c>
      <c r="NX12" s="80" t="str">
        <f>IF(AND('Job Sheet'!O18="Yes",'Mitred Cutting'!D18="APO Grey"),'Straight Cutting'!I18,"")</f>
        <v/>
      </c>
      <c r="NY12" s="80" t="str">
        <f>IF(AND('Job Sheet'!O18="Yes",'Mitred Cutting'!D18="White Birch"),'Straight Cutting'!I18,"")</f>
        <v/>
      </c>
      <c r="NZ12" s="80" t="str">
        <f>IF(AND('Job Sheet'!O18="Yes",'Mitred Cutting'!D18="Black"),'Straight Cutting'!I18,"")</f>
        <v/>
      </c>
      <c r="OA12" s="80" t="str">
        <f>IF(AND('Job Sheet'!O18="Yes",'Mitred Cutting'!D18="Brown"),'Straight Cutting'!I18,"")</f>
        <v/>
      </c>
      <c r="OB12" s="80" t="str">
        <f>IF(AND('Job Sheet'!O18="Yes",'Mitred Cutting'!D18="Deep Ocean"),'Straight Cutting'!I18,"")</f>
        <v/>
      </c>
      <c r="OC12" s="80" t="str">
        <f>IF(AND('Job Sheet'!O18="Yes",'Mitred Cutting'!D18="Jasper"),'Straight Cutting'!I18,"")</f>
        <v/>
      </c>
      <c r="OD12" s="80" t="str">
        <f>IF(AND('Job Sheet'!O18="Yes",'Mitred Cutting'!D18="Paperbark"),'Straight Cutting'!I18,"")</f>
        <v/>
      </c>
      <c r="OE12" s="80" t="str">
        <f>IF(AND('Job Sheet'!O18="Yes",'Mitred Cutting'!D18="Mist Green"),'Straight Cutting'!I18,"")</f>
        <v/>
      </c>
      <c r="OF12" s="80" t="str">
        <f>IF(AND('Job Sheet'!O18="Yes",'Mitred Cutting'!D18="Primrose"),'Straight Cutting'!I18,"")</f>
        <v/>
      </c>
      <c r="OG12" s="80" t="str">
        <f>IF(AND('Job Sheet'!O18="Yes",'Mitred Cutting'!D18="Ultra Silver"),'Straight Cutting'!I18,"")</f>
        <v/>
      </c>
      <c r="OH12" s="80" t="str">
        <f>IF(AND('Job Sheet'!O18="Yes",'Mitred Cutting'!D18="Woodland Grey(Green Tone)"),'Straight Cutting'!I18,"")</f>
        <v/>
      </c>
      <c r="OI12" s="80" t="str">
        <f>IF(AND('Job Sheet'!O18="Yes",'Mitred Cutting'!D18="Pearl White"),'Straight Cutting'!I18,"")</f>
        <v/>
      </c>
      <c r="OJ12" s="80" t="str">
        <f>IF(AND('Job Sheet'!O18="Yes",'Mitred Cutting'!D18="Monument"),'Straight Cutting'!I18,"")</f>
        <v/>
      </c>
      <c r="OK12" s="80" t="str">
        <f>IF(AND('Job Sheet'!O18="Yes",'Mitred Cutting'!D18="Surfmist"),'Straight Cutting'!I18,"")</f>
        <v/>
      </c>
      <c r="OL12" s="80" t="str">
        <f>IF(AND('Job Sheet'!O18="Yes",'Mitred Cutting'!D18="Dune"),'Straight Cutting'!I18,"")</f>
        <v/>
      </c>
      <c r="OM12" s="80" t="str">
        <f>IF(AND('Job Sheet'!O18="Yes",'Mitred Cutting'!D18="Powdercoat"),'Straight Cutting'!I18,"")</f>
        <v/>
      </c>
      <c r="ON12" s="81" t="str">
        <f>IF(OR(Data!AW18="",'Job Sheet'!L18="37mm x 11mm",'Job Sheet'!L18="9mm",'Job Sheet'!L18="11mm"),"",IF(VLOOKUP(CONCATENATE(Data!BO18,'Job Sheet'!J18),DoorType,4,FALSE)="Yes",(('Job Sheet'!W18-98)*2+('Job Sheet'!X18-96)*2)/2700,""))</f>
        <v/>
      </c>
      <c r="OO12" s="81" t="str">
        <f>IF(Data!AW18="","",IF('Mitred Cutting'!G18="1.6mm",(('Job Sheet'!W18-114)*2+('Job Sheet'!X18-114)*2)/3100,""))</f>
        <v/>
      </c>
      <c r="OP12" s="81" t="str">
        <f>IF(Data!AW18="","",IF('Mitred Cutting'!G18="2mm",(('Job Sheet'!W18-114)*2+('Job Sheet'!X18-114)*2)/3100,""))</f>
        <v/>
      </c>
      <c r="OQ12" s="52" t="str">
        <f>IF(OR(Data!AW18="",Data!BN18="Invisi-Scape",'Job Sheet'!AC18=""),"",IF(OR('Job Sheet'!P18="Yes - Centre Horizontal",'Job Sheet'!P18="Yes - Centre Vertical"),('Job Sheet'!AC18*4+'Job Sheet'!AE18*4)/4000,IF('Job Sheet'!P18="Yes - Horizontal",('Job Sheet'!AC18*4+'Job Sheet'!AE18*2+'Job Sheet'!AF18*2)/4000,IF('Job Sheet'!P18="Yes - Vertical",('Job Sheet'!AC18*2+'Job Sheet'!AE18*4)/4000,IF('Job Sheet'!P18="",('Job Sheet'!AC18*2+'Job Sheet'!AE18*2)/4000,IF('Job Sheet'!P18="Yes - Horizontal &amp; Vertical",('Job Sheet'!AC18*4+'Job Sheet'!AD18*4+'Job Sheet'!AE18*4+'Job Sheet'!AF18*4)/4000,IF('Job Sheet'!P18="Yes - Centre Horizontal &amp; Vertical",('Job Sheet'!AC18*8+'Job Sheet'!AE18*8)/4000,"")))))))</f>
        <v/>
      </c>
      <c r="OR12" s="52" t="str">
        <f t="shared" si="1"/>
        <v/>
      </c>
      <c r="OS12" s="52" t="str">
        <f t="shared" si="2"/>
        <v/>
      </c>
      <c r="OT12" s="80"/>
      <c r="OU12" s="80" t="str">
        <f>IF(Data!AW18="","",IF(OR('Job Sheet'!J18="Fibreglass Mesh",'Job Sheet'!J18="Pet Mesh",'Job Sheet'!J18="DVA Mesh",'Job Sheet'!J18="Tuff Mesh",'Job Sheet'!J18="Alu-screen",Data!BO18="Fibreglass Mesh",Data!BO18="Pet Mesh",Data!BO18="DVA Mesh",Data!BO18="Tuff Mesh",Data!BO18="Alu-screen"),(('Job Sheet'!W18-98)*2+('Job Sheet'!X18-96)*2),""))</f>
        <v/>
      </c>
      <c r="OV12" s="80"/>
      <c r="OW12" s="80"/>
      <c r="OX12" s="80"/>
      <c r="OY12" s="80"/>
      <c r="OZ12" s="80"/>
      <c r="PA12" s="80"/>
      <c r="PB12" s="80"/>
      <c r="PC12" s="80"/>
      <c r="PD12" s="80" t="str">
        <f>IF(OR('Mitred Cutting'!E18="70mm x 20mm",'Mitred Cutting'!E18="Invisi-Gard 70mm x 20mm"),4,"")</f>
        <v/>
      </c>
      <c r="PE12" s="80" t="str">
        <f>IF('Mitred Cutting'!E18="37mm x 11mm",4,"")</f>
        <v/>
      </c>
      <c r="PF12" s="80" t="str">
        <f>IF('Mitred Cutting'!E18="Invisi-Gard 37mm x 9mm",4,"")</f>
        <v/>
      </c>
      <c r="PG12" s="80" t="str">
        <f>IF('Mitred Cutting'!E18="Invisi-Gard 37mm x 11mm",4,"")</f>
        <v/>
      </c>
      <c r="PH12" s="80" t="str">
        <f>IF('Mitred Cutting'!E18="9mm",4,"")</f>
        <v/>
      </c>
      <c r="PI12" s="80" t="str">
        <f>IF('Mitred Cutting'!E18="11mm",4,"")</f>
        <v/>
      </c>
      <c r="PJ12" s="80"/>
      <c r="PK12" s="80" t="str">
        <f>IF(OR('Job Sheet'!N18="Yes - Front of Frame",'Job Sheet'!N18="Yes - Back of Frame"),1,"")</f>
        <v/>
      </c>
      <c r="PL12" s="80" t="str">
        <f>IF('Job Sheet'!M18="Swivel Clips Extended x 2",2,IF('Job Sheet'!M18="Swivel Clips Extended x 4",4,IF('Job Sheet'!M18="Swivel Clips Extended x 6",6,"")))</f>
        <v/>
      </c>
      <c r="PM12" s="80" t="str">
        <f>IF('Job Sheet'!M18="Swivel Clips Flush x 2",2,IF('Job Sheet'!M18="Swivel Clips Flush x 4",4,IF('Job Sheet'!M18="Swivel Clips Flush x 6",6,"")))</f>
        <v/>
      </c>
      <c r="PN12" s="80" t="str">
        <f>IF('Job Sheet'!M18="Plunger Pins x 2",2,IF('Job Sheet'!M18="Plunger Pins x 4",4,IF('Job Sheet'!M18="Plunger Pins x 6",6,"")))</f>
        <v/>
      </c>
      <c r="PO12" s="80"/>
      <c r="PP12" s="80"/>
      <c r="PQ12" s="80"/>
      <c r="PR12" s="80"/>
      <c r="PS12" s="80"/>
      <c r="PT12" s="80"/>
      <c r="PU12" s="80"/>
      <c r="PV12" s="80"/>
      <c r="PW12" s="80"/>
      <c r="PX12" s="80"/>
      <c r="PY12" s="80"/>
      <c r="PZ12" s="80"/>
      <c r="QA12" s="80"/>
      <c r="QB12" s="80"/>
      <c r="QC12" s="80"/>
      <c r="QD12" s="80"/>
      <c r="QE12" s="80"/>
      <c r="QF12" s="80"/>
      <c r="QG12" s="80"/>
      <c r="QH12" s="80"/>
      <c r="QI12" s="80"/>
      <c r="QJ12" s="80"/>
      <c r="QK12" s="80"/>
      <c r="QL12" s="80"/>
      <c r="QM12" s="80"/>
      <c r="QN12" s="80"/>
      <c r="QO12" s="80"/>
      <c r="QP12" s="80"/>
      <c r="QQ12" s="80"/>
      <c r="QR12" s="80"/>
      <c r="QS12" s="80"/>
      <c r="QT12" s="80"/>
      <c r="QU12" s="80"/>
      <c r="QV12" s="80"/>
      <c r="QW12" s="80"/>
      <c r="QX12" s="80"/>
      <c r="QY12" s="82"/>
      <c r="RD12" t="str">
        <f>IF('Assembly &amp; Bagging'!J18="2 Hinges","2",IF('Assembly &amp; Bagging'!J18="3 Hinges","3",""))</f>
        <v/>
      </c>
      <c r="RH12" s="80"/>
      <c r="RL12" t="str">
        <f>IF(OR('Job Sheet'!M18="Hinged LHS with Slide Bolt on Inside",'Job Sheet'!M18="Hinged LHS with Slide Bolt on Inside"),1,"")</f>
        <v/>
      </c>
      <c r="RM12" s="80"/>
      <c r="RO12" t="str">
        <f>IF('Straight Cutting'!D18&lt;&gt;"Invisi-Gard","",IF(AND('Straight Cutting'!F18&lt;&gt;"",'Straight Cutting'!G18&lt;&gt;""),6,2))</f>
        <v/>
      </c>
      <c r="RP12" t="str">
        <f>IF(AND('Job Sheet'!P18&lt;&gt;"",(OR('Mitred Cutting'!E18="9mm",'Mitred Cutting'!E18="11mm"))),2,"")</f>
        <v/>
      </c>
      <c r="RR12" s="80" t="str">
        <f>Guillotine!E18</f>
        <v/>
      </c>
      <c r="RS12" t="str">
        <f>IF('Assembly &amp; Bagging'!E18="Flywire","",IF('Assembly &amp; Bagging'!E18="Invisi-Gard Woven Stainless Steel","Woven Stainless Steel",'Assembly &amp; Bagging'!E18))</f>
        <v/>
      </c>
      <c r="RT12" s="80"/>
      <c r="RU12" s="80"/>
      <c r="RV12" s="80"/>
      <c r="RW12" s="80"/>
      <c r="RX12" s="80"/>
      <c r="RY12" s="80"/>
      <c r="RZ12" s="80"/>
      <c r="SA12" s="80"/>
      <c r="SB12" s="80"/>
      <c r="SC12" s="80"/>
      <c r="SD12" s="80"/>
      <c r="SE12" s="80"/>
      <c r="SF12" s="80"/>
      <c r="SG12" s="80"/>
      <c r="SH12" s="80"/>
      <c r="SI12" s="80"/>
      <c r="SJ12" s="80"/>
      <c r="SK12" s="80"/>
      <c r="SL12" s="80"/>
      <c r="SM12" s="80"/>
      <c r="SN12" s="80"/>
      <c r="SO12" s="80"/>
      <c r="SP12" s="80"/>
      <c r="SQ12" s="80"/>
      <c r="SR12" s="80"/>
      <c r="SS12" s="80"/>
      <c r="ST12" s="80"/>
      <c r="SU12" s="80"/>
      <c r="SV12" s="80"/>
      <c r="SW12" s="80"/>
      <c r="SX12" s="80"/>
      <c r="SY12" s="80"/>
      <c r="SZ12" s="80"/>
      <c r="TA12" s="80"/>
      <c r="TB12" s="80"/>
      <c r="TC12" s="80"/>
      <c r="TD12" s="80"/>
      <c r="TE12" s="80"/>
      <c r="TF12" s="80"/>
      <c r="TG12" s="80"/>
      <c r="TH12" s="80"/>
      <c r="TI12" s="80"/>
      <c r="TJ12" s="80"/>
      <c r="TK12" s="80"/>
      <c r="TL12" s="80"/>
      <c r="TM12" s="80"/>
      <c r="TN12" s="80"/>
      <c r="TO12" s="80"/>
      <c r="TP12" s="80"/>
      <c r="TQ12" s="80"/>
      <c r="TR12" s="80"/>
      <c r="TS12" s="80"/>
      <c r="TT12" s="80"/>
      <c r="TU12" s="80"/>
      <c r="TV12" s="80"/>
      <c r="TW12" s="80"/>
      <c r="TX12" s="80"/>
      <c r="TY12" s="80"/>
      <c r="TZ12" s="80"/>
      <c r="UA12" s="80"/>
      <c r="UB12" s="80"/>
      <c r="UC12" s="80"/>
      <c r="UD12" s="80"/>
      <c r="UE12" s="80"/>
      <c r="UF12" s="80"/>
      <c r="UG12" s="80"/>
      <c r="UH12" s="80"/>
      <c r="UI12" s="80"/>
      <c r="UJ12" s="80"/>
      <c r="UK12" s="80"/>
      <c r="UL12" s="80"/>
      <c r="UM12" s="80"/>
      <c r="UN12" s="80"/>
      <c r="UO12" s="80"/>
      <c r="UP12" s="80"/>
      <c r="UQ12" s="80"/>
      <c r="UR12" s="80"/>
      <c r="US12" s="80"/>
      <c r="UT12" s="80"/>
      <c r="UU12" s="80"/>
      <c r="UV12" s="80"/>
      <c r="UW12" s="80"/>
      <c r="UX12" s="80"/>
      <c r="UY12" s="80"/>
      <c r="UZ12" s="80"/>
      <c r="VA12" s="80"/>
      <c r="VB12" s="80"/>
      <c r="VC12" s="80"/>
      <c r="VD12" s="80"/>
      <c r="VE12" s="80"/>
      <c r="VF12" s="80"/>
      <c r="VG12" s="80"/>
      <c r="VH12" s="80"/>
      <c r="VI12" s="80"/>
      <c r="VJ12" s="80"/>
      <c r="VK12" s="80"/>
      <c r="VL12" s="80"/>
      <c r="VM12" s="80"/>
      <c r="VN12" s="80"/>
      <c r="VO12" s="80"/>
      <c r="VP12" s="80"/>
      <c r="VQ12" s="80"/>
      <c r="VR12" s="80"/>
      <c r="VS12" s="80"/>
      <c r="VT12" s="80"/>
      <c r="VU12" s="80"/>
      <c r="VV12" s="80"/>
      <c r="VW12" s="80"/>
      <c r="VX12" s="80"/>
      <c r="VY12" s="80"/>
      <c r="VZ12" s="80"/>
      <c r="WA12" s="80"/>
      <c r="WB12" s="80"/>
      <c r="WC12" s="80"/>
      <c r="WD12" s="80"/>
      <c r="WE12" s="80"/>
      <c r="WF12" s="80"/>
      <c r="WG12" s="80"/>
      <c r="WH12" s="80"/>
      <c r="WI12" s="80"/>
      <c r="WJ12" s="80"/>
      <c r="WK12" s="80"/>
      <c r="WL12" s="80"/>
      <c r="WM12" s="80"/>
      <c r="WN12" s="80"/>
      <c r="WO12" s="80"/>
      <c r="WP12" s="80"/>
      <c r="WQ12" s="80"/>
      <c r="WR12" s="80"/>
      <c r="WS12" s="80"/>
      <c r="WT12" s="80"/>
      <c r="WU12" s="80"/>
      <c r="WV12" s="80"/>
      <c r="WW12" s="80"/>
      <c r="WX12" s="80"/>
      <c r="WY12" s="80"/>
      <c r="WZ12" s="80"/>
      <c r="XA12" s="80"/>
      <c r="XB12" s="80"/>
      <c r="XC12" s="80"/>
      <c r="XD12" s="80"/>
      <c r="XE12" s="80"/>
      <c r="XF12" s="80"/>
      <c r="XG12" s="80"/>
      <c r="XH12" s="80"/>
      <c r="XI12" s="80"/>
      <c r="XJ12" s="80"/>
      <c r="XK12" s="80"/>
      <c r="XL12" s="80"/>
      <c r="XM12" s="80"/>
      <c r="XN12" s="80"/>
      <c r="XO12" s="80"/>
      <c r="XP12" s="80"/>
      <c r="XQ12" s="80"/>
      <c r="XR12" s="80"/>
      <c r="XS12" s="80"/>
      <c r="XT12" s="80"/>
      <c r="XU12" s="80"/>
      <c r="XV12" s="80"/>
      <c r="XW12" s="80"/>
      <c r="XX12" s="80"/>
      <c r="XY12" s="80"/>
      <c r="XZ12" s="80"/>
      <c r="YA12" s="80"/>
      <c r="YB12" s="80"/>
      <c r="YC12" s="80"/>
      <c r="YD12" s="80"/>
      <c r="YE12" s="80"/>
      <c r="YF12" s="80"/>
      <c r="YG12" s="80"/>
      <c r="YH12" s="80"/>
      <c r="YI12" s="80"/>
      <c r="YJ12" s="80"/>
      <c r="YK12" s="80"/>
      <c r="YL12" s="80"/>
      <c r="YM12" s="80"/>
      <c r="YN12" s="80"/>
      <c r="YO12" s="80"/>
      <c r="YP12" s="80"/>
      <c r="YQ12" s="80"/>
      <c r="YR12" s="80"/>
      <c r="YS12" s="80"/>
      <c r="YT12" s="80"/>
      <c r="YU12" s="80"/>
      <c r="YV12" s="80"/>
      <c r="YW12" s="80"/>
      <c r="YX12" s="80"/>
      <c r="YY12" s="80"/>
      <c r="YZ12" s="80"/>
      <c r="ZA12" s="80"/>
      <c r="ZB12" s="80"/>
      <c r="ZC12" s="80"/>
      <c r="ZD12" s="80"/>
      <c r="ZE12" s="80"/>
      <c r="ZF12" s="80"/>
      <c r="ZG12" s="80"/>
      <c r="ZH12" s="80"/>
      <c r="ZI12" s="80"/>
      <c r="ZJ12" s="80"/>
      <c r="ZK12" s="80"/>
      <c r="ZL12" s="80"/>
      <c r="ZM12" s="80"/>
      <c r="ZN12" s="80"/>
      <c r="ZO12" s="80"/>
      <c r="ZP12" s="80"/>
      <c r="ZQ12" s="80"/>
      <c r="ZR12" s="80"/>
      <c r="ZS12" s="80"/>
      <c r="ZT12" s="80"/>
      <c r="ZU12" s="80"/>
      <c r="ZV12" s="80"/>
      <c r="ZW12" s="80"/>
      <c r="ZX12" s="80"/>
      <c r="ZY12" s="80"/>
      <c r="ZZ12" s="80"/>
      <c r="AAA12" s="80"/>
      <c r="AAB12" s="80"/>
      <c r="AAC12" s="80"/>
      <c r="AAD12" s="80"/>
      <c r="AAE12" s="80"/>
      <c r="AAF12" s="80"/>
      <c r="AAG12" s="80"/>
      <c r="AAH12" s="80"/>
      <c r="AAI12" s="80"/>
      <c r="AAJ12" s="80"/>
      <c r="AAK12" s="80"/>
      <c r="AAL12" s="80"/>
      <c r="AAM12" s="80"/>
      <c r="AAN12" s="80"/>
      <c r="AAO12" s="80"/>
      <c r="AAP12" s="80"/>
      <c r="AAQ12" s="80"/>
      <c r="AAR12" s="80"/>
      <c r="AAS12" s="80"/>
      <c r="AAT12" s="80"/>
      <c r="AAU12" s="80"/>
      <c r="AAV12" s="80"/>
      <c r="AAW12" s="80"/>
      <c r="AAX12" s="80"/>
      <c r="AAY12" s="80"/>
      <c r="AAZ12" s="80"/>
      <c r="ABA12" s="80"/>
      <c r="ABB12" s="80"/>
      <c r="ABC12" s="80"/>
      <c r="ABD12" s="80"/>
      <c r="ABE12" s="80"/>
      <c r="ABF12" s="80"/>
      <c r="ABG12" s="80"/>
      <c r="ABH12" s="80"/>
      <c r="ABI12" s="80"/>
      <c r="ABJ12" s="80"/>
      <c r="ABK12" s="80"/>
      <c r="ABL12" s="80"/>
      <c r="ABM12" s="80"/>
      <c r="ABN12" s="80"/>
      <c r="ABO12" s="80"/>
      <c r="ABP12" s="80"/>
      <c r="ABQ12" s="80"/>
      <c r="ABR12" s="80"/>
      <c r="ABS12" s="80"/>
      <c r="ABT12" s="80"/>
      <c r="ABU12" s="80"/>
      <c r="ABV12" s="80"/>
      <c r="ABW12" s="80"/>
      <c r="ABX12" s="80"/>
      <c r="ABY12" s="80"/>
      <c r="ABZ12" s="80"/>
      <c r="ACA12" s="80"/>
      <c r="ACB12" s="80"/>
      <c r="ACC12" s="80"/>
      <c r="ACD12" s="80" t="str">
        <f>IF('Job Sheet'!J18="Fibreglass Mesh",CONCATENATE('Job Sheet'!W18," x ",'Job Sheet'!X18),"")</f>
        <v/>
      </c>
      <c r="ACE12" s="80" t="str">
        <f>IF('Job Sheet'!J18="Alu-screen",CONCATENATE('Job Sheet'!W18," x ",'Job Sheet'!X18),"")</f>
        <v/>
      </c>
      <c r="ACF12" s="80" t="str">
        <f>IF('Job Sheet'!J18="Pet Mesh",CONCATENATE('Job Sheet'!W18," x ",'Job Sheet'!X18),"")</f>
        <v/>
      </c>
      <c r="ACH12" s="80"/>
    </row>
    <row r="13" spans="4:762" ht="13.2" customHeight="1">
      <c r="D13" t="str">
        <f>IF(OR(Data!AV19="",Data!BN19="Invisi-Scape"),"",CONCATENATE(Data!BC$5,".",Data!BD$5))</f>
        <v/>
      </c>
      <c r="E13" t="str">
        <f>IF(D13="","",Data!AW19)</f>
        <v/>
      </c>
      <c r="F13" t="str">
        <f>IF(D13="","",Data!AV19)</f>
        <v/>
      </c>
      <c r="G13" t="str">
        <f t="shared" si="0"/>
        <v/>
      </c>
      <c r="H13" t="str">
        <f>IF(D13="","",Data!BF$5)</f>
        <v/>
      </c>
      <c r="I13" t="str">
        <f>IF(D13="","",Data!AX$5)</f>
        <v/>
      </c>
      <c r="J13" s="80" t="str">
        <f>IF(AND('Mitred Cutting'!E19="70mm x 20mm",'Mitred Cutting'!D19="APO Grey"),(('Job Sheet'!W19+'Job Sheet'!X19)*2),"")</f>
        <v/>
      </c>
      <c r="K13" s="80" t="str">
        <f>IF(AND('Mitred Cutting'!E19="70mm x 20mm",'Mitred Cutting'!D19="White Birch"),(('Job Sheet'!W19+'Job Sheet'!X19)*2),"")</f>
        <v/>
      </c>
      <c r="L13" s="80" t="str">
        <f>IF(AND('Mitred Cutting'!E19="70mm x 20mm",'Mitred Cutting'!D19="Black"),(('Job Sheet'!W19+'Job Sheet'!X19)*2),"")</f>
        <v/>
      </c>
      <c r="M13" s="80" t="str">
        <f>IF(AND('Mitred Cutting'!E19="70mm x 20mm",'Mitred Cutting'!D19="Brown"),(('Job Sheet'!W19+'Job Sheet'!X19)*2),"")</f>
        <v/>
      </c>
      <c r="N13" s="80" t="str">
        <f>IF(AND('Mitred Cutting'!E19="70mm x 20mm",'Mitred Cutting'!D19="Deep Ocean"),(('Job Sheet'!W19+'Job Sheet'!X19)*2),"")</f>
        <v/>
      </c>
      <c r="O13" s="80" t="str">
        <f>IF(AND('Mitred Cutting'!E19="70mm x 20mm",'Mitred Cutting'!D19="Jasper"),(('Job Sheet'!W19+'Job Sheet'!X19)*2),"")</f>
        <v/>
      </c>
      <c r="P13" s="80" t="str">
        <f>IF(AND('Mitred Cutting'!E19="70mm x 20mm",'Mitred Cutting'!D19="Paperbark"),(('Job Sheet'!W19+'Job Sheet'!X19)*2),"")</f>
        <v/>
      </c>
      <c r="Q13" s="80" t="str">
        <f>IF(AND('Mitred Cutting'!E19="70mm x 20mm",'Mitred Cutting'!D19="Mist Green"),(('Job Sheet'!W19+'Job Sheet'!X19)*2),"")</f>
        <v/>
      </c>
      <c r="R13" s="80" t="str">
        <f>IF(AND('Mitred Cutting'!E19="70mm x 20mm",'Mitred Cutting'!D19="Primrose"),(('Job Sheet'!W19+'Job Sheet'!X19)*2),"")</f>
        <v/>
      </c>
      <c r="S13" s="80" t="str">
        <f>IF(AND('Mitred Cutting'!E19="70mm x 20mm",'Mitred Cutting'!D19="Ultra Silver"),(('Job Sheet'!W19+'Job Sheet'!X19)*2),"")</f>
        <v/>
      </c>
      <c r="T13" s="80" t="str">
        <f>IF(AND('Mitred Cutting'!E19="70mm x 20mm",'Mitred Cutting'!D19="Woodland Grey(Green Tone)"),(('Job Sheet'!W19+'Job Sheet'!X19)*2),"")</f>
        <v/>
      </c>
      <c r="U13" s="80" t="str">
        <f>IF(AND('Mitred Cutting'!E19="70mm x 20mm",'Mitred Cutting'!D19="Pearl White"),(('Job Sheet'!W19+'Job Sheet'!X19)*2),"")</f>
        <v/>
      </c>
      <c r="V13" s="80" t="str">
        <f>IF(AND('Mitred Cutting'!E19="70mm x 20mm",'Mitred Cutting'!D19="Monument"),(('Job Sheet'!W19+'Job Sheet'!X19)*2),"")</f>
        <v/>
      </c>
      <c r="W13" s="80" t="str">
        <f>IF(AND('Mitred Cutting'!E19="70mm x 20mm",'Mitred Cutting'!D19="Surfmist"),(('Job Sheet'!W19+'Job Sheet'!X19)*2),"")</f>
        <v/>
      </c>
      <c r="X13" s="80" t="str">
        <f>IF(AND('Mitred Cutting'!E19="70mm x 20mm",'Mitred Cutting'!D19="Dune"),(('Job Sheet'!W19+'Job Sheet'!X19)*2),"")</f>
        <v/>
      </c>
      <c r="Y13" s="80"/>
      <c r="Z13" s="80" t="str">
        <f>IF(AND('Mitred Cutting'!E19="70mm x 20mm",'Mitred Cutting'!D19="Powdercoat"),(('Job Sheet'!W19+'Job Sheet'!X19)*2),"")</f>
        <v/>
      </c>
      <c r="AA13" s="80" t="str">
        <f>IF(AND('Mitred Cutting'!E19="Invisi-Gard 70mm x 20mm",'Mitred Cutting'!D19="APO Grey"),(('Job Sheet'!W19+'Job Sheet'!X19)*2),"")</f>
        <v/>
      </c>
      <c r="AB13" s="80" t="str">
        <f>IF(AND('Mitred Cutting'!E19="Invisi-Gard 70mm x 20mm",'Mitred Cutting'!D19="White Birch"),(('Job Sheet'!W19+'Job Sheet'!X19)*2),"")</f>
        <v/>
      </c>
      <c r="AC13" s="80" t="str">
        <f>IF(AND('Mitred Cutting'!E19="Invisi-Gard 70mm x 20mm",'Mitred Cutting'!D19="Black"),(('Job Sheet'!W19+'Job Sheet'!X19)*2),"")</f>
        <v/>
      </c>
      <c r="AD13" s="80" t="str">
        <f>IF(AND('Mitred Cutting'!E19="Invisi-Gard 70mm x 20mm",'Mitred Cutting'!D19="Brown"),(('Job Sheet'!W19+'Job Sheet'!X19)*2),"")</f>
        <v/>
      </c>
      <c r="AE13" s="80" t="str">
        <f>IF(AND('Mitred Cutting'!E19="Invisi-Gard 70mm x 20mm",'Mitred Cutting'!D19="Deep Ocean"),(('Job Sheet'!W19+'Job Sheet'!X19)*2),"")</f>
        <v/>
      </c>
      <c r="AF13" s="80" t="str">
        <f>IF(AND('Mitred Cutting'!E19="Invisi-Gard 70mm x 20mm",'Mitred Cutting'!D19="Jasper"),(('Job Sheet'!W19+'Job Sheet'!X19)*2),"")</f>
        <v/>
      </c>
      <c r="AG13" s="80" t="str">
        <f>IF(AND('Mitred Cutting'!E19="Invisi-Gard 70mm x 20mm",'Mitred Cutting'!D19="Paperbark"),(('Job Sheet'!W19+'Job Sheet'!X19)*2),"")</f>
        <v/>
      </c>
      <c r="AH13" s="80" t="str">
        <f>IF(AND('Mitred Cutting'!E19="Invisi-Gard 70mm x 20mm",'Mitred Cutting'!D19="Mist Green"),(('Job Sheet'!W19+'Job Sheet'!X19)*2),"")</f>
        <v/>
      </c>
      <c r="AI13" s="80" t="str">
        <f>IF(AND('Mitred Cutting'!E19="Invisi-Gard 70mm x 20mm",'Mitred Cutting'!D19="Primrose"),(('Job Sheet'!W19+'Job Sheet'!X19)*2),"")</f>
        <v/>
      </c>
      <c r="AJ13" s="80" t="str">
        <f>IF(AND('Mitred Cutting'!E19="Invisi-Gard 70mm x 20mm",'Mitred Cutting'!D19="Ultra Silver"),(('Job Sheet'!W19+'Job Sheet'!X19)*2),"")</f>
        <v/>
      </c>
      <c r="AK13" s="80" t="str">
        <f>IF(AND('Mitred Cutting'!E19="Invisi-Gard 70mm x 20mm",'Mitred Cutting'!D19="Woodland Grey(Green Tone)"),(('Job Sheet'!W19+'Job Sheet'!X19)*2),"")</f>
        <v/>
      </c>
      <c r="AL13" s="80" t="str">
        <f>IF(AND('Mitred Cutting'!E19="Invisi-Gard 70mm x 20mm",'Mitred Cutting'!D19="Pearl White"),(('Job Sheet'!W19+'Job Sheet'!X19)*2),"")</f>
        <v/>
      </c>
      <c r="AM13" s="80" t="str">
        <f>IF(AND('Mitred Cutting'!E19="Invisi-Gard 70mm x 20mm",'Mitred Cutting'!D19="Monument"),(('Job Sheet'!W19+'Job Sheet'!X19)*2),"")</f>
        <v/>
      </c>
      <c r="AN13" s="80" t="str">
        <f>IF(AND('Mitred Cutting'!E19="Invisi-Gard 70mm x 20mm",'Mitred Cutting'!D19="Surfmist"),(('Job Sheet'!W19+'Job Sheet'!X19)*2),"")</f>
        <v/>
      </c>
      <c r="AO13" s="80" t="str">
        <f>IF(AND('Mitred Cutting'!E19="Invisi-Gard 70mm x 20mm",'Mitred Cutting'!D19="Dune"),(('Job Sheet'!W19+'Job Sheet'!X19)*2),"")</f>
        <v/>
      </c>
      <c r="AP13" s="80"/>
      <c r="AQ13" s="80" t="str">
        <f>IF(AND('Mitred Cutting'!E19="Invisi-Gard 70mm x 20mm",'Mitred Cutting'!D19="Powdercoat"),(('Job Sheet'!W19+'Job Sheet'!X19)*2),"")</f>
        <v/>
      </c>
      <c r="AR13" s="80" t="str">
        <f>IF(AND('Mitred Cutting'!E19="37mm x 11mm",'Mitred Cutting'!D19="APO Grey"),(('Job Sheet'!W19+'Job Sheet'!X19)*2),"")</f>
        <v/>
      </c>
      <c r="AS13" s="80" t="str">
        <f>IF(AND('Mitred Cutting'!E19="37mm x 11mm",'Mitred Cutting'!D19="White Birch"),(('Job Sheet'!W19+'Job Sheet'!X19)*2),"")</f>
        <v/>
      </c>
      <c r="AT13" s="80" t="str">
        <f>IF(AND('Mitred Cutting'!E19="37mm x 11mm",'Mitred Cutting'!D19="Black"),(('Job Sheet'!W19+'Job Sheet'!X19)*2),"")</f>
        <v/>
      </c>
      <c r="AU13" s="80" t="str">
        <f>IF(AND('Mitred Cutting'!E19="37mm x 11mm",'Mitred Cutting'!D19="Brown"),(('Job Sheet'!W19+'Job Sheet'!X19)*2),"")</f>
        <v/>
      </c>
      <c r="AV13" s="80" t="str">
        <f>IF(AND('Mitred Cutting'!E19="37mm x 11mm",'Mitred Cutting'!D19="Deep Ocean"),(('Job Sheet'!W19+'Job Sheet'!X19)*2),"")</f>
        <v/>
      </c>
      <c r="AW13" s="80" t="str">
        <f>IF(AND('Mitred Cutting'!E19="37mm x 11mm",'Mitred Cutting'!D19="Jasper"),(('Job Sheet'!W19+'Job Sheet'!X19)*2),"")</f>
        <v/>
      </c>
      <c r="AX13" s="80" t="str">
        <f>IF(AND('Mitred Cutting'!E19="37mm x 11mm",'Mitred Cutting'!D19="Paperbark"),(('Job Sheet'!W19+'Job Sheet'!X19)*2),"")</f>
        <v/>
      </c>
      <c r="AY13" s="80" t="str">
        <f>IF(AND('Mitred Cutting'!E19="37mm x 11mm",'Mitred Cutting'!D19="Mist Green"),(('Job Sheet'!W19+'Job Sheet'!X19)*2),"")</f>
        <v/>
      </c>
      <c r="AZ13" s="80" t="str">
        <f>IF(AND('Mitred Cutting'!E19="37mm x 11mm",'Mitred Cutting'!D19="Primrose"),(('Job Sheet'!W19+'Job Sheet'!X19)*2),"")</f>
        <v/>
      </c>
      <c r="BA13" s="80" t="str">
        <f>IF(AND('Mitred Cutting'!E19="37mm x 11mm",'Mitred Cutting'!D19="Ultra Silver"),(('Job Sheet'!W19+'Job Sheet'!X19)*2),"")</f>
        <v/>
      </c>
      <c r="BB13" s="80" t="str">
        <f>IF(AND('Mitred Cutting'!E19="37mm x 11mm",'Mitred Cutting'!D19="Woodland Grey(Green Tone)"),(('Job Sheet'!W19+'Job Sheet'!X19)*2),"")</f>
        <v/>
      </c>
      <c r="BC13" s="80" t="str">
        <f>IF(AND('Mitred Cutting'!E19="37mm x 11mm",'Mitred Cutting'!D19="Pearl White"),(('Job Sheet'!W19+'Job Sheet'!X19)*2),"")</f>
        <v/>
      </c>
      <c r="BD13" s="80" t="str">
        <f>IF(AND('Mitred Cutting'!E19="37mm x 11mm",'Mitred Cutting'!D19="Monument"),(('Job Sheet'!W19+'Job Sheet'!X19)*2),"")</f>
        <v/>
      </c>
      <c r="BE13" s="80" t="str">
        <f>IF(AND('Mitred Cutting'!E19="37mm x 11mm",'Mitred Cutting'!D19="Surfmist"),(('Job Sheet'!W19+'Job Sheet'!X19)*2),"")</f>
        <v/>
      </c>
      <c r="BF13" s="80" t="str">
        <f>IF(AND('Mitred Cutting'!E19="37mm x 11mm",'Mitred Cutting'!D19="Dune"),(('Job Sheet'!W19+'Job Sheet'!X19)*2),"")</f>
        <v/>
      </c>
      <c r="BG13" s="80" t="str">
        <f>IF(AND('Mitred Cutting'!E19="37mm x 11mm",'Mitred Cutting'!D19="Woodland Grey (Dulux)"),(('Job Sheet'!W19+'Job Sheet'!X19)*2),"")</f>
        <v/>
      </c>
      <c r="BH13" s="80" t="str">
        <f>IF(AND('Mitred Cutting'!E19="37mm x 11mm",'Mitred Cutting'!D19="Powdercoat"),(('Job Sheet'!W19+'Job Sheet'!X19)*2),"")</f>
        <v/>
      </c>
      <c r="BI13" s="80" t="str">
        <f>IF(AND('Mitred Cutting'!E19="Invisi-Gard 37mm x 11mm",'Mitred Cutting'!D19="APO Grey"),(('Job Sheet'!W19+'Job Sheet'!X19)*2),"")</f>
        <v/>
      </c>
      <c r="BJ13" s="80" t="str">
        <f>IF(AND('Mitred Cutting'!E19="Invisi-Gard 37mm x 11mm",'Mitred Cutting'!D19="White Birch"),(('Job Sheet'!W19+'Job Sheet'!X19)*2),"")</f>
        <v/>
      </c>
      <c r="BK13" s="80" t="str">
        <f>IF(AND('Mitred Cutting'!E19="Invisi-Gard 37mm x 11mm",'Mitred Cutting'!D19="Black"),(('Job Sheet'!W19+'Job Sheet'!X19)*2),"")</f>
        <v/>
      </c>
      <c r="BL13" s="80" t="str">
        <f>IF(AND('Mitred Cutting'!E19="Invisi-Gard 37mm x 11mm",'Mitred Cutting'!D19="Brown"),(('Job Sheet'!W19+'Job Sheet'!X19)*2),"")</f>
        <v/>
      </c>
      <c r="BM13" s="80" t="str">
        <f>IF(AND('Mitred Cutting'!E19="Invisi-Gard 37mm x 11mm",'Mitred Cutting'!D19="Deep Ocean"),(('Job Sheet'!W19+'Job Sheet'!X19)*2),"")</f>
        <v/>
      </c>
      <c r="BN13" s="80" t="str">
        <f>IF(AND('Mitred Cutting'!E19="Invisi-Gard 37mm x 11mm",'Mitred Cutting'!D19="Jasper"),(('Job Sheet'!W19+'Job Sheet'!X19)*2),"")</f>
        <v/>
      </c>
      <c r="BO13" s="80" t="str">
        <f>IF(AND('Mitred Cutting'!E19="Invisi-Gard 37mm x 11mm",'Mitred Cutting'!D19="Paperbark"),(('Job Sheet'!W19+'Job Sheet'!X19)*2),"")</f>
        <v/>
      </c>
      <c r="BP13" s="80" t="str">
        <f>IF(AND('Mitred Cutting'!E19="Invisi-Gard 37mm x 11mm",'Mitred Cutting'!D19="Mist Green"),(('Job Sheet'!W19+'Job Sheet'!X19)*2),"")</f>
        <v/>
      </c>
      <c r="BQ13" s="80" t="str">
        <f>IF(AND('Mitred Cutting'!E19="Invisi-Gard 37mm x 11mm",'Mitred Cutting'!D19="Primrose"),(('Job Sheet'!W19+'Job Sheet'!X19)*2),"")</f>
        <v/>
      </c>
      <c r="BR13" s="80" t="str">
        <f>IF(AND('Mitred Cutting'!E19="Invisi-Gard 37mm x 11mm",'Mitred Cutting'!D19="Ultra Silver"),(('Job Sheet'!W19+'Job Sheet'!X19)*2),"")</f>
        <v/>
      </c>
      <c r="BS13" s="80" t="str">
        <f>IF(AND('Mitred Cutting'!E19="Invisi-Gard 37mm x 11mm",'Mitred Cutting'!D19="Woodland Grey(Green Tone)"),(('Job Sheet'!W19+'Job Sheet'!X19)*2),"")</f>
        <v/>
      </c>
      <c r="BT13" s="80" t="str">
        <f>IF(AND('Mitred Cutting'!E19="Invisi-Gard 37mm x 11mm",'Mitred Cutting'!D19="Pearl White"),(('Job Sheet'!W19+'Job Sheet'!X19)*2),"")</f>
        <v/>
      </c>
      <c r="BU13" s="80" t="str">
        <f>IF(AND('Mitred Cutting'!E19="Invisi-Gard 37mm x 11mm",'Mitred Cutting'!D19="Monument"),(('Job Sheet'!W19+'Job Sheet'!X19)*2),"")</f>
        <v/>
      </c>
      <c r="BV13" s="80" t="str">
        <f>IF(AND('Mitred Cutting'!E19="Invisi-Gard 37mm x 11mm",'Mitred Cutting'!D19="Surfmist"),(('Job Sheet'!W19+'Job Sheet'!X19)*2),"")</f>
        <v/>
      </c>
      <c r="BW13" s="80" t="str">
        <f>IF(AND('Mitred Cutting'!E19="Invisi-Gard 37mm x 11mm",'Mitred Cutting'!D19="Dune"),(('Job Sheet'!W19+'Job Sheet'!X19)*2),"")</f>
        <v/>
      </c>
      <c r="BX13" s="80"/>
      <c r="BY13" s="80" t="str">
        <f>IF(AND('Mitred Cutting'!E19="Invisi-Gard 37mm x 11mm",'Mitred Cutting'!D19="Powdercoat"),(('Job Sheet'!W19+'Job Sheet'!X19)*2),"")</f>
        <v/>
      </c>
      <c r="BZ13" s="80" t="str">
        <f>IF(AND('Mitred Cutting'!E19="Invisi-Gard 37mm x 9mm",'Mitred Cutting'!D19="APO Grey"),(('Job Sheet'!W19+'Job Sheet'!X19)*2),"")</f>
        <v/>
      </c>
      <c r="CA13" s="80" t="str">
        <f>IF(AND('Mitred Cutting'!E19="Invisi-Gard 37mm x 9mm",'Mitred Cutting'!D19="White Birch"),(('Job Sheet'!W19+'Job Sheet'!X19)*2),"")</f>
        <v/>
      </c>
      <c r="CB13" s="80" t="str">
        <f>IF(AND('Mitred Cutting'!E19="Invisi-Gard 37mm x 9mm",'Mitred Cutting'!D19="Black"),(('Job Sheet'!W19+'Job Sheet'!X19)*2),"")</f>
        <v/>
      </c>
      <c r="CC13" s="80" t="str">
        <f>IF(AND('Mitred Cutting'!E19="Invisi-Gard 37mm x 9mm",'Mitred Cutting'!D19="Brown"),(('Job Sheet'!W19+'Job Sheet'!X19)*2),"")</f>
        <v/>
      </c>
      <c r="CD13" s="80" t="str">
        <f>IF(AND('Mitred Cutting'!E19="Invisi-Gard 37mm x 9mm",'Mitred Cutting'!D19="Deep Ocean"),(('Job Sheet'!W19+'Job Sheet'!X19)*2),"")</f>
        <v/>
      </c>
      <c r="CE13" s="80" t="str">
        <f>IF(AND('Mitred Cutting'!E19="Invisi-Gard 37mm x 9mm",'Mitred Cutting'!D19="Jasper"),(('Job Sheet'!W19+'Job Sheet'!X19)*2),"")</f>
        <v/>
      </c>
      <c r="CF13" s="80" t="str">
        <f>IF(AND('Mitred Cutting'!E19="Invisi-Gard 37mm x 9mm",'Mitred Cutting'!D19="Paperbark"),(('Job Sheet'!W19+'Job Sheet'!X19)*2),"")</f>
        <v/>
      </c>
      <c r="CG13" s="80" t="str">
        <f>IF(AND('Mitred Cutting'!E19="Invisi-Gard 37mm x 9mm",'Mitred Cutting'!D19="Mist Green"),(('Job Sheet'!W19+'Job Sheet'!X19)*2),"")</f>
        <v/>
      </c>
      <c r="CH13" s="80" t="str">
        <f>IF(AND('Mitred Cutting'!E19="Invisi-Gard 37mm x 9mm",'Mitred Cutting'!D19="Primrose"),(('Job Sheet'!W19+'Job Sheet'!X19)*2),"")</f>
        <v/>
      </c>
      <c r="CI13" s="80" t="str">
        <f>IF(AND('Mitred Cutting'!E19="Invisi-Gard 37mm x 9mm",'Mitred Cutting'!D19="Ultra Silver"),(('Job Sheet'!W19+'Job Sheet'!X19)*2),"")</f>
        <v/>
      </c>
      <c r="CJ13" s="80" t="str">
        <f>IF(AND('Mitred Cutting'!E19="Invisi-Gard 37mm x 9mm",'Mitred Cutting'!D19="Woodland Grey(Green Tone)"),(('Job Sheet'!W19+'Job Sheet'!X19)*2),"")</f>
        <v/>
      </c>
      <c r="CK13" s="80" t="str">
        <f>IF(AND('Mitred Cutting'!E19="Invisi-Gard 37mm x 9mm",'Mitred Cutting'!D19="Pearl White"),(('Job Sheet'!W19+'Job Sheet'!X19)*2),"")</f>
        <v/>
      </c>
      <c r="CL13" s="80" t="str">
        <f>IF(AND('Mitred Cutting'!E19="Invisi-Gard 37mm x 9mm",'Mitred Cutting'!D19="Monument"),(('Job Sheet'!W19+'Job Sheet'!X19)*2),"")</f>
        <v/>
      </c>
      <c r="CM13" s="80" t="str">
        <f>IF(AND('Mitred Cutting'!E19="Invisi-Gard 37mm x 9mm",'Mitred Cutting'!D19="Surfmist"),(('Job Sheet'!W19+'Job Sheet'!X19)*2),"")</f>
        <v/>
      </c>
      <c r="CN13" s="80" t="str">
        <f>IF(AND('Mitred Cutting'!E19="Invisi-Gard 37mm x 9mm",'Mitred Cutting'!D19="Dune"),(('Job Sheet'!W19+'Job Sheet'!X19)*2),"")</f>
        <v/>
      </c>
      <c r="CO13" s="80"/>
      <c r="CP13" s="80" t="str">
        <f>IF(AND('Mitred Cutting'!E19="Invisi-Gard 37mm x 9mm",'Mitred Cutting'!D19="Powdercoat"),(('Job Sheet'!W19+'Job Sheet'!X19)*2),"")</f>
        <v/>
      </c>
      <c r="CQ13" s="80"/>
      <c r="CR13" s="80"/>
      <c r="CS13" s="80"/>
      <c r="CT13" s="80"/>
      <c r="CU13" s="80"/>
      <c r="CV13" s="80"/>
      <c r="CW13" s="80"/>
      <c r="CX13" s="80"/>
      <c r="CY13" s="80"/>
      <c r="CZ13" s="80"/>
      <c r="DA13" s="80"/>
      <c r="DB13" s="80"/>
      <c r="DC13" s="80"/>
      <c r="DD13" s="80"/>
      <c r="DE13" s="80"/>
      <c r="DF13" s="80"/>
      <c r="DG13" s="80"/>
      <c r="DH13" s="80"/>
      <c r="DI13" s="80"/>
      <c r="DJ13" s="80"/>
      <c r="DK13" s="80"/>
      <c r="DL13" s="80"/>
      <c r="DM13" s="80"/>
      <c r="DN13" s="80"/>
      <c r="DO13" s="80"/>
      <c r="DP13" s="80"/>
      <c r="DQ13" s="80"/>
      <c r="DR13" s="80"/>
      <c r="DS13" s="80"/>
      <c r="DT13" s="80"/>
      <c r="DU13" s="80"/>
      <c r="DV13" s="80"/>
      <c r="DW13" s="80"/>
      <c r="DX13" s="80"/>
      <c r="DY13" s="80" t="str">
        <f>IF(AND('Mitred Cutting'!E19="9mm",'Mitred Cutting'!D19="APO Grey",'Job Sheet'!P19&lt;&gt;""),(('Job Sheet'!W19+'Job Sheet'!X19)*2)+'Job Sheet'!AG19,IF(AND('Mitred Cutting'!E19="9mm",'Mitred Cutting'!D19="APO Grey"),(('Job Sheet'!W19+'Job Sheet'!X19)*2),""))</f>
        <v/>
      </c>
      <c r="DZ13" s="80" t="str">
        <f>IF(AND('Mitred Cutting'!E19="9mm",'Mitred Cutting'!D19="White Birch",'Job Sheet'!P19&lt;&gt;""),(('Job Sheet'!W19+'Job Sheet'!X19)*2)+'Job Sheet'!AG19,IF(AND('Mitred Cutting'!E19="9mm",'Mitred Cutting'!D19="White Birch"),(('Job Sheet'!W19+'Job Sheet'!X19)*2),""))</f>
        <v/>
      </c>
      <c r="EA13" s="80" t="str">
        <f>IF(AND('Mitred Cutting'!E19="9mm",'Mitred Cutting'!D19="Black",'Job Sheet'!P19&lt;&gt;""),(('Job Sheet'!W19+'Job Sheet'!X19)*2)+'Job Sheet'!AG19,IF(AND('Mitred Cutting'!E19="9mm",'Mitred Cutting'!D19="Black"),(('Job Sheet'!W19+'Job Sheet'!X19)*2),""))</f>
        <v/>
      </c>
      <c r="EB13" s="80" t="str">
        <f>IF(AND('Mitred Cutting'!E19="9mm",'Mitred Cutting'!D19="Brown",'Job Sheet'!P19&lt;&gt;""),(('Job Sheet'!W19+'Job Sheet'!X19)*2)+'Job Sheet'!AG19,IF(AND('Mitred Cutting'!E19="9mm",'Mitred Cutting'!D19="Brown"),(('Job Sheet'!W19+'Job Sheet'!X19)*2),""))</f>
        <v/>
      </c>
      <c r="EC13" s="80" t="str">
        <f>IF(AND('Mitred Cutting'!E19="9mm",'Mitred Cutting'!D19="Deep Ocean",'Job Sheet'!P19&lt;&gt;""),(('Job Sheet'!W19+'Job Sheet'!X19)*2)+'Job Sheet'!AG19,IF(AND('Mitred Cutting'!E19="9mm",'Mitred Cutting'!D19="Deep Ocean"),(('Job Sheet'!W19+'Job Sheet'!X19)*2),""))</f>
        <v/>
      </c>
      <c r="ED13" s="80" t="str">
        <f>IF(AND('Mitred Cutting'!E19="9mm",'Mitred Cutting'!D19="Jasper",'Job Sheet'!P19&lt;&gt;""),(('Job Sheet'!W19+'Job Sheet'!X19)*2)+'Job Sheet'!AG19,IF(AND('Mitred Cutting'!E19="9mm",'Mitred Cutting'!D19="Jasper"),(('Job Sheet'!W19+'Job Sheet'!X19)*2),""))</f>
        <v/>
      </c>
      <c r="EE13" s="80" t="str">
        <f>IF(AND('Mitred Cutting'!E19="9mm",'Mitred Cutting'!D19="Paperbark",'Job Sheet'!P19&lt;&gt;""),(('Job Sheet'!W19+'Job Sheet'!X19)*2)+'Job Sheet'!AG19,IF(AND('Mitred Cutting'!E19="9mm",'Mitred Cutting'!D19="Paperbark"),(('Job Sheet'!W19+'Job Sheet'!X19)*2),""))</f>
        <v/>
      </c>
      <c r="EF13" s="80" t="str">
        <f>IF(AND('Mitred Cutting'!E19="9mm",'Mitred Cutting'!D19="Pale Eucalypt",'Job Sheet'!P19&lt;&gt;""),(('Job Sheet'!W19+'Job Sheet'!X19)*2)+'Job Sheet'!AG19,IF(AND('Mitred Cutting'!E19="9mm",'Mitred Cutting'!D19="Mist Green"),(('Job Sheet'!W19+'Job Sheet'!X19)*2),""))</f>
        <v/>
      </c>
      <c r="EG13" s="80" t="str">
        <f>IF(AND('Mitred Cutting'!E19="9mm",'Mitred Cutting'!D19="Primrose",'Job Sheet'!P19&lt;&gt;""),(('Job Sheet'!W19+'Job Sheet'!X19)*2)+'Job Sheet'!AG19,IF(AND('Mitred Cutting'!E19="9mm",'Mitred Cutting'!D19="Primrose"),(('Job Sheet'!W19+'Job Sheet'!X19)*2),""))</f>
        <v/>
      </c>
      <c r="EH13" s="80" t="str">
        <f>IF(AND('Mitred Cutting'!E19="9mm",'Mitred Cutting'!D19="Ultra Silver",'Job Sheet'!P19&lt;&gt;""),(('Job Sheet'!W19+'Job Sheet'!X19)*2)+'Job Sheet'!AG19,IF(AND('Mitred Cutting'!E19="9mm",'Mitred Cutting'!D19="Ultra Silver"),(('Job Sheet'!W19+'Job Sheet'!X19)*2),""))</f>
        <v/>
      </c>
      <c r="EI13" s="80" t="str">
        <f>IF(AND('Mitred Cutting'!E19="9mm",'Mitred Cutting'!D19="Woodland Grey(Green Tone)",'Job Sheet'!P19&lt;&gt;""),(('Job Sheet'!W19+'Job Sheet'!X19)*2)+'Job Sheet'!AG19,IF(AND('Mitred Cutting'!E19="9mm",'Mitred Cutting'!D19="Woodland Grey(Green Tone)"),(('Job Sheet'!W19+'Job Sheet'!X19)*2),""))</f>
        <v/>
      </c>
      <c r="EJ13" s="80" t="str">
        <f>IF(AND('Mitred Cutting'!E19="9mm",'Mitred Cutting'!D19="Pearl White",'Job Sheet'!P19&lt;&gt;""),(('Job Sheet'!W19+'Job Sheet'!X19)*2)+'Job Sheet'!AG19,IF(AND('Mitred Cutting'!E19="9mm",'Mitred Cutting'!D19="Pearl White"),(('Job Sheet'!W19+'Job Sheet'!X19)*2),""))</f>
        <v/>
      </c>
      <c r="EK13" s="80" t="str">
        <f>IF(AND('Mitred Cutting'!E19="9mm",'Mitred Cutting'!D19="Monument",'Job Sheet'!P19&lt;&gt;""),(('Job Sheet'!W19+'Job Sheet'!X19)*2)+'Job Sheet'!AG19,IF(AND('Mitred Cutting'!E19="9mm",'Mitred Cutting'!D19="Monument"),(('Job Sheet'!W19+'Job Sheet'!X19)*2),""))</f>
        <v/>
      </c>
      <c r="EL13" s="80" t="str">
        <f>IF(AND('Mitred Cutting'!E19="9mm",'Mitred Cutting'!D19="Surfmist",'Job Sheet'!P19&lt;&gt;""),(('Job Sheet'!W19+'Job Sheet'!X19)*2)+'Job Sheet'!AG19,IF(AND('Mitred Cutting'!E19="9mm",'Mitred Cutting'!D19="Surfmist"),(('Job Sheet'!W19+'Job Sheet'!X19)*2),""))</f>
        <v/>
      </c>
      <c r="EM13" s="80" t="str">
        <f>IF(AND('Mitred Cutting'!E19="9mm",'Mitred Cutting'!D19="Dune",'Job Sheet'!P19&lt;&gt;""),(('Job Sheet'!W19+'Job Sheet'!X19)*2)+'Job Sheet'!AG19,IF(AND('Mitred Cutting'!E19="9mm",'Mitred Cutting'!D19="Dune"),(('Job Sheet'!W19+'Job Sheet'!X19)*2),""))</f>
        <v/>
      </c>
      <c r="EN13" s="80" t="str">
        <f>IF(AND('Mitred Cutting'!E19="9mm",'Mitred Cutting'!D19="Powdercoat",'Job Sheet'!P19&lt;&gt;""),(('Job Sheet'!W19+'Job Sheet'!X19)*2)+'Job Sheet'!AG19,IF(AND('Mitred Cutting'!E19="9mm",'Mitred Cutting'!D19="Powdercoat"),(('Job Sheet'!W19+'Job Sheet'!X19)*2),""))</f>
        <v/>
      </c>
      <c r="EO13" s="80" t="str">
        <f>IF(AND('Mitred Cutting'!E19="11mm",'Mitred Cutting'!D19="APO Grey",'Job Sheet'!P19&lt;&gt;""),(('Job Sheet'!W19+'Job Sheet'!X19)*2)+'Job Sheet'!AG19,IF(AND('Mitred Cutting'!E19="11mm",'Mitred Cutting'!D19="APO Grey"),(('Job Sheet'!W19+'Job Sheet'!X19)*2),""))</f>
        <v/>
      </c>
      <c r="EP13" s="80" t="str">
        <f>IF(AND('Mitred Cutting'!E19="11mm",'Mitred Cutting'!D19="White Birch",'Job Sheet'!P19&lt;&gt;""),(('Job Sheet'!W19+'Job Sheet'!X19)*2)+'Job Sheet'!AG19,IF(AND('Mitred Cutting'!E19="11mm",'Mitred Cutting'!D19="White Birch"),(('Job Sheet'!W19+'Job Sheet'!X19)*2),""))</f>
        <v/>
      </c>
      <c r="EQ13" s="84" t="str">
        <f>IF(AND('Mitred Cutting'!E19="11mm",'Mitred Cutting'!D19="Black",'Job Sheet'!P19&lt;&gt;""),(('Job Sheet'!W19+'Job Sheet'!X19)*2)+'Job Sheet'!AG19,IF(AND('Mitred Cutting'!E19="11mm",'Mitred Cutting'!D19="Black"),(('Job Sheet'!W19+'Job Sheet'!X19)*2),""))</f>
        <v/>
      </c>
      <c r="ER13" s="80" t="str">
        <f>IF(AND('Mitred Cutting'!E19="11mm",'Mitred Cutting'!D19="Brown",'Job Sheet'!P19&lt;&gt;""),(('Job Sheet'!W19+'Job Sheet'!X19)*2)+'Job Sheet'!AG19,IF(AND('Mitred Cutting'!E19="11mm",'Mitred Cutting'!D19="Brown"),(('Job Sheet'!W19+'Job Sheet'!X19)*2),""))</f>
        <v/>
      </c>
      <c r="ES13" s="80" t="str">
        <f>IF(AND('Mitred Cutting'!E19="11mm",'Mitred Cutting'!D19="Deep Ocean",'Job Sheet'!P19&lt;&gt;""),(('Job Sheet'!W19+'Job Sheet'!X19)*2)+'Job Sheet'!AG19,IF(AND('Mitred Cutting'!E19="11mm",'Mitred Cutting'!D19="Deep Ocean"),(('Job Sheet'!W19+'Job Sheet'!X19)*2),""))</f>
        <v/>
      </c>
      <c r="ET13" s="80" t="str">
        <f>IF(AND('Mitred Cutting'!E19="11mm",'Mitred Cutting'!D19="Jasper",'Job Sheet'!P19&lt;&gt;""),(('Job Sheet'!W19+'Job Sheet'!X19)*2)+'Job Sheet'!AG19,IF(AND('Mitred Cutting'!E19="11mm",'Mitred Cutting'!D19="Jasper"),(('Job Sheet'!W19+'Job Sheet'!X19)*2),""))</f>
        <v/>
      </c>
      <c r="EU13" s="80" t="str">
        <f>IF(AND('Mitred Cutting'!E19="11mm",'Mitred Cutting'!D19="Paperbark",'Job Sheet'!P19&lt;&gt;""),(('Job Sheet'!W19+'Job Sheet'!X19)*2)+'Job Sheet'!AG19,IF(AND('Mitred Cutting'!E19="11mm",'Mitred Cutting'!D19="Paperbark"),(('Job Sheet'!W19+'Job Sheet'!X19)*2),""))</f>
        <v/>
      </c>
      <c r="EV13" s="80" t="str">
        <f>IF(AND('Mitred Cutting'!E19="11mm",'Mitred Cutting'!D19="Pale Eucalypt",'Job Sheet'!P19&lt;&gt;""),(('Job Sheet'!W19+'Job Sheet'!X19)*2)+'Job Sheet'!AG19,IF(AND('Mitred Cutting'!E19="11mm",'Mitred Cutting'!D19="Pale Eucalypt"),(('Job Sheet'!W19+'Job Sheet'!X19)*2),""))</f>
        <v/>
      </c>
      <c r="EW13" s="80" t="str">
        <f>IF(AND('Mitred Cutting'!E19="11mm",'Mitred Cutting'!D19="Primrose",'Job Sheet'!P19&lt;&gt;""),(('Job Sheet'!W19+'Job Sheet'!X19)*2)+'Job Sheet'!AG19,IF(AND('Mitred Cutting'!E19="11mm",'Mitred Cutting'!D19="Primrose"),(('Job Sheet'!W19+'Job Sheet'!X19)*2),""))</f>
        <v/>
      </c>
      <c r="EX13" s="80" t="str">
        <f>IF(AND('Mitred Cutting'!E19="11mm",'Mitred Cutting'!D19="Ultra Silver",'Job Sheet'!P19&lt;&gt;""),(('Job Sheet'!W19+'Job Sheet'!X19)*2)+'Job Sheet'!AG19,IF(AND('Mitred Cutting'!E19="11mm",'Mitred Cutting'!D19="Ultra Silver"),(('Job Sheet'!W19+'Job Sheet'!X19)*2),""))</f>
        <v/>
      </c>
      <c r="EY13" s="80" t="str">
        <f>IF(AND('Mitred Cutting'!E19="11mm",'Mitred Cutting'!D19="Woodland Grey(Green Tone)",'Job Sheet'!P19&lt;&gt;""),(('Job Sheet'!W19+'Job Sheet'!X19)*2)+'Job Sheet'!AG19,IF(AND('Mitred Cutting'!E19="11mm",'Mitred Cutting'!D19="Woodland Grey(Green Tone)"),(('Job Sheet'!W19+'Job Sheet'!X19)*2),""))</f>
        <v/>
      </c>
      <c r="EZ13" s="80" t="str">
        <f>IF(AND('Mitred Cutting'!E19="11mm",'Mitred Cutting'!D19="Pearl White",'Job Sheet'!P19&lt;&gt;""),(('Job Sheet'!W19+'Job Sheet'!X19)*2)+'Job Sheet'!AG19,IF(AND('Mitred Cutting'!E19="11mm",'Mitred Cutting'!D19="Pearl White"),(('Job Sheet'!W19+'Job Sheet'!X19)*2),""))</f>
        <v/>
      </c>
      <c r="FA13" s="80" t="str">
        <f>IF(AND('Mitred Cutting'!E19="11mm",'Mitred Cutting'!D19="Monument",'Job Sheet'!P19&lt;&gt;""),(('Job Sheet'!W19+'Job Sheet'!X19)*2)+'Job Sheet'!AG19,IF(AND('Mitred Cutting'!E19="11mm",'Mitred Cutting'!D19="Monument"),(('Job Sheet'!W19+'Job Sheet'!X19)*2),""))</f>
        <v/>
      </c>
      <c r="FB13" s="80" t="str">
        <f>IF(AND('Mitred Cutting'!E19="11mm",'Mitred Cutting'!D19="Surfmist",'Job Sheet'!P19&lt;&gt;""),(('Job Sheet'!W19+'Job Sheet'!X19)*2)+'Job Sheet'!AG19,IF(AND('Mitred Cutting'!E19="11mm",'Mitred Cutting'!D19="Surfmist"),(('Job Sheet'!W19+'Job Sheet'!X19)*2),""))</f>
        <v/>
      </c>
      <c r="FC13" s="80" t="str">
        <f>IF(AND('Mitred Cutting'!E19="11mm",'Mitred Cutting'!D19="Dune",'Job Sheet'!P19&lt;&gt;""),(('Job Sheet'!W19+'Job Sheet'!X19)*2)+'Job Sheet'!AG19,IF(AND('Mitred Cutting'!E19="11mm",'Mitred Cutting'!D19="Dune"),(('Job Sheet'!W19+'Job Sheet'!X19)*2),""))</f>
        <v/>
      </c>
      <c r="FD13" s="80" t="str">
        <f>IF(AND('Mitred Cutting'!E19="11mm",'Mitred Cutting'!D19="Powdercoat",'Job Sheet'!P19&lt;&gt;""),(('Job Sheet'!W19+'Job Sheet'!X19)*2)+'Job Sheet'!AG19,IF(AND('Mitred Cutting'!E19="11mm",'Mitred Cutting'!D19="Powdercoat"),(('Job Sheet'!W19+'Job Sheet'!X19)*2),""))</f>
        <v/>
      </c>
      <c r="FE13" s="80"/>
      <c r="FF13" s="80"/>
      <c r="FG13" s="80"/>
      <c r="FH13" s="80"/>
      <c r="FI13" s="80"/>
      <c r="FJ13" s="80"/>
      <c r="FK13" s="80"/>
      <c r="FL13" s="80"/>
      <c r="FM13" s="80"/>
      <c r="FN13" s="80"/>
      <c r="FO13" s="80"/>
      <c r="FP13" s="80"/>
      <c r="FQ13" s="80"/>
      <c r="FR13" s="80"/>
      <c r="FS13" s="80"/>
      <c r="FT13" s="80"/>
      <c r="FU13" s="80"/>
      <c r="FV13" s="80"/>
      <c r="FW13" s="80"/>
      <c r="FX13" s="80"/>
      <c r="FY13" s="80"/>
      <c r="FZ13" s="80"/>
      <c r="GA13" s="80"/>
      <c r="GB13" s="80"/>
      <c r="GC13" s="80"/>
      <c r="GD13" s="80"/>
      <c r="GE13" s="80"/>
      <c r="GF13" s="80"/>
      <c r="GG13" s="80"/>
      <c r="GH13" s="80"/>
      <c r="GI13" s="80"/>
      <c r="GJ13" s="80"/>
      <c r="GK13" s="80"/>
      <c r="GL13" s="80"/>
      <c r="GM13" s="80"/>
      <c r="GN13" s="80"/>
      <c r="GO13" s="80"/>
      <c r="GP13" s="80"/>
      <c r="GQ13" s="80"/>
      <c r="GR13" s="80"/>
      <c r="GS13" s="80"/>
      <c r="GT13" s="80"/>
      <c r="GU13" s="80"/>
      <c r="GV13" s="80"/>
      <c r="GW13" s="80"/>
      <c r="GX13" s="80"/>
      <c r="GY13" s="80"/>
      <c r="GZ13" s="80"/>
      <c r="HA13" s="80"/>
      <c r="HB13" s="80"/>
      <c r="HC13" s="80"/>
      <c r="HD13" s="80"/>
      <c r="HE13" s="80"/>
      <c r="HF13" s="80"/>
      <c r="HG13" s="80"/>
      <c r="HH13" s="80"/>
      <c r="HI13" s="80"/>
      <c r="HJ13" s="80"/>
      <c r="HK13" s="80"/>
      <c r="HL13" s="80"/>
      <c r="HM13" s="80"/>
      <c r="HN13" s="80"/>
      <c r="HO13" s="80"/>
      <c r="HP13" s="80"/>
      <c r="HQ13" s="80"/>
      <c r="HR13" s="80"/>
      <c r="HS13" s="80"/>
      <c r="HT13" s="80"/>
      <c r="HU13" s="80"/>
      <c r="HV13" s="80"/>
      <c r="HW13" s="80"/>
      <c r="HX13" s="80"/>
      <c r="HY13" s="80"/>
      <c r="HZ13" s="80"/>
      <c r="IA13" s="80"/>
      <c r="IB13" s="80"/>
      <c r="IC13" s="80"/>
      <c r="ID13" s="80"/>
      <c r="IE13" s="80"/>
      <c r="IF13" s="80"/>
      <c r="IG13" s="80"/>
      <c r="IH13" s="80"/>
      <c r="II13" s="80"/>
      <c r="IJ13" s="80"/>
      <c r="IK13" s="80"/>
      <c r="IL13" s="80"/>
      <c r="IM13" s="80"/>
      <c r="IN13" s="80"/>
      <c r="IO13" s="80"/>
      <c r="IP13" s="80"/>
      <c r="IQ13" s="80"/>
      <c r="IR13" s="80"/>
      <c r="IS13" s="80"/>
      <c r="IT13" s="80"/>
      <c r="IU13" s="80"/>
      <c r="IV13" s="80"/>
      <c r="IW13" s="80"/>
      <c r="IX13" s="80"/>
      <c r="IY13" s="80"/>
      <c r="IZ13" s="80"/>
      <c r="JA13" s="80"/>
      <c r="JB13" s="80"/>
      <c r="JC13" s="80"/>
      <c r="JD13" s="80"/>
      <c r="JE13" s="80"/>
      <c r="JF13" s="80"/>
      <c r="JG13" s="80"/>
      <c r="JH13" s="80"/>
      <c r="JI13" s="80"/>
      <c r="JJ13" s="80"/>
      <c r="JK13" s="80"/>
      <c r="JL13" s="80"/>
      <c r="JM13" s="80"/>
      <c r="JN13" s="80"/>
      <c r="JO13" s="80"/>
      <c r="JP13" s="80"/>
      <c r="JQ13" s="80"/>
      <c r="JR13" s="80"/>
      <c r="JS13" s="80"/>
      <c r="JT13" s="80"/>
      <c r="JU13" s="80"/>
      <c r="JV13" s="80"/>
      <c r="JW13" s="80"/>
      <c r="JX13" s="80"/>
      <c r="JY13" s="80"/>
      <c r="JZ13" s="80"/>
      <c r="KA13" s="80"/>
      <c r="KB13" s="80"/>
      <c r="KC13" s="80"/>
      <c r="KD13" s="80"/>
      <c r="KE13" s="80"/>
      <c r="KF13" s="80"/>
      <c r="KG13" s="80"/>
      <c r="KH13" s="80"/>
      <c r="KI13" s="80"/>
      <c r="KJ13" s="80"/>
      <c r="KK13" s="80"/>
      <c r="KL13" s="80"/>
      <c r="KM13" s="80"/>
      <c r="KN13" s="80"/>
      <c r="KO13" s="80"/>
      <c r="KP13" s="80"/>
      <c r="KQ13" s="80"/>
      <c r="KR13" s="80"/>
      <c r="KS13" s="80"/>
      <c r="KT13" s="80"/>
      <c r="KU13" s="80"/>
      <c r="KV13" s="80"/>
      <c r="KW13" s="80"/>
      <c r="KX13" s="80"/>
      <c r="KY13" s="80"/>
      <c r="KZ13" s="80"/>
      <c r="LA13" s="80"/>
      <c r="LB13" s="80"/>
      <c r="LC13" s="80"/>
      <c r="LD13" s="80"/>
      <c r="LE13" s="80"/>
      <c r="LF13" s="80"/>
      <c r="LG13" s="80"/>
      <c r="LH13" s="80"/>
      <c r="LI13" s="80"/>
      <c r="LJ13" s="80"/>
      <c r="LK13" s="80"/>
      <c r="LL13" s="80"/>
      <c r="LM13" s="80"/>
      <c r="LN13" s="80"/>
      <c r="LO13" s="80"/>
      <c r="LP13" s="80"/>
      <c r="LQ13" s="80"/>
      <c r="LR13" s="80"/>
      <c r="LS13" s="80"/>
      <c r="LT13" s="80"/>
      <c r="LU13" s="80"/>
      <c r="LV13" s="80"/>
      <c r="LW13" s="80"/>
      <c r="LX13" s="80"/>
      <c r="LY13" s="80"/>
      <c r="LZ13" s="80"/>
      <c r="MA13" s="80"/>
      <c r="MB13" s="80"/>
      <c r="MC13" s="80"/>
      <c r="MD13" s="80"/>
      <c r="ME13" s="80"/>
      <c r="MF13" s="80"/>
      <c r="MG13" s="80"/>
      <c r="MH13" s="80"/>
      <c r="MI13" s="80"/>
      <c r="MJ13" s="80"/>
      <c r="MK13" s="81"/>
      <c r="ML13" s="81"/>
      <c r="MM13" s="81"/>
      <c r="MN13" s="81"/>
      <c r="MO13" s="81"/>
      <c r="MP13" s="81"/>
      <c r="MQ13" s="81"/>
      <c r="MR13" s="80" t="str">
        <f>IF(AND('Straight Cutting'!D19="Standard",'Straight Cutting'!E19="APO Grey",'Straight Cutting'!F19&lt;&gt;"",'Straight Cutting'!G19=""),'Straight Cutting'!F19,IF(AND('Straight Cutting'!D19="Standard",'Straight Cutting'!E19="APO Grey",'Straight Cutting'!F19="",'Straight Cutting'!G19&lt;&gt;""),'Straight Cutting'!G19,IF(AND('Straight Cutting'!D19="Standard",'Straight Cutting'!E19="APO Grey",'Straight Cutting'!F19&lt;&gt;"",'Straight Cutting'!G19&lt;&gt;""),'Straight Cutting'!F19+'Job Sheet'!AH19,"")))</f>
        <v/>
      </c>
      <c r="MS13" s="80" t="str">
        <f>IF(AND('Straight Cutting'!D19="Standard",'Straight Cutting'!E19="White Birch",'Straight Cutting'!F19&lt;&gt;"",'Straight Cutting'!G19=""),'Straight Cutting'!F19,IF(AND('Straight Cutting'!D19="Standard",'Straight Cutting'!E19="White Birch",'Straight Cutting'!F19="",'Straight Cutting'!G19&lt;&gt;""),'Straight Cutting'!G19,IF(AND('Straight Cutting'!D19="Standard",'Straight Cutting'!E19="White Birch",'Straight Cutting'!F19&lt;&gt;"",'Straight Cutting'!G19&lt;&gt;""),'Straight Cutting'!F19+'Job Sheet'!AH19,"")))</f>
        <v/>
      </c>
      <c r="MT13" s="80" t="str">
        <f>IF(AND('Straight Cutting'!D19="Standard",'Straight Cutting'!E19="Black",'Straight Cutting'!F19&lt;&gt;"",'Straight Cutting'!G19=""),'Straight Cutting'!F19,IF(AND('Straight Cutting'!D19="Standard",'Straight Cutting'!E19="Black",'Straight Cutting'!F19="",'Straight Cutting'!G19&lt;&gt;""),'Straight Cutting'!G19,IF(AND('Straight Cutting'!D19="Standard",'Straight Cutting'!E19="Black",'Straight Cutting'!F19&lt;&gt;"",'Straight Cutting'!G19&lt;&gt;""),'Straight Cutting'!F19+'Job Sheet'!AH19,"")))</f>
        <v/>
      </c>
      <c r="MU13" s="80" t="str">
        <f>IF(AND('Straight Cutting'!D19="Standard",'Straight Cutting'!E19="Brown",'Straight Cutting'!F19&lt;&gt;"",'Straight Cutting'!G19=""),'Straight Cutting'!F19,IF(AND('Straight Cutting'!D19="Standard",'Straight Cutting'!E19="Brown",'Straight Cutting'!F19="",'Straight Cutting'!G19&lt;&gt;""),'Straight Cutting'!G19,IF(AND('Straight Cutting'!D19="Standard",'Straight Cutting'!E19="Brown",'Straight Cutting'!F19&lt;&gt;"",'Straight Cutting'!G19&lt;&gt;""),'Straight Cutting'!F19+'Job Sheet'!AH19,"")))</f>
        <v/>
      </c>
      <c r="MV13" s="80" t="str">
        <f>IF(AND('Straight Cutting'!D19="Standard",'Straight Cutting'!E19="Deep Ocean",'Straight Cutting'!F19&lt;&gt;"",'Straight Cutting'!G19=""),'Straight Cutting'!F19,IF(AND('Straight Cutting'!D19="Standard",'Straight Cutting'!E19="Deep Ocean",'Straight Cutting'!F19="",'Straight Cutting'!G19&lt;&gt;""),'Straight Cutting'!G19,IF(AND('Straight Cutting'!D19="Standard",'Straight Cutting'!E19="Deep Ocean",'Straight Cutting'!F19&lt;&gt;"",'Straight Cutting'!G19&lt;&gt;""),'Straight Cutting'!F19+'Job Sheet'!AH19,"")))</f>
        <v/>
      </c>
      <c r="MW13" s="80" t="str">
        <f>IF(AND('Straight Cutting'!D19="Standard",'Straight Cutting'!E19="Jasper",'Straight Cutting'!F19&lt;&gt;"",'Straight Cutting'!G19=""),'Straight Cutting'!F19,IF(AND('Straight Cutting'!D19="Standard",'Straight Cutting'!E19="Jasper",'Straight Cutting'!F19="",'Straight Cutting'!G19&lt;&gt;""),'Straight Cutting'!G19,IF(AND('Straight Cutting'!D19="Standard",'Straight Cutting'!E19="Jasper",'Straight Cutting'!F19&lt;&gt;"",'Straight Cutting'!G19&lt;&gt;""),'Straight Cutting'!F19+'Job Sheet'!AH19,"")))</f>
        <v/>
      </c>
      <c r="MX13" s="80" t="str">
        <f>IF(AND('Straight Cutting'!D19="Standard",'Straight Cutting'!E19="Paperbark",'Straight Cutting'!F19&lt;&gt;"",'Straight Cutting'!G19=""),'Straight Cutting'!F19,IF(AND('Straight Cutting'!D19="Standard",'Straight Cutting'!E19="Paperbark",'Straight Cutting'!F19="",'Straight Cutting'!G19&lt;&gt;""),'Straight Cutting'!G19,IF(AND('Straight Cutting'!D19="Standard",'Straight Cutting'!E19="Paperbark",'Straight Cutting'!F19&lt;&gt;"",'Straight Cutting'!G19&lt;&gt;""),'Straight Cutting'!F19+'Job Sheet'!AH19,"")))</f>
        <v/>
      </c>
      <c r="MY13" s="80" t="str">
        <f>IF(AND('Straight Cutting'!D19="Standard",'Straight Cutting'!E19="Mist Green",'Straight Cutting'!F19&lt;&gt;"",'Straight Cutting'!G19=""),'Straight Cutting'!F19,IF(AND('Straight Cutting'!D19="Standard",'Straight Cutting'!E19="Mist Green",'Straight Cutting'!F19="",'Straight Cutting'!G19&lt;&gt;""),'Straight Cutting'!G19,IF(AND('Straight Cutting'!D19="Standard",'Straight Cutting'!E19="Mist Green",'Straight Cutting'!F19&lt;&gt;"",'Straight Cutting'!G19&lt;&gt;""),'Straight Cutting'!F19+'Job Sheet'!AH19,"")))</f>
        <v/>
      </c>
      <c r="MZ13" s="80" t="str">
        <f>IF(AND('Straight Cutting'!D19="Standard",'Straight Cutting'!E19="Primrose",'Straight Cutting'!F19&lt;&gt;"",'Straight Cutting'!G19=""),'Straight Cutting'!F19,IF(AND('Straight Cutting'!D19="Standard",'Straight Cutting'!E19="Primrose",'Straight Cutting'!F19="",'Straight Cutting'!G19&lt;&gt;""),'Straight Cutting'!G19,IF(AND('Straight Cutting'!D19="Standard",'Straight Cutting'!E19="Primrose",'Straight Cutting'!F19&lt;&gt;"",'Straight Cutting'!G19&lt;&gt;""),'Straight Cutting'!F19+'Job Sheet'!AH19,"")))</f>
        <v/>
      </c>
      <c r="NA13" s="80" t="str">
        <f>IF(AND('Straight Cutting'!D19="Standard",'Straight Cutting'!E19="Ultra Silver",'Straight Cutting'!F19&lt;&gt;"",'Straight Cutting'!G19=""),'Straight Cutting'!F19,IF(AND('Straight Cutting'!D19="Standard",'Straight Cutting'!E19="Ultra Silver",'Straight Cutting'!F19="",'Straight Cutting'!G19&lt;&gt;""),'Straight Cutting'!G19,IF(AND('Straight Cutting'!D19="Standard",'Straight Cutting'!E19="Ultra Silver",'Straight Cutting'!F19&lt;&gt;"",'Straight Cutting'!G19&lt;&gt;""),'Straight Cutting'!F19+'Job Sheet'!AH19,"")))</f>
        <v/>
      </c>
      <c r="NB13" s="80" t="str">
        <f>IF(AND('Straight Cutting'!D19="Standard",'Straight Cutting'!E19="Woodland Grey(Green Tone)",'Straight Cutting'!F19&lt;&gt;"",'Straight Cutting'!G19=""),'Straight Cutting'!F19,IF(AND('Straight Cutting'!D19="Standard",'Straight Cutting'!E19="Woodland Grey(Green Tone)",'Straight Cutting'!F19="",'Straight Cutting'!G19&lt;&gt;""),'Straight Cutting'!G19,IF(AND('Straight Cutting'!D19="Standard",'Straight Cutting'!E19="Woodland Grey(Green Tone)",'Straight Cutting'!F19&lt;&gt;"",'Straight Cutting'!G19&lt;&gt;""),'Straight Cutting'!F19+'Job Sheet'!AH19,"")))</f>
        <v/>
      </c>
      <c r="NC13" s="80" t="str">
        <f>IF(AND('Straight Cutting'!D19="Standard",'Straight Cutting'!E19="Pearl White",'Straight Cutting'!F19&lt;&gt;"",'Straight Cutting'!G19=""),'Straight Cutting'!F19,IF(AND('Straight Cutting'!D19="Standard",'Straight Cutting'!E19="Pearl White",'Straight Cutting'!F19="",'Straight Cutting'!G19&lt;&gt;""),'Straight Cutting'!G19,IF(AND('Straight Cutting'!D19="Standard",'Straight Cutting'!E19="Pearl White",'Straight Cutting'!F19&lt;&gt;"",'Straight Cutting'!G19&lt;&gt;""),'Straight Cutting'!F19+'Job Sheet'!AH19,"")))</f>
        <v/>
      </c>
      <c r="ND13" s="80" t="str">
        <f>IF(AND('Straight Cutting'!D19="Standard",'Straight Cutting'!E19="Monument",'Straight Cutting'!F19&lt;&gt;"",'Straight Cutting'!G19=""),'Straight Cutting'!F19,IF(AND('Straight Cutting'!D19="Standard",'Straight Cutting'!E19="Monument",'Straight Cutting'!F19="",'Straight Cutting'!G19&lt;&gt;""),'Straight Cutting'!G19,IF(AND('Straight Cutting'!D19="Standard",'Straight Cutting'!E19="Monument",'Straight Cutting'!F19&lt;&gt;"",'Straight Cutting'!G19&lt;&gt;""),'Straight Cutting'!F19+'Job Sheet'!AH19,"")))</f>
        <v/>
      </c>
      <c r="NE13" s="80" t="str">
        <f>IF(AND('Straight Cutting'!D19="Standard",'Straight Cutting'!E19="Surfmist",'Straight Cutting'!F19&lt;&gt;"",'Straight Cutting'!G19=""),'Straight Cutting'!F19,IF(AND('Straight Cutting'!D19="Standard",'Straight Cutting'!E19="Surfmist",'Straight Cutting'!F19="",'Straight Cutting'!G19&lt;&gt;""),'Straight Cutting'!G19,IF(AND('Straight Cutting'!D19="Standard",'Straight Cutting'!E19="Surfmist",'Straight Cutting'!F19&lt;&gt;"",'Straight Cutting'!G19&lt;&gt;""),'Straight Cutting'!F19+'Job Sheet'!AH19,"")))</f>
        <v/>
      </c>
      <c r="NF13" s="80" t="str">
        <f>IF(AND('Straight Cutting'!D19="Standard",'Straight Cutting'!E19="Dune",'Straight Cutting'!F19&lt;&gt;"",'Straight Cutting'!G19=""),'Straight Cutting'!F19,IF(AND('Straight Cutting'!D19="Standard",'Straight Cutting'!E19="Dune",'Straight Cutting'!F19="",'Straight Cutting'!G19&lt;&gt;""),'Straight Cutting'!G19,IF(AND('Straight Cutting'!D19="Standard",'Straight Cutting'!E19="Dune",'Straight Cutting'!F19&lt;&gt;"",'Straight Cutting'!G19&lt;&gt;""),'Straight Cutting'!F19+'Job Sheet'!AH19,"")))</f>
        <v/>
      </c>
      <c r="NG13" s="80" t="str">
        <f>IF(AND('Straight Cutting'!D19="Standard",'Straight Cutting'!E19="Powdercoat",'Straight Cutting'!F19&lt;&gt;"",'Straight Cutting'!G19=""),'Straight Cutting'!F19,IF(AND('Straight Cutting'!D19="Standard",'Straight Cutting'!E19="Powdercoat",'Straight Cutting'!F19="",'Straight Cutting'!G19&lt;&gt;""),'Straight Cutting'!G19,IF(AND('Straight Cutting'!D19="Standard",'Straight Cutting'!E19="Powdercoat",'Straight Cutting'!F19&lt;&gt;"",'Straight Cutting'!G19&lt;&gt;""),'Straight Cutting'!F19+'Job Sheet'!AH19,"")))</f>
        <v/>
      </c>
      <c r="NH13" s="80" t="str">
        <f>IF(AND('Straight Cutting'!D19="Invisi-Gard",'Straight Cutting'!E19="APO Grey",'Straight Cutting'!F19&lt;&gt;"",'Straight Cutting'!G19=""),'Straight Cutting'!F19,IF(AND('Straight Cutting'!D19="Invisi-Gard",'Straight Cutting'!E19="APO Grey",'Straight Cutting'!F19="",'Straight Cutting'!G19&lt;&gt;""),'Straight Cutting'!G19,IF(AND('Straight Cutting'!D19="Invisi-Gard",'Straight Cutting'!E19="APO Grey",'Straight Cutting'!F19&lt;&gt;"",'Straight Cutting'!G19&lt;&gt;""),'Straight Cutting'!F19+'Job Sheet'!AH19,"")))</f>
        <v/>
      </c>
      <c r="NI13" s="80" t="str">
        <f>IF(AND('Straight Cutting'!D19="Invisi-Gard",'Straight Cutting'!E19="White Birch",'Straight Cutting'!F19&lt;&gt;"",'Straight Cutting'!G19=""),'Straight Cutting'!F19,IF(AND('Straight Cutting'!D19="Invisi-Gard",'Straight Cutting'!E19="White Birch",'Straight Cutting'!F19="",'Straight Cutting'!G19&lt;&gt;""),'Straight Cutting'!G19,IF(AND('Straight Cutting'!D19="Invisi-Gard",'Straight Cutting'!E19="White Birch",'Straight Cutting'!F19&lt;&gt;"",'Straight Cutting'!G19&lt;&gt;""),'Straight Cutting'!F19+'Job Sheet'!AH19,"")))</f>
        <v/>
      </c>
      <c r="NJ13" s="80" t="str">
        <f>IF(AND('Straight Cutting'!D19="Invisi-Gard",'Straight Cutting'!E19="Black",'Straight Cutting'!F19&lt;&gt;"",'Straight Cutting'!G19=""),'Straight Cutting'!F19,IF(AND('Straight Cutting'!D19="Invisi-Gard",'Straight Cutting'!E19="Black",'Straight Cutting'!F19="",'Straight Cutting'!G19&lt;&gt;""),'Straight Cutting'!G19,IF(AND('Straight Cutting'!D19="Invisi-Gard",'Straight Cutting'!E19="Black",'Straight Cutting'!F19&lt;&gt;"",'Straight Cutting'!G19&lt;&gt;""),'Straight Cutting'!F19+'Job Sheet'!AH19,"")))</f>
        <v/>
      </c>
      <c r="NK13" s="80" t="str">
        <f>IF(AND('Straight Cutting'!D19="Invisi-Gard",'Straight Cutting'!E19="Brown",'Straight Cutting'!F19&lt;&gt;"",'Straight Cutting'!G19=""),'Straight Cutting'!F19,IF(AND('Straight Cutting'!D19="Invisi-Gard",'Straight Cutting'!E19="Brown",'Straight Cutting'!F19="",'Straight Cutting'!G19&lt;&gt;""),'Straight Cutting'!G19,IF(AND('Straight Cutting'!D19="Invisi-Gard",'Straight Cutting'!E19="Brown",'Straight Cutting'!F19&lt;&gt;"",'Straight Cutting'!G19&lt;&gt;""),'Straight Cutting'!F19+'Job Sheet'!AH19,"")))</f>
        <v/>
      </c>
      <c r="NL13" s="80" t="str">
        <f>IF(AND('Straight Cutting'!D19="Invisi-Gard",'Straight Cutting'!E19="Deep Ocean",'Straight Cutting'!F19&lt;&gt;"",'Straight Cutting'!G19=""),'Straight Cutting'!F19,IF(AND('Straight Cutting'!D19="Invisi-Gard",'Straight Cutting'!E19="Deep Ocean",'Straight Cutting'!F19="",'Straight Cutting'!G19&lt;&gt;""),'Straight Cutting'!G19,IF(AND('Straight Cutting'!D19="Invisi-Gard",'Straight Cutting'!E19="Deep Ocean",'Straight Cutting'!F19&lt;&gt;"",'Straight Cutting'!G19&lt;&gt;""),'Straight Cutting'!F19+'Job Sheet'!AH19,"")))</f>
        <v/>
      </c>
      <c r="NM13" s="80" t="str">
        <f>IF(AND('Straight Cutting'!D19="Invisi-Gard",'Straight Cutting'!E19="Jasper",'Straight Cutting'!F19&lt;&gt;"",'Straight Cutting'!G19=""),'Straight Cutting'!F19,IF(AND('Straight Cutting'!D19="Invisi-Gard",'Straight Cutting'!E19="Jasper",'Straight Cutting'!F19="",'Straight Cutting'!G19&lt;&gt;""),'Straight Cutting'!G19,IF(AND('Straight Cutting'!D19="Invisi-Gard",'Straight Cutting'!E19="Jasper",'Straight Cutting'!F19&lt;&gt;"",'Straight Cutting'!G19&lt;&gt;""),'Straight Cutting'!F19+'Job Sheet'!AH19,"")))</f>
        <v/>
      </c>
      <c r="NN13" s="80" t="str">
        <f>IF(AND('Straight Cutting'!D19="Invisi-Gard",'Straight Cutting'!E19="Paperbark",'Straight Cutting'!F19&lt;&gt;"",'Straight Cutting'!G19=""),'Straight Cutting'!F19,IF(AND('Straight Cutting'!D19="Invisi-Gard",'Straight Cutting'!E19="Paperbark",'Straight Cutting'!F19="",'Straight Cutting'!G19&lt;&gt;""),'Straight Cutting'!G19,IF(AND('Straight Cutting'!D19="Invisi-Gard",'Straight Cutting'!E19="Paperbark",'Straight Cutting'!F19&lt;&gt;"",'Straight Cutting'!G19&lt;&gt;""),'Straight Cutting'!F19+'Job Sheet'!AH19,"")))</f>
        <v/>
      </c>
      <c r="NO13" s="80" t="str">
        <f>IF(AND('Straight Cutting'!D19="Invisi-Gard",'Straight Cutting'!E19="Mist Green",'Straight Cutting'!F19&lt;&gt;"",'Straight Cutting'!G19=""),'Straight Cutting'!F19,IF(AND('Straight Cutting'!D19="Invisi-Gard",'Straight Cutting'!E19="Mist Green",'Straight Cutting'!F19="",'Straight Cutting'!G19&lt;&gt;""),'Straight Cutting'!G19,IF(AND('Straight Cutting'!D19="Invisi-Gard",'Straight Cutting'!E19="Mist Green",'Straight Cutting'!F19&lt;&gt;"",'Straight Cutting'!G19&lt;&gt;""),'Straight Cutting'!F19+'Job Sheet'!AH19,"")))</f>
        <v/>
      </c>
      <c r="NP13" s="80" t="str">
        <f>IF(AND('Straight Cutting'!D19="Invisi-Gard",'Straight Cutting'!E19="Primrose",'Straight Cutting'!F19&lt;&gt;"",'Straight Cutting'!G19=""),'Straight Cutting'!F19,IF(AND('Straight Cutting'!D19="Invisi-Gard",'Straight Cutting'!E19="Primrose",'Straight Cutting'!F19="",'Straight Cutting'!G19&lt;&gt;""),'Straight Cutting'!G19,IF(AND('Straight Cutting'!D19="Invisi-Gard",'Straight Cutting'!E19="Primrose",'Straight Cutting'!F19&lt;&gt;"",'Straight Cutting'!G19&lt;&gt;""),'Straight Cutting'!F19+'Job Sheet'!AH19,"")))</f>
        <v/>
      </c>
      <c r="NQ13" s="80" t="str">
        <f>IF(AND('Straight Cutting'!D19="Invisi-Gard",'Straight Cutting'!E19="Ultra Silver",'Straight Cutting'!F19&lt;&gt;"",'Straight Cutting'!G19=""),'Straight Cutting'!F19,IF(AND('Straight Cutting'!D19="Invisi-Gard",'Straight Cutting'!E19="Ultra Silver",'Straight Cutting'!F19="",'Straight Cutting'!G19&lt;&gt;""),'Straight Cutting'!G19,IF(AND('Straight Cutting'!D19="Invisi-Gard",'Straight Cutting'!E19="Ultra Silver",'Straight Cutting'!F19&lt;&gt;"",'Straight Cutting'!G19&lt;&gt;""),'Straight Cutting'!F19+'Job Sheet'!AH19,"")))</f>
        <v/>
      </c>
      <c r="NR13" s="80" t="str">
        <f>IF(AND('Straight Cutting'!D19="Invisi-Gard",'Straight Cutting'!E19="Woodland Grey(Green Tone)",'Straight Cutting'!F19&lt;&gt;"",'Straight Cutting'!G19=""),'Straight Cutting'!F19,IF(AND('Straight Cutting'!D19="Invisi-Gard",'Straight Cutting'!E19="Woodland Grey(Green Tone)",'Straight Cutting'!F19="",'Straight Cutting'!G19&lt;&gt;""),'Straight Cutting'!G19,IF(AND('Straight Cutting'!D19="Invisi-Gard",'Straight Cutting'!E19="Woodland Grey(Green Tone)",'Straight Cutting'!F19&lt;&gt;"",'Straight Cutting'!G19&lt;&gt;""),'Straight Cutting'!F19+'Job Sheet'!AH19,"")))</f>
        <v/>
      </c>
      <c r="NS13" s="80" t="str">
        <f>IF(AND('Straight Cutting'!D19="Invisi-Gard",'Straight Cutting'!E19="Pearl White",'Straight Cutting'!F19&lt;&gt;"",'Straight Cutting'!G19=""),'Straight Cutting'!F19,IF(AND('Straight Cutting'!D19="Invisi-Gard",'Straight Cutting'!E19="Pearl White",'Straight Cutting'!F19="",'Straight Cutting'!G19&lt;&gt;""),'Straight Cutting'!G19,IF(AND('Straight Cutting'!D19="Invisi-Gard",'Straight Cutting'!E19="Pearl White",'Straight Cutting'!F19&lt;&gt;"",'Straight Cutting'!G19&lt;&gt;""),'Straight Cutting'!F19+'Job Sheet'!AH19,"")))</f>
        <v/>
      </c>
      <c r="NT13" s="80" t="str">
        <f>IF(AND('Straight Cutting'!D19="Invisi-Gard",'Straight Cutting'!E19="Monument",'Straight Cutting'!F19&lt;&gt;"",'Straight Cutting'!G19=""),'Straight Cutting'!F19,IF(AND('Straight Cutting'!D19="Invisi-Gard",'Straight Cutting'!E19="Monument",'Straight Cutting'!F19="",'Straight Cutting'!G19&lt;&gt;""),'Straight Cutting'!G19,IF(AND('Straight Cutting'!D19="Invisi-Gard",'Straight Cutting'!E19="Monument",'Straight Cutting'!F19&lt;&gt;"",'Straight Cutting'!G19&lt;&gt;""),'Straight Cutting'!F19+'Job Sheet'!AH19,"")))</f>
        <v/>
      </c>
      <c r="NU13" s="80" t="str">
        <f>IF(AND('Straight Cutting'!D19="Invisi-Gard",'Straight Cutting'!E19="Surfmist",'Straight Cutting'!F19&lt;&gt;"",'Straight Cutting'!G19=""),'Straight Cutting'!F19,IF(AND('Straight Cutting'!D19="Invisi-Gard",'Straight Cutting'!E19="Surfmist",'Straight Cutting'!F19="",'Straight Cutting'!G19&lt;&gt;""),'Straight Cutting'!G19,IF(AND('Straight Cutting'!D19="Invisi-Gard",'Straight Cutting'!E19="Surfmist",'Straight Cutting'!F19&lt;&gt;"",'Straight Cutting'!G19&lt;&gt;""),'Straight Cutting'!F19+'Job Sheet'!AH19,"")))</f>
        <v/>
      </c>
      <c r="NV13" s="80" t="str">
        <f>IF(AND('Straight Cutting'!D19="Invisi-Gard",'Straight Cutting'!E19="Dune",'Straight Cutting'!F19&lt;&gt;"",'Straight Cutting'!G19=""),'Straight Cutting'!F19,IF(AND('Straight Cutting'!D19="Invisi-Gard",'Straight Cutting'!E19="Dune",'Straight Cutting'!F19="",'Straight Cutting'!G19&lt;&gt;""),'Straight Cutting'!G19,IF(AND('Straight Cutting'!D19="Invisi-Gard",'Straight Cutting'!E19="Dune",'Straight Cutting'!F19&lt;&gt;"",'Straight Cutting'!G19&lt;&gt;""),'Straight Cutting'!F19+'Job Sheet'!AH19,"")))</f>
        <v/>
      </c>
      <c r="NW13" s="80" t="str">
        <f>IF(AND('Straight Cutting'!D19="Invisi-Gard",'Straight Cutting'!E19="Powdercoat",'Straight Cutting'!F19&lt;&gt;"",'Straight Cutting'!G19=""),'Straight Cutting'!F19,IF(AND('Straight Cutting'!D19="Invisi-Gard",'Straight Cutting'!E19="Powdercoat",'Straight Cutting'!F19="",'Straight Cutting'!G19&lt;&gt;""),'Straight Cutting'!G19,IF(AND('Straight Cutting'!D19="Invisi-Gard",'Straight Cutting'!E19="Powdercoat",'Straight Cutting'!F19&lt;&gt;"",'Straight Cutting'!G19&lt;&gt;""),'Straight Cutting'!F19+'Job Sheet'!AH19,"")))</f>
        <v/>
      </c>
      <c r="NX13" s="80" t="str">
        <f>IF(AND('Job Sheet'!O19="Yes",'Mitred Cutting'!D19="APO Grey"),'Straight Cutting'!I19,"")</f>
        <v/>
      </c>
      <c r="NY13" s="80" t="str">
        <f>IF(AND('Job Sheet'!O19="Yes",'Mitred Cutting'!D19="White Birch"),'Straight Cutting'!I19,"")</f>
        <v/>
      </c>
      <c r="NZ13" s="80" t="str">
        <f>IF(AND('Job Sheet'!O19="Yes",'Mitred Cutting'!D19="Black"),'Straight Cutting'!I19,"")</f>
        <v/>
      </c>
      <c r="OA13" s="80" t="str">
        <f>IF(AND('Job Sheet'!O19="Yes",'Mitred Cutting'!D19="Brown"),'Straight Cutting'!I19,"")</f>
        <v/>
      </c>
      <c r="OB13" s="80" t="str">
        <f>IF(AND('Job Sheet'!O19="Yes",'Mitred Cutting'!D19="Deep Ocean"),'Straight Cutting'!I19,"")</f>
        <v/>
      </c>
      <c r="OC13" s="80" t="str">
        <f>IF(AND('Job Sheet'!O19="Yes",'Mitred Cutting'!D19="Jasper"),'Straight Cutting'!I19,"")</f>
        <v/>
      </c>
      <c r="OD13" s="80" t="str">
        <f>IF(AND('Job Sheet'!O19="Yes",'Mitred Cutting'!D19="Paperbark"),'Straight Cutting'!I19,"")</f>
        <v/>
      </c>
      <c r="OE13" s="80" t="str">
        <f>IF(AND('Job Sheet'!O19="Yes",'Mitred Cutting'!D19="Mist Green"),'Straight Cutting'!I19,"")</f>
        <v/>
      </c>
      <c r="OF13" s="80" t="str">
        <f>IF(AND('Job Sheet'!O19="Yes",'Mitred Cutting'!D19="Primrose"),'Straight Cutting'!I19,"")</f>
        <v/>
      </c>
      <c r="OG13" s="80" t="str">
        <f>IF(AND('Job Sheet'!O19="Yes",'Mitred Cutting'!D19="Ultra Silver"),'Straight Cutting'!I19,"")</f>
        <v/>
      </c>
      <c r="OH13" s="80" t="str">
        <f>IF(AND('Job Sheet'!O19="Yes",'Mitred Cutting'!D19="Woodland Grey(Green Tone)"),'Straight Cutting'!I19,"")</f>
        <v/>
      </c>
      <c r="OI13" s="80" t="str">
        <f>IF(AND('Job Sheet'!O19="Yes",'Mitred Cutting'!D19="Pearl White"),'Straight Cutting'!I19,"")</f>
        <v/>
      </c>
      <c r="OJ13" s="80" t="str">
        <f>IF(AND('Job Sheet'!O19="Yes",'Mitred Cutting'!D19="Monument"),'Straight Cutting'!I19,"")</f>
        <v/>
      </c>
      <c r="OK13" s="80" t="str">
        <f>IF(AND('Job Sheet'!O19="Yes",'Mitred Cutting'!D19="Surfmist"),'Straight Cutting'!I19,"")</f>
        <v/>
      </c>
      <c r="OL13" s="80" t="str">
        <f>IF(AND('Job Sheet'!O19="Yes",'Mitred Cutting'!D19="Dune"),'Straight Cutting'!I19,"")</f>
        <v/>
      </c>
      <c r="OM13" s="80" t="str">
        <f>IF(AND('Job Sheet'!O19="Yes",'Mitred Cutting'!D19="Powdercoat"),'Straight Cutting'!I19,"")</f>
        <v/>
      </c>
      <c r="ON13" s="81" t="str">
        <f>IF(OR(Data!AW19="",'Job Sheet'!L19="37mm x 11mm",'Job Sheet'!L19="9mm",'Job Sheet'!L19="11mm"),"",IF(VLOOKUP(CONCATENATE(Data!BO19,'Job Sheet'!J19),DoorType,4,FALSE)="Yes",(('Job Sheet'!W19-98)*2+('Job Sheet'!X19-96)*2)/2700,""))</f>
        <v/>
      </c>
      <c r="OO13" s="81" t="str">
        <f>IF(Data!AW19="","",IF('Mitred Cutting'!G19="1.6mm",(('Job Sheet'!W19-114)*2+('Job Sheet'!X19-114)*2)/3100,""))</f>
        <v/>
      </c>
      <c r="OP13" s="81" t="str">
        <f>IF(Data!AW19="","",IF('Mitred Cutting'!G19="2mm",(('Job Sheet'!W19-114)*2+('Job Sheet'!X19-114)*2)/3100,""))</f>
        <v/>
      </c>
      <c r="OQ13" s="52" t="str">
        <f>IF(OR(Data!AW19="",Data!BN19="Invisi-Scape",'Job Sheet'!AC19=""),"",IF(OR('Job Sheet'!P19="Yes - Centre Horizontal",'Job Sheet'!P19="Yes - Centre Vertical"),('Job Sheet'!AC19*4+'Job Sheet'!AE19*4)/4000,IF('Job Sheet'!P19="Yes - Horizontal",('Job Sheet'!AC19*4+'Job Sheet'!AE19*2+'Job Sheet'!AF19*2)/4000,IF('Job Sheet'!P19="Yes - Vertical",('Job Sheet'!AC19*2+'Job Sheet'!AE19*4)/4000,IF('Job Sheet'!P19="",('Job Sheet'!AC19*2+'Job Sheet'!AE19*2)/4000,IF('Job Sheet'!P19="Yes - Horizontal &amp; Vertical",('Job Sheet'!AC19*4+'Job Sheet'!AD19*4+'Job Sheet'!AE19*4+'Job Sheet'!AF19*4)/4000,IF('Job Sheet'!P19="Yes - Centre Horizontal &amp; Vertical",('Job Sheet'!AC19*8+'Job Sheet'!AE19*8)/4000,"")))))))</f>
        <v/>
      </c>
      <c r="OR13" s="52" t="str">
        <f t="shared" si="1"/>
        <v/>
      </c>
      <c r="OS13" s="52" t="str">
        <f t="shared" si="2"/>
        <v/>
      </c>
      <c r="OT13" s="80"/>
      <c r="OU13" s="80" t="str">
        <f>IF(Data!AW19="","",IF(OR('Job Sheet'!J19="Fibreglass Mesh",'Job Sheet'!J19="Pet Mesh",'Job Sheet'!J19="DVA Mesh",'Job Sheet'!J19="Tuff Mesh",'Job Sheet'!J19="Alu-screen",Data!BO19="Fibreglass Mesh",Data!BO19="Pet Mesh",Data!BO19="DVA Mesh",Data!BO19="Tuff Mesh",Data!BO19="Alu-screen"),(('Job Sheet'!W19-98)*2+('Job Sheet'!X19-96)*2),""))</f>
        <v/>
      </c>
      <c r="OV13" s="80"/>
      <c r="OW13" s="80"/>
      <c r="OX13" s="80"/>
      <c r="OY13" s="80"/>
      <c r="OZ13" s="80"/>
      <c r="PA13" s="80"/>
      <c r="PB13" s="80"/>
      <c r="PC13" s="80"/>
      <c r="PD13" s="80" t="str">
        <f>IF(OR('Mitred Cutting'!E19="70mm x 20mm",'Mitred Cutting'!E19="Invisi-Gard 70mm x 20mm"),4,"")</f>
        <v/>
      </c>
      <c r="PE13" s="80" t="str">
        <f>IF('Mitred Cutting'!E19="37mm x 11mm",4,"")</f>
        <v/>
      </c>
      <c r="PF13" s="80" t="str">
        <f>IF('Mitred Cutting'!E19="Invisi-Gard 37mm x 9mm",4,"")</f>
        <v/>
      </c>
      <c r="PG13" s="80" t="str">
        <f>IF('Mitred Cutting'!E19="Invisi-Gard 37mm x 11mm",4,"")</f>
        <v/>
      </c>
      <c r="PH13" s="80" t="str">
        <f>IF('Mitred Cutting'!E19="9mm",4,"")</f>
        <v/>
      </c>
      <c r="PI13" s="80" t="str">
        <f>IF('Mitred Cutting'!E19="11mm",4,"")</f>
        <v/>
      </c>
      <c r="PJ13" s="80"/>
      <c r="PK13" s="80" t="str">
        <f>IF(OR('Job Sheet'!N19="Yes - Front of Frame",'Job Sheet'!N19="Yes - Back of Frame"),1,"")</f>
        <v/>
      </c>
      <c r="PL13" s="80" t="str">
        <f>IF('Job Sheet'!M19="Swivel Clips Extended x 2",2,IF('Job Sheet'!M19="Swivel Clips Extended x 4",4,IF('Job Sheet'!M19="Swivel Clips Extended x 6",6,"")))</f>
        <v/>
      </c>
      <c r="PM13" s="80" t="str">
        <f>IF('Job Sheet'!M19="Swivel Clips Flush x 2",2,IF('Job Sheet'!M19="Swivel Clips Flush x 4",4,IF('Job Sheet'!M19="Swivel Clips Flush x 6",6,"")))</f>
        <v/>
      </c>
      <c r="PN13" s="80" t="str">
        <f>IF('Job Sheet'!M19="Plunger Pins x 2",2,IF('Job Sheet'!M19="Plunger Pins x 4",4,IF('Job Sheet'!M19="Plunger Pins x 6",6,"")))</f>
        <v/>
      </c>
      <c r="PO13" s="80"/>
      <c r="PP13" s="80"/>
      <c r="PQ13" s="80"/>
      <c r="PR13" s="80"/>
      <c r="PS13" s="80"/>
      <c r="PT13" s="80"/>
      <c r="PU13" s="80"/>
      <c r="PV13" s="80"/>
      <c r="PW13" s="80"/>
      <c r="PX13" s="80"/>
      <c r="PY13" s="80"/>
      <c r="PZ13" s="80"/>
      <c r="QA13" s="80"/>
      <c r="QB13" s="80"/>
      <c r="QC13" s="80"/>
      <c r="QD13" s="80"/>
      <c r="QE13" s="80"/>
      <c r="QF13" s="80"/>
      <c r="QG13" s="80"/>
      <c r="QH13" s="80"/>
      <c r="QI13" s="80"/>
      <c r="QJ13" s="80"/>
      <c r="QK13" s="80"/>
      <c r="QL13" s="80"/>
      <c r="QM13" s="80"/>
      <c r="QN13" s="80"/>
      <c r="QO13" s="80"/>
      <c r="QP13" s="80"/>
      <c r="QQ13" s="80"/>
      <c r="QR13" s="80"/>
      <c r="QS13" s="80"/>
      <c r="QT13" s="80"/>
      <c r="QU13" s="80"/>
      <c r="QV13" s="80"/>
      <c r="QW13" s="80"/>
      <c r="QX13" s="80"/>
      <c r="QY13" s="82"/>
      <c r="RD13" t="str">
        <f>IF('Assembly &amp; Bagging'!J19="2 Hinges","2",IF('Assembly &amp; Bagging'!J19="3 Hinges","3",""))</f>
        <v/>
      </c>
      <c r="RH13" s="80"/>
      <c r="RL13" t="str">
        <f>IF(OR('Job Sheet'!M19="Hinged LHS with Slide Bolt on Inside",'Job Sheet'!M19="Hinged LHS with Slide Bolt on Inside"),1,"")</f>
        <v/>
      </c>
      <c r="RM13" s="80"/>
      <c r="RO13" t="str">
        <f>IF('Straight Cutting'!D19&lt;&gt;"Invisi-Gard","",IF(AND('Straight Cutting'!F19&lt;&gt;"",'Straight Cutting'!G19&lt;&gt;""),6,2))</f>
        <v/>
      </c>
      <c r="RP13" t="str">
        <f>IF(AND('Job Sheet'!P19&lt;&gt;"",(OR('Mitred Cutting'!E19="9mm",'Mitred Cutting'!E19="11mm"))),2,"")</f>
        <v/>
      </c>
      <c r="RR13" s="80" t="str">
        <f>Guillotine!E19</f>
        <v/>
      </c>
      <c r="RS13" t="str">
        <f>IF('Assembly &amp; Bagging'!E19="Flywire","",IF('Assembly &amp; Bagging'!E19="Invisi-Gard Woven Stainless Steel","Woven Stainless Steel",'Assembly &amp; Bagging'!E19))</f>
        <v/>
      </c>
      <c r="RT13" s="80"/>
      <c r="RU13" s="80"/>
      <c r="RV13" s="80"/>
      <c r="RW13" s="80"/>
      <c r="RX13" s="80"/>
      <c r="RY13" s="80"/>
      <c r="RZ13" s="80"/>
      <c r="SA13" s="80"/>
      <c r="SB13" s="80"/>
      <c r="SC13" s="80"/>
      <c r="SD13" s="80"/>
      <c r="SE13" s="80"/>
      <c r="SF13" s="80"/>
      <c r="SG13" s="80"/>
      <c r="SH13" s="80"/>
      <c r="SI13" s="80"/>
      <c r="SJ13" s="80"/>
      <c r="SK13" s="80"/>
      <c r="SL13" s="80"/>
      <c r="SM13" s="80"/>
      <c r="SN13" s="80"/>
      <c r="SO13" s="80"/>
      <c r="SP13" s="80"/>
      <c r="SQ13" s="80"/>
      <c r="SR13" s="80"/>
      <c r="SS13" s="80"/>
      <c r="ST13" s="80"/>
      <c r="SU13" s="80"/>
      <c r="SV13" s="80"/>
      <c r="SW13" s="80"/>
      <c r="SX13" s="80"/>
      <c r="SY13" s="80"/>
      <c r="SZ13" s="80"/>
      <c r="TA13" s="80"/>
      <c r="TB13" s="80"/>
      <c r="TC13" s="80"/>
      <c r="TD13" s="80"/>
      <c r="TE13" s="80"/>
      <c r="TF13" s="80"/>
      <c r="TG13" s="80"/>
      <c r="TH13" s="80"/>
      <c r="TI13" s="80"/>
      <c r="TJ13" s="80"/>
      <c r="TK13" s="80"/>
      <c r="TL13" s="80"/>
      <c r="TM13" s="80"/>
      <c r="TN13" s="80"/>
      <c r="TO13" s="80"/>
      <c r="TP13" s="80"/>
      <c r="TQ13" s="80"/>
      <c r="TR13" s="80"/>
      <c r="TS13" s="80"/>
      <c r="TT13" s="80"/>
      <c r="TU13" s="80"/>
      <c r="TV13" s="80"/>
      <c r="TW13" s="80"/>
      <c r="TX13" s="80"/>
      <c r="TY13" s="80"/>
      <c r="TZ13" s="80"/>
      <c r="UA13" s="80"/>
      <c r="UB13" s="80"/>
      <c r="UC13" s="80"/>
      <c r="UD13" s="80"/>
      <c r="UE13" s="80"/>
      <c r="UF13" s="80"/>
      <c r="UG13" s="80"/>
      <c r="UH13" s="80"/>
      <c r="UI13" s="80"/>
      <c r="UJ13" s="80"/>
      <c r="UK13" s="80"/>
      <c r="UL13" s="80"/>
      <c r="UM13" s="80"/>
      <c r="UN13" s="80"/>
      <c r="UO13" s="80"/>
      <c r="UP13" s="80"/>
      <c r="UQ13" s="80"/>
      <c r="UR13" s="80"/>
      <c r="US13" s="80"/>
      <c r="UT13" s="80"/>
      <c r="UU13" s="80"/>
      <c r="UV13" s="80"/>
      <c r="UW13" s="80"/>
      <c r="UX13" s="80"/>
      <c r="UY13" s="80"/>
      <c r="UZ13" s="80"/>
      <c r="VA13" s="80"/>
      <c r="VB13" s="80"/>
      <c r="VC13" s="80"/>
      <c r="VD13" s="80"/>
      <c r="VE13" s="80"/>
      <c r="VF13" s="80"/>
      <c r="VG13" s="80"/>
      <c r="VH13" s="80"/>
      <c r="VI13" s="80"/>
      <c r="VJ13" s="80"/>
      <c r="VK13" s="80"/>
      <c r="VL13" s="80"/>
      <c r="VM13" s="80"/>
      <c r="VN13" s="80"/>
      <c r="VO13" s="80"/>
      <c r="VP13" s="80"/>
      <c r="VQ13" s="80"/>
      <c r="VR13" s="80"/>
      <c r="VS13" s="80"/>
      <c r="VT13" s="80"/>
      <c r="VU13" s="80"/>
      <c r="VV13" s="80"/>
      <c r="VW13" s="80"/>
      <c r="VX13" s="80"/>
      <c r="VY13" s="80"/>
      <c r="VZ13" s="80"/>
      <c r="WA13" s="80"/>
      <c r="WB13" s="80"/>
      <c r="WC13" s="80"/>
      <c r="WD13" s="80"/>
      <c r="WE13" s="80"/>
      <c r="WF13" s="80"/>
      <c r="WG13" s="80"/>
      <c r="WH13" s="80"/>
      <c r="WI13" s="80"/>
      <c r="WJ13" s="80"/>
      <c r="WK13" s="80"/>
      <c r="WL13" s="80"/>
      <c r="WM13" s="80"/>
      <c r="WN13" s="80"/>
      <c r="WO13" s="80"/>
      <c r="WP13" s="80"/>
      <c r="WQ13" s="80"/>
      <c r="WR13" s="80"/>
      <c r="WS13" s="80"/>
      <c r="WT13" s="80"/>
      <c r="WU13" s="80"/>
      <c r="WV13" s="80"/>
      <c r="WW13" s="80"/>
      <c r="WX13" s="80"/>
      <c r="WY13" s="80"/>
      <c r="WZ13" s="80"/>
      <c r="XA13" s="80"/>
      <c r="XB13" s="80"/>
      <c r="XC13" s="80"/>
      <c r="XD13" s="80"/>
      <c r="XE13" s="80"/>
      <c r="XF13" s="80"/>
      <c r="XG13" s="80"/>
      <c r="XH13" s="80"/>
      <c r="XI13" s="80"/>
      <c r="XJ13" s="80"/>
      <c r="XK13" s="80"/>
      <c r="XL13" s="80"/>
      <c r="XM13" s="80"/>
      <c r="XN13" s="80"/>
      <c r="XO13" s="80"/>
      <c r="XP13" s="80"/>
      <c r="XQ13" s="80"/>
      <c r="XR13" s="80"/>
      <c r="XS13" s="80"/>
      <c r="XT13" s="80"/>
      <c r="XU13" s="80"/>
      <c r="XV13" s="80"/>
      <c r="XW13" s="80"/>
      <c r="XX13" s="80"/>
      <c r="XY13" s="80"/>
      <c r="XZ13" s="80"/>
      <c r="YA13" s="80"/>
      <c r="YB13" s="80"/>
      <c r="YC13" s="80"/>
      <c r="YD13" s="80"/>
      <c r="YE13" s="80"/>
      <c r="YF13" s="80"/>
      <c r="YG13" s="80"/>
      <c r="YH13" s="80"/>
      <c r="YI13" s="80"/>
      <c r="YJ13" s="80"/>
      <c r="YK13" s="80"/>
      <c r="YL13" s="80"/>
      <c r="YM13" s="80"/>
      <c r="YN13" s="80"/>
      <c r="YO13" s="80"/>
      <c r="YP13" s="80"/>
      <c r="YQ13" s="80"/>
      <c r="YR13" s="80"/>
      <c r="YS13" s="80"/>
      <c r="YT13" s="80"/>
      <c r="YU13" s="80"/>
      <c r="YV13" s="80"/>
      <c r="YW13" s="80"/>
      <c r="YX13" s="80"/>
      <c r="YY13" s="80"/>
      <c r="YZ13" s="80"/>
      <c r="ZA13" s="80"/>
      <c r="ZB13" s="80"/>
      <c r="ZC13" s="80"/>
      <c r="ZD13" s="80"/>
      <c r="ZE13" s="80"/>
      <c r="ZF13" s="80"/>
      <c r="ZG13" s="80"/>
      <c r="ZH13" s="80"/>
      <c r="ZI13" s="80"/>
      <c r="ZJ13" s="80"/>
      <c r="ZK13" s="80"/>
      <c r="ZL13" s="80"/>
      <c r="ZM13" s="80"/>
      <c r="ZN13" s="80"/>
      <c r="ZO13" s="80"/>
      <c r="ZP13" s="80"/>
      <c r="ZQ13" s="80"/>
      <c r="ZR13" s="80"/>
      <c r="ZS13" s="80"/>
      <c r="ZT13" s="80"/>
      <c r="ZU13" s="80"/>
      <c r="ZV13" s="80"/>
      <c r="ZW13" s="80"/>
      <c r="ZX13" s="80"/>
      <c r="ZY13" s="80"/>
      <c r="ZZ13" s="80"/>
      <c r="AAA13" s="80"/>
      <c r="AAB13" s="80"/>
      <c r="AAC13" s="80"/>
      <c r="AAD13" s="80"/>
      <c r="AAE13" s="80"/>
      <c r="AAF13" s="80"/>
      <c r="AAG13" s="80"/>
      <c r="AAH13" s="80"/>
      <c r="AAI13" s="80"/>
      <c r="AAJ13" s="80"/>
      <c r="AAK13" s="80"/>
      <c r="AAL13" s="80"/>
      <c r="AAM13" s="80"/>
      <c r="AAN13" s="80"/>
      <c r="AAO13" s="80"/>
      <c r="AAP13" s="80"/>
      <c r="AAQ13" s="80"/>
      <c r="AAR13" s="80"/>
      <c r="AAS13" s="80"/>
      <c r="AAT13" s="80"/>
      <c r="AAU13" s="80"/>
      <c r="AAV13" s="80"/>
      <c r="AAW13" s="80"/>
      <c r="AAX13" s="80"/>
      <c r="AAY13" s="80"/>
      <c r="AAZ13" s="80"/>
      <c r="ABA13" s="80"/>
      <c r="ABB13" s="80"/>
      <c r="ABC13" s="80"/>
      <c r="ABD13" s="80"/>
      <c r="ABE13" s="80"/>
      <c r="ABF13" s="80"/>
      <c r="ABG13" s="80"/>
      <c r="ABH13" s="80"/>
      <c r="ABI13" s="80"/>
      <c r="ABJ13" s="80"/>
      <c r="ABK13" s="80"/>
      <c r="ABL13" s="80"/>
      <c r="ABM13" s="80"/>
      <c r="ABN13" s="80"/>
      <c r="ABO13" s="80"/>
      <c r="ABP13" s="80"/>
      <c r="ABQ13" s="80"/>
      <c r="ABR13" s="80"/>
      <c r="ABS13" s="80"/>
      <c r="ABT13" s="80"/>
      <c r="ABU13" s="80"/>
      <c r="ABV13" s="80"/>
      <c r="ABW13" s="80"/>
      <c r="ABX13" s="80"/>
      <c r="ABY13" s="80"/>
      <c r="ABZ13" s="80"/>
      <c r="ACA13" s="80"/>
      <c r="ACB13" s="80"/>
      <c r="ACC13" s="80"/>
      <c r="ACD13" s="80" t="str">
        <f>IF('Job Sheet'!J19="Fibreglass Mesh",CONCATENATE('Job Sheet'!W19," x ",'Job Sheet'!X19),"")</f>
        <v/>
      </c>
      <c r="ACE13" s="80" t="str">
        <f>IF('Job Sheet'!J19="Alu-screen",CONCATENATE('Job Sheet'!W19," x ",'Job Sheet'!X19),"")</f>
        <v/>
      </c>
      <c r="ACF13" s="80" t="str">
        <f>IF('Job Sheet'!J19="Pet Mesh",CONCATENATE('Job Sheet'!W19," x ",'Job Sheet'!X19),"")</f>
        <v/>
      </c>
      <c r="ACH13" s="80"/>
    </row>
    <row r="14" spans="4:762" s="83" customFormat="1" ht="13.2" customHeight="1">
      <c r="D14" s="83" t="str">
        <f>IF(OR(Data!AV20="",Data!BN20="Invisi-Scape"),"",CONCATENATE(Data!BC$5,".",Data!BD$5))</f>
        <v/>
      </c>
      <c r="E14" s="83" t="str">
        <f>IF(D14="","",Data!AW20)</f>
        <v/>
      </c>
      <c r="F14" s="83" t="str">
        <f>IF(D14="","",Data!AV20)</f>
        <v/>
      </c>
      <c r="G14" s="83" t="str">
        <f t="shared" si="0"/>
        <v/>
      </c>
      <c r="H14" s="83" t="str">
        <f>IF(D14="","",Data!BF$5)</f>
        <v/>
      </c>
      <c r="I14" s="83" t="str">
        <f>IF(D14="","",Data!AX$5)</f>
        <v/>
      </c>
      <c r="J14" s="119" t="str">
        <f>IF(AND('Mitred Cutting'!E20="70mm x 20mm",'Mitred Cutting'!D20="APO Grey"),(('Job Sheet'!W20+'Job Sheet'!X20)*2),"")</f>
        <v/>
      </c>
      <c r="K14" s="119" t="str">
        <f>IF(AND('Mitred Cutting'!E20="70mm x 20mm",'Mitred Cutting'!D20="White Birch"),(('Job Sheet'!W20+'Job Sheet'!X20)*2),"")</f>
        <v/>
      </c>
      <c r="L14" s="119" t="str">
        <f>IF(AND('Mitred Cutting'!E20="70mm x 20mm",'Mitred Cutting'!D20="Black"),(('Job Sheet'!W20+'Job Sheet'!X20)*2),"")</f>
        <v/>
      </c>
      <c r="M14" s="119" t="str">
        <f>IF(AND('Mitred Cutting'!E20="70mm x 20mm",'Mitred Cutting'!D20="Brown"),(('Job Sheet'!W20+'Job Sheet'!X20)*2),"")</f>
        <v/>
      </c>
      <c r="N14" s="119" t="str">
        <f>IF(AND('Mitred Cutting'!E20="70mm x 20mm",'Mitred Cutting'!D20="Deep Ocean"),(('Job Sheet'!W20+'Job Sheet'!X20)*2),"")</f>
        <v/>
      </c>
      <c r="O14" s="119" t="str">
        <f>IF(AND('Mitred Cutting'!E20="70mm x 20mm",'Mitred Cutting'!D20="Jasper"),(('Job Sheet'!W20+'Job Sheet'!X20)*2),"")</f>
        <v/>
      </c>
      <c r="P14" s="119" t="str">
        <f>IF(AND('Mitred Cutting'!E20="70mm x 20mm",'Mitred Cutting'!D20="Paperbark"),(('Job Sheet'!W20+'Job Sheet'!X20)*2),"")</f>
        <v/>
      </c>
      <c r="Q14" s="119" t="str">
        <f>IF(AND('Mitred Cutting'!E20="70mm x 20mm",'Mitred Cutting'!D20="Mist Green"),(('Job Sheet'!W20+'Job Sheet'!X20)*2),"")</f>
        <v/>
      </c>
      <c r="R14" s="119" t="str">
        <f>IF(AND('Mitred Cutting'!E20="70mm x 20mm",'Mitred Cutting'!D20="Primrose"),(('Job Sheet'!W20+'Job Sheet'!X20)*2),"")</f>
        <v/>
      </c>
      <c r="S14" s="119" t="str">
        <f>IF(AND('Mitred Cutting'!E20="70mm x 20mm",'Mitred Cutting'!D20="Ultra Silver"),(('Job Sheet'!W20+'Job Sheet'!X20)*2),"")</f>
        <v/>
      </c>
      <c r="T14" s="119" t="str">
        <f>IF(AND('Mitred Cutting'!E20="70mm x 20mm",'Mitred Cutting'!D20="Woodland Grey(Green Tone)"),(('Job Sheet'!W20+'Job Sheet'!X20)*2),"")</f>
        <v/>
      </c>
      <c r="U14" s="119" t="str">
        <f>IF(AND('Mitred Cutting'!E20="70mm x 20mm",'Mitred Cutting'!D20="Pearl White"),(('Job Sheet'!W20+'Job Sheet'!X20)*2),"")</f>
        <v/>
      </c>
      <c r="V14" s="119" t="str">
        <f>IF(AND('Mitred Cutting'!E20="70mm x 20mm",'Mitred Cutting'!D20="Monument"),(('Job Sheet'!W20+'Job Sheet'!X20)*2),"")</f>
        <v/>
      </c>
      <c r="W14" s="119" t="str">
        <f>IF(AND('Mitred Cutting'!E20="70mm x 20mm",'Mitred Cutting'!D20="Surfmist"),(('Job Sheet'!W20+'Job Sheet'!X20)*2),"")</f>
        <v/>
      </c>
      <c r="X14" s="119" t="str">
        <f>IF(AND('Mitred Cutting'!E20="70mm x 20mm",'Mitred Cutting'!D20="Dune"),(('Job Sheet'!W20+'Job Sheet'!X20)*2),"")</f>
        <v/>
      </c>
      <c r="Y14" s="119"/>
      <c r="Z14" s="119" t="str">
        <f>IF(AND('Mitred Cutting'!E20="70mm x 20mm",'Mitred Cutting'!D20="Powdercoat"),(('Job Sheet'!W20+'Job Sheet'!X20)*2),"")</f>
        <v/>
      </c>
      <c r="AA14" s="119" t="str">
        <f>IF(AND('Mitred Cutting'!E20="Invisi-Gard 70mm x 20mm",'Mitred Cutting'!D20="APO Grey"),(('Job Sheet'!W20+'Job Sheet'!X20)*2),"")</f>
        <v/>
      </c>
      <c r="AB14" s="119" t="str">
        <f>IF(AND('Mitred Cutting'!E20="Invisi-Gard 70mm x 20mm",'Mitred Cutting'!D20="White Birch"),(('Job Sheet'!W20+'Job Sheet'!X20)*2),"")</f>
        <v/>
      </c>
      <c r="AC14" s="119" t="str">
        <f>IF(AND('Mitred Cutting'!E20="Invisi-Gard 70mm x 20mm",'Mitred Cutting'!D20="Black"),(('Job Sheet'!W20+'Job Sheet'!X20)*2),"")</f>
        <v/>
      </c>
      <c r="AD14" s="119" t="str">
        <f>IF(AND('Mitred Cutting'!E20="Invisi-Gard 70mm x 20mm",'Mitred Cutting'!D20="Brown"),(('Job Sheet'!W20+'Job Sheet'!X20)*2),"")</f>
        <v/>
      </c>
      <c r="AE14" s="119" t="str">
        <f>IF(AND('Mitred Cutting'!E20="Invisi-Gard 70mm x 20mm",'Mitred Cutting'!D20="Deep Ocean"),(('Job Sheet'!W20+'Job Sheet'!X20)*2),"")</f>
        <v/>
      </c>
      <c r="AF14" s="119" t="str">
        <f>IF(AND('Mitred Cutting'!E20="Invisi-Gard 70mm x 20mm",'Mitred Cutting'!D20="Jasper"),(('Job Sheet'!W20+'Job Sheet'!X20)*2),"")</f>
        <v/>
      </c>
      <c r="AG14" s="119" t="str">
        <f>IF(AND('Mitred Cutting'!E20="Invisi-Gard 70mm x 20mm",'Mitred Cutting'!D20="Paperbark"),(('Job Sheet'!W20+'Job Sheet'!X20)*2),"")</f>
        <v/>
      </c>
      <c r="AH14" s="119" t="str">
        <f>IF(AND('Mitred Cutting'!E20="Invisi-Gard 70mm x 20mm",'Mitred Cutting'!D20="Mist Green"),(('Job Sheet'!W20+'Job Sheet'!X20)*2),"")</f>
        <v/>
      </c>
      <c r="AI14" s="119" t="str">
        <f>IF(AND('Mitred Cutting'!E20="Invisi-Gard 70mm x 20mm",'Mitred Cutting'!D20="Primrose"),(('Job Sheet'!W20+'Job Sheet'!X20)*2),"")</f>
        <v/>
      </c>
      <c r="AJ14" s="119" t="str">
        <f>IF(AND('Mitred Cutting'!E20="Invisi-Gard 70mm x 20mm",'Mitred Cutting'!D20="Ultra Silver"),(('Job Sheet'!W20+'Job Sheet'!X20)*2),"")</f>
        <v/>
      </c>
      <c r="AK14" s="119" t="str">
        <f>IF(AND('Mitred Cutting'!E20="Invisi-Gard 70mm x 20mm",'Mitred Cutting'!D20="Woodland Grey(Green Tone)"),(('Job Sheet'!W20+'Job Sheet'!X20)*2),"")</f>
        <v/>
      </c>
      <c r="AL14" s="119" t="str">
        <f>IF(AND('Mitred Cutting'!E20="Invisi-Gard 70mm x 20mm",'Mitred Cutting'!D20="Pearl White"),(('Job Sheet'!W20+'Job Sheet'!X20)*2),"")</f>
        <v/>
      </c>
      <c r="AM14" s="119" t="str">
        <f>IF(AND('Mitred Cutting'!E20="Invisi-Gard 70mm x 20mm",'Mitred Cutting'!D20="Monument"),(('Job Sheet'!W20+'Job Sheet'!X20)*2),"")</f>
        <v/>
      </c>
      <c r="AN14" s="119" t="str">
        <f>IF(AND('Mitred Cutting'!E20="Invisi-Gard 70mm x 20mm",'Mitred Cutting'!D20="Surfmist"),(('Job Sheet'!W20+'Job Sheet'!X20)*2),"")</f>
        <v/>
      </c>
      <c r="AO14" s="119" t="str">
        <f>IF(AND('Mitred Cutting'!E20="Invisi-Gard 70mm x 20mm",'Mitred Cutting'!D20="Dune"),(('Job Sheet'!W20+'Job Sheet'!X20)*2),"")</f>
        <v/>
      </c>
      <c r="AP14" s="119"/>
      <c r="AQ14" s="119" t="str">
        <f>IF(AND('Mitred Cutting'!E20="Invisi-Gard 70mm x 20mm",'Mitred Cutting'!D20="Powdercoat"),(('Job Sheet'!W20+'Job Sheet'!X20)*2),"")</f>
        <v/>
      </c>
      <c r="AR14" s="119" t="str">
        <f>IF(AND('Mitred Cutting'!E20="37mm x 11mm",'Mitred Cutting'!D20="APO Grey"),(('Job Sheet'!W20+'Job Sheet'!X20)*2),"")</f>
        <v/>
      </c>
      <c r="AS14" s="119" t="str">
        <f>IF(AND('Mitred Cutting'!E20="37mm x 11mm",'Mitred Cutting'!D20="White Birch"),(('Job Sheet'!W20+'Job Sheet'!X20)*2),"")</f>
        <v/>
      </c>
      <c r="AT14" s="119" t="str">
        <f>IF(AND('Mitred Cutting'!E20="37mm x 11mm",'Mitred Cutting'!D20="Black"),(('Job Sheet'!W20+'Job Sheet'!X20)*2),"")</f>
        <v/>
      </c>
      <c r="AU14" s="119" t="str">
        <f>IF(AND('Mitred Cutting'!E20="37mm x 11mm",'Mitred Cutting'!D20="Brown"),(('Job Sheet'!W20+'Job Sheet'!X20)*2),"")</f>
        <v/>
      </c>
      <c r="AV14" s="119" t="str">
        <f>IF(AND('Mitred Cutting'!E20="37mm x 11mm",'Mitred Cutting'!D20="Deep Ocean"),(('Job Sheet'!W20+'Job Sheet'!X20)*2),"")</f>
        <v/>
      </c>
      <c r="AW14" s="119" t="str">
        <f>IF(AND('Mitred Cutting'!E20="37mm x 11mm",'Mitred Cutting'!D20="Jasper"),(('Job Sheet'!W20+'Job Sheet'!X20)*2),"")</f>
        <v/>
      </c>
      <c r="AX14" s="119" t="str">
        <f>IF(AND('Mitred Cutting'!E20="37mm x 11mm",'Mitred Cutting'!D20="Paperbark"),(('Job Sheet'!W20+'Job Sheet'!X20)*2),"")</f>
        <v/>
      </c>
      <c r="AY14" s="119" t="str">
        <f>IF(AND('Mitred Cutting'!E20="37mm x 11mm",'Mitred Cutting'!D20="Mist Green"),(('Job Sheet'!W20+'Job Sheet'!X20)*2),"")</f>
        <v/>
      </c>
      <c r="AZ14" s="119" t="str">
        <f>IF(AND('Mitred Cutting'!E20="37mm x 11mm",'Mitred Cutting'!D20="Primrose"),(('Job Sheet'!W20+'Job Sheet'!X20)*2),"")</f>
        <v/>
      </c>
      <c r="BA14" s="119" t="str">
        <f>IF(AND('Mitred Cutting'!E20="37mm x 11mm",'Mitred Cutting'!D20="Ultra Silver"),(('Job Sheet'!W20+'Job Sheet'!X20)*2),"")</f>
        <v/>
      </c>
      <c r="BB14" s="119" t="str">
        <f>IF(AND('Mitred Cutting'!E20="37mm x 11mm",'Mitred Cutting'!D20="Woodland Grey(Green Tone)"),(('Job Sheet'!W20+'Job Sheet'!X20)*2),"")</f>
        <v/>
      </c>
      <c r="BC14" s="119" t="str">
        <f>IF(AND('Mitred Cutting'!E20="37mm x 11mm",'Mitred Cutting'!D20="Pearl White"),(('Job Sheet'!W20+'Job Sheet'!X20)*2),"")</f>
        <v/>
      </c>
      <c r="BD14" s="119" t="str">
        <f>IF(AND('Mitred Cutting'!E20="37mm x 11mm",'Mitred Cutting'!D20="Monument"),(('Job Sheet'!W20+'Job Sheet'!X20)*2),"")</f>
        <v/>
      </c>
      <c r="BE14" s="119" t="str">
        <f>IF(AND('Mitred Cutting'!E20="37mm x 11mm",'Mitred Cutting'!D20="Surfmist"),(('Job Sheet'!W20+'Job Sheet'!X20)*2),"")</f>
        <v/>
      </c>
      <c r="BF14" s="119" t="str">
        <f>IF(AND('Mitred Cutting'!E20="37mm x 11mm",'Mitred Cutting'!D20="Dune"),(('Job Sheet'!W20+'Job Sheet'!X20)*2),"")</f>
        <v/>
      </c>
      <c r="BG14" s="119" t="str">
        <f>IF(AND('Mitred Cutting'!E20="37mm x 11mm",'Mitred Cutting'!D20="Woodland Grey (Dulux)"),(('Job Sheet'!W20+'Job Sheet'!X20)*2),"")</f>
        <v/>
      </c>
      <c r="BH14" s="119" t="str">
        <f>IF(AND('Mitred Cutting'!E20="37mm x 11mm",'Mitred Cutting'!D20="Powdercoat"),(('Job Sheet'!W20+'Job Sheet'!X20)*2),"")</f>
        <v/>
      </c>
      <c r="BI14" s="119" t="str">
        <f>IF(AND('Mitred Cutting'!E20="Invisi-Gard 37mm x 11mm",'Mitred Cutting'!D20="APO Grey"),(('Job Sheet'!W20+'Job Sheet'!X20)*2),"")</f>
        <v/>
      </c>
      <c r="BJ14" s="119" t="str">
        <f>IF(AND('Mitred Cutting'!E20="Invisi-Gard 37mm x 11mm",'Mitred Cutting'!D20="White Birch"),(('Job Sheet'!W20+'Job Sheet'!X20)*2),"")</f>
        <v/>
      </c>
      <c r="BK14" s="119" t="str">
        <f>IF(AND('Mitred Cutting'!E20="Invisi-Gard 37mm x 11mm",'Mitred Cutting'!D20="Black"),(('Job Sheet'!W20+'Job Sheet'!X20)*2),"")</f>
        <v/>
      </c>
      <c r="BL14" s="119" t="str">
        <f>IF(AND('Mitred Cutting'!E20="Invisi-Gard 37mm x 11mm",'Mitred Cutting'!D20="Brown"),(('Job Sheet'!W20+'Job Sheet'!X20)*2),"")</f>
        <v/>
      </c>
      <c r="BM14" s="119" t="str">
        <f>IF(AND('Mitred Cutting'!E20="Invisi-Gard 37mm x 11mm",'Mitred Cutting'!D20="Deep Ocean"),(('Job Sheet'!W20+'Job Sheet'!X20)*2),"")</f>
        <v/>
      </c>
      <c r="BN14" s="119" t="str">
        <f>IF(AND('Mitred Cutting'!E20="Invisi-Gard 37mm x 11mm",'Mitred Cutting'!D20="Jasper"),(('Job Sheet'!W20+'Job Sheet'!X20)*2),"")</f>
        <v/>
      </c>
      <c r="BO14" s="119" t="str">
        <f>IF(AND('Mitred Cutting'!E20="Invisi-Gard 37mm x 11mm",'Mitred Cutting'!D20="Paperbark"),(('Job Sheet'!W20+'Job Sheet'!X20)*2),"")</f>
        <v/>
      </c>
      <c r="BP14" s="119" t="str">
        <f>IF(AND('Mitred Cutting'!E20="Invisi-Gard 37mm x 11mm",'Mitred Cutting'!D20="Mist Green"),(('Job Sheet'!W20+'Job Sheet'!X20)*2),"")</f>
        <v/>
      </c>
      <c r="BQ14" s="119" t="str">
        <f>IF(AND('Mitred Cutting'!E20="Invisi-Gard 37mm x 11mm",'Mitred Cutting'!D20="Primrose"),(('Job Sheet'!W20+'Job Sheet'!X20)*2),"")</f>
        <v/>
      </c>
      <c r="BR14" s="119" t="str">
        <f>IF(AND('Mitred Cutting'!E20="Invisi-Gard 37mm x 11mm",'Mitred Cutting'!D20="Ultra Silver"),(('Job Sheet'!W20+'Job Sheet'!X20)*2),"")</f>
        <v/>
      </c>
      <c r="BS14" s="119" t="str">
        <f>IF(AND('Mitred Cutting'!E20="Invisi-Gard 37mm x 11mm",'Mitred Cutting'!D20="Woodland Grey(Green Tone)"),(('Job Sheet'!W20+'Job Sheet'!X20)*2),"")</f>
        <v/>
      </c>
      <c r="BT14" s="119" t="str">
        <f>IF(AND('Mitred Cutting'!E20="Invisi-Gard 37mm x 11mm",'Mitred Cutting'!D20="Pearl White"),(('Job Sheet'!W20+'Job Sheet'!X20)*2),"")</f>
        <v/>
      </c>
      <c r="BU14" s="119" t="str">
        <f>IF(AND('Mitred Cutting'!E20="Invisi-Gard 37mm x 11mm",'Mitred Cutting'!D20="Monument"),(('Job Sheet'!W20+'Job Sheet'!X20)*2),"")</f>
        <v/>
      </c>
      <c r="BV14" s="119" t="str">
        <f>IF(AND('Mitred Cutting'!E20="Invisi-Gard 37mm x 11mm",'Mitred Cutting'!D20="Surfmist"),(('Job Sheet'!W20+'Job Sheet'!X20)*2),"")</f>
        <v/>
      </c>
      <c r="BW14" s="119" t="str">
        <f>IF(AND('Mitred Cutting'!E20="Invisi-Gard 37mm x 11mm",'Mitred Cutting'!D20="Dune"),(('Job Sheet'!W20+'Job Sheet'!X20)*2),"")</f>
        <v/>
      </c>
      <c r="BX14" s="119"/>
      <c r="BY14" s="119" t="str">
        <f>IF(AND('Mitred Cutting'!E20="Invisi-Gard 37mm x 11mm",'Mitred Cutting'!D20="Powdercoat"),(('Job Sheet'!W20+'Job Sheet'!X20)*2),"")</f>
        <v/>
      </c>
      <c r="BZ14" s="119" t="str">
        <f>IF(AND('Mitred Cutting'!E20="Invisi-Gard 37mm x 9mm",'Mitred Cutting'!D20="APO Grey"),(('Job Sheet'!W20+'Job Sheet'!X20)*2),"")</f>
        <v/>
      </c>
      <c r="CA14" s="119" t="str">
        <f>IF(AND('Mitred Cutting'!E20="Invisi-Gard 37mm x 9mm",'Mitred Cutting'!D20="White Birch"),(('Job Sheet'!W20+'Job Sheet'!X20)*2),"")</f>
        <v/>
      </c>
      <c r="CB14" s="119" t="str">
        <f>IF(AND('Mitred Cutting'!E20="Invisi-Gard 37mm x 9mm",'Mitred Cutting'!D20="Black"),(('Job Sheet'!W20+'Job Sheet'!X20)*2),"")</f>
        <v/>
      </c>
      <c r="CC14" s="119" t="str">
        <f>IF(AND('Mitred Cutting'!E20="Invisi-Gard 37mm x 9mm",'Mitred Cutting'!D20="Brown"),(('Job Sheet'!W20+'Job Sheet'!X20)*2),"")</f>
        <v/>
      </c>
      <c r="CD14" s="119" t="str">
        <f>IF(AND('Mitred Cutting'!E20="Invisi-Gard 37mm x 9mm",'Mitred Cutting'!D20="Deep Ocean"),(('Job Sheet'!W20+'Job Sheet'!X20)*2),"")</f>
        <v/>
      </c>
      <c r="CE14" s="119" t="str">
        <f>IF(AND('Mitred Cutting'!E20="Invisi-Gard 37mm x 9mm",'Mitred Cutting'!D20="Jasper"),(('Job Sheet'!W20+'Job Sheet'!X20)*2),"")</f>
        <v/>
      </c>
      <c r="CF14" s="119" t="str">
        <f>IF(AND('Mitred Cutting'!E20="Invisi-Gard 37mm x 9mm",'Mitred Cutting'!D20="Paperbark"),(('Job Sheet'!W20+'Job Sheet'!X20)*2),"")</f>
        <v/>
      </c>
      <c r="CG14" s="119" t="str">
        <f>IF(AND('Mitred Cutting'!E20="Invisi-Gard 37mm x 9mm",'Mitred Cutting'!D20="Mist Green"),(('Job Sheet'!W20+'Job Sheet'!X20)*2),"")</f>
        <v/>
      </c>
      <c r="CH14" s="119" t="str">
        <f>IF(AND('Mitred Cutting'!E20="Invisi-Gard 37mm x 9mm",'Mitred Cutting'!D20="Primrose"),(('Job Sheet'!W20+'Job Sheet'!X20)*2),"")</f>
        <v/>
      </c>
      <c r="CI14" s="119" t="str">
        <f>IF(AND('Mitred Cutting'!E20="Invisi-Gard 37mm x 9mm",'Mitred Cutting'!D20="Ultra Silver"),(('Job Sheet'!W20+'Job Sheet'!X20)*2),"")</f>
        <v/>
      </c>
      <c r="CJ14" s="119" t="str">
        <f>IF(AND('Mitred Cutting'!E20="Invisi-Gard 37mm x 9mm",'Mitred Cutting'!D20="Woodland Grey(Green Tone)"),(('Job Sheet'!W20+'Job Sheet'!X20)*2),"")</f>
        <v/>
      </c>
      <c r="CK14" s="119" t="str">
        <f>IF(AND('Mitred Cutting'!E20="Invisi-Gard 37mm x 9mm",'Mitred Cutting'!D20="Pearl White"),(('Job Sheet'!W20+'Job Sheet'!X20)*2),"")</f>
        <v/>
      </c>
      <c r="CL14" s="119" t="str">
        <f>IF(AND('Mitred Cutting'!E20="Invisi-Gard 37mm x 9mm",'Mitred Cutting'!D20="Monument"),(('Job Sheet'!W20+'Job Sheet'!X20)*2),"")</f>
        <v/>
      </c>
      <c r="CM14" s="119" t="str">
        <f>IF(AND('Mitred Cutting'!E20="Invisi-Gard 37mm x 9mm",'Mitred Cutting'!D20="Surfmist"),(('Job Sheet'!W20+'Job Sheet'!X20)*2),"")</f>
        <v/>
      </c>
      <c r="CN14" s="119" t="str">
        <f>IF(AND('Mitred Cutting'!E20="Invisi-Gard 37mm x 9mm",'Mitred Cutting'!D20="Dune"),(('Job Sheet'!W20+'Job Sheet'!X20)*2),"")</f>
        <v/>
      </c>
      <c r="CO14" s="119"/>
      <c r="CP14" s="119" t="str">
        <f>IF(AND('Mitred Cutting'!E20="Invisi-Gard 37mm x 9mm",'Mitred Cutting'!D20="Powdercoat"),(('Job Sheet'!W20+'Job Sheet'!X20)*2),"")</f>
        <v/>
      </c>
      <c r="CQ14" s="119"/>
      <c r="CR14" s="119"/>
      <c r="CS14" s="119"/>
      <c r="CT14" s="119"/>
      <c r="CU14" s="119"/>
      <c r="CV14" s="119"/>
      <c r="CW14" s="119"/>
      <c r="CX14" s="119"/>
      <c r="CY14" s="119"/>
      <c r="CZ14" s="119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19"/>
      <c r="DR14" s="119"/>
      <c r="DS14" s="119"/>
      <c r="DT14" s="119"/>
      <c r="DU14" s="119"/>
      <c r="DV14" s="119"/>
      <c r="DW14" s="119"/>
      <c r="DX14" s="119"/>
      <c r="DY14" s="119" t="str">
        <f>IF(AND('Mitred Cutting'!E20="9mm",'Mitred Cutting'!D20="APO Grey",'Job Sheet'!P20&lt;&gt;""),(('Job Sheet'!W20+'Job Sheet'!X20)*2)+'Job Sheet'!AG20,IF(AND('Mitred Cutting'!E20="9mm",'Mitred Cutting'!D20="APO Grey"),(('Job Sheet'!W20+'Job Sheet'!X20)*2),""))</f>
        <v/>
      </c>
      <c r="DZ14" s="119" t="str">
        <f>IF(AND('Mitred Cutting'!E20="9mm",'Mitred Cutting'!D20="White Birch",'Job Sheet'!P20&lt;&gt;""),(('Job Sheet'!W20+'Job Sheet'!X20)*2)+'Job Sheet'!AG20,IF(AND('Mitred Cutting'!E20="9mm",'Mitred Cutting'!D20="White Birch"),(('Job Sheet'!W20+'Job Sheet'!X20)*2),""))</f>
        <v/>
      </c>
      <c r="EA14" s="119" t="str">
        <f>IF(AND('Mitred Cutting'!E20="9mm",'Mitred Cutting'!D20="Black",'Job Sheet'!P20&lt;&gt;""),(('Job Sheet'!W20+'Job Sheet'!X20)*2)+'Job Sheet'!AG20,IF(AND('Mitred Cutting'!E20="9mm",'Mitred Cutting'!D20="Black"),(('Job Sheet'!W20+'Job Sheet'!X20)*2),""))</f>
        <v/>
      </c>
      <c r="EB14" s="119" t="str">
        <f>IF(AND('Mitred Cutting'!E20="9mm",'Mitred Cutting'!D20="Brown",'Job Sheet'!P20&lt;&gt;""),(('Job Sheet'!W20+'Job Sheet'!X20)*2)+'Job Sheet'!AG20,IF(AND('Mitred Cutting'!E20="9mm",'Mitred Cutting'!D20="Brown"),(('Job Sheet'!W20+'Job Sheet'!X20)*2),""))</f>
        <v/>
      </c>
      <c r="EC14" s="119" t="str">
        <f>IF(AND('Mitred Cutting'!E20="9mm",'Mitred Cutting'!D20="Deep Ocean",'Job Sheet'!P20&lt;&gt;""),(('Job Sheet'!W20+'Job Sheet'!X20)*2)+'Job Sheet'!AG20,IF(AND('Mitred Cutting'!E20="9mm",'Mitred Cutting'!D20="Deep Ocean"),(('Job Sheet'!W20+'Job Sheet'!X20)*2),""))</f>
        <v/>
      </c>
      <c r="ED14" s="119" t="str">
        <f>IF(AND('Mitred Cutting'!E20="9mm",'Mitred Cutting'!D20="Jasper",'Job Sheet'!P20&lt;&gt;""),(('Job Sheet'!W20+'Job Sheet'!X20)*2)+'Job Sheet'!AG20,IF(AND('Mitred Cutting'!E20="9mm",'Mitred Cutting'!D20="Jasper"),(('Job Sheet'!W20+'Job Sheet'!X20)*2),""))</f>
        <v/>
      </c>
      <c r="EE14" s="119" t="str">
        <f>IF(AND('Mitred Cutting'!E20="9mm",'Mitred Cutting'!D20="Paperbark",'Job Sheet'!P20&lt;&gt;""),(('Job Sheet'!W20+'Job Sheet'!X20)*2)+'Job Sheet'!AG20,IF(AND('Mitred Cutting'!E20="9mm",'Mitred Cutting'!D20="Paperbark"),(('Job Sheet'!W20+'Job Sheet'!X20)*2),""))</f>
        <v/>
      </c>
      <c r="EF14" s="119" t="str">
        <f>IF(AND('Mitred Cutting'!E20="9mm",'Mitred Cutting'!D20="Pale Eucalypt",'Job Sheet'!P20&lt;&gt;""),(('Job Sheet'!W20+'Job Sheet'!X20)*2)+'Job Sheet'!AG20,IF(AND('Mitred Cutting'!E20="9mm",'Mitred Cutting'!D20="Mist Green"),(('Job Sheet'!W20+'Job Sheet'!X20)*2),""))</f>
        <v/>
      </c>
      <c r="EG14" s="119" t="str">
        <f>IF(AND('Mitred Cutting'!E20="9mm",'Mitred Cutting'!D20="Primrose",'Job Sheet'!P20&lt;&gt;""),(('Job Sheet'!W20+'Job Sheet'!X20)*2)+'Job Sheet'!AG20,IF(AND('Mitred Cutting'!E20="9mm",'Mitred Cutting'!D20="Primrose"),(('Job Sheet'!W20+'Job Sheet'!X20)*2),""))</f>
        <v/>
      </c>
      <c r="EH14" s="119" t="str">
        <f>IF(AND('Mitred Cutting'!E20="9mm",'Mitred Cutting'!D20="Ultra Silver",'Job Sheet'!P20&lt;&gt;""),(('Job Sheet'!W20+'Job Sheet'!X20)*2)+'Job Sheet'!AG20,IF(AND('Mitred Cutting'!E20="9mm",'Mitred Cutting'!D20="Ultra Silver"),(('Job Sheet'!W20+'Job Sheet'!X20)*2),""))</f>
        <v/>
      </c>
      <c r="EI14" s="119" t="str">
        <f>IF(AND('Mitred Cutting'!E20="9mm",'Mitred Cutting'!D20="Woodland Grey(Green Tone)",'Job Sheet'!P20&lt;&gt;""),(('Job Sheet'!W20+'Job Sheet'!X20)*2)+'Job Sheet'!AG20,IF(AND('Mitred Cutting'!E20="9mm",'Mitred Cutting'!D20="Woodland Grey(Green Tone)"),(('Job Sheet'!W20+'Job Sheet'!X20)*2),""))</f>
        <v/>
      </c>
      <c r="EJ14" s="119" t="str">
        <f>IF(AND('Mitred Cutting'!E20="9mm",'Mitred Cutting'!D20="Pearl White",'Job Sheet'!P20&lt;&gt;""),(('Job Sheet'!W20+'Job Sheet'!X20)*2)+'Job Sheet'!AG20,IF(AND('Mitred Cutting'!E20="9mm",'Mitred Cutting'!D20="Pearl White"),(('Job Sheet'!W20+'Job Sheet'!X20)*2),""))</f>
        <v/>
      </c>
      <c r="EK14" s="119" t="str">
        <f>IF(AND('Mitred Cutting'!E20="9mm",'Mitred Cutting'!D20="Monument",'Job Sheet'!P20&lt;&gt;""),(('Job Sheet'!W20+'Job Sheet'!X20)*2)+'Job Sheet'!AG20,IF(AND('Mitred Cutting'!E20="9mm",'Mitred Cutting'!D20="Monument"),(('Job Sheet'!W20+'Job Sheet'!X20)*2),""))</f>
        <v/>
      </c>
      <c r="EL14" s="119" t="str">
        <f>IF(AND('Mitred Cutting'!E20="9mm",'Mitred Cutting'!D20="Surfmist",'Job Sheet'!P20&lt;&gt;""),(('Job Sheet'!W20+'Job Sheet'!X20)*2)+'Job Sheet'!AG20,IF(AND('Mitred Cutting'!E20="9mm",'Mitred Cutting'!D20="Surfmist"),(('Job Sheet'!W20+'Job Sheet'!X20)*2),""))</f>
        <v/>
      </c>
      <c r="EM14" s="119" t="str">
        <f>IF(AND('Mitred Cutting'!E20="9mm",'Mitred Cutting'!D20="Dune",'Job Sheet'!P20&lt;&gt;""),(('Job Sheet'!W20+'Job Sheet'!X20)*2)+'Job Sheet'!AG20,IF(AND('Mitred Cutting'!E20="9mm",'Mitred Cutting'!D20="Dune"),(('Job Sheet'!W20+'Job Sheet'!X20)*2),""))</f>
        <v/>
      </c>
      <c r="EN14" s="119" t="str">
        <f>IF(AND('Mitred Cutting'!E20="9mm",'Mitred Cutting'!D20="Powdercoat",'Job Sheet'!P20&lt;&gt;""),(('Job Sheet'!W20+'Job Sheet'!X20)*2)+'Job Sheet'!AG20,IF(AND('Mitred Cutting'!E20="9mm",'Mitred Cutting'!D20="Powdercoat"),(('Job Sheet'!W20+'Job Sheet'!X20)*2),""))</f>
        <v/>
      </c>
      <c r="EO14" s="119" t="str">
        <f>IF(AND('Mitred Cutting'!E20="11mm",'Mitred Cutting'!D20="APO Grey",'Job Sheet'!P20&lt;&gt;""),(('Job Sheet'!W20+'Job Sheet'!X20)*2)+'Job Sheet'!AG20,IF(AND('Mitred Cutting'!E20="11mm",'Mitred Cutting'!D20="APO Grey"),(('Job Sheet'!W20+'Job Sheet'!X20)*2),""))</f>
        <v/>
      </c>
      <c r="EP14" s="119" t="str">
        <f>IF(AND('Mitred Cutting'!E20="11mm",'Mitred Cutting'!D20="White Birch",'Job Sheet'!P20&lt;&gt;""),(('Job Sheet'!W20+'Job Sheet'!X20)*2)+'Job Sheet'!AG20,IF(AND('Mitred Cutting'!E20="11mm",'Mitred Cutting'!D20="White Birch"),(('Job Sheet'!W20+'Job Sheet'!X20)*2),""))</f>
        <v/>
      </c>
      <c r="EQ14" s="120" t="str">
        <f>IF(AND('Mitred Cutting'!E20="11mm",'Mitred Cutting'!D20="Black",'Job Sheet'!P20&lt;&gt;""),(('Job Sheet'!W20+'Job Sheet'!X20)*2)+'Job Sheet'!AG20,IF(AND('Mitred Cutting'!E20="11mm",'Mitred Cutting'!D20="Black"),(('Job Sheet'!W20+'Job Sheet'!X20)*2),""))</f>
        <v/>
      </c>
      <c r="ER14" s="119" t="str">
        <f>IF(AND('Mitred Cutting'!E20="11mm",'Mitred Cutting'!D20="Brown",'Job Sheet'!P20&lt;&gt;""),(('Job Sheet'!W20+'Job Sheet'!X20)*2)+'Job Sheet'!AG20,IF(AND('Mitred Cutting'!E20="11mm",'Mitred Cutting'!D20="Brown"),(('Job Sheet'!W20+'Job Sheet'!X20)*2),""))</f>
        <v/>
      </c>
      <c r="ES14" s="119" t="str">
        <f>IF(AND('Mitred Cutting'!E20="11mm",'Mitred Cutting'!D20="Deep Ocean",'Job Sheet'!P20&lt;&gt;""),(('Job Sheet'!W20+'Job Sheet'!X20)*2)+'Job Sheet'!AG20,IF(AND('Mitred Cutting'!E20="11mm",'Mitred Cutting'!D20="Deep Ocean"),(('Job Sheet'!W20+'Job Sheet'!X20)*2),""))</f>
        <v/>
      </c>
      <c r="ET14" s="119" t="str">
        <f>IF(AND('Mitred Cutting'!E20="11mm",'Mitred Cutting'!D20="Jasper",'Job Sheet'!P20&lt;&gt;""),(('Job Sheet'!W20+'Job Sheet'!X20)*2)+'Job Sheet'!AG20,IF(AND('Mitred Cutting'!E20="11mm",'Mitred Cutting'!D20="Jasper"),(('Job Sheet'!W20+'Job Sheet'!X20)*2),""))</f>
        <v/>
      </c>
      <c r="EU14" s="119" t="str">
        <f>IF(AND('Mitred Cutting'!E20="11mm",'Mitred Cutting'!D20="Paperbark",'Job Sheet'!P20&lt;&gt;""),(('Job Sheet'!W20+'Job Sheet'!X20)*2)+'Job Sheet'!AG20,IF(AND('Mitred Cutting'!E20="11mm",'Mitred Cutting'!D20="Paperbark"),(('Job Sheet'!W20+'Job Sheet'!X20)*2),""))</f>
        <v/>
      </c>
      <c r="EV14" s="119" t="str">
        <f>IF(AND('Mitred Cutting'!E20="11mm",'Mitred Cutting'!D20="Pale Eucalypt",'Job Sheet'!P20&lt;&gt;""),(('Job Sheet'!W20+'Job Sheet'!X20)*2)+'Job Sheet'!AG20,IF(AND('Mitred Cutting'!E20="11mm",'Mitred Cutting'!D20="Pale Eucalypt"),(('Job Sheet'!W20+'Job Sheet'!X20)*2),""))</f>
        <v/>
      </c>
      <c r="EW14" s="119" t="str">
        <f>IF(AND('Mitred Cutting'!E20="11mm",'Mitred Cutting'!D20="Primrose",'Job Sheet'!P20&lt;&gt;""),(('Job Sheet'!W20+'Job Sheet'!X20)*2)+'Job Sheet'!AG20,IF(AND('Mitred Cutting'!E20="11mm",'Mitred Cutting'!D20="Primrose"),(('Job Sheet'!W20+'Job Sheet'!X20)*2),""))</f>
        <v/>
      </c>
      <c r="EX14" s="119" t="str">
        <f>IF(AND('Mitred Cutting'!E20="11mm",'Mitred Cutting'!D20="Ultra Silver",'Job Sheet'!P20&lt;&gt;""),(('Job Sheet'!W20+'Job Sheet'!X20)*2)+'Job Sheet'!AG20,IF(AND('Mitred Cutting'!E20="11mm",'Mitred Cutting'!D20="Ultra Silver"),(('Job Sheet'!W20+'Job Sheet'!X20)*2),""))</f>
        <v/>
      </c>
      <c r="EY14" s="119" t="str">
        <f>IF(AND('Mitred Cutting'!E20="11mm",'Mitred Cutting'!D20="Woodland Grey(Green Tone)",'Job Sheet'!P20&lt;&gt;""),(('Job Sheet'!W20+'Job Sheet'!X20)*2)+'Job Sheet'!AG20,IF(AND('Mitred Cutting'!E20="11mm",'Mitred Cutting'!D20="Woodland Grey(Green Tone)"),(('Job Sheet'!W20+'Job Sheet'!X20)*2),""))</f>
        <v/>
      </c>
      <c r="EZ14" s="119" t="str">
        <f>IF(AND('Mitred Cutting'!E20="11mm",'Mitred Cutting'!D20="Pearl White",'Job Sheet'!P20&lt;&gt;""),(('Job Sheet'!W20+'Job Sheet'!X20)*2)+'Job Sheet'!AG20,IF(AND('Mitred Cutting'!E20="11mm",'Mitred Cutting'!D20="Pearl White"),(('Job Sheet'!W20+'Job Sheet'!X20)*2),""))</f>
        <v/>
      </c>
      <c r="FA14" s="119" t="str">
        <f>IF(AND('Mitred Cutting'!E20="11mm",'Mitred Cutting'!D20="Monument",'Job Sheet'!P20&lt;&gt;""),(('Job Sheet'!W20+'Job Sheet'!X20)*2)+'Job Sheet'!AG20,IF(AND('Mitred Cutting'!E20="11mm",'Mitred Cutting'!D20="Monument"),(('Job Sheet'!W20+'Job Sheet'!X20)*2),""))</f>
        <v/>
      </c>
      <c r="FB14" s="119" t="str">
        <f>IF(AND('Mitred Cutting'!E20="11mm",'Mitred Cutting'!D20="Surfmist",'Job Sheet'!P20&lt;&gt;""),(('Job Sheet'!W20+'Job Sheet'!X20)*2)+'Job Sheet'!AG20,IF(AND('Mitred Cutting'!E20="11mm",'Mitred Cutting'!D20="Surfmist"),(('Job Sheet'!W20+'Job Sheet'!X20)*2),""))</f>
        <v/>
      </c>
      <c r="FC14" s="119" t="str">
        <f>IF(AND('Mitred Cutting'!E20="11mm",'Mitred Cutting'!D20="Dune",'Job Sheet'!P20&lt;&gt;""),(('Job Sheet'!W20+'Job Sheet'!X20)*2)+'Job Sheet'!AG20,IF(AND('Mitred Cutting'!E20="11mm",'Mitred Cutting'!D20="Dune"),(('Job Sheet'!W20+'Job Sheet'!X20)*2),""))</f>
        <v/>
      </c>
      <c r="FD14" s="119" t="str">
        <f>IF(AND('Mitred Cutting'!E20="11mm",'Mitred Cutting'!D20="Powdercoat",'Job Sheet'!P20&lt;&gt;""),(('Job Sheet'!W20+'Job Sheet'!X20)*2)+'Job Sheet'!AG20,IF(AND('Mitred Cutting'!E20="11mm",'Mitred Cutting'!D20="Powdercoat"),(('Job Sheet'!W20+'Job Sheet'!X20)*2),""))</f>
        <v/>
      </c>
      <c r="FE14" s="119"/>
      <c r="FF14" s="119"/>
      <c r="FG14" s="119"/>
      <c r="FH14" s="119"/>
      <c r="FI14" s="119"/>
      <c r="FJ14" s="119"/>
      <c r="FK14" s="119"/>
      <c r="FL14" s="119"/>
      <c r="FM14" s="119"/>
      <c r="FN14" s="119"/>
      <c r="FO14" s="119"/>
      <c r="FP14" s="119"/>
      <c r="FQ14" s="119"/>
      <c r="FR14" s="119"/>
      <c r="FS14" s="119"/>
      <c r="FT14" s="119"/>
      <c r="FU14" s="119"/>
      <c r="FV14" s="119"/>
      <c r="FW14" s="119"/>
      <c r="FX14" s="119"/>
      <c r="FY14" s="119"/>
      <c r="FZ14" s="119"/>
      <c r="GA14" s="119"/>
      <c r="GB14" s="119"/>
      <c r="GC14" s="119"/>
      <c r="GD14" s="119"/>
      <c r="GE14" s="119"/>
      <c r="GF14" s="119"/>
      <c r="GG14" s="119"/>
      <c r="GH14" s="119"/>
      <c r="GI14" s="119"/>
      <c r="GJ14" s="119"/>
      <c r="GK14" s="119"/>
      <c r="GL14" s="119"/>
      <c r="GM14" s="119"/>
      <c r="GN14" s="119"/>
      <c r="GO14" s="119"/>
      <c r="GP14" s="119"/>
      <c r="GQ14" s="119"/>
      <c r="GR14" s="119"/>
      <c r="GS14" s="119"/>
      <c r="GT14" s="119"/>
      <c r="GU14" s="119"/>
      <c r="GV14" s="119"/>
      <c r="GW14" s="119"/>
      <c r="GX14" s="119"/>
      <c r="GY14" s="119"/>
      <c r="GZ14" s="119"/>
      <c r="HA14" s="119"/>
      <c r="HB14" s="119"/>
      <c r="HC14" s="119"/>
      <c r="HD14" s="119"/>
      <c r="HE14" s="119"/>
      <c r="HF14" s="119"/>
      <c r="HG14" s="119"/>
      <c r="HH14" s="119"/>
      <c r="HI14" s="119"/>
      <c r="HJ14" s="119"/>
      <c r="HK14" s="119"/>
      <c r="HL14" s="119"/>
      <c r="HM14" s="119"/>
      <c r="HN14" s="119"/>
      <c r="HO14" s="119"/>
      <c r="HP14" s="119"/>
      <c r="HQ14" s="119"/>
      <c r="HR14" s="119"/>
      <c r="HS14" s="119"/>
      <c r="HT14" s="119"/>
      <c r="HU14" s="119"/>
      <c r="HV14" s="119"/>
      <c r="HW14" s="119"/>
      <c r="HX14" s="119"/>
      <c r="HY14" s="119"/>
      <c r="HZ14" s="119"/>
      <c r="IA14" s="119"/>
      <c r="IB14" s="119"/>
      <c r="IC14" s="119"/>
      <c r="ID14" s="119"/>
      <c r="IE14" s="119"/>
      <c r="IF14" s="119"/>
      <c r="IG14" s="119"/>
      <c r="IH14" s="119"/>
      <c r="II14" s="119"/>
      <c r="IJ14" s="119"/>
      <c r="IK14" s="119"/>
      <c r="IL14" s="119"/>
      <c r="IM14" s="119"/>
      <c r="IN14" s="119"/>
      <c r="IO14" s="119"/>
      <c r="IP14" s="119"/>
      <c r="IQ14" s="119"/>
      <c r="IR14" s="119"/>
      <c r="IS14" s="119"/>
      <c r="IT14" s="119"/>
      <c r="IU14" s="119"/>
      <c r="IV14" s="119"/>
      <c r="IW14" s="119"/>
      <c r="IX14" s="119"/>
      <c r="IY14" s="119"/>
      <c r="IZ14" s="119"/>
      <c r="JA14" s="119"/>
      <c r="JB14" s="119"/>
      <c r="JC14" s="119"/>
      <c r="JD14" s="119"/>
      <c r="JE14" s="119"/>
      <c r="JF14" s="119"/>
      <c r="JG14" s="119"/>
      <c r="JH14" s="119"/>
      <c r="JI14" s="119"/>
      <c r="JJ14" s="119"/>
      <c r="JK14" s="119"/>
      <c r="JL14" s="119"/>
      <c r="JM14" s="119"/>
      <c r="JN14" s="119"/>
      <c r="JO14" s="119"/>
      <c r="JP14" s="119"/>
      <c r="JQ14" s="119"/>
      <c r="JR14" s="119"/>
      <c r="JS14" s="119"/>
      <c r="JT14" s="119"/>
      <c r="JU14" s="119"/>
      <c r="JV14" s="119"/>
      <c r="JW14" s="119"/>
      <c r="JX14" s="119"/>
      <c r="JY14" s="119"/>
      <c r="JZ14" s="119"/>
      <c r="KA14" s="119"/>
      <c r="KB14" s="119"/>
      <c r="KC14" s="119"/>
      <c r="KD14" s="119"/>
      <c r="KE14" s="119"/>
      <c r="KF14" s="119"/>
      <c r="KG14" s="119"/>
      <c r="KH14" s="119"/>
      <c r="KI14" s="119"/>
      <c r="KJ14" s="119"/>
      <c r="KK14" s="119"/>
      <c r="KL14" s="119"/>
      <c r="KM14" s="119"/>
      <c r="KN14" s="119"/>
      <c r="KO14" s="119"/>
      <c r="KP14" s="119"/>
      <c r="KQ14" s="119"/>
      <c r="KR14" s="119"/>
      <c r="KS14" s="119"/>
      <c r="KT14" s="119"/>
      <c r="KU14" s="119"/>
      <c r="KV14" s="119"/>
      <c r="KW14" s="119"/>
      <c r="KX14" s="119"/>
      <c r="KY14" s="119"/>
      <c r="KZ14" s="119"/>
      <c r="LA14" s="119"/>
      <c r="LB14" s="119"/>
      <c r="LC14" s="119"/>
      <c r="LD14" s="119"/>
      <c r="LE14" s="119"/>
      <c r="LF14" s="119"/>
      <c r="LG14" s="119"/>
      <c r="LH14" s="119"/>
      <c r="LI14" s="119"/>
      <c r="LJ14" s="119"/>
      <c r="LK14" s="119"/>
      <c r="LL14" s="119"/>
      <c r="LM14" s="119"/>
      <c r="LN14" s="119"/>
      <c r="LO14" s="119"/>
      <c r="LP14" s="119"/>
      <c r="LQ14" s="119"/>
      <c r="LR14" s="119"/>
      <c r="LS14" s="119"/>
      <c r="LT14" s="119"/>
      <c r="LU14" s="119"/>
      <c r="LV14" s="119"/>
      <c r="LW14" s="119"/>
      <c r="LX14" s="119"/>
      <c r="LY14" s="119"/>
      <c r="LZ14" s="119"/>
      <c r="MA14" s="119"/>
      <c r="MB14" s="119"/>
      <c r="MC14" s="119"/>
      <c r="MD14" s="119"/>
      <c r="ME14" s="119"/>
      <c r="MF14" s="119"/>
      <c r="MG14" s="119"/>
      <c r="MH14" s="119"/>
      <c r="MI14" s="119"/>
      <c r="MJ14" s="119"/>
      <c r="MK14" s="121"/>
      <c r="ML14" s="121"/>
      <c r="MM14" s="121"/>
      <c r="MN14" s="121"/>
      <c r="MO14" s="121"/>
      <c r="MP14" s="121"/>
      <c r="MQ14" s="121"/>
      <c r="MR14" s="119" t="str">
        <f>IF(AND('Straight Cutting'!D20="Standard",'Straight Cutting'!E20="APO Grey",'Straight Cutting'!F20&lt;&gt;"",'Straight Cutting'!G20=""),'Straight Cutting'!F20,IF(AND('Straight Cutting'!D20="Standard",'Straight Cutting'!E20="APO Grey",'Straight Cutting'!F20="",'Straight Cutting'!G20&lt;&gt;""),'Straight Cutting'!G20,IF(AND('Straight Cutting'!D20="Standard",'Straight Cutting'!E20="APO Grey",'Straight Cutting'!F20&lt;&gt;"",'Straight Cutting'!G20&lt;&gt;""),'Straight Cutting'!F20+'Job Sheet'!AH20,"")))</f>
        <v/>
      </c>
      <c r="MS14" s="119" t="str">
        <f>IF(AND('Straight Cutting'!D20="Standard",'Straight Cutting'!E20="White Birch",'Straight Cutting'!F20&lt;&gt;"",'Straight Cutting'!G20=""),'Straight Cutting'!F20,IF(AND('Straight Cutting'!D20="Standard",'Straight Cutting'!E20="White Birch",'Straight Cutting'!F20="",'Straight Cutting'!G20&lt;&gt;""),'Straight Cutting'!G20,IF(AND('Straight Cutting'!D20="Standard",'Straight Cutting'!E20="White Birch",'Straight Cutting'!F20&lt;&gt;"",'Straight Cutting'!G20&lt;&gt;""),'Straight Cutting'!F20+'Job Sheet'!AH20,"")))</f>
        <v/>
      </c>
      <c r="MT14" s="119" t="str">
        <f>IF(AND('Straight Cutting'!D20="Standard",'Straight Cutting'!E20="Black",'Straight Cutting'!F20&lt;&gt;"",'Straight Cutting'!G20=""),'Straight Cutting'!F20,IF(AND('Straight Cutting'!D20="Standard",'Straight Cutting'!E20="Black",'Straight Cutting'!F20="",'Straight Cutting'!G20&lt;&gt;""),'Straight Cutting'!G20,IF(AND('Straight Cutting'!D20="Standard",'Straight Cutting'!E20="Black",'Straight Cutting'!F20&lt;&gt;"",'Straight Cutting'!G20&lt;&gt;""),'Straight Cutting'!F20+'Job Sheet'!AH20,"")))</f>
        <v/>
      </c>
      <c r="MU14" s="119" t="str">
        <f>IF(AND('Straight Cutting'!D20="Standard",'Straight Cutting'!E20="Brown",'Straight Cutting'!F20&lt;&gt;"",'Straight Cutting'!G20=""),'Straight Cutting'!F20,IF(AND('Straight Cutting'!D20="Standard",'Straight Cutting'!E20="Brown",'Straight Cutting'!F20="",'Straight Cutting'!G20&lt;&gt;""),'Straight Cutting'!G20,IF(AND('Straight Cutting'!D20="Standard",'Straight Cutting'!E20="Brown",'Straight Cutting'!F20&lt;&gt;"",'Straight Cutting'!G20&lt;&gt;""),'Straight Cutting'!F20+'Job Sheet'!AH20,"")))</f>
        <v/>
      </c>
      <c r="MV14" s="119" t="str">
        <f>IF(AND('Straight Cutting'!D20="Standard",'Straight Cutting'!E20="Deep Ocean",'Straight Cutting'!F20&lt;&gt;"",'Straight Cutting'!G20=""),'Straight Cutting'!F20,IF(AND('Straight Cutting'!D20="Standard",'Straight Cutting'!E20="Deep Ocean",'Straight Cutting'!F20="",'Straight Cutting'!G20&lt;&gt;""),'Straight Cutting'!G20,IF(AND('Straight Cutting'!D20="Standard",'Straight Cutting'!E20="Deep Ocean",'Straight Cutting'!F20&lt;&gt;"",'Straight Cutting'!G20&lt;&gt;""),'Straight Cutting'!F20+'Job Sheet'!AH20,"")))</f>
        <v/>
      </c>
      <c r="MW14" s="119" t="str">
        <f>IF(AND('Straight Cutting'!D20="Standard",'Straight Cutting'!E20="Jasper",'Straight Cutting'!F20&lt;&gt;"",'Straight Cutting'!G20=""),'Straight Cutting'!F20,IF(AND('Straight Cutting'!D20="Standard",'Straight Cutting'!E20="Jasper",'Straight Cutting'!F20="",'Straight Cutting'!G20&lt;&gt;""),'Straight Cutting'!G20,IF(AND('Straight Cutting'!D20="Standard",'Straight Cutting'!E20="Jasper",'Straight Cutting'!F20&lt;&gt;"",'Straight Cutting'!G20&lt;&gt;""),'Straight Cutting'!F20+'Job Sheet'!AH20,"")))</f>
        <v/>
      </c>
      <c r="MX14" s="119" t="str">
        <f>IF(AND('Straight Cutting'!D20="Standard",'Straight Cutting'!E20="Paperbark",'Straight Cutting'!F20&lt;&gt;"",'Straight Cutting'!G20=""),'Straight Cutting'!F20,IF(AND('Straight Cutting'!D20="Standard",'Straight Cutting'!E20="Paperbark",'Straight Cutting'!F20="",'Straight Cutting'!G20&lt;&gt;""),'Straight Cutting'!G20,IF(AND('Straight Cutting'!D20="Standard",'Straight Cutting'!E20="Paperbark",'Straight Cutting'!F20&lt;&gt;"",'Straight Cutting'!G20&lt;&gt;""),'Straight Cutting'!F20+'Job Sheet'!AH20,"")))</f>
        <v/>
      </c>
      <c r="MY14" s="119" t="str">
        <f>IF(AND('Straight Cutting'!D20="Standard",'Straight Cutting'!E20="Mist Green",'Straight Cutting'!F20&lt;&gt;"",'Straight Cutting'!G20=""),'Straight Cutting'!F20,IF(AND('Straight Cutting'!D20="Standard",'Straight Cutting'!E20="Mist Green",'Straight Cutting'!F20="",'Straight Cutting'!G20&lt;&gt;""),'Straight Cutting'!G20,IF(AND('Straight Cutting'!D20="Standard",'Straight Cutting'!E20="Mist Green",'Straight Cutting'!F20&lt;&gt;"",'Straight Cutting'!G20&lt;&gt;""),'Straight Cutting'!F20+'Job Sheet'!AH20,"")))</f>
        <v/>
      </c>
      <c r="MZ14" s="119" t="str">
        <f>IF(AND('Straight Cutting'!D20="Standard",'Straight Cutting'!E20="Primrose",'Straight Cutting'!F20&lt;&gt;"",'Straight Cutting'!G20=""),'Straight Cutting'!F20,IF(AND('Straight Cutting'!D20="Standard",'Straight Cutting'!E20="Primrose",'Straight Cutting'!F20="",'Straight Cutting'!G20&lt;&gt;""),'Straight Cutting'!G20,IF(AND('Straight Cutting'!D20="Standard",'Straight Cutting'!E20="Primrose",'Straight Cutting'!F20&lt;&gt;"",'Straight Cutting'!G20&lt;&gt;""),'Straight Cutting'!F20+'Job Sheet'!AH20,"")))</f>
        <v/>
      </c>
      <c r="NA14" s="119" t="str">
        <f>IF(AND('Straight Cutting'!D20="Standard",'Straight Cutting'!E20="Ultra Silver",'Straight Cutting'!F20&lt;&gt;"",'Straight Cutting'!G20=""),'Straight Cutting'!F20,IF(AND('Straight Cutting'!D20="Standard",'Straight Cutting'!E20="Ultra Silver",'Straight Cutting'!F20="",'Straight Cutting'!G20&lt;&gt;""),'Straight Cutting'!G20,IF(AND('Straight Cutting'!D20="Standard",'Straight Cutting'!E20="Ultra Silver",'Straight Cutting'!F20&lt;&gt;"",'Straight Cutting'!G20&lt;&gt;""),'Straight Cutting'!F20+'Job Sheet'!AH20,"")))</f>
        <v/>
      </c>
      <c r="NB14" s="119" t="str">
        <f>IF(AND('Straight Cutting'!D20="Standard",'Straight Cutting'!E20="Woodland Grey(Green Tone)",'Straight Cutting'!F20&lt;&gt;"",'Straight Cutting'!G20=""),'Straight Cutting'!F20,IF(AND('Straight Cutting'!D20="Standard",'Straight Cutting'!E20="Woodland Grey(Green Tone)",'Straight Cutting'!F20="",'Straight Cutting'!G20&lt;&gt;""),'Straight Cutting'!G20,IF(AND('Straight Cutting'!D20="Standard",'Straight Cutting'!E20="Woodland Grey(Green Tone)",'Straight Cutting'!F20&lt;&gt;"",'Straight Cutting'!G20&lt;&gt;""),'Straight Cutting'!F20+'Job Sheet'!AH20,"")))</f>
        <v/>
      </c>
      <c r="NC14" s="119" t="str">
        <f>IF(AND('Straight Cutting'!D20="Standard",'Straight Cutting'!E20="Pearl White",'Straight Cutting'!F20&lt;&gt;"",'Straight Cutting'!G20=""),'Straight Cutting'!F20,IF(AND('Straight Cutting'!D20="Standard",'Straight Cutting'!E20="Pearl White",'Straight Cutting'!F20="",'Straight Cutting'!G20&lt;&gt;""),'Straight Cutting'!G20,IF(AND('Straight Cutting'!D20="Standard",'Straight Cutting'!E20="Pearl White",'Straight Cutting'!F20&lt;&gt;"",'Straight Cutting'!G20&lt;&gt;""),'Straight Cutting'!F20+'Job Sheet'!AH20,"")))</f>
        <v/>
      </c>
      <c r="ND14" s="119" t="str">
        <f>IF(AND('Straight Cutting'!D20="Standard",'Straight Cutting'!E20="Monument",'Straight Cutting'!F20&lt;&gt;"",'Straight Cutting'!G20=""),'Straight Cutting'!F20,IF(AND('Straight Cutting'!D20="Standard",'Straight Cutting'!E20="Monument",'Straight Cutting'!F20="",'Straight Cutting'!G20&lt;&gt;""),'Straight Cutting'!G20,IF(AND('Straight Cutting'!D20="Standard",'Straight Cutting'!E20="Monument",'Straight Cutting'!F20&lt;&gt;"",'Straight Cutting'!G20&lt;&gt;""),'Straight Cutting'!F20+'Job Sheet'!AH20,"")))</f>
        <v/>
      </c>
      <c r="NE14" s="119" t="str">
        <f>IF(AND('Straight Cutting'!D20="Standard",'Straight Cutting'!E20="Surfmist",'Straight Cutting'!F20&lt;&gt;"",'Straight Cutting'!G20=""),'Straight Cutting'!F20,IF(AND('Straight Cutting'!D20="Standard",'Straight Cutting'!E20="Surfmist",'Straight Cutting'!F20="",'Straight Cutting'!G20&lt;&gt;""),'Straight Cutting'!G20,IF(AND('Straight Cutting'!D20="Standard",'Straight Cutting'!E20="Surfmist",'Straight Cutting'!F20&lt;&gt;"",'Straight Cutting'!G20&lt;&gt;""),'Straight Cutting'!F20+'Job Sheet'!AH20,"")))</f>
        <v/>
      </c>
      <c r="NF14" s="119" t="str">
        <f>IF(AND('Straight Cutting'!D20="Standard",'Straight Cutting'!E20="Dune",'Straight Cutting'!F20&lt;&gt;"",'Straight Cutting'!G20=""),'Straight Cutting'!F20,IF(AND('Straight Cutting'!D20="Standard",'Straight Cutting'!E20="Dune",'Straight Cutting'!F20="",'Straight Cutting'!G20&lt;&gt;""),'Straight Cutting'!G20,IF(AND('Straight Cutting'!D20="Standard",'Straight Cutting'!E20="Dune",'Straight Cutting'!F20&lt;&gt;"",'Straight Cutting'!G20&lt;&gt;""),'Straight Cutting'!F20+'Job Sheet'!AH20,"")))</f>
        <v/>
      </c>
      <c r="NG14" s="119" t="str">
        <f>IF(AND('Straight Cutting'!D20="Standard",'Straight Cutting'!E20="Powdercoat",'Straight Cutting'!F20&lt;&gt;"",'Straight Cutting'!G20=""),'Straight Cutting'!F20,IF(AND('Straight Cutting'!D20="Standard",'Straight Cutting'!E20="Powdercoat",'Straight Cutting'!F20="",'Straight Cutting'!G20&lt;&gt;""),'Straight Cutting'!G20,IF(AND('Straight Cutting'!D20="Standard",'Straight Cutting'!E20="Powdercoat",'Straight Cutting'!F20&lt;&gt;"",'Straight Cutting'!G20&lt;&gt;""),'Straight Cutting'!F20+'Job Sheet'!AH20,"")))</f>
        <v/>
      </c>
      <c r="NH14" s="119" t="str">
        <f>IF(AND('Straight Cutting'!D20="Invisi-Gard",'Straight Cutting'!E20="APO Grey",'Straight Cutting'!F20&lt;&gt;"",'Straight Cutting'!G20=""),'Straight Cutting'!F20,IF(AND('Straight Cutting'!D20="Invisi-Gard",'Straight Cutting'!E20="APO Grey",'Straight Cutting'!F20="",'Straight Cutting'!G20&lt;&gt;""),'Straight Cutting'!G20,IF(AND('Straight Cutting'!D20="Invisi-Gard",'Straight Cutting'!E20="APO Grey",'Straight Cutting'!F20&lt;&gt;"",'Straight Cutting'!G20&lt;&gt;""),'Straight Cutting'!F20+'Job Sheet'!AH20,"")))</f>
        <v/>
      </c>
      <c r="NI14" s="119" t="str">
        <f>IF(AND('Straight Cutting'!D20="Invisi-Gard",'Straight Cutting'!E20="White Birch",'Straight Cutting'!F20&lt;&gt;"",'Straight Cutting'!G20=""),'Straight Cutting'!F20,IF(AND('Straight Cutting'!D20="Invisi-Gard",'Straight Cutting'!E20="White Birch",'Straight Cutting'!F20="",'Straight Cutting'!G20&lt;&gt;""),'Straight Cutting'!G20,IF(AND('Straight Cutting'!D20="Invisi-Gard",'Straight Cutting'!E20="White Birch",'Straight Cutting'!F20&lt;&gt;"",'Straight Cutting'!G20&lt;&gt;""),'Straight Cutting'!F20+'Job Sheet'!AH20,"")))</f>
        <v/>
      </c>
      <c r="NJ14" s="119" t="str">
        <f>IF(AND('Straight Cutting'!D20="Invisi-Gard",'Straight Cutting'!E20="Black",'Straight Cutting'!F20&lt;&gt;"",'Straight Cutting'!G20=""),'Straight Cutting'!F20,IF(AND('Straight Cutting'!D20="Invisi-Gard",'Straight Cutting'!E20="Black",'Straight Cutting'!F20="",'Straight Cutting'!G20&lt;&gt;""),'Straight Cutting'!G20,IF(AND('Straight Cutting'!D20="Invisi-Gard",'Straight Cutting'!E20="Black",'Straight Cutting'!F20&lt;&gt;"",'Straight Cutting'!G20&lt;&gt;""),'Straight Cutting'!F20+'Job Sheet'!AH20,"")))</f>
        <v/>
      </c>
      <c r="NK14" s="119" t="str">
        <f>IF(AND('Straight Cutting'!D20="Invisi-Gard",'Straight Cutting'!E20="Brown",'Straight Cutting'!F20&lt;&gt;"",'Straight Cutting'!G20=""),'Straight Cutting'!F20,IF(AND('Straight Cutting'!D20="Invisi-Gard",'Straight Cutting'!E20="Brown",'Straight Cutting'!F20="",'Straight Cutting'!G20&lt;&gt;""),'Straight Cutting'!G20,IF(AND('Straight Cutting'!D20="Invisi-Gard",'Straight Cutting'!E20="Brown",'Straight Cutting'!F20&lt;&gt;"",'Straight Cutting'!G20&lt;&gt;""),'Straight Cutting'!F20+'Job Sheet'!AH20,"")))</f>
        <v/>
      </c>
      <c r="NL14" s="119" t="str">
        <f>IF(AND('Straight Cutting'!D20="Invisi-Gard",'Straight Cutting'!E20="Deep Ocean",'Straight Cutting'!F20&lt;&gt;"",'Straight Cutting'!G20=""),'Straight Cutting'!F20,IF(AND('Straight Cutting'!D20="Invisi-Gard",'Straight Cutting'!E20="Deep Ocean",'Straight Cutting'!F20="",'Straight Cutting'!G20&lt;&gt;""),'Straight Cutting'!G20,IF(AND('Straight Cutting'!D20="Invisi-Gard",'Straight Cutting'!E20="Deep Ocean",'Straight Cutting'!F20&lt;&gt;"",'Straight Cutting'!G20&lt;&gt;""),'Straight Cutting'!F20+'Job Sheet'!AH20,"")))</f>
        <v/>
      </c>
      <c r="NM14" s="119" t="str">
        <f>IF(AND('Straight Cutting'!D20="Invisi-Gard",'Straight Cutting'!E20="Jasper",'Straight Cutting'!F20&lt;&gt;"",'Straight Cutting'!G20=""),'Straight Cutting'!F20,IF(AND('Straight Cutting'!D20="Invisi-Gard",'Straight Cutting'!E20="Jasper",'Straight Cutting'!F20="",'Straight Cutting'!G20&lt;&gt;""),'Straight Cutting'!G20,IF(AND('Straight Cutting'!D20="Invisi-Gard",'Straight Cutting'!E20="Jasper",'Straight Cutting'!F20&lt;&gt;"",'Straight Cutting'!G20&lt;&gt;""),'Straight Cutting'!F20+'Job Sheet'!AH20,"")))</f>
        <v/>
      </c>
      <c r="NN14" s="119" t="str">
        <f>IF(AND('Straight Cutting'!D20="Invisi-Gard",'Straight Cutting'!E20="Paperbark",'Straight Cutting'!F20&lt;&gt;"",'Straight Cutting'!G20=""),'Straight Cutting'!F20,IF(AND('Straight Cutting'!D20="Invisi-Gard",'Straight Cutting'!E20="Paperbark",'Straight Cutting'!F20="",'Straight Cutting'!G20&lt;&gt;""),'Straight Cutting'!G20,IF(AND('Straight Cutting'!D20="Invisi-Gard",'Straight Cutting'!E20="Paperbark",'Straight Cutting'!F20&lt;&gt;"",'Straight Cutting'!G20&lt;&gt;""),'Straight Cutting'!F20+'Job Sheet'!AH20,"")))</f>
        <v/>
      </c>
      <c r="NO14" s="119" t="str">
        <f>IF(AND('Straight Cutting'!D20="Invisi-Gard",'Straight Cutting'!E20="Mist Green",'Straight Cutting'!F20&lt;&gt;"",'Straight Cutting'!G20=""),'Straight Cutting'!F20,IF(AND('Straight Cutting'!D20="Invisi-Gard",'Straight Cutting'!E20="Mist Green",'Straight Cutting'!F20="",'Straight Cutting'!G20&lt;&gt;""),'Straight Cutting'!G20,IF(AND('Straight Cutting'!D20="Invisi-Gard",'Straight Cutting'!E20="Mist Green",'Straight Cutting'!F20&lt;&gt;"",'Straight Cutting'!G20&lt;&gt;""),'Straight Cutting'!F20+'Job Sheet'!AH20,"")))</f>
        <v/>
      </c>
      <c r="NP14" s="119" t="str">
        <f>IF(AND('Straight Cutting'!D20="Invisi-Gard",'Straight Cutting'!E20="Primrose",'Straight Cutting'!F20&lt;&gt;"",'Straight Cutting'!G20=""),'Straight Cutting'!F20,IF(AND('Straight Cutting'!D20="Invisi-Gard",'Straight Cutting'!E20="Primrose",'Straight Cutting'!F20="",'Straight Cutting'!G20&lt;&gt;""),'Straight Cutting'!G20,IF(AND('Straight Cutting'!D20="Invisi-Gard",'Straight Cutting'!E20="Primrose",'Straight Cutting'!F20&lt;&gt;"",'Straight Cutting'!G20&lt;&gt;""),'Straight Cutting'!F20+'Job Sheet'!AH20,"")))</f>
        <v/>
      </c>
      <c r="NQ14" s="119" t="str">
        <f>IF(AND('Straight Cutting'!D20="Invisi-Gard",'Straight Cutting'!E20="Ultra Silver",'Straight Cutting'!F20&lt;&gt;"",'Straight Cutting'!G20=""),'Straight Cutting'!F20,IF(AND('Straight Cutting'!D20="Invisi-Gard",'Straight Cutting'!E20="Ultra Silver",'Straight Cutting'!F20="",'Straight Cutting'!G20&lt;&gt;""),'Straight Cutting'!G20,IF(AND('Straight Cutting'!D20="Invisi-Gard",'Straight Cutting'!E20="Ultra Silver",'Straight Cutting'!F20&lt;&gt;"",'Straight Cutting'!G20&lt;&gt;""),'Straight Cutting'!F20+'Job Sheet'!AH20,"")))</f>
        <v/>
      </c>
      <c r="NR14" s="119" t="str">
        <f>IF(AND('Straight Cutting'!D20="Invisi-Gard",'Straight Cutting'!E20="Woodland Grey(Green Tone)",'Straight Cutting'!F20&lt;&gt;"",'Straight Cutting'!G20=""),'Straight Cutting'!F20,IF(AND('Straight Cutting'!D20="Invisi-Gard",'Straight Cutting'!E20="Woodland Grey(Green Tone)",'Straight Cutting'!F20="",'Straight Cutting'!G20&lt;&gt;""),'Straight Cutting'!G20,IF(AND('Straight Cutting'!D20="Invisi-Gard",'Straight Cutting'!E20="Woodland Grey(Green Tone)",'Straight Cutting'!F20&lt;&gt;"",'Straight Cutting'!G20&lt;&gt;""),'Straight Cutting'!F20+'Job Sheet'!AH20,"")))</f>
        <v/>
      </c>
      <c r="NS14" s="119" t="str">
        <f>IF(AND('Straight Cutting'!D20="Invisi-Gard",'Straight Cutting'!E20="Pearl White",'Straight Cutting'!F20&lt;&gt;"",'Straight Cutting'!G20=""),'Straight Cutting'!F20,IF(AND('Straight Cutting'!D20="Invisi-Gard",'Straight Cutting'!E20="Pearl White",'Straight Cutting'!F20="",'Straight Cutting'!G20&lt;&gt;""),'Straight Cutting'!G20,IF(AND('Straight Cutting'!D20="Invisi-Gard",'Straight Cutting'!E20="Pearl White",'Straight Cutting'!F20&lt;&gt;"",'Straight Cutting'!G20&lt;&gt;""),'Straight Cutting'!F20+'Job Sheet'!AH20,"")))</f>
        <v/>
      </c>
      <c r="NT14" s="119" t="str">
        <f>IF(AND('Straight Cutting'!D20="Invisi-Gard",'Straight Cutting'!E20="Monument",'Straight Cutting'!F20&lt;&gt;"",'Straight Cutting'!G20=""),'Straight Cutting'!F20,IF(AND('Straight Cutting'!D20="Invisi-Gard",'Straight Cutting'!E20="Monument",'Straight Cutting'!F20="",'Straight Cutting'!G20&lt;&gt;""),'Straight Cutting'!G20,IF(AND('Straight Cutting'!D20="Invisi-Gard",'Straight Cutting'!E20="Monument",'Straight Cutting'!F20&lt;&gt;"",'Straight Cutting'!G20&lt;&gt;""),'Straight Cutting'!F20+'Job Sheet'!AH20,"")))</f>
        <v/>
      </c>
      <c r="NU14" s="119" t="str">
        <f>IF(AND('Straight Cutting'!D20="Invisi-Gard",'Straight Cutting'!E20="Surfmist",'Straight Cutting'!F20&lt;&gt;"",'Straight Cutting'!G20=""),'Straight Cutting'!F20,IF(AND('Straight Cutting'!D20="Invisi-Gard",'Straight Cutting'!E20="Surfmist",'Straight Cutting'!F20="",'Straight Cutting'!G20&lt;&gt;""),'Straight Cutting'!G20,IF(AND('Straight Cutting'!D20="Invisi-Gard",'Straight Cutting'!E20="Surfmist",'Straight Cutting'!F20&lt;&gt;"",'Straight Cutting'!G20&lt;&gt;""),'Straight Cutting'!F20+'Job Sheet'!AH20,"")))</f>
        <v/>
      </c>
      <c r="NV14" s="119" t="str">
        <f>IF(AND('Straight Cutting'!D20="Invisi-Gard",'Straight Cutting'!E20="Dune",'Straight Cutting'!F20&lt;&gt;"",'Straight Cutting'!G20=""),'Straight Cutting'!F20,IF(AND('Straight Cutting'!D20="Invisi-Gard",'Straight Cutting'!E20="Dune",'Straight Cutting'!F20="",'Straight Cutting'!G20&lt;&gt;""),'Straight Cutting'!G20,IF(AND('Straight Cutting'!D20="Invisi-Gard",'Straight Cutting'!E20="Dune",'Straight Cutting'!F20&lt;&gt;"",'Straight Cutting'!G20&lt;&gt;""),'Straight Cutting'!F20+'Job Sheet'!AH20,"")))</f>
        <v/>
      </c>
      <c r="NW14" s="119" t="str">
        <f>IF(AND('Straight Cutting'!D20="Invisi-Gard",'Straight Cutting'!E20="Powdercoat",'Straight Cutting'!F20&lt;&gt;"",'Straight Cutting'!G20=""),'Straight Cutting'!F20,IF(AND('Straight Cutting'!D20="Invisi-Gard",'Straight Cutting'!E20="Powdercoat",'Straight Cutting'!F20="",'Straight Cutting'!G20&lt;&gt;""),'Straight Cutting'!G20,IF(AND('Straight Cutting'!D20="Invisi-Gard",'Straight Cutting'!E20="Powdercoat",'Straight Cutting'!F20&lt;&gt;"",'Straight Cutting'!G20&lt;&gt;""),'Straight Cutting'!F20+'Job Sheet'!AH20,"")))</f>
        <v/>
      </c>
      <c r="NX14" s="119" t="str">
        <f>IF(AND('Job Sheet'!O20="Yes",'Mitred Cutting'!D20="APO Grey"),'Straight Cutting'!I20,"")</f>
        <v/>
      </c>
      <c r="NY14" s="119" t="str">
        <f>IF(AND('Job Sheet'!O20="Yes",'Mitred Cutting'!D20="White Birch"),'Straight Cutting'!I20,"")</f>
        <v/>
      </c>
      <c r="NZ14" s="119" t="str">
        <f>IF(AND('Job Sheet'!O20="Yes",'Mitred Cutting'!D20="Black"),'Straight Cutting'!I20,"")</f>
        <v/>
      </c>
      <c r="OA14" s="119" t="str">
        <f>IF(AND('Job Sheet'!O20="Yes",'Mitred Cutting'!D20="Brown"),'Straight Cutting'!I20,"")</f>
        <v/>
      </c>
      <c r="OB14" s="119" t="str">
        <f>IF(AND('Job Sheet'!O20="Yes",'Mitred Cutting'!D20="Deep Ocean"),'Straight Cutting'!I20,"")</f>
        <v/>
      </c>
      <c r="OC14" s="119" t="str">
        <f>IF(AND('Job Sheet'!O20="Yes",'Mitred Cutting'!D20="Jasper"),'Straight Cutting'!I20,"")</f>
        <v/>
      </c>
      <c r="OD14" s="119" t="str">
        <f>IF(AND('Job Sheet'!O20="Yes",'Mitred Cutting'!D20="Paperbark"),'Straight Cutting'!I20,"")</f>
        <v/>
      </c>
      <c r="OE14" s="119" t="str">
        <f>IF(AND('Job Sheet'!O20="Yes",'Mitred Cutting'!D20="Mist Green"),'Straight Cutting'!I20,"")</f>
        <v/>
      </c>
      <c r="OF14" s="119" t="str">
        <f>IF(AND('Job Sheet'!O20="Yes",'Mitred Cutting'!D20="Primrose"),'Straight Cutting'!I20,"")</f>
        <v/>
      </c>
      <c r="OG14" s="119" t="str">
        <f>IF(AND('Job Sheet'!O20="Yes",'Mitred Cutting'!D20="Ultra Silver"),'Straight Cutting'!I20,"")</f>
        <v/>
      </c>
      <c r="OH14" s="119" t="str">
        <f>IF(AND('Job Sheet'!O20="Yes",'Mitred Cutting'!D20="Woodland Grey(Green Tone)"),'Straight Cutting'!I20,"")</f>
        <v/>
      </c>
      <c r="OI14" s="119" t="str">
        <f>IF(AND('Job Sheet'!O20="Yes",'Mitred Cutting'!D20="Pearl White"),'Straight Cutting'!I20,"")</f>
        <v/>
      </c>
      <c r="OJ14" s="119" t="str">
        <f>IF(AND('Job Sheet'!O20="Yes",'Mitred Cutting'!D20="Monument"),'Straight Cutting'!I20,"")</f>
        <v/>
      </c>
      <c r="OK14" s="119" t="str">
        <f>IF(AND('Job Sheet'!O20="Yes",'Mitred Cutting'!D20="Surfmist"),'Straight Cutting'!I20,"")</f>
        <v/>
      </c>
      <c r="OL14" s="119" t="str">
        <f>IF(AND('Job Sheet'!O20="Yes",'Mitred Cutting'!D20="Dune"),'Straight Cutting'!I20,"")</f>
        <v/>
      </c>
      <c r="OM14" s="119" t="str">
        <f>IF(AND('Job Sheet'!O20="Yes",'Mitred Cutting'!D20="Powdercoat"),'Straight Cutting'!I20,"")</f>
        <v/>
      </c>
      <c r="ON14" s="121" t="str">
        <f>IF(OR(Data!AW20="",'Job Sheet'!L20="37mm x 11mm",'Job Sheet'!L20="9mm",'Job Sheet'!L20="11mm"),"",IF(VLOOKUP(CONCATENATE(Data!BO20,'Job Sheet'!J20),DoorType,4,FALSE)="Yes",(('Job Sheet'!W20-98)*2+('Job Sheet'!X20-96)*2)/2700,""))</f>
        <v/>
      </c>
      <c r="OO14" s="121" t="str">
        <f>IF(Data!AW20="","",IF('Mitred Cutting'!G20="1.6mm",(('Job Sheet'!W20-114)*2+('Job Sheet'!X20-114)*2)/3100,""))</f>
        <v/>
      </c>
      <c r="OP14" s="121" t="str">
        <f>IF(Data!AW20="","",IF('Mitred Cutting'!G20="2mm",(('Job Sheet'!W20-114)*2+('Job Sheet'!X20-114)*2)/3100,""))</f>
        <v/>
      </c>
      <c r="OQ14" s="122" t="str">
        <f>IF(OR(Data!AW20="",Data!BN20="Invisi-Scape",'Job Sheet'!AC20=""),"",IF(OR('Job Sheet'!P20="Yes - Centre Horizontal",'Job Sheet'!P20="Yes - Centre Vertical"),('Job Sheet'!AC20*4+'Job Sheet'!AE20*4)/4000,IF('Job Sheet'!P20="Yes - Horizontal",('Job Sheet'!AC20*4+'Job Sheet'!AE20*2+'Job Sheet'!AF20*2)/4000,IF('Job Sheet'!P20="Yes - Vertical",('Job Sheet'!AC20*2+'Job Sheet'!AE20*4)/4000,IF('Job Sheet'!P20="",('Job Sheet'!AC20*2+'Job Sheet'!AE20*2)/4000,IF('Job Sheet'!P20="Yes - Horizontal &amp; Vertical",('Job Sheet'!AC20*4+'Job Sheet'!AD20*4+'Job Sheet'!AE20*4+'Job Sheet'!AF20*4)/4000,IF('Job Sheet'!P20="Yes - Centre Horizontal &amp; Vertical",('Job Sheet'!AC20*8+'Job Sheet'!AE20*8)/4000,"")))))))</f>
        <v/>
      </c>
      <c r="OR14" s="122" t="str">
        <f t="shared" si="1"/>
        <v/>
      </c>
      <c r="OS14" s="122" t="str">
        <f t="shared" si="2"/>
        <v/>
      </c>
      <c r="OT14" s="119"/>
      <c r="OU14" s="119" t="str">
        <f>IF(Data!AW20="","",IF(OR('Job Sheet'!J20="Fibreglass Mesh",'Job Sheet'!J20="Pet Mesh",'Job Sheet'!J20="DVA Mesh",'Job Sheet'!J20="Tuff Mesh",'Job Sheet'!J20="Alu-screen",Data!BO20="Fibreglass Mesh",Data!BO20="Pet Mesh",Data!BO20="DVA Mesh",Data!BO20="Tuff Mesh",Data!BO20="Alu-screen"),(('Job Sheet'!W20-98)*2+('Job Sheet'!X20-96)*2),""))</f>
        <v/>
      </c>
      <c r="OV14" s="119"/>
      <c r="OW14" s="119"/>
      <c r="OX14" s="119"/>
      <c r="OY14" s="119"/>
      <c r="OZ14" s="119"/>
      <c r="PA14" s="119"/>
      <c r="PB14" s="119"/>
      <c r="PC14" s="119"/>
      <c r="PD14" s="119" t="str">
        <f>IF(OR('Mitred Cutting'!E20="70mm x 20mm",'Mitred Cutting'!E20="Invisi-Gard 70mm x 20mm"),4,"")</f>
        <v/>
      </c>
      <c r="PE14" s="119" t="str">
        <f>IF('Mitred Cutting'!E20="37mm x 11mm",4,"")</f>
        <v/>
      </c>
      <c r="PF14" s="119" t="str">
        <f>IF('Mitred Cutting'!E20="Invisi-Gard 37mm x 9mm",4,"")</f>
        <v/>
      </c>
      <c r="PG14" s="119" t="str">
        <f>IF('Mitred Cutting'!E20="Invisi-Gard 37mm x 11mm",4,"")</f>
        <v/>
      </c>
      <c r="PH14" s="119" t="str">
        <f>IF('Mitred Cutting'!E20="9mm",4,"")</f>
        <v/>
      </c>
      <c r="PI14" s="119" t="str">
        <f>IF('Mitred Cutting'!E20="11mm",4,"")</f>
        <v/>
      </c>
      <c r="PJ14" s="119"/>
      <c r="PK14" s="119" t="str">
        <f>IF(OR('Job Sheet'!N20="Yes - Front of Frame",'Job Sheet'!N20="Yes - Back of Frame"),1,"")</f>
        <v/>
      </c>
      <c r="PL14" s="119" t="str">
        <f>IF('Job Sheet'!M20="Swivel Clips Extended x 2",2,IF('Job Sheet'!M20="Swivel Clips Extended x 4",4,IF('Job Sheet'!M20="Swivel Clips Extended x 6",6,"")))</f>
        <v/>
      </c>
      <c r="PM14" s="119" t="str">
        <f>IF('Job Sheet'!M20="Swivel Clips Flush x 2",2,IF('Job Sheet'!M20="Swivel Clips Flush x 4",4,IF('Job Sheet'!M20="Swivel Clips Flush x 6",6,"")))</f>
        <v/>
      </c>
      <c r="PN14" s="119" t="str">
        <f>IF('Job Sheet'!M20="Plunger Pins x 2",2,IF('Job Sheet'!M20="Plunger Pins x 4",4,IF('Job Sheet'!M20="Plunger Pins x 6",6,"")))</f>
        <v/>
      </c>
      <c r="PO14" s="119"/>
      <c r="PP14" s="119"/>
      <c r="PQ14" s="119"/>
      <c r="PR14" s="119"/>
      <c r="PS14" s="119"/>
      <c r="PT14" s="119"/>
      <c r="PU14" s="119"/>
      <c r="PV14" s="119"/>
      <c r="PW14" s="119"/>
      <c r="PX14" s="119"/>
      <c r="PY14" s="119"/>
      <c r="PZ14" s="119"/>
      <c r="QA14" s="119"/>
      <c r="QB14" s="119"/>
      <c r="QC14" s="119"/>
      <c r="QD14" s="119"/>
      <c r="QE14" s="119"/>
      <c r="QF14" s="119"/>
      <c r="QG14" s="119"/>
      <c r="QH14" s="119"/>
      <c r="QI14" s="119"/>
      <c r="QJ14" s="119"/>
      <c r="QK14" s="119"/>
      <c r="QL14" s="119"/>
      <c r="QM14" s="119"/>
      <c r="QN14" s="119"/>
      <c r="QO14" s="119"/>
      <c r="QP14" s="119"/>
      <c r="QQ14" s="119"/>
      <c r="QR14" s="119"/>
      <c r="QS14" s="119"/>
      <c r="QT14" s="119"/>
      <c r="QU14" s="119"/>
      <c r="QV14" s="119"/>
      <c r="QW14" s="119"/>
      <c r="QX14" s="119"/>
      <c r="QY14" s="123"/>
      <c r="RD14" s="83" t="str">
        <f>IF('Assembly &amp; Bagging'!J20="2 Hinges","2",IF('Assembly &amp; Bagging'!J20="3 Hinges","3",""))</f>
        <v/>
      </c>
      <c r="RH14" s="119"/>
      <c r="RL14" s="83" t="str">
        <f>IF(OR('Job Sheet'!M20="Hinged LHS with Slide Bolt on Inside",'Job Sheet'!M20="Hinged LHS with Slide Bolt on Inside"),1,"")</f>
        <v/>
      </c>
      <c r="RM14" s="119"/>
      <c r="RO14" s="83" t="str">
        <f>IF('Straight Cutting'!D20&lt;&gt;"Invisi-Gard","",IF(AND('Straight Cutting'!F20&lt;&gt;"",'Straight Cutting'!G20&lt;&gt;""),6,2))</f>
        <v/>
      </c>
      <c r="RP14" s="83" t="str">
        <f>IF(AND('Job Sheet'!P20&lt;&gt;"",(OR('Mitred Cutting'!E20="9mm",'Mitred Cutting'!E20="11mm"))),2,"")</f>
        <v/>
      </c>
      <c r="RR14" s="119" t="str">
        <f>Guillotine!E20</f>
        <v/>
      </c>
      <c r="RS14" s="83" t="str">
        <f>IF('Assembly &amp; Bagging'!E20="Flywire","",IF('Assembly &amp; Bagging'!E20="Invisi-Gard Woven Stainless Steel","Woven Stainless Steel",'Assembly &amp; Bagging'!E20))</f>
        <v/>
      </c>
      <c r="RT14" s="119"/>
      <c r="RU14" s="119"/>
      <c r="RV14" s="119"/>
      <c r="RW14" s="119"/>
      <c r="RX14" s="119"/>
      <c r="RY14" s="119"/>
      <c r="RZ14" s="119"/>
      <c r="SA14" s="119"/>
      <c r="SB14" s="119"/>
      <c r="SC14" s="119"/>
      <c r="SD14" s="119"/>
      <c r="SE14" s="119"/>
      <c r="SF14" s="119"/>
      <c r="SG14" s="119"/>
      <c r="SH14" s="119"/>
      <c r="SI14" s="119"/>
      <c r="SJ14" s="119"/>
      <c r="SK14" s="119"/>
      <c r="SL14" s="119"/>
      <c r="SM14" s="119"/>
      <c r="SN14" s="119"/>
      <c r="SO14" s="119"/>
      <c r="SP14" s="119"/>
      <c r="SQ14" s="119"/>
      <c r="SR14" s="119"/>
      <c r="SS14" s="119"/>
      <c r="ST14" s="119"/>
      <c r="SU14" s="119"/>
      <c r="SV14" s="119"/>
      <c r="SW14" s="119"/>
      <c r="SX14" s="119"/>
      <c r="SY14" s="119"/>
      <c r="SZ14" s="119"/>
      <c r="TA14" s="119"/>
      <c r="TB14" s="119"/>
      <c r="TC14" s="119"/>
      <c r="TD14" s="119"/>
      <c r="TE14" s="119"/>
      <c r="TF14" s="119"/>
      <c r="TG14" s="119"/>
      <c r="TH14" s="119"/>
      <c r="TI14" s="119"/>
      <c r="TJ14" s="119"/>
      <c r="TK14" s="119"/>
      <c r="TL14" s="119"/>
      <c r="TM14" s="119"/>
      <c r="TN14" s="119"/>
      <c r="TO14" s="119"/>
      <c r="TP14" s="119"/>
      <c r="TQ14" s="119"/>
      <c r="TR14" s="119"/>
      <c r="TS14" s="119"/>
      <c r="TT14" s="119"/>
      <c r="TU14" s="119"/>
      <c r="TV14" s="119"/>
      <c r="TW14" s="119"/>
      <c r="TX14" s="119"/>
      <c r="TY14" s="119"/>
      <c r="TZ14" s="119"/>
      <c r="UA14" s="119"/>
      <c r="UB14" s="119"/>
      <c r="UC14" s="119"/>
      <c r="UD14" s="119"/>
      <c r="UE14" s="119"/>
      <c r="UF14" s="119"/>
      <c r="UG14" s="119"/>
      <c r="UH14" s="119"/>
      <c r="UI14" s="119"/>
      <c r="UJ14" s="119"/>
      <c r="UK14" s="119"/>
      <c r="UL14" s="119"/>
      <c r="UM14" s="119"/>
      <c r="UN14" s="119"/>
      <c r="UO14" s="119"/>
      <c r="UP14" s="119"/>
      <c r="UQ14" s="119"/>
      <c r="UR14" s="119"/>
      <c r="US14" s="119"/>
      <c r="UT14" s="119"/>
      <c r="UU14" s="119"/>
      <c r="UV14" s="119"/>
      <c r="UW14" s="119"/>
      <c r="UX14" s="119"/>
      <c r="UY14" s="119"/>
      <c r="UZ14" s="119"/>
      <c r="VA14" s="119"/>
      <c r="VB14" s="119"/>
      <c r="VC14" s="119"/>
      <c r="VD14" s="119"/>
      <c r="VE14" s="119"/>
      <c r="VF14" s="119"/>
      <c r="VG14" s="119"/>
      <c r="VH14" s="119"/>
      <c r="VI14" s="119"/>
      <c r="VJ14" s="119"/>
      <c r="VK14" s="119"/>
      <c r="VL14" s="119"/>
      <c r="VM14" s="119"/>
      <c r="VN14" s="119"/>
      <c r="VO14" s="119"/>
      <c r="VP14" s="119"/>
      <c r="VQ14" s="119"/>
      <c r="VR14" s="119"/>
      <c r="VS14" s="119"/>
      <c r="VT14" s="119"/>
      <c r="VU14" s="119"/>
      <c r="VV14" s="119"/>
      <c r="VW14" s="119"/>
      <c r="VX14" s="119"/>
      <c r="VY14" s="119"/>
      <c r="VZ14" s="119"/>
      <c r="WA14" s="119"/>
      <c r="WB14" s="119"/>
      <c r="WC14" s="119"/>
      <c r="WD14" s="119"/>
      <c r="WE14" s="119"/>
      <c r="WF14" s="119"/>
      <c r="WG14" s="119"/>
      <c r="WH14" s="119"/>
      <c r="WI14" s="119"/>
      <c r="WJ14" s="119"/>
      <c r="WK14" s="119"/>
      <c r="WL14" s="119"/>
      <c r="WM14" s="119"/>
      <c r="WN14" s="119"/>
      <c r="WO14" s="119"/>
      <c r="WP14" s="119"/>
      <c r="WQ14" s="119"/>
      <c r="WR14" s="119"/>
      <c r="WS14" s="119"/>
      <c r="WT14" s="119"/>
      <c r="WU14" s="119"/>
      <c r="WV14" s="119"/>
      <c r="WW14" s="119"/>
      <c r="WX14" s="119"/>
      <c r="WY14" s="119"/>
      <c r="WZ14" s="119"/>
      <c r="XA14" s="119"/>
      <c r="XB14" s="119"/>
      <c r="XC14" s="119"/>
      <c r="XD14" s="119"/>
      <c r="XE14" s="119"/>
      <c r="XF14" s="119"/>
      <c r="XG14" s="119"/>
      <c r="XH14" s="119"/>
      <c r="XI14" s="119"/>
      <c r="XJ14" s="119"/>
      <c r="XK14" s="119"/>
      <c r="XL14" s="119"/>
      <c r="XM14" s="119"/>
      <c r="XN14" s="119"/>
      <c r="XO14" s="119"/>
      <c r="XP14" s="119"/>
      <c r="XQ14" s="119"/>
      <c r="XR14" s="119"/>
      <c r="XS14" s="119"/>
      <c r="XT14" s="119"/>
      <c r="XU14" s="119"/>
      <c r="XV14" s="119"/>
      <c r="XW14" s="119"/>
      <c r="XX14" s="119"/>
      <c r="XY14" s="119"/>
      <c r="XZ14" s="119"/>
      <c r="YA14" s="119"/>
      <c r="YB14" s="119"/>
      <c r="YC14" s="119"/>
      <c r="YD14" s="119"/>
      <c r="YE14" s="119"/>
      <c r="YF14" s="119"/>
      <c r="YG14" s="119"/>
      <c r="YH14" s="119"/>
      <c r="YI14" s="119"/>
      <c r="YJ14" s="119"/>
      <c r="YK14" s="119"/>
      <c r="YL14" s="119"/>
      <c r="YM14" s="119"/>
      <c r="YN14" s="119"/>
      <c r="YO14" s="119"/>
      <c r="YP14" s="119"/>
      <c r="YQ14" s="119"/>
      <c r="YR14" s="119"/>
      <c r="YS14" s="119"/>
      <c r="YT14" s="119"/>
      <c r="YU14" s="119"/>
      <c r="YV14" s="119"/>
      <c r="YW14" s="119"/>
      <c r="YX14" s="119"/>
      <c r="YY14" s="119"/>
      <c r="YZ14" s="119"/>
      <c r="ZA14" s="119"/>
      <c r="ZB14" s="119"/>
      <c r="ZC14" s="119"/>
      <c r="ZD14" s="119"/>
      <c r="ZE14" s="119"/>
      <c r="ZF14" s="119"/>
      <c r="ZG14" s="119"/>
      <c r="ZH14" s="119"/>
      <c r="ZI14" s="119"/>
      <c r="ZJ14" s="119"/>
      <c r="ZK14" s="119"/>
      <c r="ZL14" s="119"/>
      <c r="ZM14" s="119"/>
      <c r="ZN14" s="119"/>
      <c r="ZO14" s="119"/>
      <c r="ZP14" s="119"/>
      <c r="ZQ14" s="119"/>
      <c r="ZR14" s="119"/>
      <c r="ZS14" s="119"/>
      <c r="ZT14" s="119"/>
      <c r="ZU14" s="119"/>
      <c r="ZV14" s="119"/>
      <c r="ZW14" s="119"/>
      <c r="ZX14" s="119"/>
      <c r="ZY14" s="119"/>
      <c r="ZZ14" s="119"/>
      <c r="AAA14" s="119"/>
      <c r="AAB14" s="119"/>
      <c r="AAC14" s="119"/>
      <c r="AAD14" s="119"/>
      <c r="AAE14" s="119"/>
      <c r="AAF14" s="119"/>
      <c r="AAG14" s="119"/>
      <c r="AAH14" s="119"/>
      <c r="AAI14" s="119"/>
      <c r="AAJ14" s="119"/>
      <c r="AAK14" s="119"/>
      <c r="AAL14" s="119"/>
      <c r="AAM14" s="119"/>
      <c r="AAN14" s="119"/>
      <c r="AAO14" s="119"/>
      <c r="AAP14" s="119"/>
      <c r="AAQ14" s="119"/>
      <c r="AAR14" s="119"/>
      <c r="AAS14" s="119"/>
      <c r="AAT14" s="119"/>
      <c r="AAU14" s="119"/>
      <c r="AAV14" s="119"/>
      <c r="AAW14" s="119"/>
      <c r="AAX14" s="119"/>
      <c r="AAY14" s="119"/>
      <c r="AAZ14" s="119"/>
      <c r="ABA14" s="119"/>
      <c r="ABB14" s="119"/>
      <c r="ABC14" s="119"/>
      <c r="ABD14" s="119"/>
      <c r="ABE14" s="119"/>
      <c r="ABF14" s="119"/>
      <c r="ABG14" s="119"/>
      <c r="ABH14" s="119"/>
      <c r="ABI14" s="119"/>
      <c r="ABJ14" s="119"/>
      <c r="ABK14" s="119"/>
      <c r="ABL14" s="119"/>
      <c r="ABM14" s="119"/>
      <c r="ABN14" s="119"/>
      <c r="ABO14" s="119"/>
      <c r="ABP14" s="119"/>
      <c r="ABQ14" s="119"/>
      <c r="ABR14" s="119"/>
      <c r="ABS14" s="119"/>
      <c r="ABT14" s="119"/>
      <c r="ABU14" s="119"/>
      <c r="ABV14" s="119"/>
      <c r="ABW14" s="119"/>
      <c r="ABX14" s="119"/>
      <c r="ABY14" s="119"/>
      <c r="ABZ14" s="119"/>
      <c r="ACA14" s="119"/>
      <c r="ACB14" s="119"/>
      <c r="ACC14" s="119"/>
      <c r="ACD14" s="119" t="str">
        <f>IF('Job Sheet'!J20="Fibreglass Mesh",CONCATENATE('Job Sheet'!W20," x ",'Job Sheet'!X20),"")</f>
        <v/>
      </c>
      <c r="ACE14" s="119" t="str">
        <f>IF('Job Sheet'!J20="Alu-screen",CONCATENATE('Job Sheet'!W20," x ",'Job Sheet'!X20),"")</f>
        <v/>
      </c>
      <c r="ACF14" s="119" t="str">
        <f>IF('Job Sheet'!J20="Pet Mesh",CONCATENATE('Job Sheet'!W20," x ",'Job Sheet'!X20),"")</f>
        <v/>
      </c>
      <c r="ACH14" s="119"/>
    </row>
  </sheetData>
  <mergeCells count="74">
    <mergeCell ref="AR2:BH2"/>
    <mergeCell ref="AA2:AQ2"/>
    <mergeCell ref="J2:Z2"/>
    <mergeCell ref="CQ2:DG2"/>
    <mergeCell ref="BZ2:CP2"/>
    <mergeCell ref="BI2:BY2"/>
    <mergeCell ref="EO2:FD2"/>
    <mergeCell ref="DY2:EN2"/>
    <mergeCell ref="DH2:DX2"/>
    <mergeCell ref="GL2:HA2"/>
    <mergeCell ref="FV2:GK2"/>
    <mergeCell ref="FE2:FU2"/>
    <mergeCell ref="II2:IY2"/>
    <mergeCell ref="HS2:IH2"/>
    <mergeCell ref="HB2:HR2"/>
    <mergeCell ref="KF2:KU2"/>
    <mergeCell ref="JP2:KE2"/>
    <mergeCell ref="IZ2:JO2"/>
    <mergeCell ref="MB2:MQ2"/>
    <mergeCell ref="LL2:MA2"/>
    <mergeCell ref="KV2:LK2"/>
    <mergeCell ref="NX2:OM2"/>
    <mergeCell ref="NH2:NW2"/>
    <mergeCell ref="MR2:NG2"/>
    <mergeCell ref="ON2:OS2"/>
    <mergeCell ref="RR2:RS2"/>
    <mergeCell ref="RL2:RQ2"/>
    <mergeCell ref="RF2:RK2"/>
    <mergeCell ref="RA2:RD2"/>
    <mergeCell ref="QR2:QZ2"/>
    <mergeCell ref="QI2:QQ2"/>
    <mergeCell ref="PZ2:QH2"/>
    <mergeCell ref="PQ2:PY2"/>
    <mergeCell ref="PO2:PP2"/>
    <mergeCell ref="PJ2:PN2"/>
    <mergeCell ref="PD2:PI2"/>
    <mergeCell ref="OV2:PC2"/>
    <mergeCell ref="OT2:OU2"/>
    <mergeCell ref="SR2:SW2"/>
    <mergeCell ref="SF2:SQ2"/>
    <mergeCell ref="RT2:SE2"/>
    <mergeCell ref="UD2:US2"/>
    <mergeCell ref="TN2:UC2"/>
    <mergeCell ref="SX2:TM2"/>
    <mergeCell ref="VZ2:WO2"/>
    <mergeCell ref="VJ2:VY2"/>
    <mergeCell ref="UT2:VI2"/>
    <mergeCell ref="XV2:YK2"/>
    <mergeCell ref="XF2:XU2"/>
    <mergeCell ref="WP2:XE2"/>
    <mergeCell ref="YL2:ZA2"/>
    <mergeCell ref="ACD2:ACJ2"/>
    <mergeCell ref="AAX2:ABM2"/>
    <mergeCell ref="ADQ2:AEF2"/>
    <mergeCell ref="ADA2:ADP2"/>
    <mergeCell ref="ACK2:ACZ2"/>
    <mergeCell ref="AAH2:AAW2"/>
    <mergeCell ref="ABN2:ACC2"/>
    <mergeCell ref="ALQ2:AMF2"/>
    <mergeCell ref="D2:I2"/>
    <mergeCell ref="AJE2:AJT2"/>
    <mergeCell ref="AIO2:AJD2"/>
    <mergeCell ref="AHY2:AIN2"/>
    <mergeCell ref="ALA2:ALP2"/>
    <mergeCell ref="AKK2:AKZ2"/>
    <mergeCell ref="AJU2:AKJ2"/>
    <mergeCell ref="AFM2:AGB2"/>
    <mergeCell ref="AEW2:AFL2"/>
    <mergeCell ref="AEG2:AEV2"/>
    <mergeCell ref="AHI2:AHX2"/>
    <mergeCell ref="AGS2:AHH2"/>
    <mergeCell ref="AGC2:AGR2"/>
    <mergeCell ref="ZR2:AAG2"/>
    <mergeCell ref="ZB2:ZQ2"/>
  </mergeCells>
  <pageMargins left="0.810236220472448" right="0.810236220472448" top="0.75" bottom="0.75" header="0.3" footer="0.3"/>
  <pageSetup horizontalDpi="300" verticalDpi="30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DB7A3-5DF3-471F-A901-F46A5975CFC8}">
  <sheetPr codeName="Sheet5">
    <pageSetUpPr fitToPage="1"/>
  </sheetPr>
  <dimension ref="A1:X18"/>
  <sheetViews>
    <sheetView view="pageBreakPreview" zoomScale="50" zoomScaleNormal="40" zoomScaleSheetLayoutView="50" workbookViewId="0" topLeftCell="A1">
      <selection pane="topLeft" activeCell="D20" sqref="D20"/>
    </sheetView>
  </sheetViews>
  <sheetFormatPr defaultColWidth="9.109375" defaultRowHeight="13.5"/>
  <cols>
    <col min="1" max="1" width="9.28571428571429" style="56" customWidth="1"/>
    <col min="2" max="2" width="24" style="56" customWidth="1"/>
    <col min="3" max="3" width="37.1428571428571" style="56" customWidth="1"/>
    <col min="4" max="4" width="24" style="56" customWidth="1"/>
    <col min="5" max="5" width="21.2857142857143" style="56" customWidth="1"/>
    <col min="6" max="6" width="16" style="56" customWidth="1"/>
    <col min="7" max="7" width="15.5714285714286" style="56" customWidth="1"/>
    <col min="8" max="8" width="16" style="56" customWidth="1"/>
    <col min="9" max="9" width="17.7142857142857" style="56" customWidth="1"/>
    <col min="10" max="10" width="20.7142857142857" style="56" customWidth="1"/>
    <col min="11" max="11" width="32.4285714285714" style="56" customWidth="1"/>
    <col min="12" max="12" width="23" style="56" customWidth="1"/>
    <col min="13" max="13" width="21.5714285714286" style="56" customWidth="1"/>
    <col min="14" max="14" width="20.8571428571429" style="56" customWidth="1"/>
    <col min="15" max="15" width="28.1428571428571" style="56" customWidth="1"/>
    <col min="16" max="16" width="21" style="56" customWidth="1"/>
    <col min="17" max="17" width="20.4285714285714" style="56" customWidth="1"/>
    <col min="18" max="18" width="28.5714285714286" customWidth="1"/>
    <col min="19" max="19" width="21.2857142857143" customWidth="1"/>
    <col min="20" max="20" width="19.1428571428571" customWidth="1"/>
    <col min="21" max="21" width="27.7142857142857" customWidth="1"/>
    <col min="22" max="22" width="24.1428571428571" customWidth="1"/>
    <col min="23" max="23" width="24" customWidth="1"/>
    <col min="24" max="24" width="40.1428571428571" customWidth="1"/>
  </cols>
  <sheetData>
    <row r="1" spans="1:24" s="32" customFormat="1" ht="219" customHeight="1">
      <c r="A1" s="220" t="s">
        <v>258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220"/>
      <c r="T1" s="220"/>
      <c r="U1" s="220"/>
      <c r="V1" s="220"/>
      <c r="W1" s="220"/>
      <c r="X1" s="220"/>
    </row>
    <row r="2" spans="1:24" s="45" customFormat="1" ht="60" customHeight="1">
      <c r="A2" s="128" t="s">
        <v>7</v>
      </c>
      <c r="B2" s="128"/>
      <c r="C2" s="75"/>
      <c r="D2" s="10" t="s">
        <v>118</v>
      </c>
      <c r="E2" s="10"/>
      <c r="F2" s="10"/>
      <c r="G2" s="3" t="str">
        <f>TRIM(Data!BF5)</f>
        <v>McKinnis, Stephen</v>
      </c>
      <c r="H2" s="3"/>
      <c r="I2" s="3"/>
      <c r="J2" s="3"/>
      <c r="K2" s="3"/>
      <c r="L2" s="3"/>
      <c r="M2" s="3"/>
      <c r="N2" s="125" t="s">
        <v>4</v>
      </c>
      <c r="O2" s="125"/>
      <c r="P2" s="125"/>
      <c r="Q2" s="125"/>
      <c r="R2" s="125"/>
      <c r="S2" s="125"/>
      <c r="T2" s="125"/>
      <c r="U2" s="125"/>
      <c r="V2" s="125"/>
      <c r="W2" s="125"/>
      <c r="X2" s="125"/>
    </row>
    <row r="3" spans="1:24" s="45" customFormat="1" ht="60" customHeight="1">
      <c r="A3" s="126" t="s">
        <v>143</v>
      </c>
      <c r="B3" s="126"/>
      <c r="C3" s="76" t="str">
        <f>TRIM(Data!BC5)</f>
        <v>12125</v>
      </c>
      <c r="D3" s="8" t="s">
        <v>8</v>
      </c>
      <c r="E3" s="8"/>
      <c r="F3" s="8"/>
      <c r="G3" s="3" t="str">
        <f>TRIM(Data!AX5)</f>
        <v>Roller Shutters, Sheers &amp; Screen.</v>
      </c>
      <c r="H3" s="3"/>
      <c r="I3" s="3"/>
      <c r="J3" s="3"/>
      <c r="K3" s="3"/>
      <c r="L3" s="3"/>
      <c r="M3" s="3"/>
      <c r="N3" s="3" t="str">
        <f>TRIM(Data!BG5)</f>
        <v/>
      </c>
      <c r="O3" s="3"/>
      <c r="P3" s="3"/>
      <c r="Q3" s="3"/>
      <c r="R3" s="3"/>
      <c r="S3" s="3"/>
      <c r="T3" s="3"/>
      <c r="U3" s="3"/>
      <c r="V3" s="3"/>
      <c r="W3" s="3"/>
      <c r="X3" s="3"/>
    </row>
    <row r="4" spans="1:24" s="46" customFormat="1" ht="60" customHeight="1">
      <c r="A4" s="128" t="s">
        <v>15</v>
      </c>
      <c r="B4" s="128"/>
      <c r="C4" s="76" t="str">
        <f>TRIM(Data!BD5)</f>
        <v>A</v>
      </c>
      <c r="D4" s="8" t="s">
        <v>137</v>
      </c>
      <c r="E4" s="8"/>
      <c r="F4" s="8"/>
      <c r="G4" s="3" t="str">
        <f>LEFT(Data!BA5,10)</f>
        <v>24/09/2026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s="53" customFormat="1" ht="50.1" customHeight="1">
      <c r="A5" s="131" t="s">
        <v>142</v>
      </c>
      <c r="B5" s="7" t="s">
        <v>119</v>
      </c>
      <c r="C5" s="7" t="s">
        <v>254</v>
      </c>
      <c r="D5" s="7" t="s">
        <v>255</v>
      </c>
      <c r="E5" s="6" t="s">
        <v>120</v>
      </c>
      <c r="F5" s="7" t="s">
        <v>256</v>
      </c>
      <c r="G5" s="7" t="s">
        <v>257</v>
      </c>
      <c r="H5" s="7" t="s">
        <v>145</v>
      </c>
      <c r="I5" s="129" t="s">
        <v>11</v>
      </c>
      <c r="J5" s="7" t="s">
        <v>158</v>
      </c>
      <c r="K5" s="7" t="s">
        <v>259</v>
      </c>
      <c r="L5" s="7" t="s">
        <v>255</v>
      </c>
      <c r="M5" s="7" t="s">
        <v>155</v>
      </c>
      <c r="N5" s="7" t="s">
        <v>178</v>
      </c>
      <c r="O5" s="7" t="s">
        <v>173</v>
      </c>
      <c r="P5" s="7" t="s">
        <v>174</v>
      </c>
      <c r="Q5" s="7" t="s">
        <v>190</v>
      </c>
      <c r="R5" s="7" t="s">
        <v>208</v>
      </c>
      <c r="S5" s="7" t="s">
        <v>215</v>
      </c>
      <c r="T5" s="7" t="s">
        <v>210</v>
      </c>
      <c r="U5" s="5" t="s">
        <v>260</v>
      </c>
      <c r="V5" s="7" t="s">
        <v>151</v>
      </c>
      <c r="W5" s="7" t="s">
        <v>251</v>
      </c>
      <c r="X5" s="7" t="s">
        <v>5</v>
      </c>
    </row>
    <row r="6" spans="1:24" s="53" customFormat="1" ht="14.25" customHeight="1" hidden="1">
      <c r="A6" s="131"/>
      <c r="B6" s="7"/>
      <c r="C6" s="7"/>
      <c r="D6" s="7"/>
      <c r="E6" s="6"/>
      <c r="F6" s="7"/>
      <c r="G6" s="7"/>
      <c r="H6" s="7"/>
      <c r="I6" s="129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5"/>
      <c r="V6" s="7"/>
      <c r="W6" s="7"/>
      <c r="X6" s="7"/>
    </row>
    <row r="7" spans="1:24" s="54" customFormat="1" ht="50.1" customHeight="1">
      <c r="A7" s="131"/>
      <c r="B7" s="7"/>
      <c r="C7" s="7"/>
      <c r="D7" s="7"/>
      <c r="E7" s="6"/>
      <c r="F7" s="7"/>
      <c r="G7" s="7"/>
      <c r="H7" s="7"/>
      <c r="I7" s="129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5"/>
      <c r="V7" s="7"/>
      <c r="W7" s="7"/>
      <c r="X7" s="7"/>
    </row>
    <row r="8" spans="1:24" s="77" customFormat="1" ht="60" customHeight="1">
      <c r="A8" s="71">
        <f>IF(Data!AW11="","",Data!AW11)</f>
        <v>7</v>
      </c>
      <c r="B8" s="59" t="str">
        <f>IF(Data!AV11="","",Data!BN11)</f>
        <v>Screen</v>
      </c>
      <c r="C8" s="59" t="str">
        <f>IF(Data!AV11="","",Data!BO11)</f>
        <v>Alu-Gard Perforated Aluminium</v>
      </c>
      <c r="D8" s="59" t="str">
        <f>IF(Data!AV11="","",Data!BP11)</f>
        <v>Dune</v>
      </c>
      <c r="E8" s="74" t="str">
        <f>IF(Data!AV11="","",'Job Sheet'!C11)</f>
        <v>Side Light</v>
      </c>
      <c r="F8" s="59">
        <f>IF(Data!AV11="","",'Job Sheet'!D11)</f>
        <v>200</v>
      </c>
      <c r="G8" s="59">
        <f>IF(Data!AV11="","",'Job Sheet'!E11)</f>
        <v>2075</v>
      </c>
      <c r="H8" s="73" t="str">
        <f>'Job Sheet'!F11</f>
        <v>Opening</v>
      </c>
      <c r="I8" s="78" t="str">
        <f>'Job Sheet'!G11</f>
        <v>Outside</v>
      </c>
      <c r="J8" s="73" t="str">
        <f t="array" ref="J8">bpLOOKUP(Data!$AV11,"FIXING",CustOrdOpt,6,FALSE)</f>
        <v>Timber</v>
      </c>
      <c r="K8" s="59" t="str">
        <f t="array" ref="K8">bpLOOKUP(Data!$AV11,"COLOURTYPE",CustOrdOpt,6,FALSE)</f>
        <v/>
      </c>
      <c r="L8" s="59" t="str">
        <f t="array" ref="L8">bpLOOKUP(Data!$AV11,"COLOUR",CustOrdOpt,6,FALSE)</f>
        <v/>
      </c>
      <c r="M8" s="73" t="str">
        <f>'Job Sheet'!J11</f>
        <v/>
      </c>
      <c r="N8" s="73" t="str">
        <f>'Job Sheet'!K11</f>
        <v/>
      </c>
      <c r="O8" s="59" t="str">
        <f>'Job Sheet'!L11</f>
        <v>37mm x 11mm</v>
      </c>
      <c r="P8" s="59" t="str">
        <f>'Job Sheet'!M11</f>
        <v>Fixed</v>
      </c>
      <c r="Q8" s="73" t="str">
        <f>'Job Sheet'!N11</f>
        <v/>
      </c>
      <c r="R8" s="73" t="str">
        <f>'Job Sheet'!O11</f>
        <v/>
      </c>
      <c r="S8" s="73" t="str">
        <f>'Job Sheet'!P11</f>
        <v/>
      </c>
      <c r="T8" s="73" t="str">
        <f>'Job Sheet'!Q11</f>
        <v/>
      </c>
      <c r="U8" s="78" t="str">
        <f>'Job Sheet'!T11</f>
        <v/>
      </c>
      <c r="V8" s="73" t="str">
        <f>'Job Sheet'!U11</f>
        <v>No</v>
      </c>
      <c r="W8" s="73" t="str">
        <f>IF(Data!AV11="","","Deliver")</f>
        <v>Deliver</v>
      </c>
      <c r="X8" s="73" t="str">
        <f>'Job Sheet'!Y11</f>
        <v>Mesh is on bottom shelf of Assembly A</v>
      </c>
    </row>
    <row r="9" spans="1:24" s="77" customFormat="1" ht="68.4" customHeight="1">
      <c r="A9" s="71" t="str">
        <f>IF(Data!AW12="","",Data!AW12)</f>
        <v/>
      </c>
      <c r="B9" s="59" t="str">
        <f>IF(Data!AV12="","",Data!BN12)</f>
        <v/>
      </c>
      <c r="C9" s="59" t="str">
        <f>IF(Data!AV12="","",Data!BO12)</f>
        <v/>
      </c>
      <c r="D9" s="59" t="str">
        <f>IF(Data!AV12="","",Data!BP12)</f>
        <v/>
      </c>
      <c r="E9" s="74" t="str">
        <f>IF(Data!AV12="","",'Job Sheet'!C12)</f>
        <v/>
      </c>
      <c r="F9" s="59" t="str">
        <f>IF(Data!AV12="","",'Job Sheet'!D12)</f>
        <v/>
      </c>
      <c r="G9" s="59" t="str">
        <f>IF(Data!AV12="","",'Job Sheet'!E12)</f>
        <v/>
      </c>
      <c r="H9" s="73" t="str">
        <f>'Job Sheet'!F12</f>
        <v/>
      </c>
      <c r="I9" s="78" t="str">
        <f>'Job Sheet'!G12</f>
        <v/>
      </c>
      <c r="J9" s="73" t="str">
        <f t="array" ref="J9">bpLOOKUP(Data!$AV12,"FIXING",CustOrdOpt,6,FALSE)</f>
        <v/>
      </c>
      <c r="K9" s="59" t="str">
        <f t="array" ref="K9">bpLOOKUP(Data!$AV12,"COLOURTYPE",CustOrdOpt,6,FALSE)</f>
        <v/>
      </c>
      <c r="L9" s="59" t="str">
        <f t="array" ref="L9">bpLOOKUP(Data!$AV12,"COLOUR",CustOrdOpt,6,FALSE)</f>
        <v/>
      </c>
      <c r="M9" s="73" t="str">
        <f>'Job Sheet'!J12</f>
        <v/>
      </c>
      <c r="N9" s="73" t="str">
        <f>'Job Sheet'!K12</f>
        <v/>
      </c>
      <c r="O9" s="59" t="str">
        <f>'Job Sheet'!L12</f>
        <v/>
      </c>
      <c r="P9" s="59" t="str">
        <f>'Job Sheet'!M12</f>
        <v/>
      </c>
      <c r="Q9" s="73" t="str">
        <f>'Job Sheet'!N12</f>
        <v/>
      </c>
      <c r="R9" s="73" t="str">
        <f>'Job Sheet'!O12</f>
        <v/>
      </c>
      <c r="S9" s="73" t="str">
        <f>'Job Sheet'!P12</f>
        <v/>
      </c>
      <c r="T9" s="73" t="str">
        <f>'Job Sheet'!Q12</f>
        <v/>
      </c>
      <c r="U9" s="78" t="str">
        <f>'Job Sheet'!T12</f>
        <v/>
      </c>
      <c r="V9" s="73" t="str">
        <f>'Job Sheet'!U12</f>
        <v/>
      </c>
      <c r="W9" s="73" t="str">
        <f>IF(Data!AV12="","","Deliver")</f>
        <v/>
      </c>
      <c r="X9" s="73" t="str">
        <f>'Job Sheet'!Y12</f>
        <v/>
      </c>
    </row>
    <row r="10" spans="1:24" s="77" customFormat="1" ht="68.4" customHeight="1">
      <c r="A10" s="71" t="str">
        <f>IF(Data!AW13="","",Data!AW13)</f>
        <v/>
      </c>
      <c r="B10" s="59" t="str">
        <f>IF(Data!AV13="","",Data!BN13)</f>
        <v/>
      </c>
      <c r="C10" s="59" t="str">
        <f>IF(Data!AV13="","",Data!BO13)</f>
        <v/>
      </c>
      <c r="D10" s="59" t="str">
        <f>IF(Data!AV13="","",Data!BP13)</f>
        <v/>
      </c>
      <c r="E10" s="74" t="str">
        <f>IF(Data!AV13="","",'Job Sheet'!C13)</f>
        <v/>
      </c>
      <c r="F10" s="59" t="str">
        <f>IF(Data!AV13="","",'Job Sheet'!D13)</f>
        <v/>
      </c>
      <c r="G10" s="59" t="str">
        <f>IF(Data!AV13="","",'Job Sheet'!E13)</f>
        <v/>
      </c>
      <c r="H10" s="73" t="str">
        <f>'Job Sheet'!F13</f>
        <v/>
      </c>
      <c r="I10" s="78" t="str">
        <f>'Job Sheet'!G13</f>
        <v/>
      </c>
      <c r="J10" s="73" t="str">
        <f t="array" ref="J10">bpLOOKUP(Data!$AV13,"FIXING",CustOrdOpt,6,FALSE)</f>
        <v/>
      </c>
      <c r="K10" s="59" t="str">
        <f t="array" ref="K10">bpLOOKUP(Data!$AV13,"COLOURTYPE",CustOrdOpt,6,FALSE)</f>
        <v/>
      </c>
      <c r="L10" s="59" t="str">
        <f t="array" ref="L10">bpLOOKUP(Data!$AV13,"COLOUR",CustOrdOpt,6,FALSE)</f>
        <v/>
      </c>
      <c r="M10" s="73" t="str">
        <f>'Job Sheet'!J13</f>
        <v/>
      </c>
      <c r="N10" s="73" t="str">
        <f>'Job Sheet'!K13</f>
        <v/>
      </c>
      <c r="O10" s="59" t="str">
        <f>'Job Sheet'!L13</f>
        <v/>
      </c>
      <c r="P10" s="59" t="str">
        <f>'Job Sheet'!M13</f>
        <v/>
      </c>
      <c r="Q10" s="73" t="str">
        <f>'Job Sheet'!N13</f>
        <v/>
      </c>
      <c r="R10" s="73" t="str">
        <f>'Job Sheet'!O13</f>
        <v/>
      </c>
      <c r="S10" s="73" t="str">
        <f>'Job Sheet'!P13</f>
        <v/>
      </c>
      <c r="T10" s="73" t="str">
        <f>'Job Sheet'!Q13</f>
        <v/>
      </c>
      <c r="U10" s="78" t="str">
        <f>'Job Sheet'!T13</f>
        <v/>
      </c>
      <c r="V10" s="73" t="str">
        <f>'Job Sheet'!U13</f>
        <v/>
      </c>
      <c r="W10" s="73" t="str">
        <f>IF(Data!AV13="","","Deliver")</f>
        <v/>
      </c>
      <c r="X10" s="73" t="str">
        <f>'Job Sheet'!Y13</f>
        <v/>
      </c>
    </row>
    <row r="11" spans="1:24" s="77" customFormat="1" ht="73.8" customHeight="1">
      <c r="A11" s="71" t="str">
        <f>IF(Data!AW14="","",Data!AW14)</f>
        <v/>
      </c>
      <c r="B11" s="59" t="str">
        <f>IF(Data!AV14="","",Data!BN14)</f>
        <v/>
      </c>
      <c r="C11" s="59" t="str">
        <f>IF(Data!AV14="","",Data!BO14)</f>
        <v/>
      </c>
      <c r="D11" s="59" t="str">
        <f>IF(Data!AV14="","",Data!BP14)</f>
        <v/>
      </c>
      <c r="E11" s="74" t="str">
        <f>IF(Data!AV14="","",'Job Sheet'!C14)</f>
        <v/>
      </c>
      <c r="F11" s="59" t="str">
        <f>IF(Data!AV14="","",'Job Sheet'!D14)</f>
        <v/>
      </c>
      <c r="G11" s="59" t="str">
        <f>IF(Data!AV14="","",'Job Sheet'!E14)</f>
        <v/>
      </c>
      <c r="H11" s="73" t="str">
        <f>'Job Sheet'!F14</f>
        <v/>
      </c>
      <c r="I11" s="78" t="str">
        <f>'Job Sheet'!G14</f>
        <v/>
      </c>
      <c r="J11" s="73" t="str">
        <f t="array" ref="J11">bpLOOKUP(Data!$AV14,"FIXING",CustOrdOpt,6,FALSE)</f>
        <v/>
      </c>
      <c r="K11" s="59" t="str">
        <f t="array" ref="K11">bpLOOKUP(Data!$AV14,"COLOURTYPE",CustOrdOpt,6,FALSE)</f>
        <v/>
      </c>
      <c r="L11" s="59" t="str">
        <f t="array" ref="L11">bpLOOKUP(Data!$AV14,"COLOUR",CustOrdOpt,6,FALSE)</f>
        <v/>
      </c>
      <c r="M11" s="73" t="str">
        <f>'Job Sheet'!J14</f>
        <v/>
      </c>
      <c r="N11" s="73" t="str">
        <f>'Job Sheet'!K14</f>
        <v/>
      </c>
      <c r="O11" s="59" t="str">
        <f>'Job Sheet'!L14</f>
        <v/>
      </c>
      <c r="P11" s="59" t="str">
        <f>'Job Sheet'!M14</f>
        <v/>
      </c>
      <c r="Q11" s="73" t="str">
        <f>'Job Sheet'!N14</f>
        <v/>
      </c>
      <c r="R11" s="73" t="str">
        <f>'Job Sheet'!O14</f>
        <v/>
      </c>
      <c r="S11" s="73" t="str">
        <f>'Job Sheet'!P14</f>
        <v/>
      </c>
      <c r="T11" s="73" t="str">
        <f>'Job Sheet'!Q14</f>
        <v/>
      </c>
      <c r="U11" s="78" t="str">
        <f>'Job Sheet'!T14</f>
        <v/>
      </c>
      <c r="V11" s="73" t="str">
        <f>'Job Sheet'!U14</f>
        <v/>
      </c>
      <c r="W11" s="73" t="str">
        <f>IF(Data!AV14="","","Deliver")</f>
        <v/>
      </c>
      <c r="X11" s="73" t="str">
        <f>'Job Sheet'!Y14</f>
        <v/>
      </c>
    </row>
    <row r="12" spans="1:24" s="77" customFormat="1" ht="73.8" customHeight="1">
      <c r="A12" s="71" t="str">
        <f>IF(Data!AW15="","",Data!AW15)</f>
        <v/>
      </c>
      <c r="B12" s="59" t="str">
        <f>IF(Data!AV15="","",Data!BN15)</f>
        <v/>
      </c>
      <c r="C12" s="59" t="str">
        <f>IF(Data!AV15="","",Data!BO15)</f>
        <v/>
      </c>
      <c r="D12" s="59" t="str">
        <f>IF(Data!AV15="","",Data!BP15)</f>
        <v/>
      </c>
      <c r="E12" s="74" t="str">
        <f>IF(Data!AV15="","",'Job Sheet'!C15)</f>
        <v/>
      </c>
      <c r="F12" s="59" t="str">
        <f>IF(Data!AV15="","",'Job Sheet'!D15)</f>
        <v/>
      </c>
      <c r="G12" s="59" t="str">
        <f>IF(Data!AV15="","",'Job Sheet'!E15)</f>
        <v/>
      </c>
      <c r="H12" s="73" t="str">
        <f>'Job Sheet'!F15</f>
        <v/>
      </c>
      <c r="I12" s="78" t="str">
        <f>'Job Sheet'!G15</f>
        <v/>
      </c>
      <c r="J12" s="73" t="str">
        <f t="array" ref="J12">bpLOOKUP(Data!$AV15,"FIXING",CustOrdOpt,6,FALSE)</f>
        <v/>
      </c>
      <c r="K12" s="59" t="str">
        <f t="array" ref="K12">bpLOOKUP(Data!$AV15,"COLOURTYPE",CustOrdOpt,6,FALSE)</f>
        <v/>
      </c>
      <c r="L12" s="59" t="str">
        <f t="array" ref="L12">bpLOOKUP(Data!$AV15,"COLOUR",CustOrdOpt,6,FALSE)</f>
        <v/>
      </c>
      <c r="M12" s="73" t="str">
        <f>'Job Sheet'!J15</f>
        <v/>
      </c>
      <c r="N12" s="73" t="str">
        <f>'Job Sheet'!K15</f>
        <v/>
      </c>
      <c r="O12" s="59" t="str">
        <f>'Job Sheet'!L15</f>
        <v/>
      </c>
      <c r="P12" s="59" t="str">
        <f>'Job Sheet'!M15</f>
        <v/>
      </c>
      <c r="Q12" s="73" t="str">
        <f>'Job Sheet'!N15</f>
        <v/>
      </c>
      <c r="R12" s="73" t="str">
        <f>'Job Sheet'!O15</f>
        <v/>
      </c>
      <c r="S12" s="73" t="str">
        <f>'Job Sheet'!P15</f>
        <v/>
      </c>
      <c r="T12" s="73" t="str">
        <f>'Job Sheet'!Q15</f>
        <v/>
      </c>
      <c r="U12" s="78" t="str">
        <f>'Job Sheet'!T15</f>
        <v/>
      </c>
      <c r="V12" s="73" t="str">
        <f>'Job Sheet'!U15</f>
        <v/>
      </c>
      <c r="W12" s="73" t="str">
        <f>IF(Data!AV15="","","Deliver")</f>
        <v/>
      </c>
      <c r="X12" s="73" t="str">
        <f>'Job Sheet'!Y15</f>
        <v/>
      </c>
    </row>
    <row r="13" spans="1:24" s="77" customFormat="1" ht="73.8" customHeight="1">
      <c r="A13" s="71" t="str">
        <f>IF(Data!AW16="","",Data!AW16)</f>
        <v/>
      </c>
      <c r="B13" s="59" t="str">
        <f>IF(Data!AV16="","",Data!BN16)</f>
        <v/>
      </c>
      <c r="C13" s="59" t="str">
        <f>IF(Data!AV16="","",Data!BO16)</f>
        <v/>
      </c>
      <c r="D13" s="59" t="str">
        <f>IF(Data!AV16="","",Data!BP16)</f>
        <v/>
      </c>
      <c r="E13" s="74" t="str">
        <f>IF(Data!AV16="","",'Job Sheet'!C16)</f>
        <v/>
      </c>
      <c r="F13" s="59" t="str">
        <f>IF(Data!AV16="","",'Job Sheet'!D16)</f>
        <v/>
      </c>
      <c r="G13" s="59" t="str">
        <f>IF(Data!AV16="","",'Job Sheet'!E16)</f>
        <v/>
      </c>
      <c r="H13" s="73" t="str">
        <f>'Job Sheet'!F16</f>
        <v/>
      </c>
      <c r="I13" s="78" t="str">
        <f>'Job Sheet'!G16</f>
        <v/>
      </c>
      <c r="J13" s="73" t="str">
        <f t="array" ref="J13">bpLOOKUP(Data!$AV16,"FIXING",CustOrdOpt,6,FALSE)</f>
        <v/>
      </c>
      <c r="K13" s="59" t="str">
        <f t="array" ref="K13">bpLOOKUP(Data!$AV16,"COLOURTYPE",CustOrdOpt,6,FALSE)</f>
        <v/>
      </c>
      <c r="L13" s="59" t="str">
        <f t="array" ref="L13">bpLOOKUP(Data!$AV16,"COLOUR",CustOrdOpt,6,FALSE)</f>
        <v/>
      </c>
      <c r="M13" s="73" t="str">
        <f>'Job Sheet'!J16</f>
        <v/>
      </c>
      <c r="N13" s="73" t="str">
        <f>'Job Sheet'!K16</f>
        <v/>
      </c>
      <c r="O13" s="59" t="str">
        <f>'Job Sheet'!L16</f>
        <v/>
      </c>
      <c r="P13" s="59" t="str">
        <f>'Job Sheet'!M16</f>
        <v/>
      </c>
      <c r="Q13" s="73" t="str">
        <f>'Job Sheet'!N16</f>
        <v/>
      </c>
      <c r="R13" s="73" t="str">
        <f>'Job Sheet'!O16</f>
        <v/>
      </c>
      <c r="S13" s="73" t="str">
        <f>'Job Sheet'!P16</f>
        <v/>
      </c>
      <c r="T13" s="73" t="str">
        <f>'Job Sheet'!Q16</f>
        <v/>
      </c>
      <c r="U13" s="78" t="str">
        <f>'Job Sheet'!T16</f>
        <v/>
      </c>
      <c r="V13" s="73" t="str">
        <f>'Job Sheet'!U16</f>
        <v/>
      </c>
      <c r="W13" s="73" t="str">
        <f>IF(Data!AV16="","","Deliver")</f>
        <v/>
      </c>
      <c r="X13" s="73" t="str">
        <f>'Job Sheet'!Y16</f>
        <v/>
      </c>
    </row>
    <row r="14" spans="1:24" s="77" customFormat="1" ht="73.8" customHeight="1">
      <c r="A14" s="71" t="str">
        <f>IF(Data!AW17="","",Data!AW17)</f>
        <v/>
      </c>
      <c r="B14" s="59" t="str">
        <f>IF(Data!AV17="","",Data!BN17)</f>
        <v/>
      </c>
      <c r="C14" s="59" t="str">
        <f>IF(Data!AV17="","",Data!BO17)</f>
        <v/>
      </c>
      <c r="D14" s="59" t="str">
        <f>IF(Data!AV17="","",Data!BP17)</f>
        <v/>
      </c>
      <c r="E14" s="74" t="str">
        <f>IF(Data!AV17="","",'Job Sheet'!C17)</f>
        <v/>
      </c>
      <c r="F14" s="59" t="str">
        <f>IF(Data!AV17="","",'Job Sheet'!D17)</f>
        <v/>
      </c>
      <c r="G14" s="59" t="str">
        <f>IF(Data!AV17="","",'Job Sheet'!E17)</f>
        <v/>
      </c>
      <c r="H14" s="73" t="str">
        <f>'Job Sheet'!F17</f>
        <v/>
      </c>
      <c r="I14" s="78" t="str">
        <f>'Job Sheet'!G17</f>
        <v/>
      </c>
      <c r="J14" s="73" t="str">
        <f t="array" ref="J14">bpLOOKUP(Data!$AV17,"FIXING",CustOrdOpt,6,FALSE)</f>
        <v/>
      </c>
      <c r="K14" s="59" t="str">
        <f t="array" ref="K14">bpLOOKUP(Data!$AV17,"COLOURTYPE",CustOrdOpt,6,FALSE)</f>
        <v/>
      </c>
      <c r="L14" s="59" t="str">
        <f t="array" ref="L14">bpLOOKUP(Data!$AV17,"COLOUR",CustOrdOpt,6,FALSE)</f>
        <v/>
      </c>
      <c r="M14" s="73" t="str">
        <f>'Job Sheet'!J17</f>
        <v/>
      </c>
      <c r="N14" s="73" t="str">
        <f>'Job Sheet'!K17</f>
        <v/>
      </c>
      <c r="O14" s="59" t="str">
        <f>'Job Sheet'!L17</f>
        <v/>
      </c>
      <c r="P14" s="59" t="str">
        <f>'Job Sheet'!M17</f>
        <v/>
      </c>
      <c r="Q14" s="73" t="str">
        <f>'Job Sheet'!N17</f>
        <v/>
      </c>
      <c r="R14" s="73" t="str">
        <f>'Job Sheet'!O17</f>
        <v/>
      </c>
      <c r="S14" s="73" t="str">
        <f>'Job Sheet'!P17</f>
        <v/>
      </c>
      <c r="T14" s="73" t="str">
        <f>'Job Sheet'!Q17</f>
        <v/>
      </c>
      <c r="U14" s="78" t="str">
        <f>'Job Sheet'!T17</f>
        <v/>
      </c>
      <c r="V14" s="73" t="str">
        <f>'Job Sheet'!U17</f>
        <v/>
      </c>
      <c r="W14" s="73" t="str">
        <f>IF(Data!AV17="","","Deliver")</f>
        <v/>
      </c>
      <c r="X14" s="73" t="str">
        <f>'Job Sheet'!Y17</f>
        <v/>
      </c>
    </row>
    <row r="15" spans="1:24" s="77" customFormat="1" ht="73.8" customHeight="1">
      <c r="A15" s="71" t="str">
        <f>IF(Data!AW18="","",Data!AW18)</f>
        <v/>
      </c>
      <c r="B15" s="59" t="str">
        <f>IF(Data!AV18="","",Data!BN18)</f>
        <v/>
      </c>
      <c r="C15" s="59" t="str">
        <f>IF(Data!AV18="","",Data!BO18)</f>
        <v/>
      </c>
      <c r="D15" s="59" t="str">
        <f>IF(Data!AV18="","",Data!BP18)</f>
        <v/>
      </c>
      <c r="E15" s="74" t="str">
        <f>IF(Data!AV18="","",'Job Sheet'!C18)</f>
        <v/>
      </c>
      <c r="F15" s="59" t="str">
        <f>IF(Data!AV18="","",'Job Sheet'!D18)</f>
        <v/>
      </c>
      <c r="G15" s="59" t="str">
        <f>IF(Data!AV18="","",'Job Sheet'!E18)</f>
        <v/>
      </c>
      <c r="H15" s="73" t="str">
        <f>'Job Sheet'!F18</f>
        <v/>
      </c>
      <c r="I15" s="78" t="str">
        <f>'Job Sheet'!G18</f>
        <v/>
      </c>
      <c r="J15" s="73" t="str">
        <f t="array" ref="J15">bpLOOKUP(Data!$AV18,"FIXING",CustOrdOpt,6,FALSE)</f>
        <v/>
      </c>
      <c r="K15" s="59" t="str">
        <f t="array" ref="K15">bpLOOKUP(Data!$AV18,"COLOURTYPE",CustOrdOpt,6,FALSE)</f>
        <v/>
      </c>
      <c r="L15" s="59" t="str">
        <f t="array" ref="L15">bpLOOKUP(Data!$AV18,"COLOUR",CustOrdOpt,6,FALSE)</f>
        <v/>
      </c>
      <c r="M15" s="73" t="str">
        <f>'Job Sheet'!J18</f>
        <v/>
      </c>
      <c r="N15" s="73" t="str">
        <f>'Job Sheet'!K18</f>
        <v/>
      </c>
      <c r="O15" s="59" t="str">
        <f>'Job Sheet'!L18</f>
        <v/>
      </c>
      <c r="P15" s="59" t="str">
        <f>'Job Sheet'!M18</f>
        <v/>
      </c>
      <c r="Q15" s="73" t="str">
        <f>'Job Sheet'!N18</f>
        <v/>
      </c>
      <c r="R15" s="73" t="str">
        <f>'Job Sheet'!O18</f>
        <v/>
      </c>
      <c r="S15" s="73" t="str">
        <f>'Job Sheet'!P18</f>
        <v/>
      </c>
      <c r="T15" s="73" t="str">
        <f>'Job Sheet'!Q18</f>
        <v/>
      </c>
      <c r="U15" s="78" t="str">
        <f>'Job Sheet'!T18</f>
        <v/>
      </c>
      <c r="V15" s="73" t="str">
        <f>'Job Sheet'!U18</f>
        <v/>
      </c>
      <c r="W15" s="73" t="str">
        <f>IF(Data!AV18="","","Deliver")</f>
        <v/>
      </c>
      <c r="X15" s="73" t="str">
        <f>'Job Sheet'!Y18</f>
        <v/>
      </c>
    </row>
    <row r="16" spans="1:24" s="77" customFormat="1" ht="73.8" customHeight="1">
      <c r="A16" s="71" t="str">
        <f>IF(Data!AW19="","",Data!AW19)</f>
        <v/>
      </c>
      <c r="B16" s="59" t="str">
        <f>IF(Data!AV19="","",Data!BN19)</f>
        <v/>
      </c>
      <c r="C16" s="59" t="str">
        <f>IF(Data!AV19="","",Data!BO19)</f>
        <v/>
      </c>
      <c r="D16" s="59" t="str">
        <f>IF(Data!AV19="","",Data!BP19)</f>
        <v/>
      </c>
      <c r="E16" s="74" t="str">
        <f>IF(Data!AV19="","",'Job Sheet'!C19)</f>
        <v/>
      </c>
      <c r="F16" s="59" t="str">
        <f>IF(Data!AV19="","",'Job Sheet'!D19)</f>
        <v/>
      </c>
      <c r="G16" s="59" t="str">
        <f>IF(Data!AV19="","",'Job Sheet'!E19)</f>
        <v/>
      </c>
      <c r="H16" s="73" t="str">
        <f>'Job Sheet'!F19</f>
        <v/>
      </c>
      <c r="I16" s="78" t="str">
        <f>'Job Sheet'!G19</f>
        <v/>
      </c>
      <c r="J16" s="73" t="str">
        <f t="array" ref="J16">bpLOOKUP(Data!$AV19,"FIXING",CustOrdOpt,6,FALSE)</f>
        <v/>
      </c>
      <c r="K16" s="59" t="str">
        <f t="array" ref="K16">bpLOOKUP(Data!$AV19,"COLOURTYPE",CustOrdOpt,6,FALSE)</f>
        <v/>
      </c>
      <c r="L16" s="59" t="str">
        <f t="array" ref="L16">bpLOOKUP(Data!$AV19,"COLOUR",CustOrdOpt,6,FALSE)</f>
        <v/>
      </c>
      <c r="M16" s="73" t="str">
        <f>'Job Sheet'!J19</f>
        <v/>
      </c>
      <c r="N16" s="73" t="str">
        <f>'Job Sheet'!K19</f>
        <v/>
      </c>
      <c r="O16" s="59" t="str">
        <f>'Job Sheet'!L19</f>
        <v/>
      </c>
      <c r="P16" s="59" t="str">
        <f>'Job Sheet'!M19</f>
        <v/>
      </c>
      <c r="Q16" s="73" t="str">
        <f>'Job Sheet'!N19</f>
        <v/>
      </c>
      <c r="R16" s="73" t="str">
        <f>'Job Sheet'!O19</f>
        <v/>
      </c>
      <c r="S16" s="73" t="str">
        <f>'Job Sheet'!P19</f>
        <v/>
      </c>
      <c r="T16" s="73" t="str">
        <f>'Job Sheet'!Q19</f>
        <v/>
      </c>
      <c r="U16" s="78" t="str">
        <f>'Job Sheet'!T19</f>
        <v/>
      </c>
      <c r="V16" s="73" t="str">
        <f>'Job Sheet'!U19</f>
        <v/>
      </c>
      <c r="W16" s="73" t="str">
        <f>IF(Data!AV19="","","Deliver")</f>
        <v/>
      </c>
      <c r="X16" s="73" t="str">
        <f>'Job Sheet'!Y19</f>
        <v/>
      </c>
    </row>
    <row r="17" spans="1:24" s="77" customFormat="1" ht="73.8" customHeight="1">
      <c r="A17" s="71" t="str">
        <f>IF(Data!AW20="","",Data!AW20)</f>
        <v/>
      </c>
      <c r="B17" s="59" t="str">
        <f>IF(Data!AV20="","",Data!BN20)</f>
        <v/>
      </c>
      <c r="C17" s="59" t="str">
        <f>IF(Data!AV20="","",Data!BO20)</f>
        <v/>
      </c>
      <c r="D17" s="59" t="str">
        <f>IF(Data!AV20="","",Data!BP20)</f>
        <v/>
      </c>
      <c r="E17" s="74" t="str">
        <f>IF(Data!AV20="","",'Job Sheet'!C20)</f>
        <v/>
      </c>
      <c r="F17" s="59" t="str">
        <f>IF(Data!AV20="","",'Job Sheet'!D20)</f>
        <v/>
      </c>
      <c r="G17" s="59" t="str">
        <f>IF(Data!AV20="","",'Job Sheet'!E20)</f>
        <v/>
      </c>
      <c r="H17" s="73" t="str">
        <f>'Job Sheet'!F20</f>
        <v/>
      </c>
      <c r="I17" s="78" t="str">
        <f>'Job Sheet'!G20</f>
        <v/>
      </c>
      <c r="J17" s="73" t="str">
        <f t="array" ref="J17">bpLOOKUP(Data!$AV20,"FIXING",CustOrdOpt,6,FALSE)</f>
        <v/>
      </c>
      <c r="K17" s="59" t="str">
        <f t="array" ref="K17">bpLOOKUP(Data!$AV20,"COLOURTYPE",CustOrdOpt,6,FALSE)</f>
        <v/>
      </c>
      <c r="L17" s="59" t="str">
        <f t="array" ref="L17">bpLOOKUP(Data!$AV20,"COLOUR",CustOrdOpt,6,FALSE)</f>
        <v/>
      </c>
      <c r="M17" s="73" t="str">
        <f>'Job Sheet'!J20</f>
        <v/>
      </c>
      <c r="N17" s="73" t="str">
        <f>'Job Sheet'!K20</f>
        <v/>
      </c>
      <c r="O17" s="59" t="str">
        <f>'Job Sheet'!L20</f>
        <v/>
      </c>
      <c r="P17" s="59" t="str">
        <f>'Job Sheet'!M20</f>
        <v/>
      </c>
      <c r="Q17" s="73" t="str">
        <f>'Job Sheet'!N20</f>
        <v/>
      </c>
      <c r="R17" s="73" t="str">
        <f>'Job Sheet'!O20</f>
        <v/>
      </c>
      <c r="S17" s="73" t="str">
        <f>'Job Sheet'!P20</f>
        <v/>
      </c>
      <c r="T17" s="73" t="str">
        <f>'Job Sheet'!Q20</f>
        <v/>
      </c>
      <c r="U17" s="78" t="str">
        <f>'Job Sheet'!T20</f>
        <v/>
      </c>
      <c r="V17" s="73" t="str">
        <f>'Job Sheet'!U20</f>
        <v/>
      </c>
      <c r="W17" s="73" t="str">
        <f>IF(Data!AV20="","","Deliver")</f>
        <v/>
      </c>
      <c r="X17" s="73" t="str">
        <f>'Job Sheet'!Y20</f>
        <v/>
      </c>
    </row>
    <row r="18" spans="1:24" ht="60" customHeight="1">
      <c r="A18" s="71" t="str">
        <f>IF(Data!AW21="","",Data!AW21)</f>
        <v/>
      </c>
      <c r="B18" s="59" t="str">
        <f>IF(Data!AV21="","",Data!BN21)</f>
        <v/>
      </c>
      <c r="C18" s="59" t="str">
        <f>IF(Data!AV21="","",Data!BO21)</f>
        <v/>
      </c>
      <c r="D18" s="59" t="str">
        <f>IF(Data!AV21="","",Data!BP21)</f>
        <v/>
      </c>
      <c r="E18" s="74" t="str">
        <f>IF(Data!AV21="","",'Job Sheet'!C21)</f>
        <v/>
      </c>
      <c r="F18" s="59" t="str">
        <f>IF(Data!AV21="","",'Job Sheet'!D21)</f>
        <v/>
      </c>
      <c r="G18" s="59" t="str">
        <f>IF(Data!AV21="","",'Job Sheet'!E21)</f>
        <v/>
      </c>
      <c r="H18" s="73">
        <f>'Job Sheet'!F21</f>
        <v>0</v>
      </c>
      <c r="I18" s="78">
        <f>'Job Sheet'!G21</f>
        <v>0</v>
      </c>
      <c r="J18" s="73" t="str">
        <f t="array" ref="J18">bpLOOKUP(Data!$AV21,"FIXING",CustOrdOpt,6,FALSE)</f>
        <v/>
      </c>
      <c r="K18" s="59" t="str">
        <f t="array" ref="K18">bpLOOKUP(Data!$AV21,"COLOURTYPE",CustOrdOpt,6,FALSE)</f>
        <v/>
      </c>
      <c r="L18" s="59" t="str">
        <f t="array" ref="L18">bpLOOKUP(Data!$AV21,"COLOUR",CustOrdOpt,6,FALSE)</f>
        <v/>
      </c>
      <c r="M18" s="73">
        <f>'Job Sheet'!J21</f>
        <v>0</v>
      </c>
      <c r="N18" s="73">
        <f>'Job Sheet'!K21</f>
        <v>0</v>
      </c>
      <c r="O18" s="59">
        <f>'Job Sheet'!L21</f>
        <v>0</v>
      </c>
      <c r="P18" s="59">
        <f>'Job Sheet'!M21</f>
        <v>0</v>
      </c>
      <c r="Q18" s="73">
        <f>'Job Sheet'!N21</f>
        <v>0</v>
      </c>
      <c r="R18" s="73">
        <f>'Job Sheet'!O21</f>
        <v>0</v>
      </c>
      <c r="S18" s="73">
        <f>'Job Sheet'!P21</f>
        <v>0</v>
      </c>
      <c r="T18" s="73">
        <f>'Job Sheet'!Q21</f>
        <v>0</v>
      </c>
      <c r="U18" s="78">
        <f>'Job Sheet'!T21</f>
        <v>0</v>
      </c>
      <c r="V18" s="73">
        <f>'Job Sheet'!U21</f>
        <v>0</v>
      </c>
      <c r="W18" s="73" t="str">
        <f>IF(Data!AV21="","","Deliver")</f>
        <v/>
      </c>
      <c r="X18" s="73">
        <f>'Job Sheet'!Y21</f>
        <v>0</v>
      </c>
    </row>
    <row r="19" ht="60" customHeight="1"/>
    <row r="20" ht="60" customHeight="1"/>
    <row r="21" ht="60" customHeight="1"/>
    <row r="22" ht="60" customHeight="1"/>
    <row r="23" ht="60" customHeight="1"/>
    <row r="24" ht="60" customHeight="1"/>
    <row r="25" ht="60" customHeight="1"/>
    <row r="26" ht="60" customHeight="1"/>
    <row r="27" ht="60" customHeight="1"/>
    <row r="28" ht="60" customHeight="1"/>
    <row r="29" ht="60" customHeight="1"/>
    <row r="30" ht="60" customHeight="1"/>
    <row r="31" ht="60" customHeight="1"/>
    <row r="32" ht="60" customHeight="1"/>
    <row r="33" ht="60" customHeight="1"/>
    <row r="34" ht="60" customHeight="1"/>
    <row r="35" ht="60" customHeight="1"/>
    <row r="36" ht="60" customHeight="1"/>
    <row r="37" ht="60" customHeight="1"/>
    <row r="38" ht="60" customHeight="1"/>
    <row r="39" ht="60" customHeight="1"/>
    <row r="40" ht="60" customHeight="1"/>
    <row r="41" ht="60" customHeight="1"/>
    <row r="42" ht="60" customHeight="1"/>
    <row r="43" ht="60" customHeight="1"/>
    <row r="44" ht="60" customHeight="1"/>
    <row r="45" ht="60" customHeight="1"/>
    <row r="46" ht="60" customHeight="1"/>
    <row r="47" ht="60" customHeight="1"/>
    <row r="48" ht="60" customHeight="1"/>
    <row r="49" ht="60" customHeight="1"/>
    <row r="50" ht="60" customHeight="1"/>
    <row r="51" ht="60" customHeight="1"/>
    <row r="52" ht="60" customHeight="1"/>
    <row r="53" ht="60" customHeight="1"/>
    <row r="54" ht="60" customHeight="1"/>
    <row r="55" ht="60" customHeight="1"/>
    <row r="56" ht="60" customHeight="1"/>
    <row r="57" ht="60" customHeight="1"/>
    <row r="58" ht="60" customHeight="1"/>
    <row r="59" ht="60" customHeight="1"/>
    <row r="60" ht="60" customHeight="1"/>
    <row r="61" ht="60" customHeight="1"/>
    <row r="62" ht="60" customHeight="1"/>
    <row r="63" ht="60" customHeight="1"/>
    <row r="64" ht="60" customHeight="1"/>
    <row r="65" ht="60" customHeight="1"/>
    <row r="66" ht="60" customHeight="1"/>
    <row r="67" ht="60" customHeight="1"/>
    <row r="68" ht="60" customHeight="1"/>
    <row r="69" ht="60" customHeight="1"/>
    <row r="70" ht="60" customHeight="1"/>
  </sheetData>
  <mergeCells count="36">
    <mergeCell ref="A1:X1"/>
    <mergeCell ref="N2:X2"/>
    <mergeCell ref="N3:X4"/>
    <mergeCell ref="D2:F2"/>
    <mergeCell ref="A5:A7"/>
    <mergeCell ref="B5:B7"/>
    <mergeCell ref="W5:W7"/>
    <mergeCell ref="V5:V7"/>
    <mergeCell ref="G5:G7"/>
    <mergeCell ref="K5:K7"/>
    <mergeCell ref="D3:F3"/>
    <mergeCell ref="H5:H7"/>
    <mergeCell ref="A2:B2"/>
    <mergeCell ref="C5:C7"/>
    <mergeCell ref="A3:B3"/>
    <mergeCell ref="A4:B4"/>
    <mergeCell ref="G2:M2"/>
    <mergeCell ref="G3:M3"/>
    <mergeCell ref="G4:M4"/>
    <mergeCell ref="D4:F4"/>
    <mergeCell ref="M5:M7"/>
    <mergeCell ref="D5:D7"/>
    <mergeCell ref="E5:E7"/>
    <mergeCell ref="I5:I7"/>
    <mergeCell ref="N5:N7"/>
    <mergeCell ref="F5:F7"/>
    <mergeCell ref="O5:O7"/>
    <mergeCell ref="Q5:Q7"/>
    <mergeCell ref="X5:X7"/>
    <mergeCell ref="J5:J7"/>
    <mergeCell ref="U5:U7"/>
    <mergeCell ref="R5:R7"/>
    <mergeCell ref="S5:S7"/>
    <mergeCell ref="T5:T7"/>
    <mergeCell ref="P5:P7"/>
    <mergeCell ref="L5:L7"/>
  </mergeCells>
  <pageMargins left="0.822047244094496" right="0.822047244094496" top="0.75" bottom="0.75" header="0.3" footer="0.3"/>
  <pageSetup fitToHeight="0" orientation="landscape" paperSize="9" scale="1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4ABA1-953A-44AE-A796-505FE391DD8B}">
  <sheetPr codeName="JobSheet1">
    <pageSetUpPr fitToPage="1"/>
  </sheetPr>
  <dimension ref="A1:O18"/>
  <sheetViews>
    <sheetView showZeros="0" view="pageBreakPreview" zoomScale="50" zoomScaleNormal="25" zoomScaleSheetLayoutView="50" zoomScalePageLayoutView="25" workbookViewId="0" topLeftCell="A1">
      <selection pane="topLeft" activeCell="E10" sqref="E10"/>
    </sheetView>
  </sheetViews>
  <sheetFormatPr defaultColWidth="9.44140625" defaultRowHeight="39.9" customHeight="1"/>
  <cols>
    <col min="1" max="1" width="10.4285714285714" style="60" customWidth="1"/>
    <col min="2" max="2" width="60.5714285714286" style="60" customWidth="1"/>
    <col min="3" max="3" width="24.2857142857143" style="60" customWidth="1"/>
    <col min="4" max="4" width="26.5714285714286" style="60" customWidth="1"/>
    <col min="5" max="5" width="49.5714285714286" style="60" customWidth="1"/>
    <col min="6" max="6" width="79.8571428571429" style="60" customWidth="1"/>
    <col min="7" max="7" width="47.7142857142857" style="60" customWidth="1"/>
    <col min="8" max="8" width="27" style="60" customWidth="1"/>
    <col min="9" max="9" width="32.7142857142857" customWidth="1"/>
    <col min="10" max="10" width="25.2857142857143" customWidth="1"/>
    <col min="11" max="11" width="25" customWidth="1"/>
    <col min="12" max="12" width="33" customWidth="1"/>
    <col min="13" max="13" width="29.7142857142857" customWidth="1"/>
    <col min="14" max="14" width="17.7142857142857" customWidth="1"/>
    <col min="15" max="15" width="78.7142857142857" customWidth="1"/>
  </cols>
  <sheetData>
    <row r="1" spans="1:15" s="32" customFormat="1" ht="219.15" customHeight="1">
      <c r="A1" s="220" t="s">
        <v>252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</row>
    <row r="2" spans="1:15" s="45" customFormat="1" ht="50.1" customHeight="1">
      <c r="A2" s="128" t="s">
        <v>7</v>
      </c>
      <c r="B2" s="128"/>
      <c r="C2" s="20"/>
      <c r="D2" s="10" t="s">
        <v>118</v>
      </c>
      <c r="E2" s="10"/>
      <c r="F2" s="18" t="str">
        <f>Data!BF5</f>
        <v>McKinnis, Stephen</v>
      </c>
      <c r="G2" s="125" t="s">
        <v>4</v>
      </c>
      <c r="H2" s="125"/>
      <c r="I2" s="125"/>
      <c r="J2" s="125"/>
      <c r="K2" s="125"/>
      <c r="L2" s="125"/>
      <c r="M2" s="125"/>
      <c r="N2" s="125"/>
      <c r="O2" s="125"/>
    </row>
    <row r="3" spans="1:15" s="45" customFormat="1" ht="50.1" customHeight="1">
      <c r="A3" s="126" t="s">
        <v>143</v>
      </c>
      <c r="B3" s="126"/>
      <c r="C3" s="16" t="str">
        <f>Data!BC5</f>
        <v>12125</v>
      </c>
      <c r="D3" s="8" t="s">
        <v>8</v>
      </c>
      <c r="E3" s="8"/>
      <c r="F3" s="18" t="str">
        <f>TRIM(Data!AX5)</f>
        <v>Roller Shutters, Sheers &amp; Screen.</v>
      </c>
      <c r="G3" s="3" t="str">
        <f>TRIM(Data!BG5)</f>
        <v/>
      </c>
      <c r="H3" s="3"/>
      <c r="I3" s="3"/>
      <c r="J3" s="3"/>
      <c r="K3" s="3"/>
      <c r="L3" s="3"/>
      <c r="M3" s="3"/>
      <c r="N3" s="3"/>
      <c r="O3" s="3"/>
    </row>
    <row r="4" spans="1:15" s="46" customFormat="1" ht="50.1" customHeight="1">
      <c r="A4" s="128" t="s">
        <v>15</v>
      </c>
      <c r="B4" s="128"/>
      <c r="C4" s="16" t="str">
        <f>Data!BD5</f>
        <v>A</v>
      </c>
      <c r="D4" s="8" t="s">
        <v>137</v>
      </c>
      <c r="E4" s="8"/>
      <c r="F4" s="18" t="str">
        <f>LEFT(Data!BA5,10)</f>
        <v>24/09/2026</v>
      </c>
      <c r="G4" s="3"/>
      <c r="H4" s="3"/>
      <c r="I4" s="3"/>
      <c r="J4" s="3"/>
      <c r="K4" s="3"/>
      <c r="L4" s="3"/>
      <c r="M4" s="3"/>
      <c r="N4" s="3"/>
      <c r="O4" s="3"/>
    </row>
    <row r="5" spans="1:15" s="53" customFormat="1" ht="50.1" customHeight="1">
      <c r="A5" s="167" t="s">
        <v>142</v>
      </c>
      <c r="B5" s="168" t="s">
        <v>120</v>
      </c>
      <c r="C5" s="125" t="s">
        <v>175</v>
      </c>
      <c r="D5" s="125" t="s">
        <v>176</v>
      </c>
      <c r="E5" s="125" t="s">
        <v>177</v>
      </c>
      <c r="F5" s="125" t="s">
        <v>154</v>
      </c>
      <c r="G5" s="125" t="s">
        <v>155</v>
      </c>
      <c r="H5" s="125" t="s">
        <v>178</v>
      </c>
      <c r="I5" s="125" t="s">
        <v>173</v>
      </c>
      <c r="J5" s="125" t="s">
        <v>209</v>
      </c>
      <c r="K5" s="125" t="s">
        <v>210</v>
      </c>
      <c r="L5" s="125" t="s">
        <v>174</v>
      </c>
      <c r="M5" s="125" t="s">
        <v>190</v>
      </c>
      <c r="N5" s="125" t="s">
        <v>208</v>
      </c>
      <c r="O5" s="125" t="s">
        <v>5</v>
      </c>
    </row>
    <row r="6" spans="1:15" s="53" customFormat="1" ht="14.25" customHeight="1" hidden="1">
      <c r="A6" s="167"/>
      <c r="B6" s="168"/>
      <c r="C6" s="125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</row>
    <row r="7" spans="1:15" s="54" customFormat="1" ht="124.5" customHeight="1">
      <c r="A7" s="167"/>
      <c r="B7" s="168"/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</row>
    <row r="8" spans="1:15" s="40" customFormat="1" ht="60" customHeight="1">
      <c r="A8" s="71" t="str">
        <f>IF(Data!BN11="Invisi-Scape",'Job Sheet'!A11,"")</f>
        <v/>
      </c>
      <c r="B8" s="74" t="str">
        <f>IF(Data!BN11="Invisi-Scape",'Job Sheet'!C11,"")</f>
        <v/>
      </c>
      <c r="C8" s="44" t="str">
        <f>IF(Data!BN11="Invisi-Scape",'Job Sheet'!W11,"")</f>
        <v/>
      </c>
      <c r="D8" s="44" t="str">
        <f>IF(Data!BN11="Invisi-Scape",'Job Sheet'!X11,"")</f>
        <v/>
      </c>
      <c r="E8" s="59" t="str">
        <f>IF(Data!BN11="Invisi-Scape",'Job Sheet'!B11,"")</f>
        <v/>
      </c>
      <c r="F8" s="59" t="str">
        <f>IF(Data!BN11="Invisi-Scape",'Job Sheet'!I11,"")</f>
        <v/>
      </c>
      <c r="G8" s="59" t="str">
        <f>IF(Data!BN11="Invisi-Scape",'Job Sheet'!J11,"")</f>
        <v/>
      </c>
      <c r="H8" s="59" t="str">
        <f>IF(Data!BN11="Invisi-Scape",'Job Sheet'!K11,"")</f>
        <v/>
      </c>
      <c r="I8" s="59" t="str">
        <f>IF(Data!BN11="Invisi-Scape",'Job Sheet'!L11,"")</f>
        <v/>
      </c>
      <c r="J8" s="73" t="str">
        <f>IF(Data!BN11="Invisi-Scape",'Job Sheet'!P11,"")</f>
        <v/>
      </c>
      <c r="K8" s="73" t="str">
        <f>IF(Data!BN11="Invisi-Scape",'Job Sheet'!Q11,"")</f>
        <v/>
      </c>
      <c r="L8" s="59" t="str">
        <f>IF(Data!BN11="Invisi-Scape",'Job Sheet'!M11,"")</f>
        <v/>
      </c>
      <c r="M8" s="59" t="str">
        <f>IF(Data!BN11="Invisi-Scape",'Job Sheet'!N11,"")</f>
        <v/>
      </c>
      <c r="N8" s="59" t="str">
        <f>IF(Data!BN11="Invisi-Scape",'Job Sheet'!O11,"")</f>
        <v/>
      </c>
      <c r="O8" s="59" t="str">
        <f>IF(Data!BN11="Invisi-Scape",'Job Sheet'!Y11,"")</f>
        <v/>
      </c>
    </row>
    <row r="9" spans="1:15" s="40" customFormat="1" ht="60" customHeight="1">
      <c r="A9" s="71" t="str">
        <f>IF(Data!BN12="Invisi-Scape",'Job Sheet'!A12,"")</f>
        <v/>
      </c>
      <c r="B9" s="74" t="str">
        <f>IF(Data!BN12="Invisi-Scape",'Job Sheet'!C12,"")</f>
        <v/>
      </c>
      <c r="C9" s="44" t="str">
        <f>IF(Data!BN12="Invisi-Scape",'Job Sheet'!W12,"")</f>
        <v/>
      </c>
      <c r="D9" s="44" t="str">
        <f>IF(Data!BN12="Invisi-Scape",'Job Sheet'!X12,"")</f>
        <v/>
      </c>
      <c r="E9" s="59" t="str">
        <f>IF(Data!BN12="Invisi-Scape",'Job Sheet'!B12,"")</f>
        <v/>
      </c>
      <c r="F9" s="59" t="str">
        <f>IF(Data!BN12="Invisi-Scape",'Job Sheet'!I12,"")</f>
        <v/>
      </c>
      <c r="G9" s="59" t="str">
        <f>IF(Data!BN12="Invisi-Scape",'Job Sheet'!J12,"")</f>
        <v/>
      </c>
      <c r="H9" s="59" t="str">
        <f>IF(Data!BN12="Invisi-Scape",'Job Sheet'!K12,"")</f>
        <v/>
      </c>
      <c r="I9" s="59" t="str">
        <f>IF(Data!BN12="Invisi-Scape",'Job Sheet'!L12,"")</f>
        <v/>
      </c>
      <c r="J9" s="73" t="str">
        <f>IF(Data!BN12="Invisi-Scape",'Job Sheet'!P12,"")</f>
        <v/>
      </c>
      <c r="K9" s="73" t="str">
        <f>IF(Data!BN12="Invisi-Scape",'Job Sheet'!Q12,"")</f>
        <v/>
      </c>
      <c r="L9" s="59" t="str">
        <f>IF(Data!BN12="Invisi-Scape",'Job Sheet'!M12,"")</f>
        <v/>
      </c>
      <c r="M9" s="59" t="str">
        <f>IF(Data!BN12="Invisi-Scape",'Job Sheet'!N12,"")</f>
        <v/>
      </c>
      <c r="N9" s="59" t="str">
        <f>IF(Data!BN12="Invisi-Scape",'Job Sheet'!O12,"")</f>
        <v/>
      </c>
      <c r="O9" s="59" t="str">
        <f>IF(Data!BN12="Invisi-Scape",'Job Sheet'!Y12,"")</f>
        <v/>
      </c>
    </row>
    <row r="10" spans="1:15" s="40" customFormat="1" ht="60" customHeight="1">
      <c r="A10" s="71" t="str">
        <f>IF(Data!BN13="Invisi-Scape",'Job Sheet'!A13,"")</f>
        <v/>
      </c>
      <c r="B10" s="74" t="str">
        <f>IF(Data!BN13="Invisi-Scape",'Job Sheet'!C13,"")</f>
        <v/>
      </c>
      <c r="C10" s="44" t="str">
        <f>IF(Data!BN13="Invisi-Scape",'Job Sheet'!W13,"")</f>
        <v/>
      </c>
      <c r="D10" s="44" t="str">
        <f>IF(Data!BN13="Invisi-Scape",'Job Sheet'!X13,"")</f>
        <v/>
      </c>
      <c r="E10" s="59" t="str">
        <f>IF(Data!BN13="Invisi-Scape",'Job Sheet'!B13,"")</f>
        <v/>
      </c>
      <c r="F10" s="59" t="str">
        <f>IF(Data!BN13="Invisi-Scape",'Job Sheet'!I13,"")</f>
        <v/>
      </c>
      <c r="G10" s="59" t="str">
        <f>IF(Data!BN13="Invisi-Scape",'Job Sheet'!J13,"")</f>
        <v/>
      </c>
      <c r="H10" s="59" t="str">
        <f>IF(Data!BN13="Invisi-Scape",'Job Sheet'!K13,"")</f>
        <v/>
      </c>
      <c r="I10" s="59" t="str">
        <f>IF(Data!BN13="Invisi-Scape",'Job Sheet'!L13,"")</f>
        <v/>
      </c>
      <c r="J10" s="73" t="str">
        <f>IF(Data!BN13="Invisi-Scape",'Job Sheet'!P13,"")</f>
        <v/>
      </c>
      <c r="K10" s="73" t="str">
        <f>IF(Data!BN13="Invisi-Scape",'Job Sheet'!Q13,"")</f>
        <v/>
      </c>
      <c r="L10" s="59" t="str">
        <f>IF(Data!BN13="Invisi-Scape",'Job Sheet'!M13,"")</f>
        <v/>
      </c>
      <c r="M10" s="59" t="str">
        <f>IF(Data!BN13="Invisi-Scape",'Job Sheet'!N13,"")</f>
        <v/>
      </c>
      <c r="N10" s="59" t="str">
        <f>IF(Data!BN13="Invisi-Scape",'Job Sheet'!O13,"")</f>
        <v/>
      </c>
      <c r="O10" s="59" t="str">
        <f>IF(Data!BN13="Invisi-Scape",'Job Sheet'!Y13,"")</f>
        <v/>
      </c>
    </row>
    <row r="11" spans="1:15" s="40" customFormat="1" ht="60" customHeight="1">
      <c r="A11" s="71" t="str">
        <f>IF(Data!BN14="Invisi-Scape",'Job Sheet'!A14,"")</f>
        <v/>
      </c>
      <c r="B11" s="74" t="str">
        <f>IF(Data!BN14="Invisi-Scape",'Job Sheet'!C14,"")</f>
        <v/>
      </c>
      <c r="C11" s="44" t="str">
        <f>IF(Data!BN14="Invisi-Scape",'Job Sheet'!W14,"")</f>
        <v/>
      </c>
      <c r="D11" s="44" t="str">
        <f>IF(Data!BN14="Invisi-Scape",'Job Sheet'!X14,"")</f>
        <v/>
      </c>
      <c r="E11" s="59" t="str">
        <f>IF(Data!BN14="Invisi-Scape",'Job Sheet'!B14,"")</f>
        <v/>
      </c>
      <c r="F11" s="59" t="str">
        <f>IF(Data!BN14="Invisi-Scape",'Job Sheet'!I14,"")</f>
        <v/>
      </c>
      <c r="G11" s="59" t="str">
        <f>IF(Data!BN14="Invisi-Scape",'Job Sheet'!J14,"")</f>
        <v/>
      </c>
      <c r="H11" s="59" t="str">
        <f>IF(Data!BN14="Invisi-Scape",'Job Sheet'!K14,"")</f>
        <v/>
      </c>
      <c r="I11" s="59" t="str">
        <f>IF(Data!BN14="Invisi-Scape",'Job Sheet'!L14,"")</f>
        <v/>
      </c>
      <c r="J11" s="73" t="str">
        <f>IF(Data!BN14="Invisi-Scape",'Job Sheet'!P14,"")</f>
        <v/>
      </c>
      <c r="K11" s="73" t="str">
        <f>IF(Data!BN14="Invisi-Scape",'Job Sheet'!Q14,"")</f>
        <v/>
      </c>
      <c r="L11" s="59" t="str">
        <f>IF(Data!BN14="Invisi-Scape",'Job Sheet'!M14,"")</f>
        <v/>
      </c>
      <c r="M11" s="59" t="str">
        <f>IF(Data!BN14="Invisi-Scape",'Job Sheet'!N14,"")</f>
        <v/>
      </c>
      <c r="N11" s="59" t="str">
        <f>IF(Data!BN14="Invisi-Scape",'Job Sheet'!O14,"")</f>
        <v/>
      </c>
      <c r="O11" s="59" t="str">
        <f>IF(Data!BN14="Invisi-Scape",'Job Sheet'!Y14,"")</f>
        <v/>
      </c>
    </row>
    <row r="12" spans="1:15" s="40" customFormat="1" ht="60" customHeight="1">
      <c r="A12" s="71" t="str">
        <f>IF(Data!BN15="Invisi-Scape",'Job Sheet'!A15,"")</f>
        <v/>
      </c>
      <c r="B12" s="74" t="str">
        <f>IF(Data!BN15="Invisi-Scape",'Job Sheet'!C15,"")</f>
        <v/>
      </c>
      <c r="C12" s="44" t="str">
        <f>IF(Data!BN15="Invisi-Scape",'Job Sheet'!W15,"")</f>
        <v/>
      </c>
      <c r="D12" s="44" t="str">
        <f>IF(Data!BN15="Invisi-Scape",'Job Sheet'!X15,"")</f>
        <v/>
      </c>
      <c r="E12" s="59" t="str">
        <f>IF(Data!BN15="Invisi-Scape",'Job Sheet'!B15,"")</f>
        <v/>
      </c>
      <c r="F12" s="59" t="str">
        <f>IF(Data!BN15="Invisi-Scape",'Job Sheet'!I15,"")</f>
        <v/>
      </c>
      <c r="G12" s="59" t="str">
        <f>IF(Data!BN15="Invisi-Scape",'Job Sheet'!J15,"")</f>
        <v/>
      </c>
      <c r="H12" s="59" t="str">
        <f>IF(Data!BN15="Invisi-Scape",'Job Sheet'!K15,"")</f>
        <v/>
      </c>
      <c r="I12" s="59" t="str">
        <f>IF(Data!BN15="Invisi-Scape",'Job Sheet'!L15,"")</f>
        <v/>
      </c>
      <c r="J12" s="73" t="str">
        <f>IF(Data!BN15="Invisi-Scape",'Job Sheet'!P15,"")</f>
        <v/>
      </c>
      <c r="K12" s="73" t="str">
        <f>IF(Data!BN15="Invisi-Scape",'Job Sheet'!Q15,"")</f>
        <v/>
      </c>
      <c r="L12" s="59" t="str">
        <f>IF(Data!BN15="Invisi-Scape",'Job Sheet'!M15,"")</f>
        <v/>
      </c>
      <c r="M12" s="59" t="str">
        <f>IF(Data!BN15="Invisi-Scape",'Job Sheet'!N15,"")</f>
        <v/>
      </c>
      <c r="N12" s="59" t="str">
        <f>IF(Data!BN15="Invisi-Scape",'Job Sheet'!O15,"")</f>
        <v/>
      </c>
      <c r="O12" s="59" t="str">
        <f>IF(Data!BN15="Invisi-Scape",'Job Sheet'!Y15,"")</f>
        <v/>
      </c>
    </row>
    <row r="13" spans="1:15" s="40" customFormat="1" ht="60" customHeight="1">
      <c r="A13" s="71" t="str">
        <f>IF(Data!BN16="Invisi-Scape",'Job Sheet'!A16,"")</f>
        <v/>
      </c>
      <c r="B13" s="74" t="str">
        <f>IF(Data!BN16="Invisi-Scape",'Job Sheet'!C16,"")</f>
        <v/>
      </c>
      <c r="C13" s="44" t="str">
        <f>IF(Data!BN16="Invisi-Scape",'Job Sheet'!W16,"")</f>
        <v/>
      </c>
      <c r="D13" s="44" t="str">
        <f>IF(Data!BN16="Invisi-Scape",'Job Sheet'!X16,"")</f>
        <v/>
      </c>
      <c r="E13" s="59" t="str">
        <f>IF(Data!BN16="Invisi-Scape",'Job Sheet'!B16,"")</f>
        <v/>
      </c>
      <c r="F13" s="59" t="str">
        <f>IF(Data!BN16="Invisi-Scape",'Job Sheet'!I16,"")</f>
        <v/>
      </c>
      <c r="G13" s="59" t="str">
        <f>IF(Data!BN16="Invisi-Scape",'Job Sheet'!J16,"")</f>
        <v/>
      </c>
      <c r="H13" s="59" t="str">
        <f>IF(Data!BN16="Invisi-Scape",'Job Sheet'!K16,"")</f>
        <v/>
      </c>
      <c r="I13" s="59" t="str">
        <f>IF(Data!BN16="Invisi-Scape",'Job Sheet'!L16,"")</f>
        <v/>
      </c>
      <c r="J13" s="73" t="str">
        <f>IF(Data!BN16="Invisi-Scape",'Job Sheet'!P16,"")</f>
        <v/>
      </c>
      <c r="K13" s="73" t="str">
        <f>IF(Data!BN16="Invisi-Scape",'Job Sheet'!Q16,"")</f>
        <v/>
      </c>
      <c r="L13" s="59" t="str">
        <f>IF(Data!BN16="Invisi-Scape",'Job Sheet'!M16,"")</f>
        <v/>
      </c>
      <c r="M13" s="59" t="str">
        <f>IF(Data!BN16="Invisi-Scape",'Job Sheet'!N16,"")</f>
        <v/>
      </c>
      <c r="N13" s="59" t="str">
        <f>IF(Data!BN16="Invisi-Scape",'Job Sheet'!O16,"")</f>
        <v/>
      </c>
      <c r="O13" s="59" t="str">
        <f>IF(Data!BN16="Invisi-Scape",'Job Sheet'!Y16,"")</f>
        <v/>
      </c>
    </row>
    <row r="14" spans="1:15" s="40" customFormat="1" ht="60" customHeight="1">
      <c r="A14" s="71" t="str">
        <f>IF(Data!BN17="Invisi-Scape",'Job Sheet'!A17,"")</f>
        <v/>
      </c>
      <c r="B14" s="74" t="str">
        <f>IF(Data!BN17="Invisi-Scape",'Job Sheet'!C17,"")</f>
        <v/>
      </c>
      <c r="C14" s="44" t="str">
        <f>IF(Data!BN17="Invisi-Scape",'Job Sheet'!W17,"")</f>
        <v/>
      </c>
      <c r="D14" s="44" t="str">
        <f>IF(Data!BN17="Invisi-Scape",'Job Sheet'!X17,"")</f>
        <v/>
      </c>
      <c r="E14" s="59" t="str">
        <f>IF(Data!BN17="Invisi-Scape",'Job Sheet'!B17,"")</f>
        <v/>
      </c>
      <c r="F14" s="59" t="str">
        <f>IF(Data!BN17="Invisi-Scape",'Job Sheet'!I17,"")</f>
        <v/>
      </c>
      <c r="G14" s="59" t="str">
        <f>IF(Data!BN17="Invisi-Scape",'Job Sheet'!J17,"")</f>
        <v/>
      </c>
      <c r="H14" s="59" t="str">
        <f>IF(Data!BN17="Invisi-Scape",'Job Sheet'!K17,"")</f>
        <v/>
      </c>
      <c r="I14" s="59" t="str">
        <f>IF(Data!BN17="Invisi-Scape",'Job Sheet'!L17,"")</f>
        <v/>
      </c>
      <c r="J14" s="73" t="str">
        <f>IF(Data!BN17="Invisi-Scape",'Job Sheet'!P17,"")</f>
        <v/>
      </c>
      <c r="K14" s="73" t="str">
        <f>IF(Data!BN17="Invisi-Scape",'Job Sheet'!Q17,"")</f>
        <v/>
      </c>
      <c r="L14" s="59" t="str">
        <f>IF(Data!BN17="Invisi-Scape",'Job Sheet'!M17,"")</f>
        <v/>
      </c>
      <c r="M14" s="59" t="str">
        <f>IF(Data!BN17="Invisi-Scape",'Job Sheet'!N17,"")</f>
        <v/>
      </c>
      <c r="N14" s="59" t="str">
        <f>IF(Data!BN17="Invisi-Scape",'Job Sheet'!O17,"")</f>
        <v/>
      </c>
      <c r="O14" s="59" t="str">
        <f>IF(Data!BN17="Invisi-Scape",'Job Sheet'!Y17,"")</f>
        <v/>
      </c>
    </row>
    <row r="15" spans="1:15" s="40" customFormat="1" ht="60" customHeight="1">
      <c r="A15" s="71" t="str">
        <f>IF(Data!BN18="Invisi-Scape",'Job Sheet'!A18,"")</f>
        <v/>
      </c>
      <c r="B15" s="74" t="str">
        <f>IF(Data!BN18="Invisi-Scape",'Job Sheet'!C18,"")</f>
        <v/>
      </c>
      <c r="C15" s="44" t="str">
        <f>IF(Data!BN18="Invisi-Scape",'Job Sheet'!W18,"")</f>
        <v/>
      </c>
      <c r="D15" s="44" t="str">
        <f>IF(Data!BN18="Invisi-Scape",'Job Sheet'!X18,"")</f>
        <v/>
      </c>
      <c r="E15" s="59" t="str">
        <f>IF(Data!BN18="Invisi-Scape",'Job Sheet'!B18,"")</f>
        <v/>
      </c>
      <c r="F15" s="59" t="str">
        <f>IF(Data!BN18="Invisi-Scape",'Job Sheet'!I18,"")</f>
        <v/>
      </c>
      <c r="G15" s="59" t="str">
        <f>IF(Data!BN18="Invisi-Scape",'Job Sheet'!J18,"")</f>
        <v/>
      </c>
      <c r="H15" s="59" t="str">
        <f>IF(Data!BN18="Invisi-Scape",'Job Sheet'!K18,"")</f>
        <v/>
      </c>
      <c r="I15" s="59" t="str">
        <f>IF(Data!BN18="Invisi-Scape",'Job Sheet'!L18,"")</f>
        <v/>
      </c>
      <c r="J15" s="73" t="str">
        <f>IF(Data!BN18="Invisi-Scape",'Job Sheet'!P18,"")</f>
        <v/>
      </c>
      <c r="K15" s="73" t="str">
        <f>IF(Data!BN18="Invisi-Scape",'Job Sheet'!Q18,"")</f>
        <v/>
      </c>
      <c r="L15" s="59" t="str">
        <f>IF(Data!BN18="Invisi-Scape",'Job Sheet'!M18,"")</f>
        <v/>
      </c>
      <c r="M15" s="59" t="str">
        <f>IF(Data!BN18="Invisi-Scape",'Job Sheet'!N18,"")</f>
        <v/>
      </c>
      <c r="N15" s="59" t="str">
        <f>IF(Data!BN18="Invisi-Scape",'Job Sheet'!O18,"")</f>
        <v/>
      </c>
      <c r="O15" s="59" t="str">
        <f>IF(Data!BN18="Invisi-Scape",'Job Sheet'!Y18,"")</f>
        <v/>
      </c>
    </row>
    <row r="16" spans="1:15" s="40" customFormat="1" ht="60" customHeight="1">
      <c r="A16" s="71" t="str">
        <f>IF(Data!BN19="Invisi-Scape",'Job Sheet'!A19,"")</f>
        <v/>
      </c>
      <c r="B16" s="74" t="str">
        <f>IF(Data!BN19="Invisi-Scape",'Job Sheet'!C19,"")</f>
        <v/>
      </c>
      <c r="C16" s="44" t="str">
        <f>IF(Data!BN19="Invisi-Scape",'Job Sheet'!W19,"")</f>
        <v/>
      </c>
      <c r="D16" s="44" t="str">
        <f>IF(Data!BN19="Invisi-Scape",'Job Sheet'!X19,"")</f>
        <v/>
      </c>
      <c r="E16" s="59" t="str">
        <f>IF(Data!BN19="Invisi-Scape",'Job Sheet'!B19,"")</f>
        <v/>
      </c>
      <c r="F16" s="59" t="str">
        <f>IF(Data!BN19="Invisi-Scape",'Job Sheet'!I19,"")</f>
        <v/>
      </c>
      <c r="G16" s="59" t="str">
        <f>IF(Data!BN19="Invisi-Scape",'Job Sheet'!J19,"")</f>
        <v/>
      </c>
      <c r="H16" s="59" t="str">
        <f>IF(Data!BN19="Invisi-Scape",'Job Sheet'!K19,"")</f>
        <v/>
      </c>
      <c r="I16" s="59" t="str">
        <f>IF(Data!BN19="Invisi-Scape",'Job Sheet'!L19,"")</f>
        <v/>
      </c>
      <c r="J16" s="73" t="str">
        <f>IF(Data!BN19="Invisi-Scape",'Job Sheet'!P19,"")</f>
        <v/>
      </c>
      <c r="K16" s="73" t="str">
        <f>IF(Data!BN19="Invisi-Scape",'Job Sheet'!Q19,"")</f>
        <v/>
      </c>
      <c r="L16" s="59" t="str">
        <f>IF(Data!BN19="Invisi-Scape",'Job Sheet'!M19,"")</f>
        <v/>
      </c>
      <c r="M16" s="59" t="str">
        <f>IF(Data!BN19="Invisi-Scape",'Job Sheet'!N19,"")</f>
        <v/>
      </c>
      <c r="N16" s="59" t="str">
        <f>IF(Data!BN19="Invisi-Scape",'Job Sheet'!O19,"")</f>
        <v/>
      </c>
      <c r="O16" s="59" t="str">
        <f>IF(Data!BN19="Invisi-Scape",'Job Sheet'!Y19,"")</f>
        <v/>
      </c>
    </row>
    <row r="17" spans="1:15" s="40" customFormat="1" ht="60" customHeight="1">
      <c r="A17" s="71" t="str">
        <f>IF(Data!BN20="Invisi-Scape",'Job Sheet'!A20,"")</f>
        <v/>
      </c>
      <c r="B17" s="74" t="str">
        <f>IF(Data!BN20="Invisi-Scape",'Job Sheet'!C20,"")</f>
        <v/>
      </c>
      <c r="C17" s="44" t="str">
        <f>IF(Data!BN20="Invisi-Scape",'Job Sheet'!W20,"")</f>
        <v/>
      </c>
      <c r="D17" s="44" t="str">
        <f>IF(Data!BN20="Invisi-Scape",'Job Sheet'!X20,"")</f>
        <v/>
      </c>
      <c r="E17" s="59" t="str">
        <f>IF(Data!BN20="Invisi-Scape",'Job Sheet'!B20,"")</f>
        <v/>
      </c>
      <c r="F17" s="59" t="str">
        <f>IF(Data!BN20="Invisi-Scape",'Job Sheet'!I20,"")</f>
        <v/>
      </c>
      <c r="G17" s="59" t="str">
        <f>IF(Data!BN20="Invisi-Scape",'Job Sheet'!J20,"")</f>
        <v/>
      </c>
      <c r="H17" s="59" t="str">
        <f>IF(Data!BN20="Invisi-Scape",'Job Sheet'!K20,"")</f>
        <v/>
      </c>
      <c r="I17" s="59" t="str">
        <f>IF(Data!BN20="Invisi-Scape",'Job Sheet'!L20,"")</f>
        <v/>
      </c>
      <c r="J17" s="73" t="str">
        <f>IF(Data!BN20="Invisi-Scape",'Job Sheet'!P20,"")</f>
        <v/>
      </c>
      <c r="K17" s="73" t="str">
        <f>IF(Data!BN20="Invisi-Scape",'Job Sheet'!Q20,"")</f>
        <v/>
      </c>
      <c r="L17" s="59" t="str">
        <f>IF(Data!BN20="Invisi-Scape",'Job Sheet'!M20,"")</f>
        <v/>
      </c>
      <c r="M17" s="59" t="str">
        <f>IF(Data!BN20="Invisi-Scape",'Job Sheet'!N20,"")</f>
        <v/>
      </c>
      <c r="N17" s="59" t="str">
        <f>IF(Data!BN20="Invisi-Scape",'Job Sheet'!O20,"")</f>
        <v/>
      </c>
      <c r="O17" s="59" t="str">
        <f>IF(Data!BN20="Invisi-Scape",'Job Sheet'!Y20,"")</f>
        <v/>
      </c>
    </row>
    <row r="18" spans="1:15" ht="60" customHeight="1">
      <c r="A18" s="71" t="str">
        <f>IF(Data!BN21="Invisi-Scape",'Job Sheet'!A21,"")</f>
        <v/>
      </c>
      <c r="B18" s="74" t="str">
        <f>IF(Data!BN21="Invisi-Scape",'Job Sheet'!C21,"")</f>
        <v/>
      </c>
      <c r="C18" s="44" t="str">
        <f>IF(Data!BN21="Invisi-Scape",'Job Sheet'!W21,"")</f>
        <v/>
      </c>
      <c r="D18" s="44" t="str">
        <f>IF(Data!BN21="Invisi-Scape",'Job Sheet'!X21,"")</f>
        <v/>
      </c>
      <c r="E18" s="59" t="str">
        <f>IF(Data!BN21="Invisi-Scape",'Job Sheet'!B21,"")</f>
        <v/>
      </c>
      <c r="F18" s="59" t="str">
        <f>IF(Data!BN21="Invisi-Scape",'Job Sheet'!I21,"")</f>
        <v/>
      </c>
      <c r="G18" s="59" t="str">
        <f>IF(Data!BN21="Invisi-Scape",'Job Sheet'!J21,"")</f>
        <v/>
      </c>
      <c r="H18" s="59" t="str">
        <f>IF(Data!BN21="Invisi-Scape",'Job Sheet'!K21,"")</f>
        <v/>
      </c>
      <c r="I18" s="59" t="str">
        <f>IF(Data!BN21="Invisi-Scape",'Job Sheet'!L21,"")</f>
        <v/>
      </c>
      <c r="J18" s="73" t="str">
        <f>IF(Data!BN21="Invisi-Scape",'Job Sheet'!P21,"")</f>
        <v/>
      </c>
      <c r="K18" s="73" t="str">
        <f>IF(Data!BN21="Invisi-Scape",'Job Sheet'!Q21,"")</f>
        <v/>
      </c>
      <c r="L18" s="59" t="str">
        <f>IF(Data!BN21="Invisi-Scape",'Job Sheet'!M21,"")</f>
        <v/>
      </c>
      <c r="M18" s="59" t="str">
        <f>IF(Data!BN21="Invisi-Scape",'Job Sheet'!N21,"")</f>
        <v/>
      </c>
      <c r="N18" s="59" t="str">
        <f>IF(Data!BN21="Invisi-Scape",'Job Sheet'!O21,"")</f>
        <v/>
      </c>
      <c r="O18" s="59" t="str">
        <f>IF(Data!BN21="Invisi-Scape",'Job Sheet'!Y21,"")</f>
        <v/>
      </c>
    </row>
  </sheetData>
  <sheetProtection formatCells="0" formatRows="0" insertColumns="0" insertRows="0"/>
  <mergeCells count="24">
    <mergeCell ref="D2:E2"/>
    <mergeCell ref="D3:E3"/>
    <mergeCell ref="D4:E4"/>
    <mergeCell ref="O5:O7"/>
    <mergeCell ref="D5:D7"/>
    <mergeCell ref="E5:E7"/>
    <mergeCell ref="F5:F7"/>
    <mergeCell ref="G5:G7"/>
    <mergeCell ref="A1:O1"/>
    <mergeCell ref="G2:O2"/>
    <mergeCell ref="G3:O4"/>
    <mergeCell ref="N5:N7"/>
    <mergeCell ref="I5:I7"/>
    <mergeCell ref="L5:L7"/>
    <mergeCell ref="A5:A7"/>
    <mergeCell ref="B5:B7"/>
    <mergeCell ref="C5:C7"/>
    <mergeCell ref="M5:M7"/>
    <mergeCell ref="J5:J7"/>
    <mergeCell ref="K5:K7"/>
    <mergeCell ref="H5:H7"/>
    <mergeCell ref="A3:B3"/>
    <mergeCell ref="A4:B4"/>
    <mergeCell ref="A2:B2"/>
  </mergeCells>
  <printOptions horizontalCentered="1"/>
  <pageMargins left="0.515748031496081" right="0.515748031496081" top="0.15748031496063" bottom="0.196850393700787" header="0.118110236220472" footer="0.118110236220472"/>
  <pageSetup fitToHeight="0" orientation="landscape" paperSize="9" scale="10" r:id="rId1"/>
  <headerFooter alignWithMargins="0">
    <oddFooter>&amp;L&amp;P of  &amp;N&amp;C&amp;Z&amp;F&amp;R&amp;D &amp;T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Labels"/>
  <dimension ref="A1:K72"/>
  <sheetViews>
    <sheetView zoomScale="90" zoomScaleNormal="90" zoomScaleSheetLayoutView="100" workbookViewId="0" topLeftCell="A1">
      <selection pane="topLeft" activeCell="C11" sqref="C11"/>
    </sheetView>
  </sheetViews>
  <sheetFormatPr defaultColWidth="9.44140625" defaultRowHeight="13.5"/>
  <cols>
    <col min="1" max="1" width="30.5714285714286" bestFit="1" customWidth="1"/>
    <col min="2" max="2" width="64.4285714285714" bestFit="1" customWidth="1"/>
    <col min="3" max="3" width="41" bestFit="1" customWidth="1"/>
    <col min="4" max="4" width="45.5714285714286" bestFit="1" customWidth="1"/>
    <col min="5" max="5" width="42.5714285714286" bestFit="1" customWidth="1"/>
    <col min="6" max="6" width="34.5714285714286" bestFit="1" customWidth="1"/>
    <col min="7" max="7" width="34" bestFit="1" customWidth="1"/>
    <col min="8" max="8" width="33.5714285714286" bestFit="1" customWidth="1"/>
    <col min="9" max="9" width="41.5714285714286" bestFit="1" customWidth="1"/>
    <col min="10" max="10" width="10.4285714285714" bestFit="1" customWidth="1"/>
    <col min="11" max="11" width="11.4285714285714" bestFit="1" customWidth="1"/>
  </cols>
  <sheetData>
    <row r="1" spans="1:6" ht="13.2">
      <c r="A1">
        <v>1</v>
      </c>
      <c r="C1" s="32"/>
      <c r="D1" s="36"/>
      <c r="E1" s="32"/>
      <c r="F1" s="32"/>
    </row>
    <row r="2" spans="1:4" ht="13.2">
      <c r="A2">
        <v>2</v>
      </c>
      <c r="B2" s="37"/>
      <c r="C2" s="32"/>
      <c r="D2" s="36"/>
    </row>
    <row r="3" spans="1:4" ht="13.2">
      <c r="A3">
        <v>3</v>
      </c>
      <c r="C3" s="32"/>
      <c r="D3" s="32"/>
    </row>
    <row r="4" ht="13.2">
      <c r="A4">
        <v>4</v>
      </c>
    </row>
    <row r="5" ht="13.2">
      <c r="A5">
        <v>5</v>
      </c>
    </row>
    <row r="6" ht="13.2">
      <c r="A6">
        <v>6</v>
      </c>
    </row>
    <row r="7" ht="13.2">
      <c r="A7">
        <v>7</v>
      </c>
    </row>
    <row r="8" ht="13.2">
      <c r="A8">
        <v>8</v>
      </c>
    </row>
    <row r="9" ht="13.2">
      <c r="A9" t="s">
        <v>134</v>
      </c>
    </row>
    <row r="10" spans="1:11" ht="13.2">
      <c r="A10" t="s">
        <v>114</v>
      </c>
      <c r="B10" t="s">
        <v>115</v>
      </c>
      <c r="C10" t="s">
        <v>116</v>
      </c>
      <c r="D10" t="s">
        <v>117</v>
      </c>
      <c r="E10" t="s">
        <v>118</v>
      </c>
      <c r="F10" t="s">
        <v>135</v>
      </c>
      <c r="G10" t="s">
        <v>119</v>
      </c>
      <c r="H10" t="s">
        <v>120</v>
      </c>
      <c r="I10" t="s">
        <v>121</v>
      </c>
      <c r="J10" t="s">
        <v>122</v>
      </c>
      <c r="K10" t="s">
        <v>123</v>
      </c>
    </row>
    <row r="11" spans="1:11" ht="13.5" customHeight="1">
      <c r="A11" t="str">
        <f>IF(OR(Data!$AV11="",Data!$AW11&gt;999),"","^XA^LH0,0^PRB,D^MD20^JMA^FS")</f>
        <v>^XA^LH0,0^PRB,D^MD20^JMA^FS</v>
      </c>
      <c r="B11" t="str">
        <f t="array" ref="B11">IF(A11&lt;&gt;"","^BY2,2.7,13^FO506,20^B2N,132,Y,N,N^SN"&amp;BarcodeValue(Data!BC$5,Data!BD$5,Data!AW11,0)&amp;",N,Y^FS","")</f>
        <v>^BY2,2.7,13^FO506,20^B2N,132,Y,N,N^SN0012125650070007,N,Y^FS</v>
      </c>
      <c r="C11" t="str">
        <f>IF(A11&lt;&gt;"","^FO20,20^A0N,28,37^CI13^FD"&amp;TEXT(Data!AY$5,"d/m/yyyy")&amp;"^FS","")</f>
        <v>^FO20,20^A0N,28,37^CI13^FD18/8/2026^FS</v>
      </c>
      <c r="D11" t="str">
        <f>IF(A11&lt;&gt;"","^FO220,20^A0N,41,48^CI13^FD"&amp;Data!$BC$5&amp;Data!$BD$5&amp;"/"&amp;RIGHT("000"&amp;Data!AW11,3)&amp;"^FS","")</f>
        <v>^FO220,20^A0N,41,48^CI13^FD12125A/007^FS</v>
      </c>
      <c r="E11" t="str">
        <f>IF(A11&lt;&gt;"","^FO20,55^A0N,30,30^CI13^FD"&amp;Data!$BF$5&amp;"^FS","")</f>
        <v>^FO20,55^A0N,30,30^CI13^FDMcKinnis, Stephen^FS</v>
      </c>
      <c r="F11" t="str">
        <f>IF(A11&lt;&gt;"","^FO20,95^A0N,30,30^CI13^FD"&amp;Data!AX$5&amp;"^FS","")</f>
        <v>^FO20,95^A0N,30,30^CI13^FDRoller Shutters, Sheers &amp; Screen.^FS</v>
      </c>
      <c r="G11" t="str">
        <f>IF(A11&lt;&gt;"","^FO20,135^A0N,30,30^CI13^FD"&amp;Data!BE11&amp;"^FS","")</f>
        <v>^FO20,135^A0N,30,30^CI13^FDGRIL Screen Alu-Gard Perforated Aluminium Dune^FS</v>
      </c>
      <c r="H11" t="str">
        <f>IF(A11&lt;&gt;"","^FO20,175^A0N,30,30^CI13^FD"&amp;Data!AY11&amp;"^FS","")</f>
        <v>^FO20,175^A0N,30,30^CI13^FDSide Light^FS</v>
      </c>
      <c r="I11" t="str">
        <f>IF(A11&lt;&gt;"","^FO300,175^A0N,30,30^CI13^FD"&amp;"W:"&amp;Data!BA11&amp;" H:"&amp;Data!BB11,"")</f>
        <v>^FO300,175^A0N,30,30^CI13^FDW:200 H:2075</v>
      </c>
      <c r="J11" t="str">
        <f>IF(A11&lt;&gt;"","^PQ"&amp;Data!$F$16&amp;",0,"&amp;Data!$F$16&amp;",Y","")</f>
        <v>^PQ0,0,0,Y</v>
      </c>
      <c r="K11" t="str">
        <f t="shared" si="0" ref="K11:K42">IF(A11&lt;&gt;"","^XZ","")</f>
        <v>^XZ</v>
      </c>
    </row>
    <row r="12" spans="1:11" ht="13.5" customHeight="1">
      <c r="A12" t="str">
        <f>IF(OR(Data!$AV12="",Data!$AW12&gt;999),"","^XA^LH0,0^PRB,D^MD20^JMA^FS")</f>
        <v/>
      </c>
      <c r="B12" t="str">
        <f t="array" ref="B12">IF(A12&lt;&gt;"","^BY2,2.7,13^FO506,20^B2N,132,Y,N,N^SN"&amp;BarcodeValue(Data!BC$5,Data!BD$5,Data!AW12,0)&amp;",N,Y^FS","")</f>
        <v/>
      </c>
      <c r="C12" t="str">
        <f>IF(A12&lt;&gt;"","^FO20,20^A0N,28,37^CI13^FD"&amp;TEXT(Data!AY$5,"d/m/yyyy")&amp;"^FS","")</f>
        <v/>
      </c>
      <c r="D12" t="str">
        <f>IF(A12&lt;&gt;"","^FO220,20^A0N,41,48^CI13^FD"&amp;Data!$BC$5&amp;Data!$BD$5&amp;"/"&amp;RIGHT("000"&amp;Data!AW12,3)&amp;"^FS","")</f>
        <v/>
      </c>
      <c r="E12" t="str">
        <f>IF(A12&lt;&gt;"","^FO20,55^A0N,30,30^CI13^FD"&amp;Data!$BF$5&amp;"^FS","")</f>
        <v/>
      </c>
      <c r="F12" t="str">
        <f>IF(A12&lt;&gt;"","^FO20,95^A0N,30,30^CI13^FD"&amp;Data!AX$5&amp;"^FS","")</f>
        <v/>
      </c>
      <c r="G12" t="str">
        <f>IF(A12&lt;&gt;"","^FO20,135^A0N,30,30^CI13^FD"&amp;Data!BE12&amp;"^FS","")</f>
        <v/>
      </c>
      <c r="H12" t="str">
        <f>IF(A12&lt;&gt;"","^FO20,175^A0N,30,30^CI13^FD"&amp;Data!AY12&amp;"^FS","")</f>
        <v/>
      </c>
      <c r="I12" t="str">
        <f>IF(A12&lt;&gt;"","^FO300,175^A0N,30,30^CI13^FD"&amp;"W:"&amp;Data!BA12&amp;" H:"&amp;Data!BB12,"")</f>
        <v/>
      </c>
      <c r="J12" t="str">
        <f>IF(A12&lt;&gt;"","^PQ"&amp;Data!$F$16&amp;",0,"&amp;Data!$F$16&amp;",Y","")</f>
        <v/>
      </c>
      <c r="K12" t="str">
        <f t="shared" si="0"/>
        <v/>
      </c>
    </row>
    <row r="13" spans="1:11" ht="13.5" customHeight="1">
      <c r="A13" t="str">
        <f>IF(OR(Data!$AV13="",Data!$AW13&gt;999),"","^XA^LH0,0^PRB,D^MD20^JMA^FS")</f>
        <v/>
      </c>
      <c r="B13" t="str">
        <f t="array" ref="B13">IF(A13&lt;&gt;"","^BY2,2.7,13^FO506,20^B2N,132,Y,N,N^SN"&amp;BarcodeValue(Data!BC$5,Data!BD$5,Data!AW13,0)&amp;",N,Y^FS","")</f>
        <v/>
      </c>
      <c r="C13" t="str">
        <f>IF(A13&lt;&gt;"","^FO20,20^A0N,28,37^CI13^FD"&amp;TEXT(Data!AY$5,"d/m/yyyy")&amp;"^FS","")</f>
        <v/>
      </c>
      <c r="D13" t="str">
        <f>IF(A13&lt;&gt;"","^FO220,20^A0N,41,48^CI13^FD"&amp;Data!$BC$5&amp;Data!$BD$5&amp;"/"&amp;RIGHT("000"&amp;Data!AW13,3)&amp;"^FS","")</f>
        <v/>
      </c>
      <c r="E13" t="str">
        <f>IF(A13&lt;&gt;"","^FO20,55^A0N,30,30^CI13^FD"&amp;Data!$BF$5&amp;"^FS","")</f>
        <v/>
      </c>
      <c r="F13" t="str">
        <f>IF(A13&lt;&gt;"","^FO20,95^A0N,30,30^CI13^FD"&amp;Data!AX$5&amp;"^FS","")</f>
        <v/>
      </c>
      <c r="G13" t="str">
        <f>IF(A13&lt;&gt;"","^FO20,135^A0N,30,30^CI13^FD"&amp;Data!BE13&amp;"^FS","")</f>
        <v/>
      </c>
      <c r="H13" t="str">
        <f>IF(A13&lt;&gt;"","^FO20,175^A0N,30,30^CI13^FD"&amp;Data!AY13&amp;"^FS","")</f>
        <v/>
      </c>
      <c r="I13" t="str">
        <f>IF(A13&lt;&gt;"","^FO300,175^A0N,30,30^CI13^FD"&amp;"W:"&amp;Data!BA13&amp;" H:"&amp;Data!BB13,"")</f>
        <v/>
      </c>
      <c r="J13" t="str">
        <f>IF(A13&lt;&gt;"","^PQ"&amp;Data!$F$16&amp;",0,"&amp;Data!$F$16&amp;",Y","")</f>
        <v/>
      </c>
      <c r="K13" t="str">
        <f t="shared" si="0"/>
        <v/>
      </c>
    </row>
    <row r="14" spans="1:11" ht="13.5" customHeight="1">
      <c r="A14" t="str">
        <f>IF(OR(Data!$AV14="",Data!$AW14&gt;999),"","^XA^LH0,0^PRB,D^MD20^JMA^FS")</f>
        <v/>
      </c>
      <c r="B14" t="str">
        <f t="array" ref="B14">IF(A14&lt;&gt;"","^BY2,2.7,13^FO506,20^B2N,132,Y,N,N^SN"&amp;BarcodeValue(Data!BC$5,Data!BD$5,Data!AW14,0)&amp;",N,Y^FS","")</f>
        <v/>
      </c>
      <c r="C14" t="str">
        <f>IF(A14&lt;&gt;"","^FO20,20^A0N,28,37^CI13^FD"&amp;TEXT(Data!AY$5,"d/m/yyyy")&amp;"^FS","")</f>
        <v/>
      </c>
      <c r="D14" t="str">
        <f>IF(A14&lt;&gt;"","^FO220,20^A0N,41,48^CI13^FD"&amp;Data!$BC$5&amp;Data!$BD$5&amp;"/"&amp;RIGHT("000"&amp;Data!AW14,3)&amp;"^FS","")</f>
        <v/>
      </c>
      <c r="E14" t="str">
        <f>IF(A14&lt;&gt;"","^FO20,55^A0N,30,30^CI13^FD"&amp;Data!$BF$5&amp;"^FS","")</f>
        <v/>
      </c>
      <c r="F14" t="str">
        <f>IF(A14&lt;&gt;"","^FO20,95^A0N,30,30^CI13^FD"&amp;Data!AX$5&amp;"^FS","")</f>
        <v/>
      </c>
      <c r="G14" t="str">
        <f>IF(A14&lt;&gt;"","^FO20,135^A0N,30,30^CI13^FD"&amp;Data!BE14&amp;"^FS","")</f>
        <v/>
      </c>
      <c r="H14" t="str">
        <f>IF(A14&lt;&gt;"","^FO20,175^A0N,30,30^CI13^FD"&amp;Data!AY14&amp;"^FS","")</f>
        <v/>
      </c>
      <c r="I14" t="str">
        <f>IF(A14&lt;&gt;"","^FO300,175^A0N,30,30^CI13^FD"&amp;"W:"&amp;Data!BA14&amp;" H:"&amp;Data!BB14,"")</f>
        <v/>
      </c>
      <c r="J14" t="str">
        <f>IF(A14&lt;&gt;"","^PQ"&amp;Data!$F$16&amp;",0,"&amp;Data!$F$16&amp;",Y","")</f>
        <v/>
      </c>
      <c r="K14" t="str">
        <f t="shared" si="0"/>
        <v/>
      </c>
    </row>
    <row r="15" spans="1:11" ht="13.5" customHeight="1">
      <c r="A15" t="str">
        <f>IF(OR(Data!$AV15="",Data!$AW15&gt;999),"","^XA^LH0,0^PRB,D^MD20^JMA^FS")</f>
        <v/>
      </c>
      <c r="B15" t="str">
        <f t="array" ref="B15">IF(A15&lt;&gt;"","^BY2,2.7,13^FO506,20^B2N,132,Y,N,N^SN"&amp;BarcodeValue(Data!BC$5,Data!BD$5,Data!AW15,0)&amp;",N,Y^FS","")</f>
        <v/>
      </c>
      <c r="C15" t="str">
        <f>IF(A15&lt;&gt;"","^FO20,20^A0N,28,37^CI13^FD"&amp;TEXT(Data!AY$5,"d/m/yyyy")&amp;"^FS","")</f>
        <v/>
      </c>
      <c r="D15" t="str">
        <f>IF(A15&lt;&gt;"","^FO220,20^A0N,41,48^CI13^FD"&amp;Data!$BC$5&amp;Data!$BD$5&amp;"/"&amp;RIGHT("000"&amp;Data!AW15,3)&amp;"^FS","")</f>
        <v/>
      </c>
      <c r="E15" t="str">
        <f>IF(A15&lt;&gt;"","^FO20,55^A0N,30,30^CI13^FD"&amp;Data!$BF$5&amp;"^FS","")</f>
        <v/>
      </c>
      <c r="F15" t="str">
        <f>IF(A15&lt;&gt;"","^FO20,95^A0N,30,30^CI13^FD"&amp;Data!AX$5&amp;"^FS","")</f>
        <v/>
      </c>
      <c r="G15" t="str">
        <f>IF(A15&lt;&gt;"","^FO20,135^A0N,30,30^CI13^FD"&amp;Data!BE15&amp;"^FS","")</f>
        <v/>
      </c>
      <c r="H15" t="str">
        <f>IF(A15&lt;&gt;"","^FO20,175^A0N,30,30^CI13^FD"&amp;Data!AY15&amp;"^FS","")</f>
        <v/>
      </c>
      <c r="I15" t="str">
        <f>IF(A15&lt;&gt;"","^FO300,175^A0N,30,30^CI13^FD"&amp;"W:"&amp;Data!BA15&amp;" H:"&amp;Data!BB15,"")</f>
        <v/>
      </c>
      <c r="J15" t="str">
        <f>IF(A15&lt;&gt;"","^PQ"&amp;Data!$F$16&amp;",0,"&amp;Data!$F$16&amp;",Y","")</f>
        <v/>
      </c>
      <c r="K15" t="str">
        <f t="shared" si="0"/>
        <v/>
      </c>
    </row>
    <row r="16" spans="1:11" ht="13.5" customHeight="1">
      <c r="A16" t="str">
        <f>IF(OR(Data!$AV16="",Data!$AW16&gt;999),"","^XA^LH0,0^PRB,D^MD20^JMA^FS")</f>
        <v/>
      </c>
      <c r="B16" t="str">
        <f t="array" ref="B16">IF(A16&lt;&gt;"","^BY2,2.7,13^FO506,20^B2N,132,Y,N,N^SN"&amp;BarcodeValue(Data!BC$5,Data!BD$5,Data!AW16,0)&amp;",N,Y^FS","")</f>
        <v/>
      </c>
      <c r="C16" t="str">
        <f>IF(A16&lt;&gt;"","^FO20,20^A0N,28,37^CI13^FD"&amp;TEXT(Data!AY$5,"d/m/yyyy")&amp;"^FS","")</f>
        <v/>
      </c>
      <c r="D16" t="str">
        <f>IF(A16&lt;&gt;"","^FO220,20^A0N,41,48^CI13^FD"&amp;Data!$BC$5&amp;Data!$BD$5&amp;"/"&amp;RIGHT("000"&amp;Data!AW16,3)&amp;"^FS","")</f>
        <v/>
      </c>
      <c r="E16" t="str">
        <f>IF(A16&lt;&gt;"","^FO20,55^A0N,30,30^CI13^FD"&amp;Data!$BF$5&amp;"^FS","")</f>
        <v/>
      </c>
      <c r="F16" t="str">
        <f>IF(A16&lt;&gt;"","^FO20,95^A0N,30,30^CI13^FD"&amp;Data!AX$5&amp;"^FS","")</f>
        <v/>
      </c>
      <c r="G16" t="str">
        <f>IF(A16&lt;&gt;"","^FO20,135^A0N,30,30^CI13^FD"&amp;Data!BE16&amp;"^FS","")</f>
        <v/>
      </c>
      <c r="H16" t="str">
        <f>IF(A16&lt;&gt;"","^FO20,175^A0N,30,30^CI13^FD"&amp;Data!AY16&amp;"^FS","")</f>
        <v/>
      </c>
      <c r="I16" t="str">
        <f>IF(A16&lt;&gt;"","^FO300,175^A0N,30,30^CI13^FD"&amp;"W:"&amp;Data!BA16&amp;" H:"&amp;Data!BB16,"")</f>
        <v/>
      </c>
      <c r="J16" t="str">
        <f>IF(A16&lt;&gt;"","^PQ"&amp;Data!$F$16&amp;",0,"&amp;Data!$F$16&amp;",Y","")</f>
        <v/>
      </c>
      <c r="K16" t="str">
        <f t="shared" si="0"/>
        <v/>
      </c>
    </row>
    <row r="17" spans="1:11" ht="13.5" customHeight="1">
      <c r="A17" t="str">
        <f>IF(OR(Data!$AV17="",Data!$AW17&gt;999),"","^XA^LH0,0^PRB,D^MD20^JMA^FS")</f>
        <v/>
      </c>
      <c r="B17" t="str">
        <f t="array" ref="B17">IF(A17&lt;&gt;"","^BY2,2.7,13^FO506,20^B2N,132,Y,N,N^SN"&amp;BarcodeValue(Data!BC$5,Data!BD$5,Data!AW17,0)&amp;",N,Y^FS","")</f>
        <v/>
      </c>
      <c r="C17" t="str">
        <f>IF(A17&lt;&gt;"","^FO20,20^A0N,28,37^CI13^FD"&amp;TEXT(Data!AY$5,"d/m/yyyy")&amp;"^FS","")</f>
        <v/>
      </c>
      <c r="D17" t="str">
        <f>IF(A17&lt;&gt;"","^FO220,20^A0N,41,48^CI13^FD"&amp;Data!$BC$5&amp;Data!$BD$5&amp;"/"&amp;RIGHT("000"&amp;Data!AW17,3)&amp;"^FS","")</f>
        <v/>
      </c>
      <c r="E17" t="str">
        <f>IF(A17&lt;&gt;"","^FO20,55^A0N,30,30^CI13^FD"&amp;Data!$BF$5&amp;"^FS","")</f>
        <v/>
      </c>
      <c r="F17" t="str">
        <f>IF(A17&lt;&gt;"","^FO20,95^A0N,30,30^CI13^FD"&amp;Data!AX$5&amp;"^FS","")</f>
        <v/>
      </c>
      <c r="G17" t="str">
        <f>IF(A17&lt;&gt;"","^FO20,135^A0N,30,30^CI13^FD"&amp;Data!BE17&amp;"^FS","")</f>
        <v/>
      </c>
      <c r="H17" t="str">
        <f>IF(A17&lt;&gt;"","^FO20,175^A0N,30,30^CI13^FD"&amp;Data!AY17&amp;"^FS","")</f>
        <v/>
      </c>
      <c r="I17" t="str">
        <f>IF(A17&lt;&gt;"","^FO300,175^A0N,30,30^CI13^FD"&amp;"W:"&amp;Data!BA17&amp;" H:"&amp;Data!BB17,"")</f>
        <v/>
      </c>
      <c r="J17" t="str">
        <f>IF(A17&lt;&gt;"","^PQ"&amp;Data!$F$16&amp;",0,"&amp;Data!$F$16&amp;",Y","")</f>
        <v/>
      </c>
      <c r="K17" t="str">
        <f t="shared" si="0"/>
        <v/>
      </c>
    </row>
    <row r="18" spans="1:11" ht="13.5" customHeight="1">
      <c r="A18" t="str">
        <f>IF(OR(Data!$AV18="",Data!$AW18&gt;999),"","^XA^LH0,0^PRB,D^MD20^JMA^FS")</f>
        <v/>
      </c>
      <c r="B18" t="str">
        <f t="array" ref="B18">IF(A18&lt;&gt;"","^BY2,2.7,13^FO506,20^B2N,132,Y,N,N^SN"&amp;BarcodeValue(Data!BC$5,Data!BD$5,Data!AW18,0)&amp;",N,Y^FS","")</f>
        <v/>
      </c>
      <c r="C18" t="str">
        <f>IF(A18&lt;&gt;"","^FO20,20^A0N,28,37^CI13^FD"&amp;TEXT(Data!AY$5,"d/m/yyyy")&amp;"^FS","")</f>
        <v/>
      </c>
      <c r="D18" t="str">
        <f>IF(A18&lt;&gt;"","^FO220,20^A0N,41,48^CI13^FD"&amp;Data!$BC$5&amp;Data!$BD$5&amp;"/"&amp;RIGHT("000"&amp;Data!AW18,3)&amp;"^FS","")</f>
        <v/>
      </c>
      <c r="E18" t="str">
        <f>IF(A18&lt;&gt;"","^FO20,55^A0N,30,30^CI13^FD"&amp;Data!$BF$5&amp;"^FS","")</f>
        <v/>
      </c>
      <c r="F18" t="str">
        <f>IF(A18&lt;&gt;"","^FO20,95^A0N,30,30^CI13^FD"&amp;Data!AX$5&amp;"^FS","")</f>
        <v/>
      </c>
      <c r="G18" t="str">
        <f>IF(A18&lt;&gt;"","^FO20,135^A0N,30,30^CI13^FD"&amp;Data!BE18&amp;"^FS","")</f>
        <v/>
      </c>
      <c r="H18" t="str">
        <f>IF(A18&lt;&gt;"","^FO20,175^A0N,30,30^CI13^FD"&amp;Data!AY18&amp;"^FS","")</f>
        <v/>
      </c>
      <c r="I18" t="str">
        <f>IF(A18&lt;&gt;"","^FO300,175^A0N,30,30^CI13^FD"&amp;"W:"&amp;Data!BA18&amp;" H:"&amp;Data!BB18,"")</f>
        <v/>
      </c>
      <c r="J18" t="str">
        <f>IF(A18&lt;&gt;"","^PQ"&amp;Data!$F$16&amp;",0,"&amp;Data!$F$16&amp;",Y","")</f>
        <v/>
      </c>
      <c r="K18" t="str">
        <f t="shared" si="0"/>
        <v/>
      </c>
    </row>
    <row r="19" spans="1:11" ht="13.5" customHeight="1">
      <c r="A19" t="str">
        <f>IF(OR(Data!$AV19="",Data!$AW19&gt;999),"","^XA^LH0,0^PRB,D^MD20^JMA^FS")</f>
        <v/>
      </c>
      <c r="B19" t="str">
        <f t="array" ref="B19">IF(A19&lt;&gt;"","^BY2,2.7,13^FO506,20^B2N,132,Y,N,N^SN"&amp;BarcodeValue(Data!BC$5,Data!BD$5,Data!AW19,0)&amp;",N,Y^FS","")</f>
        <v/>
      </c>
      <c r="C19" t="str">
        <f>IF(A19&lt;&gt;"","^FO20,20^A0N,28,37^CI13^FD"&amp;TEXT(Data!AY$5,"d/m/yyyy")&amp;"^FS","")</f>
        <v/>
      </c>
      <c r="D19" t="str">
        <f>IF(A19&lt;&gt;"","^FO220,20^A0N,41,48^CI13^FD"&amp;Data!$BC$5&amp;Data!$BD$5&amp;"/"&amp;RIGHT("000"&amp;Data!AW19,3)&amp;"^FS","")</f>
        <v/>
      </c>
      <c r="E19" t="str">
        <f>IF(A19&lt;&gt;"","^FO20,55^A0N,30,30^CI13^FD"&amp;Data!$BF$5&amp;"^FS","")</f>
        <v/>
      </c>
      <c r="F19" t="str">
        <f>IF(A19&lt;&gt;"","^FO20,95^A0N,30,30^CI13^FD"&amp;Data!AX$5&amp;"^FS","")</f>
        <v/>
      </c>
      <c r="G19" t="str">
        <f>IF(A19&lt;&gt;"","^FO20,135^A0N,30,30^CI13^FD"&amp;Data!BE19&amp;"^FS","")</f>
        <v/>
      </c>
      <c r="H19" t="str">
        <f>IF(A19&lt;&gt;"","^FO20,175^A0N,30,30^CI13^FD"&amp;Data!AY19&amp;"^FS","")</f>
        <v/>
      </c>
      <c r="I19" t="str">
        <f>IF(A19&lt;&gt;"","^FO300,175^A0N,30,30^CI13^FD"&amp;"W:"&amp;Data!BA19&amp;" H:"&amp;Data!BB19,"")</f>
        <v/>
      </c>
      <c r="J19" t="str">
        <f>IF(A19&lt;&gt;"","^PQ"&amp;Data!$F$16&amp;",0,"&amp;Data!$F$16&amp;",Y","")</f>
        <v/>
      </c>
      <c r="K19" t="str">
        <f t="shared" si="0"/>
        <v/>
      </c>
    </row>
    <row r="20" spans="1:11" ht="13.5" customHeight="1">
      <c r="A20" t="str">
        <f>IF(OR(Data!$AV20="",Data!$AW20&gt;999),"","^XA^LH0,0^PRB,D^MD20^JMA^FS")</f>
        <v/>
      </c>
      <c r="B20" t="str">
        <f t="array" ref="B20">IF(A20&lt;&gt;"","^BY2,2.7,13^FO506,20^B2N,132,Y,N,N^SN"&amp;BarcodeValue(Data!BC$5,Data!BD$5,Data!AW20,0)&amp;",N,Y^FS","")</f>
        <v/>
      </c>
      <c r="C20" t="str">
        <f>IF(A20&lt;&gt;"","^FO20,20^A0N,28,37^CI13^FD"&amp;TEXT(Data!AY$5,"d/m/yyyy")&amp;"^FS","")</f>
        <v/>
      </c>
      <c r="D20" t="str">
        <f>IF(A20&lt;&gt;"","^FO220,20^A0N,41,48^CI13^FD"&amp;Data!$BC$5&amp;Data!$BD$5&amp;"/"&amp;RIGHT("000"&amp;Data!AW20,3)&amp;"^FS","")</f>
        <v/>
      </c>
      <c r="E20" t="str">
        <f>IF(A20&lt;&gt;"","^FO20,55^A0N,30,30^CI13^FD"&amp;Data!$BF$5&amp;"^FS","")</f>
        <v/>
      </c>
      <c r="F20" t="str">
        <f>IF(A20&lt;&gt;"","^FO20,95^A0N,30,30^CI13^FD"&amp;Data!AX$5&amp;"^FS","")</f>
        <v/>
      </c>
      <c r="G20" t="str">
        <f>IF(A20&lt;&gt;"","^FO20,135^A0N,30,30^CI13^FD"&amp;Data!BE20&amp;"^FS","")</f>
        <v/>
      </c>
      <c r="H20" t="str">
        <f>IF(A20&lt;&gt;"","^FO20,175^A0N,30,30^CI13^FD"&amp;Data!AY20&amp;"^FS","")</f>
        <v/>
      </c>
      <c r="I20" t="str">
        <f>IF(A20&lt;&gt;"","^FO300,175^A0N,30,30^CI13^FD"&amp;"W:"&amp;Data!BA20&amp;" H:"&amp;Data!BB20,"")</f>
        <v/>
      </c>
      <c r="J20" t="str">
        <f>IF(A20&lt;&gt;"","^PQ"&amp;Data!$F$16&amp;",0,"&amp;Data!$F$16&amp;",Y","")</f>
        <v/>
      </c>
      <c r="K20" t="str">
        <f t="shared" si="0"/>
        <v/>
      </c>
    </row>
    <row r="21" spans="1:11" ht="13.5" customHeight="1">
      <c r="A21" t="str">
        <f>IF(OR(Data!$AV21="",Data!$AW21&gt;999),"","^XA^LH0,0^PRB,D^MD20^JMA^FS")</f>
        <v/>
      </c>
      <c r="B21" t="str">
        <f t="array" ref="B21">IF(A21&lt;&gt;"","^BY2,2.7,13^FO506,20^B2N,132,Y,N,N^SN"&amp;BarcodeValue(Data!BC$5,Data!BD$5,Data!AW21,0)&amp;",N,Y^FS","")</f>
        <v/>
      </c>
      <c r="C21" t="str">
        <f>IF(A21&lt;&gt;"","^FO20,20^A0N,28,37^CI13^FD"&amp;TEXT(Data!AY$5,"d/m/yyyy")&amp;"^FS","")</f>
        <v/>
      </c>
      <c r="D21" t="str">
        <f>IF(A21&lt;&gt;"","^FO220,20^A0N,41,48^CI13^FD"&amp;Data!$BC$5&amp;Data!$BD$5&amp;"/"&amp;RIGHT("000"&amp;Data!AW21,3)&amp;"^FS","")</f>
        <v/>
      </c>
      <c r="E21" t="str">
        <f>IF(A21&lt;&gt;"","^FO20,55^A0N,30,30^CI13^FD"&amp;Data!$BF$5&amp;"^FS","")</f>
        <v/>
      </c>
      <c r="F21" t="str">
        <f>IF(A21&lt;&gt;"","^FO20,95^A0N,30,30^CI13^FD"&amp;Data!AX$5&amp;"^FS","")</f>
        <v/>
      </c>
      <c r="G21" t="str">
        <f>IF(A21&lt;&gt;"","^FO20,135^A0N,30,30^CI13^FD"&amp;Data!BE21&amp;"^FS","")</f>
        <v/>
      </c>
      <c r="H21" t="str">
        <f>IF(A21&lt;&gt;"","^FO20,175^A0N,30,30^CI13^FD"&amp;Data!AY21&amp;"^FS","")</f>
        <v/>
      </c>
      <c r="I21" t="str">
        <f>IF(A21&lt;&gt;"","^FO300,175^A0N,30,30^CI13^FD"&amp;"W:"&amp;Data!BA21&amp;" H:"&amp;Data!BB21,"")</f>
        <v/>
      </c>
      <c r="J21" t="str">
        <f>IF(A21&lt;&gt;"","^PQ"&amp;Data!$F$16&amp;",0,"&amp;Data!$F$16&amp;",Y","")</f>
        <v/>
      </c>
      <c r="K21" t="str">
        <f t="shared" si="0"/>
        <v/>
      </c>
    </row>
    <row r="22" spans="1:11" ht="13.5" customHeight="1">
      <c r="A22" t="str">
        <f>IF(OR(Data!$AV22="",Data!$AW22&gt;999),"","^XA^LH0,0^PRB,D^MD20^JMA^FS")</f>
        <v/>
      </c>
      <c r="B22" t="str">
        <f t="array" ref="B22">IF(A22&lt;&gt;"","^BY2,2.7,13^FO506,20^B2N,132,Y,N,N^SN"&amp;BarcodeValue(Data!BC$5,Data!BD$5,Data!AW22,0)&amp;",N,Y^FS","")</f>
        <v/>
      </c>
      <c r="C22" t="str">
        <f>IF(A22&lt;&gt;"","^FO20,20^A0N,28,37^CI13^FD"&amp;TEXT(Data!AY$5,"d/m/yyyy")&amp;"^FS","")</f>
        <v/>
      </c>
      <c r="D22" t="str">
        <f>IF(A22&lt;&gt;"","^FO220,20^A0N,41,48^CI13^FD"&amp;Data!$BC$5&amp;Data!$BD$5&amp;"/"&amp;RIGHT("000"&amp;Data!AW22,3)&amp;"^FS","")</f>
        <v/>
      </c>
      <c r="E22" t="str">
        <f>IF(A22&lt;&gt;"","^FO20,55^A0N,30,30^CI13^FD"&amp;Data!$BF$5&amp;"^FS","")</f>
        <v/>
      </c>
      <c r="F22" t="str">
        <f>IF(A22&lt;&gt;"","^FO20,95^A0N,30,30^CI13^FD"&amp;Data!AX$5&amp;"^FS","")</f>
        <v/>
      </c>
      <c r="G22" t="str">
        <f>IF(A22&lt;&gt;"","^FO20,135^A0N,30,30^CI13^FD"&amp;Data!BE22&amp;"^FS","")</f>
        <v/>
      </c>
      <c r="H22" t="str">
        <f>IF(A22&lt;&gt;"","^FO20,175^A0N,30,30^CI13^FD"&amp;Data!AY22&amp;"^FS","")</f>
        <v/>
      </c>
      <c r="I22" t="str">
        <f>IF(A22&lt;&gt;"","^FO300,175^A0N,30,30^CI13^FD"&amp;"W:"&amp;Data!BA22&amp;" H:"&amp;Data!BB22,"")</f>
        <v/>
      </c>
      <c r="J22" t="str">
        <f>IF(A22&lt;&gt;"","^PQ"&amp;Data!$F$16&amp;",0,"&amp;Data!$F$16&amp;",Y","")</f>
        <v/>
      </c>
      <c r="K22" t="str">
        <f t="shared" si="0"/>
        <v/>
      </c>
    </row>
    <row r="23" spans="1:11" ht="13.5" customHeight="1">
      <c r="A23" t="str">
        <f>IF(OR(Data!$AV23="",Data!$AW23&gt;999),"","^XA^LH0,0^PRB,D^MD20^JMA^FS")</f>
        <v/>
      </c>
      <c r="B23" t="str">
        <f t="array" ref="B23">IF(A23&lt;&gt;"","^BY2,2.7,13^FO506,20^B2N,132,Y,N,N^SN"&amp;BarcodeValue(Data!BC$5,Data!BD$5,Data!AW23,0)&amp;",N,Y^FS","")</f>
        <v/>
      </c>
      <c r="C23" t="str">
        <f>IF(A23&lt;&gt;"","^FO20,20^A0N,28,37^CI13^FD"&amp;TEXT(Data!AY$5,"d/m/yyyy")&amp;"^FS","")</f>
        <v/>
      </c>
      <c r="D23" t="str">
        <f>IF(A23&lt;&gt;"","^FO220,20^A0N,41,48^CI13^FD"&amp;Data!$BC$5&amp;Data!$BD$5&amp;"/"&amp;RIGHT("000"&amp;Data!AW23,3)&amp;"^FS","")</f>
        <v/>
      </c>
      <c r="E23" t="str">
        <f>IF(A23&lt;&gt;"","^FO20,55^A0N,30,30^CI13^FD"&amp;Data!$BF$5&amp;"^FS","")</f>
        <v/>
      </c>
      <c r="F23" t="str">
        <f>IF(A23&lt;&gt;"","^FO20,95^A0N,30,30^CI13^FD"&amp;Data!AX$5&amp;"^FS","")</f>
        <v/>
      </c>
      <c r="G23" t="str">
        <f>IF(A23&lt;&gt;"","^FO20,135^A0N,30,30^CI13^FD"&amp;Data!BE23&amp;"^FS","")</f>
        <v/>
      </c>
      <c r="H23" t="str">
        <f>IF(A23&lt;&gt;"","^FO20,175^A0N,30,30^CI13^FD"&amp;Data!AY23&amp;"^FS","")</f>
        <v/>
      </c>
      <c r="I23" t="str">
        <f>IF(A23&lt;&gt;"","^FO300,175^A0N,30,30^CI13^FD"&amp;"W:"&amp;Data!BA23&amp;" H:"&amp;Data!BB23,"")</f>
        <v/>
      </c>
      <c r="J23" t="str">
        <f>IF(A23&lt;&gt;"","^PQ"&amp;Data!$F$16&amp;",0,"&amp;Data!$F$16&amp;",Y","")</f>
        <v/>
      </c>
      <c r="K23" t="str">
        <f t="shared" si="0"/>
        <v/>
      </c>
    </row>
    <row r="24" spans="1:11" ht="13.5" customHeight="1">
      <c r="A24" t="str">
        <f>IF(OR(Data!$AV24="",Data!$AW24&gt;999),"","^XA^LH0,0^PRB,D^MD20^JMA^FS")</f>
        <v/>
      </c>
      <c r="B24" t="str">
        <f t="array" ref="B24">IF(A24&lt;&gt;"","^BY2,2.7,13^FO506,20^B2N,132,Y,N,N^SN"&amp;BarcodeValue(Data!BC$5,Data!BD$5,Data!AW24,0)&amp;",N,Y^FS","")</f>
        <v/>
      </c>
      <c r="C24" t="str">
        <f>IF(A24&lt;&gt;"","^FO20,20^A0N,28,37^CI13^FD"&amp;TEXT(Data!AY$5,"d/m/yyyy")&amp;"^FS","")</f>
        <v/>
      </c>
      <c r="D24" t="str">
        <f>IF(A24&lt;&gt;"","^FO220,20^A0N,41,48^CI13^FD"&amp;Data!$BC$5&amp;Data!$BD$5&amp;"/"&amp;RIGHT("000"&amp;Data!AW24,3)&amp;"^FS","")</f>
        <v/>
      </c>
      <c r="E24" t="str">
        <f>IF(A24&lt;&gt;"","^FO20,55^A0N,30,30^CI13^FD"&amp;Data!$BF$5&amp;"^FS","")</f>
        <v/>
      </c>
      <c r="F24" t="str">
        <f>IF(A24&lt;&gt;"","^FO20,95^A0N,30,30^CI13^FD"&amp;Data!AX$5&amp;"^FS","")</f>
        <v/>
      </c>
      <c r="G24" t="str">
        <f>IF(A24&lt;&gt;"","^FO20,135^A0N,30,30^CI13^FD"&amp;Data!BE24&amp;"^FS","")</f>
        <v/>
      </c>
      <c r="H24" t="str">
        <f>IF(A24&lt;&gt;"","^FO20,175^A0N,30,30^CI13^FD"&amp;Data!AY24&amp;"^FS","")</f>
        <v/>
      </c>
      <c r="I24" t="str">
        <f>IF(A24&lt;&gt;"","^FO300,175^A0N,30,30^CI13^FD"&amp;"W:"&amp;Data!BA24&amp;" H:"&amp;Data!BB24,"")</f>
        <v/>
      </c>
      <c r="J24" t="str">
        <f>IF(A24&lt;&gt;"","^PQ"&amp;Data!$F$16&amp;",0,"&amp;Data!$F$16&amp;",Y","")</f>
        <v/>
      </c>
      <c r="K24" t="str">
        <f t="shared" si="0"/>
        <v/>
      </c>
    </row>
    <row r="25" spans="1:11" ht="13.5" customHeight="1">
      <c r="A25" t="str">
        <f>IF(OR(Data!$AV25="",Data!$AW25&gt;999),"","^XA^LH0,0^PRB,D^MD20^JMA^FS")</f>
        <v/>
      </c>
      <c r="B25" t="str">
        <f t="array" ref="B25">IF(A25&lt;&gt;"","^BY2,2.7,13^FO506,20^B2N,132,Y,N,N^SN"&amp;BarcodeValue(Data!BC$5,Data!BD$5,Data!AW25,0)&amp;",N,Y^FS","")</f>
        <v/>
      </c>
      <c r="C25" t="str">
        <f>IF(A25&lt;&gt;"","^FO20,20^A0N,28,37^CI13^FD"&amp;TEXT(Data!AY$5,"d/m/yyyy")&amp;"^FS","")</f>
        <v/>
      </c>
      <c r="D25" t="str">
        <f>IF(A25&lt;&gt;"","^FO220,20^A0N,41,48^CI13^FD"&amp;Data!$BC$5&amp;Data!$BD$5&amp;"/"&amp;RIGHT("000"&amp;Data!AW25,3)&amp;"^FS","")</f>
        <v/>
      </c>
      <c r="E25" t="str">
        <f>IF(A25&lt;&gt;"","^FO20,55^A0N,30,30^CI13^FD"&amp;Data!$BF$5&amp;"^FS","")</f>
        <v/>
      </c>
      <c r="F25" t="str">
        <f>IF(A25&lt;&gt;"","^FO20,95^A0N,30,30^CI13^FD"&amp;Data!AX$5&amp;"^FS","")</f>
        <v/>
      </c>
      <c r="G25" t="str">
        <f>IF(A25&lt;&gt;"","^FO20,135^A0N,30,30^CI13^FD"&amp;Data!BE25&amp;"^FS","")</f>
        <v/>
      </c>
      <c r="H25" t="str">
        <f>IF(A25&lt;&gt;"","^FO20,175^A0N,30,30^CI13^FD"&amp;Data!AY25&amp;"^FS","")</f>
        <v/>
      </c>
      <c r="I25" t="str">
        <f>IF(A25&lt;&gt;"","^FO300,175^A0N,30,30^CI13^FD"&amp;"W:"&amp;Data!BA25&amp;" H:"&amp;Data!BB25,"")</f>
        <v/>
      </c>
      <c r="J25" t="str">
        <f>IF(A25&lt;&gt;"","^PQ"&amp;Data!$F$16&amp;",0,"&amp;Data!$F$16&amp;",Y","")</f>
        <v/>
      </c>
      <c r="K25" t="str">
        <f t="shared" si="0"/>
        <v/>
      </c>
    </row>
    <row r="26" spans="1:11" ht="13.5" customHeight="1">
      <c r="A26" t="str">
        <f>IF(OR(Data!$AV26="",Data!$AW26&gt;999),"","^XA^LH0,0^PRB,D^MD20^JMA^FS")</f>
        <v/>
      </c>
      <c r="B26" t="str">
        <f t="array" ref="B26">IF(A26&lt;&gt;"","^BY2,2.7,13^FO506,20^B2N,132,Y,N,N^SN"&amp;BarcodeValue(Data!BC$5,Data!BD$5,Data!AW26,0)&amp;",N,Y^FS","")</f>
        <v/>
      </c>
      <c r="C26" t="str">
        <f>IF(A26&lt;&gt;"","^FO20,20^A0N,28,37^CI13^FD"&amp;TEXT(Data!AY$5,"d/m/yyyy")&amp;"^FS","")</f>
        <v/>
      </c>
      <c r="D26" t="str">
        <f>IF(A26&lt;&gt;"","^FO220,20^A0N,41,48^CI13^FD"&amp;Data!$BC$5&amp;Data!$BD$5&amp;"/"&amp;RIGHT("000"&amp;Data!AW26,3)&amp;"^FS","")</f>
        <v/>
      </c>
      <c r="E26" t="str">
        <f>IF(A26&lt;&gt;"","^FO20,55^A0N,30,30^CI13^FD"&amp;Data!$BF$5&amp;"^FS","")</f>
        <v/>
      </c>
      <c r="F26" t="str">
        <f>IF(A26&lt;&gt;"","^FO20,95^A0N,30,30^CI13^FD"&amp;Data!AX$5&amp;"^FS","")</f>
        <v/>
      </c>
      <c r="G26" t="str">
        <f>IF(A26&lt;&gt;"","^FO20,135^A0N,30,30^CI13^FD"&amp;Data!BE26&amp;"^FS","")</f>
        <v/>
      </c>
      <c r="H26" t="str">
        <f>IF(A26&lt;&gt;"","^FO20,175^A0N,30,30^CI13^FD"&amp;Data!AY26&amp;"^FS","")</f>
        <v/>
      </c>
      <c r="I26" t="str">
        <f>IF(A26&lt;&gt;"","^FO300,175^A0N,30,30^CI13^FD"&amp;"W:"&amp;Data!BA26&amp;" H:"&amp;Data!BB26,"")</f>
        <v/>
      </c>
      <c r="J26" t="str">
        <f>IF(A26&lt;&gt;"","^PQ"&amp;Data!$F$16&amp;",0,"&amp;Data!$F$16&amp;",Y","")</f>
        <v/>
      </c>
      <c r="K26" t="str">
        <f t="shared" si="0"/>
        <v/>
      </c>
    </row>
    <row r="27" spans="1:11" ht="13.5" customHeight="1">
      <c r="A27" t="str">
        <f>IF(OR(Data!$AV27="",Data!$AW27&gt;999),"","^XA^LH0,0^PRB,D^MD20^JMA^FS")</f>
        <v/>
      </c>
      <c r="B27" t="str">
        <f t="array" ref="B27">IF(A27&lt;&gt;"","^BY2,2.7,13^FO506,20^B2N,132,Y,N,N^SN"&amp;BarcodeValue(Data!BC$5,Data!BD$5,Data!AW27,0)&amp;",N,Y^FS","")</f>
        <v/>
      </c>
      <c r="C27" t="str">
        <f>IF(A27&lt;&gt;"","^FO20,20^A0N,28,37^CI13^FD"&amp;TEXT(Data!AY$5,"d/m/yyyy")&amp;"^FS","")</f>
        <v/>
      </c>
      <c r="D27" t="str">
        <f>IF(A27&lt;&gt;"","^FO220,20^A0N,41,48^CI13^FD"&amp;Data!$BC$5&amp;Data!$BD$5&amp;"/"&amp;RIGHT("000"&amp;Data!AW27,3)&amp;"^FS","")</f>
        <v/>
      </c>
      <c r="E27" t="str">
        <f>IF(A27&lt;&gt;"","^FO20,55^A0N,30,30^CI13^FD"&amp;Data!$BF$5&amp;"^FS","")</f>
        <v/>
      </c>
      <c r="F27" t="str">
        <f>IF(A27&lt;&gt;"","^FO20,95^A0N,30,30^CI13^FD"&amp;Data!AX$5&amp;"^FS","")</f>
        <v/>
      </c>
      <c r="G27" t="str">
        <f>IF(A27&lt;&gt;"","^FO20,135^A0N,30,30^CI13^FD"&amp;Data!BE27&amp;"^FS","")</f>
        <v/>
      </c>
      <c r="H27" t="str">
        <f>IF(A27&lt;&gt;"","^FO20,175^A0N,30,30^CI13^FD"&amp;Data!AY27&amp;"^FS","")</f>
        <v/>
      </c>
      <c r="I27" t="str">
        <f>IF(A27&lt;&gt;"","^FO300,175^A0N,30,30^CI13^FD"&amp;"W:"&amp;Data!BA27&amp;" H:"&amp;Data!BB27,"")</f>
        <v/>
      </c>
      <c r="J27" t="str">
        <f>IF(A27&lt;&gt;"","^PQ"&amp;Data!$F$16&amp;",0,"&amp;Data!$F$16&amp;",Y","")</f>
        <v/>
      </c>
      <c r="K27" t="str">
        <f t="shared" si="0"/>
        <v/>
      </c>
    </row>
    <row r="28" spans="1:11" ht="13.5" customHeight="1">
      <c r="A28" t="str">
        <f>IF(OR(Data!$AV28="",Data!$AW28&gt;999),"","^XA^LH0,0^PRB,D^MD20^JMA^FS")</f>
        <v/>
      </c>
      <c r="B28" t="str">
        <f t="array" ref="B28">IF(A28&lt;&gt;"","^BY2,2.7,13^FO506,20^B2N,132,Y,N,N^SN"&amp;BarcodeValue(Data!BC$5,Data!BD$5,Data!AW28,0)&amp;",N,Y^FS","")</f>
        <v/>
      </c>
      <c r="C28" t="str">
        <f>IF(A28&lt;&gt;"","^FO20,20^A0N,28,37^CI13^FD"&amp;TEXT(Data!AY$5,"d/m/yyyy")&amp;"^FS","")</f>
        <v/>
      </c>
      <c r="D28" t="str">
        <f>IF(A28&lt;&gt;"","^FO220,20^A0N,41,48^CI13^FD"&amp;Data!$BC$5&amp;Data!$BD$5&amp;"/"&amp;RIGHT("000"&amp;Data!AW28,3)&amp;"^FS","")</f>
        <v/>
      </c>
      <c r="E28" t="str">
        <f>IF(A28&lt;&gt;"","^FO20,55^A0N,30,30^CI13^FD"&amp;Data!$BF$5&amp;"^FS","")</f>
        <v/>
      </c>
      <c r="F28" t="str">
        <f>IF(A28&lt;&gt;"","^FO20,95^A0N,30,30^CI13^FD"&amp;Data!AX$5&amp;"^FS","")</f>
        <v/>
      </c>
      <c r="G28" t="str">
        <f>IF(A28&lt;&gt;"","^FO20,135^A0N,30,30^CI13^FD"&amp;Data!BE28&amp;"^FS","")</f>
        <v/>
      </c>
      <c r="H28" t="str">
        <f>IF(A28&lt;&gt;"","^FO20,175^A0N,30,30^CI13^FD"&amp;Data!AY28&amp;"^FS","")</f>
        <v/>
      </c>
      <c r="I28" t="str">
        <f>IF(A28&lt;&gt;"","^FO300,175^A0N,30,30^CI13^FD"&amp;"W:"&amp;Data!BA28&amp;" H:"&amp;Data!BB28,"")</f>
        <v/>
      </c>
      <c r="J28" t="str">
        <f>IF(A28&lt;&gt;"","^PQ"&amp;Data!$F$16&amp;",0,"&amp;Data!$F$16&amp;",Y","")</f>
        <v/>
      </c>
      <c r="K28" t="str">
        <f t="shared" si="0"/>
        <v/>
      </c>
    </row>
    <row r="29" spans="1:11" ht="13.5" customHeight="1">
      <c r="A29" t="str">
        <f>IF(OR(Data!$AV29="",Data!$AW29&gt;999),"","^XA^LH0,0^PRB,D^MD20^JMA^FS")</f>
        <v/>
      </c>
      <c r="B29" t="str">
        <f t="array" ref="B29">IF(A29&lt;&gt;"","^BY2,2.7,13^FO506,20^B2N,132,Y,N,N^SN"&amp;BarcodeValue(Data!BC$5,Data!BD$5,Data!AW29,0)&amp;",N,Y^FS","")</f>
        <v/>
      </c>
      <c r="C29" t="str">
        <f>IF(A29&lt;&gt;"","^FO20,20^A0N,28,37^CI13^FD"&amp;TEXT(Data!AY$5,"d/m/yyyy")&amp;"^FS","")</f>
        <v/>
      </c>
      <c r="D29" t="str">
        <f>IF(A29&lt;&gt;"","^FO220,20^A0N,41,48^CI13^FD"&amp;Data!$BC$5&amp;Data!$BD$5&amp;"/"&amp;RIGHT("000"&amp;Data!AW29,3)&amp;"^FS","")</f>
        <v/>
      </c>
      <c r="E29" t="str">
        <f>IF(A29&lt;&gt;"","^FO20,55^A0N,30,30^CI13^FD"&amp;Data!$BF$5&amp;"^FS","")</f>
        <v/>
      </c>
      <c r="F29" t="str">
        <f>IF(A29&lt;&gt;"","^FO20,95^A0N,30,30^CI13^FD"&amp;Data!AX$5&amp;"^FS","")</f>
        <v/>
      </c>
      <c r="G29" t="str">
        <f>IF(A29&lt;&gt;"","^FO20,135^A0N,30,30^CI13^FD"&amp;Data!BE29&amp;"^FS","")</f>
        <v/>
      </c>
      <c r="H29" t="str">
        <f>IF(A29&lt;&gt;"","^FO20,175^A0N,30,30^CI13^FD"&amp;Data!AY29&amp;"^FS","")</f>
        <v/>
      </c>
      <c r="I29" t="str">
        <f>IF(A29&lt;&gt;"","^FO300,175^A0N,30,30^CI13^FD"&amp;"W:"&amp;Data!BA29&amp;" H:"&amp;Data!BB29,"")</f>
        <v/>
      </c>
      <c r="J29" t="str">
        <f>IF(A29&lt;&gt;"","^PQ"&amp;Data!$F$16&amp;",0,"&amp;Data!$F$16&amp;",Y","")</f>
        <v/>
      </c>
      <c r="K29" t="str">
        <f t="shared" si="0"/>
        <v/>
      </c>
    </row>
    <row r="30" spans="1:11" ht="13.5" customHeight="1">
      <c r="A30" t="str">
        <f>IF(OR(Data!$AV30="",Data!$AW30&gt;999),"","^XA^LH0,0^PRB,D^MD20^JMA^FS")</f>
        <v/>
      </c>
      <c r="B30" t="str">
        <f t="array" ref="B30">IF(A30&lt;&gt;"","^BY2,2.7,13^FO506,20^B2N,132,Y,N,N^SN"&amp;BarcodeValue(Data!BC$5,Data!BD$5,Data!AW30,0)&amp;",N,Y^FS","")</f>
        <v/>
      </c>
      <c r="C30" t="str">
        <f>IF(A30&lt;&gt;"","^FO20,20^A0N,28,37^CI13^FD"&amp;TEXT(Data!AY$5,"d/m/yyyy")&amp;"^FS","")</f>
        <v/>
      </c>
      <c r="D30" t="str">
        <f>IF(A30&lt;&gt;"","^FO220,20^A0N,41,48^CI13^FD"&amp;Data!$BC$5&amp;Data!$BD$5&amp;"/"&amp;RIGHT("000"&amp;Data!AW30,3)&amp;"^FS","")</f>
        <v/>
      </c>
      <c r="E30" t="str">
        <f>IF(A30&lt;&gt;"","^FO20,55^A0N,30,30^CI13^FD"&amp;Data!$BF$5&amp;"^FS","")</f>
        <v/>
      </c>
      <c r="F30" t="str">
        <f>IF(A30&lt;&gt;"","^FO20,95^A0N,30,30^CI13^FD"&amp;Data!AX$5&amp;"^FS","")</f>
        <v/>
      </c>
      <c r="G30" t="str">
        <f>IF(A30&lt;&gt;"","^FO20,135^A0N,30,30^CI13^FD"&amp;Data!BE30&amp;"^FS","")</f>
        <v/>
      </c>
      <c r="H30" t="str">
        <f>IF(A30&lt;&gt;"","^FO20,175^A0N,30,30^CI13^FD"&amp;Data!AY30&amp;"^FS","")</f>
        <v/>
      </c>
      <c r="I30" t="str">
        <f>IF(A30&lt;&gt;"","^FO300,175^A0N,30,30^CI13^FD"&amp;"W:"&amp;Data!BA30&amp;" H:"&amp;Data!BB30,"")</f>
        <v/>
      </c>
      <c r="J30" t="str">
        <f>IF(A30&lt;&gt;"","^PQ"&amp;Data!$F$16&amp;",0,"&amp;Data!$F$16&amp;",Y","")</f>
        <v/>
      </c>
      <c r="K30" t="str">
        <f t="shared" si="0"/>
        <v/>
      </c>
    </row>
    <row r="31" spans="1:11" ht="13.5" customHeight="1">
      <c r="A31" t="str">
        <f>IF(OR(Data!$AV31="",Data!$AW31&gt;999),"","^XA^LH0,0^PRB,D^MD20^JMA^FS")</f>
        <v/>
      </c>
      <c r="B31" t="str">
        <f t="array" ref="B31">IF(A31&lt;&gt;"","^BY2,2.7,13^FO506,20^B2N,132,Y,N,N^SN"&amp;BarcodeValue(Data!BC$5,Data!BD$5,Data!AW31,0)&amp;",N,Y^FS","")</f>
        <v/>
      </c>
      <c r="C31" t="str">
        <f>IF(A31&lt;&gt;"","^FO20,20^A0N,28,37^CI13^FD"&amp;TEXT(Data!AY$5,"d/m/yyyy")&amp;"^FS","")</f>
        <v/>
      </c>
      <c r="D31" t="str">
        <f>IF(A31&lt;&gt;"","^FO220,20^A0N,41,48^CI13^FD"&amp;Data!$BC$5&amp;Data!$BD$5&amp;"/"&amp;RIGHT("000"&amp;Data!AW31,3)&amp;"^FS","")</f>
        <v/>
      </c>
      <c r="E31" t="str">
        <f>IF(A31&lt;&gt;"","^FO20,55^A0N,30,30^CI13^FD"&amp;Data!$BF$5&amp;"^FS","")</f>
        <v/>
      </c>
      <c r="F31" t="str">
        <f>IF(A31&lt;&gt;"","^FO20,95^A0N,30,30^CI13^FD"&amp;Data!AX$5&amp;"^FS","")</f>
        <v/>
      </c>
      <c r="G31" t="str">
        <f>IF(A31&lt;&gt;"","^FO20,135^A0N,30,30^CI13^FD"&amp;Data!BE31&amp;"^FS","")</f>
        <v/>
      </c>
      <c r="H31" t="str">
        <f>IF(A31&lt;&gt;"","^FO20,175^A0N,30,30^CI13^FD"&amp;Data!AY31&amp;"^FS","")</f>
        <v/>
      </c>
      <c r="I31" t="str">
        <f>IF(A31&lt;&gt;"","^FO300,175^A0N,30,30^CI13^FD"&amp;"W:"&amp;Data!BA31&amp;" H:"&amp;Data!BB31,"")</f>
        <v/>
      </c>
      <c r="J31" t="str">
        <f>IF(A31&lt;&gt;"","^PQ"&amp;Data!$F$16&amp;",0,"&amp;Data!$F$16&amp;",Y","")</f>
        <v/>
      </c>
      <c r="K31" t="str">
        <f t="shared" si="0"/>
        <v/>
      </c>
    </row>
    <row r="32" spans="1:11" ht="13.5" customHeight="1">
      <c r="A32" t="str">
        <f>IF(OR(Data!$AV32="",Data!$AW32&gt;999),"","^XA^LH0,0^PRB,D^MD20^JMA^FS")</f>
        <v/>
      </c>
      <c r="B32" t="str">
        <f t="array" ref="B32">IF(A32&lt;&gt;"","^BY2,2.7,13^FO506,20^B2N,132,Y,N,N^SN"&amp;BarcodeValue(Data!BC$5,Data!BD$5,Data!AW32,0)&amp;",N,Y^FS","")</f>
        <v/>
      </c>
      <c r="C32" t="str">
        <f>IF(A32&lt;&gt;"","^FO20,20^A0N,28,37^CI13^FD"&amp;TEXT(Data!AY$5,"d/m/yyyy")&amp;"^FS","")</f>
        <v/>
      </c>
      <c r="D32" t="str">
        <f>IF(A32&lt;&gt;"","^FO220,20^A0N,41,48^CI13^FD"&amp;Data!$BC$5&amp;Data!$BD$5&amp;"/"&amp;RIGHT("000"&amp;Data!AW32,3)&amp;"^FS","")</f>
        <v/>
      </c>
      <c r="E32" t="str">
        <f>IF(A32&lt;&gt;"","^FO20,55^A0N,30,30^CI13^FD"&amp;Data!$BF$5&amp;"^FS","")</f>
        <v/>
      </c>
      <c r="F32" t="str">
        <f>IF(A32&lt;&gt;"","^FO20,95^A0N,30,30^CI13^FD"&amp;Data!AX$5&amp;"^FS","")</f>
        <v/>
      </c>
      <c r="G32" t="str">
        <f>IF(A32&lt;&gt;"","^FO20,135^A0N,30,30^CI13^FD"&amp;Data!BE32&amp;"^FS","")</f>
        <v/>
      </c>
      <c r="H32" t="str">
        <f>IF(A32&lt;&gt;"","^FO20,175^A0N,30,30^CI13^FD"&amp;Data!AY32&amp;"^FS","")</f>
        <v/>
      </c>
      <c r="I32" t="str">
        <f>IF(A32&lt;&gt;"","^FO300,175^A0N,30,30^CI13^FD"&amp;"W:"&amp;Data!BA32&amp;" H:"&amp;Data!BB32,"")</f>
        <v/>
      </c>
      <c r="J32" t="str">
        <f>IF(A32&lt;&gt;"","^PQ"&amp;Data!$F$16&amp;",0,"&amp;Data!$F$16&amp;",Y","")</f>
        <v/>
      </c>
      <c r="K32" t="str">
        <f t="shared" si="0"/>
        <v/>
      </c>
    </row>
    <row r="33" spans="1:11" ht="13.5" customHeight="1">
      <c r="A33" t="str">
        <f>IF(OR(Data!$AV33="",Data!$AW33&gt;999),"","^XA^LH0,0^PRB,D^MD20^JMA^FS")</f>
        <v/>
      </c>
      <c r="B33" t="str">
        <f t="array" ref="B33">IF(A33&lt;&gt;"","^BY2,2.7,13^FO506,20^B2N,132,Y,N,N^SN"&amp;BarcodeValue(Data!BC$5,Data!BD$5,Data!AW33,0)&amp;",N,Y^FS","")</f>
        <v/>
      </c>
      <c r="C33" t="str">
        <f>IF(A33&lt;&gt;"","^FO20,20^A0N,28,37^CI13^FD"&amp;TEXT(Data!AY$5,"d/m/yyyy")&amp;"^FS","")</f>
        <v/>
      </c>
      <c r="D33" t="str">
        <f>IF(A33&lt;&gt;"","^FO220,20^A0N,41,48^CI13^FD"&amp;Data!$BC$5&amp;Data!$BD$5&amp;"/"&amp;RIGHT("000"&amp;Data!AW33,3)&amp;"^FS","")</f>
        <v/>
      </c>
      <c r="E33" t="str">
        <f>IF(A33&lt;&gt;"","^FO20,55^A0N,30,30^CI13^FD"&amp;Data!$BF$5&amp;"^FS","")</f>
        <v/>
      </c>
      <c r="F33" t="str">
        <f>IF(A33&lt;&gt;"","^FO20,95^A0N,30,30^CI13^FD"&amp;Data!AX$5&amp;"^FS","")</f>
        <v/>
      </c>
      <c r="G33" t="str">
        <f>IF(A33&lt;&gt;"","^FO20,135^A0N,30,30^CI13^FD"&amp;Data!BE33&amp;"^FS","")</f>
        <v/>
      </c>
      <c r="H33" t="str">
        <f>IF(A33&lt;&gt;"","^FO20,175^A0N,30,30^CI13^FD"&amp;Data!AY33&amp;"^FS","")</f>
        <v/>
      </c>
      <c r="I33" t="str">
        <f>IF(A33&lt;&gt;"","^FO300,175^A0N,30,30^CI13^FD"&amp;"W:"&amp;Data!BA33&amp;" H:"&amp;Data!BB33,"")</f>
        <v/>
      </c>
      <c r="J33" t="str">
        <f>IF(A33&lt;&gt;"","^PQ"&amp;Data!$F$16&amp;",0,"&amp;Data!$F$16&amp;",Y","")</f>
        <v/>
      </c>
      <c r="K33" t="str">
        <f t="shared" si="0"/>
        <v/>
      </c>
    </row>
    <row r="34" spans="1:11" ht="13.5" customHeight="1">
      <c r="A34" t="str">
        <f>IF(OR(Data!$AV34="",Data!$AW34&gt;999),"","^XA^LH0,0^PRB,D^MD20^JMA^FS")</f>
        <v/>
      </c>
      <c r="B34" t="str">
        <f t="array" ref="B34">IF(A34&lt;&gt;"","^BY2,2.7,13^FO506,20^B2N,132,Y,N,N^SN"&amp;BarcodeValue(Data!BC$5,Data!BD$5,Data!AW34,0)&amp;",N,Y^FS","")</f>
        <v/>
      </c>
      <c r="C34" t="str">
        <f>IF(A34&lt;&gt;"","^FO20,20^A0N,28,37^CI13^FD"&amp;TEXT(Data!AY$5,"d/m/yyyy")&amp;"^FS","")</f>
        <v/>
      </c>
      <c r="D34" t="str">
        <f>IF(A34&lt;&gt;"","^FO220,20^A0N,41,48^CI13^FD"&amp;Data!$BC$5&amp;Data!$BD$5&amp;"/"&amp;RIGHT("000"&amp;Data!AW34,3)&amp;"^FS","")</f>
        <v/>
      </c>
      <c r="E34" t="str">
        <f>IF(A34&lt;&gt;"","^FO20,55^A0N,30,30^CI13^FD"&amp;Data!$BF$5&amp;"^FS","")</f>
        <v/>
      </c>
      <c r="F34" t="str">
        <f>IF(A34&lt;&gt;"","^FO20,95^A0N,30,30^CI13^FD"&amp;Data!AX$5&amp;"^FS","")</f>
        <v/>
      </c>
      <c r="G34" t="str">
        <f>IF(A34&lt;&gt;"","^FO20,135^A0N,30,30^CI13^FD"&amp;Data!BE34&amp;"^FS","")</f>
        <v/>
      </c>
      <c r="H34" t="str">
        <f>IF(A34&lt;&gt;"","^FO20,175^A0N,30,30^CI13^FD"&amp;Data!AY34&amp;"^FS","")</f>
        <v/>
      </c>
      <c r="I34" t="str">
        <f>IF(A34&lt;&gt;"","^FO300,175^A0N,30,30^CI13^FD"&amp;"W:"&amp;Data!BA34&amp;" H:"&amp;Data!BB34,"")</f>
        <v/>
      </c>
      <c r="J34" t="str">
        <f>IF(A34&lt;&gt;"","^PQ"&amp;Data!$F$16&amp;",0,"&amp;Data!$F$16&amp;",Y","")</f>
        <v/>
      </c>
      <c r="K34" t="str">
        <f t="shared" si="0"/>
        <v/>
      </c>
    </row>
    <row r="35" spans="1:11" ht="13.5" customHeight="1">
      <c r="A35" t="str">
        <f>IF(OR(Data!$AV35="",Data!$AW35&gt;999),"","^XA^LH0,0^PRB,D^MD20^JMA^FS")</f>
        <v/>
      </c>
      <c r="B35" t="str">
        <f t="array" ref="B35">IF(A35&lt;&gt;"","^BY2,2.7,13^FO506,20^B2N,132,Y,N,N^SN"&amp;BarcodeValue(Data!BC$5,Data!BD$5,Data!AW35,0)&amp;",N,Y^FS","")</f>
        <v/>
      </c>
      <c r="C35" t="str">
        <f>IF(A35&lt;&gt;"","^FO20,20^A0N,28,37^CI13^FD"&amp;TEXT(Data!AY$5,"d/m/yyyy")&amp;"^FS","")</f>
        <v/>
      </c>
      <c r="D35" t="str">
        <f>IF(A35&lt;&gt;"","^FO220,20^A0N,41,48^CI13^FD"&amp;Data!$BC$5&amp;Data!$BD$5&amp;"/"&amp;RIGHT("000"&amp;Data!AW35,3)&amp;"^FS","")</f>
        <v/>
      </c>
      <c r="E35" t="str">
        <f>IF(A35&lt;&gt;"","^FO20,55^A0N,30,30^CI13^FD"&amp;Data!$BF$5&amp;"^FS","")</f>
        <v/>
      </c>
      <c r="F35" t="str">
        <f>IF(A35&lt;&gt;"","^FO20,95^A0N,30,30^CI13^FD"&amp;Data!AX$5&amp;"^FS","")</f>
        <v/>
      </c>
      <c r="G35" t="str">
        <f>IF(A35&lt;&gt;"","^FO20,135^A0N,30,30^CI13^FD"&amp;Data!BE35&amp;"^FS","")</f>
        <v/>
      </c>
      <c r="H35" t="str">
        <f>IF(A35&lt;&gt;"","^FO20,175^A0N,30,30^CI13^FD"&amp;Data!AY35&amp;"^FS","")</f>
        <v/>
      </c>
      <c r="I35" t="str">
        <f>IF(A35&lt;&gt;"","^FO300,175^A0N,30,30^CI13^FD"&amp;"W:"&amp;Data!BA35&amp;" H:"&amp;Data!BB35,"")</f>
        <v/>
      </c>
      <c r="J35" t="str">
        <f>IF(A35&lt;&gt;"","^PQ"&amp;Data!$F$16&amp;",0,"&amp;Data!$F$16&amp;",Y","")</f>
        <v/>
      </c>
      <c r="K35" t="str">
        <f t="shared" si="0"/>
        <v/>
      </c>
    </row>
    <row r="36" spans="1:11" ht="13.5" customHeight="1">
      <c r="A36" t="str">
        <f>IF(OR(Data!$AV36="",Data!$AW36&gt;999),"","^XA^LH0,0^PRB,D^MD20^JMA^FS")</f>
        <v/>
      </c>
      <c r="B36" t="str">
        <f t="array" ref="B36">IF(A36&lt;&gt;"","^BY2,2.7,13^FO506,20^B2N,132,Y,N,N^SN"&amp;BarcodeValue(Data!BC$5,Data!BD$5,Data!AW36,0)&amp;",N,Y^FS","")</f>
        <v/>
      </c>
      <c r="C36" t="str">
        <f>IF(A36&lt;&gt;"","^FO20,20^A0N,28,37^CI13^FD"&amp;TEXT(Data!AY$5,"d/m/yyyy")&amp;"^FS","")</f>
        <v/>
      </c>
      <c r="D36" t="str">
        <f>IF(A36&lt;&gt;"","^FO220,20^A0N,41,48^CI13^FD"&amp;Data!$BC$5&amp;Data!$BD$5&amp;"/"&amp;RIGHT("000"&amp;Data!AW36,3)&amp;"^FS","")</f>
        <v/>
      </c>
      <c r="E36" t="str">
        <f>IF(A36&lt;&gt;"","^FO20,55^A0N,30,30^CI13^FD"&amp;Data!$BF$5&amp;"^FS","")</f>
        <v/>
      </c>
      <c r="F36" t="str">
        <f>IF(A36&lt;&gt;"","^FO20,95^A0N,30,30^CI13^FD"&amp;Data!AX$5&amp;"^FS","")</f>
        <v/>
      </c>
      <c r="G36" t="str">
        <f>IF(A36&lt;&gt;"","^FO20,135^A0N,30,30^CI13^FD"&amp;Data!BE36&amp;"^FS","")</f>
        <v/>
      </c>
      <c r="H36" t="str">
        <f>IF(A36&lt;&gt;"","^FO20,175^A0N,30,30^CI13^FD"&amp;Data!AY36&amp;"^FS","")</f>
        <v/>
      </c>
      <c r="I36" t="str">
        <f>IF(A36&lt;&gt;"","^FO300,175^A0N,30,30^CI13^FD"&amp;"W:"&amp;Data!BA36&amp;" H:"&amp;Data!BB36,"")</f>
        <v/>
      </c>
      <c r="J36" t="str">
        <f>IF(A36&lt;&gt;"","^PQ"&amp;Data!$F$16&amp;",0,"&amp;Data!$F$16&amp;",Y","")</f>
        <v/>
      </c>
      <c r="K36" t="str">
        <f t="shared" si="0"/>
        <v/>
      </c>
    </row>
    <row r="37" spans="1:11" ht="13.5" customHeight="1">
      <c r="A37" t="str">
        <f>IF(OR(Data!$AV37="",Data!$AW37&gt;999),"","^XA^LH0,0^PRB,D^MD20^JMA^FS")</f>
        <v/>
      </c>
      <c r="B37" t="str">
        <f t="array" ref="B37">IF(A37&lt;&gt;"","^BY2,2.7,13^FO506,20^B2N,132,Y,N,N^SN"&amp;BarcodeValue(Data!BC$5,Data!BD$5,Data!AW37,0)&amp;",N,Y^FS","")</f>
        <v/>
      </c>
      <c r="C37" t="str">
        <f>IF(A37&lt;&gt;"","^FO20,20^A0N,28,37^CI13^FD"&amp;TEXT(Data!AY$5,"d/m/yyyy")&amp;"^FS","")</f>
        <v/>
      </c>
      <c r="D37" t="str">
        <f>IF(A37&lt;&gt;"","^FO220,20^A0N,41,48^CI13^FD"&amp;Data!$BC$5&amp;Data!$BD$5&amp;"/"&amp;RIGHT("000"&amp;Data!AW37,3)&amp;"^FS","")</f>
        <v/>
      </c>
      <c r="E37" t="str">
        <f>IF(A37&lt;&gt;"","^FO20,55^A0N,30,30^CI13^FD"&amp;Data!$BF$5&amp;"^FS","")</f>
        <v/>
      </c>
      <c r="F37" t="str">
        <f>IF(A37&lt;&gt;"","^FO20,95^A0N,30,30^CI13^FD"&amp;Data!AX$5&amp;"^FS","")</f>
        <v/>
      </c>
      <c r="G37" t="str">
        <f>IF(A37&lt;&gt;"","^FO20,135^A0N,30,30^CI13^FD"&amp;Data!BE37&amp;"^FS","")</f>
        <v/>
      </c>
      <c r="H37" t="str">
        <f>IF(A37&lt;&gt;"","^FO20,175^A0N,30,30^CI13^FD"&amp;Data!AY37&amp;"^FS","")</f>
        <v/>
      </c>
      <c r="I37" t="str">
        <f>IF(A37&lt;&gt;"","^FO300,175^A0N,30,30^CI13^FD"&amp;"W:"&amp;Data!BA37&amp;" H:"&amp;Data!BB37,"")</f>
        <v/>
      </c>
      <c r="J37" t="str">
        <f>IF(A37&lt;&gt;"","^PQ"&amp;Data!$F$16&amp;",0,"&amp;Data!$F$16&amp;",Y","")</f>
        <v/>
      </c>
      <c r="K37" t="str">
        <f t="shared" si="0"/>
        <v/>
      </c>
    </row>
    <row r="38" spans="1:11" ht="13.5" customHeight="1">
      <c r="A38" t="str">
        <f>IF(OR(Data!$AV38="",Data!$AW38&gt;999),"","^XA^LH0,0^PRB,D^MD20^JMA^FS")</f>
        <v/>
      </c>
      <c r="B38" t="str">
        <f t="array" ref="B38">IF(A38&lt;&gt;"","^BY2,2.7,13^FO506,20^B2N,132,Y,N,N^SN"&amp;BarcodeValue(Data!BC$5,Data!BD$5,Data!AW38,0)&amp;",N,Y^FS","")</f>
        <v/>
      </c>
      <c r="C38" t="str">
        <f>IF(A38&lt;&gt;"","^FO20,20^A0N,28,37^CI13^FD"&amp;TEXT(Data!AY$5,"d/m/yyyy")&amp;"^FS","")</f>
        <v/>
      </c>
      <c r="D38" t="str">
        <f>IF(A38&lt;&gt;"","^FO220,20^A0N,41,48^CI13^FD"&amp;Data!$BC$5&amp;Data!$BD$5&amp;"/"&amp;RIGHT("000"&amp;Data!AW38,3)&amp;"^FS","")</f>
        <v/>
      </c>
      <c r="E38" t="str">
        <f>IF(A38&lt;&gt;"","^FO20,55^A0N,30,30^CI13^FD"&amp;Data!$BF$5&amp;"^FS","")</f>
        <v/>
      </c>
      <c r="F38" t="str">
        <f>IF(A38&lt;&gt;"","^FO20,95^A0N,30,30^CI13^FD"&amp;Data!AX$5&amp;"^FS","")</f>
        <v/>
      </c>
      <c r="G38" t="str">
        <f>IF(A38&lt;&gt;"","^FO20,135^A0N,30,30^CI13^FD"&amp;Data!BE38&amp;"^FS","")</f>
        <v/>
      </c>
      <c r="H38" t="str">
        <f>IF(A38&lt;&gt;"","^FO20,175^A0N,30,30^CI13^FD"&amp;Data!AY38&amp;"^FS","")</f>
        <v/>
      </c>
      <c r="I38" t="str">
        <f>IF(A38&lt;&gt;"","^FO300,175^A0N,30,30^CI13^FD"&amp;"W:"&amp;Data!BA38&amp;" H:"&amp;Data!BB38,"")</f>
        <v/>
      </c>
      <c r="J38" t="str">
        <f>IF(A38&lt;&gt;"","^PQ"&amp;Data!$F$16&amp;",0,"&amp;Data!$F$16&amp;",Y","")</f>
        <v/>
      </c>
      <c r="K38" t="str">
        <f t="shared" si="0"/>
        <v/>
      </c>
    </row>
    <row r="39" spans="1:11" ht="13.5" customHeight="1">
      <c r="A39" t="str">
        <f>IF(OR(Data!$AV39="",Data!$AW39&gt;999),"","^XA^LH0,0^PRB,D^MD20^JMA^FS")</f>
        <v/>
      </c>
      <c r="B39" t="str">
        <f t="array" ref="B39">IF(A39&lt;&gt;"","^BY2,2.7,13^FO506,20^B2N,132,Y,N,N^SN"&amp;BarcodeValue(Data!BC$5,Data!BD$5,Data!AW39,0)&amp;",N,Y^FS","")</f>
        <v/>
      </c>
      <c r="C39" t="str">
        <f>IF(A39&lt;&gt;"","^FO20,20^A0N,28,37^CI13^FD"&amp;TEXT(Data!AY$5,"d/m/yyyy")&amp;"^FS","")</f>
        <v/>
      </c>
      <c r="D39" t="str">
        <f>IF(A39&lt;&gt;"","^FO220,20^A0N,41,48^CI13^FD"&amp;Data!$BC$5&amp;Data!$BD$5&amp;"/"&amp;RIGHT("000"&amp;Data!AW39,3)&amp;"^FS","")</f>
        <v/>
      </c>
      <c r="E39" t="str">
        <f>IF(A39&lt;&gt;"","^FO20,55^A0N,30,30^CI13^FD"&amp;Data!$BF$5&amp;"^FS","")</f>
        <v/>
      </c>
      <c r="F39" t="str">
        <f>IF(A39&lt;&gt;"","^FO20,95^A0N,30,30^CI13^FD"&amp;Data!AX$5&amp;"^FS","")</f>
        <v/>
      </c>
      <c r="G39" t="str">
        <f>IF(A39&lt;&gt;"","^FO20,135^A0N,30,30^CI13^FD"&amp;Data!BE39&amp;"^FS","")</f>
        <v/>
      </c>
      <c r="H39" t="str">
        <f>IF(A39&lt;&gt;"","^FO20,175^A0N,30,30^CI13^FD"&amp;Data!AY39&amp;"^FS","")</f>
        <v/>
      </c>
      <c r="I39" t="str">
        <f>IF(A39&lt;&gt;"","^FO300,175^A0N,30,30^CI13^FD"&amp;"W:"&amp;Data!BA39&amp;" H:"&amp;Data!BB39,"")</f>
        <v/>
      </c>
      <c r="J39" t="str">
        <f>IF(A39&lt;&gt;"","^PQ"&amp;Data!$F$16&amp;",0,"&amp;Data!$F$16&amp;",Y","")</f>
        <v/>
      </c>
      <c r="K39" t="str">
        <f t="shared" si="0"/>
        <v/>
      </c>
    </row>
    <row r="40" spans="1:11" ht="13.5" customHeight="1">
      <c r="A40" t="str">
        <f>IF(OR(Data!$AV40="",Data!$AW40&gt;999),"","^XA^LH0,0^PRB,D^MD20^JMA^FS")</f>
        <v/>
      </c>
      <c r="B40" t="str">
        <f t="array" ref="B40">IF(A40&lt;&gt;"","^BY2,2.7,13^FO506,20^B2N,132,Y,N,N^SN"&amp;BarcodeValue(Data!BC$5,Data!BD$5,Data!AW40,0)&amp;",N,Y^FS","")</f>
        <v/>
      </c>
      <c r="C40" t="str">
        <f>IF(A40&lt;&gt;"","^FO20,20^A0N,28,37^CI13^FD"&amp;TEXT(Data!AY$5,"d/m/yyyy")&amp;"^FS","")</f>
        <v/>
      </c>
      <c r="D40" t="str">
        <f>IF(A40&lt;&gt;"","^FO220,20^A0N,41,48^CI13^FD"&amp;Data!$BC$5&amp;Data!$BD$5&amp;"/"&amp;RIGHT("000"&amp;Data!AW40,3)&amp;"^FS","")</f>
        <v/>
      </c>
      <c r="E40" t="str">
        <f>IF(A40&lt;&gt;"","^FO20,55^A0N,30,30^CI13^FD"&amp;Data!$BF$5&amp;"^FS","")</f>
        <v/>
      </c>
      <c r="F40" t="str">
        <f>IF(A40&lt;&gt;"","^FO20,95^A0N,30,30^CI13^FD"&amp;Data!AX$5&amp;"^FS","")</f>
        <v/>
      </c>
      <c r="G40" t="str">
        <f>IF(A40&lt;&gt;"","^FO20,135^A0N,30,30^CI13^FD"&amp;Data!BE40&amp;"^FS","")</f>
        <v/>
      </c>
      <c r="H40" t="str">
        <f>IF(A40&lt;&gt;"","^FO20,175^A0N,30,30^CI13^FD"&amp;Data!AY40&amp;"^FS","")</f>
        <v/>
      </c>
      <c r="I40" t="str">
        <f>IF(A40&lt;&gt;"","^FO300,175^A0N,30,30^CI13^FD"&amp;"W:"&amp;Data!BA40&amp;" H:"&amp;Data!BB40,"")</f>
        <v/>
      </c>
      <c r="J40" t="str">
        <f>IF(A40&lt;&gt;"","^PQ"&amp;Data!$F$16&amp;",0,"&amp;Data!$F$16&amp;",Y","")</f>
        <v/>
      </c>
      <c r="K40" t="str">
        <f t="shared" si="0"/>
        <v/>
      </c>
    </row>
    <row r="41" spans="1:11" ht="13.5" customHeight="1">
      <c r="A41" t="str">
        <f>IF(OR(Data!$AV41="",Data!$AW41&gt;999),"","^XA^LH0,0^PRB,D^MD20^JMA^FS")</f>
        <v/>
      </c>
      <c r="B41" t="str">
        <f t="array" ref="B41">IF(A41&lt;&gt;"","^BY2,2.7,13^FO506,20^B2N,132,Y,N,N^SN"&amp;BarcodeValue(Data!BC$5,Data!BD$5,Data!AW41,0)&amp;",N,Y^FS","")</f>
        <v/>
      </c>
      <c r="C41" t="str">
        <f>IF(A41&lt;&gt;"","^FO20,20^A0N,28,37^CI13^FD"&amp;TEXT(Data!AY$5,"d/m/yyyy")&amp;"^FS","")</f>
        <v/>
      </c>
      <c r="D41" t="str">
        <f>IF(A41&lt;&gt;"","^FO220,20^A0N,41,48^CI13^FD"&amp;Data!$BC$5&amp;Data!$BD$5&amp;"/"&amp;RIGHT("000"&amp;Data!AW41,3)&amp;"^FS","")</f>
        <v/>
      </c>
      <c r="E41" t="str">
        <f>IF(A41&lt;&gt;"","^FO20,55^A0N,30,30^CI13^FD"&amp;Data!$BF$5&amp;"^FS","")</f>
        <v/>
      </c>
      <c r="F41" t="str">
        <f>IF(A41&lt;&gt;"","^FO20,95^A0N,30,30^CI13^FD"&amp;Data!AX$5&amp;"^FS","")</f>
        <v/>
      </c>
      <c r="G41" t="str">
        <f>IF(A41&lt;&gt;"","^FO20,135^A0N,30,30^CI13^FD"&amp;Data!BE41&amp;"^FS","")</f>
        <v/>
      </c>
      <c r="H41" t="str">
        <f>IF(A41&lt;&gt;"","^FO20,175^A0N,30,30^CI13^FD"&amp;Data!AY41&amp;"^FS","")</f>
        <v/>
      </c>
      <c r="I41" t="str">
        <f>IF(A41&lt;&gt;"","^FO300,175^A0N,30,30^CI13^FD"&amp;"W:"&amp;Data!BA41&amp;" H:"&amp;Data!BB41,"")</f>
        <v/>
      </c>
      <c r="J41" t="str">
        <f>IF(A41&lt;&gt;"","^PQ"&amp;Data!$F$16&amp;",0,"&amp;Data!$F$16&amp;",Y","")</f>
        <v/>
      </c>
      <c r="K41" t="str">
        <f t="shared" si="0"/>
        <v/>
      </c>
    </row>
    <row r="42" spans="1:11" ht="13.5" customHeight="1">
      <c r="A42" t="str">
        <f>IF(OR(Data!$AV42="",Data!$AW42&gt;999),"","^XA^LH0,0^PRB,D^MD20^JMA^FS")</f>
        <v/>
      </c>
      <c r="B42" t="str">
        <f t="array" ref="B42">IF(A42&lt;&gt;"","^BY2,2.7,13^FO506,20^B2N,132,Y,N,N^SN"&amp;BarcodeValue(Data!BC$5,Data!BD$5,Data!AW42,0)&amp;",N,Y^FS","")</f>
        <v/>
      </c>
      <c r="C42" t="str">
        <f>IF(A42&lt;&gt;"","^FO20,20^A0N,28,37^CI13^FD"&amp;TEXT(Data!AY$5,"d/m/yyyy")&amp;"^FS","")</f>
        <v/>
      </c>
      <c r="D42" t="str">
        <f>IF(A42&lt;&gt;"","^FO220,20^A0N,41,48^CI13^FD"&amp;Data!$BC$5&amp;Data!$BD$5&amp;"/"&amp;RIGHT("000"&amp;Data!AW42,3)&amp;"^FS","")</f>
        <v/>
      </c>
      <c r="E42" t="str">
        <f>IF(A42&lt;&gt;"","^FO20,55^A0N,30,30^CI13^FD"&amp;Data!$BF$5&amp;"^FS","")</f>
        <v/>
      </c>
      <c r="F42" t="str">
        <f>IF(A42&lt;&gt;"","^FO20,95^A0N,30,30^CI13^FD"&amp;Data!AX$5&amp;"^FS","")</f>
        <v/>
      </c>
      <c r="G42" t="str">
        <f>IF(A42&lt;&gt;"","^FO20,135^A0N,30,30^CI13^FD"&amp;Data!BE42&amp;"^FS","")</f>
        <v/>
      </c>
      <c r="H42" t="str">
        <f>IF(A42&lt;&gt;"","^FO20,175^A0N,30,30^CI13^FD"&amp;Data!AY42&amp;"^FS","")</f>
        <v/>
      </c>
      <c r="I42" t="str">
        <f>IF(A42&lt;&gt;"","^FO300,175^A0N,30,30^CI13^FD"&amp;"W:"&amp;Data!BA42&amp;" H:"&amp;Data!BB42,"")</f>
        <v/>
      </c>
      <c r="J42" t="str">
        <f>IF(A42&lt;&gt;"","^PQ"&amp;Data!$F$16&amp;",0,"&amp;Data!$F$16&amp;",Y","")</f>
        <v/>
      </c>
      <c r="K42" t="str">
        <f t="shared" si="0"/>
        <v/>
      </c>
    </row>
    <row r="43" spans="1:11" ht="13.5" customHeight="1">
      <c r="A43" t="str">
        <f>IF(OR(Data!$AV43="",Data!$AW43&gt;999),"","^XA^LH0,0^PRB,D^MD20^JMA^FS")</f>
        <v/>
      </c>
      <c r="B43" t="str">
        <f t="array" ref="B43">IF(A43&lt;&gt;"","^BY2,2.7,13^FO506,20^B2N,132,Y,N,N^SN"&amp;BarcodeValue(Data!BC$5,Data!BD$5,Data!AW43,0)&amp;",N,Y^FS","")</f>
        <v/>
      </c>
      <c r="C43" t="str">
        <f>IF(A43&lt;&gt;"","^FO20,20^A0N,28,37^CI13^FD"&amp;TEXT(Data!AY$5,"d/m/yyyy")&amp;"^FS","")</f>
        <v/>
      </c>
      <c r="D43" t="str">
        <f>IF(A43&lt;&gt;"","^FO220,20^A0N,41,48^CI13^FD"&amp;Data!$BC$5&amp;Data!$BD$5&amp;"/"&amp;RIGHT("000"&amp;Data!AW43,3)&amp;"^FS","")</f>
        <v/>
      </c>
      <c r="E43" t="str">
        <f>IF(A43&lt;&gt;"","^FO20,55^A0N,30,30^CI13^FD"&amp;Data!$BF$5&amp;"^FS","")</f>
        <v/>
      </c>
      <c r="F43" t="str">
        <f>IF(A43&lt;&gt;"","^FO20,95^A0N,30,30^CI13^FD"&amp;Data!AX$5&amp;"^FS","")</f>
        <v/>
      </c>
      <c r="G43" t="str">
        <f>IF(A43&lt;&gt;"","^FO20,135^A0N,30,30^CI13^FD"&amp;Data!BE43&amp;"^FS","")</f>
        <v/>
      </c>
      <c r="H43" t="str">
        <f>IF(A43&lt;&gt;"","^FO20,175^A0N,30,30^CI13^FD"&amp;Data!AY43&amp;"^FS","")</f>
        <v/>
      </c>
      <c r="I43" t="str">
        <f>IF(A43&lt;&gt;"","^FO300,175^A0N,30,30^CI13^FD"&amp;"W:"&amp;Data!BA43&amp;" H:"&amp;Data!BB43,"")</f>
        <v/>
      </c>
      <c r="J43" t="str">
        <f>IF(A43&lt;&gt;"","^PQ"&amp;Data!$F$16&amp;",0,"&amp;Data!$F$16&amp;",Y","")</f>
        <v/>
      </c>
      <c r="K43" t="str">
        <f t="shared" si="1" ref="K43:K72">IF(A43&lt;&gt;"","^XZ","")</f>
        <v/>
      </c>
    </row>
    <row r="44" spans="1:11" ht="13.5" customHeight="1">
      <c r="A44" t="str">
        <f>IF(OR(Data!$AV44="",Data!$AW44&gt;999),"","^XA^LH0,0^PRB,D^MD20^JMA^FS")</f>
        <v/>
      </c>
      <c r="B44" t="str">
        <f t="array" ref="B44">IF(A44&lt;&gt;"","^BY2,2.7,13^FO506,20^B2N,132,Y,N,N^SN"&amp;BarcodeValue(Data!BC$5,Data!BD$5,Data!AW44,0)&amp;",N,Y^FS","")</f>
        <v/>
      </c>
      <c r="C44" t="str">
        <f>IF(A44&lt;&gt;"","^FO20,20^A0N,28,37^CI13^FD"&amp;TEXT(Data!AY$5,"d/m/yyyy")&amp;"^FS","")</f>
        <v/>
      </c>
      <c r="D44" t="str">
        <f>IF(A44&lt;&gt;"","^FO220,20^A0N,41,48^CI13^FD"&amp;Data!$BC$5&amp;Data!$BD$5&amp;"/"&amp;RIGHT("000"&amp;Data!AW44,3)&amp;"^FS","")</f>
        <v/>
      </c>
      <c r="E44" t="str">
        <f>IF(A44&lt;&gt;"","^FO20,55^A0N,30,30^CI13^FD"&amp;Data!$BF$5&amp;"^FS","")</f>
        <v/>
      </c>
      <c r="F44" t="str">
        <f>IF(A44&lt;&gt;"","^FO20,95^A0N,30,30^CI13^FD"&amp;Data!AX$5&amp;"^FS","")</f>
        <v/>
      </c>
      <c r="G44" t="str">
        <f>IF(A44&lt;&gt;"","^FO20,135^A0N,30,30^CI13^FD"&amp;Data!BE44&amp;"^FS","")</f>
        <v/>
      </c>
      <c r="H44" t="str">
        <f>IF(A44&lt;&gt;"","^FO20,175^A0N,30,30^CI13^FD"&amp;Data!AY44&amp;"^FS","")</f>
        <v/>
      </c>
      <c r="I44" t="str">
        <f>IF(A44&lt;&gt;"","^FO300,175^A0N,30,30^CI13^FD"&amp;"W:"&amp;Data!BA44&amp;" H:"&amp;Data!BB44,"")</f>
        <v/>
      </c>
      <c r="J44" t="str">
        <f>IF(A44&lt;&gt;"","^PQ"&amp;Data!$F$16&amp;",0,"&amp;Data!$F$16&amp;",Y","")</f>
        <v/>
      </c>
      <c r="K44" t="str">
        <f t="shared" si="1"/>
        <v/>
      </c>
    </row>
    <row r="45" spans="1:11" ht="13.5" customHeight="1">
      <c r="A45" t="str">
        <f>IF(OR(Data!$AV45="",Data!$AW45&gt;999),"","^XA^LH0,0^PRB,D^MD20^JMA^FS")</f>
        <v/>
      </c>
      <c r="B45" t="str">
        <f t="array" ref="B45">IF(A45&lt;&gt;"","^BY2,2.7,13^FO506,20^B2N,132,Y,N,N^SN"&amp;BarcodeValue(Data!BC$5,Data!BD$5,Data!AW45,0)&amp;",N,Y^FS","")</f>
        <v/>
      </c>
      <c r="C45" t="str">
        <f>IF(A45&lt;&gt;"","^FO20,20^A0N,28,37^CI13^FD"&amp;TEXT(Data!AY$5,"d/m/yyyy")&amp;"^FS","")</f>
        <v/>
      </c>
      <c r="D45" t="str">
        <f>IF(A45&lt;&gt;"","^FO220,20^A0N,41,48^CI13^FD"&amp;Data!$BC$5&amp;Data!$BD$5&amp;"/"&amp;RIGHT("000"&amp;Data!AW45,3)&amp;"^FS","")</f>
        <v/>
      </c>
      <c r="E45" t="str">
        <f>IF(A45&lt;&gt;"","^FO20,55^A0N,30,30^CI13^FD"&amp;Data!$BF$5&amp;"^FS","")</f>
        <v/>
      </c>
      <c r="F45" t="str">
        <f>IF(A45&lt;&gt;"","^FO20,95^A0N,30,30^CI13^FD"&amp;Data!AX$5&amp;"^FS","")</f>
        <v/>
      </c>
      <c r="G45" t="str">
        <f>IF(A45&lt;&gt;"","^FO20,135^A0N,30,30^CI13^FD"&amp;Data!BE45&amp;"^FS","")</f>
        <v/>
      </c>
      <c r="H45" t="str">
        <f>IF(A45&lt;&gt;"","^FO20,175^A0N,30,30^CI13^FD"&amp;Data!AY45&amp;"^FS","")</f>
        <v/>
      </c>
      <c r="I45" t="str">
        <f>IF(A45&lt;&gt;"","^FO300,175^A0N,30,30^CI13^FD"&amp;"W:"&amp;Data!BA45&amp;" H:"&amp;Data!BB45,"")</f>
        <v/>
      </c>
      <c r="J45" t="str">
        <f>IF(A45&lt;&gt;"","^PQ"&amp;Data!$F$16&amp;",0,"&amp;Data!$F$16&amp;",Y","")</f>
        <v/>
      </c>
      <c r="K45" t="str">
        <f t="shared" si="1"/>
        <v/>
      </c>
    </row>
    <row r="46" spans="1:11" ht="13.5" customHeight="1">
      <c r="A46" t="str">
        <f>IF(OR(Data!$AV46="",Data!$AW46&gt;999),"","^XA^LH0,0^PRB,D^MD20^JMA^FS")</f>
        <v/>
      </c>
      <c r="B46" t="str">
        <f t="array" ref="B46">IF(A46&lt;&gt;"","^BY2,2.7,13^FO506,20^B2N,132,Y,N,N^SN"&amp;BarcodeValue(Data!BC$5,Data!BD$5,Data!AW46,0)&amp;",N,Y^FS","")</f>
        <v/>
      </c>
      <c r="C46" t="str">
        <f>IF(A46&lt;&gt;"","^FO20,20^A0N,28,37^CI13^FD"&amp;TEXT(Data!AY$5,"d/m/yyyy")&amp;"^FS","")</f>
        <v/>
      </c>
      <c r="D46" t="str">
        <f>IF(A46&lt;&gt;"","^FO220,20^A0N,41,48^CI13^FD"&amp;Data!$BC$5&amp;Data!$BD$5&amp;"/"&amp;RIGHT("000"&amp;Data!AW46,3)&amp;"^FS","")</f>
        <v/>
      </c>
      <c r="E46" t="str">
        <f>IF(A46&lt;&gt;"","^FO20,55^A0N,30,30^CI13^FD"&amp;Data!$BF$5&amp;"^FS","")</f>
        <v/>
      </c>
      <c r="F46" t="str">
        <f>IF(A46&lt;&gt;"","^FO20,95^A0N,30,30^CI13^FD"&amp;Data!AX$5&amp;"^FS","")</f>
        <v/>
      </c>
      <c r="G46" t="str">
        <f>IF(A46&lt;&gt;"","^FO20,135^A0N,30,30^CI13^FD"&amp;Data!BE46&amp;"^FS","")</f>
        <v/>
      </c>
      <c r="H46" t="str">
        <f>IF(A46&lt;&gt;"","^FO20,175^A0N,30,30^CI13^FD"&amp;Data!AY46&amp;"^FS","")</f>
        <v/>
      </c>
      <c r="I46" t="str">
        <f>IF(A46&lt;&gt;"","^FO300,175^A0N,30,30^CI13^FD"&amp;"W:"&amp;Data!BA46&amp;" H:"&amp;Data!BB46,"")</f>
        <v/>
      </c>
      <c r="J46" t="str">
        <f>IF(A46&lt;&gt;"","^PQ"&amp;Data!$F$16&amp;",0,"&amp;Data!$F$16&amp;",Y","")</f>
        <v/>
      </c>
      <c r="K46" t="str">
        <f t="shared" si="1"/>
        <v/>
      </c>
    </row>
    <row r="47" spans="1:11" ht="13.5" customHeight="1">
      <c r="A47" t="str">
        <f>IF(OR(Data!$AV47="",Data!$AW47&gt;999),"","^XA^LH0,0^PRB,D^MD20^JMA^FS")</f>
        <v/>
      </c>
      <c r="B47" t="str">
        <f t="array" ref="B47">IF(A47&lt;&gt;"","^BY2,2.7,13^FO506,20^B2N,132,Y,N,N^SN"&amp;BarcodeValue(Data!BC$5,Data!BD$5,Data!AW47,0)&amp;",N,Y^FS","")</f>
        <v/>
      </c>
      <c r="C47" t="str">
        <f>IF(A47&lt;&gt;"","^FO20,20^A0N,28,37^CI13^FD"&amp;TEXT(Data!AY$5,"d/m/yyyy")&amp;"^FS","")</f>
        <v/>
      </c>
      <c r="D47" t="str">
        <f>IF(A47&lt;&gt;"","^FO220,20^A0N,41,48^CI13^FD"&amp;Data!$BC$5&amp;Data!$BD$5&amp;"/"&amp;RIGHT("000"&amp;Data!AW47,3)&amp;"^FS","")</f>
        <v/>
      </c>
      <c r="E47" t="str">
        <f>IF(A47&lt;&gt;"","^FO20,55^A0N,30,30^CI13^FD"&amp;Data!$BF$5&amp;"^FS","")</f>
        <v/>
      </c>
      <c r="F47" t="str">
        <f>IF(A47&lt;&gt;"","^FO20,95^A0N,30,30^CI13^FD"&amp;Data!AX$5&amp;"^FS","")</f>
        <v/>
      </c>
      <c r="G47" t="str">
        <f>IF(A47&lt;&gt;"","^FO20,135^A0N,30,30^CI13^FD"&amp;Data!BE47&amp;"^FS","")</f>
        <v/>
      </c>
      <c r="H47" t="str">
        <f>IF(A47&lt;&gt;"","^FO20,175^A0N,30,30^CI13^FD"&amp;Data!AY47&amp;"^FS","")</f>
        <v/>
      </c>
      <c r="I47" t="str">
        <f>IF(A47&lt;&gt;"","^FO300,175^A0N,30,30^CI13^FD"&amp;"W:"&amp;Data!BA47&amp;" H:"&amp;Data!BB47,"")</f>
        <v/>
      </c>
      <c r="J47" t="str">
        <f>IF(A47&lt;&gt;"","^PQ"&amp;Data!$F$16&amp;",0,"&amp;Data!$F$16&amp;",Y","")</f>
        <v/>
      </c>
      <c r="K47" t="str">
        <f t="shared" si="1"/>
        <v/>
      </c>
    </row>
    <row r="48" spans="1:11" ht="13.5" customHeight="1">
      <c r="A48" t="str">
        <f>IF(OR(Data!$AV48="",Data!$AW48&gt;999),"","^XA^LH0,0^PRB,D^MD20^JMA^FS")</f>
        <v/>
      </c>
      <c r="B48" t="str">
        <f t="array" ref="B48">IF(A48&lt;&gt;"","^BY2,2.7,13^FO506,20^B2N,132,Y,N,N^SN"&amp;BarcodeValue(Data!BC$5,Data!BD$5,Data!AW48,0)&amp;",N,Y^FS","")</f>
        <v/>
      </c>
      <c r="C48" t="str">
        <f>IF(A48&lt;&gt;"","^FO20,20^A0N,28,37^CI13^FD"&amp;TEXT(Data!AY$5,"d/m/yyyy")&amp;"^FS","")</f>
        <v/>
      </c>
      <c r="D48" t="str">
        <f>IF(A48&lt;&gt;"","^FO220,20^A0N,41,48^CI13^FD"&amp;Data!$BC$5&amp;Data!$BD$5&amp;"/"&amp;RIGHT("000"&amp;Data!AW48,3)&amp;"^FS","")</f>
        <v/>
      </c>
      <c r="E48" t="str">
        <f>IF(A48&lt;&gt;"","^FO20,55^A0N,30,30^CI13^FD"&amp;Data!$BF$5&amp;"^FS","")</f>
        <v/>
      </c>
      <c r="F48" t="str">
        <f>IF(A48&lt;&gt;"","^FO20,95^A0N,30,30^CI13^FD"&amp;Data!AX$5&amp;"^FS","")</f>
        <v/>
      </c>
      <c r="G48" t="str">
        <f>IF(A48&lt;&gt;"","^FO20,135^A0N,30,30^CI13^FD"&amp;Data!BE48&amp;"^FS","")</f>
        <v/>
      </c>
      <c r="H48" t="str">
        <f>IF(A48&lt;&gt;"","^FO20,175^A0N,30,30^CI13^FD"&amp;Data!AY48&amp;"^FS","")</f>
        <v/>
      </c>
      <c r="I48" t="str">
        <f>IF(A48&lt;&gt;"","^FO300,175^A0N,30,30^CI13^FD"&amp;"W:"&amp;Data!BA48&amp;" H:"&amp;Data!BB48,"")</f>
        <v/>
      </c>
      <c r="J48" t="str">
        <f>IF(A48&lt;&gt;"","^PQ"&amp;Data!$F$16&amp;",0,"&amp;Data!$F$16&amp;",Y","")</f>
        <v/>
      </c>
      <c r="K48" t="str">
        <f t="shared" si="1"/>
        <v/>
      </c>
    </row>
    <row r="49" spans="1:11" ht="13.5" customHeight="1">
      <c r="A49" t="str">
        <f>IF(OR(Data!$AV49="",Data!$AW49&gt;999),"","^XA^LH0,0^PRB,D^MD20^JMA^FS")</f>
        <v/>
      </c>
      <c r="B49" t="str">
        <f t="array" ref="B49">IF(A49&lt;&gt;"","^BY2,2.7,13^FO506,20^B2N,132,Y,N,N^SN"&amp;BarcodeValue(Data!BC$5,Data!BD$5,Data!AW49,0)&amp;",N,Y^FS","")</f>
        <v/>
      </c>
      <c r="C49" t="str">
        <f>IF(A49&lt;&gt;"","^FO20,20^A0N,28,37^CI13^FD"&amp;TEXT(Data!AY$5,"d/m/yyyy")&amp;"^FS","")</f>
        <v/>
      </c>
      <c r="D49" t="str">
        <f>IF(A49&lt;&gt;"","^FO220,20^A0N,41,48^CI13^FD"&amp;Data!$BC$5&amp;Data!$BD$5&amp;"/"&amp;RIGHT("000"&amp;Data!AW49,3)&amp;"^FS","")</f>
        <v/>
      </c>
      <c r="E49" t="str">
        <f>IF(A49&lt;&gt;"","^FO20,55^A0N,30,30^CI13^FD"&amp;Data!$BF$5&amp;"^FS","")</f>
        <v/>
      </c>
      <c r="F49" t="str">
        <f>IF(A49&lt;&gt;"","^FO20,95^A0N,30,30^CI13^FD"&amp;Data!AX$5&amp;"^FS","")</f>
        <v/>
      </c>
      <c r="G49" t="str">
        <f>IF(A49&lt;&gt;"","^FO20,135^A0N,30,30^CI13^FD"&amp;Data!BE49&amp;"^FS","")</f>
        <v/>
      </c>
      <c r="H49" t="str">
        <f>IF(A49&lt;&gt;"","^FO20,175^A0N,30,30^CI13^FD"&amp;Data!AY49&amp;"^FS","")</f>
        <v/>
      </c>
      <c r="I49" t="str">
        <f>IF(A49&lt;&gt;"","^FO300,175^A0N,30,30^CI13^FD"&amp;"W:"&amp;Data!BA49&amp;" H:"&amp;Data!BB49,"")</f>
        <v/>
      </c>
      <c r="J49" t="str">
        <f>IF(A49&lt;&gt;"","^PQ"&amp;Data!$F$16&amp;",0,"&amp;Data!$F$16&amp;",Y","")</f>
        <v/>
      </c>
      <c r="K49" t="str">
        <f t="shared" si="1"/>
        <v/>
      </c>
    </row>
    <row r="50" spans="1:11" ht="13.5" customHeight="1">
      <c r="A50" t="str">
        <f>IF(OR(Data!$AV50="",Data!$AW50&gt;999),"","^XA^LH0,0^PRB,D^MD20^JMA^FS")</f>
        <v/>
      </c>
      <c r="B50" t="str">
        <f t="array" ref="B50">IF(A50&lt;&gt;"","^BY2,2.7,13^FO506,20^B2N,132,Y,N,N^SN"&amp;BarcodeValue(Data!BC$5,Data!BD$5,Data!AW50,0)&amp;",N,Y^FS","")</f>
        <v/>
      </c>
      <c r="C50" t="str">
        <f>IF(A50&lt;&gt;"","^FO20,20^A0N,28,37^CI13^FD"&amp;TEXT(Data!AY$5,"d/m/yyyy")&amp;"^FS","")</f>
        <v/>
      </c>
      <c r="D50" t="str">
        <f>IF(A50&lt;&gt;"","^FO220,20^A0N,41,48^CI13^FD"&amp;Data!$BC$5&amp;Data!$BD$5&amp;"/"&amp;RIGHT("000"&amp;Data!AW50,3)&amp;"^FS","")</f>
        <v/>
      </c>
      <c r="E50" t="str">
        <f>IF(A50&lt;&gt;"","^FO20,55^A0N,30,30^CI13^FD"&amp;Data!$BF$5&amp;"^FS","")</f>
        <v/>
      </c>
      <c r="F50" t="str">
        <f>IF(A50&lt;&gt;"","^FO20,95^A0N,30,30^CI13^FD"&amp;Data!AX$5&amp;"^FS","")</f>
        <v/>
      </c>
      <c r="G50" t="str">
        <f>IF(A50&lt;&gt;"","^FO20,135^A0N,30,30^CI13^FD"&amp;Data!BE50&amp;"^FS","")</f>
        <v/>
      </c>
      <c r="H50" t="str">
        <f>IF(A50&lt;&gt;"","^FO20,175^A0N,30,30^CI13^FD"&amp;Data!AY50&amp;"^FS","")</f>
        <v/>
      </c>
      <c r="I50" t="str">
        <f>IF(A50&lt;&gt;"","^FO300,175^A0N,30,30^CI13^FD"&amp;"W:"&amp;Data!BA50&amp;" H:"&amp;Data!BB50,"")</f>
        <v/>
      </c>
      <c r="J50" t="str">
        <f>IF(A50&lt;&gt;"","^PQ"&amp;Data!$F$16&amp;",0,"&amp;Data!$F$16&amp;",Y","")</f>
        <v/>
      </c>
      <c r="K50" t="str">
        <f t="shared" si="1"/>
        <v/>
      </c>
    </row>
    <row r="51" spans="1:11" ht="13.5" customHeight="1">
      <c r="A51" t="str">
        <f>IF(OR(Data!$AV51="",Data!$AW51&gt;999),"","^XA^LH0,0^PRB,D^MD20^JMA^FS")</f>
        <v/>
      </c>
      <c r="B51" t="str">
        <f t="array" ref="B51">IF(A51&lt;&gt;"","^BY2,2.7,13^FO506,20^B2N,132,Y,N,N^SN"&amp;BarcodeValue(Data!BC$5,Data!BD$5,Data!AW51,0)&amp;",N,Y^FS","")</f>
        <v/>
      </c>
      <c r="C51" t="str">
        <f>IF(A51&lt;&gt;"","^FO20,20^A0N,28,37^CI13^FD"&amp;TEXT(Data!AY$5,"d/m/yyyy")&amp;"^FS","")</f>
        <v/>
      </c>
      <c r="D51" t="str">
        <f>IF(A51&lt;&gt;"","^FO220,20^A0N,41,48^CI13^FD"&amp;Data!$BC$5&amp;Data!$BD$5&amp;"/"&amp;RIGHT("000"&amp;Data!AW51,3)&amp;"^FS","")</f>
        <v/>
      </c>
      <c r="E51" t="str">
        <f>IF(A51&lt;&gt;"","^FO20,55^A0N,30,30^CI13^FD"&amp;Data!$BF$5&amp;"^FS","")</f>
        <v/>
      </c>
      <c r="F51" t="str">
        <f>IF(A51&lt;&gt;"","^FO20,95^A0N,30,30^CI13^FD"&amp;Data!AX$5&amp;"^FS","")</f>
        <v/>
      </c>
      <c r="G51" t="str">
        <f>IF(A51&lt;&gt;"","^FO20,135^A0N,30,30^CI13^FD"&amp;Data!BE51&amp;"^FS","")</f>
        <v/>
      </c>
      <c r="H51" t="str">
        <f>IF(A51&lt;&gt;"","^FO20,175^A0N,30,30^CI13^FD"&amp;Data!AY51&amp;"^FS","")</f>
        <v/>
      </c>
      <c r="I51" t="str">
        <f>IF(A51&lt;&gt;"","^FO300,175^A0N,30,30^CI13^FD"&amp;"W:"&amp;Data!BA51&amp;" H:"&amp;Data!BB51,"")</f>
        <v/>
      </c>
      <c r="J51" t="str">
        <f>IF(A51&lt;&gt;"","^PQ"&amp;Data!$F$16&amp;",0,"&amp;Data!$F$16&amp;",Y","")</f>
        <v/>
      </c>
      <c r="K51" t="str">
        <f t="shared" si="1"/>
        <v/>
      </c>
    </row>
    <row r="52" spans="1:11" ht="13.5" customHeight="1">
      <c r="A52" t="str">
        <f>IF(OR(Data!$AV52="",Data!$AW52&gt;999),"","^XA^LH0,0^PRB,D^MD20^JMA^FS")</f>
        <v/>
      </c>
      <c r="B52" t="str">
        <f t="array" ref="B52">IF(A52&lt;&gt;"","^BY2,2.7,13^FO506,20^B2N,132,Y,N,N^SN"&amp;BarcodeValue(Data!BC$5,Data!BD$5,Data!AW52,0)&amp;",N,Y^FS","")</f>
        <v/>
      </c>
      <c r="C52" t="str">
        <f>IF(A52&lt;&gt;"","^FO20,20^A0N,28,37^CI13^FD"&amp;TEXT(Data!AY$5,"d/m/yyyy")&amp;"^FS","")</f>
        <v/>
      </c>
      <c r="D52" t="str">
        <f>IF(A52&lt;&gt;"","^FO220,20^A0N,41,48^CI13^FD"&amp;Data!$BC$5&amp;Data!$BD$5&amp;"/"&amp;RIGHT("000"&amp;Data!AW52,3)&amp;"^FS","")</f>
        <v/>
      </c>
      <c r="E52" t="str">
        <f>IF(A52&lt;&gt;"","^FO20,55^A0N,30,30^CI13^FD"&amp;Data!$BF$5&amp;"^FS","")</f>
        <v/>
      </c>
      <c r="F52" t="str">
        <f>IF(A52&lt;&gt;"","^FO20,95^A0N,30,30^CI13^FD"&amp;Data!AX$5&amp;"^FS","")</f>
        <v/>
      </c>
      <c r="G52" t="str">
        <f>IF(A52&lt;&gt;"","^FO20,135^A0N,30,30^CI13^FD"&amp;Data!BE52&amp;"^FS","")</f>
        <v/>
      </c>
      <c r="H52" t="str">
        <f>IF(A52&lt;&gt;"","^FO20,175^A0N,30,30^CI13^FD"&amp;Data!AY52&amp;"^FS","")</f>
        <v/>
      </c>
      <c r="I52" t="str">
        <f>IF(A52&lt;&gt;"","^FO300,175^A0N,30,30^CI13^FD"&amp;"W:"&amp;Data!BA52&amp;" H:"&amp;Data!BB52,"")</f>
        <v/>
      </c>
      <c r="J52" t="str">
        <f>IF(A52&lt;&gt;"","^PQ"&amp;Data!$F$16&amp;",0,"&amp;Data!$F$16&amp;",Y","")</f>
        <v/>
      </c>
      <c r="K52" t="str">
        <f t="shared" si="1"/>
        <v/>
      </c>
    </row>
    <row r="53" spans="1:11" ht="13.5" customHeight="1">
      <c r="A53" t="str">
        <f>IF(OR(Data!$AV53="",Data!$AW53&gt;999),"","^XA^LH0,0^PRB,D^MD20^JMA^FS")</f>
        <v/>
      </c>
      <c r="B53" t="str">
        <f t="array" ref="B53">IF(A53&lt;&gt;"","^BY2,2.7,13^FO506,20^B2N,132,Y,N,N^SN"&amp;BarcodeValue(Data!BC$5,Data!BD$5,Data!AW53,0)&amp;",N,Y^FS","")</f>
        <v/>
      </c>
      <c r="C53" t="str">
        <f>IF(A53&lt;&gt;"","^FO20,20^A0N,28,37^CI13^FD"&amp;TEXT(Data!AY$5,"d/m/yyyy")&amp;"^FS","")</f>
        <v/>
      </c>
      <c r="D53" t="str">
        <f>IF(A53&lt;&gt;"","^FO220,20^A0N,41,48^CI13^FD"&amp;Data!$BC$5&amp;Data!$BD$5&amp;"/"&amp;RIGHT("000"&amp;Data!AW53,3)&amp;"^FS","")</f>
        <v/>
      </c>
      <c r="E53" t="str">
        <f>IF(A53&lt;&gt;"","^FO20,55^A0N,30,30^CI13^FD"&amp;Data!$BF$5&amp;"^FS","")</f>
        <v/>
      </c>
      <c r="F53" t="str">
        <f>IF(A53&lt;&gt;"","^FO20,95^A0N,30,30^CI13^FD"&amp;Data!AX$5&amp;"^FS","")</f>
        <v/>
      </c>
      <c r="G53" t="str">
        <f>IF(A53&lt;&gt;"","^FO20,135^A0N,30,30^CI13^FD"&amp;Data!BE53&amp;"^FS","")</f>
        <v/>
      </c>
      <c r="H53" t="str">
        <f>IF(A53&lt;&gt;"","^FO20,175^A0N,30,30^CI13^FD"&amp;Data!AY53&amp;"^FS","")</f>
        <v/>
      </c>
      <c r="I53" t="str">
        <f>IF(A53&lt;&gt;"","^FO300,175^A0N,30,30^CI13^FD"&amp;"W:"&amp;Data!BA53&amp;" H:"&amp;Data!BB53,"")</f>
        <v/>
      </c>
      <c r="J53" t="str">
        <f>IF(A53&lt;&gt;"","^PQ"&amp;Data!$F$16&amp;",0,"&amp;Data!$F$16&amp;",Y","")</f>
        <v/>
      </c>
      <c r="K53" t="str">
        <f t="shared" si="1"/>
        <v/>
      </c>
    </row>
    <row r="54" spans="1:11" ht="13.5" customHeight="1">
      <c r="A54" t="str">
        <f>IF(OR(Data!$AV54="",Data!$AW54&gt;999),"","^XA^LH0,0^PRB,D^MD20^JMA^FS")</f>
        <v/>
      </c>
      <c r="B54" t="str">
        <f t="array" ref="B54">IF(A54&lt;&gt;"","^BY2,2.7,13^FO506,20^B2N,132,Y,N,N^SN"&amp;BarcodeValue(Data!BC$5,Data!BD$5,Data!AW54,0)&amp;",N,Y^FS","")</f>
        <v/>
      </c>
      <c r="C54" t="str">
        <f>IF(A54&lt;&gt;"","^FO20,20^A0N,28,37^CI13^FD"&amp;TEXT(Data!AY$5,"d/m/yyyy")&amp;"^FS","")</f>
        <v/>
      </c>
      <c r="D54" t="str">
        <f>IF(A54&lt;&gt;"","^FO220,20^A0N,41,48^CI13^FD"&amp;Data!$BC$5&amp;Data!$BD$5&amp;"/"&amp;RIGHT("000"&amp;Data!AW54,3)&amp;"^FS","")</f>
        <v/>
      </c>
      <c r="E54" t="str">
        <f>IF(A54&lt;&gt;"","^FO20,55^A0N,30,30^CI13^FD"&amp;Data!$BF$5&amp;"^FS","")</f>
        <v/>
      </c>
      <c r="F54" t="str">
        <f>IF(A54&lt;&gt;"","^FO20,95^A0N,30,30^CI13^FD"&amp;Data!AX$5&amp;"^FS","")</f>
        <v/>
      </c>
      <c r="G54" t="str">
        <f>IF(A54&lt;&gt;"","^FO20,135^A0N,30,30^CI13^FD"&amp;Data!BE54&amp;"^FS","")</f>
        <v/>
      </c>
      <c r="H54" t="str">
        <f>IF(A54&lt;&gt;"","^FO20,175^A0N,30,30^CI13^FD"&amp;Data!AY54&amp;"^FS","")</f>
        <v/>
      </c>
      <c r="I54" t="str">
        <f>IF(A54&lt;&gt;"","^FO300,175^A0N,30,30^CI13^FD"&amp;"W:"&amp;Data!BA54&amp;" H:"&amp;Data!BB54,"")</f>
        <v/>
      </c>
      <c r="J54" t="str">
        <f>IF(A54&lt;&gt;"","^PQ"&amp;Data!$F$16&amp;",0,"&amp;Data!$F$16&amp;",Y","")</f>
        <v/>
      </c>
      <c r="K54" t="str">
        <f t="shared" si="1"/>
        <v/>
      </c>
    </row>
    <row r="55" spans="1:11" ht="13.5" customHeight="1">
      <c r="A55" t="str">
        <f>IF(OR(Data!$AV55="",Data!$AW55&gt;999),"","^XA^LH0,0^PRB,D^MD20^JMA^FS")</f>
        <v/>
      </c>
      <c r="B55" t="str">
        <f t="array" ref="B55">IF(A55&lt;&gt;"","^BY2,2.7,13^FO506,20^B2N,132,Y,N,N^SN"&amp;BarcodeValue(Data!BC$5,Data!BD$5,Data!AW55,0)&amp;",N,Y^FS","")</f>
        <v/>
      </c>
      <c r="C55" t="str">
        <f>IF(A55&lt;&gt;"","^FO20,20^A0N,28,37^CI13^FD"&amp;TEXT(Data!AY$5,"d/m/yyyy")&amp;"^FS","")</f>
        <v/>
      </c>
      <c r="D55" t="str">
        <f>IF(A55&lt;&gt;"","^FO220,20^A0N,41,48^CI13^FD"&amp;Data!$BC$5&amp;Data!$BD$5&amp;"/"&amp;RIGHT("000"&amp;Data!AW55,3)&amp;"^FS","")</f>
        <v/>
      </c>
      <c r="E55" t="str">
        <f>IF(A55&lt;&gt;"","^FO20,55^A0N,30,30^CI13^FD"&amp;Data!$BF$5&amp;"^FS","")</f>
        <v/>
      </c>
      <c r="F55" t="str">
        <f>IF(A55&lt;&gt;"","^FO20,95^A0N,30,30^CI13^FD"&amp;Data!AX$5&amp;"^FS","")</f>
        <v/>
      </c>
      <c r="G55" t="str">
        <f>IF(A55&lt;&gt;"","^FO20,135^A0N,30,30^CI13^FD"&amp;Data!BE55&amp;"^FS","")</f>
        <v/>
      </c>
      <c r="H55" t="str">
        <f>IF(A55&lt;&gt;"","^FO20,175^A0N,30,30^CI13^FD"&amp;Data!AY55&amp;"^FS","")</f>
        <v/>
      </c>
      <c r="I55" t="str">
        <f>IF(A55&lt;&gt;"","^FO300,175^A0N,30,30^CI13^FD"&amp;"W:"&amp;Data!BA55&amp;" H:"&amp;Data!BB55,"")</f>
        <v/>
      </c>
      <c r="J55" t="str">
        <f>IF(A55&lt;&gt;"","^PQ"&amp;Data!$F$16&amp;",0,"&amp;Data!$F$16&amp;",Y","")</f>
        <v/>
      </c>
      <c r="K55" t="str">
        <f t="shared" si="1"/>
        <v/>
      </c>
    </row>
    <row r="56" spans="1:11" ht="13.5" customHeight="1">
      <c r="A56" t="str">
        <f>IF(OR(Data!$AV56="",Data!$AW56&gt;999),"","^XA^LH0,0^PRB,D^MD20^JMA^FS")</f>
        <v/>
      </c>
      <c r="B56" t="str">
        <f t="array" ref="B56">IF(A56&lt;&gt;"","^BY2,2.7,13^FO506,20^B2N,132,Y,N,N^SN"&amp;BarcodeValue(Data!BC$5,Data!BD$5,Data!AW56,0)&amp;",N,Y^FS","")</f>
        <v/>
      </c>
      <c r="C56" t="str">
        <f>IF(A56&lt;&gt;"","^FO20,20^A0N,28,37^CI13^FD"&amp;TEXT(Data!AY$5,"d/m/yyyy")&amp;"^FS","")</f>
        <v/>
      </c>
      <c r="D56" t="str">
        <f>IF(A56&lt;&gt;"","^FO220,20^A0N,41,48^CI13^FD"&amp;Data!$BC$5&amp;Data!$BD$5&amp;"/"&amp;RIGHT("000"&amp;Data!AW56,3)&amp;"^FS","")</f>
        <v/>
      </c>
      <c r="E56" t="str">
        <f>IF(A56&lt;&gt;"","^FO20,55^A0N,30,30^CI13^FD"&amp;Data!$BF$5&amp;"^FS","")</f>
        <v/>
      </c>
      <c r="F56" t="str">
        <f>IF(A56&lt;&gt;"","^FO20,95^A0N,30,30^CI13^FD"&amp;Data!AX$5&amp;"^FS","")</f>
        <v/>
      </c>
      <c r="G56" t="str">
        <f>IF(A56&lt;&gt;"","^FO20,135^A0N,30,30^CI13^FD"&amp;Data!BE56&amp;"^FS","")</f>
        <v/>
      </c>
      <c r="H56" t="str">
        <f>IF(A56&lt;&gt;"","^FO20,175^A0N,30,30^CI13^FD"&amp;Data!AY56&amp;"^FS","")</f>
        <v/>
      </c>
      <c r="I56" t="str">
        <f>IF(A56&lt;&gt;"","^FO300,175^A0N,30,30^CI13^FD"&amp;"W:"&amp;Data!BA56&amp;" H:"&amp;Data!BB56,"")</f>
        <v/>
      </c>
      <c r="J56" t="str">
        <f>IF(A56&lt;&gt;"","^PQ"&amp;Data!$F$16&amp;",0,"&amp;Data!$F$16&amp;",Y","")</f>
        <v/>
      </c>
      <c r="K56" t="str">
        <f t="shared" si="1"/>
        <v/>
      </c>
    </row>
    <row r="57" spans="1:11" ht="13.5" customHeight="1">
      <c r="A57" t="str">
        <f>IF(OR(Data!$AV57="",Data!$AW57&gt;999),"","^XA^LH0,0^PRB,D^MD20^JMA^FS")</f>
        <v/>
      </c>
      <c r="B57" t="str">
        <f t="array" ref="B57">IF(A57&lt;&gt;"","^BY2,2.7,13^FO506,20^B2N,132,Y,N,N^SN"&amp;BarcodeValue(Data!BC$5,Data!BD$5,Data!AW57,0)&amp;",N,Y^FS","")</f>
        <v/>
      </c>
      <c r="C57" t="str">
        <f>IF(A57&lt;&gt;"","^FO20,20^A0N,28,37^CI13^FD"&amp;TEXT(Data!AY$5,"d/m/yyyy")&amp;"^FS","")</f>
        <v/>
      </c>
      <c r="D57" t="str">
        <f>IF(A57&lt;&gt;"","^FO220,20^A0N,41,48^CI13^FD"&amp;Data!$BC$5&amp;Data!$BD$5&amp;"/"&amp;RIGHT("000"&amp;Data!AW57,3)&amp;"^FS","")</f>
        <v/>
      </c>
      <c r="E57" t="str">
        <f>IF(A57&lt;&gt;"","^FO20,55^A0N,30,30^CI13^FD"&amp;Data!$BF$5&amp;"^FS","")</f>
        <v/>
      </c>
      <c r="F57" t="str">
        <f>IF(A57&lt;&gt;"","^FO20,95^A0N,30,30^CI13^FD"&amp;Data!AX$5&amp;"^FS","")</f>
        <v/>
      </c>
      <c r="G57" t="str">
        <f>IF(A57&lt;&gt;"","^FO20,135^A0N,30,30^CI13^FD"&amp;Data!BE57&amp;"^FS","")</f>
        <v/>
      </c>
      <c r="H57" t="str">
        <f>IF(A57&lt;&gt;"","^FO20,175^A0N,30,30^CI13^FD"&amp;Data!AY57&amp;"^FS","")</f>
        <v/>
      </c>
      <c r="I57" t="str">
        <f>IF(A57&lt;&gt;"","^FO300,175^A0N,30,30^CI13^FD"&amp;"W:"&amp;Data!BA57&amp;" H:"&amp;Data!BB57,"")</f>
        <v/>
      </c>
      <c r="J57" t="str">
        <f>IF(A57&lt;&gt;"","^PQ"&amp;Data!$F$16&amp;",0,"&amp;Data!$F$16&amp;",Y","")</f>
        <v/>
      </c>
      <c r="K57" t="str">
        <f t="shared" si="1"/>
        <v/>
      </c>
    </row>
    <row r="58" spans="1:11" ht="13.5" customHeight="1">
      <c r="A58" t="str">
        <f>IF(OR(Data!$AV58="",Data!$AW58&gt;999),"","^XA^LH0,0^PRB,D^MD20^JMA^FS")</f>
        <v/>
      </c>
      <c r="B58" t="str">
        <f t="array" ref="B58">IF(A58&lt;&gt;"","^BY2,2.7,13^FO506,20^B2N,132,Y,N,N^SN"&amp;BarcodeValue(Data!BC$5,Data!BD$5,Data!AW58,0)&amp;",N,Y^FS","")</f>
        <v/>
      </c>
      <c r="C58" t="str">
        <f>IF(A58&lt;&gt;"","^FO20,20^A0N,28,37^CI13^FD"&amp;TEXT(Data!AY$5,"d/m/yyyy")&amp;"^FS","")</f>
        <v/>
      </c>
      <c r="D58" t="str">
        <f>IF(A58&lt;&gt;"","^FO220,20^A0N,41,48^CI13^FD"&amp;Data!$BC$5&amp;Data!$BD$5&amp;"/"&amp;RIGHT("000"&amp;Data!AW58,3)&amp;"^FS","")</f>
        <v/>
      </c>
      <c r="E58" t="str">
        <f>IF(A58&lt;&gt;"","^FO20,55^A0N,30,30^CI13^FD"&amp;Data!$BF$5&amp;"^FS","")</f>
        <v/>
      </c>
      <c r="F58" t="str">
        <f>IF(A58&lt;&gt;"","^FO20,95^A0N,30,30^CI13^FD"&amp;Data!AX$5&amp;"^FS","")</f>
        <v/>
      </c>
      <c r="G58" t="str">
        <f>IF(A58&lt;&gt;"","^FO20,135^A0N,30,30^CI13^FD"&amp;Data!BE58&amp;"^FS","")</f>
        <v/>
      </c>
      <c r="H58" t="str">
        <f>IF(A58&lt;&gt;"","^FO20,175^A0N,30,30^CI13^FD"&amp;Data!AY58&amp;"^FS","")</f>
        <v/>
      </c>
      <c r="I58" t="str">
        <f>IF(A58&lt;&gt;"","^FO300,175^A0N,30,30^CI13^FD"&amp;"W:"&amp;Data!BA58&amp;" H:"&amp;Data!BB58,"")</f>
        <v/>
      </c>
      <c r="J58" t="str">
        <f>IF(A58&lt;&gt;"","^PQ"&amp;Data!$F$16&amp;",0,"&amp;Data!$F$16&amp;",Y","")</f>
        <v/>
      </c>
      <c r="K58" t="str">
        <f t="shared" si="1"/>
        <v/>
      </c>
    </row>
    <row r="59" spans="1:11" ht="13.5" customHeight="1">
      <c r="A59" t="str">
        <f>IF(OR(Data!$AV59="",Data!$AW59&gt;999),"","^XA^LH0,0^PRB,D^MD20^JMA^FS")</f>
        <v/>
      </c>
      <c r="B59" t="str">
        <f t="array" ref="B59">IF(A59&lt;&gt;"","^BY2,2.7,13^FO506,20^B2N,132,Y,N,N^SN"&amp;BarcodeValue(Data!BC$5,Data!BD$5,Data!AW59,0)&amp;",N,Y^FS","")</f>
        <v/>
      </c>
      <c r="C59" t="str">
        <f>IF(A59&lt;&gt;"","^FO20,20^A0N,28,37^CI13^FD"&amp;TEXT(Data!AY$5,"d/m/yyyy")&amp;"^FS","")</f>
        <v/>
      </c>
      <c r="D59" t="str">
        <f>IF(A59&lt;&gt;"","^FO220,20^A0N,41,48^CI13^FD"&amp;Data!$BC$5&amp;Data!$BD$5&amp;"/"&amp;RIGHT("000"&amp;Data!AW59,3)&amp;"^FS","")</f>
        <v/>
      </c>
      <c r="E59" t="str">
        <f>IF(A59&lt;&gt;"","^FO20,55^A0N,30,30^CI13^FD"&amp;Data!$BF$5&amp;"^FS","")</f>
        <v/>
      </c>
      <c r="F59" t="str">
        <f>IF(A59&lt;&gt;"","^FO20,95^A0N,30,30^CI13^FD"&amp;Data!AX$5&amp;"^FS","")</f>
        <v/>
      </c>
      <c r="G59" t="str">
        <f>IF(A59&lt;&gt;"","^FO20,135^A0N,30,30^CI13^FD"&amp;Data!BE59&amp;"^FS","")</f>
        <v/>
      </c>
      <c r="H59" t="str">
        <f>IF(A59&lt;&gt;"","^FO20,175^A0N,30,30^CI13^FD"&amp;Data!AY59&amp;"^FS","")</f>
        <v/>
      </c>
      <c r="I59" t="str">
        <f>IF(A59&lt;&gt;"","^FO300,175^A0N,30,30^CI13^FD"&amp;"W:"&amp;Data!BA59&amp;" H:"&amp;Data!BB59,"")</f>
        <v/>
      </c>
      <c r="J59" t="str">
        <f>IF(A59&lt;&gt;"","^PQ"&amp;Data!$F$16&amp;",0,"&amp;Data!$F$16&amp;",Y","")</f>
        <v/>
      </c>
      <c r="K59" t="str">
        <f t="shared" si="1"/>
        <v/>
      </c>
    </row>
    <row r="60" spans="1:11" ht="13.5" customHeight="1">
      <c r="A60" t="str">
        <f>IF(OR(Data!$AV60="",Data!$AW60&gt;999),"","^XA^LH0,0^PRB,D^MD20^JMA^FS")</f>
        <v/>
      </c>
      <c r="B60" t="str">
        <f t="array" ref="B60">IF(A60&lt;&gt;"","^BY2,2.7,13^FO506,20^B2N,132,Y,N,N^SN"&amp;BarcodeValue(Data!BC$5,Data!BD$5,Data!AW60,0)&amp;",N,Y^FS","")</f>
        <v/>
      </c>
      <c r="C60" t="str">
        <f>IF(A60&lt;&gt;"","^FO20,20^A0N,28,37^CI13^FD"&amp;TEXT(Data!AY$5,"d/m/yyyy")&amp;"^FS","")</f>
        <v/>
      </c>
      <c r="D60" t="str">
        <f>IF(A60&lt;&gt;"","^FO220,20^A0N,41,48^CI13^FD"&amp;Data!$BC$5&amp;Data!$BD$5&amp;"/"&amp;RIGHT("000"&amp;Data!AW60,3)&amp;"^FS","")</f>
        <v/>
      </c>
      <c r="E60" t="str">
        <f>IF(A60&lt;&gt;"","^FO20,55^A0N,30,30^CI13^FD"&amp;Data!$BF$5&amp;"^FS","")</f>
        <v/>
      </c>
      <c r="F60" t="str">
        <f>IF(A60&lt;&gt;"","^FO20,95^A0N,30,30^CI13^FD"&amp;Data!AX$5&amp;"^FS","")</f>
        <v/>
      </c>
      <c r="G60" t="str">
        <f>IF(A60&lt;&gt;"","^FO20,135^A0N,30,30^CI13^FD"&amp;Data!BE60&amp;"^FS","")</f>
        <v/>
      </c>
      <c r="H60" t="str">
        <f>IF(A60&lt;&gt;"","^FO20,175^A0N,30,30^CI13^FD"&amp;Data!AY60&amp;"^FS","")</f>
        <v/>
      </c>
      <c r="I60" t="str">
        <f>IF(A60&lt;&gt;"","^FO300,175^A0N,30,30^CI13^FD"&amp;"W:"&amp;Data!BA60&amp;" H:"&amp;Data!BB60,"")</f>
        <v/>
      </c>
      <c r="J60" t="str">
        <f>IF(A60&lt;&gt;"","^PQ"&amp;Data!$F$16&amp;",0,"&amp;Data!$F$16&amp;",Y","")</f>
        <v/>
      </c>
      <c r="K60" t="str">
        <f t="shared" si="1"/>
        <v/>
      </c>
    </row>
    <row r="61" spans="1:11" ht="13.5" customHeight="1">
      <c r="A61" t="str">
        <f>IF(OR(Data!$AV61="",Data!$AW61&gt;999),"","^XA^LH0,0^PRB,D^MD20^JMA^FS")</f>
        <v/>
      </c>
      <c r="B61" t="str">
        <f t="array" ref="B61">IF(A61&lt;&gt;"","^BY2,2.7,13^FO506,20^B2N,132,Y,N,N^SN"&amp;BarcodeValue(Data!BC$5,Data!BD$5,Data!AW61,0)&amp;",N,Y^FS","")</f>
        <v/>
      </c>
      <c r="C61" t="str">
        <f>IF(A61&lt;&gt;"","^FO20,20^A0N,28,37^CI13^FD"&amp;TEXT(Data!AY$5,"d/m/yyyy")&amp;"^FS","")</f>
        <v/>
      </c>
      <c r="D61" t="str">
        <f>IF(A61&lt;&gt;"","^FO220,20^A0N,41,48^CI13^FD"&amp;Data!$BC$5&amp;Data!$BD$5&amp;"/"&amp;RIGHT("000"&amp;Data!AW61,3)&amp;"^FS","")</f>
        <v/>
      </c>
      <c r="E61" t="str">
        <f>IF(A61&lt;&gt;"","^FO20,55^A0N,30,30^CI13^FD"&amp;Data!$BF$5&amp;"^FS","")</f>
        <v/>
      </c>
      <c r="F61" t="str">
        <f>IF(A61&lt;&gt;"","^FO20,95^A0N,30,30^CI13^FD"&amp;Data!AX$5&amp;"^FS","")</f>
        <v/>
      </c>
      <c r="G61" t="str">
        <f>IF(A61&lt;&gt;"","^FO20,135^A0N,30,30^CI13^FD"&amp;Data!BE61&amp;"^FS","")</f>
        <v/>
      </c>
      <c r="H61" t="str">
        <f>IF(A61&lt;&gt;"","^FO20,175^A0N,30,30^CI13^FD"&amp;Data!AY61&amp;"^FS","")</f>
        <v/>
      </c>
      <c r="I61" t="str">
        <f>IF(A61&lt;&gt;"","^FO300,175^A0N,30,30^CI13^FD"&amp;"W:"&amp;Data!BA61&amp;" H:"&amp;Data!BB61,"")</f>
        <v/>
      </c>
      <c r="J61" t="str">
        <f>IF(A61&lt;&gt;"","^PQ"&amp;Data!$F$16&amp;",0,"&amp;Data!$F$16&amp;",Y","")</f>
        <v/>
      </c>
      <c r="K61" t="str">
        <f t="shared" si="1"/>
        <v/>
      </c>
    </row>
    <row r="62" spans="1:11" ht="13.5" customHeight="1">
      <c r="A62" t="str">
        <f>IF(OR(Data!$AV62="",Data!$AW62&gt;999),"","^XA^LH0,0^PRB,D^MD20^JMA^FS")</f>
        <v/>
      </c>
      <c r="B62" t="str">
        <f t="array" ref="B62">IF(A62&lt;&gt;"","^BY2,2.7,13^FO506,20^B2N,132,Y,N,N^SN"&amp;BarcodeValue(Data!BC$5,Data!BD$5,Data!AW62,0)&amp;",N,Y^FS","")</f>
        <v/>
      </c>
      <c r="C62" t="str">
        <f>IF(A62&lt;&gt;"","^FO20,20^A0N,28,37^CI13^FD"&amp;TEXT(Data!AY$5,"d/m/yyyy")&amp;"^FS","")</f>
        <v/>
      </c>
      <c r="D62" t="str">
        <f>IF(A62&lt;&gt;"","^FO220,20^A0N,41,48^CI13^FD"&amp;Data!$BC$5&amp;Data!$BD$5&amp;"/"&amp;RIGHT("000"&amp;Data!AW62,3)&amp;"^FS","")</f>
        <v/>
      </c>
      <c r="E62" t="str">
        <f>IF(A62&lt;&gt;"","^FO20,55^A0N,30,30^CI13^FD"&amp;Data!$BF$5&amp;"^FS","")</f>
        <v/>
      </c>
      <c r="F62" t="str">
        <f>IF(A62&lt;&gt;"","^FO20,95^A0N,30,30^CI13^FD"&amp;Data!AX$5&amp;"^FS","")</f>
        <v/>
      </c>
      <c r="G62" t="str">
        <f>IF(A62&lt;&gt;"","^FO20,135^A0N,30,30^CI13^FD"&amp;Data!BE62&amp;"^FS","")</f>
        <v/>
      </c>
      <c r="H62" t="str">
        <f>IF(A62&lt;&gt;"","^FO20,175^A0N,30,30^CI13^FD"&amp;Data!AY62&amp;"^FS","")</f>
        <v/>
      </c>
      <c r="I62" t="str">
        <f>IF(A62&lt;&gt;"","^FO300,175^A0N,30,30^CI13^FD"&amp;"W:"&amp;Data!BA62&amp;" H:"&amp;Data!BB62,"")</f>
        <v/>
      </c>
      <c r="J62" t="str">
        <f>IF(A62&lt;&gt;"","^PQ"&amp;Data!$F$16&amp;",0,"&amp;Data!$F$16&amp;",Y","")</f>
        <v/>
      </c>
      <c r="K62" t="str">
        <f t="shared" si="1"/>
        <v/>
      </c>
    </row>
    <row r="63" spans="1:11" ht="13.5" customHeight="1">
      <c r="A63" t="str">
        <f>IF(OR(Data!$AV63="",Data!$AW63&gt;999),"","^XA^LH0,0^PRB,D^MD20^JMA^FS")</f>
        <v/>
      </c>
      <c r="B63" t="str">
        <f t="array" ref="B63">IF(A63&lt;&gt;"","^BY2,2.7,13^FO506,20^B2N,132,Y,N,N^SN"&amp;BarcodeValue(Data!BC$5,Data!BD$5,Data!AW63,0)&amp;",N,Y^FS","")</f>
        <v/>
      </c>
      <c r="C63" t="str">
        <f>IF(A63&lt;&gt;"","^FO20,20^A0N,28,37^CI13^FD"&amp;TEXT(Data!AY$5,"d/m/yyyy")&amp;"^FS","")</f>
        <v/>
      </c>
      <c r="D63" t="str">
        <f>IF(A63&lt;&gt;"","^FO220,20^A0N,41,48^CI13^FD"&amp;Data!$BC$5&amp;Data!$BD$5&amp;"/"&amp;RIGHT("000"&amp;Data!AW63,3)&amp;"^FS","")</f>
        <v/>
      </c>
      <c r="E63" t="str">
        <f>IF(A63&lt;&gt;"","^FO20,55^A0N,30,30^CI13^FD"&amp;Data!$BF$5&amp;"^FS","")</f>
        <v/>
      </c>
      <c r="F63" t="str">
        <f>IF(A63&lt;&gt;"","^FO20,95^A0N,30,30^CI13^FD"&amp;Data!AX$5&amp;"^FS","")</f>
        <v/>
      </c>
      <c r="G63" t="str">
        <f>IF(A63&lt;&gt;"","^FO20,135^A0N,30,30^CI13^FD"&amp;Data!BE63&amp;"^FS","")</f>
        <v/>
      </c>
      <c r="H63" t="str">
        <f>IF(A63&lt;&gt;"","^FO20,175^A0N,30,30^CI13^FD"&amp;Data!AY63&amp;"^FS","")</f>
        <v/>
      </c>
      <c r="I63" t="str">
        <f>IF(A63&lt;&gt;"","^FO300,175^A0N,30,30^CI13^FD"&amp;"W:"&amp;Data!BA63&amp;" H:"&amp;Data!BB63,"")</f>
        <v/>
      </c>
      <c r="J63" t="str">
        <f>IF(A63&lt;&gt;"","^PQ"&amp;Data!$F$16&amp;",0,"&amp;Data!$F$16&amp;",Y","")</f>
        <v/>
      </c>
      <c r="K63" t="str">
        <f t="shared" si="1"/>
        <v/>
      </c>
    </row>
    <row r="64" spans="1:11" ht="13.5" customHeight="1">
      <c r="A64" t="str">
        <f>IF(OR(Data!$AV64="",Data!$AW64&gt;999),"","^XA^LH0,0^PRB,D^MD20^JMA^FS")</f>
        <v/>
      </c>
      <c r="B64" t="str">
        <f t="array" ref="B64">IF(A64&lt;&gt;"","^BY2,2.7,13^FO506,20^B2N,132,Y,N,N^SN"&amp;BarcodeValue(Data!BC$5,Data!BD$5,Data!AW64,0)&amp;",N,Y^FS","")</f>
        <v/>
      </c>
      <c r="C64" t="str">
        <f>IF(A64&lt;&gt;"","^FO20,20^A0N,28,37^CI13^FD"&amp;TEXT(Data!AY$5,"d/m/yyyy")&amp;"^FS","")</f>
        <v/>
      </c>
      <c r="D64" t="str">
        <f>IF(A64&lt;&gt;"","^FO220,20^A0N,41,48^CI13^FD"&amp;Data!$BC$5&amp;Data!$BD$5&amp;"/"&amp;RIGHT("000"&amp;Data!AW64,3)&amp;"^FS","")</f>
        <v/>
      </c>
      <c r="E64" t="str">
        <f>IF(A64&lt;&gt;"","^FO20,55^A0N,30,30^CI13^FD"&amp;Data!$BF$5&amp;"^FS","")</f>
        <v/>
      </c>
      <c r="F64" t="str">
        <f>IF(A64&lt;&gt;"","^FO20,95^A0N,30,30^CI13^FD"&amp;Data!AX$5&amp;"^FS","")</f>
        <v/>
      </c>
      <c r="G64" t="str">
        <f>IF(A64&lt;&gt;"","^FO20,135^A0N,30,30^CI13^FD"&amp;Data!BE64&amp;"^FS","")</f>
        <v/>
      </c>
      <c r="H64" t="str">
        <f>IF(A64&lt;&gt;"","^FO20,175^A0N,30,30^CI13^FD"&amp;Data!AY64&amp;"^FS","")</f>
        <v/>
      </c>
      <c r="I64" t="str">
        <f>IF(A64&lt;&gt;"","^FO300,175^A0N,30,30^CI13^FD"&amp;"W:"&amp;Data!BA64&amp;" H:"&amp;Data!BB64,"")</f>
        <v/>
      </c>
      <c r="J64" t="str">
        <f>IF(A64&lt;&gt;"","^PQ"&amp;Data!$F$16&amp;",0,"&amp;Data!$F$16&amp;",Y","")</f>
        <v/>
      </c>
      <c r="K64" t="str">
        <f t="shared" si="1"/>
        <v/>
      </c>
    </row>
    <row r="65" spans="1:11" ht="13.5" customHeight="1">
      <c r="A65" t="str">
        <f>IF(OR(Data!$AV65="",Data!$AW65&gt;999),"","^XA^LH0,0^PRB,D^MD20^JMA^FS")</f>
        <v/>
      </c>
      <c r="B65" t="str">
        <f t="array" ref="B65">IF(A65&lt;&gt;"","^BY2,2.7,13^FO506,20^B2N,132,Y,N,N^SN"&amp;BarcodeValue(Data!BC$5,Data!BD$5,Data!AW65,0)&amp;",N,Y^FS","")</f>
        <v/>
      </c>
      <c r="C65" t="str">
        <f>IF(A65&lt;&gt;"","^FO20,20^A0N,28,37^CI13^FD"&amp;TEXT(Data!AY$5,"d/m/yyyy")&amp;"^FS","")</f>
        <v/>
      </c>
      <c r="D65" t="str">
        <f>IF(A65&lt;&gt;"","^FO220,20^A0N,41,48^CI13^FD"&amp;Data!$BC$5&amp;Data!$BD$5&amp;"/"&amp;RIGHT("000"&amp;Data!AW65,3)&amp;"^FS","")</f>
        <v/>
      </c>
      <c r="E65" t="str">
        <f>IF(A65&lt;&gt;"","^FO20,55^A0N,30,30^CI13^FD"&amp;Data!$BF$5&amp;"^FS","")</f>
        <v/>
      </c>
      <c r="F65" t="str">
        <f>IF(A65&lt;&gt;"","^FO20,95^A0N,30,30^CI13^FD"&amp;Data!AX$5&amp;"^FS","")</f>
        <v/>
      </c>
      <c r="G65" t="str">
        <f>IF(A65&lt;&gt;"","^FO20,135^A0N,30,30^CI13^FD"&amp;Data!BE65&amp;"^FS","")</f>
        <v/>
      </c>
      <c r="H65" t="str">
        <f>IF(A65&lt;&gt;"","^FO20,175^A0N,30,30^CI13^FD"&amp;Data!AY65&amp;"^FS","")</f>
        <v/>
      </c>
      <c r="I65" t="str">
        <f>IF(A65&lt;&gt;"","^FO300,175^A0N,30,30^CI13^FD"&amp;"W:"&amp;Data!BA65&amp;" H:"&amp;Data!BB65,"")</f>
        <v/>
      </c>
      <c r="J65" t="str">
        <f>IF(A65&lt;&gt;"","^PQ"&amp;Data!$F$16&amp;",0,"&amp;Data!$F$16&amp;",Y","")</f>
        <v/>
      </c>
      <c r="K65" t="str">
        <f t="shared" si="1"/>
        <v/>
      </c>
    </row>
    <row r="66" spans="1:11" ht="13.5" customHeight="1">
      <c r="A66" t="str">
        <f>IF(OR(Data!$AV66="",Data!$AW66&gt;999),"","^XA^LH0,0^PRB,D^MD20^JMA^FS")</f>
        <v/>
      </c>
      <c r="B66" t="str">
        <f t="array" ref="B66">IF(A66&lt;&gt;"","^BY2,2.7,13^FO506,20^B2N,132,Y,N,N^SN"&amp;BarcodeValue(Data!BC$5,Data!BD$5,Data!AW66,0)&amp;",N,Y^FS","")</f>
        <v/>
      </c>
      <c r="C66" t="str">
        <f>IF(A66&lt;&gt;"","^FO20,20^A0N,28,37^CI13^FD"&amp;TEXT(Data!AY$5,"d/m/yyyy")&amp;"^FS","")</f>
        <v/>
      </c>
      <c r="D66" t="str">
        <f>IF(A66&lt;&gt;"","^FO220,20^A0N,41,48^CI13^FD"&amp;Data!$BC$5&amp;Data!$BD$5&amp;"/"&amp;RIGHT("000"&amp;Data!AW66,3)&amp;"^FS","")</f>
        <v/>
      </c>
      <c r="E66" t="str">
        <f>IF(A66&lt;&gt;"","^FO20,55^A0N,30,30^CI13^FD"&amp;Data!$BF$5&amp;"^FS","")</f>
        <v/>
      </c>
      <c r="F66" t="str">
        <f>IF(A66&lt;&gt;"","^FO20,95^A0N,30,30^CI13^FD"&amp;Data!AX$5&amp;"^FS","")</f>
        <v/>
      </c>
      <c r="G66" t="str">
        <f>IF(A66&lt;&gt;"","^FO20,135^A0N,30,30^CI13^FD"&amp;Data!BE66&amp;"^FS","")</f>
        <v/>
      </c>
      <c r="H66" t="str">
        <f>IF(A66&lt;&gt;"","^FO20,175^A0N,30,30^CI13^FD"&amp;Data!AY66&amp;"^FS","")</f>
        <v/>
      </c>
      <c r="I66" t="str">
        <f>IF(A66&lt;&gt;"","^FO300,175^A0N,30,30^CI13^FD"&amp;"W:"&amp;Data!BA66&amp;" H:"&amp;Data!BB66,"")</f>
        <v/>
      </c>
      <c r="J66" t="str">
        <f>IF(A66&lt;&gt;"","^PQ"&amp;Data!$F$16&amp;",0,"&amp;Data!$F$16&amp;",Y","")</f>
        <v/>
      </c>
      <c r="K66" t="str">
        <f t="shared" si="1"/>
        <v/>
      </c>
    </row>
    <row r="67" spans="1:11" ht="13.5" customHeight="1">
      <c r="A67" t="str">
        <f>IF(OR(Data!$AV67="",Data!$AW67&gt;999),"","^XA^LH0,0^PRB,D^MD20^JMA^FS")</f>
        <v/>
      </c>
      <c r="B67" t="str">
        <f t="array" ref="B67">IF(A67&lt;&gt;"","^BY2,2.7,13^FO506,20^B2N,132,Y,N,N^SN"&amp;BarcodeValue(Data!BC$5,Data!BD$5,Data!AW67,0)&amp;",N,Y^FS","")</f>
        <v/>
      </c>
      <c r="C67" t="str">
        <f>IF(A67&lt;&gt;"","^FO20,20^A0N,28,37^CI13^FD"&amp;TEXT(Data!AY$5,"d/m/yyyy")&amp;"^FS","")</f>
        <v/>
      </c>
      <c r="D67" t="str">
        <f>IF(A67&lt;&gt;"","^FO220,20^A0N,41,48^CI13^FD"&amp;Data!$BC$5&amp;Data!$BD$5&amp;"/"&amp;RIGHT("000"&amp;Data!AW67,3)&amp;"^FS","")</f>
        <v/>
      </c>
      <c r="E67" t="str">
        <f>IF(A67&lt;&gt;"","^FO20,55^A0N,30,30^CI13^FD"&amp;Data!$BF$5&amp;"^FS","")</f>
        <v/>
      </c>
      <c r="F67" t="str">
        <f>IF(A67&lt;&gt;"","^FO20,95^A0N,30,30^CI13^FD"&amp;Data!AX$5&amp;"^FS","")</f>
        <v/>
      </c>
      <c r="G67" t="str">
        <f>IF(A67&lt;&gt;"","^FO20,135^A0N,30,30^CI13^FD"&amp;Data!BE67&amp;"^FS","")</f>
        <v/>
      </c>
      <c r="H67" t="str">
        <f>IF(A67&lt;&gt;"","^FO20,175^A0N,30,30^CI13^FD"&amp;Data!AY67&amp;"^FS","")</f>
        <v/>
      </c>
      <c r="I67" t="str">
        <f>IF(A67&lt;&gt;"","^FO300,175^A0N,30,30^CI13^FD"&amp;"W:"&amp;Data!BA67&amp;" H:"&amp;Data!BB67,"")</f>
        <v/>
      </c>
      <c r="J67" t="str">
        <f>IF(A67&lt;&gt;"","^PQ"&amp;Data!$F$16&amp;",0,"&amp;Data!$F$16&amp;",Y","")</f>
        <v/>
      </c>
      <c r="K67" t="str">
        <f t="shared" si="1"/>
        <v/>
      </c>
    </row>
    <row r="68" spans="1:11" ht="13.5" customHeight="1">
      <c r="A68" t="str">
        <f>IF(OR(Data!$AV68="",Data!$AW68&gt;999),"","^XA^LH0,0^PRB,D^MD20^JMA^FS")</f>
        <v/>
      </c>
      <c r="B68" t="str">
        <f t="array" ref="B68">IF(A68&lt;&gt;"","^BY2,2.7,13^FO506,20^B2N,132,Y,N,N^SN"&amp;BarcodeValue(Data!BC$5,Data!BD$5,Data!AW68,0)&amp;",N,Y^FS","")</f>
        <v/>
      </c>
      <c r="C68" t="str">
        <f>IF(A68&lt;&gt;"","^FO20,20^A0N,28,37^CI13^FD"&amp;TEXT(Data!AY$5,"d/m/yyyy")&amp;"^FS","")</f>
        <v/>
      </c>
      <c r="D68" t="str">
        <f>IF(A68&lt;&gt;"","^FO220,20^A0N,41,48^CI13^FD"&amp;Data!$BC$5&amp;Data!$BD$5&amp;"/"&amp;RIGHT("000"&amp;Data!AW68,3)&amp;"^FS","")</f>
        <v/>
      </c>
      <c r="E68" t="str">
        <f>IF(A68&lt;&gt;"","^FO20,55^A0N,30,30^CI13^FD"&amp;Data!$BF$5&amp;"^FS","")</f>
        <v/>
      </c>
      <c r="F68" t="str">
        <f>IF(A68&lt;&gt;"","^FO20,95^A0N,30,30^CI13^FD"&amp;Data!AX$5&amp;"^FS","")</f>
        <v/>
      </c>
      <c r="G68" t="str">
        <f>IF(A68&lt;&gt;"","^FO20,135^A0N,30,30^CI13^FD"&amp;Data!BE68&amp;"^FS","")</f>
        <v/>
      </c>
      <c r="H68" t="str">
        <f>IF(A68&lt;&gt;"","^FO20,175^A0N,30,30^CI13^FD"&amp;Data!AY68&amp;"^FS","")</f>
        <v/>
      </c>
      <c r="I68" t="str">
        <f>IF(A68&lt;&gt;"","^FO300,175^A0N,30,30^CI13^FD"&amp;"W:"&amp;Data!BA68&amp;" H:"&amp;Data!BB68,"")</f>
        <v/>
      </c>
      <c r="J68" t="str">
        <f>IF(A68&lt;&gt;"","^PQ"&amp;Data!$F$16&amp;",0,"&amp;Data!$F$16&amp;",Y","")</f>
        <v/>
      </c>
      <c r="K68" t="str">
        <f t="shared" si="1"/>
        <v/>
      </c>
    </row>
    <row r="69" spans="1:11" ht="13.5" customHeight="1">
      <c r="A69" t="str">
        <f>IF(OR(Data!$AV69="",Data!$AW69&gt;999),"","^XA^LH0,0^PRB,D^MD20^JMA^FS")</f>
        <v/>
      </c>
      <c r="B69" t="str">
        <f t="array" ref="B69">IF(A69&lt;&gt;"","^BY2,2.7,13^FO506,20^B2N,132,Y,N,N^SN"&amp;BarcodeValue(Data!BC$5,Data!BD$5,Data!AW69,0)&amp;",N,Y^FS","")</f>
        <v/>
      </c>
      <c r="C69" t="str">
        <f>IF(A69&lt;&gt;"","^FO20,20^A0N,28,37^CI13^FD"&amp;TEXT(Data!AY$5,"d/m/yyyy")&amp;"^FS","")</f>
        <v/>
      </c>
      <c r="D69" t="str">
        <f>IF(A69&lt;&gt;"","^FO220,20^A0N,41,48^CI13^FD"&amp;Data!$BC$5&amp;Data!$BD$5&amp;"/"&amp;RIGHT("000"&amp;Data!AW69,3)&amp;"^FS","")</f>
        <v/>
      </c>
      <c r="E69" t="str">
        <f>IF(A69&lt;&gt;"","^FO20,55^A0N,30,30^CI13^FD"&amp;Data!$BF$5&amp;"^FS","")</f>
        <v/>
      </c>
      <c r="F69" t="str">
        <f>IF(A69&lt;&gt;"","^FO20,95^A0N,30,30^CI13^FD"&amp;Data!AX$5&amp;"^FS","")</f>
        <v/>
      </c>
      <c r="G69" t="str">
        <f>IF(A69&lt;&gt;"","^FO20,135^A0N,30,30^CI13^FD"&amp;Data!BE69&amp;"^FS","")</f>
        <v/>
      </c>
      <c r="H69" t="str">
        <f>IF(A69&lt;&gt;"","^FO20,175^A0N,30,30^CI13^FD"&amp;Data!AY69&amp;"^FS","")</f>
        <v/>
      </c>
      <c r="I69" t="str">
        <f>IF(A69&lt;&gt;"","^FO300,175^A0N,30,30^CI13^FD"&amp;"W:"&amp;Data!BA69&amp;" H:"&amp;Data!BB69,"")</f>
        <v/>
      </c>
      <c r="J69" t="str">
        <f>IF(A69&lt;&gt;"","^PQ"&amp;Data!$F$16&amp;",0,"&amp;Data!$F$16&amp;",Y","")</f>
        <v/>
      </c>
      <c r="K69" t="str">
        <f t="shared" si="1"/>
        <v/>
      </c>
    </row>
    <row r="70" spans="1:11" ht="13.5" customHeight="1">
      <c r="A70" t="str">
        <f>IF(OR(Data!$AV70="",Data!$AW70&gt;999),"","^XA^LH0,0^PRB,D^MD20^JMA^FS")</f>
        <v/>
      </c>
      <c r="B70" t="str">
        <f t="array" ref="B70">IF(A70&lt;&gt;"","^BY2,2.7,13^FO506,20^B2N,132,Y,N,N^SN"&amp;BarcodeValue(Data!BC$5,Data!BD$5,Data!AW70,0)&amp;",N,Y^FS","")</f>
        <v/>
      </c>
      <c r="C70" t="str">
        <f>IF(A70&lt;&gt;"","^FO20,20^A0N,28,37^CI13^FD"&amp;TEXT(Data!AY$5,"d/m/yyyy")&amp;"^FS","")</f>
        <v/>
      </c>
      <c r="D70" t="str">
        <f>IF(A70&lt;&gt;"","^FO220,20^A0N,41,48^CI13^FD"&amp;Data!$BC$5&amp;Data!$BD$5&amp;"/"&amp;RIGHT("000"&amp;Data!AW70,3)&amp;"^FS","")</f>
        <v/>
      </c>
      <c r="E70" t="str">
        <f>IF(A70&lt;&gt;"","^FO20,55^A0N,30,30^CI13^FD"&amp;Data!$BF$5&amp;"^FS","")</f>
        <v/>
      </c>
      <c r="F70" t="str">
        <f>IF(A70&lt;&gt;"","^FO20,95^A0N,30,30^CI13^FD"&amp;Data!AX$5&amp;"^FS","")</f>
        <v/>
      </c>
      <c r="G70" t="str">
        <f>IF(A70&lt;&gt;"","^FO20,135^A0N,30,30^CI13^FD"&amp;Data!BE70&amp;"^FS","")</f>
        <v/>
      </c>
      <c r="H70" t="str">
        <f>IF(A70&lt;&gt;"","^FO20,175^A0N,30,30^CI13^FD"&amp;Data!AY70&amp;"^FS","")</f>
        <v/>
      </c>
      <c r="I70" t="str">
        <f>IF(A70&lt;&gt;"","^FO300,175^A0N,30,30^CI13^FD"&amp;"W:"&amp;Data!BA70&amp;" H:"&amp;Data!BB70,"")</f>
        <v/>
      </c>
      <c r="J70" t="str">
        <f>IF(A70&lt;&gt;"","^PQ"&amp;Data!$F$16&amp;",0,"&amp;Data!$F$16&amp;",Y","")</f>
        <v/>
      </c>
      <c r="K70" t="str">
        <f t="shared" si="1"/>
        <v/>
      </c>
    </row>
    <row r="71" spans="1:11" ht="13.5" customHeight="1">
      <c r="A71" t="str">
        <f>IF(OR(Data!$AV71="",Data!$AW71&gt;999),"","^XA^LH0,0^PRB,D^MD20^JMA^FS")</f>
        <v/>
      </c>
      <c r="B71" t="str">
        <f t="array" ref="B71">IF(A71&lt;&gt;"","^BY2,2.7,13^FO506,20^B2N,132,Y,N,N^SN"&amp;BarcodeValue(Data!BC$5,Data!BD$5,Data!AW71,0)&amp;",N,Y^FS","")</f>
        <v/>
      </c>
      <c r="C71" t="str">
        <f>IF(A71&lt;&gt;"","^FO20,20^A0N,28,37^CI13^FD"&amp;TEXT(Data!AY$5,"d/m/yyyy")&amp;"^FS","")</f>
        <v/>
      </c>
      <c r="D71" t="str">
        <f>IF(A71&lt;&gt;"","^FO220,20^A0N,41,48^CI13^FD"&amp;Data!$BC$5&amp;Data!$BD$5&amp;"/"&amp;RIGHT("000"&amp;Data!AW71,3)&amp;"^FS","")</f>
        <v/>
      </c>
      <c r="E71" t="str">
        <f>IF(A71&lt;&gt;"","^FO20,55^A0N,30,30^CI13^FD"&amp;Data!$BF$5&amp;"^FS","")</f>
        <v/>
      </c>
      <c r="F71" t="str">
        <f>IF(A71&lt;&gt;"","^FO20,95^A0N,30,30^CI13^FD"&amp;Data!AX$5&amp;"^FS","")</f>
        <v/>
      </c>
      <c r="G71" t="str">
        <f>IF(A71&lt;&gt;"","^FO20,135^A0N,30,30^CI13^FD"&amp;Data!BE71&amp;"^FS","")</f>
        <v/>
      </c>
      <c r="H71" t="str">
        <f>IF(A71&lt;&gt;"","^FO20,175^A0N,30,30^CI13^FD"&amp;Data!AY71&amp;"^FS","")</f>
        <v/>
      </c>
      <c r="I71" t="str">
        <f>IF(A71&lt;&gt;"","^FO300,175^A0N,30,30^CI13^FD"&amp;"W:"&amp;Data!BA71&amp;" H:"&amp;Data!BB71,"")</f>
        <v/>
      </c>
      <c r="J71" t="str">
        <f>IF(A71&lt;&gt;"","^PQ"&amp;Data!$F$16&amp;",0,"&amp;Data!$F$16&amp;",Y","")</f>
        <v/>
      </c>
      <c r="K71" t="str">
        <f t="shared" si="1"/>
        <v/>
      </c>
    </row>
    <row r="72" spans="1:11" ht="13.5" customHeight="1">
      <c r="A72" t="str">
        <f>IF(OR(Data!$AV72="",Data!$AW72&gt;999),"","^XA^LH0,0^PRB,D^MD20^JMA^FS")</f>
        <v/>
      </c>
      <c r="B72" t="str">
        <f t="array" ref="B72">IF(A72&lt;&gt;"","^BY2,2.7,13^FO506,20^B2N,132,Y,N,N^SN"&amp;BarcodeValue(Data!BC$5,Data!BD$5,Data!AW72,0)&amp;",N,Y^FS","")</f>
        <v/>
      </c>
      <c r="C72" t="str">
        <f>IF(A72&lt;&gt;"","^FO20,20^A0N,28,37^CI13^FD"&amp;TEXT(Data!AY$5,"d/m/yyyy")&amp;"^FS","")</f>
        <v/>
      </c>
      <c r="D72" t="str">
        <f>IF(A72&lt;&gt;"","^FO220,20^A0N,41,48^CI13^FD"&amp;Data!$BC$5&amp;Data!$BD$5&amp;"/"&amp;RIGHT("000"&amp;Data!AW72,3)&amp;"^FS","")</f>
        <v/>
      </c>
      <c r="E72" t="str">
        <f>IF(A72&lt;&gt;"","^FO20,55^A0N,30,30^CI13^FD"&amp;Data!$BF$5&amp;"^FS","")</f>
        <v/>
      </c>
      <c r="F72" t="str">
        <f>IF(A72&lt;&gt;"","^FO20,95^A0N,30,30^CI13^FD"&amp;Data!AX$5&amp;"^FS","")</f>
        <v/>
      </c>
      <c r="G72" t="str">
        <f>IF(A72&lt;&gt;"","^FO20,135^A0N,30,30^CI13^FD"&amp;Data!BE72&amp;"^FS","")</f>
        <v/>
      </c>
      <c r="H72" t="str">
        <f>IF(A72&lt;&gt;"","^FO20,175^A0N,30,30^CI13^FD"&amp;Data!AY72&amp;"^FS","")</f>
        <v/>
      </c>
      <c r="I72" t="str">
        <f>IF(A72&lt;&gt;"","^FO300,175^A0N,30,30^CI13^FD"&amp;"W:"&amp;Data!BA72&amp;" H:"&amp;Data!BB72,"")</f>
        <v/>
      </c>
      <c r="J72" t="str">
        <f>IF(A72&lt;&gt;"","^PQ"&amp;Data!$F$16&amp;",0,"&amp;Data!$F$16&amp;",Y","")</f>
        <v/>
      </c>
      <c r="K72" t="str">
        <f t="shared" si="1"/>
        <v/>
      </c>
    </row>
  </sheetData>
  <pageMargins left="1.34173228346495" right="1.34173228346495" top="0.75" bottom="0.75" header="0.3" footer="0.3"/>
  <pageSetup orientation="portrait" paperSize="9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Deductions"/>
  <dimension ref="A1:Q47"/>
  <sheetViews>
    <sheetView workbookViewId="0" topLeftCell="F1">
      <selection pane="topLeft" activeCell="L22" sqref="L22"/>
    </sheetView>
  </sheetViews>
  <sheetFormatPr defaultColWidth="8.88671875" defaultRowHeight="15"/>
  <cols>
    <col min="1" max="1" width="23.8571428571429" style="42" bestFit="1" customWidth="1"/>
    <col min="2" max="2" width="10.1428571428571" style="42" customWidth="1"/>
    <col min="3" max="3" width="9.71428571428571" style="42" bestFit="1" customWidth="1"/>
    <col min="4" max="4" width="16.1428571428571" style="42" bestFit="1" customWidth="1"/>
    <col min="5" max="5" width="15" style="42" bestFit="1" customWidth="1"/>
    <col min="6" max="6" width="9.71428571428571" style="42" bestFit="1" customWidth="1"/>
    <col min="7" max="7" width="36.7142857142857" style="42" bestFit="1" customWidth="1"/>
    <col min="8" max="8" width="36.7142857142857" style="42" customWidth="1"/>
    <col min="9" max="9" width="16.1428571428571" style="42" bestFit="1" customWidth="1"/>
    <col min="10" max="10" width="15" style="42" bestFit="1" customWidth="1"/>
    <col min="11" max="11" width="8.85714285714286" style="42"/>
    <col min="12" max="13" width="31.2857142857143" style="42" bestFit="1" customWidth="1"/>
    <col min="14" max="14" width="31.2857142857143" style="42" customWidth="1"/>
    <col min="15" max="15" width="10.5714285714286" style="42" bestFit="1" customWidth="1"/>
    <col min="16" max="16" width="11.7142857142857" style="42" customWidth="1"/>
    <col min="17" max="17" width="11" style="42" bestFit="1" customWidth="1"/>
    <col min="18" max="16384" width="8.85714285714286" style="42"/>
  </cols>
  <sheetData>
    <row r="1" spans="1:17" ht="14.4" customHeight="1">
      <c r="A1" s="41" t="s">
        <v>136</v>
      </c>
      <c r="B1" s="41" t="s">
        <v>146</v>
      </c>
      <c r="C1" s="41" t="s">
        <v>11</v>
      </c>
      <c r="D1" s="41" t="s">
        <v>169</v>
      </c>
      <c r="E1" s="41" t="s">
        <v>183</v>
      </c>
      <c r="F1" s="41" t="s">
        <v>11</v>
      </c>
      <c r="G1" s="41" t="s">
        <v>174</v>
      </c>
      <c r="H1" s="41" t="s">
        <v>205</v>
      </c>
      <c r="I1" s="41" t="s">
        <v>169</v>
      </c>
      <c r="J1" s="41" t="s">
        <v>183</v>
      </c>
      <c r="L1" s="70" t="s">
        <v>219</v>
      </c>
      <c r="M1" s="70" t="s">
        <v>226</v>
      </c>
      <c r="N1" s="70"/>
      <c r="O1" s="70" t="s">
        <v>213</v>
      </c>
      <c r="P1" s="70" t="s">
        <v>227</v>
      </c>
      <c r="Q1" s="70" t="s">
        <v>228</v>
      </c>
    </row>
    <row r="2" spans="1:17" ht="14.4" customHeight="1">
      <c r="A2" t="s">
        <v>147</v>
      </c>
      <c r="B2" s="42">
        <v>0</v>
      </c>
      <c r="C2" t="s">
        <v>157</v>
      </c>
      <c r="D2" s="42">
        <v>0</v>
      </c>
      <c r="E2">
        <v>0</v>
      </c>
      <c r="F2" s="42" t="s">
        <v>156</v>
      </c>
      <c r="G2" t="s">
        <v>181</v>
      </c>
      <c r="H2" t="str">
        <f>CONCATENATE(F2,G2)</f>
        <v>InsideInside Existing Frame</v>
      </c>
      <c r="I2" s="42">
        <v>2</v>
      </c>
      <c r="J2" s="42">
        <v>2</v>
      </c>
      <c r="L2" s="42" t="s">
        <v>229</v>
      </c>
      <c r="N2" s="42" t="str">
        <f t="shared" si="0" ref="N2:N31">CONCATENATE(L2,M2)</f>
        <v>Alu-Gard Perforated Aluminium</v>
      </c>
      <c r="O2" s="42" t="s">
        <v>230</v>
      </c>
      <c r="P2" s="42" t="s">
        <v>231</v>
      </c>
      <c r="Q2" s="42" t="s">
        <v>232</v>
      </c>
    </row>
    <row r="3" spans="1:17" ht="14.4" customHeight="1">
      <c r="A3" t="s">
        <v>160</v>
      </c>
      <c r="B3" s="42">
        <v>2</v>
      </c>
      <c r="C3" t="s">
        <v>164</v>
      </c>
      <c r="D3" s="42">
        <v>0</v>
      </c>
      <c r="E3">
        <v>0</v>
      </c>
      <c r="F3" s="42" t="s">
        <v>156</v>
      </c>
      <c r="G3" t="s">
        <v>193</v>
      </c>
      <c r="H3" t="str">
        <f t="shared" si="1" ref="H3:H39">CONCATENATE(F3,G3)</f>
        <v>InsidePlunger Pins x 2</v>
      </c>
      <c r="I3" s="42">
        <v>2</v>
      </c>
      <c r="J3" s="42">
        <v>2</v>
      </c>
      <c r="L3" s="42" t="s">
        <v>233</v>
      </c>
      <c r="M3" s="42" t="s">
        <v>222</v>
      </c>
      <c r="N3" s="42" t="str">
        <f t="shared" si="0"/>
        <v>Colonial CastFibreglass Mesh</v>
      </c>
      <c r="O3" s="42" t="s">
        <v>230</v>
      </c>
      <c r="P3" s="42" t="s">
        <v>234</v>
      </c>
      <c r="Q3" s="42" t="s">
        <v>234</v>
      </c>
    </row>
    <row r="4" spans="1:17" ht="14.4">
      <c r="A4" t="s">
        <v>161</v>
      </c>
      <c r="B4" s="42">
        <v>5</v>
      </c>
      <c r="C4" t="s">
        <v>165</v>
      </c>
      <c r="D4" s="42">
        <v>0</v>
      </c>
      <c r="E4">
        <v>0</v>
      </c>
      <c r="F4" s="42" t="s">
        <v>156</v>
      </c>
      <c r="G4" t="s">
        <v>194</v>
      </c>
      <c r="H4" t="str">
        <f t="shared" si="1"/>
        <v>InsidePlunger Pins x 4</v>
      </c>
      <c r="I4" s="42">
        <v>2</v>
      </c>
      <c r="J4" s="42">
        <v>2</v>
      </c>
      <c r="L4" s="42" t="s">
        <v>233</v>
      </c>
      <c r="M4" s="42" t="s">
        <v>235</v>
      </c>
      <c r="N4" s="42" t="str">
        <f t="shared" si="0"/>
        <v>Colonial CastPet Mesh</v>
      </c>
      <c r="O4" s="42" t="s">
        <v>230</v>
      </c>
      <c r="P4" s="42" t="s">
        <v>234</v>
      </c>
      <c r="Q4" s="42" t="s">
        <v>234</v>
      </c>
    </row>
    <row r="5" spans="1:17" ht="14.4">
      <c r="A5" t="s">
        <v>162</v>
      </c>
      <c r="B5" s="42">
        <v>7</v>
      </c>
      <c r="C5" t="s">
        <v>166</v>
      </c>
      <c r="D5" s="42">
        <v>0</v>
      </c>
      <c r="E5">
        <v>0</v>
      </c>
      <c r="F5" s="42" t="s">
        <v>156</v>
      </c>
      <c r="G5" t="s">
        <v>200</v>
      </c>
      <c r="H5" t="str">
        <f t="shared" si="1"/>
        <v>InsidePlunger Pins x 6</v>
      </c>
      <c r="I5" s="42">
        <v>2</v>
      </c>
      <c r="J5" s="42">
        <v>2</v>
      </c>
      <c r="L5" s="42" t="s">
        <v>233</v>
      </c>
      <c r="M5" s="42" t="s">
        <v>236</v>
      </c>
      <c r="N5" s="42" t="str">
        <f t="shared" si="0"/>
        <v>Colonial CastTuff Mesh</v>
      </c>
      <c r="O5" s="42" t="s">
        <v>230</v>
      </c>
      <c r="P5" s="42" t="s">
        <v>234</v>
      </c>
      <c r="Q5" s="42" t="s">
        <v>234</v>
      </c>
    </row>
    <row r="6" spans="1:17" ht="14.4">
      <c r="A6" t="s">
        <v>163</v>
      </c>
      <c r="B6" s="42">
        <v>10</v>
      </c>
      <c r="C6" t="s">
        <v>167</v>
      </c>
      <c r="D6" s="42">
        <v>0</v>
      </c>
      <c r="E6">
        <v>0</v>
      </c>
      <c r="F6" s="42" t="s">
        <v>156</v>
      </c>
      <c r="G6" t="s">
        <v>195</v>
      </c>
      <c r="H6" t="str">
        <f t="shared" si="1"/>
        <v>InsideSpring Clips x 2</v>
      </c>
      <c r="I6" s="42">
        <v>2</v>
      </c>
      <c r="J6" s="42">
        <v>2</v>
      </c>
      <c r="L6" s="42" t="s">
        <v>233</v>
      </c>
      <c r="M6" s="42" t="s">
        <v>237</v>
      </c>
      <c r="N6" s="42" t="str">
        <f t="shared" si="0"/>
        <v>Colonial CastPrivacy Plus</v>
      </c>
      <c r="O6" s="42" t="s">
        <v>230</v>
      </c>
      <c r="P6" s="42" t="s">
        <v>234</v>
      </c>
      <c r="Q6" s="42" t="s">
        <v>232</v>
      </c>
    </row>
    <row r="7" spans="1:17" ht="14.4">
      <c r="A7" t="s">
        <v>207</v>
      </c>
      <c r="B7" s="42">
        <v>20</v>
      </c>
      <c r="C7" t="s">
        <v>168</v>
      </c>
      <c r="D7" s="42">
        <v>0</v>
      </c>
      <c r="E7">
        <v>0</v>
      </c>
      <c r="F7" s="42" t="s">
        <v>156</v>
      </c>
      <c r="G7" t="s">
        <v>196</v>
      </c>
      <c r="H7" t="str">
        <f t="shared" si="1"/>
        <v>InsideSwivel Clips Extended x 2</v>
      </c>
      <c r="I7" s="42">
        <v>2</v>
      </c>
      <c r="J7" s="42">
        <v>2</v>
      </c>
      <c r="L7" s="42" t="s">
        <v>233</v>
      </c>
      <c r="M7" s="42" t="s">
        <v>223</v>
      </c>
      <c r="N7" s="42" t="str">
        <f t="shared" si="0"/>
        <v>Colonial CastWoven Stainless Steel</v>
      </c>
      <c r="O7" s="42" t="s">
        <v>230</v>
      </c>
      <c r="P7" s="42" t="s">
        <v>234</v>
      </c>
      <c r="Q7" s="42" t="s">
        <v>232</v>
      </c>
    </row>
    <row r="8" spans="1:17" ht="14.4">
      <c r="A8" t="s">
        <v>192</v>
      </c>
      <c r="B8" s="42">
        <v>2</v>
      </c>
      <c r="F8" s="42" t="s">
        <v>156</v>
      </c>
      <c r="G8" t="s">
        <v>197</v>
      </c>
      <c r="H8" t="str">
        <f t="shared" si="1"/>
        <v>InsideSwivel Clips Extended x 4</v>
      </c>
      <c r="I8" s="42">
        <v>2</v>
      </c>
      <c r="J8" s="42">
        <v>2</v>
      </c>
      <c r="L8" s="42" t="s">
        <v>233</v>
      </c>
      <c r="M8" s="42" t="s">
        <v>238</v>
      </c>
      <c r="N8" s="42" t="str">
        <f t="shared" si="0"/>
        <v>Colonial CastPerforated Aluminium</v>
      </c>
      <c r="O8" s="42" t="s">
        <v>230</v>
      </c>
      <c r="P8" s="42" t="s">
        <v>234</v>
      </c>
      <c r="Q8" s="42" t="s">
        <v>232</v>
      </c>
    </row>
    <row r="9" spans="1:17" ht="14.4">
      <c r="A9" t="s">
        <v>203</v>
      </c>
      <c r="B9" s="42">
        <v>-40</v>
      </c>
      <c r="F9" s="42" t="s">
        <v>156</v>
      </c>
      <c r="G9" t="s">
        <v>201</v>
      </c>
      <c r="H9" t="str">
        <f t="shared" si="1"/>
        <v>InsideSwivel Clips Extended x 6</v>
      </c>
      <c r="I9" s="42">
        <v>2</v>
      </c>
      <c r="J9" s="42">
        <v>2</v>
      </c>
      <c r="L9" s="42" t="s">
        <v>233</v>
      </c>
      <c r="M9" s="42" t="s">
        <v>214</v>
      </c>
      <c r="N9" s="42" t="str">
        <f t="shared" si="0"/>
        <v>Colonial CastDVA Mesh</v>
      </c>
      <c r="O9" s="42" t="s">
        <v>230</v>
      </c>
      <c r="P9" s="42" t="s">
        <v>234</v>
      </c>
      <c r="Q9" s="42" t="s">
        <v>232</v>
      </c>
    </row>
    <row r="10" spans="1:17" ht="14.4">
      <c r="A10" t="s">
        <v>204</v>
      </c>
      <c r="B10" s="42">
        <v>20</v>
      </c>
      <c r="F10" s="42" t="s">
        <v>156</v>
      </c>
      <c r="G10" t="s">
        <v>198</v>
      </c>
      <c r="H10" t="str">
        <f t="shared" si="1"/>
        <v>InsideSwivel Clips Flush x 2</v>
      </c>
      <c r="I10" s="42">
        <v>2</v>
      </c>
      <c r="J10" s="42">
        <v>2</v>
      </c>
      <c r="L10" s="42" t="s">
        <v>239</v>
      </c>
      <c r="M10" s="42" t="s">
        <v>222</v>
      </c>
      <c r="N10" s="42" t="str">
        <f t="shared" si="0"/>
        <v>Decorative DiamondFibreglass Mesh</v>
      </c>
      <c r="O10" s="42" t="s">
        <v>230</v>
      </c>
      <c r="P10" s="42" t="s">
        <v>234</v>
      </c>
      <c r="Q10" s="42" t="s">
        <v>234</v>
      </c>
    </row>
    <row r="11" spans="1:17" ht="14.4">
      <c r="A11"/>
      <c r="F11" s="42" t="s">
        <v>156</v>
      </c>
      <c r="G11" t="s">
        <v>199</v>
      </c>
      <c r="H11" t="str">
        <f t="shared" si="1"/>
        <v>InsideSwivel Clips Flush x 4</v>
      </c>
      <c r="I11" s="42">
        <v>2</v>
      </c>
      <c r="J11" s="42">
        <v>2</v>
      </c>
      <c r="L11" s="42" t="s">
        <v>239</v>
      </c>
      <c r="M11" s="42" t="s">
        <v>235</v>
      </c>
      <c r="N11" s="42" t="str">
        <f t="shared" si="0"/>
        <v>Decorative DiamondPet Mesh</v>
      </c>
      <c r="O11" s="42" t="s">
        <v>230</v>
      </c>
      <c r="P11" s="42" t="s">
        <v>234</v>
      </c>
      <c r="Q11" s="42" t="s">
        <v>234</v>
      </c>
    </row>
    <row r="12" spans="1:17" ht="14.4">
      <c r="A12"/>
      <c r="F12" s="42" t="s">
        <v>156</v>
      </c>
      <c r="G12" t="s">
        <v>202</v>
      </c>
      <c r="H12" t="str">
        <f t="shared" si="1"/>
        <v>InsideSwivel Clips Flush x 6</v>
      </c>
      <c r="I12" s="42">
        <v>2</v>
      </c>
      <c r="J12" s="42">
        <v>2</v>
      </c>
      <c r="L12" s="42" t="s">
        <v>239</v>
      </c>
      <c r="M12" s="42" t="s">
        <v>236</v>
      </c>
      <c r="N12" s="42" t="str">
        <f t="shared" si="0"/>
        <v>Decorative DiamondTuff Mesh</v>
      </c>
      <c r="O12" s="42" t="s">
        <v>230</v>
      </c>
      <c r="P12" s="42" t="s">
        <v>234</v>
      </c>
      <c r="Q12" s="42" t="s">
        <v>234</v>
      </c>
    </row>
    <row r="13" spans="1:17" ht="14.4">
      <c r="A13"/>
      <c r="F13" s="42" t="s">
        <v>156</v>
      </c>
      <c r="G13" t="s">
        <v>182</v>
      </c>
      <c r="H13" t="str">
        <f t="shared" si="1"/>
        <v>InsideClip &amp; Rivet, suit Dowell or Boral Windows</v>
      </c>
      <c r="I13" s="42">
        <v>2</v>
      </c>
      <c r="J13" s="42">
        <v>2</v>
      </c>
      <c r="L13" s="42" t="s">
        <v>239</v>
      </c>
      <c r="M13" s="42" t="s">
        <v>237</v>
      </c>
      <c r="N13" s="42" t="str">
        <f t="shared" si="0"/>
        <v>Decorative DiamondPrivacy Plus</v>
      </c>
      <c r="O13" s="42" t="s">
        <v>230</v>
      </c>
      <c r="P13" s="42" t="s">
        <v>234</v>
      </c>
      <c r="Q13" s="42" t="s">
        <v>232</v>
      </c>
    </row>
    <row r="14" spans="1:17" ht="14.4">
      <c r="A14"/>
      <c r="F14" s="42" t="s">
        <v>156</v>
      </c>
      <c r="G14" t="s">
        <v>189</v>
      </c>
      <c r="H14" t="str">
        <f t="shared" si="1"/>
        <v>InsideHinged LHS with Slide Bolt on Inside</v>
      </c>
      <c r="I14" s="42">
        <v>7</v>
      </c>
      <c r="J14" s="42">
        <v>10</v>
      </c>
      <c r="L14" s="42" t="s">
        <v>239</v>
      </c>
      <c r="M14" s="42" t="s">
        <v>223</v>
      </c>
      <c r="N14" s="42" t="str">
        <f t="shared" si="0"/>
        <v>Decorative DiamondWoven Stainless Steel</v>
      </c>
      <c r="O14" s="42" t="s">
        <v>230</v>
      </c>
      <c r="P14" s="42" t="s">
        <v>234</v>
      </c>
      <c r="Q14" s="42" t="s">
        <v>232</v>
      </c>
    </row>
    <row r="15" spans="1:17" ht="14.4">
      <c r="A15"/>
      <c r="F15" s="42" t="s">
        <v>156</v>
      </c>
      <c r="G15" t="s">
        <v>188</v>
      </c>
      <c r="H15" t="str">
        <f t="shared" si="1"/>
        <v>InsideHinged RHS with Slide Bolt on Inside</v>
      </c>
      <c r="I15" s="42">
        <v>7</v>
      </c>
      <c r="J15" s="42">
        <v>10</v>
      </c>
      <c r="L15" s="42" t="s">
        <v>239</v>
      </c>
      <c r="M15" s="42" t="s">
        <v>238</v>
      </c>
      <c r="N15" s="42" t="str">
        <f t="shared" si="0"/>
        <v>Decorative DiamondPerforated Aluminium</v>
      </c>
      <c r="O15" s="42" t="s">
        <v>230</v>
      </c>
      <c r="P15" s="42" t="s">
        <v>234</v>
      </c>
      <c r="Q15" s="42" t="s">
        <v>232</v>
      </c>
    </row>
    <row r="16" spans="1:17" ht="14.4">
      <c r="A16"/>
      <c r="F16" s="42" t="s">
        <v>156</v>
      </c>
      <c r="G16" s="42" t="s">
        <v>191</v>
      </c>
      <c r="H16" t="str">
        <f t="shared" si="1"/>
        <v>InsideFixed</v>
      </c>
      <c r="I16" s="42">
        <v>2</v>
      </c>
      <c r="J16" s="42">
        <v>2</v>
      </c>
      <c r="L16" s="42" t="s">
        <v>239</v>
      </c>
      <c r="M16" s="42" t="s">
        <v>214</v>
      </c>
      <c r="N16" s="42" t="str">
        <f t="shared" si="0"/>
        <v>Decorative DiamondDVA Mesh</v>
      </c>
      <c r="O16" s="42" t="s">
        <v>230</v>
      </c>
      <c r="P16" s="42" t="s">
        <v>234</v>
      </c>
      <c r="Q16" s="42" t="s">
        <v>232</v>
      </c>
    </row>
    <row r="17" spans="1:17" ht="14.4">
      <c r="A17"/>
      <c r="F17" s="42" t="s">
        <v>156</v>
      </c>
      <c r="G17" s="42" t="s">
        <v>187</v>
      </c>
      <c r="H17" t="str">
        <f t="shared" si="1"/>
        <v>InsideHinged LHS</v>
      </c>
      <c r="I17" s="42">
        <v>7</v>
      </c>
      <c r="J17" s="42">
        <v>10</v>
      </c>
      <c r="L17" s="42" t="s">
        <v>240</v>
      </c>
      <c r="N17" s="42" t="str">
        <f t="shared" si="0"/>
        <v>Flyscreen</v>
      </c>
      <c r="O17" s="42" t="s">
        <v>230</v>
      </c>
      <c r="P17" s="42" t="s">
        <v>234</v>
      </c>
      <c r="Q17" s="42" t="s">
        <v>234</v>
      </c>
    </row>
    <row r="18" spans="1:17" ht="14.4">
      <c r="A18"/>
      <c r="F18" s="42" t="s">
        <v>156</v>
      </c>
      <c r="G18" s="42" t="s">
        <v>186</v>
      </c>
      <c r="H18" t="str">
        <f t="shared" si="1"/>
        <v>InsideHinged RHS</v>
      </c>
      <c r="I18" s="42">
        <v>7</v>
      </c>
      <c r="J18" s="42">
        <v>10</v>
      </c>
      <c r="L18" s="42" t="s">
        <v>249</v>
      </c>
      <c r="N18" s="42" t="str">
        <f t="shared" si="2" ref="N18:N20">CONCATENATE(L18,M18)</f>
        <v>Alu-Screen</v>
      </c>
      <c r="O18" s="42" t="s">
        <v>230</v>
      </c>
      <c r="P18" s="42" t="s">
        <v>234</v>
      </c>
      <c r="Q18" s="42" t="s">
        <v>234</v>
      </c>
    </row>
    <row r="19" spans="1:17" ht="14.4">
      <c r="A19"/>
      <c r="F19" s="42" t="s">
        <v>156</v>
      </c>
      <c r="G19" s="42" t="s">
        <v>185</v>
      </c>
      <c r="H19" t="str">
        <f t="shared" si="1"/>
        <v>InsideHinged Top</v>
      </c>
      <c r="I19" s="42">
        <v>10</v>
      </c>
      <c r="J19" s="42">
        <v>7</v>
      </c>
      <c r="L19" s="42" t="s">
        <v>250</v>
      </c>
      <c r="N19" s="42" t="str">
        <f t="shared" si="2"/>
        <v>Stainless Steel Mesh</v>
      </c>
      <c r="O19" s="42" t="s">
        <v>230</v>
      </c>
      <c r="P19" s="42" t="s">
        <v>234</v>
      </c>
      <c r="Q19" s="42" t="s">
        <v>234</v>
      </c>
    </row>
    <row r="20" spans="6:17" ht="14.4">
      <c r="F20" s="42" t="s">
        <v>156</v>
      </c>
      <c r="G20" s="42" t="s">
        <v>184</v>
      </c>
      <c r="H20" t="str">
        <f t="shared" si="1"/>
        <v>InsideHinged Bottom</v>
      </c>
      <c r="I20" s="42">
        <v>10</v>
      </c>
      <c r="J20" s="42">
        <v>7</v>
      </c>
      <c r="L20" s="42" t="s">
        <v>235</v>
      </c>
      <c r="N20" s="42" t="str">
        <f t="shared" si="2"/>
        <v>Pet Mesh</v>
      </c>
      <c r="O20" s="42" t="s">
        <v>230</v>
      </c>
      <c r="P20" s="42" t="s">
        <v>234</v>
      </c>
      <c r="Q20" s="42" t="s">
        <v>234</v>
      </c>
    </row>
    <row r="21" spans="6:17" ht="14.4">
      <c r="F21" s="42" t="s">
        <v>156</v>
      </c>
      <c r="G21" t="s">
        <v>206</v>
      </c>
      <c r="H21" t="str">
        <f t="shared" si="1"/>
        <v>InsideNot Required</v>
      </c>
      <c r="I21" s="42">
        <v>2</v>
      </c>
      <c r="J21" s="42">
        <v>2</v>
      </c>
      <c r="L21" s="42" t="s">
        <v>220</v>
      </c>
      <c r="N21" s="42" t="str">
        <f t="shared" si="0"/>
        <v>Invisi-Gard Woven Stainless Steel</v>
      </c>
      <c r="O21" s="42" t="s">
        <v>241</v>
      </c>
      <c r="P21" s="42" t="s">
        <v>234</v>
      </c>
      <c r="Q21" s="42" t="s">
        <v>242</v>
      </c>
    </row>
    <row r="22" spans="1:17" ht="14.4">
      <c r="A22"/>
      <c r="F22" s="42" t="s">
        <v>159</v>
      </c>
      <c r="G22" t="s">
        <v>193</v>
      </c>
      <c r="H22" t="str">
        <f t="shared" si="1"/>
        <v>OutsidePlunger Pins x 2</v>
      </c>
      <c r="I22" s="42">
        <v>0</v>
      </c>
      <c r="J22" s="42">
        <v>0</v>
      </c>
      <c r="L22" s="42" t="s">
        <v>243</v>
      </c>
      <c r="N22" s="42" t="str">
        <f t="shared" si="0"/>
        <v>Privacy-Gard</v>
      </c>
      <c r="O22" s="42" t="s">
        <v>230</v>
      </c>
      <c r="P22" s="42" t="s">
        <v>244</v>
      </c>
      <c r="Q22" s="42" t="s">
        <v>232</v>
      </c>
    </row>
    <row r="23" spans="1:17" ht="14.4">
      <c r="A23"/>
      <c r="F23" s="42" t="s">
        <v>159</v>
      </c>
      <c r="G23" t="s">
        <v>194</v>
      </c>
      <c r="H23" t="str">
        <f t="shared" si="1"/>
        <v>OutsidePlunger Pins x 4</v>
      </c>
      <c r="I23" s="42">
        <v>0</v>
      </c>
      <c r="J23" s="42">
        <v>0</v>
      </c>
      <c r="L23" s="42" t="s">
        <v>221</v>
      </c>
      <c r="M23" s="42" t="s">
        <v>222</v>
      </c>
      <c r="N23" s="42" t="str">
        <f t="shared" si="0"/>
        <v>Standard DiamondFibreglass Mesh</v>
      </c>
      <c r="O23" s="42" t="s">
        <v>230</v>
      </c>
      <c r="P23" s="42" t="s">
        <v>234</v>
      </c>
      <c r="Q23" s="42" t="s">
        <v>234</v>
      </c>
    </row>
    <row r="24" spans="1:17" ht="14.4">
      <c r="A24"/>
      <c r="F24" s="42" t="s">
        <v>159</v>
      </c>
      <c r="G24" t="s">
        <v>200</v>
      </c>
      <c r="H24" t="str">
        <f t="shared" si="1"/>
        <v>OutsidePlunger Pins x 6</v>
      </c>
      <c r="I24" s="42">
        <v>0</v>
      </c>
      <c r="J24" s="42">
        <v>0</v>
      </c>
      <c r="L24" s="42" t="s">
        <v>221</v>
      </c>
      <c r="M24" s="42" t="s">
        <v>235</v>
      </c>
      <c r="N24" s="42" t="str">
        <f t="shared" si="0"/>
        <v>Standard DiamondPet Mesh</v>
      </c>
      <c r="O24" s="42" t="s">
        <v>230</v>
      </c>
      <c r="P24" s="42" t="s">
        <v>234</v>
      </c>
      <c r="Q24" s="42" t="s">
        <v>234</v>
      </c>
    </row>
    <row r="25" spans="1:17" ht="14.4">
      <c r="A25"/>
      <c r="F25" s="42" t="s">
        <v>159</v>
      </c>
      <c r="G25" s="42" t="s">
        <v>196</v>
      </c>
      <c r="H25" t="str">
        <f t="shared" si="1"/>
        <v>OutsideSwivel Clips Extended x 2</v>
      </c>
      <c r="I25" s="42">
        <v>0</v>
      </c>
      <c r="J25" s="42">
        <v>0</v>
      </c>
      <c r="L25" s="42" t="s">
        <v>221</v>
      </c>
      <c r="M25" s="42" t="s">
        <v>236</v>
      </c>
      <c r="N25" s="42" t="str">
        <f t="shared" si="0"/>
        <v>Standard DiamondTuff Mesh</v>
      </c>
      <c r="O25" s="42" t="s">
        <v>230</v>
      </c>
      <c r="P25" s="42" t="s">
        <v>234</v>
      </c>
      <c r="Q25" s="42" t="s">
        <v>234</v>
      </c>
    </row>
    <row r="26" spans="6:17" ht="14.4">
      <c r="F26" s="42" t="s">
        <v>159</v>
      </c>
      <c r="G26" s="42" t="s">
        <v>197</v>
      </c>
      <c r="H26" t="str">
        <f t="shared" si="1"/>
        <v>OutsideSwivel Clips Extended x 4</v>
      </c>
      <c r="I26" s="42">
        <v>0</v>
      </c>
      <c r="J26" s="42">
        <v>0</v>
      </c>
      <c r="L26" s="42" t="s">
        <v>221</v>
      </c>
      <c r="M26" s="42" t="s">
        <v>237</v>
      </c>
      <c r="N26" s="42" t="str">
        <f t="shared" si="0"/>
        <v>Standard DiamondPrivacy Plus</v>
      </c>
      <c r="O26" s="42" t="s">
        <v>230</v>
      </c>
      <c r="P26" s="42" t="s">
        <v>234</v>
      </c>
      <c r="Q26" s="42" t="s">
        <v>234</v>
      </c>
    </row>
    <row r="27" spans="6:17" ht="14.4">
      <c r="F27" s="42" t="s">
        <v>159</v>
      </c>
      <c r="G27" t="s">
        <v>201</v>
      </c>
      <c r="H27" t="str">
        <f t="shared" si="1"/>
        <v>OutsideSwivel Clips Extended x 6</v>
      </c>
      <c r="I27" s="42">
        <v>0</v>
      </c>
      <c r="J27" s="42">
        <v>0</v>
      </c>
      <c r="L27" s="42" t="s">
        <v>221</v>
      </c>
      <c r="M27" s="42" t="s">
        <v>223</v>
      </c>
      <c r="N27" s="42" t="str">
        <f t="shared" si="0"/>
        <v>Standard DiamondWoven Stainless Steel</v>
      </c>
      <c r="O27" s="42" t="s">
        <v>230</v>
      </c>
      <c r="P27" s="42" t="s">
        <v>234</v>
      </c>
      <c r="Q27" s="42" t="s">
        <v>232</v>
      </c>
    </row>
    <row r="28" spans="6:17" ht="14.4">
      <c r="F28" s="42" t="s">
        <v>159</v>
      </c>
      <c r="G28" t="s">
        <v>198</v>
      </c>
      <c r="H28" t="str">
        <f t="shared" si="1"/>
        <v>OutsideSwivel Clips Flush x 2</v>
      </c>
      <c r="I28" s="42">
        <v>0</v>
      </c>
      <c r="J28" s="42">
        <v>0</v>
      </c>
      <c r="L28" s="42" t="s">
        <v>221</v>
      </c>
      <c r="M28" s="42" t="s">
        <v>238</v>
      </c>
      <c r="N28" s="42" t="str">
        <f t="shared" si="0"/>
        <v>Standard DiamondPerforated Aluminium</v>
      </c>
      <c r="O28" s="42" t="s">
        <v>230</v>
      </c>
      <c r="P28" s="42" t="s">
        <v>234</v>
      </c>
      <c r="Q28" s="42" t="s">
        <v>232</v>
      </c>
    </row>
    <row r="29" spans="6:17" ht="14.4">
      <c r="F29" s="42" t="s">
        <v>159</v>
      </c>
      <c r="G29" t="s">
        <v>199</v>
      </c>
      <c r="H29" t="str">
        <f t="shared" si="1"/>
        <v>OutsideSwivel Clips Flush x 4</v>
      </c>
      <c r="I29" s="42">
        <v>0</v>
      </c>
      <c r="J29" s="42">
        <v>0</v>
      </c>
      <c r="L29" s="42" t="s">
        <v>221</v>
      </c>
      <c r="M29" s="42" t="s">
        <v>214</v>
      </c>
      <c r="N29" s="42" t="str">
        <f t="shared" si="0"/>
        <v>Standard DiamondDVA Mesh</v>
      </c>
      <c r="O29" s="42" t="s">
        <v>230</v>
      </c>
      <c r="P29" s="42" t="s">
        <v>234</v>
      </c>
      <c r="Q29" s="42" t="s">
        <v>232</v>
      </c>
    </row>
    <row r="30" spans="6:17" ht="14.4">
      <c r="F30" s="42" t="s">
        <v>159</v>
      </c>
      <c r="G30" t="s">
        <v>202</v>
      </c>
      <c r="H30" t="str">
        <f t="shared" si="1"/>
        <v>OutsideSwivel Clips Flush x 6</v>
      </c>
      <c r="I30" s="42">
        <v>0</v>
      </c>
      <c r="J30" s="42">
        <v>0</v>
      </c>
      <c r="L30" s="42" t="s">
        <v>245</v>
      </c>
      <c r="N30" s="42" t="str">
        <f t="shared" si="0"/>
        <v>Woven Galvanised Steel</v>
      </c>
      <c r="O30" s="42" t="s">
        <v>230</v>
      </c>
      <c r="P30" s="42" t="s">
        <v>234</v>
      </c>
      <c r="Q30" s="42" t="s">
        <v>234</v>
      </c>
    </row>
    <row r="31" spans="6:17" ht="14.4">
      <c r="F31" s="42" t="s">
        <v>159</v>
      </c>
      <c r="G31" t="s">
        <v>182</v>
      </c>
      <c r="H31" t="str">
        <f t="shared" si="1"/>
        <v>OutsideClip &amp; Rivet, suit Dowell or Boral Windows</v>
      </c>
      <c r="I31" s="42">
        <v>0</v>
      </c>
      <c r="J31" s="42">
        <v>0</v>
      </c>
      <c r="L31" s="42" t="s">
        <v>223</v>
      </c>
      <c r="N31" s="42" t="str">
        <f t="shared" si="0"/>
        <v>Woven Stainless Steel</v>
      </c>
      <c r="O31" s="42" t="s">
        <v>230</v>
      </c>
      <c r="P31" s="42" t="s">
        <v>231</v>
      </c>
      <c r="Q31" s="42" t="s">
        <v>232</v>
      </c>
    </row>
    <row r="32" spans="6:10" ht="14.4">
      <c r="F32" s="42" t="s">
        <v>159</v>
      </c>
      <c r="G32" t="s">
        <v>189</v>
      </c>
      <c r="H32" t="str">
        <f t="shared" si="1"/>
        <v>OutsideHinged LHS with Slide Bolt on Inside</v>
      </c>
      <c r="I32" s="42">
        <v>0</v>
      </c>
      <c r="J32" s="42">
        <v>0</v>
      </c>
    </row>
    <row r="33" spans="6:10" ht="14.4">
      <c r="F33" s="42" t="s">
        <v>159</v>
      </c>
      <c r="G33" t="s">
        <v>188</v>
      </c>
      <c r="H33" t="str">
        <f t="shared" si="1"/>
        <v>OutsideHinged RHS with Slide Bolt on Inside</v>
      </c>
      <c r="I33" s="42">
        <v>0</v>
      </c>
      <c r="J33" s="42">
        <v>0</v>
      </c>
    </row>
    <row r="34" spans="6:10" ht="14.4">
      <c r="F34" s="42" t="s">
        <v>159</v>
      </c>
      <c r="G34" t="s">
        <v>191</v>
      </c>
      <c r="H34" t="str">
        <f t="shared" si="1"/>
        <v>OutsideFixed</v>
      </c>
      <c r="I34" s="42">
        <v>0</v>
      </c>
      <c r="J34" s="42">
        <v>0</v>
      </c>
    </row>
    <row r="35" spans="6:10" ht="14.4">
      <c r="F35" s="42" t="s">
        <v>159</v>
      </c>
      <c r="G35" t="s">
        <v>187</v>
      </c>
      <c r="H35" t="str">
        <f t="shared" si="1"/>
        <v>OutsideHinged LHS</v>
      </c>
      <c r="I35" s="42">
        <v>0</v>
      </c>
      <c r="J35" s="42">
        <v>0</v>
      </c>
    </row>
    <row r="36" spans="6:10" ht="14.4">
      <c r="F36" s="42" t="s">
        <v>159</v>
      </c>
      <c r="G36" t="s">
        <v>186</v>
      </c>
      <c r="H36" t="str">
        <f t="shared" si="1"/>
        <v>OutsideHinged RHS</v>
      </c>
      <c r="I36" s="42">
        <v>0</v>
      </c>
      <c r="J36" s="42">
        <v>0</v>
      </c>
    </row>
    <row r="37" spans="6:10" ht="14.4">
      <c r="F37" s="42" t="s">
        <v>159</v>
      </c>
      <c r="G37" t="s">
        <v>185</v>
      </c>
      <c r="H37" t="str">
        <f t="shared" si="1"/>
        <v>OutsideHinged Top</v>
      </c>
      <c r="I37" s="42">
        <v>0</v>
      </c>
      <c r="J37" s="42">
        <v>0</v>
      </c>
    </row>
    <row r="38" spans="6:10" ht="14.4">
      <c r="F38" s="42" t="s">
        <v>159</v>
      </c>
      <c r="G38" t="s">
        <v>184</v>
      </c>
      <c r="H38" t="str">
        <f t="shared" si="1"/>
        <v>OutsideHinged Bottom</v>
      </c>
      <c r="I38" s="42">
        <v>0</v>
      </c>
      <c r="J38" s="42">
        <v>0</v>
      </c>
    </row>
    <row r="39" spans="6:10" ht="14.4">
      <c r="F39" s="42" t="s">
        <v>159</v>
      </c>
      <c r="G39" t="s">
        <v>206</v>
      </c>
      <c r="H39" t="str">
        <f t="shared" si="1"/>
        <v>OutsideNot Required</v>
      </c>
      <c r="I39" s="42">
        <v>0</v>
      </c>
      <c r="J39" s="42">
        <v>0</v>
      </c>
    </row>
    <row r="40" spans="7:8" ht="14.4">
      <c r="G40"/>
      <c r="H40"/>
    </row>
    <row r="41" ht="14.4">
      <c r="H41"/>
    </row>
    <row r="42" ht="14.4">
      <c r="H42"/>
    </row>
    <row r="43" ht="14.4">
      <c r="H43"/>
    </row>
    <row r="44" ht="14.4">
      <c r="H44"/>
    </row>
    <row r="45" ht="14.4">
      <c r="H45"/>
    </row>
    <row r="46" ht="14.4">
      <c r="H46"/>
    </row>
    <row r="47" ht="14.4">
      <c r="H47"/>
    </row>
  </sheetData>
  <pageMargins left="1.23543307086641" right="1.23543307086641" top="0.75" bottom="0.75" header="0.3" footer="0.3"/>
  <pageSetup horizontalDpi="300" verticalDpi="30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DPS Computer Services Pty Ltd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Job Sheet</dc:title>
  <dc:subject>Busineass Partner</dc:subject>
  <dc:creator>BUZ Software</dc:creator>
  <cp:keywords/>
  <dc:description>Perpared by DPS Computer Services T/As Software Partners as part of the Business Partner software suite</dc:description>
  <cp:lastModifiedBy>Brandyn - Davidsons Blinds &amp; Shutters</cp:lastModifiedBy>
  <cp:lastPrinted>2026-06-24T04:31:42Z</cp:lastPrinted>
  <dcterms:created xsi:type="dcterms:W3CDTF">2004-01-09T05:29:38Z</dcterms:created>
  <dcterms:modified xsi:type="dcterms:W3CDTF">2026-09-07T02:06:43Z</dcterms:modified>
  <cp:category/>
  <cp:contentType/>
  <cp:contentStatus/>
</cp:coreProperties>
</file>
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bookViews>
    <workbookView xWindow="38280" yWindow="65386" windowWidth="29040" windowHeight="15720" tabRatio="772" firstSheet="7" activeTab="0"/>
  </bookViews>
  <sheets>
    <sheet name="Data" sheetId="8" r:id="rId1"/>
    <sheet name="Job Sheet" sheetId="1" r:id="rId2"/>
    <sheet name="Fabric Cutting" sheetId="13" r:id="rId3"/>
    <sheet name="Welding&amp;Sewing" sheetId="22" r:id="rId4"/>
    <sheet name="Tube Cutting" sheetId="14" r:id="rId5"/>
    <sheet name="Assembly(a)" sheetId="15" r:id="rId6"/>
    <sheet name="Assembly(c)" sheetId="17" r:id="rId7"/>
    <sheet name="Packing" sheetId="19" r:id="rId8"/>
    <sheet name="Electrical Form" sheetId="20" r:id="rId9"/>
    <sheet name="Components" sheetId="21" r:id="rId10"/>
    <sheet name="Component Look Ups" sheetId="11" r:id="rId11"/>
    <sheet name="Component Colour Matching" sheetId="16" r:id="rId12"/>
    <sheet name="Labels" sheetId="9" r:id="rId13"/>
  </sheets>
  <definedNames>
    <definedName name="_xleta.AND" hidden="1">#NAME?</definedName>
    <definedName name="_xleta.IF" hidden="1">#NAME?</definedName>
    <definedName name="_xleta.MATCH" hidden="1">#NAME?</definedName>
    <definedName name="_xleta.SHEET" hidden="1">#NAME?</definedName>
    <definedName name="_xleta.SINGLE" hidden="1">#NAME?</definedName>
    <definedName name="_xleta.VALUE" hidden="1">#NAME?</definedName>
    <definedName name="_xleta.VLOOKUP" hidden="1">#NAME?</definedName>
    <definedName name="AcrylicDrop">'Component Look Ups'!$H$20:$H$21</definedName>
    <definedName name="AcrylicGrid">'Component Look Ups'!$I$20:$P$21</definedName>
    <definedName name="AcrylicWidth">'Component Look Ups'!$I$19:$P$19</definedName>
    <definedName name="CanvasDrop">'Component Look Ups'!$H$25:$H$26</definedName>
    <definedName name="CanvasGrid">'Component Look Ups'!$I$25:$M$26</definedName>
    <definedName name="CanvasWidth">'Component Look Ups'!$I$24:$M$24</definedName>
    <definedName name="ColourMatch">'Component Colour Matching'!$A$2:$H$968</definedName>
    <definedName name="CompanyPkId">Data!$BB$2</definedName>
    <definedName name="CustName" localSheetId="5">'Assembly(a)'!$F$2</definedName>
    <definedName name="CustName" localSheetId="6">'Assembly(c)'!$E$2</definedName>
    <definedName name="CustName" localSheetId="7">Packing!$G$2</definedName>
    <definedName name="CustName">'Job Sheet'!$J$2</definedName>
    <definedName name="CustOrdOpt" localSheetId="5">Data!$CE$10:$CK$43</definedName>
    <definedName name="CustOrdOpt" localSheetId="11">Data!$CE$10:$CK$43</definedName>
    <definedName name="CustOrdOpt">Data!$CE$10:$CK$199</definedName>
    <definedName name="DataSettings">Data!$A$5:$F$22</definedName>
    <definedName name="FabricProcedure">'Fabric Cutting'!$S$4:$T$7</definedName>
    <definedName name="FitDeduct">'Component Look Ups'!$K$12:$L$15</definedName>
    <definedName name="FixedGuide">'Component Look Ups'!$A$12:$B$22</definedName>
    <definedName name="InventoryGroup">Data!$BA$1</definedName>
    <definedName name="JobPickLastRow">Data!$BA$2</definedName>
    <definedName name="_xlnm.Print_Area" localSheetId="5">'Assembly(a)'!$A$1:$M$20</definedName>
    <definedName name="_xlnm.Print_Area" localSheetId="6">'Assembly(c)'!$A$1:$N$20</definedName>
    <definedName name="_xlnm.Print_Area" localSheetId="11">'Component Colour Matching'!$A$1:$H$577</definedName>
    <definedName name="_xlnm.Print_Area" localSheetId="2">'Fabric Cutting'!$A$1:$Q$20</definedName>
    <definedName name="_xlnm.Print_Area" localSheetId="1">'Job Sheet'!$A$1:$AF$20</definedName>
    <definedName name="_xlnm.Print_Area" localSheetId="7">Packing!$A$1:$P$20</definedName>
    <definedName name="_xlnm.Print_Area" localSheetId="4">'Tube Cutting'!$A$1:$L$20</definedName>
    <definedName name="_xlnm.Print_Area" localSheetId="3">'Welding&amp;Sewing'!$A$1:$N$20</definedName>
    <definedName name="_xlnm.Print_Titles" localSheetId="5">'Assembly(a)'!$1:$10</definedName>
    <definedName name="_xlnm.Print_Titles" localSheetId="6">'Assembly(c)'!$1:$10</definedName>
    <definedName name="_xlnm.Print_Titles" localSheetId="1">'Job Sheet'!$1:$10</definedName>
    <definedName name="_xlnm.Print_Titles" localSheetId="7">Packing!$1:$10</definedName>
    <definedName name="RightColumn">Data!$BA$3</definedName>
    <definedName name="SideDeduct">'Component Look Ups'!$E$12:$F$27</definedName>
    <definedName name="Spline">'Component Look Ups'!$H$12:$I$16</definedName>
    <definedName name="SpringDrop">'Component Look Ups'!$A$3:$A$10</definedName>
    <definedName name="Springgrid">'Component Look Ups'!$B$3:$O$10</definedName>
    <definedName name="Springs">'Component Look Ups'!$A$1:$N$10</definedName>
    <definedName name="Springwidth">'Component Look Ups'!$B$2:$O$2</definedName>
    <definedName name="StandoutBrackets">'Component Look Ups'!$Q$3:$S$24</definedName>
    <definedName name="TubeDeductions">'Component Look Ups'!$A$24:$C$34</definedName>
    <definedName name="UserPkId">Data!$AV$3</definedName>
  </definedNames>
  <calcPr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<sst xmlns="http://schemas.openxmlformats.org/spreadsheetml/2006/main" count="4909" uniqueCount="1670">
  <si>
    <t>PkId</t>
  </si>
  <si>
    <t>Descn</t>
  </si>
  <si>
    <t>DateDoc</t>
  </si>
  <si>
    <t>RefNo</t>
  </si>
  <si>
    <t>Special Instructions</t>
  </si>
  <si>
    <t>Comment</t>
  </si>
  <si>
    <t>Notes</t>
  </si>
  <si>
    <t>JOB SHEET</t>
  </si>
  <si>
    <t>Customer Order Ref:</t>
  </si>
  <si>
    <t>Fabric Type &amp; Colour</t>
  </si>
  <si>
    <t>ORDER REC'D:</t>
  </si>
  <si>
    <t>This should be in column BG</t>
  </si>
  <si>
    <t>Fit</t>
  </si>
  <si>
    <t>Delivery Address</t>
  </si>
  <si>
    <t>LastRow</t>
  </si>
  <si>
    <t>REVISION:</t>
  </si>
  <si>
    <t>InventoryGroup</t>
  </si>
  <si>
    <t>RightColumn</t>
  </si>
  <si>
    <t>W</t>
  </si>
  <si>
    <t>CustomerPkId</t>
  </si>
  <si>
    <t>FollowUpDate</t>
  </si>
  <si>
    <t>AcceptedDate</t>
  </si>
  <si>
    <t>FGSUN</t>
  </si>
  <si>
    <t>LastPwkCopyNo</t>
  </si>
  <si>
    <t>b64c1b45-c18e-4895-b2a0-91897d2591d2</t>
  </si>
  <si>
    <t>3c5ee578-b561-4f43-9b35-495bb6956c01</t>
  </si>
  <si>
    <t>InvoicedDate</t>
  </si>
  <si>
    <t>Revision</t>
  </si>
  <si>
    <t>Customer.Code</t>
  </si>
  <si>
    <t>Customer.Descn</t>
  </si>
  <si>
    <t>Contact.AddUnitNo</t>
  </si>
  <si>
    <t>Contact.AddNo</t>
  </si>
  <si>
    <t>Contact.AddBuilding</t>
  </si>
  <si>
    <t>Contact.AddStreet</t>
  </si>
  <si>
    <t>Contact.AddStType</t>
  </si>
  <si>
    <t>Contact.AddSuburb</t>
  </si>
  <si>
    <t>Contact.AddState</t>
  </si>
  <si>
    <t>Contact.AddPCode</t>
  </si>
  <si>
    <t>Contact.AddCountry</t>
  </si>
  <si>
    <t>Contact.Email</t>
  </si>
  <si>
    <t>Contact.DirectPhone</t>
  </si>
  <si>
    <t>Contact.Mobile</t>
  </si>
  <si>
    <t>Contact.PhOtherDescn1</t>
  </si>
  <si>
    <t>Contact.PhoneOther1</t>
  </si>
  <si>
    <t>Contact.PhOtherDescn2</t>
  </si>
  <si>
    <t>Contact.PhoneOther2</t>
  </si>
  <si>
    <t>Branch.Descn</t>
  </si>
  <si>
    <t>Branch.AddressLine1</t>
  </si>
  <si>
    <t>Branch.AddressLine2</t>
  </si>
  <si>
    <t>Branch.DirectPhone</t>
  </si>
  <si>
    <t>Branch.Fax</t>
  </si>
  <si>
    <t>Branch.Email</t>
  </si>
  <si>
    <t>SalesRepresentative.Descn</t>
  </si>
  <si>
    <t>SalesRepresentative.Mobile</t>
  </si>
  <si>
    <t>Customer.InvoiceMessage</t>
  </si>
  <si>
    <t>Billing.AddUnitNo</t>
  </si>
  <si>
    <t>Billing.AddNo</t>
  </si>
  <si>
    <t>Billing.AddBuilding</t>
  </si>
  <si>
    <t>Billing.AddStreet</t>
  </si>
  <si>
    <t>Billing.AddStType</t>
  </si>
  <si>
    <t>Billing.AddSuburb</t>
  </si>
  <si>
    <t>Billing.AddState</t>
  </si>
  <si>
    <t>Billing.AddPCode</t>
  </si>
  <si>
    <t>Billing.AddCountry</t>
  </si>
  <si>
    <t>BranchMarkupPer</t>
  </si>
  <si>
    <t>RepresentativeMarkupPer</t>
  </si>
  <si>
    <t>Billing.Title</t>
  </si>
  <si>
    <t>Billing.FirstName</t>
  </si>
  <si>
    <t>Billing.LastName</t>
  </si>
  <si>
    <t>Contact.Title</t>
  </si>
  <si>
    <t>Contact.FirstName</t>
  </si>
  <si>
    <t>Contact.LastName</t>
  </si>
  <si>
    <t>Customer.CustomerGroup.Descn</t>
  </si>
  <si>
    <t>Billing.DirectPhone</t>
  </si>
  <si>
    <t>Billing.Mobile</t>
  </si>
  <si>
    <t>Billing.PhOtherDescn1</t>
  </si>
  <si>
    <t>Billing.PhoneOther1</t>
  </si>
  <si>
    <t>Billing.PhOtherDescn2</t>
  </si>
  <si>
    <t>Billing.PhoneOther2</t>
  </si>
  <si>
    <t>User.Name</t>
  </si>
  <si>
    <t>Deposits</t>
  </si>
  <si>
    <t>Amt</t>
  </si>
  <si>
    <t>SalesRepresentative.Email</t>
  </si>
  <si>
    <t>Billing.Email</t>
  </si>
  <si>
    <t>InvoiceDeliveryStatus</t>
  </si>
  <si>
    <t>Current</t>
  </si>
  <si>
    <t>30Days</t>
  </si>
  <si>
    <t>60Days</t>
  </si>
  <si>
    <t>90Days</t>
  </si>
  <si>
    <t>AmtIncTax</t>
  </si>
  <si>
    <t>AcceptedByUser.Name</t>
  </si>
  <si>
    <t>Installer</t>
  </si>
  <si>
    <t>Header</t>
  </si>
  <si>
    <t>Barcode</t>
  </si>
  <si>
    <t>Field 1 - Order Date</t>
  </si>
  <si>
    <t>Field 2 - Order No/Revision/LineNo</t>
  </si>
  <si>
    <t>Customer Name</t>
  </si>
  <si>
    <t>Product</t>
  </si>
  <si>
    <t>Location</t>
  </si>
  <si>
    <t>Dimensions</t>
  </si>
  <si>
    <t>Print Qty</t>
  </si>
  <si>
    <t>End Format</t>
  </si>
  <si>
    <t>DATASETTINGS</t>
  </si>
  <si>
    <t>Sheet Name</t>
  </si>
  <si>
    <t>First Row</t>
  </si>
  <si>
    <t>Last Row</t>
  </si>
  <si>
    <t>Right Column</t>
  </si>
  <si>
    <t>Include in PDF</t>
  </si>
  <si>
    <t>No of Copy in PDF</t>
  </si>
  <si>
    <t>Job Sheet</t>
  </si>
  <si>
    <t>Labels</t>
  </si>
  <si>
    <t>K</t>
  </si>
  <si>
    <t>Label 1</t>
  </si>
  <si>
    <t>Order Ref</t>
  </si>
  <si>
    <t>Job required</t>
  </si>
  <si>
    <t>Flag</t>
  </si>
  <si>
    <t>Fabric Width</t>
  </si>
  <si>
    <t>Sticker No.</t>
  </si>
  <si>
    <t>Order #</t>
  </si>
  <si>
    <t>1500mm</t>
  </si>
  <si>
    <t>Blind Drop</t>
  </si>
  <si>
    <t>Skin Width</t>
  </si>
  <si>
    <t>Skin Drop</t>
  </si>
  <si>
    <t>Fabric Direction</t>
  </si>
  <si>
    <t>Fabric Cutting</t>
  </si>
  <si>
    <t>Tube Cutting</t>
  </si>
  <si>
    <t>Tube</t>
  </si>
  <si>
    <t>Black</t>
  </si>
  <si>
    <t>Grey</t>
  </si>
  <si>
    <t>Blind Width</t>
  </si>
  <si>
    <t>Assembly(a)</t>
  </si>
  <si>
    <t>Cutting Order</t>
  </si>
  <si>
    <t>Fabric Required</t>
  </si>
  <si>
    <t>Bottom Flap</t>
  </si>
  <si>
    <t>Hood Extension Brackets</t>
  </si>
  <si>
    <t>Tube Length</t>
  </si>
  <si>
    <t>B/Rail Length</t>
  </si>
  <si>
    <t>Fabric Drop</t>
  </si>
  <si>
    <t>Side Guides Length</t>
  </si>
  <si>
    <t>Spring Size</t>
  </si>
  <si>
    <t>Spline</t>
  </si>
  <si>
    <t>Colour</t>
  </si>
  <si>
    <t>Cotton Colour</t>
  </si>
  <si>
    <t>2100mm</t>
  </si>
  <si>
    <t>2700mm</t>
  </si>
  <si>
    <t>3000mm</t>
  </si>
  <si>
    <t>Springs</t>
  </si>
  <si>
    <t>50mm Small</t>
  </si>
  <si>
    <t>50mm Std</t>
  </si>
  <si>
    <t>63mm Std</t>
  </si>
  <si>
    <t>Control</t>
  </si>
  <si>
    <t>Deduction</t>
  </si>
  <si>
    <t>Tube Deduction</t>
  </si>
  <si>
    <t>Fixed Guide Side Guides</t>
  </si>
  <si>
    <t>50mm</t>
  </si>
  <si>
    <t>63mm</t>
  </si>
  <si>
    <t>78mm</t>
  </si>
  <si>
    <t>3.6mm White</t>
  </si>
  <si>
    <t>6mm Black</t>
  </si>
  <si>
    <t>Beige</t>
  </si>
  <si>
    <t>Fabric &amp; Colour</t>
  </si>
  <si>
    <t>Top Spline</t>
  </si>
  <si>
    <t>B/Rail</t>
  </si>
  <si>
    <t>Size</t>
  </si>
  <si>
    <t>Hood / Bracket Colour</t>
  </si>
  <si>
    <t>Hooding or Brackets</t>
  </si>
  <si>
    <t>Side Guides</t>
  </si>
  <si>
    <t xml:space="preserve">FIXED GUIDE SUNBLINDS Fabric Cutting </t>
  </si>
  <si>
    <t xml:space="preserve">FIXED GUIDE SUNBLINDS Tube Cutting </t>
  </si>
  <si>
    <t>FIXED GUIDE SUNBLINDS Assembley (a)</t>
  </si>
  <si>
    <t>Blue</t>
  </si>
  <si>
    <t>Hood or Brackets</t>
  </si>
  <si>
    <t>Brackets</t>
  </si>
  <si>
    <t>Operation</t>
  </si>
  <si>
    <t>Gearbox Colour</t>
  </si>
  <si>
    <t>Bracket</t>
  </si>
  <si>
    <t>Holes Drilled in Hood Ends</t>
  </si>
  <si>
    <t>FIXED GUIDE SUNBLIND Job Sheet</t>
  </si>
  <si>
    <t>Face</t>
  </si>
  <si>
    <t>Reveal</t>
  </si>
  <si>
    <t>Fitting</t>
  </si>
  <si>
    <t>Is Rework / Remake</t>
  </si>
  <si>
    <t>Additional Deductions</t>
  </si>
  <si>
    <t>Hood Length</t>
  </si>
  <si>
    <t>Bottom Rail Colour</t>
  </si>
  <si>
    <t>No</t>
  </si>
  <si>
    <t>Side by Side(Face)</t>
  </si>
  <si>
    <t>Side by Side(Reveal)</t>
  </si>
  <si>
    <t>Face Fit (Recess Deduction)</t>
  </si>
  <si>
    <t>Face Fit (Recess Side by Side Deduction)</t>
  </si>
  <si>
    <t>Face Fit (10mm Deduction)</t>
  </si>
  <si>
    <t>Recess Fit (No Deduction)</t>
  </si>
  <si>
    <t>Recess Fit (7mm Deduction)</t>
  </si>
  <si>
    <t>Recess Fit (10mm Deduction)</t>
  </si>
  <si>
    <t>Recess Fit (15mm Deduction)</t>
  </si>
  <si>
    <t>Recess Fit (20mm Deduction)</t>
  </si>
  <si>
    <t>Entered Width</t>
  </si>
  <si>
    <t>Spring</t>
  </si>
  <si>
    <t>Installation Deliver or Supply</t>
  </si>
  <si>
    <t>Motor Tails</t>
  </si>
  <si>
    <t>Yes</t>
  </si>
  <si>
    <t>Motor Tail</t>
  </si>
  <si>
    <t>A</t>
  </si>
  <si>
    <t>Component Look Ups</t>
  </si>
  <si>
    <t>Component Colour Matching</t>
  </si>
  <si>
    <t>Non Standard Hood/Bracket Colour</t>
  </si>
  <si>
    <t>Bracket Fixing</t>
  </si>
  <si>
    <t>Pivot Plate Nuts &amp; Bolts for Side Guides</t>
  </si>
  <si>
    <t>Side Fix Bracket for U Bracket</t>
  </si>
  <si>
    <t>HVG Visiontex Plus Sunscreen Amazon</t>
  </si>
  <si>
    <t>HVG Visiontex Plus Sunscreen Arizona</t>
  </si>
  <si>
    <t>HVG Visiontex Plus Sunscreen Baltic Blue</t>
  </si>
  <si>
    <t>HVG Visiontex Plus Sunscreen Bondi</t>
  </si>
  <si>
    <t>HVG Visiontex Plus Sunscreen Carbon Black</t>
  </si>
  <si>
    <t>HVG Visiontex Plus Sunscreen Desert</t>
  </si>
  <si>
    <t>HVG Visiontex Plus Sunscreen Everest</t>
  </si>
  <si>
    <t>HVG Visiontex Plus Sunscreen Evergreen</t>
  </si>
  <si>
    <t>HVG Visiontex Plus Sunscreen Graphite</t>
  </si>
  <si>
    <t>HVG Visiontex Plus Sunscreen Greystone</t>
  </si>
  <si>
    <t>HVG Visiontex Plus Sunscreen Havana</t>
  </si>
  <si>
    <t>HVG Visiontex Plus Sunscreen Ice White</t>
  </si>
  <si>
    <t>HVG Visiontex Plus Sunscreen Ivory</t>
  </si>
  <si>
    <t>HVG Visiontex Plus Sunscreen Java</t>
  </si>
  <si>
    <t>HVG Visiontex Plus Sunscreen Kashmir</t>
  </si>
  <si>
    <t>HVG Visiontex Plus Sunscreen Kelp</t>
  </si>
  <si>
    <t>HVG Visiontex Plus Sunscreen Neptune</t>
  </si>
  <si>
    <t>HVG Visiontex Plus Sunscreen Paperbark</t>
  </si>
  <si>
    <t>HVG Visiontex Plus Sunscreen Platinum</t>
  </si>
  <si>
    <t>HVG Visiontex Plus Sunscreen TBA</t>
  </si>
  <si>
    <t>HVG Visiontex Plus Sunscreen Titan Grey</t>
  </si>
  <si>
    <t>HVG Visiontex Ultra Sunscreen Basalt</t>
  </si>
  <si>
    <t>HVG Visiontex Ultra Sunscreen Claystone</t>
  </si>
  <si>
    <t>HVG Visiontex Ultra Sunscreen Goldstone</t>
  </si>
  <si>
    <t>HVG Visiontex Ultra Sunscreen Granite</t>
  </si>
  <si>
    <t>HVG Visiontex Ultra Sunscreen Onyx</t>
  </si>
  <si>
    <t>HVG Visiontex Ultra Sunscreen Pebble</t>
  </si>
  <si>
    <t>HVG Visiontex Ultra Sunscreen Sahara</t>
  </si>
  <si>
    <t>HVG Visiontex Ultra Sunscreen Sandstone</t>
  </si>
  <si>
    <t>HVG Visiontex Ultra Sunscreen Sapphire</t>
  </si>
  <si>
    <t>HVG Visiontex Ultra Sunscreen TBA</t>
  </si>
  <si>
    <t>HVG Visiontex Ultra Sunscreen Tungsten</t>
  </si>
  <si>
    <t>HVG Visiontex View Sunscreen Daylight</t>
  </si>
  <si>
    <t>HVG Visiontex View Sunscreen Nightsky</t>
  </si>
  <si>
    <t>HVG Visiontex View Sunscreen Shadow</t>
  </si>
  <si>
    <t>HVG Visiontex View Sunscreen TBA</t>
  </si>
  <si>
    <t>Nolans Vistaweave 95 Sunscreen Ash Grey</t>
  </si>
  <si>
    <t>Nolans Vistaweave 95 Sunscreen Cappuccino</t>
  </si>
  <si>
    <t>Nolans Vistaweave 95 Sunscreen Caramel</t>
  </si>
  <si>
    <t>Nolans Vistaweave 95 Sunscreen Charcoal</t>
  </si>
  <si>
    <t>Nolans Vistaweave 95 Sunscreen Chinaberry</t>
  </si>
  <si>
    <t>Nolans Vistaweave 95 Sunscreen Classic Cream</t>
  </si>
  <si>
    <t>Nolans Vistaweave 95 Sunscreen Cocoa</t>
  </si>
  <si>
    <t>Nolans Vistaweave 95 Sunscreen Congo</t>
  </si>
  <si>
    <t>Nolans Vistaweave 95 Sunscreen Copper</t>
  </si>
  <si>
    <t>Nolans Vistaweave 95 Sunscreen Dune</t>
  </si>
  <si>
    <t>Nolans Vistaweave 95 Sunscreen Ebony</t>
  </si>
  <si>
    <t>Nolans Vistaweave 95 Sunscreen Fed Green</t>
  </si>
  <si>
    <t>Nolans Vistaweave 95 Sunscreen Flint</t>
  </si>
  <si>
    <t>Nolans Vistaweave 95 Sunscreen Grecian Gold</t>
  </si>
  <si>
    <t>Nolans Vistaweave 95 Sunscreen Green Tea</t>
  </si>
  <si>
    <t>Nolans Vistaweave 95 Sunscreen Gunmetal</t>
  </si>
  <si>
    <t>Nolans Vistaweave 95 Sunscreen Ironstone</t>
  </si>
  <si>
    <t>Nolans Vistaweave 95 Sunscreen Jasper</t>
  </si>
  <si>
    <t>Nolans Vistaweave 95 Sunscreen Mist</t>
  </si>
  <si>
    <t>Nolans Vistaweave 95 Sunscreen Oyster</t>
  </si>
  <si>
    <t>Nolans Vistaweave 95 Sunscreen Paperbark</t>
  </si>
  <si>
    <t>Nolans Vistaweave 95 Sunscreen Pepper</t>
  </si>
  <si>
    <t>Nolans Vistaweave 95 Sunscreen Pewter</t>
  </si>
  <si>
    <t>Nolans Vistaweave 95 Sunscreen Porcelain</t>
  </si>
  <si>
    <t>Nolans Vistaweave 95 Sunscreen Shale Grey</t>
  </si>
  <si>
    <t>Nolans Vistaweave 95 Sunscreen Snow</t>
  </si>
  <si>
    <t>Nolans Vistaweave 95 Sunscreen Steel Blue</t>
  </si>
  <si>
    <t>Nolans Vistaweave 95 Sunscreen Storm</t>
  </si>
  <si>
    <t>Nolans Vistaweave 95 Sunscreen Taupe</t>
  </si>
  <si>
    <t>Nolans Vistaweave 95 Sunscreen TBA</t>
  </si>
  <si>
    <t>Nolans Vistaweave 95 Sunscreen Wallaby</t>
  </si>
  <si>
    <t>Nolans Vistaweave 95 Sunscreen Windspray</t>
  </si>
  <si>
    <t>Nolans Vistaweave 95 Sunscreen Woodland Grey</t>
  </si>
  <si>
    <t>Nolans Vistaweave 99 Sunscreen Cappuccino</t>
  </si>
  <si>
    <t>Nolans Vistaweave 99 Sunscreen Caramel</t>
  </si>
  <si>
    <t>Nolans Vistaweave 99 Sunscreen Charcoal</t>
  </si>
  <si>
    <t>Nolans Vistaweave 99 Sunscreen Classic Cream</t>
  </si>
  <si>
    <t>Nolans Vistaweave 99 Sunscreen Ebony</t>
  </si>
  <si>
    <t>Nolans Vistaweave 99 Sunscreen Gunmetal</t>
  </si>
  <si>
    <t>Nolans Vistaweave 99 Sunscreen Paperbark</t>
  </si>
  <si>
    <t>Nolans Vistaweave 99 Sunscreen Storm</t>
  </si>
  <si>
    <t>Nolans Vistaweave 99 Sunscreen TBA</t>
  </si>
  <si>
    <t>Nolans Vistaweave 99 Sunscreen Woodland Grey</t>
  </si>
  <si>
    <t>Nolans Vistaweave Stripe Sunscreen T044</t>
  </si>
  <si>
    <t>Nolans Vistaweave Stripe Sunscreen T113</t>
  </si>
  <si>
    <t>Nolans Vistaweave Stripe Sunscreen T115</t>
  </si>
  <si>
    <t>Nolans Vistaweave Stripe Sunscreen T232</t>
  </si>
  <si>
    <t>Nolans Vistaweave Stripe Sunscreen T294</t>
  </si>
  <si>
    <t>Nolans Vistaweave Stripe Sunscreen T893</t>
  </si>
  <si>
    <t>Nolans Vistaweave Stripe Sunscreen TBA</t>
  </si>
  <si>
    <t>Ricky Outlook Designs Sunscreen 605 Ironbark Stripe</t>
  </si>
  <si>
    <t>Ricky Outlook Designs Sunscreen 618 Wanda Stripe</t>
  </si>
  <si>
    <t>Ricky Outlook Designs Sunscreen 625 Palm Beach Stripe</t>
  </si>
  <si>
    <t>Ricky Outlook Designs Sunscreen 636 Stradbroke Stripe</t>
  </si>
  <si>
    <t>Ricky Outlook Designs Sunscreen 642 Gumleaf Stripe</t>
  </si>
  <si>
    <t>Ricky Outlook Designs Sunscreen 644 Nambucca Stripe</t>
  </si>
  <si>
    <t>Ricky Outlook Designs Sunscreen 648 Daintree Stripe</t>
  </si>
  <si>
    <t>Ricky Outlook Designs Sunscreen 662 Modena Stripe</t>
  </si>
  <si>
    <t>Ricky Outlook Designs Sunscreen 672 Federation Stripe</t>
  </si>
  <si>
    <t>Ricky Outlook Mode Colours Sunscreen 503 Deep Sea</t>
  </si>
  <si>
    <t>Ricky Outlook Mode Colours Sunscreen 504 Spice</t>
  </si>
  <si>
    <t>Ricky Outlook Mode Colours Sunscreen 505 Silver Sky</t>
  </si>
  <si>
    <t>Ricky Outlook Mode Colours Sunscreen 507 Bamboo</t>
  </si>
  <si>
    <t>Ricky Outlook Mode Colours Sunscreen 508 Nougat</t>
  </si>
  <si>
    <t>Ricky Outlook Mode Colours Sunscreen 509 Flint</t>
  </si>
  <si>
    <t>Ricky Outlook Mode Colours Sunscreen 510 Moonlight</t>
  </si>
  <si>
    <t>Ricky Outlook Mode Colours Sunscreen 517 Chalk</t>
  </si>
  <si>
    <t>Ricky Outlook Mode Colours Sunscreen 526 Greystone</t>
  </si>
  <si>
    <t>Ricky Outlook Mode Colours Sunscreen 529 Wheat</t>
  </si>
  <si>
    <t>Ricky Outlook Mode Colours Sunscreen 533 Mocha</t>
  </si>
  <si>
    <t>Ricky Outlook Mode Colours Sunscreen 539 Shale Grey</t>
  </si>
  <si>
    <t>Ricky Outlook Mode Colours Sunscreen 540 Woodland Grey</t>
  </si>
  <si>
    <t>Ricky Outlook Mode Colours Sunscreen 541 Basalt</t>
  </si>
  <si>
    <t>Ricky Outlook Mode Colours Sunscreen 542 Monument</t>
  </si>
  <si>
    <t>Ricky Outlook Mode Colours Sunscreen 544 Eclipse</t>
  </si>
  <si>
    <t>Ricky Outlook Mode Colours Sunscreen 551 Ash</t>
  </si>
  <si>
    <t>Ricky Outlook Mode Colours Sunscreen 553 Blackstone</t>
  </si>
  <si>
    <t>Ricky Outlook Mode Colours Sunscreen 559 Forest Green</t>
  </si>
  <si>
    <t>Ricky Outlook Mode Colours Sunscreen 564 Platinum</t>
  </si>
  <si>
    <t>Ricky Outlook Mode Colours Sunscreen 566 Alpaca</t>
  </si>
  <si>
    <t>Ricky Outlook Mode Colours Sunscreen 572 Porcelain</t>
  </si>
  <si>
    <t>Ricky Outlook Mode Colours Sunscreen 575 Marzipan</t>
  </si>
  <si>
    <t>Ricky Outlook Mode Colours Sunscreen 597 Maroon</t>
  </si>
  <si>
    <t>Ricky Outlook Mode Privacy Sunscreen 400 Ebony</t>
  </si>
  <si>
    <t>Ricky Outlook Mode Privacy Sunscreen 401 Gunmetal</t>
  </si>
  <si>
    <t>Ricky Outlook Mode Privacy Sunscreen 402 Chestnut</t>
  </si>
  <si>
    <t>Ricky Outlook Mode Privacy Sunscreen 403 Storm</t>
  </si>
  <si>
    <t>Ricky Outlook Mode Privacy Sunscreen 404 Paperbark</t>
  </si>
  <si>
    <t>Ricky Outlook Mode Privacy Sunscreen 406 Desert</t>
  </si>
  <si>
    <t>Ricky Outlook Mode Privacy Sunscreen 407 Black Opal</t>
  </si>
  <si>
    <t>Ricky Outlook Mode Privacy Sunscreen 408 Shadow</t>
  </si>
  <si>
    <t>Ricky Outlook Mode Privacy Sunscreen 409 Colarado</t>
  </si>
  <si>
    <t>Ricky Outlook Mode Privacy Sunscreen 410 Cotton</t>
  </si>
  <si>
    <t>Ricky Outlook Mode Privacy Sunscreen TBA</t>
  </si>
  <si>
    <t>Texstyle Solar View Sunscreen Alabaster</t>
  </si>
  <si>
    <t>Texstyle Solar View Sunscreen Black</t>
  </si>
  <si>
    <t>Texstyle Solar View Sunscreen Black/Copper</t>
  </si>
  <si>
    <t>Texstyle Solar View Sunscreen Bone/Off White</t>
  </si>
  <si>
    <t>Texstyle Solar View Sunscreen Bronze/Charcoal</t>
  </si>
  <si>
    <t>Texstyle Solar View Sunscreen Charcoal</t>
  </si>
  <si>
    <t>Texstyle Solar View Sunscreen Cotton</t>
  </si>
  <si>
    <t>Texstyle Solar View Sunscreen Grey</t>
  </si>
  <si>
    <t>Texstyle Solar View Sunscreen Off White</t>
  </si>
  <si>
    <t>Texstyle Solar View Sunscreen Platinum</t>
  </si>
  <si>
    <t>Texstyle Solar View Sunscreen Taupe</t>
  </si>
  <si>
    <t>Texstyle Solar View Sunscreen TBA</t>
  </si>
  <si>
    <t>Texstyle Solar View Sunscreen White</t>
  </si>
  <si>
    <t>Side Hems</t>
  </si>
  <si>
    <t>HVG Visiontex Extreme Ararat</t>
  </si>
  <si>
    <t>HVG Visiontex Extreme Dakota</t>
  </si>
  <si>
    <t>HVG Visiontex Extreme Rio</t>
  </si>
  <si>
    <t>HVG Visiontex Extreme Sierra</t>
  </si>
  <si>
    <t>HVG Visiontex Extreme Kalahari</t>
  </si>
  <si>
    <t>HVG Visiontex Extreme Tanami</t>
  </si>
  <si>
    <t>HVG Visiontex Extreme Rocky</t>
  </si>
  <si>
    <t>HVG Visiontex Extreme Maui</t>
  </si>
  <si>
    <t>HVG Visiontex Extreme TBA</t>
  </si>
  <si>
    <t>Electrical Form</t>
  </si>
  <si>
    <t>Phone Number</t>
  </si>
  <si>
    <t>Electrician Required</t>
  </si>
  <si>
    <t>Control Type</t>
  </si>
  <si>
    <t>Controller</t>
  </si>
  <si>
    <t>Receiver</t>
  </si>
  <si>
    <t>House Construction</t>
  </si>
  <si>
    <t>Roof Style</t>
  </si>
  <si>
    <t>Switchboard Upgrade</t>
  </si>
  <si>
    <t>Number of Storeys</t>
  </si>
  <si>
    <t>M</t>
  </si>
  <si>
    <t>Flap Side</t>
  </si>
  <si>
    <t>Railroad</t>
  </si>
  <si>
    <t>FIXED GUIDE SUNBLINDS Assembley (c)</t>
  </si>
  <si>
    <t>FIXED GUIDE SUNBLINDS Packing</t>
  </si>
  <si>
    <t>Packing</t>
  </si>
  <si>
    <t>Assembly(c)</t>
  </si>
  <si>
    <t>Customer.Warning</t>
  </si>
  <si>
    <t>Customer.WarningColour</t>
  </si>
  <si>
    <t>U Bracket Extension Bracket</t>
  </si>
  <si>
    <t>75mm x 1</t>
  </si>
  <si>
    <t>25mm x 1</t>
  </si>
  <si>
    <t>25mm x 2</t>
  </si>
  <si>
    <t>50mm x 1</t>
  </si>
  <si>
    <t>50mm x 2</t>
  </si>
  <si>
    <t>75mm x 2</t>
  </si>
  <si>
    <t>100mm x 1</t>
  </si>
  <si>
    <t>100mm x 2</t>
  </si>
  <si>
    <t>125mm x 1</t>
  </si>
  <si>
    <t>125mm x 2</t>
  </si>
  <si>
    <t>Telescopic x 1</t>
  </si>
  <si>
    <t>Telescopic x 2</t>
  </si>
  <si>
    <t>Telescopic x 3</t>
  </si>
  <si>
    <t>25mm x 1, Nuts and Bolts x 2</t>
  </si>
  <si>
    <t>50mm x 1, Nuts and Bolts x 2</t>
  </si>
  <si>
    <t>75mm x 1, Nuts and Bolts x 2</t>
  </si>
  <si>
    <t>100mm x 1, Nuts and Bolts x 2</t>
  </si>
  <si>
    <t>125mm x 1, Nuts and Bolts x 2</t>
  </si>
  <si>
    <t>Telescopic x 1, Nuts and Bolts x 2</t>
  </si>
  <si>
    <t>25mm x 2, Nuts and Bolts x 4</t>
  </si>
  <si>
    <t>50mm x 2, Nuts and Bolts x 4</t>
  </si>
  <si>
    <t>75mm x 2, Nuts and Bolts x 4</t>
  </si>
  <si>
    <t>100mm x 2, Nuts and Bolts x 4</t>
  </si>
  <si>
    <t>125mm x 2, Nuts and Bolts x 4</t>
  </si>
  <si>
    <t>Telescopic x 2, Nuts and Bolts x 4</t>
  </si>
  <si>
    <t>Telescopic x 3, Nuts and Bolts x 6</t>
  </si>
  <si>
    <t>Standout Brackets</t>
  </si>
  <si>
    <t>HVG Visiontex Glisse Sunscreen TBA</t>
  </si>
  <si>
    <t>HVG Visiontex Glisse Sunscreen Majorca</t>
  </si>
  <si>
    <t>HVG Visiontex Glisse Sunscreen Malta</t>
  </si>
  <si>
    <t>HVG Visiontex Glisse Sunscreen Naples</t>
  </si>
  <si>
    <t>HVG Visiontex Glisse Sunscreen Rhodes</t>
  </si>
  <si>
    <t>HVG Visiontex Glisse Sunscreen Genoa</t>
  </si>
  <si>
    <t>HVG Visiontex Perform Sunscreen Nova</t>
  </si>
  <si>
    <t>HVG Visiontex Perform Sunscreen Nebula</t>
  </si>
  <si>
    <t>HVG Visiontex Perform Sunscreen Cosmos</t>
  </si>
  <si>
    <t>HVG Visiontex Perform Sunscreen Luna</t>
  </si>
  <si>
    <t>HVG Visiontex Perform Sunscreen Galaxy</t>
  </si>
  <si>
    <t>HVG Visiontex Perform Sunscreen Blackstar</t>
  </si>
  <si>
    <t>HVG Visiontex Perform Sunscreen TBA</t>
  </si>
  <si>
    <t>HVG Visiontex Primo Sunscreen TBA</t>
  </si>
  <si>
    <t>HVG Visiontex Primo Sunscreen Gravel</t>
  </si>
  <si>
    <t>HVG Visiontex Primo Sunscreen Jet Black</t>
  </si>
  <si>
    <t>HVG Visiontex Ultra Sunscreen Shale</t>
  </si>
  <si>
    <t>Email</t>
  </si>
  <si>
    <t>Gearbox</t>
  </si>
  <si>
    <t>Becker Remote Operated</t>
  </si>
  <si>
    <t>Becker Switch Operated</t>
  </si>
  <si>
    <t>Somfy Remote Operated</t>
  </si>
  <si>
    <t>Somfy Switch Operated</t>
  </si>
  <si>
    <t>Acmeda Remote Motor</t>
  </si>
  <si>
    <t>Acmeda 12v Remote Motor</t>
  </si>
  <si>
    <t>Control Side</t>
  </si>
  <si>
    <t>FixedLine</t>
  </si>
  <si>
    <t>InventoryGroup.Descn</t>
  </si>
  <si>
    <t>Qty</t>
  </si>
  <si>
    <t>ItemWidth</t>
  </si>
  <si>
    <t>ItemHeight</t>
  </si>
  <si>
    <t>Inventory.Code</t>
  </si>
  <si>
    <t>Inventory.Descn</t>
  </si>
  <si>
    <t>Production.DateSched</t>
  </si>
  <si>
    <t>DiscPer</t>
  </si>
  <si>
    <t>Tax</t>
  </si>
  <si>
    <t>RRP</t>
  </si>
  <si>
    <t>DiscountAmt</t>
  </si>
  <si>
    <t>UnitCost</t>
  </si>
  <si>
    <t>Production.ProductionLine.Descn</t>
  </si>
  <si>
    <t>Inventory.Material</t>
  </si>
  <si>
    <t>Inventory.MaterialType</t>
  </si>
  <si>
    <t>Inventory.Colour</t>
  </si>
  <si>
    <t>Supplier</t>
  </si>
  <si>
    <t>Supp Prod Code</t>
  </si>
  <si>
    <t>Supp Prod Descn</t>
  </si>
  <si>
    <t>CustVar1 (PackSize)</t>
  </si>
  <si>
    <t>CustVar2 (PackOpt)</t>
  </si>
  <si>
    <t>CustVar3 (PackType)</t>
  </si>
  <si>
    <t>OrderItemPkId | Descn</t>
  </si>
  <si>
    <t>OrderItemPkId</t>
  </si>
  <si>
    <t>StrValue</t>
  </si>
  <si>
    <t>Binding Colour</t>
  </si>
  <si>
    <t>P</t>
  </si>
  <si>
    <t>U Bracket</t>
  </si>
  <si>
    <t>2010 130 176 0</t>
  </si>
  <si>
    <t>2020 130 156 0</t>
  </si>
  <si>
    <t>4930 300 023 0</t>
  </si>
  <si>
    <t>4930 300 084 0</t>
  </si>
  <si>
    <t>4930 300 053 0</t>
  </si>
  <si>
    <t>Molexconnection</t>
  </si>
  <si>
    <t>4930 300 091 0</t>
  </si>
  <si>
    <t>4034 000 920 0</t>
  </si>
  <si>
    <t>4034 000 921 0</t>
  </si>
  <si>
    <t>Quote No.</t>
  </si>
  <si>
    <t>Line No</t>
  </si>
  <si>
    <t>Order Item Code</t>
  </si>
  <si>
    <t>Business Name</t>
  </si>
  <si>
    <t>Quote Ref</t>
  </si>
  <si>
    <t>Fabric</t>
  </si>
  <si>
    <t>Fabric Sqm</t>
  </si>
  <si>
    <t>50mm Tube</t>
  </si>
  <si>
    <t>63mm Tube</t>
  </si>
  <si>
    <t>70mm Tube</t>
  </si>
  <si>
    <t>78mm Tube</t>
  </si>
  <si>
    <t>85mm Tube</t>
  </si>
  <si>
    <t>50mm Drive End</t>
  </si>
  <si>
    <t>50mm Idle with Hole</t>
  </si>
  <si>
    <t>63mm Drive End</t>
  </si>
  <si>
    <t>63mm Idle with Hole</t>
  </si>
  <si>
    <t>70mm Drive End</t>
  </si>
  <si>
    <t>70mm Idle with Hole</t>
  </si>
  <si>
    <t>78mm Drive End</t>
  </si>
  <si>
    <t>78mm Idle with Hole</t>
  </si>
  <si>
    <t>85mm Drive End</t>
  </si>
  <si>
    <t>85mm Idle with Hole</t>
  </si>
  <si>
    <t>Pivot Pin &amp; Plate</t>
  </si>
  <si>
    <t>Pivot Pin &amp; Plate Stainless Steel</t>
  </si>
  <si>
    <t>5 Sided Bottom Rail Pull Ring</t>
  </si>
  <si>
    <t>50mm Small Spring</t>
  </si>
  <si>
    <t>50mm Standard Spring</t>
  </si>
  <si>
    <t>63mm Spring</t>
  </si>
  <si>
    <t>U Bracket Stainless Steel</t>
  </si>
  <si>
    <t>Guide End Cap</t>
  </si>
  <si>
    <t>Pull Stick 1500mm White</t>
  </si>
  <si>
    <t>Pull Stick White Lengths</t>
  </si>
  <si>
    <t>Pull Stick Hook</t>
  </si>
  <si>
    <t>Pull Stick End Cap</t>
  </si>
  <si>
    <t>Spring Brackets</t>
  </si>
  <si>
    <t>Spring Brackets Stainless Steel</t>
  </si>
  <si>
    <t>Side Fix Bracket for Guide</t>
  </si>
  <si>
    <t>Telescopic Corner Bracket Small</t>
  </si>
  <si>
    <t>Telescopic Corner Bracket Universal</t>
  </si>
  <si>
    <t>Fixed Guide Runners</t>
  </si>
  <si>
    <t>50mm Round End Cap</t>
  </si>
  <si>
    <t>Stainless Steel Cable</t>
  </si>
  <si>
    <t>Stainless Steel L Bracket</t>
  </si>
  <si>
    <t>Stainless Steel Bush Bottom Fix</t>
  </si>
  <si>
    <t>Stainless Steel Bush Top Fix</t>
  </si>
  <si>
    <t>Stainless Steel Deck Plate</t>
  </si>
  <si>
    <t>Chain Adaptor</t>
  </si>
  <si>
    <t>Chain Adaptor Stainless Steel</t>
  </si>
  <si>
    <t>Stainless Steel Drop Path Ring</t>
  </si>
  <si>
    <t>Stainless Steel Double Swivel Dog Clip</t>
  </si>
  <si>
    <t>Stainless Steel Saddle</t>
  </si>
  <si>
    <t>Stainless Steel</t>
  </si>
  <si>
    <t>3.6mm Spline</t>
  </si>
  <si>
    <t>6mm Spline Soft</t>
  </si>
  <si>
    <t>Verticali 125mm Tube</t>
  </si>
  <si>
    <t>Verticali Outer Side Guide</t>
  </si>
  <si>
    <t>Verticali Verticali Inner Side Guide</t>
  </si>
  <si>
    <t>Verticali Bottom Rail</t>
  </si>
  <si>
    <t>Verticali  Inner Nylon Guide</t>
  </si>
  <si>
    <t>Verticali Foam Spacer</t>
  </si>
  <si>
    <t>Verticali 30mm Bottom Seal</t>
  </si>
  <si>
    <t>Verticali Ballast</t>
  </si>
  <si>
    <t>Verticali Std Hood Ends</t>
  </si>
  <si>
    <t>Verticali Square Hood Ends</t>
  </si>
  <si>
    <t>Verticali Wire Guide Hood Ends</t>
  </si>
  <si>
    <t>Verticali Sqaure Hood Ends for Colourbond Headbox</t>
  </si>
  <si>
    <t>Verticali 78mm Reducer</t>
  </si>
  <si>
    <t>Verticali 85mm Reducer</t>
  </si>
  <si>
    <t>Verticali 125mm Reducer</t>
  </si>
  <si>
    <t>Verticali 60mm Drive</t>
  </si>
  <si>
    <t>Verticali Bottom Rail Wire Guide Adaptor</t>
  </si>
  <si>
    <t>Verticali Side Guide End Cap</t>
  </si>
  <si>
    <t>Verticali Bottom Rail End Cap</t>
  </si>
  <si>
    <t>Verticali Bottom Rail Blank End Cap</t>
  </si>
  <si>
    <t>Verticali Side Guide Funnel</t>
  </si>
  <si>
    <t>Verticali Side Guide Top Stops</t>
  </si>
  <si>
    <t>Verticali Flat Saddle</t>
  </si>
  <si>
    <t>Zipscreen Headbox 120mm Back</t>
  </si>
  <si>
    <t>Zipscreen Headbox 120mm Front</t>
  </si>
  <si>
    <t>Zipscreen Headbox 120mm End Caps</t>
  </si>
  <si>
    <t>Zipscreen Spring 78mm Compact</t>
  </si>
  <si>
    <t>Zipscreen Spring 78mm Light</t>
  </si>
  <si>
    <t>Zipscreen Spring 78mm Standard</t>
  </si>
  <si>
    <t>Zipscreen Spring 78mm Heavy Duty</t>
  </si>
  <si>
    <t>Zipscreen Spring 78mm Extra Heavy Duty</t>
  </si>
  <si>
    <t>Zipscreen Spring 78mm Ultra Heavy Duty</t>
  </si>
  <si>
    <t>Zipscreen 78mm to 45mm Reducer</t>
  </si>
  <si>
    <t>Zipscreen Zipscreen 78mm to 45mm Crown</t>
  </si>
  <si>
    <t>Zipscreen 45mm Idle</t>
  </si>
  <si>
    <t>Zipscreen Idler/Spring Adaptor</t>
  </si>
  <si>
    <t>Zipscreen Fabric 7mm Spline with 15mm Tail</t>
  </si>
  <si>
    <t>Zipscreen F56 Base Rail</t>
  </si>
  <si>
    <t>Zipscreen F56 Base Rail End Caps</t>
  </si>
  <si>
    <t>Zipscreen Bottom Rail V3 Lock Seal</t>
  </si>
  <si>
    <t>Flush Mount Deck Plates</t>
  </si>
  <si>
    <t>Zipscreen Flat 20x5mm Ballast</t>
  </si>
  <si>
    <t>Zipscreen Handle</t>
  </si>
  <si>
    <t>Zipscreen Bottom Rail Lock Set</t>
  </si>
  <si>
    <t>Zipscreen Outer Side Guides</t>
  </si>
  <si>
    <t>Zipscreen Inner Side Guides</t>
  </si>
  <si>
    <t>Zipscreen L Fixing Rail</t>
  </si>
  <si>
    <t>Zipscreen Side Guide Top Funnel</t>
  </si>
  <si>
    <t>Zipscreen Side Guide Bottom Cap</t>
  </si>
  <si>
    <t>Crown Ring 63mm Keyway Tube</t>
  </si>
  <si>
    <t>Drive Wheel 63mm Keyway tube</t>
  </si>
  <si>
    <t>Star Awning Bracket</t>
  </si>
  <si>
    <t>Molex Connection</t>
  </si>
  <si>
    <t>Crown 78mm Tube</t>
  </si>
  <si>
    <t>Drive Adaptor 78mm Tube</t>
  </si>
  <si>
    <t>1 Channel Remote - White</t>
  </si>
  <si>
    <t>1 Channel Remote - Black</t>
  </si>
  <si>
    <t>Altus 50 RTS 10/17</t>
  </si>
  <si>
    <t>Altus 50 RTS 15/17</t>
  </si>
  <si>
    <t>Zamack Bracket without thread</t>
  </si>
  <si>
    <t>63mm Crown</t>
  </si>
  <si>
    <t>63mm Drive</t>
  </si>
  <si>
    <t>Connexoon</t>
  </si>
  <si>
    <t>Tahoma Switch</t>
  </si>
  <si>
    <t>Somfy 15 Channel Silver Remote</t>
  </si>
  <si>
    <t>Somfy 15 Channel White Remote</t>
  </si>
  <si>
    <t>Somfy 2 Channel Silver Remote</t>
  </si>
  <si>
    <t>Somfy 2 Channel Wall Mounted Smoove Remote White with Black Cover Plate</t>
  </si>
  <si>
    <t>Somfy 2 Channel Wall Mounted Smoove Remote White with Silver Cover Plate</t>
  </si>
  <si>
    <t>Somfy 2 Channel Wall Mounted Smoove Remote White</t>
  </si>
  <si>
    <t>Somfy 2 Channel White Remote</t>
  </si>
  <si>
    <t>Somfy 5 Channel Silver Remote</t>
  </si>
  <si>
    <t>Somfy 5 Channel Wall Mounted Smoove Remote White with Black Cover Plate</t>
  </si>
  <si>
    <t>Somfy 5 Channel Wall Mounted Smoove Remote White with Silver Cover Plate</t>
  </si>
  <si>
    <t>Somfy 5 Channel Wall Mounted Smoove Remote White</t>
  </si>
  <si>
    <t>Somfy 5 Channel White Remote</t>
  </si>
  <si>
    <t>Somfy Single Channel Silver Remote</t>
  </si>
  <si>
    <t>Somfy Single Channel Wall Mounted Smoove Remote White with Black Cover Plate</t>
  </si>
  <si>
    <t>Somfy Single Channel Wall Mounted Smoove Remote White with Silver Cover Plate</t>
  </si>
  <si>
    <t>Somfy Single Channel Wall Mounted Smoove Remote White</t>
  </si>
  <si>
    <t>Somfy Single Channel White Remote</t>
  </si>
  <si>
    <t>Motor Extras</t>
  </si>
  <si>
    <t>5 Channel Remote - White</t>
  </si>
  <si>
    <t>5 Channel Remote - Black</t>
  </si>
  <si>
    <t>10 Channel Remote - White</t>
  </si>
  <si>
    <t>10 Channel Remote - Black</t>
  </si>
  <si>
    <t>78mm Crown</t>
  </si>
  <si>
    <t>78mm Drive</t>
  </si>
  <si>
    <t>Components</t>
  </si>
  <si>
    <t>Verticali Side Guide Leg</t>
  </si>
  <si>
    <t/>
  </si>
  <si>
    <t>10mm Ballast</t>
  </si>
  <si>
    <t>Hunter Douglas Stance 1% Grey</t>
  </si>
  <si>
    <t>Hunter Douglas Stance 1% Grey/Black</t>
  </si>
  <si>
    <t>Hunter Douglas Stance 1% Black/Grey</t>
  </si>
  <si>
    <t>Hunter Douglas Stance 1% Black</t>
  </si>
  <si>
    <t>Hunter Douglas Stance 1% TBA</t>
  </si>
  <si>
    <t>Hunter Douglas Stance 3% Grey</t>
  </si>
  <si>
    <t>Hunter Douglas Stance 3% Grey/ Black</t>
  </si>
  <si>
    <t>Hunter Douglas Stance 3% Bronze</t>
  </si>
  <si>
    <t>Hunter Douglas Stance 3% Linen</t>
  </si>
  <si>
    <t>Hunter Douglas Stance 3% Pearl</t>
  </si>
  <si>
    <t>Hunter Douglas Stance 3% Black/ Bronze</t>
  </si>
  <si>
    <t>Hunter Douglas Stance 3% Black</t>
  </si>
  <si>
    <t>Hunter Douglas Stance 3% TBA</t>
  </si>
  <si>
    <t>HVG Visiontex Glisse Sunscreen Naxos</t>
  </si>
  <si>
    <t>Yes / No</t>
  </si>
  <si>
    <t>HVG Visiontex Plus Sunscreen Oyster</t>
  </si>
  <si>
    <t>HVG Visiontex Ultra Sunscreen Bluestone</t>
  </si>
  <si>
    <t>Dark Grey</t>
  </si>
  <si>
    <t>HVG Visiontex Ultra Sunscreen Limestone</t>
  </si>
  <si>
    <t>HVG Visiontex Ultra Sunscreen Riverstone</t>
  </si>
  <si>
    <t>Nolans Vistaweave 95 Sunscreen Cobalt</t>
  </si>
  <si>
    <t>Nolans Vistaweave 95 Sunscreen Monument</t>
  </si>
  <si>
    <t>Nolans Vistaweave 99 Sunscreen Flint</t>
  </si>
  <si>
    <t>Nolans Vistaweave 99 Sunscreen Monument</t>
  </si>
  <si>
    <t>Nolans Vistaweave Max Sunscreen Bassalt</t>
  </si>
  <si>
    <t>Nolans Vistaweave Max Sunscreen Charcoal</t>
  </si>
  <si>
    <t>Nolans Vistaweave Max Sunscreen Classic Cream</t>
  </si>
  <si>
    <t>Nolans Vistaweave Max Sunscreen Ebony</t>
  </si>
  <si>
    <t>Nolans Vistaweave Max Sunscreen Monument</t>
  </si>
  <si>
    <t>Nolans Vistaweave Max Sunscreen Paperbark</t>
  </si>
  <si>
    <t>Nolans Vistaweave Max Sunscreen Snow</t>
  </si>
  <si>
    <t>Nolans Vistaweave Max Sunscreen TBA</t>
  </si>
  <si>
    <t>Nolans Vistaweave Max Sunscreen Woodland Grey</t>
  </si>
  <si>
    <t>Ricky Outlook Designs Sunscreen 640 Zebra Stripe</t>
  </si>
  <si>
    <t>Ricky Outlook Mode Colours Sunscreen TBA</t>
  </si>
  <si>
    <t>Ricky Outlook Mode Textures 907 Aniseed</t>
  </si>
  <si>
    <t>Ricky Outlook Mode Textures 909 Stucco</t>
  </si>
  <si>
    <t>Ricky Outlook Mode Textures 901 Golden Glow</t>
  </si>
  <si>
    <t>Ricky Outlook Mode Textures 903 Smokey Quartz</t>
  </si>
  <si>
    <t>Ricky Outlook Mode Textures 900 Milky Topaz</t>
  </si>
  <si>
    <t>Ricky Outlook Mode Textures 905 Peppermint</t>
  </si>
  <si>
    <t>Ricky Outlook Mode Textures TBA</t>
  </si>
  <si>
    <t>Hunter Douglas Stance 5% Ultra Black</t>
  </si>
  <si>
    <t>Hunter Douglas Stance 5% TBA</t>
  </si>
  <si>
    <t>Hardback Optical Mesh 5% Sunscreen TBA</t>
  </si>
  <si>
    <t>Hardback Optical Mesh 5% Sunscreen Black</t>
  </si>
  <si>
    <t>Hardback Optical Mesh 5% Sunscreen Charcoal</t>
  </si>
  <si>
    <t>Hardback Optical Mesh 5% Sunscreen Flint</t>
  </si>
  <si>
    <t>Hardback Optical Mesh 5% Sunscreen Pepper</t>
  </si>
  <si>
    <t>Hardback Optical Mesh 5% Sunscreen Woodland Grey</t>
  </si>
  <si>
    <t>Hardback Optical Mesh 5% Sunscreen Taupe</t>
  </si>
  <si>
    <t>Hardback Optical Mesh 5% Sunscreen Bark</t>
  </si>
  <si>
    <t>Hardback Optical Mesh 5% Sunscreen Latte</t>
  </si>
  <si>
    <t>Hardback Optical Mesh 1% Sunscreen TBA</t>
  </si>
  <si>
    <t>Hardback Optical Mesh 1% Sunscreen Black</t>
  </si>
  <si>
    <t>Hardback Optical Mesh 1% Sunscreen Charcoal</t>
  </si>
  <si>
    <t>Hardback Optical Mesh 1% Sunscreen Flint</t>
  </si>
  <si>
    <t>Hardback Optical Mesh 1% Sunscreen Paperbark</t>
  </si>
  <si>
    <t>Hardback Optical Mesh 1% Sunscreen Woodland Grey</t>
  </si>
  <si>
    <t>Hardback Optical Mesh 1% Sunscreen Pepper</t>
  </si>
  <si>
    <t>Hardback Optical Mesh 1% Sunscreen Sunstone</t>
  </si>
  <si>
    <t>Hardback Optical Mesh 1% Sunscreen Modern Grey</t>
  </si>
  <si>
    <t>Hardback Optical Mesh 1% Block Sunscreen TBA</t>
  </si>
  <si>
    <t>Hardback Optical Mesh 1% Block Sunscreen Black</t>
  </si>
  <si>
    <t>Hardback Optical Mesh 1% Block Sunscreen Charcoal</t>
  </si>
  <si>
    <t>Hardback Optical Mesh 1% Block Sunscreen Flint</t>
  </si>
  <si>
    <t>Hardback Optical Mesh 1% Block Sunscreen Sand</t>
  </si>
  <si>
    <t>Hardback Optical Mesh 1% Block Sunscreen Moroccan Brown</t>
  </si>
  <si>
    <t>Bradmill Brella Canvas A273</t>
  </si>
  <si>
    <t>Bradmill Brella Canvas A279</t>
  </si>
  <si>
    <t>Bradmill Brella Canvas BV32</t>
  </si>
  <si>
    <t>Bradmill Brella Canvas A300</t>
  </si>
  <si>
    <t>Bradmill Brella Canvas A315</t>
  </si>
  <si>
    <t>Beach Sand</t>
  </si>
  <si>
    <t>Bradmill Brella Canvas Beige</t>
  </si>
  <si>
    <t>Bradmill Brella Canvas Black</t>
  </si>
  <si>
    <t>Bradmill Brella Canvas Blue Flint</t>
  </si>
  <si>
    <t>Bradmill Brella Canvas Brunswick Green</t>
  </si>
  <si>
    <t>Bradmill Brella Canvas Burgundy</t>
  </si>
  <si>
    <t>Bradmill Brella Canvas Burnt Chilli</t>
  </si>
  <si>
    <t>Bradmill Brella Canvas C306</t>
  </si>
  <si>
    <t>Bradmill Brella Canvas C307</t>
  </si>
  <si>
    <t>Bradmill Brella Canvas C309</t>
  </si>
  <si>
    <t>Bradmill Brella Canvas C310</t>
  </si>
  <si>
    <t>Bradmill Brella Canvas C316</t>
  </si>
  <si>
    <t>Bradmill Brella Canvas C322</t>
  </si>
  <si>
    <t>Bradmill Brella Canvas Cinnamon</t>
  </si>
  <si>
    <t>Bradmill Brella Canvas Coffee Cream</t>
  </si>
  <si>
    <t>Merino</t>
  </si>
  <si>
    <t>Bradmill Brella Canvas D112</t>
  </si>
  <si>
    <t>Bradmill Brella Canvas D401</t>
  </si>
  <si>
    <t>Bradmill Brella Canvas D404</t>
  </si>
  <si>
    <t>Bradmill Brella Canvas DB29</t>
  </si>
  <si>
    <t>Bradmill Brella Canvas Dune</t>
  </si>
  <si>
    <t>Bradmill Brella Canvas Gun Metal</t>
  </si>
  <si>
    <t>Bradmill Brella Canvas I226</t>
  </si>
  <si>
    <t>Bradmill Brella Canvas I228</t>
  </si>
  <si>
    <t>Bradmill Brella Canvas I282</t>
  </si>
  <si>
    <t>Bradmill Brella Canvas I302</t>
  </si>
  <si>
    <t>Bradmill Brella Canvas I303</t>
  </si>
  <si>
    <t>Bradmill Brella Canvas I320</t>
  </si>
  <si>
    <t>Bradmill Brella Canvas Lime</t>
  </si>
  <si>
    <t>Bradmill Brella Canvas Marsala</t>
  </si>
  <si>
    <t>Bradmill Brella Canvas Ocean</t>
  </si>
  <si>
    <t>Bradmill Brella Canvas Oyster</t>
  </si>
  <si>
    <t>Bradmill Brella Canvas R129</t>
  </si>
  <si>
    <t>Bradmill Brella Canvas R194</t>
  </si>
  <si>
    <t>Bradmill Brella Canvas R202</t>
  </si>
  <si>
    <t>Bradmill Brella Canvas R203</t>
  </si>
  <si>
    <t>Bradmill Brella Canvas R206</t>
  </si>
  <si>
    <t>Bradmill Brella Canvas R292</t>
  </si>
  <si>
    <t>Bradmill Brella Canvas Rust</t>
  </si>
  <si>
    <t>Bradmill Brella Canvas S216</t>
  </si>
  <si>
    <t>Bradmill Brella Canvas S232</t>
  </si>
  <si>
    <t>Bradmill Brella Canvas S278</t>
  </si>
  <si>
    <t>Bradmill Brella Canvas S285</t>
  </si>
  <si>
    <t>Bradmill Brella Canvas S304</t>
  </si>
  <si>
    <t>Bradmill Brella Canvas S319</t>
  </si>
  <si>
    <t>Bradmill Brella Canvas Sandstone</t>
  </si>
  <si>
    <t>Bradmill Brella Canvas Silver Grey</t>
  </si>
  <si>
    <t>Bradmill Brella Canvas Velvet Brown</t>
  </si>
  <si>
    <t>Defab Somerton Canvas 2201</t>
  </si>
  <si>
    <t>Defab Somerton Canvas 2202</t>
  </si>
  <si>
    <t>Defab Somerton Canvas 2203</t>
  </si>
  <si>
    <t>Defab Somerton Canvas 2204</t>
  </si>
  <si>
    <t>Defab Somerton Canvas 2205</t>
  </si>
  <si>
    <t>Defab Somerton Canvas 2207</t>
  </si>
  <si>
    <t>Defab Somerton Canvas 2209</t>
  </si>
  <si>
    <t>Defab Somerton Canvas 2210</t>
  </si>
  <si>
    <t>Defab Somerton Canvas 2212</t>
  </si>
  <si>
    <t>Defab Somerton Canvas 2213</t>
  </si>
  <si>
    <t>Defab Somerton Canvas 2218</t>
  </si>
  <si>
    <t>Defab Somerton Canvas 2219</t>
  </si>
  <si>
    <t>Defab Somerton Canvas 2220</t>
  </si>
  <si>
    <t>Defab Somerton Canvas 2222</t>
  </si>
  <si>
    <t>Defab Somerton Canvas 2225</t>
  </si>
  <si>
    <t>Defab Somerton Canvas 2227</t>
  </si>
  <si>
    <t>Defab Somerton Canvas 2233</t>
  </si>
  <si>
    <t>Defab Somerton Canvas 2234</t>
  </si>
  <si>
    <t>Defab Somerton Canvas 2236</t>
  </si>
  <si>
    <t>Defab Somerton Canvas 2238</t>
  </si>
  <si>
    <t>Defab Somerton Canvas 2245</t>
  </si>
  <si>
    <t>Defab Somerton Canvas 2246</t>
  </si>
  <si>
    <t>Defab Somerton Canvas 2250</t>
  </si>
  <si>
    <t>Defab Somerton Canvas 2251</t>
  </si>
  <si>
    <t>Defab Somerton Canvas 2252</t>
  </si>
  <si>
    <t>Defab Somerton Canvas 2253</t>
  </si>
  <si>
    <t>Defab Somerton Canvas 2254</t>
  </si>
  <si>
    <t>Defab Somerton Canvas 2255</t>
  </si>
  <si>
    <t>Defab Somerton Canvas 2256</t>
  </si>
  <si>
    <t>Defab Somerton Canvas 2257</t>
  </si>
  <si>
    <t>Defab Somerton Canvas 2258</t>
  </si>
  <si>
    <t>Defab Somerton Canvas 2259</t>
  </si>
  <si>
    <t>Defab Somerton Canvas 2330</t>
  </si>
  <si>
    <t>Defab Somerton Canvas 3200</t>
  </si>
  <si>
    <t>Defab Somerton Canvas 3201</t>
  </si>
  <si>
    <t>Defab Somerton Canvas 3206</t>
  </si>
  <si>
    <t>Defab Somerton Canvas 3210</t>
  </si>
  <si>
    <t>Defab Somerton Canvas 3211</t>
  </si>
  <si>
    <t>Defab Somerton Canvas 3212</t>
  </si>
  <si>
    <t>Defab Somerton Canvas 3214</t>
  </si>
  <si>
    <t>Defab Somerton Canvas 3217</t>
  </si>
  <si>
    <t>Defab Somerton Canvas 3219</t>
  </si>
  <si>
    <t>Defab Somerton Canvas 3220</t>
  </si>
  <si>
    <t>Defab Somerton Canvas 3221</t>
  </si>
  <si>
    <t>Defab Somerton Canvas 3222</t>
  </si>
  <si>
    <t>Defab Somerton Canvas 3223</t>
  </si>
  <si>
    <t>Defab Somerton Canvas 3224</t>
  </si>
  <si>
    <t>Defab Somerton Canvas 3225</t>
  </si>
  <si>
    <t>Defab Somerton Canvas 3226</t>
  </si>
  <si>
    <t>Defab Somerton Canvas 3227</t>
  </si>
  <si>
    <t>Defab Somerton Canvas 3230</t>
  </si>
  <si>
    <t>Defab Somerton Canvas 3232</t>
  </si>
  <si>
    <t>Hunter Douglas Canvas Antique C907</t>
  </si>
  <si>
    <t>Hunter Douglas Canvas Ash C430</t>
  </si>
  <si>
    <t>Hunter Douglas Canvas Beach C9600</t>
  </si>
  <si>
    <t>Hunter Douglas Canvas Bone C7</t>
  </si>
  <si>
    <t>Hunter Douglas Canvas Café C6200</t>
  </si>
  <si>
    <t>Hunter Douglas Canvas Carnival C1100</t>
  </si>
  <si>
    <t>Hunter Douglas Canvas Chelsea C9500</t>
  </si>
  <si>
    <t>Hunter Douglas Canvas Coffee C108</t>
  </si>
  <si>
    <t>Hunter Douglas Canvas Cottage C9300</t>
  </si>
  <si>
    <t>Hunter Douglas Canvas Country C9200</t>
  </si>
  <si>
    <t>Hunter Douglas Canvas Custard C910</t>
  </si>
  <si>
    <t>Hunter Douglas Canvas Domino C215</t>
  </si>
  <si>
    <t>Hunter Douglas Canvas Dream C746</t>
  </si>
  <si>
    <t>Hunter Douglas Canvas Firepit C308</t>
  </si>
  <si>
    <t>Hunter Douglas Canvas Grass C909</t>
  </si>
  <si>
    <t>Hunter Douglas Canvas Henley C9450</t>
  </si>
  <si>
    <t>Hunter Douglas Canvas Hills C630</t>
  </si>
  <si>
    <t>Hunter Douglas Canvas Holly C8</t>
  </si>
  <si>
    <t>Hunter Douglas Canvas Jungle C918</t>
  </si>
  <si>
    <t>Hunter Douglas Canvas Mercury C250</t>
  </si>
  <si>
    <t>Hunter Douglas Canvas Mombasa C134</t>
  </si>
  <si>
    <t>Hunter Douglas Canvas Oak C322</t>
  </si>
  <si>
    <t>Hunter Douglas Canvas Pebble C210</t>
  </si>
  <si>
    <t>Hunter Douglas Canvas Riveria C913</t>
  </si>
  <si>
    <t>Hunter Douglas Canvas Rosie C15</t>
  </si>
  <si>
    <t>Hunter Douglas Canvas Sandcastle C53</t>
  </si>
  <si>
    <t>Hunter Douglas Canvas Silver Pearl C100</t>
  </si>
  <si>
    <t>Hunter Douglas Canvas Sky C906</t>
  </si>
  <si>
    <t>Hunter Douglas Canvas Sunset C2100</t>
  </si>
  <si>
    <t>Hunter Douglas Canvas Tanned C5</t>
  </si>
  <si>
    <t>Hunter Douglas Canvas Thundercloud C810</t>
  </si>
  <si>
    <t>Hunter Douglas Canvas Turf C21</t>
  </si>
  <si>
    <t>Hunter Douglas Canvas Urban C181</t>
  </si>
  <si>
    <t>Hunter Douglas Canvas Yalumba C734</t>
  </si>
  <si>
    <t>Hunter Douglas Canvas Zebra C40</t>
  </si>
  <si>
    <t>Light Grey</t>
  </si>
  <si>
    <t>Sign</t>
  </si>
  <si>
    <t>Guide Rod End Caps</t>
  </si>
  <si>
    <t>Crank Colour</t>
  </si>
  <si>
    <t>This should be in column AX</t>
  </si>
  <si>
    <t>L</t>
  </si>
  <si>
    <t>Fixed Guide 12mm Ballast</t>
  </si>
  <si>
    <t>Pivot Arm Spring</t>
  </si>
  <si>
    <t>Pivot Arm Extrusion</t>
  </si>
  <si>
    <t>Pivot Arm 5 Sided Clamp</t>
  </si>
  <si>
    <t>Pivot Arm Lock</t>
  </si>
  <si>
    <t>Pivot Arm Slide Track Extrusion</t>
  </si>
  <si>
    <t>Ricky Skyline 94 602 Surfmist</t>
  </si>
  <si>
    <t>Ricky Skyline 94 666 Tan</t>
  </si>
  <si>
    <t>Ricky Skyline 94 633 Java</t>
  </si>
  <si>
    <t>Ricky Skyline 94 610 Luna</t>
  </si>
  <si>
    <t>Ricky Skyline 94 664 Pewter</t>
  </si>
  <si>
    <t>Ricky Skyline 94 641 Basalt</t>
  </si>
  <si>
    <t>Ricky Skyline 94 609 Coal</t>
  </si>
  <si>
    <t>Ricky Skyline 94 642 Monument</t>
  </si>
  <si>
    <t>Ricky Skyline 94 653 Midnight</t>
  </si>
  <si>
    <t>Ricky Skyline 94 TBA</t>
  </si>
  <si>
    <t>Ricky Skyline 99 702 Surfmist</t>
  </si>
  <si>
    <t>Ricky Skyline 99 766 Tan</t>
  </si>
  <si>
    <t>Ricky Skyline 99 710 Luna</t>
  </si>
  <si>
    <t>Ricky Skyline 99 764 Pewter</t>
  </si>
  <si>
    <t>Ricky Skyline 99 741 Basalt</t>
  </si>
  <si>
    <t>Ricky Skyline 99 709 Coal</t>
  </si>
  <si>
    <t>Ricky Skyline 99 742 Monument</t>
  </si>
  <si>
    <t>Ricky Skyline 99 753 Midnight</t>
  </si>
  <si>
    <t>Ricky Skyline 99 TBA</t>
  </si>
  <si>
    <t>Wire Guide Base Rail - Anodised</t>
  </si>
  <si>
    <t>Wire Guide Base Rail End Caps</t>
  </si>
  <si>
    <t>1200mm</t>
  </si>
  <si>
    <t>1800mm</t>
  </si>
  <si>
    <t>2400mm</t>
  </si>
  <si>
    <t>3500mm</t>
  </si>
  <si>
    <t>Zipscreen Headbox 120mm Semi Front</t>
  </si>
  <si>
    <t>Pulse Pro Automation Hub</t>
  </si>
  <si>
    <t>USB Repeater</t>
  </si>
  <si>
    <t>Acmeda Push Pro White Remote</t>
  </si>
  <si>
    <t>Acmeda Push Pro Black Remote</t>
  </si>
  <si>
    <t>HVG Visiontex Plus Sunscreen Dusk Grey</t>
  </si>
  <si>
    <t>HVG Visiontex Plus Sunscreen Jamaica</t>
  </si>
  <si>
    <t>Nolans PVC Clear</t>
  </si>
  <si>
    <t>Ricky Outlook Mode Colours Sunscreen 502 Surfmist</t>
  </si>
  <si>
    <t>Ricky Outlook Mode Colours Sunscreen 538 Windspray</t>
  </si>
  <si>
    <t>Ricky Outlook Mode Colours Sunscreen 580 Pale Eucalypt</t>
  </si>
  <si>
    <t>Docril Colours Acrylic Alpine 145</t>
  </si>
  <si>
    <t>Docril Colours Acrylic Bark 079</t>
  </si>
  <si>
    <t>Docril Colours Acrylic Black 680</t>
  </si>
  <si>
    <t>Docril Colours Acrylic Black Tweed 677</t>
  </si>
  <si>
    <t>Docril Colours Acrylic Brown Tweed 113</t>
  </si>
  <si>
    <t>Docril Colours Acrylic Burgundy 060</t>
  </si>
  <si>
    <t>Docril Colours Acrylic Cappucino 037</t>
  </si>
  <si>
    <t>Docril Colours Acrylic Charcoal 098</t>
  </si>
  <si>
    <t>Docril Colours Acrylic Cinnamon 494</t>
  </si>
  <si>
    <t>Docril Colours Acrylic Dark Grey Tweed 676</t>
  </si>
  <si>
    <t>Docril Colours Acrylic Desert Sand 081</t>
  </si>
  <si>
    <t>Docril Colours Acrylic Earth 107</t>
  </si>
  <si>
    <t>Docril Colours Acrylic Fawn 002</t>
  </si>
  <si>
    <t>Docril Colours Acrylic Flame  683</t>
  </si>
  <si>
    <t>Docril Colours Acrylic Fossil 1000</t>
  </si>
  <si>
    <t>Docril Colours Acrylic Grey 067</t>
  </si>
  <si>
    <t>Docril Colours Acrylic Heritage Green 072</t>
  </si>
  <si>
    <t>Docril Colours Acrylic Lemon 181</t>
  </si>
  <si>
    <t>Docril Colours Acrylic Light Grey Tweed 675</t>
  </si>
  <si>
    <t>Docril Colours Acrylic Linen 197</t>
  </si>
  <si>
    <t>Docril Colours Acrylic Natural 061</t>
  </si>
  <si>
    <t>Docril Colours Acrylic Navy 077</t>
  </si>
  <si>
    <t>Docril Colours Acrylic Nutmeg 198</t>
  </si>
  <si>
    <t>Docril Colours Acrylic Paprika 184</t>
  </si>
  <si>
    <t>Docril Colours Acrylic Pebble 108</t>
  </si>
  <si>
    <t>Docril Colours Acrylic Pepper 114</t>
  </si>
  <si>
    <t>Docril Colours Acrylic Sandstone 182</t>
  </si>
  <si>
    <t>Docril Colours Acrylic Sapphire 084</t>
  </si>
  <si>
    <t>Docril Colours Acrylic Smoke 106</t>
  </si>
  <si>
    <t>Docril Colours Acrylic TBA</t>
  </si>
  <si>
    <t>Docril Colours Acrylic Teal 492</t>
  </si>
  <si>
    <t xml:space="preserve">Docril Colours Acrylic Toffee 086 </t>
  </si>
  <si>
    <t>Docril Colours Acrylic White 001</t>
  </si>
  <si>
    <t>Docril Colours Acrylic Yellow 003</t>
  </si>
  <si>
    <t>Docril Designs Acrylic 011</t>
  </si>
  <si>
    <t>Docril Designs Acrylic 012</t>
  </si>
  <si>
    <t>Docril Designs Acrylic 014</t>
  </si>
  <si>
    <t>Docril Designs Acrylic 017</t>
  </si>
  <si>
    <t>Docril Designs Acrylic 019</t>
  </si>
  <si>
    <t>Docril Designs Acrylic 028</t>
  </si>
  <si>
    <t>Docril Designs Acrylic 141</t>
  </si>
  <si>
    <t>Docril Designs Acrylic 165</t>
  </si>
  <si>
    <t>Docril Designs Acrylic 172</t>
  </si>
  <si>
    <t>Docril Designs Acrylic 228</t>
  </si>
  <si>
    <t>Docril Designs Acrylic 234</t>
  </si>
  <si>
    <t>Docril Designs Acrylic 317</t>
  </si>
  <si>
    <t>Docril Designs Acrylic 319</t>
  </si>
  <si>
    <t>Docril Designs Acrylic 322</t>
  </si>
  <si>
    <t>Docril Designs Acrylic 323</t>
  </si>
  <si>
    <t>Docril Designs Acrylic 331</t>
  </si>
  <si>
    <t>Docril Designs Acrylic 362</t>
  </si>
  <si>
    <t>Docril Designs Acrylic 407</t>
  </si>
  <si>
    <t>Docril Designs Acrylic 430</t>
  </si>
  <si>
    <t>Docril Designs Acrylic 431</t>
  </si>
  <si>
    <t>Docril Designs Acrylic 432</t>
  </si>
  <si>
    <t>Docril Designs Acrylic 447</t>
  </si>
  <si>
    <t>Docril Designs Acrylic 502</t>
  </si>
  <si>
    <t>Docril Designs Acrylic 558</t>
  </si>
  <si>
    <t>Docril Designs Acrylic 648</t>
  </si>
  <si>
    <t>Docril Designs Acrylic 664</t>
  </si>
  <si>
    <t>Docril Designs Acrylic TBA</t>
  </si>
  <si>
    <t xml:space="preserve">Dickson Classic Acrylic White </t>
  </si>
  <si>
    <t>Dickson Classic Acrylic Raw</t>
  </si>
  <si>
    <t>Dickson Classic Acrylic Stone</t>
  </si>
  <si>
    <t>Dickson Classic Acrylic Natural</t>
  </si>
  <si>
    <t xml:space="preserve">Dickson Traditional Acrylic Royal Blue </t>
  </si>
  <si>
    <t>Dickson Traditional Acrylic Dune</t>
  </si>
  <si>
    <t>Dickson Traditional Acrylic Black</t>
  </si>
  <si>
    <t>Dickson Traditional Acrylic Grey</t>
  </si>
  <si>
    <t xml:space="preserve">Dickson Traditional Acrylic Yellow </t>
  </si>
  <si>
    <t>Dickson Traditional Acrylic Forest Green</t>
  </si>
  <si>
    <t>Dickson Traditional Acrylic Charcoal Tweed</t>
  </si>
  <si>
    <t>Dickson Traditional Acrylic Pewter</t>
  </si>
  <si>
    <t xml:space="preserve">Dickson Traditional Acrylic Taupe </t>
  </si>
  <si>
    <t>Dickson Traditional Acrylic Slate</t>
  </si>
  <si>
    <t xml:space="preserve">Dickson Traditional Acrylic Bs Yellow </t>
  </si>
  <si>
    <t>Dickson Traditional Acrylic Bs Foret Natural</t>
  </si>
  <si>
    <t>Dickson Traditional Acrylic Bs Navy</t>
  </si>
  <si>
    <t>Dickson Traditional Acrylic Bs Rouge Natural</t>
  </si>
  <si>
    <t>Dickson Traditional Acrylic Beige</t>
  </si>
  <si>
    <t>Dickson Traditional Acrylic Bs Grey</t>
  </si>
  <si>
    <t>Dickson Traditional Acrylic Bs Bruyere Natural</t>
  </si>
  <si>
    <t>Dickson Traditional Acrylic Bs Slate</t>
  </si>
  <si>
    <t>Dickson Traditional Acrylic Bs Black &amp; White</t>
  </si>
  <si>
    <t>Dickson Traditional Acrylic Gris Tweed</t>
  </si>
  <si>
    <t>Dickson Traditional Acrylic Macadam Tweed</t>
  </si>
  <si>
    <t>Dickson Luxury Acrylic Red</t>
  </si>
  <si>
    <t>Dickson Luxury Acrylic Burgundy</t>
  </si>
  <si>
    <t>Dickson Luxury Acrylic Heather Chine</t>
  </si>
  <si>
    <t>Dickson Luxury Acrylic Linen</t>
  </si>
  <si>
    <t>Dickson Luxury Acrylic Flanelle</t>
  </si>
  <si>
    <t>Dickson Luxury Acrylic Carbone</t>
  </si>
  <si>
    <t>Dickson Luxury Acrylic Tangerine</t>
  </si>
  <si>
    <t>Dickson Designer Acrylic Sienne Red</t>
  </si>
  <si>
    <t>Dickson Designer Acrylic Hardelot Beige</t>
  </si>
  <si>
    <t>Dickson Designer Acrylic Naples Grey</t>
  </si>
  <si>
    <t>Dickson Designer Acrylic Naples Light Grey</t>
  </si>
  <si>
    <t xml:space="preserve">Dickson Designer Acrylic Naples Heather </t>
  </si>
  <si>
    <t>Dickson Designer Acrylic Naples Hemp</t>
  </si>
  <si>
    <t xml:space="preserve">Dickson Designer Acrylic Naples Linen </t>
  </si>
  <si>
    <t>Dickson Designer Acrylic Naples Dark Grey</t>
  </si>
  <si>
    <t>Dickson Designer Acrylic Pencil Dark Grey</t>
  </si>
  <si>
    <t xml:space="preserve">Dickson Designer Acrylic Marmony Slate </t>
  </si>
  <si>
    <t>Dickson Designer Acrylic Halo Noir</t>
  </si>
  <si>
    <t>Dickson Designer Acrylic Horizon Green</t>
  </si>
  <si>
    <t>Dickson Designer Acrylic Halo Olive</t>
  </si>
  <si>
    <t>Dickson Designer Acrylic Horizon Indigo</t>
  </si>
  <si>
    <t>Dickson Designer Acrylic Halo Navy</t>
  </si>
  <si>
    <t>Dickson Designer Acrylic Marmony Rouge</t>
  </si>
  <si>
    <t>Dickson Designer Acrylic Archipel Peach</t>
  </si>
  <si>
    <t>Dickson Designer Acrylic Horizon Peach</t>
  </si>
  <si>
    <t>Dickson Designer Acrylic Harmonie Brown</t>
  </si>
  <si>
    <t>Dickson Designer Acrylic Suede</t>
  </si>
  <si>
    <t>Dickson Designer Acrylic Pepper</t>
  </si>
  <si>
    <t>Dickson Designer Acrylic Platinum</t>
  </si>
  <si>
    <t>Dickson Designer Acrylic Dark Brown</t>
  </si>
  <si>
    <t>Dickson Designer Acrylic Grey Link</t>
  </si>
  <si>
    <t>Dickson Designer Acrylic Night Sky Link</t>
  </si>
  <si>
    <t>Dickson Designer Acrylic Dark Green Link</t>
  </si>
  <si>
    <t>Dickson Designer Acrylic Sage Chine</t>
  </si>
  <si>
    <t>Dickson Designer Acrylic Sage Link</t>
  </si>
  <si>
    <t>Dickson Designer Acrylic Blue Link</t>
  </si>
  <si>
    <t>Dickson Designer Acrylic Red Link</t>
  </si>
  <si>
    <t>Dickson Designer Acrylic Flame Link</t>
  </si>
  <si>
    <t>Dickson Designer Acrylic Yellow Link</t>
  </si>
  <si>
    <t>Dickson Designer Acrylic Magma Link</t>
  </si>
  <si>
    <t>Dickson Designer Acrylic Red Brick Pique</t>
  </si>
  <si>
    <t>Dickson Designer Acrylic Sand Link</t>
  </si>
  <si>
    <t>Dickson Designer Acrylic Beige Link</t>
  </si>
  <si>
    <t>Ricky Docril 1255 Stone Gry</t>
  </si>
  <si>
    <t>Ricky Docril 1257 Rus Linen</t>
  </si>
  <si>
    <t>Ricky Docril 1261 Black</t>
  </si>
  <si>
    <t>Ricky Docril 1262 Walnut</t>
  </si>
  <si>
    <t>Ricky Docril 1271 Marbled Lilac</t>
  </si>
  <si>
    <t>Ricky Docril Design 1263</t>
  </si>
  <si>
    <t>Ricky Docril Design 1264</t>
  </si>
  <si>
    <t>Ricky Docril Design 1265</t>
  </si>
  <si>
    <t>Ricky Docril Design 1266</t>
  </si>
  <si>
    <t>Ricky Docril Design 1267</t>
  </si>
  <si>
    <t>Ricky Docril Design 1268</t>
  </si>
  <si>
    <t>Ricky Docril Design 1273</t>
  </si>
  <si>
    <t>Dickson Designer Acrylic Hardelot Yellow 8612</t>
  </si>
  <si>
    <t>Gearbox Operation</t>
  </si>
  <si>
    <t>2700 / 3050</t>
  </si>
  <si>
    <t>2700 / 3050 / 3200 / 3380</t>
  </si>
  <si>
    <t>2700 / 3200</t>
  </si>
  <si>
    <t>2700 / 3050 / 3200</t>
  </si>
  <si>
    <t>3050 / 3200</t>
  </si>
  <si>
    <t>3050/ 3200</t>
  </si>
  <si>
    <t>2700 / 3000</t>
  </si>
  <si>
    <t>2750 / 3200</t>
  </si>
  <si>
    <t>Ricky Outlook Zero TBA</t>
  </si>
  <si>
    <t>Ricky Outlook Zero 517 Chalk</t>
  </si>
  <si>
    <t>Ricky Outlook Zero 541 Basalt</t>
  </si>
  <si>
    <t>Ricky Outlook Zero 542 Monument</t>
  </si>
  <si>
    <t>Ricky Outlook Zero 553 Blackstone</t>
  </si>
  <si>
    <t>Ricky Outlook Zero 564 Platinum</t>
  </si>
  <si>
    <t>Ricky Outlook Zero 566 Alpaca</t>
  </si>
  <si>
    <t>Nolans Vistaweave 95 Sunscreen Basalt</t>
  </si>
  <si>
    <t>Nolans Vistaweave 95 Sunscreen Surfmist</t>
  </si>
  <si>
    <t>Nolans PVC Tint</t>
  </si>
  <si>
    <t>5 Sided Bottom Rail End Cap</t>
  </si>
  <si>
    <t>Fixed Guide Pulleys</t>
  </si>
  <si>
    <t>Fixed Guide Cleats</t>
  </si>
  <si>
    <t>Sash Cord - Black</t>
  </si>
  <si>
    <t>Sash Cord - White</t>
  </si>
  <si>
    <t xml:space="preserve">FIXED GUIDE SUNBLINDS Welding &amp; Sewing </t>
  </si>
  <si>
    <t>Welding&amp;Sewing</t>
  </si>
  <si>
    <t>Fabric Half Size</t>
  </si>
  <si>
    <t>N</t>
  </si>
  <si>
    <t>Ricky Outlook Mode Privacy Sunscreen 411 Basalt</t>
  </si>
  <si>
    <t>Ricky Mode Zero Stripes TBA</t>
  </si>
  <si>
    <t>Ricky Mode Zero Stripes 502 Surfmist &amp; Chalk</t>
  </si>
  <si>
    <t>Ricky Mode Zero Stripes 504 Spice &amp; Chalk</t>
  </si>
  <si>
    <t>Ricky Mode Zero Stripes 538 Windspray &amp; Chalk</t>
  </si>
  <si>
    <t>Ricky Mode Zero Stripes 539 Shale Grey &amp; Chalk</t>
  </si>
  <si>
    <t>Ricky Mode Zero Stripes 540 Woodland Grey &amp; Chalk</t>
  </si>
  <si>
    <t>Ricky Mode Zero Stripes 541 Basalt &amp; Chalk</t>
  </si>
  <si>
    <t>Ricky Mode Zero Stripes 542 Monument &amp; Chalk</t>
  </si>
  <si>
    <t>Ricky Mode Zero Stripes 553 Blackstone &amp; Chalk</t>
  </si>
  <si>
    <t>Ricky Mode Zero Stripes 580 Pale Eucalypt &amp; Chalk</t>
  </si>
  <si>
    <t>Brown</t>
  </si>
  <si>
    <t>Bottom Spline</t>
  </si>
  <si>
    <t>Finished Skin Half Width</t>
  </si>
  <si>
    <t>1 x</t>
  </si>
  <si>
    <t>2 x</t>
  </si>
  <si>
    <t>3 x</t>
  </si>
  <si>
    <t>4 x</t>
  </si>
  <si>
    <t>5 x</t>
  </si>
  <si>
    <t>6 x</t>
  </si>
  <si>
    <t>7 x</t>
  </si>
  <si>
    <t>8 x</t>
  </si>
  <si>
    <t>Acrylic Panels</t>
  </si>
  <si>
    <t>Canvas Panels</t>
  </si>
  <si>
    <t>Pivot Pin Plate</t>
  </si>
  <si>
    <t>Sticker</t>
  </si>
  <si>
    <t>Acmeda Push Pro Charging Cable</t>
  </si>
  <si>
    <t>Acmeda Wall Block</t>
  </si>
  <si>
    <t>Stock Fabric?</t>
  </si>
  <si>
    <t>Dark Green</t>
  </si>
  <si>
    <t>Mushroom</t>
  </si>
  <si>
    <t>Dark Blue</t>
  </si>
  <si>
    <t>Burgandy</t>
  </si>
  <si>
    <t>Cream</t>
  </si>
  <si>
    <t>Marsh</t>
  </si>
  <si>
    <t>AR</t>
  </si>
  <si>
    <t>Attached to Motor</t>
  </si>
  <si>
    <t>OZ</t>
  </si>
  <si>
    <t>AC150-A630MKII</t>
  </si>
  <si>
    <t>RE01-0663-050518</t>
  </si>
  <si>
    <t>RE01-0680-050508</t>
  </si>
  <si>
    <t>MT02-0401-067001</t>
  </si>
  <si>
    <t>MT03-0502-059001</t>
  </si>
  <si>
    <t>MT02-0101-067004</t>
  </si>
  <si>
    <t>MT02-0101-050004</t>
  </si>
  <si>
    <t>MT02-0101-067008</t>
  </si>
  <si>
    <t>MT02-0101-050008</t>
  </si>
  <si>
    <t>4930 300 033 0</t>
  </si>
  <si>
    <t>Colourbond Under-Roll Hooding</t>
  </si>
  <si>
    <t>Colourbond Under-Roll Hood Ends</t>
  </si>
  <si>
    <t>Colourbond Under-Roll Hood Ends with Holes</t>
  </si>
  <si>
    <t>Colourbond Over-Roll Hooding</t>
  </si>
  <si>
    <t>Colourbond Over-Roll Hood Ends</t>
  </si>
  <si>
    <t>Colourbond Over-Roll Hood Ends with Holes</t>
  </si>
  <si>
    <t>Tubes</t>
  </si>
  <si>
    <t>Drives &amp; Idles</t>
  </si>
  <si>
    <t>5 Sided Bottom Rail</t>
  </si>
  <si>
    <t>Misc.</t>
  </si>
  <si>
    <t>Auto Guide</t>
  </si>
  <si>
    <t>Auto Guide Stainless Steel</t>
  </si>
  <si>
    <t>Auto Arm</t>
  </si>
  <si>
    <t>Auto Arm Stainless Steel</t>
  </si>
  <si>
    <t>Pull Stick</t>
  </si>
  <si>
    <t>Gearboxes</t>
  </si>
  <si>
    <t>Crank Handle</t>
  </si>
  <si>
    <t>Fixed Guide</t>
  </si>
  <si>
    <t>Fixed Guide Stainless Steel</t>
  </si>
  <si>
    <t>L Bracket</t>
  </si>
  <si>
    <t>Fixed Guide Pulley</t>
  </si>
  <si>
    <t>Gearbox Brackets</t>
  </si>
  <si>
    <t>U Bracket Stand Out</t>
  </si>
  <si>
    <t>Guide Stand Out</t>
  </si>
  <si>
    <t>Hood Stand Out</t>
  </si>
  <si>
    <t>Verticali</t>
  </si>
  <si>
    <t>Zipscreen</t>
  </si>
  <si>
    <t>Acmeda Motors</t>
  </si>
  <si>
    <t>Acmeda Controls</t>
  </si>
  <si>
    <t>Becker Motors</t>
  </si>
  <si>
    <t>Somfy Motors</t>
  </si>
  <si>
    <t>Pivot Arm</t>
  </si>
  <si>
    <t>Wire Guide</t>
  </si>
  <si>
    <t>Job Tracking Action</t>
  </si>
  <si>
    <t>Dispatch Action</t>
  </si>
  <si>
    <t>Dispatch Date</t>
  </si>
  <si>
    <t>Zinc</t>
  </si>
  <si>
    <t>Caulfield Green</t>
  </si>
  <si>
    <t>Charcoal</t>
  </si>
  <si>
    <t>Dune</t>
  </si>
  <si>
    <t>Heritage Red</t>
  </si>
  <si>
    <t>Ironstone</t>
  </si>
  <si>
    <t>Jasper</t>
  </si>
  <si>
    <t>Mist Green</t>
  </si>
  <si>
    <t>Mountain Blue</t>
  </si>
  <si>
    <t>Primrose</t>
  </si>
  <si>
    <t>Shale Grey</t>
  </si>
  <si>
    <t>Slate Grey</t>
  </si>
  <si>
    <t>Surfmist</t>
  </si>
  <si>
    <t>White</t>
  </si>
  <si>
    <t>Surf Mist</t>
  </si>
  <si>
    <t>900mm</t>
  </si>
  <si>
    <t>1050mm</t>
  </si>
  <si>
    <t>1350mm</t>
  </si>
  <si>
    <t>1650mm</t>
  </si>
  <si>
    <t>1950mm</t>
  </si>
  <si>
    <t>150mm</t>
  </si>
  <si>
    <t>225mm</t>
  </si>
  <si>
    <t>300mm</t>
  </si>
  <si>
    <t>450mm</t>
  </si>
  <si>
    <t>600mm</t>
  </si>
  <si>
    <t>Black 1000mm</t>
  </si>
  <si>
    <t>Black 1200mm</t>
  </si>
  <si>
    <t>Black 1500mm</t>
  </si>
  <si>
    <t>Black 1800mm</t>
  </si>
  <si>
    <t>Black 2200mm</t>
  </si>
  <si>
    <t>Black 2500mm</t>
  </si>
  <si>
    <t>Black 3000mm</t>
  </si>
  <si>
    <t>White 1000mm</t>
  </si>
  <si>
    <t>White 1200mm</t>
  </si>
  <si>
    <t>White 1500mm</t>
  </si>
  <si>
    <t>White 1800mm</t>
  </si>
  <si>
    <t>White 2200mm</t>
  </si>
  <si>
    <t>White 2500mm</t>
  </si>
  <si>
    <t>White 3000mm</t>
  </si>
  <si>
    <t>150mm Stainless Steel</t>
  </si>
  <si>
    <t>225mm Stainless Steel</t>
  </si>
  <si>
    <t>300mm Stainless Steel</t>
  </si>
  <si>
    <t>80mm Black</t>
  </si>
  <si>
    <t>80mm White</t>
  </si>
  <si>
    <t>25mm</t>
  </si>
  <si>
    <t>75mm</t>
  </si>
  <si>
    <t>100mm</t>
  </si>
  <si>
    <t>125mm</t>
  </si>
  <si>
    <t>5mm Spline Hard</t>
  </si>
  <si>
    <t>Verticali Standard Headbox Rear Mill Finish</t>
  </si>
  <si>
    <t>Verticali Standard Headbox Front Mill Finish</t>
  </si>
  <si>
    <t>Verticali Square Headbox Rear Mill Finish</t>
  </si>
  <si>
    <t>Verticali Square Headbox Front Mill Finish</t>
  </si>
  <si>
    <t>Zip</t>
  </si>
  <si>
    <t>Verticali 60mm Idle with Hole</t>
  </si>
  <si>
    <t>Verticali Strap Adaptor</t>
  </si>
  <si>
    <t>45mm FT 15nm Motor</t>
  </si>
  <si>
    <t>63mm Drive Wheel</t>
  </si>
  <si>
    <t>63mm Crown Wheel</t>
  </si>
  <si>
    <t>78mm Drive Wheel</t>
  </si>
  <si>
    <t>78mm Crown Wheel</t>
  </si>
  <si>
    <t>45mm FT 15nm 12v Motor</t>
  </si>
  <si>
    <t>12v Motor External Battery Pack</t>
  </si>
  <si>
    <t>12v Motor External Battery Chargewr Pack</t>
  </si>
  <si>
    <t>1 Channel Remote White</t>
  </si>
  <si>
    <t>1 Channel Remote Black</t>
  </si>
  <si>
    <t>5 Channel Remote White</t>
  </si>
  <si>
    <t>5 Channel Remote Black</t>
  </si>
  <si>
    <t>15 Channel Remote White</t>
  </si>
  <si>
    <t>15 Channel Remote Black</t>
  </si>
  <si>
    <t>5 Channel Flush Wall Mount Remote White</t>
  </si>
  <si>
    <t>1 Channel Wall Mount Remote White</t>
  </si>
  <si>
    <t>2 Channel Wall Mount Remote White????</t>
  </si>
  <si>
    <t>15 Channel Wall Mount Remote White</t>
  </si>
  <si>
    <t>Wind Sensor 240v</t>
  </si>
  <si>
    <t>1 Channel Dry Contact Relay Module</t>
  </si>
  <si>
    <t>Remote Self-Tensioning Motor</t>
  </si>
  <si>
    <t>Switch Self-Tensioning Motor</t>
  </si>
  <si>
    <t>R12/17CPSF 45mm Motor</t>
  </si>
  <si>
    <t>20nm Motor R20-17-C12a Motor</t>
  </si>
  <si>
    <t>Switch Motor</t>
  </si>
  <si>
    <t>Wind Sensor</t>
  </si>
  <si>
    <t>Challenger</t>
  </si>
  <si>
    <t>Bluescope</t>
  </si>
  <si>
    <t>ShadeLab Australia</t>
  </si>
  <si>
    <t>BAC Wholesale</t>
  </si>
  <si>
    <t>Rollease Acmeda</t>
  </si>
  <si>
    <t>Miami Stainless</t>
  </si>
  <si>
    <t>Becker</t>
  </si>
  <si>
    <t>Somfy</t>
  </si>
  <si>
    <t>Uniline</t>
  </si>
  <si>
    <t>Bradmill Brella Canvas BV06</t>
  </si>
  <si>
    <t>Dickson Luxury Acrylic Paris Red</t>
  </si>
  <si>
    <t>Dickson Luxury Acrylic Deep Navy</t>
  </si>
  <si>
    <t>Dickson Luxury Acrylic Lead Chine</t>
  </si>
  <si>
    <t>Dickson Luxury Acrylic Basalt Chine</t>
  </si>
  <si>
    <t>Dickson Designer Acrylic Hardelot Green</t>
  </si>
  <si>
    <t>Dickson Designer Acrylic Sienne Dark Grey</t>
  </si>
  <si>
    <t>Dickson Designer Acrylic Manosque Green</t>
  </si>
  <si>
    <t>F14</t>
  </si>
  <si>
    <t>U4</t>
  </si>
  <si>
    <t>F3</t>
  </si>
  <si>
    <t>W2</t>
  </si>
  <si>
    <t>F4</t>
  </si>
  <si>
    <t>P10</t>
  </si>
  <si>
    <t>F1</t>
  </si>
  <si>
    <t>W6</t>
  </si>
  <si>
    <t>F15</t>
  </si>
  <si>
    <t>W5</t>
  </si>
  <si>
    <t>F2</t>
  </si>
  <si>
    <t>Dickson Designer Acrylic Steel</t>
  </si>
  <si>
    <t>Dickson Designer Acrylic Indigo Chine</t>
  </si>
  <si>
    <t>Fabric Location</t>
  </si>
  <si>
    <t>Cutting Speed</t>
  </si>
  <si>
    <t>REVISION</t>
  </si>
  <si>
    <t>Procedure</t>
  </si>
  <si>
    <t>Q</t>
  </si>
  <si>
    <t>Code</t>
  </si>
  <si>
    <t>NoNo</t>
  </si>
  <si>
    <t>YesNo</t>
  </si>
  <si>
    <t>NoYes</t>
  </si>
  <si>
    <t>YesYes</t>
  </si>
  <si>
    <t>B</t>
  </si>
  <si>
    <t>C</t>
  </si>
  <si>
    <t>D</t>
  </si>
  <si>
    <t>0ecc4e46-2ffe-4c2a-8abd-eb64056cee8c</t>
  </si>
  <si>
    <t>aeda2d39-9b09-4c03-a355-3af134ed45d8</t>
  </si>
  <si>
    <t>Verticali Patio Blinds &amp; Fixed Guide Awnings</t>
  </si>
  <si>
    <t>6/08/2026 12:00:00 AM</t>
  </si>
  <si>
    <t>10/08/2026 10:08:33 AM</t>
  </si>
  <si>
    <t>18/09/2026 12:00:00 AM</t>
  </si>
  <si>
    <t>12085</t>
  </si>
  <si>
    <t>CAMP3357.716</t>
  </si>
  <si>
    <t>Campbell, Neil</t>
  </si>
  <si>
    <t>7161</t>
  </si>
  <si>
    <t>Midland Highway</t>
  </si>
  <si>
    <t>Buninyong</t>
  </si>
  <si>
    <t>VIC</t>
  </si>
  <si>
    <t>3357</t>
  </si>
  <si>
    <t>Australia</t>
  </si>
  <si>
    <t>nac_in_eket@hotmail.com</t>
  </si>
  <si>
    <t>0427368330</t>
  </si>
  <si>
    <t>Head Office</t>
  </si>
  <si>
    <t>Jason Paterson</t>
  </si>
  <si>
    <t>jason@davidsonsblinds.com.au</t>
  </si>
  <si>
    <t>Neil</t>
  </si>
  <si>
    <t>Campbell</t>
  </si>
  <si>
    <t>nac_ptc@bigpond.net.au</t>
  </si>
  <si>
    <t>Retail Customer</t>
  </si>
  <si>
    <t>mark@davidsonsblinds.com.au</t>
  </si>
  <si>
    <t>ivy@davidsonsblinds.com.au</t>
  </si>
  <si>
    <t>Unassigned installer 1</t>
  </si>
  <si>
    <t>U</t>
  </si>
  <si>
    <t>False</t>
  </si>
  <si>
    <t>1c66c28e-9b93-436e-a7ec-2dcc7752bcf6</t>
  </si>
  <si>
    <t>Fixed Guide Sunblinds</t>
  </si>
  <si>
    <t>Dining</t>
  </si>
  <si>
    <t>FGSUNM512T1886N62</t>
  </si>
  <si>
    <t>FGSUN HVG Visiontex Glisse Sunscreen Naxos</t>
  </si>
  <si>
    <t>Production - Outdoor Blinds</t>
  </si>
  <si>
    <t>HVG</t>
  </si>
  <si>
    <t>Visiontex Glisse Sunscreen</t>
  </si>
  <si>
    <t>Naxos</t>
  </si>
  <si>
    <t>0</t>
  </si>
  <si>
    <t>1c66c28e-9b93-436e-a7ec-2dcc7752bcf6|DESCN</t>
  </si>
  <si>
    <t>d4cff885-2301-435e-ae3a-a0844afce95e</t>
  </si>
  <si>
    <t>DESCN</t>
  </si>
  <si>
    <t>1c66c28e-9b93-436e-a7ec-2dcc7752bcf6|ITEMWIDTH</t>
  </si>
  <si>
    <t>70ef3366-8f58-4460-8456-089cc2b3c2b7</t>
  </si>
  <si>
    <t>ITEMWIDTH</t>
  </si>
  <si>
    <t>4190</t>
  </si>
  <si>
    <t>1c66c28e-9b93-436e-a7ec-2dcc7752bcf6|ITEMHEIGHT</t>
  </si>
  <si>
    <t>95f6ceb0-b981-4649-b1c0-4704abbe0e60</t>
  </si>
  <si>
    <t>ITEMHEIGHT</t>
  </si>
  <si>
    <t>1650</t>
  </si>
  <si>
    <t>1c66c28e-9b93-436e-a7ec-2dcc7752bcf6|SIZE</t>
  </si>
  <si>
    <t>7993dd2f-d215-4f29-8f77-411d204e233e</t>
  </si>
  <si>
    <t>SIZE</t>
  </si>
  <si>
    <t>Opening</t>
  </si>
  <si>
    <t>1c66c28e-9b93-436e-a7ec-2dcc7752bcf6|FIT</t>
  </si>
  <si>
    <t>9e330a23-f66e-4fbb-8d12-4c342ae8a043</t>
  </si>
  <si>
    <t>FIT</t>
  </si>
  <si>
    <t>1c66c28e-9b93-436e-a7ec-2dcc7752bcf6|FIXING</t>
  </si>
  <si>
    <t>d04c0cca-2a66-4aa0-9206-f41e9075500a</t>
  </si>
  <si>
    <t>FIXING</t>
  </si>
  <si>
    <t>Brick</t>
  </si>
  <si>
    <t>1c66c28e-9b93-436e-a7ec-2dcc7752bcf6|OPERATION</t>
  </si>
  <si>
    <t>f75115e5-516c-4730-9015-c13bc1f7ba4c</t>
  </si>
  <si>
    <t>OPERATION</t>
  </si>
  <si>
    <t>1c66c28e-9b93-436e-a7ec-2dcc7752bcf6|CONTROLSIDE</t>
  </si>
  <si>
    <t>7282ab48-4b78-466b-9e1b-673b8b29f621</t>
  </si>
  <si>
    <t>CONTROLSIDE</t>
  </si>
  <si>
    <t>Left</t>
  </si>
  <si>
    <t>1c66c28e-9b93-436e-a7ec-2dcc7752bcf6|CONTROL</t>
  </si>
  <si>
    <t>461ab2ce-fcf0-4af9-b8d8-cacd9f51472a</t>
  </si>
  <si>
    <t>CONTROL</t>
  </si>
  <si>
    <t>Not Required</t>
  </si>
  <si>
    <t>1c66c28e-9b93-436e-a7ec-2dcc7752bcf6|HOODTYPE</t>
  </si>
  <si>
    <t>5d466c75-efa9-48dc-a84c-0061818a8595</t>
  </si>
  <si>
    <t>HOODTYPE</t>
  </si>
  <si>
    <t>1c66c28e-9b93-436e-a7ec-2dcc7752bcf6|HOOD/BRACKETCOLOUR</t>
  </si>
  <si>
    <t>12f457b9-57fe-40f0-b19c-1de7df7a6223</t>
  </si>
  <si>
    <t>HOOD/BRACKETCOLOUR</t>
  </si>
  <si>
    <t>Merino (Paperbark)</t>
  </si>
  <si>
    <t>1c66c28e-9b93-436e-a7ec-2dcc7752bcf6|BOTTOMRAILCOLOUR</t>
  </si>
  <si>
    <t>51361ee4-2196-4dae-993a-abd4ac9e8456</t>
  </si>
  <si>
    <t>BOTTOMRAILCOLOUR</t>
  </si>
  <si>
    <t>Ebony (Black)</t>
  </si>
  <si>
    <t>1c66c28e-9b93-436e-a7ec-2dcc7752bcf6|FITTINGS</t>
  </si>
  <si>
    <t>9aeaf058-5d10-4e45-8a7f-41db54707613</t>
  </si>
  <si>
    <t>FITTINGS</t>
  </si>
  <si>
    <t>Standard Zinc</t>
  </si>
  <si>
    <t>1c66c28e-9b93-436e-a7ec-2dcc7752bcf6|BRACKETS</t>
  </si>
  <si>
    <t>95a9224f-522b-4294-8171-1199973badfb</t>
  </si>
  <si>
    <t>BRACKETS</t>
  </si>
  <si>
    <t>1c66c28e-9b93-436e-a7ec-2dcc7752bcf6|VALANCE</t>
  </si>
  <si>
    <t>25b67d25-8791-48ee-b1da-a54ed3dd4e23</t>
  </si>
  <si>
    <t>VALANCE</t>
  </si>
  <si>
    <t>Standard Bottom Flap</t>
  </si>
  <si>
    <t>1c66c28e-9b93-436e-a7ec-2dcc7752bcf6|FLAPSIDE</t>
  </si>
  <si>
    <t>05fecac9-0e7d-40d2-a811-c7b57494afd8</t>
  </si>
  <si>
    <t>FLAPSIDE</t>
  </si>
  <si>
    <t>Normal</t>
  </si>
  <si>
    <t>1c66c28e-9b93-436e-a7ec-2dcc7752bcf6|REVROLL</t>
  </si>
  <si>
    <t>04dad3fb-c5ee-4274-a2f0-7bc4394b1c72</t>
  </si>
  <si>
    <t>REVROLL</t>
  </si>
  <si>
    <t>Back</t>
  </si>
  <si>
    <t>1c66c28e-9b93-436e-a7ec-2dcc7752bcf6|SIDEHEMS</t>
  </si>
  <si>
    <t>13cff24a-dda3-4f64-820f-f31ed6766214</t>
  </si>
  <si>
    <t>SIDEHEMS</t>
  </si>
  <si>
    <t>Yes for Mesh</t>
  </si>
  <si>
    <t>1c66c28e-9b93-436e-a7ec-2dcc7752bcf6|SIDEFIXUBRACKET</t>
  </si>
  <si>
    <t>81d6de82-696e-4768-ba8a-016707ea64af</t>
  </si>
  <si>
    <t>SIDEFIXUBRACKET</t>
  </si>
  <si>
    <t>Yes x 1</t>
  </si>
  <si>
    <t>1c66c28e-9b93-436e-a7ec-2dcc7752bcf6|INSTALLATION</t>
  </si>
  <si>
    <t>7527c60d-eeec-45bc-8dcf-e1ef8bb595c4</t>
  </si>
  <si>
    <t>INSTALLATION</t>
  </si>
  <si>
    <t>Installation</t>
  </si>
  <si>
    <t>1c66c28e-9b93-436e-a7ec-2dcc7752bcf6|HANGHEIGHT</t>
  </si>
  <si>
    <t>94d22ccd-c868-4fd4-90c0-4631fc68adf6</t>
  </si>
  <si>
    <t>HANGHEIGHT</t>
  </si>
  <si>
    <t>3m-3.3m</t>
  </si>
  <si>
    <t>1c66c28e-9b93-436e-a7ec-2dcc7752bcf6|INSTALLG</t>
  </si>
  <si>
    <t>432f851c-a1c0-40ea-a995-b34c4d37669f</t>
  </si>
  <si>
    <t>INSTALLG</t>
  </si>
  <si>
    <t>Over a Garden</t>
  </si>
  <si>
    <t>1c66c28e-9b93-436e-a7ec-2dcc7752bcf6|TAKEDOWN</t>
  </si>
  <si>
    <t>fda0ecf3-0c8c-4cac-a805-aba34e9e3183</t>
  </si>
  <si>
    <t>TAKEDOWN</t>
  </si>
  <si>
    <t>1c66c28e-9b93-436e-a7ec-2dcc7752bcf6|CHECKM</t>
  </si>
  <si>
    <t>ffe6ce59-0ee4-4c41-8545-19e6064c2aef</t>
  </si>
  <si>
    <t>CHECKM</t>
  </si>
  <si>
    <t>1c66c28e-9b93-436e-a7ec-2dcc7752bcf6|ELECTRICIAN</t>
  </si>
  <si>
    <t>d8e838a6-9dfb-4e9c-8bfa-6a6028302199</t>
  </si>
  <si>
    <t>ELECTRICIAN</t>
  </si>
  <si>
    <t>1c66c28e-9b93-436e-a7ec-2dcc7752bcf6|HOUSECONSTRUCTION</t>
  </si>
  <si>
    <t>b47384f2-cb86-4b2a-b7b0-48896cccdbb0</t>
  </si>
  <si>
    <t>HOUSECONSTRUCTION</t>
  </si>
  <si>
    <t>1c66c28e-9b93-436e-a7ec-2dcc7752bcf6|ROOF</t>
  </si>
  <si>
    <t>b6d568d8-a8cf-4718-91c1-63ac2d8672c2</t>
  </si>
  <si>
    <t>ROOF</t>
  </si>
  <si>
    <t>Pitched Iron</t>
  </si>
  <si>
    <t>1c66c28e-9b93-436e-a7ec-2dcc7752bcf6|SWITCHBOARD</t>
  </si>
  <si>
    <t>da050533-6097-485b-bab6-4401d17024ef</t>
  </si>
  <si>
    <t>SWITCHBOARD</t>
  </si>
  <si>
    <t>1c66c28e-9b93-436e-a7ec-2dcc7752bcf6|STOREYS</t>
  </si>
  <si>
    <t>170f098a-4994-4507-91c4-21021dbf5417</t>
  </si>
  <si>
    <t>STOREYS</t>
  </si>
  <si>
    <t>1</t>
  </si>
  <si>
    <t>1c66c28e-9b93-436e-a7ec-2dcc7752bcf6|STOREYSFIT</t>
  </si>
  <si>
    <t>d94ad0da-7b9d-47d7-b33b-43025999e088</t>
  </si>
  <si>
    <t>STOREYSFIT</t>
  </si>
  <si>
    <t>1st Storey</t>
  </si>
  <si>
    <t>1c66c28e-9b93-436e-a7ec-2dcc7752bcf6|SIDEBYSIDE</t>
  </si>
  <si>
    <t>535bb94b-69c0-4696-9e08-64626d1bfaf3</t>
  </si>
  <si>
    <t>SIDEBYSIDE</t>
  </si>
  <si>
    <t>04f2cf7f-928c-4bbe-91cd-44f46968e38d</t>
  </si>
  <si>
    <t>Master</t>
  </si>
  <si>
    <t>04f2cf7f-928c-4bbe-91cd-44f46968e38d|DESCN</t>
  </si>
  <si>
    <t>2a79a8e9-5770-4c01-8c09-9389a36ebe44</t>
  </si>
  <si>
    <t>04f2cf7f-928c-4bbe-91cd-44f46968e38d|ITEMWIDTH</t>
  </si>
  <si>
    <t>99f4ad9a-ecac-48d2-98d8-b7cf1a8b54a6</t>
  </si>
  <si>
    <t>1816</t>
  </si>
  <si>
    <t>04f2cf7f-928c-4bbe-91cd-44f46968e38d|ITEMHEIGHT</t>
  </si>
  <si>
    <t>a9f63442-90a8-408b-b585-b48becdccaf5</t>
  </si>
  <si>
    <t>1980</t>
  </si>
  <si>
    <t>04f2cf7f-928c-4bbe-91cd-44f46968e38d|SIZE</t>
  </si>
  <si>
    <t>913c3e54-c1fe-4dd2-a6f2-dd497cbe21a2</t>
  </si>
  <si>
    <t>04f2cf7f-928c-4bbe-91cd-44f46968e38d|FIT</t>
  </si>
  <si>
    <t>cefcfd1a-77fd-42e5-870f-a0bf74739033</t>
  </si>
  <si>
    <t>04f2cf7f-928c-4bbe-91cd-44f46968e38d|FIXING</t>
  </si>
  <si>
    <t>21059d44-a4a7-440c-b03f-777f016a245c</t>
  </si>
  <si>
    <t>04f2cf7f-928c-4bbe-91cd-44f46968e38d|OPERATION</t>
  </si>
  <si>
    <t>f0222942-555b-4f75-b84b-9f78b243f15d</t>
  </si>
  <si>
    <t>04f2cf7f-928c-4bbe-91cd-44f46968e38d|CONTROLSIDE</t>
  </si>
  <si>
    <t>e2c1116b-7597-47f2-8f6c-ebfe6b7e3749</t>
  </si>
  <si>
    <t>Right</t>
  </si>
  <si>
    <t>04f2cf7f-928c-4bbe-91cd-44f46968e38d|CONTROL</t>
  </si>
  <si>
    <t>9a6edc8b-fb01-4058-a481-5bcf2a3dc211</t>
  </si>
  <si>
    <t>Becker 5 Channel White Remote</t>
  </si>
  <si>
    <t>04f2cf7f-928c-4bbe-91cd-44f46968e38d|HOODTYPE</t>
  </si>
  <si>
    <t>a36bea6b-a249-40e6-bbcb-023b51ea90c0</t>
  </si>
  <si>
    <t>04f2cf7f-928c-4bbe-91cd-44f46968e38d|HOOD/BRACKETCOLOUR</t>
  </si>
  <si>
    <t>29a5627f-7f72-4c10-921c-8fd0e3612088</t>
  </si>
  <si>
    <t>04f2cf7f-928c-4bbe-91cd-44f46968e38d|BOTTOMRAILCOLOUR</t>
  </si>
  <si>
    <t>85e65ec4-4a33-44d4-b66c-1f1e83cb9224</t>
  </si>
  <si>
    <t>04f2cf7f-928c-4bbe-91cd-44f46968e38d|FITTINGS</t>
  </si>
  <si>
    <t>6413424f-cc0f-4bb0-b63a-b35d49dd287b</t>
  </si>
  <si>
    <t>04f2cf7f-928c-4bbe-91cd-44f46968e38d|BRACKETS</t>
  </si>
  <si>
    <t>8428ea5b-da69-4501-9cf1-eadf1cdceb42</t>
  </si>
  <si>
    <t>04f2cf7f-928c-4bbe-91cd-44f46968e38d|VALANCE</t>
  </si>
  <si>
    <t>8f1f5274-f034-4a7e-93e2-907c3c919bcc</t>
  </si>
  <si>
    <t>04f2cf7f-928c-4bbe-91cd-44f46968e38d|FLAPSIDE</t>
  </si>
  <si>
    <t>02b6c8ff-4e0d-4f85-ad82-ce5434d2d048</t>
  </si>
  <si>
    <t>04f2cf7f-928c-4bbe-91cd-44f46968e38d|REVROLL</t>
  </si>
  <si>
    <t>f3f2c64e-b0a0-422f-b43b-d5bb92c0b8b1</t>
  </si>
  <si>
    <t>04f2cf7f-928c-4bbe-91cd-44f46968e38d|SIDEHEMS</t>
  </si>
  <si>
    <t>fd7f6fae-762a-4b26-a057-6355c3b01ef7</t>
  </si>
  <si>
    <t>04f2cf7f-928c-4bbe-91cd-44f46968e38d|INSTALLATION</t>
  </si>
  <si>
    <t>5cd6b131-e580-446b-a670-2187ca214e27</t>
  </si>
  <si>
    <t>04f2cf7f-928c-4bbe-91cd-44f46968e38d|HANGHEIGHT</t>
  </si>
  <si>
    <t>ea660f73-f6e3-4003-917c-e6eb561cd8a5</t>
  </si>
  <si>
    <t>2.4m-2.7m</t>
  </si>
  <si>
    <t>04f2cf7f-928c-4bbe-91cd-44f46968e38d|INSTALLG</t>
  </si>
  <si>
    <t>794af05d-4a31-4e7a-b495-8055845320bd</t>
  </si>
  <si>
    <t>Easy Access</t>
  </si>
  <si>
    <t>04f2cf7f-928c-4bbe-91cd-44f46968e38d|TAKEDOWN</t>
  </si>
  <si>
    <t>1e480c2e-81c2-4804-95f2-2b5949177321</t>
  </si>
  <si>
    <t>04f2cf7f-928c-4bbe-91cd-44f46968e38d|CHECKM</t>
  </si>
  <si>
    <t>4ff79f79-d200-40a6-abc0-61a78673a16f</t>
  </si>
  <si>
    <t>04f2cf7f-928c-4bbe-91cd-44f46968e38d|ELECTRICIAN</t>
  </si>
  <si>
    <t>20e59ee4-a48b-4bce-b5fc-27038c6fe265</t>
  </si>
  <si>
    <t>04f2cf7f-928c-4bbe-91cd-44f46968e38d|HOUSECONSTRUCTION</t>
  </si>
  <si>
    <t>f2fed7f5-dbbb-42d3-ab1e-d206cfad6dc5</t>
  </si>
  <si>
    <t>04f2cf7f-928c-4bbe-91cd-44f46968e38d|ROOF</t>
  </si>
  <si>
    <t>69a15155-67ce-4f5a-a021-c23189f9188e</t>
  </si>
  <si>
    <t>04f2cf7f-928c-4bbe-91cd-44f46968e38d|SWITCHBOARD</t>
  </si>
  <si>
    <t>65a4b10e-8dd0-4cd6-b35b-291dda523b8d</t>
  </si>
  <si>
    <t>04f2cf7f-928c-4bbe-91cd-44f46968e38d|STOREYS</t>
  </si>
  <si>
    <t>d9e5041e-2bcc-49bd-97f4-ea800633315d</t>
  </si>
  <si>
    <t>04f2cf7f-928c-4bbe-91cd-44f46968e38d|STOREYSFIT</t>
  </si>
  <si>
    <t>047a52e7-08f8-4f5e-8770-c727319b5762</t>
  </si>
  <si>
    <t>04f2cf7f-928c-4bbe-91cd-44f46968e38d|SIDEBYSIDE</t>
  </si>
  <si>
    <t>abcde1c5-2c44-46d2-9629-60c49d3fb839</t>
  </si>
  <si>
    <t>986e1986-ef2c-4881-b257-1adcea9d79f2</t>
  </si>
  <si>
    <t>Master 2</t>
  </si>
  <si>
    <t>986e1986-ef2c-4881-b257-1adcea9d79f2|DESCN</t>
  </si>
  <si>
    <t>e16ab9de-81a3-46ae-9a22-92f67fe6e7ba</t>
  </si>
  <si>
    <t>986e1986-ef2c-4881-b257-1adcea9d79f2|ITEMWIDTH</t>
  </si>
  <si>
    <t>82538ccc-a661-4766-a28e-f9ff6927052c</t>
  </si>
  <si>
    <t>1815</t>
  </si>
  <si>
    <t>986e1986-ef2c-4881-b257-1adcea9d79f2|ITEMHEIGHT</t>
  </si>
  <si>
    <t>8edca58b-9426-4e2a-8484-bc2958a12fa2</t>
  </si>
  <si>
    <t>986e1986-ef2c-4881-b257-1adcea9d79f2|SIZE</t>
  </si>
  <si>
    <t>d6ced937-a043-4714-bbd8-74d3e36508d0</t>
  </si>
  <si>
    <t>986e1986-ef2c-4881-b257-1adcea9d79f2|FIT</t>
  </si>
  <si>
    <t>93808dbd-cee9-41f3-a84c-7a26501eafd0</t>
  </si>
  <si>
    <t>986e1986-ef2c-4881-b257-1adcea9d79f2|FIXING</t>
  </si>
  <si>
    <t>64cd7307-f4a5-44d2-8062-73d5a7724a5f</t>
  </si>
  <si>
    <t>986e1986-ef2c-4881-b257-1adcea9d79f2|OPERATION</t>
  </si>
  <si>
    <t>06d9341f-6e7a-400d-90e5-7cb2089cca5b</t>
  </si>
  <si>
    <t>986e1986-ef2c-4881-b257-1adcea9d79f2|CONTROLSIDE</t>
  </si>
  <si>
    <t>4421a640-f294-409e-8e6e-ef8f1d1ce276</t>
  </si>
  <si>
    <t>986e1986-ef2c-4881-b257-1adcea9d79f2|CONTROL</t>
  </si>
  <si>
    <t>b3d03712-a8cc-4578-86de-a9c5f1d88de9</t>
  </si>
  <si>
    <t>986e1986-ef2c-4881-b257-1adcea9d79f2|HOODTYPE</t>
  </si>
  <si>
    <t>12a02e7f-022f-4327-9f27-79e72625b7c2</t>
  </si>
  <si>
    <t>986e1986-ef2c-4881-b257-1adcea9d79f2|HOOD/BRACKETCOLOUR</t>
  </si>
  <si>
    <t>97aa2993-ae2d-4fa2-a4bd-9fab96b92bff</t>
  </si>
  <si>
    <t>986e1986-ef2c-4881-b257-1adcea9d79f2|BOTTOMRAILCOLOUR</t>
  </si>
  <si>
    <t>378de516-afa3-4be3-bf39-9d0f772788cd</t>
  </si>
  <si>
    <t>986e1986-ef2c-4881-b257-1adcea9d79f2|FITTINGS</t>
  </si>
  <si>
    <t>e7a7b623-3bf7-48f1-9dc1-236cd710dd92</t>
  </si>
  <si>
    <t>986e1986-ef2c-4881-b257-1adcea9d79f2|BRACKETS</t>
  </si>
  <si>
    <t>78a00f80-7a44-44b2-b7c0-784a26f0f1af</t>
  </si>
  <si>
    <t>986e1986-ef2c-4881-b257-1adcea9d79f2|VALANCE</t>
  </si>
  <si>
    <t>ab312363-81d8-4321-8868-c960bdcdb899</t>
  </si>
  <si>
    <t>986e1986-ef2c-4881-b257-1adcea9d79f2|FLAPSIDE</t>
  </si>
  <si>
    <t>5131d55d-457e-4d33-a5ac-732b29d22116</t>
  </si>
  <si>
    <t>986e1986-ef2c-4881-b257-1adcea9d79f2|REVROLL</t>
  </si>
  <si>
    <t>3a5c358e-f6fb-47c4-8349-7d6c97b3f472</t>
  </si>
  <si>
    <t>986e1986-ef2c-4881-b257-1adcea9d79f2|SIDEHEMS</t>
  </si>
  <si>
    <t>f4e5c58a-4a1c-4e34-b4d1-c6c96981109d</t>
  </si>
  <si>
    <t>986e1986-ef2c-4881-b257-1adcea9d79f2|INSTALLATION</t>
  </si>
  <si>
    <t>20d2af53-6286-4c96-b4b5-e6204751df4a</t>
  </si>
  <si>
    <t>986e1986-ef2c-4881-b257-1adcea9d79f2|HANGHEIGHT</t>
  </si>
  <si>
    <t>2a4a587f-8949-4e37-9645-18d8fe799608</t>
  </si>
  <si>
    <t>986e1986-ef2c-4881-b257-1adcea9d79f2|INSTALLG</t>
  </si>
  <si>
    <t>fb94bbc6-402b-4ae1-9f71-95b659f5091b</t>
  </si>
  <si>
    <t>986e1986-ef2c-4881-b257-1adcea9d79f2|TAKEDOWN</t>
  </si>
  <si>
    <t>974475d8-f69c-40ff-9fe1-51802caa64a9</t>
  </si>
  <si>
    <t>986e1986-ef2c-4881-b257-1adcea9d79f2|CHECKM</t>
  </si>
  <si>
    <t>d85d21a3-1fb4-4212-ab57-e1e733e8cd4a</t>
  </si>
  <si>
    <t>986e1986-ef2c-4881-b257-1adcea9d79f2|ELECTRICIAN</t>
  </si>
  <si>
    <t>dac8012b-69b8-49ff-8918-f9b52603cc10</t>
  </si>
  <si>
    <t>986e1986-ef2c-4881-b257-1adcea9d79f2|HOUSECONSTRUCTION</t>
  </si>
  <si>
    <t>7d0ff344-5b6a-4887-bbec-6500f5b2d226</t>
  </si>
  <si>
    <t>986e1986-ef2c-4881-b257-1adcea9d79f2|ROOF</t>
  </si>
  <si>
    <t>853958ee-8b11-4871-93e2-73ea6e1e96fb</t>
  </si>
  <si>
    <t>986e1986-ef2c-4881-b257-1adcea9d79f2|SWITCHBOARD</t>
  </si>
  <si>
    <t>4f4c63ee-c74a-4ea4-b173-49a356c94616</t>
  </si>
  <si>
    <t>986e1986-ef2c-4881-b257-1adcea9d79f2|STOREYS</t>
  </si>
  <si>
    <t>2ca2aeb9-3f1a-43c6-a916-36ebe8a6ff3f</t>
  </si>
  <si>
    <t>986e1986-ef2c-4881-b257-1adcea9d79f2|STOREYSFIT</t>
  </si>
  <si>
    <t>b5c33408-be55-430a-a405-2a1811f2308a</t>
  </si>
  <si>
    <t>986e1986-ef2c-4881-b257-1adcea9d79f2|SIDEBYSIDE</t>
  </si>
  <si>
    <t>203e8af1-403b-4f4c-b33b-598388b7db4a</t>
  </si>
  <si>
    <t>71d07fd9-3e12-475b-acde-5a4adbd3bef2</t>
  </si>
  <si>
    <t>Lounge</t>
  </si>
  <si>
    <t>71d07fd9-3e12-475b-acde-5a4adbd3bef2|DESCN</t>
  </si>
  <si>
    <t>ad97271e-1f21-41ce-99e0-2d25b3b5889a</t>
  </si>
  <si>
    <t>71d07fd9-3e12-475b-acde-5a4adbd3bef2|ITEMWIDTH</t>
  </si>
  <si>
    <t>c1e53804-150d-49fb-85ac-6560306de687</t>
  </si>
  <si>
    <t>3015</t>
  </si>
  <si>
    <t>71d07fd9-3e12-475b-acde-5a4adbd3bef2|ITEMHEIGHT</t>
  </si>
  <si>
    <t>9a0ecb17-ad8d-426b-8867-244ec89e7039</t>
  </si>
  <si>
    <t>2200</t>
  </si>
  <si>
    <t>71d07fd9-3e12-475b-acde-5a4adbd3bef2|SIZE</t>
  </si>
  <si>
    <t>b9ce209e-4186-4ad8-87cc-0def49191611</t>
  </si>
  <si>
    <t>71d07fd9-3e12-475b-acde-5a4adbd3bef2|FIT</t>
  </si>
  <si>
    <t>d641f787-e9d3-4a98-a0a1-0cf37f0816e6</t>
  </si>
  <si>
    <t>71d07fd9-3e12-475b-acde-5a4adbd3bef2|FIXING</t>
  </si>
  <si>
    <t>178a71e1-7426-4cd0-b067-cb85294dda55</t>
  </si>
  <si>
    <t>71d07fd9-3e12-475b-acde-5a4adbd3bef2|OPERATION</t>
  </si>
  <si>
    <t>cb3b83cf-c241-47af-9ef2-0c45f0cbfb01</t>
  </si>
  <si>
    <t>71d07fd9-3e12-475b-acde-5a4adbd3bef2|CONTROLSIDE</t>
  </si>
  <si>
    <t>c14e202a-dbb7-4dc9-994c-8761f83a4d88</t>
  </si>
  <si>
    <t>71d07fd9-3e12-475b-acde-5a4adbd3bef2|CONTROL</t>
  </si>
  <si>
    <t>02fb0807-62a7-4b7a-ad4b-c2f837292ecd</t>
  </si>
  <si>
    <t>71d07fd9-3e12-475b-acde-5a4adbd3bef2|HOODTYPE</t>
  </si>
  <si>
    <t>8155f5f3-a085-44e4-af98-2193409c36f0</t>
  </si>
  <si>
    <t>71d07fd9-3e12-475b-acde-5a4adbd3bef2|HOOD/BRACKETCOLOUR</t>
  </si>
  <si>
    <t>1b66bcbe-79ee-42c3-995d-a68c230ff064</t>
  </si>
  <si>
    <t>71d07fd9-3e12-475b-acde-5a4adbd3bef2|BOTTOMRAILCOLOUR</t>
  </si>
  <si>
    <t>bd4a2c15-99e1-4e90-8e8e-16d1bacdc686</t>
  </si>
  <si>
    <t>71d07fd9-3e12-475b-acde-5a4adbd3bef2|FITTINGS</t>
  </si>
  <si>
    <t>7fa815f2-287d-4080-97c9-807a919410e5</t>
  </si>
  <si>
    <t>71d07fd9-3e12-475b-acde-5a4adbd3bef2|BRACKETS</t>
  </si>
  <si>
    <t>8ee73d04-a5f2-494a-a839-da9a450c1816</t>
  </si>
  <si>
    <t>71d07fd9-3e12-475b-acde-5a4adbd3bef2|VALANCE</t>
  </si>
  <si>
    <t>68bffd0d-9d0c-458e-a423-151fc2e5bf24</t>
  </si>
  <si>
    <t>71d07fd9-3e12-475b-acde-5a4adbd3bef2|FLAPSIDE</t>
  </si>
  <si>
    <t>047b2e81-cecd-45e9-994e-ce0345b7cdbf</t>
  </si>
  <si>
    <t>71d07fd9-3e12-475b-acde-5a4adbd3bef2|REVROLL</t>
  </si>
  <si>
    <t>db637a47-6aa8-4436-9d0c-aa16e51c575a</t>
  </si>
  <si>
    <t>71d07fd9-3e12-475b-acde-5a4adbd3bef2|SIDEHEMS</t>
  </si>
  <si>
    <t>1e8b5e61-b33d-4b35-83f4-6eefea5faf25</t>
  </si>
  <si>
    <t>71d07fd9-3e12-475b-acde-5a4adbd3bef2|INSTALLATION</t>
  </si>
  <si>
    <t>a3a4710c-fdb6-4f6e-aa38-bdc1c1683fcf</t>
  </si>
  <si>
    <t>71d07fd9-3e12-475b-acde-5a4adbd3bef2|HANGHEIGHT</t>
  </si>
  <si>
    <t>4e1370f8-0626-4b39-a277-e340314ba709</t>
  </si>
  <si>
    <t>Over 3.6m</t>
  </si>
  <si>
    <t>71d07fd9-3e12-475b-acde-5a4adbd3bef2|INSTALLG</t>
  </si>
  <si>
    <t>52b58209-9048-4323-a5a7-20657fb7fd73</t>
  </si>
  <si>
    <t>Over an Overgrown Garden/Difficult Access</t>
  </si>
  <si>
    <t>71d07fd9-3e12-475b-acde-5a4adbd3bef2|TAKEDOWN</t>
  </si>
  <si>
    <t>fd1fceea-4f48-470f-bf9a-625d53f5e502</t>
  </si>
  <si>
    <t>71d07fd9-3e12-475b-acde-5a4adbd3bef2|CHECKM</t>
  </si>
  <si>
    <t>5d9e02bb-19f8-43af-b8c3-16b3e2d520b1</t>
  </si>
  <si>
    <t>71d07fd9-3e12-475b-acde-5a4adbd3bef2|ELECTRICIAN</t>
  </si>
  <si>
    <t>cc44ba11-e9be-4d6b-8467-992e01a463f6</t>
  </si>
  <si>
    <t>71d07fd9-3e12-475b-acde-5a4adbd3bef2|HOUSECONSTRUCTION</t>
  </si>
  <si>
    <t>c867e547-a42c-4c6e-bd33-2d52035e4096</t>
  </si>
  <si>
    <t>71d07fd9-3e12-475b-acde-5a4adbd3bef2|ROOF</t>
  </si>
  <si>
    <t>9d68513f-7da4-4036-ad25-79e863c01e89</t>
  </si>
  <si>
    <t>71d07fd9-3e12-475b-acde-5a4adbd3bef2|SWITCHBOARD</t>
  </si>
  <si>
    <t>3af0c6aa-1a00-4396-90c4-6f3ca2110075</t>
  </si>
  <si>
    <t>71d07fd9-3e12-475b-acde-5a4adbd3bef2|STOREYS</t>
  </si>
  <si>
    <t>f15f4e6b-3ffd-4dc7-bf17-5f3837e60aa5</t>
  </si>
  <si>
    <t>71d07fd9-3e12-475b-acde-5a4adbd3bef2|STOREYSFIT</t>
  </si>
  <si>
    <t>53fa3090-3abb-4d01-a7c8-270d4644a0ff</t>
  </si>
  <si>
    <t>71d07fd9-3e12-475b-acde-5a4adbd3bef2|SIDEBYSIDE</t>
  </si>
  <si>
    <t>b800f9ce-2d1a-43fb-8c9d-e02ce7ceaf13</t>
  </si>
  <si>
    <t>e1072bb5-47c3-40c1-8cea-d8b220e0f872</t>
  </si>
  <si>
    <t>Bed 4</t>
  </si>
  <si>
    <t>e1072bb5-47c3-40c1-8cea-d8b220e0f872|DESCN</t>
  </si>
  <si>
    <t>82f51fb1-fce8-4d57-8861-2f906f59b171</t>
  </si>
  <si>
    <t>e1072bb5-47c3-40c1-8cea-d8b220e0f872|ITEMWIDTH</t>
  </si>
  <si>
    <t>dde9db61-987c-4e74-902a-fb9c09367edf</t>
  </si>
  <si>
    <t>2356</t>
  </si>
  <si>
    <t>e1072bb5-47c3-40c1-8cea-d8b220e0f872|ITEMHEIGHT</t>
  </si>
  <si>
    <t>06e68235-8015-4707-a545-c1f283d35a91</t>
  </si>
  <si>
    <t>e1072bb5-47c3-40c1-8cea-d8b220e0f872|SIZE</t>
  </si>
  <si>
    <t>949966c9-9329-4507-a18c-111131107245</t>
  </si>
  <si>
    <t>e1072bb5-47c3-40c1-8cea-d8b220e0f872|FIT</t>
  </si>
  <si>
    <t>56b3ca17-5b5a-42ef-a993-a708ad645b78</t>
  </si>
  <si>
    <t>e1072bb5-47c3-40c1-8cea-d8b220e0f872|FIXING</t>
  </si>
  <si>
    <t>b75e4d53-96d5-4d15-b0bb-ddfe9cf5b021</t>
  </si>
  <si>
    <t>e1072bb5-47c3-40c1-8cea-d8b220e0f872|OPERATION</t>
  </si>
  <si>
    <t>221653a0-c82d-4625-bbb6-effaa6009189</t>
  </si>
  <si>
    <t>e1072bb5-47c3-40c1-8cea-d8b220e0f872|CONTROLSIDE</t>
  </si>
  <si>
    <t>8333cac1-ba97-4251-84de-377afd0f8a60</t>
  </si>
  <si>
    <t>e1072bb5-47c3-40c1-8cea-d8b220e0f872|CONTROL</t>
  </si>
  <si>
    <t>c83fa57f-5753-4387-a4f7-3de064975403</t>
  </si>
  <si>
    <t>e1072bb5-47c3-40c1-8cea-d8b220e0f872|HOODTYPE</t>
  </si>
  <si>
    <t>d4331b73-507d-4d16-85f1-ba27190fa42a</t>
  </si>
  <si>
    <t>e1072bb5-47c3-40c1-8cea-d8b220e0f872|HOOD/BRACKETCOLOUR</t>
  </si>
  <si>
    <t>5563b6b0-1d25-4967-b226-141479b7e847</t>
  </si>
  <si>
    <t>e1072bb5-47c3-40c1-8cea-d8b220e0f872|BOTTOMRAILCOLOUR</t>
  </si>
  <si>
    <t>03acbdf6-4079-4035-921c-17a891c31ff9</t>
  </si>
  <si>
    <t>e1072bb5-47c3-40c1-8cea-d8b220e0f872|FITTINGS</t>
  </si>
  <si>
    <t>a9ff49ef-0494-4fe0-bed4-7002fb318350</t>
  </si>
  <si>
    <t>e1072bb5-47c3-40c1-8cea-d8b220e0f872|BRACKETS</t>
  </si>
  <si>
    <t>1ad12b4c-1bc3-45e5-b40d-e98b4e719c51</t>
  </si>
  <si>
    <t>e1072bb5-47c3-40c1-8cea-d8b220e0f872|VALANCE</t>
  </si>
  <si>
    <t>82a0760d-f49b-42ea-a368-9a70e23c1888</t>
  </si>
  <si>
    <t>e1072bb5-47c3-40c1-8cea-d8b220e0f872|FLAPSIDE</t>
  </si>
  <si>
    <t>517c5f27-72a5-4c8f-9067-ba3e32715eda</t>
  </si>
  <si>
    <t>e1072bb5-47c3-40c1-8cea-d8b220e0f872|REVROLL</t>
  </si>
  <si>
    <t>c3b5020c-2a6f-42c0-ba0f-1748aecc20c4</t>
  </si>
  <si>
    <t>e1072bb5-47c3-40c1-8cea-d8b220e0f872|SIDEHEMS</t>
  </si>
  <si>
    <t>c3978793-f59c-448b-8eea-b1823e358738</t>
  </si>
  <si>
    <t>e1072bb5-47c3-40c1-8cea-d8b220e0f872|INSTALLATION</t>
  </si>
  <si>
    <t>1fc6e09c-270f-45d9-b59a-1b489bb6e5f4</t>
  </si>
  <si>
    <t>e1072bb5-47c3-40c1-8cea-d8b220e0f872|HANGHEIGHT</t>
  </si>
  <si>
    <t>fcba8559-403c-4331-a067-2900b6d665e5</t>
  </si>
  <si>
    <t>e1072bb5-47c3-40c1-8cea-d8b220e0f872|INSTALLG</t>
  </si>
  <si>
    <t>51691565-2b45-406d-906e-1a5b1d2e0e19</t>
  </si>
  <si>
    <t>e1072bb5-47c3-40c1-8cea-d8b220e0f872|TAKEDOWN</t>
  </si>
  <si>
    <t>8a1a908b-d453-4027-842a-31c9a4ae1932</t>
  </si>
  <si>
    <t>e1072bb5-47c3-40c1-8cea-d8b220e0f872|CHECKM</t>
  </si>
  <si>
    <t>4ec42d4b-9005-4407-b3c6-39ee31a432bb</t>
  </si>
  <si>
    <t>e1072bb5-47c3-40c1-8cea-d8b220e0f872|ELECTRICIAN</t>
  </si>
  <si>
    <t>0b9e5cc4-2eec-46a9-a318-8def6db5aec5</t>
  </si>
  <si>
    <t>e1072bb5-47c3-40c1-8cea-d8b220e0f872|HOUSECONSTRUCTION</t>
  </si>
  <si>
    <t>2b266c36-1315-4dda-ac15-28c3638b00a7</t>
  </si>
  <si>
    <t>e1072bb5-47c3-40c1-8cea-d8b220e0f872|ROOF</t>
  </si>
  <si>
    <t>6a0fdb8d-91ae-472b-a103-6c617867b468</t>
  </si>
  <si>
    <t>e1072bb5-47c3-40c1-8cea-d8b220e0f872|SWITCHBOARD</t>
  </si>
  <si>
    <t>5675e1c4-98b8-4eb4-bb57-846a0e6649b6</t>
  </si>
  <si>
    <t>e1072bb5-47c3-40c1-8cea-d8b220e0f872|STOREYS</t>
  </si>
  <si>
    <t>78941703-d3e4-447e-bf74-7b1d6ec44e6b</t>
  </si>
  <si>
    <t>e1072bb5-47c3-40c1-8cea-d8b220e0f872|STOREYSFIT</t>
  </si>
  <si>
    <t>36e947fd-84b0-453f-bd24-3957f9353005</t>
  </si>
  <si>
    <t>e1072bb5-47c3-40c1-8cea-d8b220e0f872|SIDEBYSIDE</t>
  </si>
  <si>
    <t>3357b5cb-3ca1-46ee-a119-f59ece81b54c</t>
  </si>
  <si>
    <t>|CHECKMEAS</t>
  </si>
  <si>
    <t>29b556d8-b143-4f00-bfdc-41f0e902d65f</t>
  </si>
  <si>
    <t>Extras</t>
  </si>
  <si>
    <t>CHECKMEAS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</si>
</sst>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[$-F800]dddd\,\ mmmm\ dd\,\ yyyy"/>
    <numFmt numFmtId="165" formatCode="dd/mm/yyyy"/>
    <numFmt numFmtId="166" formatCode="0.0"/>
  </numFmts>
  <fonts count="73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u val="single"/>
      <sz val="7.5"/>
      <color indexed="12"/>
      <name val="Arial"/>
      <family val="2"/>
    </font>
    <font>
      <sz val="11"/>
      <color indexed="20"/>
      <name val="Calibri"/>
      <family val="2"/>
    </font>
    <font>
      <u val="single"/>
      <sz val="7.5"/>
      <color indexed="36"/>
      <name val="Arial"/>
      <family val="2"/>
    </font>
    <font>
      <sz val="11"/>
      <color rgb="FF3F3F76"/>
      <name val="Calibri"/>
      <family val="2"/>
      <scheme val="minor"/>
    </font>
    <font>
      <sz val="10"/>
      <name val="Verdana"/>
      <family val="2"/>
    </font>
    <font>
      <b/>
      <sz val="16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b/>
      <sz val="24"/>
      <name val="Arial"/>
      <family val="2"/>
    </font>
    <font>
      <b/>
      <sz val="26"/>
      <name val="Arial"/>
      <family val="2"/>
    </font>
    <font>
      <b/>
      <sz val="20"/>
      <name val="Arial"/>
      <family val="2"/>
    </font>
    <font>
      <b/>
      <sz val="48"/>
      <name val="Arial"/>
      <family val="2"/>
    </font>
    <font>
      <b/>
      <sz val="22"/>
      <name val="Arial"/>
      <family val="2"/>
    </font>
    <font>
      <sz val="22"/>
      <name val="Arial"/>
      <family val="2"/>
    </font>
    <font>
      <i/>
      <sz val="22"/>
      <name val="Arial"/>
      <family val="2"/>
    </font>
    <font>
      <b/>
      <sz val="72"/>
      <name val="Arial"/>
      <family val="2"/>
    </font>
    <font>
      <sz val="26"/>
      <name val="Arial"/>
      <family val="2"/>
    </font>
    <font>
      <b/>
      <u val="single"/>
      <sz val="26"/>
      <name val="Arial"/>
      <family val="2"/>
    </font>
    <font>
      <i/>
      <sz val="26"/>
      <name val="Arial"/>
      <family val="2"/>
    </font>
    <font>
      <sz val="12"/>
      <color rgb="FFFFFFFF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36"/>
      <name val="Arial"/>
      <family val="2"/>
    </font>
    <font>
      <sz val="36"/>
      <name val="Arial"/>
      <family val="2"/>
    </font>
    <font>
      <b/>
      <u val="single"/>
      <sz val="36"/>
      <name val="Arial"/>
      <family val="2"/>
    </font>
    <font>
      <b/>
      <sz val="28"/>
      <name val="Arial"/>
      <family val="2"/>
    </font>
    <font>
      <sz val="28"/>
      <name val="Arial"/>
      <family val="2"/>
    </font>
    <font>
      <b/>
      <sz val="72"/>
      <color theme="0"/>
      <name val="Arial"/>
      <family val="2"/>
    </font>
    <font>
      <sz val="9"/>
      <name val="Arial"/>
      <family val="2"/>
    </font>
    <font>
      <sz val="11"/>
      <color rgb="FF000000"/>
      <name val="Calibri"/>
      <family val="2"/>
    </font>
    <font>
      <b/>
      <sz val="16"/>
      <color rgb="FFFF0000"/>
      <name val="Arial"/>
      <family val="2"/>
    </font>
    <font>
      <sz val="22"/>
      <color rgb="FFFF0000"/>
      <name val="Arial"/>
      <family val="2"/>
    </font>
    <font>
      <i/>
      <sz val="28"/>
      <name val="Arial"/>
      <family val="2"/>
    </font>
    <font>
      <sz val="20"/>
      <name val="Arial"/>
      <family val="2"/>
    </font>
    <font>
      <sz val="24"/>
      <color rgb="FFFF0000"/>
      <name val="Arial"/>
      <family val="2"/>
    </font>
    <font>
      <b/>
      <sz val="16"/>
      <color theme="1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b/>
      <sz val="18"/>
      <color rgb="FFFF0000"/>
      <name val="Arial"/>
      <family val="2"/>
    </font>
    <font>
      <sz val="18"/>
      <color rgb="FFFF0000"/>
      <name val="Arial"/>
      <family val="2"/>
    </font>
    <font>
      <b/>
      <u val="single"/>
      <sz val="20"/>
      <name val="Arial"/>
      <family val="2"/>
    </font>
    <font>
      <sz val="24"/>
      <name val="Arial"/>
      <family val="2"/>
    </font>
    <font>
      <b/>
      <sz val="11"/>
      <color theme="1"/>
      <name val="Calibri"/>
      <family val="2"/>
      <scheme val="minor"/>
    </font>
    <font>
      <b/>
      <sz val="20"/>
      <color rgb="FFFF0000"/>
      <name val="Arial"/>
      <family val="2"/>
    </font>
    <font>
      <sz val="20"/>
      <color rgb="FFFF0000"/>
      <name val="Arial"/>
      <family val="2"/>
    </font>
    <font>
      <b/>
      <u val="single"/>
      <sz val="22"/>
      <name val="Arial"/>
      <family val="2"/>
    </font>
    <font>
      <sz val="36"/>
      <color rgb="FFFF0000"/>
      <name val="Arial"/>
      <family val="2"/>
    </font>
    <font>
      <i/>
      <sz val="36"/>
      <name val="Arial"/>
      <family val="2"/>
    </font>
    <font>
      <b/>
      <u val="single"/>
      <sz val="28"/>
      <name val="Arial"/>
      <family val="2"/>
    </font>
  </fonts>
  <fills count="43">
    <fill>
      <patternFill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theme="0" tint="-0.148279994726181"/>
        <bgColor indexed="64"/>
      </patternFill>
    </fill>
    <fill>
      <patternFill patternType="solid">
        <fgColor theme="0" tint="-0.148859992623329"/>
        <bgColor indexed="64"/>
      </patternFill>
    </fill>
    <fill>
      <patternFill patternType="solid">
        <fgColor theme="0" tint="-0.149289995431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8310005664825"/>
        <bgColor indexed="64"/>
      </patternFill>
    </fill>
    <fill>
      <patternFill patternType="solid">
        <fgColor theme="0" tint="-0.149440005421638"/>
        <bgColor indexed="64"/>
      </patternFill>
    </fill>
    <fill>
      <patternFill patternType="solid">
        <fgColor theme="0" tint="-0.14952999353408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749982357025"/>
        <bgColor indexed="64"/>
      </patternFill>
    </fill>
    <fill>
      <patternFill patternType="solid">
        <fgColor theme="0" tint="-0.249909996986389"/>
        <bgColor indexed="64"/>
      </patternFill>
    </fill>
    <fill>
      <patternFill patternType="solid">
        <fgColor theme="5" tint="0.599929988384247"/>
        <bgColor indexed="64"/>
      </patternFill>
    </fill>
    <fill>
      <patternFill patternType="solid">
        <fgColor theme="5" tint="0.7999200224876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749982357025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8439997434616"/>
        <bgColor indexed="64"/>
      </patternFill>
    </fill>
    <fill>
      <patternFill patternType="solid">
        <fgColor theme="0" tint="-0.148550003767014"/>
        <bgColor indexed="64"/>
      </patternFill>
    </fill>
  </fills>
  <borders count="2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</border>
    <border>
      <left/>
      <right/>
      <top/>
      <bottom style="thick">
        <color indexed="54"/>
      </bottom>
    </border>
    <border>
      <left/>
      <right/>
      <top/>
      <bottom style="thick">
        <color indexed="22"/>
      </bottom>
    </border>
    <border>
      <left/>
      <right/>
      <top/>
      <bottom style="medium">
        <color indexed="44"/>
      </bottom>
    </border>
    <border>
      <left/>
      <right/>
      <top/>
      <bottom style="double">
        <color indexed="52"/>
      </bottom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</border>
    <border>
      <left/>
      <right/>
      <top style="thin">
        <color indexed="54"/>
      </top>
      <bottom style="double">
        <color indexed="54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thin"/>
      <right style="thin"/>
      <top style="thin"/>
      <bottom style="thin"/>
    </border>
    <border>
      <left style="thin">
        <color rgb="FFFFFFFF"/>
      </left>
      <right style="thin">
        <color rgb="FFFFFFFF"/>
      </right>
      <top/>
      <bottom/>
    </border>
    <border>
      <left/>
      <right/>
      <top/>
      <bottom style="thin"/>
    </border>
    <border>
      <left style="thin"/>
      <right/>
      <top style="thin"/>
      <bottom style="thin"/>
    </border>
    <border>
      <left/>
      <right/>
      <top style="thin"/>
      <bottom style="thin"/>
    </border>
    <border>
      <left/>
      <right style="thin"/>
      <top style="thin"/>
      <bottom style="thin"/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thin"/>
      <bottom/>
    </border>
    <border>
      <left style="thin"/>
      <right/>
      <top/>
      <bottom/>
    </border>
    <border>
      <left/>
      <right style="thin"/>
      <top/>
      <bottom/>
    </border>
    <border>
      <left style="thin"/>
      <right/>
      <top/>
      <bottom style="thin"/>
    </border>
    <border>
      <left/>
      <right style="thin"/>
      <top/>
      <bottom style="thin"/>
    </border>
  </borders>
  <cellStyleXfs count="87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9" borderId="0" applyNumberFormat="0" applyBorder="0" applyAlignment="0" applyProtection="0"/>
    <xf numFmtId="0" fontId="6" fillId="7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12" borderId="0" applyNumberFormat="0" applyBorder="0" applyAlignment="0" applyProtection="0"/>
    <xf numFmtId="0" fontId="7" fillId="6" borderId="0" applyNumberFormat="0" applyBorder="0" applyAlignment="0" applyProtection="0"/>
    <xf numFmtId="0" fontId="7" fillId="13" borderId="0" applyNumberFormat="0" applyBorder="0" applyAlignment="0" applyProtection="0"/>
    <xf numFmtId="0" fontId="6" fillId="13" borderId="0" applyNumberFormat="0" applyBorder="0" applyAlignment="0" applyProtection="0"/>
    <xf numFmtId="0" fontId="8" fillId="14" borderId="0" applyNumberFormat="0" applyBorder="0" applyAlignment="0" applyProtection="0"/>
    <xf numFmtId="0" fontId="9" fillId="15" borderId="1" applyNumberFormat="0" applyAlignment="0" applyProtection="0"/>
    <xf numFmtId="0" fontId="10" fillId="8" borderId="2" applyNumberFormat="0" applyAlignment="0" applyProtection="0"/>
    <xf numFmtId="41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9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3" borderId="1" applyNumberFormat="0" applyAlignment="0" applyProtection="0"/>
    <xf numFmtId="0" fontId="17" fillId="0" borderId="6" applyNumberFormat="0" applyFill="0" applyAlignment="0" applyProtection="0"/>
    <xf numFmtId="0" fontId="18" fillId="19" borderId="0" applyNumberFormat="0" applyBorder="0" applyAlignment="0" applyProtection="0"/>
    <xf numFmtId="0" fontId="7" fillId="0" borderId="0">
      <alignment/>
      <protection/>
    </xf>
    <xf numFmtId="0" fontId="1" fillId="0" borderId="0">
      <alignment/>
      <protection/>
    </xf>
    <xf numFmtId="0" fontId="0" fillId="6" borderId="7" applyNumberFormat="0" applyFont="0" applyAlignment="0" applyProtection="0"/>
    <xf numFmtId="0" fontId="19" fillId="15" borderId="8" applyNumberFormat="0" applyAlignment="0" applyProtection="0"/>
    <xf numFmtId="9" fontId="0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14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20" borderId="10" applyNumberFormat="0" applyAlignment="0" applyProtection="0"/>
    <xf numFmtId="0" fontId="0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</cellStyleXfs>
  <cellXfs count="28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/>
    <xf numFmtId="0" fontId="0" fillId="15" borderId="0" xfId="0" applyFill="1"/>
    <xf numFmtId="0" fontId="0" fillId="0" borderId="0" xfId="0" applyAlignment="1">
      <alignment horizontal="left"/>
    </xf>
    <xf numFmtId="22" fontId="2" fillId="0" borderId="0" xfId="0" applyNumberFormat="1" applyFont="1"/>
    <xf numFmtId="0" fontId="3" fillId="0" borderId="0" xfId="0" applyFont="1"/>
    <xf numFmtId="14" fontId="0" fillId="0" borderId="0" xfId="0" applyNumberFormat="1"/>
    <xf numFmtId="22" fontId="0" fillId="0" borderId="0" xfId="0" applyNumberFormat="1" applyAlignment="1">
      <alignment horizontal="left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22" fillId="0" borderId="0" xfId="72"/>
    <xf numFmtId="0" fontId="4" fillId="0" borderId="11" xfId="0" applyFont="1" applyBorder="1" applyAlignment="1">
      <alignment horizontal="center" vertical="center"/>
    </xf>
    <xf numFmtId="165" fontId="0" fillId="0" borderId="0" xfId="0" applyNumberFormat="1"/>
    <xf numFmtId="0" fontId="29" fillId="0" borderId="0" xfId="0" applyFont="1" applyAlignment="1">
      <alignment horizontal="left"/>
    </xf>
    <xf numFmtId="0" fontId="0" fillId="0" borderId="11" xfId="0" applyBorder="1"/>
    <xf numFmtId="0" fontId="35" fillId="0" borderId="0" xfId="0" applyFont="1" applyAlignment="1" applyProtection="1">
      <alignment horizontal="center" vertical="center" wrapText="1"/>
      <protection hidden="1" locked="0"/>
    </xf>
    <xf numFmtId="0" fontId="35" fillId="0" borderId="0" xfId="0" applyFont="1" applyAlignment="1" applyProtection="1">
      <alignment horizontal="center" vertical="center" wrapText="1"/>
      <protection locked="0"/>
    </xf>
    <xf numFmtId="0" fontId="38" fillId="0" borderId="11" xfId="0" applyFont="1" applyBorder="1" applyAlignment="1" applyProtection="1">
      <alignment horizontal="center" vertical="center" wrapText="1"/>
      <protection hidden="1" locked="0"/>
    </xf>
    <xf numFmtId="0" fontId="38" fillId="0" borderId="11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35" fillId="0" borderId="11" xfId="0" applyFont="1" applyBorder="1" applyAlignment="1" applyProtection="1">
      <alignment horizontal="center" vertical="center" wrapText="1"/>
      <protection locked="0"/>
    </xf>
    <xf numFmtId="0" fontId="35" fillId="0" borderId="11" xfId="0" applyFont="1" applyBorder="1" applyAlignment="1" applyProtection="1">
      <alignment horizontal="center" vertical="center" wrapText="1"/>
      <protection hidden="1" locked="0"/>
    </xf>
    <xf numFmtId="0" fontId="41" fillId="21" borderId="12" xfId="0" applyFont="1" applyFill="1" applyBorder="1"/>
    <xf numFmtId="0" fontId="4" fillId="22" borderId="11" xfId="0" applyFont="1" applyFill="1" applyBorder="1"/>
    <xf numFmtId="1" fontId="0" fillId="0" borderId="0" xfId="0" applyNumberFormat="1" applyAlignment="1">
      <alignment horizontal="left"/>
    </xf>
    <xf numFmtId="1" fontId="0" fillId="0" borderId="0" xfId="0" applyNumberFormat="1"/>
    <xf numFmtId="0" fontId="0" fillId="15" borderId="0" xfId="0" applyFill="1" applyAlignment="1">
      <alignment wrapText="1"/>
    </xf>
    <xf numFmtId="0" fontId="40" fillId="0" borderId="11" xfId="0" applyFont="1" applyBorder="1" applyAlignment="1" applyProtection="1">
      <alignment horizontal="center" vertical="center" wrapText="1"/>
      <protection hidden="1" locked="0"/>
    </xf>
    <xf numFmtId="0" fontId="38" fillId="0" borderId="11" xfId="0" applyFont="1" applyBorder="1" applyAlignment="1">
      <alignment horizontal="right" vertical="center"/>
    </xf>
    <xf numFmtId="0" fontId="35" fillId="0" borderId="0" xfId="0" applyFont="1" applyAlignment="1">
      <alignment horizontal="right" vertical="center" wrapText="1"/>
    </xf>
    <xf numFmtId="0" fontId="36" fillId="0" borderId="0" xfId="0" applyFont="1" applyAlignment="1" applyProtection="1">
      <alignment horizontal="center" vertical="center" wrapText="1"/>
      <protection hidden="1" locked="0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11" xfId="0" applyBorder="1" applyAlignment="1">
      <alignment horizontal="center"/>
    </xf>
    <xf numFmtId="0" fontId="38" fillId="0" borderId="11" xfId="0" applyFont="1" applyBorder="1" applyAlignment="1">
      <alignment horizontal="center" vertical="center" wrapText="1"/>
    </xf>
    <xf numFmtId="0" fontId="31" fillId="15" borderId="11" xfId="0" applyFont="1" applyFill="1" applyBorder="1" applyAlignment="1">
      <alignment horizontal="center" vertical="center" wrapText="1"/>
    </xf>
    <xf numFmtId="0" fontId="31" fillId="15" borderId="11" xfId="0" applyFont="1" applyFill="1" applyBorder="1" applyAlignment="1" applyProtection="1">
      <alignment horizontal="center" vertical="center" wrapText="1"/>
      <protection locked="0"/>
    </xf>
    <xf numFmtId="0" fontId="38" fillId="0" borderId="11" xfId="0" applyFont="1" applyBorder="1" applyAlignment="1">
      <alignment horizontal="right" vertical="center" wrapText="1"/>
    </xf>
    <xf numFmtId="0" fontId="35" fillId="0" borderId="11" xfId="0" applyFont="1" applyBorder="1" applyAlignment="1">
      <alignment horizontal="right" vertical="center" wrapText="1"/>
    </xf>
    <xf numFmtId="0" fontId="29" fillId="0" borderId="11" xfId="0" applyFont="1" applyBorder="1" applyAlignment="1">
      <alignment horizontal="center" vertical="center" wrapText="1"/>
    </xf>
    <xf numFmtId="14" fontId="32" fillId="15" borderId="11" xfId="0" applyNumberFormat="1" applyFont="1" applyFill="1" applyBorder="1" applyAlignment="1" applyProtection="1">
      <alignment horizontal="left" wrapText="1"/>
      <protection locked="0"/>
    </xf>
    <xf numFmtId="0" fontId="29" fillId="0" borderId="11" xfId="0" applyFont="1" applyBorder="1" applyAlignment="1" applyProtection="1">
      <alignment horizontal="center" vertical="center" wrapText="1"/>
      <protection locked="0"/>
    </xf>
    <xf numFmtId="0" fontId="29" fillId="0" borderId="11" xfId="0" applyFont="1" applyBorder="1" applyAlignment="1" applyProtection="1">
      <alignment horizontal="center" vertical="center" wrapText="1"/>
      <protection hidden="1" locked="0"/>
    </xf>
    <xf numFmtId="0" fontId="48" fillId="0" borderId="11" xfId="0" applyFont="1" applyBorder="1" applyAlignment="1">
      <alignment horizontal="right" vertical="center" wrapText="1"/>
    </xf>
    <xf numFmtId="0" fontId="48" fillId="0" borderId="11" xfId="0" applyFont="1" applyBorder="1" applyAlignment="1" applyProtection="1">
      <alignment horizontal="center" vertical="center" wrapText="1"/>
      <protection locked="0"/>
    </xf>
    <xf numFmtId="0" fontId="47" fillId="23" borderId="11" xfId="0" applyFont="1" applyFill="1" applyBorder="1" applyAlignment="1" applyProtection="1">
      <alignment horizontal="center" vertical="center" wrapText="1"/>
      <protection hidden="1" locked="0"/>
    </xf>
    <xf numFmtId="22" fontId="48" fillId="23" borderId="11" xfId="0" applyNumberFormat="1" applyFont="1" applyFill="1" applyBorder="1" applyAlignment="1" applyProtection="1">
      <alignment horizontal="center" vertical="center" wrapText="1"/>
      <protection hidden="1" locked="0"/>
    </xf>
    <xf numFmtId="0" fontId="48" fillId="23" borderId="11" xfId="0" applyFont="1" applyFill="1" applyBorder="1" applyAlignment="1" applyProtection="1">
      <alignment horizontal="center" vertical="center" wrapText="1"/>
      <protection hidden="1" locked="0"/>
    </xf>
    <xf numFmtId="0" fontId="47" fillId="0" borderId="11" xfId="0" applyFont="1" applyBorder="1" applyAlignment="1" applyProtection="1">
      <alignment horizontal="center" vertical="center" wrapText="1"/>
      <protection hidden="1" locked="0"/>
    </xf>
    <xf numFmtId="22" fontId="48" fillId="0" borderId="11" xfId="0" applyNumberFormat="1" applyFont="1" applyBorder="1" applyAlignment="1" applyProtection="1">
      <alignment horizontal="center" vertical="center" wrapText="1"/>
      <protection hidden="1" locked="0"/>
    </xf>
    <xf numFmtId="0" fontId="48" fillId="0" borderId="11" xfId="0" applyFont="1" applyBorder="1" applyAlignment="1" applyProtection="1">
      <alignment horizontal="center" vertical="center" wrapText="1"/>
      <protection hidden="1" locked="0"/>
    </xf>
    <xf numFmtId="1" fontId="29" fillId="0" borderId="11" xfId="0" applyNumberFormat="1" applyFont="1" applyBorder="1" applyAlignment="1" applyProtection="1">
      <alignment horizontal="center" vertical="center" wrapText="1"/>
      <protection hidden="1" locked="0"/>
    </xf>
    <xf numFmtId="0" fontId="0" fillId="24" borderId="11" xfId="0" applyFill="1" applyBorder="1"/>
    <xf numFmtId="0" fontId="31" fillId="0" borderId="11" xfId="0" applyFont="1" applyBorder="1" applyAlignment="1" applyProtection="1">
      <alignment horizontal="center" vertical="center" wrapText="1"/>
      <protection locked="0"/>
    </xf>
    <xf numFmtId="1" fontId="48" fillId="0" borderId="11" xfId="0" applyNumberFormat="1" applyFont="1" applyBorder="1" applyAlignment="1" applyProtection="1">
      <alignment horizontal="center" vertical="center" wrapText="1"/>
      <protection hidden="1" locked="0"/>
    </xf>
    <xf numFmtId="0" fontId="42" fillId="25" borderId="11" xfId="0" applyFont="1" applyFill="1" applyBorder="1" applyAlignment="1">
      <alignment horizontal="center" wrapText="1"/>
    </xf>
    <xf numFmtId="0" fontId="43" fillId="0" borderId="11" xfId="0" applyFont="1" applyBorder="1" applyAlignment="1">
      <alignment wrapText="1"/>
    </xf>
    <xf numFmtId="0" fontId="4" fillId="26" borderId="11" xfId="0" applyFont="1" applyFill="1" applyBorder="1" applyAlignment="1">
      <alignment horizontal="center"/>
    </xf>
    <xf numFmtId="0" fontId="42" fillId="26" borderId="11" xfId="0" applyFont="1" applyFill="1" applyBorder="1" applyAlignment="1">
      <alignment horizontal="center" wrapText="1"/>
    </xf>
    <xf numFmtId="0" fontId="1" fillId="0" borderId="11" xfId="85" applyBorder="1">
      <alignment/>
      <protection/>
    </xf>
    <xf numFmtId="0" fontId="0" fillId="27" borderId="11" xfId="0" applyFill="1" applyBorder="1"/>
    <xf numFmtId="1" fontId="36" fillId="28" borderId="11" xfId="0" applyNumberFormat="1" applyFont="1" applyFill="1" applyBorder="1" applyAlignment="1" applyProtection="1">
      <alignment horizontal="center" vertical="center" wrapText="1"/>
      <protection hidden="1" locked="0"/>
    </xf>
    <xf numFmtId="0" fontId="35" fillId="28" borderId="11" xfId="0" applyFont="1" applyFill="1" applyBorder="1" applyAlignment="1" applyProtection="1">
      <alignment horizontal="center" vertical="center" wrapText="1"/>
      <protection hidden="1" locked="0"/>
    </xf>
    <xf numFmtId="0" fontId="38" fillId="28" borderId="11" xfId="0" applyFont="1" applyFill="1" applyBorder="1" applyAlignment="1" applyProtection="1">
      <alignment horizontal="center" vertical="center" wrapText="1"/>
      <protection hidden="1" locked="0"/>
    </xf>
    <xf numFmtId="0" fontId="38" fillId="28" borderId="11" xfId="0" applyFont="1" applyFill="1" applyBorder="1" applyAlignment="1">
      <alignment horizontal="center" vertical="center" wrapText="1"/>
    </xf>
    <xf numFmtId="0" fontId="38" fillId="29" borderId="11" xfId="0" applyFont="1" applyFill="1" applyBorder="1" applyAlignment="1" applyProtection="1">
      <alignment horizontal="center" vertical="center" wrapText="1"/>
      <protection hidden="1" locked="0"/>
    </xf>
    <xf numFmtId="0" fontId="38" fillId="29" borderId="1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8" fillId="30" borderId="11" xfId="0" applyFont="1" applyFill="1" applyBorder="1" applyAlignment="1" applyProtection="1">
      <alignment horizontal="center" vertical="center" wrapText="1"/>
      <protection hidden="1" locked="0"/>
    </xf>
    <xf numFmtId="0" fontId="0" fillId="0" borderId="13" xfId="0" applyBorder="1"/>
    <xf numFmtId="1" fontId="0" fillId="0" borderId="13" xfId="0" applyNumberFormat="1" applyBorder="1"/>
    <xf numFmtId="0" fontId="51" fillId="0" borderId="0" xfId="0" applyFont="1"/>
    <xf numFmtId="0" fontId="54" fillId="0" borderId="11" xfId="0" applyFont="1" applyBorder="1" applyAlignment="1" applyProtection="1">
      <alignment horizontal="center" vertical="center" wrapText="1"/>
      <protection hidden="1" locked="0"/>
    </xf>
    <xf numFmtId="1" fontId="54" fillId="0" borderId="11" xfId="0" applyNumberFormat="1" applyFont="1" applyBorder="1" applyAlignment="1" applyProtection="1">
      <alignment horizontal="center" vertical="center" wrapText="1"/>
      <protection hidden="1" locked="0"/>
    </xf>
    <xf numFmtId="1" fontId="54" fillId="28" borderId="11" xfId="0" applyNumberFormat="1" applyFont="1" applyFill="1" applyBorder="1" applyAlignment="1" applyProtection="1">
      <alignment horizontal="center" vertical="center" wrapText="1"/>
      <protection hidden="1" locked="0"/>
    </xf>
    <xf numFmtId="0" fontId="48" fillId="28" borderId="11" xfId="0" applyFont="1" applyFill="1" applyBorder="1" applyAlignment="1" applyProtection="1">
      <alignment horizontal="center" vertical="center" wrapText="1"/>
      <protection locked="0"/>
    </xf>
    <xf numFmtId="1" fontId="55" fillId="28" borderId="11" xfId="0" applyNumberFormat="1" applyFont="1" applyFill="1" applyBorder="1" applyAlignment="1" applyProtection="1">
      <alignment horizontal="center" vertical="center" wrapText="1"/>
      <protection hidden="1" locked="0"/>
    </xf>
    <xf numFmtId="0" fontId="56" fillId="0" borderId="11" xfId="0" applyFont="1" applyBorder="1" applyAlignment="1" applyProtection="1">
      <alignment horizontal="center" vertical="center" wrapText="1"/>
      <protection hidden="1" locked="0"/>
    </xf>
    <xf numFmtId="0" fontId="59" fillId="0" borderId="11" xfId="0" applyFont="1" applyBorder="1" applyAlignment="1" applyProtection="1">
      <alignment horizontal="center" vertical="center" wrapText="1"/>
      <protection hidden="1" locked="0"/>
    </xf>
    <xf numFmtId="0" fontId="59" fillId="0" borderId="11" xfId="0" applyFont="1" applyBorder="1" applyAlignment="1">
      <alignment horizontal="center" vertical="center" wrapText="1"/>
    </xf>
    <xf numFmtId="1" fontId="60" fillId="0" borderId="11" xfId="0" applyNumberFormat="1" applyFont="1" applyBorder="1" applyAlignment="1" applyProtection="1">
      <alignment horizontal="center" vertical="center" wrapText="1"/>
      <protection hidden="1" locked="0"/>
    </xf>
    <xf numFmtId="0" fontId="61" fillId="0" borderId="11" xfId="0" applyFont="1" applyBorder="1" applyAlignment="1" applyProtection="1">
      <alignment horizontal="center" vertical="center" wrapText="1"/>
      <protection hidden="1" locked="0"/>
    </xf>
    <xf numFmtId="0" fontId="37" fillId="0" borderId="0" xfId="0" applyFont="1" applyAlignment="1" applyProtection="1">
      <alignment vertical="center" wrapText="1"/>
      <protection hidden="1" locked="0"/>
    </xf>
    <xf numFmtId="0" fontId="44" fillId="0" borderId="0" xfId="0" applyFont="1" applyAlignment="1" applyProtection="1">
      <alignment vertical="center" wrapText="1"/>
      <protection hidden="1"/>
    </xf>
    <xf numFmtId="0" fontId="45" fillId="0" borderId="0" xfId="0" applyFont="1" applyAlignment="1">
      <alignment vertical="center"/>
    </xf>
    <xf numFmtId="0" fontId="44" fillId="0" borderId="0" xfId="0" applyFont="1" applyAlignment="1" applyProtection="1">
      <alignment vertical="center" wrapText="1"/>
      <protection locked="0"/>
    </xf>
    <xf numFmtId="0" fontId="45" fillId="0" borderId="0" xfId="0" applyFont="1"/>
    <xf numFmtId="0" fontId="47" fillId="0" borderId="0" xfId="0" applyFont="1" applyAlignment="1">
      <alignment horizontal="center" wrapText="1"/>
    </xf>
    <xf numFmtId="0" fontId="47" fillId="0" borderId="0" xfId="0" applyFont="1" applyAlignment="1">
      <alignment wrapText="1"/>
    </xf>
    <xf numFmtId="0" fontId="48" fillId="0" borderId="0" xfId="0" applyFont="1" applyAlignment="1">
      <alignment horizontal="left"/>
    </xf>
    <xf numFmtId="0" fontId="0" fillId="0" borderId="0" xfId="0" applyAlignment="1">
      <alignment horizontal="left" wrapText="1"/>
    </xf>
    <xf numFmtId="0" fontId="55" fillId="0" borderId="11" xfId="0" applyFont="1" applyBorder="1" applyAlignment="1" applyProtection="1">
      <alignment horizontal="center" vertical="center" wrapText="1"/>
      <protection locked="0"/>
    </xf>
    <xf numFmtId="0" fontId="53" fillId="0" borderId="11" xfId="0" applyFont="1" applyBorder="1" applyAlignment="1" applyProtection="1">
      <alignment horizontal="center" vertical="center" wrapText="1"/>
      <protection hidden="1" locked="0"/>
    </xf>
    <xf numFmtId="0" fontId="63" fillId="0" borderId="11" xfId="0" applyFont="1" applyBorder="1" applyAlignment="1" applyProtection="1">
      <alignment horizontal="center" vertical="center" wrapText="1"/>
      <protection hidden="1" locked="0"/>
    </xf>
    <xf numFmtId="0" fontId="4" fillId="31" borderId="11" xfId="0" applyFont="1" applyFill="1" applyBorder="1"/>
    <xf numFmtId="0" fontId="0" fillId="31" borderId="11" xfId="0" applyFill="1" applyBorder="1"/>
    <xf numFmtId="0" fontId="55" fillId="0" borderId="11" xfId="0" applyFont="1" applyBorder="1" applyAlignment="1">
      <alignment horizontal="center" vertical="top" wrapText="1"/>
    </xf>
    <xf numFmtId="0" fontId="32" fillId="0" borderId="11" xfId="0" applyFont="1" applyBorder="1" applyAlignment="1">
      <alignment horizontal="left" vertical="center" wrapText="1"/>
    </xf>
    <xf numFmtId="14" fontId="32" fillId="15" borderId="11" xfId="0" applyNumberFormat="1" applyFont="1" applyFill="1" applyBorder="1" applyAlignment="1" applyProtection="1">
      <alignment horizontal="left" vertical="center" wrapText="1"/>
      <protection locked="0"/>
    </xf>
    <xf numFmtId="0" fontId="29" fillId="0" borderId="11" xfId="0" applyFont="1" applyBorder="1" applyAlignment="1">
      <alignment horizontal="right" vertical="top"/>
    </xf>
    <xf numFmtId="0" fontId="55" fillId="0" borderId="11" xfId="0" applyFont="1" applyBorder="1" applyAlignment="1">
      <alignment horizontal="right" vertical="top"/>
    </xf>
    <xf numFmtId="0" fontId="60" fillId="0" borderId="11" xfId="0" applyFont="1" applyBorder="1" applyAlignment="1">
      <alignment horizontal="right" vertical="top"/>
    </xf>
    <xf numFmtId="0" fontId="35" fillId="0" borderId="11" xfId="0" applyFont="1" applyBorder="1" applyAlignment="1" applyProtection="1">
      <alignment horizontal="right" vertical="top" wrapText="1"/>
      <protection hidden="1" locked="0"/>
    </xf>
    <xf numFmtId="0" fontId="55" fillId="0" borderId="11" xfId="0" applyFont="1" applyBorder="1" applyAlignment="1" applyProtection="1">
      <alignment horizontal="right" vertical="top" wrapText="1"/>
      <protection locked="0"/>
    </xf>
    <xf numFmtId="0" fontId="65" fillId="0" borderId="0" xfId="0" applyFont="1"/>
    <xf numFmtId="0" fontId="2" fillId="0" borderId="11" xfId="0" applyFont="1" applyBorder="1" applyAlignment="1">
      <alignment horizontal="center" textRotation="90"/>
    </xf>
    <xf numFmtId="0" fontId="2" fillId="0" borderId="11" xfId="0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 textRotation="90"/>
    </xf>
    <xf numFmtId="166" fontId="2" fillId="0" borderId="11" xfId="0" applyNumberFormat="1" applyFont="1" applyBorder="1" applyAlignment="1">
      <alignment horizontal="center" textRotation="90"/>
    </xf>
    <xf numFmtId="0" fontId="2" fillId="32" borderId="11" xfId="0" applyFont="1" applyFill="1" applyBorder="1" applyAlignment="1">
      <alignment horizontal="center" textRotation="90"/>
    </xf>
    <xf numFmtId="0" fontId="66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textRotation="90" wrapText="1"/>
    </xf>
    <xf numFmtId="0" fontId="2" fillId="0" borderId="11" xfId="0" applyFont="1" applyBorder="1" applyAlignment="1">
      <alignment horizontal="center" vertical="center" wrapText="1"/>
    </xf>
    <xf numFmtId="0" fontId="50" fillId="33" borderId="11" xfId="0" applyFont="1" applyFill="1" applyBorder="1" applyAlignment="1">
      <alignment horizontal="center" textRotation="90" wrapText="1"/>
    </xf>
    <xf numFmtId="0" fontId="50" fillId="0" borderId="11" xfId="0" applyFont="1" applyBorder="1" applyAlignment="1">
      <alignment horizontal="center" textRotation="90" wrapText="1"/>
    </xf>
    <xf numFmtId="0" fontId="2" fillId="33" borderId="11" xfId="0" applyFont="1" applyFill="1" applyBorder="1" applyAlignment="1">
      <alignment horizontal="center" textRotation="90" wrapText="1"/>
    </xf>
    <xf numFmtId="0" fontId="2" fillId="34" borderId="11" xfId="0" applyFont="1" applyFill="1" applyBorder="1" applyAlignment="1">
      <alignment horizontal="center" textRotation="90" wrapText="1"/>
    </xf>
    <xf numFmtId="0" fontId="2" fillId="32" borderId="11" xfId="0" applyFont="1" applyFill="1" applyBorder="1" applyAlignment="1">
      <alignment horizontal="center" textRotation="90" wrapText="1"/>
    </xf>
    <xf numFmtId="0" fontId="55" fillId="0" borderId="11" xfId="0" applyFont="1" applyBorder="1" applyAlignment="1">
      <alignment horizontal="center" vertical="center" wrapText="1"/>
    </xf>
    <xf numFmtId="0" fontId="68" fillId="0" borderId="11" xfId="0" applyFont="1" applyBorder="1" applyAlignment="1">
      <alignment horizontal="center" vertical="center" wrapText="1"/>
    </xf>
    <xf numFmtId="0" fontId="65" fillId="0" borderId="11" xfId="0" applyFont="1" applyBorder="1"/>
    <xf numFmtId="0" fontId="70" fillId="0" borderId="11" xfId="0" applyFont="1" applyBorder="1" applyAlignment="1" applyProtection="1">
      <alignment horizontal="center" vertical="center" wrapText="1"/>
      <protection locked="0"/>
    </xf>
    <xf numFmtId="0" fontId="71" fillId="0" borderId="11" xfId="0" applyFont="1" applyBorder="1" applyAlignment="1" applyProtection="1">
      <alignment horizontal="center" vertical="center" wrapText="1"/>
      <protection hidden="1" locked="0"/>
    </xf>
    <xf numFmtId="0" fontId="47" fillId="15" borderId="11" xfId="0" applyFont="1" applyFill="1" applyBorder="1" applyAlignment="1">
      <alignment horizontal="left" vertical="center"/>
    </xf>
    <xf numFmtId="0" fontId="47" fillId="15" borderId="11" xfId="0" applyFont="1" applyFill="1" applyBorder="1" applyAlignment="1">
      <alignment horizontal="center" vertical="center"/>
    </xf>
    <xf numFmtId="14" fontId="47" fillId="15" borderId="11" xfId="0" applyNumberFormat="1" applyFont="1" applyFill="1" applyBorder="1" applyAlignment="1" applyProtection="1">
      <alignment horizontal="left" vertical="center"/>
      <protection locked="0"/>
    </xf>
    <xf numFmtId="0" fontId="47" fillId="15" borderId="11" xfId="0" applyFont="1" applyFill="1" applyBorder="1" applyAlignment="1" applyProtection="1">
      <alignment horizontal="center" vertical="center"/>
      <protection locked="0"/>
    </xf>
    <xf numFmtId="14" fontId="47" fillId="15" borderId="11" xfId="0" applyNumberFormat="1" applyFont="1" applyFill="1" applyBorder="1" applyAlignment="1" applyProtection="1">
      <alignment horizontal="left"/>
      <protection locked="0"/>
    </xf>
    <xf numFmtId="0" fontId="47" fillId="0" borderId="14" xfId="0" applyFont="1" applyBorder="1" applyAlignment="1" applyProtection="1">
      <alignment horizontal="center" vertical="center" wrapText="1"/>
      <protection locked="0"/>
    </xf>
    <xf numFmtId="0" fontId="47" fillId="0" borderId="15" xfId="0" applyFont="1" applyBorder="1" applyAlignment="1" applyProtection="1">
      <alignment horizontal="center" vertical="center" wrapText="1"/>
      <protection locked="0"/>
    </xf>
    <xf numFmtId="0" fontId="47" fillId="0" borderId="16" xfId="0" applyFont="1" applyBorder="1" applyAlignment="1" applyProtection="1">
      <alignment horizontal="center" vertical="center" wrapText="1"/>
      <protection locked="0"/>
    </xf>
    <xf numFmtId="0" fontId="47" fillId="0" borderId="17" xfId="0" applyFont="1" applyBorder="1" applyAlignment="1" applyProtection="1">
      <alignment horizontal="center" vertical="center" wrapText="1"/>
      <protection locked="0"/>
    </xf>
    <xf numFmtId="0" fontId="47" fillId="0" borderId="18" xfId="0" applyFont="1" applyBorder="1" applyAlignment="1" applyProtection="1">
      <alignment horizontal="center" vertical="center" wrapText="1"/>
      <protection locked="0"/>
    </xf>
    <xf numFmtId="0" fontId="47" fillId="0" borderId="19" xfId="0" applyFont="1" applyBorder="1" applyAlignment="1" applyProtection="1">
      <alignment horizontal="center" vertical="center" wrapText="1"/>
      <protection locked="0"/>
    </xf>
    <xf numFmtId="0" fontId="47" fillId="0" borderId="20" xfId="0" applyFont="1" applyBorder="1" applyAlignment="1" applyProtection="1">
      <alignment horizontal="center" vertical="center" wrapText="1"/>
      <protection locked="0"/>
    </xf>
    <xf numFmtId="0" fontId="47" fillId="0" borderId="0" xfId="0" applyFont="1" applyAlignment="1" applyProtection="1">
      <alignment horizontal="center" vertical="center" wrapText="1"/>
      <protection locked="0"/>
    </xf>
    <xf numFmtId="0" fontId="47" fillId="0" borderId="21" xfId="0" applyFont="1" applyBorder="1" applyAlignment="1" applyProtection="1">
      <alignment horizontal="center" vertical="center" wrapText="1"/>
      <protection locked="0"/>
    </xf>
    <xf numFmtId="0" fontId="47" fillId="0" borderId="22" xfId="0" applyFont="1" applyBorder="1" applyAlignment="1" applyProtection="1">
      <alignment horizontal="center" vertical="center" wrapText="1"/>
      <protection locked="0"/>
    </xf>
    <xf numFmtId="0" fontId="47" fillId="0" borderId="13" xfId="0" applyFont="1" applyBorder="1" applyAlignment="1" applyProtection="1">
      <alignment horizontal="center" vertical="center" wrapText="1"/>
      <protection locked="0"/>
    </xf>
    <xf numFmtId="0" fontId="47" fillId="0" borderId="23" xfId="0" applyFont="1" applyBorder="1" applyAlignment="1" applyProtection="1">
      <alignment horizontal="center" vertical="center" wrapText="1"/>
      <protection locked="0"/>
    </xf>
    <xf numFmtId="0" fontId="47" fillId="0" borderId="14" xfId="0" applyFont="1" applyBorder="1" applyAlignment="1" applyProtection="1">
      <alignment horizontal="center" vertical="center" wrapText="1"/>
      <protection hidden="1"/>
    </xf>
    <xf numFmtId="0" fontId="47" fillId="0" borderId="15" xfId="0" applyFont="1" applyBorder="1" applyAlignment="1" applyProtection="1">
      <alignment horizontal="center" vertical="center" wrapText="1"/>
      <protection hidden="1"/>
    </xf>
    <xf numFmtId="0" fontId="47" fillId="0" borderId="16" xfId="0" applyFont="1" applyBorder="1" applyAlignment="1" applyProtection="1">
      <alignment horizontal="center" vertical="center" wrapText="1"/>
      <protection hidden="1"/>
    </xf>
    <xf numFmtId="0" fontId="31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1" fillId="15" borderId="11" xfId="0" applyFont="1" applyFill="1" applyBorder="1" applyAlignment="1" applyProtection="1">
      <alignment horizontal="center" vertical="center" wrapText="1"/>
      <protection hidden="1"/>
    </xf>
    <xf numFmtId="0" fontId="31" fillId="0" borderId="11" xfId="0" applyFont="1" applyBorder="1" applyAlignment="1" applyProtection="1">
      <alignment horizontal="center" vertical="center" wrapText="1"/>
      <protection hidden="1"/>
    </xf>
    <xf numFmtId="0" fontId="49" fillId="35" borderId="11" xfId="0" applyFont="1" applyFill="1" applyBorder="1" applyAlignment="1" applyProtection="1">
      <alignment horizontal="center" vertical="center" wrapText="1"/>
      <protection hidden="1" locked="0"/>
    </xf>
    <xf numFmtId="0" fontId="31" fillId="0" borderId="11" xfId="0" applyFont="1" applyBorder="1" applyAlignment="1">
      <alignment horizontal="center" vertical="center" wrapText="1"/>
    </xf>
    <xf numFmtId="0" fontId="39" fillId="0" borderId="11" xfId="0" applyFont="1" applyBorder="1" applyAlignment="1">
      <alignment horizontal="center" vertical="center" wrapText="1"/>
    </xf>
    <xf numFmtId="0" fontId="38" fillId="0" borderId="11" xfId="0" applyFont="1" applyBorder="1" applyAlignment="1">
      <alignment horizontal="center" vertical="center" wrapText="1"/>
    </xf>
    <xf numFmtId="0" fontId="38" fillId="0" borderId="11" xfId="0" applyFont="1" applyBorder="1" applyAlignment="1" applyProtection="1">
      <alignment horizontal="center" wrapText="1"/>
      <protection hidden="1"/>
    </xf>
    <xf numFmtId="0" fontId="31" fillId="36" borderId="11" xfId="0" applyFont="1" applyFill="1" applyBorder="1" applyAlignment="1" applyProtection="1">
      <alignment horizontal="center" vertical="center" wrapText="1"/>
      <protection hidden="1"/>
    </xf>
    <xf numFmtId="0" fontId="31" fillId="15" borderId="11" xfId="0" applyFont="1" applyFill="1" applyBorder="1" applyAlignment="1">
      <alignment horizontal="left" vertical="center" wrapText="1"/>
    </xf>
    <xf numFmtId="14" fontId="31" fillId="15" borderId="11" xfId="0" applyNumberFormat="1" applyFont="1" applyFill="1" applyBorder="1" applyAlignment="1" applyProtection="1">
      <alignment horizontal="left" vertical="center" wrapText="1"/>
      <protection locked="0"/>
    </xf>
    <xf numFmtId="14" fontId="31" fillId="15" borderId="11" xfId="0" applyNumberFormat="1" applyFont="1" applyFill="1" applyBorder="1" applyAlignment="1" applyProtection="1">
      <alignment horizontal="left" wrapText="1"/>
      <protection locked="0"/>
    </xf>
    <xf numFmtId="0" fontId="30" fillId="0" borderId="11" xfId="0" applyFont="1" applyBorder="1" applyAlignment="1" applyProtection="1">
      <alignment horizontal="center" vertical="center" wrapText="1"/>
      <protection hidden="1"/>
    </xf>
    <xf numFmtId="0" fontId="31" fillId="15" borderId="11" xfId="0" applyFont="1" applyFill="1" applyBorder="1" applyAlignment="1">
      <alignment horizontal="center" vertical="center" wrapText="1"/>
    </xf>
    <xf numFmtId="0" fontId="31" fillId="15" borderId="11" xfId="0" applyFont="1" applyFill="1" applyBorder="1" applyAlignment="1" applyProtection="1">
      <alignment horizontal="center" vertical="center" wrapText="1"/>
      <protection locked="0"/>
    </xf>
    <xf numFmtId="14" fontId="31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0" fillId="15" borderId="11" xfId="0" applyFont="1" applyFill="1" applyBorder="1" applyAlignment="1" applyProtection="1">
      <alignment horizontal="center" vertical="center" wrapText="1"/>
      <protection hidden="1"/>
    </xf>
    <xf numFmtId="0" fontId="30" fillId="0" borderId="11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/>
    </xf>
    <xf numFmtId="0" fontId="44" fillId="0" borderId="11" xfId="0" applyFont="1" applyBorder="1" applyAlignment="1" applyProtection="1">
      <alignment horizontal="center" vertical="center" wrapText="1"/>
      <protection locked="0"/>
    </xf>
    <xf numFmtId="14" fontId="44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47" fillId="0" borderId="11" xfId="0" applyFont="1" applyBorder="1" applyAlignment="1" applyProtection="1">
      <alignment horizontal="center" vertical="center" wrapText="1"/>
      <protection hidden="1"/>
    </xf>
    <xf numFmtId="0" fontId="47" fillId="15" borderId="11" xfId="0" applyFont="1" applyFill="1" applyBorder="1" applyAlignment="1" applyProtection="1">
      <alignment horizontal="center" vertical="center" wrapText="1"/>
      <protection hidden="1"/>
    </xf>
    <xf numFmtId="0" fontId="47" fillId="0" borderId="11" xfId="0" applyFont="1" applyBorder="1" applyAlignment="1">
      <alignment horizontal="center" vertical="center" wrapText="1"/>
    </xf>
    <xf numFmtId="0" fontId="47" fillId="23" borderId="11" xfId="0" applyFont="1" applyFill="1" applyBorder="1" applyAlignment="1" applyProtection="1">
      <alignment horizontal="center" vertical="center" wrapText="1"/>
      <protection hidden="1"/>
    </xf>
    <xf numFmtId="0" fontId="44" fillId="15" borderId="11" xfId="0" applyFont="1" applyFill="1" applyBorder="1" applyAlignment="1">
      <alignment horizontal="center" vertical="center" wrapText="1"/>
    </xf>
    <xf numFmtId="0" fontId="44" fillId="15" borderId="11" xfId="0" applyFont="1" applyFill="1" applyBorder="1" applyAlignment="1" applyProtection="1">
      <alignment horizontal="center" vertical="center" wrapText="1"/>
      <protection locked="0"/>
    </xf>
    <xf numFmtId="0" fontId="44" fillId="0" borderId="11" xfId="0" applyFont="1" applyBorder="1" applyAlignment="1">
      <alignment horizontal="center" vertical="center" wrapText="1"/>
    </xf>
    <xf numFmtId="0" fontId="46" fillId="0" borderId="11" xfId="0" applyFont="1" applyBorder="1" applyAlignment="1">
      <alignment horizontal="center" vertical="center" wrapText="1"/>
    </xf>
    <xf numFmtId="0" fontId="45" fillId="0" borderId="11" xfId="0" applyFont="1" applyBorder="1" applyAlignment="1">
      <alignment horizontal="center" vertical="center" wrapText="1"/>
    </xf>
    <xf numFmtId="0" fontId="45" fillId="0" borderId="11" xfId="0" applyFont="1" applyBorder="1" applyAlignment="1" applyProtection="1">
      <alignment horizontal="center" vertical="center" wrapText="1"/>
      <protection hidden="1"/>
    </xf>
    <xf numFmtId="0" fontId="44" fillId="0" borderId="11" xfId="0" applyFont="1" applyBorder="1" applyAlignment="1" applyProtection="1">
      <alignment horizontal="center" vertical="center" wrapText="1"/>
      <protection hidden="1"/>
    </xf>
    <xf numFmtId="0" fontId="37" fillId="0" borderId="11" xfId="0" applyFont="1" applyBorder="1" applyAlignment="1" applyProtection="1">
      <alignment horizontal="center" vertical="center" wrapText="1"/>
      <protection hidden="1" locked="0"/>
    </xf>
    <xf numFmtId="0" fontId="44" fillId="36" borderId="11" xfId="0" applyFont="1" applyFill="1" applyBorder="1" applyAlignment="1" applyProtection="1">
      <alignment horizontal="center" vertical="center" wrapText="1"/>
      <protection hidden="1"/>
    </xf>
    <xf numFmtId="0" fontId="47" fillId="15" borderId="11" xfId="0" applyFont="1" applyFill="1" applyBorder="1" applyAlignment="1" applyProtection="1">
      <alignment horizontal="center" vertical="center" textRotation="90" wrapText="1"/>
      <protection hidden="1"/>
    </xf>
    <xf numFmtId="0" fontId="47" fillId="23" borderId="11" xfId="0" applyFont="1" applyFill="1" applyBorder="1" applyAlignment="1">
      <alignment horizontal="center" vertical="center" wrapText="1"/>
    </xf>
    <xf numFmtId="0" fontId="34" fillId="0" borderId="11" xfId="0" applyFont="1" applyBorder="1" applyAlignment="1" applyProtection="1">
      <alignment horizontal="center" vertical="center" wrapText="1"/>
      <protection hidden="1"/>
    </xf>
    <xf numFmtId="0" fontId="34" fillId="0" borderId="11" xfId="0" applyFont="1" applyBorder="1" applyAlignment="1" applyProtection="1">
      <alignment horizontal="center" wrapText="1"/>
      <protection locked="0"/>
    </xf>
    <xf numFmtId="164" fontId="34" fillId="0" borderId="11" xfId="0" applyNumberFormat="1" applyFont="1" applyBorder="1" applyAlignment="1" applyProtection="1">
      <alignment horizontal="center" vertical="center" wrapText="1"/>
      <protection hidden="1"/>
    </xf>
    <xf numFmtId="14" fontId="34" fillId="0" borderId="11" xfId="0" applyNumberFormat="1" applyFont="1" applyBorder="1" applyAlignment="1" applyProtection="1">
      <alignment horizontal="center" vertical="center" wrapText="1"/>
      <protection locked="0"/>
    </xf>
    <xf numFmtId="0" fontId="34" fillId="0" borderId="11" xfId="0" applyFont="1" applyBorder="1" applyAlignment="1" applyProtection="1">
      <alignment horizontal="center" vertical="center" wrapText="1"/>
      <protection locked="0"/>
    </xf>
    <xf numFmtId="0" fontId="57" fillId="0" borderId="11" xfId="0" applyFont="1" applyBorder="1" applyAlignment="1" applyProtection="1">
      <alignment horizontal="center" vertical="center" wrapText="1"/>
      <protection hidden="1"/>
    </xf>
    <xf numFmtId="0" fontId="27" fillId="28" borderId="11" xfId="0" applyFont="1" applyFill="1" applyBorder="1" applyAlignment="1" applyProtection="1">
      <alignment horizontal="center" vertical="center" wrapText="1"/>
      <protection hidden="1"/>
    </xf>
    <xf numFmtId="0" fontId="52" fillId="0" borderId="11" xfId="0" applyFont="1" applyBorder="1" applyAlignment="1" applyProtection="1">
      <alignment horizontal="center" vertical="center" wrapText="1"/>
      <protection hidden="1"/>
    </xf>
    <xf numFmtId="0" fontId="67" fillId="0" borderId="11" xfId="0" applyFont="1" applyBorder="1" applyAlignment="1">
      <alignment horizontal="center"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28" borderId="11" xfId="0" applyFont="1" applyFill="1" applyBorder="1" applyAlignment="1" applyProtection="1">
      <alignment horizontal="center" vertical="center" wrapText="1"/>
      <protection hidden="1"/>
    </xf>
    <xf numFmtId="0" fontId="32" fillId="0" borderId="11" xfId="0" applyFont="1" applyBorder="1" applyAlignment="1" applyProtection="1">
      <alignment horizontal="center" vertical="center" wrapText="1"/>
      <protection hidden="1"/>
    </xf>
    <xf numFmtId="0" fontId="35" fillId="0" borderId="11" xfId="0" applyFont="1" applyBorder="1" applyAlignment="1">
      <alignment horizontal="center" vertical="center" wrapText="1"/>
    </xf>
    <xf numFmtId="0" fontId="32" fillId="36" borderId="11" xfId="0" applyFont="1" applyFill="1" applyBorder="1" applyAlignment="1" applyProtection="1">
      <alignment horizontal="center" vertical="center" wrapText="1"/>
      <protection hidden="1"/>
    </xf>
    <xf numFmtId="14" fontId="34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3" fillId="34" borderId="11" xfId="0" applyFont="1" applyFill="1" applyBorder="1" applyAlignment="1" applyProtection="1">
      <alignment horizontal="center" vertical="center" wrapText="1"/>
      <protection hidden="1" locked="0"/>
    </xf>
    <xf numFmtId="0" fontId="34" fillId="0" borderId="11" xfId="0" applyFont="1" applyBorder="1" applyAlignment="1">
      <alignment horizontal="center" vertical="center" wrapText="1"/>
    </xf>
    <xf numFmtId="0" fontId="69" fillId="0" borderId="11" xfId="0" applyFont="1" applyBorder="1" applyAlignment="1">
      <alignment horizontal="center" vertical="center" wrapText="1"/>
    </xf>
    <xf numFmtId="0" fontId="27" fillId="15" borderId="11" xfId="0" applyFont="1" applyFill="1" applyBorder="1" applyAlignment="1" applyProtection="1">
      <alignment horizontal="center" vertical="center" textRotation="90" wrapText="1"/>
      <protection hidden="1"/>
    </xf>
    <xf numFmtId="0" fontId="27" fillId="15" borderId="11" xfId="0" applyFont="1" applyFill="1" applyBorder="1" applyAlignment="1" applyProtection="1">
      <alignment horizontal="center" vertical="center" wrapText="1"/>
      <protection hidden="1"/>
    </xf>
    <xf numFmtId="0" fontId="32" fillId="0" borderId="11" xfId="0" applyFont="1" applyBorder="1" applyAlignment="1">
      <alignment horizontal="center" vertical="center" wrapText="1"/>
    </xf>
    <xf numFmtId="0" fontId="35" fillId="0" borderId="11" xfId="0" applyFont="1" applyBorder="1" applyAlignment="1" applyProtection="1">
      <alignment horizontal="center" wrapText="1"/>
      <protection hidden="1"/>
    </xf>
    <xf numFmtId="14" fontId="34" fillId="15" borderId="11" xfId="0" applyNumberFormat="1" applyFont="1" applyFill="1" applyBorder="1" applyAlignment="1" applyProtection="1">
      <alignment horizontal="center" wrapText="1"/>
      <protection locked="0"/>
    </xf>
    <xf numFmtId="0" fontId="34" fillId="15" borderId="11" xfId="0" applyFont="1" applyFill="1" applyBorder="1" applyAlignment="1" applyProtection="1">
      <alignment horizontal="center" vertical="center" wrapText="1"/>
      <protection locked="0"/>
    </xf>
    <xf numFmtId="0" fontId="34" fillId="15" borderId="11" xfId="0" applyFont="1" applyFill="1" applyBorder="1" applyAlignment="1">
      <alignment horizontal="center" vertical="center" wrapText="1"/>
    </xf>
    <xf numFmtId="0" fontId="32" fillId="15" borderId="11" xfId="0" applyFont="1" applyFill="1" applyBorder="1" applyAlignment="1" applyProtection="1">
      <alignment horizontal="center" vertical="center" wrapText="1"/>
      <protection locked="0"/>
    </xf>
    <xf numFmtId="0" fontId="55" fillId="0" borderId="11" xfId="0" applyFont="1" applyBorder="1" applyAlignment="1">
      <alignment horizontal="center" vertical="center" wrapText="1"/>
    </xf>
    <xf numFmtId="0" fontId="62" fillId="0" borderId="11" xfId="0" applyFont="1" applyBorder="1" applyAlignment="1" applyProtection="1">
      <alignment horizontal="center" vertical="center" wrapText="1"/>
      <protection hidden="1"/>
    </xf>
    <xf numFmtId="0" fontId="58" fillId="0" borderId="11" xfId="0" applyFont="1" applyBorder="1" applyAlignment="1" applyProtection="1">
      <alignment horizontal="center" vertical="center" wrapText="1"/>
      <protection hidden="1"/>
    </xf>
    <xf numFmtId="0" fontId="27" fillId="0" borderId="11" xfId="0" applyFont="1" applyBorder="1" applyAlignment="1" applyProtection="1">
      <alignment horizontal="center" vertical="center" wrapText="1"/>
      <protection hidden="1"/>
    </xf>
    <xf numFmtId="0" fontId="33" fillId="37" borderId="11" xfId="0" applyFont="1" applyFill="1" applyBorder="1" applyAlignment="1" applyProtection="1">
      <alignment horizontal="center" vertical="center" wrapText="1"/>
      <protection hidden="1" locked="0"/>
    </xf>
    <xf numFmtId="0" fontId="32" fillId="0" borderId="11" xfId="0" applyFont="1" applyBorder="1" applyAlignment="1" applyProtection="1">
      <alignment horizontal="center" wrapText="1"/>
      <protection locked="0"/>
    </xf>
    <xf numFmtId="164" fontId="32" fillId="0" borderId="11" xfId="0" applyNumberFormat="1" applyFont="1" applyBorder="1" applyAlignment="1" applyProtection="1">
      <alignment horizontal="center" vertical="center" wrapText="1"/>
      <protection hidden="1"/>
    </xf>
    <xf numFmtId="14" fontId="32" fillId="0" borderId="11" xfId="0" applyNumberFormat="1" applyFont="1" applyBorder="1" applyAlignment="1" applyProtection="1">
      <alignment horizontal="center" vertical="center" wrapText="1"/>
      <protection locked="0"/>
    </xf>
    <xf numFmtId="0" fontId="32" fillId="0" borderId="11" xfId="0" applyFont="1" applyBorder="1" applyAlignment="1" applyProtection="1">
      <alignment horizontal="center" vertical="center" wrapText="1"/>
      <protection locked="0"/>
    </xf>
    <xf numFmtId="0" fontId="55" fillId="0" borderId="11" xfId="0" applyFont="1" applyBorder="1" applyAlignment="1" applyProtection="1">
      <alignment horizontal="center" wrapText="1"/>
      <protection hidden="1"/>
    </xf>
    <xf numFmtId="14" fontId="32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2" fillId="15" borderId="11" xfId="0" applyFont="1" applyFill="1" applyBorder="1" applyAlignment="1">
      <alignment horizontal="center" vertical="center" wrapText="1"/>
    </xf>
    <xf numFmtId="0" fontId="64" fillId="0" borderId="11" xfId="0" applyFont="1" applyBorder="1" applyAlignment="1">
      <alignment horizontal="center" vertical="center" wrapText="1"/>
    </xf>
    <xf numFmtId="0" fontId="30" fillId="36" borderId="11" xfId="0" applyFont="1" applyFill="1" applyBorder="1" applyAlignment="1" applyProtection="1">
      <alignment horizontal="center" vertical="center" wrapText="1"/>
      <protection hidden="1"/>
    </xf>
    <xf numFmtId="14" fontId="31" fillId="15" borderId="11" xfId="0" applyNumberFormat="1" applyFont="1" applyFill="1" applyBorder="1" applyAlignment="1" applyProtection="1">
      <alignment horizontal="center" wrapText="1"/>
      <protection locked="0"/>
    </xf>
    <xf numFmtId="0" fontId="34" fillId="28" borderId="11" xfId="0" applyFont="1" applyFill="1" applyBorder="1" applyAlignment="1" applyProtection="1">
      <alignment horizontal="center" vertical="center" wrapText="1"/>
      <protection hidden="1"/>
    </xf>
    <xf numFmtId="0" fontId="34" fillId="15" borderId="11" xfId="0" applyFont="1" applyFill="1" applyBorder="1" applyAlignment="1" applyProtection="1">
      <alignment horizontal="center" vertical="center" wrapText="1"/>
      <protection hidden="1"/>
    </xf>
    <xf numFmtId="0" fontId="34" fillId="28" borderId="11" xfId="0" applyFont="1" applyFill="1" applyBorder="1" applyAlignment="1">
      <alignment horizontal="center" vertical="center" wrapText="1"/>
    </xf>
    <xf numFmtId="0" fontId="33" fillId="38" borderId="11" xfId="0" applyFont="1" applyFill="1" applyBorder="1" applyAlignment="1" applyProtection="1">
      <alignment horizontal="center" wrapText="1"/>
      <protection hidden="1" locked="0"/>
    </xf>
    <xf numFmtId="0" fontId="31" fillId="0" borderId="14" xfId="0" applyFont="1" applyBorder="1" applyAlignment="1" applyProtection="1">
      <alignment horizontal="center" vertical="center" wrapText="1"/>
      <protection hidden="1"/>
    </xf>
    <xf numFmtId="0" fontId="31" fillId="0" borderId="15" xfId="0" applyFont="1" applyBorder="1" applyAlignment="1" applyProtection="1">
      <alignment horizontal="center" vertical="center" wrapText="1"/>
      <protection hidden="1"/>
    </xf>
    <xf numFmtId="0" fontId="31" fillId="0" borderId="16" xfId="0" applyFont="1" applyBorder="1" applyAlignment="1" applyProtection="1">
      <alignment horizontal="center" vertical="center" wrapText="1"/>
      <protection hidden="1"/>
    </xf>
    <xf numFmtId="0" fontId="38" fillId="0" borderId="17" xfId="0" applyFont="1" applyBorder="1" applyAlignment="1" applyProtection="1">
      <alignment horizontal="center" vertical="center" wrapText="1"/>
      <protection locked="0"/>
    </xf>
    <xf numFmtId="0" fontId="38" fillId="0" borderId="18" xfId="0" applyFont="1" applyBorder="1" applyAlignment="1" applyProtection="1">
      <alignment horizontal="center" vertical="center" wrapText="1"/>
      <protection locked="0"/>
    </xf>
    <xf numFmtId="0" fontId="38" fillId="0" borderId="19" xfId="0" applyFont="1" applyBorder="1" applyAlignment="1" applyProtection="1">
      <alignment horizontal="center" vertical="center" wrapText="1"/>
      <protection locked="0"/>
    </xf>
    <xf numFmtId="0" fontId="38" fillId="0" borderId="20" xfId="0" applyFont="1" applyBorder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 wrapText="1"/>
      <protection locked="0"/>
    </xf>
    <xf numFmtId="0" fontId="38" fillId="0" borderId="21" xfId="0" applyFont="1" applyBorder="1" applyAlignment="1" applyProtection="1">
      <alignment horizontal="center" vertical="center" wrapText="1"/>
      <protection locked="0"/>
    </xf>
    <xf numFmtId="0" fontId="38" fillId="0" borderId="22" xfId="0" applyFont="1" applyBorder="1" applyAlignment="1" applyProtection="1">
      <alignment horizontal="center" vertical="center" wrapText="1"/>
      <protection locked="0"/>
    </xf>
    <xf numFmtId="0" fontId="38" fillId="0" borderId="13" xfId="0" applyFont="1" applyBorder="1" applyAlignment="1" applyProtection="1">
      <alignment horizontal="center" vertical="center" wrapText="1"/>
      <protection locked="0"/>
    </xf>
    <xf numFmtId="0" fontId="38" fillId="0" borderId="23" xfId="0" applyFont="1" applyBorder="1" applyAlignment="1" applyProtection="1">
      <alignment horizontal="center" vertical="center" wrapText="1"/>
      <protection locked="0"/>
    </xf>
    <xf numFmtId="0" fontId="31" fillId="0" borderId="14" xfId="0" applyFont="1" applyBorder="1" applyAlignment="1" applyProtection="1">
      <alignment horizontal="center" vertical="center" wrapText="1"/>
      <protection locked="0"/>
    </xf>
    <xf numFmtId="0" fontId="31" fillId="0" borderId="15" xfId="0" applyFont="1" applyBorder="1" applyAlignment="1" applyProtection="1">
      <alignment horizontal="center" vertical="center" wrapText="1"/>
      <protection locked="0"/>
    </xf>
    <xf numFmtId="0" fontId="31" fillId="0" borderId="16" xfId="0" applyFont="1" applyBorder="1" applyAlignment="1" applyProtection="1">
      <alignment horizontal="center" vertical="center" wrapText="1"/>
      <protection locked="0"/>
    </xf>
    <xf numFmtId="14" fontId="31" fillId="0" borderId="14" xfId="0" applyNumberFormat="1" applyFont="1" applyBorder="1" applyAlignment="1" applyProtection="1">
      <alignment horizontal="center" vertical="center" wrapText="1"/>
      <protection locked="0"/>
    </xf>
    <xf numFmtId="14" fontId="31" fillId="0" borderId="15" xfId="0" applyNumberFormat="1" applyFont="1" applyBorder="1" applyAlignment="1" applyProtection="1">
      <alignment horizontal="center" vertical="center" wrapText="1"/>
      <protection locked="0"/>
    </xf>
    <xf numFmtId="14" fontId="31" fillId="0" borderId="16" xfId="0" applyNumberFormat="1" applyFont="1" applyBorder="1" applyAlignment="1" applyProtection="1">
      <alignment horizontal="center" vertical="center" wrapText="1"/>
      <protection locked="0"/>
    </xf>
    <xf numFmtId="0" fontId="34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1" fillId="29" borderId="11" xfId="0" applyFont="1" applyFill="1" applyBorder="1" applyAlignment="1" applyProtection="1">
      <alignment horizontal="center" vertical="center" wrapText="1"/>
      <protection hidden="1"/>
    </xf>
    <xf numFmtId="0" fontId="37" fillId="39" borderId="11" xfId="0" applyFont="1" applyFill="1" applyBorder="1" applyAlignment="1" applyProtection="1">
      <alignment horizontal="center" vertical="center" wrapText="1"/>
      <protection hidden="1" locked="0"/>
    </xf>
    <xf numFmtId="0" fontId="47" fillId="29" borderId="11" xfId="0" applyFont="1" applyFill="1" applyBorder="1" applyAlignment="1" applyProtection="1">
      <alignment horizontal="center" vertical="center" wrapText="1"/>
      <protection hidden="1"/>
    </xf>
    <xf numFmtId="0" fontId="31" fillId="30" borderId="11" xfId="0" applyFont="1" applyFill="1" applyBorder="1" applyAlignment="1">
      <alignment horizontal="center" vertical="center" wrapText="1"/>
    </xf>
    <xf numFmtId="0" fontId="47" fillId="0" borderId="11" xfId="0" applyFont="1" applyBorder="1" applyAlignment="1">
      <alignment horizontal="center" vertical="center"/>
    </xf>
    <xf numFmtId="0" fontId="72" fillId="0" borderId="11" xfId="0" applyFont="1" applyBorder="1" applyAlignment="1">
      <alignment horizontal="center" vertical="center"/>
    </xf>
    <xf numFmtId="0" fontId="48" fillId="0" borderId="11" xfId="0" applyFont="1" applyBorder="1" applyAlignment="1" applyProtection="1">
      <alignment horizontal="center"/>
      <protection hidden="1"/>
    </xf>
    <xf numFmtId="0" fontId="49" fillId="40" borderId="11" xfId="0" applyFont="1" applyFill="1" applyBorder="1" applyAlignment="1" applyProtection="1">
      <alignment horizontal="center" vertical="center" wrapText="1"/>
      <protection hidden="1" locked="0"/>
    </xf>
    <xf numFmtId="14" fontId="47" fillId="15" borderId="11" xfId="0" applyNumberFormat="1" applyFont="1" applyFill="1" applyBorder="1" applyAlignment="1" applyProtection="1">
      <alignment horizontal="center" vertical="center"/>
      <protection locked="0"/>
    </xf>
    <xf numFmtId="0" fontId="47" fillId="36" borderId="11" xfId="0" applyFont="1" applyFill="1" applyBorder="1" applyAlignment="1" applyProtection="1">
      <alignment horizontal="center" vertical="center" wrapText="1"/>
      <protection hidden="1"/>
    </xf>
    <xf numFmtId="0" fontId="48" fillId="0" borderId="11" xfId="0" applyFont="1" applyBorder="1" applyAlignment="1">
      <alignment horizontal="center" vertical="center" wrapText="1"/>
    </xf>
    <xf numFmtId="0" fontId="47" fillId="0" borderId="11" xfId="0" applyFont="1" applyBorder="1" applyAlignment="1" applyProtection="1">
      <alignment horizontal="center" vertical="center"/>
      <protection locked="0"/>
    </xf>
    <xf numFmtId="0" fontId="28" fillId="0" borderId="11" xfId="0" applyFont="1" applyBorder="1" applyAlignment="1" applyProtection="1">
      <alignment horizontal="center" vertical="center" wrapText="1"/>
      <protection hidden="1"/>
    </xf>
    <xf numFmtId="0" fontId="31" fillId="0" borderId="11" xfId="0" applyFont="1" applyBorder="1" applyAlignment="1" applyProtection="1">
      <alignment horizontal="center" vertical="center" wrapText="1"/>
      <protection locked="0"/>
    </xf>
    <xf numFmtId="0" fontId="28" fillId="15" borderId="11" xfId="0" applyFont="1" applyFill="1" applyBorder="1" applyAlignment="1" applyProtection="1">
      <alignment horizontal="center" vertical="center" wrapText="1"/>
      <protection hidden="1"/>
    </xf>
    <xf numFmtId="0" fontId="28" fillId="15" borderId="11" xfId="0" applyFont="1" applyFill="1" applyBorder="1" applyAlignment="1" applyProtection="1">
      <alignment horizontal="center" vertical="center" textRotation="90" wrapText="1"/>
      <protection hidden="1"/>
    </xf>
    <xf numFmtId="22" fontId="35" fillId="0" borderId="14" xfId="0" applyNumberFormat="1" applyFont="1" applyBorder="1" applyAlignment="1" applyProtection="1">
      <alignment horizontal="center" vertical="center" wrapText="1"/>
      <protection locked="0"/>
    </xf>
    <xf numFmtId="0" fontId="35" fillId="0" borderId="16" xfId="0" applyFont="1" applyBorder="1" applyAlignment="1" applyProtection="1">
      <alignment horizontal="center" vertical="center" wrapText="1"/>
      <protection locked="0"/>
    </xf>
    <xf numFmtId="0" fontId="33" fillId="41" borderId="11" xfId="0" applyFont="1" applyFill="1" applyBorder="1" applyAlignment="1" applyProtection="1">
      <alignment horizontal="center" vertical="center" wrapText="1"/>
      <protection hidden="1" locked="0"/>
    </xf>
    <xf numFmtId="0" fontId="66" fillId="33" borderId="14" xfId="0" applyFont="1" applyFill="1" applyBorder="1" applyAlignment="1">
      <alignment horizontal="center" vertical="center"/>
    </xf>
    <xf numFmtId="0" fontId="66" fillId="33" borderId="15" xfId="0" applyFont="1" applyFill="1" applyBorder="1" applyAlignment="1">
      <alignment horizontal="center" vertical="center"/>
    </xf>
    <xf numFmtId="0" fontId="66" fillId="33" borderId="16" xfId="0" applyFont="1" applyFill="1" applyBorder="1" applyAlignment="1">
      <alignment horizontal="center" vertical="center"/>
    </xf>
    <xf numFmtId="0" fontId="66" fillId="0" borderId="14" xfId="0" applyFont="1" applyBorder="1" applyAlignment="1">
      <alignment horizontal="center" vertical="center"/>
    </xf>
    <xf numFmtId="0" fontId="66" fillId="0" borderId="15" xfId="0" applyFont="1" applyBorder="1" applyAlignment="1">
      <alignment horizontal="center" vertical="center"/>
    </xf>
    <xf numFmtId="0" fontId="66" fillId="0" borderId="16" xfId="0" applyFont="1" applyBorder="1" applyAlignment="1">
      <alignment horizontal="center" vertical="center"/>
    </xf>
    <xf numFmtId="0" fontId="4" fillId="26" borderId="14" xfId="0" applyFont="1" applyFill="1" applyBorder="1" applyAlignment="1">
      <alignment horizontal="center" wrapText="1"/>
    </xf>
    <xf numFmtId="0" fontId="4" fillId="26" borderId="15" xfId="0" applyFont="1" applyFill="1" applyBorder="1" applyAlignment="1">
      <alignment horizontal="center" wrapText="1"/>
    </xf>
    <xf numFmtId="0" fontId="4" fillId="26" borderId="16" xfId="0" applyFont="1" applyFill="1" applyBorder="1" applyAlignment="1">
      <alignment horizontal="center" wrapText="1"/>
    </xf>
    <xf numFmtId="0" fontId="4" fillId="26" borderId="11" xfId="0" applyFont="1" applyFill="1" applyBorder="1" applyAlignment="1">
      <alignment horizontal="center" wrapText="1"/>
    </xf>
    <xf numFmtId="0" fontId="42" fillId="22" borderId="11" xfId="0" applyFont="1" applyFill="1" applyBorder="1" applyAlignment="1">
      <alignment horizontal="center" wrapText="1"/>
    </xf>
    <xf numFmtId="0" fontId="4" fillId="42" borderId="11" xfId="0" applyFont="1" applyFill="1" applyBorder="1" applyAlignment="1">
      <alignment horizontal="center"/>
    </xf>
    <xf numFmtId="0" fontId="4" fillId="31" borderId="11" xfId="0" applyFont="1" applyFill="1" applyBorder="1" applyAlignment="1">
      <alignment horizontal="center"/>
    </xf>
  </cellXfs>
  <cellStyles count="73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Accent1" xfId="20"/>
    <cellStyle name="Accent1 - 20%" xfId="21"/>
    <cellStyle name="Accent1 - 40%" xfId="22"/>
    <cellStyle name="Accent1 - 60%" xfId="23"/>
    <cellStyle name="Accent2" xfId="24"/>
    <cellStyle name="Accent2 - 20%" xfId="25"/>
    <cellStyle name="Accent2 - 40%" xfId="26"/>
    <cellStyle name="Accent2 - 60%" xfId="27"/>
    <cellStyle name="Accent3" xfId="28"/>
    <cellStyle name="Accent3 - 20%" xfId="29"/>
    <cellStyle name="Accent3 - 40%" xfId="30"/>
    <cellStyle name="Accent3 - 60%" xfId="31"/>
    <cellStyle name="Accent4" xfId="32"/>
    <cellStyle name="Accent4 - 20%" xfId="33"/>
    <cellStyle name="Accent4 - 40%" xfId="34"/>
    <cellStyle name="Accent4 - 60%" xfId="35"/>
    <cellStyle name="Accent5" xfId="36"/>
    <cellStyle name="Accent5 - 20%" xfId="37"/>
    <cellStyle name="Accent5 - 40%" xfId="38"/>
    <cellStyle name="Accent5 - 60%" xfId="39"/>
    <cellStyle name="Accent6" xfId="40"/>
    <cellStyle name="Accent6 - 20%" xfId="41"/>
    <cellStyle name="Accent6 - 40%" xfId="42"/>
    <cellStyle name="Accent6 - 60%" xfId="43"/>
    <cellStyle name="Bad" xfId="44"/>
    <cellStyle name="Calculation" xfId="45"/>
    <cellStyle name="Check Cell" xfId="46"/>
    <cellStyle name="Comma [0] 2" xfId="47"/>
    <cellStyle name="Comma 2" xfId="48"/>
    <cellStyle name="Comma 3" xfId="49"/>
    <cellStyle name="Currency [0] 2" xfId="50"/>
    <cellStyle name="Currency 2" xfId="51"/>
    <cellStyle name="Currency 3" xfId="52"/>
    <cellStyle name="Emphasis 1" xfId="53"/>
    <cellStyle name="Emphasis 2" xfId="54"/>
    <cellStyle name="Emphasis 3" xfId="55"/>
    <cellStyle name="Good" xfId="56"/>
    <cellStyle name="Heading 1" xfId="57"/>
    <cellStyle name="Heading 2" xfId="58"/>
    <cellStyle name="Heading 3" xfId="59"/>
    <cellStyle name="Heading 4" xfId="60"/>
    <cellStyle name="Input" xfId="61"/>
    <cellStyle name="Linked Cell" xfId="62"/>
    <cellStyle name="Neutral" xfId="63"/>
    <cellStyle name="Normal 2" xfId="64"/>
    <cellStyle name="Normal 3" xfId="65"/>
    <cellStyle name="Note" xfId="66"/>
    <cellStyle name="Output" xfId="67"/>
    <cellStyle name="Percent 2" xfId="68"/>
    <cellStyle name="Sheet Title" xfId="69"/>
    <cellStyle name="Total" xfId="70"/>
    <cellStyle name="Warning Text" xfId="71"/>
    <cellStyle name="Hyperlink 2" xfId="72"/>
    <cellStyle name="Bad 2" xfId="73"/>
    <cellStyle name="Followed Hyperlink" xfId="74"/>
    <cellStyle name="Input 2" xfId="75"/>
    <cellStyle name="Normal 2 2" xfId="76"/>
    <cellStyle name="Normal 2 3" xfId="77"/>
    <cellStyle name="Normal 2_Components" xfId="78"/>
    <cellStyle name="Normal 3 2" xfId="79"/>
    <cellStyle name="Normal 3_Components" xfId="80"/>
    <cellStyle name="Normal 4" xfId="81"/>
    <cellStyle name="Normal 5" xfId="82"/>
    <cellStyle name="Normal 6" xfId="83"/>
    <cellStyle name="Normal 7" xfId="84"/>
    <cellStyle name="Normal 8" xfId="85"/>
    <cellStyle name="Normal 3 3" xfId="86"/>
  </cellStyles>
  <dxfs count="4"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worksheet" Target="worksheets/sheet4.xml" /><Relationship Id="rId5" Type="http://schemas.openxmlformats.org/officeDocument/2006/relationships/worksheet" Target="worksheets/sheet5.xml" /><Relationship Id="rId6" Type="http://schemas.openxmlformats.org/officeDocument/2006/relationships/worksheet" Target="worksheets/sheet6.xml" /><Relationship Id="rId7" Type="http://schemas.openxmlformats.org/officeDocument/2006/relationships/worksheet" Target="worksheets/sheet7.xml" /><Relationship Id="rId8" Type="http://schemas.openxmlformats.org/officeDocument/2006/relationships/worksheet" Target="worksheets/sheet8.xml" /><Relationship Id="rId9" Type="http://schemas.openxmlformats.org/officeDocument/2006/relationships/worksheet" Target="worksheets/sheet9.xml" /><Relationship Id="rId10" Type="http://schemas.openxmlformats.org/officeDocument/2006/relationships/worksheet" Target="worksheets/sheet10.xml" /><Relationship Id="rId11" Type="http://schemas.openxmlformats.org/officeDocument/2006/relationships/worksheet" Target="worksheets/sheet11.xml" /><Relationship Id="rId12" Type="http://schemas.openxmlformats.org/officeDocument/2006/relationships/worksheet" Target="worksheets/sheet12.xml" /><Relationship Id="rId13" Type="http://schemas.openxmlformats.org/officeDocument/2006/relationships/worksheet" Target="worksheets/sheet13.xml" /><Relationship Id="rId14" Type="http://schemas.microsoft.com/office/2006/relationships/vbaProject" Target="vbaProject.bin" /><Relationship Id="rId15" Type="http://schemas.openxmlformats.org/officeDocument/2006/relationships/styles" Target="styles.xml" /><Relationship Id="rId16" Type="http://schemas.openxmlformats.org/officeDocument/2006/relationships/sharedStrings" Target="sharedStrings.xml" /><Relationship Id="rId17" Type="http://schemas.openxmlformats.org/officeDocument/2006/relationships/theme" Target="theme/theme1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.bin" 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7.bin" 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8.bin" 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9.bin" 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0.bin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1.bin" 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2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W162"/>
  <sheetViews>
    <sheetView tabSelected="1" workbookViewId="0" topLeftCell="A1">
      <selection pane="topLeft" activeCell="AV11" sqref="AV11:XFD1048576"/>
    </sheetView>
  </sheetViews>
  <sheetFormatPr defaultColWidth="9.42578125" defaultRowHeight="12.75"/>
  <cols>
    <col min="1" max="1" width="24.8571428571429" bestFit="1" customWidth="1"/>
    <col min="4" max="4" width="13.7142857142857" customWidth="1"/>
    <col min="5" max="5" width="14.4285714285714" bestFit="1" customWidth="1"/>
    <col min="6" max="6" width="17.7142857142857" bestFit="1" customWidth="1"/>
    <col min="8" max="47" width="9.28571428571429" hidden="1" customWidth="1"/>
    <col min="48" max="49" width="11" customWidth="1"/>
    <col min="50" max="50" width="18.2857142857143" customWidth="1"/>
    <col min="51" max="51" width="15.2857142857143" customWidth="1"/>
    <col min="52" max="52" width="14.2857142857143" customWidth="1"/>
    <col min="53" max="53" width="10.4285714285714" bestFit="1" customWidth="1"/>
    <col min="54" max="54" width="11.7142857142857" bestFit="1" customWidth="1"/>
    <col min="55" max="55" width="20.7142857142857" customWidth="1"/>
    <col min="56" max="56" width="47.2857142857143" customWidth="1"/>
    <col min="57" max="57" width="8.28571428571429" bestFit="1" customWidth="1"/>
    <col min="58" max="58" width="16.7142857142857" customWidth="1"/>
    <col min="59" max="59" width="61" bestFit="1" customWidth="1"/>
    <col min="60" max="60" width="11.2857142857143" customWidth="1"/>
    <col min="61" max="61" width="9" customWidth="1"/>
    <col min="62" max="62" width="42.7142857142857" bestFit="1" customWidth="1"/>
    <col min="63" max="63" width="23.7142857142857" customWidth="1"/>
    <col min="64" max="64" width="29.2857142857143" customWidth="1"/>
    <col min="65" max="65" width="16.5714285714286" bestFit="1" customWidth="1"/>
    <col min="66" max="66" width="20.1428571428571" bestFit="1" customWidth="1"/>
    <col min="67" max="67" width="22.2857142857143" bestFit="1" customWidth="1"/>
    <col min="68" max="68" width="17" bestFit="1" customWidth="1"/>
    <col min="69" max="69" width="14.5714285714286" customWidth="1"/>
    <col min="71" max="71" width="16.7142857142857" customWidth="1"/>
    <col min="72" max="72" width="21" customWidth="1"/>
    <col min="74" max="74" width="9.28571428571429" customWidth="1"/>
    <col min="75" max="75" width="12.7142857142857" customWidth="1"/>
    <col min="76" max="76" width="14.2857142857143" customWidth="1"/>
    <col min="77" max="77" width="15.7142857142857" customWidth="1"/>
    <col min="78" max="78" width="7.71428571428571" customWidth="1"/>
    <col min="79" max="79" width="10" bestFit="1" customWidth="1"/>
    <col min="80" max="80" width="6.71428571428571" customWidth="1"/>
    <col min="81" max="81" width="13.2857142857143" customWidth="1"/>
    <col min="82" max="83" width="12.7142857142857" customWidth="1"/>
    <col min="84" max="84" width="17.2857142857143" customWidth="1"/>
    <col min="85" max="85" width="11.4285714285714" customWidth="1"/>
    <col min="86" max="86" width="13.7142857142857" customWidth="1"/>
    <col min="87" max="87" width="33.8571428571429" bestFit="1" customWidth="1"/>
    <col min="88" max="88" width="29" bestFit="1" customWidth="1"/>
    <col min="89" max="89" width="11.2857142857143" bestFit="1" customWidth="1"/>
    <col min="90" max="90" width="12.7142857142857" customWidth="1"/>
    <col min="91" max="91" width="17.5714285714286" customWidth="1"/>
    <col min="92" max="92" width="16.2857142857143" bestFit="1" customWidth="1"/>
    <col min="93" max="93" width="7.57142857142857" customWidth="1"/>
    <col min="94" max="94" width="15" customWidth="1"/>
    <col min="95" max="95" width="12" customWidth="1"/>
    <col min="96" max="96" width="11.2857142857143" customWidth="1"/>
    <col min="97" max="97" width="11.4285714285714" customWidth="1"/>
    <col min="98" max="98" width="9.71428571428571" bestFit="1" customWidth="1"/>
    <col min="99" max="99" width="12.7142857142857" customWidth="1"/>
    <col min="100" max="100" width="13.4285714285714" customWidth="1"/>
    <col min="101" max="101" width="11.2857142857143" customWidth="1"/>
    <col min="102" max="102" width="13" customWidth="1"/>
    <col min="103" max="103" width="13.7142857142857" customWidth="1"/>
    <col min="104" max="104" width="7.28571428571429" customWidth="1"/>
    <col min="105" max="105" width="12.7142857142857" customWidth="1"/>
    <col min="106" max="106" width="12.2857142857143" customWidth="1"/>
    <col min="107" max="107" width="9.71428571428571" bestFit="1" customWidth="1"/>
    <col min="108" max="108" width="11.2857142857143" customWidth="1"/>
    <col min="109" max="110" width="12.2857142857143" customWidth="1"/>
    <col min="111" max="111" width="7.42857142857143" customWidth="1"/>
    <col min="112" max="112" width="8.28571428571429" customWidth="1"/>
    <col min="113" max="113" width="13.7142857142857" customWidth="1"/>
  </cols>
  <sheetData>
    <row r="1" spans="48:123" ht="25.5">
      <c r="AV1" s="10"/>
      <c r="AW1" s="10"/>
      <c r="AX1" s="14" t="s">
        <v>831</v>
      </c>
      <c r="AY1" s="11"/>
      <c r="AZ1" s="11" t="s">
        <v>16</v>
      </c>
      <c r="BA1" s="13" t="s">
        <v>22</v>
      </c>
      <c r="BB1" s="11"/>
      <c r="BC1" s="11"/>
      <c r="BD1" s="11"/>
      <c r="BE1" s="11"/>
      <c r="BF1" s="11"/>
      <c r="BG1" s="11" t="s">
        <v>11</v>
      </c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</row>
    <row r="2" spans="48:123" ht="12.75">
      <c r="AV2" s="12"/>
      <c r="AW2" s="12"/>
      <c r="AX2" s="12"/>
      <c r="AY2" s="13"/>
      <c r="AZ2" s="11" t="s">
        <v>14</v>
      </c>
      <c r="BA2" s="15">
        <v>20</v>
      </c>
      <c r="BB2" s="11" t="s">
        <v>25</v>
      </c>
      <c r="BC2" s="11"/>
      <c r="BD2" s="11"/>
      <c r="BE2" s="11"/>
      <c r="BF2" s="11"/>
      <c r="BG2" s="11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</row>
    <row r="3" spans="48:123" ht="12.75">
      <c r="AV3" s="12" t="s">
        <v>24</v>
      </c>
      <c r="AW3" s="12"/>
      <c r="AX3" s="12"/>
      <c r="AY3" s="13"/>
      <c r="AZ3" s="13" t="s">
        <v>17</v>
      </c>
      <c r="BA3" s="13" t="s">
        <v>18</v>
      </c>
      <c r="BB3" s="13"/>
      <c r="BC3" s="13"/>
      <c r="BD3" s="11"/>
      <c r="BE3" s="11"/>
      <c r="BF3" s="11"/>
      <c r="BG3" s="11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</row>
    <row r="4" spans="48:127" ht="12.75">
      <c r="AV4" s="7" t="s">
        <v>0</v>
      </c>
      <c r="AW4" s="7" t="s">
        <v>19</v>
      </c>
      <c r="AX4" s="7" t="s">
        <v>1</v>
      </c>
      <c r="AY4" s="7" t="s">
        <v>2</v>
      </c>
      <c r="AZ4" s="7" t="s">
        <v>21</v>
      </c>
      <c r="BA4" s="7" t="s">
        <v>20</v>
      </c>
      <c r="BB4" s="3" t="s">
        <v>26</v>
      </c>
      <c r="BC4" s="3" t="s">
        <v>3</v>
      </c>
      <c r="BD4" s="3" t="s">
        <v>27</v>
      </c>
      <c r="BE4" s="3" t="s">
        <v>28</v>
      </c>
      <c r="BF4" s="3" t="s">
        <v>29</v>
      </c>
      <c r="BG4" s="3" t="s">
        <v>6</v>
      </c>
      <c r="BH4" s="3" t="s">
        <v>30</v>
      </c>
      <c r="BI4" s="3" t="s">
        <v>31</v>
      </c>
      <c r="BJ4" s="3" t="s">
        <v>32</v>
      </c>
      <c r="BK4" s="3" t="s">
        <v>33</v>
      </c>
      <c r="BL4" s="3" t="s">
        <v>34</v>
      </c>
      <c r="BM4" s="3" t="s">
        <v>35</v>
      </c>
      <c r="BN4" s="3" t="s">
        <v>36</v>
      </c>
      <c r="BO4" s="7" t="s">
        <v>37</v>
      </c>
      <c r="BP4" s="7" t="s">
        <v>38</v>
      </c>
      <c r="BQ4" s="7" t="s">
        <v>23</v>
      </c>
      <c r="BR4" s="7" t="s">
        <v>39</v>
      </c>
      <c r="BS4" s="1" t="s">
        <v>40</v>
      </c>
      <c r="BT4" s="1" t="s">
        <v>41</v>
      </c>
      <c r="BU4" s="1" t="s">
        <v>42</v>
      </c>
      <c r="BV4" s="1" t="s">
        <v>43</v>
      </c>
      <c r="BW4" s="1" t="s">
        <v>44</v>
      </c>
      <c r="BX4" s="1" t="s">
        <v>45</v>
      </c>
      <c r="BY4" s="1" t="s">
        <v>46</v>
      </c>
      <c r="BZ4" s="1" t="s">
        <v>47</v>
      </c>
      <c r="CA4" s="1" t="s">
        <v>48</v>
      </c>
      <c r="CB4" s="1" t="s">
        <v>49</v>
      </c>
      <c r="CC4" s="1" t="s">
        <v>50</v>
      </c>
      <c r="CD4" s="1" t="s">
        <v>51</v>
      </c>
      <c r="CE4" s="1" t="s">
        <v>52</v>
      </c>
      <c r="CF4" s="1" t="s">
        <v>53</v>
      </c>
      <c r="CG4" s="1"/>
      <c r="CH4" s="1" t="s">
        <v>54</v>
      </c>
      <c r="CI4" s="1" t="s">
        <v>55</v>
      </c>
      <c r="CJ4" s="1" t="s">
        <v>56</v>
      </c>
      <c r="CK4" s="1" t="s">
        <v>57</v>
      </c>
      <c r="CL4" s="1" t="s">
        <v>58</v>
      </c>
      <c r="CM4" s="1" t="s">
        <v>59</v>
      </c>
      <c r="CN4" s="1" t="s">
        <v>60</v>
      </c>
      <c r="CO4" s="1" t="s">
        <v>61</v>
      </c>
      <c r="CP4" s="1" t="s">
        <v>62</v>
      </c>
      <c r="CQ4" s="1" t="s">
        <v>63</v>
      </c>
      <c r="CR4" s="1" t="s">
        <v>64</v>
      </c>
      <c r="CS4" s="1" t="s">
        <v>65</v>
      </c>
      <c r="CT4" s="1" t="s">
        <v>66</v>
      </c>
      <c r="CU4" s="1" t="s">
        <v>67</v>
      </c>
      <c r="CV4" s="1" t="s">
        <v>68</v>
      </c>
      <c r="CW4" s="1" t="s">
        <v>69</v>
      </c>
      <c r="CX4" s="1" t="s">
        <v>70</v>
      </c>
      <c r="CY4" s="1" t="s">
        <v>71</v>
      </c>
      <c r="CZ4" s="1" t="s">
        <v>72</v>
      </c>
      <c r="DA4" s="1" t="s">
        <v>73</v>
      </c>
      <c r="DB4" s="1" t="s">
        <v>74</v>
      </c>
      <c r="DC4" s="1" t="s">
        <v>75</v>
      </c>
      <c r="DD4" s="1" t="s">
        <v>76</v>
      </c>
      <c r="DE4" s="1" t="s">
        <v>77</v>
      </c>
      <c r="DF4" s="1" t="s">
        <v>78</v>
      </c>
      <c r="DG4" s="1" t="s">
        <v>79</v>
      </c>
      <c r="DH4" s="1" t="s">
        <v>80</v>
      </c>
      <c r="DI4" s="1" t="s">
        <v>81</v>
      </c>
      <c r="DJ4" s="1" t="s">
        <v>82</v>
      </c>
      <c r="DK4" s="1" t="s">
        <v>83</v>
      </c>
      <c r="DL4" s="1" t="s">
        <v>84</v>
      </c>
      <c r="DM4" s="1" t="s">
        <v>85</v>
      </c>
      <c r="DN4" s="1" t="s">
        <v>86</v>
      </c>
      <c r="DO4" s="1" t="s">
        <v>87</v>
      </c>
      <c r="DP4" s="1" t="s">
        <v>88</v>
      </c>
      <c r="DQ4" s="1" t="s">
        <v>89</v>
      </c>
      <c r="DR4" s="1" t="s">
        <v>90</v>
      </c>
      <c r="DS4" s="1" t="s">
        <v>91</v>
      </c>
      <c r="DT4" t="s">
        <v>115</v>
      </c>
      <c r="DU4" t="s">
        <v>181</v>
      </c>
      <c r="DV4" t="s">
        <v>379</v>
      </c>
      <c r="DW4" t="s">
        <v>380</v>
      </c>
    </row>
    <row r="5" spans="1:127" ht="18">
      <c r="A5" s="170" t="s">
        <v>102</v>
      </c>
      <c r="B5" s="170"/>
      <c r="C5" s="170"/>
      <c r="D5" s="170"/>
      <c r="E5" s="170"/>
      <c r="F5" s="170"/>
      <c r="AV5" t="s">
        <v>1254</v>
      </c>
      <c r="AW5" s="8" t="s">
        <v>1255</v>
      </c>
      <c r="AX5" s="8" t="s">
        <v>1256</v>
      </c>
      <c r="AY5" s="8" t="s">
        <v>1257</v>
      </c>
      <c r="AZ5" s="8" t="s">
        <v>1258</v>
      </c>
      <c r="BA5" s="8" t="s">
        <v>1259</v>
      </c>
      <c r="BC5" s="8" t="s">
        <v>1260</v>
      </c>
      <c r="BD5" s="8" t="s">
        <v>202</v>
      </c>
      <c r="BE5" t="s">
        <v>1261</v>
      </c>
      <c r="BF5" t="s">
        <v>1262</v>
      </c>
      <c r="BH5" t="s">
        <v>617</v>
      </c>
      <c r="BI5" t="s">
        <v>1263</v>
      </c>
      <c r="BJ5" t="s">
        <v>617</v>
      </c>
      <c r="BK5" t="s">
        <v>1264</v>
      </c>
      <c r="BM5" t="s">
        <v>1265</v>
      </c>
      <c r="BN5" t="s">
        <v>1266</v>
      </c>
      <c r="BO5" s="1" t="s">
        <v>1267</v>
      </c>
      <c r="BP5" s="6" t="s">
        <v>1268</v>
      </c>
      <c r="BQ5" s="6"/>
      <c r="BR5" s="6" t="s">
        <v>1269</v>
      </c>
      <c r="BS5" s="1" t="s">
        <v>617</v>
      </c>
      <c r="BT5" s="1" t="s">
        <v>1270</v>
      </c>
      <c r="BU5" s="1" t="s">
        <v>617</v>
      </c>
      <c r="BV5" s="1" t="s">
        <v>617</v>
      </c>
      <c r="BW5" s="1" t="s">
        <v>617</v>
      </c>
      <c r="BX5" s="1" t="s">
        <v>617</v>
      </c>
      <c r="BY5" s="1" t="s">
        <v>1271</v>
      </c>
      <c r="BZ5" s="1" t="s">
        <v>617</v>
      </c>
      <c r="CA5" s="1" t="s">
        <v>617</v>
      </c>
      <c r="CB5" s="1" t="s">
        <v>617</v>
      </c>
      <c r="CC5" s="1" t="s">
        <v>617</v>
      </c>
      <c r="CD5" s="1" t="s">
        <v>617</v>
      </c>
      <c r="CE5" s="1" t="s">
        <v>1272</v>
      </c>
      <c r="CF5" s="1" t="s">
        <v>617</v>
      </c>
      <c r="CG5" s="1"/>
      <c r="CH5" s="1"/>
      <c r="CI5" s="1" t="s">
        <v>617</v>
      </c>
      <c r="CJ5" s="1" t="s">
        <v>1263</v>
      </c>
      <c r="CK5" s="1" t="s">
        <v>617</v>
      </c>
      <c r="CL5" s="1" t="s">
        <v>1264</v>
      </c>
      <c r="CM5" s="1"/>
      <c r="CN5" s="1" t="s">
        <v>1265</v>
      </c>
      <c r="CO5" s="1" t="s">
        <v>1266</v>
      </c>
      <c r="CP5" s="1" t="s">
        <v>1267</v>
      </c>
      <c r="CQ5" s="1" t="s">
        <v>1268</v>
      </c>
      <c r="CR5" s="1">
        <v>0</v>
      </c>
      <c r="CS5" s="1">
        <v>0</v>
      </c>
      <c r="CT5" s="1"/>
      <c r="CU5" s="1" t="s">
        <v>1274</v>
      </c>
      <c r="CV5" s="1" t="s">
        <v>1275</v>
      </c>
      <c r="CW5" s="1" t="s">
        <v>617</v>
      </c>
      <c r="CX5" s="1" t="s">
        <v>1274</v>
      </c>
      <c r="CY5" s="1" t="s">
        <v>1275</v>
      </c>
      <c r="CZ5" s="1" t="s">
        <v>1277</v>
      </c>
      <c r="DA5" s="1" t="s">
        <v>1270</v>
      </c>
      <c r="DB5" s="1" t="s">
        <v>617</v>
      </c>
      <c r="DC5" s="1"/>
      <c r="DD5" s="1"/>
      <c r="DE5" s="1"/>
      <c r="DF5" s="1"/>
      <c r="DG5" s="1" t="s">
        <v>1278</v>
      </c>
      <c r="DH5" s="1">
        <v>0</v>
      </c>
      <c r="DI5" s="1">
        <v>14545.4547</v>
      </c>
      <c r="DJ5" s="1" t="s">
        <v>1273</v>
      </c>
      <c r="DK5" s="1" t="s">
        <v>1276</v>
      </c>
      <c r="DL5" s="1" t="s">
        <v>617</v>
      </c>
      <c r="DM5" s="1">
        <v>0</v>
      </c>
      <c r="DN5" s="1">
        <v>0</v>
      </c>
      <c r="DO5" s="1">
        <v>0</v>
      </c>
      <c r="DP5" s="1">
        <v>0</v>
      </c>
      <c r="DQ5" s="1">
        <v>15999.9999</v>
      </c>
      <c r="DR5" s="1" t="s">
        <v>1279</v>
      </c>
      <c r="DS5" s="1" t="s">
        <v>1280</v>
      </c>
      <c r="DT5" t="s">
        <v>1281</v>
      </c>
      <c r="DU5" t="s">
        <v>1282</v>
      </c>
    </row>
    <row r="6" spans="1:123" ht="12.75">
      <c r="A6" s="17" t="s">
        <v>103</v>
      </c>
      <c r="B6" s="17" t="s">
        <v>104</v>
      </c>
      <c r="C6" s="17" t="s">
        <v>105</v>
      </c>
      <c r="D6" s="17" t="s">
        <v>106</v>
      </c>
      <c r="E6" s="17" t="s">
        <v>107</v>
      </c>
      <c r="F6" s="17" t="s">
        <v>108</v>
      </c>
      <c r="AV6" s="1"/>
      <c r="AW6" s="1"/>
      <c r="AX6" s="1"/>
      <c r="AY6" s="6"/>
      <c r="AZ6" s="6"/>
      <c r="BA6" s="1"/>
      <c r="BO6" s="1"/>
      <c r="BP6" s="1"/>
      <c r="BQ6" s="1"/>
      <c r="BR6" s="1"/>
      <c r="BS6" s="1"/>
      <c r="BT6" s="6"/>
      <c r="BU6" s="6"/>
      <c r="BV6" s="6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</row>
    <row r="7" spans="1:123" ht="12.75">
      <c r="A7" s="20" t="s">
        <v>109</v>
      </c>
      <c r="B7" s="20">
        <v>11</v>
      </c>
      <c r="C7" s="20">
        <v>20</v>
      </c>
      <c r="D7" s="20" t="s">
        <v>1080</v>
      </c>
      <c r="E7" s="20" t="b">
        <v>1</v>
      </c>
      <c r="F7" s="20">
        <v>1</v>
      </c>
      <c r="AV7" s="1"/>
      <c r="AW7" s="1"/>
      <c r="AX7" s="1"/>
      <c r="AY7" s="1"/>
      <c r="AZ7" s="1"/>
      <c r="BA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</row>
    <row r="8" spans="1:123" ht="12.75">
      <c r="A8" s="20" t="s">
        <v>124</v>
      </c>
      <c r="B8" s="20">
        <v>11</v>
      </c>
      <c r="C8" s="20">
        <v>20</v>
      </c>
      <c r="D8" s="20" t="s">
        <v>1245</v>
      </c>
      <c r="E8" s="20" t="b">
        <v>1</v>
      </c>
      <c r="F8" s="20">
        <v>1</v>
      </c>
      <c r="AV8" s="1"/>
      <c r="AW8" s="1"/>
      <c r="AX8" s="1"/>
      <c r="AY8" s="1"/>
      <c r="AZ8" s="1"/>
      <c r="BA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</row>
    <row r="9" spans="1:123" ht="12.75">
      <c r="A9" s="20" t="s">
        <v>1042</v>
      </c>
      <c r="B9" s="20">
        <v>11</v>
      </c>
      <c r="C9" s="20">
        <v>20</v>
      </c>
      <c r="D9" s="20" t="s">
        <v>1044</v>
      </c>
      <c r="E9" s="20" t="b">
        <v>1</v>
      </c>
      <c r="F9" s="20">
        <v>1</v>
      </c>
      <c r="AV9" s="1"/>
      <c r="AW9" s="1"/>
      <c r="AX9" s="1"/>
      <c r="AY9" s="1"/>
      <c r="AZ9" s="1"/>
      <c r="BA9" s="1"/>
      <c r="BP9" s="1"/>
      <c r="BQ9" s="1"/>
      <c r="BR9" s="1"/>
      <c r="BS9" s="1"/>
      <c r="BT9" s="1"/>
      <c r="BU9" s="1"/>
      <c r="BV9" s="1"/>
      <c r="BW9" s="1"/>
      <c r="BX9" s="2"/>
      <c r="BY9" s="2"/>
      <c r="BZ9" s="2"/>
      <c r="CA9" s="2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</row>
    <row r="10" spans="1:123" ht="12.75">
      <c r="A10" s="20" t="s">
        <v>125</v>
      </c>
      <c r="B10" s="20">
        <v>11</v>
      </c>
      <c r="C10" s="20">
        <v>20</v>
      </c>
      <c r="D10" s="20" t="s">
        <v>832</v>
      </c>
      <c r="E10" s="20" t="b">
        <v>1</v>
      </c>
      <c r="F10" s="20">
        <v>1</v>
      </c>
      <c r="AV10" s="3" t="s">
        <v>0</v>
      </c>
      <c r="AW10" s="3" t="s">
        <v>435</v>
      </c>
      <c r="AX10" s="3" t="s">
        <v>436</v>
      </c>
      <c r="AY10" s="3" t="s">
        <v>1</v>
      </c>
      <c r="AZ10" s="3" t="s">
        <v>437</v>
      </c>
      <c r="BA10" s="3" t="s">
        <v>438</v>
      </c>
      <c r="BB10" s="3" t="s">
        <v>439</v>
      </c>
      <c r="BC10" s="3" t="s">
        <v>6</v>
      </c>
      <c r="BD10" s="3" t="s">
        <v>440</v>
      </c>
      <c r="BE10" s="3" t="s">
        <v>441</v>
      </c>
      <c r="BF10" s="3" t="s">
        <v>442</v>
      </c>
      <c r="BG10" s="3" t="s">
        <v>81</v>
      </c>
      <c r="BH10" s="3" t="s">
        <v>443</v>
      </c>
      <c r="BI10" s="3" t="s">
        <v>444</v>
      </c>
      <c r="BJ10" s="3" t="s">
        <v>445</v>
      </c>
      <c r="BK10" s="3" t="s">
        <v>446</v>
      </c>
      <c r="BL10" s="3" t="s">
        <v>447</v>
      </c>
      <c r="BM10" s="3" t="s">
        <v>448</v>
      </c>
      <c r="BN10" t="s">
        <v>449</v>
      </c>
      <c r="BO10" s="3" t="s">
        <v>450</v>
      </c>
      <c r="BP10" s="3" t="s">
        <v>451</v>
      </c>
      <c r="BQ10" s="3" t="s">
        <v>452</v>
      </c>
      <c r="BR10" s="3" t="s">
        <v>453</v>
      </c>
      <c r="BS10" s="3" t="s">
        <v>454</v>
      </c>
      <c r="BT10" s="2" t="s">
        <v>116</v>
      </c>
      <c r="BU10" s="2" t="s">
        <v>455</v>
      </c>
      <c r="BV10" s="2" t="s">
        <v>456</v>
      </c>
      <c r="BW10" s="2" t="s">
        <v>457</v>
      </c>
      <c r="BX10" s="2"/>
      <c r="BY10" s="2"/>
      <c r="BZ10" s="2"/>
      <c r="CA10" s="2"/>
      <c r="CB10" s="2"/>
      <c r="CC10" s="2"/>
      <c r="CD10" s="2"/>
      <c r="CE10" s="2" t="s">
        <v>458</v>
      </c>
      <c r="CF10" s="2" t="s">
        <v>0</v>
      </c>
      <c r="CG10" s="2" t="s">
        <v>0</v>
      </c>
      <c r="CH10" s="2" t="s">
        <v>459</v>
      </c>
      <c r="CI10" s="2" t="s">
        <v>1</v>
      </c>
      <c r="CJ10" s="2" t="s">
        <v>460</v>
      </c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</row>
    <row r="11" spans="1:123" ht="12.75">
      <c r="A11" s="20" t="s">
        <v>130</v>
      </c>
      <c r="B11" s="20">
        <v>11</v>
      </c>
      <c r="C11" s="20">
        <v>20</v>
      </c>
      <c r="D11" s="20" t="s">
        <v>372</v>
      </c>
      <c r="E11" s="20" t="b">
        <v>1</v>
      </c>
      <c r="F11" s="20">
        <v>1</v>
      </c>
      <c r="AV11" t="s">
        <v>1283</v>
      </c>
      <c r="AW11">
        <v>2</v>
      </c>
      <c r="AX11" t="s">
        <v>1284</v>
      </c>
      <c r="AY11" t="s">
        <v>1285</v>
      </c>
      <c r="AZ11">
        <v>1</v>
      </c>
      <c r="BA11">
        <v>4190</v>
      </c>
      <c r="BB11">
        <v>1650</v>
      </c>
      <c r="BC11" t="s">
        <v>617</v>
      </c>
      <c r="BD11" t="s">
        <v>1286</v>
      </c>
      <c r="BE11" t="s">
        <v>1287</v>
      </c>
      <c r="BF11" s="18">
        <v>46244</v>
      </c>
      <c r="BG11">
        <v>2404.1809</v>
      </c>
      <c r="BH11">
        <v>0</v>
      </c>
      <c r="BI11">
        <v>240.4181</v>
      </c>
      <c r="BJ11">
        <v>2627.5</v>
      </c>
      <c r="BK11">
        <v>-223.3187</v>
      </c>
      <c r="BL11">
        <v>1136.25</v>
      </c>
      <c r="BM11" t="s">
        <v>1288</v>
      </c>
      <c r="BN11" t="s">
        <v>1289</v>
      </c>
      <c r="BO11" t="s">
        <v>1290</v>
      </c>
      <c r="BP11" t="s">
        <v>1291</v>
      </c>
      <c r="BR11" s="8" t="s">
        <v>617</v>
      </c>
      <c r="BS11" s="5" t="s">
        <v>617</v>
      </c>
      <c r="BT11" s="5" t="s">
        <v>1292</v>
      </c>
      <c r="BU11" s="5">
        <v>0</v>
      </c>
      <c r="BV11" s="5" t="s">
        <v>617</v>
      </c>
      <c r="BW11" s="5" t="s">
        <v>617</v>
      </c>
      <c r="BX11" s="5"/>
      <c r="BY11" s="5"/>
      <c r="BZ11" s="5"/>
      <c r="CA11" s="5"/>
      <c r="CB11" s="5"/>
      <c r="CC11" s="5"/>
      <c r="CD11" s="5"/>
      <c r="CE11" s="5" t="s">
        <v>1293</v>
      </c>
      <c r="CF11" s="5" t="s">
        <v>1294</v>
      </c>
      <c r="CG11" s="5" t="s">
        <v>1294</v>
      </c>
      <c r="CH11" s="5" t="s">
        <v>1283</v>
      </c>
      <c r="CI11" s="5" t="s">
        <v>1295</v>
      </c>
      <c r="CJ11" s="5" t="s">
        <v>1285</v>
      </c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</row>
    <row r="12" spans="1:123" ht="12.75">
      <c r="A12" s="20" t="s">
        <v>378</v>
      </c>
      <c r="B12" s="20">
        <v>11</v>
      </c>
      <c r="C12" s="20">
        <v>20</v>
      </c>
      <c r="D12" s="20" t="s">
        <v>1044</v>
      </c>
      <c r="E12" s="20" t="b">
        <v>1</v>
      </c>
      <c r="F12" s="20">
        <v>1</v>
      </c>
      <c r="AV12" t="s">
        <v>1406</v>
      </c>
      <c r="AW12">
        <v>3</v>
      </c>
      <c r="AX12" t="s">
        <v>1284</v>
      </c>
      <c r="AY12" t="s">
        <v>1407</v>
      </c>
      <c r="AZ12">
        <v>1</v>
      </c>
      <c r="BA12">
        <v>1816</v>
      </c>
      <c r="BB12">
        <v>1980</v>
      </c>
      <c r="BC12" t="s">
        <v>617</v>
      </c>
      <c r="BD12" t="s">
        <v>1286</v>
      </c>
      <c r="BE12" t="s">
        <v>1287</v>
      </c>
      <c r="BF12" s="18">
        <v>46244</v>
      </c>
      <c r="BG12">
        <v>1825.805</v>
      </c>
      <c r="BH12">
        <v>0</v>
      </c>
      <c r="BI12">
        <v>182.5804</v>
      </c>
      <c r="BJ12">
        <v>1995.4</v>
      </c>
      <c r="BK12">
        <v>-169.5946</v>
      </c>
      <c r="BL12">
        <v>944.2</v>
      </c>
      <c r="BM12" t="s">
        <v>1288</v>
      </c>
      <c r="BN12" t="s">
        <v>1289</v>
      </c>
      <c r="BO12" t="s">
        <v>1290</v>
      </c>
      <c r="BP12" t="s">
        <v>1291</v>
      </c>
      <c r="BR12" s="8" t="s">
        <v>617</v>
      </c>
      <c r="BS12" s="5" t="s">
        <v>617</v>
      </c>
      <c r="BT12" s="5" t="s">
        <v>1292</v>
      </c>
      <c r="BU12" s="5">
        <v>0</v>
      </c>
      <c r="BV12" s="5" t="s">
        <v>617</v>
      </c>
      <c r="BW12" s="5" t="s">
        <v>617</v>
      </c>
      <c r="BX12" s="5"/>
      <c r="BY12" s="5"/>
      <c r="BZ12" s="5"/>
      <c r="CA12" s="5"/>
      <c r="CB12" s="5"/>
      <c r="CC12" s="5"/>
      <c r="CD12" s="5"/>
      <c r="CE12" s="5" t="s">
        <v>1296</v>
      </c>
      <c r="CF12" s="5" t="s">
        <v>1297</v>
      </c>
      <c r="CG12" s="5" t="s">
        <v>1297</v>
      </c>
      <c r="CH12" s="9" t="s">
        <v>1283</v>
      </c>
      <c r="CI12" s="5" t="s">
        <v>1298</v>
      </c>
      <c r="CJ12" s="9" t="s">
        <v>1299</v>
      </c>
      <c r="CK12" s="9"/>
      <c r="CL12" s="9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</row>
    <row r="13" spans="1:123" ht="12.75">
      <c r="A13" s="20" t="s">
        <v>377</v>
      </c>
      <c r="B13" s="20">
        <v>11</v>
      </c>
      <c r="C13" s="20">
        <v>20</v>
      </c>
      <c r="D13" s="20" t="s">
        <v>462</v>
      </c>
      <c r="E13" s="20" t="b">
        <v>1</v>
      </c>
      <c r="F13" s="20">
        <v>1</v>
      </c>
      <c r="AV13" t="s">
        <v>1474</v>
      </c>
      <c r="AW13">
        <v>4</v>
      </c>
      <c r="AX13" t="s">
        <v>1284</v>
      </c>
      <c r="AY13" t="s">
        <v>1475</v>
      </c>
      <c r="AZ13">
        <v>1</v>
      </c>
      <c r="BA13">
        <v>1815</v>
      </c>
      <c r="BB13">
        <v>1980</v>
      </c>
      <c r="BC13" t="s">
        <v>617</v>
      </c>
      <c r="BD13" t="s">
        <v>1286</v>
      </c>
      <c r="BE13" t="s">
        <v>1287</v>
      </c>
      <c r="BF13" s="18">
        <v>46244</v>
      </c>
      <c r="BG13">
        <v>1706.8541</v>
      </c>
      <c r="BH13">
        <v>0</v>
      </c>
      <c r="BI13">
        <v>170.6853</v>
      </c>
      <c r="BJ13">
        <v>1865.4</v>
      </c>
      <c r="BK13">
        <v>-158.5456</v>
      </c>
      <c r="BL13">
        <v>869.8</v>
      </c>
      <c r="BM13" t="s">
        <v>1288</v>
      </c>
      <c r="BN13" t="s">
        <v>1289</v>
      </c>
      <c r="BO13" t="s">
        <v>1290</v>
      </c>
      <c r="BP13" t="s">
        <v>1291</v>
      </c>
      <c r="BR13" s="8" t="s">
        <v>617</v>
      </c>
      <c r="BS13" s="5" t="s">
        <v>617</v>
      </c>
      <c r="BT13" s="5" t="s">
        <v>1292</v>
      </c>
      <c r="BU13" s="5">
        <v>0</v>
      </c>
      <c r="BV13" s="5" t="s">
        <v>617</v>
      </c>
      <c r="BW13" s="5" t="s">
        <v>617</v>
      </c>
      <c r="BX13" s="5"/>
      <c r="BY13" s="5"/>
      <c r="BZ13" s="5"/>
      <c r="CA13" s="5"/>
      <c r="CB13" s="5"/>
      <c r="CC13" s="5"/>
      <c r="CD13" s="5"/>
      <c r="CE13" s="5" t="s">
        <v>1300</v>
      </c>
      <c r="CF13" s="5" t="s">
        <v>1301</v>
      </c>
      <c r="CG13" s="5" t="s">
        <v>1301</v>
      </c>
      <c r="CH13" s="9" t="s">
        <v>1283</v>
      </c>
      <c r="CI13" s="5" t="s">
        <v>1302</v>
      </c>
      <c r="CJ13" s="9" t="s">
        <v>1303</v>
      </c>
      <c r="CK13" s="9"/>
      <c r="CL13" s="9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</row>
    <row r="14" spans="1:123" ht="12.75">
      <c r="A14" s="20" t="s">
        <v>362</v>
      </c>
      <c r="B14" s="20">
        <v>11</v>
      </c>
      <c r="C14" s="20">
        <v>20</v>
      </c>
      <c r="D14" s="20" t="s">
        <v>372</v>
      </c>
      <c r="E14" s="20" t="b">
        <v>1</v>
      </c>
      <c r="F14" s="20">
        <v>1</v>
      </c>
      <c r="AV14" t="s">
        <v>1537</v>
      </c>
      <c r="AW14">
        <v>5</v>
      </c>
      <c r="AX14" t="s">
        <v>1284</v>
      </c>
      <c r="AY14" t="s">
        <v>1538</v>
      </c>
      <c r="AZ14">
        <v>1</v>
      </c>
      <c r="BA14">
        <v>3015</v>
      </c>
      <c r="BB14">
        <v>2200</v>
      </c>
      <c r="BC14" t="s">
        <v>617</v>
      </c>
      <c r="BD14" t="s">
        <v>1286</v>
      </c>
      <c r="BE14" t="s">
        <v>1287</v>
      </c>
      <c r="BF14" s="18">
        <v>46244</v>
      </c>
      <c r="BG14">
        <v>2209.7419</v>
      </c>
      <c r="BH14">
        <v>0</v>
      </c>
      <c r="BI14">
        <v>220.9742</v>
      </c>
      <c r="BJ14">
        <v>2415</v>
      </c>
      <c r="BK14">
        <v>-205.2576</v>
      </c>
      <c r="BL14">
        <v>1090.4</v>
      </c>
      <c r="BM14" t="s">
        <v>1288</v>
      </c>
      <c r="BN14" t="s">
        <v>1289</v>
      </c>
      <c r="BO14" t="s">
        <v>1290</v>
      </c>
      <c r="BP14" t="s">
        <v>1291</v>
      </c>
      <c r="BR14" s="8" t="s">
        <v>617</v>
      </c>
      <c r="BS14" s="5" t="s">
        <v>617</v>
      </c>
      <c r="BT14" s="5" t="s">
        <v>1292</v>
      </c>
      <c r="BU14" s="5">
        <v>0</v>
      </c>
      <c r="BV14" s="5" t="s">
        <v>617</v>
      </c>
      <c r="BW14" s="5" t="s">
        <v>617</v>
      </c>
      <c r="BX14" s="5"/>
      <c r="BY14" s="5"/>
      <c r="BZ14" s="5"/>
      <c r="CA14" s="5"/>
      <c r="CB14" s="5"/>
      <c r="CC14" s="5"/>
      <c r="CD14" s="5"/>
      <c r="CE14" s="5" t="s">
        <v>1304</v>
      </c>
      <c r="CF14" s="5" t="s">
        <v>1305</v>
      </c>
      <c r="CG14" s="5" t="s">
        <v>1305</v>
      </c>
      <c r="CH14" s="9" t="s">
        <v>1283</v>
      </c>
      <c r="CI14" s="5" t="s">
        <v>1306</v>
      </c>
      <c r="CJ14" s="9" t="s">
        <v>1307</v>
      </c>
      <c r="CK14" s="32"/>
      <c r="CL14" s="9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</row>
    <row r="15" spans="1:123" ht="12.75">
      <c r="A15" s="20" t="s">
        <v>110</v>
      </c>
      <c r="B15" s="20">
        <v>11</v>
      </c>
      <c r="C15" s="20">
        <v>20</v>
      </c>
      <c r="D15" s="20" t="s">
        <v>111</v>
      </c>
      <c r="E15" s="20" t="b">
        <v>0</v>
      </c>
      <c r="F15" s="20">
        <v>3</v>
      </c>
      <c r="AV15" t="s">
        <v>1603</v>
      </c>
      <c r="AW15">
        <v>6</v>
      </c>
      <c r="AX15" t="s">
        <v>1284</v>
      </c>
      <c r="AY15" t="s">
        <v>1604</v>
      </c>
      <c r="AZ15">
        <v>1</v>
      </c>
      <c r="BA15">
        <v>2356</v>
      </c>
      <c r="BB15">
        <v>2200</v>
      </c>
      <c r="BC15" t="s">
        <v>617</v>
      </c>
      <c r="BD15" t="s">
        <v>1286</v>
      </c>
      <c r="BE15" t="s">
        <v>1287</v>
      </c>
      <c r="BF15" s="18">
        <v>46244</v>
      </c>
      <c r="BG15">
        <v>1904.1296</v>
      </c>
      <c r="BH15">
        <v>0</v>
      </c>
      <c r="BI15">
        <v>190.4129</v>
      </c>
      <c r="BJ15">
        <v>2081</v>
      </c>
      <c r="BK15">
        <v>-176.87</v>
      </c>
      <c r="BL15">
        <v>945</v>
      </c>
      <c r="BM15" t="s">
        <v>1288</v>
      </c>
      <c r="BN15" t="s">
        <v>1289</v>
      </c>
      <c r="BO15" t="s">
        <v>1290</v>
      </c>
      <c r="BP15" t="s">
        <v>1291</v>
      </c>
      <c r="BR15" s="8" t="s">
        <v>617</v>
      </c>
      <c r="BS15" s="5" t="s">
        <v>617</v>
      </c>
      <c r="BT15" s="9" t="s">
        <v>1292</v>
      </c>
      <c r="BU15" s="9">
        <v>0</v>
      </c>
      <c r="BV15" s="5" t="s">
        <v>617</v>
      </c>
      <c r="BW15" s="5" t="s">
        <v>617</v>
      </c>
      <c r="BX15" s="5"/>
      <c r="BY15" s="5"/>
      <c r="BZ15" s="5"/>
      <c r="CA15" s="5"/>
      <c r="CB15" s="5"/>
      <c r="CC15" s="5"/>
      <c r="CD15" s="5"/>
      <c r="CE15" s="5" t="s">
        <v>1308</v>
      </c>
      <c r="CF15" s="5" t="s">
        <v>1309</v>
      </c>
      <c r="CG15" s="5" t="s">
        <v>1309</v>
      </c>
      <c r="CH15" s="5" t="s">
        <v>1283</v>
      </c>
      <c r="CI15" s="5" t="s">
        <v>1310</v>
      </c>
      <c r="CJ15" s="5" t="s">
        <v>178</v>
      </c>
      <c r="CK15" s="32"/>
      <c r="CL15" s="5"/>
      <c r="CM15" s="9"/>
      <c r="CN15" s="9"/>
      <c r="CO15" s="9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</row>
    <row r="16" spans="1:123" ht="12.75">
      <c r="A16" s="20" t="s">
        <v>615</v>
      </c>
      <c r="B16" s="20">
        <v>5</v>
      </c>
      <c r="C16" s="20">
        <v>14</v>
      </c>
      <c r="D16" s="20" t="s">
        <v>1082</v>
      </c>
      <c r="E16" s="20" t="b">
        <v>0</v>
      </c>
      <c r="F16" s="20">
        <v>0</v>
      </c>
      <c r="BF16" s="18"/>
      <c r="BR16" s="8"/>
      <c r="BS16" s="5"/>
      <c r="BT16" s="9"/>
      <c r="BU16" s="9"/>
      <c r="BV16" s="5"/>
      <c r="BW16" s="5"/>
      <c r="BX16" s="5"/>
      <c r="BY16" s="5"/>
      <c r="BZ16" s="5"/>
      <c r="CA16" s="5"/>
      <c r="CB16" s="5"/>
      <c r="CC16" s="5"/>
      <c r="CD16" s="5"/>
      <c r="CE16" s="5" t="s">
        <v>1311</v>
      </c>
      <c r="CF16" s="5" t="s">
        <v>1312</v>
      </c>
      <c r="CG16" s="5" t="s">
        <v>1312</v>
      </c>
      <c r="CH16" s="5" t="s">
        <v>1283</v>
      </c>
      <c r="CI16" s="5" t="s">
        <v>1313</v>
      </c>
      <c r="CJ16" s="5" t="s">
        <v>1314</v>
      </c>
      <c r="CK16" s="32"/>
      <c r="CL16" s="5"/>
      <c r="CM16" s="9"/>
      <c r="CN16" s="9"/>
      <c r="CO16" s="9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</row>
    <row r="17" spans="1:123" ht="12.75">
      <c r="A17" s="20" t="s">
        <v>203</v>
      </c>
      <c r="B17" s="20">
        <v>0</v>
      </c>
      <c r="C17" s="20">
        <v>0</v>
      </c>
      <c r="D17" s="20" t="s">
        <v>202</v>
      </c>
      <c r="E17" s="20" t="b">
        <v>0</v>
      </c>
      <c r="F17" s="20">
        <v>0</v>
      </c>
      <c r="BF17" s="18"/>
      <c r="BR17" s="8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 t="s">
        <v>1315</v>
      </c>
      <c r="CF17" s="5" t="s">
        <v>1316</v>
      </c>
      <c r="CG17" s="5" t="s">
        <v>1316</v>
      </c>
      <c r="CH17" s="5" t="s">
        <v>1283</v>
      </c>
      <c r="CI17" s="5" t="s">
        <v>1317</v>
      </c>
      <c r="CJ17" s="5" t="s">
        <v>428</v>
      </c>
      <c r="CK17" s="32">
        <v>503.2539</v>
      </c>
      <c r="CL17" s="5"/>
      <c r="CM17" s="9"/>
      <c r="CN17" s="9"/>
      <c r="CO17" s="9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</row>
    <row r="18" spans="1:123" ht="12.75">
      <c r="A18" s="20" t="s">
        <v>204</v>
      </c>
      <c r="B18" s="20">
        <v>0</v>
      </c>
      <c r="C18" s="20">
        <v>0</v>
      </c>
      <c r="D18" s="20" t="s">
        <v>202</v>
      </c>
      <c r="E18" s="20" t="b">
        <v>0</v>
      </c>
      <c r="F18" s="20">
        <v>0</v>
      </c>
      <c r="BF18" s="18"/>
      <c r="BR18" s="8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 t="s">
        <v>1318</v>
      </c>
      <c r="CF18" s="5" t="s">
        <v>1319</v>
      </c>
      <c r="CG18" s="5" t="s">
        <v>1319</v>
      </c>
      <c r="CH18" s="5" t="s">
        <v>1283</v>
      </c>
      <c r="CI18" s="5" t="s">
        <v>1320</v>
      </c>
      <c r="CJ18" s="5" t="s">
        <v>1321</v>
      </c>
      <c r="CK18" s="32"/>
      <c r="CL18" s="5"/>
      <c r="CM18" s="9"/>
      <c r="CN18" s="9"/>
      <c r="CO18" s="9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</row>
    <row r="19" spans="1:123" ht="12.75">
      <c r="A19" s="20"/>
      <c r="B19" s="20"/>
      <c r="C19" s="20"/>
      <c r="D19" s="20"/>
      <c r="E19" s="20"/>
      <c r="F19" s="20"/>
      <c r="BF19" s="18"/>
      <c r="BR19" s="8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 t="s">
        <v>1322</v>
      </c>
      <c r="CF19" s="5" t="s">
        <v>1323</v>
      </c>
      <c r="CG19" s="5" t="s">
        <v>1323</v>
      </c>
      <c r="CH19" s="5" t="s">
        <v>1283</v>
      </c>
      <c r="CI19" s="5" t="s">
        <v>1324</v>
      </c>
      <c r="CJ19" s="5" t="s">
        <v>1325</v>
      </c>
      <c r="CK19" s="32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</row>
    <row r="20" spans="48:123" ht="12.75">
      <c r="BF20" s="18"/>
      <c r="BR20" s="8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 t="s">
        <v>1326</v>
      </c>
      <c r="CF20" s="5" t="s">
        <v>1327</v>
      </c>
      <c r="CG20" s="5" t="s">
        <v>1327</v>
      </c>
      <c r="CH20" s="5" t="s">
        <v>1283</v>
      </c>
      <c r="CI20" s="5" t="s">
        <v>1328</v>
      </c>
      <c r="CJ20" s="5" t="s">
        <v>1093</v>
      </c>
      <c r="CK20" s="32">
        <v>124.441</v>
      </c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</row>
    <row r="21" spans="48:123" ht="12.75">
      <c r="BF21" s="18"/>
      <c r="BR21" s="8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 t="s">
        <v>1329</v>
      </c>
      <c r="CF21" s="5" t="s">
        <v>1330</v>
      </c>
      <c r="CG21" s="5" t="s">
        <v>1330</v>
      </c>
      <c r="CH21" s="5" t="s">
        <v>1283</v>
      </c>
      <c r="CI21" s="5" t="s">
        <v>1331</v>
      </c>
      <c r="CJ21" s="5" t="s">
        <v>1332</v>
      </c>
      <c r="CK21" s="32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</row>
    <row r="22" spans="48:89" ht="12.75">
      <c r="BF22" s="18"/>
      <c r="BR22" s="8"/>
      <c r="CE22" t="s">
        <v>1333</v>
      </c>
      <c r="CF22" t="s">
        <v>1334</v>
      </c>
      <c r="CG22" t="s">
        <v>1334</v>
      </c>
      <c r="CH22" t="s">
        <v>1283</v>
      </c>
      <c r="CI22" t="s">
        <v>1335</v>
      </c>
      <c r="CJ22" t="s">
        <v>1336</v>
      </c>
      <c r="CK22" s="33"/>
    </row>
    <row r="23" spans="48:89" ht="12.75">
      <c r="BF23" s="18"/>
      <c r="CE23" t="s">
        <v>1337</v>
      </c>
      <c r="CF23" t="s">
        <v>1338</v>
      </c>
      <c r="CG23" t="s">
        <v>1338</v>
      </c>
      <c r="CH23" t="s">
        <v>1283</v>
      </c>
      <c r="CI23" t="s">
        <v>1339</v>
      </c>
      <c r="CJ23" t="s">
        <v>1340</v>
      </c>
      <c r="CK23" s="33"/>
    </row>
    <row r="24" spans="48:88" ht="12.75">
      <c r="BF24" s="18"/>
      <c r="CE24" t="s">
        <v>1341</v>
      </c>
      <c r="CF24" t="s">
        <v>1342</v>
      </c>
      <c r="CG24" t="s">
        <v>1342</v>
      </c>
      <c r="CH24" t="s">
        <v>1283</v>
      </c>
      <c r="CI24" t="s">
        <v>1343</v>
      </c>
      <c r="CJ24" t="s">
        <v>463</v>
      </c>
    </row>
    <row r="25" spans="48:88" ht="12.75">
      <c r="BF25" s="18"/>
      <c r="CE25" t="s">
        <v>1344</v>
      </c>
      <c r="CF25" t="s">
        <v>1345</v>
      </c>
      <c r="CG25" t="s">
        <v>1345</v>
      </c>
      <c r="CH25" t="s">
        <v>1283</v>
      </c>
      <c r="CI25" t="s">
        <v>1346</v>
      </c>
      <c r="CJ25" t="s">
        <v>1347</v>
      </c>
    </row>
    <row r="26" spans="48:88" ht="12.75">
      <c r="BF26" s="18"/>
      <c r="CE26" t="s">
        <v>1348</v>
      </c>
      <c r="CF26" t="s">
        <v>1349</v>
      </c>
      <c r="CG26" t="s">
        <v>1349</v>
      </c>
      <c r="CH26" t="s">
        <v>1283</v>
      </c>
      <c r="CI26" t="s">
        <v>1350</v>
      </c>
      <c r="CJ26" t="s">
        <v>1351</v>
      </c>
    </row>
    <row r="27" spans="48:88" ht="23.25">
      <c r="AX27" s="5"/>
      <c r="AY27" s="5"/>
      <c r="AZ27" s="19"/>
      <c r="BA27" s="5"/>
      <c r="BF27" s="18"/>
      <c r="CE27" t="s">
        <v>1352</v>
      </c>
      <c r="CF27" t="s">
        <v>1353</v>
      </c>
      <c r="CG27" t="s">
        <v>1353</v>
      </c>
      <c r="CH27" t="s">
        <v>1283</v>
      </c>
      <c r="CI27" t="s">
        <v>1354</v>
      </c>
      <c r="CJ27" t="s">
        <v>1355</v>
      </c>
    </row>
    <row r="28" spans="48:89" ht="23.25">
      <c r="AX28" s="5"/>
      <c r="AY28" s="5"/>
      <c r="AZ28" s="19"/>
      <c r="BF28" s="18"/>
      <c r="CE28" t="s">
        <v>1356</v>
      </c>
      <c r="CF28" t="s">
        <v>1357</v>
      </c>
      <c r="CG28" t="s">
        <v>1357</v>
      </c>
      <c r="CH28" t="s">
        <v>1283</v>
      </c>
      <c r="CI28" t="s">
        <v>1358</v>
      </c>
      <c r="CJ28" t="s">
        <v>1359</v>
      </c>
      <c r="CK28">
        <v>45.2928</v>
      </c>
    </row>
    <row r="29" spans="48:89" ht="12.75">
      <c r="BF29" s="18"/>
      <c r="CE29" t="s">
        <v>1360</v>
      </c>
      <c r="CF29" t="s">
        <v>1361</v>
      </c>
      <c r="CG29" t="s">
        <v>1361</v>
      </c>
      <c r="CH29" t="s">
        <v>1283</v>
      </c>
      <c r="CI29" t="s">
        <v>1362</v>
      </c>
      <c r="CJ29" t="s">
        <v>1363</v>
      </c>
      <c r="CK29">
        <v>9.1501</v>
      </c>
    </row>
    <row r="30" spans="48:89" ht="12.75">
      <c r="BF30" s="18"/>
      <c r="CE30" t="s">
        <v>1364</v>
      </c>
      <c r="CF30" t="s">
        <v>1365</v>
      </c>
      <c r="CG30" t="s">
        <v>1365</v>
      </c>
      <c r="CH30" t="s">
        <v>1283</v>
      </c>
      <c r="CI30" t="s">
        <v>1366</v>
      </c>
      <c r="CJ30" t="s">
        <v>1367</v>
      </c>
      <c r="CK30">
        <v>54.9004</v>
      </c>
    </row>
    <row r="31" spans="48:88" ht="12.75">
      <c r="BF31" s="18"/>
      <c r="CE31" t="s">
        <v>1368</v>
      </c>
      <c r="CF31" t="s">
        <v>1369</v>
      </c>
      <c r="CG31" t="s">
        <v>1369</v>
      </c>
      <c r="CH31" t="s">
        <v>1283</v>
      </c>
      <c r="CI31" t="s">
        <v>1370</v>
      </c>
      <c r="CJ31" t="s">
        <v>1371</v>
      </c>
    </row>
    <row r="32" spans="48:88" ht="12.75">
      <c r="BF32" s="18"/>
      <c r="CE32" t="s">
        <v>1372</v>
      </c>
      <c r="CF32" t="s">
        <v>1373</v>
      </c>
      <c r="CG32" t="s">
        <v>1373</v>
      </c>
      <c r="CH32" t="s">
        <v>1283</v>
      </c>
      <c r="CI32" t="s">
        <v>1374</v>
      </c>
      <c r="CJ32" t="s">
        <v>1375</v>
      </c>
    </row>
    <row r="33" spans="48:88" ht="12.75">
      <c r="CE33" t="s">
        <v>1376</v>
      </c>
      <c r="CF33" t="s">
        <v>1377</v>
      </c>
      <c r="CG33" t="s">
        <v>1377</v>
      </c>
      <c r="CH33" t="s">
        <v>1283</v>
      </c>
      <c r="CI33" t="s">
        <v>1378</v>
      </c>
      <c r="CJ33" t="s">
        <v>185</v>
      </c>
    </row>
    <row r="34" spans="48:88" ht="12.75">
      <c r="CE34" t="s">
        <v>1379</v>
      </c>
      <c r="CF34" t="s">
        <v>1380</v>
      </c>
      <c r="CG34" t="s">
        <v>1380</v>
      </c>
      <c r="CH34" t="s">
        <v>1283</v>
      </c>
      <c r="CI34" t="s">
        <v>1381</v>
      </c>
      <c r="CJ34" t="s">
        <v>185</v>
      </c>
    </row>
    <row r="35" spans="48:89" ht="12.75">
      <c r="CE35" t="s">
        <v>1382</v>
      </c>
      <c r="CF35" t="s">
        <v>1383</v>
      </c>
      <c r="CG35" t="s">
        <v>1383</v>
      </c>
      <c r="CH35" t="s">
        <v>1283</v>
      </c>
      <c r="CI35" t="s">
        <v>1384</v>
      </c>
      <c r="CJ35" t="s">
        <v>200</v>
      </c>
      <c r="CK35">
        <v>237.9018</v>
      </c>
    </row>
    <row r="36" spans="48:88" ht="12.75">
      <c r="CE36" t="s">
        <v>1385</v>
      </c>
      <c r="CF36" t="s">
        <v>1386</v>
      </c>
      <c r="CG36" t="s">
        <v>1386</v>
      </c>
      <c r="CH36" t="s">
        <v>1283</v>
      </c>
      <c r="CI36" t="s">
        <v>1387</v>
      </c>
      <c r="CJ36" t="s">
        <v>1314</v>
      </c>
    </row>
    <row r="37" spans="48:88" ht="12.75">
      <c r="CE37" t="s">
        <v>1388</v>
      </c>
      <c r="CF37" t="s">
        <v>1389</v>
      </c>
      <c r="CG37" t="s">
        <v>1389</v>
      </c>
      <c r="CH37" t="s">
        <v>1283</v>
      </c>
      <c r="CI37" t="s">
        <v>1390</v>
      </c>
      <c r="CJ37" t="s">
        <v>1391</v>
      </c>
    </row>
    <row r="38" spans="48:88" ht="12.75">
      <c r="CE38" t="s">
        <v>1392</v>
      </c>
      <c r="CF38" t="s">
        <v>1393</v>
      </c>
      <c r="CG38" t="s">
        <v>1393</v>
      </c>
      <c r="CH38" t="s">
        <v>1283</v>
      </c>
      <c r="CI38" t="s">
        <v>1394</v>
      </c>
      <c r="CJ38" t="s">
        <v>185</v>
      </c>
    </row>
    <row r="39" spans="48:88" ht="12.75">
      <c r="CE39" t="s">
        <v>1395</v>
      </c>
      <c r="CF39" t="s">
        <v>1396</v>
      </c>
      <c r="CG39" t="s">
        <v>1396</v>
      </c>
      <c r="CH39" t="s">
        <v>1283</v>
      </c>
      <c r="CI39" t="s">
        <v>1397</v>
      </c>
      <c r="CJ39" t="s">
        <v>1398</v>
      </c>
    </row>
    <row r="40" spans="48:88" ht="12.75">
      <c r="CE40" t="s">
        <v>1399</v>
      </c>
      <c r="CF40" t="s">
        <v>1400</v>
      </c>
      <c r="CG40" t="s">
        <v>1400</v>
      </c>
      <c r="CH40" t="s">
        <v>1283</v>
      </c>
      <c r="CI40" t="s">
        <v>1401</v>
      </c>
      <c r="CJ40" t="s">
        <v>1402</v>
      </c>
    </row>
    <row r="41" spans="48:88" ht="12.75">
      <c r="CE41" t="s">
        <v>1403</v>
      </c>
      <c r="CF41" t="s">
        <v>1404</v>
      </c>
      <c r="CG41" t="s">
        <v>1404</v>
      </c>
      <c r="CH41" t="s">
        <v>1283</v>
      </c>
      <c r="CI41" t="s">
        <v>1405</v>
      </c>
      <c r="CJ41" t="s">
        <v>185</v>
      </c>
    </row>
    <row r="42" spans="48:88" ht="12.75">
      <c r="CE42" t="s">
        <v>1408</v>
      </c>
      <c r="CF42" t="s">
        <v>1409</v>
      </c>
      <c r="CG42" t="s">
        <v>1409</v>
      </c>
      <c r="CH42" t="s">
        <v>1406</v>
      </c>
      <c r="CI42" t="s">
        <v>1295</v>
      </c>
      <c r="CJ42" t="s">
        <v>1407</v>
      </c>
    </row>
    <row r="43" spans="48:88" ht="12.75">
      <c r="CE43" t="s">
        <v>1410</v>
      </c>
      <c r="CF43" t="s">
        <v>1411</v>
      </c>
      <c r="CG43" t="s">
        <v>1411</v>
      </c>
      <c r="CH43" t="s">
        <v>1406</v>
      </c>
      <c r="CI43" t="s">
        <v>1298</v>
      </c>
      <c r="CJ43" t="s">
        <v>1412</v>
      </c>
    </row>
    <row r="44" spans="48:88" ht="12.75">
      <c r="CE44" t="s">
        <v>1413</v>
      </c>
      <c r="CF44" t="s">
        <v>1414</v>
      </c>
      <c r="CG44" t="s">
        <v>1414</v>
      </c>
      <c r="CH44" t="s">
        <v>1406</v>
      </c>
      <c r="CI44" t="s">
        <v>1302</v>
      </c>
      <c r="CJ44" t="s">
        <v>1415</v>
      </c>
    </row>
    <row r="45" spans="48:88" ht="12.75">
      <c r="CE45" t="s">
        <v>1416</v>
      </c>
      <c r="CF45" t="s">
        <v>1417</v>
      </c>
      <c r="CG45" t="s">
        <v>1417</v>
      </c>
      <c r="CH45" t="s">
        <v>1406</v>
      </c>
      <c r="CI45" t="s">
        <v>1306</v>
      </c>
      <c r="CJ45" t="s">
        <v>1307</v>
      </c>
    </row>
    <row r="46" spans="48:88" ht="12.75">
      <c r="CE46" t="s">
        <v>1418</v>
      </c>
      <c r="CF46" t="s">
        <v>1419</v>
      </c>
      <c r="CG46" t="s">
        <v>1419</v>
      </c>
      <c r="CH46" t="s">
        <v>1406</v>
      </c>
      <c r="CI46" t="s">
        <v>1310</v>
      </c>
      <c r="CJ46" t="s">
        <v>178</v>
      </c>
    </row>
    <row r="47" spans="48:88" ht="12.75">
      <c r="CE47" t="s">
        <v>1420</v>
      </c>
      <c r="CF47" t="s">
        <v>1421</v>
      </c>
      <c r="CG47" t="s">
        <v>1421</v>
      </c>
      <c r="CH47" t="s">
        <v>1406</v>
      </c>
      <c r="CI47" t="s">
        <v>1313</v>
      </c>
      <c r="CJ47" t="s">
        <v>1314</v>
      </c>
    </row>
    <row r="48" spans="48:89" ht="12.75">
      <c r="CE48" t="s">
        <v>1422</v>
      </c>
      <c r="CF48" t="s">
        <v>1423</v>
      </c>
      <c r="CG48" t="s">
        <v>1423</v>
      </c>
      <c r="CH48" t="s">
        <v>1406</v>
      </c>
      <c r="CI48" t="s">
        <v>1317</v>
      </c>
      <c r="CJ48" t="s">
        <v>428</v>
      </c>
      <c r="CK48">
        <v>503.2539</v>
      </c>
    </row>
    <row r="49" spans="48:88" ht="12.75">
      <c r="CE49" t="s">
        <v>1424</v>
      </c>
      <c r="CF49" t="s">
        <v>1425</v>
      </c>
      <c r="CG49" t="s">
        <v>1425</v>
      </c>
      <c r="CH49" t="s">
        <v>1406</v>
      </c>
      <c r="CI49" t="s">
        <v>1320</v>
      </c>
      <c r="CJ49" t="s">
        <v>1426</v>
      </c>
    </row>
    <row r="50" spans="48:89" ht="12.75">
      <c r="CE50" t="s">
        <v>1427</v>
      </c>
      <c r="CF50" t="s">
        <v>1428</v>
      </c>
      <c r="CG50" t="s">
        <v>1428</v>
      </c>
      <c r="CH50" t="s">
        <v>1406</v>
      </c>
      <c r="CI50" t="s">
        <v>1324</v>
      </c>
      <c r="CJ50" t="s">
        <v>1429</v>
      </c>
      <c r="CK50">
        <v>118.9509</v>
      </c>
    </row>
    <row r="51" spans="48:89" ht="12.75">
      <c r="CE51" t="s">
        <v>1430</v>
      </c>
      <c r="CF51" t="s">
        <v>1431</v>
      </c>
      <c r="CG51" t="s">
        <v>1431</v>
      </c>
      <c r="CH51" t="s">
        <v>1406</v>
      </c>
      <c r="CI51" t="s">
        <v>1328</v>
      </c>
      <c r="CJ51" t="s">
        <v>1093</v>
      </c>
      <c r="CK51">
        <v>61.3055</v>
      </c>
    </row>
    <row r="52" spans="48:88" ht="12.75">
      <c r="CE52" t="s">
        <v>1432</v>
      </c>
      <c r="CF52" t="s">
        <v>1433</v>
      </c>
      <c r="CG52" t="s">
        <v>1433</v>
      </c>
      <c r="CH52" t="s">
        <v>1406</v>
      </c>
      <c r="CI52" t="s">
        <v>1331</v>
      </c>
      <c r="CJ52" t="s">
        <v>1332</v>
      </c>
    </row>
    <row r="53" spans="48:88" ht="12.75">
      <c r="CE53" t="s">
        <v>1434</v>
      </c>
      <c r="CF53" t="s">
        <v>1435</v>
      </c>
      <c r="CG53" t="s">
        <v>1435</v>
      </c>
      <c r="CH53" t="s">
        <v>1406</v>
      </c>
      <c r="CI53" t="s">
        <v>1335</v>
      </c>
      <c r="CJ53" t="s">
        <v>1336</v>
      </c>
    </row>
    <row r="54" spans="48:88" ht="12.75">
      <c r="CE54" t="s">
        <v>1436</v>
      </c>
      <c r="CF54" t="s">
        <v>1437</v>
      </c>
      <c r="CG54" t="s">
        <v>1437</v>
      </c>
      <c r="CH54" t="s">
        <v>1406</v>
      </c>
      <c r="CI54" t="s">
        <v>1339</v>
      </c>
      <c r="CJ54" t="s">
        <v>1340</v>
      </c>
    </row>
    <row r="55" spans="48:88" ht="12.75">
      <c r="CE55" t="s">
        <v>1438</v>
      </c>
      <c r="CF55" t="s">
        <v>1439</v>
      </c>
      <c r="CG55" t="s">
        <v>1439</v>
      </c>
      <c r="CH55" t="s">
        <v>1406</v>
      </c>
      <c r="CI55" t="s">
        <v>1343</v>
      </c>
      <c r="CJ55" t="s">
        <v>463</v>
      </c>
    </row>
    <row r="56" spans="48:88" ht="12.75">
      <c r="CE56" t="s">
        <v>1440</v>
      </c>
      <c r="CF56" t="s">
        <v>1441</v>
      </c>
      <c r="CG56" t="s">
        <v>1441</v>
      </c>
      <c r="CH56" t="s">
        <v>1406</v>
      </c>
      <c r="CI56" t="s">
        <v>1346</v>
      </c>
      <c r="CJ56" t="s">
        <v>1347</v>
      </c>
    </row>
    <row r="57" spans="48:88" ht="12.75">
      <c r="CE57" t="s">
        <v>1442</v>
      </c>
      <c r="CF57" t="s">
        <v>1443</v>
      </c>
      <c r="CG57" t="s">
        <v>1443</v>
      </c>
      <c r="CH57" t="s">
        <v>1406</v>
      </c>
      <c r="CI57" t="s">
        <v>1350</v>
      </c>
      <c r="CJ57" t="s">
        <v>1351</v>
      </c>
    </row>
    <row r="58" spans="48:88" ht="12.75">
      <c r="CE58" t="s">
        <v>1444</v>
      </c>
      <c r="CF58" t="s">
        <v>1445</v>
      </c>
      <c r="CG58" t="s">
        <v>1445</v>
      </c>
      <c r="CH58" t="s">
        <v>1406</v>
      </c>
      <c r="CI58" t="s">
        <v>1354</v>
      </c>
      <c r="CJ58" t="s">
        <v>1355</v>
      </c>
    </row>
    <row r="59" spans="48:89" ht="12.75">
      <c r="CE59" t="s">
        <v>1446</v>
      </c>
      <c r="CF59" t="s">
        <v>1447</v>
      </c>
      <c r="CG59" t="s">
        <v>1447</v>
      </c>
      <c r="CH59" t="s">
        <v>1406</v>
      </c>
      <c r="CI59" t="s">
        <v>1358</v>
      </c>
      <c r="CJ59" t="s">
        <v>1359</v>
      </c>
      <c r="CK59">
        <v>54.3514</v>
      </c>
    </row>
    <row r="60" spans="48:89" ht="12.75">
      <c r="CE60" t="s">
        <v>1448</v>
      </c>
      <c r="CF60" t="s">
        <v>1449</v>
      </c>
      <c r="CG60" t="s">
        <v>1449</v>
      </c>
      <c r="CH60" t="s">
        <v>1406</v>
      </c>
      <c r="CI60" t="s">
        <v>1366</v>
      </c>
      <c r="CJ60" t="s">
        <v>1367</v>
      </c>
      <c r="CK60">
        <v>54.9004</v>
      </c>
    </row>
    <row r="61" spans="48:88" ht="12.75">
      <c r="CE61" t="s">
        <v>1450</v>
      </c>
      <c r="CF61" t="s">
        <v>1451</v>
      </c>
      <c r="CG61" t="s">
        <v>1451</v>
      </c>
      <c r="CH61" t="s">
        <v>1406</v>
      </c>
      <c r="CI61" t="s">
        <v>1370</v>
      </c>
      <c r="CJ61" t="s">
        <v>1452</v>
      </c>
    </row>
    <row r="62" spans="48:88" ht="12.75">
      <c r="CE62" t="s">
        <v>1453</v>
      </c>
      <c r="CF62" t="s">
        <v>1454</v>
      </c>
      <c r="CG62" t="s">
        <v>1454</v>
      </c>
      <c r="CH62" t="s">
        <v>1406</v>
      </c>
      <c r="CI62" t="s">
        <v>1374</v>
      </c>
      <c r="CJ62" t="s">
        <v>1455</v>
      </c>
    </row>
    <row r="63" spans="48:88" ht="12.75">
      <c r="CE63" t="s">
        <v>1456</v>
      </c>
      <c r="CF63" t="s">
        <v>1457</v>
      </c>
      <c r="CG63" t="s">
        <v>1457</v>
      </c>
      <c r="CH63" t="s">
        <v>1406</v>
      </c>
      <c r="CI63" t="s">
        <v>1378</v>
      </c>
      <c r="CJ63" t="s">
        <v>185</v>
      </c>
    </row>
    <row r="64" spans="48:88" ht="12.75">
      <c r="CE64" t="s">
        <v>1458</v>
      </c>
      <c r="CF64" t="s">
        <v>1459</v>
      </c>
      <c r="CG64" t="s">
        <v>1459</v>
      </c>
      <c r="CH64" t="s">
        <v>1406</v>
      </c>
      <c r="CI64" t="s">
        <v>1381</v>
      </c>
      <c r="CJ64" t="s">
        <v>185</v>
      </c>
    </row>
    <row r="65" spans="48:89" ht="12.75">
      <c r="CE65" t="s">
        <v>1460</v>
      </c>
      <c r="CF65" t="s">
        <v>1461</v>
      </c>
      <c r="CG65" t="s">
        <v>1461</v>
      </c>
      <c r="CH65" t="s">
        <v>1406</v>
      </c>
      <c r="CI65" t="s">
        <v>1384</v>
      </c>
      <c r="CJ65" t="s">
        <v>200</v>
      </c>
      <c r="CK65">
        <v>237.9018</v>
      </c>
    </row>
    <row r="66" spans="48:88" ht="12.75">
      <c r="CE66" t="s">
        <v>1462</v>
      </c>
      <c r="CF66" t="s">
        <v>1463</v>
      </c>
      <c r="CG66" t="s">
        <v>1463</v>
      </c>
      <c r="CH66" t="s">
        <v>1406</v>
      </c>
      <c r="CI66" t="s">
        <v>1387</v>
      </c>
      <c r="CJ66" t="s">
        <v>1314</v>
      </c>
    </row>
    <row r="67" spans="48:88" ht="12.75">
      <c r="CE67" t="s">
        <v>1464</v>
      </c>
      <c r="CF67" t="s">
        <v>1465</v>
      </c>
      <c r="CG67" t="s">
        <v>1465</v>
      </c>
      <c r="CH67" t="s">
        <v>1406</v>
      </c>
      <c r="CI67" t="s">
        <v>1390</v>
      </c>
      <c r="CJ67" t="s">
        <v>1391</v>
      </c>
    </row>
    <row r="68" spans="48:88" ht="12.75">
      <c r="CE68" t="s">
        <v>1466</v>
      </c>
      <c r="CF68" t="s">
        <v>1467</v>
      </c>
      <c r="CG68" t="s">
        <v>1467</v>
      </c>
      <c r="CH68" t="s">
        <v>1406</v>
      </c>
      <c r="CI68" t="s">
        <v>1394</v>
      </c>
      <c r="CJ68" t="s">
        <v>185</v>
      </c>
    </row>
    <row r="69" spans="48:88" ht="12.75">
      <c r="CE69" t="s">
        <v>1468</v>
      </c>
      <c r="CF69" t="s">
        <v>1469</v>
      </c>
      <c r="CG69" t="s">
        <v>1469</v>
      </c>
      <c r="CH69" t="s">
        <v>1406</v>
      </c>
      <c r="CI69" t="s">
        <v>1397</v>
      </c>
      <c r="CJ69" t="s">
        <v>1398</v>
      </c>
    </row>
    <row r="70" spans="48:88" ht="12.75">
      <c r="CE70" t="s">
        <v>1470</v>
      </c>
      <c r="CF70" t="s">
        <v>1471</v>
      </c>
      <c r="CG70" t="s">
        <v>1471</v>
      </c>
      <c r="CH70" t="s">
        <v>1406</v>
      </c>
      <c r="CI70" t="s">
        <v>1401</v>
      </c>
      <c r="CJ70" t="s">
        <v>1402</v>
      </c>
    </row>
    <row r="71" spans="48:88" ht="12.75">
      <c r="CE71" t="s">
        <v>1472</v>
      </c>
      <c r="CF71" t="s">
        <v>1473</v>
      </c>
      <c r="CG71" t="s">
        <v>1473</v>
      </c>
      <c r="CH71" t="s">
        <v>1406</v>
      </c>
      <c r="CI71" t="s">
        <v>1405</v>
      </c>
      <c r="CJ71" t="s">
        <v>185</v>
      </c>
    </row>
    <row r="72" spans="48:88" ht="12.75">
      <c r="CE72" t="s">
        <v>1476</v>
      </c>
      <c r="CF72" t="s">
        <v>1477</v>
      </c>
      <c r="CG72" t="s">
        <v>1477</v>
      </c>
      <c r="CH72" t="s">
        <v>1474</v>
      </c>
      <c r="CI72" t="s">
        <v>1295</v>
      </c>
      <c r="CJ72" t="s">
        <v>1475</v>
      </c>
    </row>
    <row r="73" spans="48:88" ht="12.75">
      <c r="CE73" t="s">
        <v>1478</v>
      </c>
      <c r="CF73" t="s">
        <v>1479</v>
      </c>
      <c r="CG73" t="s">
        <v>1479</v>
      </c>
      <c r="CH73" t="s">
        <v>1474</v>
      </c>
      <c r="CI73" t="s">
        <v>1298</v>
      </c>
      <c r="CJ73" t="s">
        <v>1480</v>
      </c>
    </row>
    <row r="74" spans="48:88" ht="12.75">
      <c r="CE74" t="s">
        <v>1481</v>
      </c>
      <c r="CF74" t="s">
        <v>1482</v>
      </c>
      <c r="CG74" t="s">
        <v>1482</v>
      </c>
      <c r="CH74" t="s">
        <v>1474</v>
      </c>
      <c r="CI74" t="s">
        <v>1302</v>
      </c>
      <c r="CJ74" t="s">
        <v>1415</v>
      </c>
    </row>
    <row r="75" spans="48:88" ht="12.75">
      <c r="CE75" t="s">
        <v>1483</v>
      </c>
      <c r="CF75" t="s">
        <v>1484</v>
      </c>
      <c r="CG75" t="s">
        <v>1484</v>
      </c>
      <c r="CH75" t="s">
        <v>1474</v>
      </c>
      <c r="CI75" t="s">
        <v>1306</v>
      </c>
      <c r="CJ75" t="s">
        <v>1307</v>
      </c>
    </row>
    <row r="76" spans="48:88" ht="12.75">
      <c r="CE76" t="s">
        <v>1485</v>
      </c>
      <c r="CF76" t="s">
        <v>1486</v>
      </c>
      <c r="CG76" t="s">
        <v>1486</v>
      </c>
      <c r="CH76" t="s">
        <v>1474</v>
      </c>
      <c r="CI76" t="s">
        <v>1310</v>
      </c>
      <c r="CJ76" t="s">
        <v>178</v>
      </c>
    </row>
    <row r="77" spans="48:88" ht="12.75">
      <c r="CE77" t="s">
        <v>1487</v>
      </c>
      <c r="CF77" t="s">
        <v>1488</v>
      </c>
      <c r="CG77" t="s">
        <v>1488</v>
      </c>
      <c r="CH77" t="s">
        <v>1474</v>
      </c>
      <c r="CI77" t="s">
        <v>1313</v>
      </c>
      <c r="CJ77" t="s">
        <v>1314</v>
      </c>
    </row>
    <row r="78" spans="48:89" ht="12.75">
      <c r="CE78" t="s">
        <v>1489</v>
      </c>
      <c r="CF78" t="s">
        <v>1490</v>
      </c>
      <c r="CG78" t="s">
        <v>1490</v>
      </c>
      <c r="CH78" t="s">
        <v>1474</v>
      </c>
      <c r="CI78" t="s">
        <v>1317</v>
      </c>
      <c r="CJ78" t="s">
        <v>428</v>
      </c>
      <c r="CK78">
        <v>503.2539</v>
      </c>
    </row>
    <row r="79" spans="48:88" ht="12.75">
      <c r="CE79" t="s">
        <v>1491</v>
      </c>
      <c r="CF79" t="s">
        <v>1492</v>
      </c>
      <c r="CG79" t="s">
        <v>1492</v>
      </c>
      <c r="CH79" t="s">
        <v>1474</v>
      </c>
      <c r="CI79" t="s">
        <v>1320</v>
      </c>
      <c r="CJ79" t="s">
        <v>1321</v>
      </c>
    </row>
    <row r="80" spans="48:88" ht="12.75">
      <c r="CE80" t="s">
        <v>1493</v>
      </c>
      <c r="CF80" t="s">
        <v>1494</v>
      </c>
      <c r="CG80" t="s">
        <v>1494</v>
      </c>
      <c r="CH80" t="s">
        <v>1474</v>
      </c>
      <c r="CI80" t="s">
        <v>1324</v>
      </c>
      <c r="CJ80" t="s">
        <v>1325</v>
      </c>
    </row>
    <row r="81" spans="48:89" ht="12.75">
      <c r="CE81" t="s">
        <v>1495</v>
      </c>
      <c r="CF81" t="s">
        <v>1496</v>
      </c>
      <c r="CG81" t="s">
        <v>1496</v>
      </c>
      <c r="CH81" t="s">
        <v>1474</v>
      </c>
      <c r="CI81" t="s">
        <v>1328</v>
      </c>
      <c r="CJ81" t="s">
        <v>1093</v>
      </c>
      <c r="CK81">
        <v>61.3055</v>
      </c>
    </row>
    <row r="82" spans="48:88" ht="12.75">
      <c r="CE82" t="s">
        <v>1497</v>
      </c>
      <c r="CF82" t="s">
        <v>1498</v>
      </c>
      <c r="CG82" t="s">
        <v>1498</v>
      </c>
      <c r="CH82" t="s">
        <v>1474</v>
      </c>
      <c r="CI82" t="s">
        <v>1331</v>
      </c>
      <c r="CJ82" t="s">
        <v>1332</v>
      </c>
    </row>
    <row r="83" spans="48:88" ht="12.75">
      <c r="CE83" t="s">
        <v>1499</v>
      </c>
      <c r="CF83" t="s">
        <v>1500</v>
      </c>
      <c r="CG83" t="s">
        <v>1500</v>
      </c>
      <c r="CH83" t="s">
        <v>1474</v>
      </c>
      <c r="CI83" t="s">
        <v>1335</v>
      </c>
      <c r="CJ83" t="s">
        <v>1336</v>
      </c>
    </row>
    <row r="84" spans="48:88" ht="12.75">
      <c r="CE84" t="s">
        <v>1501</v>
      </c>
      <c r="CF84" t="s">
        <v>1502</v>
      </c>
      <c r="CG84" t="s">
        <v>1502</v>
      </c>
      <c r="CH84" t="s">
        <v>1474</v>
      </c>
      <c r="CI84" t="s">
        <v>1339</v>
      </c>
      <c r="CJ84" t="s">
        <v>1340</v>
      </c>
    </row>
    <row r="85" spans="48:88" ht="12.75">
      <c r="CE85" t="s">
        <v>1503</v>
      </c>
      <c r="CF85" t="s">
        <v>1504</v>
      </c>
      <c r="CG85" t="s">
        <v>1504</v>
      </c>
      <c r="CH85" t="s">
        <v>1474</v>
      </c>
      <c r="CI85" t="s">
        <v>1343</v>
      </c>
      <c r="CJ85" t="s">
        <v>463</v>
      </c>
    </row>
    <row r="86" spans="48:88" ht="12.75">
      <c r="CE86" t="s">
        <v>1505</v>
      </c>
      <c r="CF86" t="s">
        <v>1506</v>
      </c>
      <c r="CG86" t="s">
        <v>1506</v>
      </c>
      <c r="CH86" t="s">
        <v>1474</v>
      </c>
      <c r="CI86" t="s">
        <v>1346</v>
      </c>
      <c r="CJ86" t="s">
        <v>1347</v>
      </c>
    </row>
    <row r="87" spans="48:88" ht="12.75">
      <c r="CE87" t="s">
        <v>1507</v>
      </c>
      <c r="CF87" t="s">
        <v>1508</v>
      </c>
      <c r="CG87" t="s">
        <v>1508</v>
      </c>
      <c r="CH87" t="s">
        <v>1474</v>
      </c>
      <c r="CI87" t="s">
        <v>1350</v>
      </c>
      <c r="CJ87" t="s">
        <v>1351</v>
      </c>
    </row>
    <row r="88" spans="48:88" ht="12.75">
      <c r="CE88" t="s">
        <v>1509</v>
      </c>
      <c r="CF88" t="s">
        <v>1510</v>
      </c>
      <c r="CG88" t="s">
        <v>1510</v>
      </c>
      <c r="CH88" t="s">
        <v>1474</v>
      </c>
      <c r="CI88" t="s">
        <v>1354</v>
      </c>
      <c r="CJ88" t="s">
        <v>1355</v>
      </c>
    </row>
    <row r="89" spans="48:89" ht="12.75">
      <c r="CE89" t="s">
        <v>1511</v>
      </c>
      <c r="CF89" t="s">
        <v>1512</v>
      </c>
      <c r="CG89" t="s">
        <v>1512</v>
      </c>
      <c r="CH89" t="s">
        <v>1474</v>
      </c>
      <c r="CI89" t="s">
        <v>1358</v>
      </c>
      <c r="CJ89" t="s">
        <v>1359</v>
      </c>
      <c r="CK89">
        <v>54.3514</v>
      </c>
    </row>
    <row r="90" spans="48:89" ht="12.75">
      <c r="CE90" t="s">
        <v>1513</v>
      </c>
      <c r="CF90" t="s">
        <v>1514</v>
      </c>
      <c r="CG90" t="s">
        <v>1514</v>
      </c>
      <c r="CH90" t="s">
        <v>1474</v>
      </c>
      <c r="CI90" t="s">
        <v>1366</v>
      </c>
      <c r="CJ90" t="s">
        <v>1367</v>
      </c>
      <c r="CK90">
        <v>54.9004</v>
      </c>
    </row>
    <row r="91" spans="48:88" ht="12.75">
      <c r="CE91" t="s">
        <v>1515</v>
      </c>
      <c r="CF91" t="s">
        <v>1516</v>
      </c>
      <c r="CG91" t="s">
        <v>1516</v>
      </c>
      <c r="CH91" t="s">
        <v>1474</v>
      </c>
      <c r="CI91" t="s">
        <v>1370</v>
      </c>
      <c r="CJ91" t="s">
        <v>1452</v>
      </c>
    </row>
    <row r="92" spans="48:88" ht="12.75">
      <c r="CE92" t="s">
        <v>1517</v>
      </c>
      <c r="CF92" t="s">
        <v>1518</v>
      </c>
      <c r="CG92" t="s">
        <v>1518</v>
      </c>
      <c r="CH92" t="s">
        <v>1474</v>
      </c>
      <c r="CI92" t="s">
        <v>1374</v>
      </c>
      <c r="CJ92" t="s">
        <v>1455</v>
      </c>
    </row>
    <row r="93" spans="48:88" ht="12.75">
      <c r="CE93" t="s">
        <v>1519</v>
      </c>
      <c r="CF93" t="s">
        <v>1520</v>
      </c>
      <c r="CG93" t="s">
        <v>1520</v>
      </c>
      <c r="CH93" t="s">
        <v>1474</v>
      </c>
      <c r="CI93" t="s">
        <v>1378</v>
      </c>
      <c r="CJ93" t="s">
        <v>185</v>
      </c>
    </row>
    <row r="94" spans="48:88" ht="12.75">
      <c r="CE94" t="s">
        <v>1521</v>
      </c>
      <c r="CF94" t="s">
        <v>1522</v>
      </c>
      <c r="CG94" t="s">
        <v>1522</v>
      </c>
      <c r="CH94" t="s">
        <v>1474</v>
      </c>
      <c r="CI94" t="s">
        <v>1381</v>
      </c>
      <c r="CJ94" t="s">
        <v>185</v>
      </c>
    </row>
    <row r="95" spans="48:89" ht="12.75">
      <c r="CE95" t="s">
        <v>1523</v>
      </c>
      <c r="CF95" t="s">
        <v>1524</v>
      </c>
      <c r="CG95" t="s">
        <v>1524</v>
      </c>
      <c r="CH95" t="s">
        <v>1474</v>
      </c>
      <c r="CI95" t="s">
        <v>1384</v>
      </c>
      <c r="CJ95" t="s">
        <v>200</v>
      </c>
      <c r="CK95">
        <v>237.9018</v>
      </c>
    </row>
    <row r="96" spans="48:88" ht="12.75">
      <c r="CE96" t="s">
        <v>1525</v>
      </c>
      <c r="CF96" t="s">
        <v>1526</v>
      </c>
      <c r="CG96" t="s">
        <v>1526</v>
      </c>
      <c r="CH96" t="s">
        <v>1474</v>
      </c>
      <c r="CI96" t="s">
        <v>1387</v>
      </c>
      <c r="CJ96" t="s">
        <v>1314</v>
      </c>
    </row>
    <row r="97" spans="48:88" ht="12.75">
      <c r="CE97" t="s">
        <v>1527</v>
      </c>
      <c r="CF97" t="s">
        <v>1528</v>
      </c>
      <c r="CG97" t="s">
        <v>1528</v>
      </c>
      <c r="CH97" t="s">
        <v>1474</v>
      </c>
      <c r="CI97" t="s">
        <v>1390</v>
      </c>
      <c r="CJ97" t="s">
        <v>1391</v>
      </c>
    </row>
    <row r="98" spans="48:88" ht="12.75">
      <c r="CE98" t="s">
        <v>1529</v>
      </c>
      <c r="CF98" t="s">
        <v>1530</v>
      </c>
      <c r="CG98" t="s">
        <v>1530</v>
      </c>
      <c r="CH98" t="s">
        <v>1474</v>
      </c>
      <c r="CI98" t="s">
        <v>1394</v>
      </c>
      <c r="CJ98" t="s">
        <v>185</v>
      </c>
    </row>
    <row r="99" spans="48:88" ht="12.75">
      <c r="CE99" t="s">
        <v>1531</v>
      </c>
      <c r="CF99" t="s">
        <v>1532</v>
      </c>
      <c r="CG99" t="s">
        <v>1532</v>
      </c>
      <c r="CH99" t="s">
        <v>1474</v>
      </c>
      <c r="CI99" t="s">
        <v>1397</v>
      </c>
      <c r="CJ99" t="s">
        <v>1398</v>
      </c>
    </row>
    <row r="100" spans="48:88" ht="12.75">
      <c r="CE100" t="s">
        <v>1533</v>
      </c>
      <c r="CF100" t="s">
        <v>1534</v>
      </c>
      <c r="CG100" t="s">
        <v>1534</v>
      </c>
      <c r="CH100" t="s">
        <v>1474</v>
      </c>
      <c r="CI100" t="s">
        <v>1401</v>
      </c>
      <c r="CJ100" t="s">
        <v>1402</v>
      </c>
    </row>
    <row r="101" spans="83:88" ht="12.75">
      <c r="CE101" t="s">
        <v>1535</v>
      </c>
      <c r="CF101" t="s">
        <v>1536</v>
      </c>
      <c r="CG101" t="s">
        <v>1536</v>
      </c>
      <c r="CH101" t="s">
        <v>1474</v>
      </c>
      <c r="CI101" t="s">
        <v>1405</v>
      </c>
      <c r="CJ101" t="s">
        <v>185</v>
      </c>
    </row>
    <row r="102" spans="83:88" ht="12.75">
      <c r="CE102" t="s">
        <v>1539</v>
      </c>
      <c r="CF102" t="s">
        <v>1540</v>
      </c>
      <c r="CG102" t="s">
        <v>1540</v>
      </c>
      <c r="CH102" t="s">
        <v>1537</v>
      </c>
      <c r="CI102" t="s">
        <v>1295</v>
      </c>
      <c r="CJ102" t="s">
        <v>1538</v>
      </c>
    </row>
    <row r="103" spans="83:88" ht="12.75">
      <c r="CE103" t="s">
        <v>1541</v>
      </c>
      <c r="CF103" t="s">
        <v>1542</v>
      </c>
      <c r="CG103" t="s">
        <v>1542</v>
      </c>
      <c r="CH103" t="s">
        <v>1537</v>
      </c>
      <c r="CI103" t="s">
        <v>1298</v>
      </c>
      <c r="CJ103" t="s">
        <v>1543</v>
      </c>
    </row>
    <row r="104" spans="83:88" ht="12.75">
      <c r="CE104" t="s">
        <v>1544</v>
      </c>
      <c r="CF104" t="s">
        <v>1545</v>
      </c>
      <c r="CG104" t="s">
        <v>1545</v>
      </c>
      <c r="CH104" t="s">
        <v>1537</v>
      </c>
      <c r="CI104" t="s">
        <v>1302</v>
      </c>
      <c r="CJ104" t="s">
        <v>1546</v>
      </c>
    </row>
    <row r="105" spans="83:88" ht="12.75">
      <c r="CE105" t="s">
        <v>1547</v>
      </c>
      <c r="CF105" t="s">
        <v>1548</v>
      </c>
      <c r="CG105" t="s">
        <v>1548</v>
      </c>
      <c r="CH105" t="s">
        <v>1537</v>
      </c>
      <c r="CI105" t="s">
        <v>1306</v>
      </c>
      <c r="CJ105" t="s">
        <v>1307</v>
      </c>
    </row>
    <row r="106" spans="83:88" ht="12.75">
      <c r="CE106" t="s">
        <v>1549</v>
      </c>
      <c r="CF106" t="s">
        <v>1550</v>
      </c>
      <c r="CG106" t="s">
        <v>1550</v>
      </c>
      <c r="CH106" t="s">
        <v>1537</v>
      </c>
      <c r="CI106" t="s">
        <v>1310</v>
      </c>
      <c r="CJ106" t="s">
        <v>178</v>
      </c>
    </row>
    <row r="107" spans="83:88" ht="12.75">
      <c r="CE107" t="s">
        <v>1551</v>
      </c>
      <c r="CF107" t="s">
        <v>1552</v>
      </c>
      <c r="CG107" t="s">
        <v>1552</v>
      </c>
      <c r="CH107" t="s">
        <v>1537</v>
      </c>
      <c r="CI107" t="s">
        <v>1313</v>
      </c>
      <c r="CJ107" t="s">
        <v>1314</v>
      </c>
    </row>
    <row r="108" spans="83:89" ht="12.75">
      <c r="CE108" t="s">
        <v>1553</v>
      </c>
      <c r="CF108" t="s">
        <v>1554</v>
      </c>
      <c r="CG108" t="s">
        <v>1554</v>
      </c>
      <c r="CH108" t="s">
        <v>1537</v>
      </c>
      <c r="CI108" t="s">
        <v>1317</v>
      </c>
      <c r="CJ108" t="s">
        <v>428</v>
      </c>
      <c r="CK108">
        <v>503.2539</v>
      </c>
    </row>
    <row r="109" spans="83:88" ht="12.75">
      <c r="CE109" t="s">
        <v>1555</v>
      </c>
      <c r="CF109" t="s">
        <v>1556</v>
      </c>
      <c r="CG109" t="s">
        <v>1556</v>
      </c>
      <c r="CH109" t="s">
        <v>1537</v>
      </c>
      <c r="CI109" t="s">
        <v>1320</v>
      </c>
      <c r="CJ109" t="s">
        <v>1321</v>
      </c>
    </row>
    <row r="110" spans="83:89" ht="12.75">
      <c r="CE110" t="s">
        <v>1557</v>
      </c>
      <c r="CF110" t="s">
        <v>1558</v>
      </c>
      <c r="CG110" t="s">
        <v>1558</v>
      </c>
      <c r="CH110" t="s">
        <v>1537</v>
      </c>
      <c r="CI110" t="s">
        <v>1324</v>
      </c>
      <c r="CJ110" t="s">
        <v>1429</v>
      </c>
      <c r="CK110">
        <v>118.9509</v>
      </c>
    </row>
    <row r="111" spans="83:89" ht="12.75">
      <c r="CE111" t="s">
        <v>1559</v>
      </c>
      <c r="CF111" t="s">
        <v>1560</v>
      </c>
      <c r="CG111" t="s">
        <v>1560</v>
      </c>
      <c r="CH111" t="s">
        <v>1537</v>
      </c>
      <c r="CI111" t="s">
        <v>1328</v>
      </c>
      <c r="CJ111" t="s">
        <v>1093</v>
      </c>
      <c r="CK111">
        <v>94.2457</v>
      </c>
    </row>
    <row r="112" spans="83:88" ht="12.75">
      <c r="CE112" t="s">
        <v>1561</v>
      </c>
      <c r="CF112" t="s">
        <v>1562</v>
      </c>
      <c r="CG112" t="s">
        <v>1562</v>
      </c>
      <c r="CH112" t="s">
        <v>1537</v>
      </c>
      <c r="CI112" t="s">
        <v>1331</v>
      </c>
      <c r="CJ112" t="s">
        <v>1332</v>
      </c>
    </row>
    <row r="113" spans="83:88" ht="12.75">
      <c r="CE113" t="s">
        <v>1563</v>
      </c>
      <c r="CF113" t="s">
        <v>1564</v>
      </c>
      <c r="CG113" t="s">
        <v>1564</v>
      </c>
      <c r="CH113" t="s">
        <v>1537</v>
      </c>
      <c r="CI113" t="s">
        <v>1335</v>
      </c>
      <c r="CJ113" t="s">
        <v>1336</v>
      </c>
    </row>
    <row r="114" spans="83:88" ht="12.75">
      <c r="CE114" t="s">
        <v>1565</v>
      </c>
      <c r="CF114" t="s">
        <v>1566</v>
      </c>
      <c r="CG114" t="s">
        <v>1566</v>
      </c>
      <c r="CH114" t="s">
        <v>1537</v>
      </c>
      <c r="CI114" t="s">
        <v>1339</v>
      </c>
      <c r="CJ114" t="s">
        <v>1340</v>
      </c>
    </row>
    <row r="115" spans="83:88" ht="12.75">
      <c r="CE115" t="s">
        <v>1567</v>
      </c>
      <c r="CF115" t="s">
        <v>1568</v>
      </c>
      <c r="CG115" t="s">
        <v>1568</v>
      </c>
      <c r="CH115" t="s">
        <v>1537</v>
      </c>
      <c r="CI115" t="s">
        <v>1343</v>
      </c>
      <c r="CJ115" t="s">
        <v>463</v>
      </c>
    </row>
    <row r="116" spans="83:88" ht="12.75">
      <c r="CE116" t="s">
        <v>1569</v>
      </c>
      <c r="CF116" t="s">
        <v>1570</v>
      </c>
      <c r="CG116" t="s">
        <v>1570</v>
      </c>
      <c r="CH116" t="s">
        <v>1537</v>
      </c>
      <c r="CI116" t="s">
        <v>1346</v>
      </c>
      <c r="CJ116" t="s">
        <v>1347</v>
      </c>
    </row>
    <row r="117" spans="83:88" ht="12.75">
      <c r="CE117" t="s">
        <v>1571</v>
      </c>
      <c r="CF117" t="s">
        <v>1572</v>
      </c>
      <c r="CG117" t="s">
        <v>1572</v>
      </c>
      <c r="CH117" t="s">
        <v>1537</v>
      </c>
      <c r="CI117" t="s">
        <v>1350</v>
      </c>
      <c r="CJ117" t="s">
        <v>1351</v>
      </c>
    </row>
    <row r="118" spans="83:88" ht="12.75">
      <c r="CE118" t="s">
        <v>1573</v>
      </c>
      <c r="CF118" t="s">
        <v>1574</v>
      </c>
      <c r="CG118" t="s">
        <v>1574</v>
      </c>
      <c r="CH118" t="s">
        <v>1537</v>
      </c>
      <c r="CI118" t="s">
        <v>1354</v>
      </c>
      <c r="CJ118" t="s">
        <v>1355</v>
      </c>
    </row>
    <row r="119" spans="83:89" ht="12.75">
      <c r="CE119" t="s">
        <v>1575</v>
      </c>
      <c r="CF119" t="s">
        <v>1576</v>
      </c>
      <c r="CG119" t="s">
        <v>1576</v>
      </c>
      <c r="CH119" t="s">
        <v>1537</v>
      </c>
      <c r="CI119" t="s">
        <v>1358</v>
      </c>
      <c r="CJ119" t="s">
        <v>1359</v>
      </c>
      <c r="CK119">
        <v>60.3905</v>
      </c>
    </row>
    <row r="120" spans="83:89" ht="12.75">
      <c r="CE120" t="s">
        <v>1577</v>
      </c>
      <c r="CF120" t="s">
        <v>1578</v>
      </c>
      <c r="CG120" t="s">
        <v>1578</v>
      </c>
      <c r="CH120" t="s">
        <v>1537</v>
      </c>
      <c r="CI120" t="s">
        <v>1366</v>
      </c>
      <c r="CJ120" t="s">
        <v>1367</v>
      </c>
      <c r="CK120">
        <v>54.9004</v>
      </c>
    </row>
    <row r="121" spans="83:88" ht="12.75">
      <c r="CE121" t="s">
        <v>1579</v>
      </c>
      <c r="CF121" t="s">
        <v>1580</v>
      </c>
      <c r="CG121" t="s">
        <v>1580</v>
      </c>
      <c r="CH121" t="s">
        <v>1537</v>
      </c>
      <c r="CI121" t="s">
        <v>1370</v>
      </c>
      <c r="CJ121" t="s">
        <v>1581</v>
      </c>
    </row>
    <row r="122" spans="83:88" ht="12.75">
      <c r="CE122" t="s">
        <v>1582</v>
      </c>
      <c r="CF122" t="s">
        <v>1583</v>
      </c>
      <c r="CG122" t="s">
        <v>1583</v>
      </c>
      <c r="CH122" t="s">
        <v>1537</v>
      </c>
      <c r="CI122" t="s">
        <v>1374</v>
      </c>
      <c r="CJ122" t="s">
        <v>1584</v>
      </c>
    </row>
    <row r="123" spans="83:88" ht="12.75">
      <c r="CE123" t="s">
        <v>1585</v>
      </c>
      <c r="CF123" t="s">
        <v>1586</v>
      </c>
      <c r="CG123" t="s">
        <v>1586</v>
      </c>
      <c r="CH123" t="s">
        <v>1537</v>
      </c>
      <c r="CI123" t="s">
        <v>1378</v>
      </c>
      <c r="CJ123" t="s">
        <v>185</v>
      </c>
    </row>
    <row r="124" spans="83:88" ht="12.75">
      <c r="CE124" t="s">
        <v>1587</v>
      </c>
      <c r="CF124" t="s">
        <v>1588</v>
      </c>
      <c r="CG124" t="s">
        <v>1588</v>
      </c>
      <c r="CH124" t="s">
        <v>1537</v>
      </c>
      <c r="CI124" t="s">
        <v>1381</v>
      </c>
      <c r="CJ124" t="s">
        <v>185</v>
      </c>
    </row>
    <row r="125" spans="83:89" ht="12.75">
      <c r="CE125" t="s">
        <v>1589</v>
      </c>
      <c r="CF125" t="s">
        <v>1590</v>
      </c>
      <c r="CG125" t="s">
        <v>1590</v>
      </c>
      <c r="CH125" t="s">
        <v>1537</v>
      </c>
      <c r="CI125" t="s">
        <v>1384</v>
      </c>
      <c r="CJ125" t="s">
        <v>200</v>
      </c>
      <c r="CK125">
        <v>237.9018</v>
      </c>
    </row>
    <row r="126" spans="83:88" ht="12.75">
      <c r="CE126" t="s">
        <v>1591</v>
      </c>
      <c r="CF126" t="s">
        <v>1592</v>
      </c>
      <c r="CG126" t="s">
        <v>1592</v>
      </c>
      <c r="CH126" t="s">
        <v>1537</v>
      </c>
      <c r="CI126" t="s">
        <v>1387</v>
      </c>
      <c r="CJ126" t="s">
        <v>1314</v>
      </c>
    </row>
    <row r="127" spans="83:88" ht="12.75">
      <c r="CE127" t="s">
        <v>1593</v>
      </c>
      <c r="CF127" t="s">
        <v>1594</v>
      </c>
      <c r="CG127" t="s">
        <v>1594</v>
      </c>
      <c r="CH127" t="s">
        <v>1537</v>
      </c>
      <c r="CI127" t="s">
        <v>1390</v>
      </c>
      <c r="CJ127" t="s">
        <v>1391</v>
      </c>
    </row>
    <row r="128" spans="83:88" ht="12.75">
      <c r="CE128" t="s">
        <v>1595</v>
      </c>
      <c r="CF128" t="s">
        <v>1596</v>
      </c>
      <c r="CG128" t="s">
        <v>1596</v>
      </c>
      <c r="CH128" t="s">
        <v>1537</v>
      </c>
      <c r="CI128" t="s">
        <v>1394</v>
      </c>
      <c r="CJ128" t="s">
        <v>185</v>
      </c>
    </row>
    <row r="129" spans="83:88" ht="12.75">
      <c r="CE129" t="s">
        <v>1597</v>
      </c>
      <c r="CF129" t="s">
        <v>1598</v>
      </c>
      <c r="CG129" t="s">
        <v>1598</v>
      </c>
      <c r="CH129" t="s">
        <v>1537</v>
      </c>
      <c r="CI129" t="s">
        <v>1397</v>
      </c>
      <c r="CJ129" t="s">
        <v>1398</v>
      </c>
    </row>
    <row r="130" spans="83:88" ht="12.75">
      <c r="CE130" t="s">
        <v>1599</v>
      </c>
      <c r="CF130" t="s">
        <v>1600</v>
      </c>
      <c r="CG130" t="s">
        <v>1600</v>
      </c>
      <c r="CH130" t="s">
        <v>1537</v>
      </c>
      <c r="CI130" t="s">
        <v>1401</v>
      </c>
      <c r="CJ130" t="s">
        <v>1402</v>
      </c>
    </row>
    <row r="131" spans="83:88" ht="12.75">
      <c r="CE131" t="s">
        <v>1601</v>
      </c>
      <c r="CF131" t="s">
        <v>1602</v>
      </c>
      <c r="CG131" t="s">
        <v>1602</v>
      </c>
      <c r="CH131" t="s">
        <v>1537</v>
      </c>
      <c r="CI131" t="s">
        <v>1405</v>
      </c>
      <c r="CJ131" t="s">
        <v>185</v>
      </c>
    </row>
    <row r="132" spans="83:88" ht="12.75">
      <c r="CE132" t="s">
        <v>1605</v>
      </c>
      <c r="CF132" t="s">
        <v>1606</v>
      </c>
      <c r="CG132" t="s">
        <v>1606</v>
      </c>
      <c r="CH132" t="s">
        <v>1603</v>
      </c>
      <c r="CI132" t="s">
        <v>1295</v>
      </c>
      <c r="CJ132" t="s">
        <v>1604</v>
      </c>
    </row>
    <row r="133" spans="83:88" ht="12.75">
      <c r="CE133" t="s">
        <v>1607</v>
      </c>
      <c r="CF133" t="s">
        <v>1608</v>
      </c>
      <c r="CG133" t="s">
        <v>1608</v>
      </c>
      <c r="CH133" t="s">
        <v>1603</v>
      </c>
      <c r="CI133" t="s">
        <v>1298</v>
      </c>
      <c r="CJ133" t="s">
        <v>1609</v>
      </c>
    </row>
    <row r="134" spans="83:88" ht="12.75">
      <c r="CE134" t="s">
        <v>1610</v>
      </c>
      <c r="CF134" t="s">
        <v>1611</v>
      </c>
      <c r="CG134" t="s">
        <v>1611</v>
      </c>
      <c r="CH134" t="s">
        <v>1603</v>
      </c>
      <c r="CI134" t="s">
        <v>1302</v>
      </c>
      <c r="CJ134" t="s">
        <v>1546</v>
      </c>
    </row>
    <row r="135" spans="83:88" ht="12.75">
      <c r="CE135" t="s">
        <v>1612</v>
      </c>
      <c r="CF135" t="s">
        <v>1613</v>
      </c>
      <c r="CG135" t="s">
        <v>1613</v>
      </c>
      <c r="CH135" t="s">
        <v>1603</v>
      </c>
      <c r="CI135" t="s">
        <v>1306</v>
      </c>
      <c r="CJ135" t="s">
        <v>1307</v>
      </c>
    </row>
    <row r="136" spans="83:88" ht="12.75">
      <c r="CE136" t="s">
        <v>1614</v>
      </c>
      <c r="CF136" t="s">
        <v>1615</v>
      </c>
      <c r="CG136" t="s">
        <v>1615</v>
      </c>
      <c r="CH136" t="s">
        <v>1603</v>
      </c>
      <c r="CI136" t="s">
        <v>1310</v>
      </c>
      <c r="CJ136" t="s">
        <v>178</v>
      </c>
    </row>
    <row r="137" spans="83:88" ht="12.75">
      <c r="CE137" t="s">
        <v>1616</v>
      </c>
      <c r="CF137" t="s">
        <v>1617</v>
      </c>
      <c r="CG137" t="s">
        <v>1617</v>
      </c>
      <c r="CH137" t="s">
        <v>1603</v>
      </c>
      <c r="CI137" t="s">
        <v>1313</v>
      </c>
      <c r="CJ137" t="s">
        <v>1314</v>
      </c>
    </row>
    <row r="138" spans="83:89" ht="12.75">
      <c r="CE138" t="s">
        <v>1618</v>
      </c>
      <c r="CF138" t="s">
        <v>1619</v>
      </c>
      <c r="CG138" t="s">
        <v>1619</v>
      </c>
      <c r="CH138" t="s">
        <v>1603</v>
      </c>
      <c r="CI138" t="s">
        <v>1317</v>
      </c>
      <c r="CJ138" t="s">
        <v>428</v>
      </c>
      <c r="CK138">
        <v>503.2539</v>
      </c>
    </row>
    <row r="139" spans="83:88" ht="12.75">
      <c r="CE139" t="s">
        <v>1620</v>
      </c>
      <c r="CF139" t="s">
        <v>1621</v>
      </c>
      <c r="CG139" t="s">
        <v>1621</v>
      </c>
      <c r="CH139" t="s">
        <v>1603</v>
      </c>
      <c r="CI139" t="s">
        <v>1320</v>
      </c>
      <c r="CJ139" t="s">
        <v>1321</v>
      </c>
    </row>
    <row r="140" spans="83:88" ht="12.75">
      <c r="CE140" t="s">
        <v>1622</v>
      </c>
      <c r="CF140" t="s">
        <v>1623</v>
      </c>
      <c r="CG140" t="s">
        <v>1623</v>
      </c>
      <c r="CH140" t="s">
        <v>1603</v>
      </c>
      <c r="CI140" t="s">
        <v>1324</v>
      </c>
      <c r="CJ140" t="s">
        <v>1325</v>
      </c>
    </row>
    <row r="141" spans="83:89" ht="12.75">
      <c r="CE141" t="s">
        <v>1624</v>
      </c>
      <c r="CF141" t="s">
        <v>1625</v>
      </c>
      <c r="CG141" t="s">
        <v>1625</v>
      </c>
      <c r="CH141" t="s">
        <v>1603</v>
      </c>
      <c r="CI141" t="s">
        <v>1328</v>
      </c>
      <c r="CJ141" t="s">
        <v>1093</v>
      </c>
      <c r="CK141">
        <v>78.6906</v>
      </c>
    </row>
    <row r="142" spans="83:88" ht="12.75">
      <c r="CE142" t="s">
        <v>1626</v>
      </c>
      <c r="CF142" t="s">
        <v>1627</v>
      </c>
      <c r="CG142" t="s">
        <v>1627</v>
      </c>
      <c r="CH142" t="s">
        <v>1603</v>
      </c>
      <c r="CI142" t="s">
        <v>1331</v>
      </c>
      <c r="CJ142" t="s">
        <v>1332</v>
      </c>
    </row>
    <row r="143" spans="83:88" ht="12.75">
      <c r="CE143" t="s">
        <v>1628</v>
      </c>
      <c r="CF143" t="s">
        <v>1629</v>
      </c>
      <c r="CG143" t="s">
        <v>1629</v>
      </c>
      <c r="CH143" t="s">
        <v>1603</v>
      </c>
      <c r="CI143" t="s">
        <v>1335</v>
      </c>
      <c r="CJ143" t="s">
        <v>1336</v>
      </c>
    </row>
    <row r="144" spans="83:88" ht="12.75">
      <c r="CE144" t="s">
        <v>1630</v>
      </c>
      <c r="CF144" t="s">
        <v>1631</v>
      </c>
      <c r="CG144" t="s">
        <v>1631</v>
      </c>
      <c r="CH144" t="s">
        <v>1603</v>
      </c>
      <c r="CI144" t="s">
        <v>1339</v>
      </c>
      <c r="CJ144" t="s">
        <v>1340</v>
      </c>
    </row>
    <row r="145" spans="83:88" ht="12.75">
      <c r="CE145" t="s">
        <v>1632</v>
      </c>
      <c r="CF145" t="s">
        <v>1633</v>
      </c>
      <c r="CG145" t="s">
        <v>1633</v>
      </c>
      <c r="CH145" t="s">
        <v>1603</v>
      </c>
      <c r="CI145" t="s">
        <v>1343</v>
      </c>
      <c r="CJ145" t="s">
        <v>463</v>
      </c>
    </row>
    <row r="146" spans="83:88" ht="12.75">
      <c r="CE146" t="s">
        <v>1634</v>
      </c>
      <c r="CF146" t="s">
        <v>1635</v>
      </c>
      <c r="CG146" t="s">
        <v>1635</v>
      </c>
      <c r="CH146" t="s">
        <v>1603</v>
      </c>
      <c r="CI146" t="s">
        <v>1346</v>
      </c>
      <c r="CJ146" t="s">
        <v>1347</v>
      </c>
    </row>
    <row r="147" spans="83:88" ht="12.75">
      <c r="CE147" t="s">
        <v>1636</v>
      </c>
      <c r="CF147" t="s">
        <v>1637</v>
      </c>
      <c r="CG147" t="s">
        <v>1637</v>
      </c>
      <c r="CH147" t="s">
        <v>1603</v>
      </c>
      <c r="CI147" t="s">
        <v>1350</v>
      </c>
      <c r="CJ147" t="s">
        <v>1351</v>
      </c>
    </row>
    <row r="148" spans="83:88" ht="12.75">
      <c r="CE148" t="s">
        <v>1638</v>
      </c>
      <c r="CF148" t="s">
        <v>1639</v>
      </c>
      <c r="CG148" t="s">
        <v>1639</v>
      </c>
      <c r="CH148" t="s">
        <v>1603</v>
      </c>
      <c r="CI148" t="s">
        <v>1354</v>
      </c>
      <c r="CJ148" t="s">
        <v>1355</v>
      </c>
    </row>
    <row r="149" spans="83:89" ht="12.75">
      <c r="CE149" t="s">
        <v>1640</v>
      </c>
      <c r="CF149" t="s">
        <v>1641</v>
      </c>
      <c r="CG149" t="s">
        <v>1641</v>
      </c>
      <c r="CH149" t="s">
        <v>1603</v>
      </c>
      <c r="CI149" t="s">
        <v>1358</v>
      </c>
      <c r="CJ149" t="s">
        <v>1359</v>
      </c>
      <c r="CK149">
        <v>60.3905</v>
      </c>
    </row>
    <row r="150" spans="83:89" ht="12.75">
      <c r="CE150" t="s">
        <v>1642</v>
      </c>
      <c r="CF150" t="s">
        <v>1643</v>
      </c>
      <c r="CG150" t="s">
        <v>1643</v>
      </c>
      <c r="CH150" t="s">
        <v>1603</v>
      </c>
      <c r="CI150" t="s">
        <v>1366</v>
      </c>
      <c r="CJ150" t="s">
        <v>1367</v>
      </c>
      <c r="CK150">
        <v>54.9004</v>
      </c>
    </row>
    <row r="151" spans="83:88" ht="12.75">
      <c r="CE151" t="s">
        <v>1644</v>
      </c>
      <c r="CF151" t="s">
        <v>1645</v>
      </c>
      <c r="CG151" t="s">
        <v>1645</v>
      </c>
      <c r="CH151" t="s">
        <v>1603</v>
      </c>
      <c r="CI151" t="s">
        <v>1370</v>
      </c>
      <c r="CJ151" t="s">
        <v>1581</v>
      </c>
    </row>
    <row r="152" spans="83:88" ht="12.75">
      <c r="CE152" t="s">
        <v>1646</v>
      </c>
      <c r="CF152" t="s">
        <v>1647</v>
      </c>
      <c r="CG152" t="s">
        <v>1647</v>
      </c>
      <c r="CH152" t="s">
        <v>1603</v>
      </c>
      <c r="CI152" t="s">
        <v>1374</v>
      </c>
      <c r="CJ152" t="s">
        <v>1584</v>
      </c>
    </row>
    <row r="153" spans="83:88" ht="12.75">
      <c r="CE153" t="s">
        <v>1648</v>
      </c>
      <c r="CF153" t="s">
        <v>1649</v>
      </c>
      <c r="CG153" t="s">
        <v>1649</v>
      </c>
      <c r="CH153" t="s">
        <v>1603</v>
      </c>
      <c r="CI153" t="s">
        <v>1378</v>
      </c>
      <c r="CJ153" t="s">
        <v>185</v>
      </c>
    </row>
    <row r="154" spans="83:88" ht="12.75">
      <c r="CE154" t="s">
        <v>1650</v>
      </c>
      <c r="CF154" t="s">
        <v>1651</v>
      </c>
      <c r="CG154" t="s">
        <v>1651</v>
      </c>
      <c r="CH154" t="s">
        <v>1603</v>
      </c>
      <c r="CI154" t="s">
        <v>1381</v>
      </c>
      <c r="CJ154" t="s">
        <v>185</v>
      </c>
    </row>
    <row r="155" spans="83:89" ht="12.75">
      <c r="CE155" t="s">
        <v>1652</v>
      </c>
      <c r="CF155" t="s">
        <v>1653</v>
      </c>
      <c r="CG155" t="s">
        <v>1653</v>
      </c>
      <c r="CH155" t="s">
        <v>1603</v>
      </c>
      <c r="CI155" t="s">
        <v>1384</v>
      </c>
      <c r="CJ155" t="s">
        <v>200</v>
      </c>
      <c r="CK155">
        <v>237.9018</v>
      </c>
    </row>
    <row r="156" spans="83:88" ht="12.75">
      <c r="CE156" t="s">
        <v>1654</v>
      </c>
      <c r="CF156" t="s">
        <v>1655</v>
      </c>
      <c r="CG156" t="s">
        <v>1655</v>
      </c>
      <c r="CH156" t="s">
        <v>1603</v>
      </c>
      <c r="CI156" t="s">
        <v>1387</v>
      </c>
      <c r="CJ156" t="s">
        <v>1314</v>
      </c>
    </row>
    <row r="157" spans="83:88" ht="12.75">
      <c r="CE157" t="s">
        <v>1656</v>
      </c>
      <c r="CF157" t="s">
        <v>1657</v>
      </c>
      <c r="CG157" t="s">
        <v>1657</v>
      </c>
      <c r="CH157" t="s">
        <v>1603</v>
      </c>
      <c r="CI157" t="s">
        <v>1390</v>
      </c>
      <c r="CJ157" t="s">
        <v>1391</v>
      </c>
    </row>
    <row r="158" spans="83:88" ht="12.75">
      <c r="CE158" t="s">
        <v>1658</v>
      </c>
      <c r="CF158" t="s">
        <v>1659</v>
      </c>
      <c r="CG158" t="s">
        <v>1659</v>
      </c>
      <c r="CH158" t="s">
        <v>1603</v>
      </c>
      <c r="CI158" t="s">
        <v>1394</v>
      </c>
      <c r="CJ158" t="s">
        <v>185</v>
      </c>
    </row>
    <row r="159" spans="83:88" ht="12.75">
      <c r="CE159" t="s">
        <v>1660</v>
      </c>
      <c r="CF159" t="s">
        <v>1661</v>
      </c>
      <c r="CG159" t="s">
        <v>1661</v>
      </c>
      <c r="CH159" t="s">
        <v>1603</v>
      </c>
      <c r="CI159" t="s">
        <v>1397</v>
      </c>
      <c r="CJ159" t="s">
        <v>1398</v>
      </c>
    </row>
    <row r="160" spans="83:88" ht="12.75">
      <c r="CE160" t="s">
        <v>1662</v>
      </c>
      <c r="CF160" t="s">
        <v>1663</v>
      </c>
      <c r="CG160" t="s">
        <v>1663</v>
      </c>
      <c r="CH160" t="s">
        <v>1603</v>
      </c>
      <c r="CI160" t="s">
        <v>1401</v>
      </c>
      <c r="CJ160" t="s">
        <v>1402</v>
      </c>
    </row>
    <row r="161" spans="83:88" ht="12.75">
      <c r="CE161" t="s">
        <v>1664</v>
      </c>
      <c r="CF161" t="s">
        <v>1665</v>
      </c>
      <c r="CG161" t="s">
        <v>1665</v>
      </c>
      <c r="CH161" t="s">
        <v>1603</v>
      </c>
      <c r="CI161" t="s">
        <v>1405</v>
      </c>
      <c r="CJ161" t="s">
        <v>185</v>
      </c>
    </row>
    <row r="162" spans="83:88" ht="12.75">
      <c r="CE162" t="s">
        <v>1666</v>
      </c>
      <c r="CF162" t="s">
        <v>1667</v>
      </c>
      <c r="CG162" t="s">
        <v>1667</v>
      </c>
      <c r="CH162" t="s">
        <v>1668</v>
      </c>
      <c r="CI162" t="s">
        <v>1669</v>
      </c>
      <c r="CJ162" t="s">
        <v>185</v>
      </c>
    </row>
  </sheetData>
  <mergeCells count="1">
    <mergeCell ref="A5:F5"/>
  </mergeCells>
  <pageMargins left="0.7" right="0.7" top="0.75" bottom="0.75" header="0.3" footer="0.3"/>
  <pageSetup horizontalDpi="300" verticalDpi="30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JobSheet">
    <pageSetUpPr fitToPage="1"/>
  </sheetPr>
  <dimension ref="A1:AR20"/>
  <sheetViews>
    <sheetView showZeros="0" view="pageBreakPreview" zoomScale="30" zoomScaleNormal="25" zoomScaleSheetLayoutView="30" zoomScalePageLayoutView="25" workbookViewId="0" topLeftCell="A1">
      <selection pane="topLeft" activeCell="A11" sqref="A11:XFD20"/>
    </sheetView>
  </sheetViews>
  <sheetFormatPr defaultColWidth="9.42578125" defaultRowHeight="39.95" customHeight="1"/>
  <cols>
    <col min="1" max="1" width="13.2857142857143" style="25" customWidth="1"/>
    <col min="2" max="2" width="43.7142857142857" style="25" customWidth="1"/>
    <col min="3" max="3" width="23.1428571428571" style="25" customWidth="1"/>
    <col min="4" max="4" width="23.2857142857143" style="25" customWidth="1"/>
    <col min="5" max="5" width="32.5714285714286" style="25" customWidth="1"/>
    <col min="6" max="6" width="19.5714285714286" style="25" customWidth="1"/>
    <col min="7" max="7" width="17.7142857142857" style="25" customWidth="1"/>
    <col min="8" max="8" width="47.4285714285714" style="25" customWidth="1"/>
    <col min="9" max="9" width="22.5714285714286" style="25" customWidth="1"/>
    <col min="10" max="10" width="24" style="34" customWidth="1"/>
    <col min="11" max="11" width="31.8571428571429" style="34" customWidth="1"/>
    <col min="12" max="12" width="32.4285714285714" style="25" customWidth="1"/>
    <col min="13" max="13" width="40.2857142857143" style="25" customWidth="1"/>
    <col min="14" max="14" width="32.2857142857143" style="25" customWidth="1"/>
    <col min="15" max="15" width="29.8571428571429" style="25" customWidth="1"/>
    <col min="16" max="16" width="26.5714285714286" style="98" customWidth="1"/>
    <col min="17" max="17" width="22.7142857142857" style="25" customWidth="1"/>
    <col min="18" max="18" width="25.5714285714286" style="25" customWidth="1"/>
    <col min="19" max="19" width="27.1428571428571" style="25" customWidth="1"/>
    <col min="20" max="20" width="25.7142857142857" style="25" customWidth="1"/>
    <col min="21" max="21" width="27.4285714285714" style="25" customWidth="1"/>
    <col min="22" max="22" width="23.5714285714286" style="25" customWidth="1"/>
    <col min="23" max="23" width="26.2857142857143" style="25" customWidth="1"/>
    <col min="24" max="24" width="21" style="25" customWidth="1"/>
    <col min="25" max="25" width="32.2857142857143" style="25" customWidth="1"/>
    <col min="26" max="26" width="28.7142857142857" style="25" customWidth="1"/>
    <col min="27" max="27" width="29.1428571428571" style="25" customWidth="1"/>
    <col min="28" max="28" width="32.7142857142857" style="25" customWidth="1"/>
    <col min="29" max="29" width="25.4285714285714" style="25" customWidth="1"/>
    <col min="30" max="30" width="23.7142857142857" customWidth="1"/>
    <col min="31" max="31" width="30.2857142857143" customWidth="1"/>
    <col min="32" max="32" width="69.7142857142857" customWidth="1"/>
    <col min="33" max="33" width="24.8571428571429" customWidth="1"/>
    <col min="34" max="34" width="34" customWidth="1"/>
    <col min="35" max="35" width="24.7142857142857" customWidth="1"/>
    <col min="36" max="36" width="22.4285714285714" customWidth="1"/>
    <col min="37" max="37" width="21" customWidth="1"/>
    <col min="38" max="39" width="21.8571428571429" customWidth="1"/>
    <col min="40" max="40" width="20.5714285714286" customWidth="1"/>
    <col min="41" max="41" width="24.1428571428571" customWidth="1"/>
    <col min="42" max="42" width="22.7142857142857" customWidth="1"/>
    <col min="43" max="43" width="25.7142857142857" customWidth="1"/>
    <col min="44" max="44" width="22.2857142857143" customWidth="1"/>
  </cols>
  <sheetData>
    <row r="1" spans="1:35" s="11" customFormat="1" ht="219" customHeight="1">
      <c r="A1" s="184" t="s">
        <v>177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4"/>
      <c r="AA1" s="184"/>
      <c r="AB1" s="184"/>
      <c r="AC1" s="184"/>
      <c r="AD1" s="184"/>
      <c r="AE1" s="184"/>
      <c r="AF1" s="184"/>
      <c r="AG1" s="90"/>
      <c r="AH1" s="90"/>
      <c r="AI1" s="90"/>
    </row>
    <row r="2" spans="1:35" s="92" customFormat="1" ht="50.1" customHeight="1">
      <c r="A2" s="179" t="s">
        <v>7</v>
      </c>
      <c r="B2" s="179"/>
      <c r="C2" s="177"/>
      <c r="D2" s="177"/>
      <c r="E2" s="177"/>
      <c r="F2" s="177"/>
      <c r="G2" s="177" t="s">
        <v>96</v>
      </c>
      <c r="H2" s="177"/>
      <c r="I2" s="177"/>
      <c r="J2" s="171" t="str">
        <f>Data!BF5</f>
        <v>Campbell, Neil</v>
      </c>
      <c r="K2" s="171"/>
      <c r="L2" s="171"/>
      <c r="M2" s="171"/>
      <c r="N2" s="171"/>
      <c r="O2" s="171"/>
      <c r="P2" s="171"/>
      <c r="Q2" s="171"/>
      <c r="R2" s="171"/>
      <c r="S2" s="183" t="s">
        <v>4</v>
      </c>
      <c r="T2" s="183"/>
      <c r="U2" s="183"/>
      <c r="V2" s="183"/>
      <c r="W2" s="183"/>
      <c r="X2" s="183"/>
      <c r="Y2" s="183"/>
      <c r="Z2" s="183"/>
      <c r="AA2" s="183"/>
      <c r="AB2" s="183"/>
      <c r="AC2" s="183"/>
      <c r="AD2" s="183"/>
      <c r="AE2" s="183"/>
      <c r="AF2" s="183"/>
      <c r="AG2" s="91"/>
      <c r="AH2" s="91"/>
      <c r="AI2" s="91"/>
    </row>
    <row r="3" spans="1:35" s="92" customFormat="1" ht="50.1" customHeight="1">
      <c r="A3" s="180" t="s">
        <v>118</v>
      </c>
      <c r="B3" s="180"/>
      <c r="C3" s="172" t="str">
        <f>Data!BC5</f>
        <v>12085</v>
      </c>
      <c r="D3" s="172"/>
      <c r="E3" s="172"/>
      <c r="F3" s="172"/>
      <c r="G3" s="178" t="s">
        <v>8</v>
      </c>
      <c r="H3" s="178"/>
      <c r="I3" s="178"/>
      <c r="J3" s="171" t="str">
        <f>TRIM(Data!AX5)</f>
        <v>Verticali Patio Blinds &amp; Fixed Guide Awnings</v>
      </c>
      <c r="K3" s="171"/>
      <c r="L3" s="171"/>
      <c r="M3" s="171"/>
      <c r="N3" s="171"/>
      <c r="O3" s="171"/>
      <c r="P3" s="171"/>
      <c r="Q3" s="171"/>
      <c r="R3" s="171"/>
      <c r="S3" s="171" t="str">
        <f>TRIM(Data!BG5)</f>
        <v/>
      </c>
      <c r="T3" s="171"/>
      <c r="U3" s="171"/>
      <c r="V3" s="171"/>
      <c r="W3" s="171"/>
      <c r="X3" s="171"/>
      <c r="Y3" s="171"/>
      <c r="Z3" s="171"/>
      <c r="AA3" s="171"/>
      <c r="AB3" s="171"/>
      <c r="AC3" s="171"/>
      <c r="AD3" s="171"/>
      <c r="AE3" s="171"/>
      <c r="AF3" s="171"/>
      <c r="AG3" s="93"/>
      <c r="AH3" s="93"/>
      <c r="AI3" s="93"/>
    </row>
    <row r="4" spans="1:35" s="94" customFormat="1" ht="50.1" customHeight="1">
      <c r="A4" s="181" t="s">
        <v>15</v>
      </c>
      <c r="B4" s="181"/>
      <c r="C4" s="172" t="str">
        <f>Data!BD5</f>
        <v>A</v>
      </c>
      <c r="D4" s="172"/>
      <c r="E4" s="172"/>
      <c r="F4" s="172"/>
      <c r="G4" s="178" t="s">
        <v>114</v>
      </c>
      <c r="H4" s="178"/>
      <c r="I4" s="178"/>
      <c r="J4" s="171" t="str">
        <f>LEFT(Data!BA5,10)</f>
        <v>18/09/2026</v>
      </c>
      <c r="K4" s="171"/>
      <c r="L4" s="171"/>
      <c r="M4" s="171"/>
      <c r="N4" s="171"/>
      <c r="O4" s="171"/>
      <c r="P4" s="171"/>
      <c r="Q4" s="171"/>
      <c r="R4" s="171"/>
      <c r="S4" s="171"/>
      <c r="T4" s="171"/>
      <c r="U4" s="171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1"/>
      <c r="AG4" s="93"/>
      <c r="AH4" s="93"/>
      <c r="AI4" s="93"/>
    </row>
    <row r="5" spans="1:35" s="94" customFormat="1" ht="50.1" customHeight="1">
      <c r="A5" s="182" t="s">
        <v>10</v>
      </c>
      <c r="B5" s="182"/>
      <c r="C5" s="172" t="str">
        <f>Data!AY5</f>
        <v>6/08/2026 12:00:00 AM</v>
      </c>
      <c r="D5" s="172"/>
      <c r="E5" s="172"/>
      <c r="F5" s="172"/>
      <c r="G5" s="172" t="s">
        <v>13</v>
      </c>
      <c r="H5" s="172"/>
      <c r="I5" s="172"/>
      <c r="J5" s="171" t="str">
        <f>TRIM(Data!BF5)</f>
        <v>Campbell, Neil</v>
      </c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93"/>
      <c r="AH5" s="93"/>
      <c r="AI5" s="93"/>
    </row>
    <row r="6" spans="1:35" s="94" customFormat="1" ht="50.1" customHeight="1">
      <c r="A6" s="185" t="str">
        <f>Data!CZ5</f>
        <v>Retail Customer</v>
      </c>
      <c r="B6" s="185"/>
      <c r="C6" s="185"/>
      <c r="D6" s="185"/>
      <c r="E6" s="185"/>
      <c r="F6" s="185"/>
      <c r="G6" s="172"/>
      <c r="H6" s="172"/>
      <c r="I6" s="172"/>
      <c r="J6" s="171" t="str">
        <f>CONCATENATE(Data!BH5," ",Data!BI5," ",Data!BJ5," ",Data!BK5," ",Data!BL5)</f>
        <v xml:space="preserve"> 7161  Midland Highway </v>
      </c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93"/>
      <c r="AH6" s="93"/>
      <c r="AI6" s="93"/>
    </row>
    <row r="7" spans="1:35" s="94" customFormat="1" ht="50.1" customHeight="1">
      <c r="A7" s="185"/>
      <c r="B7" s="185"/>
      <c r="C7" s="185"/>
      <c r="D7" s="185"/>
      <c r="E7" s="185"/>
      <c r="F7" s="185"/>
      <c r="G7" s="172"/>
      <c r="H7" s="172"/>
      <c r="I7" s="172"/>
      <c r="J7" s="171" t="str">
        <f>CONCATENATE(Data!BM5," ",Data!BN5," ",Data!BO5," ",Data!BP5)</f>
        <v>Buninyong VIC 3357 Australia</v>
      </c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93"/>
      <c r="AH7" s="93"/>
      <c r="AI7" s="93"/>
    </row>
    <row r="8" spans="1:44" s="96" customFormat="1" ht="50.1" customHeight="1">
      <c r="A8" s="186" t="s">
        <v>117</v>
      </c>
      <c r="B8" s="174" t="s">
        <v>98</v>
      </c>
      <c r="C8" s="176" t="s">
        <v>196</v>
      </c>
      <c r="D8" s="187" t="s">
        <v>163</v>
      </c>
      <c r="E8" s="176" t="s">
        <v>182</v>
      </c>
      <c r="F8" s="173" t="s">
        <v>129</v>
      </c>
      <c r="G8" s="173" t="s">
        <v>120</v>
      </c>
      <c r="H8" s="173" t="s">
        <v>9</v>
      </c>
      <c r="I8" s="173" t="s">
        <v>12</v>
      </c>
      <c r="J8" s="173" t="s">
        <v>206</v>
      </c>
      <c r="K8" s="173" t="s">
        <v>171</v>
      </c>
      <c r="L8" s="175" t="s">
        <v>164</v>
      </c>
      <c r="M8" s="175" t="s">
        <v>205</v>
      </c>
      <c r="N8" s="174" t="s">
        <v>184</v>
      </c>
      <c r="O8" s="173" t="s">
        <v>172</v>
      </c>
      <c r="P8" s="173" t="s">
        <v>150</v>
      </c>
      <c r="Q8" s="173" t="s">
        <v>434</v>
      </c>
      <c r="R8" s="173" t="s">
        <v>174</v>
      </c>
      <c r="S8" s="173" t="s">
        <v>1017</v>
      </c>
      <c r="T8" s="174" t="s">
        <v>133</v>
      </c>
      <c r="U8" s="174" t="s">
        <v>461</v>
      </c>
      <c r="V8" s="174" t="s">
        <v>373</v>
      </c>
      <c r="W8" s="174" t="s">
        <v>123</v>
      </c>
      <c r="X8" s="175" t="s">
        <v>352</v>
      </c>
      <c r="Y8" s="174" t="s">
        <v>173</v>
      </c>
      <c r="Z8" s="175" t="s">
        <v>608</v>
      </c>
      <c r="AA8" s="175" t="s">
        <v>134</v>
      </c>
      <c r="AB8" s="175" t="s">
        <v>381</v>
      </c>
      <c r="AC8" s="175" t="s">
        <v>208</v>
      </c>
      <c r="AD8" s="173" t="s">
        <v>166</v>
      </c>
      <c r="AE8" s="173" t="s">
        <v>198</v>
      </c>
      <c r="AF8" s="173" t="s">
        <v>5</v>
      </c>
      <c r="AG8" s="95"/>
      <c r="AH8" s="173" t="s">
        <v>138</v>
      </c>
      <c r="AI8" s="173" t="s">
        <v>126</v>
      </c>
      <c r="AJ8" s="173" t="s">
        <v>139</v>
      </c>
      <c r="AK8" s="174" t="s">
        <v>135</v>
      </c>
      <c r="AL8" s="173" t="s">
        <v>136</v>
      </c>
      <c r="AM8" s="173" t="s">
        <v>116</v>
      </c>
      <c r="AN8" s="173" t="s">
        <v>137</v>
      </c>
      <c r="AO8" s="173" t="s">
        <v>161</v>
      </c>
      <c r="AP8" s="173" t="s">
        <v>142</v>
      </c>
      <c r="AQ8" s="174" t="s">
        <v>199</v>
      </c>
      <c r="AR8" s="174" t="s">
        <v>1073</v>
      </c>
    </row>
    <row r="9" spans="1:44" s="96" customFormat="1" ht="18.95" customHeight="1">
      <c r="A9" s="186"/>
      <c r="B9" s="174"/>
      <c r="C9" s="176"/>
      <c r="D9" s="187"/>
      <c r="E9" s="176"/>
      <c r="F9" s="173"/>
      <c r="G9" s="173"/>
      <c r="H9" s="173"/>
      <c r="I9" s="173"/>
      <c r="J9" s="173"/>
      <c r="K9" s="173"/>
      <c r="L9" s="175"/>
      <c r="M9" s="175"/>
      <c r="N9" s="174"/>
      <c r="O9" s="173"/>
      <c r="P9" s="173"/>
      <c r="Q9" s="173"/>
      <c r="R9" s="173"/>
      <c r="S9" s="173"/>
      <c r="T9" s="174"/>
      <c r="U9" s="174"/>
      <c r="V9" s="174"/>
      <c r="W9" s="174"/>
      <c r="X9" s="175"/>
      <c r="Y9" s="174"/>
      <c r="Z9" s="175"/>
      <c r="AA9" s="175"/>
      <c r="AB9" s="175"/>
      <c r="AC9" s="175"/>
      <c r="AD9" s="173"/>
      <c r="AE9" s="173"/>
      <c r="AF9" s="173"/>
      <c r="AG9" s="97"/>
      <c r="AH9" s="173"/>
      <c r="AI9" s="173"/>
      <c r="AJ9" s="173"/>
      <c r="AK9" s="174"/>
      <c r="AL9" s="173"/>
      <c r="AM9" s="173"/>
      <c r="AN9" s="173"/>
      <c r="AO9" s="173"/>
      <c r="AP9" s="173"/>
      <c r="AQ9" s="174"/>
      <c r="AR9" s="174"/>
    </row>
    <row r="10" spans="1:44" s="95" customFormat="1" ht="57" customHeight="1">
      <c r="A10" s="186"/>
      <c r="B10" s="174"/>
      <c r="C10" s="176"/>
      <c r="D10" s="187"/>
      <c r="E10" s="176"/>
      <c r="F10" s="173"/>
      <c r="G10" s="173"/>
      <c r="H10" s="173"/>
      <c r="I10" s="173"/>
      <c r="J10" s="173"/>
      <c r="K10" s="173"/>
      <c r="L10" s="175"/>
      <c r="M10" s="175"/>
      <c r="N10" s="174"/>
      <c r="O10" s="173"/>
      <c r="P10" s="173"/>
      <c r="Q10" s="173"/>
      <c r="R10" s="173"/>
      <c r="S10" s="173"/>
      <c r="T10" s="174"/>
      <c r="U10" s="174"/>
      <c r="V10" s="174"/>
      <c r="W10" s="174"/>
      <c r="X10" s="175"/>
      <c r="Y10" s="174"/>
      <c r="Z10" s="175"/>
      <c r="AA10" s="175"/>
      <c r="AB10" s="175"/>
      <c r="AC10" s="175"/>
      <c r="AD10" s="173"/>
      <c r="AE10" s="173"/>
      <c r="AF10" s="173"/>
      <c r="AG10" s="97"/>
      <c r="AH10" s="173"/>
      <c r="AI10" s="173"/>
      <c r="AJ10" s="173"/>
      <c r="AK10" s="174"/>
      <c r="AL10" s="173"/>
      <c r="AM10" s="173"/>
      <c r="AN10" s="173"/>
      <c r="AO10" s="173"/>
      <c r="AP10" s="173"/>
      <c r="AQ10" s="174"/>
      <c r="AR10" s="174"/>
    </row>
    <row r="11" spans="1:44" s="97" customFormat="1" ht="103.5">
      <c r="A11" s="51">
        <f>Data!AW11</f>
        <v>2</v>
      </c>
      <c r="B11" s="52" t="str">
        <f>Data!AY11</f>
        <v>Dining</v>
      </c>
      <c r="C11" s="53">
        <f>Data!BA11</f>
        <v>4190</v>
      </c>
      <c r="D11" s="54" t="str">
        <f t="array" ref="D11">bpLOOKUP(Data!$AV11,$D$8,CustOrdOpt,6,FALSE)</f>
        <v>Opening</v>
      </c>
      <c r="E11" s="55" t="str">
        <f t="array" ref="E11">bpLOOKUP(Data!$AV11,"SIDEBYSIDE",CustOrdOpt,6,FALSE)</f>
        <v>No</v>
      </c>
      <c r="F11" s="56">
        <f>IF(Data!BA11="","",IF(D11="Cloth",C11+85,IF(D11="Opening",Data!BA11-VLOOKUP(I11,FitDeduct,2,FALSE)-VLOOKUP(E11,SideDeduct,2,FALSE),IF(D11="Making",Data!BA11))))</f>
        <v>4190</v>
      </c>
      <c r="G11" s="56">
        <f>Data!BB11</f>
        <v>1650</v>
      </c>
      <c r="H11" s="52" t="str">
        <f>IF(Data!BE11="","",MID(Data!BE11,7,80))</f>
        <v>HVG Visiontex Glisse Sunscreen Naxos</v>
      </c>
      <c r="I11" s="57" t="str">
        <f t="array" ref="I11">bpLOOKUP(Data!$AV11,$I$8,CustOrdOpt,6,FALSE)</f>
        <v>Face</v>
      </c>
      <c r="J11" s="58" t="str">
        <f t="array" ref="J11">bpLOOKUP(Data!$AV11,"BRACKETFIXING",CustOrdOpt,6,FALSE)</f>
        <v/>
      </c>
      <c r="K11" s="58" t="str">
        <f t="array" ref="K11">bpLOOKUP(Data!$AV11,"HOODTYPE",CustOrdOpt,6,FALSE)</f>
        <v>Colourbond Under-Roll Hooding</v>
      </c>
      <c r="L11" s="58" t="str">
        <f t="array" ref="L11">bpLOOKUP(Data!$AV11,"HOOD/BRACKETCOLOUR",CustOrdOpt,6,FALSE)</f>
        <v>Merino (Paperbark)</v>
      </c>
      <c r="M11" s="58" t="str">
        <f t="array" ref="M11">bpLOOKUP(Data!$AV11,"NONSTANDARDHOOD/BRACKET",CustOrdOpt,6,FALSE)</f>
        <v/>
      </c>
      <c r="N11" s="58" t="str">
        <f t="array" ref="N11">IF(bpLOOKUP(Data!$AV11,"BOTTOMRAILCOLOUR",CustOrdOpt,6,FALSE)="Custom Powdercoat",CONCATENATE(bpLOOKUP(Data!$AV11,"BOTTOMRAILCOLOUR",CustOrdOpt,6,FALSE)," ",bpLOOKUP(Data!$AV11,"OTHERBOTTOMRAILCOLOUR",CustOrdOpt,6,FALSE)),IF(bpLOOKUP(Data!$AV11,"BOTTOMRAILCOLOUR",CustOrdOpt,6,FALSE)="Other at Cost",bpLOOKUP(Data!$AV11,"OTHERBOTTOMRAILCOLOUR",CustOrdOpt,6,FALSE),bpLOOKUP(Data!$AV11,"BOTTOMRAILCOLOUR",CustOrdOpt,6,FALSE)))</f>
        <v>Ebony (Black)</v>
      </c>
      <c r="O11" s="58" t="str">
        <f t="array" ref="O11">bpLOOKUP(Data!$AV11,"BRACKETS",CustOrdOpt,6,FALSE)</f>
        <v>U Bracket</v>
      </c>
      <c r="P11" s="58" t="str">
        <f t="array" ref="P11">bpLOOKUP(Data!$AV11,"OPERATION",CustOrdOpt,6,FALSE)</f>
        <v>Becker Remote Operated</v>
      </c>
      <c r="Q11" s="58" t="str">
        <f t="array" ref="Q11">bpLOOKUP(Data!$AV11,"CONTROLSIDE",CustOrdOpt,6,FALSE)</f>
        <v>Left</v>
      </c>
      <c r="R11" s="58" t="str">
        <f t="array" ref="R11">bpLOOKUP(Data!$AV11,"GEARBOXCOLOUR",CustOrdOpt,6,FALSE)</f>
        <v/>
      </c>
      <c r="S11" s="58" t="str">
        <f t="array" ref="S11">bpLOOKUP(Data!$AV11,"GEAROP",CustOrdOpt,6,FALSE)</f>
        <v/>
      </c>
      <c r="T11" s="58" t="str">
        <f t="array" ref="T11">bpLOOKUP(Data!$AV11,"Valance",CustOrdOpt,6,FALSE)</f>
        <v>Standard Bottom Flap</v>
      </c>
      <c r="U11" s="58" t="str">
        <f t="array" ref="U11">IF(bpLOOKUP(Data!$AV11,"BINDINGCOLOUR",CustOrdOpt,6,FALSE)="Match",VLOOKUP('Fabric Cutting'!D11,ColourMatch,3,FALSE),bpLOOKUP(Data!$AV11,"BINDINGCOLOUR",CustOrdOpt,6,FALSE))</f>
        <v/>
      </c>
      <c r="V11" s="58" t="str">
        <f t="array" ref="V11">bpLOOKUP(Data!$AV11,"FLAPSIDE",CustOrdOpt,6,FALSE)</f>
        <v>Normal</v>
      </c>
      <c r="W11" s="58" t="str">
        <f t="array" ref="W11">bpLOOKUP(Data!$AV11,"REVROLL",CustOrdOpt,6,FALSE)</f>
        <v>Back</v>
      </c>
      <c r="X11" s="58" t="str">
        <f t="array" ref="X11">bpLOOKUP(Data!$AV11,"SIDEHEMS",CustOrdOpt,6,FALSE)</f>
        <v>Yes for Mesh</v>
      </c>
      <c r="Y11" s="58" t="str">
        <f t="array" ref="Y11">bpLOOKUP(Data!$AV11,"CONTROL",CustOrdOpt,6,FALSE)</f>
        <v>Not Required</v>
      </c>
      <c r="Z11" s="58" t="str">
        <f t="array" ref="Z11">bpLOOKUP(Data!$AV11,"MOTOREX",CustOrdOpt,6,FALSE)</f>
        <v/>
      </c>
      <c r="AA11" s="58" t="str">
        <f t="array" ref="AA11">bpLOOKUP(Data!$AV11,"HOODEXTENSIONBRACKETS",CustOrdOpt,6,FALSE)</f>
        <v/>
      </c>
      <c r="AB11" s="58" t="str">
        <f t="array" ref="AB11">bpLOOKUP(Data!$AV11,"UBRACKETEXTENSIONBRACKETS",CustOrdOpt,6,FALSE)</f>
        <v/>
      </c>
      <c r="AC11" s="58" t="str">
        <f t="array" ref="AC11">bpLOOKUP(Data!$AV11,"SIDEFIXUBRACKET",CustOrdOpt,6,FALSE)</f>
        <v>Yes x 1</v>
      </c>
      <c r="AD11" s="58" t="str">
        <f t="array" ref="AD11">bpLOOKUP(Data!$AV11,"FITTINGS",CustOrdOpt,6,FALSE)</f>
        <v>Standard Zinc</v>
      </c>
      <c r="AE11" s="58" t="str">
        <f t="array" ref="AE11">bpLOOKUP(Data!$AV11,"INSTALLATION",CustOrdOpt,6,FALSE)</f>
        <v>Installation</v>
      </c>
      <c r="AF11" s="58" t="str">
        <f t="array" ref="AF11">bpLOOKUP(Data!$AV11,"Notes",CustOrdOpt,6,FALSE)</f>
        <v/>
      </c>
      <c r="AH11" s="58" t="str">
        <f>IF(Data!AV11="","",VLOOKUP(G11,FixedGuide,2,TRUE))</f>
        <v>1800mm</v>
      </c>
      <c r="AI11" s="58" t="str">
        <f>IF(Data!AV11="","",IF(P11="Spring",IF(F11&lt;3060,"50mm","63mm"),IF(F11&lt;4260,"63mm","78mm")))</f>
        <v>63mm</v>
      </c>
      <c r="AJ11" s="58" t="str">
        <f t="shared" si="0" ref="AJ11:AJ20">IF(P11="Spring",INDEX(Springgrid,MATCH(G11,SpringDrop,1),MATCH(F11,Springwidth,1)),"")</f>
        <v/>
      </c>
      <c r="AK11" s="62">
        <f>IF(Data!AV11="","",F11-VLOOKUP(P11,TubeDeductions,2,FALSE))</f>
        <v>4125</v>
      </c>
      <c r="AL11" s="62">
        <f>IF(Data!AV11="","",F11-85)</f>
        <v>4105</v>
      </c>
      <c r="AM11" s="62">
        <f>IF(Data!AV11="","",IF(X11="Yes Standard for Canvas",F11-15,F11-85))</f>
        <v>4105</v>
      </c>
      <c r="AN11" s="62">
        <f t="shared" si="1" ref="AN11:AN20">IF(G11=0,"",G11+400)</f>
        <v>2050</v>
      </c>
      <c r="AO11" s="58" t="str">
        <f>IF(Data!AV11="","",IF(AI11="78mm","6mm Black","3.6mm White"))</f>
        <v>3.6mm White</v>
      </c>
      <c r="AP11" s="58" t="str">
        <f>IF(Data!AV11="","",VLOOKUP('Fabric Cutting'!D11,ColourMatch,2,FALSE))</f>
        <v>Black</v>
      </c>
      <c r="AQ11" s="58" t="str">
        <f>IF(Data!AV11="","",VLOOKUP(P11,TubeDeductions,3,FALSE))</f>
        <v>Attached to Motor</v>
      </c>
      <c r="AR11" s="58" t="b">
        <f>IF(Data!AV11="","",VLOOKUP('Fabric Cutting'!D11,ColourMatch,6,FALSE))</f>
        <v>0</v>
      </c>
    </row>
    <row r="12" spans="1:44" s="97" customFormat="1" ht="138">
      <c r="A12" s="51">
        <f>Data!AW12</f>
        <v>3</v>
      </c>
      <c r="B12" s="52" t="str">
        <f>Data!AY12</f>
        <v>Master</v>
      </c>
      <c r="C12" s="53">
        <f>Data!BA12</f>
        <v>1816</v>
      </c>
      <c r="D12" s="54" t="str">
        <f t="array" ref="D12">bpLOOKUP(Data!$AV12,$D$8,CustOrdOpt,6,FALSE)</f>
        <v>Opening</v>
      </c>
      <c r="E12" s="55" t="str">
        <f t="array" ref="E12">bpLOOKUP(Data!$AV12,"SIDEBYSIDE",CustOrdOpt,6,FALSE)</f>
        <v>No</v>
      </c>
      <c r="F12" s="56">
        <f>IF(Data!BA12="","",IF(D12="Cloth",C12+85,IF(D12="Opening",Data!BA12-VLOOKUP(I12,FitDeduct,2,FALSE)-VLOOKUP(E12,SideDeduct,2,FALSE),IF(D12="Making",Data!BA12))))</f>
        <v>1816</v>
      </c>
      <c r="G12" s="56">
        <f>Data!BB12</f>
        <v>1980</v>
      </c>
      <c r="H12" s="52" t="str">
        <f>IF(Data!BE12="","",MID(Data!BE12,7,80))</f>
        <v>HVG Visiontex Glisse Sunscreen Naxos</v>
      </c>
      <c r="I12" s="57" t="str">
        <f t="array" ref="I12">bpLOOKUP(Data!$AV12,$I$8,CustOrdOpt,6,FALSE)</f>
        <v>Face</v>
      </c>
      <c r="J12" s="58" t="str">
        <f t="array" ref="J12">bpLOOKUP(Data!$AV12,"BRACKETFIXING",CustOrdOpt,6,FALSE)</f>
        <v/>
      </c>
      <c r="K12" s="58" t="str">
        <f t="array" ref="K12">bpLOOKUP(Data!$AV12,"HOODTYPE",CustOrdOpt,6,FALSE)</f>
        <v>Colourbond Under-Roll Hooding</v>
      </c>
      <c r="L12" s="58" t="str">
        <f t="array" ref="L12">bpLOOKUP(Data!$AV12,"HOOD/BRACKETCOLOUR",CustOrdOpt,6,FALSE)</f>
        <v>Merino (Paperbark)</v>
      </c>
      <c r="M12" s="58" t="str">
        <f t="array" ref="M12">bpLOOKUP(Data!$AV12,"NONSTANDARDHOOD/BRACKET",CustOrdOpt,6,FALSE)</f>
        <v/>
      </c>
      <c r="N12" s="58" t="str">
        <f t="array" ref="N12">IF(bpLOOKUP(Data!$AV12,"BOTTOMRAILCOLOUR",CustOrdOpt,6,FALSE)="Custom Powdercoat",CONCATENATE(bpLOOKUP(Data!$AV12,"BOTTOMRAILCOLOUR",CustOrdOpt,6,FALSE)," ",bpLOOKUP(Data!$AV12,"OTHERBOTTOMRAILCOLOUR",CustOrdOpt,6,FALSE)),IF(bpLOOKUP(Data!$AV12,"BOTTOMRAILCOLOUR",CustOrdOpt,6,FALSE)="Other at Cost",bpLOOKUP(Data!$AV12,"OTHERBOTTOMRAILCOLOUR",CustOrdOpt,6,FALSE),bpLOOKUP(Data!$AV12,"BOTTOMRAILCOLOUR",CustOrdOpt,6,FALSE)))</f>
        <v>Ebony (Black)</v>
      </c>
      <c r="O12" s="58" t="str">
        <f t="array" ref="O12">bpLOOKUP(Data!$AV12,"BRACKETS",CustOrdOpt,6,FALSE)</f>
        <v>U Bracket</v>
      </c>
      <c r="P12" s="58" t="str">
        <f t="array" ref="P12">bpLOOKUP(Data!$AV12,"OPERATION",CustOrdOpt,6,FALSE)</f>
        <v>Becker Remote Operated</v>
      </c>
      <c r="Q12" s="58" t="str">
        <f t="array" ref="Q12">bpLOOKUP(Data!$AV12,"CONTROLSIDE",CustOrdOpt,6,FALSE)</f>
        <v>Right</v>
      </c>
      <c r="R12" s="58" t="str">
        <f t="array" ref="R12">bpLOOKUP(Data!$AV12,"GEARBOXCOLOUR",CustOrdOpt,6,FALSE)</f>
        <v/>
      </c>
      <c r="S12" s="58" t="str">
        <f t="array" ref="S12">bpLOOKUP(Data!$AV12,"GEAROP",CustOrdOpt,6,FALSE)</f>
        <v/>
      </c>
      <c r="T12" s="58" t="str">
        <f t="array" ref="T12">bpLOOKUP(Data!$AV12,"Valance",CustOrdOpt,6,FALSE)</f>
        <v>Standard Bottom Flap</v>
      </c>
      <c r="U12" s="58" t="str">
        <f t="array" ref="U12">IF(bpLOOKUP(Data!$AV12,"BINDINGCOLOUR",CustOrdOpt,6,FALSE)="Match",VLOOKUP('Fabric Cutting'!D12,ColourMatch,3,FALSE),bpLOOKUP(Data!$AV12,"BINDINGCOLOUR",CustOrdOpt,6,FALSE))</f>
        <v/>
      </c>
      <c r="V12" s="58" t="str">
        <f t="array" ref="V12">bpLOOKUP(Data!$AV12,"FLAPSIDE",CustOrdOpt,6,FALSE)</f>
        <v>Normal</v>
      </c>
      <c r="W12" s="58" t="str">
        <f t="array" ref="W12">bpLOOKUP(Data!$AV12,"REVROLL",CustOrdOpt,6,FALSE)</f>
        <v>Back</v>
      </c>
      <c r="X12" s="58" t="str">
        <f t="array" ref="X12">bpLOOKUP(Data!$AV12,"SIDEHEMS",CustOrdOpt,6,FALSE)</f>
        <v>Yes for Mesh</v>
      </c>
      <c r="Y12" s="58" t="str">
        <f t="array" ref="Y12">bpLOOKUP(Data!$AV12,"CONTROL",CustOrdOpt,6,FALSE)</f>
        <v>Becker 5 Channel White Remote</v>
      </c>
      <c r="Z12" s="58" t="str">
        <f t="array" ref="Z12">bpLOOKUP(Data!$AV12,"MOTOREX",CustOrdOpt,6,FALSE)</f>
        <v/>
      </c>
      <c r="AA12" s="58" t="str">
        <f t="array" ref="AA12">bpLOOKUP(Data!$AV12,"HOODEXTENSIONBRACKETS",CustOrdOpt,6,FALSE)</f>
        <v/>
      </c>
      <c r="AB12" s="58" t="str">
        <f t="array" ref="AB12">bpLOOKUP(Data!$AV12,"UBRACKETEXTENSIONBRACKETS",CustOrdOpt,6,FALSE)</f>
        <v/>
      </c>
      <c r="AC12" s="58" t="str">
        <f t="array" ref="AC12">bpLOOKUP(Data!$AV12,"SIDEFIXUBRACKET",CustOrdOpt,6,FALSE)</f>
        <v/>
      </c>
      <c r="AD12" s="58" t="str">
        <f t="array" ref="AD12">bpLOOKUP(Data!$AV12,"FITTINGS",CustOrdOpt,6,FALSE)</f>
        <v>Standard Zinc</v>
      </c>
      <c r="AE12" s="58" t="str">
        <f t="array" ref="AE12">bpLOOKUP(Data!$AV12,"INSTALLATION",CustOrdOpt,6,FALSE)</f>
        <v>Installation</v>
      </c>
      <c r="AF12" s="58" t="str">
        <f t="array" ref="AF12">bpLOOKUP(Data!$AV12,"Notes",CustOrdOpt,6,FALSE)</f>
        <v/>
      </c>
      <c r="AH12" s="58" t="str">
        <f>IF(Data!AV12="","",VLOOKUP(G12,FixedGuide,2,TRUE))</f>
        <v>2100mm</v>
      </c>
      <c r="AI12" s="58" t="str">
        <f>IF(Data!AV12="","",IF(P12="Spring",IF(F12&lt;3060,"50mm","63mm"),IF(F12&lt;4260,"63mm","78mm")))</f>
        <v>63mm</v>
      </c>
      <c r="AJ12" s="58" t="str">
        <f t="shared" si="0"/>
        <v/>
      </c>
      <c r="AK12" s="62">
        <f>IF(Data!AV12="","",F12-VLOOKUP(P12,TubeDeductions,2,FALSE))</f>
        <v>1751</v>
      </c>
      <c r="AL12" s="62">
        <f>IF(Data!AV12="","",F12-85)</f>
        <v>1731</v>
      </c>
      <c r="AM12" s="62">
        <f>IF(Data!AV12="","",IF(X12="Yes Standard for Canvas",F12-15,F12-85))</f>
        <v>1731</v>
      </c>
      <c r="AN12" s="62">
        <f t="shared" si="1"/>
        <v>2380</v>
      </c>
      <c r="AO12" s="58" t="str">
        <f>IF(Data!AV12="","",IF(AI12="78mm","6mm Black","3.6mm White"))</f>
        <v>3.6mm White</v>
      </c>
      <c r="AP12" s="58" t="str">
        <f>IF(Data!AV12="","",VLOOKUP('Fabric Cutting'!D12,ColourMatch,2,FALSE))</f>
        <v>Black</v>
      </c>
      <c r="AQ12" s="58" t="str">
        <f>IF(Data!AV12="","",VLOOKUP(P12,TubeDeductions,3,FALSE))</f>
        <v>Attached to Motor</v>
      </c>
      <c r="AR12" s="58" t="b">
        <f>IF(Data!AV12="","",VLOOKUP('Fabric Cutting'!D12,ColourMatch,6,FALSE))</f>
        <v>0</v>
      </c>
    </row>
    <row r="13" spans="1:44" s="97" customFormat="1" ht="103.5">
      <c r="A13" s="51">
        <f>Data!AW13</f>
        <v>4</v>
      </c>
      <c r="B13" s="52" t="str">
        <f>Data!AY13</f>
        <v>Master 2</v>
      </c>
      <c r="C13" s="53">
        <f>Data!BA13</f>
        <v>1815</v>
      </c>
      <c r="D13" s="54" t="str">
        <f t="array" ref="D13">bpLOOKUP(Data!$AV13,$D$8,CustOrdOpt,6,FALSE)</f>
        <v>Opening</v>
      </c>
      <c r="E13" s="55" t="str">
        <f t="array" ref="E13">bpLOOKUP(Data!$AV13,"SIDEBYSIDE",CustOrdOpt,6,FALSE)</f>
        <v>No</v>
      </c>
      <c r="F13" s="56">
        <f>IF(Data!BA13="","",IF(D13="Cloth",C13+85,IF(D13="Opening",Data!BA13-VLOOKUP(I13,FitDeduct,2,FALSE)-VLOOKUP(E13,SideDeduct,2,FALSE),IF(D13="Making",Data!BA13))))</f>
        <v>1815</v>
      </c>
      <c r="G13" s="56">
        <f>Data!BB13</f>
        <v>1980</v>
      </c>
      <c r="H13" s="52" t="str">
        <f>IF(Data!BE13="","",MID(Data!BE13,7,80))</f>
        <v>HVG Visiontex Glisse Sunscreen Naxos</v>
      </c>
      <c r="I13" s="57" t="str">
        <f t="array" ref="I13">bpLOOKUP(Data!$AV13,$I$8,CustOrdOpt,6,FALSE)</f>
        <v>Face</v>
      </c>
      <c r="J13" s="58" t="str">
        <f t="array" ref="J13">bpLOOKUP(Data!$AV13,"BRACKETFIXING",CustOrdOpt,6,FALSE)</f>
        <v/>
      </c>
      <c r="K13" s="58" t="str">
        <f t="array" ref="K13">bpLOOKUP(Data!$AV13,"HOODTYPE",CustOrdOpt,6,FALSE)</f>
        <v>Colourbond Under-Roll Hooding</v>
      </c>
      <c r="L13" s="58" t="str">
        <f t="array" ref="L13">bpLOOKUP(Data!$AV13,"HOOD/BRACKETCOLOUR",CustOrdOpt,6,FALSE)</f>
        <v>Merino (Paperbark)</v>
      </c>
      <c r="M13" s="58" t="str">
        <f t="array" ref="M13">bpLOOKUP(Data!$AV13,"NONSTANDARDHOOD/BRACKET",CustOrdOpt,6,FALSE)</f>
        <v/>
      </c>
      <c r="N13" s="58" t="str">
        <f t="array" ref="N13">IF(bpLOOKUP(Data!$AV13,"BOTTOMRAILCOLOUR",CustOrdOpt,6,FALSE)="Custom Powdercoat",CONCATENATE(bpLOOKUP(Data!$AV13,"BOTTOMRAILCOLOUR",CustOrdOpt,6,FALSE)," ",bpLOOKUP(Data!$AV13,"OTHERBOTTOMRAILCOLOUR",CustOrdOpt,6,FALSE)),IF(bpLOOKUP(Data!$AV13,"BOTTOMRAILCOLOUR",CustOrdOpt,6,FALSE)="Other at Cost",bpLOOKUP(Data!$AV13,"OTHERBOTTOMRAILCOLOUR",CustOrdOpt,6,FALSE),bpLOOKUP(Data!$AV13,"BOTTOMRAILCOLOUR",CustOrdOpt,6,FALSE)))</f>
        <v>Ebony (Black)</v>
      </c>
      <c r="O13" s="58" t="str">
        <f t="array" ref="O13">bpLOOKUP(Data!$AV13,"BRACKETS",CustOrdOpt,6,FALSE)</f>
        <v>U Bracket</v>
      </c>
      <c r="P13" s="58" t="str">
        <f t="array" ref="P13">bpLOOKUP(Data!$AV13,"OPERATION",CustOrdOpt,6,FALSE)</f>
        <v>Becker Remote Operated</v>
      </c>
      <c r="Q13" s="58" t="str">
        <f t="array" ref="Q13">bpLOOKUP(Data!$AV13,"CONTROLSIDE",CustOrdOpt,6,FALSE)</f>
        <v>Left</v>
      </c>
      <c r="R13" s="58" t="str">
        <f t="array" ref="R13">bpLOOKUP(Data!$AV13,"GEARBOXCOLOUR",CustOrdOpt,6,FALSE)</f>
        <v/>
      </c>
      <c r="S13" s="58" t="str">
        <f t="array" ref="S13">bpLOOKUP(Data!$AV13,"GEAROP",CustOrdOpt,6,FALSE)</f>
        <v/>
      </c>
      <c r="T13" s="58" t="str">
        <f t="array" ref="T13">bpLOOKUP(Data!$AV13,"Valance",CustOrdOpt,6,FALSE)</f>
        <v>Standard Bottom Flap</v>
      </c>
      <c r="U13" s="58" t="str">
        <f t="array" ref="U13">IF(bpLOOKUP(Data!$AV13,"BINDINGCOLOUR",CustOrdOpt,6,FALSE)="Match",VLOOKUP('Fabric Cutting'!D13,ColourMatch,3,FALSE),bpLOOKUP(Data!$AV13,"BINDINGCOLOUR",CustOrdOpt,6,FALSE))</f>
        <v/>
      </c>
      <c r="V13" s="58" t="str">
        <f t="array" ref="V13">bpLOOKUP(Data!$AV13,"FLAPSIDE",CustOrdOpt,6,FALSE)</f>
        <v>Normal</v>
      </c>
      <c r="W13" s="58" t="str">
        <f t="array" ref="W13">bpLOOKUP(Data!$AV13,"REVROLL",CustOrdOpt,6,FALSE)</f>
        <v>Back</v>
      </c>
      <c r="X13" s="58" t="str">
        <f t="array" ref="X13">bpLOOKUP(Data!$AV13,"SIDEHEMS",CustOrdOpt,6,FALSE)</f>
        <v>Yes for Mesh</v>
      </c>
      <c r="Y13" s="58" t="str">
        <f t="array" ref="Y13">bpLOOKUP(Data!$AV13,"CONTROL",CustOrdOpt,6,FALSE)</f>
        <v>Not Required</v>
      </c>
      <c r="Z13" s="58" t="str">
        <f t="array" ref="Z13">bpLOOKUP(Data!$AV13,"MOTOREX",CustOrdOpt,6,FALSE)</f>
        <v/>
      </c>
      <c r="AA13" s="58" t="str">
        <f t="array" ref="AA13">bpLOOKUP(Data!$AV13,"HOODEXTENSIONBRACKETS",CustOrdOpt,6,FALSE)</f>
        <v/>
      </c>
      <c r="AB13" s="58" t="str">
        <f t="array" ref="AB13">bpLOOKUP(Data!$AV13,"UBRACKETEXTENSIONBRACKETS",CustOrdOpt,6,FALSE)</f>
        <v/>
      </c>
      <c r="AC13" s="58" t="str">
        <f t="array" ref="AC13">bpLOOKUP(Data!$AV13,"SIDEFIXUBRACKET",CustOrdOpt,6,FALSE)</f>
        <v/>
      </c>
      <c r="AD13" s="58" t="str">
        <f t="array" ref="AD13">bpLOOKUP(Data!$AV13,"FITTINGS",CustOrdOpt,6,FALSE)</f>
        <v>Standard Zinc</v>
      </c>
      <c r="AE13" s="58" t="str">
        <f t="array" ref="AE13">bpLOOKUP(Data!$AV13,"INSTALLATION",CustOrdOpt,6,FALSE)</f>
        <v>Installation</v>
      </c>
      <c r="AF13" s="58" t="str">
        <f t="array" ref="AF13">bpLOOKUP(Data!$AV13,"Notes",CustOrdOpt,6,FALSE)</f>
        <v/>
      </c>
      <c r="AH13" s="58" t="str">
        <f>IF(Data!AV13="","",VLOOKUP(G13,FixedGuide,2,TRUE))</f>
        <v>2100mm</v>
      </c>
      <c r="AI13" s="58" t="str">
        <f>IF(Data!AV13="","",IF(P13="Spring",IF(F13&lt;3060,"50mm","63mm"),IF(F13&lt;4260,"63mm","78mm")))</f>
        <v>63mm</v>
      </c>
      <c r="AJ13" s="58" t="str">
        <f t="shared" si="0"/>
        <v/>
      </c>
      <c r="AK13" s="62">
        <f>IF(Data!AV13="","",F13-VLOOKUP(P13,TubeDeductions,2,FALSE))</f>
        <v>1750</v>
      </c>
      <c r="AL13" s="62">
        <f>IF(Data!AV13="","",F13-85)</f>
        <v>1730</v>
      </c>
      <c r="AM13" s="62">
        <f>IF(Data!AV13="","",IF(X13="Yes Standard for Canvas",F13-15,F13-85))</f>
        <v>1730</v>
      </c>
      <c r="AN13" s="62">
        <f t="shared" si="1"/>
        <v>2380</v>
      </c>
      <c r="AO13" s="58" t="str">
        <f>IF(Data!AV13="","",IF(AI13="78mm","6mm Black","3.6mm White"))</f>
        <v>3.6mm White</v>
      </c>
      <c r="AP13" s="58" t="str">
        <f>IF(Data!AV13="","",VLOOKUP('Fabric Cutting'!D13,ColourMatch,2,FALSE))</f>
        <v>Black</v>
      </c>
      <c r="AQ13" s="58" t="str">
        <f>IF(Data!AV13="","",VLOOKUP(P13,TubeDeductions,3,FALSE))</f>
        <v>Attached to Motor</v>
      </c>
      <c r="AR13" s="58" t="b">
        <f>IF(Data!AV13="","",VLOOKUP('Fabric Cutting'!D13,ColourMatch,6,FALSE))</f>
        <v>0</v>
      </c>
    </row>
    <row r="14" spans="1:44" s="97" customFormat="1" ht="138">
      <c r="A14" s="51">
        <f>Data!AW14</f>
        <v>5</v>
      </c>
      <c r="B14" s="52" t="str">
        <f>Data!AY14</f>
        <v>Lounge</v>
      </c>
      <c r="C14" s="53">
        <f>Data!BA14</f>
        <v>3015</v>
      </c>
      <c r="D14" s="54" t="str">
        <f t="array" ref="D14">bpLOOKUP(Data!$AV14,$D$8,CustOrdOpt,6,FALSE)</f>
        <v>Opening</v>
      </c>
      <c r="E14" s="55" t="str">
        <f t="array" ref="E14">bpLOOKUP(Data!$AV14,"SIDEBYSIDE",CustOrdOpt,6,FALSE)</f>
        <v>No</v>
      </c>
      <c r="F14" s="56">
        <f>IF(Data!BA14="","",IF(D14="Cloth",C14+85,IF(D14="Opening",Data!BA14-VLOOKUP(I14,FitDeduct,2,FALSE)-VLOOKUP(E14,SideDeduct,2,FALSE),IF(D14="Making",Data!BA14))))</f>
        <v>3015</v>
      </c>
      <c r="G14" s="56">
        <f>Data!BB14</f>
        <v>2200</v>
      </c>
      <c r="H14" s="52" t="str">
        <f>IF(Data!BE14="","",MID(Data!BE14,7,80))</f>
        <v>HVG Visiontex Glisse Sunscreen Naxos</v>
      </c>
      <c r="I14" s="57" t="str">
        <f t="array" ref="I14">bpLOOKUP(Data!$AV14,$I$8,CustOrdOpt,6,FALSE)</f>
        <v>Face</v>
      </c>
      <c r="J14" s="58" t="str">
        <f t="array" ref="J14">bpLOOKUP(Data!$AV14,"BRACKETFIXING",CustOrdOpt,6,FALSE)</f>
        <v/>
      </c>
      <c r="K14" s="58" t="str">
        <f t="array" ref="K14">bpLOOKUP(Data!$AV14,"HOODTYPE",CustOrdOpt,6,FALSE)</f>
        <v>Colourbond Under-Roll Hooding</v>
      </c>
      <c r="L14" s="58" t="str">
        <f t="array" ref="L14">bpLOOKUP(Data!$AV14,"HOOD/BRACKETCOLOUR",CustOrdOpt,6,FALSE)</f>
        <v>Merino (Paperbark)</v>
      </c>
      <c r="M14" s="58" t="str">
        <f t="array" ref="M14">bpLOOKUP(Data!$AV14,"NONSTANDARDHOOD/BRACKET",CustOrdOpt,6,FALSE)</f>
        <v/>
      </c>
      <c r="N14" s="58" t="str">
        <f t="array" ref="N14">IF(bpLOOKUP(Data!$AV14,"BOTTOMRAILCOLOUR",CustOrdOpt,6,FALSE)="Custom Powdercoat",CONCATENATE(bpLOOKUP(Data!$AV14,"BOTTOMRAILCOLOUR",CustOrdOpt,6,FALSE)," ",bpLOOKUP(Data!$AV14,"OTHERBOTTOMRAILCOLOUR",CustOrdOpt,6,FALSE)),IF(bpLOOKUP(Data!$AV14,"BOTTOMRAILCOLOUR",CustOrdOpt,6,FALSE)="Other at Cost",bpLOOKUP(Data!$AV14,"OTHERBOTTOMRAILCOLOUR",CustOrdOpt,6,FALSE),bpLOOKUP(Data!$AV14,"BOTTOMRAILCOLOUR",CustOrdOpt,6,FALSE)))</f>
        <v>Ebony (Black)</v>
      </c>
      <c r="O14" s="58" t="str">
        <f t="array" ref="O14">bpLOOKUP(Data!$AV14,"BRACKETS",CustOrdOpt,6,FALSE)</f>
        <v>U Bracket</v>
      </c>
      <c r="P14" s="58" t="str">
        <f t="array" ref="P14">bpLOOKUP(Data!$AV14,"OPERATION",CustOrdOpt,6,FALSE)</f>
        <v>Becker Remote Operated</v>
      </c>
      <c r="Q14" s="58" t="str">
        <f t="array" ref="Q14">bpLOOKUP(Data!$AV14,"CONTROLSIDE",CustOrdOpt,6,FALSE)</f>
        <v>Left</v>
      </c>
      <c r="R14" s="58" t="str">
        <f t="array" ref="R14">bpLOOKUP(Data!$AV14,"GEARBOXCOLOUR",CustOrdOpt,6,FALSE)</f>
        <v/>
      </c>
      <c r="S14" s="58" t="str">
        <f t="array" ref="S14">bpLOOKUP(Data!$AV14,"GEAROP",CustOrdOpt,6,FALSE)</f>
        <v/>
      </c>
      <c r="T14" s="58" t="str">
        <f t="array" ref="T14">bpLOOKUP(Data!$AV14,"Valance",CustOrdOpt,6,FALSE)</f>
        <v>Standard Bottom Flap</v>
      </c>
      <c r="U14" s="58" t="str">
        <f t="array" ref="U14">IF(bpLOOKUP(Data!$AV14,"BINDINGCOLOUR",CustOrdOpt,6,FALSE)="Match",VLOOKUP('Fabric Cutting'!D14,ColourMatch,3,FALSE),bpLOOKUP(Data!$AV14,"BINDINGCOLOUR",CustOrdOpt,6,FALSE))</f>
        <v/>
      </c>
      <c r="V14" s="58" t="str">
        <f t="array" ref="V14">bpLOOKUP(Data!$AV14,"FLAPSIDE",CustOrdOpt,6,FALSE)</f>
        <v>Normal</v>
      </c>
      <c r="W14" s="58" t="str">
        <f t="array" ref="W14">bpLOOKUP(Data!$AV14,"REVROLL",CustOrdOpt,6,FALSE)</f>
        <v>Back</v>
      </c>
      <c r="X14" s="58" t="str">
        <f t="array" ref="X14">bpLOOKUP(Data!$AV14,"SIDEHEMS",CustOrdOpt,6,FALSE)</f>
        <v>Yes for Mesh</v>
      </c>
      <c r="Y14" s="58" t="str">
        <f t="array" ref="Y14">bpLOOKUP(Data!$AV14,"CONTROL",CustOrdOpt,6,FALSE)</f>
        <v>Becker 5 Channel White Remote</v>
      </c>
      <c r="Z14" s="58" t="str">
        <f t="array" ref="Z14">bpLOOKUP(Data!$AV14,"MOTOREX",CustOrdOpt,6,FALSE)</f>
        <v/>
      </c>
      <c r="AA14" s="58" t="str">
        <f t="array" ref="AA14">bpLOOKUP(Data!$AV14,"HOODEXTENSIONBRACKETS",CustOrdOpt,6,FALSE)</f>
        <v/>
      </c>
      <c r="AB14" s="58" t="str">
        <f t="array" ref="AB14">bpLOOKUP(Data!$AV14,"UBRACKETEXTENSIONBRACKETS",CustOrdOpt,6,FALSE)</f>
        <v/>
      </c>
      <c r="AC14" s="58" t="str">
        <f t="array" ref="AC14">bpLOOKUP(Data!$AV14,"SIDEFIXUBRACKET",CustOrdOpt,6,FALSE)</f>
        <v/>
      </c>
      <c r="AD14" s="58" t="str">
        <f t="array" ref="AD14">bpLOOKUP(Data!$AV14,"FITTINGS",CustOrdOpt,6,FALSE)</f>
        <v>Standard Zinc</v>
      </c>
      <c r="AE14" s="58" t="str">
        <f t="array" ref="AE14">bpLOOKUP(Data!$AV14,"INSTALLATION",CustOrdOpt,6,FALSE)</f>
        <v>Installation</v>
      </c>
      <c r="AF14" s="58" t="str">
        <f t="array" ref="AF14">bpLOOKUP(Data!$AV14,"Notes",CustOrdOpt,6,FALSE)</f>
        <v/>
      </c>
      <c r="AH14" s="58" t="str">
        <f>IF(Data!AV14="","",VLOOKUP(G14,FixedGuide,2,TRUE))</f>
        <v>2400mm</v>
      </c>
      <c r="AI14" s="58" t="str">
        <f>IF(Data!AV14="","",IF(P14="Spring",IF(F14&lt;3060,"50mm","63mm"),IF(F14&lt;4260,"63mm","78mm")))</f>
        <v>63mm</v>
      </c>
      <c r="AJ14" s="58" t="str">
        <f t="shared" si="0"/>
        <v/>
      </c>
      <c r="AK14" s="62">
        <f>IF(Data!AV14="","",F14-VLOOKUP(P14,TubeDeductions,2,FALSE))</f>
        <v>2950</v>
      </c>
      <c r="AL14" s="62">
        <f>IF(Data!AV14="","",F14-85)</f>
        <v>2930</v>
      </c>
      <c r="AM14" s="62">
        <f>IF(Data!AV14="","",IF(X14="Yes Standard for Canvas",F14-15,F14-85))</f>
        <v>2930</v>
      </c>
      <c r="AN14" s="62">
        <f t="shared" si="1"/>
        <v>2600</v>
      </c>
      <c r="AO14" s="58" t="str">
        <f>IF(Data!AV14="","",IF(AI14="78mm","6mm Black","3.6mm White"))</f>
        <v>3.6mm White</v>
      </c>
      <c r="AP14" s="58" t="str">
        <f>IF(Data!AV14="","",VLOOKUP('Fabric Cutting'!D14,ColourMatch,2,FALSE))</f>
        <v>Black</v>
      </c>
      <c r="AQ14" s="58" t="str">
        <f>IF(Data!AV14="","",VLOOKUP(P14,TubeDeductions,3,FALSE))</f>
        <v>Attached to Motor</v>
      </c>
      <c r="AR14" s="58" t="b">
        <f>IF(Data!AV14="","",VLOOKUP('Fabric Cutting'!D14,ColourMatch,6,FALSE))</f>
        <v>0</v>
      </c>
    </row>
    <row r="15" spans="1:44" s="97" customFormat="1" ht="103.5">
      <c r="A15" s="51">
        <f>Data!AW15</f>
        <v>6</v>
      </c>
      <c r="B15" s="52" t="str">
        <f>Data!AY15</f>
        <v>Bed 4</v>
      </c>
      <c r="C15" s="53">
        <f>Data!BA15</f>
        <v>2356</v>
      </c>
      <c r="D15" s="54" t="str">
        <f t="array" ref="D15">bpLOOKUP(Data!$AV15,$D$8,CustOrdOpt,6,FALSE)</f>
        <v>Opening</v>
      </c>
      <c r="E15" s="55" t="str">
        <f t="array" ref="E15">bpLOOKUP(Data!$AV15,"SIDEBYSIDE",CustOrdOpt,6,FALSE)</f>
        <v>No</v>
      </c>
      <c r="F15" s="56">
        <f>IF(Data!BA15="","",IF(D15="Cloth",C15+85,IF(D15="Opening",Data!BA15-VLOOKUP(I15,FitDeduct,2,FALSE)-VLOOKUP(E15,SideDeduct,2,FALSE),IF(D15="Making",Data!BA15))))</f>
        <v>2356</v>
      </c>
      <c r="G15" s="56">
        <f>Data!BB15</f>
        <v>2200</v>
      </c>
      <c r="H15" s="52" t="str">
        <f>IF(Data!BE15="","",MID(Data!BE15,7,80))</f>
        <v>HVG Visiontex Glisse Sunscreen Naxos</v>
      </c>
      <c r="I15" s="57" t="str">
        <f t="array" ref="I15">bpLOOKUP(Data!$AV15,$I$8,CustOrdOpt,6,FALSE)</f>
        <v>Face</v>
      </c>
      <c r="J15" s="58" t="str">
        <f t="array" ref="J15">bpLOOKUP(Data!$AV15,"BRACKETFIXING",CustOrdOpt,6,FALSE)</f>
        <v/>
      </c>
      <c r="K15" s="58" t="str">
        <f t="array" ref="K15">bpLOOKUP(Data!$AV15,"HOODTYPE",CustOrdOpt,6,FALSE)</f>
        <v>Colourbond Under-Roll Hooding</v>
      </c>
      <c r="L15" s="58" t="str">
        <f t="array" ref="L15">bpLOOKUP(Data!$AV15,"HOOD/BRACKETCOLOUR",CustOrdOpt,6,FALSE)</f>
        <v>Merino (Paperbark)</v>
      </c>
      <c r="M15" s="58" t="str">
        <f t="array" ref="M15">bpLOOKUP(Data!$AV15,"NONSTANDARDHOOD/BRACKET",CustOrdOpt,6,FALSE)</f>
        <v/>
      </c>
      <c r="N15" s="58" t="str">
        <f t="array" ref="N15">IF(bpLOOKUP(Data!$AV15,"BOTTOMRAILCOLOUR",CustOrdOpt,6,FALSE)="Custom Powdercoat",CONCATENATE(bpLOOKUP(Data!$AV15,"BOTTOMRAILCOLOUR",CustOrdOpt,6,FALSE)," ",bpLOOKUP(Data!$AV15,"OTHERBOTTOMRAILCOLOUR",CustOrdOpt,6,FALSE)),IF(bpLOOKUP(Data!$AV15,"BOTTOMRAILCOLOUR",CustOrdOpt,6,FALSE)="Other at Cost",bpLOOKUP(Data!$AV15,"OTHERBOTTOMRAILCOLOUR",CustOrdOpt,6,FALSE),bpLOOKUP(Data!$AV15,"BOTTOMRAILCOLOUR",CustOrdOpt,6,FALSE)))</f>
        <v>Ebony (Black)</v>
      </c>
      <c r="O15" s="58" t="str">
        <f t="array" ref="O15">bpLOOKUP(Data!$AV15,"BRACKETS",CustOrdOpt,6,FALSE)</f>
        <v>U Bracket</v>
      </c>
      <c r="P15" s="58" t="str">
        <f t="array" ref="P15">bpLOOKUP(Data!$AV15,"OPERATION",CustOrdOpt,6,FALSE)</f>
        <v>Becker Remote Operated</v>
      </c>
      <c r="Q15" s="58" t="str">
        <f t="array" ref="Q15">bpLOOKUP(Data!$AV15,"CONTROLSIDE",CustOrdOpt,6,FALSE)</f>
        <v>Left</v>
      </c>
      <c r="R15" s="58" t="str">
        <f t="array" ref="R15">bpLOOKUP(Data!$AV15,"GEARBOXCOLOUR",CustOrdOpt,6,FALSE)</f>
        <v/>
      </c>
      <c r="S15" s="58" t="str">
        <f t="array" ref="S15">bpLOOKUP(Data!$AV15,"GEAROP",CustOrdOpt,6,FALSE)</f>
        <v/>
      </c>
      <c r="T15" s="58" t="str">
        <f t="array" ref="T15">bpLOOKUP(Data!$AV15,"Valance",CustOrdOpt,6,FALSE)</f>
        <v>Standard Bottom Flap</v>
      </c>
      <c r="U15" s="58" t="str">
        <f t="array" ref="U15">IF(bpLOOKUP(Data!$AV15,"BINDINGCOLOUR",CustOrdOpt,6,FALSE)="Match",VLOOKUP('Fabric Cutting'!D15,ColourMatch,3,FALSE),bpLOOKUP(Data!$AV15,"BINDINGCOLOUR",CustOrdOpt,6,FALSE))</f>
        <v/>
      </c>
      <c r="V15" s="58" t="str">
        <f t="array" ref="V15">bpLOOKUP(Data!$AV15,"FLAPSIDE",CustOrdOpt,6,FALSE)</f>
        <v>Normal</v>
      </c>
      <c r="W15" s="58" t="str">
        <f t="array" ref="W15">bpLOOKUP(Data!$AV15,"REVROLL",CustOrdOpt,6,FALSE)</f>
        <v>Back</v>
      </c>
      <c r="X15" s="58" t="str">
        <f t="array" ref="X15">bpLOOKUP(Data!$AV15,"SIDEHEMS",CustOrdOpt,6,FALSE)</f>
        <v>Yes for Mesh</v>
      </c>
      <c r="Y15" s="58" t="str">
        <f t="array" ref="Y15">bpLOOKUP(Data!$AV15,"CONTROL",CustOrdOpt,6,FALSE)</f>
        <v>Not Required</v>
      </c>
      <c r="Z15" s="58" t="str">
        <f t="array" ref="Z15">bpLOOKUP(Data!$AV15,"MOTOREX",CustOrdOpt,6,FALSE)</f>
        <v/>
      </c>
      <c r="AA15" s="58" t="str">
        <f t="array" ref="AA15">bpLOOKUP(Data!$AV15,"HOODEXTENSIONBRACKETS",CustOrdOpt,6,FALSE)</f>
        <v/>
      </c>
      <c r="AB15" s="58" t="str">
        <f t="array" ref="AB15">bpLOOKUP(Data!$AV15,"UBRACKETEXTENSIONBRACKETS",CustOrdOpt,6,FALSE)</f>
        <v/>
      </c>
      <c r="AC15" s="58" t="str">
        <f t="array" ref="AC15">bpLOOKUP(Data!$AV15,"SIDEFIXUBRACKET",CustOrdOpt,6,FALSE)</f>
        <v/>
      </c>
      <c r="AD15" s="58" t="str">
        <f t="array" ref="AD15">bpLOOKUP(Data!$AV15,"FITTINGS",CustOrdOpt,6,FALSE)</f>
        <v>Standard Zinc</v>
      </c>
      <c r="AE15" s="58" t="str">
        <f t="array" ref="AE15">bpLOOKUP(Data!$AV15,"INSTALLATION",CustOrdOpt,6,FALSE)</f>
        <v>Installation</v>
      </c>
      <c r="AF15" s="58" t="str">
        <f t="array" ref="AF15">bpLOOKUP(Data!$AV15,"Notes",CustOrdOpt,6,FALSE)</f>
        <v/>
      </c>
      <c r="AH15" s="58" t="str">
        <f>IF(Data!AV15="","",VLOOKUP(G15,FixedGuide,2,TRUE))</f>
        <v>2400mm</v>
      </c>
      <c r="AI15" s="58" t="str">
        <f>IF(Data!AV15="","",IF(P15="Spring",IF(F15&lt;3060,"50mm","63mm"),IF(F15&lt;4260,"63mm","78mm")))</f>
        <v>63mm</v>
      </c>
      <c r="AJ15" s="58" t="str">
        <f t="shared" si="0"/>
        <v/>
      </c>
      <c r="AK15" s="62">
        <f>IF(Data!AV15="","",F15-VLOOKUP(P15,TubeDeductions,2,FALSE))</f>
        <v>2291</v>
      </c>
      <c r="AL15" s="62">
        <f>IF(Data!AV15="","",F15-85)</f>
        <v>2271</v>
      </c>
      <c r="AM15" s="62">
        <f>IF(Data!AV15="","",IF(X15="Yes Standard for Canvas",F15-15,F15-85))</f>
        <v>2271</v>
      </c>
      <c r="AN15" s="62">
        <f t="shared" si="1"/>
        <v>2600</v>
      </c>
      <c r="AO15" s="58" t="str">
        <f>IF(Data!AV15="","",IF(AI15="78mm","6mm Black","3.6mm White"))</f>
        <v>3.6mm White</v>
      </c>
      <c r="AP15" s="58" t="str">
        <f>IF(Data!AV15="","",VLOOKUP('Fabric Cutting'!D15,ColourMatch,2,FALSE))</f>
        <v>Black</v>
      </c>
      <c r="AQ15" s="58" t="str">
        <f>IF(Data!AV15="","",VLOOKUP(P15,TubeDeductions,3,FALSE))</f>
        <v>Attached to Motor</v>
      </c>
      <c r="AR15" s="58" t="b">
        <f>IF(Data!AV15="","",VLOOKUP('Fabric Cutting'!D15,ColourMatch,6,FALSE))</f>
        <v>0</v>
      </c>
    </row>
    <row r="16" spans="1:44" s="97" customFormat="1" ht="70.15" customHeight="1">
      <c r="A16" s="51">
        <f>Data!AW16</f>
        <v>0</v>
      </c>
      <c r="B16" s="52">
        <f>Data!AY16</f>
        <v>0</v>
      </c>
      <c r="C16" s="53">
        <f>Data!BA16</f>
        <v>0</v>
      </c>
      <c r="D16" s="54" t="str">
        <f t="array" ref="D16">bpLOOKUP(Data!$AV16,$D$8,CustOrdOpt,6,FALSE)</f>
        <v/>
      </c>
      <c r="E16" s="55" t="str">
        <f t="array" ref="E16">bpLOOKUP(Data!$AV16,"SIDEBYSIDE",CustOrdOpt,6,FALSE)</f>
        <v/>
      </c>
      <c r="F16" s="56" t="str">
        <f>IF(Data!BA16="","",IF(D16="Cloth",C16+85,IF(D16="Opening",Data!BA16-VLOOKUP(I16,FitDeduct,2,FALSE)-VLOOKUP(E16,SideDeduct,2,FALSE),IF(D16="Making",Data!BA16))))</f>
        <v/>
      </c>
      <c r="G16" s="56">
        <f>Data!BB16</f>
        <v>0</v>
      </c>
      <c r="H16" s="52" t="str">
        <f>IF(Data!BE16="","",MID(Data!BE16,7,80))</f>
        <v/>
      </c>
      <c r="I16" s="57" t="str">
        <f t="array" ref="I16">bpLOOKUP(Data!$AV16,$I$8,CustOrdOpt,6,FALSE)</f>
        <v/>
      </c>
      <c r="J16" s="58" t="str">
        <f t="array" ref="J16">bpLOOKUP(Data!$AV16,"BRACKETFIXING",CustOrdOpt,6,FALSE)</f>
        <v/>
      </c>
      <c r="K16" s="58" t="str">
        <f t="array" ref="K16">bpLOOKUP(Data!$AV16,"HOODTYPE",CustOrdOpt,6,FALSE)</f>
        <v/>
      </c>
      <c r="L16" s="58" t="str">
        <f t="array" ref="L16">bpLOOKUP(Data!$AV16,"HOOD/BRACKETCOLOUR",CustOrdOpt,6,FALSE)</f>
        <v/>
      </c>
      <c r="M16" s="58" t="str">
        <f t="array" ref="M16">bpLOOKUP(Data!$AV16,"NONSTANDARDHOOD/BRACKET",CustOrdOpt,6,FALSE)</f>
        <v/>
      </c>
      <c r="N16" s="58" t="str">
        <f t="array" ref="N16">IF(bpLOOKUP(Data!$AV16,"BOTTOMRAILCOLOUR",CustOrdOpt,6,FALSE)="Custom Powdercoat",CONCATENATE(bpLOOKUP(Data!$AV16,"BOTTOMRAILCOLOUR",CustOrdOpt,6,FALSE)," ",bpLOOKUP(Data!$AV16,"OTHERBOTTOMRAILCOLOUR",CustOrdOpt,6,FALSE)),IF(bpLOOKUP(Data!$AV16,"BOTTOMRAILCOLOUR",CustOrdOpt,6,FALSE)="Other at Cost",bpLOOKUP(Data!$AV16,"OTHERBOTTOMRAILCOLOUR",CustOrdOpt,6,FALSE),bpLOOKUP(Data!$AV16,"BOTTOMRAILCOLOUR",CustOrdOpt,6,FALSE)))</f>
        <v/>
      </c>
      <c r="O16" s="58" t="str">
        <f t="array" ref="O16">bpLOOKUP(Data!$AV16,"BRACKETS",CustOrdOpt,6,FALSE)</f>
        <v/>
      </c>
      <c r="P16" s="58" t="str">
        <f t="array" ref="P16">bpLOOKUP(Data!$AV16,"OPERATION",CustOrdOpt,6,FALSE)</f>
        <v/>
      </c>
      <c r="Q16" s="58" t="str">
        <f t="array" ref="Q16">bpLOOKUP(Data!$AV16,"CONTROLSIDE",CustOrdOpt,6,FALSE)</f>
        <v/>
      </c>
      <c r="R16" s="58" t="str">
        <f t="array" ref="R16">bpLOOKUP(Data!$AV16,"GEARBOXCOLOUR",CustOrdOpt,6,FALSE)</f>
        <v/>
      </c>
      <c r="S16" s="58" t="str">
        <f t="array" ref="S16">bpLOOKUP(Data!$AV16,"GEAROP",CustOrdOpt,6,FALSE)</f>
        <v/>
      </c>
      <c r="T16" s="58" t="str">
        <f t="array" ref="T16">bpLOOKUP(Data!$AV16,"Valance",CustOrdOpt,6,FALSE)</f>
        <v/>
      </c>
      <c r="U16" s="58" t="str">
        <f t="array" ref="U16">IF(bpLOOKUP(Data!$AV16,"BINDINGCOLOUR",CustOrdOpt,6,FALSE)="Match",VLOOKUP('Fabric Cutting'!D16,ColourMatch,3,FALSE),bpLOOKUP(Data!$AV16,"BINDINGCOLOUR",CustOrdOpt,6,FALSE))</f>
        <v/>
      </c>
      <c r="V16" s="58" t="str">
        <f t="array" ref="V16">bpLOOKUP(Data!$AV16,"FLAPSIDE",CustOrdOpt,6,FALSE)</f>
        <v/>
      </c>
      <c r="W16" s="58" t="str">
        <f t="array" ref="W16">bpLOOKUP(Data!$AV16,"REVROLL",CustOrdOpt,6,FALSE)</f>
        <v/>
      </c>
      <c r="X16" s="58" t="str">
        <f t="array" ref="X16">bpLOOKUP(Data!$AV16,"SIDEHEMS",CustOrdOpt,6,FALSE)</f>
        <v/>
      </c>
      <c r="Y16" s="58" t="str">
        <f t="array" ref="Y16">bpLOOKUP(Data!$AV16,"CONTROL",CustOrdOpt,6,FALSE)</f>
        <v/>
      </c>
      <c r="Z16" s="58" t="str">
        <f t="array" ref="Z16">bpLOOKUP(Data!$AV16,"MOTOREX",CustOrdOpt,6,FALSE)</f>
        <v/>
      </c>
      <c r="AA16" s="58" t="str">
        <f t="array" ref="AA16">bpLOOKUP(Data!$AV16,"HOODEXTENSIONBRACKETS",CustOrdOpt,6,FALSE)</f>
        <v/>
      </c>
      <c r="AB16" s="58" t="str">
        <f t="array" ref="AB16">bpLOOKUP(Data!$AV16,"UBRACKETEXTENSIONBRACKETS",CustOrdOpt,6,FALSE)</f>
        <v/>
      </c>
      <c r="AC16" s="58" t="str">
        <f t="array" ref="AC16">bpLOOKUP(Data!$AV16,"SIDEFIXUBRACKET",CustOrdOpt,6,FALSE)</f>
        <v/>
      </c>
      <c r="AD16" s="58" t="str">
        <f t="array" ref="AD16">bpLOOKUP(Data!$AV16,"FITTINGS",CustOrdOpt,6,FALSE)</f>
        <v/>
      </c>
      <c r="AE16" s="58" t="str">
        <f t="array" ref="AE16">bpLOOKUP(Data!$AV16,"INSTALLATION",CustOrdOpt,6,FALSE)</f>
        <v/>
      </c>
      <c r="AF16" s="58" t="str">
        <f t="array" ref="AF16">bpLOOKUP(Data!$AV16,"Notes",CustOrdOpt,6,FALSE)</f>
        <v/>
      </c>
      <c r="AH16" s="58" t="str">
        <f>IF(Data!AV16="","",VLOOKUP(G16,FixedGuide,2,TRUE))</f>
        <v/>
      </c>
      <c r="AI16" s="58" t="str">
        <f>IF(Data!AV16="","",IF(P16="Spring",IF(F16&lt;3060,"50mm","63mm"),IF(F16&lt;4260,"63mm","78mm")))</f>
        <v/>
      </c>
      <c r="AJ16" s="58" t="str">
        <f t="shared" si="0"/>
        <v/>
      </c>
      <c r="AK16" s="62" t="str">
        <f>IF(Data!AV16="","",F16-VLOOKUP(P16,TubeDeductions,2,FALSE))</f>
        <v/>
      </c>
      <c r="AL16" s="62" t="str">
        <f>IF(Data!AV16="","",F16-85)</f>
        <v/>
      </c>
      <c r="AM16" s="62" t="str">
        <f>IF(Data!AV16="","",IF(X16="Yes Standard for Canvas",F16-15,F16-85))</f>
        <v/>
      </c>
      <c r="AN16" s="62" t="str">
        <f t="shared" si="1"/>
        <v/>
      </c>
      <c r="AO16" s="58" t="str">
        <f>IF(Data!AV16="","",IF(AI16="78mm","6mm Black","3.6mm White"))</f>
        <v/>
      </c>
      <c r="AP16" s="58" t="str">
        <f>IF(Data!AV16="","",VLOOKUP('Fabric Cutting'!D16,ColourMatch,2,FALSE))</f>
        <v/>
      </c>
      <c r="AQ16" s="58" t="str">
        <f>IF(Data!AV16="","",VLOOKUP(P16,TubeDeductions,3,FALSE))</f>
        <v/>
      </c>
      <c r="AR16" s="58" t="str">
        <f>IF(Data!AV16="","",VLOOKUP('Fabric Cutting'!D16,ColourMatch,6,FALSE))</f>
        <v/>
      </c>
    </row>
    <row r="17" spans="1:44" s="97" customFormat="1" ht="70.15" customHeight="1">
      <c r="A17" s="51">
        <f>Data!AW17</f>
        <v>0</v>
      </c>
      <c r="B17" s="52">
        <f>Data!AY17</f>
        <v>0</v>
      </c>
      <c r="C17" s="53">
        <f>Data!BA17</f>
        <v>0</v>
      </c>
      <c r="D17" s="54" t="str">
        <f t="array" ref="D17">bpLOOKUP(Data!$AV17,$D$8,CustOrdOpt,6,FALSE)</f>
        <v/>
      </c>
      <c r="E17" s="55" t="str">
        <f t="array" ref="E17">bpLOOKUP(Data!$AV17,"SIDEBYSIDE",CustOrdOpt,6,FALSE)</f>
        <v/>
      </c>
      <c r="F17" s="56" t="str">
        <f>IF(Data!BA17="","",IF(D17="Cloth",C17+85,IF(D17="Opening",Data!BA17-VLOOKUP(I17,FitDeduct,2,FALSE)-VLOOKUP(E17,SideDeduct,2,FALSE),IF(D17="Making",Data!BA17))))</f>
        <v/>
      </c>
      <c r="G17" s="56">
        <f>Data!BB17</f>
        <v>0</v>
      </c>
      <c r="H17" s="52" t="str">
        <f>IF(Data!BE17="","",MID(Data!BE17,7,80))</f>
        <v/>
      </c>
      <c r="I17" s="57" t="str">
        <f t="array" ref="I17">bpLOOKUP(Data!$AV17,$I$8,CustOrdOpt,6,FALSE)</f>
        <v/>
      </c>
      <c r="J17" s="58" t="str">
        <f t="array" ref="J17">bpLOOKUP(Data!$AV17,"BRACKETFIXING",CustOrdOpt,6,FALSE)</f>
        <v/>
      </c>
      <c r="K17" s="58" t="str">
        <f t="array" ref="K17">bpLOOKUP(Data!$AV17,"HOODTYPE",CustOrdOpt,6,FALSE)</f>
        <v/>
      </c>
      <c r="L17" s="58" t="str">
        <f t="array" ref="L17">bpLOOKUP(Data!$AV17,"HOOD/BRACKETCOLOUR",CustOrdOpt,6,FALSE)</f>
        <v/>
      </c>
      <c r="M17" s="58" t="str">
        <f t="array" ref="M17">bpLOOKUP(Data!$AV17,"NONSTANDARDHOOD/BRACKET",CustOrdOpt,6,FALSE)</f>
        <v/>
      </c>
      <c r="N17" s="58" t="str">
        <f t="array" ref="N17">IF(bpLOOKUP(Data!$AV17,"BOTTOMRAILCOLOUR",CustOrdOpt,6,FALSE)="Custom Powdercoat",CONCATENATE(bpLOOKUP(Data!$AV17,"BOTTOMRAILCOLOUR",CustOrdOpt,6,FALSE)," ",bpLOOKUP(Data!$AV17,"OTHERBOTTOMRAILCOLOUR",CustOrdOpt,6,FALSE)),IF(bpLOOKUP(Data!$AV17,"BOTTOMRAILCOLOUR",CustOrdOpt,6,FALSE)="Other at Cost",bpLOOKUP(Data!$AV17,"OTHERBOTTOMRAILCOLOUR",CustOrdOpt,6,FALSE),bpLOOKUP(Data!$AV17,"BOTTOMRAILCOLOUR",CustOrdOpt,6,FALSE)))</f>
        <v/>
      </c>
      <c r="O17" s="58" t="str">
        <f t="array" ref="O17">bpLOOKUP(Data!$AV17,"BRACKETS",CustOrdOpt,6,FALSE)</f>
        <v/>
      </c>
      <c r="P17" s="58" t="str">
        <f t="array" ref="P17">bpLOOKUP(Data!$AV17,"OPERATION",CustOrdOpt,6,FALSE)</f>
        <v/>
      </c>
      <c r="Q17" s="58" t="str">
        <f t="array" ref="Q17">bpLOOKUP(Data!$AV17,"CONTROLSIDE",CustOrdOpt,6,FALSE)</f>
        <v/>
      </c>
      <c r="R17" s="58" t="str">
        <f t="array" ref="R17">bpLOOKUP(Data!$AV17,"GEARBOXCOLOUR",CustOrdOpt,6,FALSE)</f>
        <v/>
      </c>
      <c r="S17" s="58" t="str">
        <f t="array" ref="S17">bpLOOKUP(Data!$AV17,"GEAROP",CustOrdOpt,6,FALSE)</f>
        <v/>
      </c>
      <c r="T17" s="58" t="str">
        <f t="array" ref="T17">bpLOOKUP(Data!$AV17,"Valance",CustOrdOpt,6,FALSE)</f>
        <v/>
      </c>
      <c r="U17" s="58" t="str">
        <f t="array" ref="U17">IF(bpLOOKUP(Data!$AV17,"BINDINGCOLOUR",CustOrdOpt,6,FALSE)="Match",VLOOKUP('Fabric Cutting'!D17,ColourMatch,3,FALSE),bpLOOKUP(Data!$AV17,"BINDINGCOLOUR",CustOrdOpt,6,FALSE))</f>
        <v/>
      </c>
      <c r="V17" s="58" t="str">
        <f t="array" ref="V17">bpLOOKUP(Data!$AV17,"FLAPSIDE",CustOrdOpt,6,FALSE)</f>
        <v/>
      </c>
      <c r="W17" s="58" t="str">
        <f t="array" ref="W17">bpLOOKUP(Data!$AV17,"REVROLL",CustOrdOpt,6,FALSE)</f>
        <v/>
      </c>
      <c r="X17" s="58" t="str">
        <f t="array" ref="X17">bpLOOKUP(Data!$AV17,"SIDEHEMS",CustOrdOpt,6,FALSE)</f>
        <v/>
      </c>
      <c r="Y17" s="58" t="str">
        <f t="array" ref="Y17">bpLOOKUP(Data!$AV17,"CONTROL",CustOrdOpt,6,FALSE)</f>
        <v/>
      </c>
      <c r="Z17" s="58" t="str">
        <f t="array" ref="Z17">bpLOOKUP(Data!$AV17,"MOTOREX",CustOrdOpt,6,FALSE)</f>
        <v/>
      </c>
      <c r="AA17" s="58" t="str">
        <f t="array" ref="AA17">bpLOOKUP(Data!$AV17,"HOODEXTENSIONBRACKETS",CustOrdOpt,6,FALSE)</f>
        <v/>
      </c>
      <c r="AB17" s="58" t="str">
        <f t="array" ref="AB17">bpLOOKUP(Data!$AV17,"UBRACKETEXTENSIONBRACKETS",CustOrdOpt,6,FALSE)</f>
        <v/>
      </c>
      <c r="AC17" s="58" t="str">
        <f t="array" ref="AC17">bpLOOKUP(Data!$AV17,"SIDEFIXUBRACKET",CustOrdOpt,6,FALSE)</f>
        <v/>
      </c>
      <c r="AD17" s="58" t="str">
        <f t="array" ref="AD17">bpLOOKUP(Data!$AV17,"FITTINGS",CustOrdOpt,6,FALSE)</f>
        <v/>
      </c>
      <c r="AE17" s="58" t="str">
        <f t="array" ref="AE17">bpLOOKUP(Data!$AV17,"INSTALLATION",CustOrdOpt,6,FALSE)</f>
        <v/>
      </c>
      <c r="AF17" s="58" t="str">
        <f t="array" ref="AF17">bpLOOKUP(Data!$AV17,"Notes",CustOrdOpt,6,FALSE)</f>
        <v/>
      </c>
      <c r="AH17" s="58" t="str">
        <f>IF(Data!AV17="","",VLOOKUP(G17,FixedGuide,2,TRUE))</f>
        <v/>
      </c>
      <c r="AI17" s="58" t="str">
        <f>IF(Data!AV17="","",IF(P17="Spring",IF(F17&lt;3060,"50mm","63mm"),IF(F17&lt;4260,"63mm","78mm")))</f>
        <v/>
      </c>
      <c r="AJ17" s="58" t="str">
        <f t="shared" si="0"/>
        <v/>
      </c>
      <c r="AK17" s="62" t="str">
        <f>IF(Data!AV17="","",F17-VLOOKUP(P17,TubeDeductions,2,FALSE))</f>
        <v/>
      </c>
      <c r="AL17" s="62" t="str">
        <f>IF(Data!AV17="","",F17-85)</f>
        <v/>
      </c>
      <c r="AM17" s="62" t="str">
        <f>IF(Data!AV17="","",IF(X17="Yes Standard for Canvas",F17-15,F17-85))</f>
        <v/>
      </c>
      <c r="AN17" s="62" t="str">
        <f t="shared" si="1"/>
        <v/>
      </c>
      <c r="AO17" s="58" t="str">
        <f>IF(Data!AV17="","",IF(AI17="78mm","6mm Black","3.6mm White"))</f>
        <v/>
      </c>
      <c r="AP17" s="58" t="str">
        <f>IF(Data!AV17="","",VLOOKUP('Fabric Cutting'!D17,ColourMatch,2,FALSE))</f>
        <v/>
      </c>
      <c r="AQ17" s="58" t="str">
        <f>IF(Data!AV17="","",VLOOKUP(P17,TubeDeductions,3,FALSE))</f>
        <v/>
      </c>
      <c r="AR17" s="58" t="str">
        <f>IF(Data!AV17="","",VLOOKUP('Fabric Cutting'!D17,ColourMatch,6,FALSE))</f>
        <v/>
      </c>
    </row>
    <row r="18" spans="1:44" s="97" customFormat="1" ht="70.15" customHeight="1">
      <c r="A18" s="51">
        <f>Data!AW18</f>
        <v>0</v>
      </c>
      <c r="B18" s="52">
        <f>Data!AY18</f>
        <v>0</v>
      </c>
      <c r="C18" s="53">
        <f>Data!BA18</f>
        <v>0</v>
      </c>
      <c r="D18" s="54" t="str">
        <f t="array" ref="D18">bpLOOKUP(Data!$AV18,$D$8,CustOrdOpt,6,FALSE)</f>
        <v/>
      </c>
      <c r="E18" s="55" t="str">
        <f t="array" ref="E18">bpLOOKUP(Data!$AV18,"SIDEBYSIDE",CustOrdOpt,6,FALSE)</f>
        <v/>
      </c>
      <c r="F18" s="56" t="str">
        <f>IF(Data!BA18="","",IF(D18="Cloth",C18+85,IF(D18="Opening",Data!BA18-VLOOKUP(I18,FitDeduct,2,FALSE)-VLOOKUP(E18,SideDeduct,2,FALSE),IF(D18="Making",Data!BA18))))</f>
        <v/>
      </c>
      <c r="G18" s="56">
        <f>Data!BB18</f>
        <v>0</v>
      </c>
      <c r="H18" s="52" t="str">
        <f>IF(Data!BE18="","",MID(Data!BE18,7,80))</f>
        <v/>
      </c>
      <c r="I18" s="57" t="str">
        <f t="array" ref="I18">bpLOOKUP(Data!$AV18,$I$8,CustOrdOpt,6,FALSE)</f>
        <v/>
      </c>
      <c r="J18" s="58" t="str">
        <f t="array" ref="J18">bpLOOKUP(Data!$AV18,"BRACKETFIXING",CustOrdOpt,6,FALSE)</f>
        <v/>
      </c>
      <c r="K18" s="58" t="str">
        <f t="array" ref="K18">bpLOOKUP(Data!$AV18,"HOODTYPE",CustOrdOpt,6,FALSE)</f>
        <v/>
      </c>
      <c r="L18" s="58" t="str">
        <f t="array" ref="L18">bpLOOKUP(Data!$AV18,"HOOD/BRACKETCOLOUR",CustOrdOpt,6,FALSE)</f>
        <v/>
      </c>
      <c r="M18" s="58" t="str">
        <f t="array" ref="M18">bpLOOKUP(Data!$AV18,"NONSTANDARDHOOD/BRACKET",CustOrdOpt,6,FALSE)</f>
        <v/>
      </c>
      <c r="N18" s="58" t="str">
        <f t="array" ref="N18">IF(bpLOOKUP(Data!$AV18,"BOTTOMRAILCOLOUR",CustOrdOpt,6,FALSE)="Custom Powdercoat",CONCATENATE(bpLOOKUP(Data!$AV18,"BOTTOMRAILCOLOUR",CustOrdOpt,6,FALSE)," ",bpLOOKUP(Data!$AV18,"OTHERBOTTOMRAILCOLOUR",CustOrdOpt,6,FALSE)),IF(bpLOOKUP(Data!$AV18,"BOTTOMRAILCOLOUR",CustOrdOpt,6,FALSE)="Other at Cost",bpLOOKUP(Data!$AV18,"OTHERBOTTOMRAILCOLOUR",CustOrdOpt,6,FALSE),bpLOOKUP(Data!$AV18,"BOTTOMRAILCOLOUR",CustOrdOpt,6,FALSE)))</f>
        <v/>
      </c>
      <c r="O18" s="58" t="str">
        <f t="array" ref="O18">bpLOOKUP(Data!$AV18,"BRACKETS",CustOrdOpt,6,FALSE)</f>
        <v/>
      </c>
      <c r="P18" s="58" t="str">
        <f t="array" ref="P18">bpLOOKUP(Data!$AV18,"OPERATION",CustOrdOpt,6,FALSE)</f>
        <v/>
      </c>
      <c r="Q18" s="58" t="str">
        <f t="array" ref="Q18">bpLOOKUP(Data!$AV18,"CONTROLSIDE",CustOrdOpt,6,FALSE)</f>
        <v/>
      </c>
      <c r="R18" s="58" t="str">
        <f t="array" ref="R18">bpLOOKUP(Data!$AV18,"GEARBOXCOLOUR",CustOrdOpt,6,FALSE)</f>
        <v/>
      </c>
      <c r="S18" s="58" t="str">
        <f t="array" ref="S18">bpLOOKUP(Data!$AV18,"GEAROP",CustOrdOpt,6,FALSE)</f>
        <v/>
      </c>
      <c r="T18" s="58" t="str">
        <f t="array" ref="T18">bpLOOKUP(Data!$AV18,"Valance",CustOrdOpt,6,FALSE)</f>
        <v/>
      </c>
      <c r="U18" s="58" t="str">
        <f t="array" ref="U18">IF(bpLOOKUP(Data!$AV18,"BINDINGCOLOUR",CustOrdOpt,6,FALSE)="Match",VLOOKUP('Fabric Cutting'!D18,ColourMatch,3,FALSE),bpLOOKUP(Data!$AV18,"BINDINGCOLOUR",CustOrdOpt,6,FALSE))</f>
        <v/>
      </c>
      <c r="V18" s="58" t="str">
        <f t="array" ref="V18">bpLOOKUP(Data!$AV18,"FLAPSIDE",CustOrdOpt,6,FALSE)</f>
        <v/>
      </c>
      <c r="W18" s="58" t="str">
        <f t="array" ref="W18">bpLOOKUP(Data!$AV18,"REVROLL",CustOrdOpt,6,FALSE)</f>
        <v/>
      </c>
      <c r="X18" s="58" t="str">
        <f t="array" ref="X18">bpLOOKUP(Data!$AV18,"SIDEHEMS",CustOrdOpt,6,FALSE)</f>
        <v/>
      </c>
      <c r="Y18" s="58" t="str">
        <f t="array" ref="Y18">bpLOOKUP(Data!$AV18,"CONTROL",CustOrdOpt,6,FALSE)</f>
        <v/>
      </c>
      <c r="Z18" s="58" t="str">
        <f t="array" ref="Z18">bpLOOKUP(Data!$AV18,"MOTOREX",CustOrdOpt,6,FALSE)</f>
        <v/>
      </c>
      <c r="AA18" s="58" t="str">
        <f t="array" ref="AA18">bpLOOKUP(Data!$AV18,"HOODEXTENSIONBRACKETS",CustOrdOpt,6,FALSE)</f>
        <v/>
      </c>
      <c r="AB18" s="58" t="str">
        <f t="array" ref="AB18">bpLOOKUP(Data!$AV18,"UBRACKETEXTENSIONBRACKETS",CustOrdOpt,6,FALSE)</f>
        <v/>
      </c>
      <c r="AC18" s="58" t="str">
        <f t="array" ref="AC18">bpLOOKUP(Data!$AV18,"SIDEFIXUBRACKET",CustOrdOpt,6,FALSE)</f>
        <v/>
      </c>
      <c r="AD18" s="58" t="str">
        <f t="array" ref="AD18">bpLOOKUP(Data!$AV18,"FITTINGS",CustOrdOpt,6,FALSE)</f>
        <v/>
      </c>
      <c r="AE18" s="58" t="str">
        <f t="array" ref="AE18">bpLOOKUP(Data!$AV18,"INSTALLATION",CustOrdOpt,6,FALSE)</f>
        <v/>
      </c>
      <c r="AF18" s="58" t="str">
        <f t="array" ref="AF18">bpLOOKUP(Data!$AV18,"Notes",CustOrdOpt,6,FALSE)</f>
        <v/>
      </c>
      <c r="AH18" s="58" t="str">
        <f>IF(Data!AV18="","",VLOOKUP(G18,FixedGuide,2,TRUE))</f>
        <v/>
      </c>
      <c r="AI18" s="58" t="str">
        <f>IF(Data!AV18="","",IF(P18="Spring",IF(F18&lt;3060,"50mm","63mm"),IF(F18&lt;4260,"63mm","78mm")))</f>
        <v/>
      </c>
      <c r="AJ18" s="58" t="str">
        <f t="shared" si="0"/>
        <v/>
      </c>
      <c r="AK18" s="62" t="str">
        <f>IF(Data!AV18="","",F18-VLOOKUP(P18,TubeDeductions,2,FALSE))</f>
        <v/>
      </c>
      <c r="AL18" s="62" t="str">
        <f>IF(Data!AV18="","",F18-85)</f>
        <v/>
      </c>
      <c r="AM18" s="62" t="str">
        <f>IF(Data!AV18="","",IF(X18="Yes Standard for Canvas",F18-15,F18-85))</f>
        <v/>
      </c>
      <c r="AN18" s="62" t="str">
        <f t="shared" si="1"/>
        <v/>
      </c>
      <c r="AO18" s="58" t="str">
        <f>IF(Data!AV18="","",IF(AI18="78mm","6mm Black","3.6mm White"))</f>
        <v/>
      </c>
      <c r="AP18" s="58" t="str">
        <f>IF(Data!AV18="","",VLOOKUP('Fabric Cutting'!D18,ColourMatch,2,FALSE))</f>
        <v/>
      </c>
      <c r="AQ18" s="58" t="str">
        <f>IF(Data!AV18="","",VLOOKUP(P18,TubeDeductions,3,FALSE))</f>
        <v/>
      </c>
      <c r="AR18" s="58" t="str">
        <f>IF(Data!AV18="","",VLOOKUP('Fabric Cutting'!D18,ColourMatch,6,FALSE))</f>
        <v/>
      </c>
    </row>
    <row r="19" spans="1:44" s="97" customFormat="1" ht="70.15" customHeight="1">
      <c r="A19" s="51">
        <f>Data!AW19</f>
        <v>0</v>
      </c>
      <c r="B19" s="52">
        <f>Data!AY19</f>
        <v>0</v>
      </c>
      <c r="C19" s="53">
        <f>Data!BA19</f>
        <v>0</v>
      </c>
      <c r="D19" s="54" t="str">
        <f t="array" ref="D19">bpLOOKUP(Data!$AV19,$D$8,CustOrdOpt,6,FALSE)</f>
        <v/>
      </c>
      <c r="E19" s="55" t="str">
        <f t="array" ref="E19">bpLOOKUP(Data!$AV19,"SIDEBYSIDE",CustOrdOpt,6,FALSE)</f>
        <v/>
      </c>
      <c r="F19" s="56" t="str">
        <f>IF(Data!BA19="","",IF(D19="Cloth",C19+85,IF(D19="Opening",Data!BA19-VLOOKUP(I19,FitDeduct,2,FALSE)-VLOOKUP(E19,SideDeduct,2,FALSE),IF(D19="Making",Data!BA19))))</f>
        <v/>
      </c>
      <c r="G19" s="56">
        <f>Data!BB19</f>
        <v>0</v>
      </c>
      <c r="H19" s="52" t="str">
        <f>IF(Data!BE19="","",MID(Data!BE19,7,80))</f>
        <v/>
      </c>
      <c r="I19" s="57" t="str">
        <f t="array" ref="I19">bpLOOKUP(Data!$AV19,$I$8,CustOrdOpt,6,FALSE)</f>
        <v/>
      </c>
      <c r="J19" s="58" t="str">
        <f t="array" ref="J19">bpLOOKUP(Data!$AV19,"BRACKETFIXING",CustOrdOpt,6,FALSE)</f>
        <v/>
      </c>
      <c r="K19" s="58" t="str">
        <f t="array" ref="K19">bpLOOKUP(Data!$AV19,"HOODTYPE",CustOrdOpt,6,FALSE)</f>
        <v/>
      </c>
      <c r="L19" s="58" t="str">
        <f t="array" ref="L19">bpLOOKUP(Data!$AV19,"HOOD/BRACKETCOLOUR",CustOrdOpt,6,FALSE)</f>
        <v/>
      </c>
      <c r="M19" s="58" t="str">
        <f t="array" ref="M19">bpLOOKUP(Data!$AV19,"NONSTANDARDHOOD/BRACKET",CustOrdOpt,6,FALSE)</f>
        <v/>
      </c>
      <c r="N19" s="58" t="str">
        <f t="array" ref="N19">IF(bpLOOKUP(Data!$AV19,"BOTTOMRAILCOLOUR",CustOrdOpt,6,FALSE)="Custom Powdercoat",CONCATENATE(bpLOOKUP(Data!$AV19,"BOTTOMRAILCOLOUR",CustOrdOpt,6,FALSE)," ",bpLOOKUP(Data!$AV19,"OTHERBOTTOMRAILCOLOUR",CustOrdOpt,6,FALSE)),IF(bpLOOKUP(Data!$AV19,"BOTTOMRAILCOLOUR",CustOrdOpt,6,FALSE)="Other at Cost",bpLOOKUP(Data!$AV19,"OTHERBOTTOMRAILCOLOUR",CustOrdOpt,6,FALSE),bpLOOKUP(Data!$AV19,"BOTTOMRAILCOLOUR",CustOrdOpt,6,FALSE)))</f>
        <v/>
      </c>
      <c r="O19" s="58" t="str">
        <f t="array" ref="O19">bpLOOKUP(Data!$AV19,"BRACKETS",CustOrdOpt,6,FALSE)</f>
        <v/>
      </c>
      <c r="P19" s="58" t="str">
        <f t="array" ref="P19">bpLOOKUP(Data!$AV19,"OPERATION",CustOrdOpt,6,FALSE)</f>
        <v/>
      </c>
      <c r="Q19" s="58" t="str">
        <f t="array" ref="Q19">bpLOOKUP(Data!$AV19,"CONTROLSIDE",CustOrdOpt,6,FALSE)</f>
        <v/>
      </c>
      <c r="R19" s="58" t="str">
        <f t="array" ref="R19">bpLOOKUP(Data!$AV19,"GEARBOXCOLOUR",CustOrdOpt,6,FALSE)</f>
        <v/>
      </c>
      <c r="S19" s="58" t="str">
        <f t="array" ref="S19">bpLOOKUP(Data!$AV19,"GEAROP",CustOrdOpt,6,FALSE)</f>
        <v/>
      </c>
      <c r="T19" s="58" t="str">
        <f t="array" ref="T19">bpLOOKUP(Data!$AV19,"Valance",CustOrdOpt,6,FALSE)</f>
        <v/>
      </c>
      <c r="U19" s="58" t="str">
        <f t="array" ref="U19">IF(bpLOOKUP(Data!$AV19,"BINDINGCOLOUR",CustOrdOpt,6,FALSE)="Match",VLOOKUP('Fabric Cutting'!D19,ColourMatch,3,FALSE),bpLOOKUP(Data!$AV19,"BINDINGCOLOUR",CustOrdOpt,6,FALSE))</f>
        <v/>
      </c>
      <c r="V19" s="58" t="str">
        <f t="array" ref="V19">bpLOOKUP(Data!$AV19,"FLAPSIDE",CustOrdOpt,6,FALSE)</f>
        <v/>
      </c>
      <c r="W19" s="58" t="str">
        <f t="array" ref="W19">bpLOOKUP(Data!$AV19,"REVROLL",CustOrdOpt,6,FALSE)</f>
        <v/>
      </c>
      <c r="X19" s="58" t="str">
        <f t="array" ref="X19">bpLOOKUP(Data!$AV19,"SIDEHEMS",CustOrdOpt,6,FALSE)</f>
        <v/>
      </c>
      <c r="Y19" s="58" t="str">
        <f t="array" ref="Y19">bpLOOKUP(Data!$AV19,"CONTROL",CustOrdOpt,6,FALSE)</f>
        <v/>
      </c>
      <c r="Z19" s="58" t="str">
        <f t="array" ref="Z19">bpLOOKUP(Data!$AV19,"MOTOREX",CustOrdOpt,6,FALSE)</f>
        <v/>
      </c>
      <c r="AA19" s="58" t="str">
        <f t="array" ref="AA19">bpLOOKUP(Data!$AV19,"HOODEXTENSIONBRACKETS",CustOrdOpt,6,FALSE)</f>
        <v/>
      </c>
      <c r="AB19" s="58" t="str">
        <f t="array" ref="AB19">bpLOOKUP(Data!$AV19,"UBRACKETEXTENSIONBRACKETS",CustOrdOpt,6,FALSE)</f>
        <v/>
      </c>
      <c r="AC19" s="58" t="str">
        <f t="array" ref="AC19">bpLOOKUP(Data!$AV19,"SIDEFIXUBRACKET",CustOrdOpt,6,FALSE)</f>
        <v/>
      </c>
      <c r="AD19" s="58" t="str">
        <f t="array" ref="AD19">bpLOOKUP(Data!$AV19,"FITTINGS",CustOrdOpt,6,FALSE)</f>
        <v/>
      </c>
      <c r="AE19" s="58" t="str">
        <f t="array" ref="AE19">bpLOOKUP(Data!$AV19,"INSTALLATION",CustOrdOpt,6,FALSE)</f>
        <v/>
      </c>
      <c r="AF19" s="58" t="str">
        <f t="array" ref="AF19">bpLOOKUP(Data!$AV19,"Notes",CustOrdOpt,6,FALSE)</f>
        <v/>
      </c>
      <c r="AG19"/>
      <c r="AH19" s="58" t="str">
        <f>IF(Data!AV19="","",VLOOKUP(G19,FixedGuide,2,TRUE))</f>
        <v/>
      </c>
      <c r="AI19" s="58" t="str">
        <f>IF(Data!AV19="","",IF(P19="Spring",IF(F19&lt;3060,"50mm","63mm"),IF(F19&lt;4260,"63mm","78mm")))</f>
        <v/>
      </c>
      <c r="AJ19" s="58" t="str">
        <f t="shared" si="0"/>
        <v/>
      </c>
      <c r="AK19" s="62" t="str">
        <f>IF(Data!AV19="","",F19-VLOOKUP(P19,TubeDeductions,2,FALSE))</f>
        <v/>
      </c>
      <c r="AL19" s="62" t="str">
        <f>IF(Data!AV19="","",F19-85)</f>
        <v/>
      </c>
      <c r="AM19" s="62" t="str">
        <f>IF(Data!AV19="","",IF(X19="Yes Standard for Canvas",F19-15,F19-85))</f>
        <v/>
      </c>
      <c r="AN19" s="62" t="str">
        <f t="shared" si="1"/>
        <v/>
      </c>
      <c r="AO19" s="58" t="str">
        <f>IF(Data!AV19="","",IF(AI19="78mm","6mm Black","3.6mm White"))</f>
        <v/>
      </c>
      <c r="AP19" s="58" t="str">
        <f>IF(Data!AV19="","",VLOOKUP('Fabric Cutting'!D19,ColourMatch,2,FALSE))</f>
        <v/>
      </c>
      <c r="AQ19" s="58" t="str">
        <f>IF(Data!AV19="","",VLOOKUP(P19,TubeDeductions,3,FALSE))</f>
        <v/>
      </c>
      <c r="AR19" s="58" t="str">
        <f>IF(Data!AV19="","",VLOOKUP('Fabric Cutting'!D19,ColourMatch,6,FALSE))</f>
        <v/>
      </c>
    </row>
    <row r="20" spans="1:44" s="97" customFormat="1" ht="70.15" customHeight="1">
      <c r="A20" s="51">
        <f>Data!AW20</f>
        <v>0</v>
      </c>
      <c r="B20" s="52">
        <f>Data!AY20</f>
        <v>0</v>
      </c>
      <c r="C20" s="53">
        <f>Data!BA20</f>
        <v>0</v>
      </c>
      <c r="D20" s="54" t="str">
        <f t="array" ref="D20">bpLOOKUP(Data!$AV20,$D$8,CustOrdOpt,6,FALSE)</f>
        <v/>
      </c>
      <c r="E20" s="55" t="str">
        <f t="array" ref="E20">bpLOOKUP(Data!$AV20,"SIDEBYSIDE",CustOrdOpt,6,FALSE)</f>
        <v/>
      </c>
      <c r="F20" s="56" t="str">
        <f>IF(Data!BA20="","",IF(D20="Cloth",C20+85,IF(D20="Opening",Data!BA20-VLOOKUP(I20,FitDeduct,2,FALSE)-VLOOKUP(E20,SideDeduct,2,FALSE),IF(D20="Making",Data!BA20))))</f>
        <v/>
      </c>
      <c r="G20" s="56">
        <f>Data!BB20</f>
        <v>0</v>
      </c>
      <c r="H20" s="52" t="str">
        <f>IF(Data!BE20="","",MID(Data!BE20,7,80))</f>
        <v/>
      </c>
      <c r="I20" s="57" t="str">
        <f t="array" ref="I20">bpLOOKUP(Data!$AV20,$I$8,CustOrdOpt,6,FALSE)</f>
        <v/>
      </c>
      <c r="J20" s="58" t="str">
        <f t="array" ref="J20">bpLOOKUP(Data!$AV20,"BRACKETFIXING",CustOrdOpt,6,FALSE)</f>
        <v/>
      </c>
      <c r="K20" s="58" t="str">
        <f t="array" ref="K20">bpLOOKUP(Data!$AV20,"HOODTYPE",CustOrdOpt,6,FALSE)</f>
        <v/>
      </c>
      <c r="L20" s="58" t="str">
        <f t="array" ref="L20">bpLOOKUP(Data!$AV20,"HOOD/BRACKETCOLOUR",CustOrdOpt,6,FALSE)</f>
        <v/>
      </c>
      <c r="M20" s="58" t="str">
        <f t="array" ref="M20">bpLOOKUP(Data!$AV20,"NONSTANDARDHOOD/BRACKET",CustOrdOpt,6,FALSE)</f>
        <v/>
      </c>
      <c r="N20" s="58" t="str">
        <f t="array" ref="N20">IF(bpLOOKUP(Data!$AV20,"BOTTOMRAILCOLOUR",CustOrdOpt,6,FALSE)="Custom Powdercoat",CONCATENATE(bpLOOKUP(Data!$AV20,"BOTTOMRAILCOLOUR",CustOrdOpt,6,FALSE)," ",bpLOOKUP(Data!$AV20,"OTHERBOTTOMRAILCOLOUR",CustOrdOpt,6,FALSE)),IF(bpLOOKUP(Data!$AV20,"BOTTOMRAILCOLOUR",CustOrdOpt,6,FALSE)="Other at Cost",bpLOOKUP(Data!$AV20,"OTHERBOTTOMRAILCOLOUR",CustOrdOpt,6,FALSE),bpLOOKUP(Data!$AV20,"BOTTOMRAILCOLOUR",CustOrdOpt,6,FALSE)))</f>
        <v/>
      </c>
      <c r="O20" s="58" t="str">
        <f t="array" ref="O20">bpLOOKUP(Data!$AV20,"BRACKETS",CustOrdOpt,6,FALSE)</f>
        <v/>
      </c>
      <c r="P20" s="58" t="str">
        <f t="array" ref="P20">bpLOOKUP(Data!$AV20,"OPERATION",CustOrdOpt,6,FALSE)</f>
        <v/>
      </c>
      <c r="Q20" s="58" t="str">
        <f t="array" ref="Q20">bpLOOKUP(Data!$AV20,"CONTROLSIDE",CustOrdOpt,6,FALSE)</f>
        <v/>
      </c>
      <c r="R20" s="58" t="str">
        <f t="array" ref="R20">bpLOOKUP(Data!$AV20,"GEARBOXCOLOUR",CustOrdOpt,6,FALSE)</f>
        <v/>
      </c>
      <c r="S20" s="58" t="str">
        <f t="array" ref="S20">bpLOOKUP(Data!$AV20,"GEAROP",CustOrdOpt,6,FALSE)</f>
        <v/>
      </c>
      <c r="T20" s="58" t="str">
        <f t="array" ref="T20">bpLOOKUP(Data!$AV20,"Valance",CustOrdOpt,6,FALSE)</f>
        <v/>
      </c>
      <c r="U20" s="58" t="str">
        <f t="array" ref="U20">IF(bpLOOKUP(Data!$AV20,"BINDINGCOLOUR",CustOrdOpt,6,FALSE)="Match",VLOOKUP('Fabric Cutting'!D20,ColourMatch,3,FALSE),bpLOOKUP(Data!$AV20,"BINDINGCOLOUR",CustOrdOpt,6,FALSE))</f>
        <v/>
      </c>
      <c r="V20" s="58" t="str">
        <f t="array" ref="V20">bpLOOKUP(Data!$AV20,"FLAPSIDE",CustOrdOpt,6,FALSE)</f>
        <v/>
      </c>
      <c r="W20" s="58" t="str">
        <f t="array" ref="W20">bpLOOKUP(Data!$AV20,"REVROLL",CustOrdOpt,6,FALSE)</f>
        <v/>
      </c>
      <c r="X20" s="58" t="str">
        <f t="array" ref="X20">bpLOOKUP(Data!$AV20,"SIDEHEMS",CustOrdOpt,6,FALSE)</f>
        <v/>
      </c>
      <c r="Y20" s="58" t="str">
        <f t="array" ref="Y20">bpLOOKUP(Data!$AV20,"CONTROL",CustOrdOpt,6,FALSE)</f>
        <v/>
      </c>
      <c r="Z20" s="58" t="str">
        <f t="array" ref="Z20">bpLOOKUP(Data!$AV20,"MOTOREX",CustOrdOpt,6,FALSE)</f>
        <v/>
      </c>
      <c r="AA20" s="58" t="str">
        <f t="array" ref="AA20">bpLOOKUP(Data!$AV20,"HOODEXTENSIONBRACKETS",CustOrdOpt,6,FALSE)</f>
        <v/>
      </c>
      <c r="AB20" s="58" t="str">
        <f t="array" ref="AB20">bpLOOKUP(Data!$AV20,"UBRACKETEXTENSIONBRACKETS",CustOrdOpt,6,FALSE)</f>
        <v/>
      </c>
      <c r="AC20" s="58" t="str">
        <f t="array" ref="AC20">bpLOOKUP(Data!$AV20,"SIDEFIXUBRACKET",CustOrdOpt,6,FALSE)</f>
        <v/>
      </c>
      <c r="AD20" s="58" t="str">
        <f t="array" ref="AD20">bpLOOKUP(Data!$AV20,"FITTINGS",CustOrdOpt,6,FALSE)</f>
        <v/>
      </c>
      <c r="AE20" s="58" t="str">
        <f t="array" ref="AE20">bpLOOKUP(Data!$AV20,"INSTALLATION",CustOrdOpt,6,FALSE)</f>
        <v/>
      </c>
      <c r="AF20" s="58" t="str">
        <f t="array" ref="AF20">bpLOOKUP(Data!$AV20,"Notes",CustOrdOpt,6,FALSE)</f>
        <v/>
      </c>
      <c r="AG20"/>
      <c r="AH20" s="58" t="str">
        <f>IF(Data!AV20="","",VLOOKUP(G20,FixedGuide,2,TRUE))</f>
        <v/>
      </c>
      <c r="AI20" s="58" t="str">
        <f>IF(Data!AV20="","",IF(P20="Spring",IF(F20&lt;3060,"50mm","63mm"),IF(F20&lt;4260,"63mm","78mm")))</f>
        <v/>
      </c>
      <c r="AJ20" s="58" t="str">
        <f t="shared" si="0"/>
        <v/>
      </c>
      <c r="AK20" s="62" t="str">
        <f>IF(Data!AV20="","",F20-VLOOKUP(P20,TubeDeductions,2,FALSE))</f>
        <v/>
      </c>
      <c r="AL20" s="62" t="str">
        <f>IF(Data!AV20="","",F20-85)</f>
        <v/>
      </c>
      <c r="AM20" s="62" t="str">
        <f>IF(Data!AV20="","",IF(X20="Yes Standard for Canvas",F20-15,F20-85))</f>
        <v/>
      </c>
      <c r="AN20" s="62" t="str">
        <f t="shared" si="1"/>
        <v/>
      </c>
      <c r="AO20" s="58" t="str">
        <f>IF(Data!AV20="","",IF(AI20="78mm","6mm Black","3.6mm White"))</f>
        <v/>
      </c>
      <c r="AP20" s="58" t="str">
        <f>IF(Data!AV20="","",VLOOKUP('Fabric Cutting'!D20,ColourMatch,2,FALSE))</f>
        <v/>
      </c>
      <c r="AQ20" s="58" t="str">
        <f>IF(Data!AV20="","",VLOOKUP(P20,TubeDeductions,3,FALSE))</f>
        <v/>
      </c>
      <c r="AR20" s="58" t="str">
        <f>IF(Data!AV20="","",IF(VLOOKUP('Fabric Cutting'!D20,ColourMatch,6,FALSE)=TRUE,"Yes","No"))</f>
        <v/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105" customHeight="1"/>
    <row r="102" ht="105" customHeight="1"/>
    <row r="103" ht="105" customHeight="1"/>
    <row r="104" ht="105" customHeight="1"/>
    <row r="105" ht="105" customHeight="1"/>
    <row r="106" ht="105" customHeight="1"/>
    <row r="107" ht="105" customHeight="1"/>
    <row r="108" ht="105" customHeight="1"/>
    <row r="109" ht="105" customHeight="1"/>
    <row r="110" ht="105" customHeight="1"/>
    <row r="111" ht="105" customHeight="1"/>
    <row r="112" ht="105" customHeight="1"/>
    <row r="113" ht="105" customHeight="1"/>
    <row r="114" ht="105" customHeight="1"/>
    <row r="115" ht="105" customHeight="1"/>
    <row r="116" ht="105" customHeight="1"/>
    <row r="117" ht="105" customHeight="1"/>
    <row r="118" ht="105" customHeight="1"/>
    <row r="119" ht="105" customHeight="1"/>
    <row r="120" ht="105" customHeight="1"/>
    <row r="121" ht="105" customHeight="1"/>
    <row r="122" ht="105" customHeight="1"/>
    <row r="123" ht="105" customHeight="1"/>
    <row r="124" ht="105" customHeight="1"/>
    <row r="125" ht="105" customHeight="1"/>
    <row r="126" ht="105" customHeight="1"/>
    <row r="127" ht="105" customHeight="1"/>
    <row r="128" ht="105" customHeight="1"/>
    <row r="129" ht="105" customHeight="1"/>
    <row r="130" ht="105" customHeight="1"/>
    <row r="131" ht="105" customHeight="1"/>
    <row r="132" ht="105" customHeight="1"/>
    <row r="133" ht="105" customHeight="1"/>
    <row r="134" ht="105" customHeight="1"/>
    <row r="135" ht="105" customHeight="1"/>
    <row r="136" ht="105" customHeight="1"/>
    <row r="137" ht="105" customHeight="1"/>
    <row r="138" ht="105" customHeight="1"/>
    <row r="139" ht="105" customHeight="1"/>
    <row r="140" ht="105" customHeight="1"/>
    <row r="141" ht="105" customHeight="1"/>
    <row r="142" ht="105" customHeight="1"/>
    <row r="143" ht="105" customHeight="1"/>
    <row r="144" ht="105" customHeight="1"/>
    <row r="145" ht="105" customHeight="1"/>
    <row r="146" ht="105" customHeight="1"/>
    <row r="147" ht="105" customHeight="1"/>
    <row r="148" ht="105" customHeight="1"/>
    <row r="149" ht="105" customHeight="1"/>
    <row r="150" ht="105" customHeight="1"/>
    <row r="151" ht="105" customHeight="1"/>
    <row r="152" ht="105" customHeight="1"/>
    <row r="153" ht="105" customHeight="1"/>
    <row r="154" ht="105" customHeight="1"/>
    <row r="155" ht="105" customHeight="1"/>
    <row r="156" ht="105" customHeight="1"/>
    <row r="157" ht="105" customHeight="1"/>
    <row r="158" ht="105" customHeight="1"/>
    <row r="159" ht="105" customHeight="1"/>
    <row r="160" ht="105" customHeight="1"/>
    <row r="161" ht="105" customHeight="1"/>
    <row r="162" ht="105" customHeight="1"/>
    <row r="163" ht="105" customHeight="1"/>
    <row r="164" ht="105" customHeight="1"/>
    <row r="165" ht="105" customHeight="1"/>
    <row r="166" ht="105" customHeight="1"/>
    <row r="167" ht="80.1" customHeight="1"/>
    <row r="168" ht="80.1" customHeight="1"/>
    <row r="169" ht="80.1" customHeight="1"/>
    <row r="170" ht="80.1" customHeight="1"/>
    <row r="171" ht="80.1" customHeight="1"/>
    <row r="172" ht="80.1" customHeight="1"/>
    <row r="173" ht="80.1" customHeight="1"/>
    <row r="174" ht="80.1" customHeight="1"/>
    <row r="175" ht="80.1" customHeight="1"/>
    <row r="176" ht="80.1" customHeight="1"/>
    <row r="177" ht="80.1" customHeight="1"/>
    <row r="178" ht="80.1" customHeight="1"/>
    <row r="179" ht="80.1" customHeight="1"/>
  </sheetData>
  <sheetProtection formatCells="0" formatRows="0" insertColumns="0" insertRows="0"/>
  <mergeCells count="65">
    <mergeCell ref="AR8:AR10"/>
    <mergeCell ref="S2:AF2"/>
    <mergeCell ref="A1:AF1"/>
    <mergeCell ref="AJ8:AJ10"/>
    <mergeCell ref="N8:N10"/>
    <mergeCell ref="A6:F7"/>
    <mergeCell ref="A8:A10"/>
    <mergeCell ref="AA8:AA10"/>
    <mergeCell ref="K8:K10"/>
    <mergeCell ref="B8:B10"/>
    <mergeCell ref="D8:D10"/>
    <mergeCell ref="H8:H10"/>
    <mergeCell ref="F8:F10"/>
    <mergeCell ref="G8:G10"/>
    <mergeCell ref="T8:T10"/>
    <mergeCell ref="Y8:Y10"/>
    <mergeCell ref="A2:B2"/>
    <mergeCell ref="AM8:AM10"/>
    <mergeCell ref="AE8:AE10"/>
    <mergeCell ref="AH8:AH10"/>
    <mergeCell ref="AK8:AK10"/>
    <mergeCell ref="AF8:AF10"/>
    <mergeCell ref="AL8:AL10"/>
    <mergeCell ref="A3:B3"/>
    <mergeCell ref="A4:B4"/>
    <mergeCell ref="A5:B5"/>
    <mergeCell ref="J2:R2"/>
    <mergeCell ref="C2:F2"/>
    <mergeCell ref="C3:F3"/>
    <mergeCell ref="C4:F4"/>
    <mergeCell ref="C5:F5"/>
    <mergeCell ref="J3:R3"/>
    <mergeCell ref="S3:AF7"/>
    <mergeCell ref="AQ8:AQ10"/>
    <mergeCell ref="Q8:Q10"/>
    <mergeCell ref="O8:O10"/>
    <mergeCell ref="M8:M10"/>
    <mergeCell ref="AN8:AN10"/>
    <mergeCell ref="AP8:AP10"/>
    <mergeCell ref="AO8:AO10"/>
    <mergeCell ref="P8:P10"/>
    <mergeCell ref="X8:X10"/>
    <mergeCell ref="AC8:AC10"/>
    <mergeCell ref="V8:V10"/>
    <mergeCell ref="AB8:AB10"/>
    <mergeCell ref="AI8:AI10"/>
    <mergeCell ref="AD8:AD10"/>
    <mergeCell ref="Z8:Z10"/>
    <mergeCell ref="C8:C10"/>
    <mergeCell ref="E8:E10"/>
    <mergeCell ref="G2:I2"/>
    <mergeCell ref="G3:I3"/>
    <mergeCell ref="G4:I4"/>
    <mergeCell ref="J8:J10"/>
    <mergeCell ref="W8:W10"/>
    <mergeCell ref="L8:L10"/>
    <mergeCell ref="I8:I10"/>
    <mergeCell ref="S8:S10"/>
    <mergeCell ref="U8:U10"/>
    <mergeCell ref="R8:R10"/>
    <mergeCell ref="J6:R6"/>
    <mergeCell ref="J7:R7"/>
    <mergeCell ref="J5:R5"/>
    <mergeCell ref="J4:R4"/>
    <mergeCell ref="G5:I7"/>
  </mergeCells>
  <conditionalFormatting sqref="H11:H20">
    <cfRule type="expression" priority="5" dxfId="2">
      <formula>AR11=FALSE</formula>
    </cfRule>
  </conditionalFormatting>
  <conditionalFormatting sqref="L11:L20">
    <cfRule type="containsText" priority="1" dxfId="1" operator="containsText" text="Over-roll">
      <formula>NOT(ISERROR(SEARCH("Over-roll",L11)))</formula>
    </cfRule>
  </conditionalFormatting>
  <printOptions horizontalCentered="1"/>
  <pageMargins left="0.3" right="0.3" top="0.3" bottom="0.3" header="0.3" footer="0.3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T20"/>
  <sheetViews>
    <sheetView showZeros="0" view="pageBreakPreview" zoomScale="55" zoomScaleNormal="55" zoomScaleSheetLayoutView="55" workbookViewId="0" topLeftCell="A1">
      <selection pane="topLeft" activeCell="A11" sqref="A11:XFD20"/>
    </sheetView>
  </sheetViews>
  <sheetFormatPr defaultColWidth="9.140625" defaultRowHeight="12.75"/>
  <cols>
    <col min="1" max="1" width="8.85714285714286" style="25" customWidth="1"/>
    <col min="2" max="2" width="25.1428571428571" style="25" customWidth="1"/>
    <col min="3" max="3" width="17" style="25" customWidth="1"/>
    <col min="4" max="4" width="44.1428571428571" style="25" customWidth="1"/>
    <col min="5" max="6" width="17.5714285714286" style="25" customWidth="1"/>
    <col min="7" max="7" width="14.7142857142857" style="25" customWidth="1"/>
    <col min="8" max="8" width="13.8571428571429" style="34" customWidth="1"/>
    <col min="9" max="9" width="18.7142857142857" style="34" customWidth="1"/>
    <col min="10" max="10" width="16.1428571428571" style="25" customWidth="1"/>
    <col min="11" max="11" width="15.1428571428571" style="25" customWidth="1"/>
    <col min="12" max="12" width="18" style="25" customWidth="1"/>
    <col min="13" max="13" width="15.2857142857143" style="25" customWidth="1"/>
    <col min="14" max="14" width="12.7142857142857" style="25" customWidth="1"/>
    <col min="15" max="15" width="15.2857142857143" style="25" customWidth="1"/>
    <col min="16" max="16" width="81.1428571428571" customWidth="1"/>
    <col min="17" max="17" width="16.2857142857143" customWidth="1"/>
    <col min="19" max="19" width="23.8571428571429" bestFit="1" customWidth="1"/>
    <col min="20" max="20" width="11.8571428571429" bestFit="1" customWidth="1"/>
  </cols>
  <sheetData>
    <row r="1" spans="1:17" ht="130.5" customHeight="1">
      <c r="A1" s="203" t="s">
        <v>167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</row>
    <row r="2" spans="1:17" ht="39.95" customHeight="1">
      <c r="A2" s="204" t="s">
        <v>7</v>
      </c>
      <c r="B2" s="204"/>
      <c r="C2" s="204"/>
      <c r="D2" s="204"/>
      <c r="E2" s="212" t="s">
        <v>96</v>
      </c>
      <c r="F2" s="212"/>
      <c r="G2" s="212"/>
      <c r="H2" s="192" t="str">
        <f>Data!BF5</f>
        <v>Campbell, Neil</v>
      </c>
      <c r="I2" s="192"/>
      <c r="J2" s="192"/>
      <c r="K2" s="192"/>
      <c r="L2" s="192"/>
      <c r="M2" s="192"/>
      <c r="N2" s="192"/>
      <c r="O2" s="188" t="s">
        <v>4</v>
      </c>
      <c r="P2" s="188"/>
      <c r="Q2" s="188"/>
    </row>
    <row r="3" spans="1:20" ht="39.95" customHeight="1">
      <c r="A3" s="205" t="s">
        <v>118</v>
      </c>
      <c r="B3" s="205"/>
      <c r="C3" s="202" t="str">
        <f>Data!BC5</f>
        <v>12085</v>
      </c>
      <c r="D3" s="202"/>
      <c r="E3" s="211" t="s">
        <v>8</v>
      </c>
      <c r="F3" s="211"/>
      <c r="G3" s="211"/>
      <c r="H3" s="191" t="str">
        <f>Data!AX5</f>
        <v>Verticali Patio Blinds &amp; Fixed Guide Awnings</v>
      </c>
      <c r="I3" s="191"/>
      <c r="J3" s="191"/>
      <c r="K3" s="191"/>
      <c r="L3" s="191"/>
      <c r="M3" s="191"/>
      <c r="N3" s="191"/>
      <c r="O3" s="200" t="str">
        <f>TRIM(Data!BG5)</f>
        <v/>
      </c>
      <c r="P3" s="200"/>
      <c r="Q3" s="200"/>
      <c r="S3" s="129" t="s">
        <v>1244</v>
      </c>
      <c r="T3" s="129" t="s">
        <v>1246</v>
      </c>
    </row>
    <row r="4" spans="1:20" ht="39.95" customHeight="1">
      <c r="A4" s="200" t="s">
        <v>15</v>
      </c>
      <c r="B4" s="200"/>
      <c r="C4" s="202" t="str">
        <f>Data!BD5</f>
        <v>A</v>
      </c>
      <c r="D4" s="202"/>
      <c r="E4" s="211" t="s">
        <v>114</v>
      </c>
      <c r="F4" s="211"/>
      <c r="G4" s="211"/>
      <c r="H4" s="190" t="str">
        <f>Data!BA5</f>
        <v>18/09/2026 12:00:00 AM</v>
      </c>
      <c r="I4" s="190"/>
      <c r="J4" s="190"/>
      <c r="K4" s="190"/>
      <c r="L4" s="190"/>
      <c r="M4" s="190"/>
      <c r="N4" s="190"/>
      <c r="O4" s="200"/>
      <c r="P4" s="200"/>
      <c r="Q4" s="200"/>
      <c r="S4" s="129" t="s">
        <v>1247</v>
      </c>
      <c r="T4" s="129" t="s">
        <v>202</v>
      </c>
    </row>
    <row r="5" spans="1:20" ht="39.95" customHeight="1">
      <c r="A5" s="209" t="s">
        <v>10</v>
      </c>
      <c r="B5" s="209"/>
      <c r="C5" s="210" t="str">
        <f>Data!AY5</f>
        <v>6/08/2026 12:00:00 AM</v>
      </c>
      <c r="D5" s="210"/>
      <c r="E5" s="202" t="s">
        <v>13</v>
      </c>
      <c r="F5" s="202"/>
      <c r="G5" s="202"/>
      <c r="H5" s="189" t="str">
        <f>TRIM(Data!BF5)</f>
        <v>Campbell, Neil</v>
      </c>
      <c r="I5" s="189"/>
      <c r="J5" s="189"/>
      <c r="K5" s="189"/>
      <c r="L5" s="189"/>
      <c r="M5" s="189"/>
      <c r="N5" s="189"/>
      <c r="O5" s="200"/>
      <c r="P5" s="200"/>
      <c r="Q5" s="200"/>
      <c r="S5" s="129" t="s">
        <v>1248</v>
      </c>
      <c r="T5" s="129" t="s">
        <v>1251</v>
      </c>
    </row>
    <row r="6" spans="1:20" ht="39.95" customHeight="1">
      <c r="A6" s="201" t="str">
        <f>Data!CZ5</f>
        <v>Retail Customer</v>
      </c>
      <c r="B6" s="201"/>
      <c r="C6" s="201"/>
      <c r="D6" s="201"/>
      <c r="E6" s="202"/>
      <c r="F6" s="202"/>
      <c r="G6" s="202"/>
      <c r="H6" s="189" t="str">
        <f>CONCATENATE(Data!BH5," ",Data!BI5," ",Data!BJ5," ",Data!BK5," ",Data!BL5)</f>
        <v xml:space="preserve"> 7161  Midland Highway </v>
      </c>
      <c r="I6" s="189"/>
      <c r="J6" s="189"/>
      <c r="K6" s="189"/>
      <c r="L6" s="189"/>
      <c r="M6" s="189"/>
      <c r="N6" s="189"/>
      <c r="O6" s="200"/>
      <c r="P6" s="200"/>
      <c r="Q6" s="200"/>
      <c r="S6" s="129" t="s">
        <v>1249</v>
      </c>
      <c r="T6" s="129" t="s">
        <v>1252</v>
      </c>
    </row>
    <row r="7" spans="1:20" ht="39.95" customHeight="1">
      <c r="A7" s="201"/>
      <c r="B7" s="201"/>
      <c r="C7" s="201"/>
      <c r="D7" s="201"/>
      <c r="E7" s="202"/>
      <c r="F7" s="202"/>
      <c r="G7" s="202"/>
      <c r="H7" s="189" t="str">
        <f>CONCATENATE(Data!BM5," ",Data!BN5," ",Data!BO5," ",Data!BP5)</f>
        <v>Buninyong VIC 3357 Australia</v>
      </c>
      <c r="I7" s="189"/>
      <c r="J7" s="189"/>
      <c r="K7" s="189"/>
      <c r="L7" s="189"/>
      <c r="M7" s="189"/>
      <c r="N7" s="189"/>
      <c r="O7" s="200"/>
      <c r="P7" s="200"/>
      <c r="Q7" s="200"/>
      <c r="S7" s="129" t="s">
        <v>1250</v>
      </c>
      <c r="T7" s="129" t="s">
        <v>1253</v>
      </c>
    </row>
    <row r="8" spans="1:17" ht="23.25" customHeight="1">
      <c r="A8" s="206" t="s">
        <v>117</v>
      </c>
      <c r="B8" s="207" t="s">
        <v>98</v>
      </c>
      <c r="C8" s="195" t="s">
        <v>1244</v>
      </c>
      <c r="D8" s="199" t="s">
        <v>9</v>
      </c>
      <c r="E8" s="199" t="s">
        <v>1241</v>
      </c>
      <c r="F8" s="199" t="s">
        <v>1242</v>
      </c>
      <c r="G8" s="198" t="s">
        <v>121</v>
      </c>
      <c r="H8" s="198" t="s">
        <v>122</v>
      </c>
      <c r="I8" s="196" t="s">
        <v>374</v>
      </c>
      <c r="J8" s="208" t="s">
        <v>116</v>
      </c>
      <c r="K8" s="197" t="s">
        <v>131</v>
      </c>
      <c r="L8" s="197" t="s">
        <v>132</v>
      </c>
      <c r="M8" s="194" t="s">
        <v>123</v>
      </c>
      <c r="N8" s="195" t="s">
        <v>352</v>
      </c>
      <c r="O8" s="193" t="s">
        <v>1043</v>
      </c>
      <c r="P8" s="199" t="s">
        <v>5</v>
      </c>
      <c r="Q8" s="199" t="s">
        <v>828</v>
      </c>
    </row>
    <row r="9" spans="1:17" ht="12.75" customHeight="1">
      <c r="A9" s="206"/>
      <c r="B9" s="207"/>
      <c r="C9" s="195"/>
      <c r="D9" s="199"/>
      <c r="E9" s="199"/>
      <c r="F9" s="199"/>
      <c r="G9" s="198"/>
      <c r="H9" s="198"/>
      <c r="I9" s="196"/>
      <c r="J9" s="208"/>
      <c r="K9" s="197"/>
      <c r="L9" s="197"/>
      <c r="M9" s="194"/>
      <c r="N9" s="195"/>
      <c r="O9" s="193"/>
      <c r="P9" s="199"/>
      <c r="Q9" s="199"/>
    </row>
    <row r="10" spans="1:17" ht="36" customHeight="1">
      <c r="A10" s="206"/>
      <c r="B10" s="207"/>
      <c r="C10" s="195"/>
      <c r="D10" s="199"/>
      <c r="E10" s="199"/>
      <c r="F10" s="199"/>
      <c r="G10" s="198"/>
      <c r="H10" s="198"/>
      <c r="I10" s="196"/>
      <c r="J10" s="208"/>
      <c r="K10" s="197"/>
      <c r="L10" s="197"/>
      <c r="M10" s="194"/>
      <c r="N10" s="195"/>
      <c r="O10" s="193"/>
      <c r="P10" s="199"/>
      <c r="Q10" s="199"/>
    </row>
    <row r="11" spans="1:17" s="75" customFormat="1" ht="60" customHeight="1">
      <c r="A11" s="47">
        <f>'Job Sheet'!A11</f>
        <v>2</v>
      </c>
      <c r="B11" s="49" t="str">
        <f>'Job Sheet'!B11</f>
        <v>Dining</v>
      </c>
      <c r="C11" s="130" t="str">
        <f>IF(Data!AV11="","",VLOOKUP(CONCATENATE(I11,N11),FabricProcedure,2,FALSE))</f>
        <v>D</v>
      </c>
      <c r="D11" s="99" t="str">
        <f>'Job Sheet'!H11</f>
        <v>HVG Visiontex Glisse Sunscreen Naxos</v>
      </c>
      <c r="E11" s="24" t="str">
        <f>IF(Data!AV11="","",VLOOKUP(D11,ColourMatch,7,FALSE))</f>
        <v>F3</v>
      </c>
      <c r="F11" s="24" t="str">
        <f>IF(Data!AV11="","",VLOOKUP(D11,ColourMatch,8,FALSE))</f>
        <v>U4</v>
      </c>
      <c r="G11" s="69">
        <f>IF(N11="Yes - Fold Hems",'Job Sheet'!AM11+35,'Job Sheet'!AM11)</f>
        <v>4105</v>
      </c>
      <c r="H11" s="69">
        <f>'Job Sheet'!AN11</f>
        <v>2050</v>
      </c>
      <c r="I11" s="128" t="str">
        <f>IF(Data!AV11="","",VLOOKUP(D11,ColourMatch,4,FALSE))</f>
        <v>Yes</v>
      </c>
      <c r="J11" s="29">
        <f>IF(Data!AV11="","",VLOOKUP(D11,ColourMatch,5,FALSE))</f>
        <v>3200</v>
      </c>
      <c r="K11" s="47"/>
      <c r="L11" s="104" t="str">
        <f t="shared" si="0" ref="L11:L20">IF(J11=1200,INDEX(AcrylicGrid,MATCH(H11,AcrylicDrop,1),MATCH(G11,AcrylicWidth,1)),IF(J11=2200,INDEX(CanvasGrid,MATCH(H11,CanvasDrop,1),MATCH(G11,CanvasWidth,1)),""))</f>
        <v/>
      </c>
      <c r="M11" s="84" t="str">
        <f>'Job Sheet'!W11</f>
        <v>Back</v>
      </c>
      <c r="N11" s="85" t="str">
        <f>IF(AND(I11="No",'Job Sheet'!AM11&gt;J11,'Job Sheet'!X11&lt;&gt;"Yes Standard for Canvas"),"Yes - Fold Hems",IF(OR('Job Sheet'!X11="Yes for Mesh",'Job Sheet'!X11="Yes Standard for Canvas"),"Yes",'Job Sheet'!X11))</f>
        <v>Yes</v>
      </c>
      <c r="O11" s="89">
        <f>IF(G11="","",G11/2)</f>
        <v>2052.5</v>
      </c>
      <c r="P11" s="127" t="str">
        <f>'Job Sheet'!AF11</f>
        <v/>
      </c>
      <c r="Q11" s="108">
        <f>A11</f>
        <v>2</v>
      </c>
    </row>
    <row r="12" spans="1:17" s="75" customFormat="1" ht="60" customHeight="1">
      <c r="A12" s="47">
        <f>'Job Sheet'!A12</f>
        <v>3</v>
      </c>
      <c r="B12" s="49" t="str">
        <f>'Job Sheet'!B12</f>
        <v>Master</v>
      </c>
      <c r="C12" s="130" t="str">
        <f>IF(Data!AV12="","",VLOOKUP(CONCATENATE(I12,N12),FabricProcedure,2,FALSE))</f>
        <v>D</v>
      </c>
      <c r="D12" s="99" t="str">
        <f>'Job Sheet'!H12</f>
        <v>HVG Visiontex Glisse Sunscreen Naxos</v>
      </c>
      <c r="E12" s="24" t="str">
        <f>IF(Data!AV12="","",VLOOKUP(D12,ColourMatch,7,FALSE))</f>
        <v>F3</v>
      </c>
      <c r="F12" s="24" t="str">
        <f>IF(Data!AV12="","",VLOOKUP(D12,ColourMatch,8,FALSE))</f>
        <v>U4</v>
      </c>
      <c r="G12" s="69">
        <f>IF(N12="Yes - Fold Hems",'Job Sheet'!AM12+35,'Job Sheet'!AM12)</f>
        <v>1731</v>
      </c>
      <c r="H12" s="69">
        <f>'Job Sheet'!AN12</f>
        <v>2380</v>
      </c>
      <c r="I12" s="128" t="str">
        <f>IF(Data!AV12="","",VLOOKUP(D12,ColourMatch,4,FALSE))</f>
        <v>Yes</v>
      </c>
      <c r="J12" s="29">
        <f>IF(Data!AV12="","",VLOOKUP(D12,ColourMatch,5,FALSE))</f>
        <v>3200</v>
      </c>
      <c r="K12" s="47"/>
      <c r="L12" s="104" t="str">
        <f t="shared" si="0"/>
        <v/>
      </c>
      <c r="M12" s="84" t="str">
        <f>'Job Sheet'!W12</f>
        <v>Back</v>
      </c>
      <c r="N12" s="85" t="str">
        <f>IF(AND(I12="No",'Job Sheet'!AM12&gt;J12,'Job Sheet'!X12&lt;&gt;"Yes Standard for Canvas"),"Yes - Fold Hems",IF(OR('Job Sheet'!X12="Yes for Mesh",'Job Sheet'!X12="Yes Standard for Canvas"),"Yes",'Job Sheet'!X12))</f>
        <v>Yes</v>
      </c>
      <c r="O12" s="89">
        <f t="shared" si="1" ref="O12:O20">IF(G12="","",G12/2)</f>
        <v>865.5</v>
      </c>
      <c r="P12" s="127" t="str">
        <f>'Job Sheet'!AF12</f>
        <v/>
      </c>
      <c r="Q12" s="108">
        <f t="shared" si="2" ref="Q12:Q20">A12</f>
        <v>3</v>
      </c>
    </row>
    <row r="13" spans="1:17" s="75" customFormat="1" ht="60" customHeight="1">
      <c r="A13" s="47">
        <f>'Job Sheet'!A13</f>
        <v>4</v>
      </c>
      <c r="B13" s="49" t="str">
        <f>'Job Sheet'!B13</f>
        <v>Master 2</v>
      </c>
      <c r="C13" s="130" t="str">
        <f>IF(Data!AV13="","",VLOOKUP(CONCATENATE(I13,N13),FabricProcedure,2,FALSE))</f>
        <v>D</v>
      </c>
      <c r="D13" s="99" t="str">
        <f>'Job Sheet'!H13</f>
        <v>HVG Visiontex Glisse Sunscreen Naxos</v>
      </c>
      <c r="E13" s="24" t="str">
        <f>IF(Data!AV13="","",VLOOKUP(D13,ColourMatch,7,FALSE))</f>
        <v>F3</v>
      </c>
      <c r="F13" s="24" t="str">
        <f>IF(Data!AV13="","",VLOOKUP(D13,ColourMatch,8,FALSE))</f>
        <v>U4</v>
      </c>
      <c r="G13" s="69">
        <f>IF(N13="Yes - Fold Hems",'Job Sheet'!AM13+35,'Job Sheet'!AM13)</f>
        <v>1730</v>
      </c>
      <c r="H13" s="69">
        <f>'Job Sheet'!AN13</f>
        <v>2380</v>
      </c>
      <c r="I13" s="128" t="str">
        <f>IF(Data!AV13="","",VLOOKUP(D13,ColourMatch,4,FALSE))</f>
        <v>Yes</v>
      </c>
      <c r="J13" s="29">
        <f>IF(Data!AV13="","",VLOOKUP(D13,ColourMatch,5,FALSE))</f>
        <v>3200</v>
      </c>
      <c r="K13" s="47"/>
      <c r="L13" s="104" t="str">
        <f t="shared" si="0"/>
        <v/>
      </c>
      <c r="M13" s="84" t="str">
        <f>'Job Sheet'!W13</f>
        <v>Back</v>
      </c>
      <c r="N13" s="85" t="str">
        <f>IF(AND(I13="No",'Job Sheet'!AM13&gt;J13,'Job Sheet'!X13&lt;&gt;"Yes Standard for Canvas"),"Yes - Fold Hems",IF(OR('Job Sheet'!X13="Yes for Mesh",'Job Sheet'!X13="Yes Standard for Canvas"),"Yes",'Job Sheet'!X13))</f>
        <v>Yes</v>
      </c>
      <c r="O13" s="89">
        <f t="shared" si="1"/>
        <v>865</v>
      </c>
      <c r="P13" s="127" t="str">
        <f>'Job Sheet'!AF13</f>
        <v/>
      </c>
      <c r="Q13" s="108">
        <f t="shared" si="2"/>
        <v>4</v>
      </c>
    </row>
    <row r="14" spans="1:17" s="75" customFormat="1" ht="60" customHeight="1">
      <c r="A14" s="47">
        <f>'Job Sheet'!A14</f>
        <v>5</v>
      </c>
      <c r="B14" s="49" t="str">
        <f>'Job Sheet'!B14</f>
        <v>Lounge</v>
      </c>
      <c r="C14" s="130" t="str">
        <f>IF(Data!AV14="","",VLOOKUP(CONCATENATE(I14,N14),FabricProcedure,2,FALSE))</f>
        <v>D</v>
      </c>
      <c r="D14" s="99" t="str">
        <f>'Job Sheet'!H14</f>
        <v>HVG Visiontex Glisse Sunscreen Naxos</v>
      </c>
      <c r="E14" s="24" t="str">
        <f>IF(Data!AV14="","",VLOOKUP(D14,ColourMatch,7,FALSE))</f>
        <v>F3</v>
      </c>
      <c r="F14" s="24" t="str">
        <f>IF(Data!AV14="","",VLOOKUP(D14,ColourMatch,8,FALSE))</f>
        <v>U4</v>
      </c>
      <c r="G14" s="69">
        <f>IF(N14="Yes - Fold Hems",'Job Sheet'!AM14+35,'Job Sheet'!AM14)</f>
        <v>2930</v>
      </c>
      <c r="H14" s="69">
        <f>'Job Sheet'!AN14</f>
        <v>2600</v>
      </c>
      <c r="I14" s="128" t="str">
        <f>IF(Data!AV14="","",VLOOKUP(D14,ColourMatch,4,FALSE))</f>
        <v>Yes</v>
      </c>
      <c r="J14" s="29">
        <f>IF(Data!AV14="","",VLOOKUP(D14,ColourMatch,5,FALSE))</f>
        <v>3200</v>
      </c>
      <c r="K14" s="47"/>
      <c r="L14" s="104" t="str">
        <f t="shared" si="0"/>
        <v/>
      </c>
      <c r="M14" s="84" t="str">
        <f>'Job Sheet'!W14</f>
        <v>Back</v>
      </c>
      <c r="N14" s="85" t="str">
        <f>IF(AND(I14="No",'Job Sheet'!AM14&gt;J14,'Job Sheet'!X14&lt;&gt;"Yes Standard for Canvas"),"Yes - Fold Hems",IF(OR('Job Sheet'!X14="Yes for Mesh",'Job Sheet'!X14="Yes Standard for Canvas"),"Yes",'Job Sheet'!X14))</f>
        <v>Yes</v>
      </c>
      <c r="O14" s="89">
        <f t="shared" si="1"/>
        <v>1465</v>
      </c>
      <c r="P14" s="127" t="str">
        <f>'Job Sheet'!AF14</f>
        <v/>
      </c>
      <c r="Q14" s="108">
        <f t="shared" si="2"/>
        <v>5</v>
      </c>
    </row>
    <row r="15" spans="1:17" s="75" customFormat="1" ht="60" customHeight="1">
      <c r="A15" s="47">
        <f>'Job Sheet'!A15</f>
        <v>6</v>
      </c>
      <c r="B15" s="49" t="str">
        <f>'Job Sheet'!B15</f>
        <v>Bed 4</v>
      </c>
      <c r="C15" s="130" t="str">
        <f>IF(Data!AV15="","",VLOOKUP(CONCATENATE(I15,N15),FabricProcedure,2,FALSE))</f>
        <v>D</v>
      </c>
      <c r="D15" s="99" t="str">
        <f>'Job Sheet'!H15</f>
        <v>HVG Visiontex Glisse Sunscreen Naxos</v>
      </c>
      <c r="E15" s="24" t="str">
        <f>IF(Data!AV15="","",VLOOKUP(D15,ColourMatch,7,FALSE))</f>
        <v>F3</v>
      </c>
      <c r="F15" s="24" t="str">
        <f>IF(Data!AV15="","",VLOOKUP(D15,ColourMatch,8,FALSE))</f>
        <v>U4</v>
      </c>
      <c r="G15" s="69">
        <f>IF(N15="Yes - Fold Hems",'Job Sheet'!AM15+35,'Job Sheet'!AM15)</f>
        <v>2271</v>
      </c>
      <c r="H15" s="69">
        <f>'Job Sheet'!AN15</f>
        <v>2600</v>
      </c>
      <c r="I15" s="128" t="str">
        <f>IF(Data!AV15="","",VLOOKUP(D15,ColourMatch,4,FALSE))</f>
        <v>Yes</v>
      </c>
      <c r="J15" s="29">
        <f>IF(Data!AV15="","",VLOOKUP(D15,ColourMatch,5,FALSE))</f>
        <v>3200</v>
      </c>
      <c r="K15" s="47"/>
      <c r="L15" s="104" t="str">
        <f t="shared" si="0"/>
        <v/>
      </c>
      <c r="M15" s="84" t="str">
        <f>'Job Sheet'!W15</f>
        <v>Back</v>
      </c>
      <c r="N15" s="85" t="str">
        <f>IF(AND(I15="No",'Job Sheet'!AM15&gt;J15,'Job Sheet'!X15&lt;&gt;"Yes Standard for Canvas"),"Yes - Fold Hems",IF(OR('Job Sheet'!X15="Yes for Mesh",'Job Sheet'!X15="Yes Standard for Canvas"),"Yes",'Job Sheet'!X15))</f>
        <v>Yes</v>
      </c>
      <c r="O15" s="89">
        <f t="shared" si="1"/>
        <v>1135.5</v>
      </c>
      <c r="P15" s="127" t="str">
        <f>'Job Sheet'!AF15</f>
        <v/>
      </c>
      <c r="Q15" s="108">
        <f t="shared" si="2"/>
        <v>6</v>
      </c>
    </row>
    <row r="16" spans="1:17" s="75" customFormat="1" ht="60" customHeight="1">
      <c r="A16" s="47">
        <f>'Job Sheet'!A16</f>
        <v>0</v>
      </c>
      <c r="B16" s="49">
        <f>'Job Sheet'!B16</f>
        <v>0</v>
      </c>
      <c r="C16" s="130" t="str">
        <f>IF(Data!AV16="","",VLOOKUP(CONCATENATE(I16,N16),FabricProcedure,2,FALSE))</f>
        <v/>
      </c>
      <c r="D16" s="99" t="str">
        <f>'Job Sheet'!H16</f>
        <v/>
      </c>
      <c r="E16" s="24" t="str">
        <f>IF(Data!AV16="","",VLOOKUP(D16,ColourMatch,7,FALSE))</f>
        <v/>
      </c>
      <c r="F16" s="24" t="str">
        <f>IF(Data!AV16="","",VLOOKUP(D16,ColourMatch,8,FALSE))</f>
        <v/>
      </c>
      <c r="G16" s="69" t="str">
        <f>IF(N16="Yes - Fold Hems",'Job Sheet'!AM16+35,'Job Sheet'!AM16)</f>
        <v/>
      </c>
      <c r="H16" s="69" t="str">
        <f>'Job Sheet'!AN16</f>
        <v/>
      </c>
      <c r="I16" s="128" t="str">
        <f>IF(Data!AV16="","",VLOOKUP(D16,ColourMatch,4,FALSE))</f>
        <v/>
      </c>
      <c r="J16" s="29" t="str">
        <f>IF(Data!AV16="","",VLOOKUP(D16,ColourMatch,5,FALSE))</f>
        <v/>
      </c>
      <c r="K16" s="47"/>
      <c r="L16" s="104" t="str">
        <f t="shared" si="0"/>
        <v/>
      </c>
      <c r="M16" s="84" t="str">
        <f>'Job Sheet'!W16</f>
        <v/>
      </c>
      <c r="N16" s="85" t="str">
        <f>IF(AND(I16="No",'Job Sheet'!AM16&gt;J16,'Job Sheet'!X16&lt;&gt;"Yes Standard for Canvas"),"Yes - Fold Hems",IF(OR('Job Sheet'!X16="Yes for Mesh",'Job Sheet'!X16="Yes Standard for Canvas"),"Yes",'Job Sheet'!X16))</f>
        <v/>
      </c>
      <c r="O16" s="89" t="str">
        <f t="shared" si="1"/>
        <v/>
      </c>
      <c r="P16" s="127" t="str">
        <f>'Job Sheet'!AF16</f>
        <v/>
      </c>
      <c r="Q16" s="108">
        <f t="shared" si="2"/>
        <v>0</v>
      </c>
    </row>
    <row r="17" spans="1:17" s="75" customFormat="1" ht="60" customHeight="1">
      <c r="A17" s="47">
        <f>'Job Sheet'!A17</f>
        <v>0</v>
      </c>
      <c r="B17" s="49">
        <f>'Job Sheet'!B17</f>
        <v>0</v>
      </c>
      <c r="C17" s="130" t="str">
        <f>IF(Data!AV17="","",VLOOKUP(CONCATENATE(I17,N17),FabricProcedure,2,FALSE))</f>
        <v/>
      </c>
      <c r="D17" s="99" t="str">
        <f>'Job Sheet'!H17</f>
        <v/>
      </c>
      <c r="E17" s="24" t="str">
        <f>IF(Data!AV17="","",VLOOKUP(D17,ColourMatch,7,FALSE))</f>
        <v/>
      </c>
      <c r="F17" s="24" t="str">
        <f>IF(Data!AV17="","",VLOOKUP(D17,ColourMatch,8,FALSE))</f>
        <v/>
      </c>
      <c r="G17" s="69" t="str">
        <f>IF(N17="Yes - Fold Hems",'Job Sheet'!AM17+35,'Job Sheet'!AM17)</f>
        <v/>
      </c>
      <c r="H17" s="69" t="str">
        <f>'Job Sheet'!AN17</f>
        <v/>
      </c>
      <c r="I17" s="128" t="str">
        <f>IF(Data!AV17="","",VLOOKUP(D17,ColourMatch,4,FALSE))</f>
        <v/>
      </c>
      <c r="J17" s="29" t="str">
        <f>IF(Data!AV17="","",VLOOKUP(D17,ColourMatch,5,FALSE))</f>
        <v/>
      </c>
      <c r="K17" s="47"/>
      <c r="L17" s="104" t="str">
        <f t="shared" si="0"/>
        <v/>
      </c>
      <c r="M17" s="84" t="str">
        <f>'Job Sheet'!W17</f>
        <v/>
      </c>
      <c r="N17" s="85" t="str">
        <f>IF(AND(I17="No",'Job Sheet'!AM17&gt;J17,'Job Sheet'!X17&lt;&gt;"Yes Standard for Canvas"),"Yes - Fold Hems",IF(OR('Job Sheet'!X17="Yes for Mesh",'Job Sheet'!X17="Yes Standard for Canvas"),"Yes",'Job Sheet'!X17))</f>
        <v/>
      </c>
      <c r="O17" s="89" t="str">
        <f t="shared" si="1"/>
        <v/>
      </c>
      <c r="P17" s="127" t="str">
        <f>'Job Sheet'!AF17</f>
        <v/>
      </c>
      <c r="Q17" s="108">
        <f t="shared" si="2"/>
        <v>0</v>
      </c>
    </row>
    <row r="18" spans="1:17" s="75" customFormat="1" ht="60" customHeight="1">
      <c r="A18" s="47">
        <f>'Job Sheet'!A18</f>
        <v>0</v>
      </c>
      <c r="B18" s="49">
        <f>'Job Sheet'!B18</f>
        <v>0</v>
      </c>
      <c r="C18" s="130" t="str">
        <f>IF(Data!AV18="","",VLOOKUP(CONCATENATE(I18,N18),FabricProcedure,2,FALSE))</f>
        <v/>
      </c>
      <c r="D18" s="99" t="str">
        <f>'Job Sheet'!H18</f>
        <v/>
      </c>
      <c r="E18" s="24" t="str">
        <f>IF(Data!AV18="","",VLOOKUP(D18,ColourMatch,7,FALSE))</f>
        <v/>
      </c>
      <c r="F18" s="24" t="str">
        <f>IF(Data!AV18="","",VLOOKUP(D18,ColourMatch,8,FALSE))</f>
        <v/>
      </c>
      <c r="G18" s="69" t="str">
        <f>IF(N18="Yes - Fold Hems",'Job Sheet'!AM18+35,'Job Sheet'!AM18)</f>
        <v/>
      </c>
      <c r="H18" s="69" t="str">
        <f>'Job Sheet'!AN18</f>
        <v/>
      </c>
      <c r="I18" s="128" t="str">
        <f>IF(Data!AV18="","",VLOOKUP(D18,ColourMatch,4,FALSE))</f>
        <v/>
      </c>
      <c r="J18" s="29" t="str">
        <f>IF(Data!AV18="","",VLOOKUP(D18,ColourMatch,5,FALSE))</f>
        <v/>
      </c>
      <c r="K18" s="47"/>
      <c r="L18" s="104" t="str">
        <f t="shared" si="0"/>
        <v/>
      </c>
      <c r="M18" s="84" t="str">
        <f>'Job Sheet'!W18</f>
        <v/>
      </c>
      <c r="N18" s="85" t="str">
        <f>IF(AND(I18="No",'Job Sheet'!AM18&gt;J18,'Job Sheet'!X18&lt;&gt;"Yes Standard for Canvas"),"Yes - Fold Hems",IF(OR('Job Sheet'!X18="Yes for Mesh",'Job Sheet'!X18="Yes Standard for Canvas"),"Yes",'Job Sheet'!X18))</f>
        <v/>
      </c>
      <c r="O18" s="89" t="str">
        <f t="shared" si="1"/>
        <v/>
      </c>
      <c r="P18" s="127" t="str">
        <f>'Job Sheet'!AF18</f>
        <v/>
      </c>
      <c r="Q18" s="108">
        <f t="shared" si="2"/>
        <v>0</v>
      </c>
    </row>
    <row r="19" spans="1:17" s="75" customFormat="1" ht="60" customHeight="1">
      <c r="A19" s="47">
        <f>'Job Sheet'!A19</f>
        <v>0</v>
      </c>
      <c r="B19" s="49">
        <f>'Job Sheet'!B19</f>
        <v>0</v>
      </c>
      <c r="C19" s="130" t="str">
        <f>IF(Data!AV19="","",VLOOKUP(CONCATENATE(I19,N19),FabricProcedure,2,FALSE))</f>
        <v/>
      </c>
      <c r="D19" s="99" t="str">
        <f>'Job Sheet'!H19</f>
        <v/>
      </c>
      <c r="E19" s="24" t="str">
        <f>IF(Data!AV19="","",VLOOKUP(D19,ColourMatch,7,FALSE))</f>
        <v/>
      </c>
      <c r="F19" s="24" t="str">
        <f>IF(Data!AV19="","",VLOOKUP(D19,ColourMatch,8,FALSE))</f>
        <v/>
      </c>
      <c r="G19" s="69" t="str">
        <f>IF(N19="Yes - Fold Hems",'Job Sheet'!AM19+35,'Job Sheet'!AM19)</f>
        <v/>
      </c>
      <c r="H19" s="69" t="str">
        <f>'Job Sheet'!AN19</f>
        <v/>
      </c>
      <c r="I19" s="128" t="str">
        <f>IF(Data!AV19="","",VLOOKUP(D19,ColourMatch,4,FALSE))</f>
        <v/>
      </c>
      <c r="J19" s="29" t="str">
        <f>IF(Data!AV19="","",VLOOKUP(D19,ColourMatch,5,FALSE))</f>
        <v/>
      </c>
      <c r="K19" s="47"/>
      <c r="L19" s="104" t="str">
        <f t="shared" si="0"/>
        <v/>
      </c>
      <c r="M19" s="84" t="str">
        <f>'Job Sheet'!W19</f>
        <v/>
      </c>
      <c r="N19" s="85" t="str">
        <f>IF(AND(I19="No",'Job Sheet'!AM19&gt;J19,'Job Sheet'!X19&lt;&gt;"Yes Standard for Canvas"),"Yes - Fold Hems",IF(OR('Job Sheet'!X19="Yes for Mesh",'Job Sheet'!X19="Yes Standard for Canvas"),"Yes",'Job Sheet'!X19))</f>
        <v/>
      </c>
      <c r="O19" s="89" t="str">
        <f t="shared" si="1"/>
        <v/>
      </c>
      <c r="P19" s="127" t="str">
        <f>'Job Sheet'!AF19</f>
        <v/>
      </c>
      <c r="Q19" s="108">
        <f t="shared" si="2"/>
        <v>0</v>
      </c>
    </row>
    <row r="20" spans="1:17" s="75" customFormat="1" ht="60" customHeight="1">
      <c r="A20" s="47">
        <f>'Job Sheet'!A20</f>
        <v>0</v>
      </c>
      <c r="B20" s="49">
        <f>'Job Sheet'!B20</f>
        <v>0</v>
      </c>
      <c r="C20" s="130" t="str">
        <f>IF(Data!AV20="","",VLOOKUP(CONCATENATE(I20,N20),FabricProcedure,2,FALSE))</f>
        <v/>
      </c>
      <c r="D20" s="99" t="str">
        <f>'Job Sheet'!H20</f>
        <v/>
      </c>
      <c r="E20" s="24" t="str">
        <f>IF(Data!AV20="","",VLOOKUP(D20,ColourMatch,7,FALSE))</f>
        <v/>
      </c>
      <c r="F20" s="24" t="str">
        <f>IF(Data!AV20="","",VLOOKUP(D20,ColourMatch,8,FALSE))</f>
        <v/>
      </c>
      <c r="G20" s="69" t="str">
        <f>IF(N20="Yes - Fold Hems",'Job Sheet'!AM20+35,'Job Sheet'!AM20)</f>
        <v/>
      </c>
      <c r="H20" s="69" t="str">
        <f>'Job Sheet'!AN20</f>
        <v/>
      </c>
      <c r="I20" s="128" t="str">
        <f>IF(Data!AV20="","",VLOOKUP(D20,ColourMatch,4,FALSE))</f>
        <v/>
      </c>
      <c r="J20" s="29" t="str">
        <f>IF(Data!AV20="","",VLOOKUP(D20,ColourMatch,5,FALSE))</f>
        <v/>
      </c>
      <c r="K20" s="47"/>
      <c r="L20" s="104" t="str">
        <f t="shared" si="0"/>
        <v/>
      </c>
      <c r="M20" s="84" t="str">
        <f>'Job Sheet'!W20</f>
        <v/>
      </c>
      <c r="N20" s="85" t="str">
        <f>IF(AND(I20="No",'Job Sheet'!AM20&gt;J20,'Job Sheet'!X20&lt;&gt;"Yes Standard for Canvas"),"Yes - Fold Hems",IF(OR('Job Sheet'!X20="Yes for Mesh",'Job Sheet'!X20="Yes Standard for Canvas"),"Yes",'Job Sheet'!X20))</f>
        <v/>
      </c>
      <c r="O20" s="89" t="str">
        <f t="shared" si="1"/>
        <v/>
      </c>
      <c r="P20" s="127" t="str">
        <f>'Job Sheet'!AF20</f>
        <v/>
      </c>
      <c r="Q20" s="108">
        <f t="shared" si="2"/>
        <v>0</v>
      </c>
    </row>
    <row r="21" ht="60" customHeight="1"/>
    <row r="22" ht="60" customHeight="1"/>
    <row r="23" ht="60" customHeight="1"/>
    <row r="24" ht="60" customHeight="1"/>
    <row r="25" ht="35.1" customHeight="1"/>
    <row r="26" ht="35.1" customHeight="1"/>
    <row r="27" ht="35.1" customHeight="1"/>
    <row r="28" ht="35.1" customHeight="1"/>
    <row r="29" ht="35.1" customHeight="1"/>
    <row r="30" ht="35.1" customHeight="1"/>
    <row r="31" ht="35.1" customHeight="1"/>
    <row r="32" ht="35.1" customHeight="1"/>
    <row r="33" ht="35.1" customHeight="1"/>
    <row r="34" ht="35.1" customHeight="1"/>
    <row r="35" ht="35.1" customHeight="1"/>
    <row r="36" ht="35.1" customHeight="1"/>
    <row r="37" ht="35.1" customHeight="1"/>
    <row r="38" ht="35.1" customHeight="1"/>
    <row r="39" ht="35.1" customHeight="1"/>
    <row r="40" ht="35.1" customHeight="1"/>
    <row r="41" ht="35.1" customHeight="1"/>
    <row r="42" ht="35.1" customHeight="1"/>
    <row r="43" ht="35.1" customHeight="1"/>
    <row r="44" ht="35.1" customHeight="1"/>
    <row r="45" ht="35.1" customHeight="1"/>
    <row r="46" ht="35.1" customHeight="1"/>
    <row r="47" ht="35.1" customHeight="1"/>
    <row r="48" ht="35.1" customHeight="1"/>
    <row r="49" ht="35.1" customHeight="1"/>
    <row r="50" ht="35.1" customHeight="1"/>
    <row r="51" ht="35.1" customHeight="1"/>
    <row r="52" ht="35.1" customHeight="1"/>
    <row r="53" ht="35.1" customHeight="1"/>
    <row r="54" ht="35.1" customHeight="1"/>
    <row r="55" ht="35.1" customHeight="1"/>
    <row r="56" ht="39.95" customHeight="1"/>
    <row r="57" ht="39.95" customHeight="1"/>
    <row r="58" ht="39.95" customHeight="1"/>
    <row r="59" ht="39.95" customHeight="1"/>
    <row r="60" ht="39.95" customHeight="1"/>
    <row r="61" ht="39.95" customHeight="1"/>
    <row r="62" ht="39.95" customHeight="1"/>
    <row r="63" ht="39.95" customHeight="1"/>
    <row r="64" ht="39.95" customHeight="1"/>
    <row r="65" ht="39.95" customHeight="1"/>
    <row r="66" ht="39.95" customHeight="1"/>
    <row r="67" ht="39.95" customHeight="1"/>
    <row r="68" ht="39.95" customHeight="1"/>
    <row r="69" ht="39.95" customHeight="1"/>
    <row r="70" ht="39.95" customHeight="1"/>
    <row r="71" ht="39.95" customHeight="1"/>
    <row r="72" ht="39.95" customHeight="1"/>
    <row r="73" ht="39.95" customHeight="1"/>
    <row r="74" ht="39.95" customHeight="1"/>
    <row r="75" ht="39.95" customHeight="1"/>
    <row r="76" ht="39.95" customHeight="1"/>
    <row r="77" ht="39.95" customHeight="1"/>
    <row r="78" ht="39.95" customHeight="1"/>
    <row r="79" ht="39.95" customHeight="1"/>
    <row r="80" ht="39.95" customHeight="1"/>
    <row r="81" ht="39.95" customHeight="1"/>
    <row r="82" ht="39.95" customHeight="1"/>
    <row r="83" ht="39.95" customHeight="1"/>
    <row r="84" ht="39.95" customHeight="1"/>
    <row r="85" ht="39.95" customHeight="1"/>
    <row r="86" ht="39.95" customHeight="1"/>
    <row r="87" ht="39.95" customHeight="1"/>
    <row r="88" ht="39.95" customHeight="1"/>
    <row r="89" ht="39.95" customHeight="1"/>
    <row r="90" ht="39.95" customHeight="1"/>
    <row r="91" ht="39.95" customHeight="1"/>
    <row r="92" ht="39.95" customHeight="1"/>
    <row r="93" ht="39.95" customHeight="1"/>
    <row r="94" ht="39.95" customHeight="1"/>
    <row r="95" ht="39.95" customHeight="1"/>
    <row r="96" ht="39.95" customHeight="1"/>
    <row r="97" ht="39.95" customHeight="1"/>
    <row r="98" ht="39.95" customHeight="1"/>
    <row r="99" ht="39.95" customHeight="1"/>
    <row r="100" ht="39.95" customHeight="1"/>
    <row r="101" ht="39.95" customHeight="1"/>
    <row r="102" ht="39.95" customHeight="1"/>
    <row r="103" ht="39.95" customHeight="1"/>
    <row r="104" ht="39.95" customHeight="1"/>
    <row r="105" ht="39.95" customHeight="1"/>
    <row r="106" ht="39.95" customHeight="1"/>
    <row r="107" ht="39.95" customHeight="1"/>
    <row r="108" ht="39.95" customHeight="1"/>
    <row r="109" ht="39.95" customHeight="1"/>
    <row r="110" ht="39.95" customHeight="1"/>
    <row r="111" ht="39.95" customHeight="1"/>
    <row r="112" ht="39.95" customHeight="1"/>
    <row r="113" ht="39.95" customHeight="1"/>
    <row r="114" ht="39.95" customHeight="1"/>
    <row r="115" ht="39.95" customHeight="1"/>
    <row r="116" ht="39.95" customHeight="1"/>
    <row r="117" ht="39.95" customHeight="1"/>
    <row r="118" ht="39.95" customHeight="1"/>
    <row r="119" ht="39.95" customHeight="1"/>
    <row r="120" ht="39.95" customHeight="1"/>
    <row r="121" ht="39.95" customHeight="1"/>
    <row r="122" ht="39.95" customHeight="1"/>
    <row r="123" ht="39.95" customHeight="1"/>
    <row r="124" ht="39.95" customHeight="1"/>
    <row r="125" ht="39.95" customHeight="1"/>
    <row r="126" ht="39.95" customHeight="1"/>
    <row r="127" ht="39.95" customHeight="1"/>
    <row r="128" ht="39.95" customHeight="1"/>
    <row r="129" ht="39.95" customHeight="1"/>
    <row r="130" ht="39.95" customHeight="1"/>
    <row r="131" ht="39.95" customHeight="1"/>
    <row r="132" ht="39.95" customHeight="1"/>
    <row r="133" ht="39.95" customHeight="1"/>
    <row r="134" ht="39.95" customHeight="1"/>
    <row r="135" ht="39.95" customHeight="1"/>
    <row r="136" ht="39.95" customHeight="1"/>
    <row r="137" ht="39.95" customHeight="1"/>
    <row r="138" ht="39.95" customHeight="1"/>
    <row r="139" ht="39.95" customHeight="1"/>
    <row r="140" ht="39.95" customHeight="1"/>
    <row r="141" ht="39.95" customHeight="1"/>
    <row r="142" ht="39.95" customHeight="1"/>
    <row r="143" ht="39.95" customHeight="1"/>
    <row r="144" ht="39.95" customHeight="1"/>
    <row r="145" ht="39.95" customHeight="1"/>
    <row r="146" ht="39.95" customHeight="1"/>
    <row r="147" ht="39.95" customHeight="1"/>
    <row r="148" ht="39.95" customHeight="1"/>
    <row r="149" ht="39.95" customHeight="1"/>
    <row r="150" ht="39.95" customHeight="1"/>
    <row r="151" ht="39.95" customHeight="1"/>
    <row r="152" ht="39.95" customHeight="1"/>
    <row r="153" ht="39.95" customHeight="1"/>
    <row r="154" ht="39.95" customHeight="1"/>
    <row r="155" ht="39.95" customHeight="1"/>
    <row r="156" ht="39.95" customHeight="1"/>
    <row r="157" ht="39.95" customHeight="1"/>
    <row r="158" ht="39.95" customHeight="1"/>
    <row r="159" ht="39.95" customHeight="1"/>
    <row r="160" ht="39.95" customHeight="1"/>
    <row r="161" ht="39.95" customHeight="1"/>
    <row r="162" ht="39.95" customHeight="1"/>
    <row r="163" ht="39.95" customHeight="1"/>
    <row r="164" ht="39.95" customHeight="1"/>
    <row r="165" ht="39.95" customHeight="1"/>
    <row r="166" ht="39.95" customHeight="1"/>
    <row r="167" ht="39.95" customHeight="1"/>
    <row r="168" ht="39.95" customHeight="1"/>
    <row r="169" ht="39.95" customHeight="1"/>
    <row r="170" ht="39.95" customHeight="1"/>
    <row r="171" ht="39.95" customHeight="1"/>
    <row r="172" ht="39.95" customHeight="1"/>
    <row r="173" ht="39.95" customHeight="1"/>
    <row r="174" ht="39.95" customHeight="1"/>
    <row r="175" ht="39.95" customHeight="1"/>
    <row r="176" ht="39.95" customHeight="1"/>
    <row r="177" ht="39.95" customHeight="1"/>
    <row r="178" ht="39.95" customHeight="1"/>
    <row r="179" ht="39.95" customHeight="1"/>
    <row r="180" ht="39.95" customHeight="1"/>
    <row r="181" ht="39.95" customHeight="1"/>
    <row r="182" ht="39.95" customHeight="1"/>
    <row r="183" ht="39.95" customHeight="1"/>
    <row r="184" ht="39.95" customHeight="1"/>
    <row r="185" ht="39.95" customHeight="1"/>
    <row r="186" ht="39.95" customHeight="1"/>
    <row r="187" ht="39.95" customHeight="1"/>
    <row r="188" ht="39.95" customHeight="1"/>
    <row r="189" ht="39.95" customHeight="1"/>
    <row r="190" ht="39.95" customHeight="1"/>
    <row r="191" ht="39.95" customHeight="1"/>
    <row r="192" ht="39.95" customHeight="1"/>
    <row r="193" ht="39.95" customHeight="1"/>
    <row r="194" ht="39.95" customHeight="1"/>
    <row r="195" ht="39.95" customHeight="1"/>
    <row r="196" ht="39.95" customHeight="1"/>
    <row r="197" ht="39.95" customHeight="1"/>
    <row r="198" ht="39.95" customHeight="1"/>
    <row r="199" ht="39.95" customHeight="1"/>
    <row r="200" ht="39.95" customHeight="1"/>
    <row r="201" ht="39.95" customHeight="1"/>
    <row r="202" ht="39.95" customHeight="1"/>
    <row r="203" ht="39.95" customHeight="1"/>
    <row r="204" ht="39.95" customHeight="1"/>
    <row r="205" ht="39.95" customHeight="1"/>
    <row r="206" ht="39.95" customHeight="1"/>
    <row r="207" ht="39.95" customHeight="1"/>
    <row r="208" ht="39.95" customHeight="1"/>
    <row r="209" ht="39.95" customHeight="1"/>
    <row r="210" ht="39.95" customHeight="1"/>
    <row r="211" ht="39.95" customHeight="1"/>
    <row r="212" ht="39.95" customHeight="1"/>
    <row r="213" ht="39.95" customHeight="1"/>
    <row r="214" ht="39.95" customHeight="1"/>
    <row r="215" ht="39.95" customHeight="1"/>
    <row r="216" ht="39.95" customHeight="1"/>
    <row r="217" ht="39.95" customHeight="1"/>
    <row r="218" ht="39.95" customHeight="1"/>
    <row r="219" ht="39.95" customHeight="1"/>
    <row r="220" ht="39.95" customHeight="1"/>
    <row r="221" ht="39.95" customHeight="1"/>
    <row r="222" ht="39.95" customHeight="1"/>
    <row r="223" ht="39.95" customHeight="1"/>
    <row r="224" ht="39.95" customHeight="1"/>
    <row r="225" ht="39.95" customHeight="1"/>
    <row r="226" ht="39.95" customHeight="1"/>
    <row r="227" ht="39.95" customHeight="1"/>
    <row r="228" ht="39.95" customHeight="1"/>
    <row r="229" ht="39.95" customHeight="1"/>
    <row r="230" ht="39.95" customHeight="1"/>
    <row r="231" ht="39.95" customHeight="1"/>
    <row r="232" ht="39.95" customHeight="1"/>
    <row r="233" ht="39.95" customHeight="1"/>
    <row r="234" ht="39.95" customHeight="1"/>
    <row r="235" ht="39.95" customHeight="1"/>
    <row r="236" ht="39.95" customHeight="1"/>
    <row r="237" ht="39.95" customHeight="1"/>
    <row r="238" ht="39.95" customHeight="1"/>
    <row r="239" ht="39.95" customHeight="1"/>
    <row r="240" ht="39.95" customHeight="1"/>
    <row r="241" ht="39.95" customHeight="1"/>
    <row r="242" ht="39.95" customHeight="1"/>
    <row r="243" ht="39.95" customHeight="1"/>
    <row r="244" ht="39.95" customHeight="1"/>
    <row r="245" ht="39.95" customHeight="1"/>
    <row r="246" ht="39.95" customHeight="1"/>
    <row r="247" ht="39.95" customHeight="1"/>
    <row r="248" ht="39.95" customHeight="1"/>
    <row r="249" ht="39.95" customHeight="1"/>
    <row r="250" ht="39.95" customHeight="1"/>
    <row r="251" ht="39.95" customHeight="1"/>
    <row r="252" ht="39.95" customHeight="1"/>
    <row r="253" ht="39.95" customHeight="1"/>
    <row r="254" ht="39.95" customHeight="1"/>
    <row r="255" ht="39.95" customHeight="1"/>
    <row r="256" ht="39.95" customHeight="1"/>
    <row r="257" ht="39.95" customHeight="1"/>
    <row r="258" ht="39.95" customHeight="1"/>
    <row r="259" ht="39.95" customHeight="1"/>
    <row r="260" ht="39.95" customHeight="1"/>
    <row r="261" ht="39.95" customHeight="1"/>
    <row r="262" ht="39.95" customHeight="1"/>
    <row r="263" ht="39.95" customHeight="1"/>
    <row r="264" ht="39.95" customHeight="1"/>
    <row r="265" ht="39.95" customHeight="1"/>
    <row r="266" ht="39.95" customHeight="1"/>
    <row r="267" ht="39.95" customHeight="1"/>
    <row r="268" ht="39.95" customHeight="1"/>
    <row r="269" ht="39.95" customHeight="1"/>
    <row r="270" ht="39.95" customHeight="1"/>
    <row r="271" ht="39.95" customHeight="1"/>
    <row r="272" ht="39.95" customHeight="1"/>
    <row r="273" ht="39.95" customHeight="1"/>
    <row r="274" ht="39.95" customHeight="1"/>
    <row r="275" ht="39.95" customHeight="1"/>
    <row r="276" ht="39.95" customHeight="1"/>
    <row r="277" ht="39.95" customHeight="1"/>
    <row r="278" ht="39.95" customHeight="1"/>
    <row r="279" ht="39.95" customHeight="1"/>
    <row r="280" ht="39.95" customHeight="1"/>
    <row r="281" ht="39.95" customHeight="1"/>
    <row r="282" ht="39.95" customHeight="1"/>
    <row r="283" ht="39.95" customHeight="1"/>
    <row r="284" ht="39.95" customHeight="1"/>
    <row r="285" ht="39.95" customHeight="1"/>
    <row r="286" ht="39.95" customHeight="1"/>
    <row r="287" ht="39.95" customHeight="1"/>
    <row r="288" ht="39.95" customHeight="1"/>
    <row r="289" ht="39.95" customHeight="1"/>
    <row r="290" ht="39.95" customHeight="1"/>
    <row r="291" ht="39.95" customHeight="1"/>
    <row r="292" ht="39.95" customHeight="1"/>
    <row r="293" ht="39.95" customHeight="1"/>
    <row r="294" ht="39.95" customHeight="1"/>
    <row r="295" ht="39.95" customHeight="1"/>
    <row r="296" ht="39.95" customHeight="1"/>
    <row r="297" ht="39.95" customHeight="1"/>
    <row r="298" ht="39.95" customHeight="1"/>
    <row r="299" ht="39.95" customHeight="1"/>
    <row r="300" ht="39.95" customHeight="1"/>
    <row r="301" ht="39.95" customHeight="1"/>
    <row r="302" ht="39.95" customHeight="1"/>
    <row r="303" ht="39.95" customHeight="1"/>
    <row r="304" ht="39.95" customHeight="1"/>
    <row r="305" ht="39.95" customHeight="1"/>
    <row r="306" ht="39.95" customHeight="1"/>
    <row r="307" ht="39.95" customHeight="1"/>
    <row r="308" ht="39.95" customHeight="1"/>
    <row r="309" ht="39.95" customHeight="1"/>
    <row r="310" ht="39.95" customHeight="1"/>
    <row r="311" ht="39.95" customHeight="1"/>
    <row r="312" ht="39.95" customHeight="1"/>
    <row r="313" ht="39.95" customHeight="1"/>
    <row r="314" ht="39.95" customHeight="1"/>
    <row r="315" ht="39.95" customHeight="1"/>
    <row r="316" ht="39.95" customHeight="1"/>
    <row r="317" ht="39.95" customHeight="1"/>
    <row r="318" ht="39.95" customHeight="1"/>
    <row r="319" ht="39.95" customHeight="1"/>
    <row r="320" ht="39.95" customHeight="1"/>
    <row r="321" ht="39.95" customHeight="1"/>
    <row r="322" ht="39.95" customHeight="1"/>
    <row r="323" ht="39.95" customHeight="1"/>
    <row r="324" ht="39.95" customHeight="1"/>
    <row r="325" ht="39.95" customHeight="1"/>
    <row r="326" ht="39.95" customHeight="1"/>
    <row r="327" ht="39.95" customHeight="1"/>
    <row r="328" ht="39.95" customHeight="1"/>
    <row r="329" ht="39.95" customHeight="1"/>
    <row r="330" ht="39.95" customHeight="1"/>
    <row r="331" ht="39.95" customHeight="1"/>
    <row r="332" ht="39.95" customHeight="1"/>
    <row r="333" ht="39.95" customHeight="1"/>
    <row r="334" ht="39.95" customHeight="1"/>
    <row r="335" ht="39.95" customHeight="1"/>
    <row r="336" ht="39.95" customHeight="1"/>
    <row r="337" ht="39.95" customHeight="1"/>
    <row r="338" ht="39.95" customHeight="1"/>
    <row r="339" ht="39.95" customHeight="1"/>
    <row r="340" ht="39.95" customHeight="1"/>
    <row r="341" ht="39.95" customHeight="1"/>
    <row r="342" ht="39.95" customHeight="1"/>
    <row r="343" ht="39.95" customHeight="1"/>
    <row r="344" ht="39.95" customHeight="1"/>
    <row r="345" ht="39.95" customHeight="1"/>
    <row r="346" ht="39.95" customHeight="1"/>
    <row r="347" ht="39.95" customHeight="1"/>
    <row r="348" ht="39.95" customHeight="1"/>
    <row r="349" ht="39.95" customHeight="1"/>
    <row r="350" ht="39.95" customHeight="1"/>
    <row r="351" ht="39.95" customHeight="1"/>
    <row r="352" ht="39.95" customHeight="1"/>
    <row r="353" ht="39.95" customHeight="1"/>
    <row r="354" ht="39.95" customHeight="1"/>
    <row r="355" ht="39.95" customHeight="1"/>
    <row r="356" ht="39.95" customHeight="1"/>
    <row r="357" ht="39.95" customHeight="1"/>
    <row r="358" ht="39.95" customHeight="1"/>
    <row r="359" ht="39.95" customHeight="1"/>
    <row r="360" ht="39.95" customHeight="1"/>
    <row r="361" ht="39.95" customHeight="1"/>
    <row r="362" ht="39.95" customHeight="1"/>
    <row r="363" ht="39.95" customHeight="1"/>
    <row r="364" ht="39.95" customHeight="1"/>
    <row r="365" ht="39.95" customHeight="1"/>
    <row r="366" ht="39.95" customHeight="1"/>
    <row r="367" ht="39.95" customHeight="1"/>
  </sheetData>
  <mergeCells count="39">
    <mergeCell ref="E2:G2"/>
    <mergeCell ref="A1:Q1"/>
    <mergeCell ref="A2:B2"/>
    <mergeCell ref="A3:B3"/>
    <mergeCell ref="A4:B4"/>
    <mergeCell ref="A8:A10"/>
    <mergeCell ref="B8:B10"/>
    <mergeCell ref="D8:D10"/>
    <mergeCell ref="G8:G10"/>
    <mergeCell ref="P8:P10"/>
    <mergeCell ref="L8:L10"/>
    <mergeCell ref="J8:J10"/>
    <mergeCell ref="A5:B5"/>
    <mergeCell ref="C5:D5"/>
    <mergeCell ref="C4:D4"/>
    <mergeCell ref="C3:D3"/>
    <mergeCell ref="C2:D2"/>
    <mergeCell ref="H8:H10"/>
    <mergeCell ref="F8:F10"/>
    <mergeCell ref="C8:C10"/>
    <mergeCell ref="O3:Q7"/>
    <mergeCell ref="A6:D7"/>
    <mergeCell ref="E5:G7"/>
    <mergeCell ref="Q8:Q10"/>
    <mergeCell ref="E8:E10"/>
    <mergeCell ref="E4:G4"/>
    <mergeCell ref="E3:G3"/>
    <mergeCell ref="O8:O10"/>
    <mergeCell ref="M8:M10"/>
    <mergeCell ref="N8:N10"/>
    <mergeCell ref="I8:I10"/>
    <mergeCell ref="K8:K10"/>
    <mergeCell ref="O2:Q2"/>
    <mergeCell ref="H7:N7"/>
    <mergeCell ref="H6:N6"/>
    <mergeCell ref="H5:N5"/>
    <mergeCell ref="H4:N4"/>
    <mergeCell ref="H3:N3"/>
    <mergeCell ref="H2:N2"/>
  </mergeCells>
  <printOptions horizontalCentered="1"/>
  <pageMargins left="0.43779527559056" right="0.43779527559056" top="0.3" bottom="0.3" header="0.3" footer="0.3"/>
  <pageSetup fitToHeight="0" horizontalDpi="300" verticalDpi="300" orientation="landscape" paperSize="9" scale="1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2E855-98A8-47A7-8747-C2885F6F0FF6}">
  <sheetPr codeName="Sheet10">
    <pageSetUpPr fitToPage="1"/>
  </sheetPr>
  <dimension ref="A1:N20"/>
  <sheetViews>
    <sheetView view="pageBreakPreview" zoomScale="60" zoomScaleNormal="50" workbookViewId="0" topLeftCell="A3">
      <selection pane="topLeft" activeCell="A16" sqref="A16"/>
    </sheetView>
  </sheetViews>
  <sheetFormatPr defaultColWidth="9.140625" defaultRowHeight="12.75"/>
  <cols>
    <col min="1" max="1" width="8.85714285714286" style="25"/>
    <col min="2" max="2" width="25.1428571428571" style="25" customWidth="1"/>
    <col min="3" max="3" width="50.7142857142857" style="25" customWidth="1"/>
    <col min="4" max="5" width="13.5714285714286" style="25" customWidth="1"/>
    <col min="6" max="6" width="23.5714285714286" style="34" customWidth="1"/>
    <col min="7" max="8" width="15.2857142857143" style="34" customWidth="1"/>
    <col min="9" max="9" width="17.2857142857143" style="25" customWidth="1"/>
    <col min="10" max="11" width="16.2857142857143" style="25" customWidth="1"/>
    <col min="12" max="12" width="14.5714285714286" style="25" customWidth="1"/>
    <col min="13" max="13" width="80.2857142857143" style="25" customWidth="1"/>
    <col min="14" max="14" width="15.5714285714286" style="25" customWidth="1"/>
  </cols>
  <sheetData>
    <row r="1" spans="1:14" ht="130.5" customHeight="1">
      <c r="A1" s="218" t="s">
        <v>1041</v>
      </c>
      <c r="B1" s="218"/>
      <c r="C1" s="218"/>
      <c r="D1" s="218"/>
      <c r="E1" s="218"/>
      <c r="F1" s="218"/>
      <c r="G1" s="218"/>
      <c r="H1" s="218"/>
      <c r="I1" s="218"/>
      <c r="J1" s="218"/>
      <c r="K1" s="218"/>
      <c r="L1" s="218"/>
      <c r="M1" s="218"/>
      <c r="N1" s="218"/>
    </row>
    <row r="2" spans="1:14" ht="39.95" customHeight="1">
      <c r="A2" s="208" t="s">
        <v>7</v>
      </c>
      <c r="B2" s="208"/>
      <c r="C2" s="105"/>
      <c r="D2" s="225" t="s">
        <v>96</v>
      </c>
      <c r="E2" s="225"/>
      <c r="F2" s="225"/>
      <c r="G2" s="222" t="str">
        <f>Data!BF5</f>
        <v>Campbell, Neil</v>
      </c>
      <c r="H2" s="222"/>
      <c r="I2" s="222"/>
      <c r="J2" s="222"/>
      <c r="K2" s="222"/>
      <c r="L2" s="222"/>
      <c r="M2" s="199" t="s">
        <v>4</v>
      </c>
      <c r="N2" s="199"/>
    </row>
    <row r="3" spans="1:14" ht="39.95" customHeight="1">
      <c r="A3" s="226" t="s">
        <v>118</v>
      </c>
      <c r="B3" s="226"/>
      <c r="C3" s="106" t="str">
        <f>Data!BC5</f>
        <v>12085</v>
      </c>
      <c r="D3" s="213" t="s">
        <v>8</v>
      </c>
      <c r="E3" s="213"/>
      <c r="F3" s="213"/>
      <c r="G3" s="221" t="str">
        <f>Data!AX5</f>
        <v>Verticali Patio Blinds &amp; Fixed Guide Awnings</v>
      </c>
      <c r="H3" s="221"/>
      <c r="I3" s="221"/>
      <c r="J3" s="221"/>
      <c r="K3" s="221"/>
      <c r="L3" s="221"/>
      <c r="M3" s="214" t="str">
        <f>TRIM(Data!BG5)</f>
        <v/>
      </c>
      <c r="N3" s="214"/>
    </row>
    <row r="4" spans="1:14" ht="39.95" customHeight="1">
      <c r="A4" s="214" t="s">
        <v>15</v>
      </c>
      <c r="B4" s="214"/>
      <c r="C4" s="106" t="str">
        <f>Data!BD5</f>
        <v>A</v>
      </c>
      <c r="D4" s="213" t="s">
        <v>114</v>
      </c>
      <c r="E4" s="213"/>
      <c r="F4" s="213"/>
      <c r="G4" s="220" t="str">
        <f>Data!BA5</f>
        <v>18/09/2026 12:00:00 AM</v>
      </c>
      <c r="H4" s="220"/>
      <c r="I4" s="220"/>
      <c r="J4" s="220"/>
      <c r="K4" s="220"/>
      <c r="L4" s="220"/>
      <c r="M4" s="214"/>
      <c r="N4" s="214"/>
    </row>
    <row r="5" spans="1:14" ht="39.95" customHeight="1">
      <c r="A5" s="223" t="s">
        <v>10</v>
      </c>
      <c r="B5" s="223"/>
      <c r="C5" s="48" t="str">
        <f>Data!AY5</f>
        <v>6/08/2026 12:00:00 AM</v>
      </c>
      <c r="D5" s="224" t="s">
        <v>13</v>
      </c>
      <c r="E5" s="224"/>
      <c r="F5" s="224"/>
      <c r="G5" s="219" t="str">
        <f>TRIM(Data!BF5)</f>
        <v>Campbell, Neil</v>
      </c>
      <c r="H5" s="219"/>
      <c r="I5" s="219"/>
      <c r="J5" s="219"/>
      <c r="K5" s="219"/>
      <c r="L5" s="219"/>
      <c r="M5" s="214"/>
      <c r="N5" s="214"/>
    </row>
    <row r="6" spans="1:14" ht="39.95" customHeight="1">
      <c r="A6" s="201" t="str">
        <f>Data!CZ5</f>
        <v>Retail Customer</v>
      </c>
      <c r="B6" s="201"/>
      <c r="C6" s="201"/>
      <c r="D6" s="224"/>
      <c r="E6" s="224"/>
      <c r="F6" s="224"/>
      <c r="G6" s="219" t="str">
        <f>CONCATENATE(Data!BH5," ",Data!BI5," ",Data!BJ5," ",Data!BK5," ",Data!BL5)</f>
        <v xml:space="preserve"> 7161  Midland Highway </v>
      </c>
      <c r="H6" s="219"/>
      <c r="I6" s="219"/>
      <c r="J6" s="219"/>
      <c r="K6" s="219"/>
      <c r="L6" s="219"/>
      <c r="M6" s="214"/>
      <c r="N6" s="214"/>
    </row>
    <row r="7" spans="1:14" ht="39.95" customHeight="1">
      <c r="A7" s="201"/>
      <c r="B7" s="201"/>
      <c r="C7" s="201"/>
      <c r="D7" s="224"/>
      <c r="E7" s="224"/>
      <c r="F7" s="224"/>
      <c r="G7" s="219" t="str">
        <f>CONCATENATE(Data!BM5," ",Data!BN5," ",Data!BO5," ",Data!BP5)</f>
        <v>Buninyong VIC 3357 Australia</v>
      </c>
      <c r="H7" s="219"/>
      <c r="I7" s="219"/>
      <c r="J7" s="219"/>
      <c r="K7" s="219"/>
      <c r="L7" s="219"/>
      <c r="M7" s="214"/>
      <c r="N7" s="214"/>
    </row>
    <row r="8" spans="1:14" ht="23.25" customHeight="1">
      <c r="A8" s="206" t="s">
        <v>117</v>
      </c>
      <c r="B8" s="207" t="s">
        <v>98</v>
      </c>
      <c r="C8" s="217" t="s">
        <v>9</v>
      </c>
      <c r="D8" s="216" t="s">
        <v>161</v>
      </c>
      <c r="E8" s="216" t="s">
        <v>1057</v>
      </c>
      <c r="F8" s="215" t="s">
        <v>133</v>
      </c>
      <c r="G8" s="216" t="s">
        <v>373</v>
      </c>
      <c r="H8" s="216" t="s">
        <v>1058</v>
      </c>
      <c r="I8" s="193" t="s">
        <v>123</v>
      </c>
      <c r="J8" s="195" t="s">
        <v>352</v>
      </c>
      <c r="K8" s="216" t="s">
        <v>461</v>
      </c>
      <c r="L8" s="216" t="s">
        <v>142</v>
      </c>
      <c r="M8" s="193" t="s">
        <v>5</v>
      </c>
      <c r="N8" s="193" t="s">
        <v>828</v>
      </c>
    </row>
    <row r="9" spans="1:14" ht="12.75" customHeight="1">
      <c r="A9" s="206"/>
      <c r="B9" s="207"/>
      <c r="C9" s="217"/>
      <c r="D9" s="216"/>
      <c r="E9" s="216"/>
      <c r="F9" s="215"/>
      <c r="G9" s="216"/>
      <c r="H9" s="216"/>
      <c r="I9" s="193"/>
      <c r="J9" s="195"/>
      <c r="K9" s="216"/>
      <c r="L9" s="216"/>
      <c r="M9" s="193"/>
      <c r="N9" s="193"/>
    </row>
    <row r="10" spans="1:14" ht="36" customHeight="1">
      <c r="A10" s="206"/>
      <c r="B10" s="207"/>
      <c r="C10" s="217"/>
      <c r="D10" s="216"/>
      <c r="E10" s="216"/>
      <c r="F10" s="215"/>
      <c r="G10" s="216"/>
      <c r="H10" s="216"/>
      <c r="I10" s="193"/>
      <c r="J10" s="195"/>
      <c r="K10" s="216"/>
      <c r="L10" s="216"/>
      <c r="M10" s="193"/>
      <c r="N10" s="193"/>
    </row>
    <row r="11" spans="1:14" s="75" customFormat="1" ht="60" customHeight="1">
      <c r="A11" s="47">
        <f>'Job Sheet'!A11</f>
        <v>2</v>
      </c>
      <c r="B11" s="49" t="str">
        <f>'Job Sheet'!B11</f>
        <v>Dining</v>
      </c>
      <c r="C11" s="49" t="str">
        <f>'Job Sheet'!H11</f>
        <v>HVG Visiontex Glisse Sunscreen Naxos</v>
      </c>
      <c r="D11" s="86" t="str">
        <f>'Job Sheet'!AO11</f>
        <v>3.6mm White</v>
      </c>
      <c r="E11" s="86" t="str">
        <f>IF(C11="","","3.6mm White")</f>
        <v>3.6mm White</v>
      </c>
      <c r="F11" s="101" t="str">
        <f>'Job Sheet'!T11</f>
        <v>Standard Bottom Flap</v>
      </c>
      <c r="G11" s="86" t="str">
        <f>'Job Sheet'!V11</f>
        <v>Normal</v>
      </c>
      <c r="H11" s="86" t="str">
        <f>IF(AND(F11="Scallop with Binding",'Job Sheet'!X11="Yes Standard for Canvas"),('Fabric Cutting'!G11-70)/2,IF(F11="Scallop with Binding",'Fabric Cutting'!G11/2,""))</f>
        <v/>
      </c>
      <c r="I11" s="88" t="str">
        <f>'Job Sheet'!W11</f>
        <v>Back</v>
      </c>
      <c r="J11" s="100" t="str">
        <f>'Job Sheet'!X11</f>
        <v>Yes for Mesh</v>
      </c>
      <c r="K11" s="86" t="str">
        <f>'Job Sheet'!U11</f>
        <v/>
      </c>
      <c r="L11" s="86" t="str">
        <f>'Job Sheet'!AP11</f>
        <v>Black</v>
      </c>
      <c r="M11" s="87" t="str">
        <f>'Job Sheet'!AF11</f>
        <v/>
      </c>
      <c r="N11" s="109">
        <f>A11</f>
        <v>2</v>
      </c>
    </row>
    <row r="12" spans="1:14" s="75" customFormat="1" ht="60" customHeight="1">
      <c r="A12" s="47">
        <f>'Job Sheet'!A12</f>
        <v>3</v>
      </c>
      <c r="B12" s="49" t="str">
        <f>'Job Sheet'!B12</f>
        <v>Master</v>
      </c>
      <c r="C12" s="49" t="str">
        <f>'Job Sheet'!H12</f>
        <v>HVG Visiontex Glisse Sunscreen Naxos</v>
      </c>
      <c r="D12" s="86" t="str">
        <f>'Job Sheet'!AO12</f>
        <v>3.6mm White</v>
      </c>
      <c r="E12" s="86" t="str">
        <f t="shared" si="0" ref="E12:E20">IF(C12="","","3.6mm White")</f>
        <v>3.6mm White</v>
      </c>
      <c r="F12" s="101" t="str">
        <f>'Job Sheet'!T12</f>
        <v>Standard Bottom Flap</v>
      </c>
      <c r="G12" s="86" t="str">
        <f>'Job Sheet'!V12</f>
        <v>Normal</v>
      </c>
      <c r="H12" s="86"/>
      <c r="I12" s="88" t="str">
        <f>'Job Sheet'!W12</f>
        <v>Back</v>
      </c>
      <c r="J12" s="100" t="str">
        <f>'Job Sheet'!X12</f>
        <v>Yes for Mesh</v>
      </c>
      <c r="K12" s="86" t="str">
        <f>'Job Sheet'!U12</f>
        <v/>
      </c>
      <c r="L12" s="86" t="str">
        <f>'Job Sheet'!AP12</f>
        <v>Black</v>
      </c>
      <c r="M12" s="87" t="str">
        <f>'Job Sheet'!AF12</f>
        <v/>
      </c>
      <c r="N12" s="109">
        <f t="shared" si="1" ref="N12:N20">A12</f>
        <v>3</v>
      </c>
    </row>
    <row r="13" spans="1:14" s="75" customFormat="1" ht="60" customHeight="1">
      <c r="A13" s="47">
        <f>'Job Sheet'!A13</f>
        <v>4</v>
      </c>
      <c r="B13" s="49" t="str">
        <f>'Job Sheet'!B13</f>
        <v>Master 2</v>
      </c>
      <c r="C13" s="49" t="str">
        <f>'Job Sheet'!H13</f>
        <v>HVG Visiontex Glisse Sunscreen Naxos</v>
      </c>
      <c r="D13" s="86" t="str">
        <f>'Job Sheet'!AO13</f>
        <v>3.6mm White</v>
      </c>
      <c r="E13" s="86" t="str">
        <f t="shared" si="0"/>
        <v>3.6mm White</v>
      </c>
      <c r="F13" s="101" t="str">
        <f>'Job Sheet'!T13</f>
        <v>Standard Bottom Flap</v>
      </c>
      <c r="G13" s="86" t="str">
        <f>'Job Sheet'!V13</f>
        <v>Normal</v>
      </c>
      <c r="H13" s="86"/>
      <c r="I13" s="88" t="str">
        <f>'Job Sheet'!W13</f>
        <v>Back</v>
      </c>
      <c r="J13" s="100" t="str">
        <f>'Job Sheet'!X13</f>
        <v>Yes for Mesh</v>
      </c>
      <c r="K13" s="86" t="str">
        <f>'Job Sheet'!U13</f>
        <v/>
      </c>
      <c r="L13" s="86" t="str">
        <f>'Job Sheet'!AP13</f>
        <v>Black</v>
      </c>
      <c r="M13" s="87" t="str">
        <f>'Job Sheet'!AF13</f>
        <v/>
      </c>
      <c r="N13" s="109">
        <f t="shared" si="1"/>
        <v>4</v>
      </c>
    </row>
    <row r="14" spans="1:14" s="75" customFormat="1" ht="60" customHeight="1">
      <c r="A14" s="47">
        <f>'Job Sheet'!A14</f>
        <v>5</v>
      </c>
      <c r="B14" s="49" t="str">
        <f>'Job Sheet'!B14</f>
        <v>Lounge</v>
      </c>
      <c r="C14" s="49" t="str">
        <f>'Job Sheet'!H14</f>
        <v>HVG Visiontex Glisse Sunscreen Naxos</v>
      </c>
      <c r="D14" s="86" t="str">
        <f>'Job Sheet'!AO14</f>
        <v>3.6mm White</v>
      </c>
      <c r="E14" s="86" t="str">
        <f t="shared" si="0"/>
        <v>3.6mm White</v>
      </c>
      <c r="F14" s="101" t="str">
        <f>'Job Sheet'!T14</f>
        <v>Standard Bottom Flap</v>
      </c>
      <c r="G14" s="86" t="str">
        <f>'Job Sheet'!V14</f>
        <v>Normal</v>
      </c>
      <c r="H14" s="86"/>
      <c r="I14" s="88" t="str">
        <f>'Job Sheet'!W14</f>
        <v>Back</v>
      </c>
      <c r="J14" s="100" t="str">
        <f>'Job Sheet'!X14</f>
        <v>Yes for Mesh</v>
      </c>
      <c r="K14" s="86" t="str">
        <f>'Job Sheet'!U14</f>
        <v/>
      </c>
      <c r="L14" s="86" t="str">
        <f>'Job Sheet'!AP14</f>
        <v>Black</v>
      </c>
      <c r="M14" s="87" t="str">
        <f>'Job Sheet'!AF14</f>
        <v/>
      </c>
      <c r="N14" s="109">
        <f t="shared" si="1"/>
        <v>5</v>
      </c>
    </row>
    <row r="15" spans="1:14" s="75" customFormat="1" ht="60" customHeight="1">
      <c r="A15" s="47">
        <f>'Job Sheet'!A15</f>
        <v>6</v>
      </c>
      <c r="B15" s="49" t="str">
        <f>'Job Sheet'!B15</f>
        <v>Bed 4</v>
      </c>
      <c r="C15" s="49" t="str">
        <f>'Job Sheet'!H15</f>
        <v>HVG Visiontex Glisse Sunscreen Naxos</v>
      </c>
      <c r="D15" s="86" t="str">
        <f>'Job Sheet'!AO15</f>
        <v>3.6mm White</v>
      </c>
      <c r="E15" s="86" t="str">
        <f t="shared" si="0"/>
        <v>3.6mm White</v>
      </c>
      <c r="F15" s="101" t="str">
        <f>'Job Sheet'!T15</f>
        <v>Standard Bottom Flap</v>
      </c>
      <c r="G15" s="86" t="str">
        <f>'Job Sheet'!V15</f>
        <v>Normal</v>
      </c>
      <c r="H15" s="86"/>
      <c r="I15" s="88" t="str">
        <f>'Job Sheet'!W15</f>
        <v>Back</v>
      </c>
      <c r="J15" s="100" t="str">
        <f>'Job Sheet'!X15</f>
        <v>Yes for Mesh</v>
      </c>
      <c r="K15" s="86" t="str">
        <f>'Job Sheet'!U15</f>
        <v/>
      </c>
      <c r="L15" s="86" t="str">
        <f>'Job Sheet'!AP15</f>
        <v>Black</v>
      </c>
      <c r="M15" s="87" t="str">
        <f>'Job Sheet'!AF15</f>
        <v/>
      </c>
      <c r="N15" s="109">
        <f t="shared" si="1"/>
        <v>6</v>
      </c>
    </row>
    <row r="16" spans="1:14" s="75" customFormat="1" ht="60" customHeight="1">
      <c r="A16" s="47">
        <f>'Job Sheet'!A16</f>
        <v>0</v>
      </c>
      <c r="B16" s="49">
        <f>'Job Sheet'!B16</f>
        <v>0</v>
      </c>
      <c r="C16" s="49" t="str">
        <f>'Job Sheet'!H16</f>
        <v/>
      </c>
      <c r="D16" s="86" t="str">
        <f>'Job Sheet'!AO16</f>
        <v/>
      </c>
      <c r="E16" s="86" t="str">
        <f t="shared" si="0"/>
        <v/>
      </c>
      <c r="F16" s="101" t="str">
        <f>'Job Sheet'!T16</f>
        <v/>
      </c>
      <c r="G16" s="86" t="str">
        <f>'Job Sheet'!V16</f>
        <v/>
      </c>
      <c r="H16" s="86"/>
      <c r="I16" s="88" t="str">
        <f>'Job Sheet'!W16</f>
        <v/>
      </c>
      <c r="J16" s="100" t="str">
        <f>'Job Sheet'!X16</f>
        <v/>
      </c>
      <c r="K16" s="86" t="str">
        <f>'Job Sheet'!U16</f>
        <v/>
      </c>
      <c r="L16" s="86" t="str">
        <f>'Job Sheet'!AP16</f>
        <v/>
      </c>
      <c r="M16" s="87" t="str">
        <f>'Job Sheet'!AF16</f>
        <v/>
      </c>
      <c r="N16" s="109">
        <f t="shared" si="1"/>
        <v>0</v>
      </c>
    </row>
    <row r="17" spans="1:14" s="75" customFormat="1" ht="60" customHeight="1">
      <c r="A17" s="47">
        <f>'Job Sheet'!A17</f>
        <v>0</v>
      </c>
      <c r="B17" s="49">
        <f>'Job Sheet'!B17</f>
        <v>0</v>
      </c>
      <c r="C17" s="49" t="str">
        <f>'Job Sheet'!H17</f>
        <v/>
      </c>
      <c r="D17" s="86" t="str">
        <f>'Job Sheet'!AO17</f>
        <v/>
      </c>
      <c r="E17" s="86" t="str">
        <f t="shared" si="0"/>
        <v/>
      </c>
      <c r="F17" s="101" t="str">
        <f>'Job Sheet'!T17</f>
        <v/>
      </c>
      <c r="G17" s="86" t="str">
        <f>'Job Sheet'!V17</f>
        <v/>
      </c>
      <c r="H17" s="86"/>
      <c r="I17" s="88" t="str">
        <f>'Job Sheet'!W17</f>
        <v/>
      </c>
      <c r="J17" s="100" t="str">
        <f>'Job Sheet'!X17</f>
        <v/>
      </c>
      <c r="K17" s="86" t="str">
        <f>'Job Sheet'!U17</f>
        <v/>
      </c>
      <c r="L17" s="86" t="str">
        <f>'Job Sheet'!AP17</f>
        <v/>
      </c>
      <c r="M17" s="87" t="str">
        <f>'Job Sheet'!AF17</f>
        <v/>
      </c>
      <c r="N17" s="109">
        <f t="shared" si="1"/>
        <v>0</v>
      </c>
    </row>
    <row r="18" spans="1:14" s="75" customFormat="1" ht="60" customHeight="1">
      <c r="A18" s="47">
        <f>'Job Sheet'!A18</f>
        <v>0</v>
      </c>
      <c r="B18" s="49">
        <f>'Job Sheet'!B18</f>
        <v>0</v>
      </c>
      <c r="C18" s="49" t="str">
        <f>'Job Sheet'!H18</f>
        <v/>
      </c>
      <c r="D18" s="86" t="str">
        <f>'Job Sheet'!AO18</f>
        <v/>
      </c>
      <c r="E18" s="86" t="str">
        <f t="shared" si="0"/>
        <v/>
      </c>
      <c r="F18" s="101" t="str">
        <f>'Job Sheet'!T18</f>
        <v/>
      </c>
      <c r="G18" s="86" t="str">
        <f>'Job Sheet'!V18</f>
        <v/>
      </c>
      <c r="H18" s="86"/>
      <c r="I18" s="88" t="str">
        <f>'Job Sheet'!W18</f>
        <v/>
      </c>
      <c r="J18" s="100" t="str">
        <f>'Job Sheet'!X18</f>
        <v/>
      </c>
      <c r="K18" s="86" t="str">
        <f>'Job Sheet'!U18</f>
        <v/>
      </c>
      <c r="L18" s="86" t="str">
        <f>'Job Sheet'!AP18</f>
        <v/>
      </c>
      <c r="M18" s="87" t="str">
        <f>'Job Sheet'!AF18</f>
        <v/>
      </c>
      <c r="N18" s="109">
        <f t="shared" si="1"/>
        <v>0</v>
      </c>
    </row>
    <row r="19" spans="1:14" s="75" customFormat="1" ht="60" customHeight="1">
      <c r="A19" s="47">
        <f>'Job Sheet'!A19</f>
        <v>0</v>
      </c>
      <c r="B19" s="49">
        <f>'Job Sheet'!B19</f>
        <v>0</v>
      </c>
      <c r="C19" s="49" t="str">
        <f>'Job Sheet'!H19</f>
        <v/>
      </c>
      <c r="D19" s="86" t="str">
        <f>'Job Sheet'!AO19</f>
        <v/>
      </c>
      <c r="E19" s="86" t="str">
        <f t="shared" si="0"/>
        <v/>
      </c>
      <c r="F19" s="101" t="str">
        <f>'Job Sheet'!T19</f>
        <v/>
      </c>
      <c r="G19" s="86" t="str">
        <f>'Job Sheet'!V19</f>
        <v/>
      </c>
      <c r="H19" s="86"/>
      <c r="I19" s="88" t="str">
        <f>'Job Sheet'!W19</f>
        <v/>
      </c>
      <c r="J19" s="100" t="str">
        <f>'Job Sheet'!X19</f>
        <v/>
      </c>
      <c r="K19" s="86" t="str">
        <f>'Job Sheet'!U19</f>
        <v/>
      </c>
      <c r="L19" s="86" t="str">
        <f>'Job Sheet'!AP19</f>
        <v/>
      </c>
      <c r="M19" s="87" t="str">
        <f>'Job Sheet'!AF19</f>
        <v/>
      </c>
      <c r="N19" s="109">
        <f t="shared" si="1"/>
        <v>0</v>
      </c>
    </row>
    <row r="20" spans="1:14" s="75" customFormat="1" ht="60" customHeight="1">
      <c r="A20" s="47">
        <f>'Job Sheet'!A20</f>
        <v>0</v>
      </c>
      <c r="B20" s="49">
        <f>'Job Sheet'!B20</f>
        <v>0</v>
      </c>
      <c r="C20" s="49" t="str">
        <f>'Job Sheet'!H20</f>
        <v/>
      </c>
      <c r="D20" s="86" t="str">
        <f>'Job Sheet'!AO20</f>
        <v/>
      </c>
      <c r="E20" s="86" t="str">
        <f t="shared" si="0"/>
        <v/>
      </c>
      <c r="F20" s="101" t="str">
        <f>'Job Sheet'!T20</f>
        <v/>
      </c>
      <c r="G20" s="86" t="str">
        <f>'Job Sheet'!V20</f>
        <v/>
      </c>
      <c r="H20" s="86"/>
      <c r="I20" s="88" t="str">
        <f>'Job Sheet'!W20</f>
        <v/>
      </c>
      <c r="J20" s="100" t="str">
        <f>'Job Sheet'!X20</f>
        <v/>
      </c>
      <c r="K20" s="86" t="str">
        <f>'Job Sheet'!U20</f>
        <v/>
      </c>
      <c r="L20" s="86" t="str">
        <f>'Job Sheet'!AP20</f>
        <v/>
      </c>
      <c r="M20" s="87" t="str">
        <f>'Job Sheet'!AF20</f>
        <v/>
      </c>
      <c r="N20" s="109">
        <f t="shared" si="1"/>
        <v>0</v>
      </c>
    </row>
  </sheetData>
  <mergeCells count="32">
    <mergeCell ref="A1:N1"/>
    <mergeCell ref="M3:N7"/>
    <mergeCell ref="M2:N2"/>
    <mergeCell ref="G7:L7"/>
    <mergeCell ref="G6:L6"/>
    <mergeCell ref="G5:L5"/>
    <mergeCell ref="G4:L4"/>
    <mergeCell ref="G3:L3"/>
    <mergeCell ref="G2:L2"/>
    <mergeCell ref="D4:F4"/>
    <mergeCell ref="A5:B5"/>
    <mergeCell ref="D5:F7"/>
    <mergeCell ref="A6:C7"/>
    <mergeCell ref="A2:B2"/>
    <mergeCell ref="D2:F2"/>
    <mergeCell ref="A3:B3"/>
    <mergeCell ref="D3:F3"/>
    <mergeCell ref="A4:B4"/>
    <mergeCell ref="N8:N10"/>
    <mergeCell ref="I8:I10"/>
    <mergeCell ref="F8:F10"/>
    <mergeCell ref="G8:G10"/>
    <mergeCell ref="A8:A10"/>
    <mergeCell ref="B8:B10"/>
    <mergeCell ref="C8:C10"/>
    <mergeCell ref="J8:J10"/>
    <mergeCell ref="K8:K10"/>
    <mergeCell ref="L8:L10"/>
    <mergeCell ref="D8:D10"/>
    <mergeCell ref="M8:M10"/>
    <mergeCell ref="E8:E10"/>
    <mergeCell ref="H8:H10"/>
  </mergeCells>
  <pageMargins left="0.727559055118112" right="0.727559055118112" top="0.75" bottom="0.75" header="0.3" footer="0.3"/>
  <pageSetup fitToHeight="0" orientation="landscape" paperSize="9" scale="1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pageSetUpPr fitToPage="1"/>
  </sheetPr>
  <dimension ref="A1:L33"/>
  <sheetViews>
    <sheetView showZeros="0" view="pageBreakPreview" zoomScale="40" zoomScaleNormal="40" zoomScaleSheetLayoutView="40" workbookViewId="0" topLeftCell="A1">
      <selection pane="topLeft" activeCell="A11" sqref="A11:XFD20"/>
    </sheetView>
  </sheetViews>
  <sheetFormatPr defaultColWidth="9.140625" defaultRowHeight="12.75"/>
  <cols>
    <col min="1" max="1" width="12.2857142857143" style="25" customWidth="1"/>
    <col min="2" max="2" width="35" style="25" customWidth="1"/>
    <col min="3" max="3" width="23.7142857142857" style="25" customWidth="1"/>
    <col min="4" max="4" width="25.5714285714286" style="25" customWidth="1"/>
    <col min="5" max="5" width="54.1428571428571" style="25" customWidth="1"/>
    <col min="6" max="6" width="22.2857142857143" style="25" customWidth="1"/>
    <col min="7" max="7" width="16.4285714285714" style="25" customWidth="1"/>
    <col min="8" max="8" width="31.4285714285714" style="25" customWidth="1"/>
    <col min="9" max="9" width="56" style="25" customWidth="1"/>
    <col min="10" max="10" width="21.2857142857143" style="25" customWidth="1"/>
    <col min="11" max="11" width="75.4285714285714" style="25" customWidth="1"/>
    <col min="12" max="12" width="16.7142857142857" customWidth="1"/>
  </cols>
  <sheetData>
    <row r="1" spans="1:12" ht="188.45" customHeight="1">
      <c r="A1" s="232" t="s">
        <v>168</v>
      </c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</row>
    <row r="2" spans="1:12" s="112" customFormat="1" ht="49.9" customHeight="1">
      <c r="A2" s="156" t="s">
        <v>7</v>
      </c>
      <c r="B2" s="156"/>
      <c r="C2" s="165"/>
      <c r="D2" s="165"/>
      <c r="E2" s="43" t="s">
        <v>96</v>
      </c>
      <c r="F2" s="245" t="str">
        <f>Data!BF5</f>
        <v>Campbell, Neil</v>
      </c>
      <c r="G2" s="246"/>
      <c r="H2" s="246"/>
      <c r="I2" s="247"/>
      <c r="J2" s="233" t="s">
        <v>4</v>
      </c>
      <c r="K2" s="234"/>
      <c r="L2" s="235"/>
    </row>
    <row r="3" spans="1:12" s="112" customFormat="1" ht="49.9" customHeight="1">
      <c r="A3" s="157" t="s">
        <v>118</v>
      </c>
      <c r="B3" s="157"/>
      <c r="C3" s="167" t="str">
        <f>Data!BC5</f>
        <v>12085</v>
      </c>
      <c r="D3" s="167"/>
      <c r="E3" s="44" t="s">
        <v>8</v>
      </c>
      <c r="F3" s="248" t="str">
        <f>Data!AX5</f>
        <v>Verticali Patio Blinds &amp; Fixed Guide Awnings</v>
      </c>
      <c r="G3" s="249"/>
      <c r="H3" s="249"/>
      <c r="I3" s="250"/>
      <c r="J3" s="236" t="str">
        <f>TRIM(Data!BG5)</f>
        <v/>
      </c>
      <c r="K3" s="237"/>
      <c r="L3" s="238"/>
    </row>
    <row r="4" spans="1:12" s="112" customFormat="1" ht="49.9" customHeight="1">
      <c r="A4" s="158" t="s">
        <v>15</v>
      </c>
      <c r="B4" s="158"/>
      <c r="C4" s="167" t="str">
        <f>Data!BD5</f>
        <v>A</v>
      </c>
      <c r="D4" s="167"/>
      <c r="E4" s="44" t="s">
        <v>114</v>
      </c>
      <c r="F4" s="248" t="str">
        <f>Data!BA5</f>
        <v>18/09/2026 12:00:00 AM</v>
      </c>
      <c r="G4" s="249"/>
      <c r="H4" s="249"/>
      <c r="I4" s="250"/>
      <c r="J4" s="239"/>
      <c r="K4" s="240"/>
      <c r="L4" s="241"/>
    </row>
    <row r="5" spans="1:12" s="112" customFormat="1" ht="49.9" customHeight="1">
      <c r="A5" s="159" t="s">
        <v>10</v>
      </c>
      <c r="B5" s="159"/>
      <c r="C5" s="228" t="str">
        <f>Data!AY5</f>
        <v>6/08/2026 12:00:00 AM</v>
      </c>
      <c r="D5" s="228"/>
      <c r="E5" s="167" t="s">
        <v>13</v>
      </c>
      <c r="F5" s="245" t="str">
        <f>TRIM(Data!BF5)</f>
        <v>Campbell, Neil</v>
      </c>
      <c r="G5" s="246"/>
      <c r="H5" s="246"/>
      <c r="I5" s="247"/>
      <c r="J5" s="239"/>
      <c r="K5" s="240"/>
      <c r="L5" s="241"/>
    </row>
    <row r="6" spans="1:12" s="112" customFormat="1" ht="49.9" customHeight="1">
      <c r="A6" s="227" t="str">
        <f>Data!CZ5</f>
        <v>Retail Customer</v>
      </c>
      <c r="B6" s="227"/>
      <c r="C6" s="227"/>
      <c r="D6" s="227"/>
      <c r="E6" s="167"/>
      <c r="F6" s="245" t="str">
        <f>CONCATENATE(Data!BH5," ",Data!BI5," ",Data!BJ5," ",Data!BK5," ",Data!BL5)</f>
        <v xml:space="preserve"> 7161  Midland Highway </v>
      </c>
      <c r="G6" s="246"/>
      <c r="H6" s="246"/>
      <c r="I6" s="247"/>
      <c r="J6" s="239"/>
      <c r="K6" s="240"/>
      <c r="L6" s="241"/>
    </row>
    <row r="7" spans="1:12" s="112" customFormat="1" ht="49.9" customHeight="1">
      <c r="A7" s="227"/>
      <c r="B7" s="227"/>
      <c r="C7" s="227"/>
      <c r="D7" s="227"/>
      <c r="E7" s="167"/>
      <c r="F7" s="245" t="str">
        <f>CONCATENATE(Data!BM5," ",Data!BN5," ",Data!BO5," ",Data!BP5)</f>
        <v>Buninyong VIC 3357 Australia</v>
      </c>
      <c r="G7" s="246"/>
      <c r="H7" s="246"/>
      <c r="I7" s="247"/>
      <c r="J7" s="242"/>
      <c r="K7" s="243"/>
      <c r="L7" s="244"/>
    </row>
    <row r="8" spans="1:12" ht="23.25" customHeight="1">
      <c r="A8" s="251" t="s">
        <v>117</v>
      </c>
      <c r="B8" s="230" t="s">
        <v>98</v>
      </c>
      <c r="C8" s="230" t="s">
        <v>126</v>
      </c>
      <c r="D8" s="230" t="s">
        <v>135</v>
      </c>
      <c r="E8" s="229" t="s">
        <v>162</v>
      </c>
      <c r="F8" s="229" t="s">
        <v>136</v>
      </c>
      <c r="G8" s="204" t="s">
        <v>618</v>
      </c>
      <c r="H8" s="231" t="s">
        <v>165</v>
      </c>
      <c r="I8" s="231" t="s">
        <v>141</v>
      </c>
      <c r="J8" s="229" t="s">
        <v>183</v>
      </c>
      <c r="K8" s="188" t="s">
        <v>5</v>
      </c>
      <c r="L8" s="188" t="s">
        <v>828</v>
      </c>
    </row>
    <row r="9" spans="1:12" ht="18.75" customHeight="1">
      <c r="A9" s="251"/>
      <c r="B9" s="230"/>
      <c r="C9" s="230"/>
      <c r="D9" s="230"/>
      <c r="E9" s="229"/>
      <c r="F9" s="229"/>
      <c r="G9" s="204"/>
      <c r="H9" s="231"/>
      <c r="I9" s="231"/>
      <c r="J9" s="229"/>
      <c r="K9" s="188"/>
      <c r="L9" s="188"/>
    </row>
    <row r="10" spans="1:12" ht="49.5" customHeight="1">
      <c r="A10" s="251"/>
      <c r="B10" s="230"/>
      <c r="C10" s="230"/>
      <c r="D10" s="230"/>
      <c r="E10" s="229"/>
      <c r="F10" s="229"/>
      <c r="G10" s="204"/>
      <c r="H10" s="231"/>
      <c r="I10" s="231"/>
      <c r="J10" s="229"/>
      <c r="K10" s="188"/>
      <c r="L10" s="188"/>
    </row>
    <row r="11" spans="1:12" ht="99">
      <c r="A11" s="46">
        <f>Data!AW11</f>
        <v>2</v>
      </c>
      <c r="B11" s="28" t="str">
        <f>'Job Sheet'!B11</f>
        <v>Dining</v>
      </c>
      <c r="C11" s="80" t="str">
        <f>'Job Sheet'!AI11</f>
        <v>63mm</v>
      </c>
      <c r="D11" s="81">
        <f>'Job Sheet'!AK11</f>
        <v>4125</v>
      </c>
      <c r="E11" s="70" t="str">
        <f>IF('Job Sheet'!N11="Other at Cost",#REF!,'Job Sheet'!N11)</f>
        <v>Ebony (Black)</v>
      </c>
      <c r="F11" s="82">
        <f>'Job Sheet'!AL11</f>
        <v>4105</v>
      </c>
      <c r="G11" s="58" t="str">
        <f>IF(D11="","",IF('Job Sheet'!P11="Spring","",CONCATENATE(F11-60," x 2")))</f>
        <v>4045 x 2</v>
      </c>
      <c r="H11" s="71" t="str">
        <f>'Job Sheet'!K11</f>
        <v>Colourbond Under-Roll Hooding</v>
      </c>
      <c r="I11" s="72" t="str">
        <f>IF('Job Sheet'!L11="Non Standard Hood",'Job Sheet'!M11,'Job Sheet'!L11)</f>
        <v>Merino (Paperbark)</v>
      </c>
      <c r="J11" s="83">
        <f>IF('Job Sheet'!F11="","",IF(OR('Job Sheet'!K11="Colourbond Under-Roll Hooding",'Job Sheet'!K11="Colourbond Over-Roll Hooding"),'Job Sheet'!F11-4,""))</f>
        <v>4186</v>
      </c>
      <c r="K11" s="29" t="str">
        <f>'Job Sheet'!AF11</f>
        <v/>
      </c>
      <c r="L11" s="110">
        <f>A11</f>
        <v>2</v>
      </c>
    </row>
    <row r="12" spans="1:12" ht="99">
      <c r="A12" s="46">
        <f>Data!AW12</f>
        <v>3</v>
      </c>
      <c r="B12" s="28" t="str">
        <f>'Job Sheet'!B12</f>
        <v>Master</v>
      </c>
      <c r="C12" s="80" t="str">
        <f>'Job Sheet'!AI12</f>
        <v>63mm</v>
      </c>
      <c r="D12" s="81">
        <f>'Job Sheet'!AK12</f>
        <v>1751</v>
      </c>
      <c r="E12" s="70" t="str">
        <f>IF('Job Sheet'!N12="Other at Cost",#REF!,'Job Sheet'!N12)</f>
        <v>Ebony (Black)</v>
      </c>
      <c r="F12" s="82">
        <f>'Job Sheet'!AL12</f>
        <v>1731</v>
      </c>
      <c r="G12" s="58" t="str">
        <f>IF(D12="","",IF('Job Sheet'!P12="Spring","",CONCATENATE(F12-60," x 2")))</f>
        <v>1671 x 2</v>
      </c>
      <c r="H12" s="71" t="str">
        <f>'Job Sheet'!K12</f>
        <v>Colourbond Under-Roll Hooding</v>
      </c>
      <c r="I12" s="72" t="str">
        <f>IF('Job Sheet'!L12="Non Standard Hood",'Job Sheet'!M12,'Job Sheet'!L12)</f>
        <v>Merino (Paperbark)</v>
      </c>
      <c r="J12" s="83">
        <f>IF('Job Sheet'!F12="","",IF(OR('Job Sheet'!K12="Colourbond Under-Roll Hooding",'Job Sheet'!K12="Colourbond Over-Roll Hooding"),'Job Sheet'!F12-4,""))</f>
        <v>1812</v>
      </c>
      <c r="K12" s="29" t="str">
        <f>'Job Sheet'!AF12</f>
        <v/>
      </c>
      <c r="L12" s="110">
        <f t="shared" si="0" ref="L12:L20">A12</f>
        <v>3</v>
      </c>
    </row>
    <row r="13" spans="1:12" ht="99">
      <c r="A13" s="46">
        <f>Data!AW13</f>
        <v>4</v>
      </c>
      <c r="B13" s="28" t="str">
        <f>'Job Sheet'!B13</f>
        <v>Master 2</v>
      </c>
      <c r="C13" s="80" t="str">
        <f>'Job Sheet'!AI13</f>
        <v>63mm</v>
      </c>
      <c r="D13" s="81">
        <f>'Job Sheet'!AK13</f>
        <v>1750</v>
      </c>
      <c r="E13" s="70" t="str">
        <f>IF('Job Sheet'!N13="Other at Cost",#REF!,'Job Sheet'!N13)</f>
        <v>Ebony (Black)</v>
      </c>
      <c r="F13" s="82">
        <f>'Job Sheet'!AL13</f>
        <v>1730</v>
      </c>
      <c r="G13" s="58" t="str">
        <f>IF(D13="","",IF('Job Sheet'!P13="Spring","",CONCATENATE(F13-60," x 2")))</f>
        <v>1670 x 2</v>
      </c>
      <c r="H13" s="71" t="str">
        <f>'Job Sheet'!K13</f>
        <v>Colourbond Under-Roll Hooding</v>
      </c>
      <c r="I13" s="72" t="str">
        <f>IF('Job Sheet'!L13="Non Standard Hood",'Job Sheet'!M13,'Job Sheet'!L13)</f>
        <v>Merino (Paperbark)</v>
      </c>
      <c r="J13" s="83">
        <f>IF('Job Sheet'!F13="","",IF(OR('Job Sheet'!K13="Colourbond Under-Roll Hooding",'Job Sheet'!K13="Colourbond Over-Roll Hooding"),'Job Sheet'!F13-4,""))</f>
        <v>1811</v>
      </c>
      <c r="K13" s="29" t="str">
        <f>'Job Sheet'!AF13</f>
        <v/>
      </c>
      <c r="L13" s="110">
        <f t="shared" si="0"/>
        <v>4</v>
      </c>
    </row>
    <row r="14" spans="1:12" ht="99">
      <c r="A14" s="46">
        <f>Data!AW14</f>
        <v>5</v>
      </c>
      <c r="B14" s="28" t="str">
        <f>'Job Sheet'!B14</f>
        <v>Lounge</v>
      </c>
      <c r="C14" s="80" t="str">
        <f>'Job Sheet'!AI14</f>
        <v>63mm</v>
      </c>
      <c r="D14" s="81">
        <f>'Job Sheet'!AK14</f>
        <v>2950</v>
      </c>
      <c r="E14" s="70" t="str">
        <f>IF('Job Sheet'!N14="Other at Cost",#REF!,'Job Sheet'!N14)</f>
        <v>Ebony (Black)</v>
      </c>
      <c r="F14" s="82">
        <f>'Job Sheet'!AL14</f>
        <v>2930</v>
      </c>
      <c r="G14" s="58" t="str">
        <f>IF(D14="","",IF('Job Sheet'!P14="Spring","",CONCATENATE(F14-60," x 2")))</f>
        <v>2870 x 2</v>
      </c>
      <c r="H14" s="71" t="str">
        <f>'Job Sheet'!K14</f>
        <v>Colourbond Under-Roll Hooding</v>
      </c>
      <c r="I14" s="72" t="str">
        <f>IF('Job Sheet'!L14="Non Standard Hood",'Job Sheet'!M14,'Job Sheet'!L14)</f>
        <v>Merino (Paperbark)</v>
      </c>
      <c r="J14" s="83">
        <f>IF('Job Sheet'!F14="","",IF(OR('Job Sheet'!K14="Colourbond Under-Roll Hooding",'Job Sheet'!K14="Colourbond Over-Roll Hooding"),'Job Sheet'!F14-4,""))</f>
        <v>3011</v>
      </c>
      <c r="K14" s="29" t="str">
        <f>'Job Sheet'!AF14</f>
        <v/>
      </c>
      <c r="L14" s="110">
        <f t="shared" si="0"/>
        <v>5</v>
      </c>
    </row>
    <row r="15" spans="1:12" ht="99">
      <c r="A15" s="46">
        <f>Data!AW15</f>
        <v>6</v>
      </c>
      <c r="B15" s="28" t="str">
        <f>'Job Sheet'!B15</f>
        <v>Bed 4</v>
      </c>
      <c r="C15" s="80" t="str">
        <f>'Job Sheet'!AI15</f>
        <v>63mm</v>
      </c>
      <c r="D15" s="81">
        <f>'Job Sheet'!AK15</f>
        <v>2291</v>
      </c>
      <c r="E15" s="70" t="str">
        <f>IF('Job Sheet'!N15="Other at Cost",#REF!,'Job Sheet'!N15)</f>
        <v>Ebony (Black)</v>
      </c>
      <c r="F15" s="82">
        <f>'Job Sheet'!AL15</f>
        <v>2271</v>
      </c>
      <c r="G15" s="58" t="str">
        <f>IF(D15="","",IF('Job Sheet'!P15="Spring","",CONCATENATE(F15-60," x 2")))</f>
        <v>2211 x 2</v>
      </c>
      <c r="H15" s="71" t="str">
        <f>'Job Sheet'!K15</f>
        <v>Colourbond Under-Roll Hooding</v>
      </c>
      <c r="I15" s="72" t="str">
        <f>IF('Job Sheet'!L15="Non Standard Hood",'Job Sheet'!M15,'Job Sheet'!L15)</f>
        <v>Merino (Paperbark)</v>
      </c>
      <c r="J15" s="83">
        <f>IF('Job Sheet'!F15="","",IF(OR('Job Sheet'!K15="Colourbond Under-Roll Hooding",'Job Sheet'!K15="Colourbond Over-Roll Hooding"),'Job Sheet'!F15-4,""))</f>
        <v>2352</v>
      </c>
      <c r="K15" s="29" t="str">
        <f>'Job Sheet'!AF15</f>
        <v/>
      </c>
      <c r="L15" s="110">
        <f t="shared" si="0"/>
        <v>6</v>
      </c>
    </row>
    <row r="16" spans="1:12" ht="60" customHeight="1">
      <c r="A16" s="46">
        <f>Data!AW16</f>
        <v>0</v>
      </c>
      <c r="B16" s="28">
        <f>'Job Sheet'!B16</f>
        <v>0</v>
      </c>
      <c r="C16" s="80" t="str">
        <f>'Job Sheet'!AI16</f>
        <v/>
      </c>
      <c r="D16" s="81" t="str">
        <f>'Job Sheet'!AK16</f>
        <v/>
      </c>
      <c r="E16" s="70" t="str">
        <f>IF('Job Sheet'!N16="Other at Cost",#REF!,'Job Sheet'!N16)</f>
        <v/>
      </c>
      <c r="F16" s="82" t="str">
        <f>'Job Sheet'!AL16</f>
        <v/>
      </c>
      <c r="G16" s="58" t="str">
        <f>IF(D16="","",IF('Job Sheet'!P16="Spring","",CONCATENATE(F16-60," x 2")))</f>
        <v/>
      </c>
      <c r="H16" s="71" t="str">
        <f>'Job Sheet'!K16</f>
        <v/>
      </c>
      <c r="I16" s="72" t="str">
        <f>IF('Job Sheet'!L16="Non Standard Hood",'Job Sheet'!M16,'Job Sheet'!L16)</f>
        <v/>
      </c>
      <c r="J16" s="83" t="str">
        <f>IF('Job Sheet'!F16="","",IF(OR('Job Sheet'!K16="Colourbond Under-Roll Hooding",'Job Sheet'!K16="Colourbond Over-Roll Hooding"),'Job Sheet'!F16-4,""))</f>
        <v/>
      </c>
      <c r="K16" s="29" t="str">
        <f>'Job Sheet'!AF16</f>
        <v/>
      </c>
      <c r="L16" s="110">
        <f t="shared" si="0"/>
        <v>0</v>
      </c>
    </row>
    <row r="17" spans="1:12" ht="60" customHeight="1">
      <c r="A17" s="46">
        <f>Data!AW17</f>
        <v>0</v>
      </c>
      <c r="B17" s="28">
        <f>'Job Sheet'!B17</f>
        <v>0</v>
      </c>
      <c r="C17" s="80" t="str">
        <f>'Job Sheet'!AI17</f>
        <v/>
      </c>
      <c r="D17" s="81" t="str">
        <f>'Job Sheet'!AK17</f>
        <v/>
      </c>
      <c r="E17" s="70" t="str">
        <f>IF('Job Sheet'!N17="Other at Cost",#REF!,'Job Sheet'!N17)</f>
        <v/>
      </c>
      <c r="F17" s="82" t="str">
        <f>'Job Sheet'!AL17</f>
        <v/>
      </c>
      <c r="G17" s="58" t="str">
        <f>IF(D17="","",IF('Job Sheet'!P17="Spring","",CONCATENATE(F17-60," x 2")))</f>
        <v/>
      </c>
      <c r="H17" s="71" t="str">
        <f>'Job Sheet'!K17</f>
        <v/>
      </c>
      <c r="I17" s="72" t="str">
        <f>IF('Job Sheet'!L17="Non Standard Hood",'Job Sheet'!M17,'Job Sheet'!L17)</f>
        <v/>
      </c>
      <c r="J17" s="83" t="str">
        <f>IF('Job Sheet'!F17="","",IF(OR('Job Sheet'!K17="Colourbond Under-Roll Hooding",'Job Sheet'!K17="Colourbond Over-Roll Hooding"),'Job Sheet'!F17-4,""))</f>
        <v/>
      </c>
      <c r="K17" s="29" t="str">
        <f>'Job Sheet'!AF17</f>
        <v/>
      </c>
      <c r="L17" s="110">
        <f t="shared" si="0"/>
        <v>0</v>
      </c>
    </row>
    <row r="18" spans="1:12" ht="60" customHeight="1">
      <c r="A18" s="46">
        <f>Data!AW18</f>
        <v>0</v>
      </c>
      <c r="B18" s="28">
        <f>'Job Sheet'!B18</f>
        <v>0</v>
      </c>
      <c r="C18" s="80" t="str">
        <f>'Job Sheet'!AI18</f>
        <v/>
      </c>
      <c r="D18" s="81" t="str">
        <f>'Job Sheet'!AK18</f>
        <v/>
      </c>
      <c r="E18" s="70" t="str">
        <f>IF('Job Sheet'!N18="Other at Cost",#REF!,'Job Sheet'!N18)</f>
        <v/>
      </c>
      <c r="F18" s="82" t="str">
        <f>'Job Sheet'!AL18</f>
        <v/>
      </c>
      <c r="G18" s="58" t="str">
        <f>IF(D18="","",IF('Job Sheet'!P18="Spring","",CONCATENATE(F18-60," x 2")))</f>
        <v/>
      </c>
      <c r="H18" s="71" t="str">
        <f>'Job Sheet'!K18</f>
        <v/>
      </c>
      <c r="I18" s="72" t="str">
        <f>IF('Job Sheet'!L18="Non Standard Hood",'Job Sheet'!M18,'Job Sheet'!L18)</f>
        <v/>
      </c>
      <c r="J18" s="83" t="str">
        <f>IF('Job Sheet'!F18="","",IF(OR('Job Sheet'!K18="Colourbond Under-Roll Hooding",'Job Sheet'!K18="Colourbond Over-Roll Hooding"),'Job Sheet'!F18-4,""))</f>
        <v/>
      </c>
      <c r="K18" s="29" t="str">
        <f>'Job Sheet'!AF18</f>
        <v/>
      </c>
      <c r="L18" s="110">
        <f t="shared" si="0"/>
        <v>0</v>
      </c>
    </row>
    <row r="19" spans="1:12" ht="60" customHeight="1">
      <c r="A19" s="46">
        <f>Data!AW19</f>
        <v>0</v>
      </c>
      <c r="B19" s="28">
        <f>'Job Sheet'!B19</f>
        <v>0</v>
      </c>
      <c r="C19" s="80" t="str">
        <f>'Job Sheet'!AI19</f>
        <v/>
      </c>
      <c r="D19" s="81" t="str">
        <f>'Job Sheet'!AK19</f>
        <v/>
      </c>
      <c r="E19" s="70" t="str">
        <f>IF('Job Sheet'!N19="Other at Cost",#REF!,'Job Sheet'!N19)</f>
        <v/>
      </c>
      <c r="F19" s="82" t="str">
        <f>'Job Sheet'!AL19</f>
        <v/>
      </c>
      <c r="G19" s="58" t="str">
        <f>IF(D19="","",IF('Job Sheet'!P19="Spring","",CONCATENATE(F19-60," x 2")))</f>
        <v/>
      </c>
      <c r="H19" s="71" t="str">
        <f>'Job Sheet'!K19</f>
        <v/>
      </c>
      <c r="I19" s="72" t="str">
        <f>IF('Job Sheet'!L19="Non Standard Hood",'Job Sheet'!M19,'Job Sheet'!L19)</f>
        <v/>
      </c>
      <c r="J19" s="83" t="str">
        <f>IF('Job Sheet'!F19="","",IF(OR('Job Sheet'!K19="Colourbond Under-Roll Hooding",'Job Sheet'!K19="Colourbond Over-Roll Hooding"),'Job Sheet'!F19-4,""))</f>
        <v/>
      </c>
      <c r="K19" s="29" t="str">
        <f>'Job Sheet'!AF19</f>
        <v/>
      </c>
      <c r="L19" s="110">
        <f t="shared" si="0"/>
        <v>0</v>
      </c>
    </row>
    <row r="20" spans="1:12" ht="60" customHeight="1">
      <c r="A20" s="46">
        <f>Data!AW20</f>
        <v>0</v>
      </c>
      <c r="B20" s="28">
        <f>'Job Sheet'!B20</f>
        <v>0</v>
      </c>
      <c r="C20" s="80" t="str">
        <f>'Job Sheet'!AI20</f>
        <v/>
      </c>
      <c r="D20" s="81" t="str">
        <f>'Job Sheet'!AK20</f>
        <v/>
      </c>
      <c r="E20" s="70" t="str">
        <f>IF('Job Sheet'!N20="Other at Cost",#REF!,'Job Sheet'!N20)</f>
        <v/>
      </c>
      <c r="F20" s="82" t="str">
        <f>'Job Sheet'!AL20</f>
        <v/>
      </c>
      <c r="G20" s="58" t="str">
        <f>IF(D20="","",IF('Job Sheet'!P20="Spring","",CONCATENATE(F20-60," x 2")))</f>
        <v/>
      </c>
      <c r="H20" s="71" t="str">
        <f>'Job Sheet'!K20</f>
        <v/>
      </c>
      <c r="I20" s="72" t="str">
        <f>IF('Job Sheet'!L20="Non Standard Hood",'Job Sheet'!M20,'Job Sheet'!L20)</f>
        <v/>
      </c>
      <c r="J20" s="83" t="str">
        <f>IF('Job Sheet'!F20="","",IF(OR('Job Sheet'!K20="Colourbond Under-Roll Hooding",'Job Sheet'!K20="Colourbond Over-Roll Hooding"),'Job Sheet'!F20-4,""))</f>
        <v/>
      </c>
      <c r="K20" s="29" t="str">
        <f>'Job Sheet'!AF20</f>
        <v/>
      </c>
      <c r="L20" s="110">
        <f t="shared" si="0"/>
        <v>0</v>
      </c>
    </row>
    <row r="21" spans="1:8" ht="60" customHeight="1">
      <c r="A21" s="37"/>
      <c r="B21" s="22"/>
      <c r="C21" s="38"/>
      <c r="D21" s="38"/>
      <c r="E21" s="38"/>
      <c r="F21" s="21"/>
      <c r="G21" s="21"/>
      <c r="H21" s="21"/>
    </row>
    <row r="22" spans="1:8" ht="60" customHeight="1">
      <c r="A22" s="37"/>
      <c r="B22" s="22"/>
      <c r="C22" s="38"/>
      <c r="D22" s="38"/>
      <c r="E22" s="38"/>
      <c r="F22" s="21"/>
      <c r="G22" s="21"/>
      <c r="H22" s="21"/>
    </row>
    <row r="23" spans="1:8" ht="60" customHeight="1">
      <c r="A23" s="37"/>
      <c r="B23" s="22"/>
      <c r="C23" s="38"/>
      <c r="D23" s="38"/>
      <c r="E23" s="38"/>
      <c r="F23" s="21"/>
      <c r="G23" s="21"/>
      <c r="H23" s="21"/>
    </row>
    <row r="24" spans="1:8" ht="60" customHeight="1">
      <c r="A24" s="37"/>
      <c r="B24" s="22"/>
      <c r="C24" s="38"/>
      <c r="D24" s="38"/>
      <c r="E24" s="38"/>
      <c r="F24" s="21"/>
      <c r="G24" s="21"/>
      <c r="H24" s="21"/>
    </row>
    <row r="25" spans="1:8" ht="60" customHeight="1">
      <c r="A25" s="37"/>
      <c r="B25" s="22"/>
      <c r="C25" s="38"/>
      <c r="D25" s="38"/>
      <c r="E25" s="38"/>
      <c r="F25" s="21"/>
      <c r="G25" s="21"/>
      <c r="H25" s="21"/>
    </row>
    <row r="26" spans="1:8" ht="60" customHeight="1">
      <c r="A26" s="37"/>
      <c r="B26" s="22"/>
      <c r="C26" s="38"/>
      <c r="D26" s="38"/>
      <c r="E26" s="38"/>
      <c r="F26" s="21"/>
      <c r="G26" s="21"/>
      <c r="H26" s="21"/>
    </row>
    <row r="27" spans="1:8" ht="60" customHeight="1">
      <c r="A27" s="37"/>
      <c r="B27" s="22"/>
      <c r="C27" s="38"/>
      <c r="D27" s="38"/>
      <c r="E27" s="38"/>
      <c r="F27" s="21"/>
      <c r="G27" s="21"/>
      <c r="H27" s="21"/>
    </row>
    <row r="28" spans="1:8" ht="60" customHeight="1">
      <c r="A28" s="37"/>
      <c r="B28" s="22"/>
      <c r="C28" s="38"/>
      <c r="D28" s="38"/>
      <c r="E28" s="38"/>
      <c r="F28" s="21"/>
      <c r="G28" s="21"/>
      <c r="H28" s="21"/>
    </row>
    <row r="29" spans="1:8" ht="60" customHeight="1">
      <c r="A29" s="37"/>
      <c r="B29" s="22"/>
      <c r="C29" s="38"/>
      <c r="D29" s="38"/>
      <c r="E29" s="38"/>
      <c r="F29" s="21"/>
      <c r="G29" s="21"/>
      <c r="H29" s="21"/>
    </row>
    <row r="30" spans="1:8" ht="60" customHeight="1">
      <c r="A30" s="37"/>
      <c r="B30" s="22"/>
      <c r="C30" s="38"/>
      <c r="D30" s="38"/>
      <c r="E30" s="38"/>
      <c r="F30" s="21"/>
      <c r="G30" s="21"/>
      <c r="H30" s="21"/>
    </row>
    <row r="31" spans="1:8" ht="60" customHeight="1">
      <c r="A31" s="37"/>
      <c r="B31" s="22"/>
      <c r="C31" s="38"/>
      <c r="D31" s="38"/>
      <c r="E31" s="38"/>
      <c r="F31" s="21"/>
      <c r="G31" s="21"/>
      <c r="H31" s="21"/>
    </row>
    <row r="32" spans="1:8" ht="60" customHeight="1">
      <c r="A32" s="37"/>
      <c r="B32" s="22"/>
      <c r="C32" s="38"/>
      <c r="D32" s="38"/>
      <c r="E32" s="38"/>
      <c r="F32" s="21"/>
      <c r="G32" s="21"/>
      <c r="H32" s="21"/>
    </row>
    <row r="33" spans="1:8" ht="60" customHeight="1">
      <c r="A33" s="37"/>
      <c r="B33" s="22"/>
      <c r="C33" s="38"/>
      <c r="D33" s="38"/>
      <c r="E33" s="38"/>
      <c r="F33" s="21"/>
      <c r="G33" s="21"/>
      <c r="H33" s="21"/>
    </row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0" customHeight="1"/>
    <row r="105" ht="60" customHeight="1"/>
    <row r="106" ht="60" customHeight="1"/>
    <row r="107" ht="60" customHeight="1"/>
    <row r="108" ht="60" customHeight="1"/>
    <row r="109" ht="60" customHeight="1"/>
    <row r="110" ht="60" customHeight="1"/>
    <row r="111" ht="60" customHeight="1"/>
    <row r="112" ht="60" customHeight="1"/>
    <row r="113" ht="60" customHeight="1"/>
    <row r="114" ht="60" customHeight="1"/>
    <row r="115" ht="60" customHeight="1"/>
    <row r="116" ht="60" customHeight="1"/>
    <row r="117" ht="60" customHeight="1"/>
    <row r="118" ht="60" customHeight="1"/>
    <row r="119" ht="60" customHeight="1"/>
    <row r="120" ht="60" customHeight="1"/>
    <row r="121" ht="60" customHeight="1"/>
    <row r="122" ht="60" customHeight="1"/>
    <row r="123" ht="60" customHeight="1"/>
    <row r="124" ht="60" customHeight="1"/>
    <row r="125" ht="60" customHeight="1"/>
    <row r="126" ht="60" customHeight="1"/>
    <row r="127" ht="60" customHeight="1"/>
    <row r="128" ht="60" customHeight="1"/>
    <row r="129" ht="60" customHeight="1"/>
    <row r="130" ht="60" customHeight="1"/>
    <row r="131" ht="50.1" customHeight="1"/>
    <row r="132" ht="50.1" customHeight="1"/>
    <row r="133" ht="50.1" customHeight="1"/>
    <row r="134" ht="50.1" customHeight="1"/>
    <row r="135" ht="50.1" customHeight="1"/>
    <row r="136" ht="50.1" customHeight="1"/>
    <row r="137" ht="50.1" customHeight="1"/>
    <row r="138" ht="50.1" customHeight="1"/>
    <row r="139" ht="50.1" customHeight="1"/>
    <row r="140" ht="50.1" customHeight="1"/>
    <row r="141" ht="50.1" customHeight="1"/>
    <row r="142" ht="50.1" customHeight="1"/>
    <row r="143" ht="50.1" customHeight="1"/>
    <row r="144" ht="50.1" customHeight="1"/>
    <row r="145" ht="50.1" customHeight="1"/>
    <row r="146" ht="50.1" customHeight="1"/>
    <row r="147" ht="50.1" customHeight="1"/>
    <row r="148" ht="50.1" customHeight="1"/>
    <row r="149" ht="50.1" customHeight="1"/>
    <row r="150" ht="50.1" customHeight="1"/>
    <row r="151" ht="50.1" customHeight="1"/>
    <row r="152" ht="50.1" customHeight="1"/>
    <row r="153" ht="50.1" customHeight="1"/>
    <row r="154" ht="50.1" customHeight="1"/>
    <row r="155" ht="50.1" customHeight="1"/>
    <row r="156" ht="50.1" customHeight="1"/>
    <row r="157" ht="50.1" customHeight="1"/>
    <row r="158" ht="50.1" customHeight="1"/>
    <row r="159" ht="50.1" customHeight="1"/>
    <row r="160" ht="50.1" customHeight="1"/>
    <row r="161" ht="50.1" customHeight="1"/>
    <row r="162" ht="50.1" customHeight="1"/>
    <row r="163" ht="50.1" customHeight="1"/>
    <row r="164" ht="50.1" customHeight="1"/>
    <row r="165" ht="50.1" customHeight="1"/>
    <row r="166" ht="50.1" customHeight="1"/>
    <row r="167" ht="50.1" customHeight="1"/>
    <row r="168" ht="50.1" customHeight="1"/>
    <row r="169" ht="50.1" customHeight="1"/>
    <row r="170" ht="50.1" customHeight="1"/>
    <row r="171" ht="50.1" customHeight="1"/>
    <row r="172" ht="50.1" customHeight="1"/>
    <row r="173" ht="50.1" customHeight="1"/>
    <row r="174" ht="50.1" customHeight="1"/>
    <row r="175" ht="50.1" customHeight="1"/>
    <row r="176" ht="50.1" customHeight="1"/>
    <row r="177" ht="50.1" customHeight="1"/>
    <row r="178" ht="50.1" customHeight="1"/>
    <row r="179" ht="50.1" customHeight="1"/>
    <row r="180" ht="50.1" customHeight="1"/>
    <row r="181" ht="50.1" customHeight="1"/>
    <row r="182" ht="50.1" customHeight="1"/>
    <row r="183" ht="50.1" customHeight="1"/>
    <row r="184" ht="50.1" customHeight="1"/>
    <row r="185" ht="50.1" customHeight="1"/>
    <row r="186" ht="50.1" customHeight="1"/>
    <row r="187" ht="50.1" customHeight="1"/>
    <row r="188" ht="50.1" customHeight="1"/>
    <row r="189" ht="50.1" customHeight="1"/>
    <row r="190" ht="50.1" customHeight="1"/>
    <row r="191" ht="50.1" customHeight="1"/>
    <row r="192" ht="50.1" customHeight="1"/>
    <row r="193" ht="50.1" customHeight="1"/>
    <row r="194" ht="50.1" customHeight="1"/>
    <row r="195" ht="50.1" customHeight="1"/>
    <row r="196" ht="50.1" customHeight="1"/>
    <row r="197" ht="50.1" customHeight="1"/>
    <row r="198" ht="50.1" customHeight="1"/>
    <row r="199" ht="50.1" customHeight="1"/>
    <row r="200" ht="50.1" customHeight="1"/>
    <row r="201" ht="50.1" customHeight="1"/>
    <row r="202" ht="50.1" customHeight="1"/>
    <row r="203" ht="50.1" customHeight="1"/>
    <row r="204" ht="50.1" customHeight="1"/>
    <row r="205" ht="50.1" customHeight="1"/>
    <row r="206" ht="50.1" customHeight="1"/>
    <row r="207" ht="50.1" customHeight="1"/>
    <row r="208" ht="50.1" customHeight="1"/>
    <row r="209" ht="50.1" customHeight="1"/>
    <row r="210" ht="50.1" customHeight="1"/>
    <row r="211" ht="50.1" customHeight="1"/>
    <row r="212" ht="50.1" customHeight="1"/>
    <row r="213" ht="50.1" customHeight="1"/>
    <row r="214" ht="50.1" customHeight="1"/>
    <row r="215" ht="50.1" customHeight="1"/>
    <row r="216" ht="50.1" customHeight="1"/>
    <row r="217" ht="50.1" customHeight="1"/>
    <row r="218" ht="50.1" customHeight="1"/>
    <row r="219" ht="50.1" customHeight="1"/>
    <row r="220" ht="50.1" customHeight="1"/>
    <row r="221" ht="50.1" customHeight="1"/>
    <row r="222" ht="50.1" customHeight="1"/>
    <row r="223" ht="50.1" customHeight="1"/>
    <row r="224" ht="50.1" customHeight="1"/>
    <row r="225" ht="50.1" customHeight="1"/>
    <row r="226" ht="50.1" customHeight="1"/>
    <row r="227" ht="50.1" customHeight="1"/>
    <row r="228" ht="50.1" customHeight="1"/>
    <row r="229" ht="50.1" customHeight="1"/>
    <row r="230" ht="50.1" customHeight="1"/>
    <row r="231" ht="50.1" customHeight="1"/>
    <row r="232" ht="50.1" customHeight="1"/>
    <row r="233" ht="50.1" customHeight="1"/>
    <row r="234" ht="50.1" customHeight="1"/>
    <row r="235" ht="50.1" customHeight="1"/>
    <row r="236" ht="50.1" customHeight="1"/>
    <row r="237" ht="50.1" customHeight="1"/>
    <row r="238" ht="50.1" customHeight="1"/>
    <row r="239" ht="50.1" customHeight="1"/>
    <row r="240" ht="50.1" customHeight="1"/>
    <row r="241" ht="50.1" customHeight="1"/>
    <row r="242" ht="50.1" customHeight="1"/>
    <row r="243" ht="50.1" customHeight="1"/>
    <row r="244" ht="50.1" customHeight="1"/>
    <row r="245" ht="50.1" customHeight="1"/>
    <row r="246" ht="50.1" customHeight="1"/>
    <row r="247" ht="50.1" customHeight="1"/>
    <row r="248" ht="50.1" customHeight="1"/>
    <row r="249" ht="50.1" customHeight="1"/>
    <row r="250" ht="50.1" customHeight="1"/>
    <row r="251" ht="50.1" customHeight="1"/>
    <row r="252" ht="50.1" customHeight="1"/>
    <row r="253" ht="50.1" customHeight="1"/>
    <row r="254" ht="50.1" customHeight="1"/>
    <row r="255" ht="50.1" customHeight="1"/>
    <row r="256" ht="50.1" customHeight="1"/>
    <row r="257" ht="50.1" customHeight="1"/>
    <row r="258" ht="50.1" customHeight="1"/>
    <row r="259" ht="50.1" customHeight="1"/>
    <row r="260" ht="50.1" customHeight="1"/>
    <row r="261" ht="50.1" customHeight="1"/>
    <row r="262" ht="50.1" customHeight="1"/>
    <row r="263" ht="50.1" customHeight="1"/>
    <row r="264" ht="50.1" customHeight="1"/>
    <row r="265" ht="50.1" customHeight="1"/>
    <row r="266" ht="50.1" customHeight="1"/>
    <row r="267" ht="50.1" customHeight="1"/>
    <row r="268" ht="50.1" customHeight="1"/>
    <row r="269" ht="50.1" customHeight="1"/>
    <row r="270" ht="50.1" customHeight="1"/>
    <row r="271" ht="50.1" customHeight="1"/>
    <row r="272" ht="50.1" customHeight="1"/>
    <row r="273" ht="50.1" customHeight="1"/>
    <row r="274" ht="50.1" customHeight="1"/>
    <row r="275" ht="50.1" customHeight="1"/>
    <row r="276" ht="50.1" customHeight="1"/>
    <row r="277" ht="50.1" customHeight="1"/>
    <row r="278" ht="50.1" customHeight="1"/>
    <row r="279" ht="50.1" customHeight="1"/>
    <row r="280" ht="50.1" customHeight="1"/>
    <row r="281" ht="50.1" customHeight="1"/>
    <row r="282" ht="50.1" customHeight="1"/>
    <row r="283" ht="50.1" customHeight="1"/>
    <row r="284" ht="50.1" customHeight="1"/>
    <row r="285" ht="50.1" customHeight="1"/>
    <row r="286" ht="50.1" customHeight="1"/>
    <row r="287" ht="50.1" customHeight="1"/>
    <row r="288" ht="50.1" customHeight="1"/>
    <row r="289" ht="50.1" customHeight="1"/>
    <row r="290" ht="50.1" customHeight="1"/>
    <row r="291" ht="50.1" customHeight="1"/>
    <row r="292" ht="50.1" customHeight="1"/>
    <row r="293" ht="50.1" customHeight="1"/>
    <row r="294" ht="50.1" customHeight="1"/>
    <row r="295" ht="50.1" customHeight="1"/>
    <row r="296" ht="50.1" customHeight="1"/>
    <row r="297" ht="50.1" customHeight="1"/>
    <row r="298" ht="50.1" customHeight="1"/>
    <row r="299" ht="50.1" customHeight="1"/>
    <row r="300" ht="50.1" customHeight="1"/>
    <row r="301" ht="50.1" customHeight="1"/>
    <row r="302" ht="50.1" customHeight="1"/>
    <row r="303" ht="50.1" customHeight="1"/>
    <row r="304" ht="50.1" customHeight="1"/>
    <row r="305" ht="50.1" customHeight="1"/>
    <row r="306" ht="50.1" customHeight="1"/>
    <row r="307" ht="50.1" customHeight="1"/>
    <row r="308" ht="50.1" customHeight="1"/>
    <row r="309" ht="50.1" customHeight="1"/>
    <row r="310" ht="50.1" customHeight="1"/>
    <row r="311" ht="50.1" customHeight="1"/>
    <row r="312" ht="50.1" customHeight="1"/>
    <row r="313" ht="50.1" customHeight="1"/>
    <row r="314" ht="50.1" customHeight="1"/>
    <row r="315" ht="50.1" customHeight="1"/>
    <row r="316" ht="50.1" customHeight="1"/>
    <row r="317" ht="50.1" customHeight="1"/>
    <row r="318" ht="50.1" customHeight="1"/>
    <row r="319" ht="50.1" customHeight="1"/>
    <row r="320" ht="50.1" customHeight="1"/>
    <row r="321" ht="50.1" customHeight="1"/>
    <row r="322" ht="50.1" customHeight="1"/>
    <row r="323" ht="50.1" customHeight="1"/>
    <row r="324" ht="50.1" customHeight="1"/>
    <row r="325" ht="50.1" customHeight="1"/>
    <row r="326" ht="50.1" customHeight="1"/>
    <row r="327" ht="50.1" customHeight="1"/>
    <row r="328" ht="50.1" customHeight="1"/>
    <row r="329" ht="50.1" customHeight="1"/>
    <row r="330" ht="50.1" customHeight="1"/>
    <row r="331" ht="50.1" customHeight="1"/>
    <row r="332" ht="50.1" customHeight="1"/>
    <row r="333" ht="50.1" customHeight="1"/>
    <row r="334" ht="50.1" customHeight="1"/>
    <row r="335" ht="50.1" customHeight="1"/>
    <row r="336" ht="50.1" customHeight="1"/>
    <row r="337" ht="50.1" customHeight="1"/>
    <row r="338" ht="50.1" customHeight="1"/>
    <row r="339" ht="50.1" customHeight="1"/>
    <row r="340" ht="50.1" customHeight="1"/>
    <row r="341" ht="50.1" customHeight="1"/>
    <row r="342" ht="50.1" customHeight="1"/>
    <row r="343" ht="50.1" customHeight="1"/>
    <row r="344" ht="50.1" customHeight="1"/>
    <row r="345" ht="50.1" customHeight="1"/>
    <row r="346" ht="50.1" customHeight="1"/>
    <row r="347" ht="50.1" customHeight="1"/>
    <row r="348" ht="50.1" customHeight="1"/>
    <row r="349" ht="50.1" customHeight="1"/>
    <row r="350" ht="50.1" customHeight="1"/>
    <row r="351" ht="50.1" customHeight="1"/>
    <row r="352" ht="50.1" customHeight="1"/>
    <row r="353" ht="50.1" customHeight="1"/>
    <row r="354" ht="50.1" customHeight="1"/>
    <row r="355" ht="50.1" customHeight="1"/>
    <row r="356" ht="50.1" customHeight="1"/>
    <row r="357" ht="50.1" customHeight="1"/>
    <row r="358" ht="50.1" customHeight="1"/>
    <row r="359" ht="50.1" customHeight="1"/>
    <row r="360" ht="50.1" customHeight="1"/>
    <row r="361" ht="50.1" customHeight="1"/>
    <row r="362" ht="50.1" customHeight="1"/>
    <row r="363" ht="50.1" customHeight="1"/>
    <row r="364" ht="50.1" customHeight="1"/>
    <row r="365" ht="50.1" customHeight="1"/>
    <row r="366" ht="50.1" customHeight="1"/>
    <row r="367" ht="50.1" customHeight="1"/>
    <row r="368" ht="50.1" customHeight="1"/>
    <row r="369" ht="50.1" customHeight="1"/>
    <row r="370" ht="50.1" customHeight="1"/>
    <row r="371" ht="50.1" customHeight="1"/>
    <row r="372" ht="50.1" customHeight="1"/>
    <row r="373" ht="50.1" customHeight="1"/>
    <row r="374" ht="50.1" customHeight="1"/>
    <row r="375" ht="50.1" customHeight="1"/>
    <row r="376" ht="50.1" customHeight="1"/>
    <row r="377" ht="50.1" customHeight="1"/>
    <row r="378" ht="50.1" customHeight="1"/>
    <row r="379" ht="50.1" customHeight="1"/>
    <row r="380" ht="50.1" customHeight="1"/>
    <row r="381" ht="50.1" customHeight="1"/>
    <row r="382" ht="50.1" customHeight="1"/>
    <row r="383" ht="50.1" customHeight="1"/>
    <row r="384" ht="50.1" customHeight="1"/>
    <row r="385" ht="50.1" customHeight="1"/>
    <row r="386" ht="50.1" customHeight="1"/>
    <row r="387" ht="50.1" customHeight="1"/>
    <row r="388" ht="50.1" customHeight="1"/>
    <row r="389" ht="50.1" customHeight="1"/>
    <row r="390" ht="50.1" customHeight="1"/>
    <row r="391" ht="50.1" customHeight="1"/>
    <row r="392" ht="50.1" customHeight="1"/>
    <row r="393" ht="50.1" customHeight="1"/>
    <row r="394" ht="50.1" customHeight="1"/>
    <row r="395" ht="50.1" customHeight="1"/>
    <row r="396" ht="50.1" customHeight="1"/>
    <row r="397" ht="50.1" customHeight="1"/>
    <row r="398" ht="50.1" customHeight="1"/>
    <row r="399" ht="50.1" customHeight="1"/>
    <row r="400" ht="50.1" customHeight="1"/>
    <row r="401" ht="50.1" customHeight="1"/>
    <row r="402" ht="50.1" customHeight="1"/>
    <row r="403" ht="50.1" customHeight="1"/>
    <row r="404" ht="50.1" customHeight="1"/>
    <row r="405" ht="50.1" customHeight="1"/>
    <row r="406" ht="50.1" customHeight="1"/>
    <row r="407" ht="50.1" customHeight="1"/>
    <row r="408" ht="50.1" customHeight="1"/>
    <row r="409" ht="50.1" customHeight="1"/>
    <row r="410" ht="50.1" customHeight="1"/>
    <row r="411" ht="50.1" customHeight="1"/>
    <row r="412" ht="50.1" customHeight="1"/>
    <row r="413" ht="50.1" customHeight="1"/>
    <row r="414" ht="50.1" customHeight="1"/>
    <row r="415" ht="50.1" customHeight="1"/>
    <row r="416" ht="50.1" customHeight="1"/>
    <row r="417" ht="50.1" customHeight="1"/>
    <row r="418" ht="50.1" customHeight="1"/>
    <row r="419" ht="50.1" customHeight="1"/>
    <row r="420" ht="50.1" customHeight="1"/>
    <row r="421" ht="50.1" customHeight="1"/>
  </sheetData>
  <mergeCells count="31">
    <mergeCell ref="E5:E7"/>
    <mergeCell ref="A1:L1"/>
    <mergeCell ref="L8:L10"/>
    <mergeCell ref="J2:L2"/>
    <mergeCell ref="J3:L7"/>
    <mergeCell ref="F2:I2"/>
    <mergeCell ref="F3:I3"/>
    <mergeCell ref="F4:I4"/>
    <mergeCell ref="F5:I5"/>
    <mergeCell ref="F6:I6"/>
    <mergeCell ref="F7:I7"/>
    <mergeCell ref="B8:B10"/>
    <mergeCell ref="A8:A10"/>
    <mergeCell ref="F8:F10"/>
    <mergeCell ref="C8:C10"/>
    <mergeCell ref="J8:J10"/>
    <mergeCell ref="K8:K10"/>
    <mergeCell ref="E8:E10"/>
    <mergeCell ref="D8:D10"/>
    <mergeCell ref="H8:H10"/>
    <mergeCell ref="I8:I10"/>
    <mergeCell ref="G8:G10"/>
    <mergeCell ref="A2:B2"/>
    <mergeCell ref="A3:B3"/>
    <mergeCell ref="A4:B4"/>
    <mergeCell ref="A5:B5"/>
    <mergeCell ref="A6:D7"/>
    <mergeCell ref="C3:D3"/>
    <mergeCell ref="C2:D2"/>
    <mergeCell ref="C5:D5"/>
    <mergeCell ref="C4:D4"/>
  </mergeCells>
  <printOptions horizontalCentered="1"/>
  <pageMargins left="0.43779527559056" right="0.43779527559056" top="0.3" bottom="0.3" header="0.3" footer="0.3"/>
  <pageSetup fitToHeight="0" orientation="landscape" paperSize="9" scale="1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M20"/>
  <sheetViews>
    <sheetView showZeros="0" view="pageBreakPreview" zoomScale="40" zoomScaleNormal="25" zoomScaleSheetLayoutView="40" zoomScalePageLayoutView="25" workbookViewId="0" topLeftCell="A1">
      <selection pane="topLeft" activeCell="A11" sqref="A11:XFD20"/>
    </sheetView>
  </sheetViews>
  <sheetFormatPr defaultColWidth="9.42578125" defaultRowHeight="39.95" customHeight="1"/>
  <cols>
    <col min="1" max="1" width="11.2857142857143" style="25" customWidth="1"/>
    <col min="2" max="2" width="55.4285714285714" style="25" customWidth="1"/>
    <col min="3" max="3" width="45.5714285714286" style="25" customWidth="1"/>
    <col min="4" max="4" width="23.8571428571429" style="25" customWidth="1"/>
    <col min="5" max="5" width="57.8571428571429" style="25" customWidth="1"/>
    <col min="6" max="6" width="55" style="25" customWidth="1"/>
    <col min="7" max="7" width="51.2857142857143" style="25" customWidth="1"/>
    <col min="8" max="8" width="24" style="25" customWidth="1"/>
    <col min="9" max="9" width="28" customWidth="1"/>
    <col min="10" max="10" width="28.7142857142857" customWidth="1"/>
    <col min="11" max="11" width="28.2857142857143" customWidth="1"/>
    <col min="12" max="12" width="80.1428571428571" customWidth="1"/>
    <col min="13" max="13" width="20.7142857142857" customWidth="1"/>
  </cols>
  <sheetData>
    <row r="1" spans="1:13" s="11" customFormat="1" ht="196.15" customHeight="1">
      <c r="A1" s="253" t="s">
        <v>169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</row>
    <row r="2" spans="1:13" s="13" customFormat="1" ht="50.1" customHeight="1">
      <c r="A2" s="157" t="s">
        <v>7</v>
      </c>
      <c r="B2" s="157"/>
      <c r="C2" s="165"/>
      <c r="D2" s="165"/>
      <c r="E2" s="43" t="s">
        <v>96</v>
      </c>
      <c r="F2" s="245" t="str">
        <f>Data!BF5</f>
        <v>Campbell, Neil</v>
      </c>
      <c r="G2" s="246"/>
      <c r="H2" s="246"/>
      <c r="I2" s="247"/>
      <c r="J2" s="233" t="s">
        <v>4</v>
      </c>
      <c r="K2" s="234"/>
      <c r="L2" s="234"/>
      <c r="M2" s="235"/>
    </row>
    <row r="3" spans="1:13" s="13" customFormat="1" ht="50.1" customHeight="1">
      <c r="A3" s="157" t="s">
        <v>118</v>
      </c>
      <c r="B3" s="157"/>
      <c r="C3" s="167" t="str">
        <f>Data!BC5</f>
        <v>12085</v>
      </c>
      <c r="D3" s="167"/>
      <c r="E3" s="44" t="s">
        <v>8</v>
      </c>
      <c r="F3" s="248" t="str">
        <f>Data!AX5</f>
        <v>Verticali Patio Blinds &amp; Fixed Guide Awnings</v>
      </c>
      <c r="G3" s="249"/>
      <c r="H3" s="249"/>
      <c r="I3" s="250"/>
      <c r="J3" s="236" t="str">
        <f>TRIM(Data!BG5)</f>
        <v/>
      </c>
      <c r="K3" s="237"/>
      <c r="L3" s="237"/>
      <c r="M3" s="238"/>
    </row>
    <row r="4" spans="1:13" s="1" customFormat="1" ht="50.1" customHeight="1">
      <c r="A4" s="158" t="s">
        <v>15</v>
      </c>
      <c r="B4" s="158"/>
      <c r="C4" s="167" t="str">
        <f>Data!BD5</f>
        <v>A</v>
      </c>
      <c r="D4" s="167"/>
      <c r="E4" s="44" t="s">
        <v>114</v>
      </c>
      <c r="F4" s="248" t="str">
        <f>Data!BA5</f>
        <v>18/09/2026 12:00:00 AM</v>
      </c>
      <c r="G4" s="249"/>
      <c r="H4" s="249"/>
      <c r="I4" s="250"/>
      <c r="J4" s="239"/>
      <c r="K4" s="240"/>
      <c r="L4" s="240"/>
      <c r="M4" s="241"/>
    </row>
    <row r="5" spans="1:13" s="1" customFormat="1" ht="50.1" customHeight="1">
      <c r="A5" s="159" t="s">
        <v>10</v>
      </c>
      <c r="B5" s="159"/>
      <c r="C5" s="228" t="str">
        <f>Data!AY5</f>
        <v>6/08/2026 12:00:00 AM</v>
      </c>
      <c r="D5" s="228"/>
      <c r="E5" s="167" t="s">
        <v>13</v>
      </c>
      <c r="F5" s="245" t="str">
        <f>TRIM(Data!BF5)</f>
        <v>Campbell, Neil</v>
      </c>
      <c r="G5" s="246"/>
      <c r="H5" s="246"/>
      <c r="I5" s="247"/>
      <c r="J5" s="239"/>
      <c r="K5" s="240"/>
      <c r="L5" s="240"/>
      <c r="M5" s="241"/>
    </row>
    <row r="6" spans="1:13" s="1" customFormat="1" ht="50.1" customHeight="1">
      <c r="A6" s="160" t="str">
        <f>Data!CZ5</f>
        <v>Retail Customer</v>
      </c>
      <c r="B6" s="160"/>
      <c r="C6" s="160"/>
      <c r="D6" s="160"/>
      <c r="E6" s="167"/>
      <c r="F6" s="245" t="str">
        <f>CONCATENATE(Data!BH5," ",Data!BI5," ",Data!BJ5," ",Data!BK5," ",Data!BL5)</f>
        <v xml:space="preserve"> 7161  Midland Highway </v>
      </c>
      <c r="G6" s="246"/>
      <c r="H6" s="246"/>
      <c r="I6" s="247"/>
      <c r="J6" s="239"/>
      <c r="K6" s="240"/>
      <c r="L6" s="240"/>
      <c r="M6" s="241"/>
    </row>
    <row r="7" spans="1:13" s="1" customFormat="1" ht="50.1" customHeight="1">
      <c r="A7" s="160"/>
      <c r="B7" s="160"/>
      <c r="C7" s="160"/>
      <c r="D7" s="160"/>
      <c r="E7" s="167"/>
      <c r="F7" s="245" t="str">
        <f>CONCATENATE(Data!BM5," ",Data!BN5," ",Data!BO5," ",Data!BP5)</f>
        <v>Buninyong VIC 3357 Australia</v>
      </c>
      <c r="G7" s="246"/>
      <c r="H7" s="246"/>
      <c r="I7" s="247"/>
      <c r="J7" s="242"/>
      <c r="K7" s="243"/>
      <c r="L7" s="243"/>
      <c r="M7" s="244"/>
    </row>
    <row r="8" spans="1:13" s="26" customFormat="1" ht="50.1" customHeight="1">
      <c r="A8" s="152" t="s">
        <v>117</v>
      </c>
      <c r="B8" s="153" t="s">
        <v>98</v>
      </c>
      <c r="C8" s="252" t="s">
        <v>150</v>
      </c>
      <c r="D8" s="154" t="s">
        <v>434</v>
      </c>
      <c r="E8" s="156" t="s">
        <v>126</v>
      </c>
      <c r="F8" s="156" t="s">
        <v>139</v>
      </c>
      <c r="G8" s="153" t="s">
        <v>162</v>
      </c>
      <c r="H8" s="153" t="s">
        <v>618</v>
      </c>
      <c r="I8" s="154" t="s">
        <v>133</v>
      </c>
      <c r="J8" s="174" t="s">
        <v>373</v>
      </c>
      <c r="K8" s="254" t="s">
        <v>123</v>
      </c>
      <c r="L8" s="154" t="s">
        <v>5</v>
      </c>
      <c r="M8" s="154" t="s">
        <v>828</v>
      </c>
    </row>
    <row r="9" spans="1:13" s="26" customFormat="1" ht="14.25" customHeight="1" hidden="1">
      <c r="A9" s="152"/>
      <c r="B9" s="153"/>
      <c r="C9" s="252"/>
      <c r="D9" s="154"/>
      <c r="E9" s="156"/>
      <c r="F9" s="156"/>
      <c r="G9" s="153"/>
      <c r="H9" s="153"/>
      <c r="I9" s="154"/>
      <c r="J9" s="174"/>
      <c r="K9" s="254"/>
      <c r="L9" s="154"/>
      <c r="M9" s="154"/>
    </row>
    <row r="10" spans="1:13" s="27" customFormat="1" ht="59.25" customHeight="1">
      <c r="A10" s="152"/>
      <c r="B10" s="153"/>
      <c r="C10" s="252"/>
      <c r="D10" s="154"/>
      <c r="E10" s="156"/>
      <c r="F10" s="156"/>
      <c r="G10" s="153"/>
      <c r="H10" s="153"/>
      <c r="I10" s="154"/>
      <c r="J10" s="174"/>
      <c r="K10" s="254"/>
      <c r="L10" s="154"/>
      <c r="M10" s="154"/>
    </row>
    <row r="11" spans="1:13" s="19" customFormat="1" ht="66">
      <c r="A11" s="45">
        <f>Data!AW11</f>
        <v>2</v>
      </c>
      <c r="B11" s="24" t="str">
        <f>Data!AY11</f>
        <v>Dining</v>
      </c>
      <c r="C11" s="74" t="str">
        <f>'Job Sheet'!P11</f>
        <v>Becker Remote Operated</v>
      </c>
      <c r="D11" s="42" t="str">
        <f>'Job Sheet'!Q11</f>
        <v>Left</v>
      </c>
      <c r="E11" s="42" t="str">
        <f>'Job Sheet'!AI11</f>
        <v>63mm</v>
      </c>
      <c r="F11" s="42" t="str">
        <f>'Job Sheet'!AJ11</f>
        <v/>
      </c>
      <c r="G11" s="23" t="str">
        <f>IF('Job Sheet'!N11="Other at Cost",#REF!,'Job Sheet'!N11)</f>
        <v>Ebony (Black)</v>
      </c>
      <c r="H11" s="23" t="str">
        <f>'Tube Cutting'!G11</f>
        <v>4045 x 2</v>
      </c>
      <c r="I11" s="23" t="str">
        <f>'Job Sheet'!T11</f>
        <v>Standard Bottom Flap</v>
      </c>
      <c r="J11" s="23" t="str">
        <f>'Job Sheet'!V11</f>
        <v>Normal</v>
      </c>
      <c r="K11" s="73" t="str">
        <f>'Job Sheet'!W11</f>
        <v>Back</v>
      </c>
      <c r="L11" s="23" t="str">
        <f>'Job Sheet'!AF11</f>
        <v/>
      </c>
      <c r="M11" s="107">
        <f>A11</f>
        <v>2</v>
      </c>
    </row>
    <row r="12" spans="1:13" s="19" customFormat="1" ht="66">
      <c r="A12" s="45">
        <f>Data!AW12</f>
        <v>3</v>
      </c>
      <c r="B12" s="24" t="str">
        <f>Data!AY12</f>
        <v>Master</v>
      </c>
      <c r="C12" s="74" t="str">
        <f>'Job Sheet'!P12</f>
        <v>Becker Remote Operated</v>
      </c>
      <c r="D12" s="42" t="str">
        <f>'Job Sheet'!Q12</f>
        <v>Right</v>
      </c>
      <c r="E12" s="42" t="str">
        <f>'Job Sheet'!AI12</f>
        <v>63mm</v>
      </c>
      <c r="F12" s="42" t="str">
        <f>'Job Sheet'!AJ12</f>
        <v/>
      </c>
      <c r="G12" s="23" t="str">
        <f>IF('Job Sheet'!N12="Other at Cost",#REF!,'Job Sheet'!N12)</f>
        <v>Ebony (Black)</v>
      </c>
      <c r="H12" s="23" t="str">
        <f>'Tube Cutting'!G12</f>
        <v>1671 x 2</v>
      </c>
      <c r="I12" s="23" t="str">
        <f>'Job Sheet'!T12</f>
        <v>Standard Bottom Flap</v>
      </c>
      <c r="J12" s="23" t="str">
        <f>'Job Sheet'!V12</f>
        <v>Normal</v>
      </c>
      <c r="K12" s="73" t="str">
        <f>'Job Sheet'!W12</f>
        <v>Back</v>
      </c>
      <c r="L12" s="23" t="str">
        <f>'Job Sheet'!AF12</f>
        <v/>
      </c>
      <c r="M12" s="107">
        <f t="shared" si="0" ref="M12:M20">A12</f>
        <v>3</v>
      </c>
    </row>
    <row r="13" spans="1:13" s="19" customFormat="1" ht="66">
      <c r="A13" s="45">
        <f>Data!AW13</f>
        <v>4</v>
      </c>
      <c r="B13" s="24" t="str">
        <f>Data!AY13</f>
        <v>Master 2</v>
      </c>
      <c r="C13" s="74" t="str">
        <f>'Job Sheet'!P13</f>
        <v>Becker Remote Operated</v>
      </c>
      <c r="D13" s="42" t="str">
        <f>'Job Sheet'!Q13</f>
        <v>Left</v>
      </c>
      <c r="E13" s="42" t="str">
        <f>'Job Sheet'!AI13</f>
        <v>63mm</v>
      </c>
      <c r="F13" s="42" t="str">
        <f>'Job Sheet'!AJ13</f>
        <v/>
      </c>
      <c r="G13" s="23" t="str">
        <f>IF('Job Sheet'!N13="Other at Cost",#REF!,'Job Sheet'!N13)</f>
        <v>Ebony (Black)</v>
      </c>
      <c r="H13" s="23" t="str">
        <f>'Tube Cutting'!G13</f>
        <v>1670 x 2</v>
      </c>
      <c r="I13" s="23" t="str">
        <f>'Job Sheet'!T13</f>
        <v>Standard Bottom Flap</v>
      </c>
      <c r="J13" s="23" t="str">
        <f>'Job Sheet'!V13</f>
        <v>Normal</v>
      </c>
      <c r="K13" s="73" t="str">
        <f>'Job Sheet'!W13</f>
        <v>Back</v>
      </c>
      <c r="L13" s="23" t="str">
        <f>'Job Sheet'!AF13</f>
        <v/>
      </c>
      <c r="M13" s="107">
        <f t="shared" si="0"/>
        <v>4</v>
      </c>
    </row>
    <row r="14" spans="1:13" s="19" customFormat="1" ht="66">
      <c r="A14" s="45">
        <f>Data!AW14</f>
        <v>5</v>
      </c>
      <c r="B14" s="24" t="str">
        <f>Data!AY14</f>
        <v>Lounge</v>
      </c>
      <c r="C14" s="74" t="str">
        <f>'Job Sheet'!P14</f>
        <v>Becker Remote Operated</v>
      </c>
      <c r="D14" s="42" t="str">
        <f>'Job Sheet'!Q14</f>
        <v>Left</v>
      </c>
      <c r="E14" s="42" t="str">
        <f>'Job Sheet'!AI14</f>
        <v>63mm</v>
      </c>
      <c r="F14" s="42" t="str">
        <f>'Job Sheet'!AJ14</f>
        <v/>
      </c>
      <c r="G14" s="23" t="str">
        <f>IF('Job Sheet'!N14="Other at Cost",#REF!,'Job Sheet'!N14)</f>
        <v>Ebony (Black)</v>
      </c>
      <c r="H14" s="23" t="str">
        <f>'Tube Cutting'!G14</f>
        <v>2870 x 2</v>
      </c>
      <c r="I14" s="23" t="str">
        <f>'Job Sheet'!T14</f>
        <v>Standard Bottom Flap</v>
      </c>
      <c r="J14" s="23" t="str">
        <f>'Job Sheet'!V14</f>
        <v>Normal</v>
      </c>
      <c r="K14" s="73" t="str">
        <f>'Job Sheet'!W14</f>
        <v>Back</v>
      </c>
      <c r="L14" s="23" t="str">
        <f>'Job Sheet'!AF14</f>
        <v/>
      </c>
      <c r="M14" s="107">
        <f t="shared" si="0"/>
        <v>5</v>
      </c>
    </row>
    <row r="15" spans="1:13" s="19" customFormat="1" ht="66">
      <c r="A15" s="45">
        <f>Data!AW15</f>
        <v>6</v>
      </c>
      <c r="B15" s="24" t="str">
        <f>Data!AY15</f>
        <v>Bed 4</v>
      </c>
      <c r="C15" s="74" t="str">
        <f>'Job Sheet'!P15</f>
        <v>Becker Remote Operated</v>
      </c>
      <c r="D15" s="42" t="str">
        <f>'Job Sheet'!Q15</f>
        <v>Left</v>
      </c>
      <c r="E15" s="42" t="str">
        <f>'Job Sheet'!AI15</f>
        <v>63mm</v>
      </c>
      <c r="F15" s="42" t="str">
        <f>'Job Sheet'!AJ15</f>
        <v/>
      </c>
      <c r="G15" s="23" t="str">
        <f>IF('Job Sheet'!N15="Other at Cost",#REF!,'Job Sheet'!N15)</f>
        <v>Ebony (Black)</v>
      </c>
      <c r="H15" s="23" t="str">
        <f>'Tube Cutting'!G15</f>
        <v>2211 x 2</v>
      </c>
      <c r="I15" s="23" t="str">
        <f>'Job Sheet'!T15</f>
        <v>Standard Bottom Flap</v>
      </c>
      <c r="J15" s="23" t="str">
        <f>'Job Sheet'!V15</f>
        <v>Normal</v>
      </c>
      <c r="K15" s="73" t="str">
        <f>'Job Sheet'!W15</f>
        <v>Back</v>
      </c>
      <c r="L15" s="23" t="str">
        <f>'Job Sheet'!AF15</f>
        <v/>
      </c>
      <c r="M15" s="107">
        <f t="shared" si="0"/>
        <v>6</v>
      </c>
    </row>
    <row r="16" spans="1:13" s="19" customFormat="1" ht="60" customHeight="1">
      <c r="A16" s="45">
        <f>Data!AW16</f>
        <v>0</v>
      </c>
      <c r="B16" s="24">
        <f>Data!AY16</f>
        <v>0</v>
      </c>
      <c r="C16" s="74" t="str">
        <f>'Job Sheet'!P16</f>
        <v/>
      </c>
      <c r="D16" s="42" t="str">
        <f>'Job Sheet'!Q16</f>
        <v/>
      </c>
      <c r="E16" s="42" t="str">
        <f>'Job Sheet'!AI16</f>
        <v/>
      </c>
      <c r="F16" s="42" t="str">
        <f>'Job Sheet'!AJ16</f>
        <v/>
      </c>
      <c r="G16" s="23" t="str">
        <f>IF('Job Sheet'!N16="Other at Cost",#REF!,'Job Sheet'!N16)</f>
        <v/>
      </c>
      <c r="H16" s="23" t="str">
        <f>'Tube Cutting'!G16</f>
        <v/>
      </c>
      <c r="I16" s="23" t="str">
        <f>'Job Sheet'!T16</f>
        <v/>
      </c>
      <c r="J16" s="23" t="str">
        <f>'Job Sheet'!V16</f>
        <v/>
      </c>
      <c r="K16" s="73" t="str">
        <f>'Job Sheet'!W16</f>
        <v/>
      </c>
      <c r="L16" s="23" t="str">
        <f>'Job Sheet'!AF16</f>
        <v/>
      </c>
      <c r="M16" s="107">
        <f t="shared" si="0"/>
        <v>0</v>
      </c>
    </row>
    <row r="17" spans="1:13" s="19" customFormat="1" ht="60" customHeight="1">
      <c r="A17" s="45">
        <f>Data!AW17</f>
        <v>0</v>
      </c>
      <c r="B17" s="24">
        <f>Data!AY17</f>
        <v>0</v>
      </c>
      <c r="C17" s="74" t="str">
        <f>'Job Sheet'!P17</f>
        <v/>
      </c>
      <c r="D17" s="42" t="str">
        <f>'Job Sheet'!Q17</f>
        <v/>
      </c>
      <c r="E17" s="42" t="str">
        <f>'Job Sheet'!AI17</f>
        <v/>
      </c>
      <c r="F17" s="42" t="str">
        <f>'Job Sheet'!AJ17</f>
        <v/>
      </c>
      <c r="G17" s="23" t="str">
        <f>IF('Job Sheet'!N17="Other at Cost",#REF!,'Job Sheet'!N17)</f>
        <v/>
      </c>
      <c r="H17" s="23" t="str">
        <f>'Tube Cutting'!G17</f>
        <v/>
      </c>
      <c r="I17" s="23" t="str">
        <f>'Job Sheet'!T17</f>
        <v/>
      </c>
      <c r="J17" s="23" t="str">
        <f>'Job Sheet'!V17</f>
        <v/>
      </c>
      <c r="K17" s="73" t="str">
        <f>'Job Sheet'!W17</f>
        <v/>
      </c>
      <c r="L17" s="23" t="str">
        <f>'Job Sheet'!AF17</f>
        <v/>
      </c>
      <c r="M17" s="107">
        <f t="shared" si="0"/>
        <v>0</v>
      </c>
    </row>
    <row r="18" spans="1:13" s="19" customFormat="1" ht="60" customHeight="1">
      <c r="A18" s="45">
        <f>Data!AW18</f>
        <v>0</v>
      </c>
      <c r="B18" s="24">
        <f>Data!AY18</f>
        <v>0</v>
      </c>
      <c r="C18" s="74" t="str">
        <f>'Job Sheet'!P18</f>
        <v/>
      </c>
      <c r="D18" s="42" t="str">
        <f>'Job Sheet'!Q18</f>
        <v/>
      </c>
      <c r="E18" s="42" t="str">
        <f>'Job Sheet'!AI18</f>
        <v/>
      </c>
      <c r="F18" s="42" t="str">
        <f>'Job Sheet'!AJ18</f>
        <v/>
      </c>
      <c r="G18" s="23" t="str">
        <f>IF('Job Sheet'!N18="Other at Cost",#REF!,'Job Sheet'!N18)</f>
        <v/>
      </c>
      <c r="H18" s="23" t="str">
        <f>'Tube Cutting'!G18</f>
        <v/>
      </c>
      <c r="I18" s="23" t="str">
        <f>'Job Sheet'!T18</f>
        <v/>
      </c>
      <c r="J18" s="23" t="str">
        <f>'Job Sheet'!V18</f>
        <v/>
      </c>
      <c r="K18" s="73" t="str">
        <f>'Job Sheet'!W18</f>
        <v/>
      </c>
      <c r="L18" s="23" t="str">
        <f>'Job Sheet'!AF18</f>
        <v/>
      </c>
      <c r="M18" s="107">
        <f t="shared" si="0"/>
        <v>0</v>
      </c>
    </row>
    <row r="19" spans="1:13" ht="60" customHeight="1">
      <c r="A19" s="45">
        <f>Data!AW19</f>
        <v>0</v>
      </c>
      <c r="B19" s="24">
        <f>Data!AY19</f>
        <v>0</v>
      </c>
      <c r="C19" s="74" t="str">
        <f>'Job Sheet'!P19</f>
        <v/>
      </c>
      <c r="D19" s="42" t="str">
        <f>'Job Sheet'!Q19</f>
        <v/>
      </c>
      <c r="E19" s="42" t="str">
        <f>'Job Sheet'!AI19</f>
        <v/>
      </c>
      <c r="F19" s="42" t="str">
        <f>'Job Sheet'!AJ19</f>
        <v/>
      </c>
      <c r="G19" s="23" t="str">
        <f>IF('Job Sheet'!N19="Other at Cost",#REF!,'Job Sheet'!N19)</f>
        <v/>
      </c>
      <c r="H19" s="23" t="str">
        <f>'Tube Cutting'!G19</f>
        <v/>
      </c>
      <c r="I19" s="23" t="str">
        <f>'Job Sheet'!T19</f>
        <v/>
      </c>
      <c r="J19" s="23" t="str">
        <f>'Job Sheet'!V19</f>
        <v/>
      </c>
      <c r="K19" s="73" t="str">
        <f>'Job Sheet'!W19</f>
        <v/>
      </c>
      <c r="L19" s="23" t="str">
        <f>'Job Sheet'!AF19</f>
        <v/>
      </c>
      <c r="M19" s="107">
        <f t="shared" si="0"/>
        <v>0</v>
      </c>
    </row>
    <row r="20" spans="1:13" ht="60" customHeight="1">
      <c r="A20" s="45">
        <f>Data!AW20</f>
        <v>0</v>
      </c>
      <c r="B20" s="24">
        <f>Data!AY20</f>
        <v>0</v>
      </c>
      <c r="C20" s="74" t="str">
        <f>'Job Sheet'!P20</f>
        <v/>
      </c>
      <c r="D20" s="42" t="str">
        <f>'Job Sheet'!Q20</f>
        <v/>
      </c>
      <c r="E20" s="42" t="str">
        <f>'Job Sheet'!AI20</f>
        <v/>
      </c>
      <c r="F20" s="42" t="str">
        <f>'Job Sheet'!AJ20</f>
        <v/>
      </c>
      <c r="G20" s="23" t="str">
        <f>IF('Job Sheet'!N20="Other at Cost",#REF!,'Job Sheet'!N20)</f>
        <v/>
      </c>
      <c r="H20" s="23" t="str">
        <f>'Tube Cutting'!G20</f>
        <v/>
      </c>
      <c r="I20" s="23" t="str">
        <f>'Job Sheet'!T20</f>
        <v/>
      </c>
      <c r="J20" s="23" t="str">
        <f>'Job Sheet'!V20</f>
        <v/>
      </c>
      <c r="K20" s="73" t="str">
        <f>'Job Sheet'!W20</f>
        <v/>
      </c>
      <c r="L20" s="23" t="str">
        <f>'Job Sheet'!AF20</f>
        <v/>
      </c>
      <c r="M20" s="107">
        <f t="shared" si="0"/>
        <v>0</v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50.1" customHeight="1"/>
    <row r="41" ht="50.1" customHeight="1"/>
    <row r="42" ht="50.1" customHeight="1"/>
    <row r="43" ht="50.1" customHeight="1"/>
    <row r="44" ht="50.1" customHeight="1"/>
    <row r="45" ht="50.1" customHeight="1"/>
    <row r="46" ht="50.1" customHeight="1"/>
    <row r="47" ht="50.1" customHeight="1"/>
    <row r="48" ht="50.1" customHeight="1"/>
    <row r="49" ht="50.1" customHeight="1"/>
    <row r="50" ht="50.1" customHeight="1"/>
    <row r="51" ht="50.1" customHeight="1"/>
    <row r="52" ht="50.1" customHeight="1"/>
    <row r="53" ht="50.1" customHeight="1"/>
    <row r="54" ht="50.1" customHeight="1"/>
    <row r="55" ht="50.1" customHeight="1"/>
    <row r="56" ht="50.1" customHeight="1"/>
    <row r="57" ht="50.1" customHeight="1"/>
    <row r="58" ht="50.1" customHeight="1"/>
    <row r="59" ht="50.1" customHeight="1"/>
    <row r="60" ht="50.1" customHeight="1"/>
    <row r="61" ht="50.1" customHeight="1"/>
    <row r="62" ht="50.1" customHeight="1"/>
    <row r="63" ht="50.1" customHeight="1"/>
    <row r="64" ht="50.1" customHeight="1"/>
    <row r="65" ht="50.1" customHeight="1"/>
    <row r="66" ht="50.1" customHeight="1"/>
    <row r="67" ht="50.1" customHeight="1"/>
    <row r="68" ht="50.1" customHeight="1"/>
    <row r="69" ht="50.1" customHeight="1"/>
    <row r="70" ht="50.1" customHeight="1"/>
    <row r="71" ht="50.1" customHeight="1"/>
    <row r="72" ht="50.1" customHeight="1"/>
    <row r="73" ht="50.1" customHeight="1"/>
    <row r="74" ht="50.1" customHeight="1"/>
    <row r="75" ht="50.1" customHeight="1"/>
    <row r="76" ht="50.1" customHeight="1"/>
    <row r="77" ht="50.1" customHeight="1"/>
    <row r="78" ht="50.1" customHeight="1"/>
    <row r="79" ht="50.1" customHeight="1"/>
    <row r="80" ht="50.1" customHeight="1"/>
    <row r="81" ht="50.1" customHeight="1"/>
    <row r="82" ht="50.1" customHeight="1"/>
    <row r="83" ht="50.1" customHeight="1"/>
    <row r="84" ht="50.1" customHeight="1"/>
    <row r="85" ht="50.1" customHeight="1"/>
    <row r="86" ht="50.1" customHeight="1"/>
    <row r="87" ht="50.1" customHeight="1"/>
    <row r="88" ht="50.1" customHeight="1"/>
    <row r="89" ht="50.1" customHeight="1"/>
    <row r="90" ht="50.1" customHeight="1"/>
    <row r="91" ht="50.1" customHeight="1"/>
    <row r="92" ht="50.1" customHeight="1"/>
    <row r="93" ht="50.1" customHeight="1"/>
    <row r="94" ht="50.1" customHeight="1"/>
    <row r="95" ht="50.1" customHeight="1"/>
    <row r="96" ht="50.1" customHeight="1"/>
    <row r="97" ht="50.1" customHeight="1"/>
    <row r="98" ht="50.1" customHeight="1"/>
    <row r="99" ht="50.1" customHeight="1"/>
    <row r="100" ht="50.1" customHeight="1"/>
    <row r="101" ht="50.1" customHeight="1"/>
    <row r="102" ht="50.1" customHeight="1"/>
    <row r="103" ht="50.1" customHeight="1"/>
    <row r="104" ht="50.1" customHeight="1"/>
    <row r="105" ht="50.1" customHeight="1"/>
    <row r="106" ht="50.1" customHeight="1"/>
    <row r="107" ht="50.1" customHeight="1"/>
    <row r="108" ht="50.1" customHeight="1"/>
    <row r="109" ht="50.1" customHeight="1"/>
    <row r="110" ht="50.1" customHeight="1"/>
    <row r="111" ht="50.1" customHeight="1"/>
    <row r="112" ht="50.1" customHeight="1"/>
    <row r="113" ht="50.1" customHeight="1"/>
    <row r="114" ht="50.1" customHeight="1"/>
    <row r="115" ht="50.1" customHeight="1"/>
    <row r="116" ht="50.1" customHeight="1"/>
    <row r="117" ht="50.1" customHeight="1"/>
    <row r="118" ht="50.1" customHeight="1"/>
    <row r="119" ht="50.1" customHeight="1"/>
    <row r="120" ht="50.1" customHeight="1"/>
    <row r="121" ht="50.1" customHeight="1"/>
    <row r="122" ht="50.1" customHeight="1"/>
    <row r="123" ht="50.1" customHeight="1"/>
    <row r="124" ht="50.1" customHeight="1"/>
    <row r="125" ht="50.1" customHeight="1"/>
    <row r="126" ht="50.1" customHeight="1"/>
    <row r="127" ht="50.1" customHeight="1"/>
    <row r="128" ht="50.1" customHeight="1"/>
    <row r="129" ht="50.1" customHeight="1"/>
    <row r="130" ht="50.1" customHeight="1"/>
    <row r="131" ht="50.1" customHeight="1"/>
    <row r="132" ht="50.1" customHeight="1"/>
    <row r="133" ht="50.1" customHeight="1"/>
    <row r="134" ht="50.1" customHeight="1"/>
    <row r="135" ht="50.1" customHeight="1"/>
    <row r="136" ht="50.1" customHeight="1"/>
    <row r="137" ht="50.1" customHeight="1"/>
    <row r="138" ht="50.1" customHeight="1"/>
    <row r="139" ht="50.1" customHeight="1"/>
    <row r="140" ht="50.1" customHeight="1"/>
    <row r="141" ht="50.1" customHeight="1"/>
    <row r="142" ht="50.1" customHeight="1"/>
    <row r="143" ht="50.1" customHeight="1"/>
    <row r="144" ht="50.1" customHeight="1"/>
    <row r="145" ht="50.1" customHeight="1"/>
    <row r="146" ht="50.1" customHeight="1"/>
    <row r="147" ht="50.1" customHeight="1"/>
    <row r="148" ht="50.1" customHeight="1"/>
    <row r="149" ht="50.1" customHeight="1"/>
    <row r="150" ht="50.1" customHeight="1"/>
  </sheetData>
  <sheetProtection formatCells="0" formatRows="0" insertColumns="0" insertRows="0"/>
  <mergeCells count="32">
    <mergeCell ref="F3:I3"/>
    <mergeCell ref="F2:I2"/>
    <mergeCell ref="A1:M1"/>
    <mergeCell ref="M8:M10"/>
    <mergeCell ref="J8:J10"/>
    <mergeCell ref="K8:K10"/>
    <mergeCell ref="I8:I10"/>
    <mergeCell ref="L8:L10"/>
    <mergeCell ref="H8:H10"/>
    <mergeCell ref="A2:B2"/>
    <mergeCell ref="A3:B3"/>
    <mergeCell ref="A4:B4"/>
    <mergeCell ref="A5:B5"/>
    <mergeCell ref="A6:D7"/>
    <mergeCell ref="C5:D5"/>
    <mergeCell ref="C4:D4"/>
    <mergeCell ref="J3:M7"/>
    <mergeCell ref="J2:M2"/>
    <mergeCell ref="A8:A10"/>
    <mergeCell ref="G8:G10"/>
    <mergeCell ref="B8:B10"/>
    <mergeCell ref="F8:F10"/>
    <mergeCell ref="E8:E10"/>
    <mergeCell ref="C8:C10"/>
    <mergeCell ref="D8:D10"/>
    <mergeCell ref="E5:E7"/>
    <mergeCell ref="C2:D2"/>
    <mergeCell ref="C3:D3"/>
    <mergeCell ref="F7:I7"/>
    <mergeCell ref="F6:I6"/>
    <mergeCell ref="F5:I5"/>
    <mergeCell ref="F4:I4"/>
  </mergeCells>
  <printOptions horizontalCentered="1"/>
  <pageMargins left="0.43779527559056" right="0.43779527559056" top="0.3" bottom="0.3" header="0.3" footer="0.3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N24"/>
  <sheetViews>
    <sheetView showZeros="0" view="pageBreakPreview" zoomScale="40" zoomScaleNormal="25" zoomScaleSheetLayoutView="40" zoomScalePageLayoutView="25" workbookViewId="0" topLeftCell="A2">
      <selection pane="topLeft" activeCell="A11" sqref="A11:XFD20"/>
    </sheetView>
  </sheetViews>
  <sheetFormatPr defaultColWidth="9.42578125" defaultRowHeight="39.95" customHeight="1"/>
  <cols>
    <col min="1" max="1" width="12.1428571428571" customWidth="1"/>
    <col min="2" max="2" width="54" customWidth="1"/>
    <col min="3" max="3" width="57.8571428571429" customWidth="1"/>
    <col min="4" max="4" width="54.7142857142857" customWidth="1"/>
    <col min="5" max="5" width="38.5714285714286" customWidth="1"/>
    <col min="6" max="6" width="24.7142857142857" customWidth="1"/>
    <col min="7" max="7" width="34.1428571428571" customWidth="1"/>
    <col min="8" max="8" width="21.1428571428571" customWidth="1"/>
    <col min="9" max="9" width="27.8571428571429" customWidth="1"/>
    <col min="10" max="10" width="28.4285714285714" customWidth="1"/>
    <col min="11" max="11" width="24.4285714285714" customWidth="1"/>
    <col min="12" max="12" width="32.7142857142857" customWidth="1"/>
    <col min="13" max="13" width="82.5714285714286" customWidth="1"/>
    <col min="14" max="14" width="22.4285714285714" customWidth="1"/>
  </cols>
  <sheetData>
    <row r="1" spans="1:14" s="11" customFormat="1" ht="219" customHeight="1">
      <c r="A1" s="259" t="s">
        <v>375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</row>
    <row r="2" spans="1:14" s="13" customFormat="1" ht="60" customHeight="1">
      <c r="A2" s="256" t="s">
        <v>7</v>
      </c>
      <c r="B2" s="256"/>
      <c r="C2" s="132"/>
      <c r="D2" s="133" t="s">
        <v>96</v>
      </c>
      <c r="E2" s="263" t="str">
        <f>Data!BF5</f>
        <v>Campbell, Neil</v>
      </c>
      <c r="F2" s="263"/>
      <c r="G2" s="263"/>
      <c r="H2" s="263"/>
      <c r="I2" s="263"/>
      <c r="J2" s="173" t="s">
        <v>4</v>
      </c>
      <c r="K2" s="173"/>
      <c r="L2" s="173"/>
      <c r="M2" s="173"/>
      <c r="N2" s="173"/>
    </row>
    <row r="3" spans="1:14" s="13" customFormat="1" ht="60" customHeight="1">
      <c r="A3" s="257" t="s">
        <v>118</v>
      </c>
      <c r="B3" s="257"/>
      <c r="C3" s="134" t="str">
        <f>Data!BC5</f>
        <v>12085</v>
      </c>
      <c r="D3" s="135" t="s">
        <v>8</v>
      </c>
      <c r="E3" s="263" t="str">
        <f>TRIM(Data!AX5)</f>
        <v>Verticali Patio Blinds &amp; Fixed Guide Awnings</v>
      </c>
      <c r="F3" s="263"/>
      <c r="G3" s="263"/>
      <c r="H3" s="263"/>
      <c r="I3" s="263"/>
      <c r="J3" s="262" t="str">
        <f>TRIM(Data!BG5)</f>
        <v/>
      </c>
      <c r="K3" s="262"/>
      <c r="L3" s="262"/>
      <c r="M3" s="262"/>
      <c r="N3" s="262"/>
    </row>
    <row r="4" spans="1:14" s="1" customFormat="1" ht="60" customHeight="1">
      <c r="A4" s="258" t="s">
        <v>1243</v>
      </c>
      <c r="B4" s="258"/>
      <c r="C4" s="134" t="str">
        <f>Data!BD5</f>
        <v>A</v>
      </c>
      <c r="D4" s="135" t="s">
        <v>114</v>
      </c>
      <c r="E4" s="263" t="str">
        <f>LEFT(Data!BA5,10)</f>
        <v>18/09/2026</v>
      </c>
      <c r="F4" s="263"/>
      <c r="G4" s="263"/>
      <c r="H4" s="263"/>
      <c r="I4" s="263"/>
      <c r="J4" s="262"/>
      <c r="K4" s="262"/>
      <c r="L4" s="262"/>
      <c r="M4" s="262"/>
      <c r="N4" s="262"/>
    </row>
    <row r="5" spans="1:14" s="1" customFormat="1" ht="60" customHeight="1">
      <c r="A5" s="258" t="s">
        <v>10</v>
      </c>
      <c r="B5" s="258"/>
      <c r="C5" s="136" t="str">
        <f>Data!AY5</f>
        <v>6/08/2026 12:00:00 AM</v>
      </c>
      <c r="D5" s="260" t="s">
        <v>13</v>
      </c>
      <c r="E5" s="263" t="str">
        <f>TRIM(Data!BF5)</f>
        <v>Campbell, Neil</v>
      </c>
      <c r="F5" s="263"/>
      <c r="G5" s="263"/>
      <c r="H5" s="263"/>
      <c r="I5" s="263"/>
      <c r="J5" s="262"/>
      <c r="K5" s="262"/>
      <c r="L5" s="262"/>
      <c r="M5" s="262"/>
      <c r="N5" s="262"/>
    </row>
    <row r="6" spans="1:14" s="1" customFormat="1" ht="60" customHeight="1">
      <c r="A6" s="261" t="str">
        <f>Data!CZ5</f>
        <v>Retail Customer</v>
      </c>
      <c r="B6" s="261"/>
      <c r="C6" s="261"/>
      <c r="D6" s="260"/>
      <c r="E6" s="263" t="str">
        <f>CONCATENATE(Data!BH5," ",Data!BI5," ",Data!BJ5," ",Data!BK5," ",Data!BL5)</f>
        <v xml:space="preserve"> 7161  Midland Highway </v>
      </c>
      <c r="F6" s="263"/>
      <c r="G6" s="263"/>
      <c r="H6" s="263"/>
      <c r="I6" s="263"/>
      <c r="J6" s="262"/>
      <c r="K6" s="262"/>
      <c r="L6" s="262"/>
      <c r="M6" s="262"/>
      <c r="N6" s="262"/>
    </row>
    <row r="7" spans="1:14" s="1" customFormat="1" ht="60" customHeight="1">
      <c r="A7" s="261"/>
      <c r="B7" s="261"/>
      <c r="C7" s="261"/>
      <c r="D7" s="260"/>
      <c r="E7" s="263" t="str">
        <f>CONCATENATE(Data!BM5," ",Data!BN5," ",Data!BO5," ",Data!BP5)</f>
        <v>Buninyong VIC 3357 Australia</v>
      </c>
      <c r="F7" s="263"/>
      <c r="G7" s="263"/>
      <c r="H7" s="263"/>
      <c r="I7" s="263"/>
      <c r="J7" s="262"/>
      <c r="K7" s="262"/>
      <c r="L7" s="262"/>
      <c r="M7" s="262"/>
      <c r="N7" s="262"/>
    </row>
    <row r="8" spans="1:14" s="1" customFormat="1" ht="50.1" customHeight="1">
      <c r="A8" s="152" t="s">
        <v>117</v>
      </c>
      <c r="B8" s="153" t="s">
        <v>98</v>
      </c>
      <c r="C8" s="255" t="s">
        <v>165</v>
      </c>
      <c r="D8" s="156" t="s">
        <v>141</v>
      </c>
      <c r="E8" s="156" t="s">
        <v>206</v>
      </c>
      <c r="F8" s="156" t="s">
        <v>1069</v>
      </c>
      <c r="G8" s="255" t="s">
        <v>150</v>
      </c>
      <c r="H8" s="156" t="s">
        <v>434</v>
      </c>
      <c r="I8" s="156" t="s">
        <v>1017</v>
      </c>
      <c r="J8" s="154" t="s">
        <v>176</v>
      </c>
      <c r="K8" s="154" t="s">
        <v>174</v>
      </c>
      <c r="L8" s="154" t="s">
        <v>1070</v>
      </c>
      <c r="M8" s="154" t="s">
        <v>5</v>
      </c>
      <c r="N8" s="153" t="s">
        <v>828</v>
      </c>
    </row>
    <row r="9" spans="1:14" s="1" customFormat="1" ht="10.15" customHeight="1" hidden="1">
      <c r="A9" s="152"/>
      <c r="B9" s="153"/>
      <c r="C9" s="255"/>
      <c r="D9" s="156"/>
      <c r="E9" s="156"/>
      <c r="F9" s="156"/>
      <c r="G9" s="255"/>
      <c r="H9" s="156"/>
      <c r="I9" s="156"/>
      <c r="J9" s="154"/>
      <c r="K9" s="154"/>
      <c r="L9" s="154"/>
      <c r="M9" s="154"/>
      <c r="N9" s="153"/>
    </row>
    <row r="10" spans="1:14" s="2" customFormat="1" ht="64.9" customHeight="1">
      <c r="A10" s="152"/>
      <c r="B10" s="153"/>
      <c r="C10" s="255"/>
      <c r="D10" s="156"/>
      <c r="E10" s="156"/>
      <c r="F10" s="156"/>
      <c r="G10" s="255"/>
      <c r="H10" s="156"/>
      <c r="I10" s="156"/>
      <c r="J10" s="154"/>
      <c r="K10" s="154"/>
      <c r="L10" s="154"/>
      <c r="M10" s="154"/>
      <c r="N10" s="153"/>
    </row>
    <row r="11" spans="1:14" s="19" customFormat="1" ht="99">
      <c r="A11" s="36">
        <f>Data!AW11</f>
        <v>2</v>
      </c>
      <c r="B11" s="24" t="str">
        <f>'Job Sheet'!B11</f>
        <v>Dining</v>
      </c>
      <c r="C11" s="76" t="str">
        <f>'Job Sheet'!K11</f>
        <v>Colourbond Under-Roll Hooding</v>
      </c>
      <c r="D11" s="42" t="str">
        <f>IF('Job Sheet'!L11="Non Standard Hood",'Job Sheet'!M11,'Job Sheet'!L11)</f>
        <v>Merino (Paperbark)</v>
      </c>
      <c r="E11" s="42" t="str">
        <f>'Job Sheet'!J11</f>
        <v/>
      </c>
      <c r="F11" s="42" t="str">
        <f>'Job Sheet'!AD11</f>
        <v>Standard Zinc</v>
      </c>
      <c r="G11" s="76" t="str">
        <f>'Assembly(a)'!C11</f>
        <v>Becker Remote Operated</v>
      </c>
      <c r="H11" s="23" t="str">
        <f>'Assembly(a)'!D11</f>
        <v>Left</v>
      </c>
      <c r="I11" s="23" t="str">
        <f>'Job Sheet'!S11</f>
        <v/>
      </c>
      <c r="J11" s="23" t="str">
        <f>IF(A11&gt;0,"Yes","")</f>
        <v>Yes</v>
      </c>
      <c r="K11" s="23" t="str">
        <f>'Job Sheet'!R11</f>
        <v/>
      </c>
      <c r="L11" s="23" t="str">
        <f>IF(OR($A$6="Wholesale",$A$6="Wholesale B2B",Data!AV11=""),"",IF($E$2="Brax Window Treatments","Brax","Davidson's"))</f>
        <v>Davidson's</v>
      </c>
      <c r="M11" s="23" t="str">
        <f>'Job Sheet'!AF11</f>
        <v/>
      </c>
      <c r="N11" s="111">
        <f>A11</f>
        <v>2</v>
      </c>
    </row>
    <row r="12" spans="1:14" s="19" customFormat="1" ht="99">
      <c r="A12" s="36">
        <f>Data!AW12</f>
        <v>3</v>
      </c>
      <c r="B12" s="24" t="str">
        <f>'Job Sheet'!B12</f>
        <v>Master</v>
      </c>
      <c r="C12" s="76" t="str">
        <f>'Job Sheet'!K12</f>
        <v>Colourbond Under-Roll Hooding</v>
      </c>
      <c r="D12" s="42" t="str">
        <f>IF('Job Sheet'!L12="Non Standard Hood",'Job Sheet'!M12,'Job Sheet'!L12)</f>
        <v>Merino (Paperbark)</v>
      </c>
      <c r="E12" s="42" t="str">
        <f>'Job Sheet'!J12</f>
        <v/>
      </c>
      <c r="F12" s="42" t="str">
        <f>'Job Sheet'!AD12</f>
        <v>Standard Zinc</v>
      </c>
      <c r="G12" s="76" t="str">
        <f>'Assembly(a)'!C12</f>
        <v>Becker Remote Operated</v>
      </c>
      <c r="H12" s="23" t="str">
        <f>'Assembly(a)'!D12</f>
        <v>Right</v>
      </c>
      <c r="I12" s="23" t="str">
        <f>'Job Sheet'!S12</f>
        <v/>
      </c>
      <c r="J12" s="23" t="str">
        <f t="shared" si="0" ref="J12:J20">IF(A12&gt;0,"Yes","")</f>
        <v>Yes</v>
      </c>
      <c r="K12" s="23" t="str">
        <f>'Job Sheet'!R12</f>
        <v/>
      </c>
      <c r="L12" s="23" t="str">
        <f>IF(OR($A$6="Wholesale",$A$6="Wholesale B2B",Data!AV12=""),"",IF($E$2="Brax Window Treatments","Brax","Davidson's"))</f>
        <v>Davidson's</v>
      </c>
      <c r="M12" s="23" t="str">
        <f>'Job Sheet'!AF12</f>
        <v/>
      </c>
      <c r="N12" s="111">
        <f t="shared" si="1" ref="N12:N20">A12</f>
        <v>3</v>
      </c>
    </row>
    <row r="13" spans="1:14" s="19" customFormat="1" ht="99">
      <c r="A13" s="36">
        <f>Data!AW13</f>
        <v>4</v>
      </c>
      <c r="B13" s="24" t="str">
        <f>'Job Sheet'!B13</f>
        <v>Master 2</v>
      </c>
      <c r="C13" s="76" t="str">
        <f>'Job Sheet'!K13</f>
        <v>Colourbond Under-Roll Hooding</v>
      </c>
      <c r="D13" s="42" t="str">
        <f>IF('Job Sheet'!L13="Non Standard Hood",'Job Sheet'!M13,'Job Sheet'!L13)</f>
        <v>Merino (Paperbark)</v>
      </c>
      <c r="E13" s="42" t="str">
        <f>'Job Sheet'!J13</f>
        <v/>
      </c>
      <c r="F13" s="42" t="str">
        <f>'Job Sheet'!AD13</f>
        <v>Standard Zinc</v>
      </c>
      <c r="G13" s="76" t="str">
        <f>'Assembly(a)'!C13</f>
        <v>Becker Remote Operated</v>
      </c>
      <c r="H13" s="23" t="str">
        <f>'Assembly(a)'!D13</f>
        <v>Left</v>
      </c>
      <c r="I13" s="23" t="str">
        <f>'Job Sheet'!S13</f>
        <v/>
      </c>
      <c r="J13" s="23" t="str">
        <f t="shared" si="0"/>
        <v>Yes</v>
      </c>
      <c r="K13" s="23" t="str">
        <f>'Job Sheet'!R13</f>
        <v/>
      </c>
      <c r="L13" s="23" t="str">
        <f>IF(OR($A$6="Wholesale",$A$6="Wholesale B2B",Data!AV13=""),"",IF($E$2="Brax Window Treatments","Brax","Davidson's"))</f>
        <v>Davidson's</v>
      </c>
      <c r="M13" s="23" t="str">
        <f>'Job Sheet'!AF13</f>
        <v/>
      </c>
      <c r="N13" s="111">
        <f t="shared" si="1"/>
        <v>4</v>
      </c>
    </row>
    <row r="14" spans="1:14" s="19" customFormat="1" ht="99">
      <c r="A14" s="36">
        <f>Data!AW14</f>
        <v>5</v>
      </c>
      <c r="B14" s="24" t="str">
        <f>'Job Sheet'!B14</f>
        <v>Lounge</v>
      </c>
      <c r="C14" s="76" t="str">
        <f>'Job Sheet'!K14</f>
        <v>Colourbond Under-Roll Hooding</v>
      </c>
      <c r="D14" s="42" t="str">
        <f>IF('Job Sheet'!L14="Non Standard Hood",'Job Sheet'!M14,'Job Sheet'!L14)</f>
        <v>Merino (Paperbark)</v>
      </c>
      <c r="E14" s="42" t="str">
        <f>'Job Sheet'!J14</f>
        <v/>
      </c>
      <c r="F14" s="42" t="str">
        <f>'Job Sheet'!AD14</f>
        <v>Standard Zinc</v>
      </c>
      <c r="G14" s="76" t="str">
        <f>'Assembly(a)'!C14</f>
        <v>Becker Remote Operated</v>
      </c>
      <c r="H14" s="23" t="str">
        <f>'Assembly(a)'!D14</f>
        <v>Left</v>
      </c>
      <c r="I14" s="23" t="str">
        <f>'Job Sheet'!S14</f>
        <v/>
      </c>
      <c r="J14" s="23" t="str">
        <f t="shared" si="0"/>
        <v>Yes</v>
      </c>
      <c r="K14" s="23" t="str">
        <f>'Job Sheet'!R14</f>
        <v/>
      </c>
      <c r="L14" s="23" t="str">
        <f>IF(OR($A$6="Wholesale",$A$6="Wholesale B2B",Data!AV14=""),"",IF($E$2="Brax Window Treatments","Brax","Davidson's"))</f>
        <v>Davidson's</v>
      </c>
      <c r="M14" s="23" t="str">
        <f>'Job Sheet'!AF14</f>
        <v/>
      </c>
      <c r="N14" s="111">
        <f t="shared" si="1"/>
        <v>5</v>
      </c>
    </row>
    <row r="15" spans="1:14" s="19" customFormat="1" ht="99">
      <c r="A15" s="36">
        <f>Data!AW15</f>
        <v>6</v>
      </c>
      <c r="B15" s="24" t="str">
        <f>'Job Sheet'!B15</f>
        <v>Bed 4</v>
      </c>
      <c r="C15" s="76" t="str">
        <f>'Job Sheet'!K15</f>
        <v>Colourbond Under-Roll Hooding</v>
      </c>
      <c r="D15" s="42" t="str">
        <f>IF('Job Sheet'!L15="Non Standard Hood",'Job Sheet'!M15,'Job Sheet'!L15)</f>
        <v>Merino (Paperbark)</v>
      </c>
      <c r="E15" s="42" t="str">
        <f>'Job Sheet'!J15</f>
        <v/>
      </c>
      <c r="F15" s="42" t="str">
        <f>'Job Sheet'!AD15</f>
        <v>Standard Zinc</v>
      </c>
      <c r="G15" s="76" t="str">
        <f>'Assembly(a)'!C15</f>
        <v>Becker Remote Operated</v>
      </c>
      <c r="H15" s="23" t="str">
        <f>'Assembly(a)'!D15</f>
        <v>Left</v>
      </c>
      <c r="I15" s="23" t="str">
        <f>'Job Sheet'!S15</f>
        <v/>
      </c>
      <c r="J15" s="23" t="str">
        <f t="shared" si="0"/>
        <v>Yes</v>
      </c>
      <c r="K15" s="23" t="str">
        <f>'Job Sheet'!R15</f>
        <v/>
      </c>
      <c r="L15" s="23" t="str">
        <f>IF(OR($A$6="Wholesale",$A$6="Wholesale B2B",Data!AV15=""),"",IF($E$2="Brax Window Treatments","Brax","Davidson's"))</f>
        <v>Davidson's</v>
      </c>
      <c r="M15" s="23" t="str">
        <f>'Job Sheet'!AF15</f>
        <v/>
      </c>
      <c r="N15" s="111">
        <f t="shared" si="1"/>
        <v>6</v>
      </c>
    </row>
    <row r="16" spans="1:14" s="19" customFormat="1" ht="60" customHeight="1">
      <c r="A16" s="36">
        <f>Data!AW16</f>
        <v>0</v>
      </c>
      <c r="B16" s="24">
        <f>'Job Sheet'!B16</f>
        <v>0</v>
      </c>
      <c r="C16" s="76" t="str">
        <f>'Job Sheet'!K16</f>
        <v/>
      </c>
      <c r="D16" s="42" t="str">
        <f>IF('Job Sheet'!L16="Non Standard Hood",'Job Sheet'!M16,'Job Sheet'!L16)</f>
        <v/>
      </c>
      <c r="E16" s="42" t="str">
        <f>'Job Sheet'!J16</f>
        <v/>
      </c>
      <c r="F16" s="42" t="str">
        <f>'Job Sheet'!AD16</f>
        <v/>
      </c>
      <c r="G16" s="76" t="str">
        <f>'Assembly(a)'!C16</f>
        <v/>
      </c>
      <c r="H16" s="23" t="str">
        <f>'Assembly(a)'!D16</f>
        <v/>
      </c>
      <c r="I16" s="23" t="str">
        <f>'Job Sheet'!S16</f>
        <v/>
      </c>
      <c r="J16" s="23" t="str">
        <f t="shared" si="0"/>
        <v/>
      </c>
      <c r="K16" s="23" t="str">
        <f>'Job Sheet'!R16</f>
        <v/>
      </c>
      <c r="L16" s="23" t="str">
        <f>IF(OR($A$6="Wholesale",$A$6="Wholesale B2B",Data!AV16=""),"",IF($E$2="Brax Window Treatments","Brax","Davidson's"))</f>
        <v/>
      </c>
      <c r="M16" s="23" t="str">
        <f>'Job Sheet'!AF16</f>
        <v/>
      </c>
      <c r="N16" s="111">
        <f t="shared" si="1"/>
        <v>0</v>
      </c>
    </row>
    <row r="17" spans="1:14" s="19" customFormat="1" ht="60" customHeight="1">
      <c r="A17" s="36">
        <f>Data!AW17</f>
        <v>0</v>
      </c>
      <c r="B17" s="24">
        <f>'Job Sheet'!B17</f>
        <v>0</v>
      </c>
      <c r="C17" s="76" t="str">
        <f>'Job Sheet'!K17</f>
        <v/>
      </c>
      <c r="D17" s="42" t="str">
        <f>IF('Job Sheet'!L17="Non Standard Hood",'Job Sheet'!M17,'Job Sheet'!L17)</f>
        <v/>
      </c>
      <c r="E17" s="42" t="str">
        <f>'Job Sheet'!J17</f>
        <v/>
      </c>
      <c r="F17" s="42" t="str">
        <f>'Job Sheet'!AD17</f>
        <v/>
      </c>
      <c r="G17" s="76" t="str">
        <f>'Assembly(a)'!C17</f>
        <v/>
      </c>
      <c r="H17" s="23" t="str">
        <f>'Assembly(a)'!D17</f>
        <v/>
      </c>
      <c r="I17" s="23" t="str">
        <f>'Job Sheet'!S17</f>
        <v/>
      </c>
      <c r="J17" s="23" t="str">
        <f t="shared" si="0"/>
        <v/>
      </c>
      <c r="K17" s="23" t="str">
        <f>'Job Sheet'!R17</f>
        <v/>
      </c>
      <c r="L17" s="23" t="str">
        <f>IF(OR($A$6="Wholesale",$A$6="Wholesale B2B",Data!AV17=""),"",IF($E$2="Brax Window Treatments","Brax","Davidson's"))</f>
        <v/>
      </c>
      <c r="M17" s="23" t="str">
        <f>'Job Sheet'!AF17</f>
        <v/>
      </c>
      <c r="N17" s="111">
        <f t="shared" si="1"/>
        <v>0</v>
      </c>
    </row>
    <row r="18" spans="1:14" s="19" customFormat="1" ht="60" customHeight="1">
      <c r="A18" s="36">
        <f>Data!AW18</f>
        <v>0</v>
      </c>
      <c r="B18" s="24">
        <f>'Job Sheet'!B18</f>
        <v>0</v>
      </c>
      <c r="C18" s="76" t="str">
        <f>'Job Sheet'!K18</f>
        <v/>
      </c>
      <c r="D18" s="42" t="str">
        <f>IF('Job Sheet'!L18="Non Standard Hood",'Job Sheet'!M18,'Job Sheet'!L18)</f>
        <v/>
      </c>
      <c r="E18" s="42" t="str">
        <f>'Job Sheet'!J18</f>
        <v/>
      </c>
      <c r="F18" s="42" t="str">
        <f>'Job Sheet'!AD18</f>
        <v/>
      </c>
      <c r="G18" s="76" t="str">
        <f>'Assembly(a)'!C18</f>
        <v/>
      </c>
      <c r="H18" s="23" t="str">
        <f>'Assembly(a)'!D18</f>
        <v/>
      </c>
      <c r="I18" s="23" t="str">
        <f>'Job Sheet'!S18</f>
        <v/>
      </c>
      <c r="J18" s="23" t="str">
        <f t="shared" si="0"/>
        <v/>
      </c>
      <c r="K18" s="23" t="str">
        <f>'Job Sheet'!R18</f>
        <v/>
      </c>
      <c r="L18" s="23" t="str">
        <f>IF(OR($A$6="Wholesale",$A$6="Wholesale B2B",Data!AV18=""),"",IF($E$2="Brax Window Treatments","Brax","Davidson's"))</f>
        <v/>
      </c>
      <c r="M18" s="23" t="str">
        <f>'Job Sheet'!AF18</f>
        <v/>
      </c>
      <c r="N18" s="111">
        <f t="shared" si="1"/>
        <v>0</v>
      </c>
    </row>
    <row r="19" spans="1:14" ht="60" customHeight="1">
      <c r="A19" s="36">
        <f>Data!AW19</f>
        <v>0</v>
      </c>
      <c r="B19" s="24">
        <f>'Job Sheet'!B19</f>
        <v>0</v>
      </c>
      <c r="C19" s="76" t="str">
        <f>'Job Sheet'!K19</f>
        <v/>
      </c>
      <c r="D19" s="42" t="str">
        <f>IF('Job Sheet'!L19="Non Standard Hood",'Job Sheet'!M19,'Job Sheet'!L19)</f>
        <v/>
      </c>
      <c r="E19" s="42" t="str">
        <f>'Job Sheet'!J19</f>
        <v/>
      </c>
      <c r="F19" s="42" t="str">
        <f>'Job Sheet'!AD19</f>
        <v/>
      </c>
      <c r="G19" s="76" t="str">
        <f>'Assembly(a)'!C19</f>
        <v/>
      </c>
      <c r="H19" s="23" t="str">
        <f>'Assembly(a)'!D19</f>
        <v/>
      </c>
      <c r="I19" s="23" t="str">
        <f>'Job Sheet'!S19</f>
        <v/>
      </c>
      <c r="J19" s="23" t="str">
        <f t="shared" si="0"/>
        <v/>
      </c>
      <c r="K19" s="23" t="str">
        <f>'Job Sheet'!R19</f>
        <v/>
      </c>
      <c r="L19" s="23" t="str">
        <f>IF(OR($A$6="Wholesale",$A$6="Wholesale B2B",Data!AV19=""),"",IF($E$2="Brax Window Treatments","Brax","Davidson's"))</f>
        <v/>
      </c>
      <c r="M19" s="23" t="str">
        <f>'Job Sheet'!AF19</f>
        <v/>
      </c>
      <c r="N19" s="111">
        <f t="shared" si="1"/>
        <v>0</v>
      </c>
    </row>
    <row r="20" spans="1:14" ht="60" customHeight="1">
      <c r="A20" s="36">
        <f>Data!AW20</f>
        <v>0</v>
      </c>
      <c r="B20" s="24">
        <f>'Job Sheet'!B20</f>
        <v>0</v>
      </c>
      <c r="C20" s="76" t="str">
        <f>'Job Sheet'!K20</f>
        <v/>
      </c>
      <c r="D20" s="42" t="str">
        <f>IF('Job Sheet'!L20="Non Standard Hood",'Job Sheet'!M20,'Job Sheet'!L20)</f>
        <v/>
      </c>
      <c r="E20" s="42" t="str">
        <f>'Job Sheet'!J20</f>
        <v/>
      </c>
      <c r="F20" s="42" t="str">
        <f>'Job Sheet'!AD20</f>
        <v/>
      </c>
      <c r="G20" s="76" t="str">
        <f>'Assembly(a)'!C20</f>
        <v/>
      </c>
      <c r="H20" s="23" t="str">
        <f>'Assembly(a)'!D20</f>
        <v/>
      </c>
      <c r="I20" s="23" t="str">
        <f>'Job Sheet'!S20</f>
        <v/>
      </c>
      <c r="J20" s="23" t="str">
        <f t="shared" si="0"/>
        <v/>
      </c>
      <c r="K20" s="23" t="str">
        <f>'Job Sheet'!R20</f>
        <v/>
      </c>
      <c r="L20" s="23" t="str">
        <f>IF(OR($A$6="Wholesale",$A$6="Wholesale B2B",Data!AV20=""),"",IF($E$2="Brax Window Treatments","Brax","Davidson's"))</f>
        <v/>
      </c>
      <c r="M20" s="23" t="str">
        <f>'Job Sheet'!AF20</f>
        <v/>
      </c>
      <c r="N20" s="111">
        <f t="shared" si="1"/>
        <v>0</v>
      </c>
    </row>
    <row r="21" spans="5:6" ht="60" customHeight="1">
      <c r="E21" s="4"/>
      <c r="F21" s="4"/>
    </row>
    <row r="22" spans="5:6" ht="60" customHeight="1">
      <c r="E22" s="4"/>
      <c r="F22" s="4"/>
    </row>
    <row r="23" spans="5:6" ht="60" customHeight="1">
      <c r="E23" s="4"/>
      <c r="F23" s="4"/>
    </row>
    <row r="24" spans="5:6" ht="60" customHeight="1">
      <c r="E24" s="4"/>
      <c r="F24" s="4"/>
    </row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80.1" customHeight="1"/>
    <row r="48" ht="80.1" customHeight="1"/>
    <row r="49" ht="80.1" customHeight="1"/>
    <row r="50" ht="80.1" customHeight="1"/>
    <row r="51" ht="80.1" customHeight="1"/>
    <row r="52" ht="80.1" customHeight="1"/>
    <row r="53" ht="80.1" customHeight="1"/>
    <row r="54" ht="80.1" customHeight="1"/>
    <row r="55" ht="80.1" customHeight="1"/>
    <row r="56" ht="80.1" customHeight="1"/>
    <row r="57" ht="80.1" customHeight="1"/>
    <row r="58" ht="80.1" customHeight="1"/>
    <row r="59" ht="80.1" customHeight="1"/>
    <row r="60" ht="80.1" customHeight="1"/>
    <row r="61" ht="80.1" customHeight="1"/>
    <row r="62" ht="80.1" customHeight="1"/>
    <row r="63" ht="80.1" customHeight="1"/>
    <row r="64" ht="80.1" customHeight="1"/>
    <row r="65" ht="80.1" customHeight="1"/>
    <row r="66" ht="80.1" customHeight="1"/>
    <row r="67" ht="80.1" customHeight="1"/>
    <row r="68" ht="80.1" customHeight="1"/>
    <row r="69" ht="80.1" customHeight="1"/>
    <row r="70" ht="80.1" customHeight="1"/>
    <row r="71" ht="80.1" customHeight="1"/>
    <row r="72" ht="80.1" customHeight="1"/>
    <row r="73" ht="80.1" customHeight="1"/>
    <row r="74" ht="80.1" customHeight="1"/>
    <row r="75" ht="80.1" customHeight="1"/>
    <row r="76" ht="80.1" customHeight="1"/>
    <row r="77" ht="80.1" customHeight="1"/>
    <row r="78" ht="80.1" customHeight="1"/>
    <row r="79" ht="80.1" customHeight="1"/>
    <row r="80" ht="80.1" customHeight="1"/>
    <row r="81" ht="80.1" customHeight="1"/>
    <row r="82" ht="80.1" customHeight="1"/>
    <row r="83" ht="80.1" customHeight="1"/>
    <row r="84" ht="80.1" customHeight="1"/>
    <row r="85" ht="129.95" customHeight="1"/>
    <row r="86" ht="129.95" customHeight="1"/>
    <row r="87" ht="129.95" customHeight="1"/>
    <row r="88" ht="129.95" customHeight="1"/>
    <row r="89" ht="129.95" customHeight="1"/>
    <row r="90" ht="129.95" customHeight="1"/>
    <row r="91" ht="129.95" customHeight="1"/>
    <row r="92" ht="129.95" customHeight="1"/>
    <row r="93" ht="129.95" customHeight="1"/>
    <row r="94" ht="129.95" customHeight="1"/>
    <row r="95" ht="129.95" customHeight="1"/>
    <row r="96" ht="129.95" customHeight="1"/>
    <row r="97" ht="129.95" customHeight="1"/>
    <row r="98" ht="129.95" customHeight="1"/>
    <row r="99" ht="129.95" customHeight="1"/>
    <row r="100" ht="129.95" customHeight="1"/>
    <row r="101" ht="129.95" customHeight="1"/>
    <row r="102" ht="129.95" customHeight="1"/>
    <row r="103" ht="129.95" customHeight="1"/>
    <row r="104" ht="129.95" customHeight="1"/>
    <row r="105" ht="129.95" customHeight="1"/>
    <row r="106" ht="129.95" customHeight="1"/>
    <row r="107" ht="129.95" customHeight="1"/>
    <row r="108" ht="129.95" customHeight="1"/>
    <row r="109" ht="129.95" customHeight="1"/>
    <row r="110" ht="50.1" customHeight="1"/>
    <row r="111" ht="50.1" customHeight="1"/>
    <row r="112" ht="50.1" customHeight="1"/>
    <row r="113" ht="50.1" customHeight="1"/>
    <row r="114" ht="50.1" customHeight="1"/>
    <row r="115" ht="50.1" customHeight="1"/>
    <row r="116" ht="50.1" customHeight="1"/>
    <row r="117" ht="50.1" customHeight="1"/>
    <row r="118" ht="50.1" customHeight="1"/>
    <row r="119" ht="50.1" customHeight="1"/>
    <row r="120" ht="50.1" customHeight="1"/>
    <row r="121" ht="50.1" customHeight="1"/>
    <row r="122" ht="50.1" customHeight="1"/>
    <row r="123" ht="50.1" customHeight="1"/>
    <row r="124" ht="50.1" customHeight="1"/>
    <row r="125" ht="50.1" customHeight="1"/>
    <row r="126" ht="50.1" customHeight="1"/>
    <row r="127" ht="50.1" customHeight="1"/>
    <row r="128" ht="50.1" customHeight="1"/>
    <row r="129" ht="50.1" customHeight="1"/>
    <row r="130" ht="50.1" customHeight="1"/>
    <row r="131" ht="50.1" customHeight="1"/>
    <row r="132" ht="50.1" customHeight="1"/>
    <row r="133" ht="50.1" customHeight="1"/>
    <row r="134" ht="50.1" customHeight="1"/>
    <row r="135" ht="50.1" customHeight="1"/>
    <row r="136" ht="50.1" customHeight="1"/>
    <row r="137" ht="50.1" customHeight="1"/>
    <row r="138" ht="50.1" customHeight="1"/>
    <row r="139" ht="50.1" customHeight="1"/>
    <row r="140" ht="50.1" customHeight="1"/>
    <row r="141" ht="50.1" customHeight="1"/>
    <row r="142" ht="50.1" customHeight="1"/>
    <row r="143" ht="50.1" customHeight="1"/>
    <row r="144" ht="50.1" customHeight="1"/>
    <row r="145" ht="50.1" customHeight="1"/>
    <row r="146" ht="50.1" customHeight="1"/>
    <row r="147" ht="50.1" customHeight="1"/>
    <row r="148" ht="50.1" customHeight="1"/>
    <row r="149" ht="50.1" customHeight="1"/>
    <row r="150" ht="50.1" customHeight="1"/>
    <row r="151" ht="50.1" customHeight="1"/>
    <row r="152" ht="50.1" customHeight="1"/>
    <row r="153" ht="50.1" customHeight="1"/>
    <row r="154" ht="50.1" customHeight="1"/>
    <row r="155" ht="50.1" customHeight="1"/>
    <row r="156" ht="50.1" customHeight="1"/>
    <row r="157" ht="50.1" customHeight="1"/>
    <row r="158" ht="50.1" customHeight="1"/>
    <row r="159" ht="50.1" customHeight="1"/>
    <row r="181" ht="60" customHeight="1"/>
    <row r="182" ht="60" customHeight="1"/>
    <row r="183" ht="60" customHeight="1"/>
    <row r="184" ht="60" customHeight="1"/>
    <row r="185" ht="60" customHeight="1"/>
    <row r="186" ht="60" customHeight="1"/>
    <row r="187" ht="60" customHeight="1"/>
    <row r="188" ht="60" customHeight="1"/>
    <row r="189" ht="60" customHeight="1"/>
    <row r="190" ht="60" customHeight="1"/>
    <row r="191" ht="60" customHeight="1"/>
    <row r="192" ht="60" customHeight="1"/>
    <row r="193" ht="60" customHeight="1"/>
    <row r="194" ht="60" customHeight="1"/>
    <row r="195" ht="60" customHeight="1"/>
    <row r="196" ht="60" customHeight="1"/>
    <row r="197" ht="60" customHeight="1"/>
    <row r="198" ht="60" customHeight="1"/>
    <row r="199" ht="60" customHeight="1"/>
    <row r="200" ht="60" customHeight="1"/>
    <row r="201" ht="60" customHeight="1"/>
    <row r="202" ht="60" customHeight="1"/>
    <row r="203" ht="60" customHeight="1"/>
    <row r="204" ht="60" customHeight="1"/>
    <row r="205" ht="60" customHeight="1"/>
    <row r="206" ht="60" customHeight="1"/>
    <row r="207" ht="60" customHeight="1"/>
    <row r="208" ht="60" customHeight="1"/>
    <row r="209" ht="60" customHeight="1"/>
    <row r="210" ht="60" customHeight="1"/>
    <row r="211" ht="60" customHeight="1"/>
    <row r="212" ht="60" customHeight="1"/>
    <row r="213" ht="60" customHeight="1"/>
    <row r="214" ht="60" customHeight="1"/>
    <row r="215" ht="60" customHeight="1"/>
    <row r="216" ht="60" customHeight="1"/>
    <row r="217" ht="60" customHeight="1"/>
    <row r="218" ht="60" customHeight="1"/>
    <row r="219" ht="60" customHeight="1"/>
    <row r="220" ht="60" customHeight="1"/>
    <row r="221" ht="60" customHeight="1"/>
    <row r="222" ht="60" customHeight="1"/>
    <row r="223" ht="60" customHeight="1"/>
    <row r="224" ht="60" customHeight="1"/>
    <row r="225" ht="60" customHeight="1"/>
    <row r="226" ht="60" customHeight="1"/>
    <row r="227" ht="60" customHeight="1"/>
    <row r="228" ht="60" customHeight="1"/>
    <row r="229" ht="60" customHeight="1"/>
    <row r="230" ht="60" customHeight="1"/>
    <row r="231" ht="60" customHeight="1"/>
    <row r="232" ht="60" customHeight="1"/>
    <row r="233" ht="60" customHeight="1"/>
    <row r="234" ht="60" customHeight="1"/>
    <row r="235" ht="60" customHeight="1"/>
    <row r="236" ht="60" customHeight="1"/>
    <row r="237" ht="60" customHeight="1"/>
    <row r="238" ht="60" customHeight="1"/>
    <row r="239" ht="60" customHeight="1"/>
    <row r="240" ht="60" customHeight="1"/>
    <row r="241" ht="60" customHeight="1"/>
    <row r="242" ht="60" customHeight="1"/>
    <row r="243" ht="60" customHeight="1"/>
    <row r="244" ht="60" customHeight="1"/>
    <row r="245" ht="60" customHeight="1"/>
    <row r="246" ht="60" customHeight="1"/>
    <row r="247" ht="60" customHeight="1"/>
    <row r="248" ht="60" customHeight="1"/>
    <row r="249" ht="60" customHeight="1"/>
    <row r="250" ht="60" customHeight="1"/>
    <row r="251" ht="60" customHeight="1"/>
    <row r="252" ht="60" customHeight="1"/>
    <row r="253" ht="60" customHeight="1"/>
    <row r="254" ht="60" customHeight="1"/>
    <row r="255" ht="60" customHeight="1"/>
    <row r="256" ht="60" customHeight="1"/>
    <row r="257" ht="60" customHeight="1"/>
    <row r="258" ht="60" customHeight="1"/>
    <row r="259" ht="60" customHeight="1"/>
    <row r="260" ht="60" customHeight="1"/>
    <row r="261" ht="60" customHeight="1"/>
    <row r="262" ht="60" customHeight="1"/>
    <row r="263" ht="60" customHeight="1"/>
    <row r="264" ht="60" customHeight="1"/>
    <row r="265" ht="60" customHeight="1"/>
    <row r="266" ht="60" customHeight="1"/>
    <row r="267" ht="60" customHeight="1"/>
    <row r="268" ht="60" customHeight="1"/>
    <row r="269" ht="60" customHeight="1"/>
    <row r="270" ht="60" customHeight="1"/>
    <row r="271" ht="60" customHeight="1"/>
    <row r="272" ht="60" customHeight="1"/>
    <row r="273" ht="60" customHeight="1"/>
    <row r="274" ht="60" customHeight="1"/>
    <row r="275" ht="60" customHeight="1"/>
    <row r="276" ht="60" customHeight="1"/>
    <row r="277" ht="60" customHeight="1"/>
    <row r="278" ht="60" customHeight="1"/>
    <row r="279" ht="60" customHeight="1"/>
    <row r="280" ht="60" customHeight="1"/>
    <row r="281" ht="60" customHeight="1"/>
    <row r="282" ht="60" customHeight="1"/>
    <row r="283" ht="60" customHeight="1"/>
    <row r="284" ht="60" customHeight="1"/>
    <row r="285" ht="60" customHeight="1"/>
    <row r="286" ht="60" customHeight="1"/>
    <row r="287" ht="60" customHeight="1"/>
    <row r="288" ht="60" customHeight="1"/>
    <row r="289" ht="60" customHeight="1"/>
    <row r="290" ht="60" customHeight="1"/>
    <row r="291" ht="60" customHeight="1"/>
    <row r="292" ht="60" customHeight="1"/>
    <row r="293" ht="60" customHeight="1"/>
    <row r="294" ht="60" customHeight="1"/>
    <row r="295" ht="60" customHeight="1"/>
    <row r="296" ht="60" customHeight="1"/>
    <row r="297" ht="60" customHeight="1"/>
    <row r="298" ht="60" customHeight="1"/>
    <row r="299" ht="60" customHeight="1"/>
    <row r="300" ht="60" customHeight="1"/>
    <row r="301" ht="60" customHeight="1"/>
    <row r="302" ht="60" customHeight="1"/>
    <row r="303" ht="60" customHeight="1"/>
    <row r="304" ht="60" customHeight="1"/>
    <row r="305" ht="60" customHeight="1"/>
    <row r="306" ht="60" customHeight="1"/>
    <row r="307" ht="60" customHeight="1"/>
    <row r="308" ht="60" customHeight="1"/>
    <row r="309" ht="60" customHeight="1"/>
    <row r="310" ht="60" customHeight="1"/>
    <row r="311" ht="60" customHeight="1"/>
    <row r="312" ht="60" customHeight="1"/>
    <row r="313" ht="60" customHeight="1"/>
    <row r="314" ht="60" customHeight="1"/>
    <row r="315" ht="60" customHeight="1"/>
    <row r="316" ht="60" customHeight="1"/>
    <row r="317" ht="60" customHeight="1"/>
    <row r="318" ht="60" customHeight="1"/>
    <row r="319" ht="60" customHeight="1"/>
    <row r="320" ht="60" customHeight="1"/>
    <row r="321" ht="60" customHeight="1"/>
    <row r="322" ht="60" customHeight="1"/>
    <row r="323" ht="60" customHeight="1"/>
    <row r="324" ht="60" customHeight="1"/>
    <row r="325" ht="60" customHeight="1"/>
    <row r="326" ht="60" customHeight="1"/>
    <row r="327" ht="60" customHeight="1"/>
    <row r="328" ht="60" customHeight="1"/>
    <row r="329" ht="60" customHeight="1"/>
    <row r="330" ht="60" customHeight="1"/>
    <row r="331" ht="60" customHeight="1"/>
    <row r="332" ht="60" customHeight="1"/>
    <row r="333" ht="60" customHeight="1"/>
    <row r="334" ht="60" customHeight="1"/>
    <row r="335" ht="60" customHeight="1"/>
    <row r="336" ht="60" customHeight="1"/>
    <row r="337" ht="60" customHeight="1"/>
  </sheetData>
  <sheetProtection formatCells="0" formatRows="0" insertColumns="0" insertRows="0"/>
  <mergeCells count="29">
    <mergeCell ref="J3:N7"/>
    <mergeCell ref="J2:N2"/>
    <mergeCell ref="E2:I2"/>
    <mergeCell ref="E3:I3"/>
    <mergeCell ref="E4:I4"/>
    <mergeCell ref="E5:I5"/>
    <mergeCell ref="E6:I6"/>
    <mergeCell ref="E7:I7"/>
    <mergeCell ref="A2:B2"/>
    <mergeCell ref="A3:B3"/>
    <mergeCell ref="A4:B4"/>
    <mergeCell ref="F8:F10"/>
    <mergeCell ref="A1:N1"/>
    <mergeCell ref="N8:N10"/>
    <mergeCell ref="J8:J10"/>
    <mergeCell ref="D8:D10"/>
    <mergeCell ref="E8:E10"/>
    <mergeCell ref="A5:B5"/>
    <mergeCell ref="G8:G10"/>
    <mergeCell ref="D5:D7"/>
    <mergeCell ref="A6:C7"/>
    <mergeCell ref="M8:M10"/>
    <mergeCell ref="K8:K10"/>
    <mergeCell ref="H8:H10"/>
    <mergeCell ref="A8:A10"/>
    <mergeCell ref="B8:B10"/>
    <mergeCell ref="C8:C10"/>
    <mergeCell ref="I8:I10"/>
    <mergeCell ref="L8:L10"/>
  </mergeCells>
  <conditionalFormatting sqref="F11:F20">
    <cfRule type="containsText" priority="1" dxfId="0" operator="containsText" text="Stainless Steel">
      <formula>NOT(ISERROR(SEARCH("Stainless Steel",F11)))</formula>
    </cfRule>
  </conditionalFormatting>
  <printOptions horizontalCentered="1"/>
  <pageMargins left="0.43779527559056" right="0.43779527559056" top="0.3" bottom="0.3" header="0.3" footer="0.3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R20"/>
  <sheetViews>
    <sheetView showZeros="0" view="pageBreakPreview" zoomScale="40" zoomScaleNormal="25" zoomScaleSheetLayoutView="40" zoomScalePageLayoutView="25" workbookViewId="0" topLeftCell="A1">
      <selection pane="topLeft" activeCell="A11" sqref="A11:XFD20"/>
    </sheetView>
  </sheetViews>
  <sheetFormatPr defaultColWidth="9.42578125" defaultRowHeight="39.95" customHeight="1"/>
  <cols>
    <col min="1" max="1" width="16.2857142857143" style="25" customWidth="1"/>
    <col min="2" max="2" width="36.1428571428571" style="25" customWidth="1"/>
    <col min="3" max="3" width="35" style="25" customWidth="1"/>
    <col min="4" max="4" width="21.1428571428571" style="25" customWidth="1"/>
    <col min="5" max="5" width="29.7142857142857" style="25" customWidth="1"/>
    <col min="6" max="6" width="31" style="25" customWidth="1"/>
    <col min="7" max="7" width="30" style="25" customWidth="1"/>
    <col min="8" max="8" width="38.4285714285714" style="25" customWidth="1"/>
    <col min="9" max="9" width="36.7142857142857" style="25" customWidth="1"/>
    <col min="10" max="10" width="23.2857142857143" style="25" customWidth="1"/>
    <col min="11" max="11" width="23.5714285714286" style="34" customWidth="1"/>
    <col min="12" max="12" width="26.7142857142857" style="34" customWidth="1"/>
    <col min="13" max="13" width="27.1428571428571" style="25" customWidth="1"/>
    <col min="14" max="14" width="27.5714285714286" customWidth="1"/>
    <col min="15" max="15" width="91" customWidth="1"/>
    <col min="16" max="16" width="21.7142857142857" customWidth="1"/>
    <col min="17" max="17" width="9.71428571428571" customWidth="1"/>
    <col min="18" max="18" width="11" customWidth="1"/>
    <col min="19" max="21" width="9.42857142857143" customWidth="1"/>
  </cols>
  <sheetData>
    <row r="1" spans="1:18" s="11" customFormat="1" ht="200.45" customHeight="1">
      <c r="A1" s="155" t="s">
        <v>376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0"/>
      <c r="R1" s="10"/>
    </row>
    <row r="2" spans="1:16" s="13" customFormat="1" ht="54.95" customHeight="1">
      <c r="A2" s="156" t="s">
        <v>7</v>
      </c>
      <c r="B2" s="156"/>
      <c r="C2" s="161"/>
      <c r="D2" s="161"/>
      <c r="E2" s="165" t="s">
        <v>96</v>
      </c>
      <c r="F2" s="165"/>
      <c r="G2" s="137" t="str">
        <f>Data!BF5</f>
        <v>Campbell, Neil</v>
      </c>
      <c r="H2" s="138"/>
      <c r="I2" s="138"/>
      <c r="J2" s="138"/>
      <c r="K2" s="138"/>
      <c r="L2" s="139"/>
      <c r="M2" s="149" t="s">
        <v>4</v>
      </c>
      <c r="N2" s="150"/>
      <c r="O2" s="150"/>
      <c r="P2" s="151"/>
    </row>
    <row r="3" spans="1:16" s="13" customFormat="1" ht="54.95" customHeight="1">
      <c r="A3" s="157" t="s">
        <v>118</v>
      </c>
      <c r="B3" s="157"/>
      <c r="C3" s="162" t="str">
        <f>Data!BC5</f>
        <v>12085</v>
      </c>
      <c r="D3" s="162"/>
      <c r="E3" s="166" t="s">
        <v>8</v>
      </c>
      <c r="F3" s="166"/>
      <c r="G3" s="137" t="str">
        <f>TRIM(Data!AX5)</f>
        <v>Verticali Patio Blinds &amp; Fixed Guide Awnings</v>
      </c>
      <c r="H3" s="138"/>
      <c r="I3" s="138"/>
      <c r="J3" s="138"/>
      <c r="K3" s="138"/>
      <c r="L3" s="139"/>
      <c r="M3" s="140" t="str">
        <f>TRIM(Data!BG5)</f>
        <v/>
      </c>
      <c r="N3" s="141"/>
      <c r="O3" s="141"/>
      <c r="P3" s="142"/>
    </row>
    <row r="4" spans="1:16" s="1" customFormat="1" ht="54.95" customHeight="1">
      <c r="A4" s="158" t="s">
        <v>15</v>
      </c>
      <c r="B4" s="158"/>
      <c r="C4" s="162" t="str">
        <f>Data!BD5</f>
        <v>A</v>
      </c>
      <c r="D4" s="162"/>
      <c r="E4" s="166" t="s">
        <v>114</v>
      </c>
      <c r="F4" s="166"/>
      <c r="G4" s="137" t="str">
        <f>LEFT(Data!BA5,10)</f>
        <v>18/09/2026</v>
      </c>
      <c r="H4" s="138"/>
      <c r="I4" s="138"/>
      <c r="J4" s="138"/>
      <c r="K4" s="138"/>
      <c r="L4" s="139"/>
      <c r="M4" s="143"/>
      <c r="N4" s="144"/>
      <c r="O4" s="144"/>
      <c r="P4" s="145"/>
    </row>
    <row r="5" spans="1:16" s="1" customFormat="1" ht="54.95" customHeight="1">
      <c r="A5" s="159" t="s">
        <v>10</v>
      </c>
      <c r="B5" s="159"/>
      <c r="C5" s="163" t="str">
        <f>Data!AY5</f>
        <v>6/08/2026 12:00:00 AM</v>
      </c>
      <c r="D5" s="163"/>
      <c r="E5" s="167" t="s">
        <v>13</v>
      </c>
      <c r="F5" s="167"/>
      <c r="G5" s="137" t="str">
        <f>TRIM(Data!BF5)</f>
        <v>Campbell, Neil</v>
      </c>
      <c r="H5" s="138"/>
      <c r="I5" s="138"/>
      <c r="J5" s="138"/>
      <c r="K5" s="138"/>
      <c r="L5" s="139"/>
      <c r="M5" s="143"/>
      <c r="N5" s="144"/>
      <c r="O5" s="144"/>
      <c r="P5" s="145"/>
    </row>
    <row r="6" spans="1:16" s="1" customFormat="1" ht="54.95" customHeight="1">
      <c r="A6" s="160" t="str">
        <f>Data!CZ5</f>
        <v>Retail Customer</v>
      </c>
      <c r="B6" s="160"/>
      <c r="C6" s="160"/>
      <c r="D6" s="160"/>
      <c r="E6" s="167"/>
      <c r="F6" s="167"/>
      <c r="G6" s="137" t="str">
        <f>CONCATENATE(Data!BH5," ",Data!BI5," ",Data!BJ5," ",Data!BK5," ",Data!BL5)</f>
        <v xml:space="preserve"> 7161  Midland Highway </v>
      </c>
      <c r="H6" s="138"/>
      <c r="I6" s="138"/>
      <c r="J6" s="138"/>
      <c r="K6" s="138"/>
      <c r="L6" s="139"/>
      <c r="M6" s="143"/>
      <c r="N6" s="144"/>
      <c r="O6" s="144"/>
      <c r="P6" s="145"/>
    </row>
    <row r="7" spans="1:16" s="1" customFormat="1" ht="54.95" customHeight="1">
      <c r="A7" s="160"/>
      <c r="B7" s="160"/>
      <c r="C7" s="160"/>
      <c r="D7" s="160"/>
      <c r="E7" s="167"/>
      <c r="F7" s="167"/>
      <c r="G7" s="137" t="str">
        <f>CONCATENATE(Data!BM5," ",Data!BN5," ",Data!BO5," ",Data!BP5)</f>
        <v>Buninyong VIC 3357 Australia</v>
      </c>
      <c r="H7" s="138"/>
      <c r="I7" s="138"/>
      <c r="J7" s="138"/>
      <c r="K7" s="138"/>
      <c r="L7" s="139"/>
      <c r="M7" s="146"/>
      <c r="N7" s="147"/>
      <c r="O7" s="147"/>
      <c r="P7" s="148"/>
    </row>
    <row r="8" spans="1:16" s="1" customFormat="1" ht="50.1" customHeight="1">
      <c r="A8" s="152" t="s">
        <v>117</v>
      </c>
      <c r="B8" s="153" t="s">
        <v>98</v>
      </c>
      <c r="C8" s="154" t="s">
        <v>166</v>
      </c>
      <c r="D8" s="154" t="s">
        <v>166</v>
      </c>
      <c r="E8" s="156" t="s">
        <v>175</v>
      </c>
      <c r="F8" s="168" t="s">
        <v>207</v>
      </c>
      <c r="G8" s="153" t="s">
        <v>829</v>
      </c>
      <c r="H8" s="153" t="s">
        <v>150</v>
      </c>
      <c r="I8" s="153" t="s">
        <v>173</v>
      </c>
      <c r="J8" s="154" t="s">
        <v>830</v>
      </c>
      <c r="K8" s="153" t="s">
        <v>201</v>
      </c>
      <c r="L8" s="164" t="s">
        <v>134</v>
      </c>
      <c r="M8" s="164" t="s">
        <v>381</v>
      </c>
      <c r="N8" s="169" t="s">
        <v>208</v>
      </c>
      <c r="O8" s="154" t="s">
        <v>5</v>
      </c>
      <c r="P8" s="153" t="s">
        <v>828</v>
      </c>
    </row>
    <row r="9" spans="1:16" s="1" customFormat="1" ht="14.25" customHeight="1" hidden="1">
      <c r="A9" s="152"/>
      <c r="B9" s="153"/>
      <c r="C9" s="154"/>
      <c r="D9" s="154"/>
      <c r="E9" s="156"/>
      <c r="F9" s="168"/>
      <c r="G9" s="153"/>
      <c r="H9" s="153"/>
      <c r="I9" s="153"/>
      <c r="J9" s="154"/>
      <c r="K9" s="153"/>
      <c r="L9" s="164"/>
      <c r="M9" s="164"/>
      <c r="N9" s="169"/>
      <c r="O9" s="154"/>
      <c r="P9" s="153"/>
    </row>
    <row r="10" spans="1:16" s="2" customFormat="1" ht="81.6" customHeight="1">
      <c r="A10" s="152"/>
      <c r="B10" s="153"/>
      <c r="C10" s="154"/>
      <c r="D10" s="154"/>
      <c r="E10" s="156"/>
      <c r="F10" s="168"/>
      <c r="G10" s="153"/>
      <c r="H10" s="153"/>
      <c r="I10" s="153"/>
      <c r="J10" s="154"/>
      <c r="K10" s="153"/>
      <c r="L10" s="164"/>
      <c r="M10" s="164"/>
      <c r="N10" s="169"/>
      <c r="O10" s="154"/>
      <c r="P10" s="153"/>
    </row>
    <row r="11" spans="1:16" s="19" customFormat="1" ht="66">
      <c r="A11" s="42">
        <f>Data!AW11</f>
        <v>2</v>
      </c>
      <c r="B11" s="24" t="str">
        <f>Data!AY11</f>
        <v>Dining</v>
      </c>
      <c r="C11" s="23" t="str">
        <f>'Job Sheet'!AD11</f>
        <v>Standard Zinc</v>
      </c>
      <c r="D11" s="23" t="str">
        <f>IF('Job Sheet'!AH11="","",CONCATENATE('Job Sheet'!AH11&amp;" "&amp;"x 2"))</f>
        <v>1800mm x 2</v>
      </c>
      <c r="E11" s="23" t="str">
        <f>IF(Data!AV11="","",CONCATENATE('Job Sheet'!O11&amp;" x "&amp;2))</f>
        <v>U Bracket x 2</v>
      </c>
      <c r="F11" s="35" t="str">
        <f>IF(Data!AV11="","","Nuts &amp; Bolts x 2")</f>
        <v>Nuts &amp; Bolts x 2</v>
      </c>
      <c r="G11" s="131">
        <f>IF('Job Sheet'!K11="","",2)</f>
        <v>2</v>
      </c>
      <c r="H11" s="23" t="str">
        <f>'Job Sheet'!P11</f>
        <v>Becker Remote Operated</v>
      </c>
      <c r="I11" s="23" t="str">
        <f>IF('Job Sheet'!Y11="Not Required","",'Job Sheet'!Y11)</f>
        <v/>
      </c>
      <c r="J11" s="23" t="str">
        <f>'Job Sheet'!R11</f>
        <v/>
      </c>
      <c r="K11" s="35" t="str">
        <f>IF('Job Sheet'!AQ11="No","",'Job Sheet'!AQ11)</f>
        <v>Attached to Motor</v>
      </c>
      <c r="L11" s="23" t="str">
        <f>IFERROR(VLOOKUP('Job Sheet'!AA11,StandoutBrackets,2,FALSE),"")</f>
        <v/>
      </c>
      <c r="M11" s="23" t="str">
        <f>IFERROR(VLOOKUP('Job Sheet'!AB11,StandoutBrackets,2,FALSE),"")</f>
        <v/>
      </c>
      <c r="N11" s="23" t="str">
        <f>'Job Sheet'!AC11</f>
        <v>Yes x 1</v>
      </c>
      <c r="O11" s="23" t="str">
        <f t="array" ref="O11">bpLOOKUP(Data!$AV11,"Notes",CustOrdOpt,6,FALSE)</f>
        <v/>
      </c>
      <c r="P11" s="110">
        <f>A11</f>
        <v>2</v>
      </c>
    </row>
    <row r="12" spans="1:16" s="19" customFormat="1" ht="99">
      <c r="A12" s="42">
        <f>Data!AW12</f>
        <v>3</v>
      </c>
      <c r="B12" s="24" t="str">
        <f>Data!AY12</f>
        <v>Master</v>
      </c>
      <c r="C12" s="23" t="str">
        <f>'Job Sheet'!AD12</f>
        <v>Standard Zinc</v>
      </c>
      <c r="D12" s="23" t="str">
        <f>IF('Job Sheet'!AH12="","",CONCATENATE('Job Sheet'!AH12&amp;" "&amp;"x 2"))</f>
        <v>2100mm x 2</v>
      </c>
      <c r="E12" s="23" t="str">
        <f>IF(Data!AV12="","",CONCATENATE('Job Sheet'!O12&amp;" x "&amp;2))</f>
        <v>U Bracket x 2</v>
      </c>
      <c r="F12" s="35" t="str">
        <f>IF(Data!AV12="","","Nuts &amp; Bolts x 2")</f>
        <v>Nuts &amp; Bolts x 2</v>
      </c>
      <c r="G12" s="131">
        <f>IF('Job Sheet'!K12="","",2)</f>
        <v>2</v>
      </c>
      <c r="H12" s="23" t="str">
        <f>'Job Sheet'!P12</f>
        <v>Becker Remote Operated</v>
      </c>
      <c r="I12" s="23" t="str">
        <f>IF('Job Sheet'!Y12="Not Required","",'Job Sheet'!Y12)</f>
        <v>Becker 5 Channel White Remote</v>
      </c>
      <c r="J12" s="23" t="str">
        <f>'Job Sheet'!R12</f>
        <v/>
      </c>
      <c r="K12" s="35" t="str">
        <f>IF('Job Sheet'!AQ12="No","",'Job Sheet'!AQ12)</f>
        <v>Attached to Motor</v>
      </c>
      <c r="L12" s="23" t="str">
        <f>IFERROR(VLOOKUP('Job Sheet'!AA12,StandoutBrackets,2,FALSE),"")</f>
        <v/>
      </c>
      <c r="M12" s="23" t="str">
        <f>IFERROR(VLOOKUP('Job Sheet'!AB12,StandoutBrackets,2,FALSE),"")</f>
        <v/>
      </c>
      <c r="N12" s="23" t="str">
        <f>'Job Sheet'!AC12</f>
        <v/>
      </c>
      <c r="O12" s="23" t="str">
        <f t="array" ref="O12">bpLOOKUP(Data!$AV12,"Notes",CustOrdOpt,6,FALSE)</f>
        <v/>
      </c>
      <c r="P12" s="110">
        <f t="shared" si="0" ref="P12:P20">A12</f>
        <v>3</v>
      </c>
    </row>
    <row r="13" spans="1:16" s="19" customFormat="1" ht="66">
      <c r="A13" s="42">
        <f>Data!AW13</f>
        <v>4</v>
      </c>
      <c r="B13" s="24" t="str">
        <f>Data!AY13</f>
        <v>Master 2</v>
      </c>
      <c r="C13" s="23" t="str">
        <f>'Job Sheet'!AD13</f>
        <v>Standard Zinc</v>
      </c>
      <c r="D13" s="23" t="str">
        <f>IF('Job Sheet'!AH13="","",CONCATENATE('Job Sheet'!AH13&amp;" "&amp;"x 2"))</f>
        <v>2100mm x 2</v>
      </c>
      <c r="E13" s="23" t="str">
        <f>IF(Data!AV13="","",CONCATENATE('Job Sheet'!O13&amp;" x "&amp;2))</f>
        <v>U Bracket x 2</v>
      </c>
      <c r="F13" s="35" t="str">
        <f>IF(Data!AV13="","","Nuts &amp; Bolts x 2")</f>
        <v>Nuts &amp; Bolts x 2</v>
      </c>
      <c r="G13" s="131">
        <f>IF('Job Sheet'!K13="","",2)</f>
        <v>2</v>
      </c>
      <c r="H13" s="23" t="str">
        <f>'Job Sheet'!P13</f>
        <v>Becker Remote Operated</v>
      </c>
      <c r="I13" s="23" t="str">
        <f>IF('Job Sheet'!Y13="Not Required","",'Job Sheet'!Y13)</f>
        <v/>
      </c>
      <c r="J13" s="23" t="str">
        <f>'Job Sheet'!R13</f>
        <v/>
      </c>
      <c r="K13" s="35" t="str">
        <f>IF('Job Sheet'!AQ13="No","",'Job Sheet'!AQ13)</f>
        <v>Attached to Motor</v>
      </c>
      <c r="L13" s="23" t="str">
        <f>IFERROR(VLOOKUP('Job Sheet'!AA13,StandoutBrackets,2,FALSE),"")</f>
        <v/>
      </c>
      <c r="M13" s="23" t="str">
        <f>IFERROR(VLOOKUP('Job Sheet'!AB13,StandoutBrackets,2,FALSE),"")</f>
        <v/>
      </c>
      <c r="N13" s="23" t="str">
        <f>'Job Sheet'!AC13</f>
        <v/>
      </c>
      <c r="O13" s="23" t="str">
        <f t="array" ref="O13">bpLOOKUP(Data!$AV13,"Notes",CustOrdOpt,6,FALSE)</f>
        <v/>
      </c>
      <c r="P13" s="110">
        <f t="shared" si="0"/>
        <v>4</v>
      </c>
    </row>
    <row r="14" spans="1:16" s="19" customFormat="1" ht="99">
      <c r="A14" s="42">
        <f>Data!AW14</f>
        <v>5</v>
      </c>
      <c r="B14" s="24" t="str">
        <f>Data!AY14</f>
        <v>Lounge</v>
      </c>
      <c r="C14" s="23" t="str">
        <f>'Job Sheet'!AD14</f>
        <v>Standard Zinc</v>
      </c>
      <c r="D14" s="23" t="str">
        <f>IF('Job Sheet'!AH14="","",CONCATENATE('Job Sheet'!AH14&amp;" "&amp;"x 2"))</f>
        <v>2400mm x 2</v>
      </c>
      <c r="E14" s="23" t="str">
        <f>IF(Data!AV14="","",CONCATENATE('Job Sheet'!O14&amp;" x "&amp;2))</f>
        <v>U Bracket x 2</v>
      </c>
      <c r="F14" s="35" t="str">
        <f>IF(Data!AV14="","","Nuts &amp; Bolts x 2")</f>
        <v>Nuts &amp; Bolts x 2</v>
      </c>
      <c r="G14" s="131">
        <f>IF('Job Sheet'!K14="","",2)</f>
        <v>2</v>
      </c>
      <c r="H14" s="23" t="str">
        <f>'Job Sheet'!P14</f>
        <v>Becker Remote Operated</v>
      </c>
      <c r="I14" s="23" t="str">
        <f>IF('Job Sheet'!Y14="Not Required","",'Job Sheet'!Y14)</f>
        <v>Becker 5 Channel White Remote</v>
      </c>
      <c r="J14" s="23" t="str">
        <f>'Job Sheet'!R14</f>
        <v/>
      </c>
      <c r="K14" s="35" t="str">
        <f>IF('Job Sheet'!AQ14="No","",'Job Sheet'!AQ14)</f>
        <v>Attached to Motor</v>
      </c>
      <c r="L14" s="23" t="str">
        <f>IFERROR(VLOOKUP('Job Sheet'!AA14,StandoutBrackets,2,FALSE),"")</f>
        <v/>
      </c>
      <c r="M14" s="23" t="str">
        <f>IFERROR(VLOOKUP('Job Sheet'!AB14,StandoutBrackets,2,FALSE),"")</f>
        <v/>
      </c>
      <c r="N14" s="23" t="str">
        <f>'Job Sheet'!AC14</f>
        <v/>
      </c>
      <c r="O14" s="23" t="str">
        <f t="array" ref="O14">bpLOOKUP(Data!$AV14,"Notes",CustOrdOpt,6,FALSE)</f>
        <v/>
      </c>
      <c r="P14" s="110">
        <f t="shared" si="0"/>
        <v>5</v>
      </c>
    </row>
    <row r="15" spans="1:16" s="19" customFormat="1" ht="66">
      <c r="A15" s="42">
        <f>Data!AW15</f>
        <v>6</v>
      </c>
      <c r="B15" s="24" t="str">
        <f>Data!AY15</f>
        <v>Bed 4</v>
      </c>
      <c r="C15" s="23" t="str">
        <f>'Job Sheet'!AD15</f>
        <v>Standard Zinc</v>
      </c>
      <c r="D15" s="23" t="str">
        <f>IF('Job Sheet'!AH15="","",CONCATENATE('Job Sheet'!AH15&amp;" "&amp;"x 2"))</f>
        <v>2400mm x 2</v>
      </c>
      <c r="E15" s="23" t="str">
        <f>IF(Data!AV15="","",CONCATENATE('Job Sheet'!O15&amp;" x "&amp;2))</f>
        <v>U Bracket x 2</v>
      </c>
      <c r="F15" s="35" t="str">
        <f>IF(Data!AV15="","","Nuts &amp; Bolts x 2")</f>
        <v>Nuts &amp; Bolts x 2</v>
      </c>
      <c r="G15" s="131">
        <f>IF('Job Sheet'!K15="","",2)</f>
        <v>2</v>
      </c>
      <c r="H15" s="23" t="str">
        <f>'Job Sheet'!P15</f>
        <v>Becker Remote Operated</v>
      </c>
      <c r="I15" s="23" t="str">
        <f>IF('Job Sheet'!Y15="Not Required","",'Job Sheet'!Y15)</f>
        <v/>
      </c>
      <c r="J15" s="23" t="str">
        <f>'Job Sheet'!R15</f>
        <v/>
      </c>
      <c r="K15" s="35" t="str">
        <f>IF('Job Sheet'!AQ15="No","",'Job Sheet'!AQ15)</f>
        <v>Attached to Motor</v>
      </c>
      <c r="L15" s="23" t="str">
        <f>IFERROR(VLOOKUP('Job Sheet'!AA15,StandoutBrackets,2,FALSE),"")</f>
        <v/>
      </c>
      <c r="M15" s="23" t="str">
        <f>IFERROR(VLOOKUP('Job Sheet'!AB15,StandoutBrackets,2,FALSE),"")</f>
        <v/>
      </c>
      <c r="N15" s="23" t="str">
        <f>'Job Sheet'!AC15</f>
        <v/>
      </c>
      <c r="O15" s="23" t="str">
        <f t="array" ref="O15">bpLOOKUP(Data!$AV15,"Notes",CustOrdOpt,6,FALSE)</f>
        <v/>
      </c>
      <c r="P15" s="110">
        <f t="shared" si="0"/>
        <v>6</v>
      </c>
    </row>
    <row r="16" spans="1:16" s="19" customFormat="1" ht="60" customHeight="1">
      <c r="A16" s="42">
        <f>Data!AW16</f>
        <v>0</v>
      </c>
      <c r="B16" s="24">
        <f>Data!AY16</f>
        <v>0</v>
      </c>
      <c r="C16" s="23" t="str">
        <f>'Job Sheet'!AD16</f>
        <v/>
      </c>
      <c r="D16" s="23" t="str">
        <f>IF('Job Sheet'!AH16="","",CONCATENATE('Job Sheet'!AH16&amp;" "&amp;"x 2"))</f>
        <v/>
      </c>
      <c r="E16" s="23" t="str">
        <f>IF(Data!AV16="","",CONCATENATE('Job Sheet'!O16&amp;" x "&amp;2))</f>
        <v/>
      </c>
      <c r="F16" s="35" t="str">
        <f>IF(Data!AV16="","","Nuts &amp; Bolts x 2")</f>
        <v/>
      </c>
      <c r="G16" s="131" t="str">
        <f>IF('Job Sheet'!K16="","",2)</f>
        <v/>
      </c>
      <c r="H16" s="23" t="str">
        <f>'Job Sheet'!P16</f>
        <v/>
      </c>
      <c r="I16" s="23" t="str">
        <f>IF('Job Sheet'!Y16="Not Required","",'Job Sheet'!Y16)</f>
        <v/>
      </c>
      <c r="J16" s="23" t="str">
        <f>'Job Sheet'!R16</f>
        <v/>
      </c>
      <c r="K16" s="35" t="str">
        <f>IF('Job Sheet'!AQ16="No","",'Job Sheet'!AQ16)</f>
        <v/>
      </c>
      <c r="L16" s="23" t="str">
        <f>IFERROR(VLOOKUP('Job Sheet'!AA16,StandoutBrackets,2,FALSE),"")</f>
        <v/>
      </c>
      <c r="M16" s="23" t="str">
        <f>IFERROR(VLOOKUP('Job Sheet'!AB16,StandoutBrackets,2,FALSE),"")</f>
        <v/>
      </c>
      <c r="N16" s="23" t="str">
        <f>'Job Sheet'!AC16</f>
        <v/>
      </c>
      <c r="O16" s="23" t="str">
        <f t="array" ref="O16">bpLOOKUP(Data!$AV16,"Notes",CustOrdOpt,6,FALSE)</f>
        <v/>
      </c>
      <c r="P16" s="110">
        <f t="shared" si="0"/>
        <v>0</v>
      </c>
    </row>
    <row r="17" spans="1:16" s="19" customFormat="1" ht="60" customHeight="1">
      <c r="A17" s="42">
        <f>Data!AW17</f>
        <v>0</v>
      </c>
      <c r="B17" s="24">
        <f>Data!AY17</f>
        <v>0</v>
      </c>
      <c r="C17" s="23" t="str">
        <f>'Job Sheet'!AD17</f>
        <v/>
      </c>
      <c r="D17" s="23" t="str">
        <f>IF('Job Sheet'!AH17="","",CONCATENATE('Job Sheet'!AH17&amp;" "&amp;"x 2"))</f>
        <v/>
      </c>
      <c r="E17" s="23" t="str">
        <f>IF(Data!AV17="","",CONCATENATE('Job Sheet'!O17&amp;" x "&amp;2))</f>
        <v/>
      </c>
      <c r="F17" s="35" t="str">
        <f>IF(Data!AV17="","","Nuts &amp; Bolts x 2")</f>
        <v/>
      </c>
      <c r="G17" s="131" t="str">
        <f>IF('Job Sheet'!K17="","",2)</f>
        <v/>
      </c>
      <c r="H17" s="23" t="str">
        <f>'Job Sheet'!P17</f>
        <v/>
      </c>
      <c r="I17" s="23" t="str">
        <f>IF('Job Sheet'!Y17="Not Required","",'Job Sheet'!Y17)</f>
        <v/>
      </c>
      <c r="J17" s="23" t="str">
        <f>'Job Sheet'!R17</f>
        <v/>
      </c>
      <c r="K17" s="35" t="str">
        <f>IF('Job Sheet'!AQ17="No","",'Job Sheet'!AQ17)</f>
        <v/>
      </c>
      <c r="L17" s="23" t="str">
        <f>IFERROR(VLOOKUP('Job Sheet'!AA17,StandoutBrackets,2,FALSE),"")</f>
        <v/>
      </c>
      <c r="M17" s="23" t="str">
        <f>IFERROR(VLOOKUP('Job Sheet'!AB17,StandoutBrackets,2,FALSE),"")</f>
        <v/>
      </c>
      <c r="N17" s="23" t="str">
        <f>'Job Sheet'!AC17</f>
        <v/>
      </c>
      <c r="O17" s="23" t="str">
        <f t="array" ref="O17">bpLOOKUP(Data!$AV17,"Notes",CustOrdOpt,6,FALSE)</f>
        <v/>
      </c>
      <c r="P17" s="110">
        <f t="shared" si="0"/>
        <v>0</v>
      </c>
    </row>
    <row r="18" spans="1:16" s="19" customFormat="1" ht="60" customHeight="1">
      <c r="A18" s="42">
        <f>Data!AW18</f>
        <v>0</v>
      </c>
      <c r="B18" s="24">
        <f>Data!AY18</f>
        <v>0</v>
      </c>
      <c r="C18" s="23" t="str">
        <f>'Job Sheet'!AD18</f>
        <v/>
      </c>
      <c r="D18" s="23" t="str">
        <f>IF('Job Sheet'!AH18="","",CONCATENATE('Job Sheet'!AH18&amp;" "&amp;"x 2"))</f>
        <v/>
      </c>
      <c r="E18" s="23" t="str">
        <f>IF(Data!AV18="","",CONCATENATE('Job Sheet'!O18&amp;" x "&amp;2))</f>
        <v/>
      </c>
      <c r="F18" s="35" t="str">
        <f>IF(Data!AV18="","","Nuts &amp; Bolts x 2")</f>
        <v/>
      </c>
      <c r="G18" s="131" t="str">
        <f>IF('Job Sheet'!K18="","",2)</f>
        <v/>
      </c>
      <c r="H18" s="23" t="str">
        <f>'Job Sheet'!P18</f>
        <v/>
      </c>
      <c r="I18" s="23" t="str">
        <f>IF('Job Sheet'!Y18="Not Required","",'Job Sheet'!Y18)</f>
        <v/>
      </c>
      <c r="J18" s="23" t="str">
        <f>'Job Sheet'!R18</f>
        <v/>
      </c>
      <c r="K18" s="35" t="str">
        <f>IF('Job Sheet'!AQ18="No","",'Job Sheet'!AQ18)</f>
        <v/>
      </c>
      <c r="L18" s="23" t="str">
        <f>IFERROR(VLOOKUP('Job Sheet'!AA18,StandoutBrackets,2,FALSE),"")</f>
        <v/>
      </c>
      <c r="M18" s="23" t="str">
        <f>IFERROR(VLOOKUP('Job Sheet'!AB18,StandoutBrackets,2,FALSE),"")</f>
        <v/>
      </c>
      <c r="N18" s="23" t="str">
        <f>'Job Sheet'!AC18</f>
        <v/>
      </c>
      <c r="O18" s="23" t="str">
        <f t="array" ref="O18">bpLOOKUP(Data!$AV18,"Notes",CustOrdOpt,6,FALSE)</f>
        <v/>
      </c>
      <c r="P18" s="110">
        <f t="shared" si="0"/>
        <v>0</v>
      </c>
    </row>
    <row r="19" spans="1:16" ht="60" customHeight="1">
      <c r="A19" s="42">
        <f>Data!AW19</f>
        <v>0</v>
      </c>
      <c r="B19" s="24">
        <f>Data!AY19</f>
        <v>0</v>
      </c>
      <c r="C19" s="23" t="str">
        <f>'Job Sheet'!AD19</f>
        <v/>
      </c>
      <c r="D19" s="23" t="str">
        <f>IF('Job Sheet'!AH19="","",CONCATENATE('Job Sheet'!AH19&amp;" "&amp;"x 2"))</f>
        <v/>
      </c>
      <c r="E19" s="23" t="str">
        <f>IF(Data!AV19="","",CONCATENATE('Job Sheet'!O19&amp;" x "&amp;2))</f>
        <v/>
      </c>
      <c r="F19" s="35" t="str">
        <f>IF(Data!AV19="","","Nuts &amp; Bolts x 2")</f>
        <v/>
      </c>
      <c r="G19" s="131" t="str">
        <f>IF('Job Sheet'!K19="","",2)</f>
        <v/>
      </c>
      <c r="H19" s="23" t="str">
        <f>'Job Sheet'!P19</f>
        <v/>
      </c>
      <c r="I19" s="23" t="str">
        <f>IF('Job Sheet'!Y19="Not Required","",'Job Sheet'!Y19)</f>
        <v/>
      </c>
      <c r="J19" s="23" t="str">
        <f>'Job Sheet'!R19</f>
        <v/>
      </c>
      <c r="K19" s="35" t="str">
        <f>IF('Job Sheet'!AQ19="No","",'Job Sheet'!AQ19)</f>
        <v/>
      </c>
      <c r="L19" s="23" t="str">
        <f>IFERROR(VLOOKUP('Job Sheet'!AA19,StandoutBrackets,2,FALSE),"")</f>
        <v/>
      </c>
      <c r="M19" s="23" t="str">
        <f>IFERROR(VLOOKUP('Job Sheet'!AB19,StandoutBrackets,2,FALSE),"")</f>
        <v/>
      </c>
      <c r="N19" s="23" t="str">
        <f>'Job Sheet'!AC19</f>
        <v/>
      </c>
      <c r="O19" s="23" t="str">
        <f t="array" ref="O19">bpLOOKUP(Data!$AV19,"Notes",CustOrdOpt,6,FALSE)</f>
        <v/>
      </c>
      <c r="P19" s="110">
        <f t="shared" si="0"/>
        <v>0</v>
      </c>
    </row>
    <row r="20" spans="1:16" ht="60" customHeight="1">
      <c r="A20" s="42">
        <f>Data!AW20</f>
        <v>0</v>
      </c>
      <c r="B20" s="24">
        <f>Data!AY20</f>
        <v>0</v>
      </c>
      <c r="C20" s="23" t="str">
        <f>'Job Sheet'!AD20</f>
        <v/>
      </c>
      <c r="D20" s="23" t="str">
        <f>IF('Job Sheet'!AH20="","",CONCATENATE('Job Sheet'!AH20&amp;" "&amp;"x 2"))</f>
        <v/>
      </c>
      <c r="E20" s="23" t="str">
        <f>IF(Data!AV20="","",CONCATENATE('Job Sheet'!O20&amp;" x "&amp;2))</f>
        <v/>
      </c>
      <c r="F20" s="35" t="str">
        <f>IF(Data!AV20="","","Nuts &amp; Bolts x 2")</f>
        <v/>
      </c>
      <c r="G20" s="131" t="str">
        <f>IF('Job Sheet'!K20="","",2)</f>
        <v/>
      </c>
      <c r="H20" s="23" t="str">
        <f>'Job Sheet'!P20</f>
        <v/>
      </c>
      <c r="I20" s="23" t="str">
        <f>IF('Job Sheet'!Y20="Not Required","",'Job Sheet'!Y20)</f>
        <v/>
      </c>
      <c r="J20" s="23" t="str">
        <f>'Job Sheet'!R20</f>
        <v/>
      </c>
      <c r="K20" s="35" t="str">
        <f>IF('Job Sheet'!AQ20="No","",'Job Sheet'!AQ20)</f>
        <v/>
      </c>
      <c r="L20" s="23" t="str">
        <f>IFERROR(VLOOKUP('Job Sheet'!AA20,StandoutBrackets,2,FALSE),"")</f>
        <v/>
      </c>
      <c r="M20" s="23" t="str">
        <f>IFERROR(VLOOKUP('Job Sheet'!AB20,StandoutBrackets,2,FALSE),"")</f>
        <v/>
      </c>
      <c r="N20" s="23" t="str">
        <f>'Job Sheet'!AC20</f>
        <v/>
      </c>
      <c r="O20" s="23" t="str">
        <f t="array" ref="O20">bpLOOKUP(Data!$AV20,"Notes",CustOrdOpt,6,FALSE)</f>
        <v/>
      </c>
      <c r="P20" s="110">
        <f t="shared" si="0"/>
        <v>0</v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50.1" customHeight="1"/>
    <row r="104" ht="50.1" customHeight="1"/>
    <row r="105" ht="50.1" customHeight="1"/>
    <row r="106" ht="50.1" customHeight="1"/>
    <row r="107" ht="50.1" customHeight="1"/>
    <row r="108" ht="50.1" customHeight="1"/>
    <row r="109" ht="50.1" customHeight="1"/>
    <row r="110" ht="50.1" customHeight="1"/>
    <row r="111" ht="50.1" customHeight="1"/>
    <row r="112" ht="50.1" customHeight="1"/>
    <row r="113" ht="50.1" customHeight="1"/>
    <row r="114" ht="50.1" customHeight="1"/>
    <row r="115" ht="50.1" customHeight="1"/>
    <row r="116" ht="50.1" customHeight="1"/>
    <row r="117" ht="50.1" customHeight="1"/>
    <row r="118" ht="50.1" customHeight="1"/>
    <row r="119" ht="50.1" customHeight="1"/>
    <row r="120" ht="50.1" customHeight="1"/>
    <row r="121" ht="50.1" customHeight="1"/>
    <row r="122" ht="50.1" customHeight="1"/>
    <row r="123" ht="50.1" customHeight="1"/>
    <row r="124" ht="50.1" customHeight="1"/>
    <row r="125" ht="50.1" customHeight="1"/>
    <row r="126" ht="50.1" customHeight="1"/>
    <row r="127" ht="50.1" customHeight="1"/>
    <row r="128" ht="50.1" customHeight="1"/>
    <row r="129" ht="50.1" customHeight="1"/>
    <row r="130" ht="50.1" customHeight="1"/>
    <row r="131" ht="50.1" customHeight="1"/>
    <row r="132" ht="50.1" customHeight="1"/>
    <row r="133" ht="50.1" customHeight="1"/>
    <row r="134" ht="50.1" customHeight="1"/>
    <row r="135" ht="50.1" customHeight="1"/>
    <row r="136" ht="50.1" customHeight="1"/>
    <row r="137" ht="50.1" customHeight="1"/>
    <row r="138" ht="50.1" customHeight="1"/>
    <row r="139" ht="50.1" customHeight="1"/>
    <row r="140" ht="50.1" customHeight="1"/>
    <row r="141" ht="50.1" customHeight="1"/>
    <row r="142" ht="50.1" customHeight="1"/>
    <row r="143" ht="50.1" customHeight="1"/>
    <row r="144" ht="50.1" customHeight="1"/>
    <row r="145" ht="50.1" customHeight="1"/>
    <row r="146" ht="50.1" customHeight="1"/>
    <row r="147" ht="50.1" customHeight="1"/>
    <row r="148" ht="50.1" customHeight="1"/>
    <row r="149" ht="50.1" customHeight="1"/>
    <row r="150" ht="50.1" customHeight="1"/>
    <row r="151" ht="50.1" customHeight="1"/>
    <row r="152" ht="50.1" customHeight="1"/>
    <row r="153" ht="50.1" customHeight="1"/>
    <row r="154" ht="50.1" customHeight="1"/>
    <row r="155" ht="50.1" customHeight="1"/>
    <row r="156" ht="50.1" customHeight="1"/>
    <row r="157" ht="50.1" customHeight="1"/>
    <row r="158" ht="50.1" customHeight="1"/>
    <row r="159" ht="50.1" customHeight="1"/>
    <row r="160" ht="50.1" customHeight="1"/>
    <row r="161" ht="50.1" customHeight="1"/>
    <row r="162" ht="50.1" customHeight="1"/>
    <row r="163" ht="50.1" customHeight="1"/>
    <row r="164" ht="50.1" customHeight="1"/>
    <row r="165" ht="50.1" customHeight="1"/>
    <row r="166" ht="50.1" customHeight="1"/>
    <row r="167" ht="50.1" customHeight="1"/>
    <row r="168" ht="50.1" customHeight="1"/>
    <row r="169" ht="50.1" customHeight="1"/>
    <row r="170" ht="50.1" customHeight="1"/>
    <row r="171" ht="50.1" customHeight="1"/>
    <row r="172" ht="50.1" customHeight="1"/>
    <row r="173" ht="50.1" customHeight="1"/>
    <row r="174" ht="50.1" customHeight="1"/>
    <row r="175" ht="50.1" customHeight="1"/>
    <row r="176" ht="50.1" customHeight="1"/>
    <row r="177" ht="50.1" customHeight="1"/>
    <row r="178" ht="50.1" customHeight="1"/>
    <row r="179" ht="50.1" customHeight="1"/>
    <row r="180" ht="50.1" customHeight="1"/>
    <row r="181" ht="50.1" customHeight="1"/>
    <row r="182" ht="50.1" customHeight="1"/>
    <row r="183" ht="50.1" customHeight="1"/>
    <row r="184" ht="50.1" customHeight="1"/>
    <row r="185" ht="50.1" customHeight="1"/>
    <row r="186" ht="50.1" customHeight="1"/>
    <row r="187" ht="50.1" customHeight="1"/>
    <row r="188" ht="50.1" customHeight="1"/>
    <row r="189" ht="50.1" customHeight="1"/>
    <row r="190" ht="50.1" customHeight="1"/>
    <row r="191" ht="50.1" customHeight="1"/>
    <row r="192" ht="50.1" customHeight="1"/>
    <row r="193" ht="50.1" customHeight="1"/>
    <row r="194" ht="50.1" customHeight="1"/>
    <row r="195" ht="50.1" customHeight="1"/>
    <row r="196" ht="50.1" customHeight="1"/>
    <row r="197" ht="50.1" customHeight="1"/>
    <row r="198" ht="50.1" customHeight="1"/>
    <row r="199" ht="50.1" customHeight="1"/>
    <row r="200" ht="50.1" customHeight="1"/>
    <row r="201" ht="50.1" customHeight="1"/>
    <row r="202" ht="50.1" customHeight="1"/>
    <row r="203" ht="50.1" customHeight="1"/>
    <row r="204" ht="50.1" customHeight="1"/>
    <row r="205" ht="50.1" customHeight="1"/>
    <row r="206" ht="50.1" customHeight="1"/>
    <row r="207" ht="50.1" customHeight="1"/>
    <row r="208" ht="50.1" customHeight="1"/>
    <row r="209" ht="50.1" customHeight="1"/>
    <row r="210" ht="50.1" customHeight="1"/>
    <row r="211" ht="50.1" customHeight="1"/>
    <row r="212" ht="50.1" customHeight="1"/>
    <row r="213" ht="50.1" customHeight="1"/>
    <row r="214" ht="50.1" customHeight="1"/>
    <row r="215" ht="50.1" customHeight="1"/>
    <row r="216" ht="50.1" customHeight="1"/>
    <row r="217" ht="50.1" customHeight="1"/>
    <row r="218" ht="50.1" customHeight="1"/>
    <row r="219" ht="50.1" customHeight="1"/>
    <row r="220" ht="50.1" customHeight="1"/>
    <row r="221" ht="50.1" customHeight="1"/>
    <row r="222" ht="50.1" customHeight="1"/>
    <row r="223" ht="50.1" customHeight="1"/>
    <row r="224" ht="50.1" customHeight="1"/>
    <row r="225" ht="50.1" customHeight="1"/>
    <row r="226" ht="50.1" customHeight="1"/>
    <row r="227" ht="50.1" customHeight="1"/>
    <row r="228" ht="50.1" customHeight="1"/>
    <row r="229" ht="50.1" customHeight="1"/>
    <row r="230" ht="50.1" customHeight="1"/>
    <row r="231" ht="50.1" customHeight="1"/>
    <row r="232" ht="50.1" customHeight="1"/>
    <row r="233" ht="50.1" customHeight="1"/>
    <row r="234" ht="50.1" customHeight="1"/>
    <row r="235" ht="50.1" customHeight="1"/>
    <row r="236" ht="50.1" customHeight="1"/>
    <row r="237" ht="50.1" customHeight="1"/>
    <row r="238" ht="50.1" customHeight="1"/>
    <row r="239" ht="50.1" customHeight="1"/>
    <row r="240" ht="50.1" customHeight="1"/>
    <row r="241" ht="50.1" customHeight="1"/>
    <row r="242" ht="50.1" customHeight="1"/>
    <row r="243" ht="50.1" customHeight="1"/>
    <row r="244" ht="50.1" customHeight="1"/>
    <row r="245" ht="50.1" customHeight="1"/>
    <row r="246" ht="50.1" customHeight="1"/>
    <row r="247" ht="50.1" customHeight="1"/>
    <row r="248" ht="50.1" customHeight="1"/>
    <row r="249" ht="50.1" customHeight="1"/>
    <row r="250" ht="50.1" customHeight="1"/>
    <row r="251" ht="50.1" customHeight="1"/>
    <row r="252" ht="50.1" customHeight="1"/>
    <row r="253" ht="50.1" customHeight="1"/>
    <row r="254" ht="50.1" customHeight="1"/>
    <row r="255" ht="50.1" customHeight="1"/>
    <row r="256" ht="50.1" customHeight="1"/>
    <row r="257" ht="50.1" customHeight="1"/>
    <row r="258" ht="50.1" customHeight="1"/>
    <row r="259" ht="50.1" customHeight="1"/>
    <row r="260" ht="50.1" customHeight="1"/>
  </sheetData>
  <sheetProtection formatCells="0" formatRows="0" insertColumns="0" insertRows="0"/>
  <mergeCells count="38">
    <mergeCell ref="G4:L4"/>
    <mergeCell ref="I8:I10"/>
    <mergeCell ref="K8:K10"/>
    <mergeCell ref="M8:M10"/>
    <mergeCell ref="J8:J10"/>
    <mergeCell ref="H8:H10"/>
    <mergeCell ref="A1:P1"/>
    <mergeCell ref="A2:B2"/>
    <mergeCell ref="A3:B3"/>
    <mergeCell ref="A4:B4"/>
    <mergeCell ref="A5:B5"/>
    <mergeCell ref="C2:D2"/>
    <mergeCell ref="C3:D3"/>
    <mergeCell ref="C4:D4"/>
    <mergeCell ref="C5:D5"/>
    <mergeCell ref="E2:F2"/>
    <mergeCell ref="E3:F3"/>
    <mergeCell ref="E4:F4"/>
    <mergeCell ref="E5:F7"/>
    <mergeCell ref="G7:L7"/>
    <mergeCell ref="G6:L6"/>
    <mergeCell ref="G5:L5"/>
    <mergeCell ref="G3:L3"/>
    <mergeCell ref="G2:L2"/>
    <mergeCell ref="M3:P7"/>
    <mergeCell ref="M2:P2"/>
    <mergeCell ref="A8:A10"/>
    <mergeCell ref="B8:B10"/>
    <mergeCell ref="C8:C10"/>
    <mergeCell ref="A6:D7"/>
    <mergeCell ref="E8:E10"/>
    <mergeCell ref="P8:P10"/>
    <mergeCell ref="L8:L10"/>
    <mergeCell ref="D8:D10"/>
    <mergeCell ref="O8:O10"/>
    <mergeCell ref="F8:F10"/>
    <mergeCell ref="N8:N10"/>
    <mergeCell ref="G8:G10"/>
  </mergeCells>
  <conditionalFormatting sqref="C11:E20">
    <cfRule type="expression" priority="1" dxfId="0">
      <formula>$C11="Stainless Steel"</formula>
    </cfRule>
  </conditionalFormatting>
  <printOptions horizontalCentered="1"/>
  <pageMargins left="0.43779527559056" right="0.43779527559056" top="0.3" bottom="0.3" header="0.3" footer="0.3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32736-633C-4942-B710-CDF2B22FE2C2}">
  <sheetPr codeName="Sheet1">
    <pageSetUpPr fitToPage="1"/>
  </sheetPr>
  <dimension ref="A1:M20"/>
  <sheetViews>
    <sheetView zoomScale="60" zoomScaleNormal="60" workbookViewId="0" topLeftCell="A2">
      <selection pane="topLeft" activeCell="A11" sqref="A11:XFD20"/>
    </sheetView>
  </sheetViews>
  <sheetFormatPr defaultColWidth="9.140625" defaultRowHeight="12.75"/>
  <cols>
    <col min="1" max="1" width="10.4285714285714" style="39" customWidth="1"/>
    <col min="2" max="2" width="37" style="39" customWidth="1"/>
    <col min="3" max="3" width="24.8571428571429" style="39" customWidth="1"/>
    <col min="4" max="4" width="38.2857142857143" style="39" customWidth="1"/>
    <col min="5" max="5" width="26" style="39" customWidth="1"/>
    <col min="6" max="6" width="40.1428571428571" style="39" customWidth="1"/>
    <col min="7" max="7" width="32" style="39" customWidth="1"/>
    <col min="8" max="8" width="30.2857142857143" style="39" customWidth="1"/>
    <col min="9" max="9" width="29.7142857142857" style="39" customWidth="1"/>
    <col min="10" max="10" width="24" style="40" customWidth="1"/>
    <col min="11" max="11" width="26.7142857142857" style="40" customWidth="1"/>
    <col min="12" max="12" width="27" style="39" customWidth="1"/>
    <col min="13" max="13" width="44" style="39" customWidth="1"/>
  </cols>
  <sheetData>
    <row r="1" spans="1:13" ht="97.9" customHeight="1">
      <c r="A1" s="270" t="s">
        <v>362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</row>
    <row r="2" spans="1:13" ht="33.75">
      <c r="A2" s="156" t="s">
        <v>7</v>
      </c>
      <c r="B2" s="156"/>
      <c r="C2" s="156"/>
      <c r="D2" s="156"/>
      <c r="E2" s="165" t="s">
        <v>96</v>
      </c>
      <c r="F2" s="165"/>
      <c r="G2" s="265" t="str">
        <f>TRIM(Data!BF5)</f>
        <v>Campbell, Neil</v>
      </c>
      <c r="H2" s="265"/>
      <c r="I2" s="265"/>
      <c r="J2" s="265"/>
      <c r="K2" s="154" t="s">
        <v>4</v>
      </c>
      <c r="L2" s="154"/>
      <c r="M2" s="154"/>
    </row>
    <row r="3" spans="1:13" ht="33.75">
      <c r="A3" s="157" t="s">
        <v>118</v>
      </c>
      <c r="B3" s="157"/>
      <c r="C3" s="167" t="str">
        <f>TRIM(Data!BC5)</f>
        <v>12085</v>
      </c>
      <c r="D3" s="167"/>
      <c r="E3" s="166" t="s">
        <v>8</v>
      </c>
      <c r="F3" s="166"/>
      <c r="G3" s="265" t="str">
        <f>TRIM(Data!AX5)</f>
        <v>Verticali Patio Blinds &amp; Fixed Guide Awnings</v>
      </c>
      <c r="H3" s="265"/>
      <c r="I3" s="265"/>
      <c r="J3" s="265"/>
      <c r="K3" s="236" t="str">
        <f>TRIM(Data!BG5)</f>
        <v/>
      </c>
      <c r="L3" s="237"/>
      <c r="M3" s="238"/>
    </row>
    <row r="4" spans="1:13" ht="33.75">
      <c r="A4" s="158" t="s">
        <v>15</v>
      </c>
      <c r="B4" s="158"/>
      <c r="C4" s="167" t="str">
        <f>TRIM(Data!BD5)</f>
        <v>A</v>
      </c>
      <c r="D4" s="167"/>
      <c r="E4" s="166" t="s">
        <v>114</v>
      </c>
      <c r="F4" s="166"/>
      <c r="G4" s="265" t="str">
        <f>LEFT(Data!BA5,10)</f>
        <v>18/09/2026</v>
      </c>
      <c r="H4" s="265"/>
      <c r="I4" s="265"/>
      <c r="J4" s="265"/>
      <c r="K4" s="239"/>
      <c r="L4" s="240"/>
      <c r="M4" s="241"/>
    </row>
    <row r="5" spans="1:13" ht="33.75">
      <c r="A5" s="159" t="s">
        <v>10</v>
      </c>
      <c r="B5" s="159"/>
      <c r="C5" s="228" t="str">
        <f>TRIM(Data!AY5)</f>
        <v>6/08/2026 12:00:00 AM</v>
      </c>
      <c r="D5" s="228"/>
      <c r="E5" s="167" t="s">
        <v>13</v>
      </c>
      <c r="F5" s="167"/>
      <c r="G5" s="265" t="str">
        <f>TRIM(Data!BF5)</f>
        <v>Campbell, Neil</v>
      </c>
      <c r="H5" s="265"/>
      <c r="I5" s="265"/>
      <c r="J5" s="265"/>
      <c r="K5" s="242"/>
      <c r="L5" s="243"/>
      <c r="M5" s="244"/>
    </row>
    <row r="6" spans="1:13" ht="33.75">
      <c r="A6" s="160" t="str">
        <f>TRIM(Data!CZ5)</f>
        <v>Retail Customer</v>
      </c>
      <c r="B6" s="160"/>
      <c r="C6" s="160"/>
      <c r="D6" s="160"/>
      <c r="E6" s="167"/>
      <c r="F6" s="167"/>
      <c r="G6" s="265" t="str">
        <f>CONCATENATE(Data!BH5," ",Data!BI5," ",Data!BJ5," ",Data!BK5," ",Data!BL5)</f>
        <v xml:space="preserve"> 7161  Midland Highway </v>
      </c>
      <c r="H6" s="265"/>
      <c r="I6" s="265"/>
      <c r="J6" s="265"/>
      <c r="K6" s="61" t="s">
        <v>426</v>
      </c>
      <c r="L6" s="268" t="str">
        <f>TRIM(Data!BR5)</f>
        <v>nac_in_eket@hotmail.com</v>
      </c>
      <c r="M6" s="269"/>
    </row>
    <row r="7" spans="1:13" ht="33.75">
      <c r="A7" s="160"/>
      <c r="B7" s="160"/>
      <c r="C7" s="160"/>
      <c r="D7" s="160"/>
      <c r="E7" s="167"/>
      <c r="F7" s="167"/>
      <c r="G7" s="265" t="str">
        <f>CONCATENATE(Data!BM5," ",Data!BN5," ",Data!BO5," ",Data!BP5)</f>
        <v>Buninyong VIC 3357 Australia</v>
      </c>
      <c r="H7" s="265"/>
      <c r="I7" s="265"/>
      <c r="J7" s="265"/>
      <c r="K7" s="265" t="s">
        <v>363</v>
      </c>
      <c r="L7" s="265"/>
      <c r="M7" s="61" t="str">
        <f>TRIM(Data!BT5)</f>
        <v>0427368330</v>
      </c>
    </row>
    <row r="8" spans="1:13" ht="12.75">
      <c r="A8" s="267" t="s">
        <v>117</v>
      </c>
      <c r="B8" s="266" t="s">
        <v>98</v>
      </c>
      <c r="C8" s="266" t="s">
        <v>364</v>
      </c>
      <c r="D8" s="264" t="s">
        <v>97</v>
      </c>
      <c r="E8" s="264" t="s">
        <v>12</v>
      </c>
      <c r="F8" s="266" t="s">
        <v>365</v>
      </c>
      <c r="G8" s="266" t="s">
        <v>366</v>
      </c>
      <c r="H8" s="264" t="s">
        <v>367</v>
      </c>
      <c r="I8" s="264" t="s">
        <v>368</v>
      </c>
      <c r="J8" s="264" t="s">
        <v>369</v>
      </c>
      <c r="K8" s="264" t="s">
        <v>370</v>
      </c>
      <c r="L8" s="264" t="s">
        <v>371</v>
      </c>
      <c r="M8" s="264" t="s">
        <v>5</v>
      </c>
    </row>
    <row r="9" spans="1:13" ht="12.75">
      <c r="A9" s="267"/>
      <c r="B9" s="266"/>
      <c r="C9" s="266"/>
      <c r="D9" s="264"/>
      <c r="E9" s="264"/>
      <c r="F9" s="266"/>
      <c r="G9" s="266"/>
      <c r="H9" s="264"/>
      <c r="I9" s="264"/>
      <c r="J9" s="264"/>
      <c r="K9" s="264"/>
      <c r="L9" s="264"/>
      <c r="M9" s="264"/>
    </row>
    <row r="10" spans="1:13" ht="67.5" customHeight="1">
      <c r="A10" s="267"/>
      <c r="B10" s="266"/>
      <c r="C10" s="266"/>
      <c r="D10" s="264"/>
      <c r="E10" s="264"/>
      <c r="F10" s="266"/>
      <c r="G10" s="266"/>
      <c r="H10" s="264"/>
      <c r="I10" s="264"/>
      <c r="J10" s="264"/>
      <c r="K10" s="264"/>
      <c r="L10" s="264"/>
      <c r="M10" s="264"/>
    </row>
    <row r="11" spans="1:13" ht="60" customHeight="1">
      <c r="A11" s="47">
        <f>IF(Data!AX11="","",'Job Sheet'!A11)</f>
        <v>2</v>
      </c>
      <c r="B11" s="49" t="str">
        <f>IF(C11="","",'Job Sheet'!B11)</f>
        <v>Dining</v>
      </c>
      <c r="C11" s="49" t="str">
        <f t="array" ref="C11">IF(bpLOOKUP(Data!$AV11,"ELECTRICIAN",CustOrdOpt,6,FALSE)="Yes","Yes","")</f>
        <v>Yes</v>
      </c>
      <c r="D11" s="49" t="str">
        <f>IF(C11="","",Data!AX11)</f>
        <v>Fixed Guide Sunblinds</v>
      </c>
      <c r="E11" s="50" t="str">
        <f>IF(C11="","",'Job Sheet'!I11)</f>
        <v>Face</v>
      </c>
      <c r="F11" s="50" t="str">
        <f>IF(C11="","",'Job Sheet'!P11)</f>
        <v>Becker Remote Operated</v>
      </c>
      <c r="G11" s="50" t="str">
        <f>IF(C11="","",'Job Sheet'!Y11)</f>
        <v>Not Required</v>
      </c>
      <c r="H11" s="50"/>
      <c r="I11" s="50" t="str">
        <f t="array" ref="I11">bpLOOKUP(Data!$AV11,"HOUSECONSTRUCTION",CustOrdOpt,6,FALSE)</f>
        <v>Brick</v>
      </c>
      <c r="J11" s="50" t="str">
        <f t="array" ref="J11">bpLOOKUP(Data!$AV11,"ROOF",CustOrdOpt,6,FALSE)</f>
        <v>Pitched Iron</v>
      </c>
      <c r="K11" s="50" t="str">
        <f t="array" ref="K11">bpLOOKUP(Data!$AV11,"SWITCHBOARD",CustOrdOpt,6,FALSE)</f>
        <v>No</v>
      </c>
      <c r="L11" s="50" t="str">
        <f t="array" ref="L11">bpLOOKUP(Data!$AV11,"STOREYS",CustOrdOpt,6,FALSE)</f>
        <v>1</v>
      </c>
      <c r="M11" s="59" t="str">
        <f>IF(C11="","",'Job Sheet'!AF11)</f>
        <v/>
      </c>
    </row>
    <row r="12" spans="1:13" ht="60" customHeight="1">
      <c r="A12" s="47">
        <f>IF(Data!AX12="","",'Job Sheet'!A12)</f>
        <v>3</v>
      </c>
      <c r="B12" s="49" t="str">
        <f>IF(C12="","",'Job Sheet'!B12)</f>
        <v>Master</v>
      </c>
      <c r="C12" s="49" t="str">
        <f t="array" ref="C12">IF(bpLOOKUP(Data!$AV12,"ELECTRICIAN",CustOrdOpt,6,FALSE)="Yes","Yes","")</f>
        <v>Yes</v>
      </c>
      <c r="D12" s="49" t="str">
        <f>IF(C12="","",Data!AX12)</f>
        <v>Fixed Guide Sunblinds</v>
      </c>
      <c r="E12" s="50" t="str">
        <f>IF(C12="","",'Job Sheet'!I12)</f>
        <v>Face</v>
      </c>
      <c r="F12" s="50" t="str">
        <f>IF(C12="","",'Job Sheet'!P12)</f>
        <v>Becker Remote Operated</v>
      </c>
      <c r="G12" s="50" t="str">
        <f>IF(C12="","",'Job Sheet'!Y12)</f>
        <v>Becker 5 Channel White Remote</v>
      </c>
      <c r="H12" s="50"/>
      <c r="I12" s="50" t="str">
        <f t="array" ref="I12">bpLOOKUP(Data!$AV12,"HOUSECONSTRUCTION",CustOrdOpt,6,FALSE)</f>
        <v>Brick</v>
      </c>
      <c r="J12" s="50" t="str">
        <f t="array" ref="J12">bpLOOKUP(Data!$AV12,"ROOF",CustOrdOpt,6,FALSE)</f>
        <v>Pitched Iron</v>
      </c>
      <c r="K12" s="50" t="str">
        <f t="array" ref="K12">bpLOOKUP(Data!$AV12,"SWITCHBOARD",CustOrdOpt,6,FALSE)</f>
        <v>No</v>
      </c>
      <c r="L12" s="50" t="str">
        <f t="array" ref="L12">bpLOOKUP(Data!$AV12,"STOREYS",CustOrdOpt,6,FALSE)</f>
        <v>1</v>
      </c>
      <c r="M12" s="59" t="str">
        <f>IF(C12="","",'Job Sheet'!AF12)</f>
        <v/>
      </c>
    </row>
    <row r="13" spans="1:13" ht="60" customHeight="1">
      <c r="A13" s="47">
        <f>IF(Data!AX13="","",'Job Sheet'!A13)</f>
        <v>4</v>
      </c>
      <c r="B13" s="49" t="str">
        <f>IF(C13="","",'Job Sheet'!B13)</f>
        <v>Master 2</v>
      </c>
      <c r="C13" s="49" t="str">
        <f t="array" ref="C13">IF(bpLOOKUP(Data!$AV13,"ELECTRICIAN",CustOrdOpt,6,FALSE)="Yes","Yes","")</f>
        <v>Yes</v>
      </c>
      <c r="D13" s="49" t="str">
        <f>IF(C13="","",Data!AX13)</f>
        <v>Fixed Guide Sunblinds</v>
      </c>
      <c r="E13" s="50" t="str">
        <f>IF(C13="","",'Job Sheet'!I13)</f>
        <v>Face</v>
      </c>
      <c r="F13" s="50" t="str">
        <f>IF(C13="","",'Job Sheet'!P13)</f>
        <v>Becker Remote Operated</v>
      </c>
      <c r="G13" s="50" t="str">
        <f>IF(C13="","",'Job Sheet'!Y13)</f>
        <v>Not Required</v>
      </c>
      <c r="H13" s="50"/>
      <c r="I13" s="50" t="str">
        <f t="array" ref="I13">bpLOOKUP(Data!$AV13,"HOUSECONSTRUCTION",CustOrdOpt,6,FALSE)</f>
        <v>Brick</v>
      </c>
      <c r="J13" s="50" t="str">
        <f t="array" ref="J13">bpLOOKUP(Data!$AV13,"ROOF",CustOrdOpt,6,FALSE)</f>
        <v>Pitched Iron</v>
      </c>
      <c r="K13" s="50" t="str">
        <f t="array" ref="K13">bpLOOKUP(Data!$AV13,"SWITCHBOARD",CustOrdOpt,6,FALSE)</f>
        <v>No</v>
      </c>
      <c r="L13" s="50" t="str">
        <f t="array" ref="L13">bpLOOKUP(Data!$AV13,"STOREYS",CustOrdOpt,6,FALSE)</f>
        <v>1</v>
      </c>
      <c r="M13" s="59" t="str">
        <f>IF(C13="","",'Job Sheet'!AF13)</f>
        <v/>
      </c>
    </row>
    <row r="14" spans="1:13" ht="60" customHeight="1">
      <c r="A14" s="47">
        <f>IF(Data!AX14="","",'Job Sheet'!A14)</f>
        <v>5</v>
      </c>
      <c r="B14" s="49" t="str">
        <f>IF(C14="","",'Job Sheet'!B14)</f>
        <v>Lounge</v>
      </c>
      <c r="C14" s="49" t="str">
        <f t="array" ref="C14">IF(bpLOOKUP(Data!$AV14,"ELECTRICIAN",CustOrdOpt,6,FALSE)="Yes","Yes","")</f>
        <v>Yes</v>
      </c>
      <c r="D14" s="49" t="str">
        <f>IF(C14="","",Data!AX14)</f>
        <v>Fixed Guide Sunblinds</v>
      </c>
      <c r="E14" s="50" t="str">
        <f>IF(C14="","",'Job Sheet'!I14)</f>
        <v>Face</v>
      </c>
      <c r="F14" s="50" t="str">
        <f>IF(C14="","",'Job Sheet'!P14)</f>
        <v>Becker Remote Operated</v>
      </c>
      <c r="G14" s="50" t="str">
        <f>IF(C14="","",'Job Sheet'!Y14)</f>
        <v>Becker 5 Channel White Remote</v>
      </c>
      <c r="H14" s="50"/>
      <c r="I14" s="50" t="str">
        <f t="array" ref="I14">bpLOOKUP(Data!$AV14,"HOUSECONSTRUCTION",CustOrdOpt,6,FALSE)</f>
        <v>Brick</v>
      </c>
      <c r="J14" s="50" t="str">
        <f t="array" ref="J14">bpLOOKUP(Data!$AV14,"ROOF",CustOrdOpt,6,FALSE)</f>
        <v>Pitched Iron</v>
      </c>
      <c r="K14" s="50" t="str">
        <f t="array" ref="K14">bpLOOKUP(Data!$AV14,"SWITCHBOARD",CustOrdOpt,6,FALSE)</f>
        <v>No</v>
      </c>
      <c r="L14" s="50" t="str">
        <f t="array" ref="L14">bpLOOKUP(Data!$AV14,"STOREYS",CustOrdOpt,6,FALSE)</f>
        <v>1</v>
      </c>
      <c r="M14" s="59" t="str">
        <f>IF(C14="","",'Job Sheet'!AF14)</f>
        <v/>
      </c>
    </row>
    <row r="15" spans="1:13" ht="60" customHeight="1">
      <c r="A15" s="47">
        <f>IF(Data!AX15="","",'Job Sheet'!A15)</f>
        <v>6</v>
      </c>
      <c r="B15" s="49" t="str">
        <f>IF(C15="","",'Job Sheet'!B15)</f>
        <v>Bed 4</v>
      </c>
      <c r="C15" s="49" t="str">
        <f t="array" ref="C15">IF(bpLOOKUP(Data!$AV15,"ELECTRICIAN",CustOrdOpt,6,FALSE)="Yes","Yes","")</f>
        <v>Yes</v>
      </c>
      <c r="D15" s="49" t="str">
        <f>IF(C15="","",Data!AX15)</f>
        <v>Fixed Guide Sunblinds</v>
      </c>
      <c r="E15" s="50" t="str">
        <f>IF(C15="","",'Job Sheet'!I15)</f>
        <v>Face</v>
      </c>
      <c r="F15" s="50" t="str">
        <f>IF(C15="","",'Job Sheet'!P15)</f>
        <v>Becker Remote Operated</v>
      </c>
      <c r="G15" s="50" t="str">
        <f>IF(C15="","",'Job Sheet'!Y15)</f>
        <v>Not Required</v>
      </c>
      <c r="H15" s="50"/>
      <c r="I15" s="50" t="str">
        <f t="array" ref="I15">bpLOOKUP(Data!$AV15,"HOUSECONSTRUCTION",CustOrdOpt,6,FALSE)</f>
        <v>Brick</v>
      </c>
      <c r="J15" s="50" t="str">
        <f t="array" ref="J15">bpLOOKUP(Data!$AV15,"ROOF",CustOrdOpt,6,FALSE)</f>
        <v>Pitched Iron</v>
      </c>
      <c r="K15" s="50" t="str">
        <f t="array" ref="K15">bpLOOKUP(Data!$AV15,"SWITCHBOARD",CustOrdOpt,6,FALSE)</f>
        <v>No</v>
      </c>
      <c r="L15" s="50" t="str">
        <f t="array" ref="L15">bpLOOKUP(Data!$AV15,"STOREYS",CustOrdOpt,6,FALSE)</f>
        <v>1</v>
      </c>
      <c r="M15" s="59" t="str">
        <f>IF(C15="","",'Job Sheet'!AF15)</f>
        <v/>
      </c>
    </row>
    <row r="16" spans="1:13" ht="60" customHeight="1">
      <c r="A16" s="47" t="str">
        <f>IF(Data!AX16="","",'Job Sheet'!A16)</f>
        <v/>
      </c>
      <c r="B16" s="49" t="str">
        <f>IF(C16="","",'Job Sheet'!B16)</f>
        <v/>
      </c>
      <c r="C16" s="49" t="str">
        <f t="array" ref="C16">IF(bpLOOKUP(Data!$AV16,"ELECTRICIAN",CustOrdOpt,6,FALSE)="Yes","Yes","")</f>
        <v/>
      </c>
      <c r="D16" s="49" t="str">
        <f>IF(C16="","",Data!AX16)</f>
        <v/>
      </c>
      <c r="E16" s="50" t="str">
        <f>IF(C16="","",'Job Sheet'!I16)</f>
        <v/>
      </c>
      <c r="F16" s="50" t="str">
        <f>IF(C16="","",'Job Sheet'!P16)</f>
        <v/>
      </c>
      <c r="G16" s="50" t="str">
        <f>IF(C16="","",'Job Sheet'!Y16)</f>
        <v/>
      </c>
      <c r="H16" s="50"/>
      <c r="I16" s="50" t="str">
        <f t="array" ref="I16">bpLOOKUP(Data!$AV16,"HOUSECONSTRUCTION",CustOrdOpt,6,FALSE)</f>
        <v/>
      </c>
      <c r="J16" s="50" t="str">
        <f t="array" ref="J16">bpLOOKUP(Data!$AV16,"ROOF",CustOrdOpt,6,FALSE)</f>
        <v/>
      </c>
      <c r="K16" s="50" t="str">
        <f t="array" ref="K16">bpLOOKUP(Data!$AV16,"SWITCHBOARD",CustOrdOpt,6,FALSE)</f>
        <v/>
      </c>
      <c r="L16" s="50" t="str">
        <f t="array" ref="L16">bpLOOKUP(Data!$AV16,"STOREYS",CustOrdOpt,6,FALSE)</f>
        <v/>
      </c>
      <c r="M16" s="59" t="str">
        <f>IF(C16="","",'Job Sheet'!AF16)</f>
        <v/>
      </c>
    </row>
    <row r="17" spans="1:13" ht="60" customHeight="1">
      <c r="A17" s="47" t="str">
        <f>IF(Data!AX17="","",'Job Sheet'!A17)</f>
        <v/>
      </c>
      <c r="B17" s="49" t="str">
        <f>IF(C17="","",'Job Sheet'!B17)</f>
        <v/>
      </c>
      <c r="C17" s="49" t="str">
        <f t="array" ref="C17">IF(bpLOOKUP(Data!$AV17,"ELECTRICIAN",CustOrdOpt,6,FALSE)="Yes","Yes","")</f>
        <v/>
      </c>
      <c r="D17" s="49" t="str">
        <f>IF(C17="","",Data!AX17)</f>
        <v/>
      </c>
      <c r="E17" s="50" t="str">
        <f>IF(C17="","",'Job Sheet'!I17)</f>
        <v/>
      </c>
      <c r="F17" s="50" t="str">
        <f>IF(C17="","",'Job Sheet'!P17)</f>
        <v/>
      </c>
      <c r="G17" s="50" t="str">
        <f>IF(C17="","",'Job Sheet'!Y17)</f>
        <v/>
      </c>
      <c r="H17" s="50"/>
      <c r="I17" s="50" t="str">
        <f t="array" ref="I17">bpLOOKUP(Data!$AV17,"HOUSECONSTRUCTION",CustOrdOpt,6,FALSE)</f>
        <v/>
      </c>
      <c r="J17" s="50" t="str">
        <f t="array" ref="J17">bpLOOKUP(Data!$AV17,"ROOF",CustOrdOpt,6,FALSE)</f>
        <v/>
      </c>
      <c r="K17" s="50" t="str">
        <f t="array" ref="K17">bpLOOKUP(Data!$AV17,"SWITCHBOARD",CustOrdOpt,6,FALSE)</f>
        <v/>
      </c>
      <c r="L17" s="50" t="str">
        <f t="array" ref="L17">bpLOOKUP(Data!$AV17,"STOREYS",CustOrdOpt,6,FALSE)</f>
        <v/>
      </c>
      <c r="M17" s="59" t="str">
        <f>IF(C17="","",'Job Sheet'!AF17)</f>
        <v/>
      </c>
    </row>
    <row r="18" spans="1:13" ht="60" customHeight="1">
      <c r="A18" s="47" t="str">
        <f>IF(Data!AX18="","",'Job Sheet'!A18)</f>
        <v/>
      </c>
      <c r="B18" s="49" t="str">
        <f>IF(C18="","",'Job Sheet'!B18)</f>
        <v/>
      </c>
      <c r="C18" s="49" t="str">
        <f t="array" ref="C18">IF(bpLOOKUP(Data!$AV18,"ELECTRICIAN",CustOrdOpt,6,FALSE)="Yes","Yes","")</f>
        <v/>
      </c>
      <c r="D18" s="49" t="str">
        <f>IF(C18="","",Data!AX18)</f>
        <v/>
      </c>
      <c r="E18" s="50" t="str">
        <f>IF(C18="","",'Job Sheet'!I18)</f>
        <v/>
      </c>
      <c r="F18" s="50" t="str">
        <f>IF(C18="","",'Job Sheet'!P18)</f>
        <v/>
      </c>
      <c r="G18" s="50" t="str">
        <f>IF(C18="","",'Job Sheet'!Y18)</f>
        <v/>
      </c>
      <c r="H18" s="50"/>
      <c r="I18" s="50" t="str">
        <f t="array" ref="I18">bpLOOKUP(Data!$AV18,"HOUSECONSTRUCTION",CustOrdOpt,6,FALSE)</f>
        <v/>
      </c>
      <c r="J18" s="50" t="str">
        <f t="array" ref="J18">bpLOOKUP(Data!$AV18,"ROOF",CustOrdOpt,6,FALSE)</f>
        <v/>
      </c>
      <c r="K18" s="50" t="str">
        <f t="array" ref="K18">bpLOOKUP(Data!$AV18,"SWITCHBOARD",CustOrdOpt,6,FALSE)</f>
        <v/>
      </c>
      <c r="L18" s="50" t="str">
        <f t="array" ref="L18">bpLOOKUP(Data!$AV18,"STOREYS",CustOrdOpt,6,FALSE)</f>
        <v/>
      </c>
      <c r="M18" s="59" t="str">
        <f>IF(C18="","",'Job Sheet'!AF18)</f>
        <v/>
      </c>
    </row>
    <row r="19" spans="1:13" ht="60" customHeight="1">
      <c r="A19" s="47" t="str">
        <f>IF(Data!AX19="","",'Job Sheet'!A19)</f>
        <v/>
      </c>
      <c r="B19" s="49" t="str">
        <f>IF(C19="","",'Job Sheet'!B19)</f>
        <v/>
      </c>
      <c r="C19" s="49" t="str">
        <f t="array" ref="C19">IF(bpLOOKUP(Data!$AV19,"ELECTRICIAN",CustOrdOpt,6,FALSE)="Yes","Yes","")</f>
        <v/>
      </c>
      <c r="D19" s="49" t="str">
        <f>IF(C19="","",Data!AX19)</f>
        <v/>
      </c>
      <c r="E19" s="50" t="str">
        <f>IF(C19="","",'Job Sheet'!I19)</f>
        <v/>
      </c>
      <c r="F19" s="50" t="str">
        <f>IF(C19="","",'Job Sheet'!P19)</f>
        <v/>
      </c>
      <c r="G19" s="50" t="str">
        <f>IF(C19="","",'Job Sheet'!Y19)</f>
        <v/>
      </c>
      <c r="H19" s="50"/>
      <c r="I19" s="50" t="str">
        <f t="array" ref="I19">bpLOOKUP(Data!$AV19,"HOUSECONSTRUCTION",CustOrdOpt,6,FALSE)</f>
        <v/>
      </c>
      <c r="J19" s="50" t="str">
        <f t="array" ref="J19">bpLOOKUP(Data!$AV19,"ROOF",CustOrdOpt,6,FALSE)</f>
        <v/>
      </c>
      <c r="K19" s="50" t="str">
        <f t="array" ref="K19">bpLOOKUP(Data!$AV19,"SWITCHBOARD",CustOrdOpt,6,FALSE)</f>
        <v/>
      </c>
      <c r="L19" s="50" t="str">
        <f t="array" ref="L19">bpLOOKUP(Data!$AV19,"STOREYS",CustOrdOpt,6,FALSE)</f>
        <v/>
      </c>
      <c r="M19" s="59" t="str">
        <f>IF(C19="","",'Job Sheet'!AF19)</f>
        <v/>
      </c>
    </row>
    <row r="20" spans="1:13" ht="60" customHeight="1">
      <c r="A20" s="47" t="str">
        <f>IF(Data!AX20="","",'Job Sheet'!A20)</f>
        <v/>
      </c>
      <c r="B20" s="49" t="str">
        <f>IF(C20="","",'Job Sheet'!B20)</f>
        <v/>
      </c>
      <c r="C20" s="49" t="str">
        <f t="array" ref="C20">IF(bpLOOKUP(Data!$AV20,"ELECTRICIAN",CustOrdOpt,6,FALSE)="Yes","Yes","")</f>
        <v/>
      </c>
      <c r="D20" s="49" t="str">
        <f>IF(C20="","",Data!AX20)</f>
        <v/>
      </c>
      <c r="E20" s="50" t="str">
        <f>IF(C20="","",'Job Sheet'!I20)</f>
        <v/>
      </c>
      <c r="F20" s="50" t="str">
        <f>IF(C20="","",'Job Sheet'!P20)</f>
        <v/>
      </c>
      <c r="G20" s="50" t="str">
        <f>IF(C20="","",'Job Sheet'!Y20)</f>
        <v/>
      </c>
      <c r="H20" s="50"/>
      <c r="I20" s="50" t="str">
        <f t="array" ref="I20">bpLOOKUP(Data!$AV20,"HOUSECONSTRUCTION",CustOrdOpt,6,FALSE)</f>
        <v/>
      </c>
      <c r="J20" s="50" t="str">
        <f t="array" ref="J20">bpLOOKUP(Data!$AV20,"ROOF",CustOrdOpt,6,FALSE)</f>
        <v/>
      </c>
      <c r="K20" s="50" t="str">
        <f t="array" ref="K20">bpLOOKUP(Data!$AV20,"SWITCHBOARD",CustOrdOpt,6,FALSE)</f>
        <v/>
      </c>
      <c r="L20" s="50" t="str">
        <f t="array" ref="L20">bpLOOKUP(Data!$AV20,"STOREYS",CustOrdOpt,6,FALSE)</f>
        <v/>
      </c>
      <c r="M20" s="59" t="str">
        <f>IF(C20="","",'Job Sheet'!AF20)</f>
        <v/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</sheetData>
  <mergeCells count="37">
    <mergeCell ref="L6:M6"/>
    <mergeCell ref="K3:M5"/>
    <mergeCell ref="A1:M1"/>
    <mergeCell ref="A2:B2"/>
    <mergeCell ref="C2:D2"/>
    <mergeCell ref="E2:F2"/>
    <mergeCell ref="G2:J2"/>
    <mergeCell ref="K2:M2"/>
    <mergeCell ref="A3:B3"/>
    <mergeCell ref="C3:D3"/>
    <mergeCell ref="E3:F3"/>
    <mergeCell ref="G3:J3"/>
    <mergeCell ref="A4:B4"/>
    <mergeCell ref="C4:D4"/>
    <mergeCell ref="E4:F4"/>
    <mergeCell ref="G4:J4"/>
    <mergeCell ref="A5:B5"/>
    <mergeCell ref="C5:D5"/>
    <mergeCell ref="E5:F7"/>
    <mergeCell ref="G5:J5"/>
    <mergeCell ref="A6:D7"/>
    <mergeCell ref="G6:J6"/>
    <mergeCell ref="G7:J7"/>
    <mergeCell ref="A8:A10"/>
    <mergeCell ref="B8:B10"/>
    <mergeCell ref="C8:C10"/>
    <mergeCell ref="D8:D10"/>
    <mergeCell ref="E8:E10"/>
    <mergeCell ref="K8:K10"/>
    <mergeCell ref="L8:L10"/>
    <mergeCell ref="M8:M10"/>
    <mergeCell ref="K7:L7"/>
    <mergeCell ref="F8:F10"/>
    <mergeCell ref="G8:G10"/>
    <mergeCell ref="H8:H10"/>
    <mergeCell ref="I8:I10"/>
    <mergeCell ref="J8:J10"/>
  </mergeCells>
  <pageMargins left="0.814173228346464" right="0.814173228346464" top="0.75" bottom="0.75" header="0.3" footer="0.3"/>
  <pageSetup fitToHeight="0" orientation="landscape" paperSize="9" scale="1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7DB36-05E7-41D5-A5CA-0CFE854D1D67}">
  <sheetPr codeName="Sheet2"/>
  <dimension ref="A1:OZ14"/>
  <sheetViews>
    <sheetView workbookViewId="0" topLeftCell="HD1">
      <selection pane="topLeft" activeCell="II6" sqref="II6"/>
    </sheetView>
  </sheetViews>
  <sheetFormatPr defaultColWidth="9.140625" defaultRowHeight="12.75"/>
  <cols>
    <col min="4" max="4" width="7.71428571428571" bestFit="1" customWidth="1"/>
    <col min="5" max="5" width="2.71428571428571" bestFit="1" customWidth="1"/>
    <col min="7" max="7" width="18.4285714285714" bestFit="1" customWidth="1"/>
    <col min="8" max="8" width="23.7142857142857" customWidth="1"/>
    <col min="9" max="9" width="22.2857142857143" bestFit="1" customWidth="1"/>
    <col min="10" max="10" width="43.1428571428571" customWidth="1"/>
    <col min="11" max="420" width="5.42857142857143" customWidth="1"/>
  </cols>
  <sheetData>
    <row r="1" spans="5:388" s="113" customFormat="1" ht="45.6" customHeight="1">
      <c r="E1" s="114"/>
      <c r="F1" s="114"/>
      <c r="G1" s="114"/>
      <c r="H1" s="114"/>
      <c r="I1" s="114"/>
      <c r="J1" s="114"/>
      <c r="K1" s="115"/>
      <c r="L1" s="115"/>
      <c r="M1" s="115"/>
      <c r="O1" s="116"/>
      <c r="Q1" s="117"/>
      <c r="T1" s="116"/>
      <c r="U1" s="116"/>
      <c r="V1" s="116"/>
      <c r="DY1" s="116"/>
      <c r="EP1" s="113" t="s">
        <v>1083</v>
      </c>
      <c r="JA1" s="118"/>
      <c r="MD1" s="113" t="s">
        <v>1084</v>
      </c>
      <c r="ME1" s="113" t="s">
        <v>1085</v>
      </c>
      <c r="MJ1" s="113" t="s">
        <v>1086</v>
      </c>
      <c r="MK1" s="113" t="s">
        <v>1087</v>
      </c>
      <c r="ML1" s="113" t="s">
        <v>1088</v>
      </c>
      <c r="MM1" s="113" t="s">
        <v>1089</v>
      </c>
      <c r="MN1" s="113" t="s">
        <v>1088</v>
      </c>
      <c r="MO1" s="113" t="s">
        <v>1089</v>
      </c>
      <c r="MP1" s="113" t="s">
        <v>1090</v>
      </c>
      <c r="MQ1" s="113" t="s">
        <v>1091</v>
      </c>
      <c r="ND1" s="113" t="s">
        <v>464</v>
      </c>
      <c r="NE1" s="113" t="s">
        <v>465</v>
      </c>
      <c r="NG1" s="113" t="s">
        <v>466</v>
      </c>
      <c r="NH1" s="113" t="s">
        <v>467</v>
      </c>
      <c r="NI1" s="113" t="s">
        <v>468</v>
      </c>
      <c r="NJ1" s="113" t="s">
        <v>469</v>
      </c>
      <c r="NK1" s="113" t="s">
        <v>1092</v>
      </c>
      <c r="NL1" s="113" t="s">
        <v>470</v>
      </c>
      <c r="NM1" s="113" t="s">
        <v>471</v>
      </c>
      <c r="NO1" s="113" t="s">
        <v>472</v>
      </c>
      <c r="NT1" s="113">
        <v>1037432</v>
      </c>
      <c r="NU1" s="113">
        <v>1039378</v>
      </c>
      <c r="NV1" s="113">
        <v>9910000</v>
      </c>
      <c r="NW1" s="113">
        <v>9707030</v>
      </c>
      <c r="NX1" s="113">
        <v>9751002</v>
      </c>
    </row>
    <row r="2" spans="14:416" s="119" customFormat="1" ht="15">
      <c r="N2" s="271" t="s">
        <v>1093</v>
      </c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  <c r="AB2" s="272"/>
      <c r="AC2" s="273"/>
      <c r="AD2" s="274" t="s">
        <v>1094</v>
      </c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6"/>
      <c r="AT2" s="271" t="s">
        <v>1095</v>
      </c>
      <c r="AU2" s="272"/>
      <c r="AV2" s="272"/>
      <c r="AW2" s="272"/>
      <c r="AX2" s="272"/>
      <c r="AY2" s="272"/>
      <c r="AZ2" s="272"/>
      <c r="BA2" s="272"/>
      <c r="BB2" s="272"/>
      <c r="BC2" s="272"/>
      <c r="BD2" s="272"/>
      <c r="BE2" s="272"/>
      <c r="BF2" s="272"/>
      <c r="BG2" s="272"/>
      <c r="BH2" s="272"/>
      <c r="BI2" s="273"/>
      <c r="BJ2" s="274" t="s">
        <v>1096</v>
      </c>
      <c r="BK2" s="275"/>
      <c r="BL2" s="275"/>
      <c r="BM2" s="275"/>
      <c r="BN2" s="275"/>
      <c r="BO2" s="275"/>
      <c r="BP2" s="275"/>
      <c r="BQ2" s="275"/>
      <c r="BR2" s="275"/>
      <c r="BS2" s="275"/>
      <c r="BT2" s="275"/>
      <c r="BU2" s="275"/>
      <c r="BV2" s="275"/>
      <c r="BW2" s="275"/>
      <c r="BX2" s="275"/>
      <c r="BY2" s="276"/>
      <c r="BZ2" s="271" t="s">
        <v>1097</v>
      </c>
      <c r="CA2" s="272"/>
      <c r="CB2" s="272"/>
      <c r="CC2" s="272"/>
      <c r="CD2" s="272"/>
      <c r="CE2" s="272"/>
      <c r="CF2" s="272"/>
      <c r="CG2" s="272"/>
      <c r="CH2" s="272"/>
      <c r="CI2" s="272"/>
      <c r="CJ2" s="272"/>
      <c r="CK2" s="272"/>
      <c r="CL2" s="272"/>
      <c r="CM2" s="272"/>
      <c r="CN2" s="272"/>
      <c r="CO2" s="273"/>
      <c r="CP2" s="274" t="s">
        <v>1098</v>
      </c>
      <c r="CQ2" s="275"/>
      <c r="CR2" s="275"/>
      <c r="CS2" s="275"/>
      <c r="CT2" s="275"/>
      <c r="CU2" s="275"/>
      <c r="CV2" s="275"/>
      <c r="CW2" s="275"/>
      <c r="CX2" s="275"/>
      <c r="CY2" s="275"/>
      <c r="CZ2" s="275"/>
      <c r="DA2" s="275"/>
      <c r="DB2" s="275"/>
      <c r="DC2" s="275"/>
      <c r="DD2" s="275"/>
      <c r="DE2" s="276"/>
      <c r="DF2" s="271" t="s">
        <v>1099</v>
      </c>
      <c r="DG2" s="272"/>
      <c r="DH2" s="272"/>
      <c r="DI2" s="272"/>
      <c r="DJ2" s="273"/>
      <c r="DK2" s="274" t="s">
        <v>1100</v>
      </c>
      <c r="DL2" s="275"/>
      <c r="DM2" s="275"/>
      <c r="DN2" s="275"/>
      <c r="DO2" s="275"/>
      <c r="DP2" s="275"/>
      <c r="DQ2" s="275"/>
      <c r="DR2" s="275"/>
      <c r="DS2" s="275"/>
      <c r="DT2" s="276"/>
      <c r="DU2" s="271" t="s">
        <v>1101</v>
      </c>
      <c r="DV2" s="272"/>
      <c r="DW2" s="272"/>
      <c r="DX2" s="272"/>
      <c r="DY2" s="272"/>
      <c r="DZ2" s="272"/>
      <c r="EA2" s="272"/>
      <c r="EB2" s="272"/>
      <c r="EC2" s="272"/>
      <c r="ED2" s="272"/>
      <c r="EE2" s="272"/>
      <c r="EF2" s="272"/>
      <c r="EG2" s="272"/>
      <c r="EH2" s="272"/>
      <c r="EI2" s="272"/>
      <c r="EJ2" s="273"/>
      <c r="EK2" s="274" t="s">
        <v>1102</v>
      </c>
      <c r="EL2" s="275"/>
      <c r="EM2" s="275"/>
      <c r="EN2" s="276"/>
      <c r="EO2" s="271" t="s">
        <v>146</v>
      </c>
      <c r="EP2" s="272"/>
      <c r="EQ2" s="273"/>
      <c r="ER2" s="274" t="s">
        <v>1103</v>
      </c>
      <c r="ES2" s="275"/>
      <c r="ET2" s="275"/>
      <c r="EU2" s="275"/>
      <c r="EV2" s="275"/>
      <c r="EW2" s="275"/>
      <c r="EX2" s="275"/>
      <c r="EY2" s="275"/>
      <c r="EZ2" s="275"/>
      <c r="FA2" s="275"/>
      <c r="FB2" s="275"/>
      <c r="FC2" s="276"/>
      <c r="FD2" s="271" t="s">
        <v>1104</v>
      </c>
      <c r="FE2" s="272"/>
      <c r="FF2" s="272"/>
      <c r="FG2" s="272"/>
      <c r="FH2" s="272"/>
      <c r="FI2" s="272"/>
      <c r="FJ2" s="272"/>
      <c r="FK2" s="272"/>
      <c r="FL2" s="272"/>
      <c r="FM2" s="272"/>
      <c r="FN2" s="272"/>
      <c r="FO2" s="273"/>
      <c r="FP2" s="274" t="s">
        <v>1105</v>
      </c>
      <c r="FQ2" s="275"/>
      <c r="FR2" s="275"/>
      <c r="FS2" s="275"/>
      <c r="FT2" s="275"/>
      <c r="FU2" s="276"/>
      <c r="FV2" s="271" t="s">
        <v>1106</v>
      </c>
      <c r="FW2" s="272"/>
      <c r="FX2" s="272"/>
      <c r="FY2" s="273"/>
      <c r="FZ2" s="274" t="s">
        <v>1102</v>
      </c>
      <c r="GA2" s="275"/>
      <c r="GB2" s="276"/>
      <c r="GC2" s="271" t="s">
        <v>1107</v>
      </c>
      <c r="GD2" s="272"/>
      <c r="GE2" s="272"/>
      <c r="GF2" s="273"/>
      <c r="GG2" s="274" t="s">
        <v>172</v>
      </c>
      <c r="GH2" s="276"/>
      <c r="GI2" s="271" t="s">
        <v>1102</v>
      </c>
      <c r="GJ2" s="272"/>
      <c r="GK2" s="272"/>
      <c r="GL2" s="273"/>
      <c r="GM2" s="274" t="s">
        <v>1108</v>
      </c>
      <c r="GN2" s="276"/>
      <c r="GO2" s="271" t="s">
        <v>1109</v>
      </c>
      <c r="GP2" s="272"/>
      <c r="GQ2" s="272"/>
      <c r="GR2" s="272"/>
      <c r="GS2" s="272"/>
      <c r="GT2" s="272"/>
      <c r="GU2" s="272"/>
      <c r="GV2" s="272"/>
      <c r="GW2" s="272"/>
      <c r="GX2" s="272"/>
      <c r="GY2" s="272"/>
      <c r="GZ2" s="272"/>
      <c r="HA2" s="272"/>
      <c r="HB2" s="273"/>
      <c r="HC2" s="274" t="s">
        <v>1110</v>
      </c>
      <c r="HD2" s="275"/>
      <c r="HE2" s="275"/>
      <c r="HF2" s="275"/>
      <c r="HG2" s="275"/>
      <c r="HH2" s="275"/>
      <c r="HI2" s="275"/>
      <c r="HJ2" s="275"/>
      <c r="HK2" s="276"/>
      <c r="HL2" s="271" t="s">
        <v>1111</v>
      </c>
      <c r="HM2" s="272"/>
      <c r="HN2" s="272"/>
      <c r="HO2" s="272"/>
      <c r="HP2" s="272"/>
      <c r="HQ2" s="272"/>
      <c r="HR2" s="272"/>
      <c r="HS2" s="273"/>
      <c r="HT2" s="119" t="s">
        <v>1102</v>
      </c>
      <c r="HU2" s="271" t="s">
        <v>1112</v>
      </c>
      <c r="HV2" s="272"/>
      <c r="HW2" s="272"/>
      <c r="HX2" s="272"/>
      <c r="HY2" s="272"/>
      <c r="HZ2" s="272"/>
      <c r="IA2" s="272"/>
      <c r="IB2" s="273"/>
      <c r="IC2" s="119" t="s">
        <v>1102</v>
      </c>
      <c r="ID2" s="271" t="s">
        <v>1113</v>
      </c>
      <c r="IE2" s="272"/>
      <c r="IF2" s="272"/>
      <c r="IG2" s="272"/>
      <c r="IH2" s="273"/>
      <c r="II2" s="274" t="s">
        <v>1102</v>
      </c>
      <c r="IJ2" s="275"/>
      <c r="IK2" s="275"/>
      <c r="IL2" s="276"/>
      <c r="IM2" s="271" t="s">
        <v>1114</v>
      </c>
      <c r="IN2" s="272"/>
      <c r="IO2" s="272"/>
      <c r="IP2" s="272"/>
      <c r="IQ2" s="273"/>
      <c r="IR2" s="274" t="s">
        <v>1102</v>
      </c>
      <c r="IS2" s="275"/>
      <c r="IT2" s="275"/>
      <c r="IU2" s="275"/>
      <c r="IV2" s="275"/>
      <c r="IW2" s="275"/>
      <c r="IX2" s="275"/>
      <c r="IY2" s="275"/>
      <c r="IZ2" s="275"/>
      <c r="JA2" s="275"/>
      <c r="JB2" s="275"/>
      <c r="JC2" s="276"/>
      <c r="JD2" s="271" t="s">
        <v>1115</v>
      </c>
      <c r="JE2" s="272"/>
      <c r="JF2" s="272"/>
      <c r="JG2" s="272"/>
      <c r="JH2" s="273"/>
      <c r="JI2" s="274" t="s">
        <v>1116</v>
      </c>
      <c r="JJ2" s="275"/>
      <c r="JK2" s="275"/>
      <c r="JL2" s="275"/>
      <c r="JM2" s="276"/>
      <c r="JN2" s="271" t="s">
        <v>1117</v>
      </c>
      <c r="JO2" s="272"/>
      <c r="JP2" s="272"/>
      <c r="JQ2" s="272"/>
      <c r="JR2" s="273"/>
      <c r="JS2" s="274" t="s">
        <v>140</v>
      </c>
      <c r="JT2" s="275"/>
      <c r="JU2" s="276"/>
      <c r="JV2" s="271" t="s">
        <v>1118</v>
      </c>
      <c r="JW2" s="272"/>
      <c r="JX2" s="272"/>
      <c r="JY2" s="272"/>
      <c r="JZ2" s="272"/>
      <c r="KA2" s="272"/>
      <c r="KB2" s="272"/>
      <c r="KC2" s="272"/>
      <c r="KD2" s="272"/>
      <c r="KE2" s="272"/>
      <c r="KF2" s="272"/>
      <c r="KG2" s="272"/>
      <c r="KH2" s="272"/>
      <c r="KI2" s="272"/>
      <c r="KJ2" s="272"/>
      <c r="KK2" s="272"/>
      <c r="KL2" s="272"/>
      <c r="KM2" s="272"/>
      <c r="KN2" s="272"/>
      <c r="KO2" s="272"/>
      <c r="KP2" s="272"/>
      <c r="KQ2" s="272"/>
      <c r="KR2" s="272"/>
      <c r="KS2" s="272"/>
      <c r="KT2" s="272"/>
      <c r="KU2" s="272"/>
      <c r="KV2" s="272"/>
      <c r="KW2" s="272"/>
      <c r="KX2" s="272"/>
      <c r="KY2" s="272"/>
      <c r="KZ2" s="273"/>
      <c r="LA2" s="274" t="s">
        <v>1119</v>
      </c>
      <c r="LB2" s="275"/>
      <c r="LC2" s="275"/>
      <c r="LD2" s="275"/>
      <c r="LE2" s="275"/>
      <c r="LF2" s="275"/>
      <c r="LG2" s="275"/>
      <c r="LH2" s="275"/>
      <c r="LI2" s="275"/>
      <c r="LJ2" s="275"/>
      <c r="LK2" s="275"/>
      <c r="LL2" s="275"/>
      <c r="LM2" s="275"/>
      <c r="LN2" s="275"/>
      <c r="LO2" s="275"/>
      <c r="LP2" s="275"/>
      <c r="LQ2" s="275"/>
      <c r="LR2" s="275"/>
      <c r="LS2" s="275"/>
      <c r="LT2" s="275"/>
      <c r="LU2" s="275"/>
      <c r="LV2" s="275"/>
      <c r="LW2" s="275"/>
      <c r="LX2" s="275"/>
      <c r="LY2" s="275"/>
      <c r="LZ2" s="275"/>
      <c r="MA2" s="276"/>
      <c r="MB2" s="271" t="s">
        <v>1120</v>
      </c>
      <c r="MC2" s="272"/>
      <c r="MD2" s="272"/>
      <c r="ME2" s="272"/>
      <c r="MF2" s="272"/>
      <c r="MG2" s="272"/>
      <c r="MH2" s="272"/>
      <c r="MI2" s="272"/>
      <c r="MJ2" s="275" t="s">
        <v>1121</v>
      </c>
      <c r="MK2" s="275"/>
      <c r="ML2" s="275"/>
      <c r="MM2" s="275"/>
      <c r="MN2" s="275"/>
      <c r="MO2" s="275"/>
      <c r="MP2" s="275"/>
      <c r="MQ2" s="275"/>
      <c r="MR2" s="275"/>
      <c r="MS2" s="275"/>
      <c r="MT2" s="275"/>
      <c r="MU2" s="275"/>
      <c r="MV2" s="275"/>
      <c r="MW2" s="275"/>
      <c r="MX2" s="275"/>
      <c r="MY2" s="275"/>
      <c r="MZ2" s="275"/>
      <c r="NA2" s="276"/>
      <c r="NB2" s="271" t="s">
        <v>1122</v>
      </c>
      <c r="NC2" s="272"/>
      <c r="ND2" s="272"/>
      <c r="NE2" s="272"/>
      <c r="NF2" s="272"/>
      <c r="NG2" s="272"/>
      <c r="NH2" s="272"/>
      <c r="NI2" s="272"/>
      <c r="NJ2" s="272"/>
      <c r="NK2" s="272"/>
      <c r="NL2" s="272"/>
      <c r="NM2" s="272"/>
      <c r="NN2" s="272"/>
      <c r="NO2" s="272"/>
      <c r="NP2" s="272"/>
      <c r="NQ2" s="272"/>
      <c r="NR2" s="272"/>
      <c r="NS2" s="273"/>
      <c r="NT2" s="274" t="s">
        <v>1123</v>
      </c>
      <c r="NU2" s="275"/>
      <c r="NV2" s="275"/>
      <c r="NW2" s="275"/>
      <c r="NX2" s="275"/>
      <c r="NY2" s="275"/>
      <c r="NZ2" s="275"/>
      <c r="OA2" s="275"/>
      <c r="OB2" s="275"/>
      <c r="OC2" s="275"/>
      <c r="OD2" s="275"/>
      <c r="OE2" s="275"/>
      <c r="OF2" s="275"/>
      <c r="OG2" s="275"/>
      <c r="OH2" s="275"/>
      <c r="OI2" s="275"/>
      <c r="OJ2" s="275"/>
      <c r="OK2" s="275"/>
      <c r="OL2" s="275"/>
      <c r="OM2" s="275"/>
      <c r="ON2" s="275"/>
      <c r="OO2" s="275"/>
      <c r="OP2" s="275"/>
      <c r="OQ2" s="275"/>
      <c r="OR2" s="275"/>
      <c r="OS2" s="276"/>
      <c r="OT2" s="271" t="s">
        <v>1124</v>
      </c>
      <c r="OU2" s="272"/>
      <c r="OV2" s="272"/>
      <c r="OW2" s="272"/>
      <c r="OX2" s="273"/>
      <c r="OY2" s="274" t="s">
        <v>1125</v>
      </c>
      <c r="OZ2" s="276"/>
    </row>
    <row r="3" spans="1:416" s="120" customFormat="1" ht="86.45" customHeight="1">
      <c r="A3" s="120" t="s">
        <v>1126</v>
      </c>
      <c r="B3" s="120" t="s">
        <v>1127</v>
      </c>
      <c r="C3" s="120" t="s">
        <v>1128</v>
      </c>
      <c r="D3" s="120" t="s">
        <v>473</v>
      </c>
      <c r="E3" s="120" t="s">
        <v>474</v>
      </c>
      <c r="F3" s="120" t="s">
        <v>475</v>
      </c>
      <c r="G3" s="121" t="s">
        <v>97</v>
      </c>
      <c r="H3" s="121" t="s">
        <v>476</v>
      </c>
      <c r="I3" s="121" t="s">
        <v>477</v>
      </c>
      <c r="J3" s="121" t="s">
        <v>478</v>
      </c>
      <c r="K3" s="121" t="s">
        <v>479</v>
      </c>
      <c r="L3" s="121" t="s">
        <v>116</v>
      </c>
      <c r="M3" s="121" t="s">
        <v>137</v>
      </c>
      <c r="N3" s="122" t="s">
        <v>1129</v>
      </c>
      <c r="O3" s="122" t="s">
        <v>127</v>
      </c>
      <c r="P3" s="122" t="s">
        <v>1130</v>
      </c>
      <c r="Q3" s="122" t="s">
        <v>1131</v>
      </c>
      <c r="R3" s="122" t="s">
        <v>1132</v>
      </c>
      <c r="S3" s="122" t="s">
        <v>1133</v>
      </c>
      <c r="T3" s="122" t="s">
        <v>1134</v>
      </c>
      <c r="U3" s="122" t="s">
        <v>1135</v>
      </c>
      <c r="V3" s="122" t="s">
        <v>707</v>
      </c>
      <c r="W3" s="122" t="s">
        <v>1136</v>
      </c>
      <c r="X3" s="122" t="s">
        <v>1137</v>
      </c>
      <c r="Y3" s="122" t="s">
        <v>1138</v>
      </c>
      <c r="Z3" s="122" t="s">
        <v>1139</v>
      </c>
      <c r="AA3" s="122" t="s">
        <v>1140</v>
      </c>
      <c r="AB3" s="122" t="s">
        <v>1141</v>
      </c>
      <c r="AC3" s="122" t="s">
        <v>1142</v>
      </c>
      <c r="AD3" s="123" t="s">
        <v>1129</v>
      </c>
      <c r="AE3" s="123" t="s">
        <v>127</v>
      </c>
      <c r="AF3" s="123" t="s">
        <v>1130</v>
      </c>
      <c r="AG3" s="123" t="s">
        <v>1131</v>
      </c>
      <c r="AH3" s="123" t="s">
        <v>1132</v>
      </c>
      <c r="AI3" s="123" t="s">
        <v>1133</v>
      </c>
      <c r="AJ3" s="123" t="s">
        <v>1134</v>
      </c>
      <c r="AK3" s="123" t="s">
        <v>1135</v>
      </c>
      <c r="AL3" s="123" t="s">
        <v>707</v>
      </c>
      <c r="AM3" s="123" t="s">
        <v>1136</v>
      </c>
      <c r="AN3" s="123" t="s">
        <v>1137</v>
      </c>
      <c r="AO3" s="123" t="s">
        <v>1138</v>
      </c>
      <c r="AP3" s="123" t="s">
        <v>1139</v>
      </c>
      <c r="AQ3" s="123" t="s">
        <v>1140</v>
      </c>
      <c r="AR3" s="123" t="s">
        <v>1141</v>
      </c>
      <c r="AS3" s="123" t="s">
        <v>1142</v>
      </c>
      <c r="AT3" s="122" t="s">
        <v>1129</v>
      </c>
      <c r="AU3" s="122" t="s">
        <v>127</v>
      </c>
      <c r="AV3" s="122" t="s">
        <v>1130</v>
      </c>
      <c r="AW3" s="122" t="s">
        <v>1131</v>
      </c>
      <c r="AX3" s="122" t="s">
        <v>1132</v>
      </c>
      <c r="AY3" s="122" t="s">
        <v>1133</v>
      </c>
      <c r="AZ3" s="122" t="s">
        <v>1134</v>
      </c>
      <c r="BA3" s="122" t="s">
        <v>1135</v>
      </c>
      <c r="BB3" s="122" t="s">
        <v>707</v>
      </c>
      <c r="BC3" s="122" t="s">
        <v>1136</v>
      </c>
      <c r="BD3" s="122" t="s">
        <v>1137</v>
      </c>
      <c r="BE3" s="122" t="s">
        <v>1138</v>
      </c>
      <c r="BF3" s="122" t="s">
        <v>1139</v>
      </c>
      <c r="BG3" s="122" t="s">
        <v>1140</v>
      </c>
      <c r="BH3" s="122" t="s">
        <v>1143</v>
      </c>
      <c r="BI3" s="122" t="s">
        <v>1142</v>
      </c>
      <c r="BJ3" s="123" t="s">
        <v>1129</v>
      </c>
      <c r="BK3" s="123" t="s">
        <v>127</v>
      </c>
      <c r="BL3" s="123" t="s">
        <v>1130</v>
      </c>
      <c r="BM3" s="123" t="s">
        <v>1131</v>
      </c>
      <c r="BN3" s="123" t="s">
        <v>1132</v>
      </c>
      <c r="BO3" s="123" t="s">
        <v>1133</v>
      </c>
      <c r="BP3" s="123" t="s">
        <v>1134</v>
      </c>
      <c r="BQ3" s="123" t="s">
        <v>1135</v>
      </c>
      <c r="BR3" s="123" t="s">
        <v>707</v>
      </c>
      <c r="BS3" s="123" t="s">
        <v>1136</v>
      </c>
      <c r="BT3" s="123" t="s">
        <v>1137</v>
      </c>
      <c r="BU3" s="123" t="s">
        <v>1138</v>
      </c>
      <c r="BV3" s="123" t="s">
        <v>1139</v>
      </c>
      <c r="BW3" s="123" t="s">
        <v>1140</v>
      </c>
      <c r="BX3" s="123" t="s">
        <v>1141</v>
      </c>
      <c r="BY3" s="123" t="s">
        <v>1142</v>
      </c>
      <c r="BZ3" s="122" t="s">
        <v>1129</v>
      </c>
      <c r="CA3" s="122" t="s">
        <v>127</v>
      </c>
      <c r="CB3" s="122" t="s">
        <v>1130</v>
      </c>
      <c r="CC3" s="122" t="s">
        <v>1131</v>
      </c>
      <c r="CD3" s="122" t="s">
        <v>1132</v>
      </c>
      <c r="CE3" s="122" t="s">
        <v>1133</v>
      </c>
      <c r="CF3" s="122" t="s">
        <v>1134</v>
      </c>
      <c r="CG3" s="122" t="s">
        <v>1135</v>
      </c>
      <c r="CH3" s="122" t="s">
        <v>707</v>
      </c>
      <c r="CI3" s="122" t="s">
        <v>1136</v>
      </c>
      <c r="CJ3" s="122" t="s">
        <v>1137</v>
      </c>
      <c r="CK3" s="122" t="s">
        <v>1138</v>
      </c>
      <c r="CL3" s="122" t="s">
        <v>1139</v>
      </c>
      <c r="CM3" s="122" t="s">
        <v>1140</v>
      </c>
      <c r="CN3" s="122" t="s">
        <v>1143</v>
      </c>
      <c r="CO3" s="122" t="s">
        <v>1142</v>
      </c>
      <c r="CP3" s="123" t="s">
        <v>1129</v>
      </c>
      <c r="CQ3" s="123" t="s">
        <v>127</v>
      </c>
      <c r="CR3" s="123" t="s">
        <v>1130</v>
      </c>
      <c r="CS3" s="123" t="s">
        <v>1131</v>
      </c>
      <c r="CT3" s="123" t="s">
        <v>1132</v>
      </c>
      <c r="CU3" s="123" t="s">
        <v>1133</v>
      </c>
      <c r="CV3" s="123" t="s">
        <v>1134</v>
      </c>
      <c r="CW3" s="123" t="s">
        <v>1135</v>
      </c>
      <c r="CX3" s="123" t="s">
        <v>707</v>
      </c>
      <c r="CY3" s="123" t="s">
        <v>1136</v>
      </c>
      <c r="CZ3" s="123" t="s">
        <v>1137</v>
      </c>
      <c r="DA3" s="123" t="s">
        <v>1138</v>
      </c>
      <c r="DB3" s="123" t="s">
        <v>1139</v>
      </c>
      <c r="DC3" s="123" t="s">
        <v>1140</v>
      </c>
      <c r="DD3" s="123" t="s">
        <v>1143</v>
      </c>
      <c r="DE3" s="123" t="s">
        <v>1142</v>
      </c>
      <c r="DF3" s="122" t="s">
        <v>480</v>
      </c>
      <c r="DG3" s="122" t="s">
        <v>481</v>
      </c>
      <c r="DH3" s="122" t="s">
        <v>482</v>
      </c>
      <c r="DI3" s="122" t="s">
        <v>483</v>
      </c>
      <c r="DJ3" s="122" t="s">
        <v>484</v>
      </c>
      <c r="DK3" s="123" t="s">
        <v>485</v>
      </c>
      <c r="DL3" s="123" t="s">
        <v>486</v>
      </c>
      <c r="DM3" s="123" t="s">
        <v>487</v>
      </c>
      <c r="DN3" s="123" t="s">
        <v>488</v>
      </c>
      <c r="DO3" s="123" t="s">
        <v>489</v>
      </c>
      <c r="DP3" s="123" t="s">
        <v>490</v>
      </c>
      <c r="DQ3" s="123" t="s">
        <v>491</v>
      </c>
      <c r="DR3" s="123" t="s">
        <v>492</v>
      </c>
      <c r="DS3" s="123" t="s">
        <v>493</v>
      </c>
      <c r="DT3" s="123" t="s">
        <v>494</v>
      </c>
      <c r="DU3" s="122" t="s">
        <v>1129</v>
      </c>
      <c r="DV3" s="122" t="s">
        <v>127</v>
      </c>
      <c r="DW3" s="122" t="s">
        <v>1130</v>
      </c>
      <c r="DX3" s="122" t="s">
        <v>1131</v>
      </c>
      <c r="DY3" s="122" t="s">
        <v>1132</v>
      </c>
      <c r="DZ3" s="122" t="s">
        <v>1133</v>
      </c>
      <c r="EA3" s="122" t="s">
        <v>1134</v>
      </c>
      <c r="EB3" s="122" t="s">
        <v>1135</v>
      </c>
      <c r="EC3" s="122" t="s">
        <v>707</v>
      </c>
      <c r="ED3" s="122" t="s">
        <v>1136</v>
      </c>
      <c r="EE3" s="122" t="s">
        <v>1137</v>
      </c>
      <c r="EF3" s="122" t="s">
        <v>1138</v>
      </c>
      <c r="EG3" s="122" t="s">
        <v>1139</v>
      </c>
      <c r="EH3" s="122" t="s">
        <v>1140</v>
      </c>
      <c r="EI3" s="122" t="s">
        <v>1143</v>
      </c>
      <c r="EJ3" s="122" t="s">
        <v>1142</v>
      </c>
      <c r="EK3" s="123" t="s">
        <v>495</v>
      </c>
      <c r="EL3" s="123" t="s">
        <v>496</v>
      </c>
      <c r="EM3" s="123" t="s">
        <v>497</v>
      </c>
      <c r="EN3" s="123" t="s">
        <v>1036</v>
      </c>
      <c r="EO3" s="122" t="s">
        <v>498</v>
      </c>
      <c r="EP3" s="122" t="s">
        <v>499</v>
      </c>
      <c r="EQ3" s="122" t="s">
        <v>500</v>
      </c>
      <c r="ER3" s="123" t="s">
        <v>1144</v>
      </c>
      <c r="ES3" s="123" t="s">
        <v>1145</v>
      </c>
      <c r="ET3" s="123" t="s">
        <v>860</v>
      </c>
      <c r="EU3" s="123" t="s">
        <v>1146</v>
      </c>
      <c r="EV3" s="123" t="s">
        <v>119</v>
      </c>
      <c r="EW3" s="123" t="s">
        <v>1147</v>
      </c>
      <c r="EX3" s="123" t="s">
        <v>861</v>
      </c>
      <c r="EY3" s="123" t="s">
        <v>1148</v>
      </c>
      <c r="EZ3" s="123" t="s">
        <v>143</v>
      </c>
      <c r="FA3" s="123" t="s">
        <v>862</v>
      </c>
      <c r="FB3" s="123" t="s">
        <v>144</v>
      </c>
      <c r="FC3" s="123" t="s">
        <v>145</v>
      </c>
      <c r="FD3" s="122" t="s">
        <v>1144</v>
      </c>
      <c r="FE3" s="122" t="s">
        <v>1145</v>
      </c>
      <c r="FF3" s="122" t="s">
        <v>860</v>
      </c>
      <c r="FG3" s="122" t="s">
        <v>1146</v>
      </c>
      <c r="FH3" s="122" t="s">
        <v>119</v>
      </c>
      <c r="FI3" s="122" t="s">
        <v>1147</v>
      </c>
      <c r="FJ3" s="122" t="s">
        <v>861</v>
      </c>
      <c r="FK3" s="122" t="s">
        <v>1148</v>
      </c>
      <c r="FL3" s="122" t="s">
        <v>143</v>
      </c>
      <c r="FM3" s="122" t="s">
        <v>862</v>
      </c>
      <c r="FN3" s="122" t="s">
        <v>144</v>
      </c>
      <c r="FO3" s="122" t="s">
        <v>145</v>
      </c>
      <c r="FP3" s="120" t="s">
        <v>1149</v>
      </c>
      <c r="FQ3" s="120" t="s">
        <v>1150</v>
      </c>
      <c r="FR3" s="120" t="s">
        <v>1151</v>
      </c>
      <c r="FS3" s="120" t="s">
        <v>1152</v>
      </c>
      <c r="FT3" s="120" t="s">
        <v>1153</v>
      </c>
      <c r="FU3" s="120" t="s">
        <v>1144</v>
      </c>
      <c r="FV3" s="124" t="s">
        <v>1149</v>
      </c>
      <c r="FW3" s="124" t="s">
        <v>1150</v>
      </c>
      <c r="FX3" s="124" t="s">
        <v>1151</v>
      </c>
      <c r="FY3" s="124" t="s">
        <v>1153</v>
      </c>
      <c r="FZ3" s="120" t="s">
        <v>463</v>
      </c>
      <c r="GA3" s="120" t="s">
        <v>501</v>
      </c>
      <c r="GB3" s="120" t="s">
        <v>502</v>
      </c>
      <c r="GC3" s="124" t="s">
        <v>503</v>
      </c>
      <c r="GD3" s="124" t="s">
        <v>504</v>
      </c>
      <c r="GE3" s="124" t="s">
        <v>505</v>
      </c>
      <c r="GF3" s="124" t="s">
        <v>506</v>
      </c>
      <c r="GG3" s="120" t="s">
        <v>507</v>
      </c>
      <c r="GH3" s="120" t="s">
        <v>508</v>
      </c>
      <c r="GI3" s="124" t="s">
        <v>509</v>
      </c>
      <c r="GJ3" s="124" t="s">
        <v>208</v>
      </c>
      <c r="GK3" s="124" t="s">
        <v>510</v>
      </c>
      <c r="GL3" s="124" t="s">
        <v>511</v>
      </c>
      <c r="GM3" s="120" t="s">
        <v>127</v>
      </c>
      <c r="GN3" s="120" t="s">
        <v>1142</v>
      </c>
      <c r="GO3" s="124" t="s">
        <v>1154</v>
      </c>
      <c r="GP3" s="124" t="s">
        <v>1155</v>
      </c>
      <c r="GQ3" s="124" t="s">
        <v>1156</v>
      </c>
      <c r="GR3" s="124" t="s">
        <v>1157</v>
      </c>
      <c r="GS3" s="124" t="s">
        <v>1158</v>
      </c>
      <c r="GT3" s="124" t="s">
        <v>1159</v>
      </c>
      <c r="GU3" s="124" t="s">
        <v>1160</v>
      </c>
      <c r="GV3" s="124" t="s">
        <v>1161</v>
      </c>
      <c r="GW3" s="124" t="s">
        <v>1162</v>
      </c>
      <c r="GX3" s="124" t="s">
        <v>1163</v>
      </c>
      <c r="GY3" s="124" t="s">
        <v>1164</v>
      </c>
      <c r="GZ3" s="124" t="s">
        <v>1165</v>
      </c>
      <c r="HA3" s="124" t="s">
        <v>1166</v>
      </c>
      <c r="HB3" s="124" t="s">
        <v>1167</v>
      </c>
      <c r="HC3" s="120" t="s">
        <v>1144</v>
      </c>
      <c r="HD3" s="120" t="s">
        <v>860</v>
      </c>
      <c r="HE3" s="120" t="s">
        <v>119</v>
      </c>
      <c r="HF3" s="120" t="s">
        <v>861</v>
      </c>
      <c r="HG3" s="120" t="s">
        <v>143</v>
      </c>
      <c r="HH3" s="120" t="s">
        <v>862</v>
      </c>
      <c r="HI3" s="120" t="s">
        <v>144</v>
      </c>
      <c r="HJ3" s="120" t="s">
        <v>145</v>
      </c>
      <c r="HK3" s="120" t="s">
        <v>863</v>
      </c>
      <c r="HL3" s="124" t="s">
        <v>1144</v>
      </c>
      <c r="HM3" s="124" t="s">
        <v>860</v>
      </c>
      <c r="HN3" s="124" t="s">
        <v>119</v>
      </c>
      <c r="HO3" s="124" t="s">
        <v>861</v>
      </c>
      <c r="HP3" s="124" t="s">
        <v>143</v>
      </c>
      <c r="HQ3" s="124" t="s">
        <v>862</v>
      </c>
      <c r="HR3" s="124" t="s">
        <v>144</v>
      </c>
      <c r="HS3" s="124" t="s">
        <v>145</v>
      </c>
      <c r="HT3" s="120" t="s">
        <v>833</v>
      </c>
      <c r="HU3" s="124" t="s">
        <v>1149</v>
      </c>
      <c r="HV3" s="124" t="s">
        <v>1150</v>
      </c>
      <c r="HW3" s="124" t="s">
        <v>1151</v>
      </c>
      <c r="HX3" s="124" t="s">
        <v>1152</v>
      </c>
      <c r="HY3" s="124" t="s">
        <v>1153</v>
      </c>
      <c r="HZ3" s="124" t="s">
        <v>1168</v>
      </c>
      <c r="IA3" s="125" t="s">
        <v>1169</v>
      </c>
      <c r="IB3" s="124" t="s">
        <v>1170</v>
      </c>
      <c r="IC3" s="120" t="s">
        <v>512</v>
      </c>
      <c r="ID3" s="124" t="s">
        <v>1149</v>
      </c>
      <c r="IE3" s="124" t="s">
        <v>1150</v>
      </c>
      <c r="IF3" s="124" t="s">
        <v>1151</v>
      </c>
      <c r="IG3" s="124" t="s">
        <v>1168</v>
      </c>
      <c r="IH3" s="124" t="s">
        <v>1170</v>
      </c>
      <c r="II3" s="120" t="s">
        <v>1037</v>
      </c>
      <c r="IJ3" s="120" t="s">
        <v>1038</v>
      </c>
      <c r="IK3" s="120" t="s">
        <v>1039</v>
      </c>
      <c r="IL3" s="120" t="s">
        <v>1040</v>
      </c>
      <c r="IM3" s="124" t="s">
        <v>127</v>
      </c>
      <c r="IN3" s="124" t="s">
        <v>1142</v>
      </c>
      <c r="IO3" s="124" t="s">
        <v>1171</v>
      </c>
      <c r="IP3" s="124" t="s">
        <v>1172</v>
      </c>
      <c r="IQ3" s="124" t="s">
        <v>524</v>
      </c>
      <c r="IR3" s="120" t="s">
        <v>513</v>
      </c>
      <c r="IS3" s="120" t="s">
        <v>514</v>
      </c>
      <c r="IT3" s="120" t="s">
        <v>515</v>
      </c>
      <c r="IU3" s="120" t="s">
        <v>516</v>
      </c>
      <c r="IV3" s="120" t="s">
        <v>517</v>
      </c>
      <c r="IW3" s="120" t="s">
        <v>518</v>
      </c>
      <c r="IX3" s="120" t="s">
        <v>519</v>
      </c>
      <c r="IY3" s="120" t="s">
        <v>520</v>
      </c>
      <c r="IZ3" s="120" t="s">
        <v>521</v>
      </c>
      <c r="JA3" s="120" t="s">
        <v>522</v>
      </c>
      <c r="JB3" s="120" t="s">
        <v>523</v>
      </c>
      <c r="JC3" s="120" t="s">
        <v>524</v>
      </c>
      <c r="JD3" s="124" t="s">
        <v>1173</v>
      </c>
      <c r="JE3" s="124" t="s">
        <v>154</v>
      </c>
      <c r="JF3" s="124" t="s">
        <v>1174</v>
      </c>
      <c r="JG3" s="124" t="s">
        <v>1175</v>
      </c>
      <c r="JH3" s="124" t="s">
        <v>1176</v>
      </c>
      <c r="JI3" s="120" t="s">
        <v>1173</v>
      </c>
      <c r="JJ3" s="120" t="s">
        <v>154</v>
      </c>
      <c r="JK3" s="120" t="s">
        <v>1174</v>
      </c>
      <c r="JL3" s="120" t="s">
        <v>1175</v>
      </c>
      <c r="JM3" s="120" t="s">
        <v>1176</v>
      </c>
      <c r="JN3" s="124" t="s">
        <v>1173</v>
      </c>
      <c r="JO3" s="124" t="s">
        <v>154</v>
      </c>
      <c r="JP3" s="124" t="s">
        <v>1174</v>
      </c>
      <c r="JQ3" s="124" t="s">
        <v>1175</v>
      </c>
      <c r="JR3" s="124" t="s">
        <v>1176</v>
      </c>
      <c r="JS3" s="120" t="s">
        <v>525</v>
      </c>
      <c r="JT3" s="120" t="s">
        <v>526</v>
      </c>
      <c r="JU3" s="120" t="s">
        <v>1177</v>
      </c>
      <c r="JV3" s="124" t="s">
        <v>1178</v>
      </c>
      <c r="JW3" s="124" t="s">
        <v>1179</v>
      </c>
      <c r="JX3" s="124" t="s">
        <v>1180</v>
      </c>
      <c r="JY3" s="124" t="s">
        <v>1181</v>
      </c>
      <c r="JZ3" s="124" t="s">
        <v>527</v>
      </c>
      <c r="KA3" s="124" t="s">
        <v>528</v>
      </c>
      <c r="KB3" s="124" t="s">
        <v>529</v>
      </c>
      <c r="KC3" s="124" t="s">
        <v>530</v>
      </c>
      <c r="KD3" s="124" t="s">
        <v>531</v>
      </c>
      <c r="KE3" s="124" t="s">
        <v>1182</v>
      </c>
      <c r="KF3" s="124" t="s">
        <v>532</v>
      </c>
      <c r="KG3" s="124" t="s">
        <v>533</v>
      </c>
      <c r="KH3" s="124" t="s">
        <v>534</v>
      </c>
      <c r="KI3" s="124" t="s">
        <v>535</v>
      </c>
      <c r="KJ3" s="124" t="s">
        <v>536</v>
      </c>
      <c r="KK3" s="124" t="s">
        <v>537</v>
      </c>
      <c r="KL3" s="124" t="s">
        <v>538</v>
      </c>
      <c r="KM3" s="124" t="s">
        <v>539</v>
      </c>
      <c r="KN3" s="124" t="s">
        <v>540</v>
      </c>
      <c r="KO3" s="124" t="s">
        <v>541</v>
      </c>
      <c r="KP3" s="124" t="s">
        <v>542</v>
      </c>
      <c r="KQ3" s="124" t="s">
        <v>1183</v>
      </c>
      <c r="KR3" s="124" t="s">
        <v>543</v>
      </c>
      <c r="KS3" s="124" t="s">
        <v>544</v>
      </c>
      <c r="KT3" s="124" t="s">
        <v>616</v>
      </c>
      <c r="KU3" s="124" t="s">
        <v>545</v>
      </c>
      <c r="KV3" s="124" t="s">
        <v>546</v>
      </c>
      <c r="KW3" s="124" t="s">
        <v>547</v>
      </c>
      <c r="KX3" s="124" t="s">
        <v>548</v>
      </c>
      <c r="KY3" s="124" t="s">
        <v>549</v>
      </c>
      <c r="KZ3" s="124" t="s">
        <v>1184</v>
      </c>
      <c r="LA3" s="120" t="s">
        <v>550</v>
      </c>
      <c r="LB3" s="120" t="s">
        <v>551</v>
      </c>
      <c r="LC3" s="120" t="s">
        <v>864</v>
      </c>
      <c r="LD3" s="120" t="s">
        <v>552</v>
      </c>
      <c r="LE3" s="120" t="s">
        <v>553</v>
      </c>
      <c r="LF3" s="120" t="s">
        <v>554</v>
      </c>
      <c r="LG3" s="120" t="s">
        <v>555</v>
      </c>
      <c r="LH3" s="120" t="s">
        <v>556</v>
      </c>
      <c r="LI3" s="120" t="s">
        <v>557</v>
      </c>
      <c r="LJ3" s="120" t="s">
        <v>558</v>
      </c>
      <c r="LK3" s="120" t="s">
        <v>559</v>
      </c>
      <c r="LL3" s="120" t="s">
        <v>560</v>
      </c>
      <c r="LM3" s="120" t="s">
        <v>561</v>
      </c>
      <c r="LN3" s="120" t="s">
        <v>562</v>
      </c>
      <c r="LO3" s="120" t="s">
        <v>563</v>
      </c>
      <c r="LP3" s="120" t="s">
        <v>564</v>
      </c>
      <c r="LQ3" s="120" t="s">
        <v>565</v>
      </c>
      <c r="LR3" s="120" t="s">
        <v>566</v>
      </c>
      <c r="LS3" s="120" t="s">
        <v>567</v>
      </c>
      <c r="LT3" s="120" t="s">
        <v>568</v>
      </c>
      <c r="LU3" s="120" t="s">
        <v>569</v>
      </c>
      <c r="LV3" s="120" t="s">
        <v>570</v>
      </c>
      <c r="LW3" s="120" t="s">
        <v>571</v>
      </c>
      <c r="LX3" s="120" t="s">
        <v>572</v>
      </c>
      <c r="LY3" s="120" t="s">
        <v>573</v>
      </c>
      <c r="LZ3" s="120" t="s">
        <v>574</v>
      </c>
      <c r="MA3" s="120" t="s">
        <v>575</v>
      </c>
      <c r="MB3" s="124" t="s">
        <v>1185</v>
      </c>
      <c r="MC3" s="124" t="s">
        <v>1186</v>
      </c>
      <c r="MD3" s="124" t="s">
        <v>1187</v>
      </c>
      <c r="ME3" s="124" t="s">
        <v>1188</v>
      </c>
      <c r="MF3" s="124" t="s">
        <v>1189</v>
      </c>
      <c r="MG3" s="124" t="s">
        <v>1190</v>
      </c>
      <c r="MH3" s="124" t="s">
        <v>1191</v>
      </c>
      <c r="MI3" s="124" t="s">
        <v>1192</v>
      </c>
      <c r="MJ3" s="120" t="s">
        <v>865</v>
      </c>
      <c r="MK3" s="120" t="s">
        <v>866</v>
      </c>
      <c r="ML3" s="120" t="s">
        <v>1193</v>
      </c>
      <c r="MM3" s="120" t="s">
        <v>1194</v>
      </c>
      <c r="MN3" s="120" t="s">
        <v>1195</v>
      </c>
      <c r="MO3" s="120" t="s">
        <v>1196</v>
      </c>
      <c r="MP3" s="120" t="s">
        <v>1197</v>
      </c>
      <c r="MQ3" s="120" t="s">
        <v>1198</v>
      </c>
      <c r="MR3" s="120" t="s">
        <v>1199</v>
      </c>
      <c r="MS3" s="120" t="s">
        <v>1200</v>
      </c>
      <c r="MT3" s="120" t="s">
        <v>1201</v>
      </c>
      <c r="MU3" s="120" t="s">
        <v>1202</v>
      </c>
      <c r="MV3" s="120" t="s">
        <v>867</v>
      </c>
      <c r="MW3" s="120" t="s">
        <v>868</v>
      </c>
      <c r="MX3" s="120" t="s">
        <v>1071</v>
      </c>
      <c r="MY3" s="120" t="s">
        <v>1072</v>
      </c>
      <c r="MZ3" s="120" t="s">
        <v>1203</v>
      </c>
      <c r="NA3" s="120" t="s">
        <v>1204</v>
      </c>
      <c r="NB3" s="124" t="s">
        <v>1205</v>
      </c>
      <c r="NC3" s="124" t="s">
        <v>1206</v>
      </c>
      <c r="ND3" s="124" t="s">
        <v>1207</v>
      </c>
      <c r="NE3" s="124" t="s">
        <v>1208</v>
      </c>
      <c r="NF3" s="124" t="s">
        <v>1209</v>
      </c>
      <c r="NG3" s="124" t="s">
        <v>576</v>
      </c>
      <c r="NH3" s="124" t="s">
        <v>577</v>
      </c>
      <c r="NI3" s="124" t="s">
        <v>578</v>
      </c>
      <c r="NJ3" s="124" t="s">
        <v>579</v>
      </c>
      <c r="NK3" s="124" t="s">
        <v>580</v>
      </c>
      <c r="NL3" s="124" t="s">
        <v>581</v>
      </c>
      <c r="NM3" s="124" t="s">
        <v>582</v>
      </c>
      <c r="NN3" s="124" t="s">
        <v>583</v>
      </c>
      <c r="NO3" s="124" t="s">
        <v>609</v>
      </c>
      <c r="NP3" s="124" t="s">
        <v>610</v>
      </c>
      <c r="NQ3" s="124" t="s">
        <v>611</v>
      </c>
      <c r="NR3" s="124" t="s">
        <v>612</v>
      </c>
      <c r="NS3" s="124" t="s">
        <v>1210</v>
      </c>
      <c r="NT3" s="120" t="s">
        <v>584</v>
      </c>
      <c r="NU3" s="120" t="s">
        <v>585</v>
      </c>
      <c r="NV3" s="120" t="s">
        <v>586</v>
      </c>
      <c r="NW3" s="120" t="s">
        <v>587</v>
      </c>
      <c r="NX3" s="120" t="s">
        <v>588</v>
      </c>
      <c r="NY3" s="120" t="s">
        <v>613</v>
      </c>
      <c r="NZ3" s="120" t="s">
        <v>614</v>
      </c>
      <c r="OA3" s="120" t="s">
        <v>589</v>
      </c>
      <c r="OB3" s="120" t="s">
        <v>590</v>
      </c>
      <c r="OC3" s="120" t="s">
        <v>591</v>
      </c>
      <c r="OD3" s="120" t="s">
        <v>592</v>
      </c>
      <c r="OE3" s="120" t="s">
        <v>593</v>
      </c>
      <c r="OF3" s="120" t="s">
        <v>594</v>
      </c>
      <c r="OG3" s="120" t="s">
        <v>595</v>
      </c>
      <c r="OH3" s="120" t="s">
        <v>596</v>
      </c>
      <c r="OI3" s="120" t="s">
        <v>597</v>
      </c>
      <c r="OJ3" s="120" t="s">
        <v>598</v>
      </c>
      <c r="OK3" s="120" t="s">
        <v>599</v>
      </c>
      <c r="OL3" s="120" t="s">
        <v>600</v>
      </c>
      <c r="OM3" s="120" t="s">
        <v>601</v>
      </c>
      <c r="ON3" s="120" t="s">
        <v>602</v>
      </c>
      <c r="OO3" s="120" t="s">
        <v>603</v>
      </c>
      <c r="OP3" s="120" t="s">
        <v>604</v>
      </c>
      <c r="OQ3" s="120" t="s">
        <v>605</v>
      </c>
      <c r="OR3" s="120" t="s">
        <v>606</v>
      </c>
      <c r="OS3" s="120" t="s">
        <v>607</v>
      </c>
      <c r="OT3" s="124" t="s">
        <v>834</v>
      </c>
      <c r="OU3" s="124" t="s">
        <v>835</v>
      </c>
      <c r="OV3" s="124" t="s">
        <v>836</v>
      </c>
      <c r="OW3" s="124" t="s">
        <v>837</v>
      </c>
      <c r="OX3" s="124" t="s">
        <v>838</v>
      </c>
      <c r="OY3" s="120" t="s">
        <v>858</v>
      </c>
      <c r="OZ3" s="120" t="s">
        <v>859</v>
      </c>
    </row>
    <row r="4" spans="7:416" s="120" customFormat="1" ht="48" customHeight="1">
      <c r="G4" s="121"/>
      <c r="H4" s="121"/>
      <c r="I4" s="121"/>
      <c r="J4" s="113"/>
      <c r="K4" s="116"/>
      <c r="L4" s="113"/>
      <c r="M4" s="117"/>
      <c r="N4" s="124" t="s">
        <v>1211</v>
      </c>
      <c r="O4" s="124" t="s">
        <v>1211</v>
      </c>
      <c r="P4" s="124" t="s">
        <v>1211</v>
      </c>
      <c r="Q4" s="124" t="s">
        <v>1211</v>
      </c>
      <c r="R4" s="124" t="s">
        <v>1211</v>
      </c>
      <c r="S4" s="124" t="s">
        <v>1211</v>
      </c>
      <c r="T4" s="124" t="s">
        <v>1211</v>
      </c>
      <c r="U4" s="124" t="s">
        <v>1211</v>
      </c>
      <c r="V4" s="124" t="s">
        <v>1211</v>
      </c>
      <c r="W4" s="124" t="s">
        <v>1211</v>
      </c>
      <c r="X4" s="124" t="s">
        <v>1211</v>
      </c>
      <c r="Y4" s="124" t="s">
        <v>1211</v>
      </c>
      <c r="Z4" s="124" t="s">
        <v>1211</v>
      </c>
      <c r="AA4" s="124" t="s">
        <v>1211</v>
      </c>
      <c r="AB4" s="124" t="s">
        <v>1211</v>
      </c>
      <c r="AC4" s="124" t="s">
        <v>1211</v>
      </c>
      <c r="AD4" s="120" t="s">
        <v>1211</v>
      </c>
      <c r="AE4" s="120" t="s">
        <v>1211</v>
      </c>
      <c r="AF4" s="120" t="s">
        <v>1211</v>
      </c>
      <c r="AG4" s="120" t="s">
        <v>1211</v>
      </c>
      <c r="AH4" s="120" t="s">
        <v>1211</v>
      </c>
      <c r="AI4" s="120" t="s">
        <v>1211</v>
      </c>
      <c r="AJ4" s="120" t="s">
        <v>1211</v>
      </c>
      <c r="AK4" s="120" t="s">
        <v>1211</v>
      </c>
      <c r="AL4" s="120" t="s">
        <v>1211</v>
      </c>
      <c r="AM4" s="120" t="s">
        <v>1211</v>
      </c>
      <c r="AN4" s="120" t="s">
        <v>1211</v>
      </c>
      <c r="AO4" s="120" t="s">
        <v>1211</v>
      </c>
      <c r="AP4" s="120" t="s">
        <v>1211</v>
      </c>
      <c r="AQ4" s="120" t="s">
        <v>1211</v>
      </c>
      <c r="AR4" s="120" t="s">
        <v>1211</v>
      </c>
      <c r="AS4" s="120" t="s">
        <v>1211</v>
      </c>
      <c r="AT4" s="124" t="s">
        <v>1211</v>
      </c>
      <c r="AU4" s="124" t="s">
        <v>1211</v>
      </c>
      <c r="AV4" s="124" t="s">
        <v>1211</v>
      </c>
      <c r="AW4" s="124" t="s">
        <v>1211</v>
      </c>
      <c r="AX4" s="124" t="s">
        <v>1211</v>
      </c>
      <c r="AY4" s="124" t="s">
        <v>1211</v>
      </c>
      <c r="AZ4" s="124" t="s">
        <v>1211</v>
      </c>
      <c r="BA4" s="124" t="s">
        <v>1211</v>
      </c>
      <c r="BB4" s="124" t="s">
        <v>1211</v>
      </c>
      <c r="BC4" s="124" t="s">
        <v>1211</v>
      </c>
      <c r="BD4" s="124" t="s">
        <v>1211</v>
      </c>
      <c r="BE4" s="124" t="s">
        <v>1211</v>
      </c>
      <c r="BF4" s="124" t="s">
        <v>1211</v>
      </c>
      <c r="BG4" s="124" t="s">
        <v>1211</v>
      </c>
      <c r="BH4" s="124" t="s">
        <v>1211</v>
      </c>
      <c r="BI4" s="124" t="s">
        <v>1211</v>
      </c>
      <c r="BJ4" s="120" t="s">
        <v>1211</v>
      </c>
      <c r="BK4" s="120" t="s">
        <v>1211</v>
      </c>
      <c r="BL4" s="120" t="s">
        <v>1211</v>
      </c>
      <c r="BM4" s="120" t="s">
        <v>1211</v>
      </c>
      <c r="BN4" s="120" t="s">
        <v>1211</v>
      </c>
      <c r="BO4" s="120" t="s">
        <v>1211</v>
      </c>
      <c r="BP4" s="120" t="s">
        <v>1211</v>
      </c>
      <c r="BQ4" s="120" t="s">
        <v>1211</v>
      </c>
      <c r="BR4" s="120" t="s">
        <v>1211</v>
      </c>
      <c r="BS4" s="120" t="s">
        <v>1211</v>
      </c>
      <c r="BT4" s="120" t="s">
        <v>1211</v>
      </c>
      <c r="BU4" s="120" t="s">
        <v>1211</v>
      </c>
      <c r="BV4" s="120" t="s">
        <v>1211</v>
      </c>
      <c r="BW4" s="120" t="s">
        <v>1211</v>
      </c>
      <c r="BX4" s="120" t="s">
        <v>1211</v>
      </c>
      <c r="BY4" s="120" t="s">
        <v>1211</v>
      </c>
      <c r="BZ4" s="124" t="s">
        <v>1211</v>
      </c>
      <c r="CA4" s="124" t="s">
        <v>1211</v>
      </c>
      <c r="CB4" s="124" t="s">
        <v>1211</v>
      </c>
      <c r="CC4" s="124" t="s">
        <v>1211</v>
      </c>
      <c r="CD4" s="124" t="s">
        <v>1211</v>
      </c>
      <c r="CE4" s="124" t="s">
        <v>1211</v>
      </c>
      <c r="CF4" s="124" t="s">
        <v>1211</v>
      </c>
      <c r="CG4" s="124" t="s">
        <v>1211</v>
      </c>
      <c r="CH4" s="124" t="s">
        <v>1211</v>
      </c>
      <c r="CI4" s="124" t="s">
        <v>1211</v>
      </c>
      <c r="CJ4" s="124" t="s">
        <v>1211</v>
      </c>
      <c r="CK4" s="124" t="s">
        <v>1211</v>
      </c>
      <c r="CL4" s="124" t="s">
        <v>1211</v>
      </c>
      <c r="CM4" s="124" t="s">
        <v>1211</v>
      </c>
      <c r="CN4" s="124" t="s">
        <v>1211</v>
      </c>
      <c r="CO4" s="124" t="s">
        <v>1211</v>
      </c>
      <c r="CP4" s="120" t="s">
        <v>1211</v>
      </c>
      <c r="CQ4" s="120" t="s">
        <v>1211</v>
      </c>
      <c r="CR4" s="120" t="s">
        <v>1211</v>
      </c>
      <c r="CS4" s="120" t="s">
        <v>1211</v>
      </c>
      <c r="CT4" s="120" t="s">
        <v>1211</v>
      </c>
      <c r="CU4" s="120" t="s">
        <v>1211</v>
      </c>
      <c r="CV4" s="120" t="s">
        <v>1211</v>
      </c>
      <c r="CW4" s="120" t="s">
        <v>1211</v>
      </c>
      <c r="CX4" s="120" t="s">
        <v>1211</v>
      </c>
      <c r="CY4" s="120" t="s">
        <v>1211</v>
      </c>
      <c r="CZ4" s="120" t="s">
        <v>1211</v>
      </c>
      <c r="DA4" s="120" t="s">
        <v>1211</v>
      </c>
      <c r="DB4" s="120" t="s">
        <v>1211</v>
      </c>
      <c r="DC4" s="120" t="s">
        <v>1211</v>
      </c>
      <c r="DD4" s="120" t="s">
        <v>1211</v>
      </c>
      <c r="DE4" s="120" t="s">
        <v>1211</v>
      </c>
      <c r="DF4" s="124" t="s">
        <v>1211</v>
      </c>
      <c r="DG4" s="124" t="s">
        <v>1211</v>
      </c>
      <c r="DH4" s="124" t="s">
        <v>1211</v>
      </c>
      <c r="DI4" s="124" t="s">
        <v>1211</v>
      </c>
      <c r="DJ4" s="124" t="s">
        <v>1211</v>
      </c>
      <c r="DK4" s="120" t="s">
        <v>1211</v>
      </c>
      <c r="DL4" s="120" t="s">
        <v>1211</v>
      </c>
      <c r="DM4" s="120" t="s">
        <v>1211</v>
      </c>
      <c r="DN4" s="120" t="s">
        <v>1211</v>
      </c>
      <c r="DO4" s="120" t="s">
        <v>1211</v>
      </c>
      <c r="DP4" s="120" t="s">
        <v>1211</v>
      </c>
      <c r="DQ4" s="120" t="s">
        <v>1211</v>
      </c>
      <c r="DR4" s="120" t="s">
        <v>1211</v>
      </c>
      <c r="DS4" s="120" t="s">
        <v>1211</v>
      </c>
      <c r="DT4" s="120" t="s">
        <v>1211</v>
      </c>
      <c r="DU4" s="124" t="s">
        <v>1211</v>
      </c>
      <c r="DV4" s="124" t="s">
        <v>1211</v>
      </c>
      <c r="DW4" s="124" t="s">
        <v>1211</v>
      </c>
      <c r="DX4" s="124" t="s">
        <v>1211</v>
      </c>
      <c r="DY4" s="124" t="s">
        <v>1211</v>
      </c>
      <c r="DZ4" s="124" t="s">
        <v>1211</v>
      </c>
      <c r="EA4" s="124" t="s">
        <v>1211</v>
      </c>
      <c r="EB4" s="124" t="s">
        <v>1211</v>
      </c>
      <c r="EC4" s="124" t="s">
        <v>1211</v>
      </c>
      <c r="ED4" s="124" t="s">
        <v>1211</v>
      </c>
      <c r="EE4" s="124" t="s">
        <v>1211</v>
      </c>
      <c r="EF4" s="124" t="s">
        <v>1211</v>
      </c>
      <c r="EG4" s="124" t="s">
        <v>1211</v>
      </c>
      <c r="EH4" s="124" t="s">
        <v>1211</v>
      </c>
      <c r="EI4" s="124" t="s">
        <v>1211</v>
      </c>
      <c r="EJ4" s="124" t="s">
        <v>1211</v>
      </c>
      <c r="EK4" s="120" t="s">
        <v>1211</v>
      </c>
      <c r="EL4" s="120" t="s">
        <v>1211</v>
      </c>
      <c r="EM4" s="120" t="s">
        <v>1211</v>
      </c>
      <c r="EN4" s="120" t="s">
        <v>1211</v>
      </c>
      <c r="EO4" s="124" t="s">
        <v>1211</v>
      </c>
      <c r="EP4" s="124" t="s">
        <v>1211</v>
      </c>
      <c r="EQ4" s="124" t="s">
        <v>1211</v>
      </c>
      <c r="ER4" s="120" t="s">
        <v>1211</v>
      </c>
      <c r="ES4" s="120" t="s">
        <v>1211</v>
      </c>
      <c r="ET4" s="120" t="s">
        <v>1211</v>
      </c>
      <c r="EU4" s="120" t="s">
        <v>1211</v>
      </c>
      <c r="EV4" s="120" t="s">
        <v>1211</v>
      </c>
      <c r="EW4" s="120" t="s">
        <v>1211</v>
      </c>
      <c r="EX4" s="120" t="s">
        <v>1211</v>
      </c>
      <c r="EY4" s="120" t="s">
        <v>1211</v>
      </c>
      <c r="EZ4" s="120" t="s">
        <v>1211</v>
      </c>
      <c r="FA4" s="120" t="s">
        <v>1211</v>
      </c>
      <c r="FB4" s="120" t="s">
        <v>1211</v>
      </c>
      <c r="FC4" s="120" t="s">
        <v>1211</v>
      </c>
      <c r="FD4" s="124" t="s">
        <v>1211</v>
      </c>
      <c r="FE4" s="124" t="s">
        <v>1211</v>
      </c>
      <c r="FF4" s="124" t="s">
        <v>1211</v>
      </c>
      <c r="FG4" s="124" t="s">
        <v>1211</v>
      </c>
      <c r="FH4" s="124" t="s">
        <v>1211</v>
      </c>
      <c r="FI4" s="124" t="s">
        <v>1211</v>
      </c>
      <c r="FJ4" s="124" t="s">
        <v>1211</v>
      </c>
      <c r="FK4" s="124" t="s">
        <v>1211</v>
      </c>
      <c r="FL4" s="124" t="s">
        <v>1211</v>
      </c>
      <c r="FM4" s="124" t="s">
        <v>1211</v>
      </c>
      <c r="FN4" s="124" t="s">
        <v>1211</v>
      </c>
      <c r="FO4" s="124" t="s">
        <v>1211</v>
      </c>
      <c r="FP4" s="120" t="s">
        <v>1211</v>
      </c>
      <c r="FQ4" s="120" t="s">
        <v>1211</v>
      </c>
      <c r="FR4" s="120" t="s">
        <v>1211</v>
      </c>
      <c r="FS4" s="120" t="s">
        <v>1211</v>
      </c>
      <c r="FT4" s="120" t="s">
        <v>1211</v>
      </c>
      <c r="FU4" s="120" t="s">
        <v>1211</v>
      </c>
      <c r="FV4" s="124" t="s">
        <v>1211</v>
      </c>
      <c r="FW4" s="124" t="s">
        <v>1211</v>
      </c>
      <c r="FX4" s="124" t="s">
        <v>1211</v>
      </c>
      <c r="FY4" s="124" t="s">
        <v>1211</v>
      </c>
      <c r="FZ4" s="120" t="s">
        <v>1211</v>
      </c>
      <c r="GA4" s="120" t="s">
        <v>1211</v>
      </c>
      <c r="GB4" s="120" t="s">
        <v>1211</v>
      </c>
      <c r="GC4" s="124" t="s">
        <v>1211</v>
      </c>
      <c r="GD4" s="124" t="s">
        <v>1211</v>
      </c>
      <c r="GE4" s="124" t="s">
        <v>1211</v>
      </c>
      <c r="GF4" s="124" t="s">
        <v>1211</v>
      </c>
      <c r="GG4" s="120" t="s">
        <v>1211</v>
      </c>
      <c r="GH4" s="120" t="s">
        <v>1211</v>
      </c>
      <c r="GI4" s="124" t="s">
        <v>1211</v>
      </c>
      <c r="GJ4" s="124" t="s">
        <v>1211</v>
      </c>
      <c r="GK4" s="124" t="s">
        <v>1211</v>
      </c>
      <c r="GL4" s="124" t="s">
        <v>1211</v>
      </c>
      <c r="GM4" s="120" t="s">
        <v>1211</v>
      </c>
      <c r="GN4" s="120" t="s">
        <v>1211</v>
      </c>
      <c r="GO4" s="124" t="s">
        <v>1211</v>
      </c>
      <c r="GP4" s="124" t="s">
        <v>1211</v>
      </c>
      <c r="GQ4" s="124" t="s">
        <v>1211</v>
      </c>
      <c r="GR4" s="124" t="s">
        <v>1211</v>
      </c>
      <c r="GS4" s="124" t="s">
        <v>1211</v>
      </c>
      <c r="GT4" s="124" t="s">
        <v>1211</v>
      </c>
      <c r="GU4" s="124" t="s">
        <v>1211</v>
      </c>
      <c r="GV4" s="124" t="s">
        <v>1211</v>
      </c>
      <c r="GW4" s="124" t="s">
        <v>1211</v>
      </c>
      <c r="GX4" s="124" t="s">
        <v>1211</v>
      </c>
      <c r="GY4" s="124" t="s">
        <v>1211</v>
      </c>
      <c r="GZ4" s="124" t="s">
        <v>1211</v>
      </c>
      <c r="HA4" s="124" t="s">
        <v>1211</v>
      </c>
      <c r="HB4" s="124" t="s">
        <v>1211</v>
      </c>
      <c r="HC4" s="120" t="s">
        <v>1211</v>
      </c>
      <c r="HD4" s="120" t="s">
        <v>1211</v>
      </c>
      <c r="HE4" s="120" t="s">
        <v>1211</v>
      </c>
      <c r="HF4" s="120" t="s">
        <v>1211</v>
      </c>
      <c r="HG4" s="120" t="s">
        <v>1211</v>
      </c>
      <c r="HH4" s="120" t="s">
        <v>1211</v>
      </c>
      <c r="HI4" s="120" t="s">
        <v>1211</v>
      </c>
      <c r="HJ4" s="120" t="s">
        <v>1211</v>
      </c>
      <c r="HK4" s="120" t="s">
        <v>1211</v>
      </c>
      <c r="HL4" s="124" t="s">
        <v>1211</v>
      </c>
      <c r="HM4" s="124" t="s">
        <v>1211</v>
      </c>
      <c r="HN4" s="124" t="s">
        <v>1211</v>
      </c>
      <c r="HO4" s="124" t="s">
        <v>1211</v>
      </c>
      <c r="HP4" s="124" t="s">
        <v>1211</v>
      </c>
      <c r="HQ4" s="124" t="s">
        <v>1211</v>
      </c>
      <c r="HR4" s="124" t="s">
        <v>1211</v>
      </c>
      <c r="HS4" s="124" t="s">
        <v>1211</v>
      </c>
      <c r="HT4" s="120" t="s">
        <v>1212</v>
      </c>
      <c r="HU4" s="124" t="s">
        <v>1211</v>
      </c>
      <c r="HV4" s="124" t="s">
        <v>1211</v>
      </c>
      <c r="HW4" s="124" t="s">
        <v>1211</v>
      </c>
      <c r="HX4" s="124" t="s">
        <v>1211</v>
      </c>
      <c r="HY4" s="124" t="s">
        <v>1211</v>
      </c>
      <c r="HZ4" s="124" t="s">
        <v>1211</v>
      </c>
      <c r="IA4" s="125" t="s">
        <v>1211</v>
      </c>
      <c r="IB4" s="124" t="s">
        <v>1211</v>
      </c>
      <c r="IC4" s="120" t="s">
        <v>1211</v>
      </c>
      <c r="ID4" s="124" t="s">
        <v>1211</v>
      </c>
      <c r="IE4" s="124" t="s">
        <v>1211</v>
      </c>
      <c r="IF4" s="124" t="s">
        <v>1211</v>
      </c>
      <c r="IG4" s="124" t="s">
        <v>1211</v>
      </c>
      <c r="IH4" s="124" t="s">
        <v>1211</v>
      </c>
      <c r="II4" s="120" t="s">
        <v>1211</v>
      </c>
      <c r="IJ4" s="120" t="s">
        <v>1211</v>
      </c>
      <c r="IK4" s="120" t="s">
        <v>1211</v>
      </c>
      <c r="IL4" s="120" t="s">
        <v>1211</v>
      </c>
      <c r="IM4" s="124" t="s">
        <v>1211</v>
      </c>
      <c r="IN4" s="124" t="s">
        <v>1211</v>
      </c>
      <c r="IO4" s="124" t="s">
        <v>1211</v>
      </c>
      <c r="IP4" s="124" t="s">
        <v>1211</v>
      </c>
      <c r="IQ4" s="124" t="s">
        <v>1211</v>
      </c>
      <c r="IR4" s="120" t="s">
        <v>1211</v>
      </c>
      <c r="IS4" s="120" t="s">
        <v>1211</v>
      </c>
      <c r="IT4" s="120" t="s">
        <v>1211</v>
      </c>
      <c r="IU4" s="120" t="s">
        <v>1211</v>
      </c>
      <c r="IV4" s="120" t="s">
        <v>1211</v>
      </c>
      <c r="IW4" s="120" t="s">
        <v>1211</v>
      </c>
      <c r="IX4" s="120" t="s">
        <v>1211</v>
      </c>
      <c r="IY4" s="120" t="s">
        <v>1211</v>
      </c>
      <c r="IZ4" s="120" t="s">
        <v>1211</v>
      </c>
      <c r="JA4" s="126" t="s">
        <v>1213</v>
      </c>
      <c r="JB4" s="120" t="s">
        <v>1211</v>
      </c>
      <c r="JC4" s="120" t="s">
        <v>1211</v>
      </c>
      <c r="JD4" s="124" t="s">
        <v>1211</v>
      </c>
      <c r="JE4" s="124" t="s">
        <v>1211</v>
      </c>
      <c r="JF4" s="124" t="s">
        <v>1211</v>
      </c>
      <c r="JG4" s="124" t="s">
        <v>1211</v>
      </c>
      <c r="JH4" s="124" t="s">
        <v>1211</v>
      </c>
      <c r="JI4" s="120" t="s">
        <v>1211</v>
      </c>
      <c r="JJ4" s="120" t="s">
        <v>1211</v>
      </c>
      <c r="JK4" s="120" t="s">
        <v>1211</v>
      </c>
      <c r="JL4" s="120" t="s">
        <v>1211</v>
      </c>
      <c r="JM4" s="120" t="s">
        <v>1211</v>
      </c>
      <c r="JN4" s="124" t="s">
        <v>1211</v>
      </c>
      <c r="JO4" s="124" t="s">
        <v>1211</v>
      </c>
      <c r="JP4" s="124" t="s">
        <v>1211</v>
      </c>
      <c r="JQ4" s="124" t="s">
        <v>1211</v>
      </c>
      <c r="JR4" s="124" t="s">
        <v>1211</v>
      </c>
      <c r="JS4" s="120" t="s">
        <v>1211</v>
      </c>
      <c r="JT4" s="120" t="s">
        <v>1211</v>
      </c>
      <c r="JU4" s="120" t="s">
        <v>1213</v>
      </c>
      <c r="JV4" s="124" t="s">
        <v>1214</v>
      </c>
      <c r="JW4" s="124" t="s">
        <v>1214</v>
      </c>
      <c r="JX4" s="124" t="s">
        <v>1213</v>
      </c>
      <c r="JY4" s="124" t="s">
        <v>1213</v>
      </c>
      <c r="JZ4" s="124" t="s">
        <v>1214</v>
      </c>
      <c r="KA4" s="124" t="s">
        <v>1213</v>
      </c>
      <c r="KB4" s="124" t="s">
        <v>1213</v>
      </c>
      <c r="KC4" s="124" t="s">
        <v>1214</v>
      </c>
      <c r="KD4" s="124" t="s">
        <v>1213</v>
      </c>
      <c r="KE4" s="124" t="s">
        <v>1213</v>
      </c>
      <c r="KF4" s="124" t="s">
        <v>1213</v>
      </c>
      <c r="KG4" s="124" t="s">
        <v>1213</v>
      </c>
      <c r="KH4" s="124" t="s">
        <v>1212</v>
      </c>
      <c r="KI4" s="124" t="s">
        <v>1213</v>
      </c>
      <c r="KJ4" s="124" t="s">
        <v>1213</v>
      </c>
      <c r="KK4" s="124" t="s">
        <v>1213</v>
      </c>
      <c r="KL4" s="124" t="s">
        <v>1213</v>
      </c>
      <c r="KM4" s="124" t="s">
        <v>1213</v>
      </c>
      <c r="KN4" s="124" t="s">
        <v>1213</v>
      </c>
      <c r="KO4" s="124" t="s">
        <v>1213</v>
      </c>
      <c r="KP4" s="124" t="s">
        <v>1213</v>
      </c>
      <c r="KQ4" s="124" t="s">
        <v>1213</v>
      </c>
      <c r="KR4" s="124" t="s">
        <v>1213</v>
      </c>
      <c r="KS4" s="124" t="s">
        <v>1213</v>
      </c>
      <c r="KT4" s="124" t="s">
        <v>1213</v>
      </c>
      <c r="KU4" s="124" t="s">
        <v>1213</v>
      </c>
      <c r="KV4" s="124" t="s">
        <v>1213</v>
      </c>
      <c r="KW4" s="124" t="s">
        <v>1213</v>
      </c>
      <c r="KX4" s="124" t="s">
        <v>1213</v>
      </c>
      <c r="KY4" s="124" t="s">
        <v>1213</v>
      </c>
      <c r="KZ4" s="124" t="s">
        <v>1213</v>
      </c>
      <c r="LA4" s="120" t="s">
        <v>1215</v>
      </c>
      <c r="LB4" s="120" t="s">
        <v>1215</v>
      </c>
      <c r="LC4" s="120" t="s">
        <v>1215</v>
      </c>
      <c r="LD4" s="120" t="s">
        <v>1215</v>
      </c>
      <c r="LE4" s="120" t="s">
        <v>1215</v>
      </c>
      <c r="LF4" s="120" t="s">
        <v>1215</v>
      </c>
      <c r="LG4" s="120" t="s">
        <v>1215</v>
      </c>
      <c r="LH4" s="120" t="s">
        <v>1215</v>
      </c>
      <c r="LI4" s="120" t="s">
        <v>1215</v>
      </c>
      <c r="LJ4" s="120" t="s">
        <v>1215</v>
      </c>
      <c r="LK4" s="120" t="s">
        <v>1215</v>
      </c>
      <c r="LL4" s="120" t="s">
        <v>1215</v>
      </c>
      <c r="LM4" s="120" t="s">
        <v>1215</v>
      </c>
      <c r="LN4" s="120" t="s">
        <v>1215</v>
      </c>
      <c r="LO4" s="120" t="s">
        <v>1215</v>
      </c>
      <c r="LP4" s="120" t="s">
        <v>1215</v>
      </c>
      <c r="LQ4" s="120" t="s">
        <v>1215</v>
      </c>
      <c r="LR4" s="120" t="s">
        <v>1215</v>
      </c>
      <c r="LS4" s="120" t="s">
        <v>1216</v>
      </c>
      <c r="LT4" s="120" t="s">
        <v>1215</v>
      </c>
      <c r="LU4" s="120" t="s">
        <v>1215</v>
      </c>
      <c r="LV4" s="120" t="s">
        <v>1215</v>
      </c>
      <c r="LW4" s="120" t="s">
        <v>1215</v>
      </c>
      <c r="LX4" s="120" t="s">
        <v>1215</v>
      </c>
      <c r="LY4" s="120" t="s">
        <v>1215</v>
      </c>
      <c r="LZ4" s="120" t="s">
        <v>1215</v>
      </c>
      <c r="MA4" s="120" t="s">
        <v>1215</v>
      </c>
      <c r="MB4" s="124" t="s">
        <v>1215</v>
      </c>
      <c r="MC4" s="124" t="s">
        <v>1215</v>
      </c>
      <c r="MD4" s="124" t="s">
        <v>1215</v>
      </c>
      <c r="ME4" s="124" t="s">
        <v>1215</v>
      </c>
      <c r="MF4" s="124" t="s">
        <v>1215</v>
      </c>
      <c r="MG4" s="124" t="s">
        <v>1215</v>
      </c>
      <c r="MH4" s="124" t="s">
        <v>1215</v>
      </c>
      <c r="MI4" s="124" t="s">
        <v>1215</v>
      </c>
      <c r="MJ4" s="120" t="s">
        <v>1215</v>
      </c>
      <c r="MK4" s="120" t="s">
        <v>1215</v>
      </c>
      <c r="ML4" s="120" t="s">
        <v>1215</v>
      </c>
      <c r="MM4" s="120" t="s">
        <v>1215</v>
      </c>
      <c r="MN4" s="120" t="s">
        <v>1215</v>
      </c>
      <c r="MO4" s="120" t="s">
        <v>1215</v>
      </c>
      <c r="MP4" s="120" t="s">
        <v>1215</v>
      </c>
      <c r="MQ4" s="120" t="s">
        <v>1215</v>
      </c>
      <c r="MR4" s="120" t="s">
        <v>1215</v>
      </c>
      <c r="MS4" s="120" t="s">
        <v>1215</v>
      </c>
      <c r="MT4" s="120" t="s">
        <v>1215</v>
      </c>
      <c r="MU4" s="120" t="s">
        <v>1215</v>
      </c>
      <c r="MV4" s="120" t="s">
        <v>1215</v>
      </c>
      <c r="MW4" s="120" t="s">
        <v>1215</v>
      </c>
      <c r="MX4" s="120" t="s">
        <v>1215</v>
      </c>
      <c r="MY4" s="120" t="s">
        <v>1215</v>
      </c>
      <c r="MZ4" s="120" t="s">
        <v>1215</v>
      </c>
      <c r="NA4" s="120" t="s">
        <v>1215</v>
      </c>
      <c r="NB4" s="124" t="s">
        <v>1217</v>
      </c>
      <c r="NC4" s="124" t="s">
        <v>1217</v>
      </c>
      <c r="ND4" s="124" t="s">
        <v>1217</v>
      </c>
      <c r="NE4" s="124" t="s">
        <v>1217</v>
      </c>
      <c r="NF4" s="124" t="s">
        <v>1217</v>
      </c>
      <c r="NG4" s="124" t="s">
        <v>1217</v>
      </c>
      <c r="NH4" s="124" t="s">
        <v>1217</v>
      </c>
      <c r="NI4" s="124" t="s">
        <v>1217</v>
      </c>
      <c r="NJ4" s="124" t="s">
        <v>1217</v>
      </c>
      <c r="NK4" s="124" t="s">
        <v>1217</v>
      </c>
      <c r="NL4" s="124" t="s">
        <v>1217</v>
      </c>
      <c r="NM4" s="124" t="s">
        <v>1217</v>
      </c>
      <c r="NN4" s="124" t="s">
        <v>1217</v>
      </c>
      <c r="NO4" s="124" t="s">
        <v>1217</v>
      </c>
      <c r="NP4" s="124" t="s">
        <v>1217</v>
      </c>
      <c r="NQ4" s="124" t="s">
        <v>1217</v>
      </c>
      <c r="NR4" s="124" t="s">
        <v>1217</v>
      </c>
      <c r="NS4" s="124" t="s">
        <v>1217</v>
      </c>
      <c r="NT4" s="120" t="s">
        <v>1218</v>
      </c>
      <c r="NU4" s="120" t="s">
        <v>1218</v>
      </c>
      <c r="NV4" s="120" t="s">
        <v>1218</v>
      </c>
      <c r="NW4" s="120" t="s">
        <v>1218</v>
      </c>
      <c r="NX4" s="120" t="s">
        <v>1218</v>
      </c>
      <c r="NY4" s="120" t="s">
        <v>1218</v>
      </c>
      <c r="NZ4" s="120" t="s">
        <v>1218</v>
      </c>
      <c r="OA4" s="120" t="s">
        <v>1218</v>
      </c>
      <c r="OB4" s="120" t="s">
        <v>1218</v>
      </c>
      <c r="OC4" s="120" t="s">
        <v>1218</v>
      </c>
      <c r="OD4" s="120" t="s">
        <v>1218</v>
      </c>
      <c r="OE4" s="120" t="s">
        <v>1218</v>
      </c>
      <c r="OF4" s="120" t="s">
        <v>1218</v>
      </c>
      <c r="OG4" s="120" t="s">
        <v>1218</v>
      </c>
      <c r="OH4" s="120" t="s">
        <v>1218</v>
      </c>
      <c r="OI4" s="120" t="s">
        <v>1218</v>
      </c>
      <c r="OJ4" s="120" t="s">
        <v>1218</v>
      </c>
      <c r="OK4" s="120" t="s">
        <v>1218</v>
      </c>
      <c r="OL4" s="120" t="s">
        <v>1218</v>
      </c>
      <c r="OM4" s="120" t="s">
        <v>1218</v>
      </c>
      <c r="ON4" s="120" t="s">
        <v>1218</v>
      </c>
      <c r="OO4" s="120" t="s">
        <v>1218</v>
      </c>
      <c r="OP4" s="120" t="s">
        <v>1218</v>
      </c>
      <c r="OQ4" s="120" t="s">
        <v>1218</v>
      </c>
      <c r="OR4" s="120" t="s">
        <v>1218</v>
      </c>
      <c r="OS4" s="120" t="s">
        <v>1218</v>
      </c>
      <c r="OT4" s="124" t="s">
        <v>1219</v>
      </c>
      <c r="OU4" s="124" t="s">
        <v>1219</v>
      </c>
      <c r="OV4" s="124" t="s">
        <v>1219</v>
      </c>
      <c r="OW4" s="124" t="s">
        <v>1219</v>
      </c>
      <c r="OX4" s="124" t="s">
        <v>1219</v>
      </c>
      <c r="OY4" s="120" t="s">
        <v>1211</v>
      </c>
      <c r="OZ4" s="120" t="s">
        <v>1211</v>
      </c>
    </row>
    <row r="5" spans="4:409" ht="13.15" customHeight="1">
      <c r="D5" t="str">
        <f>IF('Tube Cutting'!D11="","",CONCATENATE(Data!BC$5,".",Data!BD$5))</f>
        <v>12085.A</v>
      </c>
      <c r="E5">
        <f>IF(D5="","",Data!AW11)</f>
        <v>2</v>
      </c>
      <c r="F5" t="str">
        <f>IF(D5="","",Data!AV11)</f>
        <v>1c66c28e-9b93-436e-a7ec-2dcc7752bcf6</v>
      </c>
      <c r="G5" t="str">
        <f>IF(E5="","","Fixed Guide Sunblind")</f>
        <v>Fixed Guide Sunblind</v>
      </c>
      <c r="H5" t="str">
        <f>IF(D5="","",Data!BF$5)</f>
        <v>Campbell, Neil</v>
      </c>
      <c r="I5" t="str">
        <f>IF(D5="","",Data!AX$5)</f>
        <v>Verticali Patio Blinds &amp; Fixed Guide Awnings</v>
      </c>
      <c r="J5" t="str">
        <f>'Job Sheet'!H11</f>
        <v>HVG Visiontex Glisse Sunscreen Naxos</v>
      </c>
      <c r="K5">
        <f>IF(D5="","",L5*M5/1000000)</f>
        <v>8.41525</v>
      </c>
      <c r="L5" s="33">
        <f>'Fabric Cutting'!G11</f>
        <v>4105</v>
      </c>
      <c r="M5" s="33">
        <f>'Fabric Cutting'!H11</f>
        <v>2050</v>
      </c>
      <c r="N5" t="str">
        <f>IF(AND('Job Sheet'!K11="Colourbond Under-Roll Hooding",'Job Sheet'!L11="Custom Powdercoat"),'Tube Cutting'!J11,"")</f>
        <v/>
      </c>
      <c r="O5" t="str">
        <f>IF(AND('Job Sheet'!K11="Colourbond Under-Roll Hooding",'Job Sheet'!L11="Ebony (Black)"),'Tube Cutting'!J11,"")</f>
        <v/>
      </c>
      <c r="P5" t="str">
        <f>IF(AND('Job Sheet'!K11="Colourbond Under-Roll Hooding",'Job Sheet'!L11="Caulfield Green"),'Tube Cutting'!J11,"")</f>
        <v/>
      </c>
      <c r="Q5" t="str">
        <f>IF(AND('Job Sheet'!K11="Colourbond Under-Roll Hooding",'Job Sheet'!L11="Charcoal (Monument)"),'Tube Cutting'!J11,"")</f>
        <v/>
      </c>
      <c r="R5" t="str">
        <f>IF(AND('Job Sheet'!K11="Colourbond Under-Roll Hooding",'Job Sheet'!L11="Dune"),'Tube Cutting'!J11,"")</f>
        <v/>
      </c>
      <c r="S5" t="str">
        <f>IF(AND('Job Sheet'!K11="Colourbond Under-Roll Hooding",'Job Sheet'!L11="Heritage Red (Manor Red)"),'Tube Cutting'!J11,"")</f>
        <v/>
      </c>
      <c r="T5" t="str">
        <f>IF(AND('Job Sheet'!K11="Colourbond Under-Roll Hooding",'Job Sheet'!L11="Ironstone"),'Tube Cutting'!J11,"")</f>
        <v/>
      </c>
      <c r="U5" t="str">
        <f>IF(AND('Job Sheet'!K11="Colourbond Under-Roll Hooding",'Job Sheet'!L11="Jasper"),'Tube Cutting'!J11,"")</f>
        <v/>
      </c>
      <c r="V5">
        <f>IF(AND('Job Sheet'!K11="Colourbond Under-Roll Hooding",'Job Sheet'!L11="Merino (Paperbark)"),'Tube Cutting'!J11,"")</f>
        <v>4186</v>
      </c>
      <c r="W5" t="str">
        <f>IF(AND('Job Sheet'!K11="Colourbond Under-Roll Hooding",'Job Sheet'!L11="Mist Green"),'Tube Cutting'!J11,"")</f>
        <v/>
      </c>
      <c r="X5" t="str">
        <f>IF(AND('Job Sheet'!K11="Colourbond Under-Roll Hooding",'Job Sheet'!L11="Mountain Blue"),'Tube Cutting'!J11,"")</f>
        <v/>
      </c>
      <c r="Y5" t="str">
        <f>IF(AND('Job Sheet'!K11="Colourbond Under-Roll Hooding",'Job Sheet'!L11="Smooth Cream (Classic Cream)"),'Tube Cutting'!J11,"")</f>
        <v/>
      </c>
      <c r="Z5" t="str">
        <f>IF(AND('Job Sheet'!K11="Colourbond Under-Roll Hooding",'Job Sheet'!L11="Shale Grey"),'Tube Cutting'!J11,"")</f>
        <v/>
      </c>
      <c r="AA5" t="str">
        <f>IF(AND('Job Sheet'!K11="Colourbond Under-Roll Hooding",'Job Sheet'!L11="Slate Grey (Woodland Grey)"),'Tube Cutting'!J11,"")</f>
        <v/>
      </c>
      <c r="AB5" t="str">
        <f>IF(AND('Job Sheet'!K11="Colourbond Under-Roll Hooding",'Job Sheet'!L11="Surfmist"),'Tube Cutting'!J11,"")</f>
        <v/>
      </c>
      <c r="AC5" t="str">
        <f>IF(AND('Job Sheet'!K11="Colourbond Under-Roll Hooding",'Job Sheet'!L11="White"),'Tube Cutting'!J11,"")</f>
        <v/>
      </c>
      <c r="AD5" t="str">
        <f>IF(AND('Job Sheet'!P11="Spring",'Job Sheet'!K11="Colourbond Under-Roll Hooding",'Job Sheet'!L11="Custom Powdercoat"),1,"")</f>
        <v/>
      </c>
      <c r="AE5" t="str">
        <f>IF(AND('Job Sheet'!P11="Spring",'Job Sheet'!K11="Colourbond Under-Roll Hooding",'Job Sheet'!L11="Ebony (Black)"),1,"")</f>
        <v/>
      </c>
      <c r="AF5" t="str">
        <f>IF(AND('Job Sheet'!P11="Spring",'Job Sheet'!K11="Colourbond Under-Roll Hooding",'Job Sheet'!L11="Caulfield Green"),1,"")</f>
        <v/>
      </c>
      <c r="AG5" t="str">
        <f>IF(AND('Job Sheet'!P11="Spring",'Job Sheet'!K11="Colourbond Under-Roll Hooding",'Job Sheet'!L11="Charcoal (Monument)"),1,"")</f>
        <v/>
      </c>
      <c r="AH5" t="str">
        <f>IF(AND('Job Sheet'!P11="Spring",'Job Sheet'!K11="Colourbond Under-Roll Hooding",'Job Sheet'!L11="Dune"),1,"")</f>
        <v/>
      </c>
      <c r="AI5" t="str">
        <f>IF(AND('Job Sheet'!P11="Spring",'Job Sheet'!K11="Colourbond Under-Roll Hooding",'Job Sheet'!L11="Heritage Red (Manor Red)"),1,"")</f>
        <v/>
      </c>
      <c r="AJ5" t="str">
        <f>IF(AND('Job Sheet'!P11="Spring",'Job Sheet'!K11="Colourbond Under-Roll Hooding",'Job Sheet'!L11="Ironstone"),1,"")</f>
        <v/>
      </c>
      <c r="AK5" t="str">
        <f>IF(AND('Job Sheet'!P11="Spring",'Job Sheet'!K11="Colourbond Under-Roll Hooding",'Job Sheet'!L11="Jasper"),1,"")</f>
        <v/>
      </c>
      <c r="AL5" t="str">
        <f>IF(AND('Job Sheet'!P11="Spring",'Job Sheet'!K11="Colourbond Under-Roll Hooding",'Job Sheet'!L11="Merino (Paperbark)"),1,"")</f>
        <v/>
      </c>
      <c r="AM5" t="str">
        <f>IF(AND('Job Sheet'!P11="Spring",'Job Sheet'!K11="Colourbond Under-Roll Hooding",'Job Sheet'!L11="Mist Green"),1,"")</f>
        <v/>
      </c>
      <c r="AN5" t="str">
        <f>IF(AND('Job Sheet'!P11="Spring",'Job Sheet'!K11="Colourbond Under-Roll Hooding",'Job Sheet'!L11="Mountain Blue"),1,"")</f>
        <v/>
      </c>
      <c r="AO5" t="str">
        <f>IF(AND('Job Sheet'!P11="Spring",'Job Sheet'!K11="Colourbond Under-Roll Hooding",'Job Sheet'!L11="Smooth Cream (Classic Cream)"),1,"")</f>
        <v/>
      </c>
      <c r="AP5" t="str">
        <f>IF(AND('Job Sheet'!P11="Spring",'Job Sheet'!K11="Colourbond Under-Roll Hooding",'Job Sheet'!L11="Shale Grey"),1,"")</f>
        <v/>
      </c>
      <c r="AQ5" t="str">
        <f>IF(AND('Job Sheet'!P11="Spring",'Job Sheet'!K11="Colourbond Under-Roll Hooding",'Job Sheet'!L11="Slate Grey (Woodland Grey)"),1,"")</f>
        <v/>
      </c>
      <c r="AR5" t="str">
        <f>IF(AND('Job Sheet'!P11="Spring",'Job Sheet'!K11="Colourbond Under-Roll Hooding",'Job Sheet'!L11="Surfmist"),1,"")</f>
        <v/>
      </c>
      <c r="AS5" t="str">
        <f>IF(AND('Job Sheet'!P11="Spring",'Job Sheet'!K11="Colourbond Under-Roll Hooding",'Job Sheet'!L11="White"),1,"")</f>
        <v/>
      </c>
      <c r="AT5" t="str">
        <f>IF(AND('Job Sheet'!P11&lt;&gt;"Spring",'Job Sheet'!K11="Colourbond Under-Roll Hooding",'Job Sheet'!L11="Custom Powdercoat"),1,"")</f>
        <v/>
      </c>
      <c r="AU5" t="str">
        <f>IF(AND('Job Sheet'!P11&lt;&gt;"Spring",'Job Sheet'!K11="Colourbond Under-Roll Hooding",'Job Sheet'!L11="Ebony (Black)"),1,"")</f>
        <v/>
      </c>
      <c r="AV5" t="str">
        <f>IF(AND('Job Sheet'!P11&lt;&gt;"Spring",'Job Sheet'!K11="Colourbond Under-Roll Hooding",'Job Sheet'!L11="Caulfield Green"),1,"")</f>
        <v/>
      </c>
      <c r="AW5" t="str">
        <f>IF(AND('Job Sheet'!P11&lt;&gt;"Spring",'Job Sheet'!K11="Colourbond Under-Roll Hooding",'Job Sheet'!L11="Charcoal (Monument)"),1,"")</f>
        <v/>
      </c>
      <c r="AX5" t="str">
        <f>IF(AND('Job Sheet'!P11&lt;&gt;"Spring",'Job Sheet'!K11="Colourbond Under-Roll Hooding",'Job Sheet'!L11="Dune"),1,"")</f>
        <v/>
      </c>
      <c r="AY5" t="str">
        <f>IF(AND('Job Sheet'!P11&lt;&gt;"Spring",'Job Sheet'!K11="Colourbond Under-Roll Hooding",'Job Sheet'!L11="Heritage Red (Manor Red)"),1,"")</f>
        <v/>
      </c>
      <c r="AZ5" t="str">
        <f>IF(AND('Job Sheet'!P11&lt;&gt;"Spring",'Job Sheet'!K11="Colourbond Under-Roll Hooding",'Job Sheet'!L11="Ironstone"),1,"")</f>
        <v/>
      </c>
      <c r="BA5" t="str">
        <f>IF(AND('Job Sheet'!P11&lt;&gt;"Spring",'Job Sheet'!K11="Colourbond Under-Roll Hooding",'Job Sheet'!L11="Jasper"),1,"")</f>
        <v/>
      </c>
      <c r="BB5">
        <f>IF(AND('Job Sheet'!P11&lt;&gt;"Spring",'Job Sheet'!K11="Colourbond Under-Roll Hooding",'Job Sheet'!L11="Merino (Paperbark)"),1,"")</f>
        <v>1</v>
      </c>
      <c r="BC5" t="str">
        <f>IF(AND('Job Sheet'!P11&lt;&gt;"Spring",'Job Sheet'!K11="Colourbond Under-Roll Hooding",'Job Sheet'!L11="Mist Green"),1,"")</f>
        <v/>
      </c>
      <c r="BD5" t="str">
        <f>IF(AND('Job Sheet'!P11&lt;&gt;"Spring",'Job Sheet'!K11="Colourbond Under-Roll Hooding",'Job Sheet'!L11="Mountain Blue"),1,"")</f>
        <v/>
      </c>
      <c r="BE5" t="str">
        <f>IF(AND('Job Sheet'!P11&lt;&gt;"Spring",'Job Sheet'!K11="Colourbond Under-Roll Hooding",'Job Sheet'!L11="Smooth Cream (Classic Cream)"),1,"")</f>
        <v/>
      </c>
      <c r="BF5" t="str">
        <f>IF(AND('Job Sheet'!P11&lt;&gt;"Spring",'Job Sheet'!K11="Colourbond Under-Roll Hooding",'Job Sheet'!L11="Shale Grey"),1,"")</f>
        <v/>
      </c>
      <c r="BG5" t="str">
        <f>IF(AND('Job Sheet'!P11&lt;&gt;"Spring",'Job Sheet'!K11="Colourbond Under-Roll Hooding",'Job Sheet'!L11="Slate Grey (Woodland Grey)"),1,"")</f>
        <v/>
      </c>
      <c r="BH5" t="str">
        <f>IF(AND('Job Sheet'!P11&lt;&gt;"Spring",'Job Sheet'!K11="Colourbond Under-Roll Hooding",'Job Sheet'!L11="Surfmist"),1,"")</f>
        <v/>
      </c>
      <c r="BI5" t="str">
        <f>IF(AND('Job Sheet'!P11&lt;&gt;"Spring",'Job Sheet'!K11="Colourbond Under-Roll Hooding",'Job Sheet'!L11="White"),1,"")</f>
        <v/>
      </c>
      <c r="BJ5" t="str">
        <f>IF(AND('Job Sheet'!K11="Colourbond Over-Roll Hooding",'Job Sheet'!L11="Custom Powdercoat"),'Tube Cutting'!J11,"")</f>
        <v/>
      </c>
      <c r="BK5" t="str">
        <f>IF(AND('Job Sheet'!K11="Colourbond Over-Roll Hooding",'Job Sheet'!L11="Ebony (Black)"),'Tube Cutting'!J11,"")</f>
        <v/>
      </c>
      <c r="BL5" t="str">
        <f>IF(AND('Job Sheet'!K11="Colourbond Over-Roll Hooding",'Job Sheet'!L11="Caulfield Green"),'Tube Cutting'!J11,"")</f>
        <v/>
      </c>
      <c r="BM5" t="str">
        <f>IF(AND('Job Sheet'!K11="Colourbond Over-Roll Hooding",'Job Sheet'!L11="Charcoal (Monument)"),'Tube Cutting'!J11,"")</f>
        <v/>
      </c>
      <c r="BN5" t="str">
        <f>IF(AND('Job Sheet'!K11="Colourbond Over-Roll Hooding",'Job Sheet'!L11="Dune"),'Tube Cutting'!J11,"")</f>
        <v/>
      </c>
      <c r="BO5" t="str">
        <f>IF(AND('Job Sheet'!K11="Colourbond Over-Roll Hooding",'Job Sheet'!L11="Heritage Red (Manor Red)"),'Tube Cutting'!J11,"")</f>
        <v/>
      </c>
      <c r="BP5" t="str">
        <f>IF(AND('Job Sheet'!K11="Colourbond Over-Roll Hooding",'Job Sheet'!L11="Ironstone"),'Tube Cutting'!J11,"")</f>
        <v/>
      </c>
      <c r="BQ5" t="str">
        <f>IF(AND('Job Sheet'!K11="Colourbond Over-Roll Hooding",'Job Sheet'!L11="Jasper"),'Tube Cutting'!J11,"")</f>
        <v/>
      </c>
      <c r="BR5" t="str">
        <f>IF(AND('Job Sheet'!K11="Colourbond Over-Roll Hooding",'Job Sheet'!L11="Merino (Paperbark)"),'Tube Cutting'!J11,"")</f>
        <v/>
      </c>
      <c r="BS5" t="str">
        <f>IF(AND('Job Sheet'!K11="Colourbond Over-Roll Hooding",'Job Sheet'!L11="Mist Green"),'Tube Cutting'!J11,"")</f>
        <v/>
      </c>
      <c r="BT5" t="str">
        <f>IF(AND('Job Sheet'!K11="Colourbond Over-Roll Hooding",'Job Sheet'!L11="Mountain Blue"),'Tube Cutting'!J11,"")</f>
        <v/>
      </c>
      <c r="BU5" t="str">
        <f>IF(AND('Job Sheet'!K11="Colourbond Over-Roll Hooding",'Job Sheet'!L11="Smooth Cream (Classic Cream)"),'Tube Cutting'!J11,"")</f>
        <v/>
      </c>
      <c r="BV5" t="str">
        <f>IF(AND('Job Sheet'!K11="Colourbond Over-Roll Hooding",'Job Sheet'!L11="Shale Grey"),'Tube Cutting'!J11,"")</f>
        <v/>
      </c>
      <c r="BW5" t="str">
        <f>IF(AND('Job Sheet'!K11="Colourbond Over-Roll Hooding",'Job Sheet'!L11="Slate Grey (Woodland Grey)"),'Tube Cutting'!J11,"")</f>
        <v/>
      </c>
      <c r="BX5" t="str">
        <f>IF(AND('Job Sheet'!K11="Colourbond Over-Roll Hooding",'Job Sheet'!L11="Surfmist"),'Tube Cutting'!J11,"")</f>
        <v/>
      </c>
      <c r="BY5" t="str">
        <f>IF(AND('Job Sheet'!J11="Colourbond Over-Roll Hooding",'Job Sheet'!K11="White"),'Tube Cutting'!J11,"")</f>
        <v/>
      </c>
      <c r="BZ5" t="str">
        <f>IF(AND('Job Sheet'!P11="Spring",'Job Sheet'!K11="Colourbond Over-Roll Hooding",'Job Sheet'!L11="Custom Powdercoat"),1,"")</f>
        <v/>
      </c>
      <c r="CA5" t="str">
        <f>IF(AND('Job Sheet'!P11="Spring",'Job Sheet'!K11="Colourbond Over-Roll Hooding",'Job Sheet'!L11="Ebony (Black)"),1,"")</f>
        <v/>
      </c>
      <c r="CB5" t="str">
        <f>IF(AND('Job Sheet'!P11="Spring",'Job Sheet'!K11="Colourbond Over-Roll Hooding",'Job Sheet'!L11="Caulfield Green"),1,"")</f>
        <v/>
      </c>
      <c r="CC5" t="str">
        <f>IF(AND('Job Sheet'!P11="Spring",'Job Sheet'!K11="Colourbond Over-Roll Hooding",'Job Sheet'!L11="Charcoal (Monument)"),1,"")</f>
        <v/>
      </c>
      <c r="CD5" t="str">
        <f>IF(AND('Job Sheet'!P11="Spring",'Job Sheet'!K11="Colourbond Over-Roll Hooding",'Job Sheet'!L11="Dune"),1,"")</f>
        <v/>
      </c>
      <c r="CE5" t="str">
        <f>IF(AND('Job Sheet'!P11="Spring",'Job Sheet'!K11="Colourbond Over-Roll Hooding",'Job Sheet'!L11="Heritage Red (Manor Red)"),1,"")</f>
        <v/>
      </c>
      <c r="CF5" t="str">
        <f>IF(AND('Job Sheet'!P11="Spring",'Job Sheet'!K11="Colourbond Over-Roll Hooding",'Job Sheet'!L11="Ironstone"),1,"")</f>
        <v/>
      </c>
      <c r="CG5" t="str">
        <f>IF(AND('Job Sheet'!P11="Spring",'Job Sheet'!K11="Colourbond Over-Roll Hooding",'Job Sheet'!L11="Jasper"),1,"")</f>
        <v/>
      </c>
      <c r="CH5" t="str">
        <f>IF(AND('Job Sheet'!P11="Spring",'Job Sheet'!K11="Colourbond Over-Roll Hooding",'Job Sheet'!L11="Merino (Paperbark)"),1,"")</f>
        <v/>
      </c>
      <c r="CI5" t="str">
        <f>IF(AND('Job Sheet'!P11="Spring",'Job Sheet'!K11="Colourbond Over-Roll Hooding",'Job Sheet'!L11="Mist Green"),1,"")</f>
        <v/>
      </c>
      <c r="CJ5" t="str">
        <f>IF(AND('Job Sheet'!P11="Spring",'Job Sheet'!K11="Colourbond Over-Roll Hooding",'Job Sheet'!L11="Mountain Blue"),1,"")</f>
        <v/>
      </c>
      <c r="CK5" t="str">
        <f>IF(AND('Job Sheet'!P11="Spring",'Job Sheet'!K11="Colourbond Over-Roll Hooding",'Job Sheet'!L11="Smooth Cream (Classic Cream)"),1,"")</f>
        <v/>
      </c>
      <c r="CL5" t="str">
        <f>IF(AND('Job Sheet'!P11="Spring",'Job Sheet'!K11="Colourbond Over-Roll Hooding",'Job Sheet'!L11="Shale Grey"),1,"")</f>
        <v/>
      </c>
      <c r="CM5" t="str">
        <f>IF(AND('Job Sheet'!P11="Spring",'Job Sheet'!K11="Colourbond Over-Roll Hooding",'Job Sheet'!L11="Slate Grey (Woodland Grey)"),1,"")</f>
        <v/>
      </c>
      <c r="CN5" t="str">
        <f>IF(AND('Job Sheet'!P11="Spring",'Job Sheet'!K11="Colourbond Over-Roll Hooding",'Job Sheet'!L11="Surfmist"),1,"")</f>
        <v/>
      </c>
      <c r="CO5" t="str">
        <f>IF(AND('Job Sheet'!P11="Spring",'Job Sheet'!K11="Colourbond Over-Roll Hooding",'Job Sheet'!L11="White"),1,"")</f>
        <v/>
      </c>
      <c r="CP5" t="str">
        <f>IF(AND('Job Sheet'!P11&lt;&gt;"Spring",'Job Sheet'!K11="Colourbond Over-Roll Hooding",'Job Sheet'!L11="Custom Powdercoat"),1,"")</f>
        <v/>
      </c>
      <c r="CQ5" t="str">
        <f>IF(AND('Job Sheet'!P11&lt;&gt;"Spring",'Job Sheet'!K11="Colourbond Over-Roll Hooding",'Job Sheet'!L11="Ebony (Black)"),1,"")</f>
        <v/>
      </c>
      <c r="CR5" t="str">
        <f>IF(AND('Job Sheet'!P11&lt;&gt;"Spring",'Job Sheet'!K11="Colourbond Over-Roll Hooding",'Job Sheet'!L11="Caulfield Green"),1,"")</f>
        <v/>
      </c>
      <c r="CS5" t="str">
        <f>IF(AND('Job Sheet'!P11&lt;&gt;"Spring",'Job Sheet'!K11="Colourbond Over-Roll Hooding",'Job Sheet'!L11="Charcoal (Monument)"),1,"")</f>
        <v/>
      </c>
      <c r="CT5" t="str">
        <f>IF(AND('Job Sheet'!P11&lt;&gt;"Spring",'Job Sheet'!K11="Colourbond Over-Roll Hooding",'Job Sheet'!L11="Dune"),1,"")</f>
        <v/>
      </c>
      <c r="CU5" t="str">
        <f>IF(AND('Job Sheet'!P11&lt;&gt;"Spring",'Job Sheet'!K11="Colourbond Over-Roll Hooding",'Job Sheet'!L11="Heritage Red (Manor Red)"),1,"")</f>
        <v/>
      </c>
      <c r="CV5" t="str">
        <f>IF(AND('Job Sheet'!P11&lt;&gt;"Spring",'Job Sheet'!K11="Colourbond Over-Roll Hooding",'Job Sheet'!L11="Ironstone"),1,"")</f>
        <v/>
      </c>
      <c r="CW5" t="str">
        <f>IF(AND('Job Sheet'!P11&lt;&gt;"Spring",'Job Sheet'!K11="Colourbond Over-Roll Hooding",'Job Sheet'!L11="Jasper"),1,"")</f>
        <v/>
      </c>
      <c r="CX5" t="str">
        <f>IF(AND('Job Sheet'!P11&lt;&gt;"Spring",'Job Sheet'!K11="Colourbond Over-Roll Hooding",'Job Sheet'!L11="Merino (Paperbark)"),1,"")</f>
        <v/>
      </c>
      <c r="CY5" t="str">
        <f>IF(AND('Job Sheet'!P11&lt;&gt;"Spring",'Job Sheet'!K11="Colourbond Over-Roll Hooding",'Job Sheet'!L11="Mist Green"),1,"")</f>
        <v/>
      </c>
      <c r="CZ5" t="str">
        <f>IF(AND('Job Sheet'!P11&lt;&gt;"Spring",'Job Sheet'!K11="Colourbond Over-Roll Hooding",'Job Sheet'!L11="Mountain Blue"),1,"")</f>
        <v/>
      </c>
      <c r="DA5" t="str">
        <f>IF(AND('Job Sheet'!P11&lt;&gt;"Spring",'Job Sheet'!K11="Colourbond Over-Roll Hooding",'Job Sheet'!L11="Smooth Cream (Classic Cream)"),1,"")</f>
        <v/>
      </c>
      <c r="DB5" t="str">
        <f>IF(AND('Job Sheet'!P11&lt;&gt;"Spring",'Job Sheet'!K11="Colourbond Over-Roll Hooding",'Job Sheet'!L11="Shale Grey"),1,"")</f>
        <v/>
      </c>
      <c r="DC5" t="str">
        <f>IF(AND('Job Sheet'!P11&lt;&gt;"Spring",'Job Sheet'!K11="Colourbond Over-Roll Hooding",'Job Sheet'!L11="Slate Grey (Woodland Grey)"),1,"")</f>
        <v/>
      </c>
      <c r="DD5" t="str">
        <f>IF(AND('Job Sheet'!P11&lt;&gt;"Spring",'Job Sheet'!K11="Colourbond Over-Roll Hooding",'Job Sheet'!L11="Surfmist"),1,"")</f>
        <v/>
      </c>
      <c r="DE5" t="str">
        <f>IF(AND('Job Sheet'!P11&lt;&gt;"Spring",'Job Sheet'!K11="Colourbond Over-Roll Hooding",'Job Sheet'!L11="White"),1,"")</f>
        <v/>
      </c>
      <c r="DF5" t="str">
        <f>IF('Tube Cutting'!C11="50mm",'Tube Cutting'!D11,"")</f>
        <v/>
      </c>
      <c r="DG5">
        <f>IF('Tube Cutting'!C11="63mm",'Tube Cutting'!D11,"")</f>
        <v>4125</v>
      </c>
      <c r="DH5" t="str">
        <f>IF('Tube Cutting'!C11="70mm",'Tube Cutting'!D11,"")</f>
        <v/>
      </c>
      <c r="DI5" t="str">
        <f>IF('Tube Cutting'!C11="78mm",'Tube Cutting'!D11,"")</f>
        <v/>
      </c>
      <c r="DJ5" t="str">
        <f>IF('Tube Cutting'!C11="85mm",'Tube Cutting'!D11,"")</f>
        <v/>
      </c>
      <c r="DK5" t="str">
        <f>IF(AND('Job Sheet'!P11="Gearbox",'Tube Cutting'!C11="50mm"),1,"")</f>
        <v/>
      </c>
      <c r="DL5" t="str">
        <f>IF(AND('Job Sheet'!P11&lt;&gt;"Spring",'Tube Cutting'!C11="50mm"),1,"")</f>
        <v/>
      </c>
      <c r="DM5" t="str">
        <f>IF(AND('Job Sheet'!P11="Gearbox",'Tube Cutting'!C11="63mm"),1,"")</f>
        <v/>
      </c>
      <c r="DN5">
        <f>IF(AND('Job Sheet'!P11&lt;&gt;"Spring",'Tube Cutting'!C11="63mm"),1,"")</f>
        <v>1</v>
      </c>
      <c r="DO5" t="str">
        <f>IF(AND('Job Sheet'!P11="Gearbox",'Tube Cutting'!C11="70mm"),1,"")</f>
        <v/>
      </c>
      <c r="DP5" t="str">
        <f>IF(AND('Job Sheet'!P11&lt;&gt;"Spring",'Tube Cutting'!C11="70mm"),1,"")</f>
        <v/>
      </c>
      <c r="DQ5" t="str">
        <f>IF(AND('Job Sheet'!P11="Gearbox",'Tube Cutting'!C11="78mm"),1,"")</f>
        <v/>
      </c>
      <c r="DR5" t="str">
        <f>IF(AND('Job Sheet'!P11&lt;&gt;"Spring",'Tube Cutting'!C11="78mm"),1,"")</f>
        <v/>
      </c>
      <c r="DS5" t="str">
        <f>IF(AND('Job Sheet'!P11="Gearbox",'Tube Cutting'!C11="85mm"),1,"")</f>
        <v/>
      </c>
      <c r="DT5" t="str">
        <f>IF(AND('Job Sheet'!P11&lt;&gt;"Spring",'Tube Cutting'!C11="85mm"),1,"")</f>
        <v/>
      </c>
      <c r="DU5" t="str">
        <f>IF('Tube Cutting'!I11="Custom Powdercoat",'Tube Cutting'!F11,"")</f>
        <v/>
      </c>
      <c r="DV5" t="str">
        <f>IF('Tube Cutting'!I11="Ebony (Black)",'Tube Cutting'!F11,"")</f>
        <v/>
      </c>
      <c r="DW5" t="str">
        <f>IF('Tube Cutting'!I11="Caulfield Green",'Tube Cutting'!F11,"")</f>
        <v/>
      </c>
      <c r="DX5" t="str">
        <f>IF('Tube Cutting'!I11="Charcoal (Monument)",'Tube Cutting'!F11,"")</f>
        <v/>
      </c>
      <c r="DY5" t="str">
        <f>IF('Tube Cutting'!I11="Dune",'Tube Cutting'!F11,"")</f>
        <v/>
      </c>
      <c r="DZ5" t="str">
        <f>IF('Tube Cutting'!I11="Heritage Red (Manor Red)",'Tube Cutting'!F11,"")</f>
        <v/>
      </c>
      <c r="EA5" t="str">
        <f>IF('Tube Cutting'!I11="Ironstone",'Tube Cutting'!F11,"")</f>
        <v/>
      </c>
      <c r="EB5" t="str">
        <f>IF('Tube Cutting'!I11="Jasper",'Tube Cutting'!F11,"")</f>
        <v/>
      </c>
      <c r="EC5">
        <f>IF('Tube Cutting'!I11="Merino (Paperbark)",'Tube Cutting'!F11,"")</f>
        <v>4105</v>
      </c>
      <c r="ED5" t="str">
        <f>IF('Tube Cutting'!I11="Mist Green",'Tube Cutting'!F11,"")</f>
        <v/>
      </c>
      <c r="EE5" t="str">
        <f>IF('Tube Cutting'!I11="Mountain Blue",'Tube Cutting'!F11,"")</f>
        <v/>
      </c>
      <c r="EF5" t="str">
        <f>IF('Tube Cutting'!I11="Smooth Cream (Classic Cream)",'Tube Cutting'!F11,"")</f>
        <v/>
      </c>
      <c r="EG5" t="str">
        <f>IF('Tube Cutting'!I11="Shale Grey",'Tube Cutting'!F11,"")</f>
        <v/>
      </c>
      <c r="EH5" t="str">
        <f>IF('Tube Cutting'!I11="Slate Grey (Woodland Grey)",'Tube Cutting'!F11,"")</f>
        <v/>
      </c>
      <c r="EI5" t="str">
        <f>IF('Tube Cutting'!I11="Surf Mist",'Tube Cutting'!F11,"")</f>
        <v/>
      </c>
      <c r="EJ5" t="str">
        <f>IF('Tube Cutting'!I11="White",'Tube Cutting'!F11,"")</f>
        <v/>
      </c>
      <c r="EK5">
        <f>IF(AND('Job Sheet'!AD11="Standard Zinc",'Job Sheet'!P11&lt;&gt;"Spring"),1,"")</f>
        <v>1</v>
      </c>
      <c r="EL5" t="str">
        <f>IF(AND('Job Sheet'!AD11="Stainless Steel",'Job Sheet'!P11&lt;&gt;"Spring"),1,"")</f>
        <v/>
      </c>
      <c r="EM5" t="str">
        <f>IF('Job Sheet'!P11="Spring",1,"")</f>
        <v/>
      </c>
      <c r="EN5">
        <f>IF(D5="","",2)</f>
        <v>2</v>
      </c>
      <c r="EO5" t="str">
        <f>IF('Job Sheet'!AJ11="50mm Small",1,"")</f>
        <v/>
      </c>
      <c r="EP5" t="str">
        <f>IF('Job Sheet'!AJ11="50mm Std",1,"")</f>
        <v/>
      </c>
      <c r="EQ5" t="str">
        <f>IF('Job Sheet'!AJ11="63mm Std",1,"")</f>
        <v/>
      </c>
      <c r="FZ5">
        <f>IF(AND('Job Sheet'!O11="U Bracket",'Job Sheet'!AD11="Standard Zinc"),2,"")</f>
        <v>2</v>
      </c>
      <c r="GA5" t="str">
        <f>IF(AND('Job Sheet'!O11="U Bracket",'Job Sheet'!AD11="Stainless Steel"),2,"")</f>
        <v/>
      </c>
      <c r="GB5">
        <f>IF(D5="","",2)</f>
        <v>2</v>
      </c>
      <c r="GG5" t="str">
        <f>IF(AND('Job Sheet'!AD11="Standard Zinc",'Job Sheet'!K11="Spring Brackets"),2,"")</f>
        <v/>
      </c>
      <c r="GH5" t="str">
        <f>IF(AND('Job Sheet'!AD11="Stainless Steel",'Job Sheet'!K11="Spring Brackets"),2,"")</f>
        <v/>
      </c>
      <c r="GJ5">
        <f>IF('Job Sheet'!AC11="Yes x 1",1,IF('Job Sheet'!AC11="Yes x 2",2,""))</f>
        <v>1</v>
      </c>
      <c r="GL5" t="str">
        <f>IF('Job Sheet'!AB11="Telescopic x 1",1,IF('Job Sheet'!AB11="Telescopic x 2",2,IF('Job Sheet'!AB11="Telescopic x 3",3,+IF('Job Sheet'!AC11="Telescopic x 1",1,IF('Job Sheet'!AC11="Telescopic x 2",2,IF('Job Sheet'!AC11="Telescopic x 3",3,""))))))</f>
        <v/>
      </c>
      <c r="GM5" t="str">
        <f>IF(AND('Job Sheet'!P11="Gearbox",'Job Sheet'!R11="Black"),1,"")</f>
        <v/>
      </c>
      <c r="GN5" t="str">
        <f>IF(AND('Job Sheet'!P11="Gearbox",'Job Sheet'!R11="White"),1,"")</f>
        <v/>
      </c>
      <c r="GO5" t="str">
        <f>IF('Job Sheet'!Y11="Black Crank Handle 1000mm",1,"")</f>
        <v/>
      </c>
      <c r="GP5" t="str">
        <f>IF('Job Sheet'!Y11="Black Crank Handle 1200mm",1,"")</f>
        <v/>
      </c>
      <c r="GQ5" t="str">
        <f>IF('Job Sheet'!Y11="Black Crank Handle 1500mm",1,"")</f>
        <v/>
      </c>
      <c r="GR5" t="str">
        <f>IF('Job Sheet'!Y11="Black Crank Handle 1800mm",1,"")</f>
        <v/>
      </c>
      <c r="GS5" t="str">
        <f>IF('Job Sheet'!Y11="Black Crank Handle 2200mm",1,"")</f>
        <v/>
      </c>
      <c r="GT5" t="str">
        <f>IF('Job Sheet'!Y11="Black Crank Handle 2500mm",1,"")</f>
        <v/>
      </c>
      <c r="GU5" t="str">
        <f>IF('Job Sheet'!Y11="Black Crank Handle 3000mm",1,"")</f>
        <v/>
      </c>
      <c r="GV5" t="str">
        <f>IF('Job Sheet'!Y11="White Crank Handle 1000mm",1,"")</f>
        <v/>
      </c>
      <c r="GW5" t="str">
        <f>IF('Job Sheet'!Y11="White Crank Handle 1200mm",1,"")</f>
        <v/>
      </c>
      <c r="GX5" t="str">
        <f>IF('Job Sheet'!Y11="White Crank Handle 1500mm",1,"")</f>
        <v/>
      </c>
      <c r="GY5" t="str">
        <f>IF('Job Sheet'!Y11="White Crank Handle 1800mm",1,"")</f>
        <v/>
      </c>
      <c r="GZ5" t="str">
        <f>IF('Job Sheet'!Y11="White Crank Handle 2200mm",1,"")</f>
        <v/>
      </c>
      <c r="HA5" t="str">
        <f>IF('Job Sheet'!Y11="White Crank Handle 2500mm",1,"")</f>
        <v/>
      </c>
      <c r="HB5" t="str">
        <f>IF('Job Sheet'!Y11="White Crank Handle 3000mm",1,"")</f>
        <v/>
      </c>
      <c r="HC5" t="str">
        <f>IF(AND('Job Sheet'!AH11="900mm",'Job Sheet'!AD11="Standard Zinc"),2,"")</f>
        <v/>
      </c>
      <c r="HD5" t="str">
        <f>IF(AND('Job Sheet'!AH11="1200mm",'Job Sheet'!AD11="Standard Zinc"),2,"")</f>
        <v/>
      </c>
      <c r="HE5" t="str">
        <f>IF(AND('Job Sheet'!AH11="1500mm",'Job Sheet'!AD11="Standard Zinc"),2,"")</f>
        <v/>
      </c>
      <c r="HF5">
        <f>IF(AND('Job Sheet'!AH11="1800mm",'Job Sheet'!AD11="Standard Zinc"),2,"")</f>
        <v>2</v>
      </c>
      <c r="HG5" t="str">
        <f>IF(AND('Job Sheet'!AH11="2100mm",'Job Sheet'!AD11="Standard Zinc"),2,"")</f>
        <v/>
      </c>
      <c r="HH5" t="str">
        <f>IF(AND('Job Sheet'!AH11="2400mm",'Job Sheet'!AD11="Standard Zinc"),2,"")</f>
        <v/>
      </c>
      <c r="HI5" t="str">
        <f>IF(AND('Job Sheet'!AH11="2700mm",'Job Sheet'!AD11="Standard Zinc"),2,"")</f>
        <v/>
      </c>
      <c r="HJ5" t="str">
        <f>IF(AND('Job Sheet'!AH11="3000mm",'Job Sheet'!AD11="Standard Zinc"),2,"")</f>
        <v/>
      </c>
      <c r="HK5" t="str">
        <f>IF(AND('Job Sheet'!AH11="3500mm",'Job Sheet'!AD11="Standard Zinc"),2,"")</f>
        <v/>
      </c>
      <c r="HL5" t="str">
        <f>IF(AND('Job Sheet'!AH11="900mm",'Job Sheet'!AD11="Stainless Steel"),2,"")</f>
        <v/>
      </c>
      <c r="HM5" t="str">
        <f>IF(AND('Job Sheet'!AH11="1200mm",'Job Sheet'!AD11="Stainless Steel"),2,"")</f>
        <v/>
      </c>
      <c r="HN5" t="str">
        <f>IF(AND('Job Sheet'!AH11="1500mm",'Job Sheet'!AD11="Stainless Steel"),2,"")</f>
        <v/>
      </c>
      <c r="HO5" t="str">
        <f>IF(AND('Job Sheet'!AH11="1800mm",'Job Sheet'!AD11="Stainless Steel"),2,"")</f>
        <v/>
      </c>
      <c r="HP5" t="str">
        <f>IF(AND('Job Sheet'!AH11="2100mm",'Job Sheet'!AD11="Stainless Steel"),2,"")</f>
        <v/>
      </c>
      <c r="HQ5" t="str">
        <f>IF(AND('Job Sheet'!AH11="2400mm",'Job Sheet'!AD11="Stainless Steel"),2,"")</f>
        <v/>
      </c>
      <c r="HR5" t="str">
        <f>IF(AND('Job Sheet'!AH11="2700mm",'Job Sheet'!AD11="Stainless Steel"),2,"")</f>
        <v/>
      </c>
      <c r="HS5" t="str">
        <f>IF(AND('Job Sheet'!AH11="3000mm",'Job Sheet'!AD11="Stainless Steel"),2,"")</f>
        <v/>
      </c>
      <c r="HT5">
        <f>IF('Tube Cutting'!G11="","",'Tube Cutting'!F11*2-120)</f>
        <v>8090</v>
      </c>
      <c r="HU5" t="str">
        <f>IF(AND('Job Sheet'!O11="150mm L Bracket",'Job Sheet'!AD11="Standard Zinc"),2,"")</f>
        <v/>
      </c>
      <c r="HV5" t="str">
        <f>IF(AND('Job Sheet'!O11="225mm L Bracket",'Job Sheet'!AD11="Standard Zinc"),2,"")</f>
        <v/>
      </c>
      <c r="HW5" t="str">
        <f>IF(AND('Job Sheet'!O11="300mm L Bracket",'Job Sheet'!AD11="Standard Zinc"),2,"")</f>
        <v/>
      </c>
      <c r="HX5" t="str">
        <f>IF(AND('Job Sheet'!O11="450mm L Bracket",'Job Sheet'!AD11="Standard Zinc"),2,"")</f>
        <v/>
      </c>
      <c r="HY5" t="str">
        <f>IF(AND('Job Sheet'!O11="600mm L Bracket",'Job Sheet'!AD11="Standard Zinc"),2,"")</f>
        <v/>
      </c>
      <c r="HZ5" t="str">
        <f>IF(AND('Job Sheet'!O11="150mm L Bracket",'Job Sheet'!AD11="Stainless Steel"),2,"")</f>
        <v/>
      </c>
      <c r="IA5" t="str">
        <f>IF(AND('Job Sheet'!O11="225mm L Bracket",'Job Sheet'!AD11="Stainless Steel"),2,"")</f>
        <v/>
      </c>
      <c r="IB5" t="str">
        <f>IF(AND('Job Sheet'!O11="300mm L Bracket",'Job Sheet'!AD11="Stainless Steel"),2,"")</f>
        <v/>
      </c>
      <c r="IC5">
        <f>IF(D5="","",2)</f>
        <v>2</v>
      </c>
      <c r="ID5" t="str">
        <f>IF(AND('Job Sheet'!AD11="Standard Zinc",(OR('Job Sheet'!Y11="150mm Stayed Bracket with No Pulleys and Rope Cleat",'Job Sheet'!Y11="150mm Stayed Bracket with 1 Pulley and Rope Cleat",'Job Sheet'!Y11="150mm Stayed Bracket with 2 Pulleys and Rope Cleat"))),1,"")</f>
        <v/>
      </c>
      <c r="IE5" t="str">
        <f>IF(AND('Job Sheet'!AD11="Standard Zinc",(OR('Job Sheet'!Y11="225mm Stayed Bracket with No Pulleys and Rope Cleat",'Job Sheet'!Y11="225mm Stayed Bracket with 1 Pulley and Rope Cleat",'Job Sheet'!Y11="225mm Stayed Bracket with 2 Pulleys and Rope Cleat"))),1,"")</f>
        <v/>
      </c>
      <c r="IF5" t="str">
        <f>IF(AND('Job Sheet'!AD11="Standard Zinc",(OR('Job Sheet'!Y11="300mm Stayed Bracket with No Pulleys and Rope Cleat",'Job Sheet'!Y11="300mm Stayed Bracket with 1 Pulley and Rope Cleat",'Job Sheet'!Y11="300mm Stayed Bracket with 2 Pulleys and Rope Cleat"))),1,"")</f>
        <v/>
      </c>
      <c r="IG5" t="str">
        <f>IF(AND('Job Sheet'!AD11="Stainless Steel",OR('Job Sheet'!Y11="150mm Stayed Bracket with No Pulleys and Rope Cleat",'Job Sheet'!Y11="150mm Stayed Bracket with 1 Pulley and Rope Cleat",'Job Sheet'!Y11="150mm Stayed Bracket with 2 Pulleys and Rope Cleat")),1,"")</f>
        <v/>
      </c>
      <c r="IH5" t="str">
        <f>IF(AND('Job Sheet'!Y11="300mm Stayed Bracket with 1 Pulley and Rope Cleat",'Job Sheet'!AD11="Stainless Steel"),1,"")</f>
        <v/>
      </c>
      <c r="II5" t="str">
        <f>IF(OR('Job Sheet'!Y11="150mm Stayed Bracket with 1 Pulley and Rope Cleat",'Job Sheet'!Y11="225mm Stayed Bracket with 1 Pulley and Rope Cleat",'Job Sheet'!Y11="300mm Stayed Bracket with 1 Pulley and Rope Cleat",'Job Sheet'!Y11="With 1 Pulley and Rope Cleat"),"1",IF(OR('Job Sheet'!Y11="150mm Stayed Bracket with 2 Pulleys and Rope Cleat",'Job Sheet'!Y11="225mm Stayed Bracket with 2 Pulleys and Rope Cleat",'Job Sheet'!Y11="300mm Stayed Bracket with 2 Pulleys and Rope Cleat",'Job Sheet'!Y11="With 2 Pulleys and Rope Cleat"),"2",""))</f>
        <v/>
      </c>
      <c r="IJ5" t="str">
        <f>IF(OR('Job Sheet'!Y11="150mm Stayed Bracket with No Pulleys and Rope Cleat",'Job Sheet'!Y11="150mm Stayed Bracket with 1 Pulley and Rope Cleat",'Job Sheet'!Y11="150mm Stayed Bracket with 2 Pulleys and Rope Cleat",'Job Sheet'!Y11="225mm Stayed Bracket with No Pulleys and Rope Cleat",'Job Sheet'!Y11="225mm Stayed Bracket with 1 Pulley and Rope Cleat",'Job Sheet'!Y11="225mm Stayed Bracket with 2 Pulleys and Rope Cleat",'Job Sheet'!Y11="300mm Stayed Bracket with No Pulleys and Rope Cleat",'Job Sheet'!Y11="300mm Stayed Bracket with 1 Pulley and Rope Cleat",'Job Sheet'!Y11="300mm Stayed Bracket with 2 Pulleys and Rope Cleat",'Job Sheet'!Y11="With No Pulleys and Rope Cleat",'Job Sheet'!Y11="With 1 Pulley and Rope Cleat",'Job Sheet'!Y11="With 2 Pulleys and Rope Cleat",),"1","")</f>
        <v/>
      </c>
      <c r="IK5" t="str">
        <f>IF('Job Sheet'!R11="Black Cord 2m","2",IF('Job Sheet'!R11="Black Cord 3m","3",IF('Job Sheet'!R11="Black Cord 4m","4",IF('Job Sheet'!R11="Black Cord 5m","5",IF('Job Sheet'!R11="Black Cord 6m","6","")))))</f>
        <v/>
      </c>
      <c r="IL5" t="str">
        <f>IF('Job Sheet'!R11="White Cord 2m","2",IF('Job Sheet'!R11="White Cord 3m","3",IF('Job Sheet'!R11="White Cord 4m","4",IF('Job Sheet'!R11="White Cord 5m","5",IF('Job Sheet'!R11="White Cord 6m","6","")))))</f>
        <v/>
      </c>
      <c r="IM5" t="str">
        <f>IF(AND('Job Sheet'!K11="Powder Coated Brackets",'Job Sheet'!L11="Black"),2,"")</f>
        <v/>
      </c>
      <c r="IN5" t="str">
        <f>IF(AND('Job Sheet'!K11="Powder Coated Brackets",'Job Sheet'!L11="White"),2,"")</f>
        <v/>
      </c>
      <c r="IQ5" t="str">
        <f>IF('Job Sheet'!L11="Stainless Steel",2,"")</f>
        <v/>
      </c>
      <c r="JD5" t="str">
        <f>IF('Job Sheet'!AB11="25mm x 1",1,IF('Job Sheet'!AB11="25mm x 2",2,""))</f>
        <v/>
      </c>
      <c r="JE5" t="str">
        <f>IF('Job Sheet'!AB11="50mm x 1",1,IF('Job Sheet'!AB11="50mm x 2",2,""))</f>
        <v/>
      </c>
      <c r="JF5" t="str">
        <f>IF('Job Sheet'!AB11="75mm x 1",1,IF('Job Sheet'!AB11="75mm x 2",2,""))</f>
        <v/>
      </c>
      <c r="JG5" t="str">
        <f>IF('Job Sheet'!AB11="100mm x 1",1,IF('Job Sheet'!AB11="100mm x 2",2,""))</f>
        <v/>
      </c>
      <c r="JH5" t="str">
        <f>IF('Job Sheet'!AB11="125mm x 1",1,IF('Job Sheet'!AB11="125mm x 2",2,""))</f>
        <v/>
      </c>
      <c r="JN5" t="str">
        <f>IF('Job Sheet'!AA11="25mm x 1",1,IF('Job Sheet'!AA11="25mm x 2",2,""))</f>
        <v/>
      </c>
      <c r="JO5" t="str">
        <f>IF('Job Sheet'!AA11="50mm x 1",1,IF('Job Sheet'!AA11="50mm x 2",2,""))</f>
        <v/>
      </c>
      <c r="JP5" t="str">
        <f>IF('Job Sheet'!AA11="75mm x 1",1,IF('Job Sheet'!AA11="75mm x 2",2,""))</f>
        <v/>
      </c>
      <c r="JQ5" t="str">
        <f>IF('Job Sheet'!AA11="100mm x 1",1,IF('Job Sheet'!AA11="100mm x 2",2,""))</f>
        <v/>
      </c>
      <c r="JR5" t="str">
        <f>IF('Job Sheet'!AA11="125mm x 1",1,IF('Job Sheet'!AA11="125mm x 2",2,""))</f>
        <v/>
      </c>
      <c r="JS5">
        <f>IF('Welding&amp;Sewing'!D11="3.6mm White",'Fabric Cutting'!G11*2,'Fabric Cutting'!G11)</f>
        <v>8210</v>
      </c>
      <c r="JT5" t="str">
        <f>IF('Welding&amp;Sewing'!D11="6mm Black",'Fabric Cutting'!G11,"")</f>
        <v/>
      </c>
      <c r="MB5" t="str">
        <f>IF('Job Sheet'!P11="Acmeda Remote Motor",1,"")</f>
        <v/>
      </c>
      <c r="MC5" t="str">
        <f>IF(AND('Tube Cutting'!C11="63mm",'Job Sheet'!P11="Acmeda Remote Motor"),1,"")</f>
        <v/>
      </c>
      <c r="MD5" t="str">
        <f>IF(AND('Tube Cutting'!C11="63mm",'Job Sheet'!P11="Acmeda Remote Motor"),1,"")</f>
        <v/>
      </c>
      <c r="ME5" t="str">
        <f>IF(AND('Tube Cutting'!C11="78mm",'Job Sheet'!P11="Acmeda Remote Motor"),1,"")</f>
        <v/>
      </c>
      <c r="MF5" t="str">
        <f>IF(AND('Tube Cutting'!C11="78mm",'Job Sheet'!P11="Acmeda Remote Motor"),1,"")</f>
        <v/>
      </c>
      <c r="MG5" t="str">
        <f>IF('Job Sheet'!P11="Acmeda 12v Remote Motor",1,"")</f>
        <v/>
      </c>
      <c r="MH5" t="str">
        <f>IF(OR('Job Sheet'!Z11="External Battery",'Job Sheet'!Z11="External Battery and Charging Cable"),1,"")</f>
        <v/>
      </c>
      <c r="MI5" t="str">
        <f>IF('Job Sheet'!Z11="External Battery and Charging Cable",1,"")</f>
        <v/>
      </c>
      <c r="MJ5" t="str">
        <f>IF(OR('Job Sheet'!Z11="Pulse Pro Automation Hub",'Job Sheet'!Z11="Pulse 2.0 Automation Hub"),1,"")</f>
        <v/>
      </c>
      <c r="MK5" t="str">
        <f>IF('Job Sheet'!Z11="USB Repeater",1,"")</f>
        <v/>
      </c>
      <c r="ML5" t="str">
        <f>IF('Job Sheet'!Y11="Acmeda 1 Channel White Remote",1,"")</f>
        <v/>
      </c>
      <c r="MM5" t="str">
        <f>IF('Job Sheet'!Y11="Acmeda 1 Channel Black Remote",1,"")</f>
        <v/>
      </c>
      <c r="MN5" t="str">
        <f>IF('Job Sheet'!Y11="Acmeda 5 Channel White Remote",1,"")</f>
        <v/>
      </c>
      <c r="MO5" t="str">
        <f>IF('Job Sheet'!Y11="Acmeda 5 Channel Black Remote",1,"")</f>
        <v/>
      </c>
      <c r="MP5" t="str">
        <f>IF('Job Sheet'!Y11="Acmeda 15 Channel White Remote",1,"")</f>
        <v/>
      </c>
      <c r="MQ5" t="str">
        <f>IF('Job Sheet'!Y11="Acmeda 15 Channel Black Remote",1,"")</f>
        <v/>
      </c>
      <c r="MR5" t="str">
        <f>IF('Job Sheet'!Y11="Acmeda Wall Mounted 5 Channel White Remote",1,"")</f>
        <v/>
      </c>
      <c r="MS5" t="str">
        <f>IF('Job Sheet'!Y11="Acmeda Wall Mounted Single Channel White Remote",1,"")</f>
        <v/>
      </c>
      <c r="MT5" t="str">
        <f>IF('Job Sheet'!Y11="Acmeda Wall Mounted 2 Channel White Remote",1,"")</f>
        <v/>
      </c>
      <c r="MU5" t="str">
        <f>IF('Job Sheet'!Y11="Acmeda Wall Mounted 15 Channel White Remote",1,"")</f>
        <v/>
      </c>
      <c r="MV5" t="str">
        <f>IF('Job Sheet'!Y11="Acmeda Push Pro White Remote with Charger",1,"")</f>
        <v/>
      </c>
      <c r="MW5" t="str">
        <f>IF('Job Sheet'!Y11="Acmeda Push Pro Black Remote with Charger",1,"")</f>
        <v/>
      </c>
      <c r="MX5" t="str">
        <f>IF(OR('Job Sheet'!Y11="Acmeda Push Pro White Remote with Charger",'Job Sheet'!Y11="Acmeda Push Pro Black Remote with Charger"),"1","")</f>
        <v/>
      </c>
      <c r="MY5" t="str">
        <f>MX5</f>
        <v/>
      </c>
      <c r="NA5" t="str">
        <f>IF('Job Sheet'!Z11="1 Channel Dry Contact Relay Module",1,"")</f>
        <v/>
      </c>
      <c r="ND5">
        <f>IF('Job Sheet'!P11="Becker Remote Operated",1,"")</f>
        <v>1</v>
      </c>
      <c r="NF5" t="str">
        <f>IF('Job Sheet'!P11="Becker Switch Operated",1,"")</f>
        <v/>
      </c>
      <c r="NG5">
        <f>IF(AND('Tube Cutting'!C11="63mm",(OR('Job Sheet'!P11="Becker Remote Operated",'Job Sheet'!P11="Becker Switch Operated"))),1,"")</f>
        <v>1</v>
      </c>
      <c r="NH5">
        <f>IF(AND('Tube Cutting'!C11="63mm",(OR('Job Sheet'!P11="Becker Remote Operated",'Job Sheet'!P11="Becker Switch Operated"))),1,"")</f>
        <v>1</v>
      </c>
      <c r="NI5">
        <f>IF(OR('Job Sheet'!P11="Becker Remote Operated",'Job Sheet'!P11="Becker Switch Operated"),1,"")</f>
        <v>1</v>
      </c>
      <c r="NK5" t="str">
        <f>IF(AND('Tube Cutting'!C11="78mm",(OR('Job Sheet'!P11="Becker Remote Operated",'Job Sheet'!P11="Becker Switch Operated"))),1,"")</f>
        <v/>
      </c>
      <c r="NL5" t="str">
        <f>IF(AND('Tube Cutting'!C11="78mm",(OR('Job Sheet'!P11="Becker Remote Operated",'Job Sheet'!P11="Becker Switch Operated"))),1,"")</f>
        <v/>
      </c>
      <c r="NM5" t="str">
        <f>IF('Job Sheet'!Y11="Becker Single Channel White Remote",1,"")</f>
        <v/>
      </c>
      <c r="NN5" t="str">
        <f>IF('Job Sheet'!Y11="Becker Single Channel Black Remote",1,"")</f>
        <v/>
      </c>
      <c r="NO5" t="str">
        <f>IF('Job Sheet'!Y11="Becker 5 Channel White Remote",1,"")</f>
        <v/>
      </c>
      <c r="NP5" t="str">
        <f>IF('Job Sheet'!Y11="Becker 5 Channel Black Remote",1,"")</f>
        <v/>
      </c>
      <c r="NQ5" t="str">
        <f>IF('Job Sheet'!Y11="Becker 10 Channel White Remote",1,"")</f>
        <v/>
      </c>
      <c r="NR5" t="str">
        <f>IF('Job Sheet'!Y11="Becker 10 Channel Black Remote",1,"")</f>
        <v/>
      </c>
      <c r="NS5" t="s">
        <v>617</v>
      </c>
      <c r="NT5" t="str">
        <f>IF('Job Sheet'!P11="Somfy Remote Operated",1,"")</f>
        <v/>
      </c>
      <c r="NV5" t="str">
        <f>IF('Job Sheet'!P11="Somfy Remote Operated",1,"")</f>
        <v/>
      </c>
      <c r="NW5" t="str">
        <f>IF(AND('Tube Cutting'!C11="63mm",'Job Sheet'!P11="Somfy Remote Operated"),1,"")</f>
        <v/>
      </c>
      <c r="NX5" t="str">
        <f>IF(AND('Tube Cutting'!C11="63mm",'Job Sheet'!P11="Somfy Remote Operated"),1,"")</f>
        <v/>
      </c>
      <c r="NY5" t="str">
        <f>IF(AND('Tube Cutting'!C11="78mm",'Job Sheet'!P11="Somfy Remote Operated"),1,"")</f>
        <v/>
      </c>
      <c r="NZ5" t="str">
        <f>IF(AND('Tube Cutting'!C11="78mm",'Job Sheet'!P11="Somfy Remote Operated"),1,"")</f>
        <v/>
      </c>
      <c r="OA5" t="str">
        <f>IF('Job Sheet'!Z11="Connexoon App Connector",1,"")</f>
        <v/>
      </c>
      <c r="OB5" t="str">
        <f>IF('Job Sheet'!Z11="Tahoma Switch",1,"")</f>
        <v/>
      </c>
      <c r="OC5" t="str">
        <f>IF('Job Sheet'!Y11="Somfy 15 Channel Silver Remote",1,"")</f>
        <v/>
      </c>
      <c r="OD5" t="str">
        <f>IF('Job Sheet'!Y11="Somfy 15 Channel White Remote",1,"")</f>
        <v/>
      </c>
      <c r="OE5" t="str">
        <f>IF('Job Sheet'!Y11="Somfy 2 Channel Silver Remote",1,"")</f>
        <v/>
      </c>
      <c r="OF5" t="str">
        <f>IF('Job Sheet'!Y11="Somfy 2 Channel Wall Mounted Smoove Remote White with Black Cover Plate",1,"")</f>
        <v/>
      </c>
      <c r="OG5" t="str">
        <f>IF('Job Sheet'!Y11="Somfy 2 Channel Wall Mounted Smoove Remote White with Silver Cover Plate",1,"")</f>
        <v/>
      </c>
      <c r="OH5" t="str">
        <f>IF('Job Sheet'!Y11="Somfy 2 Channel Wall Mounted Smoove Remote White",1,"")</f>
        <v/>
      </c>
      <c r="OI5" t="str">
        <f>IF('Job Sheet'!Y11="Somfy 2 Channel White Remote",1,"")</f>
        <v/>
      </c>
      <c r="OJ5" t="str">
        <f>IF('Job Sheet'!Y11="Somfy 2 Channel Silver Remote",1,"")</f>
        <v/>
      </c>
      <c r="OK5" t="str">
        <f>IF('Job Sheet'!Y11="Somfy 5 Channel Wall Mounted Smoove Remote White with Black Cover Plate",1,"")</f>
        <v/>
      </c>
      <c r="OL5" t="str">
        <f>IF('Job Sheet'!Y11="Somfy 5 Channel Wall Mounted Smoove Remote White with Silver Cover Plate",1,"")</f>
        <v/>
      </c>
      <c r="OM5" t="str">
        <f>IF('Job Sheet'!Y11="Somfy 5 Channel Wall Mounted Smoove Remote White",1,"")</f>
        <v/>
      </c>
      <c r="ON5" t="str">
        <f>IF('Job Sheet'!Y11="Somfy 5 Channel White Remote",1,"")</f>
        <v/>
      </c>
      <c r="OO5" t="str">
        <f>IF('Job Sheet'!Y11="Somfy Single Channel Silver Remote",1,"")</f>
        <v/>
      </c>
      <c r="OP5" t="str">
        <f>IF('Job Sheet'!Y11="Somfy Single Channel Wall Mounted Smoove Remote White with Black Cover Plate",1,"")</f>
        <v/>
      </c>
      <c r="OQ5" t="str">
        <f>IF('Job Sheet'!Y11="Somfy Single Channel Wall Mounted Smoove Remote White with Silver Cover Plate",1,"")</f>
        <v/>
      </c>
      <c r="OR5" t="str">
        <f>IF('Job Sheet'!Y11="Somfy Single Channel Wall Mounted Smoove Remote White",1,"")</f>
        <v/>
      </c>
      <c r="OS5" t="str">
        <f>IF('Job Sheet'!Y11="Somfy Single Channel White Remote",1,"")</f>
        <v/>
      </c>
    </row>
    <row r="6" spans="4:409" ht="13.15" customHeight="1">
      <c r="D6" t="str">
        <f>IF('Tube Cutting'!D12="","",CONCATENATE(Data!BC$5,".",Data!BD$5))</f>
        <v>12085.A</v>
      </c>
      <c r="E6">
        <f>IF(D6="","",Data!AW12)</f>
        <v>3</v>
      </c>
      <c r="F6" t="str">
        <f>IF(D6="","",Data!AV12)</f>
        <v>04f2cf7f-928c-4bbe-91cd-44f46968e38d</v>
      </c>
      <c r="G6" t="str">
        <f t="shared" si="0" ref="G6:G14">IF(E6="","","Fixed Guide Sunblind")</f>
        <v>Fixed Guide Sunblind</v>
      </c>
      <c r="H6" t="str">
        <f>IF(D6="","",Data!BF$5)</f>
        <v>Campbell, Neil</v>
      </c>
      <c r="I6" t="str">
        <f>IF(D6="","",Data!AX$5)</f>
        <v>Verticali Patio Blinds &amp; Fixed Guide Awnings</v>
      </c>
      <c r="J6" t="str">
        <f>'Job Sheet'!H12</f>
        <v>HVG Visiontex Glisse Sunscreen Naxos</v>
      </c>
      <c r="K6">
        <f t="shared" si="1" ref="K6:K14">IF(D6="","",L6*M6/1000000)</f>
        <v>4.11978</v>
      </c>
      <c r="L6" s="33">
        <f>'Fabric Cutting'!G12</f>
        <v>1731</v>
      </c>
      <c r="M6" s="33">
        <f>'Fabric Cutting'!H12</f>
        <v>2380</v>
      </c>
      <c r="N6" t="str">
        <f>IF(AND('Job Sheet'!K12="Colourbond Under-Roll Hooding",'Job Sheet'!L12="Custom Powdercoat"),'Tube Cutting'!J12,"")</f>
        <v/>
      </c>
      <c r="O6" t="str">
        <f>IF(AND('Job Sheet'!K12="Colourbond Under-Roll Hooding",'Job Sheet'!L12="Ebony (Black)"),'Tube Cutting'!J12,"")</f>
        <v/>
      </c>
      <c r="P6" t="str">
        <f>IF(AND('Job Sheet'!K12="Colourbond Under-Roll Hooding",'Job Sheet'!L12="Caulfield Green"),'Tube Cutting'!J12,"")</f>
        <v/>
      </c>
      <c r="Q6" t="str">
        <f>IF(AND('Job Sheet'!K12="Colourbond Under-Roll Hooding",'Job Sheet'!L12="Charcoal (Monument)"),'Tube Cutting'!J12,"")</f>
        <v/>
      </c>
      <c r="R6" t="str">
        <f>IF(AND('Job Sheet'!K12="Colourbond Under-Roll Hooding",'Job Sheet'!L12="Dune"),'Tube Cutting'!J12,"")</f>
        <v/>
      </c>
      <c r="S6" t="str">
        <f>IF(AND('Job Sheet'!K12="Colourbond Under-Roll Hooding",'Job Sheet'!L12="Heritage Red (Manor Red)"),'Tube Cutting'!J12,"")</f>
        <v/>
      </c>
      <c r="T6" t="str">
        <f>IF(AND('Job Sheet'!K12="Colourbond Under-Roll Hooding",'Job Sheet'!L12="Ironstone"),'Tube Cutting'!J12,"")</f>
        <v/>
      </c>
      <c r="U6" t="str">
        <f>IF(AND('Job Sheet'!K12="Colourbond Under-Roll Hooding",'Job Sheet'!L12="Jasper"),'Tube Cutting'!J12,"")</f>
        <v/>
      </c>
      <c r="V6">
        <f>IF(AND('Job Sheet'!K12="Colourbond Under-Roll Hooding",'Job Sheet'!L12="Merino (Paperbark)"),'Tube Cutting'!J12,"")</f>
        <v>1812</v>
      </c>
      <c r="W6" t="str">
        <f>IF(AND('Job Sheet'!K12="Colourbond Under-Roll Hooding",'Job Sheet'!L12="Mist Green"),'Tube Cutting'!J12,"")</f>
        <v/>
      </c>
      <c r="X6" t="str">
        <f>IF(AND('Job Sheet'!K12="Colourbond Under-Roll Hooding",'Job Sheet'!L12="Mountain Blue"),'Tube Cutting'!J12,"")</f>
        <v/>
      </c>
      <c r="Y6" t="str">
        <f>IF(AND('Job Sheet'!K12="Colourbond Under-Roll Hooding",'Job Sheet'!L12="Smooth Cream (Classic Cream)"),'Tube Cutting'!J12,"")</f>
        <v/>
      </c>
      <c r="Z6" t="str">
        <f>IF(AND('Job Sheet'!K12="Colourbond Under-Roll Hooding",'Job Sheet'!L12="Shale Grey"),'Tube Cutting'!J12,"")</f>
        <v/>
      </c>
      <c r="AA6" t="str">
        <f>IF(AND('Job Sheet'!K12="Colourbond Under-Roll Hooding",'Job Sheet'!L12="Slate Grey (Woodland Grey)"),'Tube Cutting'!J12,"")</f>
        <v/>
      </c>
      <c r="AB6" t="str">
        <f>IF(AND('Job Sheet'!K12="Colourbond Under-Roll Hooding",'Job Sheet'!L12="Surfmist"),'Tube Cutting'!J12,"")</f>
        <v/>
      </c>
      <c r="AC6" t="str">
        <f>IF(AND('Job Sheet'!K12="Colourbond Under-Roll Hooding",'Job Sheet'!L12="White"),'Tube Cutting'!J12,"")</f>
        <v/>
      </c>
      <c r="AD6" t="str">
        <f>IF(AND('Job Sheet'!P12="Spring",'Job Sheet'!K12="Colourbond Under-Roll Hooding",'Job Sheet'!L12="Custom Powdercoat"),1,"")</f>
        <v/>
      </c>
      <c r="AE6" t="str">
        <f>IF(AND('Job Sheet'!P12="Spring",'Job Sheet'!K12="Colourbond Under-Roll Hooding",'Job Sheet'!L12="Ebony (Black)"),1,"")</f>
        <v/>
      </c>
      <c r="AF6" t="str">
        <f>IF(AND('Job Sheet'!P12="Spring",'Job Sheet'!K12="Colourbond Under-Roll Hooding",'Job Sheet'!L12="Caulfield Green"),1,"")</f>
        <v/>
      </c>
      <c r="AG6" t="str">
        <f>IF(AND('Job Sheet'!P12="Spring",'Job Sheet'!K12="Colourbond Under-Roll Hooding",'Job Sheet'!L12="Charcoal (Monument)"),1,"")</f>
        <v/>
      </c>
      <c r="AH6" t="str">
        <f>IF(AND('Job Sheet'!P12="Spring",'Job Sheet'!K12="Colourbond Under-Roll Hooding",'Job Sheet'!L12="Dune"),1,"")</f>
        <v/>
      </c>
      <c r="AI6" t="str">
        <f>IF(AND('Job Sheet'!P12="Spring",'Job Sheet'!K12="Colourbond Under-Roll Hooding",'Job Sheet'!L12="Heritage Red (Manor Red)"),1,"")</f>
        <v/>
      </c>
      <c r="AJ6" t="str">
        <f>IF(AND('Job Sheet'!P12="Spring",'Job Sheet'!K12="Colourbond Under-Roll Hooding",'Job Sheet'!L12="Ironstone"),1,"")</f>
        <v/>
      </c>
      <c r="AK6" t="str">
        <f>IF(AND('Job Sheet'!P12="Spring",'Job Sheet'!K12="Colourbond Under-Roll Hooding",'Job Sheet'!L12="Jasper"),1,"")</f>
        <v/>
      </c>
      <c r="AL6" t="str">
        <f>IF(AND('Job Sheet'!P12="Spring",'Job Sheet'!K12="Colourbond Under-Roll Hooding",'Job Sheet'!L12="Merino (Paperbark)"),1,"")</f>
        <v/>
      </c>
      <c r="AM6" t="str">
        <f>IF(AND('Job Sheet'!P12="Spring",'Job Sheet'!K12="Colourbond Under-Roll Hooding",'Job Sheet'!L12="Mist Green"),1,"")</f>
        <v/>
      </c>
      <c r="AN6" t="str">
        <f>IF(AND('Job Sheet'!P12="Spring",'Job Sheet'!K12="Colourbond Under-Roll Hooding",'Job Sheet'!L12="Mountain Blue"),1,"")</f>
        <v/>
      </c>
      <c r="AO6" t="str">
        <f>IF(AND('Job Sheet'!P12="Spring",'Job Sheet'!K12="Colourbond Under-Roll Hooding",'Job Sheet'!L12="Smooth Cream (Classic Cream)"),1,"")</f>
        <v/>
      </c>
      <c r="AP6" t="str">
        <f>IF(AND('Job Sheet'!P12="Spring",'Job Sheet'!K12="Colourbond Under-Roll Hooding",'Job Sheet'!L12="Shale Grey"),1,"")</f>
        <v/>
      </c>
      <c r="AQ6" t="str">
        <f>IF(AND('Job Sheet'!P12="Spring",'Job Sheet'!K12="Colourbond Under-Roll Hooding",'Job Sheet'!L12="Slate Grey (Woodland Grey)"),1,"")</f>
        <v/>
      </c>
      <c r="AR6" t="str">
        <f>IF(AND('Job Sheet'!P12="Spring",'Job Sheet'!K12="Colourbond Under-Roll Hooding",'Job Sheet'!L12="Surfmist"),1,"")</f>
        <v/>
      </c>
      <c r="AS6" t="str">
        <f>IF(AND('Job Sheet'!P12="Spring",'Job Sheet'!K12="Colourbond Under-Roll Hooding",'Job Sheet'!L12="White"),1,"")</f>
        <v/>
      </c>
      <c r="AT6" t="str">
        <f>IF(AND('Job Sheet'!P12&lt;&gt;"Spring",'Job Sheet'!K12="Colourbond Under-Roll Hooding",'Job Sheet'!L12="Custom Powdercoat"),1,"")</f>
        <v/>
      </c>
      <c r="AU6" t="str">
        <f>IF(AND('Job Sheet'!P12&lt;&gt;"Spring",'Job Sheet'!K12="Colourbond Under-Roll Hooding",'Job Sheet'!L12="Ebony (Black)"),1,"")</f>
        <v/>
      </c>
      <c r="AV6" t="str">
        <f>IF(AND('Job Sheet'!P12&lt;&gt;"Spring",'Job Sheet'!K12="Colourbond Under-Roll Hooding",'Job Sheet'!L12="Caulfield Green"),1,"")</f>
        <v/>
      </c>
      <c r="AW6" t="str">
        <f>IF(AND('Job Sheet'!P12&lt;&gt;"Spring",'Job Sheet'!K12="Colourbond Under-Roll Hooding",'Job Sheet'!L12="Charcoal (Monument)"),1,"")</f>
        <v/>
      </c>
      <c r="AX6" t="str">
        <f>IF(AND('Job Sheet'!P12&lt;&gt;"Spring",'Job Sheet'!K12="Colourbond Under-Roll Hooding",'Job Sheet'!L12="Dune"),1,"")</f>
        <v/>
      </c>
      <c r="AY6" t="str">
        <f>IF(AND('Job Sheet'!P12&lt;&gt;"Spring",'Job Sheet'!K12="Colourbond Under-Roll Hooding",'Job Sheet'!L12="Heritage Red (Manor Red)"),1,"")</f>
        <v/>
      </c>
      <c r="AZ6" t="str">
        <f>IF(AND('Job Sheet'!P12&lt;&gt;"Spring",'Job Sheet'!K12="Colourbond Under-Roll Hooding",'Job Sheet'!L12="Ironstone"),1,"")</f>
        <v/>
      </c>
      <c r="BA6" t="str">
        <f>IF(AND('Job Sheet'!P12&lt;&gt;"Spring",'Job Sheet'!K12="Colourbond Under-Roll Hooding",'Job Sheet'!L12="Jasper"),1,"")</f>
        <v/>
      </c>
      <c r="BB6">
        <f>IF(AND('Job Sheet'!P12&lt;&gt;"Spring",'Job Sheet'!K12="Colourbond Under-Roll Hooding",'Job Sheet'!L12="Merino (Paperbark)"),1,"")</f>
        <v>1</v>
      </c>
      <c r="BC6" t="str">
        <f>IF(AND('Job Sheet'!P12&lt;&gt;"Spring",'Job Sheet'!K12="Colourbond Under-Roll Hooding",'Job Sheet'!L12="Mist Green"),1,"")</f>
        <v/>
      </c>
      <c r="BD6" t="str">
        <f>IF(AND('Job Sheet'!P12&lt;&gt;"Spring",'Job Sheet'!K12="Colourbond Under-Roll Hooding",'Job Sheet'!L12="Mountain Blue"),1,"")</f>
        <v/>
      </c>
      <c r="BE6" t="str">
        <f>IF(AND('Job Sheet'!P12&lt;&gt;"Spring",'Job Sheet'!K12="Colourbond Under-Roll Hooding",'Job Sheet'!L12="Smooth Cream (Classic Cream)"),1,"")</f>
        <v/>
      </c>
      <c r="BF6" t="str">
        <f>IF(AND('Job Sheet'!P12&lt;&gt;"Spring",'Job Sheet'!K12="Colourbond Under-Roll Hooding",'Job Sheet'!L12="Shale Grey"),1,"")</f>
        <v/>
      </c>
      <c r="BG6" t="str">
        <f>IF(AND('Job Sheet'!P12&lt;&gt;"Spring",'Job Sheet'!K12="Colourbond Under-Roll Hooding",'Job Sheet'!L12="Slate Grey (Woodland Grey)"),1,"")</f>
        <v/>
      </c>
      <c r="BH6" t="str">
        <f>IF(AND('Job Sheet'!P12&lt;&gt;"Spring",'Job Sheet'!K12="Colourbond Under-Roll Hooding",'Job Sheet'!L12="Surfmist"),1,"")</f>
        <v/>
      </c>
      <c r="BI6" t="str">
        <f>IF(AND('Job Sheet'!P12&lt;&gt;"Spring",'Job Sheet'!K12="Colourbond Under-Roll Hooding",'Job Sheet'!L12="White"),1,"")</f>
        <v/>
      </c>
      <c r="BJ6" t="str">
        <f>IF(AND('Job Sheet'!K12="Colourbond Over-Roll Hooding",'Job Sheet'!L12="Custom Powdercoat"),'Tube Cutting'!J12,"")</f>
        <v/>
      </c>
      <c r="BK6" t="str">
        <f>IF(AND('Job Sheet'!K12="Colourbond Over-Roll Hooding",'Job Sheet'!L12="Ebony (Black)"),'Tube Cutting'!J12,"")</f>
        <v/>
      </c>
      <c r="BL6" t="str">
        <f>IF(AND('Job Sheet'!K12="Colourbond Over-Roll Hooding",'Job Sheet'!L12="Caulfield Green"),'Tube Cutting'!J12,"")</f>
        <v/>
      </c>
      <c r="BM6" t="str">
        <f>IF(AND('Job Sheet'!K12="Colourbond Over-Roll Hooding",'Job Sheet'!L12="Charcoal (Monument)"),'Tube Cutting'!J12,"")</f>
        <v/>
      </c>
      <c r="BN6" t="str">
        <f>IF(AND('Job Sheet'!K12="Colourbond Over-Roll Hooding",'Job Sheet'!L12="Dune"),'Tube Cutting'!J12,"")</f>
        <v/>
      </c>
      <c r="BO6" t="str">
        <f>IF(AND('Job Sheet'!K12="Colourbond Over-Roll Hooding",'Job Sheet'!L12="Heritage Red (Manor Red)"),'Tube Cutting'!J12,"")</f>
        <v/>
      </c>
      <c r="BP6" t="str">
        <f>IF(AND('Job Sheet'!K12="Colourbond Over-Roll Hooding",'Job Sheet'!L12="Ironstone"),'Tube Cutting'!J12,"")</f>
        <v/>
      </c>
      <c r="BQ6" t="str">
        <f>IF(AND('Job Sheet'!K12="Colourbond Over-Roll Hooding",'Job Sheet'!L12="Jasper"),'Tube Cutting'!J12,"")</f>
        <v/>
      </c>
      <c r="BR6" t="str">
        <f>IF(AND('Job Sheet'!K12="Colourbond Over-Roll Hooding",'Job Sheet'!L12="Merino (Paperbark)"),'Tube Cutting'!J12,"")</f>
        <v/>
      </c>
      <c r="BS6" t="str">
        <f>IF(AND('Job Sheet'!K12="Colourbond Over-Roll Hooding",'Job Sheet'!L12="Mist Green"),'Tube Cutting'!J12,"")</f>
        <v/>
      </c>
      <c r="BT6" t="str">
        <f>IF(AND('Job Sheet'!K12="Colourbond Over-Roll Hooding",'Job Sheet'!L12="Mountain Blue"),'Tube Cutting'!J12,"")</f>
        <v/>
      </c>
      <c r="BU6" t="str">
        <f>IF(AND('Job Sheet'!K12="Colourbond Over-Roll Hooding",'Job Sheet'!L12="Smooth Cream (Classic Cream)"),'Tube Cutting'!J12,"")</f>
        <v/>
      </c>
      <c r="BV6" t="str">
        <f>IF(AND('Job Sheet'!K12="Colourbond Over-Roll Hooding",'Job Sheet'!L12="Shale Grey"),'Tube Cutting'!J12,"")</f>
        <v/>
      </c>
      <c r="BW6" t="str">
        <f>IF(AND('Job Sheet'!K12="Colourbond Over-Roll Hooding",'Job Sheet'!L12="Slate Grey (Woodland Grey)"),'Tube Cutting'!J12,"")</f>
        <v/>
      </c>
      <c r="BX6" t="str">
        <f>IF(AND('Job Sheet'!K12="Colourbond Over-Roll Hooding",'Job Sheet'!L12="Surfmist"),'Tube Cutting'!J12,"")</f>
        <v/>
      </c>
      <c r="BY6" t="str">
        <f>IF(AND('Job Sheet'!J12="Colourbond Over-Roll Hooding",'Job Sheet'!K12="White"),'Tube Cutting'!J12,"")</f>
        <v/>
      </c>
      <c r="BZ6" t="str">
        <f>IF(AND('Job Sheet'!P12="Spring",'Job Sheet'!K12="Colourbond Over-Roll Hooding",'Job Sheet'!L12="Custom Powdercoat"),1,"")</f>
        <v/>
      </c>
      <c r="CA6" t="str">
        <f>IF(AND('Job Sheet'!P12="Spring",'Job Sheet'!K12="Colourbond Over-Roll Hooding",'Job Sheet'!L12="Ebony (Black)"),1,"")</f>
        <v/>
      </c>
      <c r="CB6" t="str">
        <f>IF(AND('Job Sheet'!P12="Spring",'Job Sheet'!K12="Colourbond Over-Roll Hooding",'Job Sheet'!L12="Caulfield Green"),1,"")</f>
        <v/>
      </c>
      <c r="CC6" t="str">
        <f>IF(AND('Job Sheet'!P12="Spring",'Job Sheet'!K12="Colourbond Over-Roll Hooding",'Job Sheet'!L12="Charcoal (Monument)"),1,"")</f>
        <v/>
      </c>
      <c r="CD6" t="str">
        <f>IF(AND('Job Sheet'!P12="Spring",'Job Sheet'!K12="Colourbond Over-Roll Hooding",'Job Sheet'!L12="Dune"),1,"")</f>
        <v/>
      </c>
      <c r="CE6" t="str">
        <f>IF(AND('Job Sheet'!P12="Spring",'Job Sheet'!K12="Colourbond Over-Roll Hooding",'Job Sheet'!L12="Heritage Red (Manor Red)"),1,"")</f>
        <v/>
      </c>
      <c r="CF6" t="str">
        <f>IF(AND('Job Sheet'!P12="Spring",'Job Sheet'!K12="Colourbond Over-Roll Hooding",'Job Sheet'!L12="Ironstone"),1,"")</f>
        <v/>
      </c>
      <c r="CG6" t="str">
        <f>IF(AND('Job Sheet'!P12="Spring",'Job Sheet'!K12="Colourbond Over-Roll Hooding",'Job Sheet'!L12="Jasper"),1,"")</f>
        <v/>
      </c>
      <c r="CH6" t="str">
        <f>IF(AND('Job Sheet'!P12="Spring",'Job Sheet'!K12="Colourbond Over-Roll Hooding",'Job Sheet'!L12="Merino (Paperbark)"),1,"")</f>
        <v/>
      </c>
      <c r="CI6" t="str">
        <f>IF(AND('Job Sheet'!P12="Spring",'Job Sheet'!K12="Colourbond Over-Roll Hooding",'Job Sheet'!L12="Mist Green"),1,"")</f>
        <v/>
      </c>
      <c r="CJ6" t="str">
        <f>IF(AND('Job Sheet'!P12="Spring",'Job Sheet'!K12="Colourbond Over-Roll Hooding",'Job Sheet'!L12="Mountain Blue"),1,"")</f>
        <v/>
      </c>
      <c r="CK6" t="str">
        <f>IF(AND('Job Sheet'!P12="Spring",'Job Sheet'!K12="Colourbond Over-Roll Hooding",'Job Sheet'!L12="Smooth Cream (Classic Cream)"),1,"")</f>
        <v/>
      </c>
      <c r="CL6" t="str">
        <f>IF(AND('Job Sheet'!P12="Spring",'Job Sheet'!K12="Colourbond Over-Roll Hooding",'Job Sheet'!L12="Shale Grey"),1,"")</f>
        <v/>
      </c>
      <c r="CM6" t="str">
        <f>IF(AND('Job Sheet'!P12="Spring",'Job Sheet'!K12="Colourbond Over-Roll Hooding",'Job Sheet'!L12="Slate Grey (Woodland Grey)"),1,"")</f>
        <v/>
      </c>
      <c r="CN6" t="str">
        <f>IF(AND('Job Sheet'!P12="Spring",'Job Sheet'!K12="Colourbond Over-Roll Hooding",'Job Sheet'!L12="Surfmist"),1,"")</f>
        <v/>
      </c>
      <c r="CO6" t="str">
        <f>IF(AND('Job Sheet'!P12="Spring",'Job Sheet'!K12="Colourbond Over-Roll Hooding",'Job Sheet'!L12="White"),1,"")</f>
        <v/>
      </c>
      <c r="CP6" t="str">
        <f>IF(AND('Job Sheet'!P12&lt;&gt;"Spring",'Job Sheet'!K12="Colourbond Over-Roll Hooding",'Job Sheet'!L12="Custom Powdercoat"),1,"")</f>
        <v/>
      </c>
      <c r="CQ6" t="str">
        <f>IF(AND('Job Sheet'!P12&lt;&gt;"Spring",'Job Sheet'!K12="Colourbond Over-Roll Hooding",'Job Sheet'!L12="Ebony (Black)"),1,"")</f>
        <v/>
      </c>
      <c r="CR6" t="str">
        <f>IF(AND('Job Sheet'!P12&lt;&gt;"Spring",'Job Sheet'!K12="Colourbond Over-Roll Hooding",'Job Sheet'!L12="Caulfield Green"),1,"")</f>
        <v/>
      </c>
      <c r="CS6" t="str">
        <f>IF(AND('Job Sheet'!P12&lt;&gt;"Spring",'Job Sheet'!K12="Colourbond Over-Roll Hooding",'Job Sheet'!L12="Charcoal (Monument)"),1,"")</f>
        <v/>
      </c>
      <c r="CT6" t="str">
        <f>IF(AND('Job Sheet'!P12&lt;&gt;"Spring",'Job Sheet'!K12="Colourbond Over-Roll Hooding",'Job Sheet'!L12="Dune"),1,"")</f>
        <v/>
      </c>
      <c r="CU6" t="str">
        <f>IF(AND('Job Sheet'!P12&lt;&gt;"Spring",'Job Sheet'!K12="Colourbond Over-Roll Hooding",'Job Sheet'!L12="Heritage Red (Manor Red)"),1,"")</f>
        <v/>
      </c>
      <c r="CV6" t="str">
        <f>IF(AND('Job Sheet'!P12&lt;&gt;"Spring",'Job Sheet'!K12="Colourbond Over-Roll Hooding",'Job Sheet'!L12="Ironstone"),1,"")</f>
        <v/>
      </c>
      <c r="CW6" t="str">
        <f>IF(AND('Job Sheet'!P12&lt;&gt;"Spring",'Job Sheet'!K12="Colourbond Over-Roll Hooding",'Job Sheet'!L12="Jasper"),1,"")</f>
        <v/>
      </c>
      <c r="CX6" t="str">
        <f>IF(AND('Job Sheet'!P12&lt;&gt;"Spring",'Job Sheet'!K12="Colourbond Over-Roll Hooding",'Job Sheet'!L12="Merino (Paperbark)"),1,"")</f>
        <v/>
      </c>
      <c r="CY6" t="str">
        <f>IF(AND('Job Sheet'!P12&lt;&gt;"Spring",'Job Sheet'!K12="Colourbond Over-Roll Hooding",'Job Sheet'!L12="Mist Green"),1,"")</f>
        <v/>
      </c>
      <c r="CZ6" t="str">
        <f>IF(AND('Job Sheet'!P12&lt;&gt;"Spring",'Job Sheet'!K12="Colourbond Over-Roll Hooding",'Job Sheet'!L12="Mountain Blue"),1,"")</f>
        <v/>
      </c>
      <c r="DA6" t="str">
        <f>IF(AND('Job Sheet'!P12&lt;&gt;"Spring",'Job Sheet'!K12="Colourbond Over-Roll Hooding",'Job Sheet'!L12="Smooth Cream (Classic Cream)"),1,"")</f>
        <v/>
      </c>
      <c r="DB6" t="str">
        <f>IF(AND('Job Sheet'!P12&lt;&gt;"Spring",'Job Sheet'!K12="Colourbond Over-Roll Hooding",'Job Sheet'!L12="Shale Grey"),1,"")</f>
        <v/>
      </c>
      <c r="DC6" t="str">
        <f>IF(AND('Job Sheet'!P12&lt;&gt;"Spring",'Job Sheet'!K12="Colourbond Over-Roll Hooding",'Job Sheet'!L12="Slate Grey (Woodland Grey)"),1,"")</f>
        <v/>
      </c>
      <c r="DD6" t="str">
        <f>IF(AND('Job Sheet'!P12&lt;&gt;"Spring",'Job Sheet'!K12="Colourbond Over-Roll Hooding",'Job Sheet'!L12="Surfmist"),1,"")</f>
        <v/>
      </c>
      <c r="DE6" t="str">
        <f>IF(AND('Job Sheet'!P12&lt;&gt;"Spring",'Job Sheet'!K12="Colourbond Over-Roll Hooding",'Job Sheet'!L12="White"),1,"")</f>
        <v/>
      </c>
      <c r="DF6" t="str">
        <f>IF('Tube Cutting'!C12="50mm",'Tube Cutting'!D12,"")</f>
        <v/>
      </c>
      <c r="DG6">
        <f>IF('Tube Cutting'!C12="63mm",'Tube Cutting'!D12,"")</f>
        <v>1751</v>
      </c>
      <c r="DH6" t="str">
        <f>IF('Tube Cutting'!C12="70mm",'Tube Cutting'!D12,"")</f>
        <v/>
      </c>
      <c r="DI6" t="str">
        <f>IF('Tube Cutting'!C12="78mm",'Tube Cutting'!D12,"")</f>
        <v/>
      </c>
      <c r="DJ6" t="str">
        <f>IF('Tube Cutting'!C12="85mm",'Tube Cutting'!D12,"")</f>
        <v/>
      </c>
      <c r="DK6" t="str">
        <f>IF(AND('Job Sheet'!P12="Gearbox",'Tube Cutting'!C12="50mm"),1,"")</f>
        <v/>
      </c>
      <c r="DL6" t="str">
        <f>IF(AND('Job Sheet'!P12&lt;&gt;"Spring",'Tube Cutting'!C12="50mm"),1,"")</f>
        <v/>
      </c>
      <c r="DM6" t="str">
        <f>IF(AND('Job Sheet'!P12="Gearbox",'Tube Cutting'!C12="63mm"),1,"")</f>
        <v/>
      </c>
      <c r="DN6">
        <f>IF(AND('Job Sheet'!P12&lt;&gt;"Spring",'Tube Cutting'!C12="63mm"),1,"")</f>
        <v>1</v>
      </c>
      <c r="DO6" t="str">
        <f>IF(AND('Job Sheet'!P12="Gearbox",'Tube Cutting'!C12="70mm"),1,"")</f>
        <v/>
      </c>
      <c r="DP6" t="str">
        <f>IF(AND('Job Sheet'!P12&lt;&gt;"Spring",'Tube Cutting'!C12="70mm"),1,"")</f>
        <v/>
      </c>
      <c r="DQ6" t="str">
        <f>IF(AND('Job Sheet'!P12="Gearbox",'Tube Cutting'!C12="78mm"),1,"")</f>
        <v/>
      </c>
      <c r="DR6" t="str">
        <f>IF(AND('Job Sheet'!P12&lt;&gt;"Spring",'Tube Cutting'!C12="78mm"),1,"")</f>
        <v/>
      </c>
      <c r="DS6" t="str">
        <f>IF(AND('Job Sheet'!P12="Gearbox",'Tube Cutting'!C12="85mm"),1,"")</f>
        <v/>
      </c>
      <c r="DT6" t="str">
        <f>IF(AND('Job Sheet'!P12&lt;&gt;"Spring",'Tube Cutting'!C12="85mm"),1,"")</f>
        <v/>
      </c>
      <c r="DU6" t="str">
        <f>IF('Tube Cutting'!I12="Custom Powdercoat",'Tube Cutting'!F12,"")</f>
        <v/>
      </c>
      <c r="DV6" t="str">
        <f>IF('Tube Cutting'!I12="Ebony (Black)",'Tube Cutting'!F12,"")</f>
        <v/>
      </c>
      <c r="DW6" t="str">
        <f>IF('Tube Cutting'!I12="Caulfield Green",'Tube Cutting'!F12,"")</f>
        <v/>
      </c>
      <c r="DX6" t="str">
        <f>IF('Tube Cutting'!I12="Charcoal (Monument)",'Tube Cutting'!F12,"")</f>
        <v/>
      </c>
      <c r="DY6" t="str">
        <f>IF('Tube Cutting'!I12="Dune",'Tube Cutting'!F12,"")</f>
        <v/>
      </c>
      <c r="DZ6" t="str">
        <f>IF('Tube Cutting'!I12="Heritage Red (Manor Red)",'Tube Cutting'!F12,"")</f>
        <v/>
      </c>
      <c r="EA6" t="str">
        <f>IF('Tube Cutting'!I12="Ironstone",'Tube Cutting'!F12,"")</f>
        <v/>
      </c>
      <c r="EB6" t="str">
        <f>IF('Tube Cutting'!I12="Jasper",'Tube Cutting'!F12,"")</f>
        <v/>
      </c>
      <c r="EC6">
        <f>IF('Tube Cutting'!I12="Merino (Paperbark)",'Tube Cutting'!F12,"")</f>
        <v>1731</v>
      </c>
      <c r="ED6" t="str">
        <f>IF('Tube Cutting'!I12="Mist Green",'Tube Cutting'!F12,"")</f>
        <v/>
      </c>
      <c r="EE6" t="str">
        <f>IF('Tube Cutting'!I12="Mountain Blue",'Tube Cutting'!F12,"")</f>
        <v/>
      </c>
      <c r="EF6" t="str">
        <f>IF('Tube Cutting'!I12="Smooth Cream (Classic Cream)",'Tube Cutting'!F12,"")</f>
        <v/>
      </c>
      <c r="EG6" t="str">
        <f>IF('Tube Cutting'!I12="Shale Grey",'Tube Cutting'!F12,"")</f>
        <v/>
      </c>
      <c r="EH6" t="str">
        <f>IF('Tube Cutting'!I12="Slate Grey (Woodland Grey)",'Tube Cutting'!F12,"")</f>
        <v/>
      </c>
      <c r="EI6" t="str">
        <f>IF('Tube Cutting'!I12="Surf Mist",'Tube Cutting'!F12,"")</f>
        <v/>
      </c>
      <c r="EJ6" t="str">
        <f>IF('Tube Cutting'!I12="White",'Tube Cutting'!F12,"")</f>
        <v/>
      </c>
      <c r="EK6">
        <f>IF(AND('Job Sheet'!AD12="Standard Zinc",'Job Sheet'!P12&lt;&gt;"Spring"),1,"")</f>
        <v>1</v>
      </c>
      <c r="EL6" t="str">
        <f>IF(AND('Job Sheet'!AD12="Stainless Steel",'Job Sheet'!P12&lt;&gt;"Spring"),1,"")</f>
        <v/>
      </c>
      <c r="EM6" t="str">
        <f>IF('Job Sheet'!P12="Spring",1,"")</f>
        <v/>
      </c>
      <c r="EN6">
        <f t="shared" si="2" ref="EN6:EN14">IF(D6="","",2)</f>
        <v>2</v>
      </c>
      <c r="EO6" t="str">
        <f>IF('Job Sheet'!AJ12="50mm Small",1,"")</f>
        <v/>
      </c>
      <c r="EP6" t="str">
        <f>IF('Job Sheet'!AJ12="50mm Std",1,"")</f>
        <v/>
      </c>
      <c r="EQ6" t="str">
        <f>IF('Job Sheet'!AJ12="63mm Std",1,"")</f>
        <v/>
      </c>
      <c r="FZ6">
        <f>IF(AND('Job Sheet'!O12="U Bracket",'Job Sheet'!AD12="Standard Zinc"),2,"")</f>
        <v>2</v>
      </c>
      <c r="GA6" t="str">
        <f>IF(AND('Job Sheet'!O12="U Bracket",'Job Sheet'!AD12="Stainless Steel"),2,"")</f>
        <v/>
      </c>
      <c r="GB6">
        <f t="shared" si="3" ref="GB6:GB14">IF(D6="","",2)</f>
        <v>2</v>
      </c>
      <c r="GG6" t="str">
        <f>IF(AND('Job Sheet'!AD12="Standard Zinc",'Job Sheet'!K12="Spring Brackets"),2,"")</f>
        <v/>
      </c>
      <c r="GH6" t="str">
        <f>IF(AND('Job Sheet'!AD12="Stainless Steel",'Job Sheet'!K12="Spring Brackets"),2,"")</f>
        <v/>
      </c>
      <c r="GJ6" t="str">
        <f>IF('Job Sheet'!AC12="Yes x 1",1,IF('Job Sheet'!AC12="Yes x 2",2,""))</f>
        <v/>
      </c>
      <c r="GL6" t="str">
        <f>IF('Job Sheet'!AB12="Telescopic x 1",1,IF('Job Sheet'!AB12="Telescopic x 2",2,IF('Job Sheet'!AB12="Telescopic x 3",3,+IF('Job Sheet'!AC12="Telescopic x 1",1,IF('Job Sheet'!AC12="Telescopic x 2",2,IF('Job Sheet'!AC12="Telescopic x 3",3,""))))))</f>
        <v/>
      </c>
      <c r="GM6" t="str">
        <f>IF(AND('Job Sheet'!P12="Gearbox",'Job Sheet'!R12="Black"),1,"")</f>
        <v/>
      </c>
      <c r="GN6" t="str">
        <f>IF(AND('Job Sheet'!P12="Gearbox",'Job Sheet'!R12="White"),1,"")</f>
        <v/>
      </c>
      <c r="GO6" t="str">
        <f>IF('Job Sheet'!Y12="Black Crank Handle 1000mm",1,"")</f>
        <v/>
      </c>
      <c r="GP6" t="str">
        <f>IF('Job Sheet'!Y12="Black Crank Handle 1200mm",1,"")</f>
        <v/>
      </c>
      <c r="GQ6" t="str">
        <f>IF('Job Sheet'!Y12="Black Crank Handle 1500mm",1,"")</f>
        <v/>
      </c>
      <c r="GR6" t="str">
        <f>IF('Job Sheet'!Y12="Black Crank Handle 1800mm",1,"")</f>
        <v/>
      </c>
      <c r="GS6" t="str">
        <f>IF('Job Sheet'!Y12="Black Crank Handle 2200mm",1,"")</f>
        <v/>
      </c>
      <c r="GT6" t="str">
        <f>IF('Job Sheet'!Y12="Black Crank Handle 2500mm",1,"")</f>
        <v/>
      </c>
      <c r="GU6" t="str">
        <f>IF('Job Sheet'!Y12="Black Crank Handle 3000mm",1,"")</f>
        <v/>
      </c>
      <c r="GV6" t="str">
        <f>IF('Job Sheet'!Y12="White Crank Handle 1000mm",1,"")</f>
        <v/>
      </c>
      <c r="GW6" t="str">
        <f>IF('Job Sheet'!Y12="White Crank Handle 1200mm",1,"")</f>
        <v/>
      </c>
      <c r="GX6" t="str">
        <f>IF('Job Sheet'!Y12="White Crank Handle 1500mm",1,"")</f>
        <v/>
      </c>
      <c r="GY6" t="str">
        <f>IF('Job Sheet'!Y12="White Crank Handle 1800mm",1,"")</f>
        <v/>
      </c>
      <c r="GZ6" t="str">
        <f>IF('Job Sheet'!Y12="White Crank Handle 2200mm",1,"")</f>
        <v/>
      </c>
      <c r="HA6" t="str">
        <f>IF('Job Sheet'!Y12="White Crank Handle 2500mm",1,"")</f>
        <v/>
      </c>
      <c r="HB6" t="str">
        <f>IF('Job Sheet'!Y12="White Crank Handle 3000mm",1,"")</f>
        <v/>
      </c>
      <c r="HC6" t="str">
        <f>IF(AND('Job Sheet'!AH12="900mm",'Job Sheet'!AD12="Standard Zinc"),2,"")</f>
        <v/>
      </c>
      <c r="HD6" t="str">
        <f>IF(AND('Job Sheet'!AH12="1200mm",'Job Sheet'!AD12="Standard Zinc"),2,"")</f>
        <v/>
      </c>
      <c r="HE6" t="str">
        <f>IF(AND('Job Sheet'!AH12="1500mm",'Job Sheet'!AD12="Standard Zinc"),2,"")</f>
        <v/>
      </c>
      <c r="HF6" t="str">
        <f>IF(AND('Job Sheet'!AH12="1800mm",'Job Sheet'!AD12="Standard Zinc"),2,"")</f>
        <v/>
      </c>
      <c r="HG6">
        <f>IF(AND('Job Sheet'!AH12="2100mm",'Job Sheet'!AD12="Standard Zinc"),2,"")</f>
        <v>2</v>
      </c>
      <c r="HH6" t="str">
        <f>IF(AND('Job Sheet'!AH12="2400mm",'Job Sheet'!AD12="Standard Zinc"),2,"")</f>
        <v/>
      </c>
      <c r="HI6" t="str">
        <f>IF(AND('Job Sheet'!AH12="2700mm",'Job Sheet'!AD12="Standard Zinc"),2,"")</f>
        <v/>
      </c>
      <c r="HJ6" t="str">
        <f>IF(AND('Job Sheet'!AH12="3000mm",'Job Sheet'!AD12="Standard Zinc"),2,"")</f>
        <v/>
      </c>
      <c r="HK6" t="str">
        <f>IF(AND('Job Sheet'!AH12="3500mm",'Job Sheet'!AD12="Standard Zinc"),2,"")</f>
        <v/>
      </c>
      <c r="HL6" t="str">
        <f>IF(AND('Job Sheet'!AH12="900mm",'Job Sheet'!AD12="Stainless Steel"),2,"")</f>
        <v/>
      </c>
      <c r="HM6" t="str">
        <f>IF(AND('Job Sheet'!AH12="1200mm",'Job Sheet'!AD12="Stainless Steel"),2,"")</f>
        <v/>
      </c>
      <c r="HN6" t="str">
        <f>IF(AND('Job Sheet'!AH12="1500mm",'Job Sheet'!AD12="Stainless Steel"),2,"")</f>
        <v/>
      </c>
      <c r="HO6" t="str">
        <f>IF(AND('Job Sheet'!AH12="1800mm",'Job Sheet'!AD12="Stainless Steel"),2,"")</f>
        <v/>
      </c>
      <c r="HP6" t="str">
        <f>IF(AND('Job Sheet'!AH12="2100mm",'Job Sheet'!AD12="Stainless Steel"),2,"")</f>
        <v/>
      </c>
      <c r="HQ6" t="str">
        <f>IF(AND('Job Sheet'!AH12="2400mm",'Job Sheet'!AD12="Stainless Steel"),2,"")</f>
        <v/>
      </c>
      <c r="HR6" t="str">
        <f>IF(AND('Job Sheet'!AH12="2700mm",'Job Sheet'!AD12="Stainless Steel"),2,"")</f>
        <v/>
      </c>
      <c r="HS6" t="str">
        <f>IF(AND('Job Sheet'!AH12="3000mm",'Job Sheet'!AD12="Stainless Steel"),2,"")</f>
        <v/>
      </c>
      <c r="HT6">
        <f>IF('Tube Cutting'!G12="","",'Tube Cutting'!F12*2-120)</f>
        <v>3342</v>
      </c>
      <c r="HU6" t="str">
        <f>IF(AND('Job Sheet'!O12="150mm L Bracket",'Job Sheet'!AD12="Standard Zinc"),2,"")</f>
        <v/>
      </c>
      <c r="HV6" t="str">
        <f>IF(AND('Job Sheet'!O12="225mm L Bracket",'Job Sheet'!AD12="Standard Zinc"),2,"")</f>
        <v/>
      </c>
      <c r="HW6" t="str">
        <f>IF(AND('Job Sheet'!O12="300mm L Bracket",'Job Sheet'!AD12="Standard Zinc"),2,"")</f>
        <v/>
      </c>
      <c r="HX6" t="str">
        <f>IF(AND('Job Sheet'!O12="450mm L Bracket",'Job Sheet'!AD12="Standard Zinc"),2,"")</f>
        <v/>
      </c>
      <c r="HY6" t="str">
        <f>IF(AND('Job Sheet'!O12="600mm L Bracket",'Job Sheet'!AD12="Standard Zinc"),2,"")</f>
        <v/>
      </c>
      <c r="HZ6" t="str">
        <f>IF(AND('Job Sheet'!O12="150mm L Bracket",'Job Sheet'!AD12="Stainless Steel"),2,"")</f>
        <v/>
      </c>
      <c r="IA6" t="str">
        <f>IF(AND('Job Sheet'!O12="225mm L Bracket",'Job Sheet'!AD12="Stainless Steel"),2,"")</f>
        <v/>
      </c>
      <c r="IB6" t="str">
        <f>IF(AND('Job Sheet'!O12="300mm L Bracket",'Job Sheet'!AD12="Stainless Steel"),2,"")</f>
        <v/>
      </c>
      <c r="IC6">
        <f t="shared" si="4" ref="IC6:IC14">IF(D6="","",2)</f>
        <v>2</v>
      </c>
      <c r="ID6" t="str">
        <f>IF(AND('Job Sheet'!AD12="Standard Zinc",(OR('Job Sheet'!Y12="150mm Stayed Bracket with No Pulleys and Rope Cleat",'Job Sheet'!Y12="150mm Stayed Bracket with 1 Pulley and Rope Cleat",'Job Sheet'!Y12="150mm Stayed Bracket with 2 Pulleys and Rope Cleat"))),1,"")</f>
        <v/>
      </c>
      <c r="IE6" t="str">
        <f>IF(AND('Job Sheet'!AD12="Standard Zinc",(OR('Job Sheet'!Y12="225mm Stayed Bracket with No Pulleys and Rope Cleat",'Job Sheet'!Y12="225mm Stayed Bracket with 1 Pulley and Rope Cleat",'Job Sheet'!Y12="225mm Stayed Bracket with 2 Pulleys and Rope Cleat"))),1,"")</f>
        <v/>
      </c>
      <c r="IF6" t="str">
        <f>IF(AND('Job Sheet'!AD12="Standard Zinc",(OR('Job Sheet'!Y12="300mm Stayed Bracket with No Pulleys and Rope Cleat",'Job Sheet'!Y12="300mm Stayed Bracket with 1 Pulley and Rope Cleat",'Job Sheet'!Y12="300mm Stayed Bracket with 2 Pulleys and Rope Cleat"))),1,"")</f>
        <v/>
      </c>
      <c r="IG6" t="str">
        <f>IF(AND('Job Sheet'!AD12="Stainless Steel",OR('Job Sheet'!Y12="150mm Stayed Bracket with No Pulleys and Rope Cleat",'Job Sheet'!Y12="150mm Stayed Bracket with 1 Pulley and Rope Cleat",'Job Sheet'!Y12="150mm Stayed Bracket with 2 Pulleys and Rope Cleat")),1,"")</f>
        <v/>
      </c>
      <c r="IH6" t="str">
        <f>IF(AND('Job Sheet'!Y12="300mm Stayed Bracket with 1 Pulley and Rope Cleat",'Job Sheet'!AD12="Stainless Steel"),1,"")</f>
        <v/>
      </c>
      <c r="II6" t="str">
        <f>IF(OR('Job Sheet'!Y12="150mm Stayed Bracket with 1 Pulley and Rope Cleat",'Job Sheet'!Y12="225mm Stayed Bracket with 1 Pulley and Rope Cleat",'Job Sheet'!Y12="300mm Stayed Bracket with 1 Pulley and Rope Cleat",'Job Sheet'!Y12="With 1 Pulley and Rope Cleat"),"1",IF(OR('Job Sheet'!Y12="150mm Stayed Bracket with 2 Pulleys and Rope Cleat",'Job Sheet'!Y12="225mm Stayed Bracket with 2 Pulleys and Rope Cleat",'Job Sheet'!Y12="300mm Stayed Bracket with 2 Pulleys and Rope Cleat",'Job Sheet'!Y12="With 2 Pulleys and Rope Cleat"),"2",""))</f>
        <v/>
      </c>
      <c r="IJ6" t="str">
        <f>IF(OR('Job Sheet'!Y12="150mm Stayed Bracket with No Pulleys and Rope Cleat",'Job Sheet'!Y12="150mm Stayed Bracket with 1 Pulley and Rope Cleat",'Job Sheet'!Y12="150mm Stayed Bracket with 2 Pulleys and Rope Cleat",'Job Sheet'!Y12="225mm Stayed Bracket with No Pulleys and Rope Cleat",'Job Sheet'!Y12="225mm Stayed Bracket with 1 Pulley and Rope Cleat",'Job Sheet'!Y12="225mm Stayed Bracket with 2 Pulleys and Rope Cleat",'Job Sheet'!Y12="300mm Stayed Bracket with No Pulleys and Rope Cleat",'Job Sheet'!Y12="300mm Stayed Bracket with 1 Pulley and Rope Cleat",'Job Sheet'!Y12="300mm Stayed Bracket with 2 Pulleys and Rope Cleat",'Job Sheet'!Y12="With No Pulleys and Rope Cleat",'Job Sheet'!Y12="With 1 Pulley and Rope Cleat",'Job Sheet'!Y12="With 2 Pulleys and Rope Cleat",),"1","")</f>
        <v/>
      </c>
      <c r="IK6" t="str">
        <f>IF('Job Sheet'!R12="Black Cord 2m","2",IF('Job Sheet'!R12="Black Cord 3m","3",IF('Job Sheet'!R12="Black Cord 4m","4",IF('Job Sheet'!R12="Black Cord 5m","5",IF('Job Sheet'!R12="Black Cord 6m","6","")))))</f>
        <v/>
      </c>
      <c r="IL6" t="str">
        <f>IF('Job Sheet'!R12="White Cord 2m","2",IF('Job Sheet'!R12="White Cord 3m","3",IF('Job Sheet'!R12="White Cord 4m","4",IF('Job Sheet'!R12="White Cord 5m","5",IF('Job Sheet'!R12="White Cord 6m","6","")))))</f>
        <v/>
      </c>
      <c r="IM6" t="str">
        <f>IF(AND('Job Sheet'!K12="Powder Coated Brackets",'Job Sheet'!L12="Black"),2,"")</f>
        <v/>
      </c>
      <c r="IN6" t="str">
        <f>IF(AND('Job Sheet'!K12="Powder Coated Brackets",'Job Sheet'!L12="White"),2,"")</f>
        <v/>
      </c>
      <c r="IQ6" t="str">
        <f>IF('Job Sheet'!L12="Stainless Steel",2,"")</f>
        <v/>
      </c>
      <c r="JD6" t="str">
        <f>IF('Job Sheet'!AB12="25mm x 1",1,IF('Job Sheet'!AB12="25mm x 2",2,""))</f>
        <v/>
      </c>
      <c r="JE6" t="str">
        <f>IF('Job Sheet'!AB12="50mm x 1",1,IF('Job Sheet'!AB12="50mm x 2",2,""))</f>
        <v/>
      </c>
      <c r="JF6" t="str">
        <f>IF('Job Sheet'!AB12="75mm x 1",1,IF('Job Sheet'!AB12="75mm x 2",2,""))</f>
        <v/>
      </c>
      <c r="JG6" t="str">
        <f>IF('Job Sheet'!AB12="100mm x 1",1,IF('Job Sheet'!AB12="100mm x 2",2,""))</f>
        <v/>
      </c>
      <c r="JH6" t="str">
        <f>IF('Job Sheet'!AB12="125mm x 1",1,IF('Job Sheet'!AB12="125mm x 2",2,""))</f>
        <v/>
      </c>
      <c r="JN6" t="str">
        <f>IF('Job Sheet'!AA12="25mm x 1",1,IF('Job Sheet'!AA12="25mm x 2",2,""))</f>
        <v/>
      </c>
      <c r="JO6" t="str">
        <f>IF('Job Sheet'!AA12="50mm x 1",1,IF('Job Sheet'!AA12="50mm x 2",2,""))</f>
        <v/>
      </c>
      <c r="JP6" t="str">
        <f>IF('Job Sheet'!AA12="75mm x 1",1,IF('Job Sheet'!AA12="75mm x 2",2,""))</f>
        <v/>
      </c>
      <c r="JQ6" t="str">
        <f>IF('Job Sheet'!AA12="100mm x 1",1,IF('Job Sheet'!AA12="100mm x 2",2,""))</f>
        <v/>
      </c>
      <c r="JR6" t="str">
        <f>IF('Job Sheet'!AA12="125mm x 1",1,IF('Job Sheet'!AA12="125mm x 2",2,""))</f>
        <v/>
      </c>
      <c r="JS6">
        <f>IF('Welding&amp;Sewing'!D12="3.6mm White",'Fabric Cutting'!G12*2,'Fabric Cutting'!G12)</f>
        <v>3462</v>
      </c>
      <c r="JT6" t="str">
        <f>IF('Welding&amp;Sewing'!D12="6mm Black",'Fabric Cutting'!G12,"")</f>
        <v/>
      </c>
      <c r="MB6" t="str">
        <f>IF('Job Sheet'!P12="Acmeda Remote Motor",1,"")</f>
        <v/>
      </c>
      <c r="MC6" t="str">
        <f>IF(AND('Tube Cutting'!C12="63mm",'Job Sheet'!P12="Acmeda Remote Motor"),1,"")</f>
        <v/>
      </c>
      <c r="MD6" t="str">
        <f>IF(AND('Tube Cutting'!C12="63mm",'Job Sheet'!P12="Acmeda Remote Motor"),1,"")</f>
        <v/>
      </c>
      <c r="ME6" t="str">
        <f>IF(AND('Tube Cutting'!C12="78mm",'Job Sheet'!P12="Acmeda Remote Motor"),1,"")</f>
        <v/>
      </c>
      <c r="MF6" t="str">
        <f>IF(AND('Tube Cutting'!C12="78mm",'Job Sheet'!P12="Acmeda Remote Motor"),1,"")</f>
        <v/>
      </c>
      <c r="MG6" t="str">
        <f>IF('Job Sheet'!P12="Acmeda 12v Remote Motor",1,"")</f>
        <v/>
      </c>
      <c r="MH6" t="str">
        <f>IF(OR('Job Sheet'!Z12="External Battery",'Job Sheet'!Z12="External Battery and Charging Cable"),1,"")</f>
        <v/>
      </c>
      <c r="MI6" t="str">
        <f>IF('Job Sheet'!Z12="External Battery and Charging Cable",1,"")</f>
        <v/>
      </c>
      <c r="MJ6" t="str">
        <f>IF('Job Sheet'!Z12="Pulse 2.0 Automation Hub",1,"")</f>
        <v/>
      </c>
      <c r="MK6" t="str">
        <f>IF('Job Sheet'!Z12="USB Repeater",1,"")</f>
        <v/>
      </c>
      <c r="ML6" t="str">
        <f>IF('Job Sheet'!Y12="Acmeda 1 Channel White Remote",1,"")</f>
        <v/>
      </c>
      <c r="MM6" t="str">
        <f>IF('Job Sheet'!Y12="Acmeda 1 Channel Black Remote",1,"")</f>
        <v/>
      </c>
      <c r="MN6" t="str">
        <f>IF('Job Sheet'!Y12="Acmeda 5 Channel White Remote",1,"")</f>
        <v/>
      </c>
      <c r="MO6" t="str">
        <f>IF('Job Sheet'!Y12="Acmeda 5 Channel Black Remote",1,"")</f>
        <v/>
      </c>
      <c r="MP6" t="str">
        <f>IF('Job Sheet'!Y12="Acmeda 15 Channel White Remote",1,"")</f>
        <v/>
      </c>
      <c r="MQ6" t="str">
        <f>IF('Job Sheet'!Y12="Acmeda 15 Channel Black Remote",1,"")</f>
        <v/>
      </c>
      <c r="MR6" t="str">
        <f>IF('Job Sheet'!Y12="Acmeda Wall Mounted 5 Channel White Remote",1,"")</f>
        <v/>
      </c>
      <c r="MS6" t="str">
        <f>IF('Job Sheet'!Y12="Acmeda Wall Mounted Single Channel White Remote",1,"")</f>
        <v/>
      </c>
      <c r="MT6" t="str">
        <f>IF('Job Sheet'!Y12="Acmeda Wall Mounted 2 Channel White Remote",1,"")</f>
        <v/>
      </c>
      <c r="MU6" t="str">
        <f>IF('Job Sheet'!Y12="Acmeda Wall Mounted 15 Channel White Remote",1,"")</f>
        <v/>
      </c>
      <c r="MV6" t="str">
        <f>IF('Job Sheet'!Y12="Acmeda Push Pro White Remote with Charger",1,"")</f>
        <v/>
      </c>
      <c r="MW6" t="str">
        <f>IF('Job Sheet'!Y12="Acmeda Push Pro Black Remote with Charger",1,"")</f>
        <v/>
      </c>
      <c r="MX6" t="str">
        <f>IF(OR('Job Sheet'!Y12="Acmeda Push Pro White Remote with Charger",'Job Sheet'!Y12="Acmeda Push Pro Black Remote with Charger"),"1","")</f>
        <v/>
      </c>
      <c r="MY6" t="str">
        <f t="shared" si="5" ref="MY6:MY14">MX6</f>
        <v/>
      </c>
      <c r="NA6" t="str">
        <f>IF('Job Sheet'!Z12="1 Channel Dry Contact Relay Module",1,"")</f>
        <v/>
      </c>
      <c r="ND6">
        <f>IF('Job Sheet'!P12="Becker Remote Operated",1,"")</f>
        <v>1</v>
      </c>
      <c r="NF6" t="str">
        <f>IF('Job Sheet'!P12="Becker Switch Operated",1,"")</f>
        <v/>
      </c>
      <c r="NG6">
        <f>IF(AND('Tube Cutting'!C12="63mm",(OR('Job Sheet'!P12="Becker Remote Operated",'Job Sheet'!P12="Becker Switch Operated"))),1,"")</f>
        <v>1</v>
      </c>
      <c r="NH6">
        <f>IF(AND('Tube Cutting'!C12="63mm",(OR('Job Sheet'!P12="Becker Remote Operated",'Job Sheet'!P12="Becker Switch Operated"))),1,"")</f>
        <v>1</v>
      </c>
      <c r="NI6">
        <f>IF(OR('Job Sheet'!P12="Becker Remote Operated",'Job Sheet'!P12="Becker Switch Operated"),1,"")</f>
        <v>1</v>
      </c>
      <c r="NK6" t="str">
        <f>IF(AND('Tube Cutting'!C12="78mm",(OR('Job Sheet'!P12="Becker Remote Operated",'Job Sheet'!P12="Becker Switch Operated"))),1,"")</f>
        <v/>
      </c>
      <c r="NL6" t="str">
        <f>IF(AND('Tube Cutting'!C12="78mm",'Job Sheet'!P12="Becker Remote Operated"),1,"")</f>
        <v/>
      </c>
      <c r="NM6" t="str">
        <f>IF('Job Sheet'!Y12="Becker Single Channel White Remote",1,"")</f>
        <v/>
      </c>
      <c r="NN6" t="str">
        <f>IF('Job Sheet'!Y12="Becker Single Channel Black Remote",1,"")</f>
        <v/>
      </c>
      <c r="NO6">
        <f>IF('Job Sheet'!Y12="Becker 5 Channel White Remote",1,"")</f>
        <v>1</v>
      </c>
      <c r="NP6" t="str">
        <f>IF('Job Sheet'!Y12="Becker 5 Channel Black Remote",1,"")</f>
        <v/>
      </c>
      <c r="NQ6" t="str">
        <f>IF('Job Sheet'!Y12="Becker 10 Channel White Remote",1,"")</f>
        <v/>
      </c>
      <c r="NR6" t="str">
        <f>IF('Job Sheet'!Y12="Becker 10 Channel Black Remote",1,"")</f>
        <v/>
      </c>
      <c r="NS6" t="s">
        <v>617</v>
      </c>
      <c r="NT6" t="str">
        <f>IF('Job Sheet'!P12="Somfy Remote Operated",1,"")</f>
        <v/>
      </c>
      <c r="NV6" t="str">
        <f>IF('Job Sheet'!P12="Somfy Remote Operated",1,"")</f>
        <v/>
      </c>
      <c r="NW6" t="str">
        <f>IF(AND('Tube Cutting'!C12="63mm",'Job Sheet'!P12="Somfy Remote Operated"),1,"")</f>
        <v/>
      </c>
      <c r="NX6" t="str">
        <f>IF(AND('Tube Cutting'!C12="63mm",'Job Sheet'!P12="Somfy Remote Operated"),1,"")</f>
        <v/>
      </c>
      <c r="NY6" t="str">
        <f>IF(AND('Tube Cutting'!C12="78mm",'Job Sheet'!P12="Somfy Remote Operated"),1,"")</f>
        <v/>
      </c>
      <c r="NZ6" t="str">
        <f>IF(AND('Tube Cutting'!C12="78mm",'Job Sheet'!P12="Somfy Remote Operated"),1,"")</f>
        <v/>
      </c>
      <c r="OA6" t="str">
        <f>IF('Job Sheet'!Z12="Connexoon App Connector",1,"")</f>
        <v/>
      </c>
      <c r="OB6" t="str">
        <f>IF('Job Sheet'!Z12="Tahoma Switch",1,"")</f>
        <v/>
      </c>
      <c r="OC6" t="str">
        <f>IF('Job Sheet'!Y12="Somfy 15 Channel Silver Remote",1,"")</f>
        <v/>
      </c>
      <c r="OD6" t="str">
        <f>IF('Job Sheet'!Y12="Somfy 15 Channel White Remote",1,"")</f>
        <v/>
      </c>
      <c r="OE6" t="str">
        <f>IF('Job Sheet'!Y12="Somfy 2 Channel Silver Remote",1,"")</f>
        <v/>
      </c>
      <c r="OF6" t="str">
        <f>IF('Job Sheet'!Y12="Somfy 2 Channel Wall Mounted Smoove Remote White with Black Cover Plate",1,"")</f>
        <v/>
      </c>
      <c r="OG6" t="str">
        <f>IF('Job Sheet'!Y12="Somfy 2 Channel Wall Mounted Smoove Remote White with Silver Cover Plate",1,"")</f>
        <v/>
      </c>
      <c r="OH6" t="str">
        <f>IF('Job Sheet'!Y12="Somfy 2 Channel Wall Mounted Smoove Remote White",1,"")</f>
        <v/>
      </c>
      <c r="OI6" t="str">
        <f>IF('Job Sheet'!Y12="Somfy 2 Channel White Remote",1,"")</f>
        <v/>
      </c>
      <c r="OJ6" t="str">
        <f>IF('Job Sheet'!Y12="Somfy 2 Channel Silver Remote",1,"")</f>
        <v/>
      </c>
      <c r="OK6" t="str">
        <f>IF('Job Sheet'!Y12="Somfy 5 Channel Wall Mounted Smoove Remote White with Black Cover Plate",1,"")</f>
        <v/>
      </c>
      <c r="OL6" t="str">
        <f>IF('Job Sheet'!Y12="Somfy 5 Channel Wall Mounted Smoove Remote White with Silver Cover Plate",1,"")</f>
        <v/>
      </c>
      <c r="OM6" t="str">
        <f>IF('Job Sheet'!Y12="Somfy 5 Channel Wall Mounted Smoove Remote White",1,"")</f>
        <v/>
      </c>
      <c r="ON6" t="str">
        <f>IF('Job Sheet'!Y12="Somfy 5 Channel White Remote",1,"")</f>
        <v/>
      </c>
      <c r="OO6" t="str">
        <f>IF('Job Sheet'!Y12="Somfy Single Channel Silver Remote",1,"")</f>
        <v/>
      </c>
      <c r="OP6" t="str">
        <f>IF('Job Sheet'!Y12="Somfy Single Channel Wall Mounted Smoove Remote White with Black Cover Plate",1,"")</f>
        <v/>
      </c>
      <c r="OQ6" t="str">
        <f>IF('Job Sheet'!Y12="Somfy Single Channel Wall Mounted Smoove Remote White with Silver Cover Plate",1,"")</f>
        <v/>
      </c>
      <c r="OR6" t="str">
        <f>IF('Job Sheet'!Y12="Somfy Single Channel Wall Mounted Smoove Remote White",1,"")</f>
        <v/>
      </c>
      <c r="OS6" t="str">
        <f>IF('Job Sheet'!Y12="Somfy Single Channel White Remote",1,"")</f>
        <v/>
      </c>
    </row>
    <row r="7" spans="4:409" ht="13.15" customHeight="1">
      <c r="D7" t="str">
        <f>IF('Tube Cutting'!D13="","",CONCATENATE(Data!BC$5,".",Data!BD$5))</f>
        <v>12085.A</v>
      </c>
      <c r="E7">
        <f>IF(D7="","",Data!AW13)</f>
        <v>4</v>
      </c>
      <c r="F7" t="str">
        <f>IF(D7="","",Data!AV13)</f>
        <v>986e1986-ef2c-4881-b257-1adcea9d79f2</v>
      </c>
      <c r="G7" t="str">
        <f t="shared" si="0"/>
        <v>Fixed Guide Sunblind</v>
      </c>
      <c r="H7" t="str">
        <f>IF(D7="","",Data!BF$5)</f>
        <v>Campbell, Neil</v>
      </c>
      <c r="I7" t="str">
        <f>IF(D7="","",Data!AX$5)</f>
        <v>Verticali Patio Blinds &amp; Fixed Guide Awnings</v>
      </c>
      <c r="J7" t="str">
        <f>'Job Sheet'!H13</f>
        <v>HVG Visiontex Glisse Sunscreen Naxos</v>
      </c>
      <c r="K7">
        <f t="shared" si="1"/>
        <v>4.1174</v>
      </c>
      <c r="L7" s="33">
        <f>'Fabric Cutting'!G13</f>
        <v>1730</v>
      </c>
      <c r="M7" s="33">
        <f>'Fabric Cutting'!H13</f>
        <v>2380</v>
      </c>
      <c r="N7" t="str">
        <f>IF(AND('Job Sheet'!K13="Colourbond Under-Roll Hooding",'Job Sheet'!L13="Custom Powdercoat"),'Tube Cutting'!J13,"")</f>
        <v/>
      </c>
      <c r="O7" t="str">
        <f>IF(AND('Job Sheet'!K13="Colourbond Under-Roll Hooding",'Job Sheet'!L13="Ebony (Black)"),'Tube Cutting'!J13,"")</f>
        <v/>
      </c>
      <c r="P7" t="str">
        <f>IF(AND('Job Sheet'!K13="Colourbond Under-Roll Hooding",'Job Sheet'!L13="Caulfield Green"),'Tube Cutting'!J13,"")</f>
        <v/>
      </c>
      <c r="Q7" t="str">
        <f>IF(AND('Job Sheet'!K13="Colourbond Under-Roll Hooding",'Job Sheet'!L13="Charcoal (Monument)"),'Tube Cutting'!J13,"")</f>
        <v/>
      </c>
      <c r="R7" t="str">
        <f>IF(AND('Job Sheet'!K13="Colourbond Under-Roll Hooding",'Job Sheet'!L13="Dune"),'Tube Cutting'!J13,"")</f>
        <v/>
      </c>
      <c r="S7" t="str">
        <f>IF(AND('Job Sheet'!K13="Colourbond Under-Roll Hooding",'Job Sheet'!L13="Heritage Red (Manor Red)"),'Tube Cutting'!J13,"")</f>
        <v/>
      </c>
      <c r="T7" t="str">
        <f>IF(AND('Job Sheet'!K13="Colourbond Under-Roll Hooding",'Job Sheet'!L13="Ironstone"),'Tube Cutting'!J13,"")</f>
        <v/>
      </c>
      <c r="U7" t="str">
        <f>IF(AND('Job Sheet'!K13="Colourbond Under-Roll Hooding",'Job Sheet'!L13="Jasper"),'Tube Cutting'!J13,"")</f>
        <v/>
      </c>
      <c r="V7">
        <f>IF(AND('Job Sheet'!K13="Colourbond Under-Roll Hooding",'Job Sheet'!L13="Merino (Paperbark)"),'Tube Cutting'!J13,"")</f>
        <v>1811</v>
      </c>
      <c r="W7" t="str">
        <f>IF(AND('Job Sheet'!K13="Colourbond Under-Roll Hooding",'Job Sheet'!L13="Mist Green"),'Tube Cutting'!J13,"")</f>
        <v/>
      </c>
      <c r="X7" t="str">
        <f>IF(AND('Job Sheet'!K13="Colourbond Under-Roll Hooding",'Job Sheet'!L13="Mountain Blue"),'Tube Cutting'!J13,"")</f>
        <v/>
      </c>
      <c r="Y7" t="str">
        <f>IF(AND('Job Sheet'!K13="Colourbond Under-Roll Hooding",'Job Sheet'!L13="Smooth Cream (Classic Cream)"),'Tube Cutting'!J13,"")</f>
        <v/>
      </c>
      <c r="Z7" t="str">
        <f>IF(AND('Job Sheet'!K13="Colourbond Under-Roll Hooding",'Job Sheet'!L13="Shale Grey"),'Tube Cutting'!J13,"")</f>
        <v/>
      </c>
      <c r="AA7" t="str">
        <f>IF(AND('Job Sheet'!K13="Colourbond Under-Roll Hooding",'Job Sheet'!L13="Slate Grey (Woodland Grey)"),'Tube Cutting'!J13,"")</f>
        <v/>
      </c>
      <c r="AB7" t="str">
        <f>IF(AND('Job Sheet'!K13="Colourbond Under-Roll Hooding",'Job Sheet'!L13="Surfmist"),'Tube Cutting'!J13,"")</f>
        <v/>
      </c>
      <c r="AC7" t="str">
        <f>IF(AND('Job Sheet'!K13="Colourbond Under-Roll Hooding",'Job Sheet'!L13="White"),'Tube Cutting'!J13,"")</f>
        <v/>
      </c>
      <c r="AD7" t="str">
        <f>IF(AND('Job Sheet'!P13="Spring",'Job Sheet'!K13="Colourbond Under-Roll Hooding",'Job Sheet'!L13="Custom Powdercoat"),1,"")</f>
        <v/>
      </c>
      <c r="AE7" t="str">
        <f>IF(AND('Job Sheet'!P13="Spring",'Job Sheet'!K13="Colourbond Under-Roll Hooding",'Job Sheet'!L13="Ebony (Black)"),1,"")</f>
        <v/>
      </c>
      <c r="AF7" t="str">
        <f>IF(AND('Job Sheet'!P13="Spring",'Job Sheet'!K13="Colourbond Under-Roll Hooding",'Job Sheet'!L13="Caulfield Green"),1,"")</f>
        <v/>
      </c>
      <c r="AG7" t="str">
        <f>IF(AND('Job Sheet'!P13="Spring",'Job Sheet'!K13="Colourbond Under-Roll Hooding",'Job Sheet'!L13="Charcoal (Monument)"),1,"")</f>
        <v/>
      </c>
      <c r="AH7" t="str">
        <f>IF(AND('Job Sheet'!P13="Spring",'Job Sheet'!K13="Colourbond Under-Roll Hooding",'Job Sheet'!L13="Dune"),1,"")</f>
        <v/>
      </c>
      <c r="AI7" t="str">
        <f>IF(AND('Job Sheet'!P13="Spring",'Job Sheet'!K13="Colourbond Under-Roll Hooding",'Job Sheet'!L13="Heritage Red (Manor Red)"),1,"")</f>
        <v/>
      </c>
      <c r="AJ7" t="str">
        <f>IF(AND('Job Sheet'!P13="Spring",'Job Sheet'!K13="Colourbond Under-Roll Hooding",'Job Sheet'!L13="Ironstone"),1,"")</f>
        <v/>
      </c>
      <c r="AK7" t="str">
        <f>IF(AND('Job Sheet'!P13="Spring",'Job Sheet'!K13="Colourbond Under-Roll Hooding",'Job Sheet'!L13="Jasper"),1,"")</f>
        <v/>
      </c>
      <c r="AL7" t="str">
        <f>IF(AND('Job Sheet'!P13="Spring",'Job Sheet'!K13="Colourbond Under-Roll Hooding",'Job Sheet'!L13="Merino (Paperbark)"),1,"")</f>
        <v/>
      </c>
      <c r="AM7" t="str">
        <f>IF(AND('Job Sheet'!P13="Spring",'Job Sheet'!K13="Colourbond Under-Roll Hooding",'Job Sheet'!L13="Mist Green"),1,"")</f>
        <v/>
      </c>
      <c r="AN7" t="str">
        <f>IF(AND('Job Sheet'!P13="Spring",'Job Sheet'!K13="Colourbond Under-Roll Hooding",'Job Sheet'!L13="Mountain Blue"),1,"")</f>
        <v/>
      </c>
      <c r="AO7" t="str">
        <f>IF(AND('Job Sheet'!P13="Spring",'Job Sheet'!K13="Colourbond Under-Roll Hooding",'Job Sheet'!L13="Smooth Cream (Classic Cream)"),1,"")</f>
        <v/>
      </c>
      <c r="AP7" t="str">
        <f>IF(AND('Job Sheet'!P13="Spring",'Job Sheet'!K13="Colourbond Under-Roll Hooding",'Job Sheet'!L13="Shale Grey"),1,"")</f>
        <v/>
      </c>
      <c r="AQ7" t="str">
        <f>IF(AND('Job Sheet'!P13="Spring",'Job Sheet'!K13="Colourbond Under-Roll Hooding",'Job Sheet'!L13="Slate Grey (Woodland Grey)"),1,"")</f>
        <v/>
      </c>
      <c r="AR7" t="str">
        <f>IF(AND('Job Sheet'!P13="Spring",'Job Sheet'!K13="Colourbond Under-Roll Hooding",'Job Sheet'!L13="Surfmist"),1,"")</f>
        <v/>
      </c>
      <c r="AS7" t="str">
        <f>IF(AND('Job Sheet'!P13="Spring",'Job Sheet'!K13="Colourbond Under-Roll Hooding",'Job Sheet'!L13="White"),1,"")</f>
        <v/>
      </c>
      <c r="AT7" t="str">
        <f>IF(AND('Job Sheet'!P13&lt;&gt;"Spring",'Job Sheet'!K13="Colourbond Under-Roll Hooding",'Job Sheet'!L13="Custom Powdercoat"),1,"")</f>
        <v/>
      </c>
      <c r="AU7" t="str">
        <f>IF(AND('Job Sheet'!P13&lt;&gt;"Spring",'Job Sheet'!K13="Colourbond Under-Roll Hooding",'Job Sheet'!L13="Ebony (Black)"),1,"")</f>
        <v/>
      </c>
      <c r="AV7" t="str">
        <f>IF(AND('Job Sheet'!P13&lt;&gt;"Spring",'Job Sheet'!K13="Colourbond Under-Roll Hooding",'Job Sheet'!L13="Caulfield Green"),1,"")</f>
        <v/>
      </c>
      <c r="AW7" t="str">
        <f>IF(AND('Job Sheet'!P13&lt;&gt;"Spring",'Job Sheet'!K13="Colourbond Under-Roll Hooding",'Job Sheet'!L13="Charcoal (Monument)"),1,"")</f>
        <v/>
      </c>
      <c r="AX7" t="str">
        <f>IF(AND('Job Sheet'!P13&lt;&gt;"Spring",'Job Sheet'!K13="Colourbond Under-Roll Hooding",'Job Sheet'!L13="Dune"),1,"")</f>
        <v/>
      </c>
      <c r="AY7" t="str">
        <f>IF(AND('Job Sheet'!P13&lt;&gt;"Spring",'Job Sheet'!K13="Colourbond Under-Roll Hooding",'Job Sheet'!L13="Heritage Red (Manor Red)"),1,"")</f>
        <v/>
      </c>
      <c r="AZ7" t="str">
        <f>IF(AND('Job Sheet'!P13&lt;&gt;"Spring",'Job Sheet'!K13="Colourbond Under-Roll Hooding",'Job Sheet'!L13="Ironstone"),1,"")</f>
        <v/>
      </c>
      <c r="BA7" t="str">
        <f>IF(AND('Job Sheet'!P13&lt;&gt;"Spring",'Job Sheet'!K13="Colourbond Under-Roll Hooding",'Job Sheet'!L13="Jasper"),1,"")</f>
        <v/>
      </c>
      <c r="BB7">
        <f>IF(AND('Job Sheet'!P13&lt;&gt;"Spring",'Job Sheet'!K13="Colourbond Under-Roll Hooding",'Job Sheet'!L13="Merino (Paperbark)"),1,"")</f>
        <v>1</v>
      </c>
      <c r="BC7" t="str">
        <f>IF(AND('Job Sheet'!P13&lt;&gt;"Spring",'Job Sheet'!K13="Colourbond Under-Roll Hooding",'Job Sheet'!L13="Mist Green"),1,"")</f>
        <v/>
      </c>
      <c r="BD7" t="str">
        <f>IF(AND('Job Sheet'!P13&lt;&gt;"Spring",'Job Sheet'!K13="Colourbond Under-Roll Hooding",'Job Sheet'!L13="Mountain Blue"),1,"")</f>
        <v/>
      </c>
      <c r="BE7" t="str">
        <f>IF(AND('Job Sheet'!P13&lt;&gt;"Spring",'Job Sheet'!K13="Colourbond Under-Roll Hooding",'Job Sheet'!L13="Smooth Cream (Classic Cream)"),1,"")</f>
        <v/>
      </c>
      <c r="BF7" t="str">
        <f>IF(AND('Job Sheet'!P13&lt;&gt;"Spring",'Job Sheet'!K13="Colourbond Under-Roll Hooding",'Job Sheet'!L13="Shale Grey"),1,"")</f>
        <v/>
      </c>
      <c r="BG7" t="str">
        <f>IF(AND('Job Sheet'!P13&lt;&gt;"Spring",'Job Sheet'!K13="Colourbond Under-Roll Hooding",'Job Sheet'!L13="Slate Grey (Woodland Grey)"),1,"")</f>
        <v/>
      </c>
      <c r="BH7" t="str">
        <f>IF(AND('Job Sheet'!P13&lt;&gt;"Spring",'Job Sheet'!K13="Colourbond Under-Roll Hooding",'Job Sheet'!L13="Surfmist"),1,"")</f>
        <v/>
      </c>
      <c r="BI7" t="str">
        <f>IF(AND('Job Sheet'!P13&lt;&gt;"Spring",'Job Sheet'!K13="Colourbond Under-Roll Hooding",'Job Sheet'!L13="White"),1,"")</f>
        <v/>
      </c>
      <c r="BJ7" t="str">
        <f>IF(AND('Job Sheet'!K13="Colourbond Over-Roll Hooding",'Job Sheet'!L13="Custom Powdercoat"),'Tube Cutting'!J13,"")</f>
        <v/>
      </c>
      <c r="BK7" t="str">
        <f>IF(AND('Job Sheet'!K13="Colourbond Over-Roll Hooding",'Job Sheet'!L13="Ebony (Black)"),'Tube Cutting'!J13,"")</f>
        <v/>
      </c>
      <c r="BL7" t="str">
        <f>IF(AND('Job Sheet'!K13="Colourbond Over-Roll Hooding",'Job Sheet'!L13="Caulfield Green"),'Tube Cutting'!J13,"")</f>
        <v/>
      </c>
      <c r="BM7" t="str">
        <f>IF(AND('Job Sheet'!K13="Colourbond Over-Roll Hooding",'Job Sheet'!L13="Charcoal (Monument)"),'Tube Cutting'!J13,"")</f>
        <v/>
      </c>
      <c r="BN7" t="str">
        <f>IF(AND('Job Sheet'!K13="Colourbond Over-Roll Hooding",'Job Sheet'!L13="Dune"),'Tube Cutting'!J13,"")</f>
        <v/>
      </c>
      <c r="BO7" t="str">
        <f>IF(AND('Job Sheet'!K13="Colourbond Over-Roll Hooding",'Job Sheet'!L13="Heritage Red (Manor Red)"),'Tube Cutting'!J13,"")</f>
        <v/>
      </c>
      <c r="BP7" t="str">
        <f>IF(AND('Job Sheet'!K13="Colourbond Over-Roll Hooding",'Job Sheet'!L13="Ironstone"),'Tube Cutting'!J13,"")</f>
        <v/>
      </c>
      <c r="BQ7" t="str">
        <f>IF(AND('Job Sheet'!K13="Colourbond Over-Roll Hooding",'Job Sheet'!L13="Jasper"),'Tube Cutting'!J13,"")</f>
        <v/>
      </c>
      <c r="BR7" t="str">
        <f>IF(AND('Job Sheet'!K13="Colourbond Over-Roll Hooding",'Job Sheet'!L13="Merino (Paperbark)"),'Tube Cutting'!J13,"")</f>
        <v/>
      </c>
      <c r="BS7" t="str">
        <f>IF(AND('Job Sheet'!K13="Colourbond Over-Roll Hooding",'Job Sheet'!L13="Mist Green"),'Tube Cutting'!J13,"")</f>
        <v/>
      </c>
      <c r="BT7" t="str">
        <f>IF(AND('Job Sheet'!K13="Colourbond Over-Roll Hooding",'Job Sheet'!L13="Mountain Blue"),'Tube Cutting'!J13,"")</f>
        <v/>
      </c>
      <c r="BU7" t="str">
        <f>IF(AND('Job Sheet'!K13="Colourbond Over-Roll Hooding",'Job Sheet'!L13="Smooth Cream (Classic Cream)"),'Tube Cutting'!J13,"")</f>
        <v/>
      </c>
      <c r="BV7" t="str">
        <f>IF(AND('Job Sheet'!K13="Colourbond Over-Roll Hooding",'Job Sheet'!L13="Shale Grey"),'Tube Cutting'!J13,"")</f>
        <v/>
      </c>
      <c r="BW7" t="str">
        <f>IF(AND('Job Sheet'!K13="Colourbond Over-Roll Hooding",'Job Sheet'!L13="Slate Grey (Woodland Grey)"),'Tube Cutting'!J13,"")</f>
        <v/>
      </c>
      <c r="BX7" t="str">
        <f>IF(AND('Job Sheet'!K13="Colourbond Over-Roll Hooding",'Job Sheet'!L13="Surfmist"),'Tube Cutting'!J13,"")</f>
        <v/>
      </c>
      <c r="BY7" t="str">
        <f>IF(AND('Job Sheet'!J13="Colourbond Over-Roll Hooding",'Job Sheet'!K13="White"),'Tube Cutting'!J13,"")</f>
        <v/>
      </c>
      <c r="BZ7" t="str">
        <f>IF(AND('Job Sheet'!P13="Spring",'Job Sheet'!K13="Colourbond Over-Roll Hooding",'Job Sheet'!L13="Custom Powdercoat"),1,"")</f>
        <v/>
      </c>
      <c r="CA7" t="str">
        <f>IF(AND('Job Sheet'!P13="Spring",'Job Sheet'!K13="Colourbond Over-Roll Hooding",'Job Sheet'!L13="Ebony (Black)"),1,"")</f>
        <v/>
      </c>
      <c r="CB7" t="str">
        <f>IF(AND('Job Sheet'!P13="Spring",'Job Sheet'!K13="Colourbond Over-Roll Hooding",'Job Sheet'!L13="Caulfield Green"),1,"")</f>
        <v/>
      </c>
      <c r="CC7" t="str">
        <f>IF(AND('Job Sheet'!P13="Spring",'Job Sheet'!K13="Colourbond Over-Roll Hooding",'Job Sheet'!L13="Charcoal (Monument)"),1,"")</f>
        <v/>
      </c>
      <c r="CD7" t="str">
        <f>IF(AND('Job Sheet'!P13="Spring",'Job Sheet'!K13="Colourbond Over-Roll Hooding",'Job Sheet'!L13="Dune"),1,"")</f>
        <v/>
      </c>
      <c r="CE7" t="str">
        <f>IF(AND('Job Sheet'!P13="Spring",'Job Sheet'!K13="Colourbond Over-Roll Hooding",'Job Sheet'!L13="Heritage Red (Manor Red)"),1,"")</f>
        <v/>
      </c>
      <c r="CF7" t="str">
        <f>IF(AND('Job Sheet'!P13="Spring",'Job Sheet'!K13="Colourbond Over-Roll Hooding",'Job Sheet'!L13="Ironstone"),1,"")</f>
        <v/>
      </c>
      <c r="CG7" t="str">
        <f>IF(AND('Job Sheet'!P13="Spring",'Job Sheet'!K13="Colourbond Over-Roll Hooding",'Job Sheet'!L13="Jasper"),1,"")</f>
        <v/>
      </c>
      <c r="CH7" t="str">
        <f>IF(AND('Job Sheet'!P13="Spring",'Job Sheet'!K13="Colourbond Over-Roll Hooding",'Job Sheet'!L13="Merino (Paperbark)"),1,"")</f>
        <v/>
      </c>
      <c r="CI7" t="str">
        <f>IF(AND('Job Sheet'!P13="Spring",'Job Sheet'!K13="Colourbond Over-Roll Hooding",'Job Sheet'!L13="Mist Green"),1,"")</f>
        <v/>
      </c>
      <c r="CJ7" t="str">
        <f>IF(AND('Job Sheet'!P13="Spring",'Job Sheet'!K13="Colourbond Over-Roll Hooding",'Job Sheet'!L13="Mountain Blue"),1,"")</f>
        <v/>
      </c>
      <c r="CK7" t="str">
        <f>IF(AND('Job Sheet'!P13="Spring",'Job Sheet'!K13="Colourbond Over-Roll Hooding",'Job Sheet'!L13="Smooth Cream (Classic Cream)"),1,"")</f>
        <v/>
      </c>
      <c r="CL7" t="str">
        <f>IF(AND('Job Sheet'!P13="Spring",'Job Sheet'!K13="Colourbond Over-Roll Hooding",'Job Sheet'!L13="Shale Grey"),1,"")</f>
        <v/>
      </c>
      <c r="CM7" t="str">
        <f>IF(AND('Job Sheet'!P13="Spring",'Job Sheet'!K13="Colourbond Over-Roll Hooding",'Job Sheet'!L13="Slate Grey (Woodland Grey)"),1,"")</f>
        <v/>
      </c>
      <c r="CN7" t="str">
        <f>IF(AND('Job Sheet'!P13="Spring",'Job Sheet'!K13="Colourbond Over-Roll Hooding",'Job Sheet'!L13="Surfmist"),1,"")</f>
        <v/>
      </c>
      <c r="CO7" t="str">
        <f>IF(AND('Job Sheet'!P13="Spring",'Job Sheet'!K13="Colourbond Over-Roll Hooding",'Job Sheet'!L13="White"),1,"")</f>
        <v/>
      </c>
      <c r="CP7" t="str">
        <f>IF(AND('Job Sheet'!P13&lt;&gt;"Spring",'Job Sheet'!K13="Colourbond Over-Roll Hooding",'Job Sheet'!L13="Custom Powdercoat"),1,"")</f>
        <v/>
      </c>
      <c r="CQ7" t="str">
        <f>IF(AND('Job Sheet'!P13&lt;&gt;"Spring",'Job Sheet'!K13="Colourbond Over-Roll Hooding",'Job Sheet'!L13="Ebony (Black)"),1,"")</f>
        <v/>
      </c>
      <c r="CR7" t="str">
        <f>IF(AND('Job Sheet'!P13&lt;&gt;"Spring",'Job Sheet'!K13="Colourbond Over-Roll Hooding",'Job Sheet'!L13="Caulfield Green"),1,"")</f>
        <v/>
      </c>
      <c r="CS7" t="str">
        <f>IF(AND('Job Sheet'!P13&lt;&gt;"Spring",'Job Sheet'!K13="Colourbond Over-Roll Hooding",'Job Sheet'!L13="Charcoal (Monument)"),1,"")</f>
        <v/>
      </c>
      <c r="CT7" t="str">
        <f>IF(AND('Job Sheet'!P13&lt;&gt;"Spring",'Job Sheet'!K13="Colourbond Over-Roll Hooding",'Job Sheet'!L13="Dune"),1,"")</f>
        <v/>
      </c>
      <c r="CU7" t="str">
        <f>IF(AND('Job Sheet'!P13&lt;&gt;"Spring",'Job Sheet'!K13="Colourbond Over-Roll Hooding",'Job Sheet'!L13="Heritage Red (Manor Red)"),1,"")</f>
        <v/>
      </c>
      <c r="CV7" t="str">
        <f>IF(AND('Job Sheet'!P13&lt;&gt;"Spring",'Job Sheet'!K13="Colourbond Over-Roll Hooding",'Job Sheet'!L13="Ironstone"),1,"")</f>
        <v/>
      </c>
      <c r="CW7" t="str">
        <f>IF(AND('Job Sheet'!P13&lt;&gt;"Spring",'Job Sheet'!K13="Colourbond Over-Roll Hooding",'Job Sheet'!L13="Jasper"),1,"")</f>
        <v/>
      </c>
      <c r="CX7" t="str">
        <f>IF(AND('Job Sheet'!P13&lt;&gt;"Spring",'Job Sheet'!K13="Colourbond Over-Roll Hooding",'Job Sheet'!L13="Merino (Paperbark)"),1,"")</f>
        <v/>
      </c>
      <c r="CY7" t="str">
        <f>IF(AND('Job Sheet'!P13&lt;&gt;"Spring",'Job Sheet'!K13="Colourbond Over-Roll Hooding",'Job Sheet'!L13="Mist Green"),1,"")</f>
        <v/>
      </c>
      <c r="CZ7" t="str">
        <f>IF(AND('Job Sheet'!P13&lt;&gt;"Spring",'Job Sheet'!K13="Colourbond Over-Roll Hooding",'Job Sheet'!L13="Mountain Blue"),1,"")</f>
        <v/>
      </c>
      <c r="DA7" t="str">
        <f>IF(AND('Job Sheet'!P13&lt;&gt;"Spring",'Job Sheet'!K13="Colourbond Over-Roll Hooding",'Job Sheet'!L13="Smooth Cream (Classic Cream)"),1,"")</f>
        <v/>
      </c>
      <c r="DB7" t="str">
        <f>IF(AND('Job Sheet'!P13&lt;&gt;"Spring",'Job Sheet'!K13="Colourbond Over-Roll Hooding",'Job Sheet'!L13="Shale Grey"),1,"")</f>
        <v/>
      </c>
      <c r="DC7" t="str">
        <f>IF(AND('Job Sheet'!P13&lt;&gt;"Spring",'Job Sheet'!K13="Colourbond Over-Roll Hooding",'Job Sheet'!L13="Slate Grey (Woodland Grey)"),1,"")</f>
        <v/>
      </c>
      <c r="DD7" t="str">
        <f>IF(AND('Job Sheet'!P13&lt;&gt;"Spring",'Job Sheet'!K13="Colourbond Over-Roll Hooding",'Job Sheet'!L13="Surfmist"),1,"")</f>
        <v/>
      </c>
      <c r="DE7" t="str">
        <f>IF(AND('Job Sheet'!P13&lt;&gt;"Spring",'Job Sheet'!K13="Colourbond Over-Roll Hooding",'Job Sheet'!L13="White"),1,"")</f>
        <v/>
      </c>
      <c r="DF7" t="str">
        <f>IF('Tube Cutting'!C13="50mm",'Tube Cutting'!D13,"")</f>
        <v/>
      </c>
      <c r="DG7">
        <f>IF('Tube Cutting'!C13="63mm",'Tube Cutting'!D13,"")</f>
        <v>1750</v>
      </c>
      <c r="DH7" t="str">
        <f>IF('Tube Cutting'!C13="70mm",'Tube Cutting'!D13,"")</f>
        <v/>
      </c>
      <c r="DI7" t="str">
        <f>IF('Tube Cutting'!C13="78mm",'Tube Cutting'!D13,"")</f>
        <v/>
      </c>
      <c r="DJ7" t="str">
        <f>IF('Tube Cutting'!C13="85mm",'Tube Cutting'!D13,"")</f>
        <v/>
      </c>
      <c r="DK7" t="str">
        <f>IF(AND('Job Sheet'!P13="Gearbox",'Tube Cutting'!C13="50mm"),1,"")</f>
        <v/>
      </c>
      <c r="DL7" t="str">
        <f>IF(AND('Job Sheet'!P13&lt;&gt;"Spring",'Tube Cutting'!C13="50mm"),1,"")</f>
        <v/>
      </c>
      <c r="DM7" t="str">
        <f>IF(AND('Job Sheet'!P13="Gearbox",'Tube Cutting'!C13="63mm"),1,"")</f>
        <v/>
      </c>
      <c r="DN7">
        <f>IF(AND('Job Sheet'!P13&lt;&gt;"Spring",'Tube Cutting'!C13="63mm"),1,"")</f>
        <v>1</v>
      </c>
      <c r="DO7" t="str">
        <f>IF(AND('Job Sheet'!P13="Gearbox",'Tube Cutting'!C13="70mm"),1,"")</f>
        <v/>
      </c>
      <c r="DP7" t="str">
        <f>IF(AND('Job Sheet'!P13&lt;&gt;"Spring",'Tube Cutting'!C13="70mm"),1,"")</f>
        <v/>
      </c>
      <c r="DQ7" t="str">
        <f>IF(AND('Job Sheet'!P13="Gearbox",'Tube Cutting'!C13="78mm"),1,"")</f>
        <v/>
      </c>
      <c r="DR7" t="str">
        <f>IF(AND('Job Sheet'!P13&lt;&gt;"Spring",'Tube Cutting'!C13="78mm"),1,"")</f>
        <v/>
      </c>
      <c r="DS7" t="str">
        <f>IF(AND('Job Sheet'!P13="Gearbox",'Tube Cutting'!C13="85mm"),1,"")</f>
        <v/>
      </c>
      <c r="DT7" t="str">
        <f>IF(AND('Job Sheet'!P13&lt;&gt;"Spring",'Tube Cutting'!C13="85mm"),1,"")</f>
        <v/>
      </c>
      <c r="DU7" t="str">
        <f>IF('Tube Cutting'!I13="Custom Powdercoat",'Tube Cutting'!F13,"")</f>
        <v/>
      </c>
      <c r="DV7" t="str">
        <f>IF('Tube Cutting'!I13="Ebony (Black)",'Tube Cutting'!F13,"")</f>
        <v/>
      </c>
      <c r="DW7" t="str">
        <f>IF('Tube Cutting'!I13="Caulfield Green",'Tube Cutting'!F13,"")</f>
        <v/>
      </c>
      <c r="DX7" t="str">
        <f>IF('Tube Cutting'!I13="Charcoal (Monument)",'Tube Cutting'!F13,"")</f>
        <v/>
      </c>
      <c r="DY7" t="str">
        <f>IF('Tube Cutting'!I13="Dune",'Tube Cutting'!F13,"")</f>
        <v/>
      </c>
      <c r="DZ7" t="str">
        <f>IF('Tube Cutting'!I13="Heritage Red (Manor Red)",'Tube Cutting'!F13,"")</f>
        <v/>
      </c>
      <c r="EA7" t="str">
        <f>IF('Tube Cutting'!I13="Ironstone",'Tube Cutting'!F13,"")</f>
        <v/>
      </c>
      <c r="EB7" t="str">
        <f>IF('Tube Cutting'!I13="Jasper",'Tube Cutting'!F13,"")</f>
        <v/>
      </c>
      <c r="EC7">
        <f>IF('Tube Cutting'!I13="Merino (Paperbark)",'Tube Cutting'!F13,"")</f>
        <v>1730</v>
      </c>
      <c r="ED7" t="str">
        <f>IF('Tube Cutting'!I13="Mist Green",'Tube Cutting'!F13,"")</f>
        <v/>
      </c>
      <c r="EE7" t="str">
        <f>IF('Tube Cutting'!I13="Mountain Blue",'Tube Cutting'!F13,"")</f>
        <v/>
      </c>
      <c r="EF7" t="str">
        <f>IF('Tube Cutting'!I13="Smooth Cream (Classic Cream)",'Tube Cutting'!F13,"")</f>
        <v/>
      </c>
      <c r="EG7" t="str">
        <f>IF('Tube Cutting'!I13="Shale Grey",'Tube Cutting'!F13,"")</f>
        <v/>
      </c>
      <c r="EH7" t="str">
        <f>IF('Tube Cutting'!I13="Slate Grey (Woodland Grey)",'Tube Cutting'!F13,"")</f>
        <v/>
      </c>
      <c r="EI7" t="str">
        <f>IF('Tube Cutting'!I13="Surf Mist",'Tube Cutting'!F13,"")</f>
        <v/>
      </c>
      <c r="EJ7" t="str">
        <f>IF('Tube Cutting'!I13="White",'Tube Cutting'!F13,"")</f>
        <v/>
      </c>
      <c r="EK7">
        <f>IF(AND('Job Sheet'!AD13="Standard Zinc",'Job Sheet'!P13&lt;&gt;"Spring"),1,"")</f>
        <v>1</v>
      </c>
      <c r="EL7" t="str">
        <f>IF(AND('Job Sheet'!AD13="Stainless Steel",'Job Sheet'!P13&lt;&gt;"Spring"),1,"")</f>
        <v/>
      </c>
      <c r="EM7" t="str">
        <f>IF('Job Sheet'!P13="Spring",1,"")</f>
        <v/>
      </c>
      <c r="EN7">
        <f t="shared" si="2"/>
        <v>2</v>
      </c>
      <c r="EO7" t="str">
        <f>IF('Job Sheet'!AJ13="50mm Small",1,"")</f>
        <v/>
      </c>
      <c r="EP7" t="str">
        <f>IF('Job Sheet'!AJ13="50mm Std",1,"")</f>
        <v/>
      </c>
      <c r="EQ7" t="str">
        <f>IF('Job Sheet'!AJ13="63mm Std",1,"")</f>
        <v/>
      </c>
      <c r="FZ7">
        <f>IF(AND('Job Sheet'!O13="U Bracket",'Job Sheet'!AD13="Standard Zinc"),2,"")</f>
        <v>2</v>
      </c>
      <c r="GA7" t="str">
        <f>IF(AND('Job Sheet'!O13="U Bracket",'Job Sheet'!AD13="Stainless Steel"),2,"")</f>
        <v/>
      </c>
      <c r="GB7">
        <f t="shared" si="3"/>
        <v>2</v>
      </c>
      <c r="GG7" t="str">
        <f>IF(AND('Job Sheet'!AD13="Standard Zinc",'Job Sheet'!K13="Spring Brackets"),2,"")</f>
        <v/>
      </c>
      <c r="GH7" t="str">
        <f>IF(AND('Job Sheet'!AD13="Stainless Steel",'Job Sheet'!K13="Spring Brackets"),2,"")</f>
        <v/>
      </c>
      <c r="GJ7" t="str">
        <f>IF('Job Sheet'!AC13="Yes x 1",1,IF('Job Sheet'!AC13="Yes x 2",2,""))</f>
        <v/>
      </c>
      <c r="GL7" t="str">
        <f>IF('Job Sheet'!AB13="Telescopic x 1",1,IF('Job Sheet'!AB13="Telescopic x 2",2,IF('Job Sheet'!AB13="Telescopic x 3",3,+IF('Job Sheet'!AC13="Telescopic x 1",1,IF('Job Sheet'!AC13="Telescopic x 2",2,IF('Job Sheet'!AC13="Telescopic x 3",3,""))))))</f>
        <v/>
      </c>
      <c r="GM7" t="str">
        <f>IF(AND('Job Sheet'!P13="Gearbox",'Job Sheet'!R13="Black"),1,"")</f>
        <v/>
      </c>
      <c r="GN7" t="str">
        <f>IF(AND('Job Sheet'!P13="Gearbox",'Job Sheet'!R13="White"),1,"")</f>
        <v/>
      </c>
      <c r="GO7" t="str">
        <f>IF('Job Sheet'!Y13="Black Crank Handle 1000mm",1,"")</f>
        <v/>
      </c>
      <c r="GP7" t="str">
        <f>IF('Job Sheet'!Y13="Black Crank Handle 1200mm",1,"")</f>
        <v/>
      </c>
      <c r="GQ7" t="str">
        <f>IF('Job Sheet'!Y13="Black Crank Handle 1500mm",1,"")</f>
        <v/>
      </c>
      <c r="GR7" t="str">
        <f>IF('Job Sheet'!Y13="Black Crank Handle 1800mm",1,"")</f>
        <v/>
      </c>
      <c r="GS7" t="str">
        <f>IF('Job Sheet'!Y13="Black Crank Handle 2200mm",1,"")</f>
        <v/>
      </c>
      <c r="GT7" t="str">
        <f>IF('Job Sheet'!Y13="Black Crank Handle 2500mm",1,"")</f>
        <v/>
      </c>
      <c r="GU7" t="str">
        <f>IF('Job Sheet'!Y13="Black Crank Handle 3000mm",1,"")</f>
        <v/>
      </c>
      <c r="GV7" t="str">
        <f>IF('Job Sheet'!Y13="White Crank Handle 1000mm",1,"")</f>
        <v/>
      </c>
      <c r="GW7" t="str">
        <f>IF('Job Sheet'!Y13="White Crank Handle 1200mm",1,"")</f>
        <v/>
      </c>
      <c r="GX7" t="str">
        <f>IF('Job Sheet'!Y13="White Crank Handle 1500mm",1,"")</f>
        <v/>
      </c>
      <c r="GY7" t="str">
        <f>IF('Job Sheet'!Y13="White Crank Handle 1800mm",1,"")</f>
        <v/>
      </c>
      <c r="GZ7" t="str">
        <f>IF('Job Sheet'!Y13="White Crank Handle 2200mm",1,"")</f>
        <v/>
      </c>
      <c r="HA7" t="str">
        <f>IF('Job Sheet'!Y13="White Crank Handle 2500mm",1,"")</f>
        <v/>
      </c>
      <c r="HB7" t="str">
        <f>IF('Job Sheet'!Y13="White Crank Handle 3000mm",1,"")</f>
        <v/>
      </c>
      <c r="HC7" t="str">
        <f>IF(AND('Job Sheet'!AH13="900mm",'Job Sheet'!AD13="Standard Zinc"),2,"")</f>
        <v/>
      </c>
      <c r="HD7" t="str">
        <f>IF(AND('Job Sheet'!AH13="1200mm",'Job Sheet'!AD13="Standard Zinc"),2,"")</f>
        <v/>
      </c>
      <c r="HE7" t="str">
        <f>IF(AND('Job Sheet'!AH13="1500mm",'Job Sheet'!AD13="Standard Zinc"),2,"")</f>
        <v/>
      </c>
      <c r="HF7" t="str">
        <f>IF(AND('Job Sheet'!AH13="1800mm",'Job Sheet'!AD13="Standard Zinc"),2,"")</f>
        <v/>
      </c>
      <c r="HG7">
        <f>IF(AND('Job Sheet'!AH13="2100mm",'Job Sheet'!AD13="Standard Zinc"),2,"")</f>
        <v>2</v>
      </c>
      <c r="HH7" t="str">
        <f>IF(AND('Job Sheet'!AH13="2400mm",'Job Sheet'!AD13="Standard Zinc"),2,"")</f>
        <v/>
      </c>
      <c r="HI7" t="str">
        <f>IF(AND('Job Sheet'!AH13="2700mm",'Job Sheet'!AD13="Standard Zinc"),2,"")</f>
        <v/>
      </c>
      <c r="HJ7" t="str">
        <f>IF(AND('Job Sheet'!AH13="3000mm",'Job Sheet'!AD13="Standard Zinc"),2,"")</f>
        <v/>
      </c>
      <c r="HK7" t="str">
        <f>IF(AND('Job Sheet'!AH13="3500mm",'Job Sheet'!AD13="Standard Zinc"),2,"")</f>
        <v/>
      </c>
      <c r="HL7" t="str">
        <f>IF(AND('Job Sheet'!AH13="900mm",'Job Sheet'!AD13="Stainless Steel"),2,"")</f>
        <v/>
      </c>
      <c r="HM7" t="str">
        <f>IF(AND('Job Sheet'!AH13="1200mm",'Job Sheet'!AD13="Stainless Steel"),2,"")</f>
        <v/>
      </c>
      <c r="HN7" t="str">
        <f>IF(AND('Job Sheet'!AH13="1500mm",'Job Sheet'!AD13="Stainless Steel"),2,"")</f>
        <v/>
      </c>
      <c r="HO7" t="str">
        <f>IF(AND('Job Sheet'!AH13="1800mm",'Job Sheet'!AD13="Stainless Steel"),2,"")</f>
        <v/>
      </c>
      <c r="HP7" t="str">
        <f>IF(AND('Job Sheet'!AH13="2100mm",'Job Sheet'!AD13="Stainless Steel"),2,"")</f>
        <v/>
      </c>
      <c r="HQ7" t="str">
        <f>IF(AND('Job Sheet'!AH13="2400mm",'Job Sheet'!AD13="Stainless Steel"),2,"")</f>
        <v/>
      </c>
      <c r="HR7" t="str">
        <f>IF(AND('Job Sheet'!AH13="2700mm",'Job Sheet'!AD13="Stainless Steel"),2,"")</f>
        <v/>
      </c>
      <c r="HS7" t="str">
        <f>IF(AND('Job Sheet'!AH13="3000mm",'Job Sheet'!AD13="Stainless Steel"),2,"")</f>
        <v/>
      </c>
      <c r="HT7">
        <f>IF('Tube Cutting'!G13="","",'Tube Cutting'!F13*2-120)</f>
        <v>3340</v>
      </c>
      <c r="HU7" t="str">
        <f>IF(AND('Job Sheet'!O13="150mm L Bracket",'Job Sheet'!AD13="Standard Zinc"),2,"")</f>
        <v/>
      </c>
      <c r="HV7" t="str">
        <f>IF(AND('Job Sheet'!O13="225mm L Bracket",'Job Sheet'!AD13="Standard Zinc"),2,"")</f>
        <v/>
      </c>
      <c r="HW7" t="str">
        <f>IF(AND('Job Sheet'!O13="300mm L Bracket",'Job Sheet'!AD13="Standard Zinc"),2,"")</f>
        <v/>
      </c>
      <c r="HX7" t="str">
        <f>IF(AND('Job Sheet'!O13="450mm L Bracket",'Job Sheet'!AD13="Standard Zinc"),2,"")</f>
        <v/>
      </c>
      <c r="HY7" t="str">
        <f>IF(AND('Job Sheet'!O13="600mm L Bracket",'Job Sheet'!AD13="Standard Zinc"),2,"")</f>
        <v/>
      </c>
      <c r="HZ7" t="str">
        <f>IF(AND('Job Sheet'!O13="150mm L Bracket",'Job Sheet'!AD13="Stainless Steel"),2,"")</f>
        <v/>
      </c>
      <c r="IA7" t="str">
        <f>IF(AND('Job Sheet'!O13="225mm L Bracket",'Job Sheet'!AD13="Stainless Steel"),2,"")</f>
        <v/>
      </c>
      <c r="IB7" t="str">
        <f>IF(AND('Job Sheet'!O13="300mm L Bracket",'Job Sheet'!AD13="Stainless Steel"),2,"")</f>
        <v/>
      </c>
      <c r="IC7">
        <f t="shared" si="4"/>
        <v>2</v>
      </c>
      <c r="ID7" t="str">
        <f>IF(AND('Job Sheet'!AD13="Standard Zinc",(OR('Job Sheet'!Y13="150mm Stayed Bracket with No Pulleys and Rope Cleat",'Job Sheet'!Y13="150mm Stayed Bracket with 1 Pulley and Rope Cleat",'Job Sheet'!Y13="150mm Stayed Bracket with 2 Pulleys and Rope Cleat"))),1,"")</f>
        <v/>
      </c>
      <c r="IE7" t="str">
        <f>IF(AND('Job Sheet'!AD13="Standard Zinc",(OR('Job Sheet'!Y13="225mm Stayed Bracket with No Pulleys and Rope Cleat",'Job Sheet'!Y13="225mm Stayed Bracket with 1 Pulley and Rope Cleat",'Job Sheet'!Y13="225mm Stayed Bracket with 2 Pulleys and Rope Cleat"))),1,"")</f>
        <v/>
      </c>
      <c r="IF7" t="str">
        <f>IF(AND('Job Sheet'!AD13="Standard Zinc",(OR('Job Sheet'!Y13="300mm Stayed Bracket with No Pulleys and Rope Cleat",'Job Sheet'!Y13="300mm Stayed Bracket with 1 Pulley and Rope Cleat",'Job Sheet'!Y13="300mm Stayed Bracket with 2 Pulleys and Rope Cleat"))),1,"")</f>
        <v/>
      </c>
      <c r="IG7" t="str">
        <f>IF(AND('Job Sheet'!AD13="Stainless Steel",OR('Job Sheet'!Y13="150mm Stayed Bracket with No Pulleys and Rope Cleat",'Job Sheet'!Y13="150mm Stayed Bracket with 1 Pulley and Rope Cleat",'Job Sheet'!Y13="150mm Stayed Bracket with 2 Pulleys and Rope Cleat")),1,"")</f>
        <v/>
      </c>
      <c r="IH7" t="str">
        <f>IF(AND('Job Sheet'!Y13="300mm Stayed Bracket with 1 Pulley and Rope Cleat",'Job Sheet'!AD13="Stainless Steel"),1,"")</f>
        <v/>
      </c>
      <c r="II7" t="str">
        <f>IF(OR('Job Sheet'!Y13="150mm Stayed Bracket with 1 Pulley and Rope Cleat",'Job Sheet'!Y13="225mm Stayed Bracket with 1 Pulley and Rope Cleat",'Job Sheet'!Y13="300mm Stayed Bracket with 1 Pulley and Rope Cleat",'Job Sheet'!Y13="With 1 Pulley and Rope Cleat"),"1",IF(OR('Job Sheet'!Y13="150mm Stayed Bracket with 2 Pulleys and Rope Cleat",'Job Sheet'!Y13="225mm Stayed Bracket with 2 Pulleys and Rope Cleat",'Job Sheet'!Y13="300mm Stayed Bracket with 2 Pulleys and Rope Cleat",'Job Sheet'!Y13="With 2 Pulleys and Rope Cleat"),"2",""))</f>
        <v/>
      </c>
      <c r="IJ7" t="str">
        <f>IF(OR('Job Sheet'!Y13="150mm Stayed Bracket with No Pulleys and Rope Cleat",'Job Sheet'!Y13="150mm Stayed Bracket with 1 Pulley and Rope Cleat",'Job Sheet'!Y13="150mm Stayed Bracket with 2 Pulleys and Rope Cleat",'Job Sheet'!Y13="225mm Stayed Bracket with No Pulleys and Rope Cleat",'Job Sheet'!Y13="225mm Stayed Bracket with 1 Pulley and Rope Cleat",'Job Sheet'!Y13="225mm Stayed Bracket with 2 Pulleys and Rope Cleat",'Job Sheet'!Y13="300mm Stayed Bracket with No Pulleys and Rope Cleat",'Job Sheet'!Y13="300mm Stayed Bracket with 1 Pulley and Rope Cleat",'Job Sheet'!Y13="300mm Stayed Bracket with 2 Pulleys and Rope Cleat",'Job Sheet'!Y13="With No Pulleys and Rope Cleat",'Job Sheet'!Y13="With 1 Pulley and Rope Cleat",'Job Sheet'!Y13="With 2 Pulleys and Rope Cleat",),"1","")</f>
        <v/>
      </c>
      <c r="IK7" t="str">
        <f>IF('Job Sheet'!R13="Black Cord 2m","2",IF('Job Sheet'!R13="Black Cord 3m","3",IF('Job Sheet'!R13="Black Cord 4m","4",IF('Job Sheet'!R13="Black Cord 5m","5",IF('Job Sheet'!R13="Black Cord 6m","6","")))))</f>
        <v/>
      </c>
      <c r="IL7" t="str">
        <f>IF('Job Sheet'!R13="White Cord 2m","2",IF('Job Sheet'!R13="White Cord 3m","3",IF('Job Sheet'!R13="White Cord 4m","4",IF('Job Sheet'!R13="White Cord 5m","5",IF('Job Sheet'!R13="White Cord 6m","6","")))))</f>
        <v/>
      </c>
      <c r="IM7" t="str">
        <f>IF(AND('Job Sheet'!K13="Powder Coated Brackets",'Job Sheet'!L13="Black"),2,"")</f>
        <v/>
      </c>
      <c r="IN7" t="str">
        <f>IF(AND('Job Sheet'!K13="Powder Coated Brackets",'Job Sheet'!L13="White"),2,"")</f>
        <v/>
      </c>
      <c r="IQ7" t="str">
        <f>IF('Job Sheet'!L13="Stainless Steel",2,"")</f>
        <v/>
      </c>
      <c r="JD7" t="str">
        <f>IF('Job Sheet'!AB13="25mm x 1",1,IF('Job Sheet'!AB13="25mm x 2",2,""))</f>
        <v/>
      </c>
      <c r="JE7" t="str">
        <f>IF('Job Sheet'!AB13="50mm x 1",1,IF('Job Sheet'!AB13="50mm x 2",2,""))</f>
        <v/>
      </c>
      <c r="JF7" t="str">
        <f>IF('Job Sheet'!AB13="75mm x 1",1,IF('Job Sheet'!AB13="75mm x 2",2,""))</f>
        <v/>
      </c>
      <c r="JG7" t="str">
        <f>IF('Job Sheet'!AB13="100mm x 1",1,IF('Job Sheet'!AB13="100mm x 2",2,""))</f>
        <v/>
      </c>
      <c r="JH7" t="str">
        <f>IF('Job Sheet'!AB13="125mm x 1",1,IF('Job Sheet'!AB13="125mm x 2",2,""))</f>
        <v/>
      </c>
      <c r="JN7" t="str">
        <f>IF('Job Sheet'!AA13="25mm x 1",1,IF('Job Sheet'!AA13="25mm x 2",2,""))</f>
        <v/>
      </c>
      <c r="JO7" t="str">
        <f>IF('Job Sheet'!AA13="50mm x 1",1,IF('Job Sheet'!AA13="50mm x 2",2,""))</f>
        <v/>
      </c>
      <c r="JP7" t="str">
        <f>IF('Job Sheet'!AA13="75mm x 1",1,IF('Job Sheet'!AA13="75mm x 2",2,""))</f>
        <v/>
      </c>
      <c r="JQ7" t="str">
        <f>IF('Job Sheet'!AA13="100mm x 1",1,IF('Job Sheet'!AA13="100mm x 2",2,""))</f>
        <v/>
      </c>
      <c r="JR7" t="str">
        <f>IF('Job Sheet'!AA13="125mm x 1",1,IF('Job Sheet'!AA13="125mm x 2",2,""))</f>
        <v/>
      </c>
      <c r="JS7">
        <f>IF('Welding&amp;Sewing'!D13="3.6mm White",'Fabric Cutting'!G13*2,'Fabric Cutting'!G13)</f>
        <v>3460</v>
      </c>
      <c r="JT7" t="str">
        <f>IF('Welding&amp;Sewing'!D13="6mm Black",'Fabric Cutting'!G13,"")</f>
        <v/>
      </c>
      <c r="MB7" t="str">
        <f>IF('Job Sheet'!P13="Acmeda Remote Motor",1,"")</f>
        <v/>
      </c>
      <c r="MC7" t="str">
        <f>IF(AND('Tube Cutting'!C13="63mm",'Job Sheet'!P13="Acmeda Remote Motor"),1,"")</f>
        <v/>
      </c>
      <c r="MD7" t="str">
        <f>IF(AND('Tube Cutting'!C13="63mm",'Job Sheet'!P13="Acmeda Remote Motor"),1,"")</f>
        <v/>
      </c>
      <c r="ME7" t="str">
        <f>IF(AND('Tube Cutting'!C13="78mm",'Job Sheet'!P13="Acmeda Remote Motor"),1,"")</f>
        <v/>
      </c>
      <c r="MF7" t="str">
        <f>IF(AND('Tube Cutting'!C13="78mm",'Job Sheet'!P13="Acmeda Remote Motor"),1,"")</f>
        <v/>
      </c>
      <c r="MG7" t="str">
        <f>IF('Job Sheet'!P13="Acmeda 12v Remote Motor",1,"")</f>
        <v/>
      </c>
      <c r="MH7" t="str">
        <f>IF(OR('Job Sheet'!Z13="External Battery",'Job Sheet'!Z13="External Battery and Charging Cable"),1,"")</f>
        <v/>
      </c>
      <c r="MI7" t="str">
        <f>IF('Job Sheet'!Z13="External Battery and Charging Cable",1,"")</f>
        <v/>
      </c>
      <c r="MJ7" t="str">
        <f>IF('Job Sheet'!Z13="Pulse 2.0 Automation Hub",1,"")</f>
        <v/>
      </c>
      <c r="MK7" t="str">
        <f>IF('Job Sheet'!Z13="USB Repeater",1,"")</f>
        <v/>
      </c>
      <c r="ML7" t="str">
        <f>IF('Job Sheet'!Y13="Acmeda 1 Channel White Remote",1,"")</f>
        <v/>
      </c>
      <c r="MM7" t="str">
        <f>IF('Job Sheet'!Y13="Acmeda 1 Channel Black Remote",1,"")</f>
        <v/>
      </c>
      <c r="MN7" t="str">
        <f>IF('Job Sheet'!Y13="Acmeda 5 Channel White Remote",1,"")</f>
        <v/>
      </c>
      <c r="MO7" t="str">
        <f>IF('Job Sheet'!Y13="Acmeda 5 Channel Black Remote",1,"")</f>
        <v/>
      </c>
      <c r="MP7" t="str">
        <f>IF('Job Sheet'!Y13="Acmeda 15 Channel White Remote",1,"")</f>
        <v/>
      </c>
      <c r="MQ7" t="str">
        <f>IF('Job Sheet'!Y13="Acmeda 15 Channel Black Remote",1,"")</f>
        <v/>
      </c>
      <c r="MR7" t="str">
        <f>IF('Job Sheet'!Y13="Acmeda Wall Mounted 5 Channel White Remote",1,"")</f>
        <v/>
      </c>
      <c r="MS7" t="str">
        <f>IF('Job Sheet'!Y13="Acmeda Wall Mounted Single Channel White Remote",1,"")</f>
        <v/>
      </c>
      <c r="MT7" t="str">
        <f>IF('Job Sheet'!Y13="Acmeda Wall Mounted 2 Channel White Remote",1,"")</f>
        <v/>
      </c>
      <c r="MU7" t="str">
        <f>IF('Job Sheet'!Y13="Acmeda Wall Mounted 15 Channel White Remote",1,"")</f>
        <v/>
      </c>
      <c r="MV7" t="str">
        <f>IF('Job Sheet'!Y13="Acmeda Push Pro White Remote with Charger",1,"")</f>
        <v/>
      </c>
      <c r="MW7" t="str">
        <f>IF('Job Sheet'!Y13="Acmeda Push Pro Black Remote with Charger",1,"")</f>
        <v/>
      </c>
      <c r="MX7" t="str">
        <f>IF(OR('Job Sheet'!Y13="Acmeda Push Pro White Remote with Charger",'Job Sheet'!Y13="Acmeda Push Pro Black Remote with Charger"),"1","")</f>
        <v/>
      </c>
      <c r="MY7" t="str">
        <f t="shared" si="5"/>
        <v/>
      </c>
      <c r="NA7" t="str">
        <f>IF('Job Sheet'!Z13="1 Channel Dry Contact Relay Module",1,"")</f>
        <v/>
      </c>
      <c r="ND7">
        <f>IF('Job Sheet'!P13="Becker Remote Operated",1,"")</f>
        <v>1</v>
      </c>
      <c r="NF7" t="str">
        <f>IF('Job Sheet'!P13="Becker Switch Operated",1,"")</f>
        <v/>
      </c>
      <c r="NG7">
        <f>IF(AND('Tube Cutting'!C13="63mm",(OR('Job Sheet'!P13="Becker Remote Operated",'Job Sheet'!P13="Becker Switch Operated"))),1,"")</f>
        <v>1</v>
      </c>
      <c r="NH7">
        <f>IF(AND('Tube Cutting'!C13="63mm",(OR('Job Sheet'!P13="Becker Remote Operated",'Job Sheet'!P13="Becker Switch Operated"))),1,"")</f>
        <v>1</v>
      </c>
      <c r="NI7">
        <f>IF(OR('Job Sheet'!P13="Becker Remote Operated",'Job Sheet'!P13="Becker Switch Operated"),1,"")</f>
        <v>1</v>
      </c>
      <c r="NK7" t="str">
        <f>IF(AND('Tube Cutting'!C13="78mm",(OR('Job Sheet'!P13="Becker Remote Operated",'Job Sheet'!P13="Becker Switch Operated"))),1,"")</f>
        <v/>
      </c>
      <c r="NL7" t="str">
        <f>IF(AND('Tube Cutting'!C13="78mm",'Job Sheet'!P13="Becker Remote Operated"),1,"")</f>
        <v/>
      </c>
      <c r="NM7" t="str">
        <f>IF('Job Sheet'!Y13="Becker Single Channel White Remote",1,"")</f>
        <v/>
      </c>
      <c r="NN7" t="str">
        <f>IF('Job Sheet'!Y13="Becker Single Channel Black Remote",1,"")</f>
        <v/>
      </c>
      <c r="NO7" t="str">
        <f>IF('Job Sheet'!Y13="Becker 5 Channel White Remote",1,"")</f>
        <v/>
      </c>
      <c r="NP7" t="str">
        <f>IF('Job Sheet'!Y13="Becker 5 Channel Black Remote",1,"")</f>
        <v/>
      </c>
      <c r="NQ7" t="str">
        <f>IF('Job Sheet'!Y13="Becker 10 Channel White Remote",1,"")</f>
        <v/>
      </c>
      <c r="NR7" t="str">
        <f>IF('Job Sheet'!Y13="Becker 10 Channel Black Remote",1,"")</f>
        <v/>
      </c>
      <c r="NS7" t="s">
        <v>617</v>
      </c>
      <c r="NT7" t="str">
        <f>IF('Job Sheet'!P13="Somfy Remote Operated",1,"")</f>
        <v/>
      </c>
      <c r="NV7" t="str">
        <f>IF('Job Sheet'!P13="Somfy Remote Operated",1,"")</f>
        <v/>
      </c>
      <c r="NW7" t="str">
        <f>IF(AND('Tube Cutting'!C13="63mm",'Job Sheet'!P13="Somfy Remote Operated"),1,"")</f>
        <v/>
      </c>
      <c r="NX7" t="str">
        <f>IF(AND('Tube Cutting'!C13="63mm",'Job Sheet'!P13="Somfy Remote Operated"),1,"")</f>
        <v/>
      </c>
      <c r="NY7" t="str">
        <f>IF(AND('Tube Cutting'!C13="78mm",'Job Sheet'!P13="Somfy Remote Operated"),1,"")</f>
        <v/>
      </c>
      <c r="NZ7" t="str">
        <f>IF(AND('Tube Cutting'!C13="78mm",'Job Sheet'!P13="Somfy Remote Operated"),1,"")</f>
        <v/>
      </c>
      <c r="OA7" t="str">
        <f>IF('Job Sheet'!Z13="Connexoon App Connector",1,"")</f>
        <v/>
      </c>
      <c r="OB7" t="str">
        <f>IF('Job Sheet'!Z13="Tahoma Switch",1,"")</f>
        <v/>
      </c>
      <c r="OC7" t="str">
        <f>IF('Job Sheet'!Y13="Somfy 15 Channel Silver Remote",1,"")</f>
        <v/>
      </c>
      <c r="OD7" t="str">
        <f>IF('Job Sheet'!Y13="Somfy 15 Channel White Remote",1,"")</f>
        <v/>
      </c>
      <c r="OE7" t="str">
        <f>IF('Job Sheet'!Y13="Somfy 2 Channel Silver Remote",1,"")</f>
        <v/>
      </c>
      <c r="OF7" t="str">
        <f>IF('Job Sheet'!Y13="Somfy 2 Channel Wall Mounted Smoove Remote White with Black Cover Plate",1,"")</f>
        <v/>
      </c>
      <c r="OG7" t="str">
        <f>IF('Job Sheet'!Y13="Somfy 2 Channel Wall Mounted Smoove Remote White with Silver Cover Plate",1,"")</f>
        <v/>
      </c>
      <c r="OH7" t="str">
        <f>IF('Job Sheet'!Y13="Somfy 2 Channel Wall Mounted Smoove Remote White",1,"")</f>
        <v/>
      </c>
      <c r="OI7" t="str">
        <f>IF('Job Sheet'!Y13="Somfy 2 Channel White Remote",1,"")</f>
        <v/>
      </c>
      <c r="OJ7" t="str">
        <f>IF('Job Sheet'!Y13="Somfy 2 Channel Silver Remote",1,"")</f>
        <v/>
      </c>
      <c r="OK7" t="str">
        <f>IF('Job Sheet'!Y13="Somfy 5 Channel Wall Mounted Smoove Remote White with Black Cover Plate",1,"")</f>
        <v/>
      </c>
      <c r="OL7" t="str">
        <f>IF('Job Sheet'!Y13="Somfy 5 Channel Wall Mounted Smoove Remote White with Silver Cover Plate",1,"")</f>
        <v/>
      </c>
      <c r="OM7" t="str">
        <f>IF('Job Sheet'!Y13="Somfy 5 Channel Wall Mounted Smoove Remote White",1,"")</f>
        <v/>
      </c>
      <c r="ON7" t="str">
        <f>IF('Job Sheet'!Y13="Somfy 5 Channel White Remote",1,"")</f>
        <v/>
      </c>
      <c r="OO7" t="str">
        <f>IF('Job Sheet'!Y13="Somfy Single Channel Silver Remote",1,"")</f>
        <v/>
      </c>
      <c r="OP7" t="str">
        <f>IF('Job Sheet'!Y13="Somfy Single Channel Wall Mounted Smoove Remote White with Black Cover Plate",1,"")</f>
        <v/>
      </c>
      <c r="OQ7" t="str">
        <f>IF('Job Sheet'!Y13="Somfy Single Channel Wall Mounted Smoove Remote White with Silver Cover Plate",1,"")</f>
        <v/>
      </c>
      <c r="OR7" t="str">
        <f>IF('Job Sheet'!Y13="Somfy Single Channel Wall Mounted Smoove Remote White",1,"")</f>
        <v/>
      </c>
      <c r="OS7" t="str">
        <f>IF('Job Sheet'!Y13="Somfy Single Channel White Remote",1,"")</f>
        <v/>
      </c>
    </row>
    <row r="8" spans="4:409" ht="13.15" customHeight="1">
      <c r="D8" t="str">
        <f>IF('Tube Cutting'!D14="","",CONCATENATE(Data!BC$5,".",Data!BD$5))</f>
        <v>12085.A</v>
      </c>
      <c r="E8">
        <f>IF(D8="","",Data!AW14)</f>
        <v>5</v>
      </c>
      <c r="F8" t="str">
        <f>IF(D8="","",Data!AV14)</f>
        <v>71d07fd9-3e12-475b-acde-5a4adbd3bef2</v>
      </c>
      <c r="G8" t="str">
        <f t="shared" si="0"/>
        <v>Fixed Guide Sunblind</v>
      </c>
      <c r="H8" t="str">
        <f>IF(D8="","",Data!BF$5)</f>
        <v>Campbell, Neil</v>
      </c>
      <c r="I8" t="str">
        <f>IF(D8="","",Data!AX$5)</f>
        <v>Verticali Patio Blinds &amp; Fixed Guide Awnings</v>
      </c>
      <c r="J8" t="str">
        <f>'Job Sheet'!H14</f>
        <v>HVG Visiontex Glisse Sunscreen Naxos</v>
      </c>
      <c r="K8">
        <f t="shared" si="1"/>
        <v>7.618</v>
      </c>
      <c r="L8" s="33">
        <f>'Fabric Cutting'!G14</f>
        <v>2930</v>
      </c>
      <c r="M8" s="33">
        <f>'Fabric Cutting'!H14</f>
        <v>2600</v>
      </c>
      <c r="N8" t="str">
        <f>IF(AND('Job Sheet'!K14="Colourbond Under-Roll Hooding",'Job Sheet'!L14="Custom Powdercoat"),'Tube Cutting'!J14,"")</f>
        <v/>
      </c>
      <c r="O8" t="str">
        <f>IF(AND('Job Sheet'!K14="Colourbond Under-Roll Hooding",'Job Sheet'!L14="Ebony (Black)"),'Tube Cutting'!J14,"")</f>
        <v/>
      </c>
      <c r="P8" t="str">
        <f>IF(AND('Job Sheet'!K14="Colourbond Under-Roll Hooding",'Job Sheet'!L14="Caulfield Green"),'Tube Cutting'!J14,"")</f>
        <v/>
      </c>
      <c r="Q8" t="str">
        <f>IF(AND('Job Sheet'!K14="Colourbond Under-Roll Hooding",'Job Sheet'!L14="Charcoal (Monument)"),'Tube Cutting'!J14,"")</f>
        <v/>
      </c>
      <c r="R8" t="str">
        <f>IF(AND('Job Sheet'!K14="Colourbond Under-Roll Hooding",'Job Sheet'!L14="Dune"),'Tube Cutting'!J14,"")</f>
        <v/>
      </c>
      <c r="S8" t="str">
        <f>IF(AND('Job Sheet'!K14="Colourbond Under-Roll Hooding",'Job Sheet'!L14="Heritage Red (Manor Red)"),'Tube Cutting'!J14,"")</f>
        <v/>
      </c>
      <c r="T8" t="str">
        <f>IF(AND('Job Sheet'!K14="Colourbond Under-Roll Hooding",'Job Sheet'!L14="Ironstone"),'Tube Cutting'!J14,"")</f>
        <v/>
      </c>
      <c r="U8" t="str">
        <f>IF(AND('Job Sheet'!K14="Colourbond Under-Roll Hooding",'Job Sheet'!L14="Jasper"),'Tube Cutting'!J14,"")</f>
        <v/>
      </c>
      <c r="V8">
        <f>IF(AND('Job Sheet'!K14="Colourbond Under-Roll Hooding",'Job Sheet'!L14="Merino (Paperbark)"),'Tube Cutting'!J14,"")</f>
        <v>3011</v>
      </c>
      <c r="W8" t="str">
        <f>IF(AND('Job Sheet'!K14="Colourbond Under-Roll Hooding",'Job Sheet'!L14="Mist Green"),'Tube Cutting'!J14,"")</f>
        <v/>
      </c>
      <c r="X8" t="str">
        <f>IF(AND('Job Sheet'!K14="Colourbond Under-Roll Hooding",'Job Sheet'!L14="Mountain Blue"),'Tube Cutting'!J14,"")</f>
        <v/>
      </c>
      <c r="Y8" t="str">
        <f>IF(AND('Job Sheet'!K14="Colourbond Under-Roll Hooding",'Job Sheet'!L14="Smooth Cream (Classic Cream)"),'Tube Cutting'!J14,"")</f>
        <v/>
      </c>
      <c r="Z8" t="str">
        <f>IF(AND('Job Sheet'!K14="Colourbond Under-Roll Hooding",'Job Sheet'!L14="Shale Grey"),'Tube Cutting'!J14,"")</f>
        <v/>
      </c>
      <c r="AA8" t="str">
        <f>IF(AND('Job Sheet'!K14="Colourbond Under-Roll Hooding",'Job Sheet'!L14="Slate Grey (Woodland Grey)"),'Tube Cutting'!J14,"")</f>
        <v/>
      </c>
      <c r="AB8" t="str">
        <f>IF(AND('Job Sheet'!K14="Colourbond Under-Roll Hooding",'Job Sheet'!L14="Surfmist"),'Tube Cutting'!J14,"")</f>
        <v/>
      </c>
      <c r="AC8" t="str">
        <f>IF(AND('Job Sheet'!K14="Colourbond Under-Roll Hooding",'Job Sheet'!L14="White"),'Tube Cutting'!J14,"")</f>
        <v/>
      </c>
      <c r="AD8" t="str">
        <f>IF(AND('Job Sheet'!P14="Spring",'Job Sheet'!K14="Colourbond Under-Roll Hooding",'Job Sheet'!L14="Custom Powdercoat"),1,"")</f>
        <v/>
      </c>
      <c r="AE8" t="str">
        <f>IF(AND('Job Sheet'!P14="Spring",'Job Sheet'!K14="Colourbond Under-Roll Hooding",'Job Sheet'!L14="Ebony (Black)"),1,"")</f>
        <v/>
      </c>
      <c r="AF8" t="str">
        <f>IF(AND('Job Sheet'!P14="Spring",'Job Sheet'!K14="Colourbond Under-Roll Hooding",'Job Sheet'!L14="Caulfield Green"),1,"")</f>
        <v/>
      </c>
      <c r="AG8" t="str">
        <f>IF(AND('Job Sheet'!P14="Spring",'Job Sheet'!K14="Colourbond Under-Roll Hooding",'Job Sheet'!L14="Charcoal (Monument)"),1,"")</f>
        <v/>
      </c>
      <c r="AH8" t="str">
        <f>IF(AND('Job Sheet'!P14="Spring",'Job Sheet'!K14="Colourbond Under-Roll Hooding",'Job Sheet'!L14="Dune"),1,"")</f>
        <v/>
      </c>
      <c r="AI8" t="str">
        <f>IF(AND('Job Sheet'!P14="Spring",'Job Sheet'!K14="Colourbond Under-Roll Hooding",'Job Sheet'!L14="Heritage Red (Manor Red)"),1,"")</f>
        <v/>
      </c>
      <c r="AJ8" t="str">
        <f>IF(AND('Job Sheet'!P14="Spring",'Job Sheet'!K14="Colourbond Under-Roll Hooding",'Job Sheet'!L14="Ironstone"),1,"")</f>
        <v/>
      </c>
      <c r="AK8" t="str">
        <f>IF(AND('Job Sheet'!P14="Spring",'Job Sheet'!K14="Colourbond Under-Roll Hooding",'Job Sheet'!L14="Jasper"),1,"")</f>
        <v/>
      </c>
      <c r="AL8" t="str">
        <f>IF(AND('Job Sheet'!P14="Spring",'Job Sheet'!K14="Colourbond Under-Roll Hooding",'Job Sheet'!L14="Merino (Paperbark)"),1,"")</f>
        <v/>
      </c>
      <c r="AM8" t="str">
        <f>IF(AND('Job Sheet'!P14="Spring",'Job Sheet'!K14="Colourbond Under-Roll Hooding",'Job Sheet'!L14="Mist Green"),1,"")</f>
        <v/>
      </c>
      <c r="AN8" t="str">
        <f>IF(AND('Job Sheet'!P14="Spring",'Job Sheet'!K14="Colourbond Under-Roll Hooding",'Job Sheet'!L14="Mountain Blue"),1,"")</f>
        <v/>
      </c>
      <c r="AO8" t="str">
        <f>IF(AND('Job Sheet'!P14="Spring",'Job Sheet'!K14="Colourbond Under-Roll Hooding",'Job Sheet'!L14="Smooth Cream (Classic Cream)"),1,"")</f>
        <v/>
      </c>
      <c r="AP8" t="str">
        <f>IF(AND('Job Sheet'!P14="Spring",'Job Sheet'!K14="Colourbond Under-Roll Hooding",'Job Sheet'!L14="Shale Grey"),1,"")</f>
        <v/>
      </c>
      <c r="AQ8" t="str">
        <f>IF(AND('Job Sheet'!P14="Spring",'Job Sheet'!K14="Colourbond Under-Roll Hooding",'Job Sheet'!L14="Slate Grey (Woodland Grey)"),1,"")</f>
        <v/>
      </c>
      <c r="AR8" t="str">
        <f>IF(AND('Job Sheet'!P14="Spring",'Job Sheet'!K14="Colourbond Under-Roll Hooding",'Job Sheet'!L14="Surfmist"),1,"")</f>
        <v/>
      </c>
      <c r="AS8" t="str">
        <f>IF(AND('Job Sheet'!P14="Spring",'Job Sheet'!K14="Colourbond Under-Roll Hooding",'Job Sheet'!L14="White"),1,"")</f>
        <v/>
      </c>
      <c r="AT8" t="str">
        <f>IF(AND('Job Sheet'!P14&lt;&gt;"Spring",'Job Sheet'!K14="Colourbond Under-Roll Hooding",'Job Sheet'!L14="Custom Powdercoat"),1,"")</f>
        <v/>
      </c>
      <c r="AU8" t="str">
        <f>IF(AND('Job Sheet'!P14&lt;&gt;"Spring",'Job Sheet'!K14="Colourbond Under-Roll Hooding",'Job Sheet'!L14="Ebony (Black)"),1,"")</f>
        <v/>
      </c>
      <c r="AV8" t="str">
        <f>IF(AND('Job Sheet'!P14&lt;&gt;"Spring",'Job Sheet'!K14="Colourbond Under-Roll Hooding",'Job Sheet'!L14="Caulfield Green"),1,"")</f>
        <v/>
      </c>
      <c r="AW8" t="str">
        <f>IF(AND('Job Sheet'!P14&lt;&gt;"Spring",'Job Sheet'!K14="Colourbond Under-Roll Hooding",'Job Sheet'!L14="Charcoal (Monument)"),1,"")</f>
        <v/>
      </c>
      <c r="AX8" t="str">
        <f>IF(AND('Job Sheet'!P14&lt;&gt;"Spring",'Job Sheet'!K14="Colourbond Under-Roll Hooding",'Job Sheet'!L14="Dune"),1,"")</f>
        <v/>
      </c>
      <c r="AY8" t="str">
        <f>IF(AND('Job Sheet'!P14&lt;&gt;"Spring",'Job Sheet'!K14="Colourbond Under-Roll Hooding",'Job Sheet'!L14="Heritage Red (Manor Red)"),1,"")</f>
        <v/>
      </c>
      <c r="AZ8" t="str">
        <f>IF(AND('Job Sheet'!P14&lt;&gt;"Spring",'Job Sheet'!K14="Colourbond Under-Roll Hooding",'Job Sheet'!L14="Ironstone"),1,"")</f>
        <v/>
      </c>
      <c r="BA8" t="str">
        <f>IF(AND('Job Sheet'!P14&lt;&gt;"Spring",'Job Sheet'!K14="Colourbond Under-Roll Hooding",'Job Sheet'!L14="Jasper"),1,"")</f>
        <v/>
      </c>
      <c r="BB8">
        <f>IF(AND('Job Sheet'!P14&lt;&gt;"Spring",'Job Sheet'!K14="Colourbond Under-Roll Hooding",'Job Sheet'!L14="Merino (Paperbark)"),1,"")</f>
        <v>1</v>
      </c>
      <c r="BC8" t="str">
        <f>IF(AND('Job Sheet'!P14&lt;&gt;"Spring",'Job Sheet'!K14="Colourbond Under-Roll Hooding",'Job Sheet'!L14="Mist Green"),1,"")</f>
        <v/>
      </c>
      <c r="BD8" t="str">
        <f>IF(AND('Job Sheet'!P14&lt;&gt;"Spring",'Job Sheet'!K14="Colourbond Under-Roll Hooding",'Job Sheet'!L14="Mountain Blue"),1,"")</f>
        <v/>
      </c>
      <c r="BE8" t="str">
        <f>IF(AND('Job Sheet'!P14&lt;&gt;"Spring",'Job Sheet'!K14="Colourbond Under-Roll Hooding",'Job Sheet'!L14="Smooth Cream (Classic Cream)"),1,"")</f>
        <v/>
      </c>
      <c r="BF8" t="str">
        <f>IF(AND('Job Sheet'!P14&lt;&gt;"Spring",'Job Sheet'!K14="Colourbond Under-Roll Hooding",'Job Sheet'!L14="Shale Grey"),1,"")</f>
        <v/>
      </c>
      <c r="BG8" t="str">
        <f>IF(AND('Job Sheet'!P14&lt;&gt;"Spring",'Job Sheet'!K14="Colourbond Under-Roll Hooding",'Job Sheet'!L14="Slate Grey (Woodland Grey)"),1,"")</f>
        <v/>
      </c>
      <c r="BH8" t="str">
        <f>IF(AND('Job Sheet'!P14&lt;&gt;"Spring",'Job Sheet'!K14="Colourbond Under-Roll Hooding",'Job Sheet'!L14="Surfmist"),1,"")</f>
        <v/>
      </c>
      <c r="BI8" t="str">
        <f>IF(AND('Job Sheet'!P14&lt;&gt;"Spring",'Job Sheet'!K14="Colourbond Under-Roll Hooding",'Job Sheet'!L14="White"),1,"")</f>
        <v/>
      </c>
      <c r="BJ8" t="str">
        <f>IF(AND('Job Sheet'!K14="Colourbond Over-Roll Hooding",'Job Sheet'!L14="Custom Powdercoat"),'Tube Cutting'!J14,"")</f>
        <v/>
      </c>
      <c r="BK8" t="str">
        <f>IF(AND('Job Sheet'!K14="Colourbond Over-Roll Hooding",'Job Sheet'!L14="Ebony (Black)"),'Tube Cutting'!J14,"")</f>
        <v/>
      </c>
      <c r="BL8" t="str">
        <f>IF(AND('Job Sheet'!K14="Colourbond Over-Roll Hooding",'Job Sheet'!L14="Caulfield Green"),'Tube Cutting'!J14,"")</f>
        <v/>
      </c>
      <c r="BM8" t="str">
        <f>IF(AND('Job Sheet'!K14="Colourbond Over-Roll Hooding",'Job Sheet'!L14="Charcoal (Monument)"),'Tube Cutting'!J14,"")</f>
        <v/>
      </c>
      <c r="BN8" t="str">
        <f>IF(AND('Job Sheet'!K14="Colourbond Over-Roll Hooding",'Job Sheet'!L14="Dune"),'Tube Cutting'!J14,"")</f>
        <v/>
      </c>
      <c r="BO8" t="str">
        <f>IF(AND('Job Sheet'!K14="Colourbond Over-Roll Hooding",'Job Sheet'!L14="Heritage Red (Manor Red)"),'Tube Cutting'!J14,"")</f>
        <v/>
      </c>
      <c r="BP8" t="str">
        <f>IF(AND('Job Sheet'!K14="Colourbond Over-Roll Hooding",'Job Sheet'!L14="Ironstone"),'Tube Cutting'!J14,"")</f>
        <v/>
      </c>
      <c r="BQ8" t="str">
        <f>IF(AND('Job Sheet'!K14="Colourbond Over-Roll Hooding",'Job Sheet'!L14="Jasper"),'Tube Cutting'!J14,"")</f>
        <v/>
      </c>
      <c r="BR8" t="str">
        <f>IF(AND('Job Sheet'!K14="Colourbond Over-Roll Hooding",'Job Sheet'!L14="Merino (Paperbark)"),'Tube Cutting'!J14,"")</f>
        <v/>
      </c>
      <c r="BS8" t="str">
        <f>IF(AND('Job Sheet'!K14="Colourbond Over-Roll Hooding",'Job Sheet'!L14="Mist Green"),'Tube Cutting'!J14,"")</f>
        <v/>
      </c>
      <c r="BT8" t="str">
        <f>IF(AND('Job Sheet'!K14="Colourbond Over-Roll Hooding",'Job Sheet'!L14="Mountain Blue"),'Tube Cutting'!J14,"")</f>
        <v/>
      </c>
      <c r="BU8" t="str">
        <f>IF(AND('Job Sheet'!K14="Colourbond Over-Roll Hooding",'Job Sheet'!L14="Smooth Cream (Classic Cream)"),'Tube Cutting'!J14,"")</f>
        <v/>
      </c>
      <c r="BV8" t="str">
        <f>IF(AND('Job Sheet'!K14="Colourbond Over-Roll Hooding",'Job Sheet'!L14="Shale Grey"),'Tube Cutting'!J14,"")</f>
        <v/>
      </c>
      <c r="BW8" t="str">
        <f>IF(AND('Job Sheet'!K14="Colourbond Over-Roll Hooding",'Job Sheet'!L14="Slate Grey (Woodland Grey)"),'Tube Cutting'!J14,"")</f>
        <v/>
      </c>
      <c r="BX8" t="str">
        <f>IF(AND('Job Sheet'!K14="Colourbond Over-Roll Hooding",'Job Sheet'!L14="Surfmist"),'Tube Cutting'!J14,"")</f>
        <v/>
      </c>
      <c r="BY8" t="str">
        <f>IF(AND('Job Sheet'!J14="Colourbond Over-Roll Hooding",'Job Sheet'!K14="White"),'Tube Cutting'!J14,"")</f>
        <v/>
      </c>
      <c r="BZ8" t="str">
        <f>IF(AND('Job Sheet'!P14="Spring",'Job Sheet'!K14="Colourbond Over-Roll Hooding",'Job Sheet'!L14="Custom Powdercoat"),1,"")</f>
        <v/>
      </c>
      <c r="CA8" t="str">
        <f>IF(AND('Job Sheet'!P14="Spring",'Job Sheet'!K14="Colourbond Over-Roll Hooding",'Job Sheet'!L14="Ebony (Black)"),1,"")</f>
        <v/>
      </c>
      <c r="CB8" t="str">
        <f>IF(AND('Job Sheet'!P14="Spring",'Job Sheet'!K14="Colourbond Over-Roll Hooding",'Job Sheet'!L14="Caulfield Green"),1,"")</f>
        <v/>
      </c>
      <c r="CC8" t="str">
        <f>IF(AND('Job Sheet'!P14="Spring",'Job Sheet'!K14="Colourbond Over-Roll Hooding",'Job Sheet'!L14="Charcoal (Monument)"),1,"")</f>
        <v/>
      </c>
      <c r="CD8" t="str">
        <f>IF(AND('Job Sheet'!P14="Spring",'Job Sheet'!K14="Colourbond Over-Roll Hooding",'Job Sheet'!L14="Dune"),1,"")</f>
        <v/>
      </c>
      <c r="CE8" t="str">
        <f>IF(AND('Job Sheet'!P14="Spring",'Job Sheet'!K14="Colourbond Over-Roll Hooding",'Job Sheet'!L14="Heritage Red (Manor Red)"),1,"")</f>
        <v/>
      </c>
      <c r="CF8" t="str">
        <f>IF(AND('Job Sheet'!P14="Spring",'Job Sheet'!K14="Colourbond Over-Roll Hooding",'Job Sheet'!L14="Ironstone"),1,"")</f>
        <v/>
      </c>
      <c r="CG8" t="str">
        <f>IF(AND('Job Sheet'!P14="Spring",'Job Sheet'!K14="Colourbond Over-Roll Hooding",'Job Sheet'!L14="Jasper"),1,"")</f>
        <v/>
      </c>
      <c r="CH8" t="str">
        <f>IF(AND('Job Sheet'!P14="Spring",'Job Sheet'!K14="Colourbond Over-Roll Hooding",'Job Sheet'!L14="Merino (Paperbark)"),1,"")</f>
        <v/>
      </c>
      <c r="CI8" t="str">
        <f>IF(AND('Job Sheet'!P14="Spring",'Job Sheet'!K14="Colourbond Over-Roll Hooding",'Job Sheet'!L14="Mist Green"),1,"")</f>
        <v/>
      </c>
      <c r="CJ8" t="str">
        <f>IF(AND('Job Sheet'!P14="Spring",'Job Sheet'!K14="Colourbond Over-Roll Hooding",'Job Sheet'!L14="Mountain Blue"),1,"")</f>
        <v/>
      </c>
      <c r="CK8" t="str">
        <f>IF(AND('Job Sheet'!P14="Spring",'Job Sheet'!K14="Colourbond Over-Roll Hooding",'Job Sheet'!L14="Smooth Cream (Classic Cream)"),1,"")</f>
        <v/>
      </c>
      <c r="CL8" t="str">
        <f>IF(AND('Job Sheet'!P14="Spring",'Job Sheet'!K14="Colourbond Over-Roll Hooding",'Job Sheet'!L14="Shale Grey"),1,"")</f>
        <v/>
      </c>
      <c r="CM8" t="str">
        <f>IF(AND('Job Sheet'!P14="Spring",'Job Sheet'!K14="Colourbond Over-Roll Hooding",'Job Sheet'!L14="Slate Grey (Woodland Grey)"),1,"")</f>
        <v/>
      </c>
      <c r="CN8" t="str">
        <f>IF(AND('Job Sheet'!P14="Spring",'Job Sheet'!K14="Colourbond Over-Roll Hooding",'Job Sheet'!L14="Surfmist"),1,"")</f>
        <v/>
      </c>
      <c r="CO8" t="str">
        <f>IF(AND('Job Sheet'!P14="Spring",'Job Sheet'!K14="Colourbond Over-Roll Hooding",'Job Sheet'!L14="White"),1,"")</f>
        <v/>
      </c>
      <c r="CP8" t="str">
        <f>IF(AND('Job Sheet'!P14&lt;&gt;"Spring",'Job Sheet'!K14="Colourbond Over-Roll Hooding",'Job Sheet'!L14="Custom Powdercoat"),1,"")</f>
        <v/>
      </c>
      <c r="CQ8" t="str">
        <f>IF(AND('Job Sheet'!P14&lt;&gt;"Spring",'Job Sheet'!K14="Colourbond Over-Roll Hooding",'Job Sheet'!L14="Ebony (Black)"),1,"")</f>
        <v/>
      </c>
      <c r="CR8" t="str">
        <f>IF(AND('Job Sheet'!P14&lt;&gt;"Spring",'Job Sheet'!K14="Colourbond Over-Roll Hooding",'Job Sheet'!L14="Caulfield Green"),1,"")</f>
        <v/>
      </c>
      <c r="CS8" t="str">
        <f>IF(AND('Job Sheet'!P14&lt;&gt;"Spring",'Job Sheet'!K14="Colourbond Over-Roll Hooding",'Job Sheet'!L14="Charcoal (Monument)"),1,"")</f>
        <v/>
      </c>
      <c r="CT8" t="str">
        <f>IF(AND('Job Sheet'!P14&lt;&gt;"Spring",'Job Sheet'!K14="Colourbond Over-Roll Hooding",'Job Sheet'!L14="Dune"),1,"")</f>
        <v/>
      </c>
      <c r="CU8" t="str">
        <f>IF(AND('Job Sheet'!P14&lt;&gt;"Spring",'Job Sheet'!K14="Colourbond Over-Roll Hooding",'Job Sheet'!L14="Heritage Red (Manor Red)"),1,"")</f>
        <v/>
      </c>
      <c r="CV8" t="str">
        <f>IF(AND('Job Sheet'!P14&lt;&gt;"Spring",'Job Sheet'!K14="Colourbond Over-Roll Hooding",'Job Sheet'!L14="Ironstone"),1,"")</f>
        <v/>
      </c>
      <c r="CW8" t="str">
        <f>IF(AND('Job Sheet'!P14&lt;&gt;"Spring",'Job Sheet'!K14="Colourbond Over-Roll Hooding",'Job Sheet'!L14="Jasper"),1,"")</f>
        <v/>
      </c>
      <c r="CX8" t="str">
        <f>IF(AND('Job Sheet'!P14&lt;&gt;"Spring",'Job Sheet'!K14="Colourbond Over-Roll Hooding",'Job Sheet'!L14="Merino (Paperbark)"),1,"")</f>
        <v/>
      </c>
      <c r="CY8" t="str">
        <f>IF(AND('Job Sheet'!P14&lt;&gt;"Spring",'Job Sheet'!K14="Colourbond Over-Roll Hooding",'Job Sheet'!L14="Mist Green"),1,"")</f>
        <v/>
      </c>
      <c r="CZ8" t="str">
        <f>IF(AND('Job Sheet'!P14&lt;&gt;"Spring",'Job Sheet'!K14="Colourbond Over-Roll Hooding",'Job Sheet'!L14="Mountain Blue"),1,"")</f>
        <v/>
      </c>
      <c r="DA8" t="str">
        <f>IF(AND('Job Sheet'!P14&lt;&gt;"Spring",'Job Sheet'!K14="Colourbond Over-Roll Hooding",'Job Sheet'!L14="Smooth Cream (Classic Cream)"),1,"")</f>
        <v/>
      </c>
      <c r="DB8" t="str">
        <f>IF(AND('Job Sheet'!P14&lt;&gt;"Spring",'Job Sheet'!K14="Colourbond Over-Roll Hooding",'Job Sheet'!L14="Shale Grey"),1,"")</f>
        <v/>
      </c>
      <c r="DC8" t="str">
        <f>IF(AND('Job Sheet'!P14&lt;&gt;"Spring",'Job Sheet'!K14="Colourbond Over-Roll Hooding",'Job Sheet'!L14="Slate Grey (Woodland Grey)"),1,"")</f>
        <v/>
      </c>
      <c r="DD8" t="str">
        <f>IF(AND('Job Sheet'!P14&lt;&gt;"Spring",'Job Sheet'!K14="Colourbond Over-Roll Hooding",'Job Sheet'!L14="Surfmist"),1,"")</f>
        <v/>
      </c>
      <c r="DE8" t="str">
        <f>IF(AND('Job Sheet'!P14&lt;&gt;"Spring",'Job Sheet'!K14="Colourbond Over-Roll Hooding",'Job Sheet'!L14="White"),1,"")</f>
        <v/>
      </c>
      <c r="DF8" t="str">
        <f>IF('Tube Cutting'!C14="50mm",'Tube Cutting'!D14,"")</f>
        <v/>
      </c>
      <c r="DG8">
        <f>IF('Tube Cutting'!C14="63mm",'Tube Cutting'!D14,"")</f>
        <v>2950</v>
      </c>
      <c r="DH8" t="str">
        <f>IF('Tube Cutting'!C14="70mm",'Tube Cutting'!D14,"")</f>
        <v/>
      </c>
      <c r="DI8" t="str">
        <f>IF('Tube Cutting'!C14="78mm",'Tube Cutting'!D14,"")</f>
        <v/>
      </c>
      <c r="DJ8" t="str">
        <f>IF('Tube Cutting'!C14="85mm",'Tube Cutting'!D14,"")</f>
        <v/>
      </c>
      <c r="DK8" t="str">
        <f>IF(AND('Job Sheet'!P14="Gearbox",'Tube Cutting'!C14="50mm"),1,"")</f>
        <v/>
      </c>
      <c r="DL8" t="str">
        <f>IF(AND('Job Sheet'!P14&lt;&gt;"Spring",'Tube Cutting'!C14="50mm"),1,"")</f>
        <v/>
      </c>
      <c r="DM8" t="str">
        <f>IF(AND('Job Sheet'!P14="Gearbox",'Tube Cutting'!C14="63mm"),1,"")</f>
        <v/>
      </c>
      <c r="DN8">
        <f>IF(AND('Job Sheet'!P14&lt;&gt;"Spring",'Tube Cutting'!C14="63mm"),1,"")</f>
        <v>1</v>
      </c>
      <c r="DO8" t="str">
        <f>IF(AND('Job Sheet'!P14="Gearbox",'Tube Cutting'!C14="70mm"),1,"")</f>
        <v/>
      </c>
      <c r="DP8" t="str">
        <f>IF(AND('Job Sheet'!P14&lt;&gt;"Spring",'Tube Cutting'!C14="70mm"),1,"")</f>
        <v/>
      </c>
      <c r="DQ8" t="str">
        <f>IF(AND('Job Sheet'!P14="Gearbox",'Tube Cutting'!C14="78mm"),1,"")</f>
        <v/>
      </c>
      <c r="DR8" t="str">
        <f>IF(AND('Job Sheet'!P14&lt;&gt;"Spring",'Tube Cutting'!C14="78mm"),1,"")</f>
        <v/>
      </c>
      <c r="DS8" t="str">
        <f>IF(AND('Job Sheet'!P14="Gearbox",'Tube Cutting'!C14="85mm"),1,"")</f>
        <v/>
      </c>
      <c r="DT8" t="str">
        <f>IF(AND('Job Sheet'!P14&lt;&gt;"Spring",'Tube Cutting'!C14="85mm"),1,"")</f>
        <v/>
      </c>
      <c r="DU8" t="str">
        <f>IF('Tube Cutting'!I14="Custom Powdercoat",'Tube Cutting'!F14,"")</f>
        <v/>
      </c>
      <c r="DV8" t="str">
        <f>IF('Tube Cutting'!I14="Ebony (Black)",'Tube Cutting'!F14,"")</f>
        <v/>
      </c>
      <c r="DW8" t="str">
        <f>IF('Tube Cutting'!I14="Caulfield Green",'Tube Cutting'!F14,"")</f>
        <v/>
      </c>
      <c r="DX8" t="str">
        <f>IF('Tube Cutting'!I14="Charcoal (Monument)",'Tube Cutting'!F14,"")</f>
        <v/>
      </c>
      <c r="DY8" t="str">
        <f>IF('Tube Cutting'!I14="Dune",'Tube Cutting'!F14,"")</f>
        <v/>
      </c>
      <c r="DZ8" t="str">
        <f>IF('Tube Cutting'!I14="Heritage Red (Manor Red)",'Tube Cutting'!F14,"")</f>
        <v/>
      </c>
      <c r="EA8" t="str">
        <f>IF('Tube Cutting'!I14="Ironstone",'Tube Cutting'!F14,"")</f>
        <v/>
      </c>
      <c r="EB8" t="str">
        <f>IF('Tube Cutting'!I14="Jasper",'Tube Cutting'!F14,"")</f>
        <v/>
      </c>
      <c r="EC8">
        <f>IF('Tube Cutting'!I14="Merino (Paperbark)",'Tube Cutting'!F14,"")</f>
        <v>2930</v>
      </c>
      <c r="ED8" t="str">
        <f>IF('Tube Cutting'!I14="Mist Green",'Tube Cutting'!F14,"")</f>
        <v/>
      </c>
      <c r="EE8" t="str">
        <f>IF('Tube Cutting'!I14="Mountain Blue",'Tube Cutting'!F14,"")</f>
        <v/>
      </c>
      <c r="EF8" t="str">
        <f>IF('Tube Cutting'!I14="Smooth Cream (Classic Cream)",'Tube Cutting'!F14,"")</f>
        <v/>
      </c>
      <c r="EG8" t="str">
        <f>IF('Tube Cutting'!I14="Shale Grey",'Tube Cutting'!F14,"")</f>
        <v/>
      </c>
      <c r="EH8" t="str">
        <f>IF('Tube Cutting'!I14="Slate Grey (Woodland Grey)",'Tube Cutting'!F14,"")</f>
        <v/>
      </c>
      <c r="EI8" t="str">
        <f>IF('Tube Cutting'!I14="Surf Mist",'Tube Cutting'!F14,"")</f>
        <v/>
      </c>
      <c r="EJ8" t="str">
        <f>IF('Tube Cutting'!I14="White",'Tube Cutting'!F14,"")</f>
        <v/>
      </c>
      <c r="EK8">
        <f>IF(AND('Job Sheet'!AD14="Standard Zinc",'Job Sheet'!P14&lt;&gt;"Spring"),1,"")</f>
        <v>1</v>
      </c>
      <c r="EL8" t="str">
        <f>IF(AND('Job Sheet'!AD14="Stainless Steel",'Job Sheet'!P14&lt;&gt;"Spring"),1,"")</f>
        <v/>
      </c>
      <c r="EM8" t="str">
        <f>IF('Job Sheet'!P14="Spring",1,"")</f>
        <v/>
      </c>
      <c r="EN8">
        <f t="shared" si="2"/>
        <v>2</v>
      </c>
      <c r="EO8" t="str">
        <f>IF('Job Sheet'!AJ14="50mm Small",1,"")</f>
        <v/>
      </c>
      <c r="EP8" t="str">
        <f>IF('Job Sheet'!AJ14="50mm Std",1,"")</f>
        <v/>
      </c>
      <c r="EQ8" t="str">
        <f>IF('Job Sheet'!AJ14="63mm Std",1,"")</f>
        <v/>
      </c>
      <c r="FZ8">
        <f>IF(AND('Job Sheet'!O14="U Bracket",'Job Sheet'!AD14="Standard Zinc"),2,"")</f>
        <v>2</v>
      </c>
      <c r="GA8" t="str">
        <f>IF(AND('Job Sheet'!O14="U Bracket",'Job Sheet'!AD14="Stainless Steel"),2,"")</f>
        <v/>
      </c>
      <c r="GB8">
        <f t="shared" si="3"/>
        <v>2</v>
      </c>
      <c r="GG8" t="str">
        <f>IF(AND('Job Sheet'!AD14="Standard Zinc",'Job Sheet'!K14="Spring Brackets"),2,"")</f>
        <v/>
      </c>
      <c r="GH8" t="str">
        <f>IF(AND('Job Sheet'!AD14="Stainless Steel",'Job Sheet'!K14="Spring Brackets"),2,"")</f>
        <v/>
      </c>
      <c r="GJ8" t="str">
        <f>IF('Job Sheet'!AC14="Yes x 1",1,IF('Job Sheet'!AC14="Yes x 2",2,""))</f>
        <v/>
      </c>
      <c r="GL8" t="str">
        <f>IF('Job Sheet'!AB14="Telescopic x 1",1,IF('Job Sheet'!AB14="Telescopic x 2",2,IF('Job Sheet'!AB14="Telescopic x 3",3,+IF('Job Sheet'!AC14="Telescopic x 1",1,IF('Job Sheet'!AC14="Telescopic x 2",2,IF('Job Sheet'!AC14="Telescopic x 3",3,""))))))</f>
        <v/>
      </c>
      <c r="GM8" t="str">
        <f>IF(AND('Job Sheet'!P14="Gearbox",'Job Sheet'!R14="Black"),1,"")</f>
        <v/>
      </c>
      <c r="GN8" t="str">
        <f>IF(AND('Job Sheet'!P14="Gearbox",'Job Sheet'!R14="White"),1,"")</f>
        <v/>
      </c>
      <c r="GO8" t="str">
        <f>IF('Job Sheet'!Y14="Black Crank Handle 1000mm",1,"")</f>
        <v/>
      </c>
      <c r="GP8" t="str">
        <f>IF('Job Sheet'!Y14="Black Crank Handle 1200mm",1,"")</f>
        <v/>
      </c>
      <c r="GQ8" t="str">
        <f>IF('Job Sheet'!Y14="Black Crank Handle 1500mm",1,"")</f>
        <v/>
      </c>
      <c r="GR8" t="str">
        <f>IF('Job Sheet'!Y14="Black Crank Handle 1800mm",1,"")</f>
        <v/>
      </c>
      <c r="GS8" t="str">
        <f>IF('Job Sheet'!Y14="Black Crank Handle 2200mm",1,"")</f>
        <v/>
      </c>
      <c r="GT8" t="str">
        <f>IF('Job Sheet'!Y14="Black Crank Handle 2500mm",1,"")</f>
        <v/>
      </c>
      <c r="GU8" t="str">
        <f>IF('Job Sheet'!Y14="Black Crank Handle 3000mm",1,"")</f>
        <v/>
      </c>
      <c r="GV8" t="str">
        <f>IF('Job Sheet'!Y14="White Crank Handle 1000mm",1,"")</f>
        <v/>
      </c>
      <c r="GW8" t="str">
        <f>IF('Job Sheet'!Y14="White Crank Handle 1200mm",1,"")</f>
        <v/>
      </c>
      <c r="GX8" t="str">
        <f>IF('Job Sheet'!Y14="White Crank Handle 1500mm",1,"")</f>
        <v/>
      </c>
      <c r="GY8" t="str">
        <f>IF('Job Sheet'!Y14="White Crank Handle 1800mm",1,"")</f>
        <v/>
      </c>
      <c r="GZ8" t="str">
        <f>IF('Job Sheet'!Y14="White Crank Handle 2200mm",1,"")</f>
        <v/>
      </c>
      <c r="HA8" t="str">
        <f>IF('Job Sheet'!Y14="White Crank Handle 2500mm",1,"")</f>
        <v/>
      </c>
      <c r="HB8" t="str">
        <f>IF('Job Sheet'!Y14="White Crank Handle 3000mm",1,"")</f>
        <v/>
      </c>
      <c r="HC8" t="str">
        <f>IF(AND('Job Sheet'!AH14="900mm",'Job Sheet'!AD14="Standard Zinc"),2,"")</f>
        <v/>
      </c>
      <c r="HD8" t="str">
        <f>IF(AND('Job Sheet'!AH14="1200mm",'Job Sheet'!AD14="Standard Zinc"),2,"")</f>
        <v/>
      </c>
      <c r="HE8" t="str">
        <f>IF(AND('Job Sheet'!AH14="1500mm",'Job Sheet'!AD14="Standard Zinc"),2,"")</f>
        <v/>
      </c>
      <c r="HF8" t="str">
        <f>IF(AND('Job Sheet'!AH14="1800mm",'Job Sheet'!AD14="Standard Zinc"),2,"")</f>
        <v/>
      </c>
      <c r="HG8" t="str">
        <f>IF(AND('Job Sheet'!AH14="2100mm",'Job Sheet'!AD14="Standard Zinc"),2,"")</f>
        <v/>
      </c>
      <c r="HH8">
        <f>IF(AND('Job Sheet'!AH14="2400mm",'Job Sheet'!AD14="Standard Zinc"),2,"")</f>
        <v>2</v>
      </c>
      <c r="HI8" t="str">
        <f>IF(AND('Job Sheet'!AH14="2700mm",'Job Sheet'!AD14="Standard Zinc"),2,"")</f>
        <v/>
      </c>
      <c r="HJ8" t="str">
        <f>IF(AND('Job Sheet'!AH14="3000mm",'Job Sheet'!AD14="Standard Zinc"),2,"")</f>
        <v/>
      </c>
      <c r="HK8" t="str">
        <f>IF(AND('Job Sheet'!AH14="3500mm",'Job Sheet'!AD14="Standard Zinc"),2,"")</f>
        <v/>
      </c>
      <c r="HL8" t="str">
        <f>IF(AND('Job Sheet'!AH14="900mm",'Job Sheet'!AD14="Stainless Steel"),2,"")</f>
        <v/>
      </c>
      <c r="HM8" t="str">
        <f>IF(AND('Job Sheet'!AH14="1200mm",'Job Sheet'!AD14="Stainless Steel"),2,"")</f>
        <v/>
      </c>
      <c r="HN8" t="str">
        <f>IF(AND('Job Sheet'!AH14="1500mm",'Job Sheet'!AD14="Stainless Steel"),2,"")</f>
        <v/>
      </c>
      <c r="HO8" t="str">
        <f>IF(AND('Job Sheet'!AH14="1800mm",'Job Sheet'!AD14="Stainless Steel"),2,"")</f>
        <v/>
      </c>
      <c r="HP8" t="str">
        <f>IF(AND('Job Sheet'!AH14="2100mm",'Job Sheet'!AD14="Stainless Steel"),2,"")</f>
        <v/>
      </c>
      <c r="HQ8" t="str">
        <f>IF(AND('Job Sheet'!AH14="2400mm",'Job Sheet'!AD14="Stainless Steel"),2,"")</f>
        <v/>
      </c>
      <c r="HR8" t="str">
        <f>IF(AND('Job Sheet'!AH14="2700mm",'Job Sheet'!AD14="Stainless Steel"),2,"")</f>
        <v/>
      </c>
      <c r="HS8" t="str">
        <f>IF(AND('Job Sheet'!AH14="3000mm",'Job Sheet'!AD14="Stainless Steel"),2,"")</f>
        <v/>
      </c>
      <c r="HT8">
        <f>IF('Tube Cutting'!G14="","",'Tube Cutting'!F14*2-120)</f>
        <v>5740</v>
      </c>
      <c r="HU8" t="str">
        <f>IF(AND('Job Sheet'!O14="150mm L Bracket",'Job Sheet'!AD14="Standard Zinc"),2,"")</f>
        <v/>
      </c>
      <c r="HV8" t="str">
        <f>IF(AND('Job Sheet'!O14="225mm L Bracket",'Job Sheet'!AD14="Standard Zinc"),2,"")</f>
        <v/>
      </c>
      <c r="HW8" t="str">
        <f>IF(AND('Job Sheet'!O14="300mm L Bracket",'Job Sheet'!AD14="Standard Zinc"),2,"")</f>
        <v/>
      </c>
      <c r="HX8" t="str">
        <f>IF(AND('Job Sheet'!O14="450mm L Bracket",'Job Sheet'!AD14="Standard Zinc"),2,"")</f>
        <v/>
      </c>
      <c r="HY8" t="str">
        <f>IF(AND('Job Sheet'!O14="600mm L Bracket",'Job Sheet'!AD14="Standard Zinc"),2,"")</f>
        <v/>
      </c>
      <c r="HZ8" t="str">
        <f>IF(AND('Job Sheet'!O14="150mm L Bracket",'Job Sheet'!AD14="Stainless Steel"),2,"")</f>
        <v/>
      </c>
      <c r="IA8" t="str">
        <f>IF(AND('Job Sheet'!O14="225mm L Bracket",'Job Sheet'!AD14="Stainless Steel"),2,"")</f>
        <v/>
      </c>
      <c r="IB8" t="str">
        <f>IF(AND('Job Sheet'!O14="300mm L Bracket",'Job Sheet'!AD14="Stainless Steel"),2,"")</f>
        <v/>
      </c>
      <c r="IC8">
        <f t="shared" si="4"/>
        <v>2</v>
      </c>
      <c r="ID8" t="str">
        <f>IF(AND('Job Sheet'!AD14="Standard Zinc",(OR('Job Sheet'!Y14="150mm Stayed Bracket with No Pulleys and Rope Cleat",'Job Sheet'!Y14="150mm Stayed Bracket with 1 Pulley and Rope Cleat",'Job Sheet'!Y14="150mm Stayed Bracket with 2 Pulleys and Rope Cleat"))),1,"")</f>
        <v/>
      </c>
      <c r="IE8" t="str">
        <f>IF(AND('Job Sheet'!AD14="Standard Zinc",(OR('Job Sheet'!Y14="225mm Stayed Bracket with No Pulleys and Rope Cleat",'Job Sheet'!Y14="225mm Stayed Bracket with 1 Pulley and Rope Cleat",'Job Sheet'!Y14="225mm Stayed Bracket with 2 Pulleys and Rope Cleat"))),1,"")</f>
        <v/>
      </c>
      <c r="IF8" t="str">
        <f>IF(AND('Job Sheet'!AD14="Standard Zinc",(OR('Job Sheet'!Y14="300mm Stayed Bracket with No Pulleys and Rope Cleat",'Job Sheet'!Y14="300mm Stayed Bracket with 1 Pulley and Rope Cleat",'Job Sheet'!Y14="300mm Stayed Bracket with 2 Pulleys and Rope Cleat"))),1,"")</f>
        <v/>
      </c>
      <c r="IG8" t="str">
        <f>IF(AND('Job Sheet'!AD14="Stainless Steel",OR('Job Sheet'!Y14="150mm Stayed Bracket with No Pulleys and Rope Cleat",'Job Sheet'!Y14="150mm Stayed Bracket with 1 Pulley and Rope Cleat",'Job Sheet'!Y14="150mm Stayed Bracket with 2 Pulleys and Rope Cleat")),1,"")</f>
        <v/>
      </c>
      <c r="IH8" t="str">
        <f>IF(AND('Job Sheet'!Y14="300mm Stayed Bracket with 1 Pulley and Rope Cleat",'Job Sheet'!AD14="Stainless Steel"),1,"")</f>
        <v/>
      </c>
      <c r="II8" t="str">
        <f>IF(OR('Job Sheet'!Y14="150mm Stayed Bracket with 1 Pulley and Rope Cleat",'Job Sheet'!Y14="225mm Stayed Bracket with 1 Pulley and Rope Cleat",'Job Sheet'!Y14="300mm Stayed Bracket with 1 Pulley and Rope Cleat",'Job Sheet'!Y14="With 1 Pulley and Rope Cleat"),"1",IF(OR('Job Sheet'!Y14="150mm Stayed Bracket with 2 Pulleys and Rope Cleat",'Job Sheet'!Y14="225mm Stayed Bracket with 2 Pulleys and Rope Cleat",'Job Sheet'!Y14="300mm Stayed Bracket with 2 Pulleys and Rope Cleat",'Job Sheet'!Y14="With 2 Pulleys and Rope Cleat"),"2",""))</f>
        <v/>
      </c>
      <c r="IJ8" t="str">
        <f>IF(OR('Job Sheet'!Y14="150mm Stayed Bracket with No Pulleys and Rope Cleat",'Job Sheet'!Y14="150mm Stayed Bracket with 1 Pulley and Rope Cleat",'Job Sheet'!Y14="150mm Stayed Bracket with 2 Pulleys and Rope Cleat",'Job Sheet'!Y14="225mm Stayed Bracket with No Pulleys and Rope Cleat",'Job Sheet'!Y14="225mm Stayed Bracket with 1 Pulley and Rope Cleat",'Job Sheet'!Y14="225mm Stayed Bracket with 2 Pulleys and Rope Cleat",'Job Sheet'!Y14="300mm Stayed Bracket with No Pulleys and Rope Cleat",'Job Sheet'!Y14="300mm Stayed Bracket with 1 Pulley and Rope Cleat",'Job Sheet'!Y14="300mm Stayed Bracket with 2 Pulleys and Rope Cleat",'Job Sheet'!Y14="With No Pulleys and Rope Cleat",'Job Sheet'!Y14="With 1 Pulley and Rope Cleat",'Job Sheet'!Y14="With 2 Pulleys and Rope Cleat",),"1","")</f>
        <v/>
      </c>
      <c r="IK8" t="str">
        <f>IF('Job Sheet'!R14="Black Cord 2m","2",IF('Job Sheet'!R14="Black Cord 3m","3",IF('Job Sheet'!R14="Black Cord 4m","4",IF('Job Sheet'!R14="Black Cord 5m","5",IF('Job Sheet'!R14="Black Cord 6m","6","")))))</f>
        <v/>
      </c>
      <c r="IL8" t="str">
        <f>IF('Job Sheet'!R14="White Cord 2m","2",IF('Job Sheet'!R14="White Cord 3m","3",IF('Job Sheet'!R14="White Cord 4m","4",IF('Job Sheet'!R14="White Cord 5m","5",IF('Job Sheet'!R14="White Cord 6m","6","")))))</f>
        <v/>
      </c>
      <c r="IM8" t="str">
        <f>IF(AND('Job Sheet'!K14="Powder Coated Brackets",'Job Sheet'!L14="Black"),2,"")</f>
        <v/>
      </c>
      <c r="IN8" t="str">
        <f>IF(AND('Job Sheet'!K14="Powder Coated Brackets",'Job Sheet'!L14="White"),2,"")</f>
        <v/>
      </c>
      <c r="IQ8" t="str">
        <f>IF('Job Sheet'!L14="Stainless Steel",2,"")</f>
        <v/>
      </c>
      <c r="JD8" t="str">
        <f>IF('Job Sheet'!AB14="25mm x 1",1,IF('Job Sheet'!AB14="25mm x 2",2,""))</f>
        <v/>
      </c>
      <c r="JE8" t="str">
        <f>IF('Job Sheet'!AB14="50mm x 1",1,IF('Job Sheet'!AB14="50mm x 2",2,""))</f>
        <v/>
      </c>
      <c r="JF8" t="str">
        <f>IF('Job Sheet'!AB14="75mm x 1",1,IF('Job Sheet'!AB14="75mm x 2",2,""))</f>
        <v/>
      </c>
      <c r="JG8" t="str">
        <f>IF('Job Sheet'!AB14="100mm x 1",1,IF('Job Sheet'!AB14="100mm x 2",2,""))</f>
        <v/>
      </c>
      <c r="JH8" t="str">
        <f>IF('Job Sheet'!AB14="125mm x 1",1,IF('Job Sheet'!AB14="125mm x 2",2,""))</f>
        <v/>
      </c>
      <c r="JN8" t="str">
        <f>IF('Job Sheet'!AA14="25mm x 1",1,IF('Job Sheet'!AA14="25mm x 2",2,""))</f>
        <v/>
      </c>
      <c r="JO8" t="str">
        <f>IF('Job Sheet'!AA14="50mm x 1",1,IF('Job Sheet'!AA14="50mm x 2",2,""))</f>
        <v/>
      </c>
      <c r="JP8" t="str">
        <f>IF('Job Sheet'!AA14="75mm x 1",1,IF('Job Sheet'!AA14="75mm x 2",2,""))</f>
        <v/>
      </c>
      <c r="JQ8" t="str">
        <f>IF('Job Sheet'!AA14="100mm x 1",1,IF('Job Sheet'!AA14="100mm x 2",2,""))</f>
        <v/>
      </c>
      <c r="JR8" t="str">
        <f>IF('Job Sheet'!AA14="125mm x 1",1,IF('Job Sheet'!AA14="125mm x 2",2,""))</f>
        <v/>
      </c>
      <c r="JS8">
        <f>IF('Welding&amp;Sewing'!D14="3.6mm White",'Fabric Cutting'!G14*2,'Fabric Cutting'!G14)</f>
        <v>5860</v>
      </c>
      <c r="JT8" t="str">
        <f>IF('Welding&amp;Sewing'!D14="6mm Black",'Fabric Cutting'!G14,"")</f>
        <v/>
      </c>
      <c r="MB8" t="str">
        <f>IF('Job Sheet'!P14="Acmeda Remote Motor",1,"")</f>
        <v/>
      </c>
      <c r="MC8" t="str">
        <f>IF(AND('Tube Cutting'!C14="63mm",'Job Sheet'!P14="Acmeda Remote Motor"),1,"")</f>
        <v/>
      </c>
      <c r="MD8" t="str">
        <f>IF(AND('Tube Cutting'!C14="63mm",'Job Sheet'!P14="Acmeda Remote Motor"),1,"")</f>
        <v/>
      </c>
      <c r="ME8" t="str">
        <f>IF(AND('Tube Cutting'!C14="78mm",'Job Sheet'!P14="Acmeda Remote Motor"),1,"")</f>
        <v/>
      </c>
      <c r="MF8" t="str">
        <f>IF(AND('Tube Cutting'!C14="78mm",'Job Sheet'!P14="Acmeda Remote Motor"),1,"")</f>
        <v/>
      </c>
      <c r="MG8" t="str">
        <f>IF('Job Sheet'!P14="Acmeda 12v Remote Motor",1,"")</f>
        <v/>
      </c>
      <c r="MH8" t="str">
        <f>IF(OR('Job Sheet'!Z14="External Battery",'Job Sheet'!Z14="External Battery and Charging Cable"),1,"")</f>
        <v/>
      </c>
      <c r="MI8" t="str">
        <f>IF('Job Sheet'!Z14="External Battery and Charging Cable",1,"")</f>
        <v/>
      </c>
      <c r="MJ8" t="str">
        <f>IF('Job Sheet'!Z14="Pulse 2.0 Automation Hub",1,"")</f>
        <v/>
      </c>
      <c r="MK8" t="str">
        <f>IF('Job Sheet'!Z14="USB Repeater",1,"")</f>
        <v/>
      </c>
      <c r="ML8" t="str">
        <f>IF('Job Sheet'!Y14="Acmeda 1 Channel White Remote",1,"")</f>
        <v/>
      </c>
      <c r="MM8" t="str">
        <f>IF('Job Sheet'!Y14="Acmeda 1 Channel Black Remote",1,"")</f>
        <v/>
      </c>
      <c r="MN8" t="str">
        <f>IF('Job Sheet'!Y14="Acmeda 5 Channel White Remote",1,"")</f>
        <v/>
      </c>
      <c r="MO8" t="str">
        <f>IF('Job Sheet'!Y14="Acmeda 5 Channel Black Remote",1,"")</f>
        <v/>
      </c>
      <c r="MP8" t="str">
        <f>IF('Job Sheet'!Y14="Acmeda 15 Channel White Remote",1,"")</f>
        <v/>
      </c>
      <c r="MQ8" t="str">
        <f>IF('Job Sheet'!Y14="Acmeda 15 Channel Black Remote",1,"")</f>
        <v/>
      </c>
      <c r="MR8" t="str">
        <f>IF('Job Sheet'!Y14="Acmeda Wall Mounted 5 Channel White Remote",1,"")</f>
        <v/>
      </c>
      <c r="MS8" t="str">
        <f>IF('Job Sheet'!Y14="Acmeda Wall Mounted Single Channel White Remote",1,"")</f>
        <v/>
      </c>
      <c r="MT8" t="str">
        <f>IF('Job Sheet'!Y14="Acmeda Wall Mounted 2 Channel White Remote",1,"")</f>
        <v/>
      </c>
      <c r="MU8" t="str">
        <f>IF('Job Sheet'!Y14="Acmeda Wall Mounted 15 Channel White Remote",1,"")</f>
        <v/>
      </c>
      <c r="MV8" t="str">
        <f>IF('Job Sheet'!Y14="Acmeda Push Pro White Remote with Charger",1,"")</f>
        <v/>
      </c>
      <c r="MW8" t="str">
        <f>IF('Job Sheet'!Y14="Acmeda Push Pro Black Remote with Charger",1,"")</f>
        <v/>
      </c>
      <c r="MX8" t="str">
        <f>IF(OR('Job Sheet'!Y14="Acmeda Push Pro White Remote with Charger",'Job Sheet'!Y14="Acmeda Push Pro Black Remote with Charger"),"1","")</f>
        <v/>
      </c>
      <c r="MY8" t="str">
        <f t="shared" si="5"/>
        <v/>
      </c>
      <c r="NA8" t="str">
        <f>IF('Job Sheet'!Z14="1 Channel Dry Contact Relay Module",1,"")</f>
        <v/>
      </c>
      <c r="ND8">
        <f>IF('Job Sheet'!P14="Becker Remote Operated",1,"")</f>
        <v>1</v>
      </c>
      <c r="NF8" t="str">
        <f>IF('Job Sheet'!P14="Becker Switch Operated",1,"")</f>
        <v/>
      </c>
      <c r="NG8">
        <f>IF(AND('Tube Cutting'!C14="63mm",(OR('Job Sheet'!P14="Becker Remote Operated",'Job Sheet'!P14="Becker Switch Operated"))),1,"")</f>
        <v>1</v>
      </c>
      <c r="NH8">
        <f>IF(AND('Tube Cutting'!C14="63mm",(OR('Job Sheet'!P14="Becker Remote Operated",'Job Sheet'!P14="Becker Switch Operated"))),1,"")</f>
        <v>1</v>
      </c>
      <c r="NI8">
        <f>IF(OR('Job Sheet'!P14="Becker Remote Operated",'Job Sheet'!P14="Becker Switch Operated"),1,"")</f>
        <v>1</v>
      </c>
      <c r="NK8" t="str">
        <f>IF(AND('Tube Cutting'!C14="78mm",(OR('Job Sheet'!P14="Becker Remote Operated",'Job Sheet'!P14="Becker Switch Operated"))),1,"")</f>
        <v/>
      </c>
      <c r="NL8" t="str">
        <f>IF(AND('Tube Cutting'!C14="78mm",'Job Sheet'!P14="Becker Remote Operated"),1,"")</f>
        <v/>
      </c>
      <c r="NM8" t="str">
        <f>IF('Job Sheet'!Y14="Becker Single Channel White Remote",1,"")</f>
        <v/>
      </c>
      <c r="NN8" t="str">
        <f>IF('Job Sheet'!Y14="Becker Single Channel Black Remote",1,"")</f>
        <v/>
      </c>
      <c r="NO8">
        <f>IF('Job Sheet'!Y14="Becker 5 Channel White Remote",1,"")</f>
        <v>1</v>
      </c>
      <c r="NP8" t="str">
        <f>IF('Job Sheet'!Y14="Becker 5 Channel Black Remote",1,"")</f>
        <v/>
      </c>
      <c r="NQ8" t="str">
        <f>IF('Job Sheet'!Y14="Becker 10 Channel White Remote",1,"")</f>
        <v/>
      </c>
      <c r="NR8" t="str">
        <f>IF('Job Sheet'!Y14="Becker 10 Channel Black Remote",1,"")</f>
        <v/>
      </c>
      <c r="NS8" t="s">
        <v>617</v>
      </c>
      <c r="NT8" t="str">
        <f>IF('Job Sheet'!P14="Somfy Remote Operated",1,"")</f>
        <v/>
      </c>
      <c r="NV8" t="str">
        <f>IF('Job Sheet'!P14="Somfy Remote Operated",1,"")</f>
        <v/>
      </c>
      <c r="NW8" t="str">
        <f>IF(AND('Tube Cutting'!C14="63mm",'Job Sheet'!P14="Somfy Remote Operated"),1,"")</f>
        <v/>
      </c>
      <c r="NX8" t="str">
        <f>IF(AND('Tube Cutting'!C14="63mm",'Job Sheet'!P14="Somfy Remote Operated"),1,"")</f>
        <v/>
      </c>
      <c r="NY8" t="str">
        <f>IF(AND('Tube Cutting'!C14="78mm",'Job Sheet'!P14="Somfy Remote Operated"),1,"")</f>
        <v/>
      </c>
      <c r="NZ8" t="str">
        <f>IF(AND('Tube Cutting'!C14="78mm",'Job Sheet'!P14="Somfy Remote Operated"),1,"")</f>
        <v/>
      </c>
      <c r="OA8" t="str">
        <f>IF('Job Sheet'!Z14="Connexoon App Connector",1,"")</f>
        <v/>
      </c>
      <c r="OB8" t="str">
        <f>IF('Job Sheet'!Z14="Tahoma Switch",1,"")</f>
        <v/>
      </c>
      <c r="OC8" t="str">
        <f>IF('Job Sheet'!Y14="Somfy 15 Channel Silver Remote",1,"")</f>
        <v/>
      </c>
      <c r="OD8" t="str">
        <f>IF('Job Sheet'!Y14="Somfy 15 Channel White Remote",1,"")</f>
        <v/>
      </c>
      <c r="OE8" t="str">
        <f>IF('Job Sheet'!Y14="Somfy 2 Channel Silver Remote",1,"")</f>
        <v/>
      </c>
      <c r="OF8" t="str">
        <f>IF('Job Sheet'!Y14="Somfy 2 Channel Wall Mounted Smoove Remote White with Black Cover Plate",1,"")</f>
        <v/>
      </c>
      <c r="OG8" t="str">
        <f>IF('Job Sheet'!Y14="Somfy 2 Channel Wall Mounted Smoove Remote White with Silver Cover Plate",1,"")</f>
        <v/>
      </c>
      <c r="OH8" t="str">
        <f>IF('Job Sheet'!Y14="Somfy 2 Channel Wall Mounted Smoove Remote White",1,"")</f>
        <v/>
      </c>
      <c r="OI8" t="str">
        <f>IF('Job Sheet'!Y14="Somfy 2 Channel White Remote",1,"")</f>
        <v/>
      </c>
      <c r="OJ8" t="str">
        <f>IF('Job Sheet'!Y14="Somfy 2 Channel Silver Remote",1,"")</f>
        <v/>
      </c>
      <c r="OK8" t="str">
        <f>IF('Job Sheet'!Y14="Somfy 5 Channel Wall Mounted Smoove Remote White with Black Cover Plate",1,"")</f>
        <v/>
      </c>
      <c r="OL8" t="str">
        <f>IF('Job Sheet'!Y14="Somfy 5 Channel Wall Mounted Smoove Remote White with Silver Cover Plate",1,"")</f>
        <v/>
      </c>
      <c r="OM8" t="str">
        <f>IF('Job Sheet'!Y14="Somfy 5 Channel Wall Mounted Smoove Remote White",1,"")</f>
        <v/>
      </c>
      <c r="ON8" t="str">
        <f>IF('Job Sheet'!Y14="Somfy 5 Channel White Remote",1,"")</f>
        <v/>
      </c>
      <c r="OO8" t="str">
        <f>IF('Job Sheet'!Y14="Somfy Single Channel Silver Remote",1,"")</f>
        <v/>
      </c>
      <c r="OP8" t="str">
        <f>IF('Job Sheet'!Y14="Somfy Single Channel Wall Mounted Smoove Remote White with Black Cover Plate",1,"")</f>
        <v/>
      </c>
      <c r="OQ8" t="str">
        <f>IF('Job Sheet'!Y14="Somfy Single Channel Wall Mounted Smoove Remote White with Silver Cover Plate",1,"")</f>
        <v/>
      </c>
      <c r="OR8" t="str">
        <f>IF('Job Sheet'!Y14="Somfy Single Channel Wall Mounted Smoove Remote White",1,"")</f>
        <v/>
      </c>
      <c r="OS8" t="str">
        <f>IF('Job Sheet'!Y14="Somfy Single Channel White Remote",1,"")</f>
        <v/>
      </c>
    </row>
    <row r="9" spans="4:409" ht="13.15" customHeight="1">
      <c r="D9" t="str">
        <f>IF('Tube Cutting'!D15="","",CONCATENATE(Data!BC$5,".",Data!BD$5))</f>
        <v>12085.A</v>
      </c>
      <c r="E9">
        <f>IF(D9="","",Data!AW15)</f>
        <v>6</v>
      </c>
      <c r="F9" t="str">
        <f>IF(D9="","",Data!AV15)</f>
        <v>e1072bb5-47c3-40c1-8cea-d8b220e0f872</v>
      </c>
      <c r="G9" t="str">
        <f t="shared" si="0"/>
        <v>Fixed Guide Sunblind</v>
      </c>
      <c r="H9" t="str">
        <f>IF(D9="","",Data!BF$5)</f>
        <v>Campbell, Neil</v>
      </c>
      <c r="I9" t="str">
        <f>IF(D9="","",Data!AX$5)</f>
        <v>Verticali Patio Blinds &amp; Fixed Guide Awnings</v>
      </c>
      <c r="J9" t="str">
        <f>'Job Sheet'!H15</f>
        <v>HVG Visiontex Glisse Sunscreen Naxos</v>
      </c>
      <c r="K9">
        <f t="shared" si="1"/>
        <v>5.9046</v>
      </c>
      <c r="L9" s="33">
        <f>'Fabric Cutting'!G15</f>
        <v>2271</v>
      </c>
      <c r="M9" s="33">
        <f>'Fabric Cutting'!H15</f>
        <v>2600</v>
      </c>
      <c r="N9" t="str">
        <f>IF(AND('Job Sheet'!K15="Colourbond Under-Roll Hooding",'Job Sheet'!L15="Custom Powdercoat"),'Tube Cutting'!J15,"")</f>
        <v/>
      </c>
      <c r="O9" t="str">
        <f>IF(AND('Job Sheet'!K15="Colourbond Under-Roll Hooding",'Job Sheet'!L15="Ebony (Black)"),'Tube Cutting'!J15,"")</f>
        <v/>
      </c>
      <c r="P9" t="str">
        <f>IF(AND('Job Sheet'!K15="Colourbond Under-Roll Hooding",'Job Sheet'!L15="Caulfield Green"),'Tube Cutting'!J15,"")</f>
        <v/>
      </c>
      <c r="Q9" t="str">
        <f>IF(AND('Job Sheet'!K15="Colourbond Under-Roll Hooding",'Job Sheet'!L15="Charcoal (Monument)"),'Tube Cutting'!J15,"")</f>
        <v/>
      </c>
      <c r="R9" t="str">
        <f>IF(AND('Job Sheet'!K15="Colourbond Under-Roll Hooding",'Job Sheet'!L15="Dune"),'Tube Cutting'!J15,"")</f>
        <v/>
      </c>
      <c r="S9" t="str">
        <f>IF(AND('Job Sheet'!K15="Colourbond Under-Roll Hooding",'Job Sheet'!L15="Heritage Red (Manor Red)"),'Tube Cutting'!J15,"")</f>
        <v/>
      </c>
      <c r="T9" t="str">
        <f>IF(AND('Job Sheet'!K15="Colourbond Under-Roll Hooding",'Job Sheet'!L15="Ironstone"),'Tube Cutting'!J15,"")</f>
        <v/>
      </c>
      <c r="U9" t="str">
        <f>IF(AND('Job Sheet'!K15="Colourbond Under-Roll Hooding",'Job Sheet'!L15="Jasper"),'Tube Cutting'!J15,"")</f>
        <v/>
      </c>
      <c r="V9">
        <f>IF(AND('Job Sheet'!K15="Colourbond Under-Roll Hooding",'Job Sheet'!L15="Merino (Paperbark)"),'Tube Cutting'!J15,"")</f>
        <v>2352</v>
      </c>
      <c r="W9" t="str">
        <f>IF(AND('Job Sheet'!K15="Colourbond Under-Roll Hooding",'Job Sheet'!L15="Mist Green"),'Tube Cutting'!J15,"")</f>
        <v/>
      </c>
      <c r="X9" t="str">
        <f>IF(AND('Job Sheet'!K15="Colourbond Under-Roll Hooding",'Job Sheet'!L15="Mountain Blue"),'Tube Cutting'!J15,"")</f>
        <v/>
      </c>
      <c r="Y9" t="str">
        <f>IF(AND('Job Sheet'!K15="Colourbond Under-Roll Hooding",'Job Sheet'!L15="Smooth Cream (Classic Cream)"),'Tube Cutting'!J15,"")</f>
        <v/>
      </c>
      <c r="Z9" t="str">
        <f>IF(AND('Job Sheet'!K15="Colourbond Under-Roll Hooding",'Job Sheet'!L15="Shale Grey"),'Tube Cutting'!J15,"")</f>
        <v/>
      </c>
      <c r="AA9" t="str">
        <f>IF(AND('Job Sheet'!K15="Colourbond Under-Roll Hooding",'Job Sheet'!L15="Slate Grey (Woodland Grey)"),'Tube Cutting'!J15,"")</f>
        <v/>
      </c>
      <c r="AB9" t="str">
        <f>IF(AND('Job Sheet'!K15="Colourbond Under-Roll Hooding",'Job Sheet'!L15="Surfmist"),'Tube Cutting'!J15,"")</f>
        <v/>
      </c>
      <c r="AC9" t="str">
        <f>IF(AND('Job Sheet'!K15="Colourbond Under-Roll Hooding",'Job Sheet'!L15="White"),'Tube Cutting'!J15,"")</f>
        <v/>
      </c>
      <c r="AD9" t="str">
        <f>IF(AND('Job Sheet'!P15="Spring",'Job Sheet'!K15="Colourbond Under-Roll Hooding",'Job Sheet'!L15="Custom Powdercoat"),1,"")</f>
        <v/>
      </c>
      <c r="AE9" t="str">
        <f>IF(AND('Job Sheet'!P15="Spring",'Job Sheet'!K15="Colourbond Under-Roll Hooding",'Job Sheet'!L15="Ebony (Black)"),1,"")</f>
        <v/>
      </c>
      <c r="AF9" t="str">
        <f>IF(AND('Job Sheet'!P15="Spring",'Job Sheet'!K15="Colourbond Under-Roll Hooding",'Job Sheet'!L15="Caulfield Green"),1,"")</f>
        <v/>
      </c>
      <c r="AG9" t="str">
        <f>IF(AND('Job Sheet'!P15="Spring",'Job Sheet'!K15="Colourbond Under-Roll Hooding",'Job Sheet'!L15="Charcoal (Monument)"),1,"")</f>
        <v/>
      </c>
      <c r="AH9" t="str">
        <f>IF(AND('Job Sheet'!P15="Spring",'Job Sheet'!K15="Colourbond Under-Roll Hooding",'Job Sheet'!L15="Dune"),1,"")</f>
        <v/>
      </c>
      <c r="AI9" t="str">
        <f>IF(AND('Job Sheet'!P15="Spring",'Job Sheet'!K15="Colourbond Under-Roll Hooding",'Job Sheet'!L15="Heritage Red (Manor Red)"),1,"")</f>
        <v/>
      </c>
      <c r="AJ9" t="str">
        <f>IF(AND('Job Sheet'!P15="Spring",'Job Sheet'!K15="Colourbond Under-Roll Hooding",'Job Sheet'!L15="Ironstone"),1,"")</f>
        <v/>
      </c>
      <c r="AK9" t="str">
        <f>IF(AND('Job Sheet'!P15="Spring",'Job Sheet'!K15="Colourbond Under-Roll Hooding",'Job Sheet'!L15="Jasper"),1,"")</f>
        <v/>
      </c>
      <c r="AL9" t="str">
        <f>IF(AND('Job Sheet'!P15="Spring",'Job Sheet'!K15="Colourbond Under-Roll Hooding",'Job Sheet'!L15="Merino (Paperbark)"),1,"")</f>
        <v/>
      </c>
      <c r="AM9" t="str">
        <f>IF(AND('Job Sheet'!P15="Spring",'Job Sheet'!K15="Colourbond Under-Roll Hooding",'Job Sheet'!L15="Mist Green"),1,"")</f>
        <v/>
      </c>
      <c r="AN9" t="str">
        <f>IF(AND('Job Sheet'!P15="Spring",'Job Sheet'!K15="Colourbond Under-Roll Hooding",'Job Sheet'!L15="Mountain Blue"),1,"")</f>
        <v/>
      </c>
      <c r="AO9" t="str">
        <f>IF(AND('Job Sheet'!P15="Spring",'Job Sheet'!K15="Colourbond Under-Roll Hooding",'Job Sheet'!L15="Smooth Cream (Classic Cream)"),1,"")</f>
        <v/>
      </c>
      <c r="AP9" t="str">
        <f>IF(AND('Job Sheet'!P15="Spring",'Job Sheet'!K15="Colourbond Under-Roll Hooding",'Job Sheet'!L15="Shale Grey"),1,"")</f>
        <v/>
      </c>
      <c r="AQ9" t="str">
        <f>IF(AND('Job Sheet'!P15="Spring",'Job Sheet'!K15="Colourbond Under-Roll Hooding",'Job Sheet'!L15="Slate Grey (Woodland Grey)"),1,"")</f>
        <v/>
      </c>
      <c r="AR9" t="str">
        <f>IF(AND('Job Sheet'!P15="Spring",'Job Sheet'!K15="Colourbond Under-Roll Hooding",'Job Sheet'!L15="Surfmist"),1,"")</f>
        <v/>
      </c>
      <c r="AS9" t="str">
        <f>IF(AND('Job Sheet'!P15="Spring",'Job Sheet'!K15="Colourbond Under-Roll Hooding",'Job Sheet'!L15="White"),1,"")</f>
        <v/>
      </c>
      <c r="AT9" t="str">
        <f>IF(AND('Job Sheet'!P15&lt;&gt;"Spring",'Job Sheet'!K15="Colourbond Under-Roll Hooding",'Job Sheet'!L15="Custom Powdercoat"),1,"")</f>
        <v/>
      </c>
      <c r="AU9" t="str">
        <f>IF(AND('Job Sheet'!P15&lt;&gt;"Spring",'Job Sheet'!K15="Colourbond Under-Roll Hooding",'Job Sheet'!L15="Ebony (Black)"),1,"")</f>
        <v/>
      </c>
      <c r="AV9" t="str">
        <f>IF(AND('Job Sheet'!P15&lt;&gt;"Spring",'Job Sheet'!K15="Colourbond Under-Roll Hooding",'Job Sheet'!L15="Caulfield Green"),1,"")</f>
        <v/>
      </c>
      <c r="AW9" t="str">
        <f>IF(AND('Job Sheet'!P15&lt;&gt;"Spring",'Job Sheet'!K15="Colourbond Under-Roll Hooding",'Job Sheet'!L15="Charcoal (Monument)"),1,"")</f>
        <v/>
      </c>
      <c r="AX9" t="str">
        <f>IF(AND('Job Sheet'!P15&lt;&gt;"Spring",'Job Sheet'!K15="Colourbond Under-Roll Hooding",'Job Sheet'!L15="Dune"),1,"")</f>
        <v/>
      </c>
      <c r="AY9" t="str">
        <f>IF(AND('Job Sheet'!P15&lt;&gt;"Spring",'Job Sheet'!K15="Colourbond Under-Roll Hooding",'Job Sheet'!L15="Heritage Red (Manor Red)"),1,"")</f>
        <v/>
      </c>
      <c r="AZ9" t="str">
        <f>IF(AND('Job Sheet'!P15&lt;&gt;"Spring",'Job Sheet'!K15="Colourbond Under-Roll Hooding",'Job Sheet'!L15="Ironstone"),1,"")</f>
        <v/>
      </c>
      <c r="BA9" t="str">
        <f>IF(AND('Job Sheet'!P15&lt;&gt;"Spring",'Job Sheet'!K15="Colourbond Under-Roll Hooding",'Job Sheet'!L15="Jasper"),1,"")</f>
        <v/>
      </c>
      <c r="BB9">
        <f>IF(AND('Job Sheet'!P15&lt;&gt;"Spring",'Job Sheet'!K15="Colourbond Under-Roll Hooding",'Job Sheet'!L15="Merino (Paperbark)"),1,"")</f>
        <v>1</v>
      </c>
      <c r="BC9" t="str">
        <f>IF(AND('Job Sheet'!P15&lt;&gt;"Spring",'Job Sheet'!K15="Colourbond Under-Roll Hooding",'Job Sheet'!L15="Mist Green"),1,"")</f>
        <v/>
      </c>
      <c r="BD9" t="str">
        <f>IF(AND('Job Sheet'!P15&lt;&gt;"Spring",'Job Sheet'!K15="Colourbond Under-Roll Hooding",'Job Sheet'!L15="Mountain Blue"),1,"")</f>
        <v/>
      </c>
      <c r="BE9" t="str">
        <f>IF(AND('Job Sheet'!P15&lt;&gt;"Spring",'Job Sheet'!K15="Colourbond Under-Roll Hooding",'Job Sheet'!L15="Smooth Cream (Classic Cream)"),1,"")</f>
        <v/>
      </c>
      <c r="BF9" t="str">
        <f>IF(AND('Job Sheet'!P15&lt;&gt;"Spring",'Job Sheet'!K15="Colourbond Under-Roll Hooding",'Job Sheet'!L15="Shale Grey"),1,"")</f>
        <v/>
      </c>
      <c r="BG9" t="str">
        <f>IF(AND('Job Sheet'!P15&lt;&gt;"Spring",'Job Sheet'!K15="Colourbond Under-Roll Hooding",'Job Sheet'!L15="Slate Grey (Woodland Grey)"),1,"")</f>
        <v/>
      </c>
      <c r="BH9" t="str">
        <f>IF(AND('Job Sheet'!P15&lt;&gt;"Spring",'Job Sheet'!K15="Colourbond Under-Roll Hooding",'Job Sheet'!L15="Surfmist"),1,"")</f>
        <v/>
      </c>
      <c r="BI9" t="str">
        <f>IF(AND('Job Sheet'!P15&lt;&gt;"Spring",'Job Sheet'!K15="Colourbond Under-Roll Hooding",'Job Sheet'!L15="White"),1,"")</f>
        <v/>
      </c>
      <c r="BJ9" t="str">
        <f>IF(AND('Job Sheet'!K15="Colourbond Over-Roll Hooding",'Job Sheet'!L15="Custom Powdercoat"),'Tube Cutting'!J15,"")</f>
        <v/>
      </c>
      <c r="BK9" t="str">
        <f>IF(AND('Job Sheet'!K15="Colourbond Over-Roll Hooding",'Job Sheet'!L15="Ebony (Black)"),'Tube Cutting'!J15,"")</f>
        <v/>
      </c>
      <c r="BL9" t="str">
        <f>IF(AND('Job Sheet'!K15="Colourbond Over-Roll Hooding",'Job Sheet'!L15="Caulfield Green"),'Tube Cutting'!J15,"")</f>
        <v/>
      </c>
      <c r="BM9" t="str">
        <f>IF(AND('Job Sheet'!K15="Colourbond Over-Roll Hooding",'Job Sheet'!L15="Charcoal (Monument)"),'Tube Cutting'!J15,"")</f>
        <v/>
      </c>
      <c r="BN9" t="str">
        <f>IF(AND('Job Sheet'!K15="Colourbond Over-Roll Hooding",'Job Sheet'!L15="Dune"),'Tube Cutting'!J15,"")</f>
        <v/>
      </c>
      <c r="BO9" t="str">
        <f>IF(AND('Job Sheet'!K15="Colourbond Over-Roll Hooding",'Job Sheet'!L15="Heritage Red (Manor Red)"),'Tube Cutting'!J15,"")</f>
        <v/>
      </c>
      <c r="BP9" t="str">
        <f>IF(AND('Job Sheet'!K15="Colourbond Over-Roll Hooding",'Job Sheet'!L15="Ironstone"),'Tube Cutting'!J15,"")</f>
        <v/>
      </c>
      <c r="BQ9" t="str">
        <f>IF(AND('Job Sheet'!K15="Colourbond Over-Roll Hooding",'Job Sheet'!L15="Jasper"),'Tube Cutting'!J15,"")</f>
        <v/>
      </c>
      <c r="BR9" t="str">
        <f>IF(AND('Job Sheet'!K15="Colourbond Over-Roll Hooding",'Job Sheet'!L15="Merino (Paperbark)"),'Tube Cutting'!J15,"")</f>
        <v/>
      </c>
      <c r="BS9" t="str">
        <f>IF(AND('Job Sheet'!K15="Colourbond Over-Roll Hooding",'Job Sheet'!L15="Mist Green"),'Tube Cutting'!J15,"")</f>
        <v/>
      </c>
      <c r="BT9" t="str">
        <f>IF(AND('Job Sheet'!K15="Colourbond Over-Roll Hooding",'Job Sheet'!L15="Mountain Blue"),'Tube Cutting'!J15,"")</f>
        <v/>
      </c>
      <c r="BU9" t="str">
        <f>IF(AND('Job Sheet'!K15="Colourbond Over-Roll Hooding",'Job Sheet'!L15="Smooth Cream (Classic Cream)"),'Tube Cutting'!J15,"")</f>
        <v/>
      </c>
      <c r="BV9" t="str">
        <f>IF(AND('Job Sheet'!K15="Colourbond Over-Roll Hooding",'Job Sheet'!L15="Shale Grey"),'Tube Cutting'!J15,"")</f>
        <v/>
      </c>
      <c r="BW9" t="str">
        <f>IF(AND('Job Sheet'!K15="Colourbond Over-Roll Hooding",'Job Sheet'!L15="Slate Grey (Woodland Grey)"),'Tube Cutting'!J15,"")</f>
        <v/>
      </c>
      <c r="BX9" t="str">
        <f>IF(AND('Job Sheet'!K15="Colourbond Over-Roll Hooding",'Job Sheet'!L15="Surfmist"),'Tube Cutting'!J15,"")</f>
        <v/>
      </c>
      <c r="BY9" t="str">
        <f>IF(AND('Job Sheet'!J15="Colourbond Over-Roll Hooding",'Job Sheet'!K15="White"),'Tube Cutting'!J15,"")</f>
        <v/>
      </c>
      <c r="BZ9" t="str">
        <f>IF(AND('Job Sheet'!P15="Spring",'Job Sheet'!K15="Colourbond Over-Roll Hooding",'Job Sheet'!L15="Custom Powdercoat"),1,"")</f>
        <v/>
      </c>
      <c r="CA9" t="str">
        <f>IF(AND('Job Sheet'!P15="Spring",'Job Sheet'!K15="Colourbond Over-Roll Hooding",'Job Sheet'!L15="Ebony (Black)"),1,"")</f>
        <v/>
      </c>
      <c r="CB9" t="str">
        <f>IF(AND('Job Sheet'!P15="Spring",'Job Sheet'!K15="Colourbond Over-Roll Hooding",'Job Sheet'!L15="Caulfield Green"),1,"")</f>
        <v/>
      </c>
      <c r="CC9" t="str">
        <f>IF(AND('Job Sheet'!P15="Spring",'Job Sheet'!K15="Colourbond Over-Roll Hooding",'Job Sheet'!L15="Charcoal (Monument)"),1,"")</f>
        <v/>
      </c>
      <c r="CD9" t="str">
        <f>IF(AND('Job Sheet'!P15="Spring",'Job Sheet'!K15="Colourbond Over-Roll Hooding",'Job Sheet'!L15="Dune"),1,"")</f>
        <v/>
      </c>
      <c r="CE9" t="str">
        <f>IF(AND('Job Sheet'!P15="Spring",'Job Sheet'!K15="Colourbond Over-Roll Hooding",'Job Sheet'!L15="Heritage Red (Manor Red)"),1,"")</f>
        <v/>
      </c>
      <c r="CF9" t="str">
        <f>IF(AND('Job Sheet'!P15="Spring",'Job Sheet'!K15="Colourbond Over-Roll Hooding",'Job Sheet'!L15="Ironstone"),1,"")</f>
        <v/>
      </c>
      <c r="CG9" t="str">
        <f>IF(AND('Job Sheet'!P15="Spring",'Job Sheet'!K15="Colourbond Over-Roll Hooding",'Job Sheet'!L15="Jasper"),1,"")</f>
        <v/>
      </c>
      <c r="CH9" t="str">
        <f>IF(AND('Job Sheet'!P15="Spring",'Job Sheet'!K15="Colourbond Over-Roll Hooding",'Job Sheet'!L15="Merino (Paperbark)"),1,"")</f>
        <v/>
      </c>
      <c r="CI9" t="str">
        <f>IF(AND('Job Sheet'!P15="Spring",'Job Sheet'!K15="Colourbond Over-Roll Hooding",'Job Sheet'!L15="Mist Green"),1,"")</f>
        <v/>
      </c>
      <c r="CJ9" t="str">
        <f>IF(AND('Job Sheet'!P15="Spring",'Job Sheet'!K15="Colourbond Over-Roll Hooding",'Job Sheet'!L15="Mountain Blue"),1,"")</f>
        <v/>
      </c>
      <c r="CK9" t="str">
        <f>IF(AND('Job Sheet'!P15="Spring",'Job Sheet'!K15="Colourbond Over-Roll Hooding",'Job Sheet'!L15="Smooth Cream (Classic Cream)"),1,"")</f>
        <v/>
      </c>
      <c r="CL9" t="str">
        <f>IF(AND('Job Sheet'!P15="Spring",'Job Sheet'!K15="Colourbond Over-Roll Hooding",'Job Sheet'!L15="Shale Grey"),1,"")</f>
        <v/>
      </c>
      <c r="CM9" t="str">
        <f>IF(AND('Job Sheet'!P15="Spring",'Job Sheet'!K15="Colourbond Over-Roll Hooding",'Job Sheet'!L15="Slate Grey (Woodland Grey)"),1,"")</f>
        <v/>
      </c>
      <c r="CN9" t="str">
        <f>IF(AND('Job Sheet'!P15="Spring",'Job Sheet'!K15="Colourbond Over-Roll Hooding",'Job Sheet'!L15="Surfmist"),1,"")</f>
        <v/>
      </c>
      <c r="CO9" t="str">
        <f>IF(AND('Job Sheet'!P15="Spring",'Job Sheet'!K15="Colourbond Over-Roll Hooding",'Job Sheet'!L15="White"),1,"")</f>
        <v/>
      </c>
      <c r="CP9" t="str">
        <f>IF(AND('Job Sheet'!P15&lt;&gt;"Spring",'Job Sheet'!K15="Colourbond Over-Roll Hooding",'Job Sheet'!L15="Custom Powdercoat"),1,"")</f>
        <v/>
      </c>
      <c r="CQ9" t="str">
        <f>IF(AND('Job Sheet'!P15&lt;&gt;"Spring",'Job Sheet'!K15="Colourbond Over-Roll Hooding",'Job Sheet'!L15="Ebony (Black)"),1,"")</f>
        <v/>
      </c>
      <c r="CR9" t="str">
        <f>IF(AND('Job Sheet'!P15&lt;&gt;"Spring",'Job Sheet'!K15="Colourbond Over-Roll Hooding",'Job Sheet'!L15="Caulfield Green"),1,"")</f>
        <v/>
      </c>
      <c r="CS9" t="str">
        <f>IF(AND('Job Sheet'!P15&lt;&gt;"Spring",'Job Sheet'!K15="Colourbond Over-Roll Hooding",'Job Sheet'!L15="Charcoal (Monument)"),1,"")</f>
        <v/>
      </c>
      <c r="CT9" t="str">
        <f>IF(AND('Job Sheet'!P15&lt;&gt;"Spring",'Job Sheet'!K15="Colourbond Over-Roll Hooding",'Job Sheet'!L15="Dune"),1,"")</f>
        <v/>
      </c>
      <c r="CU9" t="str">
        <f>IF(AND('Job Sheet'!P15&lt;&gt;"Spring",'Job Sheet'!K15="Colourbond Over-Roll Hooding",'Job Sheet'!L15="Heritage Red (Manor Red)"),1,"")</f>
        <v/>
      </c>
      <c r="CV9" t="str">
        <f>IF(AND('Job Sheet'!P15&lt;&gt;"Spring",'Job Sheet'!K15="Colourbond Over-Roll Hooding",'Job Sheet'!L15="Ironstone"),1,"")</f>
        <v/>
      </c>
      <c r="CW9" t="str">
        <f>IF(AND('Job Sheet'!P15&lt;&gt;"Spring",'Job Sheet'!K15="Colourbond Over-Roll Hooding",'Job Sheet'!L15="Jasper"),1,"")</f>
        <v/>
      </c>
      <c r="CX9" t="str">
        <f>IF(AND('Job Sheet'!P15&lt;&gt;"Spring",'Job Sheet'!K15="Colourbond Over-Roll Hooding",'Job Sheet'!L15="Merino (Paperbark)"),1,"")</f>
        <v/>
      </c>
      <c r="CY9" t="str">
        <f>IF(AND('Job Sheet'!P15&lt;&gt;"Spring",'Job Sheet'!K15="Colourbond Over-Roll Hooding",'Job Sheet'!L15="Mist Green"),1,"")</f>
        <v/>
      </c>
      <c r="CZ9" t="str">
        <f>IF(AND('Job Sheet'!P15&lt;&gt;"Spring",'Job Sheet'!K15="Colourbond Over-Roll Hooding",'Job Sheet'!L15="Mountain Blue"),1,"")</f>
        <v/>
      </c>
      <c r="DA9" t="str">
        <f>IF(AND('Job Sheet'!P15&lt;&gt;"Spring",'Job Sheet'!K15="Colourbond Over-Roll Hooding",'Job Sheet'!L15="Smooth Cream (Classic Cream)"),1,"")</f>
        <v/>
      </c>
      <c r="DB9" t="str">
        <f>IF(AND('Job Sheet'!P15&lt;&gt;"Spring",'Job Sheet'!K15="Colourbond Over-Roll Hooding",'Job Sheet'!L15="Shale Grey"),1,"")</f>
        <v/>
      </c>
      <c r="DC9" t="str">
        <f>IF(AND('Job Sheet'!P15&lt;&gt;"Spring",'Job Sheet'!K15="Colourbond Over-Roll Hooding",'Job Sheet'!L15="Slate Grey (Woodland Grey)"),1,"")</f>
        <v/>
      </c>
      <c r="DD9" t="str">
        <f>IF(AND('Job Sheet'!P15&lt;&gt;"Spring",'Job Sheet'!K15="Colourbond Over-Roll Hooding",'Job Sheet'!L15="Surfmist"),1,"")</f>
        <v/>
      </c>
      <c r="DE9" t="str">
        <f>IF(AND('Job Sheet'!P15&lt;&gt;"Spring",'Job Sheet'!K15="Colourbond Over-Roll Hooding",'Job Sheet'!L15="White"),1,"")</f>
        <v/>
      </c>
      <c r="DF9" t="str">
        <f>IF('Tube Cutting'!C15="50mm",'Tube Cutting'!D15,"")</f>
        <v/>
      </c>
      <c r="DG9">
        <f>IF('Tube Cutting'!C15="63mm",'Tube Cutting'!D15,"")</f>
        <v>2291</v>
      </c>
      <c r="DH9" t="str">
        <f>IF('Tube Cutting'!C15="70mm",'Tube Cutting'!D15,"")</f>
        <v/>
      </c>
      <c r="DI9" t="str">
        <f>IF('Tube Cutting'!C15="78mm",'Tube Cutting'!D15,"")</f>
        <v/>
      </c>
      <c r="DJ9" t="str">
        <f>IF('Tube Cutting'!C15="85mm",'Tube Cutting'!D15,"")</f>
        <v/>
      </c>
      <c r="DK9" t="str">
        <f>IF(AND('Job Sheet'!P15="Gearbox",'Tube Cutting'!C15="50mm"),1,"")</f>
        <v/>
      </c>
      <c r="DL9" t="str">
        <f>IF(AND('Job Sheet'!P15&lt;&gt;"Spring",'Tube Cutting'!C15="50mm"),1,"")</f>
        <v/>
      </c>
      <c r="DM9" t="str">
        <f>IF(AND('Job Sheet'!P15="Gearbox",'Tube Cutting'!C15="63mm"),1,"")</f>
        <v/>
      </c>
      <c r="DN9">
        <f>IF(AND('Job Sheet'!P15&lt;&gt;"Spring",'Tube Cutting'!C15="63mm"),1,"")</f>
        <v>1</v>
      </c>
      <c r="DO9" t="str">
        <f>IF(AND('Job Sheet'!P15="Gearbox",'Tube Cutting'!C15="70mm"),1,"")</f>
        <v/>
      </c>
      <c r="DP9" t="str">
        <f>IF(AND('Job Sheet'!P15&lt;&gt;"Spring",'Tube Cutting'!C15="70mm"),1,"")</f>
        <v/>
      </c>
      <c r="DQ9" t="str">
        <f>IF(AND('Job Sheet'!P15="Gearbox",'Tube Cutting'!C15="78mm"),1,"")</f>
        <v/>
      </c>
      <c r="DR9" t="str">
        <f>IF(AND('Job Sheet'!P15&lt;&gt;"Spring",'Tube Cutting'!C15="78mm"),1,"")</f>
        <v/>
      </c>
      <c r="DS9" t="str">
        <f>IF(AND('Job Sheet'!P15="Gearbox",'Tube Cutting'!C15="85mm"),1,"")</f>
        <v/>
      </c>
      <c r="DT9" t="str">
        <f>IF(AND('Job Sheet'!P15&lt;&gt;"Spring",'Tube Cutting'!C15="85mm"),1,"")</f>
        <v/>
      </c>
      <c r="DU9" t="str">
        <f>IF('Tube Cutting'!I15="Custom Powdercoat",'Tube Cutting'!F15,"")</f>
        <v/>
      </c>
      <c r="DV9" t="str">
        <f>IF('Tube Cutting'!I15="Ebony (Black)",'Tube Cutting'!F15,"")</f>
        <v/>
      </c>
      <c r="DW9" t="str">
        <f>IF('Tube Cutting'!I15="Caulfield Green",'Tube Cutting'!F15,"")</f>
        <v/>
      </c>
      <c r="DX9" t="str">
        <f>IF('Tube Cutting'!I15="Charcoal (Monument)",'Tube Cutting'!F15,"")</f>
        <v/>
      </c>
      <c r="DY9" t="str">
        <f>IF('Tube Cutting'!I15="Dune",'Tube Cutting'!F15,"")</f>
        <v/>
      </c>
      <c r="DZ9" t="str">
        <f>IF('Tube Cutting'!I15="Heritage Red (Manor Red)",'Tube Cutting'!F15,"")</f>
        <v/>
      </c>
      <c r="EA9" t="str">
        <f>IF('Tube Cutting'!I15="Ironstone",'Tube Cutting'!F15,"")</f>
        <v/>
      </c>
      <c r="EB9" t="str">
        <f>IF('Tube Cutting'!I15="Jasper",'Tube Cutting'!F15,"")</f>
        <v/>
      </c>
      <c r="EC9">
        <f>IF('Tube Cutting'!I15="Merino (Paperbark)",'Tube Cutting'!F15,"")</f>
        <v>2271</v>
      </c>
      <c r="ED9" t="str">
        <f>IF('Tube Cutting'!I15="Mist Green",'Tube Cutting'!F15,"")</f>
        <v/>
      </c>
      <c r="EE9" t="str">
        <f>IF('Tube Cutting'!I15="Mountain Blue",'Tube Cutting'!F15,"")</f>
        <v/>
      </c>
      <c r="EF9" t="str">
        <f>IF('Tube Cutting'!I15="Smooth Cream (Classic Cream)",'Tube Cutting'!F15,"")</f>
        <v/>
      </c>
      <c r="EG9" t="str">
        <f>IF('Tube Cutting'!I15="Shale Grey",'Tube Cutting'!F15,"")</f>
        <v/>
      </c>
      <c r="EH9" t="str">
        <f>IF('Tube Cutting'!I15="Slate Grey (Woodland Grey)",'Tube Cutting'!F15,"")</f>
        <v/>
      </c>
      <c r="EI9" t="str">
        <f>IF('Tube Cutting'!I15="Surf Mist",'Tube Cutting'!F15,"")</f>
        <v/>
      </c>
      <c r="EJ9" t="str">
        <f>IF('Tube Cutting'!I15="White",'Tube Cutting'!F15,"")</f>
        <v/>
      </c>
      <c r="EK9">
        <f>IF(AND('Job Sheet'!AD15="Standard Zinc",'Job Sheet'!P15&lt;&gt;"Spring"),1,"")</f>
        <v>1</v>
      </c>
      <c r="EL9" t="str">
        <f>IF(AND('Job Sheet'!AD15="Stainless Steel",'Job Sheet'!P15&lt;&gt;"Spring"),1,"")</f>
        <v/>
      </c>
      <c r="EM9" t="str">
        <f>IF('Job Sheet'!P15="Spring",1,"")</f>
        <v/>
      </c>
      <c r="EN9">
        <f t="shared" si="2"/>
        <v>2</v>
      </c>
      <c r="EO9" t="str">
        <f>IF('Job Sheet'!AJ15="50mm Small",1,"")</f>
        <v/>
      </c>
      <c r="EP9" t="str">
        <f>IF('Job Sheet'!AJ15="50mm Std",1,"")</f>
        <v/>
      </c>
      <c r="EQ9" t="str">
        <f>IF('Job Sheet'!AJ15="63mm Std",1,"")</f>
        <v/>
      </c>
      <c r="FZ9">
        <f>IF(AND('Job Sheet'!O15="U Bracket",'Job Sheet'!AD15="Standard Zinc"),2,"")</f>
        <v>2</v>
      </c>
      <c r="GA9" t="str">
        <f>IF(AND('Job Sheet'!O15="U Bracket",'Job Sheet'!AD15="Stainless Steel"),2,"")</f>
        <v/>
      </c>
      <c r="GB9">
        <f t="shared" si="3"/>
        <v>2</v>
      </c>
      <c r="GG9" t="str">
        <f>IF(AND('Job Sheet'!AD15="Standard Zinc",'Job Sheet'!K15="Spring Brackets"),2,"")</f>
        <v/>
      </c>
      <c r="GH9" t="str">
        <f>IF(AND('Job Sheet'!AD15="Stainless Steel",'Job Sheet'!K15="Spring Brackets"),2,"")</f>
        <v/>
      </c>
      <c r="GJ9" t="str">
        <f>IF('Job Sheet'!AC15="Yes x 1",1,IF('Job Sheet'!AC15="Yes x 2",2,""))</f>
        <v/>
      </c>
      <c r="GL9" t="str">
        <f>IF('Job Sheet'!AB15="Telescopic x 1",1,IF('Job Sheet'!AB15="Telescopic x 2",2,IF('Job Sheet'!AB15="Telescopic x 3",3,+IF('Job Sheet'!AC15="Telescopic x 1",1,IF('Job Sheet'!AC15="Telescopic x 2",2,IF('Job Sheet'!AC15="Telescopic x 3",3,""))))))</f>
        <v/>
      </c>
      <c r="GM9" t="str">
        <f>IF(AND('Job Sheet'!P15="Gearbox",'Job Sheet'!R15="Black"),1,"")</f>
        <v/>
      </c>
      <c r="GN9" t="str">
        <f>IF(AND('Job Sheet'!P15="Gearbox",'Job Sheet'!R15="White"),1,"")</f>
        <v/>
      </c>
      <c r="GO9" t="str">
        <f>IF('Job Sheet'!Y15="Black Crank Handle 1000mm",1,"")</f>
        <v/>
      </c>
      <c r="GP9" t="str">
        <f>IF('Job Sheet'!Y15="Black Crank Handle 1200mm",1,"")</f>
        <v/>
      </c>
      <c r="GQ9" t="str">
        <f>IF('Job Sheet'!Y15="Black Crank Handle 1500mm",1,"")</f>
        <v/>
      </c>
      <c r="GR9" t="str">
        <f>IF('Job Sheet'!Y15="Black Crank Handle 1800mm",1,"")</f>
        <v/>
      </c>
      <c r="GS9" t="str">
        <f>IF('Job Sheet'!Y15="Black Crank Handle 2200mm",1,"")</f>
        <v/>
      </c>
      <c r="GT9" t="str">
        <f>IF('Job Sheet'!Y15="Black Crank Handle 2500mm",1,"")</f>
        <v/>
      </c>
      <c r="GU9" t="str">
        <f>IF('Job Sheet'!Y15="Black Crank Handle 3000mm",1,"")</f>
        <v/>
      </c>
      <c r="GV9" t="str">
        <f>IF('Job Sheet'!Y15="White Crank Handle 1000mm",1,"")</f>
        <v/>
      </c>
      <c r="GW9" t="str">
        <f>IF('Job Sheet'!Y15="White Crank Handle 1200mm",1,"")</f>
        <v/>
      </c>
      <c r="GX9" t="str">
        <f>IF('Job Sheet'!Y15="White Crank Handle 1500mm",1,"")</f>
        <v/>
      </c>
      <c r="GY9" t="str">
        <f>IF('Job Sheet'!Y15="White Crank Handle 1800mm",1,"")</f>
        <v/>
      </c>
      <c r="GZ9" t="str">
        <f>IF('Job Sheet'!Y15="White Crank Handle 2200mm",1,"")</f>
        <v/>
      </c>
      <c r="HA9" t="str">
        <f>IF('Job Sheet'!Y15="White Crank Handle 2500mm",1,"")</f>
        <v/>
      </c>
      <c r="HB9" t="str">
        <f>IF('Job Sheet'!Y15="White Crank Handle 3000mm",1,"")</f>
        <v/>
      </c>
      <c r="HC9" t="str">
        <f>IF(AND('Job Sheet'!AH15="900mm",'Job Sheet'!AD15="Standard Zinc"),2,"")</f>
        <v/>
      </c>
      <c r="HD9" t="str">
        <f>IF(AND('Job Sheet'!AH15="1200mm",'Job Sheet'!AD15="Standard Zinc"),2,"")</f>
        <v/>
      </c>
      <c r="HE9" t="str">
        <f>IF(AND('Job Sheet'!AH15="1500mm",'Job Sheet'!AD15="Standard Zinc"),2,"")</f>
        <v/>
      </c>
      <c r="HF9" t="str">
        <f>IF(AND('Job Sheet'!AH15="1800mm",'Job Sheet'!AD15="Standard Zinc"),2,"")</f>
        <v/>
      </c>
      <c r="HG9" t="str">
        <f>IF(AND('Job Sheet'!AH15="2100mm",'Job Sheet'!AD15="Standard Zinc"),2,"")</f>
        <v/>
      </c>
      <c r="HH9">
        <f>IF(AND('Job Sheet'!AH15="2400mm",'Job Sheet'!AD15="Standard Zinc"),2,"")</f>
        <v>2</v>
      </c>
      <c r="HI9" t="str">
        <f>IF(AND('Job Sheet'!AH15="2700mm",'Job Sheet'!AD15="Standard Zinc"),2,"")</f>
        <v/>
      </c>
      <c r="HJ9" t="str">
        <f>IF(AND('Job Sheet'!AH15="3000mm",'Job Sheet'!AD15="Standard Zinc"),2,"")</f>
        <v/>
      </c>
      <c r="HK9" t="str">
        <f>IF(AND('Job Sheet'!AH15="3500mm",'Job Sheet'!AD15="Standard Zinc"),2,"")</f>
        <v/>
      </c>
      <c r="HL9" t="str">
        <f>IF(AND('Job Sheet'!AH15="900mm",'Job Sheet'!AD15="Stainless Steel"),2,"")</f>
        <v/>
      </c>
      <c r="HM9" t="str">
        <f>IF(AND('Job Sheet'!AH15="1200mm",'Job Sheet'!AD15="Stainless Steel"),2,"")</f>
        <v/>
      </c>
      <c r="HN9" t="str">
        <f>IF(AND('Job Sheet'!AH15="1500mm",'Job Sheet'!AD15="Stainless Steel"),2,"")</f>
        <v/>
      </c>
      <c r="HO9" t="str">
        <f>IF(AND('Job Sheet'!AH15="1800mm",'Job Sheet'!AD15="Stainless Steel"),2,"")</f>
        <v/>
      </c>
      <c r="HP9" t="str">
        <f>IF(AND('Job Sheet'!AH15="2100mm",'Job Sheet'!AD15="Stainless Steel"),2,"")</f>
        <v/>
      </c>
      <c r="HQ9" t="str">
        <f>IF(AND('Job Sheet'!AH15="2400mm",'Job Sheet'!AD15="Stainless Steel"),2,"")</f>
        <v/>
      </c>
      <c r="HR9" t="str">
        <f>IF(AND('Job Sheet'!AH15="2700mm",'Job Sheet'!AD15="Stainless Steel"),2,"")</f>
        <v/>
      </c>
      <c r="HS9" t="str">
        <f>IF(AND('Job Sheet'!AH15="3000mm",'Job Sheet'!AD15="Stainless Steel"),2,"")</f>
        <v/>
      </c>
      <c r="HT9">
        <f>IF('Tube Cutting'!G15="","",'Tube Cutting'!F15*2-120)</f>
        <v>4422</v>
      </c>
      <c r="HU9" t="str">
        <f>IF(AND('Job Sheet'!O15="150mm L Bracket",'Job Sheet'!AD15="Standard Zinc"),2,"")</f>
        <v/>
      </c>
      <c r="HV9" t="str">
        <f>IF(AND('Job Sheet'!O15="225mm L Bracket",'Job Sheet'!AD15="Standard Zinc"),2,"")</f>
        <v/>
      </c>
      <c r="HW9" t="str">
        <f>IF(AND('Job Sheet'!O15="300mm L Bracket",'Job Sheet'!AD15="Standard Zinc"),2,"")</f>
        <v/>
      </c>
      <c r="HX9" t="str">
        <f>IF(AND('Job Sheet'!O15="450mm L Bracket",'Job Sheet'!AD15="Standard Zinc"),2,"")</f>
        <v/>
      </c>
      <c r="HY9" t="str">
        <f>IF(AND('Job Sheet'!O15="600mm L Bracket",'Job Sheet'!AD15="Standard Zinc"),2,"")</f>
        <v/>
      </c>
      <c r="HZ9" t="str">
        <f>IF(AND('Job Sheet'!O15="150mm L Bracket",'Job Sheet'!AD15="Stainless Steel"),2,"")</f>
        <v/>
      </c>
      <c r="IA9" t="str">
        <f>IF(AND('Job Sheet'!O15="225mm L Bracket",'Job Sheet'!AD15="Stainless Steel"),2,"")</f>
        <v/>
      </c>
      <c r="IB9" t="str">
        <f>IF(AND('Job Sheet'!O15="300mm L Bracket",'Job Sheet'!AD15="Stainless Steel"),2,"")</f>
        <v/>
      </c>
      <c r="IC9">
        <f t="shared" si="4"/>
        <v>2</v>
      </c>
      <c r="ID9" t="str">
        <f>IF(AND('Job Sheet'!AD15="Standard Zinc",(OR('Job Sheet'!Y15="150mm Stayed Bracket with No Pulleys and Rope Cleat",'Job Sheet'!Y15="150mm Stayed Bracket with 1 Pulley and Rope Cleat",'Job Sheet'!Y15="150mm Stayed Bracket with 2 Pulleys and Rope Cleat"))),1,"")</f>
        <v/>
      </c>
      <c r="IE9" t="str">
        <f>IF(AND('Job Sheet'!AD15="Standard Zinc",(OR('Job Sheet'!Y15="225mm Stayed Bracket with No Pulleys and Rope Cleat",'Job Sheet'!Y15="225mm Stayed Bracket with 1 Pulley and Rope Cleat",'Job Sheet'!Y15="225mm Stayed Bracket with 2 Pulleys and Rope Cleat"))),1,"")</f>
        <v/>
      </c>
      <c r="IF9" t="str">
        <f>IF(AND('Job Sheet'!AD15="Standard Zinc",(OR('Job Sheet'!Y15="300mm Stayed Bracket with No Pulleys and Rope Cleat",'Job Sheet'!Y15="300mm Stayed Bracket with 1 Pulley and Rope Cleat",'Job Sheet'!Y15="300mm Stayed Bracket with 2 Pulleys and Rope Cleat"))),1,"")</f>
        <v/>
      </c>
      <c r="IG9" t="str">
        <f>IF(AND('Job Sheet'!AD15="Stainless Steel",OR('Job Sheet'!Y15="150mm Stayed Bracket with No Pulleys and Rope Cleat",'Job Sheet'!Y15="150mm Stayed Bracket with 1 Pulley and Rope Cleat",'Job Sheet'!Y15="150mm Stayed Bracket with 2 Pulleys and Rope Cleat")),1,"")</f>
        <v/>
      </c>
      <c r="IH9" t="str">
        <f>IF(AND('Job Sheet'!Y15="300mm Stayed Bracket with 1 Pulley and Rope Cleat",'Job Sheet'!AD15="Stainless Steel"),1,"")</f>
        <v/>
      </c>
      <c r="II9" t="str">
        <f>IF(OR('Job Sheet'!Y15="150mm Stayed Bracket with 1 Pulley and Rope Cleat",'Job Sheet'!Y15="225mm Stayed Bracket with 1 Pulley and Rope Cleat",'Job Sheet'!Y15="300mm Stayed Bracket with 1 Pulley and Rope Cleat",'Job Sheet'!Y15="With 1 Pulley and Rope Cleat"),"1",IF(OR('Job Sheet'!Y15="150mm Stayed Bracket with 2 Pulleys and Rope Cleat",'Job Sheet'!Y15="225mm Stayed Bracket with 2 Pulleys and Rope Cleat",'Job Sheet'!Y15="300mm Stayed Bracket with 2 Pulleys and Rope Cleat",'Job Sheet'!Y15="With 2 Pulleys and Rope Cleat"),"2",""))</f>
        <v/>
      </c>
      <c r="IJ9" t="str">
        <f>IF(OR('Job Sheet'!Y15="150mm Stayed Bracket with No Pulleys and Rope Cleat",'Job Sheet'!Y15="150mm Stayed Bracket with 1 Pulley and Rope Cleat",'Job Sheet'!Y15="150mm Stayed Bracket with 2 Pulleys and Rope Cleat",'Job Sheet'!Y15="225mm Stayed Bracket with No Pulleys and Rope Cleat",'Job Sheet'!Y15="225mm Stayed Bracket with 1 Pulley and Rope Cleat",'Job Sheet'!Y15="225mm Stayed Bracket with 2 Pulleys and Rope Cleat",'Job Sheet'!Y15="300mm Stayed Bracket with No Pulleys and Rope Cleat",'Job Sheet'!Y15="300mm Stayed Bracket with 1 Pulley and Rope Cleat",'Job Sheet'!Y15="300mm Stayed Bracket with 2 Pulleys and Rope Cleat",'Job Sheet'!Y15="With No Pulleys and Rope Cleat",'Job Sheet'!Y15="With 1 Pulley and Rope Cleat",'Job Sheet'!Y15="With 2 Pulleys and Rope Cleat",),"1","")</f>
        <v/>
      </c>
      <c r="IK9" t="str">
        <f>IF('Job Sheet'!R15="Black Cord 2m","2",IF('Job Sheet'!R15="Black Cord 3m","3",IF('Job Sheet'!R15="Black Cord 4m","4",IF('Job Sheet'!R15="Black Cord 5m","5",IF('Job Sheet'!R15="Black Cord 6m","6","")))))</f>
        <v/>
      </c>
      <c r="IL9" t="str">
        <f>IF('Job Sheet'!R15="White Cord 2m","2",IF('Job Sheet'!R15="White Cord 3m","3",IF('Job Sheet'!R15="White Cord 4m","4",IF('Job Sheet'!R15="White Cord 5m","5",IF('Job Sheet'!R15="White Cord 6m","6","")))))</f>
        <v/>
      </c>
      <c r="IM9" t="str">
        <f>IF(AND('Job Sheet'!K15="Powder Coated Brackets",'Job Sheet'!L15="Black"),2,"")</f>
        <v/>
      </c>
      <c r="IN9" t="str">
        <f>IF(AND('Job Sheet'!K15="Powder Coated Brackets",'Job Sheet'!L15="White"),2,"")</f>
        <v/>
      </c>
      <c r="IQ9" t="str">
        <f>IF('Job Sheet'!L15="Stainless Steel",2,"")</f>
        <v/>
      </c>
      <c r="JD9" t="str">
        <f>IF('Job Sheet'!AB15="25mm x 1",1,IF('Job Sheet'!AB15="25mm x 2",2,""))</f>
        <v/>
      </c>
      <c r="JE9" t="str">
        <f>IF('Job Sheet'!AB15="50mm x 1",1,IF('Job Sheet'!AB15="50mm x 2",2,""))</f>
        <v/>
      </c>
      <c r="JF9" t="str">
        <f>IF('Job Sheet'!AB15="75mm x 1",1,IF('Job Sheet'!AB15="75mm x 2",2,""))</f>
        <v/>
      </c>
      <c r="JG9" t="str">
        <f>IF('Job Sheet'!AB15="100mm x 1",1,IF('Job Sheet'!AB15="100mm x 2",2,""))</f>
        <v/>
      </c>
      <c r="JH9" t="str">
        <f>IF('Job Sheet'!AB15="125mm x 1",1,IF('Job Sheet'!AB15="125mm x 2",2,""))</f>
        <v/>
      </c>
      <c r="JN9" t="str">
        <f>IF('Job Sheet'!AA15="25mm x 1",1,IF('Job Sheet'!AA15="25mm x 2",2,""))</f>
        <v/>
      </c>
      <c r="JO9" t="str">
        <f>IF('Job Sheet'!AA15="50mm x 1",1,IF('Job Sheet'!AA15="50mm x 2",2,""))</f>
        <v/>
      </c>
      <c r="JP9" t="str">
        <f>IF('Job Sheet'!AA15="75mm x 1",1,IF('Job Sheet'!AA15="75mm x 2",2,""))</f>
        <v/>
      </c>
      <c r="JQ9" t="str">
        <f>IF('Job Sheet'!AA15="100mm x 1",1,IF('Job Sheet'!AA15="100mm x 2",2,""))</f>
        <v/>
      </c>
      <c r="JR9" t="str">
        <f>IF('Job Sheet'!AA15="125mm x 1",1,IF('Job Sheet'!AA15="125mm x 2",2,""))</f>
        <v/>
      </c>
      <c r="JS9">
        <f>IF('Welding&amp;Sewing'!D15="3.6mm White",'Fabric Cutting'!G15*2,'Fabric Cutting'!G15)</f>
        <v>4542</v>
      </c>
      <c r="JT9" t="str">
        <f>IF('Welding&amp;Sewing'!D15="6mm Black",'Fabric Cutting'!G15,"")</f>
        <v/>
      </c>
      <c r="MB9" t="str">
        <f>IF('Job Sheet'!P15="Acmeda Remote Motor",1,"")</f>
        <v/>
      </c>
      <c r="MC9" t="str">
        <f>IF(AND('Tube Cutting'!C15="63mm",'Job Sheet'!P15="Acmeda Remote Motor"),1,"")</f>
        <v/>
      </c>
      <c r="MD9" t="str">
        <f>IF(AND('Tube Cutting'!C15="63mm",'Job Sheet'!P15="Acmeda Remote Motor"),1,"")</f>
        <v/>
      </c>
      <c r="ME9" t="str">
        <f>IF(AND('Tube Cutting'!C15="78mm",'Job Sheet'!P15="Acmeda Remote Motor"),1,"")</f>
        <v/>
      </c>
      <c r="MF9" t="str">
        <f>IF(AND('Tube Cutting'!C15="78mm",'Job Sheet'!P15="Acmeda Remote Motor"),1,"")</f>
        <v/>
      </c>
      <c r="MG9" t="str">
        <f>IF('Job Sheet'!P15="Acmeda 12v Remote Motor",1,"")</f>
        <v/>
      </c>
      <c r="MH9" t="str">
        <f>IF(OR('Job Sheet'!Z15="External Battery",'Job Sheet'!Z15="External Battery and Charging Cable"),1,"")</f>
        <v/>
      </c>
      <c r="MI9" t="str">
        <f>IF('Job Sheet'!Z15="External Battery and Charging Cable",1,"")</f>
        <v/>
      </c>
      <c r="MJ9" t="str">
        <f>IF('Job Sheet'!Z15="Pulse 2.0 Automation Hub",1,"")</f>
        <v/>
      </c>
      <c r="MK9" t="str">
        <f>IF('Job Sheet'!Z15="USB Repeater",1,"")</f>
        <v/>
      </c>
      <c r="ML9" t="str">
        <f>IF('Job Sheet'!Y15="Acmeda 1 Channel White Remote",1,"")</f>
        <v/>
      </c>
      <c r="MM9" t="str">
        <f>IF('Job Sheet'!Y15="Acmeda 1 Channel Black Remote",1,"")</f>
        <v/>
      </c>
      <c r="MN9" t="str">
        <f>IF('Job Sheet'!Y15="Acmeda 5 Channel White Remote",1,"")</f>
        <v/>
      </c>
      <c r="MO9" t="str">
        <f>IF('Job Sheet'!Y15="Acmeda 5 Channel Black Remote",1,"")</f>
        <v/>
      </c>
      <c r="MP9" t="str">
        <f>IF('Job Sheet'!Y15="Acmeda 15 Channel White Remote",1,"")</f>
        <v/>
      </c>
      <c r="MQ9" t="str">
        <f>IF('Job Sheet'!Y15="Acmeda 15 Channel Black Remote",1,"")</f>
        <v/>
      </c>
      <c r="MR9" t="str">
        <f>IF('Job Sheet'!Y15="Acmeda Wall Mounted 5 Channel White Remote",1,"")</f>
        <v/>
      </c>
      <c r="MS9" t="str">
        <f>IF('Job Sheet'!Y15="Acmeda Wall Mounted Single Channel White Remote",1,"")</f>
        <v/>
      </c>
      <c r="MT9" t="str">
        <f>IF('Job Sheet'!Y15="Acmeda Wall Mounted 2 Channel White Remote",1,"")</f>
        <v/>
      </c>
      <c r="MU9" t="str">
        <f>IF('Job Sheet'!Y15="Acmeda Wall Mounted 15 Channel White Remote",1,"")</f>
        <v/>
      </c>
      <c r="MV9" t="str">
        <f>IF('Job Sheet'!Y15="Acmeda Push Pro White Remote with Charger",1,"")</f>
        <v/>
      </c>
      <c r="MW9" t="str">
        <f>IF('Job Sheet'!Y15="Acmeda Push Pro Black Remote with Charger",1,"")</f>
        <v/>
      </c>
      <c r="MX9" t="str">
        <f>IF(OR('Job Sheet'!Y15="Acmeda Push Pro White Remote with Charger",'Job Sheet'!Y15="Acmeda Push Pro Black Remote with Charger"),"1","")</f>
        <v/>
      </c>
      <c r="MY9" t="str">
        <f t="shared" si="5"/>
        <v/>
      </c>
      <c r="NA9" t="str">
        <f>IF('Job Sheet'!Z15="1 Channel Dry Contact Relay Module",1,"")</f>
        <v/>
      </c>
      <c r="ND9">
        <f>IF('Job Sheet'!P15="Becker Remote Operated",1,"")</f>
        <v>1</v>
      </c>
      <c r="NF9" t="str">
        <f>IF('Job Sheet'!P15="Becker Switch Operated",1,"")</f>
        <v/>
      </c>
      <c r="NG9">
        <f>IF(AND('Tube Cutting'!C15="63mm",(OR('Job Sheet'!P15="Becker Remote Operated",'Job Sheet'!P15="Becker Switch Operated"))),1,"")</f>
        <v>1</v>
      </c>
      <c r="NH9">
        <f>IF(AND('Tube Cutting'!C15="63mm",(OR('Job Sheet'!P15="Becker Remote Operated",'Job Sheet'!P15="Becker Switch Operated"))),1,"")</f>
        <v>1</v>
      </c>
      <c r="NI9">
        <f>IF(OR('Job Sheet'!P15="Becker Remote Operated",'Job Sheet'!P15="Becker Switch Operated"),1,"")</f>
        <v>1</v>
      </c>
      <c r="NK9" t="str">
        <f>IF(AND('Tube Cutting'!C15="78mm",(OR('Job Sheet'!P15="Becker Remote Operated",'Job Sheet'!P15="Becker Switch Operated"))),1,"")</f>
        <v/>
      </c>
      <c r="NL9" t="str">
        <f>IF(AND('Tube Cutting'!C15="78mm",'Job Sheet'!P15="Becker Remote Operated"),1,"")</f>
        <v/>
      </c>
      <c r="NM9" t="str">
        <f>IF('Job Sheet'!Y15="Becker Single Channel White Remote",1,"")</f>
        <v/>
      </c>
      <c r="NN9" t="str">
        <f>IF('Job Sheet'!Y15="Becker Single Channel Black Remote",1,"")</f>
        <v/>
      </c>
      <c r="NO9" t="str">
        <f>IF('Job Sheet'!Y15="Becker 5 Channel White Remote",1,"")</f>
        <v/>
      </c>
      <c r="NP9" t="str">
        <f>IF('Job Sheet'!Y15="Becker 5 Channel Black Remote",1,"")</f>
        <v/>
      </c>
      <c r="NQ9" t="str">
        <f>IF('Job Sheet'!Y15="Becker 10 Channel White Remote",1,"")</f>
        <v/>
      </c>
      <c r="NR9" t="str">
        <f>IF('Job Sheet'!Y15="Becker 10 Channel Black Remote",1,"")</f>
        <v/>
      </c>
      <c r="NS9" t="s">
        <v>617</v>
      </c>
      <c r="NT9" t="str">
        <f>IF('Job Sheet'!P15="Somfy Remote Operated",1,"")</f>
        <v/>
      </c>
      <c r="NV9" t="str">
        <f>IF('Job Sheet'!P15="Somfy Remote Operated",1,"")</f>
        <v/>
      </c>
      <c r="NW9" t="str">
        <f>IF(AND('Tube Cutting'!C15="63mm",'Job Sheet'!P15="Somfy Remote Operated"),1,"")</f>
        <v/>
      </c>
      <c r="NX9" t="str">
        <f>IF(AND('Tube Cutting'!C15="63mm",'Job Sheet'!P15="Somfy Remote Operated"),1,"")</f>
        <v/>
      </c>
      <c r="NY9" t="str">
        <f>IF(AND('Tube Cutting'!C15="78mm",'Job Sheet'!P15="Somfy Remote Operated"),1,"")</f>
        <v/>
      </c>
      <c r="NZ9" t="str">
        <f>IF(AND('Tube Cutting'!C15="78mm",'Job Sheet'!P15="Somfy Remote Operated"),1,"")</f>
        <v/>
      </c>
      <c r="OA9" t="str">
        <f>IF('Job Sheet'!Z15="Connexoon App Connector",1,"")</f>
        <v/>
      </c>
      <c r="OB9" t="str">
        <f>IF('Job Sheet'!Z15="Tahoma Switch",1,"")</f>
        <v/>
      </c>
      <c r="OC9" t="str">
        <f>IF('Job Sheet'!Y15="Somfy 15 Channel Silver Remote",1,"")</f>
        <v/>
      </c>
      <c r="OD9" t="str">
        <f>IF('Job Sheet'!Y15="Somfy 15 Channel White Remote",1,"")</f>
        <v/>
      </c>
      <c r="OE9" t="str">
        <f>IF('Job Sheet'!Y15="Somfy 2 Channel Silver Remote",1,"")</f>
        <v/>
      </c>
      <c r="OF9" t="str">
        <f>IF('Job Sheet'!Y15="Somfy 2 Channel Wall Mounted Smoove Remote White with Black Cover Plate",1,"")</f>
        <v/>
      </c>
      <c r="OG9" t="str">
        <f>IF('Job Sheet'!Y15="Somfy 2 Channel Wall Mounted Smoove Remote White with Silver Cover Plate",1,"")</f>
        <v/>
      </c>
      <c r="OH9" t="str">
        <f>IF('Job Sheet'!Y15="Somfy 2 Channel Wall Mounted Smoove Remote White",1,"")</f>
        <v/>
      </c>
      <c r="OI9" t="str">
        <f>IF('Job Sheet'!Y15="Somfy 2 Channel White Remote",1,"")</f>
        <v/>
      </c>
      <c r="OJ9" t="str">
        <f>IF('Job Sheet'!Y15="Somfy 2 Channel Silver Remote",1,"")</f>
        <v/>
      </c>
      <c r="OK9" t="str">
        <f>IF('Job Sheet'!Y15="Somfy 5 Channel Wall Mounted Smoove Remote White with Black Cover Plate",1,"")</f>
        <v/>
      </c>
      <c r="OL9" t="str">
        <f>IF('Job Sheet'!Y15="Somfy 5 Channel Wall Mounted Smoove Remote White with Silver Cover Plate",1,"")</f>
        <v/>
      </c>
      <c r="OM9" t="str">
        <f>IF('Job Sheet'!Y15="Somfy 5 Channel Wall Mounted Smoove Remote White",1,"")</f>
        <v/>
      </c>
      <c r="ON9" t="str">
        <f>IF('Job Sheet'!Y15="Somfy 5 Channel White Remote",1,"")</f>
        <v/>
      </c>
      <c r="OO9" t="str">
        <f>IF('Job Sheet'!Y15="Somfy Single Channel Silver Remote",1,"")</f>
        <v/>
      </c>
      <c r="OP9" t="str">
        <f>IF('Job Sheet'!Y15="Somfy Single Channel Wall Mounted Smoove Remote White with Black Cover Plate",1,"")</f>
        <v/>
      </c>
      <c r="OQ9" t="str">
        <f>IF('Job Sheet'!Y15="Somfy Single Channel Wall Mounted Smoove Remote White with Silver Cover Plate",1,"")</f>
        <v/>
      </c>
      <c r="OR9" t="str">
        <f>IF('Job Sheet'!Y15="Somfy Single Channel Wall Mounted Smoove Remote White",1,"")</f>
        <v/>
      </c>
      <c r="OS9" t="str">
        <f>IF('Job Sheet'!Y15="Somfy Single Channel White Remote",1,"")</f>
        <v/>
      </c>
    </row>
    <row r="10" spans="4:409" ht="13.15" customHeight="1">
      <c r="D10" t="str">
        <f>IF('Tube Cutting'!D16="","",CONCATENATE(Data!BC$5,".",Data!BD$5))</f>
        <v/>
      </c>
      <c r="E10" t="str">
        <f>IF(D10="","",Data!AW16)</f>
        <v/>
      </c>
      <c r="F10" t="str">
        <f>IF(D10="","",Data!AV16)</f>
        <v/>
      </c>
      <c r="G10" t="str">
        <f t="shared" si="0"/>
        <v/>
      </c>
      <c r="H10" t="str">
        <f>IF(D10="","",Data!BF$5)</f>
        <v/>
      </c>
      <c r="I10" t="str">
        <f>IF(D10="","",Data!AX$5)</f>
        <v/>
      </c>
      <c r="J10" t="str">
        <f>'Job Sheet'!H16</f>
        <v/>
      </c>
      <c r="K10" t="str">
        <f t="shared" si="1"/>
        <v/>
      </c>
      <c r="L10" s="33" t="str">
        <f>'Fabric Cutting'!G16</f>
        <v/>
      </c>
      <c r="M10" s="33" t="str">
        <f>'Fabric Cutting'!H16</f>
        <v/>
      </c>
      <c r="N10" t="str">
        <f>IF(AND('Job Sheet'!K16="Colourbond Under-Roll Hooding",'Job Sheet'!L16="Custom Powdercoat"),'Tube Cutting'!J16,"")</f>
        <v/>
      </c>
      <c r="O10" t="str">
        <f>IF(AND('Job Sheet'!K16="Colourbond Under-Roll Hooding",'Job Sheet'!L16="Ebony (Black)"),'Tube Cutting'!J16,"")</f>
        <v/>
      </c>
      <c r="P10" t="str">
        <f>IF(AND('Job Sheet'!K16="Colourbond Under-Roll Hooding",'Job Sheet'!L16="Caulfield Green"),'Tube Cutting'!J16,"")</f>
        <v/>
      </c>
      <c r="Q10" t="str">
        <f>IF(AND('Job Sheet'!K16="Colourbond Under-Roll Hooding",'Job Sheet'!L16="Charcoal (Monument)"),'Tube Cutting'!J16,"")</f>
        <v/>
      </c>
      <c r="R10" t="str">
        <f>IF(AND('Job Sheet'!K16="Colourbond Under-Roll Hooding",'Job Sheet'!L16="Dune"),'Tube Cutting'!J16,"")</f>
        <v/>
      </c>
      <c r="S10" t="str">
        <f>IF(AND('Job Sheet'!K16="Colourbond Under-Roll Hooding",'Job Sheet'!L16="Heritage Red (Manor Red)"),'Tube Cutting'!J16,"")</f>
        <v/>
      </c>
      <c r="T10" t="str">
        <f>IF(AND('Job Sheet'!K16="Colourbond Under-Roll Hooding",'Job Sheet'!L16="Ironstone"),'Tube Cutting'!J16,"")</f>
        <v/>
      </c>
      <c r="U10" t="str">
        <f>IF(AND('Job Sheet'!K16="Colourbond Under-Roll Hooding",'Job Sheet'!L16="Jasper"),'Tube Cutting'!J16,"")</f>
        <v/>
      </c>
      <c r="V10" t="str">
        <f>IF(AND('Job Sheet'!K16="Colourbond Under-Roll Hooding",'Job Sheet'!L16="Merino (Paperbark)"),'Tube Cutting'!J16,"")</f>
        <v/>
      </c>
      <c r="W10" t="str">
        <f>IF(AND('Job Sheet'!K16="Colourbond Under-Roll Hooding",'Job Sheet'!L16="Mist Green"),'Tube Cutting'!J16,"")</f>
        <v/>
      </c>
      <c r="X10" t="str">
        <f>IF(AND('Job Sheet'!K16="Colourbond Under-Roll Hooding",'Job Sheet'!L16="Mountain Blue"),'Tube Cutting'!J16,"")</f>
        <v/>
      </c>
      <c r="Y10" t="str">
        <f>IF(AND('Job Sheet'!K16="Colourbond Under-Roll Hooding",'Job Sheet'!L16="Smooth Cream (Classic Cream)"),'Tube Cutting'!J16,"")</f>
        <v/>
      </c>
      <c r="Z10" t="str">
        <f>IF(AND('Job Sheet'!K16="Colourbond Under-Roll Hooding",'Job Sheet'!L16="Shale Grey"),'Tube Cutting'!J16,"")</f>
        <v/>
      </c>
      <c r="AA10" t="str">
        <f>IF(AND('Job Sheet'!K16="Colourbond Under-Roll Hooding",'Job Sheet'!L16="Slate Grey (Woodland Grey)"),'Tube Cutting'!J16,"")</f>
        <v/>
      </c>
      <c r="AB10" t="str">
        <f>IF(AND('Job Sheet'!K16="Colourbond Under-Roll Hooding",'Job Sheet'!L16="Surfmist"),'Tube Cutting'!J16,"")</f>
        <v/>
      </c>
      <c r="AC10" t="str">
        <f>IF(AND('Job Sheet'!K16="Colourbond Under-Roll Hooding",'Job Sheet'!L16="White"),'Tube Cutting'!J16,"")</f>
        <v/>
      </c>
      <c r="AD10" t="str">
        <f>IF(AND('Job Sheet'!P16="Spring",'Job Sheet'!K16="Colourbond Under-Roll Hooding",'Job Sheet'!L16="Custom Powdercoat"),1,"")</f>
        <v/>
      </c>
      <c r="AE10" t="str">
        <f>IF(AND('Job Sheet'!P16="Spring",'Job Sheet'!K16="Colourbond Under-Roll Hooding",'Job Sheet'!L16="Ebony (Black)"),1,"")</f>
        <v/>
      </c>
      <c r="AF10" t="str">
        <f>IF(AND('Job Sheet'!P16="Spring",'Job Sheet'!K16="Colourbond Under-Roll Hooding",'Job Sheet'!L16="Caulfield Green"),1,"")</f>
        <v/>
      </c>
      <c r="AG10" t="str">
        <f>IF(AND('Job Sheet'!P16="Spring",'Job Sheet'!K16="Colourbond Under-Roll Hooding",'Job Sheet'!L16="Charcoal (Monument)"),1,"")</f>
        <v/>
      </c>
      <c r="AH10" t="str">
        <f>IF(AND('Job Sheet'!P16="Spring",'Job Sheet'!K16="Colourbond Under-Roll Hooding",'Job Sheet'!L16="Dune"),1,"")</f>
        <v/>
      </c>
      <c r="AI10" t="str">
        <f>IF(AND('Job Sheet'!P16="Spring",'Job Sheet'!K16="Colourbond Under-Roll Hooding",'Job Sheet'!L16="Heritage Red (Manor Red)"),1,"")</f>
        <v/>
      </c>
      <c r="AJ10" t="str">
        <f>IF(AND('Job Sheet'!P16="Spring",'Job Sheet'!K16="Colourbond Under-Roll Hooding",'Job Sheet'!L16="Ironstone"),1,"")</f>
        <v/>
      </c>
      <c r="AK10" t="str">
        <f>IF(AND('Job Sheet'!P16="Spring",'Job Sheet'!K16="Colourbond Under-Roll Hooding",'Job Sheet'!L16="Jasper"),1,"")</f>
        <v/>
      </c>
      <c r="AL10" t="str">
        <f>IF(AND('Job Sheet'!P16="Spring",'Job Sheet'!K16="Colourbond Under-Roll Hooding",'Job Sheet'!L16="Merino (Paperbark)"),1,"")</f>
        <v/>
      </c>
      <c r="AM10" t="str">
        <f>IF(AND('Job Sheet'!P16="Spring",'Job Sheet'!K16="Colourbond Under-Roll Hooding",'Job Sheet'!L16="Mist Green"),1,"")</f>
        <v/>
      </c>
      <c r="AN10" t="str">
        <f>IF(AND('Job Sheet'!P16="Spring",'Job Sheet'!K16="Colourbond Under-Roll Hooding",'Job Sheet'!L16="Mountain Blue"),1,"")</f>
        <v/>
      </c>
      <c r="AO10" t="str">
        <f>IF(AND('Job Sheet'!P16="Spring",'Job Sheet'!K16="Colourbond Under-Roll Hooding",'Job Sheet'!L16="Smooth Cream (Classic Cream)"),1,"")</f>
        <v/>
      </c>
      <c r="AP10" t="str">
        <f>IF(AND('Job Sheet'!P16="Spring",'Job Sheet'!K16="Colourbond Under-Roll Hooding",'Job Sheet'!L16="Shale Grey"),1,"")</f>
        <v/>
      </c>
      <c r="AQ10" t="str">
        <f>IF(AND('Job Sheet'!P16="Spring",'Job Sheet'!K16="Colourbond Under-Roll Hooding",'Job Sheet'!L16="Slate Grey (Woodland Grey)"),1,"")</f>
        <v/>
      </c>
      <c r="AR10" t="str">
        <f>IF(AND('Job Sheet'!P16="Spring",'Job Sheet'!K16="Colourbond Under-Roll Hooding",'Job Sheet'!L16="Surfmist"),1,"")</f>
        <v/>
      </c>
      <c r="AS10" t="str">
        <f>IF(AND('Job Sheet'!P16="Spring",'Job Sheet'!K16="Colourbond Under-Roll Hooding",'Job Sheet'!L16="White"),1,"")</f>
        <v/>
      </c>
      <c r="AT10" t="str">
        <f>IF(AND('Job Sheet'!P16&lt;&gt;"Spring",'Job Sheet'!K16="Colourbond Under-Roll Hooding",'Job Sheet'!L16="Custom Powdercoat"),1,"")</f>
        <v/>
      </c>
      <c r="AU10" t="str">
        <f>IF(AND('Job Sheet'!P16&lt;&gt;"Spring",'Job Sheet'!K16="Colourbond Under-Roll Hooding",'Job Sheet'!L16="Ebony (Black)"),1,"")</f>
        <v/>
      </c>
      <c r="AV10" t="str">
        <f>IF(AND('Job Sheet'!P16&lt;&gt;"Spring",'Job Sheet'!K16="Colourbond Under-Roll Hooding",'Job Sheet'!L16="Caulfield Green"),1,"")</f>
        <v/>
      </c>
      <c r="AW10" t="str">
        <f>IF(AND('Job Sheet'!P16&lt;&gt;"Spring",'Job Sheet'!K16="Colourbond Under-Roll Hooding",'Job Sheet'!L16="Charcoal (Monument)"),1,"")</f>
        <v/>
      </c>
      <c r="AX10" t="str">
        <f>IF(AND('Job Sheet'!P16&lt;&gt;"Spring",'Job Sheet'!K16="Colourbond Under-Roll Hooding",'Job Sheet'!L16="Dune"),1,"")</f>
        <v/>
      </c>
      <c r="AY10" t="str">
        <f>IF(AND('Job Sheet'!P16&lt;&gt;"Spring",'Job Sheet'!K16="Colourbond Under-Roll Hooding",'Job Sheet'!L16="Heritage Red (Manor Red)"),1,"")</f>
        <v/>
      </c>
      <c r="AZ10" t="str">
        <f>IF(AND('Job Sheet'!P16&lt;&gt;"Spring",'Job Sheet'!K16="Colourbond Under-Roll Hooding",'Job Sheet'!L16="Ironstone"),1,"")</f>
        <v/>
      </c>
      <c r="BA10" t="str">
        <f>IF(AND('Job Sheet'!P16&lt;&gt;"Spring",'Job Sheet'!K16="Colourbond Under-Roll Hooding",'Job Sheet'!L16="Jasper"),1,"")</f>
        <v/>
      </c>
      <c r="BB10" t="str">
        <f>IF(AND('Job Sheet'!P16&lt;&gt;"Spring",'Job Sheet'!K16="Colourbond Under-Roll Hooding",'Job Sheet'!L16="Merino (Paperbark)"),1,"")</f>
        <v/>
      </c>
      <c r="BC10" t="str">
        <f>IF(AND('Job Sheet'!P16&lt;&gt;"Spring",'Job Sheet'!K16="Colourbond Under-Roll Hooding",'Job Sheet'!L16="Mist Green"),1,"")</f>
        <v/>
      </c>
      <c r="BD10" t="str">
        <f>IF(AND('Job Sheet'!P16&lt;&gt;"Spring",'Job Sheet'!K16="Colourbond Under-Roll Hooding",'Job Sheet'!L16="Mountain Blue"),1,"")</f>
        <v/>
      </c>
      <c r="BE10" t="str">
        <f>IF(AND('Job Sheet'!P16&lt;&gt;"Spring",'Job Sheet'!K16="Colourbond Under-Roll Hooding",'Job Sheet'!L16="Smooth Cream (Classic Cream)"),1,"")</f>
        <v/>
      </c>
      <c r="BF10" t="str">
        <f>IF(AND('Job Sheet'!P16&lt;&gt;"Spring",'Job Sheet'!K16="Colourbond Under-Roll Hooding",'Job Sheet'!L16="Shale Grey"),1,"")</f>
        <v/>
      </c>
      <c r="BG10" t="str">
        <f>IF(AND('Job Sheet'!P16&lt;&gt;"Spring",'Job Sheet'!K16="Colourbond Under-Roll Hooding",'Job Sheet'!L16="Slate Grey (Woodland Grey)"),1,"")</f>
        <v/>
      </c>
      <c r="BH10" t="str">
        <f>IF(AND('Job Sheet'!P16&lt;&gt;"Spring",'Job Sheet'!K16="Colourbond Under-Roll Hooding",'Job Sheet'!L16="Surfmist"),1,"")</f>
        <v/>
      </c>
      <c r="BI10" t="str">
        <f>IF(AND('Job Sheet'!P16&lt;&gt;"Spring",'Job Sheet'!K16="Colourbond Under-Roll Hooding",'Job Sheet'!L16="White"),1,"")</f>
        <v/>
      </c>
      <c r="BJ10" t="str">
        <f>IF(AND('Job Sheet'!K16="Colourbond Over-Roll Hooding",'Job Sheet'!L16="Custom Powdercoat"),'Tube Cutting'!J16,"")</f>
        <v/>
      </c>
      <c r="BK10" t="str">
        <f>IF(AND('Job Sheet'!K16="Colourbond Over-Roll Hooding",'Job Sheet'!L16="Ebony (Black)"),'Tube Cutting'!J16,"")</f>
        <v/>
      </c>
      <c r="BL10" t="str">
        <f>IF(AND('Job Sheet'!K16="Colourbond Over-Roll Hooding",'Job Sheet'!L16="Caulfield Green"),'Tube Cutting'!J16,"")</f>
        <v/>
      </c>
      <c r="BM10" t="str">
        <f>IF(AND('Job Sheet'!K16="Colourbond Over-Roll Hooding",'Job Sheet'!L16="Charcoal (Monument)"),'Tube Cutting'!J16,"")</f>
        <v/>
      </c>
      <c r="BN10" t="str">
        <f>IF(AND('Job Sheet'!K16="Colourbond Over-Roll Hooding",'Job Sheet'!L16="Dune"),'Tube Cutting'!J16,"")</f>
        <v/>
      </c>
      <c r="BO10" t="str">
        <f>IF(AND('Job Sheet'!K16="Colourbond Over-Roll Hooding",'Job Sheet'!L16="Heritage Red (Manor Red)"),'Tube Cutting'!J16,"")</f>
        <v/>
      </c>
      <c r="BP10" t="str">
        <f>IF(AND('Job Sheet'!K16="Colourbond Over-Roll Hooding",'Job Sheet'!L16="Ironstone"),'Tube Cutting'!J16,"")</f>
        <v/>
      </c>
      <c r="BQ10" t="str">
        <f>IF(AND('Job Sheet'!K16="Colourbond Over-Roll Hooding",'Job Sheet'!L16="Jasper"),'Tube Cutting'!J16,"")</f>
        <v/>
      </c>
      <c r="BR10" t="str">
        <f>IF(AND('Job Sheet'!K16="Colourbond Over-Roll Hooding",'Job Sheet'!L16="Merino (Paperbark)"),'Tube Cutting'!J16,"")</f>
        <v/>
      </c>
      <c r="BS10" t="str">
        <f>IF(AND('Job Sheet'!K16="Colourbond Over-Roll Hooding",'Job Sheet'!L16="Mist Green"),'Tube Cutting'!J16,"")</f>
        <v/>
      </c>
      <c r="BT10" t="str">
        <f>IF(AND('Job Sheet'!K16="Colourbond Over-Roll Hooding",'Job Sheet'!L16="Mountain Blue"),'Tube Cutting'!J16,"")</f>
        <v/>
      </c>
      <c r="BU10" t="str">
        <f>IF(AND('Job Sheet'!K16="Colourbond Over-Roll Hooding",'Job Sheet'!L16="Smooth Cream (Classic Cream)"),'Tube Cutting'!J16,"")</f>
        <v/>
      </c>
      <c r="BV10" t="str">
        <f>IF(AND('Job Sheet'!K16="Colourbond Over-Roll Hooding",'Job Sheet'!L16="Shale Grey"),'Tube Cutting'!J16,"")</f>
        <v/>
      </c>
      <c r="BW10" t="str">
        <f>IF(AND('Job Sheet'!K16="Colourbond Over-Roll Hooding",'Job Sheet'!L16="Slate Grey (Woodland Grey)"),'Tube Cutting'!J16,"")</f>
        <v/>
      </c>
      <c r="BX10" t="str">
        <f>IF(AND('Job Sheet'!K16="Colourbond Over-Roll Hooding",'Job Sheet'!L16="Surfmist"),'Tube Cutting'!J16,"")</f>
        <v/>
      </c>
      <c r="BY10" t="str">
        <f>IF(AND('Job Sheet'!J16="Colourbond Over-Roll Hooding",'Job Sheet'!K16="White"),'Tube Cutting'!J16,"")</f>
        <v/>
      </c>
      <c r="BZ10" t="str">
        <f>IF(AND('Job Sheet'!P16="Spring",'Job Sheet'!K16="Colourbond Over-Roll Hooding",'Job Sheet'!L16="Custom Powdercoat"),1,"")</f>
        <v/>
      </c>
      <c r="CA10" t="str">
        <f>IF(AND('Job Sheet'!P16="Spring",'Job Sheet'!K16="Colourbond Over-Roll Hooding",'Job Sheet'!L16="Ebony (Black)"),1,"")</f>
        <v/>
      </c>
      <c r="CB10" t="str">
        <f>IF(AND('Job Sheet'!P16="Spring",'Job Sheet'!K16="Colourbond Over-Roll Hooding",'Job Sheet'!L16="Caulfield Green"),1,"")</f>
        <v/>
      </c>
      <c r="CC10" t="str">
        <f>IF(AND('Job Sheet'!P16="Spring",'Job Sheet'!K16="Colourbond Over-Roll Hooding",'Job Sheet'!L16="Charcoal (Monument)"),1,"")</f>
        <v/>
      </c>
      <c r="CD10" t="str">
        <f>IF(AND('Job Sheet'!P16="Spring",'Job Sheet'!K16="Colourbond Over-Roll Hooding",'Job Sheet'!L16="Dune"),1,"")</f>
        <v/>
      </c>
      <c r="CE10" t="str">
        <f>IF(AND('Job Sheet'!P16="Spring",'Job Sheet'!K16="Colourbond Over-Roll Hooding",'Job Sheet'!L16="Heritage Red (Manor Red)"),1,"")</f>
        <v/>
      </c>
      <c r="CF10" t="str">
        <f>IF(AND('Job Sheet'!P16="Spring",'Job Sheet'!K16="Colourbond Over-Roll Hooding",'Job Sheet'!L16="Ironstone"),1,"")</f>
        <v/>
      </c>
      <c r="CG10" t="str">
        <f>IF(AND('Job Sheet'!P16="Spring",'Job Sheet'!K16="Colourbond Over-Roll Hooding",'Job Sheet'!L16="Jasper"),1,"")</f>
        <v/>
      </c>
      <c r="CH10" t="str">
        <f>IF(AND('Job Sheet'!P16="Spring",'Job Sheet'!K16="Colourbond Over-Roll Hooding",'Job Sheet'!L16="Merino (Paperbark)"),1,"")</f>
        <v/>
      </c>
      <c r="CI10" t="str">
        <f>IF(AND('Job Sheet'!P16="Spring",'Job Sheet'!K16="Colourbond Over-Roll Hooding",'Job Sheet'!L16="Mist Green"),1,"")</f>
        <v/>
      </c>
      <c r="CJ10" t="str">
        <f>IF(AND('Job Sheet'!P16="Spring",'Job Sheet'!K16="Colourbond Over-Roll Hooding",'Job Sheet'!L16="Mountain Blue"),1,"")</f>
        <v/>
      </c>
      <c r="CK10" t="str">
        <f>IF(AND('Job Sheet'!P16="Spring",'Job Sheet'!K16="Colourbond Over-Roll Hooding",'Job Sheet'!L16="Smooth Cream (Classic Cream)"),1,"")</f>
        <v/>
      </c>
      <c r="CL10" t="str">
        <f>IF(AND('Job Sheet'!P16="Spring",'Job Sheet'!K16="Colourbond Over-Roll Hooding",'Job Sheet'!L16="Shale Grey"),1,"")</f>
        <v/>
      </c>
      <c r="CM10" t="str">
        <f>IF(AND('Job Sheet'!P16="Spring",'Job Sheet'!K16="Colourbond Over-Roll Hooding",'Job Sheet'!L16="Slate Grey (Woodland Grey)"),1,"")</f>
        <v/>
      </c>
      <c r="CN10" t="str">
        <f>IF(AND('Job Sheet'!P16="Spring",'Job Sheet'!K16="Colourbond Over-Roll Hooding",'Job Sheet'!L16="Surfmist"),1,"")</f>
        <v/>
      </c>
      <c r="CO10" t="str">
        <f>IF(AND('Job Sheet'!P16="Spring",'Job Sheet'!K16="Colourbond Over-Roll Hooding",'Job Sheet'!L16="White"),1,"")</f>
        <v/>
      </c>
      <c r="CP10" t="str">
        <f>IF(AND('Job Sheet'!P16&lt;&gt;"Spring",'Job Sheet'!K16="Colourbond Over-Roll Hooding",'Job Sheet'!L16="Custom Powdercoat"),1,"")</f>
        <v/>
      </c>
      <c r="CQ10" t="str">
        <f>IF(AND('Job Sheet'!P16&lt;&gt;"Spring",'Job Sheet'!K16="Colourbond Over-Roll Hooding",'Job Sheet'!L16="Ebony (Black)"),1,"")</f>
        <v/>
      </c>
      <c r="CR10" t="str">
        <f>IF(AND('Job Sheet'!P16&lt;&gt;"Spring",'Job Sheet'!K16="Colourbond Over-Roll Hooding",'Job Sheet'!L16="Caulfield Green"),1,"")</f>
        <v/>
      </c>
      <c r="CS10" t="str">
        <f>IF(AND('Job Sheet'!P16&lt;&gt;"Spring",'Job Sheet'!K16="Colourbond Over-Roll Hooding",'Job Sheet'!L16="Charcoal (Monument)"),1,"")</f>
        <v/>
      </c>
      <c r="CT10" t="str">
        <f>IF(AND('Job Sheet'!P16&lt;&gt;"Spring",'Job Sheet'!K16="Colourbond Over-Roll Hooding",'Job Sheet'!L16="Dune"),1,"")</f>
        <v/>
      </c>
      <c r="CU10" t="str">
        <f>IF(AND('Job Sheet'!P16&lt;&gt;"Spring",'Job Sheet'!K16="Colourbond Over-Roll Hooding",'Job Sheet'!L16="Heritage Red (Manor Red)"),1,"")</f>
        <v/>
      </c>
      <c r="CV10" t="str">
        <f>IF(AND('Job Sheet'!P16&lt;&gt;"Spring",'Job Sheet'!K16="Colourbond Over-Roll Hooding",'Job Sheet'!L16="Ironstone"),1,"")</f>
        <v/>
      </c>
      <c r="CW10" t="str">
        <f>IF(AND('Job Sheet'!P16&lt;&gt;"Spring",'Job Sheet'!K16="Colourbond Over-Roll Hooding",'Job Sheet'!L16="Jasper"),1,"")</f>
        <v/>
      </c>
      <c r="CX10" t="str">
        <f>IF(AND('Job Sheet'!P16&lt;&gt;"Spring",'Job Sheet'!K16="Colourbond Over-Roll Hooding",'Job Sheet'!L16="Merino (Paperbark)"),1,"")</f>
        <v/>
      </c>
      <c r="CY10" t="str">
        <f>IF(AND('Job Sheet'!P16&lt;&gt;"Spring",'Job Sheet'!K16="Colourbond Over-Roll Hooding",'Job Sheet'!L16="Mist Green"),1,"")</f>
        <v/>
      </c>
      <c r="CZ10" t="str">
        <f>IF(AND('Job Sheet'!P16&lt;&gt;"Spring",'Job Sheet'!K16="Colourbond Over-Roll Hooding",'Job Sheet'!L16="Mountain Blue"),1,"")</f>
        <v/>
      </c>
      <c r="DA10" t="str">
        <f>IF(AND('Job Sheet'!P16&lt;&gt;"Spring",'Job Sheet'!K16="Colourbond Over-Roll Hooding",'Job Sheet'!L16="Smooth Cream (Classic Cream)"),1,"")</f>
        <v/>
      </c>
      <c r="DB10" t="str">
        <f>IF(AND('Job Sheet'!P16&lt;&gt;"Spring",'Job Sheet'!K16="Colourbond Over-Roll Hooding",'Job Sheet'!L16="Shale Grey"),1,"")</f>
        <v/>
      </c>
      <c r="DC10" t="str">
        <f>IF(AND('Job Sheet'!P16&lt;&gt;"Spring",'Job Sheet'!K16="Colourbond Over-Roll Hooding",'Job Sheet'!L16="Slate Grey (Woodland Grey)"),1,"")</f>
        <v/>
      </c>
      <c r="DD10" t="str">
        <f>IF(AND('Job Sheet'!P16&lt;&gt;"Spring",'Job Sheet'!K16="Colourbond Over-Roll Hooding",'Job Sheet'!L16="Surfmist"),1,"")</f>
        <v/>
      </c>
      <c r="DE10" t="str">
        <f>IF(AND('Job Sheet'!P16&lt;&gt;"Spring",'Job Sheet'!K16="Colourbond Over-Roll Hooding",'Job Sheet'!L16="White"),1,"")</f>
        <v/>
      </c>
      <c r="DF10" t="str">
        <f>IF('Tube Cutting'!C16="50mm",'Tube Cutting'!D16,"")</f>
        <v/>
      </c>
      <c r="DG10" t="str">
        <f>IF('Tube Cutting'!C16="63mm",'Tube Cutting'!D16,"")</f>
        <v/>
      </c>
      <c r="DH10" t="str">
        <f>IF('Tube Cutting'!C16="70mm",'Tube Cutting'!D16,"")</f>
        <v/>
      </c>
      <c r="DI10" t="str">
        <f>IF('Tube Cutting'!C16="78mm",'Tube Cutting'!D16,"")</f>
        <v/>
      </c>
      <c r="DJ10" t="str">
        <f>IF('Tube Cutting'!C16="85mm",'Tube Cutting'!D16,"")</f>
        <v/>
      </c>
      <c r="DK10" t="str">
        <f>IF(AND('Job Sheet'!P16="Gearbox",'Tube Cutting'!C16="50mm"),1,"")</f>
        <v/>
      </c>
      <c r="DL10" t="str">
        <f>IF(AND('Job Sheet'!P16&lt;&gt;"Spring",'Tube Cutting'!C16="50mm"),1,"")</f>
        <v/>
      </c>
      <c r="DM10" t="str">
        <f>IF(AND('Job Sheet'!P16="Gearbox",'Tube Cutting'!C16="63mm"),1,"")</f>
        <v/>
      </c>
      <c r="DN10" t="str">
        <f>IF(AND('Job Sheet'!P16&lt;&gt;"Spring",'Tube Cutting'!C16="63mm"),1,"")</f>
        <v/>
      </c>
      <c r="DO10" t="str">
        <f>IF(AND('Job Sheet'!P16="Gearbox",'Tube Cutting'!C16="70mm"),1,"")</f>
        <v/>
      </c>
      <c r="DP10" t="str">
        <f>IF(AND('Job Sheet'!P16&lt;&gt;"Spring",'Tube Cutting'!C16="70mm"),1,"")</f>
        <v/>
      </c>
      <c r="DQ10" t="str">
        <f>IF(AND('Job Sheet'!P16="Gearbox",'Tube Cutting'!C16="78mm"),1,"")</f>
        <v/>
      </c>
      <c r="DR10" t="str">
        <f>IF(AND('Job Sheet'!P16&lt;&gt;"Spring",'Tube Cutting'!C16="78mm"),1,"")</f>
        <v/>
      </c>
      <c r="DS10" t="str">
        <f>IF(AND('Job Sheet'!P16="Gearbox",'Tube Cutting'!C16="85mm"),1,"")</f>
        <v/>
      </c>
      <c r="DT10" t="str">
        <f>IF(AND('Job Sheet'!P16&lt;&gt;"Spring",'Tube Cutting'!C16="85mm"),1,"")</f>
        <v/>
      </c>
      <c r="DU10" t="str">
        <f>IF('Tube Cutting'!I16="Custom Powdercoat",'Tube Cutting'!F16,"")</f>
        <v/>
      </c>
      <c r="DV10" t="str">
        <f>IF('Tube Cutting'!I16="Ebony (Black)",'Tube Cutting'!F16,"")</f>
        <v/>
      </c>
      <c r="DW10" t="str">
        <f>IF('Tube Cutting'!I16="Caulfield Green",'Tube Cutting'!F16,"")</f>
        <v/>
      </c>
      <c r="DX10" t="str">
        <f>IF('Tube Cutting'!I16="Charcoal (Monument)",'Tube Cutting'!F16,"")</f>
        <v/>
      </c>
      <c r="DY10" t="str">
        <f>IF('Tube Cutting'!I16="Dune",'Tube Cutting'!F16,"")</f>
        <v/>
      </c>
      <c r="DZ10" t="str">
        <f>IF('Tube Cutting'!I16="Heritage Red (Manor Red)",'Tube Cutting'!F16,"")</f>
        <v/>
      </c>
      <c r="EA10" t="str">
        <f>IF('Tube Cutting'!I16="Ironstone",'Tube Cutting'!F16,"")</f>
        <v/>
      </c>
      <c r="EB10" t="str">
        <f>IF('Tube Cutting'!I16="Jasper",'Tube Cutting'!F16,"")</f>
        <v/>
      </c>
      <c r="EC10" t="str">
        <f>IF('Tube Cutting'!I16="Merino (Paperbark)",'Tube Cutting'!F16,"")</f>
        <v/>
      </c>
      <c r="ED10" t="str">
        <f>IF('Tube Cutting'!I16="Mist Green",'Tube Cutting'!F16,"")</f>
        <v/>
      </c>
      <c r="EE10" t="str">
        <f>IF('Tube Cutting'!I16="Mountain Blue",'Tube Cutting'!F16,"")</f>
        <v/>
      </c>
      <c r="EF10" t="str">
        <f>IF('Tube Cutting'!I16="Smooth Cream (Classic Cream)",'Tube Cutting'!F16,"")</f>
        <v/>
      </c>
      <c r="EG10" t="str">
        <f>IF('Tube Cutting'!I16="Shale Grey",'Tube Cutting'!F16,"")</f>
        <v/>
      </c>
      <c r="EH10" t="str">
        <f>IF('Tube Cutting'!I16="Slate Grey (Woodland Grey)",'Tube Cutting'!F16,"")</f>
        <v/>
      </c>
      <c r="EI10" t="str">
        <f>IF('Tube Cutting'!I16="Surf Mist",'Tube Cutting'!F16,"")</f>
        <v/>
      </c>
      <c r="EJ10" t="str">
        <f>IF('Tube Cutting'!I16="White",'Tube Cutting'!F16,"")</f>
        <v/>
      </c>
      <c r="EK10" t="str">
        <f>IF(AND('Job Sheet'!AD16="Standard Zinc",'Job Sheet'!P16&lt;&gt;"Spring"),1,"")</f>
        <v/>
      </c>
      <c r="EL10" t="str">
        <f>IF(AND('Job Sheet'!AD16="Stainless Steel",'Job Sheet'!P16&lt;&gt;"Spring"),1,"")</f>
        <v/>
      </c>
      <c r="EM10" t="str">
        <f>IF('Job Sheet'!P16="Spring",1,"")</f>
        <v/>
      </c>
      <c r="EN10" t="str">
        <f t="shared" si="2"/>
        <v/>
      </c>
      <c r="EO10" t="str">
        <f>IF('Job Sheet'!AJ16="50mm Small",1,"")</f>
        <v/>
      </c>
      <c r="EP10" t="str">
        <f>IF('Job Sheet'!AJ16="50mm Std",1,"")</f>
        <v/>
      </c>
      <c r="EQ10" t="str">
        <f>IF('Job Sheet'!AJ16="63mm Std",1,"")</f>
        <v/>
      </c>
      <c r="FZ10" t="str">
        <f>IF(AND('Job Sheet'!O16="U Bracket",'Job Sheet'!AD16="Standard Zinc"),2,"")</f>
        <v/>
      </c>
      <c r="GA10" t="str">
        <f>IF(AND('Job Sheet'!O16="U Bracket",'Job Sheet'!AD16="Stainless Steel"),2,"")</f>
        <v/>
      </c>
      <c r="GB10" t="str">
        <f t="shared" si="3"/>
        <v/>
      </c>
      <c r="GG10" t="str">
        <f>IF(AND('Job Sheet'!AD16="Standard Zinc",'Job Sheet'!K16="Spring Brackets"),2,"")</f>
        <v/>
      </c>
      <c r="GH10" t="str">
        <f>IF(AND('Job Sheet'!AD16="Stainless Steel",'Job Sheet'!K16="Spring Brackets"),2,"")</f>
        <v/>
      </c>
      <c r="GJ10" t="str">
        <f>IF('Job Sheet'!AC16="Yes x 1",1,IF('Job Sheet'!AC16="Yes x 2",2,""))</f>
        <v/>
      </c>
      <c r="GL10" t="str">
        <f>IF('Job Sheet'!AB16="Telescopic x 1",1,IF('Job Sheet'!AB16="Telescopic x 2",2,IF('Job Sheet'!AB16="Telescopic x 3",3,+IF('Job Sheet'!AC16="Telescopic x 1",1,IF('Job Sheet'!AC16="Telescopic x 2",2,IF('Job Sheet'!AC16="Telescopic x 3",3,""))))))</f>
        <v/>
      </c>
      <c r="GM10" t="str">
        <f>IF(AND('Job Sheet'!P16="Gearbox",'Job Sheet'!R16="Black"),1,"")</f>
        <v/>
      </c>
      <c r="GN10" t="str">
        <f>IF(AND('Job Sheet'!P16="Gearbox",'Job Sheet'!R16="White"),1,"")</f>
        <v/>
      </c>
      <c r="GO10" t="str">
        <f>IF('Job Sheet'!Y16="Black Crank Handle 1000mm",1,"")</f>
        <v/>
      </c>
      <c r="GP10" t="str">
        <f>IF('Job Sheet'!Y16="Black Crank Handle 1200mm",1,"")</f>
        <v/>
      </c>
      <c r="GQ10" t="str">
        <f>IF('Job Sheet'!Y16="Black Crank Handle 1500mm",1,"")</f>
        <v/>
      </c>
      <c r="GR10" t="str">
        <f>IF('Job Sheet'!Y16="Black Crank Handle 1800mm",1,"")</f>
        <v/>
      </c>
      <c r="GS10" t="str">
        <f>IF('Job Sheet'!Y16="Black Crank Handle 2200mm",1,"")</f>
        <v/>
      </c>
      <c r="GT10" t="str">
        <f>IF('Job Sheet'!Y16="Black Crank Handle 2500mm",1,"")</f>
        <v/>
      </c>
      <c r="GU10" t="str">
        <f>IF('Job Sheet'!Y16="Black Crank Handle 3000mm",1,"")</f>
        <v/>
      </c>
      <c r="GV10" t="str">
        <f>IF('Job Sheet'!Y16="White Crank Handle 1000mm",1,"")</f>
        <v/>
      </c>
      <c r="GW10" t="str">
        <f>IF('Job Sheet'!Y16="White Crank Handle 1200mm",1,"")</f>
        <v/>
      </c>
      <c r="GX10" t="str">
        <f>IF('Job Sheet'!Y16="White Crank Handle 1500mm",1,"")</f>
        <v/>
      </c>
      <c r="GY10" t="str">
        <f>IF('Job Sheet'!Y16="White Crank Handle 1800mm",1,"")</f>
        <v/>
      </c>
      <c r="GZ10" t="str">
        <f>IF('Job Sheet'!Y16="White Crank Handle 2200mm",1,"")</f>
        <v/>
      </c>
      <c r="HA10" t="str">
        <f>IF('Job Sheet'!Y16="White Crank Handle 2500mm",1,"")</f>
        <v/>
      </c>
      <c r="HB10" t="str">
        <f>IF('Job Sheet'!Y16="White Crank Handle 3000mm",1,"")</f>
        <v/>
      </c>
      <c r="HC10" t="str">
        <f>IF(AND('Job Sheet'!AH16="900mm",'Job Sheet'!AD16="Standard Zinc"),2,"")</f>
        <v/>
      </c>
      <c r="HD10" t="str">
        <f>IF(AND('Job Sheet'!AH16="1200mm",'Job Sheet'!AD16="Standard Zinc"),2,"")</f>
        <v/>
      </c>
      <c r="HE10" t="str">
        <f>IF(AND('Job Sheet'!AH16="1500mm",'Job Sheet'!AD16="Standard Zinc"),2,"")</f>
        <v/>
      </c>
      <c r="HF10" t="str">
        <f>IF(AND('Job Sheet'!AH16="1800mm",'Job Sheet'!AD16="Standard Zinc"),2,"")</f>
        <v/>
      </c>
      <c r="HG10" t="str">
        <f>IF(AND('Job Sheet'!AH16="2100mm",'Job Sheet'!AD16="Standard Zinc"),2,"")</f>
        <v/>
      </c>
      <c r="HH10" t="str">
        <f>IF(AND('Job Sheet'!AH16="2400mm",'Job Sheet'!AD16="Standard Zinc"),2,"")</f>
        <v/>
      </c>
      <c r="HI10" t="str">
        <f>IF(AND('Job Sheet'!AH16="2700mm",'Job Sheet'!AD16="Standard Zinc"),2,"")</f>
        <v/>
      </c>
      <c r="HJ10" t="str">
        <f>IF(AND('Job Sheet'!AH16="3000mm",'Job Sheet'!AD16="Standard Zinc"),2,"")</f>
        <v/>
      </c>
      <c r="HK10" t="str">
        <f>IF(AND('Job Sheet'!AH16="3500mm",'Job Sheet'!AD16="Standard Zinc"),2,"")</f>
        <v/>
      </c>
      <c r="HL10" t="str">
        <f>IF(AND('Job Sheet'!AH16="900mm",'Job Sheet'!AD16="Stainless Steel"),2,"")</f>
        <v/>
      </c>
      <c r="HM10" t="str">
        <f>IF(AND('Job Sheet'!AH16="1200mm",'Job Sheet'!AD16="Stainless Steel"),2,"")</f>
        <v/>
      </c>
      <c r="HN10" t="str">
        <f>IF(AND('Job Sheet'!AH16="1500mm",'Job Sheet'!AD16="Stainless Steel"),2,"")</f>
        <v/>
      </c>
      <c r="HO10" t="str">
        <f>IF(AND('Job Sheet'!AH16="1800mm",'Job Sheet'!AD16="Stainless Steel"),2,"")</f>
        <v/>
      </c>
      <c r="HP10" t="str">
        <f>IF(AND('Job Sheet'!AH16="2100mm",'Job Sheet'!AD16="Stainless Steel"),2,"")</f>
        <v/>
      </c>
      <c r="HQ10" t="str">
        <f>IF(AND('Job Sheet'!AH16="2400mm",'Job Sheet'!AD16="Stainless Steel"),2,"")</f>
        <v/>
      </c>
      <c r="HR10" t="str">
        <f>IF(AND('Job Sheet'!AH16="2700mm",'Job Sheet'!AD16="Stainless Steel"),2,"")</f>
        <v/>
      </c>
      <c r="HS10" t="str">
        <f>IF(AND('Job Sheet'!AH16="3000mm",'Job Sheet'!AD16="Stainless Steel"),2,"")</f>
        <v/>
      </c>
      <c r="HT10" t="str">
        <f>IF('Tube Cutting'!G16="","",'Tube Cutting'!F16*2-120)</f>
        <v/>
      </c>
      <c r="HU10" t="str">
        <f>IF(AND('Job Sheet'!O16="150mm L Bracket",'Job Sheet'!AD16="Standard Zinc"),2,"")</f>
        <v/>
      </c>
      <c r="HV10" t="str">
        <f>IF(AND('Job Sheet'!O16="225mm L Bracket",'Job Sheet'!AD16="Standard Zinc"),2,"")</f>
        <v/>
      </c>
      <c r="HW10" t="str">
        <f>IF(AND('Job Sheet'!O16="300mm L Bracket",'Job Sheet'!AD16="Standard Zinc"),2,"")</f>
        <v/>
      </c>
      <c r="HX10" t="str">
        <f>IF(AND('Job Sheet'!O16="450mm L Bracket",'Job Sheet'!AD16="Standard Zinc"),2,"")</f>
        <v/>
      </c>
      <c r="HY10" t="str">
        <f>IF(AND('Job Sheet'!O16="600mm L Bracket",'Job Sheet'!AD16="Standard Zinc"),2,"")</f>
        <v/>
      </c>
      <c r="HZ10" t="str">
        <f>IF(AND('Job Sheet'!O16="150mm L Bracket",'Job Sheet'!AD16="Stainless Steel"),2,"")</f>
        <v/>
      </c>
      <c r="IA10" t="str">
        <f>IF(AND('Job Sheet'!O16="225mm L Bracket",'Job Sheet'!AD16="Stainless Steel"),2,"")</f>
        <v/>
      </c>
      <c r="IB10" t="str">
        <f>IF(AND('Job Sheet'!O16="300mm L Bracket",'Job Sheet'!AD16="Stainless Steel"),2,"")</f>
        <v/>
      </c>
      <c r="IC10" t="str">
        <f t="shared" si="4"/>
        <v/>
      </c>
      <c r="ID10" t="str">
        <f>IF(AND('Job Sheet'!AD16="Standard Zinc",(OR('Job Sheet'!Y16="150mm Stayed Bracket with No Pulleys and Rope Cleat",'Job Sheet'!Y16="150mm Stayed Bracket with 1 Pulley and Rope Cleat",'Job Sheet'!Y16="150mm Stayed Bracket with 2 Pulleys and Rope Cleat"))),1,"")</f>
        <v/>
      </c>
      <c r="IE10" t="str">
        <f>IF(AND('Job Sheet'!AD16="Standard Zinc",(OR('Job Sheet'!Y16="225mm Stayed Bracket with No Pulleys and Rope Cleat",'Job Sheet'!Y16="225mm Stayed Bracket with 1 Pulley and Rope Cleat",'Job Sheet'!Y16="225mm Stayed Bracket with 2 Pulleys and Rope Cleat"))),1,"")</f>
        <v/>
      </c>
      <c r="IF10" t="str">
        <f>IF(AND('Job Sheet'!AD16="Standard Zinc",(OR('Job Sheet'!Y16="300mm Stayed Bracket with No Pulleys and Rope Cleat",'Job Sheet'!Y16="300mm Stayed Bracket with 1 Pulley and Rope Cleat",'Job Sheet'!Y16="300mm Stayed Bracket with 2 Pulleys and Rope Cleat"))),1,"")</f>
        <v/>
      </c>
      <c r="IG10" t="str">
        <f>IF(AND('Job Sheet'!AD16="Stainless Steel",OR('Job Sheet'!Y16="150mm Stayed Bracket with No Pulleys and Rope Cleat",'Job Sheet'!Y16="150mm Stayed Bracket with 1 Pulley and Rope Cleat",'Job Sheet'!Y16="150mm Stayed Bracket with 2 Pulleys and Rope Cleat")),1,"")</f>
        <v/>
      </c>
      <c r="IH10" t="str">
        <f>IF(AND('Job Sheet'!Y16="300mm Stayed Bracket with 1 Pulley and Rope Cleat",'Job Sheet'!AD16="Stainless Steel"),1,"")</f>
        <v/>
      </c>
      <c r="II10" t="str">
        <f>IF(OR('Job Sheet'!Y16="150mm Stayed Bracket with 1 Pulley and Rope Cleat",'Job Sheet'!Y16="225mm Stayed Bracket with 1 Pulley and Rope Cleat",'Job Sheet'!Y16="300mm Stayed Bracket with 1 Pulley and Rope Cleat",'Job Sheet'!Y16="With 1 Pulley and Rope Cleat"),"1",IF(OR('Job Sheet'!Y16="150mm Stayed Bracket with 2 Pulleys and Rope Cleat",'Job Sheet'!Y16="225mm Stayed Bracket with 2 Pulleys and Rope Cleat",'Job Sheet'!Y16="300mm Stayed Bracket with 2 Pulleys and Rope Cleat",'Job Sheet'!Y16="With 2 Pulleys and Rope Cleat"),"2",""))</f>
        <v/>
      </c>
      <c r="IJ10" t="str">
        <f>IF(OR('Job Sheet'!Y16="150mm Stayed Bracket with No Pulleys and Rope Cleat",'Job Sheet'!Y16="150mm Stayed Bracket with 1 Pulley and Rope Cleat",'Job Sheet'!Y16="150mm Stayed Bracket with 2 Pulleys and Rope Cleat",'Job Sheet'!Y16="225mm Stayed Bracket with No Pulleys and Rope Cleat",'Job Sheet'!Y16="225mm Stayed Bracket with 1 Pulley and Rope Cleat",'Job Sheet'!Y16="225mm Stayed Bracket with 2 Pulleys and Rope Cleat",'Job Sheet'!Y16="300mm Stayed Bracket with No Pulleys and Rope Cleat",'Job Sheet'!Y16="300mm Stayed Bracket with 1 Pulley and Rope Cleat",'Job Sheet'!Y16="300mm Stayed Bracket with 2 Pulleys and Rope Cleat",'Job Sheet'!Y16="With No Pulleys and Rope Cleat",'Job Sheet'!Y16="With 1 Pulley and Rope Cleat",'Job Sheet'!Y16="With 2 Pulleys and Rope Cleat",),"1","")</f>
        <v/>
      </c>
      <c r="IK10" t="str">
        <f>IF('Job Sheet'!R16="Black Cord 2m","2",IF('Job Sheet'!R16="Black Cord 3m","3",IF('Job Sheet'!R16="Black Cord 4m","4",IF('Job Sheet'!R16="Black Cord 5m","5",IF('Job Sheet'!R16="Black Cord 6m","6","")))))</f>
        <v/>
      </c>
      <c r="IL10" t="str">
        <f>IF('Job Sheet'!R16="White Cord 2m","2",IF('Job Sheet'!R16="White Cord 3m","3",IF('Job Sheet'!R16="White Cord 4m","4",IF('Job Sheet'!R16="White Cord 5m","5",IF('Job Sheet'!R16="White Cord 6m","6","")))))</f>
        <v/>
      </c>
      <c r="IM10" t="str">
        <f>IF(AND('Job Sheet'!K16="Powder Coated Brackets",'Job Sheet'!L16="Black"),2,"")</f>
        <v/>
      </c>
      <c r="IN10" t="str">
        <f>IF(AND('Job Sheet'!K16="Powder Coated Brackets",'Job Sheet'!L16="White"),2,"")</f>
        <v/>
      </c>
      <c r="IQ10" t="str">
        <f>IF('Job Sheet'!L16="Stainless Steel",2,"")</f>
        <v/>
      </c>
      <c r="JD10" t="str">
        <f>IF('Job Sheet'!AB16="25mm x 1",1,IF('Job Sheet'!AB16="25mm x 2",2,""))</f>
        <v/>
      </c>
      <c r="JE10" t="str">
        <f>IF('Job Sheet'!AB16="50mm x 1",1,IF('Job Sheet'!AB16="50mm x 2",2,""))</f>
        <v/>
      </c>
      <c r="JF10" t="str">
        <f>IF('Job Sheet'!AB16="75mm x 1",1,IF('Job Sheet'!AB16="75mm x 2",2,""))</f>
        <v/>
      </c>
      <c r="JG10" t="str">
        <f>IF('Job Sheet'!AB16="100mm x 1",1,IF('Job Sheet'!AB16="100mm x 2",2,""))</f>
        <v/>
      </c>
      <c r="JH10" t="str">
        <f>IF('Job Sheet'!AB16="125mm x 1",1,IF('Job Sheet'!AB16="125mm x 2",2,""))</f>
        <v/>
      </c>
      <c r="JN10" t="str">
        <f>IF('Job Sheet'!AA16="25mm x 1",1,IF('Job Sheet'!AA16="25mm x 2",2,""))</f>
        <v/>
      </c>
      <c r="JO10" t="str">
        <f>IF('Job Sheet'!AA16="50mm x 1",1,IF('Job Sheet'!AA16="50mm x 2",2,""))</f>
        <v/>
      </c>
      <c r="JP10" t="str">
        <f>IF('Job Sheet'!AA16="75mm x 1",1,IF('Job Sheet'!AA16="75mm x 2",2,""))</f>
        <v/>
      </c>
      <c r="JQ10" t="str">
        <f>IF('Job Sheet'!AA16="100mm x 1",1,IF('Job Sheet'!AA16="100mm x 2",2,""))</f>
        <v/>
      </c>
      <c r="JR10" t="str">
        <f>IF('Job Sheet'!AA16="125mm x 1",1,IF('Job Sheet'!AA16="125mm x 2",2,""))</f>
        <v/>
      </c>
      <c r="JS10" t="str">
        <f>IF('Welding&amp;Sewing'!D16="3.6mm White",'Fabric Cutting'!G16*2,'Fabric Cutting'!G16)</f>
        <v/>
      </c>
      <c r="JT10" t="str">
        <f>IF('Welding&amp;Sewing'!D16="6mm Black",'Fabric Cutting'!G16,"")</f>
        <v/>
      </c>
      <c r="MB10" t="str">
        <f>IF('Job Sheet'!P16="Acmeda Remote Motor",1,"")</f>
        <v/>
      </c>
      <c r="MC10" t="str">
        <f>IF(AND('Tube Cutting'!C16="63mm",'Job Sheet'!P16="Acmeda Remote Motor"),1,"")</f>
        <v/>
      </c>
      <c r="MD10" t="str">
        <f>IF(AND('Tube Cutting'!C16="63mm",'Job Sheet'!P16="Acmeda Remote Motor"),1,"")</f>
        <v/>
      </c>
      <c r="ME10" t="str">
        <f>IF(AND('Tube Cutting'!C16="78mm",'Job Sheet'!P16="Acmeda Remote Motor"),1,"")</f>
        <v/>
      </c>
      <c r="MF10" t="str">
        <f>IF(AND('Tube Cutting'!C16="78mm",'Job Sheet'!P16="Acmeda Remote Motor"),1,"")</f>
        <v/>
      </c>
      <c r="MG10" t="str">
        <f>IF('Job Sheet'!P16="Acmeda 12v Remote Motor",1,"")</f>
        <v/>
      </c>
      <c r="MH10" t="str">
        <f>IF(OR('Job Sheet'!Z16="External Battery",'Job Sheet'!Z16="External Battery and Charging Cable"),1,"")</f>
        <v/>
      </c>
      <c r="MI10" t="str">
        <f>IF('Job Sheet'!Z16="External Battery and Charging Cable",1,"")</f>
        <v/>
      </c>
      <c r="MJ10" t="str">
        <f>IF('Job Sheet'!Z16="Pulse 2.0 Automation Hub",1,"")</f>
        <v/>
      </c>
      <c r="MK10" t="str">
        <f>IF('Job Sheet'!Z16="USB Repeater",1,"")</f>
        <v/>
      </c>
      <c r="ML10" t="str">
        <f>IF('Job Sheet'!Y16="Acmeda 1 Channel White Remote",1,"")</f>
        <v/>
      </c>
      <c r="MM10" t="str">
        <f>IF('Job Sheet'!Y16="Acmeda 1 Channel Black Remote",1,"")</f>
        <v/>
      </c>
      <c r="MN10" t="str">
        <f>IF('Job Sheet'!Y16="Acmeda 5 Channel White Remote",1,"")</f>
        <v/>
      </c>
      <c r="MO10" t="str">
        <f>IF('Job Sheet'!Y16="Acmeda 5 Channel Black Remote",1,"")</f>
        <v/>
      </c>
      <c r="MP10" t="str">
        <f>IF('Job Sheet'!Y16="Acmeda 15 Channel White Remote",1,"")</f>
        <v/>
      </c>
      <c r="MQ10" t="str">
        <f>IF('Job Sheet'!Y16="Acmeda 15 Channel Black Remote",1,"")</f>
        <v/>
      </c>
      <c r="MR10" t="str">
        <f>IF('Job Sheet'!Y16="Acmeda Wall Mounted 5 Channel White Remote",1,"")</f>
        <v/>
      </c>
      <c r="MS10" t="str">
        <f>IF('Job Sheet'!Y16="Acmeda Wall Mounted Single Channel White Remote",1,"")</f>
        <v/>
      </c>
      <c r="MT10" t="str">
        <f>IF('Job Sheet'!Y16="Acmeda Wall Mounted 2 Channel White Remote",1,"")</f>
        <v/>
      </c>
      <c r="MU10" t="str">
        <f>IF('Job Sheet'!Y16="Acmeda Wall Mounted 15 Channel White Remote",1,"")</f>
        <v/>
      </c>
      <c r="MV10" t="str">
        <f>IF('Job Sheet'!Y16="Acmeda Push Pro White Remote with Charger",1,"")</f>
        <v/>
      </c>
      <c r="MW10" t="str">
        <f>IF('Job Sheet'!Y16="Acmeda Push Pro Black Remote with Charger",1,"")</f>
        <v/>
      </c>
      <c r="MX10" t="str">
        <f>IF(OR('Job Sheet'!Y16="Acmeda Push Pro White Remote with Charger",'Job Sheet'!Y16="Acmeda Push Pro Black Remote with Charger"),"1","")</f>
        <v/>
      </c>
      <c r="MY10" t="str">
        <f t="shared" si="5"/>
        <v/>
      </c>
      <c r="NA10" t="str">
        <f>IF('Job Sheet'!Z16="1 Channel Dry Contact Relay Module",1,"")</f>
        <v/>
      </c>
      <c r="ND10" t="str">
        <f>IF('Job Sheet'!P16="Becker Remote Operated",1,"")</f>
        <v/>
      </c>
      <c r="NF10" t="str">
        <f>IF('Job Sheet'!P16="Becker Switch Operated",1,"")</f>
        <v/>
      </c>
      <c r="NG10" t="str">
        <f>IF(AND('Tube Cutting'!C16="63mm",(OR('Job Sheet'!P16="Becker Remote Operated",'Job Sheet'!P16="Becker Switch Operated"))),1,"")</f>
        <v/>
      </c>
      <c r="NH10" t="str">
        <f>IF(AND('Tube Cutting'!C16="63mm",(OR('Job Sheet'!P16="Becker Remote Operated",'Job Sheet'!P16="Becker Switch Operated"))),1,"")</f>
        <v/>
      </c>
      <c r="NI10" t="str">
        <f>IF(OR('Job Sheet'!P16="Becker Remote Operated",'Job Sheet'!P16="Becker Switch Operated"),1,"")</f>
        <v/>
      </c>
      <c r="NK10" t="str">
        <f>IF(AND('Tube Cutting'!C16="78mm",(OR('Job Sheet'!P16="Becker Remote Operated",'Job Sheet'!P16="Becker Switch Operated"))),1,"")</f>
        <v/>
      </c>
      <c r="NL10" t="str">
        <f>IF(AND('Tube Cutting'!C16="78mm",'Job Sheet'!P16="Becker Remote Operated"),1,"")</f>
        <v/>
      </c>
      <c r="NM10" t="str">
        <f>IF('Job Sheet'!Y16="Becker Single Channel White Remote",1,"")</f>
        <v/>
      </c>
      <c r="NN10" t="str">
        <f>IF('Job Sheet'!Y16="Becker Single Channel Black Remote",1,"")</f>
        <v/>
      </c>
      <c r="NO10" t="str">
        <f>IF('Job Sheet'!Y16="Becker 5 Channel White Remote",1,"")</f>
        <v/>
      </c>
      <c r="NP10" t="str">
        <f>IF('Job Sheet'!Y16="Becker 5 Channel Black Remote",1,"")</f>
        <v/>
      </c>
      <c r="NQ10" t="str">
        <f>IF('Job Sheet'!Y16="Becker 10 Channel White Remote",1,"")</f>
        <v/>
      </c>
      <c r="NR10" t="str">
        <f>IF('Job Sheet'!Y16="Becker 10 Channel Black Remote",1,"")</f>
        <v/>
      </c>
      <c r="NS10" t="s">
        <v>617</v>
      </c>
      <c r="NT10" t="str">
        <f>IF('Job Sheet'!P16="Somfy Remote Operated",1,"")</f>
        <v/>
      </c>
      <c r="NV10" t="str">
        <f>IF('Job Sheet'!P16="Somfy Remote Operated",1,"")</f>
        <v/>
      </c>
      <c r="NW10" t="str">
        <f>IF(AND('Tube Cutting'!C16="63mm",'Job Sheet'!P16="Somfy Remote Operated"),1,"")</f>
        <v/>
      </c>
      <c r="NX10" t="str">
        <f>IF(AND('Tube Cutting'!C16="63mm",'Job Sheet'!P16="Somfy Remote Operated"),1,"")</f>
        <v/>
      </c>
      <c r="NY10" t="str">
        <f>IF(AND('Tube Cutting'!C16="78mm",'Job Sheet'!P16="Somfy Remote Operated"),1,"")</f>
        <v/>
      </c>
      <c r="NZ10" t="str">
        <f>IF(AND('Tube Cutting'!C16="78mm",'Job Sheet'!P16="Somfy Remote Operated"),1,"")</f>
        <v/>
      </c>
      <c r="OA10" t="str">
        <f>IF('Job Sheet'!Z16="Connexoon App Connector",1,"")</f>
        <v/>
      </c>
      <c r="OB10" t="str">
        <f>IF('Job Sheet'!Z16="Tahoma Switch",1,"")</f>
        <v/>
      </c>
      <c r="OC10" t="str">
        <f>IF('Job Sheet'!Y16="Somfy 15 Channel Silver Remote",1,"")</f>
        <v/>
      </c>
      <c r="OD10" t="str">
        <f>IF('Job Sheet'!Y16="Somfy 15 Channel White Remote",1,"")</f>
        <v/>
      </c>
      <c r="OE10" t="str">
        <f>IF('Job Sheet'!Y16="Somfy 2 Channel Silver Remote",1,"")</f>
        <v/>
      </c>
      <c r="OF10" t="str">
        <f>IF('Job Sheet'!Y16="Somfy 2 Channel Wall Mounted Smoove Remote White with Black Cover Plate",1,"")</f>
        <v/>
      </c>
      <c r="OG10" t="str">
        <f>IF('Job Sheet'!Y16="Somfy 2 Channel Wall Mounted Smoove Remote White with Silver Cover Plate",1,"")</f>
        <v/>
      </c>
      <c r="OH10" t="str">
        <f>IF('Job Sheet'!Y16="Somfy 2 Channel Wall Mounted Smoove Remote White",1,"")</f>
        <v/>
      </c>
      <c r="OI10" t="str">
        <f>IF('Job Sheet'!Y16="Somfy 2 Channel White Remote",1,"")</f>
        <v/>
      </c>
      <c r="OJ10" t="str">
        <f>IF('Job Sheet'!Y16="Somfy 2 Channel Silver Remote",1,"")</f>
        <v/>
      </c>
      <c r="OK10" t="str">
        <f>IF('Job Sheet'!Y16="Somfy 5 Channel Wall Mounted Smoove Remote White with Black Cover Plate",1,"")</f>
        <v/>
      </c>
      <c r="OL10" t="str">
        <f>IF('Job Sheet'!Y16="Somfy 5 Channel Wall Mounted Smoove Remote White with Silver Cover Plate",1,"")</f>
        <v/>
      </c>
      <c r="OM10" t="str">
        <f>IF('Job Sheet'!Y16="Somfy 5 Channel Wall Mounted Smoove Remote White",1,"")</f>
        <v/>
      </c>
      <c r="ON10" t="str">
        <f>IF('Job Sheet'!Y16="Somfy 5 Channel White Remote",1,"")</f>
        <v/>
      </c>
      <c r="OO10" t="str">
        <f>IF('Job Sheet'!Y16="Somfy Single Channel Silver Remote",1,"")</f>
        <v/>
      </c>
      <c r="OP10" t="str">
        <f>IF('Job Sheet'!Y16="Somfy Single Channel Wall Mounted Smoove Remote White with Black Cover Plate",1,"")</f>
        <v/>
      </c>
      <c r="OQ10" t="str">
        <f>IF('Job Sheet'!Y16="Somfy Single Channel Wall Mounted Smoove Remote White with Silver Cover Plate",1,"")</f>
        <v/>
      </c>
      <c r="OR10" t="str">
        <f>IF('Job Sheet'!Y16="Somfy Single Channel Wall Mounted Smoove Remote White",1,"")</f>
        <v/>
      </c>
      <c r="OS10" t="str">
        <f>IF('Job Sheet'!Y16="Somfy Single Channel White Remote",1,"")</f>
        <v/>
      </c>
    </row>
    <row r="11" spans="4:409" ht="13.15" customHeight="1">
      <c r="D11" t="str">
        <f>IF('Tube Cutting'!D17="","",CONCATENATE(Data!BC$5,".",Data!BD$5))</f>
        <v/>
      </c>
      <c r="E11" t="str">
        <f>IF(D11="","",Data!AW17)</f>
        <v/>
      </c>
      <c r="F11" t="str">
        <f>IF(D11="","",Data!AV17)</f>
        <v/>
      </c>
      <c r="G11" t="str">
        <f t="shared" si="0"/>
        <v/>
      </c>
      <c r="H11" t="str">
        <f>IF(D11="","",Data!BF$5)</f>
        <v/>
      </c>
      <c r="I11" t="str">
        <f>IF(D11="","",Data!AX$5)</f>
        <v/>
      </c>
      <c r="J11" t="str">
        <f>'Job Sheet'!H17</f>
        <v/>
      </c>
      <c r="K11" t="str">
        <f t="shared" si="1"/>
        <v/>
      </c>
      <c r="L11" s="33" t="str">
        <f>'Fabric Cutting'!G17</f>
        <v/>
      </c>
      <c r="M11" s="33" t="str">
        <f>'Fabric Cutting'!H17</f>
        <v/>
      </c>
      <c r="N11" t="str">
        <f>IF(AND('Job Sheet'!K17="Colourbond Under-Roll Hooding",'Job Sheet'!L17="Custom Powdercoat"),'Tube Cutting'!J17,"")</f>
        <v/>
      </c>
      <c r="O11" t="str">
        <f>IF(AND('Job Sheet'!K17="Colourbond Under-Roll Hooding",'Job Sheet'!L17="Ebony (Black)"),'Tube Cutting'!J17,"")</f>
        <v/>
      </c>
      <c r="P11" t="str">
        <f>IF(AND('Job Sheet'!K17="Colourbond Under-Roll Hooding",'Job Sheet'!L17="Caulfield Green"),'Tube Cutting'!J17,"")</f>
        <v/>
      </c>
      <c r="Q11" t="str">
        <f>IF(AND('Job Sheet'!K17="Colourbond Under-Roll Hooding",'Job Sheet'!L17="Charcoal (Monument)"),'Tube Cutting'!J17,"")</f>
        <v/>
      </c>
      <c r="R11" t="str">
        <f>IF(AND('Job Sheet'!K17="Colourbond Under-Roll Hooding",'Job Sheet'!L17="Dune"),'Tube Cutting'!J17,"")</f>
        <v/>
      </c>
      <c r="S11" t="str">
        <f>IF(AND('Job Sheet'!K17="Colourbond Under-Roll Hooding",'Job Sheet'!L17="Heritage Red (Manor Red)"),'Tube Cutting'!J17,"")</f>
        <v/>
      </c>
      <c r="T11" t="str">
        <f>IF(AND('Job Sheet'!K17="Colourbond Under-Roll Hooding",'Job Sheet'!L17="Ironstone"),'Tube Cutting'!J17,"")</f>
        <v/>
      </c>
      <c r="U11" t="str">
        <f>IF(AND('Job Sheet'!K17="Colourbond Under-Roll Hooding",'Job Sheet'!L17="Jasper"),'Tube Cutting'!J17,"")</f>
        <v/>
      </c>
      <c r="V11" t="str">
        <f>IF(AND('Job Sheet'!K17="Colourbond Under-Roll Hooding",'Job Sheet'!L17="Merino (Paperbark)"),'Tube Cutting'!J17,"")</f>
        <v/>
      </c>
      <c r="W11" t="str">
        <f>IF(AND('Job Sheet'!K17="Colourbond Under-Roll Hooding",'Job Sheet'!L17="Mist Green"),'Tube Cutting'!J17,"")</f>
        <v/>
      </c>
      <c r="X11" t="str">
        <f>IF(AND('Job Sheet'!K17="Colourbond Under-Roll Hooding",'Job Sheet'!L17="Mountain Blue"),'Tube Cutting'!J17,"")</f>
        <v/>
      </c>
      <c r="Y11" t="str">
        <f>IF(AND('Job Sheet'!K17="Colourbond Under-Roll Hooding",'Job Sheet'!L17="Smooth Cream (Classic Cream)"),'Tube Cutting'!J17,"")</f>
        <v/>
      </c>
      <c r="Z11" t="str">
        <f>IF(AND('Job Sheet'!K17="Colourbond Under-Roll Hooding",'Job Sheet'!L17="Shale Grey"),'Tube Cutting'!J17,"")</f>
        <v/>
      </c>
      <c r="AA11" t="str">
        <f>IF(AND('Job Sheet'!K17="Colourbond Under-Roll Hooding",'Job Sheet'!L17="Slate Grey (Woodland Grey)"),'Tube Cutting'!J17,"")</f>
        <v/>
      </c>
      <c r="AB11" t="str">
        <f>IF(AND('Job Sheet'!K17="Colourbond Under-Roll Hooding",'Job Sheet'!L17="Surfmist"),'Tube Cutting'!J17,"")</f>
        <v/>
      </c>
      <c r="AC11" t="str">
        <f>IF(AND('Job Sheet'!K17="Colourbond Under-Roll Hooding",'Job Sheet'!L17="White"),'Tube Cutting'!J17,"")</f>
        <v/>
      </c>
      <c r="AD11" t="str">
        <f>IF(AND('Job Sheet'!P17="Spring",'Job Sheet'!K17="Colourbond Under-Roll Hooding",'Job Sheet'!L17="Custom Powdercoat"),1,"")</f>
        <v/>
      </c>
      <c r="AE11" t="str">
        <f>IF(AND('Job Sheet'!P17="Spring",'Job Sheet'!K17="Colourbond Under-Roll Hooding",'Job Sheet'!L17="Ebony (Black)"),1,"")</f>
        <v/>
      </c>
      <c r="AF11" t="str">
        <f>IF(AND('Job Sheet'!P17="Spring",'Job Sheet'!K17="Colourbond Under-Roll Hooding",'Job Sheet'!L17="Caulfield Green"),1,"")</f>
        <v/>
      </c>
      <c r="AG11" t="str">
        <f>IF(AND('Job Sheet'!P17="Spring",'Job Sheet'!K17="Colourbond Under-Roll Hooding",'Job Sheet'!L17="Charcoal (Monument)"),1,"")</f>
        <v/>
      </c>
      <c r="AH11" t="str">
        <f>IF(AND('Job Sheet'!P17="Spring",'Job Sheet'!K17="Colourbond Under-Roll Hooding",'Job Sheet'!L17="Dune"),1,"")</f>
        <v/>
      </c>
      <c r="AI11" t="str">
        <f>IF(AND('Job Sheet'!P17="Spring",'Job Sheet'!K17="Colourbond Under-Roll Hooding",'Job Sheet'!L17="Heritage Red (Manor Red)"),1,"")</f>
        <v/>
      </c>
      <c r="AJ11" t="str">
        <f>IF(AND('Job Sheet'!P17="Spring",'Job Sheet'!K17="Colourbond Under-Roll Hooding",'Job Sheet'!L17="Ironstone"),1,"")</f>
        <v/>
      </c>
      <c r="AK11" t="str">
        <f>IF(AND('Job Sheet'!P17="Spring",'Job Sheet'!K17="Colourbond Under-Roll Hooding",'Job Sheet'!L17="Jasper"),1,"")</f>
        <v/>
      </c>
      <c r="AL11" t="str">
        <f>IF(AND('Job Sheet'!P17="Spring",'Job Sheet'!K17="Colourbond Under-Roll Hooding",'Job Sheet'!L17="Merino (Paperbark)"),1,"")</f>
        <v/>
      </c>
      <c r="AM11" t="str">
        <f>IF(AND('Job Sheet'!P17="Spring",'Job Sheet'!K17="Colourbond Under-Roll Hooding",'Job Sheet'!L17="Mist Green"),1,"")</f>
        <v/>
      </c>
      <c r="AN11" t="str">
        <f>IF(AND('Job Sheet'!P17="Spring",'Job Sheet'!K17="Colourbond Under-Roll Hooding",'Job Sheet'!L17="Mountain Blue"),1,"")</f>
        <v/>
      </c>
      <c r="AO11" t="str">
        <f>IF(AND('Job Sheet'!P17="Spring",'Job Sheet'!K17="Colourbond Under-Roll Hooding",'Job Sheet'!L17="Smooth Cream (Classic Cream)"),1,"")</f>
        <v/>
      </c>
      <c r="AP11" t="str">
        <f>IF(AND('Job Sheet'!P17="Spring",'Job Sheet'!K17="Colourbond Under-Roll Hooding",'Job Sheet'!L17="Shale Grey"),1,"")</f>
        <v/>
      </c>
      <c r="AQ11" t="str">
        <f>IF(AND('Job Sheet'!P17="Spring",'Job Sheet'!K17="Colourbond Under-Roll Hooding",'Job Sheet'!L17="Slate Grey (Woodland Grey)"),1,"")</f>
        <v/>
      </c>
      <c r="AR11" t="str">
        <f>IF(AND('Job Sheet'!P17="Spring",'Job Sheet'!K17="Colourbond Under-Roll Hooding",'Job Sheet'!L17="Surfmist"),1,"")</f>
        <v/>
      </c>
      <c r="AS11" t="str">
        <f>IF(AND('Job Sheet'!P17="Spring",'Job Sheet'!K17="Colourbond Under-Roll Hooding",'Job Sheet'!L17="White"),1,"")</f>
        <v/>
      </c>
      <c r="AT11" t="str">
        <f>IF(AND('Job Sheet'!P17&lt;&gt;"Spring",'Job Sheet'!K17="Colourbond Under-Roll Hooding",'Job Sheet'!L17="Custom Powdercoat"),1,"")</f>
        <v/>
      </c>
      <c r="AU11" t="str">
        <f>IF(AND('Job Sheet'!P17&lt;&gt;"Spring",'Job Sheet'!K17="Colourbond Under-Roll Hooding",'Job Sheet'!L17="Ebony (Black)"),1,"")</f>
        <v/>
      </c>
      <c r="AV11" t="str">
        <f>IF(AND('Job Sheet'!P17&lt;&gt;"Spring",'Job Sheet'!K17="Colourbond Under-Roll Hooding",'Job Sheet'!L17="Caulfield Green"),1,"")</f>
        <v/>
      </c>
      <c r="AW11" t="str">
        <f>IF(AND('Job Sheet'!P17&lt;&gt;"Spring",'Job Sheet'!K17="Colourbond Under-Roll Hooding",'Job Sheet'!L17="Charcoal (Monument)"),1,"")</f>
        <v/>
      </c>
      <c r="AX11" t="str">
        <f>IF(AND('Job Sheet'!P17&lt;&gt;"Spring",'Job Sheet'!K17="Colourbond Under-Roll Hooding",'Job Sheet'!L17="Dune"),1,"")</f>
        <v/>
      </c>
      <c r="AY11" t="str">
        <f>IF(AND('Job Sheet'!P17&lt;&gt;"Spring",'Job Sheet'!K17="Colourbond Under-Roll Hooding",'Job Sheet'!L17="Heritage Red (Manor Red)"),1,"")</f>
        <v/>
      </c>
      <c r="AZ11" t="str">
        <f>IF(AND('Job Sheet'!P17&lt;&gt;"Spring",'Job Sheet'!K17="Colourbond Under-Roll Hooding",'Job Sheet'!L17="Ironstone"),1,"")</f>
        <v/>
      </c>
      <c r="BA11" t="str">
        <f>IF(AND('Job Sheet'!P17&lt;&gt;"Spring",'Job Sheet'!K17="Colourbond Under-Roll Hooding",'Job Sheet'!L17="Jasper"),1,"")</f>
        <v/>
      </c>
      <c r="BB11" t="str">
        <f>IF(AND('Job Sheet'!P17&lt;&gt;"Spring",'Job Sheet'!K17="Colourbond Under-Roll Hooding",'Job Sheet'!L17="Merino (Paperbark)"),1,"")</f>
        <v/>
      </c>
      <c r="BC11" t="str">
        <f>IF(AND('Job Sheet'!P17&lt;&gt;"Spring",'Job Sheet'!K17="Colourbond Under-Roll Hooding",'Job Sheet'!L17="Mist Green"),1,"")</f>
        <v/>
      </c>
      <c r="BD11" t="str">
        <f>IF(AND('Job Sheet'!P17&lt;&gt;"Spring",'Job Sheet'!K17="Colourbond Under-Roll Hooding",'Job Sheet'!L17="Mountain Blue"),1,"")</f>
        <v/>
      </c>
      <c r="BE11" t="str">
        <f>IF(AND('Job Sheet'!P17&lt;&gt;"Spring",'Job Sheet'!K17="Colourbond Under-Roll Hooding",'Job Sheet'!L17="Smooth Cream (Classic Cream)"),1,"")</f>
        <v/>
      </c>
      <c r="BF11" t="str">
        <f>IF(AND('Job Sheet'!P17&lt;&gt;"Spring",'Job Sheet'!K17="Colourbond Under-Roll Hooding",'Job Sheet'!L17="Shale Grey"),1,"")</f>
        <v/>
      </c>
      <c r="BG11" t="str">
        <f>IF(AND('Job Sheet'!P17&lt;&gt;"Spring",'Job Sheet'!K17="Colourbond Under-Roll Hooding",'Job Sheet'!L17="Slate Grey (Woodland Grey)"),1,"")</f>
        <v/>
      </c>
      <c r="BH11" t="str">
        <f>IF(AND('Job Sheet'!P17&lt;&gt;"Spring",'Job Sheet'!K17="Colourbond Under-Roll Hooding",'Job Sheet'!L17="Surfmist"),1,"")</f>
        <v/>
      </c>
      <c r="BI11" t="str">
        <f>IF(AND('Job Sheet'!P17&lt;&gt;"Spring",'Job Sheet'!K17="Colourbond Under-Roll Hooding",'Job Sheet'!L17="White"),1,"")</f>
        <v/>
      </c>
      <c r="BJ11" t="str">
        <f>IF(AND('Job Sheet'!K17="Colourbond Over-Roll Hooding",'Job Sheet'!L17="Custom Powdercoat"),'Tube Cutting'!J17,"")</f>
        <v/>
      </c>
      <c r="BK11" t="str">
        <f>IF(AND('Job Sheet'!K17="Colourbond Over-Roll Hooding",'Job Sheet'!L17="Ebony (Black)"),'Tube Cutting'!J17,"")</f>
        <v/>
      </c>
      <c r="BL11" t="str">
        <f>IF(AND('Job Sheet'!K17="Colourbond Over-Roll Hooding",'Job Sheet'!L17="Caulfield Green"),'Tube Cutting'!J17,"")</f>
        <v/>
      </c>
      <c r="BM11" t="str">
        <f>IF(AND('Job Sheet'!K17="Colourbond Over-Roll Hooding",'Job Sheet'!L17="Charcoal (Monument)"),'Tube Cutting'!J17,"")</f>
        <v/>
      </c>
      <c r="BN11" t="str">
        <f>IF(AND('Job Sheet'!K17="Colourbond Over-Roll Hooding",'Job Sheet'!L17="Dune"),'Tube Cutting'!J17,"")</f>
        <v/>
      </c>
      <c r="BO11" t="str">
        <f>IF(AND('Job Sheet'!K17="Colourbond Over-Roll Hooding",'Job Sheet'!L17="Heritage Red (Manor Red)"),'Tube Cutting'!J17,"")</f>
        <v/>
      </c>
      <c r="BP11" t="str">
        <f>IF(AND('Job Sheet'!K17="Colourbond Over-Roll Hooding",'Job Sheet'!L17="Ironstone"),'Tube Cutting'!J17,"")</f>
        <v/>
      </c>
      <c r="BQ11" t="str">
        <f>IF(AND('Job Sheet'!K17="Colourbond Over-Roll Hooding",'Job Sheet'!L17="Jasper"),'Tube Cutting'!J17,"")</f>
        <v/>
      </c>
      <c r="BR11" t="str">
        <f>IF(AND('Job Sheet'!K17="Colourbond Over-Roll Hooding",'Job Sheet'!L17="Merino (Paperbark)"),'Tube Cutting'!J17,"")</f>
        <v/>
      </c>
      <c r="BS11" t="str">
        <f>IF(AND('Job Sheet'!K17="Colourbond Over-Roll Hooding",'Job Sheet'!L17="Mist Green"),'Tube Cutting'!J17,"")</f>
        <v/>
      </c>
      <c r="BT11" t="str">
        <f>IF(AND('Job Sheet'!K17="Colourbond Over-Roll Hooding",'Job Sheet'!L17="Mountain Blue"),'Tube Cutting'!J17,"")</f>
        <v/>
      </c>
      <c r="BU11" t="str">
        <f>IF(AND('Job Sheet'!K17="Colourbond Over-Roll Hooding",'Job Sheet'!L17="Smooth Cream (Classic Cream)"),'Tube Cutting'!J17,"")</f>
        <v/>
      </c>
      <c r="BV11" t="str">
        <f>IF(AND('Job Sheet'!K17="Colourbond Over-Roll Hooding",'Job Sheet'!L17="Shale Grey"),'Tube Cutting'!J17,"")</f>
        <v/>
      </c>
      <c r="BW11" t="str">
        <f>IF(AND('Job Sheet'!K17="Colourbond Over-Roll Hooding",'Job Sheet'!L17="Slate Grey (Woodland Grey)"),'Tube Cutting'!J17,"")</f>
        <v/>
      </c>
      <c r="BX11" t="str">
        <f>IF(AND('Job Sheet'!K17="Colourbond Over-Roll Hooding",'Job Sheet'!L17="Surfmist"),'Tube Cutting'!J17,"")</f>
        <v/>
      </c>
      <c r="BY11" t="str">
        <f>IF(AND('Job Sheet'!J17="Colourbond Over-Roll Hooding",'Job Sheet'!K17="White"),'Tube Cutting'!J17,"")</f>
        <v/>
      </c>
      <c r="BZ11" t="str">
        <f>IF(AND('Job Sheet'!P17="Spring",'Job Sheet'!K17="Colourbond Over-Roll Hooding",'Job Sheet'!L17="Custom Powdercoat"),1,"")</f>
        <v/>
      </c>
      <c r="CA11" t="str">
        <f>IF(AND('Job Sheet'!P17="Spring",'Job Sheet'!K17="Colourbond Over-Roll Hooding",'Job Sheet'!L17="Ebony (Black)"),1,"")</f>
        <v/>
      </c>
      <c r="CB11" t="str">
        <f>IF(AND('Job Sheet'!P17="Spring",'Job Sheet'!K17="Colourbond Over-Roll Hooding",'Job Sheet'!L17="Caulfield Green"),1,"")</f>
        <v/>
      </c>
      <c r="CC11" t="str">
        <f>IF(AND('Job Sheet'!P17="Spring",'Job Sheet'!K17="Colourbond Over-Roll Hooding",'Job Sheet'!L17="Charcoal (Monument)"),1,"")</f>
        <v/>
      </c>
      <c r="CD11" t="str">
        <f>IF(AND('Job Sheet'!P17="Spring",'Job Sheet'!K17="Colourbond Over-Roll Hooding",'Job Sheet'!L17="Dune"),1,"")</f>
        <v/>
      </c>
      <c r="CE11" t="str">
        <f>IF(AND('Job Sheet'!P17="Spring",'Job Sheet'!K17="Colourbond Over-Roll Hooding",'Job Sheet'!L17="Heritage Red (Manor Red)"),1,"")</f>
        <v/>
      </c>
      <c r="CF11" t="str">
        <f>IF(AND('Job Sheet'!P17="Spring",'Job Sheet'!K17="Colourbond Over-Roll Hooding",'Job Sheet'!L17="Ironstone"),1,"")</f>
        <v/>
      </c>
      <c r="CG11" t="str">
        <f>IF(AND('Job Sheet'!P17="Spring",'Job Sheet'!K17="Colourbond Over-Roll Hooding",'Job Sheet'!L17="Jasper"),1,"")</f>
        <v/>
      </c>
      <c r="CH11" t="str">
        <f>IF(AND('Job Sheet'!P17="Spring",'Job Sheet'!K17="Colourbond Over-Roll Hooding",'Job Sheet'!L17="Merino (Paperbark)"),1,"")</f>
        <v/>
      </c>
      <c r="CI11" t="str">
        <f>IF(AND('Job Sheet'!P17="Spring",'Job Sheet'!K17="Colourbond Over-Roll Hooding",'Job Sheet'!L17="Mist Green"),1,"")</f>
        <v/>
      </c>
      <c r="CJ11" t="str">
        <f>IF(AND('Job Sheet'!P17="Spring",'Job Sheet'!K17="Colourbond Over-Roll Hooding",'Job Sheet'!L17="Mountain Blue"),1,"")</f>
        <v/>
      </c>
      <c r="CK11" t="str">
        <f>IF(AND('Job Sheet'!P17="Spring",'Job Sheet'!K17="Colourbond Over-Roll Hooding",'Job Sheet'!L17="Smooth Cream (Classic Cream)"),1,"")</f>
        <v/>
      </c>
      <c r="CL11" t="str">
        <f>IF(AND('Job Sheet'!P17="Spring",'Job Sheet'!K17="Colourbond Over-Roll Hooding",'Job Sheet'!L17="Shale Grey"),1,"")</f>
        <v/>
      </c>
      <c r="CM11" t="str">
        <f>IF(AND('Job Sheet'!P17="Spring",'Job Sheet'!K17="Colourbond Over-Roll Hooding",'Job Sheet'!L17="Slate Grey (Woodland Grey)"),1,"")</f>
        <v/>
      </c>
      <c r="CN11" t="str">
        <f>IF(AND('Job Sheet'!P17="Spring",'Job Sheet'!K17="Colourbond Over-Roll Hooding",'Job Sheet'!L17="Surfmist"),1,"")</f>
        <v/>
      </c>
      <c r="CO11" t="str">
        <f>IF(AND('Job Sheet'!P17="Spring",'Job Sheet'!K17="Colourbond Over-Roll Hooding",'Job Sheet'!L17="White"),1,"")</f>
        <v/>
      </c>
      <c r="CP11" t="str">
        <f>IF(AND('Job Sheet'!P17&lt;&gt;"Spring",'Job Sheet'!K17="Colourbond Over-Roll Hooding",'Job Sheet'!L17="Custom Powdercoat"),1,"")</f>
        <v/>
      </c>
      <c r="CQ11" t="str">
        <f>IF(AND('Job Sheet'!P17&lt;&gt;"Spring",'Job Sheet'!K17="Colourbond Over-Roll Hooding",'Job Sheet'!L17="Ebony (Black)"),1,"")</f>
        <v/>
      </c>
      <c r="CR11" t="str">
        <f>IF(AND('Job Sheet'!P17&lt;&gt;"Spring",'Job Sheet'!K17="Colourbond Over-Roll Hooding",'Job Sheet'!L17="Caulfield Green"),1,"")</f>
        <v/>
      </c>
      <c r="CS11" t="str">
        <f>IF(AND('Job Sheet'!P17&lt;&gt;"Spring",'Job Sheet'!K17="Colourbond Over-Roll Hooding",'Job Sheet'!L17="Charcoal (Monument)"),1,"")</f>
        <v/>
      </c>
      <c r="CT11" t="str">
        <f>IF(AND('Job Sheet'!P17&lt;&gt;"Spring",'Job Sheet'!K17="Colourbond Over-Roll Hooding",'Job Sheet'!L17="Dune"),1,"")</f>
        <v/>
      </c>
      <c r="CU11" t="str">
        <f>IF(AND('Job Sheet'!P17&lt;&gt;"Spring",'Job Sheet'!K17="Colourbond Over-Roll Hooding",'Job Sheet'!L17="Heritage Red (Manor Red)"),1,"")</f>
        <v/>
      </c>
      <c r="CV11" t="str">
        <f>IF(AND('Job Sheet'!P17&lt;&gt;"Spring",'Job Sheet'!K17="Colourbond Over-Roll Hooding",'Job Sheet'!L17="Ironstone"),1,"")</f>
        <v/>
      </c>
      <c r="CW11" t="str">
        <f>IF(AND('Job Sheet'!P17&lt;&gt;"Spring",'Job Sheet'!K17="Colourbond Over-Roll Hooding",'Job Sheet'!L17="Jasper"),1,"")</f>
        <v/>
      </c>
      <c r="CX11" t="str">
        <f>IF(AND('Job Sheet'!P17&lt;&gt;"Spring",'Job Sheet'!K17="Colourbond Over-Roll Hooding",'Job Sheet'!L17="Merino (Paperbark)"),1,"")</f>
        <v/>
      </c>
      <c r="CY11" t="str">
        <f>IF(AND('Job Sheet'!P17&lt;&gt;"Spring",'Job Sheet'!K17="Colourbond Over-Roll Hooding",'Job Sheet'!L17="Mist Green"),1,"")</f>
        <v/>
      </c>
      <c r="CZ11" t="str">
        <f>IF(AND('Job Sheet'!P17&lt;&gt;"Spring",'Job Sheet'!K17="Colourbond Over-Roll Hooding",'Job Sheet'!L17="Mountain Blue"),1,"")</f>
        <v/>
      </c>
      <c r="DA11" t="str">
        <f>IF(AND('Job Sheet'!P17&lt;&gt;"Spring",'Job Sheet'!K17="Colourbond Over-Roll Hooding",'Job Sheet'!L17="Smooth Cream (Classic Cream)"),1,"")</f>
        <v/>
      </c>
      <c r="DB11" t="str">
        <f>IF(AND('Job Sheet'!P17&lt;&gt;"Spring",'Job Sheet'!K17="Colourbond Over-Roll Hooding",'Job Sheet'!L17="Shale Grey"),1,"")</f>
        <v/>
      </c>
      <c r="DC11" t="str">
        <f>IF(AND('Job Sheet'!P17&lt;&gt;"Spring",'Job Sheet'!K17="Colourbond Over-Roll Hooding",'Job Sheet'!L17="Slate Grey (Woodland Grey)"),1,"")</f>
        <v/>
      </c>
      <c r="DD11" t="str">
        <f>IF(AND('Job Sheet'!P17&lt;&gt;"Spring",'Job Sheet'!K17="Colourbond Over-Roll Hooding",'Job Sheet'!L17="Surfmist"),1,"")</f>
        <v/>
      </c>
      <c r="DE11" t="str">
        <f>IF(AND('Job Sheet'!P17&lt;&gt;"Spring",'Job Sheet'!K17="Colourbond Over-Roll Hooding",'Job Sheet'!L17="White"),1,"")</f>
        <v/>
      </c>
      <c r="DF11" t="str">
        <f>IF('Tube Cutting'!C17="50mm",'Tube Cutting'!D17,"")</f>
        <v/>
      </c>
      <c r="DG11" t="str">
        <f>IF('Tube Cutting'!C17="63mm",'Tube Cutting'!D17,"")</f>
        <v/>
      </c>
      <c r="DH11" t="str">
        <f>IF('Tube Cutting'!C17="70mm",'Tube Cutting'!D17,"")</f>
        <v/>
      </c>
      <c r="DI11" t="str">
        <f>IF('Tube Cutting'!C17="78mm",'Tube Cutting'!D17,"")</f>
        <v/>
      </c>
      <c r="DJ11" t="str">
        <f>IF('Tube Cutting'!C17="85mm",'Tube Cutting'!D17,"")</f>
        <v/>
      </c>
      <c r="DK11" t="str">
        <f>IF(AND('Job Sheet'!P17="Gearbox",'Tube Cutting'!C17="50mm"),1,"")</f>
        <v/>
      </c>
      <c r="DL11" t="str">
        <f>IF(AND('Job Sheet'!P17&lt;&gt;"Spring",'Tube Cutting'!C17="50mm"),1,"")</f>
        <v/>
      </c>
      <c r="DM11" t="str">
        <f>IF(AND('Job Sheet'!P17="Gearbox",'Tube Cutting'!C17="63mm"),1,"")</f>
        <v/>
      </c>
      <c r="DN11" t="str">
        <f>IF(AND('Job Sheet'!P17&lt;&gt;"Spring",'Tube Cutting'!C17="63mm"),1,"")</f>
        <v/>
      </c>
      <c r="DO11" t="str">
        <f>IF(AND('Job Sheet'!P17="Gearbox",'Tube Cutting'!C17="70mm"),1,"")</f>
        <v/>
      </c>
      <c r="DP11" t="str">
        <f>IF(AND('Job Sheet'!P17&lt;&gt;"Spring",'Tube Cutting'!C17="70mm"),1,"")</f>
        <v/>
      </c>
      <c r="DQ11" t="str">
        <f>IF(AND('Job Sheet'!P17="Gearbox",'Tube Cutting'!C17="78mm"),1,"")</f>
        <v/>
      </c>
      <c r="DR11" t="str">
        <f>IF(AND('Job Sheet'!P17&lt;&gt;"Spring",'Tube Cutting'!C17="78mm"),1,"")</f>
        <v/>
      </c>
      <c r="DS11" t="str">
        <f>IF(AND('Job Sheet'!P17="Gearbox",'Tube Cutting'!C17="85mm"),1,"")</f>
        <v/>
      </c>
      <c r="DT11" t="str">
        <f>IF(AND('Job Sheet'!P17&lt;&gt;"Spring",'Tube Cutting'!C17="85mm"),1,"")</f>
        <v/>
      </c>
      <c r="DU11" t="str">
        <f>IF('Tube Cutting'!I17="Custom Powdercoat",'Tube Cutting'!F17,"")</f>
        <v/>
      </c>
      <c r="DV11" t="str">
        <f>IF('Tube Cutting'!I17="Ebony (Black)",'Tube Cutting'!F17,"")</f>
        <v/>
      </c>
      <c r="DW11" t="str">
        <f>IF('Tube Cutting'!I17="Caulfield Green",'Tube Cutting'!F17,"")</f>
        <v/>
      </c>
      <c r="DX11" t="str">
        <f>IF('Tube Cutting'!I17="Charcoal (Monument)",'Tube Cutting'!F17,"")</f>
        <v/>
      </c>
      <c r="DY11" t="str">
        <f>IF('Tube Cutting'!I17="Dune",'Tube Cutting'!F17,"")</f>
        <v/>
      </c>
      <c r="DZ11" t="str">
        <f>IF('Tube Cutting'!I17="Heritage Red (Manor Red)",'Tube Cutting'!F17,"")</f>
        <v/>
      </c>
      <c r="EA11" t="str">
        <f>IF('Tube Cutting'!I17="Ironstone",'Tube Cutting'!F17,"")</f>
        <v/>
      </c>
      <c r="EB11" t="str">
        <f>IF('Tube Cutting'!I17="Jasper",'Tube Cutting'!F17,"")</f>
        <v/>
      </c>
      <c r="EC11" t="str">
        <f>IF('Tube Cutting'!I17="Merino (Paperbark)",'Tube Cutting'!F17,"")</f>
        <v/>
      </c>
      <c r="ED11" t="str">
        <f>IF('Tube Cutting'!I17="Mist Green",'Tube Cutting'!F17,"")</f>
        <v/>
      </c>
      <c r="EE11" t="str">
        <f>IF('Tube Cutting'!I17="Mountain Blue",'Tube Cutting'!F17,"")</f>
        <v/>
      </c>
      <c r="EF11" t="str">
        <f>IF('Tube Cutting'!I17="Smooth Cream (Classic Cream)",'Tube Cutting'!F17,"")</f>
        <v/>
      </c>
      <c r="EG11" t="str">
        <f>IF('Tube Cutting'!I17="Shale Grey",'Tube Cutting'!F17,"")</f>
        <v/>
      </c>
      <c r="EH11" t="str">
        <f>IF('Tube Cutting'!I17="Slate Grey (Woodland Grey)",'Tube Cutting'!F17,"")</f>
        <v/>
      </c>
      <c r="EI11" t="str">
        <f>IF('Tube Cutting'!I17="Surf Mist",'Tube Cutting'!F17,"")</f>
        <v/>
      </c>
      <c r="EJ11" t="str">
        <f>IF('Tube Cutting'!I17="White",'Tube Cutting'!F17,"")</f>
        <v/>
      </c>
      <c r="EK11" t="str">
        <f>IF(AND('Job Sheet'!AD17="Standard Zinc",'Job Sheet'!P17&lt;&gt;"Spring"),1,"")</f>
        <v/>
      </c>
      <c r="EL11" t="str">
        <f>IF(AND('Job Sheet'!AD17="Stainless Steel",'Job Sheet'!P17&lt;&gt;"Spring"),1,"")</f>
        <v/>
      </c>
      <c r="EM11" t="str">
        <f>IF('Job Sheet'!P17="Spring",1,"")</f>
        <v/>
      </c>
      <c r="EN11" t="str">
        <f t="shared" si="2"/>
        <v/>
      </c>
      <c r="EO11" t="str">
        <f>IF('Job Sheet'!AJ17="50mm Small",1,"")</f>
        <v/>
      </c>
      <c r="EP11" t="str">
        <f>IF('Job Sheet'!AJ17="50mm Std",1,"")</f>
        <v/>
      </c>
      <c r="EQ11" t="str">
        <f>IF('Job Sheet'!AJ17="63mm Std",1,"")</f>
        <v/>
      </c>
      <c r="FZ11" t="str">
        <f>IF(AND('Job Sheet'!O17="U Bracket",'Job Sheet'!AD17="Standard Zinc"),2,"")</f>
        <v/>
      </c>
      <c r="GA11" t="str">
        <f>IF(AND('Job Sheet'!O17="U Bracket",'Job Sheet'!AD17="Stainless Steel"),2,"")</f>
        <v/>
      </c>
      <c r="GB11" t="str">
        <f t="shared" si="3"/>
        <v/>
      </c>
      <c r="GG11" t="str">
        <f>IF(AND('Job Sheet'!AD17="Standard Zinc",'Job Sheet'!K17="Spring Brackets"),2,"")</f>
        <v/>
      </c>
      <c r="GH11" t="str">
        <f>IF(AND('Job Sheet'!AD17="Stainless Steel",'Job Sheet'!K17="Spring Brackets"),2,"")</f>
        <v/>
      </c>
      <c r="GJ11" t="str">
        <f>IF('Job Sheet'!AC17="Yes x 1",1,IF('Job Sheet'!AC17="Yes x 2",2,""))</f>
        <v/>
      </c>
      <c r="GL11" t="str">
        <f>IF('Job Sheet'!AB17="Telescopic x 1",1,IF('Job Sheet'!AB17="Telescopic x 2",2,IF('Job Sheet'!AB17="Telescopic x 3",3,+IF('Job Sheet'!AC17="Telescopic x 1",1,IF('Job Sheet'!AC17="Telescopic x 2",2,IF('Job Sheet'!AC17="Telescopic x 3",3,""))))))</f>
        <v/>
      </c>
      <c r="GM11" t="str">
        <f>IF(AND('Job Sheet'!P17="Gearbox",'Job Sheet'!R17="Black"),1,"")</f>
        <v/>
      </c>
      <c r="GN11" t="str">
        <f>IF(AND('Job Sheet'!P17="Gearbox",'Job Sheet'!R17="White"),1,"")</f>
        <v/>
      </c>
      <c r="GO11" t="str">
        <f>IF('Job Sheet'!Y17="Black Crank Handle 1000mm",1,"")</f>
        <v/>
      </c>
      <c r="GP11" t="str">
        <f>IF('Job Sheet'!Y17="Black Crank Handle 1200mm",1,"")</f>
        <v/>
      </c>
      <c r="GQ11" t="str">
        <f>IF('Job Sheet'!Y17="Black Crank Handle 1500mm",1,"")</f>
        <v/>
      </c>
      <c r="GR11" t="str">
        <f>IF('Job Sheet'!Y17="Black Crank Handle 1800mm",1,"")</f>
        <v/>
      </c>
      <c r="GS11" t="str">
        <f>IF('Job Sheet'!Y17="Black Crank Handle 2200mm",1,"")</f>
        <v/>
      </c>
      <c r="GT11" t="str">
        <f>IF('Job Sheet'!Y17="Black Crank Handle 2500mm",1,"")</f>
        <v/>
      </c>
      <c r="GU11" t="str">
        <f>IF('Job Sheet'!Y17="Black Crank Handle 3000mm",1,"")</f>
        <v/>
      </c>
      <c r="GV11" t="str">
        <f>IF('Job Sheet'!Y17="White Crank Handle 1000mm",1,"")</f>
        <v/>
      </c>
      <c r="GW11" t="str">
        <f>IF('Job Sheet'!Y17="White Crank Handle 1200mm",1,"")</f>
        <v/>
      </c>
      <c r="GX11" t="str">
        <f>IF('Job Sheet'!Y17="White Crank Handle 1500mm",1,"")</f>
        <v/>
      </c>
      <c r="GY11" t="str">
        <f>IF('Job Sheet'!Y17="White Crank Handle 1800mm",1,"")</f>
        <v/>
      </c>
      <c r="GZ11" t="str">
        <f>IF('Job Sheet'!Y17="White Crank Handle 2200mm",1,"")</f>
        <v/>
      </c>
      <c r="HA11" t="str">
        <f>IF('Job Sheet'!Y17="White Crank Handle 2500mm",1,"")</f>
        <v/>
      </c>
      <c r="HB11" t="str">
        <f>IF('Job Sheet'!Y17="White Crank Handle 3000mm",1,"")</f>
        <v/>
      </c>
      <c r="HC11" t="str">
        <f>IF(AND('Job Sheet'!AH17="900mm",'Job Sheet'!AD17="Standard Zinc"),2,"")</f>
        <v/>
      </c>
      <c r="HD11" t="str">
        <f>IF(AND('Job Sheet'!AH17="1200mm",'Job Sheet'!AD17="Standard Zinc"),2,"")</f>
        <v/>
      </c>
      <c r="HE11" t="str">
        <f>IF(AND('Job Sheet'!AH17="1500mm",'Job Sheet'!AD17="Standard Zinc"),2,"")</f>
        <v/>
      </c>
      <c r="HF11" t="str">
        <f>IF(AND('Job Sheet'!AH17="1800mm",'Job Sheet'!AD17="Standard Zinc"),2,"")</f>
        <v/>
      </c>
      <c r="HG11" t="str">
        <f>IF(AND('Job Sheet'!AH17="2100mm",'Job Sheet'!AD17="Standard Zinc"),2,"")</f>
        <v/>
      </c>
      <c r="HH11" t="str">
        <f>IF(AND('Job Sheet'!AH17="2400mm",'Job Sheet'!AD17="Standard Zinc"),2,"")</f>
        <v/>
      </c>
      <c r="HI11" t="str">
        <f>IF(AND('Job Sheet'!AH17="2700mm",'Job Sheet'!AD17="Standard Zinc"),2,"")</f>
        <v/>
      </c>
      <c r="HJ11" t="str">
        <f>IF(AND('Job Sheet'!AH17="3000mm",'Job Sheet'!AD17="Standard Zinc"),2,"")</f>
        <v/>
      </c>
      <c r="HK11" t="str">
        <f>IF(AND('Job Sheet'!AH17="3500mm",'Job Sheet'!AD17="Standard Zinc"),2,"")</f>
        <v/>
      </c>
      <c r="HL11" t="str">
        <f>IF(AND('Job Sheet'!AH17="900mm",'Job Sheet'!AD17="Stainless Steel"),2,"")</f>
        <v/>
      </c>
      <c r="HM11" t="str">
        <f>IF(AND('Job Sheet'!AH17="1200mm",'Job Sheet'!AD17="Stainless Steel"),2,"")</f>
        <v/>
      </c>
      <c r="HN11" t="str">
        <f>IF(AND('Job Sheet'!AH17="1500mm",'Job Sheet'!AD17="Stainless Steel"),2,"")</f>
        <v/>
      </c>
      <c r="HO11" t="str">
        <f>IF(AND('Job Sheet'!AH17="1800mm",'Job Sheet'!AD17="Stainless Steel"),2,"")</f>
        <v/>
      </c>
      <c r="HP11" t="str">
        <f>IF(AND('Job Sheet'!AH17="2100mm",'Job Sheet'!AD17="Stainless Steel"),2,"")</f>
        <v/>
      </c>
      <c r="HQ11" t="str">
        <f>IF(AND('Job Sheet'!AH17="2400mm",'Job Sheet'!AD17="Stainless Steel"),2,"")</f>
        <v/>
      </c>
      <c r="HR11" t="str">
        <f>IF(AND('Job Sheet'!AH17="2700mm",'Job Sheet'!AD17="Stainless Steel"),2,"")</f>
        <v/>
      </c>
      <c r="HS11" t="str">
        <f>IF(AND('Job Sheet'!AH17="3000mm",'Job Sheet'!AD17="Stainless Steel"),2,"")</f>
        <v/>
      </c>
      <c r="HT11" t="str">
        <f>IF('Tube Cutting'!G17="","",'Tube Cutting'!F17*2-120)</f>
        <v/>
      </c>
      <c r="HU11" t="str">
        <f>IF(AND('Job Sheet'!O17="150mm L Bracket",'Job Sheet'!AD17="Standard Zinc"),2,"")</f>
        <v/>
      </c>
      <c r="HV11" t="str">
        <f>IF(AND('Job Sheet'!O17="225mm L Bracket",'Job Sheet'!AD17="Standard Zinc"),2,"")</f>
        <v/>
      </c>
      <c r="HW11" t="str">
        <f>IF(AND('Job Sheet'!O17="300mm L Bracket",'Job Sheet'!AD17="Standard Zinc"),2,"")</f>
        <v/>
      </c>
      <c r="HX11" t="str">
        <f>IF(AND('Job Sheet'!O17="450mm L Bracket",'Job Sheet'!AD17="Standard Zinc"),2,"")</f>
        <v/>
      </c>
      <c r="HY11" t="str">
        <f>IF(AND('Job Sheet'!O17="600mm L Bracket",'Job Sheet'!AD17="Standard Zinc"),2,"")</f>
        <v/>
      </c>
      <c r="HZ11" t="str">
        <f>IF(AND('Job Sheet'!O17="150mm L Bracket",'Job Sheet'!AD17="Stainless Steel"),2,"")</f>
        <v/>
      </c>
      <c r="IA11" t="str">
        <f>IF(AND('Job Sheet'!O17="225mm L Bracket",'Job Sheet'!AD17="Stainless Steel"),2,"")</f>
        <v/>
      </c>
      <c r="IB11" t="str">
        <f>IF(AND('Job Sheet'!O17="300mm L Bracket",'Job Sheet'!AD17="Stainless Steel"),2,"")</f>
        <v/>
      </c>
      <c r="IC11" t="str">
        <f t="shared" si="4"/>
        <v/>
      </c>
      <c r="ID11" t="str">
        <f>IF(AND('Job Sheet'!AD17="Standard Zinc",(OR('Job Sheet'!Y17="150mm Stayed Bracket with No Pulleys and Rope Cleat",'Job Sheet'!Y17="150mm Stayed Bracket with 1 Pulley and Rope Cleat",'Job Sheet'!Y17="150mm Stayed Bracket with 2 Pulleys and Rope Cleat"))),1,"")</f>
        <v/>
      </c>
      <c r="IE11" t="str">
        <f>IF(AND('Job Sheet'!AD17="Standard Zinc",(OR('Job Sheet'!Y17="225mm Stayed Bracket with No Pulleys and Rope Cleat",'Job Sheet'!Y17="225mm Stayed Bracket with 1 Pulley and Rope Cleat",'Job Sheet'!Y17="225mm Stayed Bracket with 2 Pulleys and Rope Cleat"))),1,"")</f>
        <v/>
      </c>
      <c r="IF11" t="str">
        <f>IF(AND('Job Sheet'!AD17="Standard Zinc",(OR('Job Sheet'!Y17="300mm Stayed Bracket with No Pulleys and Rope Cleat",'Job Sheet'!Y17="300mm Stayed Bracket with 1 Pulley and Rope Cleat",'Job Sheet'!Y17="300mm Stayed Bracket with 2 Pulleys and Rope Cleat"))),1,"")</f>
        <v/>
      </c>
      <c r="IG11" t="str">
        <f>IF(AND('Job Sheet'!AD17="Stainless Steel",OR('Job Sheet'!Y17="150mm Stayed Bracket with No Pulleys and Rope Cleat",'Job Sheet'!Y17="150mm Stayed Bracket with 1 Pulley and Rope Cleat",'Job Sheet'!Y17="150mm Stayed Bracket with 2 Pulleys and Rope Cleat")),1,"")</f>
        <v/>
      </c>
      <c r="IH11" t="str">
        <f>IF(AND('Job Sheet'!Y17="300mm Stayed Bracket with 1 Pulley and Rope Cleat",'Job Sheet'!AD17="Stainless Steel"),1,"")</f>
        <v/>
      </c>
      <c r="II11" t="str">
        <f>IF(OR('Job Sheet'!Y17="150mm Stayed Bracket with 1 Pulley and Rope Cleat",'Job Sheet'!Y17="225mm Stayed Bracket with 1 Pulley and Rope Cleat",'Job Sheet'!Y17="300mm Stayed Bracket with 1 Pulley and Rope Cleat",'Job Sheet'!Y17="With 1 Pulley and Rope Cleat"),"1",IF(OR('Job Sheet'!Y17="150mm Stayed Bracket with 2 Pulleys and Rope Cleat",'Job Sheet'!Y17="225mm Stayed Bracket with 2 Pulleys and Rope Cleat",'Job Sheet'!Y17="300mm Stayed Bracket with 2 Pulleys and Rope Cleat",'Job Sheet'!Y17="With 2 Pulleys and Rope Cleat"),"2",""))</f>
        <v/>
      </c>
      <c r="IJ11" t="str">
        <f>IF(OR('Job Sheet'!Y17="150mm Stayed Bracket with No Pulleys and Rope Cleat",'Job Sheet'!Y17="150mm Stayed Bracket with 1 Pulley and Rope Cleat",'Job Sheet'!Y17="150mm Stayed Bracket with 2 Pulleys and Rope Cleat",'Job Sheet'!Y17="225mm Stayed Bracket with No Pulleys and Rope Cleat",'Job Sheet'!Y17="225mm Stayed Bracket with 1 Pulley and Rope Cleat",'Job Sheet'!Y17="225mm Stayed Bracket with 2 Pulleys and Rope Cleat",'Job Sheet'!Y17="300mm Stayed Bracket with No Pulleys and Rope Cleat",'Job Sheet'!Y17="300mm Stayed Bracket with 1 Pulley and Rope Cleat",'Job Sheet'!Y17="300mm Stayed Bracket with 2 Pulleys and Rope Cleat",'Job Sheet'!Y17="With No Pulleys and Rope Cleat",'Job Sheet'!Y17="With 1 Pulley and Rope Cleat",'Job Sheet'!Y17="With 2 Pulleys and Rope Cleat",),"1","")</f>
        <v/>
      </c>
      <c r="IK11" t="str">
        <f>IF('Job Sheet'!R17="Black Cord 2m","2",IF('Job Sheet'!R17="Black Cord 3m","3",IF('Job Sheet'!R17="Black Cord 4m","4",IF('Job Sheet'!R17="Black Cord 5m","5",IF('Job Sheet'!R17="Black Cord 6m","6","")))))</f>
        <v/>
      </c>
      <c r="IL11" t="str">
        <f>IF('Job Sheet'!R17="White Cord 2m","2",IF('Job Sheet'!R17="White Cord 3m","3",IF('Job Sheet'!R17="White Cord 4m","4",IF('Job Sheet'!R17="White Cord 5m","5",IF('Job Sheet'!R17="White Cord 6m","6","")))))</f>
        <v/>
      </c>
      <c r="IM11" t="str">
        <f>IF(AND('Job Sheet'!K17="Powder Coated Brackets",'Job Sheet'!L17="Black"),2,"")</f>
        <v/>
      </c>
      <c r="IN11" t="str">
        <f>IF(AND('Job Sheet'!K17="Powder Coated Brackets",'Job Sheet'!L17="White"),2,"")</f>
        <v/>
      </c>
      <c r="IQ11" t="str">
        <f>IF('Job Sheet'!L17="Stainless Steel",2,"")</f>
        <v/>
      </c>
      <c r="JD11" t="str">
        <f>IF('Job Sheet'!AB17="25mm x 1",1,IF('Job Sheet'!AB17="25mm x 2",2,""))</f>
        <v/>
      </c>
      <c r="JE11" t="str">
        <f>IF('Job Sheet'!AB17="50mm x 1",1,IF('Job Sheet'!AB17="50mm x 2",2,""))</f>
        <v/>
      </c>
      <c r="JF11" t="str">
        <f>IF('Job Sheet'!AB17="75mm x 1",1,IF('Job Sheet'!AB17="75mm x 2",2,""))</f>
        <v/>
      </c>
      <c r="JG11" t="str">
        <f>IF('Job Sheet'!AB17="100mm x 1",1,IF('Job Sheet'!AB17="100mm x 2",2,""))</f>
        <v/>
      </c>
      <c r="JH11" t="str">
        <f>IF('Job Sheet'!AB17="125mm x 1",1,IF('Job Sheet'!AB17="125mm x 2",2,""))</f>
        <v/>
      </c>
      <c r="JN11" t="str">
        <f>IF('Job Sheet'!AA17="25mm x 1",1,IF('Job Sheet'!AA17="25mm x 2",2,""))</f>
        <v/>
      </c>
      <c r="JO11" t="str">
        <f>IF('Job Sheet'!AA17="50mm x 1",1,IF('Job Sheet'!AA17="50mm x 2",2,""))</f>
        <v/>
      </c>
      <c r="JP11" t="str">
        <f>IF('Job Sheet'!AA17="75mm x 1",1,IF('Job Sheet'!AA17="75mm x 2",2,""))</f>
        <v/>
      </c>
      <c r="JQ11" t="str">
        <f>IF('Job Sheet'!AA17="100mm x 1",1,IF('Job Sheet'!AA17="100mm x 2",2,""))</f>
        <v/>
      </c>
      <c r="JR11" t="str">
        <f>IF('Job Sheet'!AA17="125mm x 1",1,IF('Job Sheet'!AA17="125mm x 2",2,""))</f>
        <v/>
      </c>
      <c r="JS11" t="str">
        <f>IF('Welding&amp;Sewing'!D17="3.6mm White",'Fabric Cutting'!G17*2,'Fabric Cutting'!G17)</f>
        <v/>
      </c>
      <c r="JT11" t="str">
        <f>IF('Welding&amp;Sewing'!D17="6mm Black",'Fabric Cutting'!G17,"")</f>
        <v/>
      </c>
      <c r="MB11" t="str">
        <f>IF('Job Sheet'!P17="Acmeda Remote Motor",1,"")</f>
        <v/>
      </c>
      <c r="MC11" t="str">
        <f>IF(AND('Tube Cutting'!C17="63mm",'Job Sheet'!P17="Acmeda Remote Motor"),1,"")</f>
        <v/>
      </c>
      <c r="MD11" t="str">
        <f>IF(AND('Tube Cutting'!C17="63mm",'Job Sheet'!P17="Acmeda Remote Motor"),1,"")</f>
        <v/>
      </c>
      <c r="ME11" t="str">
        <f>IF(AND('Tube Cutting'!C17="78mm",'Job Sheet'!P17="Acmeda Remote Motor"),1,"")</f>
        <v/>
      </c>
      <c r="MF11" t="str">
        <f>IF(AND('Tube Cutting'!C17="78mm",'Job Sheet'!P17="Acmeda Remote Motor"),1,"")</f>
        <v/>
      </c>
      <c r="MG11" t="str">
        <f>IF('Job Sheet'!P17="Acmeda 12v Remote Motor",1,"")</f>
        <v/>
      </c>
      <c r="MH11" t="str">
        <f>IF(OR('Job Sheet'!Z17="External Battery",'Job Sheet'!Z17="External Battery and Charging Cable"),1,"")</f>
        <v/>
      </c>
      <c r="MI11" t="str">
        <f>IF('Job Sheet'!Z17="External Battery and Charging Cable",1,"")</f>
        <v/>
      </c>
      <c r="MJ11" t="str">
        <f>IF('Job Sheet'!Z17="Pulse 2.0 Automation Hub",1,"")</f>
        <v/>
      </c>
      <c r="MK11" t="str">
        <f>IF('Job Sheet'!Z17="USB Repeater",1,"")</f>
        <v/>
      </c>
      <c r="ML11" t="str">
        <f>IF('Job Sheet'!Y17="Acmeda 1 Channel White Remote",1,"")</f>
        <v/>
      </c>
      <c r="MM11" t="str">
        <f>IF('Job Sheet'!Y17="Acmeda 1 Channel Black Remote",1,"")</f>
        <v/>
      </c>
      <c r="MN11" t="str">
        <f>IF('Job Sheet'!Y17="Acmeda 5 Channel White Remote",1,"")</f>
        <v/>
      </c>
      <c r="MO11" t="str">
        <f>IF('Job Sheet'!Y17="Acmeda 5 Channel Black Remote",1,"")</f>
        <v/>
      </c>
      <c r="MP11" t="str">
        <f>IF('Job Sheet'!Y17="Acmeda 15 Channel White Remote",1,"")</f>
        <v/>
      </c>
      <c r="MQ11" t="str">
        <f>IF('Job Sheet'!Y17="Acmeda 15 Channel Black Remote",1,"")</f>
        <v/>
      </c>
      <c r="MR11" t="str">
        <f>IF('Job Sheet'!Y17="Acmeda Wall Mounted 5 Channel White Remote",1,"")</f>
        <v/>
      </c>
      <c r="MS11" t="str">
        <f>IF('Job Sheet'!Y17="Acmeda Wall Mounted Single Channel White Remote",1,"")</f>
        <v/>
      </c>
      <c r="MT11" t="str">
        <f>IF('Job Sheet'!Y17="Acmeda Wall Mounted 2 Channel White Remote",1,"")</f>
        <v/>
      </c>
      <c r="MU11" t="str">
        <f>IF('Job Sheet'!Y17="Acmeda Wall Mounted 15 Channel White Remote",1,"")</f>
        <v/>
      </c>
      <c r="MV11" t="str">
        <f>IF('Job Sheet'!Y17="Acmeda Push Pro White Remote with Charger",1,"")</f>
        <v/>
      </c>
      <c r="MW11" t="str">
        <f>IF('Job Sheet'!Y17="Acmeda Push Pro Black Remote with Charger",1,"")</f>
        <v/>
      </c>
      <c r="MX11" t="str">
        <f>IF(OR('Job Sheet'!Y17="Acmeda Push Pro White Remote with Charger",'Job Sheet'!Y17="Acmeda Push Pro Black Remote with Charger"),"1","")</f>
        <v/>
      </c>
      <c r="MY11" t="str">
        <f t="shared" si="5"/>
        <v/>
      </c>
      <c r="NA11" t="str">
        <f>IF('Job Sheet'!Z17="1 Channel Dry Contact Relay Module",1,"")</f>
        <v/>
      </c>
      <c r="ND11" t="str">
        <f>IF('Job Sheet'!P17="Becker Remote Operated",1,"")</f>
        <v/>
      </c>
      <c r="NF11" t="str">
        <f>IF('Job Sheet'!P17="Becker Switch Operated",1,"")</f>
        <v/>
      </c>
      <c r="NG11" t="str">
        <f>IF(AND('Tube Cutting'!C17="63mm",(OR('Job Sheet'!P17="Becker Remote Operated",'Job Sheet'!P17="Becker Switch Operated"))),1,"")</f>
        <v/>
      </c>
      <c r="NH11" t="str">
        <f>IF(AND('Tube Cutting'!C17="63mm",(OR('Job Sheet'!P17="Becker Remote Operated",'Job Sheet'!P17="Becker Switch Operated"))),1,"")</f>
        <v/>
      </c>
      <c r="NI11" t="str">
        <f>IF(OR('Job Sheet'!P17="Becker Remote Operated",'Job Sheet'!P17="Becker Switch Operated"),1,"")</f>
        <v/>
      </c>
      <c r="NK11" t="str">
        <f>IF(AND('Tube Cutting'!C17="78mm",(OR('Job Sheet'!P17="Becker Remote Operated",'Job Sheet'!P17="Becker Switch Operated"))),1,"")</f>
        <v/>
      </c>
      <c r="NL11" t="str">
        <f>IF(AND('Tube Cutting'!C17="78mm",'Job Sheet'!P17="Becker Remote Operated"),1,"")</f>
        <v/>
      </c>
      <c r="NM11" t="str">
        <f>IF('Job Sheet'!Y17="Becker Single Channel White Remote",1,"")</f>
        <v/>
      </c>
      <c r="NN11" t="str">
        <f>IF('Job Sheet'!Y17="Becker Single Channel Black Remote",1,"")</f>
        <v/>
      </c>
      <c r="NO11" t="str">
        <f>IF('Job Sheet'!Y17="Becker 5 Channel White Remote",1,"")</f>
        <v/>
      </c>
      <c r="NP11" t="str">
        <f>IF('Job Sheet'!Y17="Becker 5 Channel Black Remote",1,"")</f>
        <v/>
      </c>
      <c r="NQ11" t="str">
        <f>IF('Job Sheet'!Y17="Becker 10 Channel White Remote",1,"")</f>
        <v/>
      </c>
      <c r="NR11" t="str">
        <f>IF('Job Sheet'!Y17="Becker 10 Channel Black Remote",1,"")</f>
        <v/>
      </c>
      <c r="NS11" t="s">
        <v>617</v>
      </c>
      <c r="NT11" t="str">
        <f>IF('Job Sheet'!P17="Somfy Remote Operated",1,"")</f>
        <v/>
      </c>
      <c r="NV11" t="str">
        <f>IF('Job Sheet'!P17="Somfy Remote Operated",1,"")</f>
        <v/>
      </c>
      <c r="NW11" t="str">
        <f>IF(AND('Tube Cutting'!C17="63mm",'Job Sheet'!P17="Somfy Remote Operated"),1,"")</f>
        <v/>
      </c>
      <c r="NX11" t="str">
        <f>IF(AND('Tube Cutting'!C17="63mm",'Job Sheet'!P17="Somfy Remote Operated"),1,"")</f>
        <v/>
      </c>
      <c r="NY11" t="str">
        <f>IF(AND('Tube Cutting'!C17="78mm",'Job Sheet'!P17="Somfy Remote Operated"),1,"")</f>
        <v/>
      </c>
      <c r="NZ11" t="str">
        <f>IF(AND('Tube Cutting'!C17="78mm",'Job Sheet'!P17="Somfy Remote Operated"),1,"")</f>
        <v/>
      </c>
      <c r="OA11" t="str">
        <f>IF('Job Sheet'!Z17="Connexoon App Connector",1,"")</f>
        <v/>
      </c>
      <c r="OB11" t="str">
        <f>IF('Job Sheet'!Z17="Tahoma Switch",1,"")</f>
        <v/>
      </c>
      <c r="OC11" t="str">
        <f>IF('Job Sheet'!Y17="Somfy 15 Channel Silver Remote",1,"")</f>
        <v/>
      </c>
      <c r="OD11" t="str">
        <f>IF('Job Sheet'!Y17="Somfy 15 Channel White Remote",1,"")</f>
        <v/>
      </c>
      <c r="OE11" t="str">
        <f>IF('Job Sheet'!Y17="Somfy 2 Channel Silver Remote",1,"")</f>
        <v/>
      </c>
      <c r="OF11" t="str">
        <f>IF('Job Sheet'!Y17="Somfy 2 Channel Wall Mounted Smoove Remote White with Black Cover Plate",1,"")</f>
        <v/>
      </c>
      <c r="OG11" t="str">
        <f>IF('Job Sheet'!Y17="Somfy 2 Channel Wall Mounted Smoove Remote White with Silver Cover Plate",1,"")</f>
        <v/>
      </c>
      <c r="OH11" t="str">
        <f>IF('Job Sheet'!Y17="Somfy 2 Channel Wall Mounted Smoove Remote White",1,"")</f>
        <v/>
      </c>
      <c r="OI11" t="str">
        <f>IF('Job Sheet'!Y17="Somfy 2 Channel White Remote",1,"")</f>
        <v/>
      </c>
      <c r="OJ11" t="str">
        <f>IF('Job Sheet'!Y17="Somfy 2 Channel Silver Remote",1,"")</f>
        <v/>
      </c>
      <c r="OK11" t="str">
        <f>IF('Job Sheet'!Y17="Somfy 5 Channel Wall Mounted Smoove Remote White with Black Cover Plate",1,"")</f>
        <v/>
      </c>
      <c r="OL11" t="str">
        <f>IF('Job Sheet'!Y17="Somfy 5 Channel Wall Mounted Smoove Remote White with Silver Cover Plate",1,"")</f>
        <v/>
      </c>
      <c r="OM11" t="str">
        <f>IF('Job Sheet'!Y17="Somfy 5 Channel Wall Mounted Smoove Remote White",1,"")</f>
        <v/>
      </c>
      <c r="ON11" t="str">
        <f>IF('Job Sheet'!Y17="Somfy 5 Channel White Remote",1,"")</f>
        <v/>
      </c>
      <c r="OO11" t="str">
        <f>IF('Job Sheet'!Y17="Somfy Single Channel Silver Remote",1,"")</f>
        <v/>
      </c>
      <c r="OP11" t="str">
        <f>IF('Job Sheet'!Y17="Somfy Single Channel Wall Mounted Smoove Remote White with Black Cover Plate",1,"")</f>
        <v/>
      </c>
      <c r="OQ11" t="str">
        <f>IF('Job Sheet'!Y17="Somfy Single Channel Wall Mounted Smoove Remote White with Silver Cover Plate",1,"")</f>
        <v/>
      </c>
      <c r="OR11" t="str">
        <f>IF('Job Sheet'!Y17="Somfy Single Channel Wall Mounted Smoove Remote White",1,"")</f>
        <v/>
      </c>
      <c r="OS11" t="str">
        <f>IF('Job Sheet'!Y17="Somfy Single Channel White Remote",1,"")</f>
        <v/>
      </c>
    </row>
    <row r="12" spans="4:409" ht="13.15" customHeight="1">
      <c r="D12" t="str">
        <f>IF('Tube Cutting'!D18="","",CONCATENATE(Data!BC$5,".",Data!BD$5))</f>
        <v/>
      </c>
      <c r="E12" t="str">
        <f>IF(D12="","",Data!AW18)</f>
        <v/>
      </c>
      <c r="F12" t="str">
        <f>IF(D12="","",Data!AV18)</f>
        <v/>
      </c>
      <c r="G12" t="str">
        <f t="shared" si="0"/>
        <v/>
      </c>
      <c r="H12" t="str">
        <f>IF(D12="","",Data!BF$5)</f>
        <v/>
      </c>
      <c r="I12" t="str">
        <f>IF(D12="","",Data!AX$5)</f>
        <v/>
      </c>
      <c r="J12" t="str">
        <f>'Job Sheet'!H18</f>
        <v/>
      </c>
      <c r="K12" t="str">
        <f t="shared" si="1"/>
        <v/>
      </c>
      <c r="L12" s="33" t="str">
        <f>'Fabric Cutting'!G18</f>
        <v/>
      </c>
      <c r="M12" s="33" t="str">
        <f>'Fabric Cutting'!H18</f>
        <v/>
      </c>
      <c r="N12" t="str">
        <f>IF(AND('Job Sheet'!K18="Colourbond Under-Roll Hooding",'Job Sheet'!L18="Custom Powdercoat"),'Tube Cutting'!J18,"")</f>
        <v/>
      </c>
      <c r="O12" t="str">
        <f>IF(AND('Job Sheet'!K18="Colourbond Under-Roll Hooding",'Job Sheet'!L18="Ebony (Black)"),'Tube Cutting'!J18,"")</f>
        <v/>
      </c>
      <c r="P12" t="str">
        <f>IF(AND('Job Sheet'!K18="Colourbond Under-Roll Hooding",'Job Sheet'!L18="Caulfield Green"),'Tube Cutting'!J18,"")</f>
        <v/>
      </c>
      <c r="Q12" t="str">
        <f>IF(AND('Job Sheet'!K18="Colourbond Under-Roll Hooding",'Job Sheet'!L18="Charcoal (Monument)"),'Tube Cutting'!J18,"")</f>
        <v/>
      </c>
      <c r="R12" t="str">
        <f>IF(AND('Job Sheet'!K18="Colourbond Under-Roll Hooding",'Job Sheet'!L18="Dune"),'Tube Cutting'!J18,"")</f>
        <v/>
      </c>
      <c r="S12" t="str">
        <f>IF(AND('Job Sheet'!K18="Colourbond Under-Roll Hooding",'Job Sheet'!L18="Heritage Red (Manor Red)"),'Tube Cutting'!J18,"")</f>
        <v/>
      </c>
      <c r="T12" t="str">
        <f>IF(AND('Job Sheet'!K18="Colourbond Under-Roll Hooding",'Job Sheet'!L18="Ironstone"),'Tube Cutting'!J18,"")</f>
        <v/>
      </c>
      <c r="U12" t="str">
        <f>IF(AND('Job Sheet'!K18="Colourbond Under-Roll Hooding",'Job Sheet'!L18="Jasper"),'Tube Cutting'!J18,"")</f>
        <v/>
      </c>
      <c r="V12" t="str">
        <f>IF(AND('Job Sheet'!K18="Colourbond Under-Roll Hooding",'Job Sheet'!L18="Merino (Paperbark)"),'Tube Cutting'!J18,"")</f>
        <v/>
      </c>
      <c r="W12" t="str">
        <f>IF(AND('Job Sheet'!K18="Colourbond Under-Roll Hooding",'Job Sheet'!L18="Mist Green"),'Tube Cutting'!J18,"")</f>
        <v/>
      </c>
      <c r="X12" t="str">
        <f>IF(AND('Job Sheet'!K18="Colourbond Under-Roll Hooding",'Job Sheet'!L18="Mountain Blue"),'Tube Cutting'!J18,"")</f>
        <v/>
      </c>
      <c r="Y12" t="str">
        <f>IF(AND('Job Sheet'!K18="Colourbond Under-Roll Hooding",'Job Sheet'!L18="Smooth Cream (Classic Cream)"),'Tube Cutting'!J18,"")</f>
        <v/>
      </c>
      <c r="Z12" t="str">
        <f>IF(AND('Job Sheet'!K18="Colourbond Under-Roll Hooding",'Job Sheet'!L18="Shale Grey"),'Tube Cutting'!J18,"")</f>
        <v/>
      </c>
      <c r="AA12" t="str">
        <f>IF(AND('Job Sheet'!K18="Colourbond Under-Roll Hooding",'Job Sheet'!L18="Slate Grey (Woodland Grey)"),'Tube Cutting'!J18,"")</f>
        <v/>
      </c>
      <c r="AB12" t="str">
        <f>IF(AND('Job Sheet'!K18="Colourbond Under-Roll Hooding",'Job Sheet'!L18="Surfmist"),'Tube Cutting'!J18,"")</f>
        <v/>
      </c>
      <c r="AC12" t="str">
        <f>IF(AND('Job Sheet'!K18="Colourbond Under-Roll Hooding",'Job Sheet'!L18="White"),'Tube Cutting'!J18,"")</f>
        <v/>
      </c>
      <c r="AD12" t="str">
        <f>IF(AND('Job Sheet'!P18="Spring",'Job Sheet'!K18="Colourbond Under-Roll Hooding",'Job Sheet'!L18="Custom Powdercoat"),1,"")</f>
        <v/>
      </c>
      <c r="AE12" t="str">
        <f>IF(AND('Job Sheet'!P18="Spring",'Job Sheet'!K18="Colourbond Under-Roll Hooding",'Job Sheet'!L18="Ebony (Black)"),1,"")</f>
        <v/>
      </c>
      <c r="AF12" t="str">
        <f>IF(AND('Job Sheet'!P18="Spring",'Job Sheet'!K18="Colourbond Under-Roll Hooding",'Job Sheet'!L18="Caulfield Green"),1,"")</f>
        <v/>
      </c>
      <c r="AG12" t="str">
        <f>IF(AND('Job Sheet'!P18="Spring",'Job Sheet'!K18="Colourbond Under-Roll Hooding",'Job Sheet'!L18="Charcoal (Monument)"),1,"")</f>
        <v/>
      </c>
      <c r="AH12" t="str">
        <f>IF(AND('Job Sheet'!P18="Spring",'Job Sheet'!K18="Colourbond Under-Roll Hooding",'Job Sheet'!L18="Dune"),1,"")</f>
        <v/>
      </c>
      <c r="AI12" t="str">
        <f>IF(AND('Job Sheet'!P18="Spring",'Job Sheet'!K18="Colourbond Under-Roll Hooding",'Job Sheet'!L18="Heritage Red (Manor Red)"),1,"")</f>
        <v/>
      </c>
      <c r="AJ12" t="str">
        <f>IF(AND('Job Sheet'!P18="Spring",'Job Sheet'!K18="Colourbond Under-Roll Hooding",'Job Sheet'!L18="Ironstone"),1,"")</f>
        <v/>
      </c>
      <c r="AK12" t="str">
        <f>IF(AND('Job Sheet'!P18="Spring",'Job Sheet'!K18="Colourbond Under-Roll Hooding",'Job Sheet'!L18="Jasper"),1,"")</f>
        <v/>
      </c>
      <c r="AL12" t="str">
        <f>IF(AND('Job Sheet'!P18="Spring",'Job Sheet'!K18="Colourbond Under-Roll Hooding",'Job Sheet'!L18="Merino (Paperbark)"),1,"")</f>
        <v/>
      </c>
      <c r="AM12" t="str">
        <f>IF(AND('Job Sheet'!P18="Spring",'Job Sheet'!K18="Colourbond Under-Roll Hooding",'Job Sheet'!L18="Mist Green"),1,"")</f>
        <v/>
      </c>
      <c r="AN12" t="str">
        <f>IF(AND('Job Sheet'!P18="Spring",'Job Sheet'!K18="Colourbond Under-Roll Hooding",'Job Sheet'!L18="Mountain Blue"),1,"")</f>
        <v/>
      </c>
      <c r="AO12" t="str">
        <f>IF(AND('Job Sheet'!P18="Spring",'Job Sheet'!K18="Colourbond Under-Roll Hooding",'Job Sheet'!L18="Smooth Cream (Classic Cream)"),1,"")</f>
        <v/>
      </c>
      <c r="AP12" t="str">
        <f>IF(AND('Job Sheet'!P18="Spring",'Job Sheet'!K18="Colourbond Under-Roll Hooding",'Job Sheet'!L18="Shale Grey"),1,"")</f>
        <v/>
      </c>
      <c r="AQ12" t="str">
        <f>IF(AND('Job Sheet'!P18="Spring",'Job Sheet'!K18="Colourbond Under-Roll Hooding",'Job Sheet'!L18="Slate Grey (Woodland Grey)"),1,"")</f>
        <v/>
      </c>
      <c r="AR12" t="str">
        <f>IF(AND('Job Sheet'!P18="Spring",'Job Sheet'!K18="Colourbond Under-Roll Hooding",'Job Sheet'!L18="Surfmist"),1,"")</f>
        <v/>
      </c>
      <c r="AS12" t="str">
        <f>IF(AND('Job Sheet'!P18="Spring",'Job Sheet'!K18="Colourbond Under-Roll Hooding",'Job Sheet'!L18="White"),1,"")</f>
        <v/>
      </c>
      <c r="AT12" t="str">
        <f>IF(AND('Job Sheet'!P18&lt;&gt;"Spring",'Job Sheet'!K18="Colourbond Under-Roll Hooding",'Job Sheet'!L18="Custom Powdercoat"),1,"")</f>
        <v/>
      </c>
      <c r="AU12" t="str">
        <f>IF(AND('Job Sheet'!P18&lt;&gt;"Spring",'Job Sheet'!K18="Colourbond Under-Roll Hooding",'Job Sheet'!L18="Ebony (Black)"),1,"")</f>
        <v/>
      </c>
      <c r="AV12" t="str">
        <f>IF(AND('Job Sheet'!P18&lt;&gt;"Spring",'Job Sheet'!K18="Colourbond Under-Roll Hooding",'Job Sheet'!L18="Caulfield Green"),1,"")</f>
        <v/>
      </c>
      <c r="AW12" t="str">
        <f>IF(AND('Job Sheet'!P18&lt;&gt;"Spring",'Job Sheet'!K18="Colourbond Under-Roll Hooding",'Job Sheet'!L18="Charcoal (Monument)"),1,"")</f>
        <v/>
      </c>
      <c r="AX12" t="str">
        <f>IF(AND('Job Sheet'!P18&lt;&gt;"Spring",'Job Sheet'!K18="Colourbond Under-Roll Hooding",'Job Sheet'!L18="Dune"),1,"")</f>
        <v/>
      </c>
      <c r="AY12" t="str">
        <f>IF(AND('Job Sheet'!P18&lt;&gt;"Spring",'Job Sheet'!K18="Colourbond Under-Roll Hooding",'Job Sheet'!L18="Heritage Red (Manor Red)"),1,"")</f>
        <v/>
      </c>
      <c r="AZ12" t="str">
        <f>IF(AND('Job Sheet'!P18&lt;&gt;"Spring",'Job Sheet'!K18="Colourbond Under-Roll Hooding",'Job Sheet'!L18="Ironstone"),1,"")</f>
        <v/>
      </c>
      <c r="BA12" t="str">
        <f>IF(AND('Job Sheet'!P18&lt;&gt;"Spring",'Job Sheet'!K18="Colourbond Under-Roll Hooding",'Job Sheet'!L18="Jasper"),1,"")</f>
        <v/>
      </c>
      <c r="BB12" t="str">
        <f>IF(AND('Job Sheet'!P18&lt;&gt;"Spring",'Job Sheet'!K18="Colourbond Under-Roll Hooding",'Job Sheet'!L18="Merino (Paperbark)"),1,"")</f>
        <v/>
      </c>
      <c r="BC12" t="str">
        <f>IF(AND('Job Sheet'!P18&lt;&gt;"Spring",'Job Sheet'!K18="Colourbond Under-Roll Hooding",'Job Sheet'!L18="Mist Green"),1,"")</f>
        <v/>
      </c>
      <c r="BD12" t="str">
        <f>IF(AND('Job Sheet'!P18&lt;&gt;"Spring",'Job Sheet'!K18="Colourbond Under-Roll Hooding",'Job Sheet'!L18="Mountain Blue"),1,"")</f>
        <v/>
      </c>
      <c r="BE12" t="str">
        <f>IF(AND('Job Sheet'!P18&lt;&gt;"Spring",'Job Sheet'!K18="Colourbond Under-Roll Hooding",'Job Sheet'!L18="Smooth Cream (Classic Cream)"),1,"")</f>
        <v/>
      </c>
      <c r="BF12" t="str">
        <f>IF(AND('Job Sheet'!P18&lt;&gt;"Spring",'Job Sheet'!K18="Colourbond Under-Roll Hooding",'Job Sheet'!L18="Shale Grey"),1,"")</f>
        <v/>
      </c>
      <c r="BG12" t="str">
        <f>IF(AND('Job Sheet'!P18&lt;&gt;"Spring",'Job Sheet'!K18="Colourbond Under-Roll Hooding",'Job Sheet'!L18="Slate Grey (Woodland Grey)"),1,"")</f>
        <v/>
      </c>
      <c r="BH12" t="str">
        <f>IF(AND('Job Sheet'!P18&lt;&gt;"Spring",'Job Sheet'!K18="Colourbond Under-Roll Hooding",'Job Sheet'!L18="Surfmist"),1,"")</f>
        <v/>
      </c>
      <c r="BI12" t="str">
        <f>IF(AND('Job Sheet'!P18&lt;&gt;"Spring",'Job Sheet'!K18="Colourbond Under-Roll Hooding",'Job Sheet'!L18="White"),1,"")</f>
        <v/>
      </c>
      <c r="BJ12" t="str">
        <f>IF(AND('Job Sheet'!K18="Colourbond Over-Roll Hooding",'Job Sheet'!L18="Custom Powdercoat"),'Tube Cutting'!J18,"")</f>
        <v/>
      </c>
      <c r="BK12" t="str">
        <f>IF(AND('Job Sheet'!K18="Colourbond Over-Roll Hooding",'Job Sheet'!L18="Ebony (Black)"),'Tube Cutting'!J18,"")</f>
        <v/>
      </c>
      <c r="BL12" t="str">
        <f>IF(AND('Job Sheet'!K18="Colourbond Over-Roll Hooding",'Job Sheet'!L18="Caulfield Green"),'Tube Cutting'!J18,"")</f>
        <v/>
      </c>
      <c r="BM12" t="str">
        <f>IF(AND('Job Sheet'!K18="Colourbond Over-Roll Hooding",'Job Sheet'!L18="Charcoal (Monument)"),'Tube Cutting'!J18,"")</f>
        <v/>
      </c>
      <c r="BN12" t="str">
        <f>IF(AND('Job Sheet'!K18="Colourbond Over-Roll Hooding",'Job Sheet'!L18="Dune"),'Tube Cutting'!J18,"")</f>
        <v/>
      </c>
      <c r="BO12" t="str">
        <f>IF(AND('Job Sheet'!K18="Colourbond Over-Roll Hooding",'Job Sheet'!L18="Heritage Red (Manor Red)"),'Tube Cutting'!J18,"")</f>
        <v/>
      </c>
      <c r="BP12" t="str">
        <f>IF(AND('Job Sheet'!K18="Colourbond Over-Roll Hooding",'Job Sheet'!L18="Ironstone"),'Tube Cutting'!J18,"")</f>
        <v/>
      </c>
      <c r="BQ12" t="str">
        <f>IF(AND('Job Sheet'!K18="Colourbond Over-Roll Hooding",'Job Sheet'!L18="Jasper"),'Tube Cutting'!J18,"")</f>
        <v/>
      </c>
      <c r="BR12" t="str">
        <f>IF(AND('Job Sheet'!K18="Colourbond Over-Roll Hooding",'Job Sheet'!L18="Merino (Paperbark)"),'Tube Cutting'!J18,"")</f>
        <v/>
      </c>
      <c r="BS12" t="str">
        <f>IF(AND('Job Sheet'!K18="Colourbond Over-Roll Hooding",'Job Sheet'!L18="Mist Green"),'Tube Cutting'!J18,"")</f>
        <v/>
      </c>
      <c r="BT12" t="str">
        <f>IF(AND('Job Sheet'!K18="Colourbond Over-Roll Hooding",'Job Sheet'!L18="Mountain Blue"),'Tube Cutting'!J18,"")</f>
        <v/>
      </c>
      <c r="BU12" t="str">
        <f>IF(AND('Job Sheet'!K18="Colourbond Over-Roll Hooding",'Job Sheet'!L18="Smooth Cream (Classic Cream)"),'Tube Cutting'!J18,"")</f>
        <v/>
      </c>
      <c r="BV12" t="str">
        <f>IF(AND('Job Sheet'!K18="Colourbond Over-Roll Hooding",'Job Sheet'!L18="Shale Grey"),'Tube Cutting'!J18,"")</f>
        <v/>
      </c>
      <c r="BW12" t="str">
        <f>IF(AND('Job Sheet'!K18="Colourbond Over-Roll Hooding",'Job Sheet'!L18="Slate Grey (Woodland Grey)"),'Tube Cutting'!J18,"")</f>
        <v/>
      </c>
      <c r="BX12" t="str">
        <f>IF(AND('Job Sheet'!K18="Colourbond Over-Roll Hooding",'Job Sheet'!L18="Surfmist"),'Tube Cutting'!J18,"")</f>
        <v/>
      </c>
      <c r="BY12" t="str">
        <f>IF(AND('Job Sheet'!J18="Colourbond Over-Roll Hooding",'Job Sheet'!K18="White"),'Tube Cutting'!J18,"")</f>
        <v/>
      </c>
      <c r="BZ12" t="str">
        <f>IF(AND('Job Sheet'!P18="Spring",'Job Sheet'!K18="Colourbond Over-Roll Hooding",'Job Sheet'!L18="Custom Powdercoat"),1,"")</f>
        <v/>
      </c>
      <c r="CA12" t="str">
        <f>IF(AND('Job Sheet'!P18="Spring",'Job Sheet'!K18="Colourbond Over-Roll Hooding",'Job Sheet'!L18="Ebony (Black)"),1,"")</f>
        <v/>
      </c>
      <c r="CB12" t="str">
        <f>IF(AND('Job Sheet'!P18="Spring",'Job Sheet'!K18="Colourbond Over-Roll Hooding",'Job Sheet'!L18="Caulfield Green"),1,"")</f>
        <v/>
      </c>
      <c r="CC12" t="str">
        <f>IF(AND('Job Sheet'!P18="Spring",'Job Sheet'!K18="Colourbond Over-Roll Hooding",'Job Sheet'!L18="Charcoal (Monument)"),1,"")</f>
        <v/>
      </c>
      <c r="CD12" t="str">
        <f>IF(AND('Job Sheet'!P18="Spring",'Job Sheet'!K18="Colourbond Over-Roll Hooding",'Job Sheet'!L18="Dune"),1,"")</f>
        <v/>
      </c>
      <c r="CE12" t="str">
        <f>IF(AND('Job Sheet'!P18="Spring",'Job Sheet'!K18="Colourbond Over-Roll Hooding",'Job Sheet'!L18="Heritage Red (Manor Red)"),1,"")</f>
        <v/>
      </c>
      <c r="CF12" t="str">
        <f>IF(AND('Job Sheet'!P18="Spring",'Job Sheet'!K18="Colourbond Over-Roll Hooding",'Job Sheet'!L18="Ironstone"),1,"")</f>
        <v/>
      </c>
      <c r="CG12" t="str">
        <f>IF(AND('Job Sheet'!P18="Spring",'Job Sheet'!K18="Colourbond Over-Roll Hooding",'Job Sheet'!L18="Jasper"),1,"")</f>
        <v/>
      </c>
      <c r="CH12" t="str">
        <f>IF(AND('Job Sheet'!P18="Spring",'Job Sheet'!K18="Colourbond Over-Roll Hooding",'Job Sheet'!L18="Merino (Paperbark)"),1,"")</f>
        <v/>
      </c>
      <c r="CI12" t="str">
        <f>IF(AND('Job Sheet'!P18="Spring",'Job Sheet'!K18="Colourbond Over-Roll Hooding",'Job Sheet'!L18="Mist Green"),1,"")</f>
        <v/>
      </c>
      <c r="CJ12" t="str">
        <f>IF(AND('Job Sheet'!P18="Spring",'Job Sheet'!K18="Colourbond Over-Roll Hooding",'Job Sheet'!L18="Mountain Blue"),1,"")</f>
        <v/>
      </c>
      <c r="CK12" t="str">
        <f>IF(AND('Job Sheet'!P18="Spring",'Job Sheet'!K18="Colourbond Over-Roll Hooding",'Job Sheet'!L18="Smooth Cream (Classic Cream)"),1,"")</f>
        <v/>
      </c>
      <c r="CL12" t="str">
        <f>IF(AND('Job Sheet'!P18="Spring",'Job Sheet'!K18="Colourbond Over-Roll Hooding",'Job Sheet'!L18="Shale Grey"),1,"")</f>
        <v/>
      </c>
      <c r="CM12" t="str">
        <f>IF(AND('Job Sheet'!P18="Spring",'Job Sheet'!K18="Colourbond Over-Roll Hooding",'Job Sheet'!L18="Slate Grey (Woodland Grey)"),1,"")</f>
        <v/>
      </c>
      <c r="CN12" t="str">
        <f>IF(AND('Job Sheet'!P18="Spring",'Job Sheet'!K18="Colourbond Over-Roll Hooding",'Job Sheet'!L18="Surfmist"),1,"")</f>
        <v/>
      </c>
      <c r="CO12" t="str">
        <f>IF(AND('Job Sheet'!P18="Spring",'Job Sheet'!K18="Colourbond Over-Roll Hooding",'Job Sheet'!L18="White"),1,"")</f>
        <v/>
      </c>
      <c r="CP12" t="str">
        <f>IF(AND('Job Sheet'!P18&lt;&gt;"Spring",'Job Sheet'!K18="Colourbond Over-Roll Hooding",'Job Sheet'!L18="Custom Powdercoat"),1,"")</f>
        <v/>
      </c>
      <c r="CQ12" t="str">
        <f>IF(AND('Job Sheet'!P18&lt;&gt;"Spring",'Job Sheet'!K18="Colourbond Over-Roll Hooding",'Job Sheet'!L18="Ebony (Black)"),1,"")</f>
        <v/>
      </c>
      <c r="CR12" t="str">
        <f>IF(AND('Job Sheet'!P18&lt;&gt;"Spring",'Job Sheet'!K18="Colourbond Over-Roll Hooding",'Job Sheet'!L18="Caulfield Green"),1,"")</f>
        <v/>
      </c>
      <c r="CS12" t="str">
        <f>IF(AND('Job Sheet'!P18&lt;&gt;"Spring",'Job Sheet'!K18="Colourbond Over-Roll Hooding",'Job Sheet'!L18="Charcoal (Monument)"),1,"")</f>
        <v/>
      </c>
      <c r="CT12" t="str">
        <f>IF(AND('Job Sheet'!P18&lt;&gt;"Spring",'Job Sheet'!K18="Colourbond Over-Roll Hooding",'Job Sheet'!L18="Dune"),1,"")</f>
        <v/>
      </c>
      <c r="CU12" t="str">
        <f>IF(AND('Job Sheet'!P18&lt;&gt;"Spring",'Job Sheet'!K18="Colourbond Over-Roll Hooding",'Job Sheet'!L18="Heritage Red (Manor Red)"),1,"")</f>
        <v/>
      </c>
      <c r="CV12" t="str">
        <f>IF(AND('Job Sheet'!P18&lt;&gt;"Spring",'Job Sheet'!K18="Colourbond Over-Roll Hooding",'Job Sheet'!L18="Ironstone"),1,"")</f>
        <v/>
      </c>
      <c r="CW12" t="str">
        <f>IF(AND('Job Sheet'!P18&lt;&gt;"Spring",'Job Sheet'!K18="Colourbond Over-Roll Hooding",'Job Sheet'!L18="Jasper"),1,"")</f>
        <v/>
      </c>
      <c r="CX12" t="str">
        <f>IF(AND('Job Sheet'!P18&lt;&gt;"Spring",'Job Sheet'!K18="Colourbond Over-Roll Hooding",'Job Sheet'!L18="Merino (Paperbark)"),1,"")</f>
        <v/>
      </c>
      <c r="CY12" t="str">
        <f>IF(AND('Job Sheet'!P18&lt;&gt;"Spring",'Job Sheet'!K18="Colourbond Over-Roll Hooding",'Job Sheet'!L18="Mist Green"),1,"")</f>
        <v/>
      </c>
      <c r="CZ12" t="str">
        <f>IF(AND('Job Sheet'!P18&lt;&gt;"Spring",'Job Sheet'!K18="Colourbond Over-Roll Hooding",'Job Sheet'!L18="Mountain Blue"),1,"")</f>
        <v/>
      </c>
      <c r="DA12" t="str">
        <f>IF(AND('Job Sheet'!P18&lt;&gt;"Spring",'Job Sheet'!K18="Colourbond Over-Roll Hooding",'Job Sheet'!L18="Smooth Cream (Classic Cream)"),1,"")</f>
        <v/>
      </c>
      <c r="DB12" t="str">
        <f>IF(AND('Job Sheet'!P18&lt;&gt;"Spring",'Job Sheet'!K18="Colourbond Over-Roll Hooding",'Job Sheet'!L18="Shale Grey"),1,"")</f>
        <v/>
      </c>
      <c r="DC12" t="str">
        <f>IF(AND('Job Sheet'!P18&lt;&gt;"Spring",'Job Sheet'!K18="Colourbond Over-Roll Hooding",'Job Sheet'!L18="Slate Grey (Woodland Grey)"),1,"")</f>
        <v/>
      </c>
      <c r="DD12" t="str">
        <f>IF(AND('Job Sheet'!P18&lt;&gt;"Spring",'Job Sheet'!K18="Colourbond Over-Roll Hooding",'Job Sheet'!L18="Surfmist"),1,"")</f>
        <v/>
      </c>
      <c r="DE12" t="str">
        <f>IF(AND('Job Sheet'!P18&lt;&gt;"Spring",'Job Sheet'!K18="Colourbond Over-Roll Hooding",'Job Sheet'!L18="White"),1,"")</f>
        <v/>
      </c>
      <c r="DF12" t="str">
        <f>IF('Tube Cutting'!C18="50mm",'Tube Cutting'!D18,"")</f>
        <v/>
      </c>
      <c r="DG12" t="str">
        <f>IF('Tube Cutting'!C18="63mm",'Tube Cutting'!D18,"")</f>
        <v/>
      </c>
      <c r="DH12" t="str">
        <f>IF('Tube Cutting'!C18="70mm",'Tube Cutting'!D18,"")</f>
        <v/>
      </c>
      <c r="DI12" t="str">
        <f>IF('Tube Cutting'!C18="78mm",'Tube Cutting'!D18,"")</f>
        <v/>
      </c>
      <c r="DJ12" t="str">
        <f>IF('Tube Cutting'!C18="85mm",'Tube Cutting'!D18,"")</f>
        <v/>
      </c>
      <c r="DK12" t="str">
        <f>IF(AND('Job Sheet'!P18="Gearbox",'Tube Cutting'!C18="50mm"),1,"")</f>
        <v/>
      </c>
      <c r="DL12" t="str">
        <f>IF(AND('Job Sheet'!P18&lt;&gt;"Spring",'Tube Cutting'!C18="50mm"),1,"")</f>
        <v/>
      </c>
      <c r="DM12" t="str">
        <f>IF(AND('Job Sheet'!P18="Gearbox",'Tube Cutting'!C18="63mm"),1,"")</f>
        <v/>
      </c>
      <c r="DN12" t="str">
        <f>IF(AND('Job Sheet'!P18&lt;&gt;"Spring",'Tube Cutting'!C18="63mm"),1,"")</f>
        <v/>
      </c>
      <c r="DO12" t="str">
        <f>IF(AND('Job Sheet'!P18="Gearbox",'Tube Cutting'!C18="70mm"),1,"")</f>
        <v/>
      </c>
      <c r="DP12" t="str">
        <f>IF(AND('Job Sheet'!P18&lt;&gt;"Spring",'Tube Cutting'!C18="70mm"),1,"")</f>
        <v/>
      </c>
      <c r="DQ12" t="str">
        <f>IF(AND('Job Sheet'!P18="Gearbox",'Tube Cutting'!C18="78mm"),1,"")</f>
        <v/>
      </c>
      <c r="DR12" t="str">
        <f>IF(AND('Job Sheet'!P18&lt;&gt;"Spring",'Tube Cutting'!C18="78mm"),1,"")</f>
        <v/>
      </c>
      <c r="DS12" t="str">
        <f>IF(AND('Job Sheet'!P18="Gearbox",'Tube Cutting'!C18="85mm"),1,"")</f>
        <v/>
      </c>
      <c r="DT12" t="str">
        <f>IF(AND('Job Sheet'!P18&lt;&gt;"Spring",'Tube Cutting'!C18="85mm"),1,"")</f>
        <v/>
      </c>
      <c r="DU12" t="str">
        <f>IF('Tube Cutting'!I18="Custom Powdercoat",'Tube Cutting'!F18,"")</f>
        <v/>
      </c>
      <c r="DV12" t="str">
        <f>IF('Tube Cutting'!I18="Ebony (Black)",'Tube Cutting'!F18,"")</f>
        <v/>
      </c>
      <c r="DW12" t="str">
        <f>IF('Tube Cutting'!I18="Caulfield Green",'Tube Cutting'!F18,"")</f>
        <v/>
      </c>
      <c r="DX12" t="str">
        <f>IF('Tube Cutting'!I18="Charcoal (Monument)",'Tube Cutting'!F18,"")</f>
        <v/>
      </c>
      <c r="DY12" t="str">
        <f>IF('Tube Cutting'!I18="Dune",'Tube Cutting'!F18,"")</f>
        <v/>
      </c>
      <c r="DZ12" t="str">
        <f>IF('Tube Cutting'!I18="Heritage Red (Manor Red)",'Tube Cutting'!F18,"")</f>
        <v/>
      </c>
      <c r="EA12" t="str">
        <f>IF('Tube Cutting'!I18="Ironstone",'Tube Cutting'!F18,"")</f>
        <v/>
      </c>
      <c r="EB12" t="str">
        <f>IF('Tube Cutting'!I18="Jasper",'Tube Cutting'!F18,"")</f>
        <v/>
      </c>
      <c r="EC12" t="str">
        <f>IF('Tube Cutting'!I18="Merino (Paperbark)",'Tube Cutting'!F18,"")</f>
        <v/>
      </c>
      <c r="ED12" t="str">
        <f>IF('Tube Cutting'!I18="Mist Green",'Tube Cutting'!F18,"")</f>
        <v/>
      </c>
      <c r="EE12" t="str">
        <f>IF('Tube Cutting'!I18="Mountain Blue",'Tube Cutting'!F18,"")</f>
        <v/>
      </c>
      <c r="EF12" t="str">
        <f>IF('Tube Cutting'!I18="Smooth Cream (Classic Cream)",'Tube Cutting'!F18,"")</f>
        <v/>
      </c>
      <c r="EG12" t="str">
        <f>IF('Tube Cutting'!I18="Shale Grey",'Tube Cutting'!F18,"")</f>
        <v/>
      </c>
      <c r="EH12" t="str">
        <f>IF('Tube Cutting'!I18="Slate Grey (Woodland Grey)",'Tube Cutting'!F18,"")</f>
        <v/>
      </c>
      <c r="EI12" t="str">
        <f>IF('Tube Cutting'!I18="Surf Mist",'Tube Cutting'!F18,"")</f>
        <v/>
      </c>
      <c r="EJ12" t="str">
        <f>IF('Tube Cutting'!I18="White",'Tube Cutting'!F18,"")</f>
        <v/>
      </c>
      <c r="EK12" t="str">
        <f>IF(AND('Job Sheet'!AD18="Standard Zinc",'Job Sheet'!P18&lt;&gt;"Spring"),1,"")</f>
        <v/>
      </c>
      <c r="EL12" t="str">
        <f>IF(AND('Job Sheet'!AD18="Stainless Steel",'Job Sheet'!P18&lt;&gt;"Spring"),1,"")</f>
        <v/>
      </c>
      <c r="EM12" t="str">
        <f>IF('Job Sheet'!P18="Spring",1,"")</f>
        <v/>
      </c>
      <c r="EN12" t="str">
        <f t="shared" si="2"/>
        <v/>
      </c>
      <c r="EO12" t="str">
        <f>IF('Job Sheet'!AJ18="50mm Small",1,"")</f>
        <v/>
      </c>
      <c r="EP12" t="str">
        <f>IF('Job Sheet'!AJ18="50mm Std",1,"")</f>
        <v/>
      </c>
      <c r="EQ12" t="str">
        <f>IF('Job Sheet'!AJ18="63mm Std",1,"")</f>
        <v/>
      </c>
      <c r="FZ12" t="str">
        <f>IF(AND('Job Sheet'!O18="U Bracket",'Job Sheet'!AD18="Standard Zinc"),2,"")</f>
        <v/>
      </c>
      <c r="GA12" t="str">
        <f>IF(AND('Job Sheet'!O18="U Bracket",'Job Sheet'!AD18="Stainless Steel"),2,"")</f>
        <v/>
      </c>
      <c r="GB12" t="str">
        <f t="shared" si="3"/>
        <v/>
      </c>
      <c r="GG12" t="str">
        <f>IF(AND('Job Sheet'!AD18="Standard Zinc",'Job Sheet'!K18="Spring Brackets"),2,"")</f>
        <v/>
      </c>
      <c r="GH12" t="str">
        <f>IF(AND('Job Sheet'!AD18="Stainless Steel",'Job Sheet'!K18="Spring Brackets"),2,"")</f>
        <v/>
      </c>
      <c r="GJ12" t="str">
        <f>IF('Job Sheet'!AC18="Yes x 1",1,IF('Job Sheet'!AC18="Yes x 2",2,""))</f>
        <v/>
      </c>
      <c r="GL12" t="str">
        <f>IF('Job Sheet'!AB18="Telescopic x 1",1,IF('Job Sheet'!AB18="Telescopic x 2",2,IF('Job Sheet'!AB18="Telescopic x 3",3,+IF('Job Sheet'!AC18="Telescopic x 1",1,IF('Job Sheet'!AC18="Telescopic x 2",2,IF('Job Sheet'!AC18="Telescopic x 3",3,""))))))</f>
        <v/>
      </c>
      <c r="GM12" t="str">
        <f>IF(AND('Job Sheet'!P18="Gearbox",'Job Sheet'!R18="Black"),1,"")</f>
        <v/>
      </c>
      <c r="GN12" t="str">
        <f>IF(AND('Job Sheet'!P18="Gearbox",'Job Sheet'!R18="White"),1,"")</f>
        <v/>
      </c>
      <c r="GO12" t="str">
        <f>IF('Job Sheet'!Y18="Black Crank Handle 1000mm",1,"")</f>
        <v/>
      </c>
      <c r="GP12" t="str">
        <f>IF('Job Sheet'!Y18="Black Crank Handle 1200mm",1,"")</f>
        <v/>
      </c>
      <c r="GQ12" t="str">
        <f>IF('Job Sheet'!Y18="Black Crank Handle 1500mm",1,"")</f>
        <v/>
      </c>
      <c r="GR12" t="str">
        <f>IF('Job Sheet'!Y18="Black Crank Handle 1800mm",1,"")</f>
        <v/>
      </c>
      <c r="GS12" t="str">
        <f>IF('Job Sheet'!Y18="Black Crank Handle 2200mm",1,"")</f>
        <v/>
      </c>
      <c r="GT12" t="str">
        <f>IF('Job Sheet'!Y18="Black Crank Handle 2500mm",1,"")</f>
        <v/>
      </c>
      <c r="GU12" t="str">
        <f>IF('Job Sheet'!Y18="Black Crank Handle 3000mm",1,"")</f>
        <v/>
      </c>
      <c r="GV12" t="str">
        <f>IF('Job Sheet'!Y18="White Crank Handle 1000mm",1,"")</f>
        <v/>
      </c>
      <c r="GW12" t="str">
        <f>IF('Job Sheet'!Y18="White Crank Handle 1200mm",1,"")</f>
        <v/>
      </c>
      <c r="GX12" t="str">
        <f>IF('Job Sheet'!Y18="White Crank Handle 1500mm",1,"")</f>
        <v/>
      </c>
      <c r="GY12" t="str">
        <f>IF('Job Sheet'!Y18="White Crank Handle 1800mm",1,"")</f>
        <v/>
      </c>
      <c r="GZ12" t="str">
        <f>IF('Job Sheet'!Y18="White Crank Handle 2200mm",1,"")</f>
        <v/>
      </c>
      <c r="HA12" t="str">
        <f>IF('Job Sheet'!Y18="White Crank Handle 2500mm",1,"")</f>
        <v/>
      </c>
      <c r="HB12" t="str">
        <f>IF('Job Sheet'!Y18="White Crank Handle 3000mm",1,"")</f>
        <v/>
      </c>
      <c r="HC12" t="str">
        <f>IF(AND('Job Sheet'!AH18="900mm",'Job Sheet'!AD18="Standard Zinc"),2,"")</f>
        <v/>
      </c>
      <c r="HD12" t="str">
        <f>IF(AND('Job Sheet'!AH18="1200mm",'Job Sheet'!AD18="Standard Zinc"),2,"")</f>
        <v/>
      </c>
      <c r="HE12" t="str">
        <f>IF(AND('Job Sheet'!AH18="1500mm",'Job Sheet'!AD18="Standard Zinc"),2,"")</f>
        <v/>
      </c>
      <c r="HF12" t="str">
        <f>IF(AND('Job Sheet'!AH18="1800mm",'Job Sheet'!AD18="Standard Zinc"),2,"")</f>
        <v/>
      </c>
      <c r="HG12" t="str">
        <f>IF(AND('Job Sheet'!AH18="2100mm",'Job Sheet'!AD18="Standard Zinc"),2,"")</f>
        <v/>
      </c>
      <c r="HH12" t="str">
        <f>IF(AND('Job Sheet'!AH18="2400mm",'Job Sheet'!AD18="Standard Zinc"),2,"")</f>
        <v/>
      </c>
      <c r="HI12" t="str">
        <f>IF(AND('Job Sheet'!AH18="2700mm",'Job Sheet'!AD18="Standard Zinc"),2,"")</f>
        <v/>
      </c>
      <c r="HJ12" t="str">
        <f>IF(AND('Job Sheet'!AH18="3000mm",'Job Sheet'!AD18="Standard Zinc"),2,"")</f>
        <v/>
      </c>
      <c r="HK12" t="str">
        <f>IF(AND('Job Sheet'!AH18="3500mm",'Job Sheet'!AD18="Standard Zinc"),2,"")</f>
        <v/>
      </c>
      <c r="HL12" t="str">
        <f>IF(AND('Job Sheet'!AH18="900mm",'Job Sheet'!AD18="Stainless Steel"),2,"")</f>
        <v/>
      </c>
      <c r="HM12" t="str">
        <f>IF(AND('Job Sheet'!AH18="1200mm",'Job Sheet'!AD18="Stainless Steel"),2,"")</f>
        <v/>
      </c>
      <c r="HN12" t="str">
        <f>IF(AND('Job Sheet'!AH18="1500mm",'Job Sheet'!AD18="Stainless Steel"),2,"")</f>
        <v/>
      </c>
      <c r="HO12" t="str">
        <f>IF(AND('Job Sheet'!AH18="1800mm",'Job Sheet'!AD18="Stainless Steel"),2,"")</f>
        <v/>
      </c>
      <c r="HP12" t="str">
        <f>IF(AND('Job Sheet'!AH18="2100mm",'Job Sheet'!AD18="Stainless Steel"),2,"")</f>
        <v/>
      </c>
      <c r="HQ12" t="str">
        <f>IF(AND('Job Sheet'!AH18="2400mm",'Job Sheet'!AD18="Stainless Steel"),2,"")</f>
        <v/>
      </c>
      <c r="HR12" t="str">
        <f>IF(AND('Job Sheet'!AH18="2700mm",'Job Sheet'!AD18="Stainless Steel"),2,"")</f>
        <v/>
      </c>
      <c r="HS12" t="str">
        <f>IF(AND('Job Sheet'!AH18="3000mm",'Job Sheet'!AD18="Stainless Steel"),2,"")</f>
        <v/>
      </c>
      <c r="HT12" t="str">
        <f>IF('Tube Cutting'!G18="","",'Tube Cutting'!F18*2-120)</f>
        <v/>
      </c>
      <c r="HU12" t="str">
        <f>IF(AND('Job Sheet'!O18="150mm L Bracket",'Job Sheet'!AD18="Standard Zinc"),2,"")</f>
        <v/>
      </c>
      <c r="HV12" t="str">
        <f>IF(AND('Job Sheet'!O18="225mm L Bracket",'Job Sheet'!AD18="Standard Zinc"),2,"")</f>
        <v/>
      </c>
      <c r="HW12" t="str">
        <f>IF(AND('Job Sheet'!O18="300mm L Bracket",'Job Sheet'!AD18="Standard Zinc"),2,"")</f>
        <v/>
      </c>
      <c r="HX12" t="str">
        <f>IF(AND('Job Sheet'!O18="450mm L Bracket",'Job Sheet'!AD18="Standard Zinc"),2,"")</f>
        <v/>
      </c>
      <c r="HY12" t="str">
        <f>IF(AND('Job Sheet'!O18="600mm L Bracket",'Job Sheet'!AD18="Standard Zinc"),2,"")</f>
        <v/>
      </c>
      <c r="HZ12" t="str">
        <f>IF(AND('Job Sheet'!O18="150mm L Bracket",'Job Sheet'!AD18="Stainless Steel"),2,"")</f>
        <v/>
      </c>
      <c r="IA12" t="str">
        <f>IF(AND('Job Sheet'!O18="225mm L Bracket",'Job Sheet'!AD18="Stainless Steel"),2,"")</f>
        <v/>
      </c>
      <c r="IB12" t="str">
        <f>IF(AND('Job Sheet'!O18="300mm L Bracket",'Job Sheet'!AD18="Stainless Steel"),2,"")</f>
        <v/>
      </c>
      <c r="IC12" t="str">
        <f t="shared" si="4"/>
        <v/>
      </c>
      <c r="ID12" t="str">
        <f>IF(AND('Job Sheet'!AD18="Standard Zinc",(OR('Job Sheet'!Y18="150mm Stayed Bracket with No Pulleys and Rope Cleat",'Job Sheet'!Y18="150mm Stayed Bracket with 1 Pulley and Rope Cleat",'Job Sheet'!Y18="150mm Stayed Bracket with 2 Pulleys and Rope Cleat"))),1,"")</f>
        <v/>
      </c>
      <c r="IE12" t="str">
        <f>IF(AND('Job Sheet'!AD18="Standard Zinc",(OR('Job Sheet'!Y18="225mm Stayed Bracket with No Pulleys and Rope Cleat",'Job Sheet'!Y18="225mm Stayed Bracket with 1 Pulley and Rope Cleat",'Job Sheet'!Y18="225mm Stayed Bracket with 2 Pulleys and Rope Cleat"))),1,"")</f>
        <v/>
      </c>
      <c r="IF12" t="str">
        <f>IF(AND('Job Sheet'!AD18="Standard Zinc",(OR('Job Sheet'!Y18="300mm Stayed Bracket with No Pulleys and Rope Cleat",'Job Sheet'!Y18="300mm Stayed Bracket with 1 Pulley and Rope Cleat",'Job Sheet'!Y18="300mm Stayed Bracket with 2 Pulleys and Rope Cleat"))),1,"")</f>
        <v/>
      </c>
      <c r="IG12" t="str">
        <f>IF(AND('Job Sheet'!AD18="Stainless Steel",OR('Job Sheet'!Y18="150mm Stayed Bracket with No Pulleys and Rope Cleat",'Job Sheet'!Y18="150mm Stayed Bracket with 1 Pulley and Rope Cleat",'Job Sheet'!Y18="150mm Stayed Bracket with 2 Pulleys and Rope Cleat")),1,"")</f>
        <v/>
      </c>
      <c r="IH12" t="str">
        <f>IF(AND('Job Sheet'!Y18="300mm Stayed Bracket with 1 Pulley and Rope Cleat",'Job Sheet'!AD18="Stainless Steel"),1,"")</f>
        <v/>
      </c>
      <c r="II12" t="str">
        <f>IF(OR('Job Sheet'!Y18="150mm Stayed Bracket with 1 Pulley and Rope Cleat",'Job Sheet'!Y18="225mm Stayed Bracket with 1 Pulley and Rope Cleat",'Job Sheet'!Y18="300mm Stayed Bracket with 1 Pulley and Rope Cleat",'Job Sheet'!Y18="With 1 Pulley and Rope Cleat"),"1",IF(OR('Job Sheet'!Y18="150mm Stayed Bracket with 2 Pulleys and Rope Cleat",'Job Sheet'!Y18="225mm Stayed Bracket with 2 Pulleys and Rope Cleat",'Job Sheet'!Y18="300mm Stayed Bracket with 2 Pulleys and Rope Cleat",'Job Sheet'!Y18="With 2 Pulleys and Rope Cleat"),"2",""))</f>
        <v/>
      </c>
      <c r="IJ12" t="str">
        <f>IF(OR('Job Sheet'!Y18="150mm Stayed Bracket with No Pulleys and Rope Cleat",'Job Sheet'!Y18="150mm Stayed Bracket with 1 Pulley and Rope Cleat",'Job Sheet'!Y18="150mm Stayed Bracket with 2 Pulleys and Rope Cleat",'Job Sheet'!Y18="225mm Stayed Bracket with No Pulleys and Rope Cleat",'Job Sheet'!Y18="225mm Stayed Bracket with 1 Pulley and Rope Cleat",'Job Sheet'!Y18="225mm Stayed Bracket with 2 Pulleys and Rope Cleat",'Job Sheet'!Y18="300mm Stayed Bracket with No Pulleys and Rope Cleat",'Job Sheet'!Y18="300mm Stayed Bracket with 1 Pulley and Rope Cleat",'Job Sheet'!Y18="300mm Stayed Bracket with 2 Pulleys and Rope Cleat",'Job Sheet'!Y18="With No Pulleys and Rope Cleat",'Job Sheet'!Y18="With 1 Pulley and Rope Cleat",'Job Sheet'!Y18="With 2 Pulleys and Rope Cleat",),"1","")</f>
        <v/>
      </c>
      <c r="IK12" t="str">
        <f>IF('Job Sheet'!R18="Black Cord 2m","2",IF('Job Sheet'!R18="Black Cord 3m","3",IF('Job Sheet'!R18="Black Cord 4m","4",IF('Job Sheet'!R18="Black Cord 5m","5",IF('Job Sheet'!R18="Black Cord 6m","6","")))))</f>
        <v/>
      </c>
      <c r="IL12" t="str">
        <f>IF('Job Sheet'!R18="White Cord 2m","2",IF('Job Sheet'!R18="White Cord 3m","3",IF('Job Sheet'!R18="White Cord 4m","4",IF('Job Sheet'!R18="White Cord 5m","5",IF('Job Sheet'!R18="White Cord 6m","6","")))))</f>
        <v/>
      </c>
      <c r="IM12" t="str">
        <f>IF(AND('Job Sheet'!K18="Powder Coated Brackets",'Job Sheet'!L18="Black"),2,"")</f>
        <v/>
      </c>
      <c r="IN12" t="str">
        <f>IF(AND('Job Sheet'!K18="Powder Coated Brackets",'Job Sheet'!L18="White"),2,"")</f>
        <v/>
      </c>
      <c r="IQ12" t="str">
        <f>IF('Job Sheet'!L18="Stainless Steel",2,"")</f>
        <v/>
      </c>
      <c r="JD12" t="str">
        <f>IF('Job Sheet'!AB18="25mm x 1",1,IF('Job Sheet'!AB18="25mm x 2",2,""))</f>
        <v/>
      </c>
      <c r="JE12" t="str">
        <f>IF('Job Sheet'!AB18="50mm x 1",1,IF('Job Sheet'!AB18="50mm x 2",2,""))</f>
        <v/>
      </c>
      <c r="JF12" t="str">
        <f>IF('Job Sheet'!AB18="75mm x 1",1,IF('Job Sheet'!AB18="75mm x 2",2,""))</f>
        <v/>
      </c>
      <c r="JG12" t="str">
        <f>IF('Job Sheet'!AB18="100mm x 1",1,IF('Job Sheet'!AB18="100mm x 2",2,""))</f>
        <v/>
      </c>
      <c r="JH12" t="str">
        <f>IF('Job Sheet'!AB18="125mm x 1",1,IF('Job Sheet'!AB18="125mm x 2",2,""))</f>
        <v/>
      </c>
      <c r="JN12" t="str">
        <f>IF('Job Sheet'!AA18="25mm x 1",1,IF('Job Sheet'!AA18="25mm x 2",2,""))</f>
        <v/>
      </c>
      <c r="JO12" t="str">
        <f>IF('Job Sheet'!AA18="50mm x 1",1,IF('Job Sheet'!AA18="50mm x 2",2,""))</f>
        <v/>
      </c>
      <c r="JP12" t="str">
        <f>IF('Job Sheet'!AA18="75mm x 1",1,IF('Job Sheet'!AA18="75mm x 2",2,""))</f>
        <v/>
      </c>
      <c r="JQ12" t="str">
        <f>IF('Job Sheet'!AA18="100mm x 1",1,IF('Job Sheet'!AA18="100mm x 2",2,""))</f>
        <v/>
      </c>
      <c r="JR12" t="str">
        <f>IF('Job Sheet'!AA18="125mm x 1",1,IF('Job Sheet'!AA18="125mm x 2",2,""))</f>
        <v/>
      </c>
      <c r="JS12" t="str">
        <f>IF('Welding&amp;Sewing'!D18="3.6mm White",'Fabric Cutting'!G18*2,'Fabric Cutting'!G18)</f>
        <v/>
      </c>
      <c r="JT12" t="str">
        <f>IF('Welding&amp;Sewing'!D18="6mm Black",'Fabric Cutting'!G18,"")</f>
        <v/>
      </c>
      <c r="MB12" t="str">
        <f>IF('Job Sheet'!P18="Acmeda Remote Motor",1,"")</f>
        <v/>
      </c>
      <c r="MC12" t="str">
        <f>IF(AND('Tube Cutting'!C18="63mm",'Job Sheet'!P18="Acmeda Remote Motor"),1,"")</f>
        <v/>
      </c>
      <c r="MD12" t="str">
        <f>IF(AND('Tube Cutting'!C18="63mm",'Job Sheet'!P18="Acmeda Remote Motor"),1,"")</f>
        <v/>
      </c>
      <c r="ME12" t="str">
        <f>IF(AND('Tube Cutting'!C18="78mm",'Job Sheet'!P18="Acmeda Remote Motor"),1,"")</f>
        <v/>
      </c>
      <c r="MF12" t="str">
        <f>IF(AND('Tube Cutting'!C18="78mm",'Job Sheet'!P18="Acmeda Remote Motor"),1,"")</f>
        <v/>
      </c>
      <c r="MG12" t="str">
        <f>IF('Job Sheet'!P18="Acmeda 12v Remote Motor",1,"")</f>
        <v/>
      </c>
      <c r="MH12" t="str">
        <f>IF(OR('Job Sheet'!Z18="External Battery",'Job Sheet'!Z18="External Battery and Charging Cable"),1,"")</f>
        <v/>
      </c>
      <c r="MI12" t="str">
        <f>IF('Job Sheet'!Z18="External Battery and Charging Cable",1,"")</f>
        <v/>
      </c>
      <c r="MJ12" t="str">
        <f>IF('Job Sheet'!Z18="Pulse 2.0 Automation Hub",1,"")</f>
        <v/>
      </c>
      <c r="MK12" t="str">
        <f>IF('Job Sheet'!Z18="USB Repeater",1,"")</f>
        <v/>
      </c>
      <c r="ML12" t="str">
        <f>IF('Job Sheet'!Y18="Acmeda 1 Channel White Remote",1,"")</f>
        <v/>
      </c>
      <c r="MM12" t="str">
        <f>IF('Job Sheet'!Y18="Acmeda 1 Channel Black Remote",1,"")</f>
        <v/>
      </c>
      <c r="MN12" t="str">
        <f>IF('Job Sheet'!Y18="Acmeda 5 Channel White Remote",1,"")</f>
        <v/>
      </c>
      <c r="MO12" t="str">
        <f>IF('Job Sheet'!Y18="Acmeda 5 Channel Black Remote",1,"")</f>
        <v/>
      </c>
      <c r="MP12" t="str">
        <f>IF('Job Sheet'!Y18="Acmeda 15 Channel White Remote",1,"")</f>
        <v/>
      </c>
      <c r="MQ12" t="str">
        <f>IF('Job Sheet'!Y18="Acmeda 15 Channel Black Remote",1,"")</f>
        <v/>
      </c>
      <c r="MR12" t="str">
        <f>IF('Job Sheet'!Y18="Acmeda Wall Mounted 5 Channel White Remote",1,"")</f>
        <v/>
      </c>
      <c r="MS12" t="str">
        <f>IF('Job Sheet'!Y18="Acmeda Wall Mounted Single Channel White Remote",1,"")</f>
        <v/>
      </c>
      <c r="MT12" t="str">
        <f>IF('Job Sheet'!Y18="Acmeda Wall Mounted 2 Channel White Remote",1,"")</f>
        <v/>
      </c>
      <c r="MU12" t="str">
        <f>IF('Job Sheet'!Y18="Acmeda Wall Mounted 15 Channel White Remote",1,"")</f>
        <v/>
      </c>
      <c r="MV12" t="str">
        <f>IF('Job Sheet'!Y18="Acmeda Push Pro White Remote with Charger",1,"")</f>
        <v/>
      </c>
      <c r="MW12" t="str">
        <f>IF('Job Sheet'!Y18="Acmeda Push Pro Black Remote with Charger",1,"")</f>
        <v/>
      </c>
      <c r="MX12" t="str">
        <f>IF(OR('Job Sheet'!Y18="Acmeda Push Pro White Remote with Charger",'Job Sheet'!Y18="Acmeda Push Pro Black Remote with Charger"),"1","")</f>
        <v/>
      </c>
      <c r="MY12" t="str">
        <f t="shared" si="5"/>
        <v/>
      </c>
      <c r="NA12" t="str">
        <f>IF('Job Sheet'!Z18="1 Channel Dry Contact Relay Module",1,"")</f>
        <v/>
      </c>
      <c r="ND12" t="str">
        <f>IF('Job Sheet'!P18="Becker Remote Operated",1,"")</f>
        <v/>
      </c>
      <c r="NF12" t="str">
        <f>IF('Job Sheet'!P18="Becker Switch Operated",1,"")</f>
        <v/>
      </c>
      <c r="NG12" t="str">
        <f>IF(AND('Tube Cutting'!C18="63mm",(OR('Job Sheet'!P18="Becker Remote Operated",'Job Sheet'!P18="Becker Switch Operated"))),1,"")</f>
        <v/>
      </c>
      <c r="NH12" t="str">
        <f>IF(AND('Tube Cutting'!C18="63mm",(OR('Job Sheet'!P18="Becker Remote Operated",'Job Sheet'!P18="Becker Switch Operated"))),1,"")</f>
        <v/>
      </c>
      <c r="NI12" t="str">
        <f>IF(OR('Job Sheet'!P18="Becker Remote Operated",'Job Sheet'!P18="Becker Switch Operated"),1,"")</f>
        <v/>
      </c>
      <c r="NK12" t="str">
        <f>IF(AND('Tube Cutting'!C18="78mm",(OR('Job Sheet'!P18="Becker Remote Operated",'Job Sheet'!P18="Becker Switch Operated"))),1,"")</f>
        <v/>
      </c>
      <c r="NL12" t="str">
        <f>IF(AND('Tube Cutting'!C18="78mm",'Job Sheet'!P18="Becker Remote Operated"),1,"")</f>
        <v/>
      </c>
      <c r="NM12" t="str">
        <f>IF('Job Sheet'!Y18="Becker Single Channel White Remote",1,"")</f>
        <v/>
      </c>
      <c r="NN12" t="str">
        <f>IF('Job Sheet'!Y18="Becker Single Channel Black Remote",1,"")</f>
        <v/>
      </c>
      <c r="NO12" t="str">
        <f>IF('Job Sheet'!Y18="Becker 5 Channel White Remote",1,"")</f>
        <v/>
      </c>
      <c r="NP12" t="str">
        <f>IF('Job Sheet'!Y18="Becker 5 Channel Black Remote",1,"")</f>
        <v/>
      </c>
      <c r="NQ12" t="str">
        <f>IF('Job Sheet'!Y18="Becker 10 Channel White Remote",1,"")</f>
        <v/>
      </c>
      <c r="NR12" t="str">
        <f>IF('Job Sheet'!Y18="Becker 10 Channel Black Remote",1,"")</f>
        <v/>
      </c>
      <c r="NS12" t="s">
        <v>617</v>
      </c>
      <c r="NT12" t="str">
        <f>IF('Job Sheet'!P18="Somfy Remote Operated",1,"")</f>
        <v/>
      </c>
      <c r="NV12" t="str">
        <f>IF('Job Sheet'!P18="Somfy Remote Operated",1,"")</f>
        <v/>
      </c>
      <c r="NW12" t="str">
        <f>IF(AND('Tube Cutting'!C18="63mm",'Job Sheet'!P18="Somfy Remote Operated"),1,"")</f>
        <v/>
      </c>
      <c r="NX12" t="str">
        <f>IF(AND('Tube Cutting'!C18="63mm",'Job Sheet'!P18="Somfy Remote Operated"),1,"")</f>
        <v/>
      </c>
      <c r="NY12" t="str">
        <f>IF(AND('Tube Cutting'!C18="78mm",'Job Sheet'!P18="Somfy Remote Operated"),1,"")</f>
        <v/>
      </c>
      <c r="NZ12" t="str">
        <f>IF(AND('Tube Cutting'!C18="78mm",'Job Sheet'!P18="Somfy Remote Operated"),1,"")</f>
        <v/>
      </c>
      <c r="OA12" t="str">
        <f>IF('Job Sheet'!Z18="Connexoon App Connector",1,"")</f>
        <v/>
      </c>
      <c r="OB12" t="str">
        <f>IF('Job Sheet'!Z18="Tahoma Switch",1,"")</f>
        <v/>
      </c>
      <c r="OC12" t="str">
        <f>IF('Job Sheet'!Y18="Somfy 15 Channel Silver Remote",1,"")</f>
        <v/>
      </c>
      <c r="OD12" t="str">
        <f>IF('Job Sheet'!Y18="Somfy 15 Channel White Remote",1,"")</f>
        <v/>
      </c>
      <c r="OE12" t="str">
        <f>IF('Job Sheet'!Y18="Somfy 2 Channel Silver Remote",1,"")</f>
        <v/>
      </c>
      <c r="OF12" t="str">
        <f>IF('Job Sheet'!Y18="Somfy 2 Channel Wall Mounted Smoove Remote White with Black Cover Plate",1,"")</f>
        <v/>
      </c>
      <c r="OG12" t="str">
        <f>IF('Job Sheet'!Y18="Somfy 2 Channel Wall Mounted Smoove Remote White with Silver Cover Plate",1,"")</f>
        <v/>
      </c>
      <c r="OH12" t="str">
        <f>IF('Job Sheet'!Y18="Somfy 2 Channel Wall Mounted Smoove Remote White",1,"")</f>
        <v/>
      </c>
      <c r="OI12" t="str">
        <f>IF('Job Sheet'!Y18="Somfy 2 Channel White Remote",1,"")</f>
        <v/>
      </c>
      <c r="OJ12" t="str">
        <f>IF('Job Sheet'!Y18="Somfy 2 Channel Silver Remote",1,"")</f>
        <v/>
      </c>
      <c r="OK12" t="str">
        <f>IF('Job Sheet'!Y18="Somfy 5 Channel Wall Mounted Smoove Remote White with Black Cover Plate",1,"")</f>
        <v/>
      </c>
      <c r="OL12" t="str">
        <f>IF('Job Sheet'!Y18="Somfy 5 Channel Wall Mounted Smoove Remote White with Silver Cover Plate",1,"")</f>
        <v/>
      </c>
      <c r="OM12" t="str">
        <f>IF('Job Sheet'!Y18="Somfy 5 Channel Wall Mounted Smoove Remote White",1,"")</f>
        <v/>
      </c>
      <c r="ON12" t="str">
        <f>IF('Job Sheet'!Y18="Somfy 5 Channel White Remote",1,"")</f>
        <v/>
      </c>
      <c r="OO12" t="str">
        <f>IF('Job Sheet'!Y18="Somfy Single Channel Silver Remote",1,"")</f>
        <v/>
      </c>
      <c r="OP12" t="str">
        <f>IF('Job Sheet'!Y18="Somfy Single Channel Wall Mounted Smoove Remote White with Black Cover Plate",1,"")</f>
        <v/>
      </c>
      <c r="OQ12" t="str">
        <f>IF('Job Sheet'!Y18="Somfy Single Channel Wall Mounted Smoove Remote White with Silver Cover Plate",1,"")</f>
        <v/>
      </c>
      <c r="OR12" t="str">
        <f>IF('Job Sheet'!Y18="Somfy Single Channel Wall Mounted Smoove Remote White",1,"")</f>
        <v/>
      </c>
      <c r="OS12" t="str">
        <f>IF('Job Sheet'!Y18="Somfy Single Channel White Remote",1,"")</f>
        <v/>
      </c>
    </row>
    <row r="13" spans="4:409" ht="13.15" customHeight="1">
      <c r="D13" t="str">
        <f>IF('Tube Cutting'!D19="","",CONCATENATE(Data!BC$5,".",Data!BD$5))</f>
        <v/>
      </c>
      <c r="E13" t="str">
        <f>IF(D13="","",Data!AW19)</f>
        <v/>
      </c>
      <c r="F13" t="str">
        <f>IF(D13="","",Data!AV19)</f>
        <v/>
      </c>
      <c r="G13" t="str">
        <f t="shared" si="0"/>
        <v/>
      </c>
      <c r="H13" t="str">
        <f>IF(D13="","",Data!BF$5)</f>
        <v/>
      </c>
      <c r="I13" t="str">
        <f>IF(D13="","",Data!AX$5)</f>
        <v/>
      </c>
      <c r="J13" t="str">
        <f>'Job Sheet'!H19</f>
        <v/>
      </c>
      <c r="K13" t="str">
        <f t="shared" si="1"/>
        <v/>
      </c>
      <c r="L13" s="33" t="str">
        <f>'Fabric Cutting'!G19</f>
        <v/>
      </c>
      <c r="M13" s="33" t="str">
        <f>'Fabric Cutting'!H19</f>
        <v/>
      </c>
      <c r="N13" t="str">
        <f>IF(AND('Job Sheet'!K19="Colourbond Under-Roll Hooding",'Job Sheet'!L19="Custom Powdercoat"),'Tube Cutting'!J19,"")</f>
        <v/>
      </c>
      <c r="O13" t="str">
        <f>IF(AND('Job Sheet'!K19="Colourbond Under-Roll Hooding",'Job Sheet'!L19="Ebony (Black)"),'Tube Cutting'!J19,"")</f>
        <v/>
      </c>
      <c r="P13" t="str">
        <f>IF(AND('Job Sheet'!K19="Colourbond Under-Roll Hooding",'Job Sheet'!L19="Caulfield Green"),'Tube Cutting'!J19,"")</f>
        <v/>
      </c>
      <c r="Q13" t="str">
        <f>IF(AND('Job Sheet'!K19="Colourbond Under-Roll Hooding",'Job Sheet'!L19="Charcoal (Monument)"),'Tube Cutting'!J19,"")</f>
        <v/>
      </c>
      <c r="R13" t="str">
        <f>IF(AND('Job Sheet'!K19="Colourbond Under-Roll Hooding",'Job Sheet'!L19="Dune"),'Tube Cutting'!J19,"")</f>
        <v/>
      </c>
      <c r="S13" t="str">
        <f>IF(AND('Job Sheet'!K19="Colourbond Under-Roll Hooding",'Job Sheet'!L19="Heritage Red (Manor Red)"),'Tube Cutting'!J19,"")</f>
        <v/>
      </c>
      <c r="T13" t="str">
        <f>IF(AND('Job Sheet'!K19="Colourbond Under-Roll Hooding",'Job Sheet'!L19="Ironstone"),'Tube Cutting'!J19,"")</f>
        <v/>
      </c>
      <c r="U13" t="str">
        <f>IF(AND('Job Sheet'!K19="Colourbond Under-Roll Hooding",'Job Sheet'!L19="Jasper"),'Tube Cutting'!J19,"")</f>
        <v/>
      </c>
      <c r="V13" t="str">
        <f>IF(AND('Job Sheet'!K19="Colourbond Under-Roll Hooding",'Job Sheet'!L19="Merino (Paperbark)"),'Tube Cutting'!J19,"")</f>
        <v/>
      </c>
      <c r="W13" t="str">
        <f>IF(AND('Job Sheet'!K19="Colourbond Under-Roll Hooding",'Job Sheet'!L19="Mist Green"),'Tube Cutting'!J19,"")</f>
        <v/>
      </c>
      <c r="X13" t="str">
        <f>IF(AND('Job Sheet'!K19="Colourbond Under-Roll Hooding",'Job Sheet'!L19="Mountain Blue"),'Tube Cutting'!J19,"")</f>
        <v/>
      </c>
      <c r="Y13" t="str">
        <f>IF(AND('Job Sheet'!K19="Colourbond Under-Roll Hooding",'Job Sheet'!L19="Smooth Cream (Classic Cream)"),'Tube Cutting'!J19,"")</f>
        <v/>
      </c>
      <c r="Z13" t="str">
        <f>IF(AND('Job Sheet'!K19="Colourbond Under-Roll Hooding",'Job Sheet'!L19="Shale Grey"),'Tube Cutting'!J19,"")</f>
        <v/>
      </c>
      <c r="AA13" t="str">
        <f>IF(AND('Job Sheet'!K19="Colourbond Under-Roll Hooding",'Job Sheet'!L19="Slate Grey (Woodland Grey)"),'Tube Cutting'!J19,"")</f>
        <v/>
      </c>
      <c r="AB13" t="str">
        <f>IF(AND('Job Sheet'!K19="Colourbond Under-Roll Hooding",'Job Sheet'!L19="Surfmist"),'Tube Cutting'!J19,"")</f>
        <v/>
      </c>
      <c r="AC13" t="str">
        <f>IF(AND('Job Sheet'!K19="Colourbond Under-Roll Hooding",'Job Sheet'!L19="White"),'Tube Cutting'!J19,"")</f>
        <v/>
      </c>
      <c r="AD13" t="str">
        <f>IF(AND('Job Sheet'!P19="Spring",'Job Sheet'!K19="Colourbond Under-Roll Hooding",'Job Sheet'!L19="Custom Powdercoat"),1,"")</f>
        <v/>
      </c>
      <c r="AE13" t="str">
        <f>IF(AND('Job Sheet'!P19="Spring",'Job Sheet'!K19="Colourbond Under-Roll Hooding",'Job Sheet'!L19="Ebony (Black)"),1,"")</f>
        <v/>
      </c>
      <c r="AF13" t="str">
        <f>IF(AND('Job Sheet'!P19="Spring",'Job Sheet'!K19="Colourbond Under-Roll Hooding",'Job Sheet'!L19="Caulfield Green"),1,"")</f>
        <v/>
      </c>
      <c r="AG13" t="str">
        <f>IF(AND('Job Sheet'!P19="Spring",'Job Sheet'!K19="Colourbond Under-Roll Hooding",'Job Sheet'!L19="Charcoal (Monument)"),1,"")</f>
        <v/>
      </c>
      <c r="AH13" t="str">
        <f>IF(AND('Job Sheet'!P19="Spring",'Job Sheet'!K19="Colourbond Under-Roll Hooding",'Job Sheet'!L19="Dune"),1,"")</f>
        <v/>
      </c>
      <c r="AI13" t="str">
        <f>IF(AND('Job Sheet'!P19="Spring",'Job Sheet'!K19="Colourbond Under-Roll Hooding",'Job Sheet'!L19="Heritage Red (Manor Red)"),1,"")</f>
        <v/>
      </c>
      <c r="AJ13" t="str">
        <f>IF(AND('Job Sheet'!P19="Spring",'Job Sheet'!K19="Colourbond Under-Roll Hooding",'Job Sheet'!L19="Ironstone"),1,"")</f>
        <v/>
      </c>
      <c r="AK13" t="str">
        <f>IF(AND('Job Sheet'!P19="Spring",'Job Sheet'!K19="Colourbond Under-Roll Hooding",'Job Sheet'!L19="Jasper"),1,"")</f>
        <v/>
      </c>
      <c r="AL13" t="str">
        <f>IF(AND('Job Sheet'!P19="Spring",'Job Sheet'!K19="Colourbond Under-Roll Hooding",'Job Sheet'!L19="Merino (Paperbark)"),1,"")</f>
        <v/>
      </c>
      <c r="AM13" t="str">
        <f>IF(AND('Job Sheet'!P19="Spring",'Job Sheet'!K19="Colourbond Under-Roll Hooding",'Job Sheet'!L19="Mist Green"),1,"")</f>
        <v/>
      </c>
      <c r="AN13" t="str">
        <f>IF(AND('Job Sheet'!P19="Spring",'Job Sheet'!K19="Colourbond Under-Roll Hooding",'Job Sheet'!L19="Mountain Blue"),1,"")</f>
        <v/>
      </c>
      <c r="AO13" t="str">
        <f>IF(AND('Job Sheet'!P19="Spring",'Job Sheet'!K19="Colourbond Under-Roll Hooding",'Job Sheet'!L19="Smooth Cream (Classic Cream)"),1,"")</f>
        <v/>
      </c>
      <c r="AP13" t="str">
        <f>IF(AND('Job Sheet'!P19="Spring",'Job Sheet'!K19="Colourbond Under-Roll Hooding",'Job Sheet'!L19="Shale Grey"),1,"")</f>
        <v/>
      </c>
      <c r="AQ13" t="str">
        <f>IF(AND('Job Sheet'!P19="Spring",'Job Sheet'!K19="Colourbond Under-Roll Hooding",'Job Sheet'!L19="Slate Grey (Woodland Grey)"),1,"")</f>
        <v/>
      </c>
      <c r="AR13" t="str">
        <f>IF(AND('Job Sheet'!P19="Spring",'Job Sheet'!K19="Colourbond Under-Roll Hooding",'Job Sheet'!L19="Surfmist"),1,"")</f>
        <v/>
      </c>
      <c r="AS13" t="str">
        <f>IF(AND('Job Sheet'!P19="Spring",'Job Sheet'!K19="Colourbond Under-Roll Hooding",'Job Sheet'!L19="White"),1,"")</f>
        <v/>
      </c>
      <c r="AT13" t="str">
        <f>IF(AND('Job Sheet'!P19&lt;&gt;"Spring",'Job Sheet'!K19="Colourbond Under-Roll Hooding",'Job Sheet'!L19="Custom Powdercoat"),1,"")</f>
        <v/>
      </c>
      <c r="AU13" t="str">
        <f>IF(AND('Job Sheet'!P19&lt;&gt;"Spring",'Job Sheet'!K19="Colourbond Under-Roll Hooding",'Job Sheet'!L19="Ebony (Black)"),1,"")</f>
        <v/>
      </c>
      <c r="AV13" t="str">
        <f>IF(AND('Job Sheet'!P19&lt;&gt;"Spring",'Job Sheet'!K19="Colourbond Under-Roll Hooding",'Job Sheet'!L19="Caulfield Green"),1,"")</f>
        <v/>
      </c>
      <c r="AW13" t="str">
        <f>IF(AND('Job Sheet'!P19&lt;&gt;"Spring",'Job Sheet'!K19="Colourbond Under-Roll Hooding",'Job Sheet'!L19="Charcoal (Monument)"),1,"")</f>
        <v/>
      </c>
      <c r="AX13" t="str">
        <f>IF(AND('Job Sheet'!P19&lt;&gt;"Spring",'Job Sheet'!K19="Colourbond Under-Roll Hooding",'Job Sheet'!L19="Dune"),1,"")</f>
        <v/>
      </c>
      <c r="AY13" t="str">
        <f>IF(AND('Job Sheet'!P19&lt;&gt;"Spring",'Job Sheet'!K19="Colourbond Under-Roll Hooding",'Job Sheet'!L19="Heritage Red (Manor Red)"),1,"")</f>
        <v/>
      </c>
      <c r="AZ13" t="str">
        <f>IF(AND('Job Sheet'!P19&lt;&gt;"Spring",'Job Sheet'!K19="Colourbond Under-Roll Hooding",'Job Sheet'!L19="Ironstone"),1,"")</f>
        <v/>
      </c>
      <c r="BA13" t="str">
        <f>IF(AND('Job Sheet'!P19&lt;&gt;"Spring",'Job Sheet'!K19="Colourbond Under-Roll Hooding",'Job Sheet'!L19="Jasper"),1,"")</f>
        <v/>
      </c>
      <c r="BB13" t="str">
        <f>IF(AND('Job Sheet'!P19&lt;&gt;"Spring",'Job Sheet'!K19="Colourbond Under-Roll Hooding",'Job Sheet'!L19="Merino (Paperbark)"),1,"")</f>
        <v/>
      </c>
      <c r="BC13" t="str">
        <f>IF(AND('Job Sheet'!P19&lt;&gt;"Spring",'Job Sheet'!K19="Colourbond Under-Roll Hooding",'Job Sheet'!L19="Mist Green"),1,"")</f>
        <v/>
      </c>
      <c r="BD13" t="str">
        <f>IF(AND('Job Sheet'!P19&lt;&gt;"Spring",'Job Sheet'!K19="Colourbond Under-Roll Hooding",'Job Sheet'!L19="Mountain Blue"),1,"")</f>
        <v/>
      </c>
      <c r="BE13" t="str">
        <f>IF(AND('Job Sheet'!P19&lt;&gt;"Spring",'Job Sheet'!K19="Colourbond Under-Roll Hooding",'Job Sheet'!L19="Smooth Cream (Classic Cream)"),1,"")</f>
        <v/>
      </c>
      <c r="BF13" t="str">
        <f>IF(AND('Job Sheet'!P19&lt;&gt;"Spring",'Job Sheet'!K19="Colourbond Under-Roll Hooding",'Job Sheet'!L19="Shale Grey"),1,"")</f>
        <v/>
      </c>
      <c r="BG13" t="str">
        <f>IF(AND('Job Sheet'!P19&lt;&gt;"Spring",'Job Sheet'!K19="Colourbond Under-Roll Hooding",'Job Sheet'!L19="Slate Grey (Woodland Grey)"),1,"")</f>
        <v/>
      </c>
      <c r="BH13" t="str">
        <f>IF(AND('Job Sheet'!P19&lt;&gt;"Spring",'Job Sheet'!K19="Colourbond Under-Roll Hooding",'Job Sheet'!L19="Surfmist"),1,"")</f>
        <v/>
      </c>
      <c r="BI13" t="str">
        <f>IF(AND('Job Sheet'!P19&lt;&gt;"Spring",'Job Sheet'!K19="Colourbond Under-Roll Hooding",'Job Sheet'!L19="White"),1,"")</f>
        <v/>
      </c>
      <c r="BJ13" t="str">
        <f>IF(AND('Job Sheet'!K19="Colourbond Over-Roll Hooding",'Job Sheet'!L19="Custom Powdercoat"),'Tube Cutting'!J19,"")</f>
        <v/>
      </c>
      <c r="BK13" t="str">
        <f>IF(AND('Job Sheet'!K19="Colourbond Over-Roll Hooding",'Job Sheet'!L19="Ebony (Black)"),'Tube Cutting'!J19,"")</f>
        <v/>
      </c>
      <c r="BL13" t="str">
        <f>IF(AND('Job Sheet'!K19="Colourbond Over-Roll Hooding",'Job Sheet'!L19="Caulfield Green"),'Tube Cutting'!J19,"")</f>
        <v/>
      </c>
      <c r="BM13" t="str">
        <f>IF(AND('Job Sheet'!K19="Colourbond Over-Roll Hooding",'Job Sheet'!L19="Charcoal (Monument)"),'Tube Cutting'!J19,"")</f>
        <v/>
      </c>
      <c r="BN13" t="str">
        <f>IF(AND('Job Sheet'!K19="Colourbond Over-Roll Hooding",'Job Sheet'!L19="Dune"),'Tube Cutting'!J19,"")</f>
        <v/>
      </c>
      <c r="BO13" t="str">
        <f>IF(AND('Job Sheet'!K19="Colourbond Over-Roll Hooding",'Job Sheet'!L19="Heritage Red (Manor Red)"),'Tube Cutting'!J19,"")</f>
        <v/>
      </c>
      <c r="BP13" t="str">
        <f>IF(AND('Job Sheet'!K19="Colourbond Over-Roll Hooding",'Job Sheet'!L19="Ironstone"),'Tube Cutting'!J19,"")</f>
        <v/>
      </c>
      <c r="BQ13" t="str">
        <f>IF(AND('Job Sheet'!K19="Colourbond Over-Roll Hooding",'Job Sheet'!L19="Jasper"),'Tube Cutting'!J19,"")</f>
        <v/>
      </c>
      <c r="BR13" t="str">
        <f>IF(AND('Job Sheet'!K19="Colourbond Over-Roll Hooding",'Job Sheet'!L19="Merino (Paperbark)"),'Tube Cutting'!J19,"")</f>
        <v/>
      </c>
      <c r="BS13" t="str">
        <f>IF(AND('Job Sheet'!K19="Colourbond Over-Roll Hooding",'Job Sheet'!L19="Mist Green"),'Tube Cutting'!J19,"")</f>
        <v/>
      </c>
      <c r="BT13" t="str">
        <f>IF(AND('Job Sheet'!K19="Colourbond Over-Roll Hooding",'Job Sheet'!L19="Mountain Blue"),'Tube Cutting'!J19,"")</f>
        <v/>
      </c>
      <c r="BU13" t="str">
        <f>IF(AND('Job Sheet'!K19="Colourbond Over-Roll Hooding",'Job Sheet'!L19="Smooth Cream (Classic Cream)"),'Tube Cutting'!J19,"")</f>
        <v/>
      </c>
      <c r="BV13" t="str">
        <f>IF(AND('Job Sheet'!K19="Colourbond Over-Roll Hooding",'Job Sheet'!L19="Shale Grey"),'Tube Cutting'!J19,"")</f>
        <v/>
      </c>
      <c r="BW13" t="str">
        <f>IF(AND('Job Sheet'!K19="Colourbond Over-Roll Hooding",'Job Sheet'!L19="Slate Grey (Woodland Grey)"),'Tube Cutting'!J19,"")</f>
        <v/>
      </c>
      <c r="BX13" t="str">
        <f>IF(AND('Job Sheet'!K19="Colourbond Over-Roll Hooding",'Job Sheet'!L19="Surfmist"),'Tube Cutting'!J19,"")</f>
        <v/>
      </c>
      <c r="BY13" t="str">
        <f>IF(AND('Job Sheet'!J19="Colourbond Over-Roll Hooding",'Job Sheet'!K19="White"),'Tube Cutting'!J19,"")</f>
        <v/>
      </c>
      <c r="BZ13" t="str">
        <f>IF(AND('Job Sheet'!P19="Spring",'Job Sheet'!K19="Colourbond Over-Roll Hooding",'Job Sheet'!L19="Custom Powdercoat"),1,"")</f>
        <v/>
      </c>
      <c r="CA13" t="str">
        <f>IF(AND('Job Sheet'!P19="Spring",'Job Sheet'!K19="Colourbond Over-Roll Hooding",'Job Sheet'!L19="Ebony (Black)"),1,"")</f>
        <v/>
      </c>
      <c r="CB13" t="str">
        <f>IF(AND('Job Sheet'!P19="Spring",'Job Sheet'!K19="Colourbond Over-Roll Hooding",'Job Sheet'!L19="Caulfield Green"),1,"")</f>
        <v/>
      </c>
      <c r="CC13" t="str">
        <f>IF(AND('Job Sheet'!P19="Spring",'Job Sheet'!K19="Colourbond Over-Roll Hooding",'Job Sheet'!L19="Charcoal (Monument)"),1,"")</f>
        <v/>
      </c>
      <c r="CD13" t="str">
        <f>IF(AND('Job Sheet'!P19="Spring",'Job Sheet'!K19="Colourbond Over-Roll Hooding",'Job Sheet'!L19="Dune"),1,"")</f>
        <v/>
      </c>
      <c r="CE13" t="str">
        <f>IF(AND('Job Sheet'!P19="Spring",'Job Sheet'!K19="Colourbond Over-Roll Hooding",'Job Sheet'!L19="Heritage Red (Manor Red)"),1,"")</f>
        <v/>
      </c>
      <c r="CF13" t="str">
        <f>IF(AND('Job Sheet'!P19="Spring",'Job Sheet'!K19="Colourbond Over-Roll Hooding",'Job Sheet'!L19="Ironstone"),1,"")</f>
        <v/>
      </c>
      <c r="CG13" t="str">
        <f>IF(AND('Job Sheet'!P19="Spring",'Job Sheet'!K19="Colourbond Over-Roll Hooding",'Job Sheet'!L19="Jasper"),1,"")</f>
        <v/>
      </c>
      <c r="CH13" t="str">
        <f>IF(AND('Job Sheet'!P19="Spring",'Job Sheet'!K19="Colourbond Over-Roll Hooding",'Job Sheet'!L19="Merino (Paperbark)"),1,"")</f>
        <v/>
      </c>
      <c r="CI13" t="str">
        <f>IF(AND('Job Sheet'!P19="Spring",'Job Sheet'!K19="Colourbond Over-Roll Hooding",'Job Sheet'!L19="Mist Green"),1,"")</f>
        <v/>
      </c>
      <c r="CJ13" t="str">
        <f>IF(AND('Job Sheet'!P19="Spring",'Job Sheet'!K19="Colourbond Over-Roll Hooding",'Job Sheet'!L19="Mountain Blue"),1,"")</f>
        <v/>
      </c>
      <c r="CK13" t="str">
        <f>IF(AND('Job Sheet'!P19="Spring",'Job Sheet'!K19="Colourbond Over-Roll Hooding",'Job Sheet'!L19="Smooth Cream (Classic Cream)"),1,"")</f>
        <v/>
      </c>
      <c r="CL13" t="str">
        <f>IF(AND('Job Sheet'!P19="Spring",'Job Sheet'!K19="Colourbond Over-Roll Hooding",'Job Sheet'!L19="Shale Grey"),1,"")</f>
        <v/>
      </c>
      <c r="CM13" t="str">
        <f>IF(AND('Job Sheet'!P19="Spring",'Job Sheet'!K19="Colourbond Over-Roll Hooding",'Job Sheet'!L19="Slate Grey (Woodland Grey)"),1,"")</f>
        <v/>
      </c>
      <c r="CN13" t="str">
        <f>IF(AND('Job Sheet'!P19="Spring",'Job Sheet'!K19="Colourbond Over-Roll Hooding",'Job Sheet'!L19="Surfmist"),1,"")</f>
        <v/>
      </c>
      <c r="CO13" t="str">
        <f>IF(AND('Job Sheet'!P19="Spring",'Job Sheet'!K19="Colourbond Over-Roll Hooding",'Job Sheet'!L19="White"),1,"")</f>
        <v/>
      </c>
      <c r="CP13" t="str">
        <f>IF(AND('Job Sheet'!P19&lt;&gt;"Spring",'Job Sheet'!K19="Colourbond Over-Roll Hooding",'Job Sheet'!L19="Custom Powdercoat"),1,"")</f>
        <v/>
      </c>
      <c r="CQ13" t="str">
        <f>IF(AND('Job Sheet'!P19&lt;&gt;"Spring",'Job Sheet'!K19="Colourbond Over-Roll Hooding",'Job Sheet'!L19="Ebony (Black)"),1,"")</f>
        <v/>
      </c>
      <c r="CR13" t="str">
        <f>IF(AND('Job Sheet'!P19&lt;&gt;"Spring",'Job Sheet'!K19="Colourbond Over-Roll Hooding",'Job Sheet'!L19="Caulfield Green"),1,"")</f>
        <v/>
      </c>
      <c r="CS13" t="str">
        <f>IF(AND('Job Sheet'!P19&lt;&gt;"Spring",'Job Sheet'!K19="Colourbond Over-Roll Hooding",'Job Sheet'!L19="Charcoal (Monument)"),1,"")</f>
        <v/>
      </c>
      <c r="CT13" t="str">
        <f>IF(AND('Job Sheet'!P19&lt;&gt;"Spring",'Job Sheet'!K19="Colourbond Over-Roll Hooding",'Job Sheet'!L19="Dune"),1,"")</f>
        <v/>
      </c>
      <c r="CU13" t="str">
        <f>IF(AND('Job Sheet'!P19&lt;&gt;"Spring",'Job Sheet'!K19="Colourbond Over-Roll Hooding",'Job Sheet'!L19="Heritage Red (Manor Red)"),1,"")</f>
        <v/>
      </c>
      <c r="CV13" t="str">
        <f>IF(AND('Job Sheet'!P19&lt;&gt;"Spring",'Job Sheet'!K19="Colourbond Over-Roll Hooding",'Job Sheet'!L19="Ironstone"),1,"")</f>
        <v/>
      </c>
      <c r="CW13" t="str">
        <f>IF(AND('Job Sheet'!P19&lt;&gt;"Spring",'Job Sheet'!K19="Colourbond Over-Roll Hooding",'Job Sheet'!L19="Jasper"),1,"")</f>
        <v/>
      </c>
      <c r="CX13" t="str">
        <f>IF(AND('Job Sheet'!P19&lt;&gt;"Spring",'Job Sheet'!K19="Colourbond Over-Roll Hooding",'Job Sheet'!L19="Merino (Paperbark)"),1,"")</f>
        <v/>
      </c>
      <c r="CY13" t="str">
        <f>IF(AND('Job Sheet'!P19&lt;&gt;"Spring",'Job Sheet'!K19="Colourbond Over-Roll Hooding",'Job Sheet'!L19="Mist Green"),1,"")</f>
        <v/>
      </c>
      <c r="CZ13" t="str">
        <f>IF(AND('Job Sheet'!P19&lt;&gt;"Spring",'Job Sheet'!K19="Colourbond Over-Roll Hooding",'Job Sheet'!L19="Mountain Blue"),1,"")</f>
        <v/>
      </c>
      <c r="DA13" t="str">
        <f>IF(AND('Job Sheet'!P19&lt;&gt;"Spring",'Job Sheet'!K19="Colourbond Over-Roll Hooding",'Job Sheet'!L19="Smooth Cream (Classic Cream)"),1,"")</f>
        <v/>
      </c>
      <c r="DB13" t="str">
        <f>IF(AND('Job Sheet'!P19&lt;&gt;"Spring",'Job Sheet'!K19="Colourbond Over-Roll Hooding",'Job Sheet'!L19="Shale Grey"),1,"")</f>
        <v/>
      </c>
      <c r="DC13" t="str">
        <f>IF(AND('Job Sheet'!P19&lt;&gt;"Spring",'Job Sheet'!K19="Colourbond Over-Roll Hooding",'Job Sheet'!L19="Slate Grey (Woodland Grey)"),1,"")</f>
        <v/>
      </c>
      <c r="DD13" t="str">
        <f>IF(AND('Job Sheet'!P19&lt;&gt;"Spring",'Job Sheet'!K19="Colourbond Over-Roll Hooding",'Job Sheet'!L19="Surfmist"),1,"")</f>
        <v/>
      </c>
      <c r="DE13" t="str">
        <f>IF(AND('Job Sheet'!P19&lt;&gt;"Spring",'Job Sheet'!K19="Colourbond Over-Roll Hooding",'Job Sheet'!L19="White"),1,"")</f>
        <v/>
      </c>
      <c r="DF13" t="str">
        <f>IF('Tube Cutting'!C19="50mm",'Tube Cutting'!D19,"")</f>
        <v/>
      </c>
      <c r="DG13" t="str">
        <f>IF('Tube Cutting'!C19="63mm",'Tube Cutting'!D19,"")</f>
        <v/>
      </c>
      <c r="DH13" t="str">
        <f>IF('Tube Cutting'!C19="70mm",'Tube Cutting'!D19,"")</f>
        <v/>
      </c>
      <c r="DI13" t="str">
        <f>IF('Tube Cutting'!C19="78mm",'Tube Cutting'!D19,"")</f>
        <v/>
      </c>
      <c r="DJ13" t="str">
        <f>IF('Tube Cutting'!C19="85mm",'Tube Cutting'!D19,"")</f>
        <v/>
      </c>
      <c r="DK13" t="str">
        <f>IF(AND('Job Sheet'!P19="Gearbox",'Tube Cutting'!C19="50mm"),1,"")</f>
        <v/>
      </c>
      <c r="DL13" t="str">
        <f>IF(AND('Job Sheet'!P19&lt;&gt;"Spring",'Tube Cutting'!C19="50mm"),1,"")</f>
        <v/>
      </c>
      <c r="DM13" t="str">
        <f>IF(AND('Job Sheet'!P19="Gearbox",'Tube Cutting'!C19="63mm"),1,"")</f>
        <v/>
      </c>
      <c r="DN13" t="str">
        <f>IF(AND('Job Sheet'!P19&lt;&gt;"Spring",'Tube Cutting'!C19="63mm"),1,"")</f>
        <v/>
      </c>
      <c r="DO13" t="str">
        <f>IF(AND('Job Sheet'!P19="Gearbox",'Tube Cutting'!C19="70mm"),1,"")</f>
        <v/>
      </c>
      <c r="DP13" t="str">
        <f>IF(AND('Job Sheet'!P19&lt;&gt;"Spring",'Tube Cutting'!C19="70mm"),1,"")</f>
        <v/>
      </c>
      <c r="DQ13" t="str">
        <f>IF(AND('Job Sheet'!P19="Gearbox",'Tube Cutting'!C19="78mm"),1,"")</f>
        <v/>
      </c>
      <c r="DR13" t="str">
        <f>IF(AND('Job Sheet'!P19&lt;&gt;"Spring",'Tube Cutting'!C19="78mm"),1,"")</f>
        <v/>
      </c>
      <c r="DS13" t="str">
        <f>IF(AND('Job Sheet'!P19="Gearbox",'Tube Cutting'!C19="85mm"),1,"")</f>
        <v/>
      </c>
      <c r="DT13" t="str">
        <f>IF(AND('Job Sheet'!P19&lt;&gt;"Spring",'Tube Cutting'!C19="85mm"),1,"")</f>
        <v/>
      </c>
      <c r="DU13" t="str">
        <f>IF('Tube Cutting'!I19="Custom Powdercoat",'Tube Cutting'!F19,"")</f>
        <v/>
      </c>
      <c r="DV13" t="str">
        <f>IF('Tube Cutting'!I19="Ebony (Black)",'Tube Cutting'!F19,"")</f>
        <v/>
      </c>
      <c r="DW13" t="str">
        <f>IF('Tube Cutting'!I19="Caulfield Green",'Tube Cutting'!F19,"")</f>
        <v/>
      </c>
      <c r="DX13" t="str">
        <f>IF('Tube Cutting'!I19="Charcoal (Monument)",'Tube Cutting'!F19,"")</f>
        <v/>
      </c>
      <c r="DY13" t="str">
        <f>IF('Tube Cutting'!I19="Dune",'Tube Cutting'!F19,"")</f>
        <v/>
      </c>
      <c r="DZ13" t="str">
        <f>IF('Tube Cutting'!I19="Heritage Red (Manor Red)",'Tube Cutting'!F19,"")</f>
        <v/>
      </c>
      <c r="EA13" t="str">
        <f>IF('Tube Cutting'!I19="Ironstone",'Tube Cutting'!F19,"")</f>
        <v/>
      </c>
      <c r="EB13" t="str">
        <f>IF('Tube Cutting'!I19="Jasper",'Tube Cutting'!F19,"")</f>
        <v/>
      </c>
      <c r="EC13" t="str">
        <f>IF('Tube Cutting'!I19="Merino (Paperbark)",'Tube Cutting'!F19,"")</f>
        <v/>
      </c>
      <c r="ED13" t="str">
        <f>IF('Tube Cutting'!I19="Mist Green",'Tube Cutting'!F19,"")</f>
        <v/>
      </c>
      <c r="EE13" t="str">
        <f>IF('Tube Cutting'!I19="Mountain Blue",'Tube Cutting'!F19,"")</f>
        <v/>
      </c>
      <c r="EF13" t="str">
        <f>IF('Tube Cutting'!I19="Smooth Cream (Classic Cream)",'Tube Cutting'!F19,"")</f>
        <v/>
      </c>
      <c r="EG13" t="str">
        <f>IF('Tube Cutting'!I19="Shale Grey",'Tube Cutting'!F19,"")</f>
        <v/>
      </c>
      <c r="EH13" t="str">
        <f>IF('Tube Cutting'!I19="Slate Grey (Woodland Grey)",'Tube Cutting'!F19,"")</f>
        <v/>
      </c>
      <c r="EI13" t="str">
        <f>IF('Tube Cutting'!I19="Surf Mist",'Tube Cutting'!F19,"")</f>
        <v/>
      </c>
      <c r="EJ13" t="str">
        <f>IF('Tube Cutting'!I19="White",'Tube Cutting'!F19,"")</f>
        <v/>
      </c>
      <c r="EK13" t="str">
        <f>IF(AND('Job Sheet'!AD19="Standard Zinc",'Job Sheet'!P19&lt;&gt;"Spring"),1,"")</f>
        <v/>
      </c>
      <c r="EL13" t="str">
        <f>IF(AND('Job Sheet'!AD19="Stainless Steel",'Job Sheet'!P19&lt;&gt;"Spring"),1,"")</f>
        <v/>
      </c>
      <c r="EM13" t="str">
        <f>IF('Job Sheet'!P19="Spring",1,"")</f>
        <v/>
      </c>
      <c r="EN13" t="str">
        <f t="shared" si="2"/>
        <v/>
      </c>
      <c r="EO13" t="str">
        <f>IF('Job Sheet'!AJ19="50mm Small",1,"")</f>
        <v/>
      </c>
      <c r="EP13" t="str">
        <f>IF('Job Sheet'!AJ19="50mm Std",1,"")</f>
        <v/>
      </c>
      <c r="EQ13" t="str">
        <f>IF('Job Sheet'!AJ19="63mm Std",1,"")</f>
        <v/>
      </c>
      <c r="FZ13" t="str">
        <f>IF(AND('Job Sheet'!O19="U Bracket",'Job Sheet'!AD19="Standard Zinc"),2,"")</f>
        <v/>
      </c>
      <c r="GA13" t="str">
        <f>IF(AND('Job Sheet'!O19="U Bracket",'Job Sheet'!AD19="Stainless Steel"),2,"")</f>
        <v/>
      </c>
      <c r="GB13" t="str">
        <f t="shared" si="3"/>
        <v/>
      </c>
      <c r="GG13" t="str">
        <f>IF(AND('Job Sheet'!AD19="Standard Zinc",'Job Sheet'!K19="Spring Brackets"),2,"")</f>
        <v/>
      </c>
      <c r="GH13" t="str">
        <f>IF(AND('Job Sheet'!AD19="Stainless Steel",'Job Sheet'!K19="Spring Brackets"),2,"")</f>
        <v/>
      </c>
      <c r="GJ13" t="str">
        <f>IF('Job Sheet'!AC19="Yes x 1",1,IF('Job Sheet'!AC19="Yes x 2",2,""))</f>
        <v/>
      </c>
      <c r="GL13" t="str">
        <f>IF('Job Sheet'!AB19="Telescopic x 1",1,IF('Job Sheet'!AB19="Telescopic x 2",2,IF('Job Sheet'!AB19="Telescopic x 3",3,+IF('Job Sheet'!AC19="Telescopic x 1",1,IF('Job Sheet'!AC19="Telescopic x 2",2,IF('Job Sheet'!AC19="Telescopic x 3",3,""))))))</f>
        <v/>
      </c>
      <c r="GM13" t="str">
        <f>IF(AND('Job Sheet'!P19="Gearbox",'Job Sheet'!R19="Black"),1,"")</f>
        <v/>
      </c>
      <c r="GN13" t="str">
        <f>IF(AND('Job Sheet'!P19="Gearbox",'Job Sheet'!R19="White"),1,"")</f>
        <v/>
      </c>
      <c r="GO13" t="str">
        <f>IF('Job Sheet'!Y19="Black Crank Handle 1000mm",1,"")</f>
        <v/>
      </c>
      <c r="GP13" t="str">
        <f>IF('Job Sheet'!Y19="Black Crank Handle 1200mm",1,"")</f>
        <v/>
      </c>
      <c r="GQ13" t="str">
        <f>IF('Job Sheet'!Y19="Black Crank Handle 1500mm",1,"")</f>
        <v/>
      </c>
      <c r="GR13" t="str">
        <f>IF('Job Sheet'!Y19="Black Crank Handle 1800mm",1,"")</f>
        <v/>
      </c>
      <c r="GS13" t="str">
        <f>IF('Job Sheet'!Y19="Black Crank Handle 2200mm",1,"")</f>
        <v/>
      </c>
      <c r="GT13" t="str">
        <f>IF('Job Sheet'!Y19="Black Crank Handle 2500mm",1,"")</f>
        <v/>
      </c>
      <c r="GU13" t="str">
        <f>IF('Job Sheet'!Y19="Black Crank Handle 3000mm",1,"")</f>
        <v/>
      </c>
      <c r="GV13" t="str">
        <f>IF('Job Sheet'!Y19="White Crank Handle 1000mm",1,"")</f>
        <v/>
      </c>
      <c r="GW13" t="str">
        <f>IF('Job Sheet'!Y19="White Crank Handle 1200mm",1,"")</f>
        <v/>
      </c>
      <c r="GX13" t="str">
        <f>IF('Job Sheet'!Y19="White Crank Handle 1500mm",1,"")</f>
        <v/>
      </c>
      <c r="GY13" t="str">
        <f>IF('Job Sheet'!Y19="White Crank Handle 1800mm",1,"")</f>
        <v/>
      </c>
      <c r="GZ13" t="str">
        <f>IF('Job Sheet'!Y19="White Crank Handle 2200mm",1,"")</f>
        <v/>
      </c>
      <c r="HA13" t="str">
        <f>IF('Job Sheet'!Y19="White Crank Handle 2500mm",1,"")</f>
        <v/>
      </c>
      <c r="HB13" t="str">
        <f>IF('Job Sheet'!Y19="White Crank Handle 3000mm",1,"")</f>
        <v/>
      </c>
      <c r="HC13" t="str">
        <f>IF(AND('Job Sheet'!AH19="900mm",'Job Sheet'!AD19="Standard Zinc"),2,"")</f>
        <v/>
      </c>
      <c r="HD13" t="str">
        <f>IF(AND('Job Sheet'!AH19="1200mm",'Job Sheet'!AD19="Standard Zinc"),2,"")</f>
        <v/>
      </c>
      <c r="HE13" t="str">
        <f>IF(AND('Job Sheet'!AH19="1500mm",'Job Sheet'!AD19="Standard Zinc"),2,"")</f>
        <v/>
      </c>
      <c r="HF13" t="str">
        <f>IF(AND('Job Sheet'!AH19="1800mm",'Job Sheet'!AD19="Standard Zinc"),2,"")</f>
        <v/>
      </c>
      <c r="HG13" t="str">
        <f>IF(AND('Job Sheet'!AH19="2100mm",'Job Sheet'!AD19="Standard Zinc"),2,"")</f>
        <v/>
      </c>
      <c r="HH13" t="str">
        <f>IF(AND('Job Sheet'!AH19="2400mm",'Job Sheet'!AD19="Standard Zinc"),2,"")</f>
        <v/>
      </c>
      <c r="HI13" t="str">
        <f>IF(AND('Job Sheet'!AH19="2700mm",'Job Sheet'!AD19="Standard Zinc"),2,"")</f>
        <v/>
      </c>
      <c r="HJ13" t="str">
        <f>IF(AND('Job Sheet'!AH19="3000mm",'Job Sheet'!AD19="Standard Zinc"),2,"")</f>
        <v/>
      </c>
      <c r="HK13" t="str">
        <f>IF(AND('Job Sheet'!AH19="3500mm",'Job Sheet'!AD19="Standard Zinc"),2,"")</f>
        <v/>
      </c>
      <c r="HL13" t="str">
        <f>IF(AND('Job Sheet'!AH19="900mm",'Job Sheet'!AD19="Stainless Steel"),2,"")</f>
        <v/>
      </c>
      <c r="HM13" t="str">
        <f>IF(AND('Job Sheet'!AH19="1200mm",'Job Sheet'!AD19="Stainless Steel"),2,"")</f>
        <v/>
      </c>
      <c r="HN13" t="str">
        <f>IF(AND('Job Sheet'!AH19="1500mm",'Job Sheet'!AD19="Stainless Steel"),2,"")</f>
        <v/>
      </c>
      <c r="HO13" t="str">
        <f>IF(AND('Job Sheet'!AH19="1800mm",'Job Sheet'!AD19="Stainless Steel"),2,"")</f>
        <v/>
      </c>
      <c r="HP13" t="str">
        <f>IF(AND('Job Sheet'!AH19="2100mm",'Job Sheet'!AD19="Stainless Steel"),2,"")</f>
        <v/>
      </c>
      <c r="HQ13" t="str">
        <f>IF(AND('Job Sheet'!AH19="2400mm",'Job Sheet'!AD19="Stainless Steel"),2,"")</f>
        <v/>
      </c>
      <c r="HR13" t="str">
        <f>IF(AND('Job Sheet'!AH19="2700mm",'Job Sheet'!AD19="Stainless Steel"),2,"")</f>
        <v/>
      </c>
      <c r="HS13" t="str">
        <f>IF(AND('Job Sheet'!AH19="3000mm",'Job Sheet'!AD19="Stainless Steel"),2,"")</f>
        <v/>
      </c>
      <c r="HT13" t="str">
        <f>IF('Tube Cutting'!G19="","",'Tube Cutting'!F19*2-120)</f>
        <v/>
      </c>
      <c r="HU13" t="str">
        <f>IF(AND('Job Sheet'!O19="150mm L Bracket",'Job Sheet'!AD19="Standard Zinc"),2,"")</f>
        <v/>
      </c>
      <c r="HV13" t="str">
        <f>IF(AND('Job Sheet'!O19="225mm L Bracket",'Job Sheet'!AD19="Standard Zinc"),2,"")</f>
        <v/>
      </c>
      <c r="HW13" t="str">
        <f>IF(AND('Job Sheet'!O19="300mm L Bracket",'Job Sheet'!AD19="Standard Zinc"),2,"")</f>
        <v/>
      </c>
      <c r="HX13" t="str">
        <f>IF(AND('Job Sheet'!O19="450mm L Bracket",'Job Sheet'!AD19="Standard Zinc"),2,"")</f>
        <v/>
      </c>
      <c r="HY13" t="str">
        <f>IF(AND('Job Sheet'!O19="600mm L Bracket",'Job Sheet'!AD19="Standard Zinc"),2,"")</f>
        <v/>
      </c>
      <c r="HZ13" t="str">
        <f>IF(AND('Job Sheet'!O19="150mm L Bracket",'Job Sheet'!AD19="Stainless Steel"),2,"")</f>
        <v/>
      </c>
      <c r="IA13" t="str">
        <f>IF(AND('Job Sheet'!O19="225mm L Bracket",'Job Sheet'!AD19="Stainless Steel"),2,"")</f>
        <v/>
      </c>
      <c r="IB13" t="str">
        <f>IF(AND('Job Sheet'!O19="300mm L Bracket",'Job Sheet'!AD19="Stainless Steel"),2,"")</f>
        <v/>
      </c>
      <c r="IC13" t="str">
        <f t="shared" si="4"/>
        <v/>
      </c>
      <c r="ID13" t="str">
        <f>IF(AND('Job Sheet'!AD19="Standard Zinc",(OR('Job Sheet'!Y19="150mm Stayed Bracket with No Pulleys and Rope Cleat",'Job Sheet'!Y19="150mm Stayed Bracket with 1 Pulley and Rope Cleat",'Job Sheet'!Y19="150mm Stayed Bracket with 2 Pulleys and Rope Cleat"))),1,"")</f>
        <v/>
      </c>
      <c r="IE13" t="str">
        <f>IF(AND('Job Sheet'!AD19="Standard Zinc",(OR('Job Sheet'!Y19="225mm Stayed Bracket with No Pulleys and Rope Cleat",'Job Sheet'!Y19="225mm Stayed Bracket with 1 Pulley and Rope Cleat",'Job Sheet'!Y19="225mm Stayed Bracket with 2 Pulleys and Rope Cleat"))),1,"")</f>
        <v/>
      </c>
      <c r="IF13" t="str">
        <f>IF(AND('Job Sheet'!AD19="Standard Zinc",(OR('Job Sheet'!Y19="300mm Stayed Bracket with No Pulleys and Rope Cleat",'Job Sheet'!Y19="300mm Stayed Bracket with 1 Pulley and Rope Cleat",'Job Sheet'!Y19="300mm Stayed Bracket with 2 Pulleys and Rope Cleat"))),1,"")</f>
        <v/>
      </c>
      <c r="IG13" t="str">
        <f>IF(AND('Job Sheet'!AD19="Stainless Steel",OR('Job Sheet'!Y19="150mm Stayed Bracket with No Pulleys and Rope Cleat",'Job Sheet'!Y19="150mm Stayed Bracket with 1 Pulley and Rope Cleat",'Job Sheet'!Y19="150mm Stayed Bracket with 2 Pulleys and Rope Cleat")),1,"")</f>
        <v/>
      </c>
      <c r="IH13" t="str">
        <f>IF(AND('Job Sheet'!Y19="300mm Stayed Bracket with 1 Pulley and Rope Cleat",'Job Sheet'!AD19="Stainless Steel"),1,"")</f>
        <v/>
      </c>
      <c r="II13" t="str">
        <f>IF(OR('Job Sheet'!Y19="150mm Stayed Bracket with 1 Pulley and Rope Cleat",'Job Sheet'!Y19="225mm Stayed Bracket with 1 Pulley and Rope Cleat",'Job Sheet'!Y19="300mm Stayed Bracket with 1 Pulley and Rope Cleat",'Job Sheet'!Y19="With 1 Pulley and Rope Cleat"),"1",IF(OR('Job Sheet'!Y19="150mm Stayed Bracket with 2 Pulleys and Rope Cleat",'Job Sheet'!Y19="225mm Stayed Bracket with 2 Pulleys and Rope Cleat",'Job Sheet'!Y19="300mm Stayed Bracket with 2 Pulleys and Rope Cleat",'Job Sheet'!Y19="With 2 Pulleys and Rope Cleat"),"2",""))</f>
        <v/>
      </c>
      <c r="IJ13" t="str">
        <f>IF(OR('Job Sheet'!Y19="150mm Stayed Bracket with No Pulleys and Rope Cleat",'Job Sheet'!Y19="150mm Stayed Bracket with 1 Pulley and Rope Cleat",'Job Sheet'!Y19="150mm Stayed Bracket with 2 Pulleys and Rope Cleat",'Job Sheet'!Y19="225mm Stayed Bracket with No Pulleys and Rope Cleat",'Job Sheet'!Y19="225mm Stayed Bracket with 1 Pulley and Rope Cleat",'Job Sheet'!Y19="225mm Stayed Bracket with 2 Pulleys and Rope Cleat",'Job Sheet'!Y19="300mm Stayed Bracket with No Pulleys and Rope Cleat",'Job Sheet'!Y19="300mm Stayed Bracket with 1 Pulley and Rope Cleat",'Job Sheet'!Y19="300mm Stayed Bracket with 2 Pulleys and Rope Cleat",'Job Sheet'!Y19="With No Pulleys and Rope Cleat",'Job Sheet'!Y19="With 1 Pulley and Rope Cleat",'Job Sheet'!Y19="With 2 Pulleys and Rope Cleat",),"1","")</f>
        <v/>
      </c>
      <c r="IK13" t="str">
        <f>IF('Job Sheet'!R19="Black Cord 2m","2",IF('Job Sheet'!R19="Black Cord 3m","3",IF('Job Sheet'!R19="Black Cord 4m","4",IF('Job Sheet'!R19="Black Cord 5m","5",IF('Job Sheet'!R19="Black Cord 6m","6","")))))</f>
        <v/>
      </c>
      <c r="IL13" t="str">
        <f>IF('Job Sheet'!R19="White Cord 2m","2",IF('Job Sheet'!R19="White Cord 3m","3",IF('Job Sheet'!R19="White Cord 4m","4",IF('Job Sheet'!R19="White Cord 5m","5",IF('Job Sheet'!R19="White Cord 6m","6","")))))</f>
        <v/>
      </c>
      <c r="IM13" t="str">
        <f>IF(AND('Job Sheet'!K19="Powder Coated Brackets",'Job Sheet'!L19="Black"),2,"")</f>
        <v/>
      </c>
      <c r="IN13" t="str">
        <f>IF(AND('Job Sheet'!K19="Powder Coated Brackets",'Job Sheet'!L19="White"),2,"")</f>
        <v/>
      </c>
      <c r="IQ13" t="str">
        <f>IF('Job Sheet'!L19="Stainless Steel",2,"")</f>
        <v/>
      </c>
      <c r="JD13" t="str">
        <f>IF('Job Sheet'!AB19="25mm x 1",1,IF('Job Sheet'!AB19="25mm x 2",2,""))</f>
        <v/>
      </c>
      <c r="JE13" t="str">
        <f>IF('Job Sheet'!AB19="50mm x 1",1,IF('Job Sheet'!AB19="50mm x 2",2,""))</f>
        <v/>
      </c>
      <c r="JF13" t="str">
        <f>IF('Job Sheet'!AB19="75mm x 1",1,IF('Job Sheet'!AB19="75mm x 2",2,""))</f>
        <v/>
      </c>
      <c r="JG13" t="str">
        <f>IF('Job Sheet'!AB19="100mm x 1",1,IF('Job Sheet'!AB19="100mm x 2",2,""))</f>
        <v/>
      </c>
      <c r="JH13" t="str">
        <f>IF('Job Sheet'!AB19="125mm x 1",1,IF('Job Sheet'!AB19="125mm x 2",2,""))</f>
        <v/>
      </c>
      <c r="JN13" t="str">
        <f>IF('Job Sheet'!AA19="25mm x 1",1,IF('Job Sheet'!AA19="25mm x 2",2,""))</f>
        <v/>
      </c>
      <c r="JO13" t="str">
        <f>IF('Job Sheet'!AA19="50mm x 1",1,IF('Job Sheet'!AA19="50mm x 2",2,""))</f>
        <v/>
      </c>
      <c r="JP13" t="str">
        <f>IF('Job Sheet'!AA19="75mm x 1",1,IF('Job Sheet'!AA19="75mm x 2",2,""))</f>
        <v/>
      </c>
      <c r="JQ13" t="str">
        <f>IF('Job Sheet'!AA19="100mm x 1",1,IF('Job Sheet'!AA19="100mm x 2",2,""))</f>
        <v/>
      </c>
      <c r="JR13" t="str">
        <f>IF('Job Sheet'!AA19="125mm x 1",1,IF('Job Sheet'!AA19="125mm x 2",2,""))</f>
        <v/>
      </c>
      <c r="JS13" t="str">
        <f>IF('Welding&amp;Sewing'!D19="3.6mm White",'Fabric Cutting'!G19*2,'Fabric Cutting'!G19)</f>
        <v/>
      </c>
      <c r="JT13" t="str">
        <f>IF('Welding&amp;Sewing'!D19="6mm Black",'Fabric Cutting'!G19,"")</f>
        <v/>
      </c>
      <c r="MB13" t="str">
        <f>IF('Job Sheet'!P19="Acmeda Remote Motor",1,"")</f>
        <v/>
      </c>
      <c r="MC13" t="str">
        <f>IF(AND('Tube Cutting'!C19="63mm",'Job Sheet'!P19="Acmeda Remote Motor"),1,"")</f>
        <v/>
      </c>
      <c r="MD13" t="str">
        <f>IF(AND('Tube Cutting'!C19="63mm",'Job Sheet'!P19="Acmeda Remote Motor"),1,"")</f>
        <v/>
      </c>
      <c r="ME13" t="str">
        <f>IF(AND('Tube Cutting'!C19="78mm",'Job Sheet'!P19="Acmeda Remote Motor"),1,"")</f>
        <v/>
      </c>
      <c r="MF13" t="str">
        <f>IF(AND('Tube Cutting'!C19="78mm",'Job Sheet'!P19="Acmeda Remote Motor"),1,"")</f>
        <v/>
      </c>
      <c r="MG13" t="str">
        <f>IF('Job Sheet'!P19="Acmeda 12v Remote Motor",1,"")</f>
        <v/>
      </c>
      <c r="MH13" t="str">
        <f>IF(OR('Job Sheet'!Z19="External Battery",'Job Sheet'!Z19="External Battery and Charging Cable"),1,"")</f>
        <v/>
      </c>
      <c r="MI13" t="str">
        <f>IF('Job Sheet'!Z19="External Battery and Charging Cable",1,"")</f>
        <v/>
      </c>
      <c r="MJ13" t="str">
        <f>IF('Job Sheet'!Z19="Pulse 2.0 Automation Hub",1,"")</f>
        <v/>
      </c>
      <c r="MK13" t="str">
        <f>IF('Job Sheet'!Z19="USB Repeater",1,"")</f>
        <v/>
      </c>
      <c r="ML13" t="str">
        <f>IF('Job Sheet'!Y19="Acmeda 1 Channel White Remote",1,"")</f>
        <v/>
      </c>
      <c r="MM13" t="str">
        <f>IF('Job Sheet'!Y19="Acmeda 1 Channel Black Remote",1,"")</f>
        <v/>
      </c>
      <c r="MN13" t="str">
        <f>IF('Job Sheet'!Y19="Acmeda 5 Channel White Remote",1,"")</f>
        <v/>
      </c>
      <c r="MO13" t="str">
        <f>IF('Job Sheet'!Y19="Acmeda 5 Channel Black Remote",1,"")</f>
        <v/>
      </c>
      <c r="MP13" t="str">
        <f>IF('Job Sheet'!Y19="Acmeda 15 Channel White Remote",1,"")</f>
        <v/>
      </c>
      <c r="MQ13" t="str">
        <f>IF('Job Sheet'!Y19="Acmeda 15 Channel Black Remote",1,"")</f>
        <v/>
      </c>
      <c r="MR13" t="str">
        <f>IF('Job Sheet'!Y19="Acmeda Wall Mounted 5 Channel White Remote",1,"")</f>
        <v/>
      </c>
      <c r="MS13" t="str">
        <f>IF('Job Sheet'!Y19="Acmeda Wall Mounted Single Channel White Remote",1,"")</f>
        <v/>
      </c>
      <c r="MT13" t="str">
        <f>IF('Job Sheet'!Y19="Acmeda Wall Mounted 2 Channel White Remote",1,"")</f>
        <v/>
      </c>
      <c r="MU13" t="str">
        <f>IF('Job Sheet'!Y19="Acmeda Wall Mounted 15 Channel White Remote",1,"")</f>
        <v/>
      </c>
      <c r="MV13" t="str">
        <f>IF('Job Sheet'!Y19="Acmeda Push Pro White Remote with Charger",1,"")</f>
        <v/>
      </c>
      <c r="MW13" t="str">
        <f>IF('Job Sheet'!Y19="Acmeda Push Pro Black Remote with Charger",1,"")</f>
        <v/>
      </c>
      <c r="MX13" t="str">
        <f>IF(OR('Job Sheet'!Y19="Acmeda Push Pro White Remote with Charger",'Job Sheet'!Y19="Acmeda Push Pro Black Remote with Charger"),"1","")</f>
        <v/>
      </c>
      <c r="MY13" t="str">
        <f t="shared" si="5"/>
        <v/>
      </c>
      <c r="NA13" t="str">
        <f>IF('Job Sheet'!Z19="1 Channel Dry Contact Relay Module",1,"")</f>
        <v/>
      </c>
      <c r="ND13" t="str">
        <f>IF('Job Sheet'!P19="Becker Remote Operated",1,"")</f>
        <v/>
      </c>
      <c r="NF13" t="str">
        <f>IF('Job Sheet'!P19="Becker Switch Operated",1,"")</f>
        <v/>
      </c>
      <c r="NG13" t="str">
        <f>IF(AND('Tube Cutting'!C19="63mm",(OR('Job Sheet'!P19="Becker Remote Operated",'Job Sheet'!P19="Becker Switch Operated"))),1,"")</f>
        <v/>
      </c>
      <c r="NH13" t="str">
        <f>IF(AND('Tube Cutting'!C19="63mm",(OR('Job Sheet'!P19="Becker Remote Operated",'Job Sheet'!P19="Becker Switch Operated"))),1,"")</f>
        <v/>
      </c>
      <c r="NI13" t="str">
        <f>IF(OR('Job Sheet'!P19="Becker Remote Operated",'Job Sheet'!P19="Becker Switch Operated"),1,"")</f>
        <v/>
      </c>
      <c r="NK13" t="str">
        <f>IF(AND('Tube Cutting'!C19="78mm",(OR('Job Sheet'!P19="Becker Remote Operated",'Job Sheet'!P19="Becker Switch Operated"))),1,"")</f>
        <v/>
      </c>
      <c r="NL13" t="str">
        <f>IF(AND('Tube Cutting'!C19="78mm",'Job Sheet'!P19="Becker Remote Operated"),1,"")</f>
        <v/>
      </c>
      <c r="NM13" t="str">
        <f>IF('Job Sheet'!Y19="Becker Single Channel White Remote",1,"")</f>
        <v/>
      </c>
      <c r="NN13" t="str">
        <f>IF('Job Sheet'!Y19="Becker Single Channel Black Remote",1,"")</f>
        <v/>
      </c>
      <c r="NO13" t="str">
        <f>IF('Job Sheet'!Y19="Becker 5 Channel White Remote",1,"")</f>
        <v/>
      </c>
      <c r="NP13" t="str">
        <f>IF('Job Sheet'!Y19="Becker 5 Channel Black Remote",1,"")</f>
        <v/>
      </c>
      <c r="NQ13" t="str">
        <f>IF('Job Sheet'!Y19="Becker 10 Channel White Remote",1,"")</f>
        <v/>
      </c>
      <c r="NR13" t="str">
        <f>IF('Job Sheet'!Y19="Becker 10 Channel Black Remote",1,"")</f>
        <v/>
      </c>
      <c r="NS13" t="s">
        <v>617</v>
      </c>
      <c r="NT13" t="str">
        <f>IF('Job Sheet'!P19="Somfy Remote Operated",1,"")</f>
        <v/>
      </c>
      <c r="NV13" t="str">
        <f>IF('Job Sheet'!P19="Somfy Remote Operated",1,"")</f>
        <v/>
      </c>
      <c r="NW13" t="str">
        <f>IF(AND('Tube Cutting'!C19="63mm",'Job Sheet'!P19="Somfy Remote Operated"),1,"")</f>
        <v/>
      </c>
      <c r="NX13" t="str">
        <f>IF(AND('Tube Cutting'!C19="63mm",'Job Sheet'!P19="Somfy Remote Operated"),1,"")</f>
        <v/>
      </c>
      <c r="NY13" t="str">
        <f>IF(AND('Tube Cutting'!C19="78mm",'Job Sheet'!P19="Somfy Remote Operated"),1,"")</f>
        <v/>
      </c>
      <c r="NZ13" t="str">
        <f>IF(AND('Tube Cutting'!C19="78mm",'Job Sheet'!P19="Somfy Remote Operated"),1,"")</f>
        <v/>
      </c>
      <c r="OA13" t="str">
        <f>IF('Job Sheet'!Z19="Connexoon App Connector",1,"")</f>
        <v/>
      </c>
      <c r="OB13" t="str">
        <f>IF('Job Sheet'!Z19="Tahoma Switch",1,"")</f>
        <v/>
      </c>
      <c r="OC13" t="str">
        <f>IF('Job Sheet'!Y19="Somfy 15 Channel Silver Remote",1,"")</f>
        <v/>
      </c>
      <c r="OD13" t="str">
        <f>IF('Job Sheet'!Y19="Somfy 15 Channel White Remote",1,"")</f>
        <v/>
      </c>
      <c r="OE13" t="str">
        <f>IF('Job Sheet'!Y19="Somfy 2 Channel Silver Remote",1,"")</f>
        <v/>
      </c>
      <c r="OF13" t="str">
        <f>IF('Job Sheet'!Y19="Somfy 2 Channel Wall Mounted Smoove Remote White with Black Cover Plate",1,"")</f>
        <v/>
      </c>
      <c r="OG13" t="str">
        <f>IF('Job Sheet'!Y19="Somfy 2 Channel Wall Mounted Smoove Remote White with Silver Cover Plate",1,"")</f>
        <v/>
      </c>
      <c r="OH13" t="str">
        <f>IF('Job Sheet'!Y19="Somfy 2 Channel Wall Mounted Smoove Remote White",1,"")</f>
        <v/>
      </c>
      <c r="OI13" t="str">
        <f>IF('Job Sheet'!Y19="Somfy 2 Channel White Remote",1,"")</f>
        <v/>
      </c>
      <c r="OJ13" t="str">
        <f>IF('Job Sheet'!Y19="Somfy 2 Channel Silver Remote",1,"")</f>
        <v/>
      </c>
      <c r="OK13" t="str">
        <f>IF('Job Sheet'!Y19="Somfy 5 Channel Wall Mounted Smoove Remote White with Black Cover Plate",1,"")</f>
        <v/>
      </c>
      <c r="OL13" t="str">
        <f>IF('Job Sheet'!Y19="Somfy 5 Channel Wall Mounted Smoove Remote White with Silver Cover Plate",1,"")</f>
        <v/>
      </c>
      <c r="OM13" t="str">
        <f>IF('Job Sheet'!Y19="Somfy 5 Channel Wall Mounted Smoove Remote White",1,"")</f>
        <v/>
      </c>
      <c r="ON13" t="str">
        <f>IF('Job Sheet'!Y19="Somfy 5 Channel White Remote",1,"")</f>
        <v/>
      </c>
      <c r="OO13" t="str">
        <f>IF('Job Sheet'!Y19="Somfy Single Channel Silver Remote",1,"")</f>
        <v/>
      </c>
      <c r="OP13" t="str">
        <f>IF('Job Sheet'!Y19="Somfy Single Channel Wall Mounted Smoove Remote White with Black Cover Plate",1,"")</f>
        <v/>
      </c>
      <c r="OQ13" t="str">
        <f>IF('Job Sheet'!Y19="Somfy Single Channel Wall Mounted Smoove Remote White with Silver Cover Plate",1,"")</f>
        <v/>
      </c>
      <c r="OR13" t="str">
        <f>IF('Job Sheet'!Y19="Somfy Single Channel Wall Mounted Smoove Remote White",1,"")</f>
        <v/>
      </c>
      <c r="OS13" t="str">
        <f>IF('Job Sheet'!Y19="Somfy Single Channel White Remote",1,"")</f>
        <v/>
      </c>
    </row>
    <row r="14" spans="4:409" s="77" customFormat="1" ht="13.15" customHeight="1">
      <c r="D14" s="77" t="str">
        <f>IF('Tube Cutting'!D20="","",CONCATENATE(Data!BC$5,".",Data!BD$5))</f>
        <v/>
      </c>
      <c r="E14" s="77" t="str">
        <f>IF(D14="","",Data!AW20)</f>
        <v/>
      </c>
      <c r="F14" s="77" t="str">
        <f>IF(D14="","",Data!AV20)</f>
        <v/>
      </c>
      <c r="G14" s="77" t="str">
        <f t="shared" si="0"/>
        <v/>
      </c>
      <c r="H14" s="77" t="str">
        <f>IF(D14="","",Data!BF$5)</f>
        <v/>
      </c>
      <c r="I14" s="77" t="str">
        <f>IF(D14="","",Data!AX$5)</f>
        <v/>
      </c>
      <c r="J14" s="77" t="str">
        <f>'Job Sheet'!H20</f>
        <v/>
      </c>
      <c r="K14" s="77" t="str">
        <f t="shared" si="1"/>
        <v/>
      </c>
      <c r="L14" s="78" t="str">
        <f>'Fabric Cutting'!G20</f>
        <v/>
      </c>
      <c r="M14" s="78" t="str">
        <f>'Fabric Cutting'!H20</f>
        <v/>
      </c>
      <c r="N14" s="77" t="str">
        <f>IF(AND('Job Sheet'!K20="Colourbond Under-Roll Hooding",'Job Sheet'!L20="Custom Powdercoat"),'Tube Cutting'!J20,"")</f>
        <v/>
      </c>
      <c r="O14" s="77" t="str">
        <f>IF(AND('Job Sheet'!K20="Colourbond Under-Roll Hooding",'Job Sheet'!L20="Ebony (Black)"),'Tube Cutting'!J20,"")</f>
        <v/>
      </c>
      <c r="P14" s="77" t="str">
        <f>IF(AND('Job Sheet'!K20="Colourbond Under-Roll Hooding",'Job Sheet'!L20="Caulfield Green"),'Tube Cutting'!J20,"")</f>
        <v/>
      </c>
      <c r="Q14" s="77" t="str">
        <f>IF(AND('Job Sheet'!K20="Colourbond Under-Roll Hooding",'Job Sheet'!L20="Charcoal (Monument)"),'Tube Cutting'!J20,"")</f>
        <v/>
      </c>
      <c r="R14" s="77" t="str">
        <f>IF(AND('Job Sheet'!K20="Colourbond Under-Roll Hooding",'Job Sheet'!L20="Dune"),'Tube Cutting'!J20,"")</f>
        <v/>
      </c>
      <c r="S14" s="77" t="str">
        <f>IF(AND('Job Sheet'!K20="Colourbond Under-Roll Hooding",'Job Sheet'!L20="Heritage Red (Manor Red)"),'Tube Cutting'!J20,"")</f>
        <v/>
      </c>
      <c r="T14" s="77" t="str">
        <f>IF(AND('Job Sheet'!K20="Colourbond Under-Roll Hooding",'Job Sheet'!L20="Ironstone"),'Tube Cutting'!J20,"")</f>
        <v/>
      </c>
      <c r="U14" s="77" t="str">
        <f>IF(AND('Job Sheet'!K20="Colourbond Under-Roll Hooding",'Job Sheet'!L20="Jasper"),'Tube Cutting'!J20,"")</f>
        <v/>
      </c>
      <c r="V14" s="77" t="str">
        <f>IF(AND('Job Sheet'!K20="Colourbond Under-Roll Hooding",'Job Sheet'!L20="Merino (Paperbark)"),'Tube Cutting'!J20,"")</f>
        <v/>
      </c>
      <c r="W14" s="77" t="str">
        <f>IF(AND('Job Sheet'!K20="Colourbond Under-Roll Hooding",'Job Sheet'!L20="Mist Green"),'Tube Cutting'!J20,"")</f>
        <v/>
      </c>
      <c r="X14" s="77" t="str">
        <f>IF(AND('Job Sheet'!K20="Colourbond Under-Roll Hooding",'Job Sheet'!L20="Mountain Blue"),'Tube Cutting'!J20,"")</f>
        <v/>
      </c>
      <c r="Y14" s="77" t="str">
        <f>IF(AND('Job Sheet'!K20="Colourbond Under-Roll Hooding",'Job Sheet'!L20="Smooth Cream (Classic Cream)"),'Tube Cutting'!J20,"")</f>
        <v/>
      </c>
      <c r="Z14" s="77" t="str">
        <f>IF(AND('Job Sheet'!K20="Colourbond Under-Roll Hooding",'Job Sheet'!L20="Shale Grey"),'Tube Cutting'!J20,"")</f>
        <v/>
      </c>
      <c r="AA14" s="77" t="str">
        <f>IF(AND('Job Sheet'!K20="Colourbond Under-Roll Hooding",'Job Sheet'!L20="Slate Grey (Woodland Grey)"),'Tube Cutting'!J20,"")</f>
        <v/>
      </c>
      <c r="AB14" s="77" t="str">
        <f>IF(AND('Job Sheet'!K20="Colourbond Under-Roll Hooding",'Job Sheet'!L20="Surfmist"),'Tube Cutting'!J20,"")</f>
        <v/>
      </c>
      <c r="AC14" s="77" t="str">
        <f>IF(AND('Job Sheet'!K20="Colourbond Under-Roll Hooding",'Job Sheet'!L20="White"),'Tube Cutting'!J20,"")</f>
        <v/>
      </c>
      <c r="AD14" s="77" t="str">
        <f>IF(AND('Job Sheet'!P20="Spring",'Job Sheet'!K20="Colourbond Under-Roll Hooding",'Job Sheet'!L20="Custom Powdercoat"),1,"")</f>
        <v/>
      </c>
      <c r="AE14" s="77" t="str">
        <f>IF(AND('Job Sheet'!P20="Spring",'Job Sheet'!K20="Colourbond Under-Roll Hooding",'Job Sheet'!L20="Ebony (Black)"),1,"")</f>
        <v/>
      </c>
      <c r="AF14" s="77" t="str">
        <f>IF(AND('Job Sheet'!P20="Spring",'Job Sheet'!K20="Colourbond Under-Roll Hooding",'Job Sheet'!L20="Caulfield Green"),1,"")</f>
        <v/>
      </c>
      <c r="AG14" s="77" t="str">
        <f>IF(AND('Job Sheet'!P20="Spring",'Job Sheet'!K20="Colourbond Under-Roll Hooding",'Job Sheet'!L20="Charcoal (Monument)"),1,"")</f>
        <v/>
      </c>
      <c r="AH14" s="77" t="str">
        <f>IF(AND('Job Sheet'!P20="Spring",'Job Sheet'!K20="Colourbond Under-Roll Hooding",'Job Sheet'!L20="Dune"),1,"")</f>
        <v/>
      </c>
      <c r="AI14" s="77" t="str">
        <f>IF(AND('Job Sheet'!P20="Spring",'Job Sheet'!K20="Colourbond Under-Roll Hooding",'Job Sheet'!L20="Heritage Red (Manor Red)"),1,"")</f>
        <v/>
      </c>
      <c r="AJ14" s="77" t="str">
        <f>IF(AND('Job Sheet'!P20="Spring",'Job Sheet'!K20="Colourbond Under-Roll Hooding",'Job Sheet'!L20="Ironstone"),1,"")</f>
        <v/>
      </c>
      <c r="AK14" s="77" t="str">
        <f>IF(AND('Job Sheet'!P20="Spring",'Job Sheet'!K20="Colourbond Under-Roll Hooding",'Job Sheet'!L20="Jasper"),1,"")</f>
        <v/>
      </c>
      <c r="AL14" s="77" t="str">
        <f>IF(AND('Job Sheet'!P20="Spring",'Job Sheet'!K20="Colourbond Under-Roll Hooding",'Job Sheet'!L20="Merino (Paperbark)"),1,"")</f>
        <v/>
      </c>
      <c r="AM14" s="77" t="str">
        <f>IF(AND('Job Sheet'!P20="Spring",'Job Sheet'!K20="Colourbond Under-Roll Hooding",'Job Sheet'!L20="Mist Green"),1,"")</f>
        <v/>
      </c>
      <c r="AN14" s="77" t="str">
        <f>IF(AND('Job Sheet'!P20="Spring",'Job Sheet'!K20="Colourbond Under-Roll Hooding",'Job Sheet'!L20="Mountain Blue"),1,"")</f>
        <v/>
      </c>
      <c r="AO14" s="77" t="str">
        <f>IF(AND('Job Sheet'!P20="Spring",'Job Sheet'!K20="Colourbond Under-Roll Hooding",'Job Sheet'!L20="Smooth Cream (Classic Cream)"),1,"")</f>
        <v/>
      </c>
      <c r="AP14" s="77" t="str">
        <f>IF(AND('Job Sheet'!P20="Spring",'Job Sheet'!K20="Colourbond Under-Roll Hooding",'Job Sheet'!L20="Shale Grey"),1,"")</f>
        <v/>
      </c>
      <c r="AQ14" s="77" t="str">
        <f>IF(AND('Job Sheet'!P20="Spring",'Job Sheet'!K20="Colourbond Under-Roll Hooding",'Job Sheet'!L20="Slate Grey (Woodland Grey)"),1,"")</f>
        <v/>
      </c>
      <c r="AR14" s="77" t="str">
        <f>IF(AND('Job Sheet'!P20="Spring",'Job Sheet'!K20="Colourbond Under-Roll Hooding",'Job Sheet'!L20="Surfmist"),1,"")</f>
        <v/>
      </c>
      <c r="AS14" s="77" t="str">
        <f>IF(AND('Job Sheet'!P20="Spring",'Job Sheet'!K20="Colourbond Under-Roll Hooding",'Job Sheet'!L20="White"),1,"")</f>
        <v/>
      </c>
      <c r="AT14" s="77" t="str">
        <f>IF(AND('Job Sheet'!P20&lt;&gt;"Spring",'Job Sheet'!K20="Colourbond Under-Roll Hooding",'Job Sheet'!L20="Custom Powdercoat"),1,"")</f>
        <v/>
      </c>
      <c r="AU14" s="77" t="str">
        <f>IF(AND('Job Sheet'!P20&lt;&gt;"Spring",'Job Sheet'!K20="Colourbond Under-Roll Hooding",'Job Sheet'!L20="Ebony (Black)"),1,"")</f>
        <v/>
      </c>
      <c r="AV14" s="77" t="str">
        <f>IF(AND('Job Sheet'!P20&lt;&gt;"Spring",'Job Sheet'!K20="Colourbond Under-Roll Hooding",'Job Sheet'!L20="Caulfield Green"),1,"")</f>
        <v/>
      </c>
      <c r="AW14" s="77" t="str">
        <f>IF(AND('Job Sheet'!P20&lt;&gt;"Spring",'Job Sheet'!K20="Colourbond Under-Roll Hooding",'Job Sheet'!L20="Charcoal (Monument)"),1,"")</f>
        <v/>
      </c>
      <c r="AX14" s="77" t="str">
        <f>IF(AND('Job Sheet'!P20&lt;&gt;"Spring",'Job Sheet'!K20="Colourbond Under-Roll Hooding",'Job Sheet'!L20="Dune"),1,"")</f>
        <v/>
      </c>
      <c r="AY14" s="77" t="str">
        <f>IF(AND('Job Sheet'!P20&lt;&gt;"Spring",'Job Sheet'!K20="Colourbond Under-Roll Hooding",'Job Sheet'!L20="Heritage Red (Manor Red)"),1,"")</f>
        <v/>
      </c>
      <c r="AZ14" s="77" t="str">
        <f>IF(AND('Job Sheet'!P20&lt;&gt;"Spring",'Job Sheet'!K20="Colourbond Under-Roll Hooding",'Job Sheet'!L20="Ironstone"),1,"")</f>
        <v/>
      </c>
      <c r="BA14" s="77" t="str">
        <f>IF(AND('Job Sheet'!P20&lt;&gt;"Spring",'Job Sheet'!K20="Colourbond Under-Roll Hooding",'Job Sheet'!L20="Jasper"),1,"")</f>
        <v/>
      </c>
      <c r="BB14" s="77" t="str">
        <f>IF(AND('Job Sheet'!P20&lt;&gt;"Spring",'Job Sheet'!K20="Colourbond Under-Roll Hooding",'Job Sheet'!L20="Merino (Paperbark)"),1,"")</f>
        <v/>
      </c>
      <c r="BC14" s="77" t="str">
        <f>IF(AND('Job Sheet'!P20&lt;&gt;"Spring",'Job Sheet'!K20="Colourbond Under-Roll Hooding",'Job Sheet'!L20="Mist Green"),1,"")</f>
        <v/>
      </c>
      <c r="BD14" s="77" t="str">
        <f>IF(AND('Job Sheet'!P20&lt;&gt;"Spring",'Job Sheet'!K20="Colourbond Under-Roll Hooding",'Job Sheet'!L20="Mountain Blue"),1,"")</f>
        <v/>
      </c>
      <c r="BE14" s="77" t="str">
        <f>IF(AND('Job Sheet'!P20&lt;&gt;"Spring",'Job Sheet'!K20="Colourbond Under-Roll Hooding",'Job Sheet'!L20="Smooth Cream (Classic Cream)"),1,"")</f>
        <v/>
      </c>
      <c r="BF14" s="77" t="str">
        <f>IF(AND('Job Sheet'!P20&lt;&gt;"Spring",'Job Sheet'!K20="Colourbond Under-Roll Hooding",'Job Sheet'!L20="Shale Grey"),1,"")</f>
        <v/>
      </c>
      <c r="BG14" s="77" t="str">
        <f>IF(AND('Job Sheet'!P20&lt;&gt;"Spring",'Job Sheet'!K20="Colourbond Under-Roll Hooding",'Job Sheet'!L20="Slate Grey (Woodland Grey)"),1,"")</f>
        <v/>
      </c>
      <c r="BH14" s="77" t="str">
        <f>IF(AND('Job Sheet'!P20&lt;&gt;"Spring",'Job Sheet'!K20="Colourbond Under-Roll Hooding",'Job Sheet'!L20="Surfmist"),1,"")</f>
        <v/>
      </c>
      <c r="BI14" s="77" t="str">
        <f>IF(AND('Job Sheet'!P20&lt;&gt;"Spring",'Job Sheet'!K20="Colourbond Under-Roll Hooding",'Job Sheet'!L20="White"),1,"")</f>
        <v/>
      </c>
      <c r="BJ14" s="77" t="str">
        <f>IF(AND('Job Sheet'!K20="Colourbond Over-Roll Hooding",'Job Sheet'!L20="Custom Powdercoat"),'Tube Cutting'!J20,"")</f>
        <v/>
      </c>
      <c r="BK14" s="77" t="str">
        <f>IF(AND('Job Sheet'!K20="Colourbond Over-Roll Hooding",'Job Sheet'!L20="Ebony (Black)"),'Tube Cutting'!J20,"")</f>
        <v/>
      </c>
      <c r="BL14" s="77" t="str">
        <f>IF(AND('Job Sheet'!K20="Colourbond Over-Roll Hooding",'Job Sheet'!L20="Caulfield Green"),'Tube Cutting'!J20,"")</f>
        <v/>
      </c>
      <c r="BM14" s="77" t="str">
        <f>IF(AND('Job Sheet'!K20="Colourbond Over-Roll Hooding",'Job Sheet'!L20="Charcoal (Monument)"),'Tube Cutting'!J20,"")</f>
        <v/>
      </c>
      <c r="BN14" s="77" t="str">
        <f>IF(AND('Job Sheet'!K20="Colourbond Over-Roll Hooding",'Job Sheet'!L20="Dune"),'Tube Cutting'!J20,"")</f>
        <v/>
      </c>
      <c r="BO14" s="77" t="str">
        <f>IF(AND('Job Sheet'!K20="Colourbond Over-Roll Hooding",'Job Sheet'!L20="Heritage Red (Manor Red)"),'Tube Cutting'!J20,"")</f>
        <v/>
      </c>
      <c r="BP14" s="77" t="str">
        <f>IF(AND('Job Sheet'!K20="Colourbond Over-Roll Hooding",'Job Sheet'!L20="Ironstone"),'Tube Cutting'!J20,"")</f>
        <v/>
      </c>
      <c r="BQ14" s="77" t="str">
        <f>IF(AND('Job Sheet'!K20="Colourbond Over-Roll Hooding",'Job Sheet'!L20="Jasper"),'Tube Cutting'!J20,"")</f>
        <v/>
      </c>
      <c r="BR14" s="77" t="str">
        <f>IF(AND('Job Sheet'!K20="Colourbond Over-Roll Hooding",'Job Sheet'!L20="Merino (Paperbark)"),'Tube Cutting'!J20,"")</f>
        <v/>
      </c>
      <c r="BS14" s="77" t="str">
        <f>IF(AND('Job Sheet'!K20="Colourbond Over-Roll Hooding",'Job Sheet'!L20="Mist Green"),'Tube Cutting'!J20,"")</f>
        <v/>
      </c>
      <c r="BT14" s="77" t="str">
        <f>IF(AND('Job Sheet'!K20="Colourbond Over-Roll Hooding",'Job Sheet'!L20="Mountain Blue"),'Tube Cutting'!J20,"")</f>
        <v/>
      </c>
      <c r="BU14" s="77" t="str">
        <f>IF(AND('Job Sheet'!K20="Colourbond Over-Roll Hooding",'Job Sheet'!L20="Smooth Cream (Classic Cream)"),'Tube Cutting'!J20,"")</f>
        <v/>
      </c>
      <c r="BV14" s="77" t="str">
        <f>IF(AND('Job Sheet'!K20="Colourbond Over-Roll Hooding",'Job Sheet'!L20="Shale Grey"),'Tube Cutting'!J20,"")</f>
        <v/>
      </c>
      <c r="BW14" s="77" t="str">
        <f>IF(AND('Job Sheet'!K20="Colourbond Over-Roll Hooding",'Job Sheet'!L20="Slate Grey (Woodland Grey)"),'Tube Cutting'!J20,"")</f>
        <v/>
      </c>
      <c r="BX14" s="77" t="str">
        <f>IF(AND('Job Sheet'!K20="Colourbond Over-Roll Hooding",'Job Sheet'!L20="Surfmist"),'Tube Cutting'!J20,"")</f>
        <v/>
      </c>
      <c r="BY14" s="77" t="str">
        <f>IF(AND('Job Sheet'!J20="Colourbond Over-Roll Hooding",'Job Sheet'!K20="White"),'Tube Cutting'!J20,"")</f>
        <v/>
      </c>
      <c r="BZ14" s="77" t="str">
        <f>IF(AND('Job Sheet'!P20="Spring",'Job Sheet'!K20="Colourbond Over-Roll Hooding",'Job Sheet'!L20="Custom Powdercoat"),1,"")</f>
        <v/>
      </c>
      <c r="CA14" s="77" t="str">
        <f>IF(AND('Job Sheet'!P20="Spring",'Job Sheet'!K20="Colourbond Over-Roll Hooding",'Job Sheet'!L20="Ebony (Black)"),1,"")</f>
        <v/>
      </c>
      <c r="CB14" s="77" t="str">
        <f>IF(AND('Job Sheet'!P20="Spring",'Job Sheet'!K20="Colourbond Over-Roll Hooding",'Job Sheet'!L20="Caulfield Green"),1,"")</f>
        <v/>
      </c>
      <c r="CC14" s="77" t="str">
        <f>IF(AND('Job Sheet'!P20="Spring",'Job Sheet'!K20="Colourbond Over-Roll Hooding",'Job Sheet'!L20="Charcoal (Monument)"),1,"")</f>
        <v/>
      </c>
      <c r="CD14" s="77" t="str">
        <f>IF(AND('Job Sheet'!P20="Spring",'Job Sheet'!K20="Colourbond Over-Roll Hooding",'Job Sheet'!L20="Dune"),1,"")</f>
        <v/>
      </c>
      <c r="CE14" s="77" t="str">
        <f>IF(AND('Job Sheet'!P20="Spring",'Job Sheet'!K20="Colourbond Over-Roll Hooding",'Job Sheet'!L20="Heritage Red (Manor Red)"),1,"")</f>
        <v/>
      </c>
      <c r="CF14" s="77" t="str">
        <f>IF(AND('Job Sheet'!P20="Spring",'Job Sheet'!K20="Colourbond Over-Roll Hooding",'Job Sheet'!L20="Ironstone"),1,"")</f>
        <v/>
      </c>
      <c r="CG14" s="77" t="str">
        <f>IF(AND('Job Sheet'!P20="Spring",'Job Sheet'!K20="Colourbond Over-Roll Hooding",'Job Sheet'!L20="Jasper"),1,"")</f>
        <v/>
      </c>
      <c r="CH14" s="77" t="str">
        <f>IF(AND('Job Sheet'!P20="Spring",'Job Sheet'!K20="Colourbond Over-Roll Hooding",'Job Sheet'!L20="Merino (Paperbark)"),1,"")</f>
        <v/>
      </c>
      <c r="CI14" s="77" t="str">
        <f>IF(AND('Job Sheet'!P20="Spring",'Job Sheet'!K20="Colourbond Over-Roll Hooding",'Job Sheet'!L20="Mist Green"),1,"")</f>
        <v/>
      </c>
      <c r="CJ14" s="77" t="str">
        <f>IF(AND('Job Sheet'!P20="Spring",'Job Sheet'!K20="Colourbond Over-Roll Hooding",'Job Sheet'!L20="Mountain Blue"),1,"")</f>
        <v/>
      </c>
      <c r="CK14" s="77" t="str">
        <f>IF(AND('Job Sheet'!P20="Spring",'Job Sheet'!K20="Colourbond Over-Roll Hooding",'Job Sheet'!L20="Smooth Cream (Classic Cream)"),1,"")</f>
        <v/>
      </c>
      <c r="CL14" s="77" t="str">
        <f>IF(AND('Job Sheet'!P20="Spring",'Job Sheet'!K20="Colourbond Over-Roll Hooding",'Job Sheet'!L20="Shale Grey"),1,"")</f>
        <v/>
      </c>
      <c r="CM14" s="77" t="str">
        <f>IF(AND('Job Sheet'!P20="Spring",'Job Sheet'!K20="Colourbond Over-Roll Hooding",'Job Sheet'!L20="Slate Grey (Woodland Grey)"),1,"")</f>
        <v/>
      </c>
      <c r="CN14" s="77" t="str">
        <f>IF(AND('Job Sheet'!P20="Spring",'Job Sheet'!K20="Colourbond Over-Roll Hooding",'Job Sheet'!L20="Surfmist"),1,"")</f>
        <v/>
      </c>
      <c r="CO14" s="77" t="str">
        <f>IF(AND('Job Sheet'!P20="Spring",'Job Sheet'!K20="Colourbond Over-Roll Hooding",'Job Sheet'!L20="White"),1,"")</f>
        <v/>
      </c>
      <c r="CP14" s="77" t="str">
        <f>IF(AND('Job Sheet'!P20&lt;&gt;"Spring",'Job Sheet'!K20="Colourbond Over-Roll Hooding",'Job Sheet'!L20="Custom Powdercoat"),1,"")</f>
        <v/>
      </c>
      <c r="CQ14" s="77" t="str">
        <f>IF(AND('Job Sheet'!P20&lt;&gt;"Spring",'Job Sheet'!K20="Colourbond Over-Roll Hooding",'Job Sheet'!L20="Ebony (Black)"),1,"")</f>
        <v/>
      </c>
      <c r="CR14" s="77" t="str">
        <f>IF(AND('Job Sheet'!P20&lt;&gt;"Spring",'Job Sheet'!K20="Colourbond Over-Roll Hooding",'Job Sheet'!L20="Caulfield Green"),1,"")</f>
        <v/>
      </c>
      <c r="CS14" s="77" t="str">
        <f>IF(AND('Job Sheet'!P20&lt;&gt;"Spring",'Job Sheet'!K20="Colourbond Over-Roll Hooding",'Job Sheet'!L20="Charcoal (Monument)"),1,"")</f>
        <v/>
      </c>
      <c r="CT14" s="77" t="str">
        <f>IF(AND('Job Sheet'!P20&lt;&gt;"Spring",'Job Sheet'!K20="Colourbond Over-Roll Hooding",'Job Sheet'!L20="Dune"),1,"")</f>
        <v/>
      </c>
      <c r="CU14" s="77" t="str">
        <f>IF(AND('Job Sheet'!P20&lt;&gt;"Spring",'Job Sheet'!K20="Colourbond Over-Roll Hooding",'Job Sheet'!L20="Heritage Red (Manor Red)"),1,"")</f>
        <v/>
      </c>
      <c r="CV14" s="77" t="str">
        <f>IF(AND('Job Sheet'!P20&lt;&gt;"Spring",'Job Sheet'!K20="Colourbond Over-Roll Hooding",'Job Sheet'!L20="Ironstone"),1,"")</f>
        <v/>
      </c>
      <c r="CW14" s="77" t="str">
        <f>IF(AND('Job Sheet'!P20&lt;&gt;"Spring",'Job Sheet'!K20="Colourbond Over-Roll Hooding",'Job Sheet'!L20="Jasper"),1,"")</f>
        <v/>
      </c>
      <c r="CX14" s="77" t="str">
        <f>IF(AND('Job Sheet'!P20&lt;&gt;"Spring",'Job Sheet'!K20="Colourbond Over-Roll Hooding",'Job Sheet'!L20="Merino (Paperbark)"),1,"")</f>
        <v/>
      </c>
      <c r="CY14" s="77" t="str">
        <f>IF(AND('Job Sheet'!P20&lt;&gt;"Spring",'Job Sheet'!K20="Colourbond Over-Roll Hooding",'Job Sheet'!L20="Mist Green"),1,"")</f>
        <v/>
      </c>
      <c r="CZ14" s="77" t="str">
        <f>IF(AND('Job Sheet'!P20&lt;&gt;"Spring",'Job Sheet'!K20="Colourbond Over-Roll Hooding",'Job Sheet'!L20="Mountain Blue"),1,"")</f>
        <v/>
      </c>
      <c r="DA14" s="77" t="str">
        <f>IF(AND('Job Sheet'!P20&lt;&gt;"Spring",'Job Sheet'!K20="Colourbond Over-Roll Hooding",'Job Sheet'!L20="Smooth Cream (Classic Cream)"),1,"")</f>
        <v/>
      </c>
      <c r="DB14" s="77" t="str">
        <f>IF(AND('Job Sheet'!P20&lt;&gt;"Spring",'Job Sheet'!K20="Colourbond Over-Roll Hooding",'Job Sheet'!L20="Shale Grey"),1,"")</f>
        <v/>
      </c>
      <c r="DC14" s="77" t="str">
        <f>IF(AND('Job Sheet'!P20&lt;&gt;"Spring",'Job Sheet'!K20="Colourbond Over-Roll Hooding",'Job Sheet'!L20="Slate Grey (Woodland Grey)"),1,"")</f>
        <v/>
      </c>
      <c r="DD14" s="77" t="str">
        <f>IF(AND('Job Sheet'!P20&lt;&gt;"Spring",'Job Sheet'!K20="Colourbond Over-Roll Hooding",'Job Sheet'!L20="Surfmist"),1,"")</f>
        <v/>
      </c>
      <c r="DE14" s="77" t="str">
        <f>IF(AND('Job Sheet'!P20&lt;&gt;"Spring",'Job Sheet'!K20="Colourbond Over-Roll Hooding",'Job Sheet'!L20="White"),1,"")</f>
        <v/>
      </c>
      <c r="DF14" s="77" t="str">
        <f>IF('Tube Cutting'!C20="50mm",'Tube Cutting'!D20,"")</f>
        <v/>
      </c>
      <c r="DG14" s="77" t="str">
        <f>IF('Tube Cutting'!C20="63mm",'Tube Cutting'!D20,"")</f>
        <v/>
      </c>
      <c r="DH14" s="77" t="str">
        <f>IF('Tube Cutting'!C20="70mm",'Tube Cutting'!D20,"")</f>
        <v/>
      </c>
      <c r="DI14" s="77" t="str">
        <f>IF('Tube Cutting'!C20="78mm",'Tube Cutting'!D20,"")</f>
        <v/>
      </c>
      <c r="DJ14" s="77" t="str">
        <f>IF('Tube Cutting'!C20="85mm",'Tube Cutting'!D20,"")</f>
        <v/>
      </c>
      <c r="DK14" s="77" t="str">
        <f>IF(AND('Job Sheet'!P20="Gearbox",'Tube Cutting'!C20="50mm"),1,"")</f>
        <v/>
      </c>
      <c r="DL14" s="77" t="str">
        <f>IF(AND('Job Sheet'!P20&lt;&gt;"Spring",'Tube Cutting'!C20="50mm"),1,"")</f>
        <v/>
      </c>
      <c r="DM14" s="77" t="str">
        <f>IF(AND('Job Sheet'!P20="Gearbox",'Tube Cutting'!C20="63mm"),1,"")</f>
        <v/>
      </c>
      <c r="DN14" s="77" t="str">
        <f>IF(AND('Job Sheet'!P20&lt;&gt;"Spring",'Tube Cutting'!C20="63mm"),1,"")</f>
        <v/>
      </c>
      <c r="DO14" s="77" t="str">
        <f>IF(AND('Job Sheet'!P20="Gearbox",'Tube Cutting'!C20="70mm"),1,"")</f>
        <v/>
      </c>
      <c r="DP14" s="77" t="str">
        <f>IF(AND('Job Sheet'!P20&lt;&gt;"Spring",'Tube Cutting'!C20="70mm"),1,"")</f>
        <v/>
      </c>
      <c r="DQ14" s="77" t="str">
        <f>IF(AND('Job Sheet'!P20="Gearbox",'Tube Cutting'!C20="78mm"),1,"")</f>
        <v/>
      </c>
      <c r="DR14" s="77" t="str">
        <f>IF(AND('Job Sheet'!P20&lt;&gt;"Spring",'Tube Cutting'!C20="78mm"),1,"")</f>
        <v/>
      </c>
      <c r="DS14" s="77" t="str">
        <f>IF(AND('Job Sheet'!P20="Gearbox",'Tube Cutting'!C20="85mm"),1,"")</f>
        <v/>
      </c>
      <c r="DT14" s="77" t="str">
        <f>IF(AND('Job Sheet'!P20&lt;&gt;"Spring",'Tube Cutting'!C20="85mm"),1,"")</f>
        <v/>
      </c>
      <c r="DU14" s="77" t="str">
        <f>IF('Tube Cutting'!I20="Custom Powdercoat",'Tube Cutting'!F20,"")</f>
        <v/>
      </c>
      <c r="DV14" s="77" t="str">
        <f>IF('Tube Cutting'!I20="Ebony (Black)",'Tube Cutting'!F20,"")</f>
        <v/>
      </c>
      <c r="DW14" s="77" t="str">
        <f>IF('Tube Cutting'!I20="Caulfield Green",'Tube Cutting'!F20,"")</f>
        <v/>
      </c>
      <c r="DX14" s="77" t="str">
        <f>IF('Tube Cutting'!I20="Charcoal (Monument)",'Tube Cutting'!F20,"")</f>
        <v/>
      </c>
      <c r="DY14" s="77" t="str">
        <f>IF('Tube Cutting'!I20="Dune",'Tube Cutting'!F20,"")</f>
        <v/>
      </c>
      <c r="DZ14" s="77" t="str">
        <f>IF('Tube Cutting'!I20="Heritage Red (Manor Red)",'Tube Cutting'!F20,"")</f>
        <v/>
      </c>
      <c r="EA14" s="77" t="str">
        <f>IF('Tube Cutting'!I20="Ironstone",'Tube Cutting'!F20,"")</f>
        <v/>
      </c>
      <c r="EB14" s="77" t="str">
        <f>IF('Tube Cutting'!I20="Jasper",'Tube Cutting'!F20,"")</f>
        <v/>
      </c>
      <c r="EC14" s="77" t="str">
        <f>IF('Tube Cutting'!I20="Merino (Paperbark)",'Tube Cutting'!F20,"")</f>
        <v/>
      </c>
      <c r="ED14" s="77" t="str">
        <f>IF('Tube Cutting'!I20="Mist Green",'Tube Cutting'!F20,"")</f>
        <v/>
      </c>
      <c r="EE14" s="77" t="str">
        <f>IF('Tube Cutting'!I20="Mountain Blue",'Tube Cutting'!F20,"")</f>
        <v/>
      </c>
      <c r="EF14" s="77" t="str">
        <f>IF('Tube Cutting'!I20="Smooth Cream (Classic Cream)",'Tube Cutting'!F20,"")</f>
        <v/>
      </c>
      <c r="EG14" s="77" t="str">
        <f>IF('Tube Cutting'!I20="Shale Grey",'Tube Cutting'!F20,"")</f>
        <v/>
      </c>
      <c r="EH14" s="77" t="str">
        <f>IF('Tube Cutting'!I20="Slate Grey (Woodland Grey)",'Tube Cutting'!F20,"")</f>
        <v/>
      </c>
      <c r="EI14" s="77" t="str">
        <f>IF('Tube Cutting'!I20="Surf Mist",'Tube Cutting'!F20,"")</f>
        <v/>
      </c>
      <c r="EJ14" s="77" t="str">
        <f>IF('Tube Cutting'!I20="White",'Tube Cutting'!F20,"")</f>
        <v/>
      </c>
      <c r="EK14" s="77" t="str">
        <f>IF(AND('Job Sheet'!AD20="Standard Zinc",'Job Sheet'!P20&lt;&gt;"Spring"),1,"")</f>
        <v/>
      </c>
      <c r="EL14" s="77" t="str">
        <f>IF(AND('Job Sheet'!AD20="Stainless Steel",'Job Sheet'!P20&lt;&gt;"Spring"),1,"")</f>
        <v/>
      </c>
      <c r="EM14" s="77" t="str">
        <f>IF('Job Sheet'!P20="Spring",1,"")</f>
        <v/>
      </c>
      <c r="EN14" s="77" t="str">
        <f t="shared" si="2"/>
        <v/>
      </c>
      <c r="EO14" s="77" t="str">
        <f>IF('Job Sheet'!AJ20="50mm Small",1,"")</f>
        <v/>
      </c>
      <c r="EP14" s="77" t="str">
        <f>IF('Job Sheet'!AJ20="50mm Std",1,"")</f>
        <v/>
      </c>
      <c r="EQ14" s="77" t="str">
        <f>IF('Job Sheet'!AJ20="63mm Std",1,"")</f>
        <v/>
      </c>
      <c r="FZ14" s="77" t="str">
        <f>IF(AND('Job Sheet'!O20="U Bracket",'Job Sheet'!AD20="Standard Zinc"),2,"")</f>
        <v/>
      </c>
      <c r="GA14" s="77" t="str">
        <f>IF(AND('Job Sheet'!O20="U Bracket",'Job Sheet'!AD20="Stainless Steel"),2,"")</f>
        <v/>
      </c>
      <c r="GB14" s="77" t="str">
        <f t="shared" si="3"/>
        <v/>
      </c>
      <c r="GG14" s="77" t="str">
        <f>IF(AND('Job Sheet'!AD20="Standard Zinc",'Job Sheet'!K20="Spring Brackets"),2,"")</f>
        <v/>
      </c>
      <c r="GH14" s="77" t="str">
        <f>IF(AND('Job Sheet'!AD20="Stainless Steel",'Job Sheet'!K20="Spring Brackets"),2,"")</f>
        <v/>
      </c>
      <c r="GJ14" s="77" t="str">
        <f>IF('Job Sheet'!AC20="Yes x 1",1,IF('Job Sheet'!AC20="Yes x 2",2,""))</f>
        <v/>
      </c>
      <c r="GL14" s="77" t="str">
        <f>IF('Job Sheet'!AB20="Telescopic x 1",1,IF('Job Sheet'!AB20="Telescopic x 2",2,IF('Job Sheet'!AB20="Telescopic x 3",3,+IF('Job Sheet'!AC20="Telescopic x 1",1,IF('Job Sheet'!AC20="Telescopic x 2",2,IF('Job Sheet'!AC20="Telescopic x 3",3,""))))))</f>
        <v/>
      </c>
      <c r="GM14" s="77" t="str">
        <f>IF(AND('Job Sheet'!P20="Gearbox",'Job Sheet'!R20="Black"),1,"")</f>
        <v/>
      </c>
      <c r="GN14" s="77" t="str">
        <f>IF(AND('Job Sheet'!P20="Gearbox",'Job Sheet'!R20="White"),1,"")</f>
        <v/>
      </c>
      <c r="GO14" s="77" t="str">
        <f>IF('Job Sheet'!Y20="Black Crank Handle 1000mm",1,"")</f>
        <v/>
      </c>
      <c r="GP14" s="77" t="str">
        <f>IF('Job Sheet'!Y20="Black Crank Handle 1200mm",1,"")</f>
        <v/>
      </c>
      <c r="GQ14" s="77" t="str">
        <f>IF('Job Sheet'!Y20="Black Crank Handle 1500mm",1,"")</f>
        <v/>
      </c>
      <c r="GR14" s="77" t="str">
        <f>IF('Job Sheet'!Y20="Black Crank Handle 1800mm",1,"")</f>
        <v/>
      </c>
      <c r="GS14" s="77" t="str">
        <f>IF('Job Sheet'!Y20="Black Crank Handle 2200mm",1,"")</f>
        <v/>
      </c>
      <c r="GT14" s="77" t="str">
        <f>IF('Job Sheet'!Y20="Black Crank Handle 2500mm",1,"")</f>
        <v/>
      </c>
      <c r="GU14" s="77" t="str">
        <f>IF('Job Sheet'!Y20="Black Crank Handle 3000mm",1,"")</f>
        <v/>
      </c>
      <c r="GV14" s="77" t="str">
        <f>IF('Job Sheet'!Y20="White Crank Handle 1000mm",1,"")</f>
        <v/>
      </c>
      <c r="GW14" s="77" t="str">
        <f>IF('Job Sheet'!Y20="White Crank Handle 1200mm",1,"")</f>
        <v/>
      </c>
      <c r="GX14" s="77" t="str">
        <f>IF('Job Sheet'!Y20="White Crank Handle 1500mm",1,"")</f>
        <v/>
      </c>
      <c r="GY14" s="77" t="str">
        <f>IF('Job Sheet'!Y20="White Crank Handle 1800mm",1,"")</f>
        <v/>
      </c>
      <c r="GZ14" s="77" t="str">
        <f>IF('Job Sheet'!Y20="White Crank Handle 2200mm",1,"")</f>
        <v/>
      </c>
      <c r="HA14" s="77" t="str">
        <f>IF('Job Sheet'!Y20="White Crank Handle 2500mm",1,"")</f>
        <v/>
      </c>
      <c r="HB14" s="77" t="str">
        <f>IF('Job Sheet'!Y20="White Crank Handle 3000mm",1,"")</f>
        <v/>
      </c>
      <c r="HC14" s="77" t="str">
        <f>IF(AND('Job Sheet'!AH20="900mm",'Job Sheet'!AD20="Standard Zinc"),2,"")</f>
        <v/>
      </c>
      <c r="HD14" s="77" t="str">
        <f>IF(AND('Job Sheet'!AH20="1200mm",'Job Sheet'!AD20="Standard Zinc"),2,"")</f>
        <v/>
      </c>
      <c r="HE14" s="77" t="str">
        <f>IF(AND('Job Sheet'!AH20="1500mm",'Job Sheet'!AD20="Standard Zinc"),2,"")</f>
        <v/>
      </c>
      <c r="HF14" s="77" t="str">
        <f>IF(AND('Job Sheet'!AH20="1800mm",'Job Sheet'!AD20="Standard Zinc"),2,"")</f>
        <v/>
      </c>
      <c r="HG14" s="77" t="str">
        <f>IF(AND('Job Sheet'!AH20="2100mm",'Job Sheet'!AD20="Standard Zinc"),2,"")</f>
        <v/>
      </c>
      <c r="HH14" s="77" t="str">
        <f>IF(AND('Job Sheet'!AH20="2400mm",'Job Sheet'!AD20="Standard Zinc"),2,"")</f>
        <v/>
      </c>
      <c r="HI14" s="77" t="str">
        <f>IF(AND('Job Sheet'!AH20="2700mm",'Job Sheet'!AD20="Standard Zinc"),2,"")</f>
        <v/>
      </c>
      <c r="HJ14" s="77" t="str">
        <f>IF(AND('Job Sheet'!AH20="3000mm",'Job Sheet'!AD20="Standard Zinc"),2,"")</f>
        <v/>
      </c>
      <c r="HK14" s="77" t="str">
        <f>IF(AND('Job Sheet'!AH20="3500mm",'Job Sheet'!AD20="Standard Zinc"),2,"")</f>
        <v/>
      </c>
      <c r="HL14" s="77" t="str">
        <f>IF(AND('Job Sheet'!AH20="900mm",'Job Sheet'!AD20="Stainless Steel"),2,"")</f>
        <v/>
      </c>
      <c r="HM14" s="77" t="str">
        <f>IF(AND('Job Sheet'!AH20="1200mm",'Job Sheet'!AD20="Stainless Steel"),2,"")</f>
        <v/>
      </c>
      <c r="HN14" s="77" t="str">
        <f>IF(AND('Job Sheet'!AH20="1500mm",'Job Sheet'!AD20="Stainless Steel"),2,"")</f>
        <v/>
      </c>
      <c r="HO14" s="77" t="str">
        <f>IF(AND('Job Sheet'!AH20="1800mm",'Job Sheet'!AD20="Stainless Steel"),2,"")</f>
        <v/>
      </c>
      <c r="HP14" s="77" t="str">
        <f>IF(AND('Job Sheet'!AH20="2100mm",'Job Sheet'!AD20="Stainless Steel"),2,"")</f>
        <v/>
      </c>
      <c r="HQ14" s="77" t="str">
        <f>IF(AND('Job Sheet'!AH20="2400mm",'Job Sheet'!AD20="Stainless Steel"),2,"")</f>
        <v/>
      </c>
      <c r="HR14" s="77" t="str">
        <f>IF(AND('Job Sheet'!AH20="2700mm",'Job Sheet'!AD20="Stainless Steel"),2,"")</f>
        <v/>
      </c>
      <c r="HS14" s="77" t="str">
        <f>IF(AND('Job Sheet'!AH20="3000mm",'Job Sheet'!AD20="Stainless Steel"),2,"")</f>
        <v/>
      </c>
      <c r="HT14" s="77" t="str">
        <f>IF('Tube Cutting'!G20="","",'Tube Cutting'!F20*2-120)</f>
        <v/>
      </c>
      <c r="HU14" s="77" t="str">
        <f>IF(AND('Job Sheet'!O20="150mm L Bracket",'Job Sheet'!AD20="Standard Zinc"),2,"")</f>
        <v/>
      </c>
      <c r="HV14" s="77" t="str">
        <f>IF(AND('Job Sheet'!O20="225mm L Bracket",'Job Sheet'!AD20="Standard Zinc"),2,"")</f>
        <v/>
      </c>
      <c r="HW14" s="77" t="str">
        <f>IF(AND('Job Sheet'!O20="300mm L Bracket",'Job Sheet'!AD20="Standard Zinc"),2,"")</f>
        <v/>
      </c>
      <c r="HX14" s="77" t="str">
        <f>IF(AND('Job Sheet'!O20="450mm L Bracket",'Job Sheet'!AD20="Standard Zinc"),2,"")</f>
        <v/>
      </c>
      <c r="HY14" s="77" t="str">
        <f>IF(AND('Job Sheet'!O20="600mm L Bracket",'Job Sheet'!AD20="Standard Zinc"),2,"")</f>
        <v/>
      </c>
      <c r="HZ14" s="77" t="str">
        <f>IF(AND('Job Sheet'!O20="150mm L Bracket",'Job Sheet'!AD20="Stainless Steel"),2,"")</f>
        <v/>
      </c>
      <c r="IA14" t="str">
        <f>IF(AND('Job Sheet'!O20="225mm L Bracket",'Job Sheet'!AD20="Stainless Steel"),2,"")</f>
        <v/>
      </c>
      <c r="IB14" s="77" t="str">
        <f>IF(AND('Job Sheet'!O20="300mm L Bracket",'Job Sheet'!AD20="Stainless Steel"),2,"")</f>
        <v/>
      </c>
      <c r="IC14" s="77" t="str">
        <f t="shared" si="4"/>
        <v/>
      </c>
      <c r="ID14" s="77" t="str">
        <f>IF(AND('Job Sheet'!AD20="Standard Zinc",(OR('Job Sheet'!Y20="150mm Stayed Bracket with No Pulleys and Rope Cleat",'Job Sheet'!Y20="150mm Stayed Bracket with 1 Pulley and Rope Cleat",'Job Sheet'!Y20="150mm Stayed Bracket with 2 Pulleys and Rope Cleat"))),1,"")</f>
        <v/>
      </c>
      <c r="IE14" s="77" t="str">
        <f>IF(AND('Job Sheet'!AD20="Standard Zinc",(OR('Job Sheet'!Y20="225mm Stayed Bracket with No Pulleys and Rope Cleat",'Job Sheet'!Y20="225mm Stayed Bracket with 1 Pulley and Rope Cleat",'Job Sheet'!Y20="225mm Stayed Bracket with 2 Pulleys and Rope Cleat"))),1,"")</f>
        <v/>
      </c>
      <c r="IF14" s="77" t="str">
        <f>IF(AND('Job Sheet'!AD20="Standard Zinc",(OR('Job Sheet'!Y20="300mm Stayed Bracket with No Pulleys and Rope Cleat",'Job Sheet'!Y20="300mm Stayed Bracket with 1 Pulley and Rope Cleat",'Job Sheet'!Y20="300mm Stayed Bracket with 2 Pulleys and Rope Cleat"))),1,"")</f>
        <v/>
      </c>
      <c r="IG14" s="77" t="str">
        <f>IF(AND('Job Sheet'!AD20="Stainless Steel",OR('Job Sheet'!Y20="150mm Stayed Bracket with No Pulleys and Rope Cleat",'Job Sheet'!Y20="150mm Stayed Bracket with 1 Pulley and Rope Cleat",'Job Sheet'!Y20="150mm Stayed Bracket with 2 Pulleys and Rope Cleat")),1,"")</f>
        <v/>
      </c>
      <c r="IH14" s="77" t="str">
        <f>IF(AND('Job Sheet'!Y20="300mm Stayed Bracket with 1 Pulley and Rope Cleat",'Job Sheet'!AD20="Stainless Steel"),1,"")</f>
        <v/>
      </c>
      <c r="II14" s="77" t="str">
        <f>IF(OR('Job Sheet'!Y20="150mm Stayed Bracket with 1 Pulley and Rope Cleat",'Job Sheet'!Y20="225mm Stayed Bracket with 1 Pulley and Rope Cleat",'Job Sheet'!Y20="300mm Stayed Bracket with 1 Pulley and Rope Cleat",'Job Sheet'!Y20="With 1 Pulley and Rope Cleat"),"1",IF(OR('Job Sheet'!Y20="150mm Stayed Bracket with 2 Pulleys and Rope Cleat",'Job Sheet'!Y20="225mm Stayed Bracket with 2 Pulleys and Rope Cleat",'Job Sheet'!Y20="300mm Stayed Bracket with 2 Pulleys and Rope Cleat",'Job Sheet'!Y20="With 2 Pulleys and Rope Cleat"),"2",""))</f>
        <v/>
      </c>
      <c r="IJ14" t="str">
        <f>IF(OR('Job Sheet'!Y20="150mm Stayed Bracket with No Pulleys and Rope Cleat",'Job Sheet'!Y20="150mm Stayed Bracket with 1 Pulley and Rope Cleat",'Job Sheet'!Y20="150mm Stayed Bracket with 2 Pulleys and Rope Cleat",'Job Sheet'!Y20="225mm Stayed Bracket with No Pulleys and Rope Cleat",'Job Sheet'!Y20="225mm Stayed Bracket with 1 Pulley and Rope Cleat",'Job Sheet'!Y20="225mm Stayed Bracket with 2 Pulleys and Rope Cleat",'Job Sheet'!Y20="300mm Stayed Bracket with No Pulleys and Rope Cleat",'Job Sheet'!Y20="300mm Stayed Bracket with 1 Pulley and Rope Cleat",'Job Sheet'!Y20="300mm Stayed Bracket with 2 Pulleys and Rope Cleat",'Job Sheet'!Y20="With No Pulleys and Rope Cleat",'Job Sheet'!Y20="With 1 Pulley and Rope Cleat",'Job Sheet'!Y20="With 2 Pulleys and Rope Cleat",),"1","")</f>
        <v/>
      </c>
      <c r="IK14" s="77" t="str">
        <f>IF('Job Sheet'!R20="Black Cord 2m","2",IF('Job Sheet'!R20="Black Cord 3m","3",IF('Job Sheet'!R20="Black Cord 4m","4",IF('Job Sheet'!R20="Black Cord 5m","5",IF('Job Sheet'!R20="Black Cord 6m","6","")))))</f>
        <v/>
      </c>
      <c r="IL14" s="77" t="str">
        <f>IF('Job Sheet'!R20="White Cord 2m","2",IF('Job Sheet'!R20="White Cord 3m","3",IF('Job Sheet'!R20="White Cord 4m","4",IF('Job Sheet'!R20="White Cord 5m","5",IF('Job Sheet'!R20="White Cord 6m","6","")))))</f>
        <v/>
      </c>
      <c r="IM14" s="77" t="str">
        <f>IF(AND('Job Sheet'!K20="Powder Coated Brackets",'Job Sheet'!L20="Black"),2,"")</f>
        <v/>
      </c>
      <c r="IN14" s="77" t="str">
        <f>IF(AND('Job Sheet'!K20="Powder Coated Brackets",'Job Sheet'!L20="White"),2,"")</f>
        <v/>
      </c>
      <c r="IQ14" s="77" t="str">
        <f>IF('Job Sheet'!L20="Stainless Steel",2,"")</f>
        <v/>
      </c>
      <c r="JD14" s="77" t="str">
        <f>IF('Job Sheet'!AB20="25mm x 1",1,IF('Job Sheet'!AB20="25mm x 2",2,""))</f>
        <v/>
      </c>
      <c r="JE14" s="77" t="str">
        <f>IF('Job Sheet'!AB20="50mm x 1",1,IF('Job Sheet'!AB20="50mm x 2",2,""))</f>
        <v/>
      </c>
      <c r="JF14" s="77" t="str">
        <f>IF('Job Sheet'!AB20="75mm x 1",1,IF('Job Sheet'!AB20="75mm x 2",2,""))</f>
        <v/>
      </c>
      <c r="JG14" s="77" t="str">
        <f>IF('Job Sheet'!AB20="100mm x 1",1,IF('Job Sheet'!AB20="100mm x 2",2,""))</f>
        <v/>
      </c>
      <c r="JH14" s="77" t="str">
        <f>IF('Job Sheet'!AB20="125mm x 1",1,IF('Job Sheet'!AB20="125mm x 2",2,""))</f>
        <v/>
      </c>
      <c r="JN14" s="77" t="str">
        <f>IF('Job Sheet'!AA20="25mm x 1",1,IF('Job Sheet'!AA20="25mm x 2",2,""))</f>
        <v/>
      </c>
      <c r="JO14" s="77" t="str">
        <f>IF('Job Sheet'!AA20="50mm x 1",1,IF('Job Sheet'!AA20="50mm x 2",2,""))</f>
        <v/>
      </c>
      <c r="JP14" s="77" t="str">
        <f>IF('Job Sheet'!AA20="75mm x 1",1,IF('Job Sheet'!AA20="75mm x 2",2,""))</f>
        <v/>
      </c>
      <c r="JQ14" s="77" t="str">
        <f>IF('Job Sheet'!AA20="100mm x 1",1,IF('Job Sheet'!AA20="100mm x 2",2,""))</f>
        <v/>
      </c>
      <c r="JR14" s="77" t="str">
        <f>IF('Job Sheet'!AA20="125mm x 1",1,IF('Job Sheet'!AA20="125mm x 2",2,""))</f>
        <v/>
      </c>
      <c r="JS14" t="str">
        <f>IF('Welding&amp;Sewing'!D20="3.6mm White",'Fabric Cutting'!G20*2,'Fabric Cutting'!G20)</f>
        <v/>
      </c>
      <c r="JT14" t="str">
        <f>IF('Welding&amp;Sewing'!D20="6mm Black",'Fabric Cutting'!G20,"")</f>
        <v/>
      </c>
      <c r="MB14" s="77" t="str">
        <f>IF('Job Sheet'!P20="Acmeda Remote Motor",1,"")</f>
        <v/>
      </c>
      <c r="MC14" s="77" t="str">
        <f>IF(AND('Tube Cutting'!C20="63mm",'Job Sheet'!P20="Acmeda Remote Motor"),1,"")</f>
        <v/>
      </c>
      <c r="MD14" s="77" t="str">
        <f>IF(AND('Tube Cutting'!C20="63mm",'Job Sheet'!P20="Acmeda Remote Motor"),1,"")</f>
        <v/>
      </c>
      <c r="ME14" s="77" t="str">
        <f>IF(AND('Tube Cutting'!C20="78mm",'Job Sheet'!P20="Acmeda Remote Motor"),1,"")</f>
        <v/>
      </c>
      <c r="MF14" s="77" t="str">
        <f>IF(AND('Tube Cutting'!C20="78mm",'Job Sheet'!P20="Acmeda Remote Motor"),1,"")</f>
        <v/>
      </c>
      <c r="MG14" s="77" t="str">
        <f>IF('Job Sheet'!P20="Acmeda 12v Remote Motor",1,"")</f>
        <v/>
      </c>
      <c r="MH14" s="77" t="str">
        <f>IF(OR('Job Sheet'!Z20="External Battery",'Job Sheet'!Z20="External Battery and Charging Cable"),1,"")</f>
        <v/>
      </c>
      <c r="MI14" s="77" t="str">
        <f>IF('Job Sheet'!Z20="External Battery and Charging Cable",1,"")</f>
        <v/>
      </c>
      <c r="MJ14" s="77" t="str">
        <f>IF('Job Sheet'!Z20="Pulse 2.0 Automation Hub",1,"")</f>
        <v/>
      </c>
      <c r="MK14" s="77" t="str">
        <f>IF('Job Sheet'!Z20="USB Repeater",1,"")</f>
        <v/>
      </c>
      <c r="ML14" s="77" t="str">
        <f>IF('Job Sheet'!Y20="Acmeda 1 Channel White Remote",1,"")</f>
        <v/>
      </c>
      <c r="MM14" s="77" t="str">
        <f>IF('Job Sheet'!Y20="Acmeda 1 Channel Black Remote",1,"")</f>
        <v/>
      </c>
      <c r="MN14" s="77" t="str">
        <f>IF('Job Sheet'!Y20="Acmeda 5 Channel White Remote",1,"")</f>
        <v/>
      </c>
      <c r="MO14" s="77" t="str">
        <f>IF('Job Sheet'!Y20="Acmeda 5 Channel Black Remote",1,"")</f>
        <v/>
      </c>
      <c r="MP14" s="77" t="str">
        <f>IF('Job Sheet'!Y20="Acmeda 15 Channel White Remote",1,"")</f>
        <v/>
      </c>
      <c r="MQ14" s="77" t="str">
        <f>IF('Job Sheet'!Y20="Acmeda 15 Channel Black Remote",1,"")</f>
        <v/>
      </c>
      <c r="MR14" s="77" t="str">
        <f>IF('Job Sheet'!Y20="Acmeda Wall Mounted 5 Channel White Remote",1,"")</f>
        <v/>
      </c>
      <c r="MS14" s="77" t="str">
        <f>IF('Job Sheet'!Y20="Acmeda Wall Mounted Single Channel White Remote",1,"")</f>
        <v/>
      </c>
      <c r="MT14" t="str">
        <f>IF('Job Sheet'!Y20="Acmeda Wall Mounted 2 Channel White Remote",1,"")</f>
        <v/>
      </c>
      <c r="MU14" s="77" t="str">
        <f>IF('Job Sheet'!Y20="Acmeda Wall Mounted 15 Channel White Remote",1,"")</f>
        <v/>
      </c>
      <c r="MV14" s="77" t="str">
        <f>IF('Job Sheet'!Y20="Acmeda Push Pro White Remote with Charger",1,"")</f>
        <v/>
      </c>
      <c r="MW14" s="77" t="str">
        <f>IF('Job Sheet'!Y20="Acmeda Push Pro Black Remote with Charger",1,"")</f>
        <v/>
      </c>
      <c r="MX14" t="str">
        <f>IF(OR('Job Sheet'!Y20="Acmeda Push Pro White Remote with Charger",'Job Sheet'!Y20="Acmeda Push Pro Black Remote with Charger"),"1","")</f>
        <v/>
      </c>
      <c r="MY14" t="str">
        <f t="shared" si="5"/>
        <v/>
      </c>
      <c r="NA14" s="77" t="str">
        <f>IF('Job Sheet'!Z20="1 Channel Dry Contact Relay Module",1,"")</f>
        <v/>
      </c>
      <c r="ND14" s="77" t="str">
        <f>IF('Job Sheet'!P20="Becker Remote Operated",1,"")</f>
        <v/>
      </c>
      <c r="NF14" s="77" t="str">
        <f>IF('Job Sheet'!P20="Becker Switch Operated",1,"")</f>
        <v/>
      </c>
      <c r="NG14" s="77" t="str">
        <f>IF(AND('Tube Cutting'!C20="63mm",(OR('Job Sheet'!P20="Becker Remote Operated",'Job Sheet'!P20="Becker Switch Operated"))),1,"")</f>
        <v/>
      </c>
      <c r="NH14" s="77" t="str">
        <f>IF(AND('Tube Cutting'!C20="63mm",(OR('Job Sheet'!P20="Becker Remote Operated",'Job Sheet'!P20="Becker Switch Operated"))),1,"")</f>
        <v/>
      </c>
      <c r="NI14" s="77" t="str">
        <f>IF(OR('Job Sheet'!P20="Becker Remote Operated",'Job Sheet'!P20="Becker Switch Operated"),1,"")</f>
        <v/>
      </c>
      <c r="NJ14"/>
      <c r="NK14" s="77" t="str">
        <f>IF(AND('Tube Cutting'!C20="78mm",(OR('Job Sheet'!P20="Becker Remote Operated",'Job Sheet'!P20="Becker Switch Operated"))),1,"")</f>
        <v/>
      </c>
      <c r="NL14" s="77" t="str">
        <f>IF(AND('Tube Cutting'!C20="78mm",'Job Sheet'!P20="Becker Remote Operated"),1,"")</f>
        <v/>
      </c>
      <c r="NM14" s="77" t="str">
        <f>IF('Job Sheet'!Y20="Becker Single Channel White Remote",1,"")</f>
        <v/>
      </c>
      <c r="NN14" s="77" t="str">
        <f>IF('Job Sheet'!Y20="Becker Single Channel Black Remote",1,"")</f>
        <v/>
      </c>
      <c r="NO14" s="77" t="str">
        <f>IF('Job Sheet'!Y20="Becker 5 Channel White Remote",1,"")</f>
        <v/>
      </c>
      <c r="NP14" s="77" t="str">
        <f>IF('Job Sheet'!Y20="Becker 5 Channel Black Remote",1,"")</f>
        <v/>
      </c>
      <c r="NQ14" s="77" t="str">
        <f>IF('Job Sheet'!Y20="Becker 10 Channel White Remote",1,"")</f>
        <v/>
      </c>
      <c r="NR14" s="77" t="str">
        <f>IF('Job Sheet'!Y20="Becker 10 Channel Black Remote",1,"")</f>
        <v/>
      </c>
      <c r="NS14" s="77" t="s">
        <v>617</v>
      </c>
      <c r="NT14" s="77" t="str">
        <f>IF('Job Sheet'!P20="Somfy Remote Operated",1,"")</f>
        <v/>
      </c>
      <c r="NV14" s="77" t="str">
        <f>IF('Job Sheet'!P20="Somfy Remote Operated",1,"")</f>
        <v/>
      </c>
      <c r="NW14" s="77" t="str">
        <f>IF(AND('Tube Cutting'!C20="63mm",'Job Sheet'!P20="Somfy Remote Operated"),1,"")</f>
        <v/>
      </c>
      <c r="NX14" s="77" t="str">
        <f>IF(AND('Tube Cutting'!C20="63mm",'Job Sheet'!P20="Somfy Remote Operated"),1,"")</f>
        <v/>
      </c>
      <c r="NY14" s="77" t="str">
        <f>IF(AND('Tube Cutting'!C20="78mm",'Job Sheet'!P20="Somfy Remote Operated"),1,"")</f>
        <v/>
      </c>
      <c r="NZ14" s="77" t="str">
        <f>IF(AND('Tube Cutting'!C20="78mm",'Job Sheet'!P20="Somfy Remote Operated"),1,"")</f>
        <v/>
      </c>
      <c r="OA14" s="77" t="str">
        <f>IF('Job Sheet'!Z20="Connexoon App Connector",1,"")</f>
        <v/>
      </c>
      <c r="OB14" s="77" t="str">
        <f>IF('Job Sheet'!Z20="Tahoma Switch",1,"")</f>
        <v/>
      </c>
      <c r="OC14" s="77" t="str">
        <f>IF('Job Sheet'!Y20="Somfy 15 Channel Silver Remote",1,"")</f>
        <v/>
      </c>
      <c r="OD14" s="77" t="str">
        <f>IF('Job Sheet'!Y20="Somfy 15 Channel White Remote",1,"")</f>
        <v/>
      </c>
      <c r="OE14" s="77" t="str">
        <f>IF('Job Sheet'!Y20="Somfy 2 Channel Silver Remote",1,"")</f>
        <v/>
      </c>
      <c r="OF14" s="77" t="str">
        <f>IF('Job Sheet'!Y20="Somfy 2 Channel Wall Mounted Smoove Remote White with Black Cover Plate",1,"")</f>
        <v/>
      </c>
      <c r="OG14" s="77" t="str">
        <f>IF('Job Sheet'!Y20="Somfy 2 Channel Wall Mounted Smoove Remote White with Silver Cover Plate",1,"")</f>
        <v/>
      </c>
      <c r="OH14" s="77" t="str">
        <f>IF('Job Sheet'!Y20="Somfy 2 Channel Wall Mounted Smoove Remote White",1,"")</f>
        <v/>
      </c>
      <c r="OI14" s="77" t="str">
        <f>IF('Job Sheet'!Y20="Somfy 2 Channel White Remote",1,"")</f>
        <v/>
      </c>
      <c r="OJ14" s="77" t="str">
        <f>IF('Job Sheet'!Y20="Somfy 2 Channel Silver Remote",1,"")</f>
        <v/>
      </c>
      <c r="OK14" s="77" t="str">
        <f>IF('Job Sheet'!Y20="Somfy 5 Channel Wall Mounted Smoove Remote White with Black Cover Plate",1,"")</f>
        <v/>
      </c>
      <c r="OL14" s="77" t="str">
        <f>IF('Job Sheet'!Y20="Somfy 5 Channel Wall Mounted Smoove Remote White with Silver Cover Plate",1,"")</f>
        <v/>
      </c>
      <c r="OM14" s="77" t="str">
        <f>IF('Job Sheet'!Y20="Somfy 5 Channel Wall Mounted Smoove Remote White",1,"")</f>
        <v/>
      </c>
      <c r="ON14" s="77" t="str">
        <f>IF('Job Sheet'!Y20="Somfy 5 Channel White Remote",1,"")</f>
        <v/>
      </c>
      <c r="OO14" s="77" t="str">
        <f>IF('Job Sheet'!Y20="Somfy Single Channel Silver Remote",1,"")</f>
        <v/>
      </c>
      <c r="OP14" s="77" t="str">
        <f>IF('Job Sheet'!Y20="Somfy Single Channel Wall Mounted Smoove Remote White with Black Cover Plate",1,"")</f>
        <v/>
      </c>
      <c r="OQ14" s="77" t="str">
        <f>IF('Job Sheet'!Y20="Somfy Single Channel Wall Mounted Smoove Remote White with Silver Cover Plate",1,"")</f>
        <v/>
      </c>
      <c r="OR14" s="77" t="str">
        <f>IF('Job Sheet'!Y20="Somfy Single Channel Wall Mounted Smoove Remote White",1,"")</f>
        <v/>
      </c>
      <c r="OS14" s="77" t="str">
        <f>IF('Job Sheet'!Y20="Somfy Single Channel White Remote",1,"")</f>
        <v/>
      </c>
    </row>
  </sheetData>
  <mergeCells count="40">
    <mergeCell ref="CP2:DE2"/>
    <mergeCell ref="N2:AC2"/>
    <mergeCell ref="AD2:AS2"/>
    <mergeCell ref="AT2:BI2"/>
    <mergeCell ref="BJ2:BY2"/>
    <mergeCell ref="BZ2:CO2"/>
    <mergeCell ref="GG2:GH2"/>
    <mergeCell ref="DF2:DJ2"/>
    <mergeCell ref="DK2:DT2"/>
    <mergeCell ref="DU2:EJ2"/>
    <mergeCell ref="EK2:EN2"/>
    <mergeCell ref="EO2:EQ2"/>
    <mergeCell ref="ER2:FC2"/>
    <mergeCell ref="FD2:FO2"/>
    <mergeCell ref="FP2:FU2"/>
    <mergeCell ref="FV2:FY2"/>
    <mergeCell ref="FZ2:GB2"/>
    <mergeCell ref="GC2:GF2"/>
    <mergeCell ref="JI2:JM2"/>
    <mergeCell ref="GI2:GL2"/>
    <mergeCell ref="GM2:GN2"/>
    <mergeCell ref="GO2:HB2"/>
    <mergeCell ref="HC2:HK2"/>
    <mergeCell ref="HL2:HS2"/>
    <mergeCell ref="HU2:IB2"/>
    <mergeCell ref="ID2:IH2"/>
    <mergeCell ref="II2:IL2"/>
    <mergeCell ref="IM2:IQ2"/>
    <mergeCell ref="IR2:JC2"/>
    <mergeCell ref="JD2:JH2"/>
    <mergeCell ref="NB2:NS2"/>
    <mergeCell ref="NT2:OS2"/>
    <mergeCell ref="OT2:OX2"/>
    <mergeCell ref="OY2:OZ2"/>
    <mergeCell ref="JN2:JR2"/>
    <mergeCell ref="JS2:JU2"/>
    <mergeCell ref="JV2:KZ2"/>
    <mergeCell ref="LA2:MA2"/>
    <mergeCell ref="MB2:MI2"/>
    <mergeCell ref="MJ2:NA2"/>
  </mergeCells>
  <pageMargins left="0.774803149606304" right="0.774803149606304" top="0.75" bottom="0.75" header="0.3" footer="0.3"/>
  <pageSetup horizontalDpi="300" verticalDpi="30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ubeSize"/>
  <dimension ref="A1:S34"/>
  <sheetViews>
    <sheetView workbookViewId="0" topLeftCell="A1">
      <selection pane="topLeft" activeCell="Q3" sqref="Q3:S24"/>
    </sheetView>
  </sheetViews>
  <sheetFormatPr defaultColWidth="9.140625" defaultRowHeight="12.75"/>
  <cols>
    <col min="1" max="1" width="23.2857142857143" bestFit="1" customWidth="1"/>
    <col min="2" max="2" width="11.1428571428571" bestFit="1" customWidth="1"/>
    <col min="3" max="3" width="15.5714285714286" bestFit="1" customWidth="1"/>
    <col min="4" max="4" width="11.1428571428571" bestFit="1" customWidth="1"/>
    <col min="5" max="5" width="36" bestFit="1" customWidth="1"/>
    <col min="6" max="8" width="9.28571428571429" bestFit="1" customWidth="1"/>
    <col min="9" max="9" width="11.7142857142857" bestFit="1" customWidth="1"/>
    <col min="10" max="11" width="9.28571428571429" bestFit="1" customWidth="1"/>
    <col min="12" max="12" width="9.85714285714286" bestFit="1" customWidth="1"/>
    <col min="13" max="15" width="9.28571428571429" bestFit="1" customWidth="1"/>
    <col min="16" max="16" width="9.57142857142857" bestFit="1" customWidth="1"/>
    <col min="17" max="17" width="16.1428571428571" bestFit="1" customWidth="1"/>
    <col min="18" max="18" width="29.4285714285714" bestFit="1" customWidth="1"/>
    <col min="19" max="19" width="2" bestFit="1" customWidth="1"/>
  </cols>
  <sheetData>
    <row r="1" spans="1:19" ht="15">
      <c r="A1" s="281" t="s">
        <v>146</v>
      </c>
      <c r="B1" s="281"/>
      <c r="C1" s="281"/>
      <c r="D1" s="281"/>
      <c r="E1" s="281"/>
      <c r="F1" s="281"/>
      <c r="G1" s="281"/>
      <c r="H1" s="281"/>
      <c r="I1" s="281"/>
      <c r="J1" s="281"/>
      <c r="K1" s="281"/>
      <c r="L1" s="281"/>
      <c r="M1" s="281"/>
      <c r="N1" s="281"/>
      <c r="O1" s="281"/>
      <c r="Q1" s="60"/>
      <c r="R1" s="68"/>
      <c r="S1" s="68"/>
    </row>
    <row r="2" spans="1:19" ht="12.75">
      <c r="A2" s="31"/>
      <c r="B2" s="31">
        <v>1</v>
      </c>
      <c r="C2" s="31">
        <v>900</v>
      </c>
      <c r="D2" s="31">
        <v>1260</v>
      </c>
      <c r="E2" s="31">
        <v>1560</v>
      </c>
      <c r="F2" s="31">
        <v>1860</v>
      </c>
      <c r="G2" s="31">
        <v>2160</v>
      </c>
      <c r="H2" s="31">
        <v>2460</v>
      </c>
      <c r="I2" s="31">
        <v>2760</v>
      </c>
      <c r="J2" s="31">
        <v>3060</v>
      </c>
      <c r="K2" s="31">
        <v>3360</v>
      </c>
      <c r="L2" s="31">
        <v>3660</v>
      </c>
      <c r="M2" s="31">
        <v>3960</v>
      </c>
      <c r="N2" s="31">
        <v>4260</v>
      </c>
      <c r="O2" s="31">
        <v>4560</v>
      </c>
      <c r="Q2" s="60" t="s">
        <v>408</v>
      </c>
      <c r="R2" s="68"/>
      <c r="S2" s="68"/>
    </row>
    <row r="3" spans="1:19" ht="12.75">
      <c r="A3" s="31">
        <v>1</v>
      </c>
      <c r="B3" s="20" t="s">
        <v>147</v>
      </c>
      <c r="C3" s="20" t="s">
        <v>147</v>
      </c>
      <c r="D3" s="20" t="s">
        <v>147</v>
      </c>
      <c r="E3" s="20" t="s">
        <v>147</v>
      </c>
      <c r="F3" s="20" t="s">
        <v>148</v>
      </c>
      <c r="G3" s="20" t="s">
        <v>148</v>
      </c>
      <c r="H3" s="20" t="s">
        <v>148</v>
      </c>
      <c r="I3" s="20" t="s">
        <v>148</v>
      </c>
      <c r="J3" s="20" t="s">
        <v>148</v>
      </c>
      <c r="K3" s="20" t="s">
        <v>149</v>
      </c>
      <c r="L3" s="20" t="s">
        <v>149</v>
      </c>
      <c r="M3" s="20" t="s">
        <v>149</v>
      </c>
      <c r="N3" s="20" t="s">
        <v>149</v>
      </c>
      <c r="O3" s="20" t="s">
        <v>149</v>
      </c>
      <c r="Q3" s="20" t="s">
        <v>383</v>
      </c>
      <c r="R3" s="20" t="s">
        <v>395</v>
      </c>
      <c r="S3" s="20">
        <v>1</v>
      </c>
    </row>
    <row r="4" spans="1:19" ht="12.75">
      <c r="A4" s="31">
        <v>900</v>
      </c>
      <c r="B4" s="20" t="s">
        <v>147</v>
      </c>
      <c r="C4" s="20" t="s">
        <v>147</v>
      </c>
      <c r="D4" s="20" t="s">
        <v>147</v>
      </c>
      <c r="E4" s="20" t="s">
        <v>147</v>
      </c>
      <c r="F4" s="20" t="s">
        <v>148</v>
      </c>
      <c r="G4" s="20" t="s">
        <v>148</v>
      </c>
      <c r="H4" s="20" t="s">
        <v>148</v>
      </c>
      <c r="I4" s="20" t="s">
        <v>148</v>
      </c>
      <c r="J4" s="20" t="s">
        <v>148</v>
      </c>
      <c r="K4" s="20" t="s">
        <v>149</v>
      </c>
      <c r="L4" s="20" t="s">
        <v>149</v>
      </c>
      <c r="M4" s="20" t="s">
        <v>149</v>
      </c>
      <c r="N4" s="20" t="s">
        <v>149</v>
      </c>
      <c r="O4" s="20" t="s">
        <v>149</v>
      </c>
      <c r="Q4" s="20" t="s">
        <v>384</v>
      </c>
      <c r="R4" s="20" t="s">
        <v>401</v>
      </c>
      <c r="S4" s="20">
        <v>2</v>
      </c>
    </row>
    <row r="5" spans="1:19" ht="12.75">
      <c r="A5" s="31">
        <v>1200</v>
      </c>
      <c r="B5" s="20" t="s">
        <v>147</v>
      </c>
      <c r="C5" s="20" t="s">
        <v>147</v>
      </c>
      <c r="D5" s="20" t="s">
        <v>147</v>
      </c>
      <c r="E5" s="20" t="s">
        <v>147</v>
      </c>
      <c r="F5" s="20" t="s">
        <v>148</v>
      </c>
      <c r="G5" s="20" t="s">
        <v>148</v>
      </c>
      <c r="H5" s="20" t="s">
        <v>148</v>
      </c>
      <c r="I5" s="20" t="s">
        <v>148</v>
      </c>
      <c r="J5" s="20" t="s">
        <v>148</v>
      </c>
      <c r="K5" s="20" t="s">
        <v>149</v>
      </c>
      <c r="L5" s="20" t="s">
        <v>149</v>
      </c>
      <c r="M5" s="20" t="s">
        <v>149</v>
      </c>
      <c r="N5" s="20" t="s">
        <v>149</v>
      </c>
      <c r="O5" s="20" t="s">
        <v>149</v>
      </c>
      <c r="Q5" s="20" t="s">
        <v>385</v>
      </c>
      <c r="R5" s="20" t="s">
        <v>396</v>
      </c>
      <c r="S5" s="20">
        <v>1</v>
      </c>
    </row>
    <row r="6" spans="1:19" ht="12.75">
      <c r="A6" s="31">
        <v>1500</v>
      </c>
      <c r="B6" s="20" t="s">
        <v>147</v>
      </c>
      <c r="C6" s="20" t="s">
        <v>147</v>
      </c>
      <c r="D6" s="20" t="s">
        <v>147</v>
      </c>
      <c r="E6" s="20" t="s">
        <v>147</v>
      </c>
      <c r="F6" s="20" t="s">
        <v>148</v>
      </c>
      <c r="G6" s="20" t="s">
        <v>148</v>
      </c>
      <c r="H6" s="20" t="s">
        <v>148</v>
      </c>
      <c r="I6" s="20" t="s">
        <v>148</v>
      </c>
      <c r="J6" s="20" t="s">
        <v>148</v>
      </c>
      <c r="K6" s="20" t="s">
        <v>149</v>
      </c>
      <c r="L6" s="20" t="s">
        <v>149</v>
      </c>
      <c r="M6" s="20" t="s">
        <v>149</v>
      </c>
      <c r="N6" s="20" t="s">
        <v>149</v>
      </c>
      <c r="O6" s="20" t="s">
        <v>149</v>
      </c>
      <c r="Q6" s="20" t="s">
        <v>386</v>
      </c>
      <c r="R6" s="20" t="s">
        <v>402</v>
      </c>
      <c r="S6" s="20">
        <v>2</v>
      </c>
    </row>
    <row r="7" spans="1:19" ht="12.75">
      <c r="A7" s="31">
        <v>1800</v>
      </c>
      <c r="B7" s="20" t="s">
        <v>147</v>
      </c>
      <c r="C7" s="20" t="s">
        <v>147</v>
      </c>
      <c r="D7" s="20" t="s">
        <v>147</v>
      </c>
      <c r="E7" s="20" t="s">
        <v>148</v>
      </c>
      <c r="F7" s="20" t="s">
        <v>148</v>
      </c>
      <c r="G7" s="20" t="s">
        <v>148</v>
      </c>
      <c r="H7" s="20" t="s">
        <v>148</v>
      </c>
      <c r="I7" s="20" t="s">
        <v>148</v>
      </c>
      <c r="J7" s="20" t="s">
        <v>148</v>
      </c>
      <c r="K7" s="20" t="s">
        <v>149</v>
      </c>
      <c r="L7" s="20" t="s">
        <v>149</v>
      </c>
      <c r="M7" s="20" t="s">
        <v>149</v>
      </c>
      <c r="N7" s="20" t="s">
        <v>149</v>
      </c>
      <c r="O7" s="20" t="s">
        <v>149</v>
      </c>
      <c r="Q7" s="20" t="s">
        <v>382</v>
      </c>
      <c r="R7" s="20" t="s">
        <v>397</v>
      </c>
      <c r="S7" s="20">
        <v>1</v>
      </c>
    </row>
    <row r="8" spans="1:19" ht="12.75">
      <c r="A8" s="31">
        <v>2100</v>
      </c>
      <c r="B8" s="20" t="s">
        <v>147</v>
      </c>
      <c r="C8" s="20" t="s">
        <v>147</v>
      </c>
      <c r="D8" s="20" t="s">
        <v>147</v>
      </c>
      <c r="E8" s="20" t="s">
        <v>148</v>
      </c>
      <c r="F8" s="20" t="s">
        <v>148</v>
      </c>
      <c r="G8" s="20" t="s">
        <v>148</v>
      </c>
      <c r="H8" s="20" t="s">
        <v>148</v>
      </c>
      <c r="I8" s="20" t="s">
        <v>148</v>
      </c>
      <c r="J8" s="20" t="s">
        <v>148</v>
      </c>
      <c r="K8" s="20" t="s">
        <v>149</v>
      </c>
      <c r="L8" s="20" t="s">
        <v>149</v>
      </c>
      <c r="M8" s="20" t="s">
        <v>149</v>
      </c>
      <c r="N8" s="20" t="s">
        <v>149</v>
      </c>
      <c r="O8" s="20" t="s">
        <v>149</v>
      </c>
      <c r="Q8" s="20" t="s">
        <v>387</v>
      </c>
      <c r="R8" s="20" t="s">
        <v>403</v>
      </c>
      <c r="S8" s="20">
        <v>2</v>
      </c>
    </row>
    <row r="9" spans="1:19" ht="12.75">
      <c r="A9" s="31">
        <v>2400</v>
      </c>
      <c r="B9" s="20" t="s">
        <v>147</v>
      </c>
      <c r="C9" s="20" t="s">
        <v>147</v>
      </c>
      <c r="D9" s="20" t="s">
        <v>147</v>
      </c>
      <c r="E9" s="20" t="s">
        <v>148</v>
      </c>
      <c r="F9" s="20" t="s">
        <v>148</v>
      </c>
      <c r="G9" s="20" t="s">
        <v>148</v>
      </c>
      <c r="H9" s="20" t="s">
        <v>148</v>
      </c>
      <c r="I9" s="20" t="s">
        <v>148</v>
      </c>
      <c r="J9" s="20" t="s">
        <v>148</v>
      </c>
      <c r="K9" s="20" t="s">
        <v>149</v>
      </c>
      <c r="L9" s="20" t="s">
        <v>149</v>
      </c>
      <c r="M9" s="20" t="s">
        <v>149</v>
      </c>
      <c r="N9" s="20" t="s">
        <v>149</v>
      </c>
      <c r="O9" s="20" t="s">
        <v>149</v>
      </c>
      <c r="Q9" s="20" t="s">
        <v>388</v>
      </c>
      <c r="R9" s="20" t="s">
        <v>398</v>
      </c>
      <c r="S9" s="20">
        <v>1</v>
      </c>
    </row>
    <row r="10" spans="1:19" ht="12.75">
      <c r="A10" s="31">
        <v>2700</v>
      </c>
      <c r="B10" s="20" t="s">
        <v>147</v>
      </c>
      <c r="C10" s="20" t="s">
        <v>147</v>
      </c>
      <c r="D10" s="20" t="s">
        <v>147</v>
      </c>
      <c r="E10" s="20" t="s">
        <v>148</v>
      </c>
      <c r="F10" s="20" t="s">
        <v>148</v>
      </c>
      <c r="G10" s="20" t="s">
        <v>148</v>
      </c>
      <c r="H10" s="20" t="s">
        <v>148</v>
      </c>
      <c r="I10" s="20" t="s">
        <v>148</v>
      </c>
      <c r="J10" s="20" t="s">
        <v>148</v>
      </c>
      <c r="K10" s="20" t="s">
        <v>149</v>
      </c>
      <c r="L10" s="20" t="s">
        <v>149</v>
      </c>
      <c r="M10" s="20" t="s">
        <v>149</v>
      </c>
      <c r="N10" s="20" t="s">
        <v>149</v>
      </c>
      <c r="O10" s="20" t="s">
        <v>149</v>
      </c>
      <c r="Q10" s="20" t="s">
        <v>389</v>
      </c>
      <c r="R10" s="20" t="s">
        <v>404</v>
      </c>
      <c r="S10" s="20">
        <v>2</v>
      </c>
    </row>
    <row r="11" spans="17:19" ht="12.75">
      <c r="Q11" s="20" t="s">
        <v>390</v>
      </c>
      <c r="R11" s="20" t="s">
        <v>399</v>
      </c>
      <c r="S11" s="20">
        <v>1</v>
      </c>
    </row>
    <row r="12" spans="1:19" ht="12.75">
      <c r="A12" s="280" t="s">
        <v>153</v>
      </c>
      <c r="B12" s="280"/>
      <c r="E12" s="280" t="s">
        <v>182</v>
      </c>
      <c r="F12" s="280" t="s">
        <v>151</v>
      </c>
      <c r="H12" s="280" t="s">
        <v>161</v>
      </c>
      <c r="I12" s="280"/>
      <c r="K12" s="282" t="s">
        <v>180</v>
      </c>
      <c r="L12" s="282"/>
      <c r="Q12" s="20" t="s">
        <v>391</v>
      </c>
      <c r="R12" s="20" t="s">
        <v>405</v>
      </c>
      <c r="S12" s="20">
        <v>2</v>
      </c>
    </row>
    <row r="13" spans="1:19" ht="30">
      <c r="A13" s="63" t="s">
        <v>120</v>
      </c>
      <c r="B13" s="63"/>
      <c r="E13" s="20" t="s">
        <v>185</v>
      </c>
      <c r="F13" s="67">
        <v>0</v>
      </c>
      <c r="H13" s="65" t="s">
        <v>126</v>
      </c>
      <c r="I13" s="65" t="s">
        <v>140</v>
      </c>
      <c r="K13" s="65" t="s">
        <v>180</v>
      </c>
      <c r="L13" s="66" t="s">
        <v>151</v>
      </c>
      <c r="Q13" s="20" t="s">
        <v>392</v>
      </c>
      <c r="R13" s="20" t="s">
        <v>400</v>
      </c>
      <c r="S13" s="20">
        <v>1</v>
      </c>
    </row>
    <row r="14" spans="1:19" ht="15">
      <c r="A14" s="64">
        <v>1</v>
      </c>
      <c r="B14" s="64" t="s">
        <v>860</v>
      </c>
      <c r="E14" s="20" t="s">
        <v>186</v>
      </c>
      <c r="F14" s="67">
        <v>5</v>
      </c>
      <c r="H14" s="20" t="s">
        <v>154</v>
      </c>
      <c r="I14" s="20" t="s">
        <v>157</v>
      </c>
      <c r="K14" s="20" t="s">
        <v>178</v>
      </c>
      <c r="L14" s="41">
        <v>0</v>
      </c>
      <c r="Q14" s="20" t="s">
        <v>393</v>
      </c>
      <c r="R14" s="20" t="s">
        <v>406</v>
      </c>
      <c r="S14" s="20">
        <v>2</v>
      </c>
    </row>
    <row r="15" spans="1:19" ht="15">
      <c r="A15" s="64">
        <v>1</v>
      </c>
      <c r="B15" s="64" t="s">
        <v>860</v>
      </c>
      <c r="E15" s="20" t="s">
        <v>187</v>
      </c>
      <c r="F15" s="67">
        <v>5</v>
      </c>
      <c r="H15" s="20" t="s">
        <v>155</v>
      </c>
      <c r="I15" s="20" t="s">
        <v>157</v>
      </c>
      <c r="K15" s="20" t="s">
        <v>179</v>
      </c>
      <c r="L15" s="41">
        <v>5</v>
      </c>
      <c r="Q15" s="20" t="s">
        <v>394</v>
      </c>
      <c r="R15" s="20" t="s">
        <v>407</v>
      </c>
      <c r="S15" s="20">
        <v>3</v>
      </c>
    </row>
    <row r="16" spans="1:9" ht="15">
      <c r="A16" s="64">
        <v>1200</v>
      </c>
      <c r="B16" s="64" t="s">
        <v>119</v>
      </c>
      <c r="E16" s="20" t="s">
        <v>188</v>
      </c>
      <c r="F16" s="67">
        <v>5</v>
      </c>
      <c r="H16" s="20" t="s">
        <v>156</v>
      </c>
      <c r="I16" s="20" t="s">
        <v>158</v>
      </c>
    </row>
    <row r="17" spans="1:6" ht="15">
      <c r="A17" s="64">
        <v>1500</v>
      </c>
      <c r="B17" s="64" t="s">
        <v>861</v>
      </c>
      <c r="E17" s="20" t="s">
        <v>189</v>
      </c>
      <c r="F17" s="67">
        <v>5</v>
      </c>
    </row>
    <row r="18" spans="1:16" ht="15">
      <c r="A18" s="64">
        <v>1800</v>
      </c>
      <c r="B18" s="64" t="s">
        <v>143</v>
      </c>
      <c r="E18" s="20" t="s">
        <v>190</v>
      </c>
      <c r="F18" s="67">
        <v>10</v>
      </c>
      <c r="H18" s="283" t="s">
        <v>1067</v>
      </c>
      <c r="I18" s="283"/>
      <c r="J18" s="283"/>
      <c r="K18" s="283"/>
      <c r="L18" s="283"/>
      <c r="M18" s="283"/>
      <c r="N18" s="283"/>
      <c r="O18" s="283"/>
      <c r="P18" s="283"/>
    </row>
    <row r="19" spans="1:16" ht="15">
      <c r="A19" s="64">
        <v>2100</v>
      </c>
      <c r="B19" s="64" t="s">
        <v>862</v>
      </c>
      <c r="E19" s="20" t="s">
        <v>191</v>
      </c>
      <c r="F19" s="67">
        <v>-5</v>
      </c>
      <c r="H19" s="102"/>
      <c r="I19" s="102">
        <v>1</v>
      </c>
      <c r="J19" s="102">
        <v>1200</v>
      </c>
      <c r="K19" s="102">
        <v>2365</v>
      </c>
      <c r="L19" s="102">
        <v>3530</v>
      </c>
      <c r="M19" s="102">
        <v>4695</v>
      </c>
      <c r="N19" s="102">
        <v>5860</v>
      </c>
      <c r="O19" s="102">
        <v>7025</v>
      </c>
      <c r="P19" s="102">
        <v>8190</v>
      </c>
    </row>
    <row r="20" spans="1:16" ht="15">
      <c r="A20" s="64">
        <v>2400</v>
      </c>
      <c r="B20" s="64" t="s">
        <v>144</v>
      </c>
      <c r="E20" s="20" t="s">
        <v>192</v>
      </c>
      <c r="F20" s="67">
        <v>2</v>
      </c>
      <c r="H20" s="102">
        <v>1</v>
      </c>
      <c r="I20" s="103" t="s">
        <v>1059</v>
      </c>
      <c r="J20" s="103" t="s">
        <v>1060</v>
      </c>
      <c r="K20" s="103" t="s">
        <v>1061</v>
      </c>
      <c r="L20" s="103" t="s">
        <v>1062</v>
      </c>
      <c r="M20" s="103" t="s">
        <v>1063</v>
      </c>
      <c r="N20" s="103" t="s">
        <v>1064</v>
      </c>
      <c r="O20" s="103" t="s">
        <v>1065</v>
      </c>
      <c r="P20" s="103" t="s">
        <v>1066</v>
      </c>
    </row>
    <row r="21" spans="1:16" ht="15">
      <c r="A21" s="64">
        <v>2700</v>
      </c>
      <c r="B21" s="64" t="s">
        <v>145</v>
      </c>
      <c r="E21" s="20" t="s">
        <v>193</v>
      </c>
      <c r="F21" s="67">
        <v>5</v>
      </c>
      <c r="H21" s="102">
        <v>5000</v>
      </c>
      <c r="I21" s="103"/>
      <c r="J21" s="103"/>
      <c r="K21" s="103"/>
      <c r="L21" s="103"/>
      <c r="M21" s="103"/>
      <c r="N21" s="103"/>
      <c r="O21" s="103"/>
      <c r="P21" s="103"/>
    </row>
    <row r="22" spans="1:6" ht="15">
      <c r="A22" s="64">
        <v>3000</v>
      </c>
      <c r="B22" s="64" t="s">
        <v>863</v>
      </c>
      <c r="E22" s="20" t="s">
        <v>194</v>
      </c>
      <c r="F22" s="67">
        <v>10</v>
      </c>
    </row>
    <row r="23" spans="5:13" ht="15">
      <c r="E23" s="20" t="s">
        <v>195</v>
      </c>
      <c r="F23" s="67">
        <v>15</v>
      </c>
      <c r="H23" s="283" t="s">
        <v>1068</v>
      </c>
      <c r="I23" s="283"/>
      <c r="J23" s="283"/>
      <c r="K23" s="283"/>
      <c r="L23" s="283"/>
      <c r="M23" s="283"/>
    </row>
    <row r="24" spans="1:13" ht="12.75">
      <c r="A24" s="277" t="s">
        <v>152</v>
      </c>
      <c r="B24" s="278"/>
      <c r="C24" s="279"/>
      <c r="E24" s="20"/>
      <c r="F24" s="20"/>
      <c r="H24" s="102"/>
      <c r="I24" s="102">
        <v>1</v>
      </c>
      <c r="J24" s="102">
        <v>2200</v>
      </c>
      <c r="K24" s="102">
        <v>4365</v>
      </c>
      <c r="L24" s="102">
        <v>6530</v>
      </c>
      <c r="M24" s="102">
        <v>8695</v>
      </c>
    </row>
    <row r="25" spans="1:13" ht="15">
      <c r="A25" s="65" t="s">
        <v>150</v>
      </c>
      <c r="B25" s="66" t="s">
        <v>151</v>
      </c>
      <c r="C25" s="66" t="s">
        <v>199</v>
      </c>
      <c r="E25" s="20"/>
      <c r="F25" s="20"/>
      <c r="H25" s="102">
        <v>1</v>
      </c>
      <c r="I25" s="103" t="s">
        <v>1059</v>
      </c>
      <c r="J25" s="103" t="s">
        <v>1060</v>
      </c>
      <c r="K25" s="103" t="s">
        <v>1061</v>
      </c>
      <c r="L25" s="103" t="s">
        <v>1062</v>
      </c>
      <c r="M25" s="103" t="s">
        <v>1063</v>
      </c>
    </row>
    <row r="26" spans="1:13" ht="12.75">
      <c r="A26" s="20" t="s">
        <v>197</v>
      </c>
      <c r="B26" s="41">
        <v>55</v>
      </c>
      <c r="C26" s="20" t="s">
        <v>185</v>
      </c>
      <c r="E26" s="20"/>
      <c r="F26" s="20"/>
      <c r="H26" s="102">
        <v>5000</v>
      </c>
      <c r="I26" s="103"/>
      <c r="J26" s="103"/>
      <c r="K26" s="103"/>
      <c r="L26" s="103"/>
      <c r="M26" s="103"/>
    </row>
    <row r="27" spans="1:6" ht="12.75">
      <c r="A27" s="20" t="s">
        <v>428</v>
      </c>
      <c r="B27" s="41">
        <v>65</v>
      </c>
      <c r="C27" s="20" t="s">
        <v>1081</v>
      </c>
      <c r="E27" s="20"/>
      <c r="F27" s="20"/>
    </row>
    <row r="28" spans="1:3" ht="12.75">
      <c r="A28" s="20" t="s">
        <v>429</v>
      </c>
      <c r="B28" s="41">
        <v>65</v>
      </c>
      <c r="C28" s="20" t="s">
        <v>1081</v>
      </c>
    </row>
    <row r="29" spans="1:3" ht="12.75">
      <c r="A29" s="20" t="s">
        <v>430</v>
      </c>
      <c r="B29" s="41">
        <v>65</v>
      </c>
      <c r="C29" s="20" t="s">
        <v>200</v>
      </c>
    </row>
    <row r="30" spans="1:3" ht="12.75">
      <c r="A30" s="20" t="s">
        <v>431</v>
      </c>
      <c r="B30" s="41">
        <v>65</v>
      </c>
      <c r="C30" s="20" t="s">
        <v>200</v>
      </c>
    </row>
    <row r="31" spans="1:3" ht="12.75">
      <c r="A31" s="20" t="s">
        <v>432</v>
      </c>
      <c r="B31" s="41">
        <v>65</v>
      </c>
      <c r="C31" s="20" t="s">
        <v>200</v>
      </c>
    </row>
    <row r="32" spans="1:3" ht="12.75">
      <c r="A32" s="20" t="s">
        <v>433</v>
      </c>
      <c r="B32" s="41">
        <v>65</v>
      </c>
      <c r="C32" s="20" t="s">
        <v>200</v>
      </c>
    </row>
    <row r="33" spans="1:3" ht="12.75">
      <c r="A33" s="20" t="s">
        <v>427</v>
      </c>
      <c r="B33" s="41">
        <v>75</v>
      </c>
      <c r="C33" s="20" t="s">
        <v>185</v>
      </c>
    </row>
    <row r="34" spans="1:3" ht="12.75">
      <c r="A34" s="20"/>
      <c r="B34" s="41"/>
      <c r="C34" s="20"/>
    </row>
  </sheetData>
  <mergeCells count="8">
    <mergeCell ref="A24:C24"/>
    <mergeCell ref="H12:I12"/>
    <mergeCell ref="A1:O1"/>
    <mergeCell ref="K12:L12"/>
    <mergeCell ref="A12:B12"/>
    <mergeCell ref="E12:F12"/>
    <mergeCell ref="H18:P18"/>
    <mergeCell ref="H23:M23"/>
  </mergeCells>
  <pageMargins left="1.03070866141737" right="1.03070866141737" top="0.75" bottom="0.75" header="0.3" footer="0.3"/>
  <pageSetup orientation="portrait" paperSize="9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H573"/>
  <sheetViews>
    <sheetView view="pageBreakPreview" zoomScaleSheetLayoutView="100" workbookViewId="0" topLeftCell="A2">
      <selection pane="topLeft" activeCell="F9" sqref="F9"/>
    </sheetView>
  </sheetViews>
  <sheetFormatPr defaultColWidth="9.140625" defaultRowHeight="12.75"/>
  <cols>
    <col min="1" max="1" width="54" bestFit="1" customWidth="1"/>
    <col min="2" max="2" width="14.8571428571429" bestFit="1" customWidth="1"/>
    <col min="3" max="3" width="14.2857142857143" bestFit="1" customWidth="1"/>
    <col min="4" max="4" width="8.71428571428571" bestFit="1" customWidth="1"/>
    <col min="5" max="5" width="22.2857142857143" bestFit="1" customWidth="1"/>
    <col min="6" max="6" width="13.1428571428571" bestFit="1" customWidth="1"/>
    <col min="7" max="7" width="15.1428571428571" bestFit="1" customWidth="1"/>
    <col min="8" max="8" width="14.1428571428571" bestFit="1" customWidth="1"/>
  </cols>
  <sheetData>
    <row r="1" spans="1:8" ht="15.75">
      <c r="A1" s="30" t="s">
        <v>160</v>
      </c>
      <c r="B1" s="30" t="s">
        <v>142</v>
      </c>
      <c r="C1" s="30" t="s">
        <v>461</v>
      </c>
      <c r="D1" s="30" t="s">
        <v>374</v>
      </c>
      <c r="E1" s="30" t="s">
        <v>116</v>
      </c>
      <c r="F1" s="30" t="s">
        <v>1073</v>
      </c>
      <c r="G1" s="30" t="s">
        <v>1241</v>
      </c>
      <c r="H1" s="30" t="s">
        <v>1242</v>
      </c>
    </row>
    <row r="2" spans="1:8" ht="15">
      <c r="A2" s="79" t="s">
        <v>619</v>
      </c>
      <c r="B2" s="79"/>
      <c r="C2" s="79"/>
      <c r="D2" s="79" t="s">
        <v>200</v>
      </c>
      <c r="E2">
        <v>3200</v>
      </c>
      <c r="F2" t="b">
        <v>0</v>
      </c>
      <c r="G2" t="s">
        <v>1228</v>
      </c>
      <c r="H2" t="s">
        <v>1229</v>
      </c>
    </row>
    <row r="3" spans="1:8" ht="15">
      <c r="A3" s="79" t="s">
        <v>620</v>
      </c>
      <c r="B3" s="79"/>
      <c r="C3" s="79"/>
      <c r="D3" s="79" t="s">
        <v>200</v>
      </c>
      <c r="E3">
        <v>3200</v>
      </c>
      <c r="F3" t="b">
        <v>0</v>
      </c>
      <c r="G3" t="s">
        <v>1228</v>
      </c>
      <c r="H3" t="s">
        <v>1229</v>
      </c>
    </row>
    <row r="4" spans="1:8" ht="15">
      <c r="A4" s="79" t="s">
        <v>621</v>
      </c>
      <c r="B4" s="79"/>
      <c r="C4" s="79"/>
      <c r="D4" s="79" t="s">
        <v>200</v>
      </c>
      <c r="E4">
        <v>3200</v>
      </c>
      <c r="F4" t="b">
        <v>0</v>
      </c>
      <c r="G4" t="s">
        <v>1228</v>
      </c>
      <c r="H4" t="s">
        <v>1229</v>
      </c>
    </row>
    <row r="5" spans="1:8" ht="13.15" customHeight="1">
      <c r="A5" s="79" t="s">
        <v>622</v>
      </c>
      <c r="B5" s="79"/>
      <c r="C5" s="79"/>
      <c r="D5" s="79" t="s">
        <v>200</v>
      </c>
      <c r="E5">
        <v>3200</v>
      </c>
      <c r="F5" t="b">
        <v>0</v>
      </c>
      <c r="G5" t="s">
        <v>1228</v>
      </c>
      <c r="H5" t="s">
        <v>1229</v>
      </c>
    </row>
    <row r="6" spans="1:8" ht="13.15" customHeight="1">
      <c r="A6" s="79" t="s">
        <v>623</v>
      </c>
      <c r="B6" s="79"/>
      <c r="C6" s="79"/>
      <c r="D6" s="79"/>
      <c r="E6">
        <v>3200</v>
      </c>
      <c r="F6" t="b">
        <v>0</v>
      </c>
      <c r="G6" t="s">
        <v>1228</v>
      </c>
      <c r="H6" t="s">
        <v>1229</v>
      </c>
    </row>
    <row r="7" spans="1:8" ht="13.15" customHeight="1">
      <c r="A7" s="79" t="s">
        <v>624</v>
      </c>
      <c r="B7" s="79"/>
      <c r="C7" s="79"/>
      <c r="D7" s="79" t="s">
        <v>200</v>
      </c>
      <c r="E7">
        <v>3200</v>
      </c>
      <c r="F7" t="b">
        <v>0</v>
      </c>
      <c r="G7" t="s">
        <v>1228</v>
      </c>
      <c r="H7" t="s">
        <v>1229</v>
      </c>
    </row>
    <row r="8" spans="1:8" ht="13.15" customHeight="1">
      <c r="A8" s="79" t="s">
        <v>625</v>
      </c>
      <c r="B8" s="79"/>
      <c r="C8" s="79"/>
      <c r="D8" s="79" t="s">
        <v>200</v>
      </c>
      <c r="E8">
        <v>3200</v>
      </c>
      <c r="F8" t="b">
        <v>0</v>
      </c>
      <c r="G8" t="s">
        <v>1228</v>
      </c>
      <c r="H8" t="s">
        <v>1229</v>
      </c>
    </row>
    <row r="9" spans="1:8" ht="13.15" customHeight="1">
      <c r="A9" s="79" t="s">
        <v>626</v>
      </c>
      <c r="B9" s="79"/>
      <c r="C9" s="79"/>
      <c r="D9" s="79" t="s">
        <v>200</v>
      </c>
      <c r="E9">
        <v>3200</v>
      </c>
      <c r="F9" t="b">
        <v>0</v>
      </c>
      <c r="G9" t="s">
        <v>1228</v>
      </c>
      <c r="H9" t="s">
        <v>1229</v>
      </c>
    </row>
    <row r="10" spans="1:8" ht="13.15" customHeight="1">
      <c r="A10" s="79" t="s">
        <v>627</v>
      </c>
      <c r="B10" s="79"/>
      <c r="C10" s="79"/>
      <c r="D10" s="79" t="s">
        <v>200</v>
      </c>
      <c r="E10">
        <v>3200</v>
      </c>
      <c r="F10" t="b">
        <v>0</v>
      </c>
      <c r="G10" t="s">
        <v>1228</v>
      </c>
      <c r="H10" t="s">
        <v>1229</v>
      </c>
    </row>
    <row r="11" spans="1:8" ht="13.15" customHeight="1">
      <c r="A11" s="79" t="s">
        <v>628</v>
      </c>
      <c r="B11" s="79"/>
      <c r="C11" s="79"/>
      <c r="D11" s="79" t="s">
        <v>200</v>
      </c>
      <c r="E11">
        <v>3200</v>
      </c>
      <c r="F11" t="b">
        <v>0</v>
      </c>
      <c r="G11" t="s">
        <v>1228</v>
      </c>
      <c r="H11" t="s">
        <v>1229</v>
      </c>
    </row>
    <row r="12" spans="1:8" ht="13.15" customHeight="1">
      <c r="A12" s="79" t="s">
        <v>629</v>
      </c>
      <c r="B12" s="79"/>
      <c r="C12" s="79"/>
      <c r="D12" s="79" t="s">
        <v>200</v>
      </c>
      <c r="E12">
        <v>3200</v>
      </c>
      <c r="F12" t="b">
        <v>0</v>
      </c>
      <c r="G12" t="s">
        <v>1228</v>
      </c>
      <c r="H12" t="s">
        <v>1229</v>
      </c>
    </row>
    <row r="13" spans="1:8" ht="13.15" customHeight="1">
      <c r="A13" s="79" t="s">
        <v>630</v>
      </c>
      <c r="B13" s="79"/>
      <c r="C13" s="79"/>
      <c r="D13" s="79" t="s">
        <v>200</v>
      </c>
      <c r="E13">
        <v>3200</v>
      </c>
      <c r="F13" t="b">
        <v>0</v>
      </c>
      <c r="G13" t="s">
        <v>1228</v>
      </c>
      <c r="H13" t="s">
        <v>1229</v>
      </c>
    </row>
    <row r="14" spans="1:8" ht="13.15" customHeight="1">
      <c r="A14" s="79" t="s">
        <v>631</v>
      </c>
      <c r="B14" s="79"/>
      <c r="C14" s="79"/>
      <c r="D14" s="79"/>
      <c r="E14">
        <v>3200</v>
      </c>
      <c r="F14" t="b">
        <v>0</v>
      </c>
      <c r="G14" t="s">
        <v>1228</v>
      </c>
      <c r="H14" t="s">
        <v>1229</v>
      </c>
    </row>
    <row r="15" spans="1:8" ht="13.15" customHeight="1">
      <c r="A15" s="79" t="s">
        <v>353</v>
      </c>
      <c r="B15" s="79" t="s">
        <v>128</v>
      </c>
      <c r="C15" s="79" t="s">
        <v>128</v>
      </c>
      <c r="D15" s="79" t="s">
        <v>200</v>
      </c>
      <c r="E15">
        <v>3000</v>
      </c>
      <c r="F15" t="b">
        <v>0</v>
      </c>
      <c r="G15" t="s">
        <v>1230</v>
      </c>
      <c r="H15" t="s">
        <v>1229</v>
      </c>
    </row>
    <row r="16" spans="1:8" ht="13.15" customHeight="1">
      <c r="A16" s="79" t="s">
        <v>354</v>
      </c>
      <c r="B16" s="79"/>
      <c r="C16" s="79"/>
      <c r="D16" s="79" t="s">
        <v>200</v>
      </c>
      <c r="E16">
        <v>3000</v>
      </c>
      <c r="F16" t="b">
        <v>0</v>
      </c>
      <c r="G16" t="s">
        <v>1230</v>
      </c>
      <c r="H16" t="s">
        <v>1229</v>
      </c>
    </row>
    <row r="17" spans="1:8" ht="13.15" customHeight="1">
      <c r="A17" s="79" t="s">
        <v>355</v>
      </c>
      <c r="B17" s="79"/>
      <c r="C17" s="79"/>
      <c r="D17" s="79" t="s">
        <v>200</v>
      </c>
      <c r="E17">
        <v>3000</v>
      </c>
      <c r="F17" t="b">
        <v>0</v>
      </c>
      <c r="G17" t="s">
        <v>1230</v>
      </c>
      <c r="H17" t="s">
        <v>1229</v>
      </c>
    </row>
    <row r="18" spans="1:8" ht="13.15" customHeight="1">
      <c r="A18" s="79" t="s">
        <v>356</v>
      </c>
      <c r="B18" s="79"/>
      <c r="C18" s="79"/>
      <c r="D18" s="79" t="s">
        <v>200</v>
      </c>
      <c r="E18">
        <v>3000</v>
      </c>
      <c r="F18" t="b">
        <v>0</v>
      </c>
      <c r="G18" t="s">
        <v>1230</v>
      </c>
      <c r="H18" t="s">
        <v>1229</v>
      </c>
    </row>
    <row r="19" spans="1:8" ht="13.15" customHeight="1">
      <c r="A19" s="79" t="s">
        <v>357</v>
      </c>
      <c r="B19" s="79"/>
      <c r="C19" s="79"/>
      <c r="D19" s="79" t="s">
        <v>200</v>
      </c>
      <c r="E19">
        <v>3000</v>
      </c>
      <c r="F19" t="b">
        <v>0</v>
      </c>
      <c r="G19" t="s">
        <v>1230</v>
      </c>
      <c r="H19" t="s">
        <v>1229</v>
      </c>
    </row>
    <row r="20" spans="1:8" ht="13.15" customHeight="1">
      <c r="A20" s="79" t="s">
        <v>358</v>
      </c>
      <c r="B20" s="79" t="s">
        <v>159</v>
      </c>
      <c r="C20" s="79" t="s">
        <v>159</v>
      </c>
      <c r="D20" s="79" t="s">
        <v>200</v>
      </c>
      <c r="E20">
        <v>3000</v>
      </c>
      <c r="F20" t="b">
        <v>0</v>
      </c>
      <c r="G20" t="s">
        <v>1230</v>
      </c>
      <c r="H20" t="s">
        <v>1229</v>
      </c>
    </row>
    <row r="21" spans="1:8" ht="15">
      <c r="A21" s="79" t="s">
        <v>359</v>
      </c>
      <c r="B21" s="79" t="s">
        <v>128</v>
      </c>
      <c r="C21" s="79" t="s">
        <v>128</v>
      </c>
      <c r="D21" s="79" t="s">
        <v>200</v>
      </c>
      <c r="E21">
        <v>3000</v>
      </c>
      <c r="F21" t="b">
        <v>0</v>
      </c>
      <c r="G21" t="s">
        <v>1230</v>
      </c>
      <c r="H21" t="s">
        <v>1229</v>
      </c>
    </row>
    <row r="22" spans="1:8" ht="15">
      <c r="A22" s="79" t="s">
        <v>360</v>
      </c>
      <c r="B22" s="79" t="s">
        <v>159</v>
      </c>
      <c r="C22" s="79" t="s">
        <v>159</v>
      </c>
      <c r="D22" s="79" t="s">
        <v>200</v>
      </c>
      <c r="E22">
        <v>3000</v>
      </c>
      <c r="F22" t="b">
        <v>0</v>
      </c>
      <c r="G22" t="s">
        <v>1230</v>
      </c>
      <c r="H22" t="s">
        <v>1229</v>
      </c>
    </row>
    <row r="23" spans="1:8" ht="15">
      <c r="A23" s="79" t="s">
        <v>361</v>
      </c>
      <c r="B23" s="79"/>
      <c r="C23" s="79"/>
      <c r="D23" s="79"/>
      <c r="E23">
        <v>3000</v>
      </c>
      <c r="F23" t="b">
        <v>0</v>
      </c>
      <c r="G23" t="s">
        <v>1230</v>
      </c>
      <c r="H23" t="s">
        <v>1229</v>
      </c>
    </row>
    <row r="24" spans="1:8" ht="15">
      <c r="A24" s="79" t="s">
        <v>409</v>
      </c>
      <c r="B24" s="79"/>
      <c r="C24" s="79"/>
      <c r="D24" s="79"/>
      <c r="E24">
        <v>3200</v>
      </c>
      <c r="F24" t="b">
        <v>0</v>
      </c>
      <c r="G24" t="s">
        <v>1230</v>
      </c>
      <c r="H24" t="s">
        <v>1229</v>
      </c>
    </row>
    <row r="25" spans="1:8" ht="15">
      <c r="A25" s="79" t="s">
        <v>632</v>
      </c>
      <c r="B25" s="79" t="s">
        <v>127</v>
      </c>
      <c r="C25" s="79" t="s">
        <v>127</v>
      </c>
      <c r="D25" s="79" t="s">
        <v>200</v>
      </c>
      <c r="E25">
        <v>3200</v>
      </c>
      <c r="F25" t="b">
        <v>0</v>
      </c>
      <c r="G25" t="s">
        <v>1230</v>
      </c>
      <c r="H25" t="s">
        <v>1229</v>
      </c>
    </row>
    <row r="26" spans="1:8" ht="15">
      <c r="A26" s="79" t="s">
        <v>410</v>
      </c>
      <c r="B26" s="79" t="s">
        <v>128</v>
      </c>
      <c r="C26" s="79" t="s">
        <v>128</v>
      </c>
      <c r="D26" s="79" t="s">
        <v>200</v>
      </c>
      <c r="E26">
        <v>3200</v>
      </c>
      <c r="F26" t="b">
        <v>0</v>
      </c>
      <c r="G26" t="s">
        <v>1230</v>
      </c>
      <c r="H26" t="s">
        <v>1229</v>
      </c>
    </row>
    <row r="27" spans="1:8" ht="15">
      <c r="A27" s="79" t="s">
        <v>411</v>
      </c>
      <c r="B27" s="79"/>
      <c r="C27" s="79"/>
      <c r="D27" s="79" t="s">
        <v>200</v>
      </c>
      <c r="E27">
        <v>3200</v>
      </c>
      <c r="F27" t="b">
        <v>0</v>
      </c>
      <c r="G27" t="s">
        <v>1230</v>
      </c>
      <c r="H27" t="s">
        <v>1229</v>
      </c>
    </row>
    <row r="28" spans="1:8" ht="15">
      <c r="A28" s="79" t="s">
        <v>412</v>
      </c>
      <c r="B28" s="79"/>
      <c r="C28" s="79"/>
      <c r="D28" s="79" t="s">
        <v>200</v>
      </c>
      <c r="E28">
        <v>3200</v>
      </c>
      <c r="F28" t="b">
        <v>0</v>
      </c>
      <c r="G28" t="s">
        <v>1230</v>
      </c>
      <c r="H28" t="s">
        <v>1229</v>
      </c>
    </row>
    <row r="29" spans="1:8" ht="15">
      <c r="A29" s="79" t="s">
        <v>413</v>
      </c>
      <c r="B29" s="79"/>
      <c r="C29" s="79"/>
      <c r="D29" s="79" t="s">
        <v>200</v>
      </c>
      <c r="E29">
        <v>3200</v>
      </c>
      <c r="F29" t="b">
        <v>0</v>
      </c>
      <c r="G29" t="s">
        <v>1230</v>
      </c>
      <c r="H29" t="s">
        <v>1229</v>
      </c>
    </row>
    <row r="30" spans="1:8" ht="15">
      <c r="A30" s="79" t="s">
        <v>414</v>
      </c>
      <c r="B30" s="79" t="s">
        <v>127</v>
      </c>
      <c r="C30" s="79" t="s">
        <v>127</v>
      </c>
      <c r="D30" s="79" t="s">
        <v>200</v>
      </c>
      <c r="E30">
        <v>3200</v>
      </c>
      <c r="F30" t="b">
        <v>0</v>
      </c>
      <c r="G30" t="s">
        <v>1230</v>
      </c>
      <c r="H30" t="s">
        <v>1229</v>
      </c>
    </row>
    <row r="31" spans="1:8" ht="15">
      <c r="A31" s="79" t="s">
        <v>415</v>
      </c>
      <c r="B31" s="79"/>
      <c r="C31" s="79"/>
      <c r="D31" s="79" t="s">
        <v>200</v>
      </c>
      <c r="E31">
        <v>3200</v>
      </c>
      <c r="F31" t="b">
        <v>0</v>
      </c>
      <c r="G31" t="s">
        <v>1230</v>
      </c>
      <c r="H31" t="s">
        <v>1229</v>
      </c>
    </row>
    <row r="32" spans="1:8" ht="15">
      <c r="A32" s="79" t="s">
        <v>416</v>
      </c>
      <c r="B32" s="79"/>
      <c r="C32" s="79"/>
      <c r="D32" s="79" t="s">
        <v>200</v>
      </c>
      <c r="E32">
        <v>3200</v>
      </c>
      <c r="F32" t="b">
        <v>0</v>
      </c>
      <c r="G32" t="s">
        <v>1230</v>
      </c>
      <c r="H32" t="s">
        <v>1229</v>
      </c>
    </row>
    <row r="33" spans="1:8" ht="15">
      <c r="A33" s="79" t="s">
        <v>417</v>
      </c>
      <c r="B33" s="79"/>
      <c r="C33" s="79"/>
      <c r="D33" s="79" t="s">
        <v>200</v>
      </c>
      <c r="E33">
        <v>3200</v>
      </c>
      <c r="F33" t="b">
        <v>0</v>
      </c>
      <c r="G33" t="s">
        <v>1230</v>
      </c>
      <c r="H33" t="s">
        <v>1229</v>
      </c>
    </row>
    <row r="34" spans="1:8" ht="15">
      <c r="A34" s="79" t="s">
        <v>418</v>
      </c>
      <c r="B34" s="79"/>
      <c r="C34" s="79"/>
      <c r="D34" s="79" t="s">
        <v>200</v>
      </c>
      <c r="E34">
        <v>3200</v>
      </c>
      <c r="F34" t="b">
        <v>0</v>
      </c>
      <c r="G34" t="s">
        <v>1230</v>
      </c>
      <c r="H34" t="s">
        <v>1229</v>
      </c>
    </row>
    <row r="35" spans="1:8" ht="15">
      <c r="A35" s="79" t="s">
        <v>419</v>
      </c>
      <c r="B35" s="79" t="s">
        <v>128</v>
      </c>
      <c r="C35" s="79" t="s">
        <v>128</v>
      </c>
      <c r="D35" s="79" t="s">
        <v>200</v>
      </c>
      <c r="E35">
        <v>3200</v>
      </c>
      <c r="F35" t="b">
        <v>0</v>
      </c>
      <c r="G35" t="s">
        <v>1230</v>
      </c>
      <c r="H35" t="s">
        <v>1229</v>
      </c>
    </row>
    <row r="36" spans="1:8" ht="15">
      <c r="A36" s="79" t="s">
        <v>420</v>
      </c>
      <c r="B36" s="79"/>
      <c r="C36" s="79"/>
      <c r="D36" s="79" t="s">
        <v>200</v>
      </c>
      <c r="E36">
        <v>3200</v>
      </c>
      <c r="F36" t="b">
        <v>0</v>
      </c>
      <c r="G36" t="s">
        <v>1230</v>
      </c>
      <c r="H36" t="s">
        <v>1229</v>
      </c>
    </row>
    <row r="37" spans="1:8" ht="15">
      <c r="A37" s="79" t="s">
        <v>421</v>
      </c>
      <c r="B37" s="79"/>
      <c r="C37" s="79"/>
      <c r="D37" s="79"/>
      <c r="E37">
        <v>3200</v>
      </c>
      <c r="F37" t="b">
        <v>0</v>
      </c>
      <c r="G37" t="s">
        <v>1230</v>
      </c>
      <c r="H37" t="s">
        <v>1229</v>
      </c>
    </row>
    <row r="38" spans="1:8" ht="15">
      <c r="A38" s="79" t="s">
        <v>209</v>
      </c>
      <c r="B38" s="79" t="s">
        <v>127</v>
      </c>
      <c r="C38" s="79" t="s">
        <v>127</v>
      </c>
      <c r="D38" s="79" t="s">
        <v>200</v>
      </c>
      <c r="E38">
        <v>3050</v>
      </c>
      <c r="F38" t="b">
        <v>0</v>
      </c>
      <c r="G38" t="s">
        <v>1231</v>
      </c>
      <c r="H38" t="s">
        <v>1229</v>
      </c>
    </row>
    <row r="39" spans="1:8" ht="15">
      <c r="A39" s="79" t="s">
        <v>210</v>
      </c>
      <c r="B39" s="79" t="s">
        <v>127</v>
      </c>
      <c r="C39" s="79" t="s">
        <v>127</v>
      </c>
      <c r="D39" s="79" t="s">
        <v>200</v>
      </c>
      <c r="E39">
        <v>3050</v>
      </c>
      <c r="F39" t="b">
        <v>0</v>
      </c>
      <c r="G39" t="s">
        <v>1231</v>
      </c>
      <c r="H39" t="s">
        <v>1229</v>
      </c>
    </row>
    <row r="40" spans="1:8" ht="15">
      <c r="A40" s="79" t="s">
        <v>211</v>
      </c>
      <c r="B40" s="79" t="s">
        <v>170</v>
      </c>
      <c r="C40" s="79" t="s">
        <v>128</v>
      </c>
      <c r="D40" s="79" t="s">
        <v>200</v>
      </c>
      <c r="E40" t="s">
        <v>1018</v>
      </c>
      <c r="F40" t="b">
        <v>0</v>
      </c>
      <c r="G40" t="s">
        <v>1231</v>
      </c>
      <c r="H40" t="s">
        <v>1229</v>
      </c>
    </row>
    <row r="41" spans="1:8" ht="15">
      <c r="A41" s="79" t="s">
        <v>212</v>
      </c>
      <c r="B41" s="79" t="s">
        <v>159</v>
      </c>
      <c r="C41" s="79" t="s">
        <v>159</v>
      </c>
      <c r="D41" s="79" t="s">
        <v>633</v>
      </c>
      <c r="E41">
        <v>3050</v>
      </c>
      <c r="F41" t="b">
        <v>0</v>
      </c>
      <c r="G41" t="s">
        <v>1231</v>
      </c>
      <c r="H41" t="s">
        <v>1229</v>
      </c>
    </row>
    <row r="42" spans="1:8" ht="15">
      <c r="A42" s="79" t="s">
        <v>213</v>
      </c>
      <c r="B42" s="79" t="s">
        <v>127</v>
      </c>
      <c r="C42" s="79" t="s">
        <v>127</v>
      </c>
      <c r="D42" s="79" t="s">
        <v>633</v>
      </c>
      <c r="E42" t="s">
        <v>1019</v>
      </c>
      <c r="F42" t="b">
        <v>0</v>
      </c>
      <c r="G42" t="s">
        <v>1231</v>
      </c>
      <c r="H42" t="s">
        <v>1229</v>
      </c>
    </row>
    <row r="43" spans="1:8" ht="15">
      <c r="A43" s="79" t="s">
        <v>214</v>
      </c>
      <c r="B43" s="79" t="s">
        <v>159</v>
      </c>
      <c r="C43" s="79" t="s">
        <v>159</v>
      </c>
      <c r="D43" s="79" t="s">
        <v>200</v>
      </c>
      <c r="E43" t="s">
        <v>1018</v>
      </c>
      <c r="F43" t="b">
        <v>0</v>
      </c>
      <c r="G43" t="s">
        <v>1231</v>
      </c>
      <c r="H43" t="s">
        <v>1229</v>
      </c>
    </row>
    <row r="44" spans="1:8" ht="15">
      <c r="A44" s="79" t="s">
        <v>869</v>
      </c>
      <c r="B44" s="79" t="s">
        <v>128</v>
      </c>
      <c r="C44" s="79"/>
      <c r="D44" s="79" t="s">
        <v>633</v>
      </c>
      <c r="E44" t="s">
        <v>1020</v>
      </c>
      <c r="F44" t="b">
        <v>0</v>
      </c>
      <c r="G44" t="s">
        <v>1231</v>
      </c>
      <c r="H44" t="s">
        <v>1229</v>
      </c>
    </row>
    <row r="45" spans="1:8" ht="15">
      <c r="A45" s="79" t="s">
        <v>215</v>
      </c>
      <c r="B45" s="79" t="s">
        <v>127</v>
      </c>
      <c r="C45" s="79" t="s">
        <v>127</v>
      </c>
      <c r="D45" s="79" t="s">
        <v>200</v>
      </c>
      <c r="E45" t="s">
        <v>1021</v>
      </c>
      <c r="F45" t="b">
        <v>0</v>
      </c>
      <c r="G45" t="s">
        <v>1231</v>
      </c>
      <c r="H45" t="s">
        <v>1229</v>
      </c>
    </row>
    <row r="46" spans="1:8" ht="15">
      <c r="A46" s="79" t="s">
        <v>216</v>
      </c>
      <c r="B46" s="79" t="s">
        <v>159</v>
      </c>
      <c r="C46" s="79" t="s">
        <v>159</v>
      </c>
      <c r="D46" s="79" t="s">
        <v>633</v>
      </c>
      <c r="E46">
        <v>3050</v>
      </c>
      <c r="F46" t="b">
        <v>0</v>
      </c>
      <c r="G46" t="s">
        <v>1231</v>
      </c>
      <c r="H46" t="s">
        <v>1229</v>
      </c>
    </row>
    <row r="47" spans="1:8" ht="15">
      <c r="A47" s="79" t="s">
        <v>217</v>
      </c>
      <c r="B47" s="79" t="s">
        <v>127</v>
      </c>
      <c r="C47" s="79" t="s">
        <v>127</v>
      </c>
      <c r="D47" s="79" t="s">
        <v>633</v>
      </c>
      <c r="E47" t="s">
        <v>1019</v>
      </c>
      <c r="F47" t="b">
        <v>0</v>
      </c>
      <c r="G47" t="s">
        <v>1231</v>
      </c>
      <c r="H47" t="s">
        <v>1229</v>
      </c>
    </row>
    <row r="48" spans="1:8" ht="15">
      <c r="A48" s="79" t="s">
        <v>218</v>
      </c>
      <c r="B48" s="79" t="s">
        <v>128</v>
      </c>
      <c r="C48" s="79" t="s">
        <v>128</v>
      </c>
      <c r="D48" s="79" t="s">
        <v>633</v>
      </c>
      <c r="E48" t="s">
        <v>1022</v>
      </c>
      <c r="F48" t="b">
        <v>0</v>
      </c>
      <c r="G48" t="s">
        <v>1231</v>
      </c>
      <c r="H48" t="s">
        <v>1229</v>
      </c>
    </row>
    <row r="49" spans="1:8" ht="15">
      <c r="A49" s="79" t="s">
        <v>219</v>
      </c>
      <c r="B49" s="79" t="s">
        <v>127</v>
      </c>
      <c r="C49" s="79" t="s">
        <v>127</v>
      </c>
      <c r="D49" s="79" t="s">
        <v>200</v>
      </c>
      <c r="E49" t="s">
        <v>1021</v>
      </c>
      <c r="F49" t="b">
        <v>0</v>
      </c>
      <c r="G49" t="s">
        <v>1231</v>
      </c>
      <c r="H49" t="s">
        <v>1229</v>
      </c>
    </row>
    <row r="50" spans="1:8" ht="15">
      <c r="A50" s="79" t="s">
        <v>220</v>
      </c>
      <c r="B50" s="79" t="s">
        <v>159</v>
      </c>
      <c r="C50" s="79" t="s">
        <v>159</v>
      </c>
      <c r="D50" s="79" t="s">
        <v>633</v>
      </c>
      <c r="E50">
        <v>3050</v>
      </c>
      <c r="F50" t="b">
        <v>0</v>
      </c>
      <c r="G50" t="s">
        <v>1231</v>
      </c>
      <c r="H50" t="s">
        <v>1229</v>
      </c>
    </row>
    <row r="51" spans="1:8" ht="15">
      <c r="A51" s="79" t="s">
        <v>221</v>
      </c>
      <c r="B51" s="79" t="s">
        <v>159</v>
      </c>
      <c r="C51" s="79" t="s">
        <v>159</v>
      </c>
      <c r="D51" s="79" t="s">
        <v>633</v>
      </c>
      <c r="F51" t="b">
        <v>0</v>
      </c>
      <c r="G51" t="s">
        <v>1231</v>
      </c>
      <c r="H51" t="s">
        <v>1229</v>
      </c>
    </row>
    <row r="52" spans="1:8" ht="15">
      <c r="A52" s="79" t="s">
        <v>870</v>
      </c>
      <c r="B52" s="79" t="s">
        <v>128</v>
      </c>
      <c r="C52" s="79" t="s">
        <v>128</v>
      </c>
      <c r="D52" s="79" t="s">
        <v>200</v>
      </c>
      <c r="E52" t="s">
        <v>1018</v>
      </c>
      <c r="F52" t="b">
        <v>0</v>
      </c>
      <c r="G52" t="s">
        <v>1231</v>
      </c>
      <c r="H52" t="s">
        <v>1229</v>
      </c>
    </row>
    <row r="53" spans="1:8" ht="15">
      <c r="A53" s="79" t="s">
        <v>222</v>
      </c>
      <c r="B53" s="79" t="s">
        <v>128</v>
      </c>
      <c r="C53" s="79" t="s">
        <v>128</v>
      </c>
      <c r="D53" s="79" t="s">
        <v>633</v>
      </c>
      <c r="E53" t="s">
        <v>1023</v>
      </c>
      <c r="F53" t="b">
        <v>0</v>
      </c>
      <c r="G53" t="s">
        <v>1231</v>
      </c>
      <c r="H53" t="s">
        <v>1229</v>
      </c>
    </row>
    <row r="54" spans="1:8" ht="15">
      <c r="A54" s="79" t="s">
        <v>223</v>
      </c>
      <c r="B54" s="79" t="s">
        <v>159</v>
      </c>
      <c r="C54" s="79" t="s">
        <v>159</v>
      </c>
      <c r="D54" s="79" t="s">
        <v>200</v>
      </c>
      <c r="E54" t="s">
        <v>1018</v>
      </c>
      <c r="F54" t="b">
        <v>0</v>
      </c>
      <c r="G54" t="s">
        <v>1231</v>
      </c>
      <c r="H54" t="s">
        <v>1229</v>
      </c>
    </row>
    <row r="55" spans="1:8" ht="15">
      <c r="A55" s="79" t="s">
        <v>224</v>
      </c>
      <c r="B55" s="79" t="s">
        <v>128</v>
      </c>
      <c r="C55" s="79" t="s">
        <v>128</v>
      </c>
      <c r="D55" s="79" t="s">
        <v>633</v>
      </c>
      <c r="E55" t="s">
        <v>1022</v>
      </c>
      <c r="F55" t="b">
        <v>0</v>
      </c>
      <c r="G55" t="s">
        <v>1231</v>
      </c>
      <c r="H55" t="s">
        <v>1229</v>
      </c>
    </row>
    <row r="56" spans="1:8" ht="15">
      <c r="A56" s="79" t="s">
        <v>634</v>
      </c>
      <c r="B56" s="79" t="s">
        <v>159</v>
      </c>
      <c r="C56" s="79" t="s">
        <v>159</v>
      </c>
      <c r="D56" s="79" t="s">
        <v>633</v>
      </c>
      <c r="E56">
        <v>3050</v>
      </c>
      <c r="F56" t="b">
        <v>0</v>
      </c>
      <c r="G56" t="s">
        <v>1231</v>
      </c>
      <c r="H56" t="s">
        <v>1229</v>
      </c>
    </row>
    <row r="57" spans="1:8" ht="15">
      <c r="A57" s="79" t="s">
        <v>225</v>
      </c>
      <c r="B57" s="79" t="s">
        <v>170</v>
      </c>
      <c r="C57" s="79" t="s">
        <v>170</v>
      </c>
      <c r="D57" s="79" t="s">
        <v>633</v>
      </c>
      <c r="E57">
        <v>3050</v>
      </c>
      <c r="F57" t="b">
        <v>0</v>
      </c>
      <c r="G57" t="s">
        <v>1231</v>
      </c>
      <c r="H57" t="s">
        <v>1229</v>
      </c>
    </row>
    <row r="58" spans="1:8" ht="15">
      <c r="A58" s="79" t="s">
        <v>226</v>
      </c>
      <c r="B58" s="79" t="s">
        <v>159</v>
      </c>
      <c r="C58" s="79" t="s">
        <v>159</v>
      </c>
      <c r="D58" s="79" t="s">
        <v>633</v>
      </c>
      <c r="E58" t="s">
        <v>1018</v>
      </c>
      <c r="F58" t="b">
        <v>0</v>
      </c>
      <c r="G58" t="s">
        <v>1231</v>
      </c>
      <c r="H58" t="s">
        <v>1229</v>
      </c>
    </row>
    <row r="59" spans="1:8" ht="15">
      <c r="A59" s="79" t="s">
        <v>227</v>
      </c>
      <c r="B59" s="79" t="s">
        <v>159</v>
      </c>
      <c r="C59" s="79" t="s">
        <v>159</v>
      </c>
      <c r="D59" s="79" t="s">
        <v>200</v>
      </c>
      <c r="E59" t="s">
        <v>1022</v>
      </c>
      <c r="F59" t="b">
        <v>0</v>
      </c>
      <c r="G59" t="s">
        <v>1231</v>
      </c>
      <c r="H59" t="s">
        <v>1229</v>
      </c>
    </row>
    <row r="60" spans="1:8" ht="15">
      <c r="A60" s="79" t="s">
        <v>228</v>
      </c>
      <c r="B60" s="79"/>
      <c r="C60" s="79"/>
      <c r="D60" s="79"/>
      <c r="F60" t="b">
        <v>0</v>
      </c>
      <c r="G60" t="s">
        <v>1231</v>
      </c>
      <c r="H60" t="s">
        <v>1229</v>
      </c>
    </row>
    <row r="61" spans="1:8" ht="15">
      <c r="A61" s="79" t="s">
        <v>229</v>
      </c>
      <c r="B61" s="79" t="s">
        <v>128</v>
      </c>
      <c r="C61" s="79" t="s">
        <v>128</v>
      </c>
      <c r="D61" s="79" t="s">
        <v>633</v>
      </c>
      <c r="E61" t="s">
        <v>1019</v>
      </c>
      <c r="F61" t="b">
        <v>0</v>
      </c>
      <c r="G61" t="s">
        <v>1231</v>
      </c>
      <c r="H61" t="s">
        <v>1229</v>
      </c>
    </row>
    <row r="62" spans="1:8" ht="15">
      <c r="A62" s="79" t="s">
        <v>422</v>
      </c>
      <c r="B62" s="79"/>
      <c r="C62" s="79"/>
      <c r="D62" s="79"/>
      <c r="F62" t="b">
        <v>0</v>
      </c>
      <c r="G62" t="s">
        <v>1230</v>
      </c>
      <c r="H62" t="s">
        <v>1229</v>
      </c>
    </row>
    <row r="63" spans="1:8" ht="15">
      <c r="A63" s="79" t="s">
        <v>423</v>
      </c>
      <c r="B63" s="79" t="s">
        <v>128</v>
      </c>
      <c r="C63" s="79" t="s">
        <v>128</v>
      </c>
      <c r="D63" s="79"/>
      <c r="F63" t="b">
        <v>0</v>
      </c>
      <c r="G63" t="s">
        <v>1230</v>
      </c>
      <c r="H63" t="s">
        <v>1229</v>
      </c>
    </row>
    <row r="64" spans="1:8" ht="15">
      <c r="A64" s="79" t="s">
        <v>424</v>
      </c>
      <c r="B64" s="79"/>
      <c r="C64" s="79"/>
      <c r="D64" s="79"/>
      <c r="F64" t="b">
        <v>0</v>
      </c>
      <c r="G64" t="s">
        <v>1230</v>
      </c>
      <c r="H64" t="s">
        <v>1229</v>
      </c>
    </row>
    <row r="65" spans="1:8" ht="15">
      <c r="A65" s="79" t="s">
        <v>230</v>
      </c>
      <c r="B65" s="79" t="s">
        <v>128</v>
      </c>
      <c r="C65" s="79" t="s">
        <v>128</v>
      </c>
      <c r="D65" s="79" t="s">
        <v>200</v>
      </c>
      <c r="E65">
        <v>3050</v>
      </c>
      <c r="F65" t="b">
        <v>0</v>
      </c>
      <c r="G65" t="s">
        <v>1231</v>
      </c>
      <c r="H65" t="s">
        <v>1229</v>
      </c>
    </row>
    <row r="66" spans="1:8" ht="15">
      <c r="A66" s="79" t="s">
        <v>231</v>
      </c>
      <c r="B66" s="79" t="s">
        <v>128</v>
      </c>
      <c r="C66" s="79" t="s">
        <v>128</v>
      </c>
      <c r="D66" s="79" t="s">
        <v>200</v>
      </c>
      <c r="E66">
        <v>3050</v>
      </c>
      <c r="F66" t="b">
        <v>0</v>
      </c>
      <c r="G66" t="s">
        <v>1231</v>
      </c>
      <c r="H66" t="s">
        <v>1229</v>
      </c>
    </row>
    <row r="67" spans="1:8" ht="15">
      <c r="A67" s="79" t="s">
        <v>232</v>
      </c>
      <c r="B67" s="79" t="s">
        <v>128</v>
      </c>
      <c r="C67" s="79" t="s">
        <v>128</v>
      </c>
      <c r="D67" s="79" t="s">
        <v>200</v>
      </c>
      <c r="E67">
        <v>3050</v>
      </c>
      <c r="F67" t="b">
        <v>0</v>
      </c>
      <c r="G67" t="s">
        <v>1231</v>
      </c>
      <c r="H67" t="s">
        <v>1229</v>
      </c>
    </row>
    <row r="68" spans="1:8" ht="15">
      <c r="A68" s="79" t="s">
        <v>233</v>
      </c>
      <c r="B68" s="79" t="s">
        <v>128</v>
      </c>
      <c r="C68" s="79" t="s">
        <v>128</v>
      </c>
      <c r="D68" s="79" t="s">
        <v>200</v>
      </c>
      <c r="E68">
        <v>3050</v>
      </c>
      <c r="F68" t="b">
        <v>0</v>
      </c>
      <c r="G68" t="s">
        <v>1231</v>
      </c>
      <c r="H68" t="s">
        <v>1229</v>
      </c>
    </row>
    <row r="69" spans="1:8" ht="15">
      <c r="A69" s="79" t="s">
        <v>635</v>
      </c>
      <c r="B69" s="79" t="s">
        <v>636</v>
      </c>
      <c r="C69" s="79"/>
      <c r="D69" s="79" t="s">
        <v>200</v>
      </c>
      <c r="E69">
        <v>3050</v>
      </c>
      <c r="F69" t="b">
        <v>0</v>
      </c>
      <c r="G69" t="s">
        <v>1231</v>
      </c>
      <c r="H69" t="s">
        <v>1229</v>
      </c>
    </row>
    <row r="70" spans="1:8" ht="15">
      <c r="A70" s="79" t="s">
        <v>234</v>
      </c>
      <c r="B70" s="79" t="s">
        <v>127</v>
      </c>
      <c r="C70" s="79" t="s">
        <v>127</v>
      </c>
      <c r="D70" s="79" t="s">
        <v>200</v>
      </c>
      <c r="E70">
        <v>3050</v>
      </c>
      <c r="F70" t="b">
        <v>0</v>
      </c>
      <c r="G70" t="s">
        <v>1231</v>
      </c>
      <c r="H70" t="s">
        <v>1229</v>
      </c>
    </row>
    <row r="71" spans="1:8" ht="15">
      <c r="A71" s="79" t="s">
        <v>235</v>
      </c>
      <c r="B71" s="79" t="s">
        <v>159</v>
      </c>
      <c r="C71" s="79" t="s">
        <v>159</v>
      </c>
      <c r="D71" s="79" t="s">
        <v>200</v>
      </c>
      <c r="E71">
        <v>3050</v>
      </c>
      <c r="F71" t="b">
        <v>0</v>
      </c>
      <c r="G71" t="s">
        <v>1231</v>
      </c>
      <c r="H71" t="s">
        <v>1229</v>
      </c>
    </row>
    <row r="72" spans="1:8" ht="15">
      <c r="A72" s="79" t="s">
        <v>236</v>
      </c>
      <c r="B72" s="79" t="s">
        <v>159</v>
      </c>
      <c r="C72" s="79" t="s">
        <v>159</v>
      </c>
      <c r="D72" s="79" t="s">
        <v>200</v>
      </c>
      <c r="E72">
        <v>3050</v>
      </c>
      <c r="F72" t="b">
        <v>0</v>
      </c>
      <c r="G72" t="s">
        <v>1231</v>
      </c>
      <c r="H72" t="s">
        <v>1229</v>
      </c>
    </row>
    <row r="73" spans="1:8" ht="15">
      <c r="A73" s="79" t="s">
        <v>237</v>
      </c>
      <c r="B73" s="79" t="s">
        <v>159</v>
      </c>
      <c r="C73" s="79" t="s">
        <v>159</v>
      </c>
      <c r="D73" s="79" t="s">
        <v>200</v>
      </c>
      <c r="E73">
        <v>3050</v>
      </c>
      <c r="F73" t="b">
        <v>0</v>
      </c>
      <c r="G73" t="s">
        <v>1231</v>
      </c>
      <c r="H73" t="s">
        <v>1229</v>
      </c>
    </row>
    <row r="74" spans="1:8" ht="15">
      <c r="A74" s="79" t="s">
        <v>239</v>
      </c>
      <c r="B74" s="79"/>
      <c r="C74" s="79"/>
      <c r="D74" s="79"/>
      <c r="E74">
        <v>3050</v>
      </c>
      <c r="F74" t="b">
        <v>0</v>
      </c>
      <c r="G74" t="s">
        <v>1231</v>
      </c>
      <c r="H74" t="s">
        <v>1229</v>
      </c>
    </row>
    <row r="75" spans="1:8" ht="15">
      <c r="A75" s="79" t="s">
        <v>240</v>
      </c>
      <c r="B75" s="79" t="s">
        <v>127</v>
      </c>
      <c r="C75" s="79" t="s">
        <v>127</v>
      </c>
      <c r="D75" s="79" t="s">
        <v>200</v>
      </c>
      <c r="E75">
        <v>3050</v>
      </c>
      <c r="F75" t="b">
        <v>0</v>
      </c>
      <c r="G75" t="s">
        <v>1231</v>
      </c>
      <c r="H75" t="s">
        <v>1229</v>
      </c>
    </row>
    <row r="76" spans="1:8" ht="15">
      <c r="A76" s="79" t="s">
        <v>637</v>
      </c>
      <c r="B76" s="79"/>
      <c r="C76" s="79"/>
      <c r="D76" s="79" t="s">
        <v>200</v>
      </c>
      <c r="E76">
        <v>3050</v>
      </c>
      <c r="F76" t="b">
        <v>0</v>
      </c>
      <c r="G76" t="s">
        <v>1231</v>
      </c>
      <c r="H76" t="s">
        <v>1229</v>
      </c>
    </row>
    <row r="77" spans="1:8" ht="15">
      <c r="A77" s="79" t="s">
        <v>638</v>
      </c>
      <c r="B77" s="79"/>
      <c r="C77" s="79"/>
      <c r="D77" s="79" t="s">
        <v>200</v>
      </c>
      <c r="E77">
        <v>3050</v>
      </c>
      <c r="F77" t="b">
        <v>0</v>
      </c>
      <c r="G77" t="s">
        <v>1231</v>
      </c>
      <c r="H77" t="s">
        <v>1229</v>
      </c>
    </row>
    <row r="78" spans="1:8" ht="15">
      <c r="A78" s="79" t="s">
        <v>425</v>
      </c>
      <c r="B78" s="79"/>
      <c r="C78" s="79"/>
      <c r="D78" s="79" t="s">
        <v>200</v>
      </c>
      <c r="E78">
        <v>3050</v>
      </c>
      <c r="F78" t="b">
        <v>0</v>
      </c>
      <c r="G78" t="s">
        <v>1231</v>
      </c>
      <c r="H78" t="s">
        <v>1229</v>
      </c>
    </row>
    <row r="79" spans="1:8" ht="15">
      <c r="A79" s="79" t="s">
        <v>238</v>
      </c>
      <c r="B79" s="79" t="s">
        <v>170</v>
      </c>
      <c r="C79" s="79" t="s">
        <v>170</v>
      </c>
      <c r="D79" s="79" t="s">
        <v>200</v>
      </c>
      <c r="E79">
        <v>3050</v>
      </c>
      <c r="F79" t="b">
        <v>0</v>
      </c>
      <c r="G79" t="s">
        <v>1231</v>
      </c>
      <c r="H79" t="s">
        <v>1229</v>
      </c>
    </row>
    <row r="80" spans="1:8" ht="15">
      <c r="A80" s="79" t="s">
        <v>241</v>
      </c>
      <c r="B80" s="79" t="s">
        <v>127</v>
      </c>
      <c r="C80" s="79" t="s">
        <v>127</v>
      </c>
      <c r="D80" s="79" t="s">
        <v>633</v>
      </c>
      <c r="E80">
        <v>3000</v>
      </c>
      <c r="F80" t="b">
        <v>0</v>
      </c>
      <c r="G80" t="s">
        <v>1230</v>
      </c>
      <c r="H80" t="s">
        <v>1229</v>
      </c>
    </row>
    <row r="81" spans="1:8" ht="15">
      <c r="A81" s="79" t="s">
        <v>242</v>
      </c>
      <c r="B81" s="79" t="s">
        <v>128</v>
      </c>
      <c r="C81" s="79" t="s">
        <v>128</v>
      </c>
      <c r="D81" s="79" t="s">
        <v>633</v>
      </c>
      <c r="E81" t="s">
        <v>1024</v>
      </c>
      <c r="F81" t="b">
        <v>0</v>
      </c>
      <c r="G81" t="s">
        <v>1230</v>
      </c>
      <c r="H81" t="s">
        <v>1229</v>
      </c>
    </row>
    <row r="82" spans="1:8" ht="15">
      <c r="A82" s="79" t="s">
        <v>243</v>
      </c>
      <c r="B82" s="79" t="s">
        <v>128</v>
      </c>
      <c r="C82" s="79" t="s">
        <v>128</v>
      </c>
      <c r="D82" s="79" t="s">
        <v>633</v>
      </c>
      <c r="E82">
        <v>3000</v>
      </c>
      <c r="F82" t="b">
        <v>0</v>
      </c>
      <c r="G82" t="s">
        <v>1230</v>
      </c>
      <c r="H82" t="s">
        <v>1229</v>
      </c>
    </row>
    <row r="83" spans="1:8" ht="15">
      <c r="A83" s="79" t="s">
        <v>244</v>
      </c>
      <c r="B83" s="79"/>
      <c r="C83" s="79"/>
      <c r="D83" s="79"/>
      <c r="F83" t="b">
        <v>0</v>
      </c>
      <c r="G83" t="s">
        <v>1230</v>
      </c>
      <c r="H83" t="s">
        <v>1229</v>
      </c>
    </row>
    <row r="84" spans="1:8" ht="15">
      <c r="A84" s="79" t="s">
        <v>871</v>
      </c>
      <c r="B84" s="79"/>
      <c r="C84" s="79"/>
      <c r="D84" s="79" t="s">
        <v>633</v>
      </c>
      <c r="E84">
        <v>1370</v>
      </c>
      <c r="F84" t="b">
        <v>0</v>
      </c>
      <c r="G84" t="s">
        <v>1232</v>
      </c>
      <c r="H84" t="s">
        <v>1233</v>
      </c>
    </row>
    <row r="85" spans="1:8" ht="15">
      <c r="A85" s="79" t="s">
        <v>1035</v>
      </c>
      <c r="B85" s="79"/>
      <c r="C85" s="79"/>
      <c r="D85" s="79" t="s">
        <v>633</v>
      </c>
      <c r="E85">
        <v>1370</v>
      </c>
      <c r="F85" t="b">
        <v>0</v>
      </c>
      <c r="G85" t="s">
        <v>1232</v>
      </c>
      <c r="H85" t="s">
        <v>1233</v>
      </c>
    </row>
    <row r="86" spans="1:8" ht="15">
      <c r="A86" s="79" t="s">
        <v>245</v>
      </c>
      <c r="B86" s="79" t="s">
        <v>159</v>
      </c>
      <c r="C86" s="79" t="s">
        <v>159</v>
      </c>
      <c r="D86" s="79" t="s">
        <v>633</v>
      </c>
      <c r="E86">
        <v>3200</v>
      </c>
      <c r="F86" t="b">
        <v>0</v>
      </c>
      <c r="G86" t="s">
        <v>1232</v>
      </c>
      <c r="H86" t="s">
        <v>1229</v>
      </c>
    </row>
    <row r="87" spans="1:8" ht="15">
      <c r="A87" s="79" t="s">
        <v>1033</v>
      </c>
      <c r="B87" s="79" t="s">
        <v>128</v>
      </c>
      <c r="C87" s="79" t="s">
        <v>128</v>
      </c>
      <c r="D87" s="79" t="s">
        <v>633</v>
      </c>
      <c r="E87">
        <v>3200</v>
      </c>
      <c r="F87" t="b">
        <v>0</v>
      </c>
      <c r="G87" t="s">
        <v>1232</v>
      </c>
      <c r="H87" t="s">
        <v>1229</v>
      </c>
    </row>
    <row r="88" spans="1:8" ht="15">
      <c r="A88" s="79" t="s">
        <v>639</v>
      </c>
      <c r="B88" s="79" t="s">
        <v>170</v>
      </c>
      <c r="C88" s="79" t="s">
        <v>170</v>
      </c>
      <c r="D88" s="79" t="s">
        <v>633</v>
      </c>
      <c r="E88">
        <v>3200</v>
      </c>
      <c r="F88" t="b">
        <v>0</v>
      </c>
      <c r="G88" t="s">
        <v>1232</v>
      </c>
      <c r="H88" t="s">
        <v>1229</v>
      </c>
    </row>
    <row r="89" spans="1:8" ht="15">
      <c r="A89" s="79" t="s">
        <v>246</v>
      </c>
      <c r="B89" s="79" t="s">
        <v>159</v>
      </c>
      <c r="C89" s="79" t="s">
        <v>159</v>
      </c>
      <c r="D89" s="79" t="s">
        <v>200</v>
      </c>
      <c r="E89">
        <v>3200</v>
      </c>
      <c r="F89" t="b">
        <v>0</v>
      </c>
      <c r="G89" t="s">
        <v>1232</v>
      </c>
      <c r="H89" t="s">
        <v>1229</v>
      </c>
    </row>
    <row r="90" spans="1:8" ht="15">
      <c r="A90" s="79" t="s">
        <v>247</v>
      </c>
      <c r="B90" s="79" t="s">
        <v>128</v>
      </c>
      <c r="C90" s="79" t="s">
        <v>128</v>
      </c>
      <c r="D90" s="79" t="s">
        <v>200</v>
      </c>
      <c r="E90">
        <v>3200</v>
      </c>
      <c r="F90" t="b">
        <v>0</v>
      </c>
      <c r="G90" t="s">
        <v>1232</v>
      </c>
      <c r="H90" t="s">
        <v>1229</v>
      </c>
    </row>
    <row r="91" spans="1:8" ht="15">
      <c r="A91" s="79" t="s">
        <v>248</v>
      </c>
      <c r="B91" s="79"/>
      <c r="C91" s="79"/>
      <c r="D91" s="79" t="s">
        <v>633</v>
      </c>
      <c r="E91">
        <v>3200</v>
      </c>
      <c r="F91" t="b">
        <v>0</v>
      </c>
      <c r="G91" t="s">
        <v>1232</v>
      </c>
      <c r="H91" t="s">
        <v>1229</v>
      </c>
    </row>
    <row r="92" spans="1:8" ht="15">
      <c r="A92" s="79" t="s">
        <v>249</v>
      </c>
      <c r="B92" s="79" t="s">
        <v>128</v>
      </c>
      <c r="C92" s="79" t="s">
        <v>128</v>
      </c>
      <c r="D92" s="79" t="s">
        <v>633</v>
      </c>
      <c r="E92">
        <v>3200</v>
      </c>
      <c r="F92" t="b">
        <v>0</v>
      </c>
      <c r="G92" t="s">
        <v>1232</v>
      </c>
      <c r="H92" t="s">
        <v>1229</v>
      </c>
    </row>
    <row r="93" spans="1:8" ht="15">
      <c r="A93" s="79" t="s">
        <v>250</v>
      </c>
      <c r="B93" s="79" t="s">
        <v>159</v>
      </c>
      <c r="C93" s="79" t="s">
        <v>159</v>
      </c>
      <c r="D93" s="79" t="s">
        <v>633</v>
      </c>
      <c r="E93">
        <v>3200</v>
      </c>
      <c r="F93" t="b">
        <v>0</v>
      </c>
      <c r="G93" t="s">
        <v>1232</v>
      </c>
      <c r="H93" t="s">
        <v>1229</v>
      </c>
    </row>
    <row r="94" spans="1:8" ht="15">
      <c r="A94" s="79" t="s">
        <v>251</v>
      </c>
      <c r="B94" s="79" t="s">
        <v>127</v>
      </c>
      <c r="C94" s="79" t="s">
        <v>127</v>
      </c>
      <c r="D94" s="79" t="s">
        <v>200</v>
      </c>
      <c r="E94">
        <v>3200</v>
      </c>
      <c r="F94" t="b">
        <v>0</v>
      </c>
      <c r="G94" t="s">
        <v>1232</v>
      </c>
      <c r="H94" t="s">
        <v>1229</v>
      </c>
    </row>
    <row r="95" spans="1:8" ht="15">
      <c r="A95" s="79" t="s">
        <v>252</v>
      </c>
      <c r="B95" s="79" t="s">
        <v>128</v>
      </c>
      <c r="C95" s="79" t="s">
        <v>128</v>
      </c>
      <c r="D95" s="79" t="s">
        <v>200</v>
      </c>
      <c r="E95">
        <v>3200</v>
      </c>
      <c r="F95" t="b">
        <v>0</v>
      </c>
      <c r="G95" t="s">
        <v>1232</v>
      </c>
      <c r="H95" t="s">
        <v>1229</v>
      </c>
    </row>
    <row r="96" spans="1:8" ht="15">
      <c r="A96" s="79" t="s">
        <v>253</v>
      </c>
      <c r="B96" s="79" t="s">
        <v>128</v>
      </c>
      <c r="C96" s="79" t="s">
        <v>128</v>
      </c>
      <c r="D96" s="79" t="s">
        <v>200</v>
      </c>
      <c r="E96">
        <v>3200</v>
      </c>
      <c r="F96" t="b">
        <v>0</v>
      </c>
      <c r="G96" t="s">
        <v>1232</v>
      </c>
      <c r="H96" t="s">
        <v>1229</v>
      </c>
    </row>
    <row r="97" spans="1:8" ht="15">
      <c r="A97" s="79" t="s">
        <v>254</v>
      </c>
      <c r="B97" s="79" t="s">
        <v>159</v>
      </c>
      <c r="C97" s="79" t="s">
        <v>159</v>
      </c>
      <c r="D97" s="79" t="s">
        <v>633</v>
      </c>
      <c r="E97">
        <v>3200</v>
      </c>
      <c r="F97" t="b">
        <v>0</v>
      </c>
      <c r="G97" t="s">
        <v>1232</v>
      </c>
      <c r="H97" t="s">
        <v>1229</v>
      </c>
    </row>
    <row r="98" spans="1:8" ht="15">
      <c r="A98" s="79" t="s">
        <v>255</v>
      </c>
      <c r="B98" s="79" t="s">
        <v>127</v>
      </c>
      <c r="C98" s="79" t="s">
        <v>127</v>
      </c>
      <c r="D98" s="79" t="s">
        <v>633</v>
      </c>
      <c r="E98">
        <v>3200</v>
      </c>
      <c r="F98" t="b">
        <v>0</v>
      </c>
      <c r="G98" t="s">
        <v>1232</v>
      </c>
      <c r="H98" t="s">
        <v>1229</v>
      </c>
    </row>
    <row r="99" spans="1:8" ht="15">
      <c r="A99" s="79" t="s">
        <v>256</v>
      </c>
      <c r="B99" s="79" t="s">
        <v>128</v>
      </c>
      <c r="C99" s="79" t="s">
        <v>128</v>
      </c>
      <c r="D99" s="79" t="s">
        <v>633</v>
      </c>
      <c r="E99">
        <v>3200</v>
      </c>
      <c r="F99" t="b">
        <v>0</v>
      </c>
      <c r="G99" t="s">
        <v>1232</v>
      </c>
      <c r="H99" t="s">
        <v>1229</v>
      </c>
    </row>
    <row r="100" spans="1:8" ht="15">
      <c r="A100" s="79" t="s">
        <v>257</v>
      </c>
      <c r="B100" s="79" t="s">
        <v>127</v>
      </c>
      <c r="C100" s="79" t="s">
        <v>127</v>
      </c>
      <c r="D100" s="79" t="s">
        <v>200</v>
      </c>
      <c r="E100">
        <v>3200</v>
      </c>
      <c r="F100" t="b">
        <v>0</v>
      </c>
      <c r="G100" t="s">
        <v>1232</v>
      </c>
      <c r="H100" t="s">
        <v>1229</v>
      </c>
    </row>
    <row r="101" spans="1:8" ht="15">
      <c r="A101" s="79" t="s">
        <v>258</v>
      </c>
      <c r="B101" s="79" t="s">
        <v>159</v>
      </c>
      <c r="C101" s="79" t="s">
        <v>159</v>
      </c>
      <c r="D101" s="79" t="s">
        <v>200</v>
      </c>
      <c r="E101">
        <v>3200</v>
      </c>
      <c r="F101" t="b">
        <v>0</v>
      </c>
      <c r="G101" t="s">
        <v>1232</v>
      </c>
      <c r="H101" t="s">
        <v>1229</v>
      </c>
    </row>
    <row r="102" spans="1:8" ht="15">
      <c r="A102" s="79" t="s">
        <v>259</v>
      </c>
      <c r="B102" s="79" t="s">
        <v>159</v>
      </c>
      <c r="C102" s="79" t="s">
        <v>159</v>
      </c>
      <c r="D102" s="79" t="s">
        <v>200</v>
      </c>
      <c r="E102">
        <v>3200</v>
      </c>
      <c r="F102" t="b">
        <v>0</v>
      </c>
      <c r="G102" t="s">
        <v>1232</v>
      </c>
      <c r="H102" t="s">
        <v>1229</v>
      </c>
    </row>
    <row r="103" spans="1:8" ht="15">
      <c r="A103" s="79" t="s">
        <v>260</v>
      </c>
      <c r="B103" s="79" t="s">
        <v>128</v>
      </c>
      <c r="C103" s="79" t="s">
        <v>128</v>
      </c>
      <c r="D103" s="79" t="s">
        <v>633</v>
      </c>
      <c r="E103">
        <v>3200</v>
      </c>
      <c r="F103" t="b">
        <v>0</v>
      </c>
      <c r="G103" t="s">
        <v>1232</v>
      </c>
      <c r="H103" t="s">
        <v>1229</v>
      </c>
    </row>
    <row r="104" spans="1:8" ht="15">
      <c r="A104" s="79" t="s">
        <v>261</v>
      </c>
      <c r="B104" s="79" t="s">
        <v>127</v>
      </c>
      <c r="C104" s="79" t="s">
        <v>127</v>
      </c>
      <c r="D104" s="79" t="s">
        <v>633</v>
      </c>
      <c r="E104">
        <v>3200</v>
      </c>
      <c r="F104" t="b">
        <v>0</v>
      </c>
      <c r="G104" t="s">
        <v>1232</v>
      </c>
      <c r="H104" t="s">
        <v>1229</v>
      </c>
    </row>
    <row r="105" spans="1:8" ht="15">
      <c r="A105" s="79" t="s">
        <v>262</v>
      </c>
      <c r="B105" s="79" t="s">
        <v>128</v>
      </c>
      <c r="C105" s="79" t="s">
        <v>128</v>
      </c>
      <c r="D105" s="79" t="s">
        <v>633</v>
      </c>
      <c r="E105">
        <v>3200</v>
      </c>
      <c r="F105" t="b">
        <v>0</v>
      </c>
      <c r="G105" t="s">
        <v>1232</v>
      </c>
      <c r="H105" t="s">
        <v>1229</v>
      </c>
    </row>
    <row r="106" spans="1:8" ht="15">
      <c r="A106" s="79" t="s">
        <v>263</v>
      </c>
      <c r="B106" s="79" t="s">
        <v>128</v>
      </c>
      <c r="C106" s="79" t="s">
        <v>128</v>
      </c>
      <c r="D106" s="79" t="s">
        <v>200</v>
      </c>
      <c r="E106">
        <v>3200</v>
      </c>
      <c r="F106" t="b">
        <v>0</v>
      </c>
      <c r="G106" t="s">
        <v>1232</v>
      </c>
      <c r="H106" t="s">
        <v>1229</v>
      </c>
    </row>
    <row r="107" spans="1:8" ht="15">
      <c r="A107" s="79" t="s">
        <v>640</v>
      </c>
      <c r="B107" s="79" t="s">
        <v>636</v>
      </c>
      <c r="C107" s="79"/>
      <c r="D107" s="79" t="s">
        <v>633</v>
      </c>
      <c r="E107">
        <v>3200</v>
      </c>
      <c r="F107" t="b">
        <v>0</v>
      </c>
      <c r="G107" t="s">
        <v>1232</v>
      </c>
      <c r="H107" t="s">
        <v>1229</v>
      </c>
    </row>
    <row r="108" spans="1:8" ht="15">
      <c r="A108" s="79" t="s">
        <v>264</v>
      </c>
      <c r="B108" s="79" t="s">
        <v>159</v>
      </c>
      <c r="C108" s="79" t="s">
        <v>159</v>
      </c>
      <c r="D108" s="79" t="s">
        <v>200</v>
      </c>
      <c r="E108">
        <v>3200</v>
      </c>
      <c r="F108" t="b">
        <v>0</v>
      </c>
      <c r="G108" t="s">
        <v>1232</v>
      </c>
      <c r="H108" t="s">
        <v>1229</v>
      </c>
    </row>
    <row r="109" spans="1:8" ht="15">
      <c r="A109" s="79" t="s">
        <v>265</v>
      </c>
      <c r="B109" s="79" t="s">
        <v>159</v>
      </c>
      <c r="C109" s="79" t="s">
        <v>159</v>
      </c>
      <c r="D109" s="79" t="s">
        <v>633</v>
      </c>
      <c r="E109">
        <v>3200</v>
      </c>
      <c r="F109" t="b">
        <v>0</v>
      </c>
      <c r="G109" t="s">
        <v>1232</v>
      </c>
      <c r="H109" t="s">
        <v>1229</v>
      </c>
    </row>
    <row r="110" spans="1:8" ht="15">
      <c r="A110" s="79" t="s">
        <v>266</v>
      </c>
      <c r="B110" s="79" t="s">
        <v>127</v>
      </c>
      <c r="C110" s="79" t="s">
        <v>127</v>
      </c>
      <c r="D110" s="79" t="s">
        <v>200</v>
      </c>
      <c r="E110">
        <v>3200</v>
      </c>
      <c r="F110" t="b">
        <v>0</v>
      </c>
      <c r="G110" t="s">
        <v>1232</v>
      </c>
      <c r="H110" t="s">
        <v>1229</v>
      </c>
    </row>
    <row r="111" spans="1:8" ht="15">
      <c r="A111" s="79" t="s">
        <v>267</v>
      </c>
      <c r="B111" s="79" t="s">
        <v>127</v>
      </c>
      <c r="C111" s="79" t="s">
        <v>127</v>
      </c>
      <c r="D111" s="79" t="s">
        <v>200</v>
      </c>
      <c r="E111">
        <v>3200</v>
      </c>
      <c r="F111" t="b">
        <v>0</v>
      </c>
      <c r="G111" t="s">
        <v>1232</v>
      </c>
      <c r="H111" t="s">
        <v>1229</v>
      </c>
    </row>
    <row r="112" spans="1:8" ht="15">
      <c r="A112" s="79" t="s">
        <v>268</v>
      </c>
      <c r="B112" s="79" t="s">
        <v>159</v>
      </c>
      <c r="C112" s="79" t="s">
        <v>159</v>
      </c>
      <c r="D112" s="79" t="s">
        <v>633</v>
      </c>
      <c r="E112">
        <v>3200</v>
      </c>
      <c r="F112" t="b">
        <v>0</v>
      </c>
      <c r="G112" t="s">
        <v>1232</v>
      </c>
      <c r="H112" t="s">
        <v>1229</v>
      </c>
    </row>
    <row r="113" spans="1:8" ht="15">
      <c r="A113" s="79" t="s">
        <v>269</v>
      </c>
      <c r="B113" s="79" t="s">
        <v>159</v>
      </c>
      <c r="C113" s="79" t="s">
        <v>159</v>
      </c>
      <c r="D113" s="79" t="s">
        <v>633</v>
      </c>
      <c r="E113">
        <v>3200</v>
      </c>
      <c r="F113" t="b">
        <v>0</v>
      </c>
      <c r="G113" t="s">
        <v>1232</v>
      </c>
      <c r="H113" t="s">
        <v>1229</v>
      </c>
    </row>
    <row r="114" spans="1:8" ht="15">
      <c r="A114" s="79" t="s">
        <v>270</v>
      </c>
      <c r="B114" s="79" t="s">
        <v>159</v>
      </c>
      <c r="C114" s="79" t="s">
        <v>159</v>
      </c>
      <c r="D114" s="79" t="s">
        <v>633</v>
      </c>
      <c r="E114">
        <v>3200</v>
      </c>
      <c r="F114" t="b">
        <v>0</v>
      </c>
      <c r="G114" t="s">
        <v>1232</v>
      </c>
      <c r="H114" t="s">
        <v>1229</v>
      </c>
    </row>
    <row r="115" spans="1:8" ht="15">
      <c r="A115" s="79" t="s">
        <v>271</v>
      </c>
      <c r="B115" s="79" t="s">
        <v>170</v>
      </c>
      <c r="C115" s="79" t="s">
        <v>170</v>
      </c>
      <c r="D115" s="79" t="s">
        <v>633</v>
      </c>
      <c r="E115">
        <v>3200</v>
      </c>
      <c r="F115" t="b">
        <v>0</v>
      </c>
      <c r="G115" t="s">
        <v>1232</v>
      </c>
      <c r="H115" t="s">
        <v>1229</v>
      </c>
    </row>
    <row r="116" spans="1:8" ht="15">
      <c r="A116" s="79" t="s">
        <v>272</v>
      </c>
      <c r="B116" s="79" t="s">
        <v>128</v>
      </c>
      <c r="C116" s="79" t="s">
        <v>128</v>
      </c>
      <c r="D116" s="79" t="s">
        <v>200</v>
      </c>
      <c r="E116">
        <v>3200</v>
      </c>
      <c r="F116" t="b">
        <v>0</v>
      </c>
      <c r="G116" t="s">
        <v>1232</v>
      </c>
      <c r="H116" t="s">
        <v>1229</v>
      </c>
    </row>
    <row r="117" spans="1:8" ht="15">
      <c r="A117" s="79" t="s">
        <v>1034</v>
      </c>
      <c r="B117" s="79"/>
      <c r="C117" s="79"/>
      <c r="D117" s="79" t="s">
        <v>633</v>
      </c>
      <c r="E117">
        <v>3200</v>
      </c>
      <c r="F117" t="b">
        <v>0</v>
      </c>
      <c r="G117" t="s">
        <v>1232</v>
      </c>
      <c r="H117" t="s">
        <v>1229</v>
      </c>
    </row>
    <row r="118" spans="1:8" ht="15">
      <c r="A118" s="79" t="s">
        <v>273</v>
      </c>
      <c r="B118" s="79" t="s">
        <v>159</v>
      </c>
      <c r="C118" s="79" t="s">
        <v>159</v>
      </c>
      <c r="D118" s="79" t="s">
        <v>200</v>
      </c>
      <c r="E118">
        <v>3200</v>
      </c>
      <c r="F118" t="b">
        <v>0</v>
      </c>
      <c r="G118" t="s">
        <v>1232</v>
      </c>
      <c r="H118" t="s">
        <v>1229</v>
      </c>
    </row>
    <row r="119" spans="1:8" ht="15">
      <c r="A119" s="79" t="s">
        <v>274</v>
      </c>
      <c r="B119" s="79"/>
      <c r="C119" s="79"/>
      <c r="D119" s="79"/>
      <c r="E119">
        <v>3200</v>
      </c>
      <c r="F119" t="b">
        <v>0</v>
      </c>
      <c r="G119" t="s">
        <v>1232</v>
      </c>
      <c r="H119" t="s">
        <v>1229</v>
      </c>
    </row>
    <row r="120" spans="1:8" ht="15">
      <c r="A120" s="79" t="s">
        <v>275</v>
      </c>
      <c r="B120" s="79" t="s">
        <v>128</v>
      </c>
      <c r="C120" s="79" t="s">
        <v>128</v>
      </c>
      <c r="D120" s="79" t="s">
        <v>633</v>
      </c>
      <c r="E120">
        <v>3200</v>
      </c>
      <c r="F120" t="b">
        <v>0</v>
      </c>
      <c r="G120" t="s">
        <v>1232</v>
      </c>
      <c r="H120" t="s">
        <v>1229</v>
      </c>
    </row>
    <row r="121" spans="1:8" ht="15">
      <c r="A121" s="79" t="s">
        <v>276</v>
      </c>
      <c r="B121" s="79" t="s">
        <v>128</v>
      </c>
      <c r="C121" s="79" t="s">
        <v>128</v>
      </c>
      <c r="D121" s="79" t="s">
        <v>633</v>
      </c>
      <c r="E121">
        <v>3200</v>
      </c>
      <c r="F121" t="b">
        <v>0</v>
      </c>
      <c r="G121" t="s">
        <v>1232</v>
      </c>
      <c r="H121" t="s">
        <v>1229</v>
      </c>
    </row>
    <row r="122" spans="1:8" ht="15">
      <c r="A122" s="79" t="s">
        <v>277</v>
      </c>
      <c r="B122" s="79" t="s">
        <v>128</v>
      </c>
      <c r="C122" s="79" t="s">
        <v>128</v>
      </c>
      <c r="D122" s="79" t="s">
        <v>633</v>
      </c>
      <c r="E122">
        <v>3200</v>
      </c>
      <c r="F122" t="b">
        <v>0</v>
      </c>
      <c r="G122" t="s">
        <v>1232</v>
      </c>
      <c r="H122" t="s">
        <v>1229</v>
      </c>
    </row>
    <row r="123" spans="1:8" ht="15">
      <c r="A123" s="79" t="s">
        <v>278</v>
      </c>
      <c r="B123" s="79" t="s">
        <v>159</v>
      </c>
      <c r="C123" s="79" t="s">
        <v>159</v>
      </c>
      <c r="D123" s="79" t="s">
        <v>200</v>
      </c>
      <c r="E123">
        <v>3000</v>
      </c>
      <c r="F123" t="b">
        <v>0</v>
      </c>
      <c r="G123" t="s">
        <v>1232</v>
      </c>
      <c r="H123" t="s">
        <v>1229</v>
      </c>
    </row>
    <row r="124" spans="1:8" ht="15">
      <c r="A124" s="79" t="s">
        <v>279</v>
      </c>
      <c r="B124" s="79"/>
      <c r="C124" s="79"/>
      <c r="D124" s="79" t="s">
        <v>200</v>
      </c>
      <c r="E124">
        <v>3000</v>
      </c>
      <c r="F124" t="b">
        <v>0</v>
      </c>
      <c r="G124" t="s">
        <v>1232</v>
      </c>
      <c r="H124" t="s">
        <v>1229</v>
      </c>
    </row>
    <row r="125" spans="1:8" ht="15">
      <c r="A125" s="79" t="s">
        <v>280</v>
      </c>
      <c r="B125" s="79" t="s">
        <v>636</v>
      </c>
      <c r="C125" s="79" t="s">
        <v>128</v>
      </c>
      <c r="D125" s="79" t="s">
        <v>633</v>
      </c>
      <c r="E125">
        <v>3000</v>
      </c>
      <c r="F125" t="b">
        <v>0</v>
      </c>
      <c r="G125" t="s">
        <v>1232</v>
      </c>
      <c r="H125" t="s">
        <v>1229</v>
      </c>
    </row>
    <row r="126" spans="1:8" ht="15">
      <c r="A126" s="79" t="s">
        <v>281</v>
      </c>
      <c r="B126" s="79" t="s">
        <v>159</v>
      </c>
      <c r="C126" s="79" t="s">
        <v>159</v>
      </c>
      <c r="D126" s="79" t="s">
        <v>633</v>
      </c>
      <c r="E126">
        <v>3000</v>
      </c>
      <c r="F126" t="b">
        <v>0</v>
      </c>
      <c r="G126" t="s">
        <v>1232</v>
      </c>
      <c r="H126" t="s">
        <v>1229</v>
      </c>
    </row>
    <row r="127" spans="1:8" ht="15">
      <c r="A127" s="79" t="s">
        <v>282</v>
      </c>
      <c r="B127" s="79" t="s">
        <v>127</v>
      </c>
      <c r="C127" s="79" t="s">
        <v>127</v>
      </c>
      <c r="D127" s="79" t="s">
        <v>633</v>
      </c>
      <c r="E127">
        <v>3000</v>
      </c>
      <c r="F127" t="b">
        <v>0</v>
      </c>
      <c r="G127" t="s">
        <v>1232</v>
      </c>
      <c r="H127" t="s">
        <v>1229</v>
      </c>
    </row>
    <row r="128" spans="1:8" ht="15">
      <c r="A128" s="79" t="s">
        <v>641</v>
      </c>
      <c r="B128" s="79"/>
      <c r="C128" s="79"/>
      <c r="D128" s="79" t="s">
        <v>200</v>
      </c>
      <c r="E128">
        <v>3000</v>
      </c>
      <c r="F128" t="b">
        <v>0</v>
      </c>
      <c r="G128" t="s">
        <v>1232</v>
      </c>
      <c r="H128" t="s">
        <v>1229</v>
      </c>
    </row>
    <row r="129" spans="1:8" ht="15">
      <c r="A129" s="79" t="s">
        <v>283</v>
      </c>
      <c r="B129" s="79" t="s">
        <v>128</v>
      </c>
      <c r="C129" s="79" t="s">
        <v>128</v>
      </c>
      <c r="D129" s="79" t="s">
        <v>633</v>
      </c>
      <c r="E129">
        <v>3000</v>
      </c>
      <c r="F129" t="b">
        <v>0</v>
      </c>
      <c r="G129" t="s">
        <v>1232</v>
      </c>
      <c r="H129" t="s">
        <v>1229</v>
      </c>
    </row>
    <row r="130" spans="1:8" ht="15">
      <c r="A130" s="79" t="s">
        <v>642</v>
      </c>
      <c r="B130" s="79"/>
      <c r="C130" s="79"/>
      <c r="D130" s="79" t="s">
        <v>633</v>
      </c>
      <c r="E130">
        <v>3000</v>
      </c>
      <c r="F130" t="b">
        <v>0</v>
      </c>
      <c r="G130" t="s">
        <v>1232</v>
      </c>
      <c r="H130" t="s">
        <v>1229</v>
      </c>
    </row>
    <row r="131" spans="1:8" ht="15">
      <c r="A131" s="79" t="s">
        <v>284</v>
      </c>
      <c r="B131" s="79" t="s">
        <v>128</v>
      </c>
      <c r="C131" s="79" t="s">
        <v>128</v>
      </c>
      <c r="D131" s="79" t="s">
        <v>633</v>
      </c>
      <c r="E131">
        <v>3000</v>
      </c>
      <c r="F131" t="b">
        <v>0</v>
      </c>
      <c r="G131" t="s">
        <v>1232</v>
      </c>
      <c r="H131" t="s">
        <v>1229</v>
      </c>
    </row>
    <row r="132" spans="1:8" ht="15">
      <c r="A132" s="79" t="s">
        <v>285</v>
      </c>
      <c r="B132" s="79"/>
      <c r="C132" s="79"/>
      <c r="D132" s="79" t="s">
        <v>200</v>
      </c>
      <c r="E132">
        <v>3000</v>
      </c>
      <c r="F132" t="b">
        <v>0</v>
      </c>
      <c r="G132" t="s">
        <v>1232</v>
      </c>
      <c r="H132" t="s">
        <v>1229</v>
      </c>
    </row>
    <row r="133" spans="1:8" ht="15">
      <c r="A133" s="79" t="s">
        <v>286</v>
      </c>
      <c r="B133" s="79"/>
      <c r="C133" s="79"/>
      <c r="D133" s="79"/>
      <c r="E133">
        <v>3000</v>
      </c>
      <c r="F133" t="b">
        <v>0</v>
      </c>
      <c r="G133" t="s">
        <v>1232</v>
      </c>
      <c r="H133" t="s">
        <v>1229</v>
      </c>
    </row>
    <row r="134" spans="1:8" ht="15">
      <c r="A134" s="79" t="s">
        <v>287</v>
      </c>
      <c r="B134" s="79" t="s">
        <v>128</v>
      </c>
      <c r="C134" s="79" t="s">
        <v>128</v>
      </c>
      <c r="D134" s="79" t="s">
        <v>633</v>
      </c>
      <c r="E134">
        <v>3000</v>
      </c>
      <c r="F134" t="b">
        <v>0</v>
      </c>
      <c r="G134" t="s">
        <v>1232</v>
      </c>
      <c r="H134" t="s">
        <v>1229</v>
      </c>
    </row>
    <row r="135" spans="1:8" ht="15">
      <c r="A135" s="79" t="s">
        <v>643</v>
      </c>
      <c r="B135" s="79"/>
      <c r="C135" s="79"/>
      <c r="D135" s="79"/>
      <c r="E135">
        <v>3200</v>
      </c>
      <c r="F135" t="b">
        <v>0</v>
      </c>
      <c r="G135" t="s">
        <v>1232</v>
      </c>
      <c r="H135" t="s">
        <v>1229</v>
      </c>
    </row>
    <row r="136" spans="1:8" ht="15">
      <c r="A136" s="79" t="s">
        <v>644</v>
      </c>
      <c r="B136" s="79"/>
      <c r="C136" s="79"/>
      <c r="D136" s="79"/>
      <c r="E136">
        <v>3200</v>
      </c>
      <c r="F136" t="b">
        <v>0</v>
      </c>
      <c r="G136" t="s">
        <v>1232</v>
      </c>
      <c r="H136" t="s">
        <v>1229</v>
      </c>
    </row>
    <row r="137" spans="1:8" ht="15">
      <c r="A137" s="79" t="s">
        <v>645</v>
      </c>
      <c r="B137" s="79"/>
      <c r="C137" s="79"/>
      <c r="D137" s="79"/>
      <c r="E137">
        <v>3200</v>
      </c>
      <c r="F137" t="b">
        <v>0</v>
      </c>
      <c r="G137" t="s">
        <v>1232</v>
      </c>
      <c r="H137" t="s">
        <v>1229</v>
      </c>
    </row>
    <row r="138" spans="1:8" ht="15">
      <c r="A138" s="79" t="s">
        <v>646</v>
      </c>
      <c r="B138" s="79"/>
      <c r="C138" s="79"/>
      <c r="D138" s="79"/>
      <c r="E138">
        <v>3200</v>
      </c>
      <c r="F138" t="b">
        <v>0</v>
      </c>
      <c r="G138" t="s">
        <v>1232</v>
      </c>
      <c r="H138" t="s">
        <v>1229</v>
      </c>
    </row>
    <row r="139" spans="1:8" ht="15">
      <c r="A139" s="79" t="s">
        <v>647</v>
      </c>
      <c r="B139" s="79"/>
      <c r="C139" s="79"/>
      <c r="D139" s="79"/>
      <c r="E139">
        <v>3200</v>
      </c>
      <c r="F139" t="b">
        <v>0</v>
      </c>
      <c r="G139" t="s">
        <v>1232</v>
      </c>
      <c r="H139" t="s">
        <v>1229</v>
      </c>
    </row>
    <row r="140" spans="1:8" ht="15">
      <c r="A140" s="79" t="s">
        <v>648</v>
      </c>
      <c r="B140" s="79"/>
      <c r="C140" s="79"/>
      <c r="D140" s="79"/>
      <c r="E140">
        <v>3200</v>
      </c>
      <c r="F140" t="b">
        <v>0</v>
      </c>
      <c r="G140" t="s">
        <v>1232</v>
      </c>
      <c r="H140" t="s">
        <v>1229</v>
      </c>
    </row>
    <row r="141" spans="1:8" ht="15">
      <c r="A141" s="79" t="s">
        <v>649</v>
      </c>
      <c r="B141" s="79"/>
      <c r="C141" s="79"/>
      <c r="D141" s="79"/>
      <c r="E141">
        <v>3200</v>
      </c>
      <c r="F141" t="b">
        <v>0</v>
      </c>
      <c r="G141" t="s">
        <v>1232</v>
      </c>
      <c r="H141" t="s">
        <v>1229</v>
      </c>
    </row>
    <row r="142" spans="1:8" ht="15">
      <c r="A142" s="79" t="s">
        <v>650</v>
      </c>
      <c r="B142" s="79"/>
      <c r="C142" s="79"/>
      <c r="D142" s="79"/>
      <c r="E142">
        <v>3200</v>
      </c>
      <c r="F142" t="b">
        <v>0</v>
      </c>
      <c r="G142" t="s">
        <v>1232</v>
      </c>
      <c r="H142" t="s">
        <v>1229</v>
      </c>
    </row>
    <row r="143" spans="1:8" ht="15">
      <c r="A143" s="79" t="s">
        <v>651</v>
      </c>
      <c r="B143" s="79"/>
      <c r="C143" s="79"/>
      <c r="D143" s="79"/>
      <c r="E143">
        <v>3200</v>
      </c>
      <c r="F143" t="b">
        <v>0</v>
      </c>
      <c r="G143" t="s">
        <v>1232</v>
      </c>
      <c r="H143" t="s">
        <v>1229</v>
      </c>
    </row>
    <row r="144" spans="1:8" ht="15">
      <c r="A144" s="79" t="s">
        <v>288</v>
      </c>
      <c r="B144" s="79" t="s">
        <v>128</v>
      </c>
      <c r="C144" s="79" t="s">
        <v>128</v>
      </c>
      <c r="D144" s="79" t="s">
        <v>200</v>
      </c>
      <c r="E144">
        <v>2700</v>
      </c>
      <c r="F144" t="b">
        <v>0</v>
      </c>
      <c r="G144" t="s">
        <v>1232</v>
      </c>
      <c r="H144" t="s">
        <v>1229</v>
      </c>
    </row>
    <row r="145" spans="1:8" ht="15">
      <c r="A145" s="79" t="s">
        <v>289</v>
      </c>
      <c r="B145" s="79" t="s">
        <v>159</v>
      </c>
      <c r="C145" s="79" t="s">
        <v>159</v>
      </c>
      <c r="D145" s="79" t="s">
        <v>200</v>
      </c>
      <c r="E145">
        <v>2700</v>
      </c>
      <c r="F145" t="b">
        <v>0</v>
      </c>
      <c r="G145" t="s">
        <v>1232</v>
      </c>
      <c r="H145" t="s">
        <v>1229</v>
      </c>
    </row>
    <row r="146" spans="1:8" ht="15">
      <c r="A146" s="79" t="s">
        <v>290</v>
      </c>
      <c r="B146" s="79" t="s">
        <v>128</v>
      </c>
      <c r="C146" s="79" t="s">
        <v>128</v>
      </c>
      <c r="D146" s="79" t="s">
        <v>200</v>
      </c>
      <c r="E146">
        <v>2700</v>
      </c>
      <c r="F146" t="b">
        <v>0</v>
      </c>
      <c r="G146" t="s">
        <v>1232</v>
      </c>
      <c r="H146" t="s">
        <v>1229</v>
      </c>
    </row>
    <row r="147" spans="1:8" ht="15">
      <c r="A147" s="79" t="s">
        <v>291</v>
      </c>
      <c r="B147" s="79" t="s">
        <v>128</v>
      </c>
      <c r="C147" s="79" t="s">
        <v>128</v>
      </c>
      <c r="D147" s="79" t="s">
        <v>200</v>
      </c>
      <c r="E147">
        <v>2700</v>
      </c>
      <c r="F147" t="b">
        <v>0</v>
      </c>
      <c r="G147" t="s">
        <v>1232</v>
      </c>
      <c r="H147" t="s">
        <v>1229</v>
      </c>
    </row>
    <row r="148" spans="1:8" ht="15">
      <c r="A148" s="79" t="s">
        <v>292</v>
      </c>
      <c r="B148" s="79" t="s">
        <v>159</v>
      </c>
      <c r="C148" s="79" t="s">
        <v>159</v>
      </c>
      <c r="D148" s="79" t="s">
        <v>200</v>
      </c>
      <c r="E148">
        <v>2700</v>
      </c>
      <c r="F148" t="b">
        <v>0</v>
      </c>
      <c r="G148" t="s">
        <v>1232</v>
      </c>
      <c r="H148" t="s">
        <v>1229</v>
      </c>
    </row>
    <row r="149" spans="1:8" ht="15">
      <c r="A149" s="79" t="s">
        <v>293</v>
      </c>
      <c r="B149" s="79" t="s">
        <v>159</v>
      </c>
      <c r="C149" s="79" t="s">
        <v>159</v>
      </c>
      <c r="D149" s="79" t="s">
        <v>200</v>
      </c>
      <c r="E149">
        <v>2700</v>
      </c>
      <c r="F149" t="b">
        <v>0</v>
      </c>
      <c r="G149" t="s">
        <v>1232</v>
      </c>
      <c r="H149" t="s">
        <v>1229</v>
      </c>
    </row>
    <row r="150" spans="1:8" ht="15">
      <c r="A150" s="79" t="s">
        <v>294</v>
      </c>
      <c r="B150" s="79"/>
      <c r="C150" s="79"/>
      <c r="D150" s="79"/>
      <c r="F150" t="b">
        <v>0</v>
      </c>
      <c r="G150" t="s">
        <v>1232</v>
      </c>
      <c r="H150" t="s">
        <v>1229</v>
      </c>
    </row>
    <row r="151" spans="1:8" ht="15">
      <c r="A151" s="79" t="s">
        <v>295</v>
      </c>
      <c r="B151" s="79" t="s">
        <v>159</v>
      </c>
      <c r="C151" s="79" t="s">
        <v>159</v>
      </c>
      <c r="D151" s="79" t="s">
        <v>185</v>
      </c>
      <c r="E151">
        <v>2750</v>
      </c>
      <c r="F151" t="b">
        <v>0</v>
      </c>
      <c r="G151" t="s">
        <v>1234</v>
      </c>
      <c r="H151" t="s">
        <v>1229</v>
      </c>
    </row>
    <row r="152" spans="1:8" ht="15">
      <c r="A152" s="79" t="s">
        <v>296</v>
      </c>
      <c r="B152" s="79" t="s">
        <v>159</v>
      </c>
      <c r="C152" s="79" t="s">
        <v>159</v>
      </c>
      <c r="D152" s="79" t="s">
        <v>185</v>
      </c>
      <c r="E152">
        <v>2750</v>
      </c>
      <c r="F152" t="b">
        <v>0</v>
      </c>
      <c r="G152" t="s">
        <v>1234</v>
      </c>
      <c r="H152" t="s">
        <v>1229</v>
      </c>
    </row>
    <row r="153" spans="1:8" ht="15">
      <c r="A153" s="79" t="s">
        <v>297</v>
      </c>
      <c r="B153" s="79" t="s">
        <v>159</v>
      </c>
      <c r="C153" s="79" t="s">
        <v>159</v>
      </c>
      <c r="D153" s="79" t="s">
        <v>185</v>
      </c>
      <c r="E153">
        <v>2750</v>
      </c>
      <c r="F153" t="b">
        <v>0</v>
      </c>
      <c r="G153" t="s">
        <v>1234</v>
      </c>
      <c r="H153" t="s">
        <v>1229</v>
      </c>
    </row>
    <row r="154" spans="1:8" ht="15">
      <c r="A154" s="79" t="s">
        <v>298</v>
      </c>
      <c r="B154" s="79" t="s">
        <v>159</v>
      </c>
      <c r="C154" s="79" t="s">
        <v>159</v>
      </c>
      <c r="D154" s="79" t="s">
        <v>185</v>
      </c>
      <c r="E154">
        <v>2750</v>
      </c>
      <c r="F154" t="b">
        <v>0</v>
      </c>
      <c r="G154" t="s">
        <v>1234</v>
      </c>
      <c r="H154" t="s">
        <v>1229</v>
      </c>
    </row>
    <row r="155" spans="1:8" ht="15">
      <c r="A155" s="79" t="s">
        <v>299</v>
      </c>
      <c r="B155" s="79" t="s">
        <v>159</v>
      </c>
      <c r="C155" s="79" t="s">
        <v>159</v>
      </c>
      <c r="D155" s="79" t="s">
        <v>185</v>
      </c>
      <c r="E155">
        <v>2750</v>
      </c>
      <c r="F155" t="b">
        <v>0</v>
      </c>
      <c r="G155" t="s">
        <v>1234</v>
      </c>
      <c r="H155" t="s">
        <v>1229</v>
      </c>
    </row>
    <row r="156" spans="1:8" ht="15">
      <c r="A156" s="79" t="s">
        <v>300</v>
      </c>
      <c r="B156" s="79" t="s">
        <v>128</v>
      </c>
      <c r="C156" s="79" t="s">
        <v>128</v>
      </c>
      <c r="D156" s="79" t="s">
        <v>185</v>
      </c>
      <c r="E156">
        <v>2750</v>
      </c>
      <c r="F156" t="b">
        <v>0</v>
      </c>
      <c r="G156" t="s">
        <v>1234</v>
      </c>
      <c r="H156" t="s">
        <v>1229</v>
      </c>
    </row>
    <row r="157" spans="1:8" ht="15">
      <c r="A157" s="79" t="s">
        <v>301</v>
      </c>
      <c r="B157" s="79" t="s">
        <v>159</v>
      </c>
      <c r="C157" s="79" t="s">
        <v>159</v>
      </c>
      <c r="D157" s="79" t="s">
        <v>185</v>
      </c>
      <c r="E157">
        <v>2750</v>
      </c>
      <c r="F157" t="b">
        <v>0</v>
      </c>
      <c r="G157" t="s">
        <v>1234</v>
      </c>
      <c r="H157" t="s">
        <v>1229</v>
      </c>
    </row>
    <row r="158" spans="1:8" ht="15">
      <c r="A158" s="79" t="s">
        <v>302</v>
      </c>
      <c r="B158" s="79" t="s">
        <v>128</v>
      </c>
      <c r="C158" s="79" t="s">
        <v>128</v>
      </c>
      <c r="D158" s="79" t="s">
        <v>185</v>
      </c>
      <c r="E158">
        <v>2750</v>
      </c>
      <c r="F158" t="b">
        <v>0</v>
      </c>
      <c r="G158" t="s">
        <v>1234</v>
      </c>
      <c r="H158" t="s">
        <v>1229</v>
      </c>
    </row>
    <row r="159" spans="1:8" ht="15">
      <c r="A159" s="79" t="s">
        <v>303</v>
      </c>
      <c r="B159" s="79" t="s">
        <v>159</v>
      </c>
      <c r="C159" s="79" t="s">
        <v>159</v>
      </c>
      <c r="D159" s="79" t="s">
        <v>185</v>
      </c>
      <c r="E159">
        <v>2750</v>
      </c>
      <c r="F159" t="b">
        <v>0</v>
      </c>
      <c r="G159" t="s">
        <v>1234</v>
      </c>
      <c r="H159" t="s">
        <v>1229</v>
      </c>
    </row>
    <row r="160" spans="1:8" ht="15">
      <c r="A160" s="79" t="s">
        <v>652</v>
      </c>
      <c r="B160" s="79" t="s">
        <v>127</v>
      </c>
      <c r="C160" s="79" t="s">
        <v>127</v>
      </c>
      <c r="D160" s="79" t="s">
        <v>185</v>
      </c>
      <c r="E160">
        <v>2750</v>
      </c>
      <c r="F160" t="b">
        <v>0</v>
      </c>
      <c r="G160" t="s">
        <v>1234</v>
      </c>
      <c r="H160" t="s">
        <v>1229</v>
      </c>
    </row>
    <row r="161" spans="1:8" ht="15">
      <c r="A161" s="79" t="s">
        <v>872</v>
      </c>
      <c r="B161" s="79" t="s">
        <v>127</v>
      </c>
      <c r="C161" s="79" t="s">
        <v>127</v>
      </c>
      <c r="D161" s="79" t="s">
        <v>200</v>
      </c>
      <c r="E161" t="s">
        <v>1025</v>
      </c>
      <c r="F161" t="b">
        <v>0</v>
      </c>
      <c r="G161" t="s">
        <v>1235</v>
      </c>
      <c r="H161" t="s">
        <v>1229</v>
      </c>
    </row>
    <row r="162" spans="1:8" ht="15">
      <c r="A162" s="79" t="s">
        <v>304</v>
      </c>
      <c r="B162" s="79" t="s">
        <v>127</v>
      </c>
      <c r="C162" s="79" t="s">
        <v>127</v>
      </c>
      <c r="D162" s="79" t="s">
        <v>200</v>
      </c>
      <c r="E162" t="s">
        <v>1025</v>
      </c>
      <c r="F162" t="b">
        <v>0</v>
      </c>
      <c r="G162" t="s">
        <v>1235</v>
      </c>
      <c r="H162" t="s">
        <v>1229</v>
      </c>
    </row>
    <row r="163" spans="1:8" ht="15">
      <c r="A163" s="79" t="s">
        <v>305</v>
      </c>
      <c r="B163" s="79" t="s">
        <v>128</v>
      </c>
      <c r="C163" s="79" t="s">
        <v>128</v>
      </c>
      <c r="D163" s="79" t="s">
        <v>633</v>
      </c>
      <c r="E163" t="s">
        <v>1025</v>
      </c>
      <c r="F163" t="b">
        <v>0</v>
      </c>
      <c r="G163" t="s">
        <v>1235</v>
      </c>
      <c r="H163" t="s">
        <v>1229</v>
      </c>
    </row>
    <row r="164" spans="1:8" ht="15">
      <c r="A164" s="79" t="s">
        <v>306</v>
      </c>
      <c r="B164" s="79" t="s">
        <v>127</v>
      </c>
      <c r="C164" s="79" t="s">
        <v>127</v>
      </c>
      <c r="D164" s="79" t="s">
        <v>200</v>
      </c>
      <c r="E164" t="s">
        <v>1025</v>
      </c>
      <c r="F164" t="b">
        <v>0</v>
      </c>
      <c r="G164" t="s">
        <v>1235</v>
      </c>
      <c r="H164" t="s">
        <v>1229</v>
      </c>
    </row>
    <row r="165" spans="1:8" ht="15">
      <c r="A165" s="79" t="s">
        <v>307</v>
      </c>
      <c r="B165" s="79" t="s">
        <v>127</v>
      </c>
      <c r="C165" s="79" t="s">
        <v>127</v>
      </c>
      <c r="D165" s="79" t="s">
        <v>200</v>
      </c>
      <c r="E165" t="s">
        <v>1025</v>
      </c>
      <c r="F165" t="b">
        <v>0</v>
      </c>
      <c r="G165" t="s">
        <v>1235</v>
      </c>
      <c r="H165" t="s">
        <v>1229</v>
      </c>
    </row>
    <row r="166" spans="1:8" ht="15">
      <c r="A166" s="79" t="s">
        <v>308</v>
      </c>
      <c r="B166" s="79" t="s">
        <v>159</v>
      </c>
      <c r="C166" s="79" t="s">
        <v>159</v>
      </c>
      <c r="D166" s="79" t="s">
        <v>200</v>
      </c>
      <c r="E166" t="s">
        <v>1025</v>
      </c>
      <c r="F166" t="b">
        <v>0</v>
      </c>
      <c r="G166" t="s">
        <v>1235</v>
      </c>
      <c r="H166" t="s">
        <v>1229</v>
      </c>
    </row>
    <row r="167" spans="1:8" ht="15">
      <c r="A167" s="79" t="s">
        <v>309</v>
      </c>
      <c r="B167" s="79" t="s">
        <v>127</v>
      </c>
      <c r="C167" s="79" t="s">
        <v>127</v>
      </c>
      <c r="D167" s="79" t="s">
        <v>633</v>
      </c>
      <c r="E167" t="s">
        <v>1025</v>
      </c>
      <c r="F167" t="b">
        <v>0</v>
      </c>
      <c r="G167" t="s">
        <v>1235</v>
      </c>
      <c r="H167" t="s">
        <v>1229</v>
      </c>
    </row>
    <row r="168" spans="1:8" ht="15">
      <c r="A168" s="79" t="s">
        <v>310</v>
      </c>
      <c r="B168" s="79" t="s">
        <v>128</v>
      </c>
      <c r="C168" s="79" t="s">
        <v>128</v>
      </c>
      <c r="D168" s="79" t="s">
        <v>200</v>
      </c>
      <c r="E168" t="s">
        <v>1025</v>
      </c>
      <c r="F168" t="b">
        <v>0</v>
      </c>
      <c r="G168" t="s">
        <v>1235</v>
      </c>
      <c r="H168" t="s">
        <v>1229</v>
      </c>
    </row>
    <row r="169" spans="1:8" ht="15">
      <c r="A169" s="79" t="s">
        <v>311</v>
      </c>
      <c r="B169" s="79" t="s">
        <v>159</v>
      </c>
      <c r="C169" s="79" t="s">
        <v>159</v>
      </c>
      <c r="D169" s="79" t="s">
        <v>633</v>
      </c>
      <c r="E169" t="s">
        <v>1025</v>
      </c>
      <c r="F169" t="b">
        <v>0</v>
      </c>
      <c r="G169" t="s">
        <v>1235</v>
      </c>
      <c r="H169" t="s">
        <v>1229</v>
      </c>
    </row>
    <row r="170" spans="1:8" ht="15">
      <c r="A170" s="79" t="s">
        <v>312</v>
      </c>
      <c r="B170" s="79" t="s">
        <v>159</v>
      </c>
      <c r="C170" s="79" t="s">
        <v>159</v>
      </c>
      <c r="D170" s="79" t="s">
        <v>200</v>
      </c>
      <c r="E170" t="s">
        <v>1025</v>
      </c>
      <c r="F170" t="b">
        <v>0</v>
      </c>
      <c r="G170" t="s">
        <v>1235</v>
      </c>
      <c r="H170" t="s">
        <v>1229</v>
      </c>
    </row>
    <row r="171" spans="1:8" ht="15">
      <c r="A171" s="79" t="s">
        <v>313</v>
      </c>
      <c r="B171" s="79" t="s">
        <v>159</v>
      </c>
      <c r="C171" s="79" t="s">
        <v>159</v>
      </c>
      <c r="D171" s="79" t="s">
        <v>633</v>
      </c>
      <c r="E171" t="s">
        <v>1025</v>
      </c>
      <c r="F171" t="b">
        <v>0</v>
      </c>
      <c r="G171" t="s">
        <v>1235</v>
      </c>
      <c r="H171" t="s">
        <v>1229</v>
      </c>
    </row>
    <row r="172" spans="1:8" ht="15">
      <c r="A172" s="79" t="s">
        <v>314</v>
      </c>
      <c r="B172" s="79" t="s">
        <v>128</v>
      </c>
      <c r="C172" s="79" t="s">
        <v>128</v>
      </c>
      <c r="D172" s="79" t="s">
        <v>200</v>
      </c>
      <c r="E172" t="s">
        <v>1025</v>
      </c>
      <c r="F172" t="b">
        <v>0</v>
      </c>
      <c r="G172" t="s">
        <v>1235</v>
      </c>
      <c r="H172" t="s">
        <v>1229</v>
      </c>
    </row>
    <row r="173" spans="1:8" ht="15">
      <c r="A173" s="79" t="s">
        <v>873</v>
      </c>
      <c r="B173" s="79" t="s">
        <v>128</v>
      </c>
      <c r="C173" s="79" t="s">
        <v>128</v>
      </c>
      <c r="D173" s="79" t="s">
        <v>633</v>
      </c>
      <c r="E173" t="s">
        <v>1025</v>
      </c>
      <c r="F173" t="b">
        <v>0</v>
      </c>
      <c r="G173" t="s">
        <v>1235</v>
      </c>
      <c r="H173" t="s">
        <v>1229</v>
      </c>
    </row>
    <row r="174" spans="1:8" ht="15">
      <c r="A174" s="79" t="s">
        <v>315</v>
      </c>
      <c r="B174" s="79" t="s">
        <v>159</v>
      </c>
      <c r="C174" s="79" t="s">
        <v>159</v>
      </c>
      <c r="D174" s="79" t="s">
        <v>633</v>
      </c>
      <c r="E174" t="s">
        <v>1025</v>
      </c>
      <c r="F174" t="b">
        <v>0</v>
      </c>
      <c r="G174" t="s">
        <v>1235</v>
      </c>
      <c r="H174" t="s">
        <v>1229</v>
      </c>
    </row>
    <row r="175" spans="1:8" ht="15">
      <c r="A175" s="79" t="s">
        <v>316</v>
      </c>
      <c r="B175" s="79" t="s">
        <v>128</v>
      </c>
      <c r="C175" s="79"/>
      <c r="D175" s="79" t="s">
        <v>633</v>
      </c>
      <c r="E175" t="s">
        <v>1025</v>
      </c>
      <c r="F175" t="b">
        <v>0</v>
      </c>
      <c r="G175" t="s">
        <v>1235</v>
      </c>
      <c r="H175" t="s">
        <v>1229</v>
      </c>
    </row>
    <row r="176" spans="1:8" ht="15">
      <c r="A176" s="79" t="s">
        <v>317</v>
      </c>
      <c r="B176" s="79" t="s">
        <v>127</v>
      </c>
      <c r="C176" s="79" t="s">
        <v>127</v>
      </c>
      <c r="D176" s="79" t="s">
        <v>633</v>
      </c>
      <c r="E176" t="s">
        <v>1025</v>
      </c>
      <c r="F176" t="b">
        <v>0</v>
      </c>
      <c r="G176" t="s">
        <v>1235</v>
      </c>
      <c r="H176" t="s">
        <v>1229</v>
      </c>
    </row>
    <row r="177" spans="1:8" ht="15">
      <c r="A177" s="79" t="s">
        <v>318</v>
      </c>
      <c r="B177" s="79" t="s">
        <v>127</v>
      </c>
      <c r="C177" s="79" t="s">
        <v>127</v>
      </c>
      <c r="D177" s="79" t="s">
        <v>633</v>
      </c>
      <c r="E177" t="s">
        <v>1025</v>
      </c>
      <c r="F177" t="b">
        <v>0</v>
      </c>
      <c r="G177" t="s">
        <v>1235</v>
      </c>
      <c r="H177" t="s">
        <v>1229</v>
      </c>
    </row>
    <row r="178" spans="1:8" ht="15">
      <c r="A178" s="79" t="s">
        <v>319</v>
      </c>
      <c r="B178" s="79" t="s">
        <v>128</v>
      </c>
      <c r="C178" s="79" t="s">
        <v>128</v>
      </c>
      <c r="D178" s="79" t="s">
        <v>633</v>
      </c>
      <c r="E178" t="s">
        <v>1025</v>
      </c>
      <c r="F178" t="b">
        <v>0</v>
      </c>
      <c r="G178" t="s">
        <v>1235</v>
      </c>
      <c r="H178" t="s">
        <v>1229</v>
      </c>
    </row>
    <row r="179" spans="1:8" ht="15">
      <c r="A179" s="79" t="s">
        <v>320</v>
      </c>
      <c r="B179" s="79" t="s">
        <v>127</v>
      </c>
      <c r="C179" s="79" t="s">
        <v>127</v>
      </c>
      <c r="D179" s="79" t="s">
        <v>200</v>
      </c>
      <c r="E179" t="s">
        <v>1025</v>
      </c>
      <c r="F179" t="b">
        <v>0</v>
      </c>
      <c r="G179" t="s">
        <v>1235</v>
      </c>
      <c r="H179" t="s">
        <v>1229</v>
      </c>
    </row>
    <row r="180" spans="1:8" ht="15">
      <c r="A180" s="79" t="s">
        <v>321</v>
      </c>
      <c r="B180" s="79" t="s">
        <v>127</v>
      </c>
      <c r="C180" s="79" t="s">
        <v>127</v>
      </c>
      <c r="D180" s="79" t="s">
        <v>633</v>
      </c>
      <c r="E180" t="s">
        <v>1025</v>
      </c>
      <c r="F180" t="b">
        <v>0</v>
      </c>
      <c r="G180" t="s">
        <v>1235</v>
      </c>
      <c r="H180" t="s">
        <v>1229</v>
      </c>
    </row>
    <row r="181" spans="1:8" ht="15">
      <c r="A181" s="79" t="s">
        <v>322</v>
      </c>
      <c r="B181" s="79" t="s">
        <v>1074</v>
      </c>
      <c r="C181" s="79" t="s">
        <v>128</v>
      </c>
      <c r="D181" s="79" t="s">
        <v>633</v>
      </c>
      <c r="E181" t="s">
        <v>1025</v>
      </c>
      <c r="F181" t="b">
        <v>0</v>
      </c>
      <c r="G181" t="s">
        <v>1235</v>
      </c>
      <c r="H181" t="s">
        <v>1229</v>
      </c>
    </row>
    <row r="182" spans="1:8" ht="15">
      <c r="A182" s="79" t="s">
        <v>323</v>
      </c>
      <c r="B182" s="79" t="s">
        <v>159</v>
      </c>
      <c r="C182" s="79" t="s">
        <v>159</v>
      </c>
      <c r="D182" s="79" t="s">
        <v>633</v>
      </c>
      <c r="E182" t="s">
        <v>1025</v>
      </c>
      <c r="F182" t="b">
        <v>0</v>
      </c>
      <c r="G182" t="s">
        <v>1235</v>
      </c>
      <c r="H182" t="s">
        <v>1229</v>
      </c>
    </row>
    <row r="183" spans="1:8" ht="15">
      <c r="A183" s="79" t="s">
        <v>324</v>
      </c>
      <c r="B183" s="79" t="s">
        <v>159</v>
      </c>
      <c r="C183" s="79" t="s">
        <v>159</v>
      </c>
      <c r="D183" s="79" t="s">
        <v>633</v>
      </c>
      <c r="E183" t="s">
        <v>1025</v>
      </c>
      <c r="F183" t="b">
        <v>0</v>
      </c>
      <c r="G183" t="s">
        <v>1235</v>
      </c>
      <c r="H183" t="s">
        <v>1229</v>
      </c>
    </row>
    <row r="184" spans="1:8" ht="15">
      <c r="A184" s="79" t="s">
        <v>325</v>
      </c>
      <c r="B184" s="79" t="s">
        <v>159</v>
      </c>
      <c r="C184" s="79" t="s">
        <v>159</v>
      </c>
      <c r="D184" s="79" t="s">
        <v>633</v>
      </c>
      <c r="E184" t="s">
        <v>1025</v>
      </c>
      <c r="F184" t="b">
        <v>0</v>
      </c>
      <c r="G184" t="s">
        <v>1235</v>
      </c>
      <c r="H184" t="s">
        <v>1229</v>
      </c>
    </row>
    <row r="185" spans="1:8" ht="15">
      <c r="A185" s="79" t="s">
        <v>326</v>
      </c>
      <c r="B185" s="79" t="s">
        <v>159</v>
      </c>
      <c r="C185" s="79" t="s">
        <v>159</v>
      </c>
      <c r="D185" s="79" t="s">
        <v>200</v>
      </c>
      <c r="E185" t="s">
        <v>1025</v>
      </c>
      <c r="F185" t="b">
        <v>0</v>
      </c>
      <c r="G185" t="s">
        <v>1235</v>
      </c>
      <c r="H185" t="s">
        <v>1229</v>
      </c>
    </row>
    <row r="186" spans="1:8" ht="15">
      <c r="A186" s="79" t="s">
        <v>874</v>
      </c>
      <c r="B186" s="79" t="s">
        <v>159</v>
      </c>
      <c r="C186" s="79" t="s">
        <v>159</v>
      </c>
      <c r="D186" s="79" t="s">
        <v>633</v>
      </c>
      <c r="E186" t="s">
        <v>1025</v>
      </c>
      <c r="F186" t="b">
        <v>0</v>
      </c>
      <c r="G186" t="s">
        <v>1235</v>
      </c>
      <c r="H186" t="s">
        <v>1229</v>
      </c>
    </row>
    <row r="187" spans="1:8" ht="15">
      <c r="A187" s="79" t="s">
        <v>327</v>
      </c>
      <c r="B187" s="79" t="s">
        <v>128</v>
      </c>
      <c r="C187" s="79" t="s">
        <v>128</v>
      </c>
      <c r="D187" s="79" t="s">
        <v>633</v>
      </c>
      <c r="E187" t="s">
        <v>1025</v>
      </c>
      <c r="F187" t="b">
        <v>0</v>
      </c>
      <c r="G187" t="s">
        <v>1235</v>
      </c>
      <c r="H187" t="s">
        <v>1229</v>
      </c>
    </row>
    <row r="188" spans="1:8" ht="15">
      <c r="A188" s="79" t="s">
        <v>653</v>
      </c>
      <c r="B188" s="79"/>
      <c r="C188" s="79"/>
      <c r="D188" s="79" t="s">
        <v>633</v>
      </c>
      <c r="F188" t="b">
        <v>0</v>
      </c>
      <c r="G188" t="s">
        <v>1235</v>
      </c>
      <c r="H188" t="s">
        <v>1229</v>
      </c>
    </row>
    <row r="189" spans="1:8" ht="15">
      <c r="A189" s="79" t="s">
        <v>328</v>
      </c>
      <c r="B189" s="79" t="s">
        <v>127</v>
      </c>
      <c r="C189" s="79" t="s">
        <v>127</v>
      </c>
      <c r="D189" s="79" t="s">
        <v>200</v>
      </c>
      <c r="E189">
        <v>3200</v>
      </c>
      <c r="F189" t="b">
        <v>0</v>
      </c>
      <c r="G189" t="s">
        <v>1234</v>
      </c>
      <c r="H189" t="s">
        <v>1229</v>
      </c>
    </row>
    <row r="190" spans="1:8" ht="15">
      <c r="A190" s="79" t="s">
        <v>329</v>
      </c>
      <c r="B190" s="79" t="s">
        <v>128</v>
      </c>
      <c r="C190" s="79" t="s">
        <v>128</v>
      </c>
      <c r="D190" s="79" t="s">
        <v>200</v>
      </c>
      <c r="E190">
        <v>3200</v>
      </c>
      <c r="F190" t="b">
        <v>0</v>
      </c>
      <c r="G190" t="s">
        <v>1234</v>
      </c>
      <c r="H190" t="s">
        <v>1229</v>
      </c>
    </row>
    <row r="191" spans="1:8" ht="15">
      <c r="A191" s="79" t="s">
        <v>330</v>
      </c>
      <c r="B191" s="79" t="s">
        <v>128</v>
      </c>
      <c r="C191" s="79" t="s">
        <v>128</v>
      </c>
      <c r="D191" s="79" t="s">
        <v>200</v>
      </c>
      <c r="E191">
        <v>3200</v>
      </c>
      <c r="F191" t="b">
        <v>0</v>
      </c>
      <c r="G191" t="s">
        <v>1234</v>
      </c>
      <c r="H191" t="s">
        <v>1229</v>
      </c>
    </row>
    <row r="192" spans="1:8" ht="15">
      <c r="A192" s="79" t="s">
        <v>331</v>
      </c>
      <c r="B192" s="79" t="s">
        <v>128</v>
      </c>
      <c r="C192" s="79" t="s">
        <v>128</v>
      </c>
      <c r="D192" s="79" t="s">
        <v>200</v>
      </c>
      <c r="E192">
        <v>3200</v>
      </c>
      <c r="F192" t="b">
        <v>0</v>
      </c>
      <c r="G192" t="s">
        <v>1234</v>
      </c>
      <c r="H192" t="s">
        <v>1229</v>
      </c>
    </row>
    <row r="193" spans="1:8" ht="15">
      <c r="A193" s="79" t="s">
        <v>332</v>
      </c>
      <c r="B193" s="79" t="s">
        <v>159</v>
      </c>
      <c r="C193" s="79" t="s">
        <v>159</v>
      </c>
      <c r="D193" s="79" t="s">
        <v>200</v>
      </c>
      <c r="E193">
        <v>3200</v>
      </c>
      <c r="F193" t="b">
        <v>0</v>
      </c>
      <c r="G193" t="s">
        <v>1234</v>
      </c>
      <c r="H193" t="s">
        <v>1229</v>
      </c>
    </row>
    <row r="194" spans="1:8" ht="15">
      <c r="A194" s="79" t="s">
        <v>333</v>
      </c>
      <c r="B194" s="79" t="s">
        <v>159</v>
      </c>
      <c r="C194" s="79" t="s">
        <v>159</v>
      </c>
      <c r="D194" s="79" t="s">
        <v>200</v>
      </c>
      <c r="E194">
        <v>3200</v>
      </c>
      <c r="F194" t="b">
        <v>0</v>
      </c>
      <c r="G194" t="s">
        <v>1234</v>
      </c>
      <c r="H194" t="s">
        <v>1229</v>
      </c>
    </row>
    <row r="195" spans="1:8" ht="15">
      <c r="A195" s="79" t="s">
        <v>334</v>
      </c>
      <c r="B195" s="79" t="s">
        <v>127</v>
      </c>
      <c r="C195" s="79" t="s">
        <v>127</v>
      </c>
      <c r="D195" s="79" t="s">
        <v>200</v>
      </c>
      <c r="E195">
        <v>3200</v>
      </c>
      <c r="F195" t="b">
        <v>0</v>
      </c>
      <c r="G195" t="s">
        <v>1234</v>
      </c>
      <c r="H195" t="s">
        <v>1229</v>
      </c>
    </row>
    <row r="196" spans="1:8" ht="15">
      <c r="A196" s="79" t="s">
        <v>335</v>
      </c>
      <c r="B196" s="79" t="s">
        <v>127</v>
      </c>
      <c r="C196" s="79" t="s">
        <v>127</v>
      </c>
      <c r="D196" s="79" t="s">
        <v>200</v>
      </c>
      <c r="E196">
        <v>3200</v>
      </c>
      <c r="F196" t="b">
        <v>0</v>
      </c>
      <c r="G196" t="s">
        <v>1234</v>
      </c>
      <c r="H196" t="s">
        <v>1229</v>
      </c>
    </row>
    <row r="197" spans="1:8" ht="15">
      <c r="A197" s="79" t="s">
        <v>336</v>
      </c>
      <c r="B197" s="79" t="s">
        <v>127</v>
      </c>
      <c r="C197" s="79" t="s">
        <v>127</v>
      </c>
      <c r="D197" s="79" t="s">
        <v>200</v>
      </c>
      <c r="E197">
        <v>3200</v>
      </c>
      <c r="F197" t="b">
        <v>0</v>
      </c>
      <c r="G197" t="s">
        <v>1234</v>
      </c>
      <c r="H197" t="s">
        <v>1229</v>
      </c>
    </row>
    <row r="198" spans="1:8" ht="15">
      <c r="A198" s="79" t="s">
        <v>1045</v>
      </c>
      <c r="B198" s="79"/>
      <c r="C198" s="79"/>
      <c r="D198" s="79" t="s">
        <v>633</v>
      </c>
      <c r="E198">
        <v>3200</v>
      </c>
      <c r="F198" t="b">
        <v>0</v>
      </c>
      <c r="G198" t="s">
        <v>1234</v>
      </c>
      <c r="H198" t="s">
        <v>1229</v>
      </c>
    </row>
    <row r="199" spans="1:8" ht="15">
      <c r="A199" s="79" t="s">
        <v>337</v>
      </c>
      <c r="B199" s="79" t="s">
        <v>159</v>
      </c>
      <c r="C199" s="79" t="s">
        <v>159</v>
      </c>
      <c r="D199" s="79" t="s">
        <v>200</v>
      </c>
      <c r="E199">
        <v>3200</v>
      </c>
      <c r="F199" t="b">
        <v>0</v>
      </c>
      <c r="G199" t="s">
        <v>1234</v>
      </c>
      <c r="H199" t="s">
        <v>1229</v>
      </c>
    </row>
    <row r="200" spans="1:8" ht="15">
      <c r="A200" s="79" t="s">
        <v>338</v>
      </c>
      <c r="B200" s="79"/>
      <c r="C200" s="79"/>
      <c r="D200" s="79" t="s">
        <v>200</v>
      </c>
      <c r="F200" t="b">
        <v>0</v>
      </c>
      <c r="G200" t="s">
        <v>1234</v>
      </c>
      <c r="H200" t="s">
        <v>1229</v>
      </c>
    </row>
    <row r="201" spans="1:8" ht="15">
      <c r="A201" s="79" t="s">
        <v>654</v>
      </c>
      <c r="B201" s="79"/>
      <c r="C201" s="79"/>
      <c r="D201" s="79" t="s">
        <v>185</v>
      </c>
      <c r="E201">
        <v>3200</v>
      </c>
      <c r="F201" t="b">
        <v>0</v>
      </c>
      <c r="G201" t="s">
        <v>1234</v>
      </c>
      <c r="H201" t="s">
        <v>1229</v>
      </c>
    </row>
    <row r="202" spans="1:8" ht="15">
      <c r="A202" s="79" t="s">
        <v>655</v>
      </c>
      <c r="B202" s="79" t="s">
        <v>1075</v>
      </c>
      <c r="C202" s="79"/>
      <c r="D202" s="79" t="s">
        <v>185</v>
      </c>
      <c r="E202">
        <v>3200</v>
      </c>
      <c r="F202" t="b">
        <v>0</v>
      </c>
      <c r="G202" t="s">
        <v>1234</v>
      </c>
      <c r="H202" t="s">
        <v>1229</v>
      </c>
    </row>
    <row r="203" spans="1:8" ht="15">
      <c r="A203" s="79" t="s">
        <v>656</v>
      </c>
      <c r="B203" s="79" t="s">
        <v>159</v>
      </c>
      <c r="C203" s="79"/>
      <c r="D203" s="79" t="s">
        <v>185</v>
      </c>
      <c r="E203">
        <v>3200</v>
      </c>
      <c r="F203" t="b">
        <v>0</v>
      </c>
      <c r="G203" t="s">
        <v>1234</v>
      </c>
      <c r="H203" t="s">
        <v>1229</v>
      </c>
    </row>
    <row r="204" spans="1:8" ht="15">
      <c r="A204" s="79" t="s">
        <v>657</v>
      </c>
      <c r="B204" s="79" t="s">
        <v>159</v>
      </c>
      <c r="C204" s="79"/>
      <c r="D204" s="79" t="s">
        <v>185</v>
      </c>
      <c r="E204">
        <v>3200</v>
      </c>
      <c r="F204" t="b">
        <v>0</v>
      </c>
      <c r="G204" t="s">
        <v>1234</v>
      </c>
      <c r="H204" t="s">
        <v>1229</v>
      </c>
    </row>
    <row r="205" spans="1:8" ht="15">
      <c r="A205" s="79" t="s">
        <v>658</v>
      </c>
      <c r="B205" s="79" t="s">
        <v>159</v>
      </c>
      <c r="C205" s="79"/>
      <c r="D205" s="79" t="s">
        <v>185</v>
      </c>
      <c r="E205">
        <v>3200</v>
      </c>
      <c r="F205" t="b">
        <v>0</v>
      </c>
      <c r="G205" t="s">
        <v>1234</v>
      </c>
      <c r="H205" t="s">
        <v>1229</v>
      </c>
    </row>
    <row r="206" spans="1:8" ht="15">
      <c r="A206" s="79" t="s">
        <v>659</v>
      </c>
      <c r="B206" s="79"/>
      <c r="C206" s="79"/>
      <c r="D206" s="79" t="s">
        <v>185</v>
      </c>
      <c r="E206">
        <v>3200</v>
      </c>
      <c r="F206" t="b">
        <v>0</v>
      </c>
      <c r="G206" t="s">
        <v>1234</v>
      </c>
      <c r="H206" t="s">
        <v>1229</v>
      </c>
    </row>
    <row r="207" spans="1:8" ht="15">
      <c r="A207" s="79" t="s">
        <v>660</v>
      </c>
      <c r="B207" s="79"/>
      <c r="C207" s="79"/>
      <c r="D207" s="79" t="s">
        <v>185</v>
      </c>
      <c r="E207">
        <v>3200</v>
      </c>
      <c r="F207" t="b">
        <v>0</v>
      </c>
      <c r="G207" t="s">
        <v>1234</v>
      </c>
      <c r="H207" t="s">
        <v>1229</v>
      </c>
    </row>
    <row r="208" spans="1:8" ht="15">
      <c r="A208" s="79" t="s">
        <v>339</v>
      </c>
      <c r="B208" s="79" t="s">
        <v>159</v>
      </c>
      <c r="C208" s="79" t="s">
        <v>159</v>
      </c>
      <c r="D208" s="79"/>
      <c r="F208" t="b">
        <v>0</v>
      </c>
      <c r="G208" t="s">
        <v>1236</v>
      </c>
      <c r="H208" t="s">
        <v>1229</v>
      </c>
    </row>
    <row r="209" spans="1:8" ht="15">
      <c r="A209" s="79" t="s">
        <v>340</v>
      </c>
      <c r="B209" s="79" t="s">
        <v>127</v>
      </c>
      <c r="C209" s="79" t="s">
        <v>127</v>
      </c>
      <c r="D209" s="79"/>
      <c r="F209" t="b">
        <v>0</v>
      </c>
      <c r="G209" t="s">
        <v>1236</v>
      </c>
      <c r="H209" t="s">
        <v>1229</v>
      </c>
    </row>
    <row r="210" spans="1:8" ht="15">
      <c r="A210" s="79" t="s">
        <v>341</v>
      </c>
      <c r="B210" s="79" t="s">
        <v>127</v>
      </c>
      <c r="C210" s="79" t="s">
        <v>127</v>
      </c>
      <c r="D210" s="79"/>
      <c r="F210" t="b">
        <v>0</v>
      </c>
      <c r="G210" t="s">
        <v>1236</v>
      </c>
      <c r="H210" t="s">
        <v>1229</v>
      </c>
    </row>
    <row r="211" spans="1:8" ht="15">
      <c r="A211" s="79" t="s">
        <v>342</v>
      </c>
      <c r="B211" s="79" t="s">
        <v>159</v>
      </c>
      <c r="C211" s="79" t="s">
        <v>159</v>
      </c>
      <c r="D211" s="79"/>
      <c r="F211" t="b">
        <v>0</v>
      </c>
      <c r="G211" t="s">
        <v>1236</v>
      </c>
      <c r="H211" t="s">
        <v>1229</v>
      </c>
    </row>
    <row r="212" spans="1:8" ht="15">
      <c r="A212" s="79" t="s">
        <v>343</v>
      </c>
      <c r="B212" s="79" t="s">
        <v>127</v>
      </c>
      <c r="C212" s="79" t="s">
        <v>127</v>
      </c>
      <c r="D212" s="79"/>
      <c r="F212" t="b">
        <v>0</v>
      </c>
      <c r="G212" t="s">
        <v>1236</v>
      </c>
      <c r="H212" t="s">
        <v>1229</v>
      </c>
    </row>
    <row r="213" spans="1:8" ht="15">
      <c r="A213" s="79" t="s">
        <v>344</v>
      </c>
      <c r="B213" s="79" t="s">
        <v>127</v>
      </c>
      <c r="C213" s="79" t="s">
        <v>127</v>
      </c>
      <c r="D213" s="79"/>
      <c r="F213" t="b">
        <v>0</v>
      </c>
      <c r="G213" t="s">
        <v>1236</v>
      </c>
      <c r="H213" t="s">
        <v>1229</v>
      </c>
    </row>
    <row r="214" spans="1:8" ht="15">
      <c r="A214" s="79" t="s">
        <v>345</v>
      </c>
      <c r="B214" s="79" t="s">
        <v>159</v>
      </c>
      <c r="C214" s="79" t="s">
        <v>159</v>
      </c>
      <c r="D214" s="79"/>
      <c r="F214" t="b">
        <v>0</v>
      </c>
      <c r="G214" t="s">
        <v>1236</v>
      </c>
      <c r="H214" t="s">
        <v>1229</v>
      </c>
    </row>
    <row r="215" spans="1:8" ht="15">
      <c r="A215" s="79" t="s">
        <v>346</v>
      </c>
      <c r="B215" s="79" t="s">
        <v>159</v>
      </c>
      <c r="C215" s="79" t="s">
        <v>159</v>
      </c>
      <c r="D215" s="79"/>
      <c r="F215" t="b">
        <v>0</v>
      </c>
      <c r="G215" t="s">
        <v>1236</v>
      </c>
      <c r="H215" t="s">
        <v>1229</v>
      </c>
    </row>
    <row r="216" spans="1:8" ht="15">
      <c r="A216" s="79" t="s">
        <v>347</v>
      </c>
      <c r="B216" s="79" t="s">
        <v>159</v>
      </c>
      <c r="C216" s="79" t="s">
        <v>159</v>
      </c>
      <c r="D216" s="79"/>
      <c r="F216" t="b">
        <v>0</v>
      </c>
      <c r="G216" t="s">
        <v>1236</v>
      </c>
      <c r="H216" t="s">
        <v>1229</v>
      </c>
    </row>
    <row r="217" spans="1:8" ht="15">
      <c r="A217" s="79" t="s">
        <v>348</v>
      </c>
      <c r="B217" s="79" t="s">
        <v>127</v>
      </c>
      <c r="C217" s="79" t="s">
        <v>127</v>
      </c>
      <c r="D217" s="79"/>
      <c r="F217" t="b">
        <v>0</v>
      </c>
      <c r="G217" t="s">
        <v>1236</v>
      </c>
      <c r="H217" t="s">
        <v>1229</v>
      </c>
    </row>
    <row r="218" spans="1:8" ht="15">
      <c r="A218" s="79" t="s">
        <v>349</v>
      </c>
      <c r="B218" s="79" t="s">
        <v>159</v>
      </c>
      <c r="C218" s="79" t="s">
        <v>159</v>
      </c>
      <c r="D218" s="79"/>
      <c r="F218" t="b">
        <v>0</v>
      </c>
      <c r="G218" t="s">
        <v>1236</v>
      </c>
      <c r="H218" t="s">
        <v>1229</v>
      </c>
    </row>
    <row r="219" spans="1:8" ht="15">
      <c r="A219" s="79" t="s">
        <v>350</v>
      </c>
      <c r="B219" s="79"/>
      <c r="C219" s="79"/>
      <c r="D219" s="79"/>
      <c r="F219" t="b">
        <v>0</v>
      </c>
      <c r="G219" t="s">
        <v>1236</v>
      </c>
      <c r="H219" t="s">
        <v>1229</v>
      </c>
    </row>
    <row r="220" spans="1:8" ht="15">
      <c r="A220" s="79" t="s">
        <v>351</v>
      </c>
      <c r="B220" s="79" t="s">
        <v>159</v>
      </c>
      <c r="C220" s="79" t="s">
        <v>159</v>
      </c>
      <c r="D220" s="79"/>
      <c r="F220" t="b">
        <v>0</v>
      </c>
      <c r="G220" t="s">
        <v>1236</v>
      </c>
      <c r="H220" t="s">
        <v>1229</v>
      </c>
    </row>
    <row r="221" spans="1:8" ht="15">
      <c r="A221" s="79" t="s">
        <v>661</v>
      </c>
      <c r="B221" s="79"/>
      <c r="C221" s="79"/>
      <c r="D221" s="79"/>
      <c r="F221" t="b">
        <v>0</v>
      </c>
      <c r="G221" t="s">
        <v>1228</v>
      </c>
      <c r="H221" t="s">
        <v>1229</v>
      </c>
    </row>
    <row r="222" spans="1:8" ht="15">
      <c r="A222" s="79" t="s">
        <v>662</v>
      </c>
      <c r="B222" s="79"/>
      <c r="C222" s="79"/>
      <c r="D222" s="79"/>
      <c r="F222" t="b">
        <v>0</v>
      </c>
      <c r="G222" t="s">
        <v>1228</v>
      </c>
      <c r="H222" t="s">
        <v>1229</v>
      </c>
    </row>
    <row r="223" spans="1:8" ht="15">
      <c r="A223" s="79" t="s">
        <v>663</v>
      </c>
      <c r="B223" s="79"/>
      <c r="C223" s="79"/>
      <c r="D223" s="79"/>
      <c r="F223" t="b">
        <v>0</v>
      </c>
      <c r="H223" t="s">
        <v>1229</v>
      </c>
    </row>
    <row r="224" spans="1:8" ht="15">
      <c r="A224" s="79" t="s">
        <v>664</v>
      </c>
      <c r="B224" s="79"/>
      <c r="C224" s="79"/>
      <c r="D224" s="79"/>
      <c r="F224" t="b">
        <v>0</v>
      </c>
      <c r="H224" t="s">
        <v>1229</v>
      </c>
    </row>
    <row r="225" spans="1:8" ht="15">
      <c r="A225" s="79" t="s">
        <v>665</v>
      </c>
      <c r="B225" s="79"/>
      <c r="C225" s="79"/>
      <c r="D225" s="79"/>
      <c r="F225" t="b">
        <v>0</v>
      </c>
      <c r="H225" t="s">
        <v>1229</v>
      </c>
    </row>
    <row r="226" spans="1:8" ht="15">
      <c r="A226" s="79" t="s">
        <v>666</v>
      </c>
      <c r="B226" s="79"/>
      <c r="C226" s="79"/>
      <c r="D226" s="79"/>
      <c r="F226" t="b">
        <v>0</v>
      </c>
      <c r="H226" t="s">
        <v>1229</v>
      </c>
    </row>
    <row r="227" spans="1:8" ht="15">
      <c r="A227" s="79" t="s">
        <v>667</v>
      </c>
      <c r="B227" s="79"/>
      <c r="C227" s="79"/>
      <c r="D227" s="79"/>
      <c r="F227" t="b">
        <v>0</v>
      </c>
      <c r="H227" t="s">
        <v>1229</v>
      </c>
    </row>
    <row r="228" spans="1:8" ht="15">
      <c r="A228" s="79" t="s">
        <v>668</v>
      </c>
      <c r="B228" s="79"/>
      <c r="C228" s="79"/>
      <c r="D228" s="79"/>
      <c r="F228" t="b">
        <v>0</v>
      </c>
      <c r="H228" t="s">
        <v>1229</v>
      </c>
    </row>
    <row r="229" spans="1:8" ht="15">
      <c r="A229" s="79" t="s">
        <v>669</v>
      </c>
      <c r="B229" s="79"/>
      <c r="C229" s="79"/>
      <c r="D229" s="79"/>
      <c r="F229" t="b">
        <v>0</v>
      </c>
      <c r="H229" t="s">
        <v>1229</v>
      </c>
    </row>
    <row r="230" spans="1:8" ht="15">
      <c r="A230" s="79" t="s">
        <v>670</v>
      </c>
      <c r="B230" s="79"/>
      <c r="C230" s="79"/>
      <c r="D230" s="79"/>
      <c r="F230" t="b">
        <v>0</v>
      </c>
      <c r="H230" t="s">
        <v>1229</v>
      </c>
    </row>
    <row r="231" spans="1:8" ht="15">
      <c r="A231" s="79" t="s">
        <v>671</v>
      </c>
      <c r="B231" s="79"/>
      <c r="C231" s="79"/>
      <c r="D231" s="79"/>
      <c r="F231" t="b">
        <v>0</v>
      </c>
      <c r="H231" t="s">
        <v>1229</v>
      </c>
    </row>
    <row r="232" spans="1:8" ht="15">
      <c r="A232" s="79" t="s">
        <v>672</v>
      </c>
      <c r="B232" s="79"/>
      <c r="C232" s="79"/>
      <c r="D232" s="79"/>
      <c r="F232" t="b">
        <v>0</v>
      </c>
      <c r="H232" t="s">
        <v>1229</v>
      </c>
    </row>
    <row r="233" spans="1:8" ht="15">
      <c r="A233" s="79" t="s">
        <v>673</v>
      </c>
      <c r="B233" s="79"/>
      <c r="C233" s="79"/>
      <c r="D233" s="79"/>
      <c r="F233" t="b">
        <v>0</v>
      </c>
      <c r="H233" t="s">
        <v>1229</v>
      </c>
    </row>
    <row r="234" spans="1:8" ht="15">
      <c r="A234" s="79" t="s">
        <v>674</v>
      </c>
      <c r="B234" s="79"/>
      <c r="C234" s="79"/>
      <c r="D234" s="79"/>
      <c r="F234" t="b">
        <v>0</v>
      </c>
      <c r="H234" t="s">
        <v>1229</v>
      </c>
    </row>
    <row r="235" spans="1:8" ht="15">
      <c r="A235" s="79" t="s">
        <v>675</v>
      </c>
      <c r="B235" s="79"/>
      <c r="C235" s="79"/>
      <c r="D235" s="79"/>
      <c r="F235" t="b">
        <v>0</v>
      </c>
      <c r="H235" t="s">
        <v>1229</v>
      </c>
    </row>
    <row r="236" spans="1:8" ht="15">
      <c r="A236" s="79" t="s">
        <v>676</v>
      </c>
      <c r="B236" s="79"/>
      <c r="C236" s="79"/>
      <c r="D236" s="79"/>
      <c r="F236" t="b">
        <v>0</v>
      </c>
      <c r="H236" t="s">
        <v>1229</v>
      </c>
    </row>
    <row r="237" spans="1:8" ht="15">
      <c r="A237" s="79" t="s">
        <v>677</v>
      </c>
      <c r="B237" s="79"/>
      <c r="C237" s="79"/>
      <c r="D237" s="79"/>
      <c r="F237" t="b">
        <v>0</v>
      </c>
      <c r="H237" t="s">
        <v>1229</v>
      </c>
    </row>
    <row r="238" spans="1:8" ht="15">
      <c r="A238" s="79" t="s">
        <v>678</v>
      </c>
      <c r="B238" s="79"/>
      <c r="C238" s="79"/>
      <c r="D238" s="79"/>
      <c r="F238" t="b">
        <v>0</v>
      </c>
      <c r="H238" t="s">
        <v>1229</v>
      </c>
    </row>
    <row r="239" spans="1:8" ht="15">
      <c r="A239" s="79" t="s">
        <v>679</v>
      </c>
      <c r="B239" s="79"/>
      <c r="C239" s="79"/>
      <c r="D239" s="79"/>
      <c r="F239" t="b">
        <v>0</v>
      </c>
      <c r="H239" t="s">
        <v>1229</v>
      </c>
    </row>
    <row r="240" spans="1:8" ht="15">
      <c r="A240" s="79" t="s">
        <v>680</v>
      </c>
      <c r="B240" s="79"/>
      <c r="C240" s="79"/>
      <c r="D240" s="79"/>
      <c r="F240" t="b">
        <v>0</v>
      </c>
      <c r="H240" t="s">
        <v>1229</v>
      </c>
    </row>
    <row r="241" spans="1:8" ht="15">
      <c r="A241" s="79" t="s">
        <v>681</v>
      </c>
      <c r="B241" s="79"/>
      <c r="C241" s="79"/>
      <c r="D241" s="79"/>
      <c r="F241" t="b">
        <v>0</v>
      </c>
      <c r="H241" t="s">
        <v>1229</v>
      </c>
    </row>
    <row r="242" spans="1:8" ht="15">
      <c r="A242" s="79" t="s">
        <v>682</v>
      </c>
      <c r="B242" s="79"/>
      <c r="C242" s="79"/>
      <c r="D242" s="79"/>
      <c r="F242" t="b">
        <v>0</v>
      </c>
      <c r="H242" t="s">
        <v>1229</v>
      </c>
    </row>
    <row r="243" spans="1:8" ht="15">
      <c r="A243" s="79" t="s">
        <v>683</v>
      </c>
      <c r="B243" s="79"/>
      <c r="C243" s="79"/>
      <c r="D243" s="79"/>
      <c r="F243" t="b">
        <v>0</v>
      </c>
      <c r="H243" t="s">
        <v>1229</v>
      </c>
    </row>
    <row r="244" spans="1:8" ht="15">
      <c r="A244" s="79" t="s">
        <v>684</v>
      </c>
      <c r="B244" s="79"/>
      <c r="C244" s="79"/>
      <c r="D244" s="79"/>
      <c r="F244" t="b">
        <v>0</v>
      </c>
      <c r="H244" t="s">
        <v>1229</v>
      </c>
    </row>
    <row r="245" spans="1:8" ht="15">
      <c r="A245" s="79" t="s">
        <v>685</v>
      </c>
      <c r="B245" s="79"/>
      <c r="C245" s="79"/>
      <c r="D245" s="79"/>
      <c r="F245" t="b">
        <v>0</v>
      </c>
      <c r="H245" t="s">
        <v>1229</v>
      </c>
    </row>
    <row r="246" spans="1:8" ht="15">
      <c r="A246" s="79" t="s">
        <v>686</v>
      </c>
      <c r="B246" s="79"/>
      <c r="C246" s="79"/>
      <c r="D246" s="79"/>
      <c r="F246" t="b">
        <v>0</v>
      </c>
      <c r="H246" t="s">
        <v>1229</v>
      </c>
    </row>
    <row r="247" spans="1:8" ht="15">
      <c r="A247" s="79" t="s">
        <v>1026</v>
      </c>
      <c r="B247" s="79"/>
      <c r="C247" s="79"/>
      <c r="D247" s="79" t="s">
        <v>633</v>
      </c>
      <c r="E247">
        <v>3200</v>
      </c>
      <c r="F247" t="b">
        <v>0</v>
      </c>
      <c r="G247" t="s">
        <v>1234</v>
      </c>
      <c r="H247" t="s">
        <v>1229</v>
      </c>
    </row>
    <row r="248" spans="1:8" ht="15">
      <c r="A248" s="79" t="s">
        <v>1027</v>
      </c>
      <c r="B248" s="79"/>
      <c r="C248" s="79"/>
      <c r="D248" s="79" t="s">
        <v>633</v>
      </c>
      <c r="E248">
        <v>3200</v>
      </c>
      <c r="F248" t="b">
        <v>0</v>
      </c>
      <c r="G248" t="s">
        <v>1234</v>
      </c>
      <c r="H248" t="s">
        <v>1229</v>
      </c>
    </row>
    <row r="249" spans="1:8" ht="15">
      <c r="A249" s="79" t="s">
        <v>1028</v>
      </c>
      <c r="B249" s="79"/>
      <c r="C249" s="79"/>
      <c r="D249" s="79" t="s">
        <v>633</v>
      </c>
      <c r="E249">
        <v>3200</v>
      </c>
      <c r="F249" t="b">
        <v>0</v>
      </c>
      <c r="G249" t="s">
        <v>1234</v>
      </c>
      <c r="H249" t="s">
        <v>1229</v>
      </c>
    </row>
    <row r="250" spans="1:8" ht="15">
      <c r="A250" s="79" t="s">
        <v>1029</v>
      </c>
      <c r="B250" s="79"/>
      <c r="C250" s="79"/>
      <c r="D250" s="79" t="s">
        <v>633</v>
      </c>
      <c r="E250">
        <v>3200</v>
      </c>
      <c r="F250" t="b">
        <v>0</v>
      </c>
      <c r="G250" t="s">
        <v>1234</v>
      </c>
      <c r="H250" t="s">
        <v>1229</v>
      </c>
    </row>
    <row r="251" spans="1:8" ht="15">
      <c r="A251" s="79" t="s">
        <v>1030</v>
      </c>
      <c r="B251" s="79"/>
      <c r="C251" s="79"/>
      <c r="D251" s="79" t="s">
        <v>633</v>
      </c>
      <c r="E251">
        <v>3200</v>
      </c>
      <c r="F251" t="b">
        <v>0</v>
      </c>
      <c r="G251" t="s">
        <v>1234</v>
      </c>
      <c r="H251" t="s">
        <v>1229</v>
      </c>
    </row>
    <row r="252" spans="1:8" ht="15">
      <c r="A252" s="79" t="s">
        <v>1031</v>
      </c>
      <c r="B252" s="79"/>
      <c r="C252" s="79"/>
      <c r="D252" s="79" t="s">
        <v>633</v>
      </c>
      <c r="E252">
        <v>3200</v>
      </c>
      <c r="F252" t="b">
        <v>0</v>
      </c>
      <c r="G252" t="s">
        <v>1234</v>
      </c>
      <c r="H252" t="s">
        <v>1229</v>
      </c>
    </row>
    <row r="253" spans="1:8" ht="15">
      <c r="A253" s="79" t="s">
        <v>1032</v>
      </c>
      <c r="B253" s="79"/>
      <c r="C253" s="79"/>
      <c r="D253" s="79" t="s">
        <v>200</v>
      </c>
      <c r="E253">
        <v>3200</v>
      </c>
      <c r="F253" t="b">
        <v>0</v>
      </c>
      <c r="G253" t="s">
        <v>1234</v>
      </c>
      <c r="H253" t="s">
        <v>1229</v>
      </c>
    </row>
    <row r="254" spans="1:8" ht="15">
      <c r="A254" s="79" t="s">
        <v>1046</v>
      </c>
      <c r="B254" s="79"/>
      <c r="C254" s="79"/>
      <c r="D254" s="79" t="s">
        <v>185</v>
      </c>
      <c r="E254">
        <v>3200</v>
      </c>
      <c r="F254" t="b">
        <v>0</v>
      </c>
      <c r="G254" t="s">
        <v>1234</v>
      </c>
      <c r="H254" t="s">
        <v>1229</v>
      </c>
    </row>
    <row r="255" spans="1:8" ht="15">
      <c r="A255" s="79" t="s">
        <v>1047</v>
      </c>
      <c r="B255" s="79"/>
      <c r="C255" s="79"/>
      <c r="D255" s="79" t="s">
        <v>185</v>
      </c>
      <c r="E255">
        <v>3200</v>
      </c>
      <c r="F255" t="b">
        <v>0</v>
      </c>
      <c r="G255" t="s">
        <v>1234</v>
      </c>
      <c r="H255" t="s">
        <v>1229</v>
      </c>
    </row>
    <row r="256" spans="1:8" ht="15">
      <c r="A256" s="79" t="s">
        <v>1048</v>
      </c>
      <c r="B256" s="79" t="s">
        <v>159</v>
      </c>
      <c r="C256" s="79"/>
      <c r="D256" s="79" t="s">
        <v>185</v>
      </c>
      <c r="E256">
        <v>3200</v>
      </c>
      <c r="F256" t="b">
        <v>0</v>
      </c>
      <c r="G256" t="s">
        <v>1234</v>
      </c>
      <c r="H256" t="s">
        <v>1229</v>
      </c>
    </row>
    <row r="257" spans="1:8" ht="15">
      <c r="A257" s="79" t="s">
        <v>1049</v>
      </c>
      <c r="B257" s="79"/>
      <c r="C257" s="79"/>
      <c r="D257" s="79" t="s">
        <v>185</v>
      </c>
      <c r="E257">
        <v>3200</v>
      </c>
      <c r="F257" t="b">
        <v>0</v>
      </c>
      <c r="G257" t="s">
        <v>1234</v>
      </c>
      <c r="H257" t="s">
        <v>1229</v>
      </c>
    </row>
    <row r="258" spans="1:8" ht="15">
      <c r="A258" s="79" t="s">
        <v>1050</v>
      </c>
      <c r="B258" s="79"/>
      <c r="C258" s="79"/>
      <c r="D258" s="79" t="s">
        <v>185</v>
      </c>
      <c r="E258">
        <v>3200</v>
      </c>
      <c r="F258" t="b">
        <v>0</v>
      </c>
      <c r="G258" t="s">
        <v>1234</v>
      </c>
      <c r="H258" t="s">
        <v>1229</v>
      </c>
    </row>
    <row r="259" spans="1:8" ht="15">
      <c r="A259" s="79" t="s">
        <v>1051</v>
      </c>
      <c r="B259" s="79"/>
      <c r="C259" s="79"/>
      <c r="D259" s="79" t="s">
        <v>185</v>
      </c>
      <c r="E259">
        <v>3200</v>
      </c>
      <c r="F259" t="b">
        <v>0</v>
      </c>
      <c r="G259" t="s">
        <v>1234</v>
      </c>
      <c r="H259" t="s">
        <v>1229</v>
      </c>
    </row>
    <row r="260" spans="1:8" ht="15">
      <c r="A260" s="79" t="s">
        <v>1052</v>
      </c>
      <c r="B260" s="79"/>
      <c r="C260" s="79"/>
      <c r="D260" s="79" t="s">
        <v>185</v>
      </c>
      <c r="E260">
        <v>3200</v>
      </c>
      <c r="F260" t="b">
        <v>0</v>
      </c>
      <c r="G260" t="s">
        <v>1234</v>
      </c>
      <c r="H260" t="s">
        <v>1229</v>
      </c>
    </row>
    <row r="261" spans="1:8" ht="15">
      <c r="A261" s="79" t="s">
        <v>1053</v>
      </c>
      <c r="B261" s="79"/>
      <c r="C261" s="79"/>
      <c r="D261" s="79" t="s">
        <v>185</v>
      </c>
      <c r="E261">
        <v>3200</v>
      </c>
      <c r="F261" t="b">
        <v>0</v>
      </c>
      <c r="G261" t="s">
        <v>1234</v>
      </c>
      <c r="H261" t="s">
        <v>1229</v>
      </c>
    </row>
    <row r="262" spans="1:8" ht="15">
      <c r="A262" s="79" t="s">
        <v>1054</v>
      </c>
      <c r="B262" s="79"/>
      <c r="C262" s="79"/>
      <c r="D262" s="79" t="s">
        <v>185</v>
      </c>
      <c r="E262">
        <v>3200</v>
      </c>
      <c r="F262" t="b">
        <v>0</v>
      </c>
      <c r="G262" t="s">
        <v>1234</v>
      </c>
      <c r="H262" t="s">
        <v>1229</v>
      </c>
    </row>
    <row r="263" spans="1:8" ht="15">
      <c r="A263" s="79" t="s">
        <v>1055</v>
      </c>
      <c r="B263" s="79"/>
      <c r="C263" s="79"/>
      <c r="D263" s="79" t="s">
        <v>185</v>
      </c>
      <c r="E263">
        <v>3200</v>
      </c>
      <c r="F263" t="b">
        <v>0</v>
      </c>
      <c r="G263" t="s">
        <v>1234</v>
      </c>
      <c r="H263" t="s">
        <v>1229</v>
      </c>
    </row>
    <row r="264" spans="1:8" ht="15">
      <c r="A264" s="79" t="s">
        <v>839</v>
      </c>
      <c r="B264" s="79" t="s">
        <v>827</v>
      </c>
      <c r="C264" s="79"/>
      <c r="D264" s="79" t="s">
        <v>633</v>
      </c>
      <c r="E264">
        <v>3200</v>
      </c>
      <c r="F264" t="b">
        <v>0</v>
      </c>
      <c r="G264" t="s">
        <v>1237</v>
      </c>
      <c r="H264" t="s">
        <v>1229</v>
      </c>
    </row>
    <row r="265" spans="1:8" ht="15">
      <c r="A265" s="79" t="s">
        <v>840</v>
      </c>
      <c r="B265" s="79" t="s">
        <v>159</v>
      </c>
      <c r="C265" s="79"/>
      <c r="D265" s="79" t="s">
        <v>200</v>
      </c>
      <c r="E265">
        <v>3200</v>
      </c>
      <c r="F265" t="b">
        <v>0</v>
      </c>
      <c r="G265" t="s">
        <v>1237</v>
      </c>
      <c r="H265" t="s">
        <v>1229</v>
      </c>
    </row>
    <row r="266" spans="1:8" ht="15">
      <c r="A266" s="79" t="s">
        <v>841</v>
      </c>
      <c r="B266" s="79" t="s">
        <v>1056</v>
      </c>
      <c r="C266" s="79"/>
      <c r="D266" s="79" t="s">
        <v>200</v>
      </c>
      <c r="E266">
        <v>3200</v>
      </c>
      <c r="F266" t="b">
        <v>0</v>
      </c>
      <c r="G266" t="s">
        <v>1237</v>
      </c>
      <c r="H266" t="s">
        <v>1229</v>
      </c>
    </row>
    <row r="267" spans="1:8" ht="15">
      <c r="A267" s="79" t="s">
        <v>842</v>
      </c>
      <c r="B267" s="79"/>
      <c r="C267" s="79"/>
      <c r="D267" s="79" t="s">
        <v>200</v>
      </c>
      <c r="E267">
        <v>3200</v>
      </c>
      <c r="F267" t="b">
        <v>0</v>
      </c>
      <c r="G267" t="s">
        <v>1237</v>
      </c>
      <c r="H267" t="s">
        <v>1229</v>
      </c>
    </row>
    <row r="268" spans="1:8" ht="15">
      <c r="A268" s="79" t="s">
        <v>843</v>
      </c>
      <c r="B268" s="79" t="s">
        <v>827</v>
      </c>
      <c r="C268" s="79"/>
      <c r="D268" s="79" t="s">
        <v>633</v>
      </c>
      <c r="E268">
        <v>3200</v>
      </c>
      <c r="F268" t="b">
        <v>0</v>
      </c>
      <c r="G268" t="s">
        <v>1237</v>
      </c>
      <c r="H268" t="s">
        <v>1229</v>
      </c>
    </row>
    <row r="269" spans="1:8" ht="15">
      <c r="A269" s="79" t="s">
        <v>844</v>
      </c>
      <c r="B269" s="79" t="s">
        <v>128</v>
      </c>
      <c r="C269" s="79"/>
      <c r="D269" s="79" t="s">
        <v>633</v>
      </c>
      <c r="E269">
        <v>3200</v>
      </c>
      <c r="F269" t="b">
        <v>0</v>
      </c>
      <c r="G269" t="s">
        <v>1237</v>
      </c>
      <c r="H269" t="s">
        <v>1229</v>
      </c>
    </row>
    <row r="270" spans="1:8" ht="15">
      <c r="A270" s="79" t="s">
        <v>845</v>
      </c>
      <c r="B270" s="79" t="s">
        <v>128</v>
      </c>
      <c r="C270" s="79"/>
      <c r="D270" s="79" t="s">
        <v>633</v>
      </c>
      <c r="E270" t="s">
        <v>1025</v>
      </c>
      <c r="F270" t="b">
        <v>1</v>
      </c>
      <c r="G270" t="s">
        <v>1237</v>
      </c>
      <c r="H270" t="s">
        <v>1229</v>
      </c>
    </row>
    <row r="271" spans="1:8" ht="15">
      <c r="A271" s="79" t="s">
        <v>846</v>
      </c>
      <c r="B271" s="79" t="s">
        <v>128</v>
      </c>
      <c r="C271" s="79"/>
      <c r="D271" s="79" t="s">
        <v>633</v>
      </c>
      <c r="E271" t="s">
        <v>1025</v>
      </c>
      <c r="F271" t="b">
        <v>1</v>
      </c>
      <c r="G271" t="s">
        <v>1237</v>
      </c>
      <c r="H271" t="s">
        <v>1229</v>
      </c>
    </row>
    <row r="272" spans="1:8" ht="15">
      <c r="A272" s="79" t="s">
        <v>847</v>
      </c>
      <c r="B272" s="79" t="s">
        <v>127</v>
      </c>
      <c r="C272" s="79"/>
      <c r="D272" s="79" t="s">
        <v>633</v>
      </c>
      <c r="E272" t="s">
        <v>1025</v>
      </c>
      <c r="F272" t="b">
        <v>1</v>
      </c>
      <c r="G272" t="s">
        <v>1237</v>
      </c>
      <c r="H272" t="s">
        <v>1229</v>
      </c>
    </row>
    <row r="273" spans="1:8" ht="15">
      <c r="A273" s="79" t="s">
        <v>848</v>
      </c>
      <c r="B273" s="79"/>
      <c r="C273" s="79"/>
      <c r="D273" s="79" t="s">
        <v>633</v>
      </c>
      <c r="E273">
        <v>3200</v>
      </c>
      <c r="F273" t="b">
        <v>0</v>
      </c>
      <c r="G273" t="s">
        <v>1237</v>
      </c>
      <c r="H273" t="s">
        <v>1229</v>
      </c>
    </row>
    <row r="274" spans="1:8" ht="15">
      <c r="A274" s="79" t="s">
        <v>849</v>
      </c>
      <c r="B274" s="79" t="s">
        <v>827</v>
      </c>
      <c r="C274" s="79"/>
      <c r="D274" s="79" t="s">
        <v>633</v>
      </c>
      <c r="E274">
        <v>3200</v>
      </c>
      <c r="F274" t="b">
        <v>0</v>
      </c>
      <c r="G274" t="s">
        <v>1237</v>
      </c>
      <c r="H274" t="s">
        <v>1229</v>
      </c>
    </row>
    <row r="275" spans="1:8" ht="15">
      <c r="A275" s="79" t="s">
        <v>850</v>
      </c>
      <c r="B275" s="79" t="s">
        <v>159</v>
      </c>
      <c r="C275" s="79"/>
      <c r="D275" s="79" t="s">
        <v>200</v>
      </c>
      <c r="E275">
        <v>3200</v>
      </c>
      <c r="F275" t="b">
        <v>0</v>
      </c>
      <c r="G275" t="s">
        <v>1237</v>
      </c>
      <c r="H275" t="s">
        <v>1229</v>
      </c>
    </row>
    <row r="276" spans="1:8" ht="15">
      <c r="A276" s="79" t="s">
        <v>851</v>
      </c>
      <c r="B276" s="79"/>
      <c r="C276" s="79"/>
      <c r="D276" s="79" t="s">
        <v>200</v>
      </c>
      <c r="E276">
        <v>3200</v>
      </c>
      <c r="F276" t="b">
        <v>0</v>
      </c>
      <c r="G276" t="s">
        <v>1237</v>
      </c>
      <c r="H276" t="s">
        <v>1229</v>
      </c>
    </row>
    <row r="277" spans="1:8" ht="15">
      <c r="A277" s="79" t="s">
        <v>852</v>
      </c>
      <c r="B277" s="79" t="s">
        <v>827</v>
      </c>
      <c r="C277" s="79"/>
      <c r="D277" s="79" t="s">
        <v>633</v>
      </c>
      <c r="E277">
        <v>3200</v>
      </c>
      <c r="F277" t="b">
        <v>0</v>
      </c>
      <c r="G277" t="s">
        <v>1237</v>
      </c>
      <c r="H277" t="s">
        <v>1229</v>
      </c>
    </row>
    <row r="278" spans="1:8" ht="15">
      <c r="A278" s="79" t="s">
        <v>853</v>
      </c>
      <c r="B278" s="79" t="s">
        <v>128</v>
      </c>
      <c r="C278" s="79"/>
      <c r="D278" s="79" t="s">
        <v>633</v>
      </c>
      <c r="E278">
        <v>3200</v>
      </c>
      <c r="F278" t="b">
        <v>0</v>
      </c>
      <c r="G278" t="s">
        <v>1237</v>
      </c>
      <c r="H278" t="s">
        <v>1229</v>
      </c>
    </row>
    <row r="279" spans="1:8" ht="15">
      <c r="A279" s="79" t="s">
        <v>854</v>
      </c>
      <c r="B279" s="79" t="s">
        <v>128</v>
      </c>
      <c r="C279" s="79"/>
      <c r="D279" s="79" t="s">
        <v>633</v>
      </c>
      <c r="E279">
        <v>3200</v>
      </c>
      <c r="F279" t="b">
        <v>0</v>
      </c>
      <c r="G279" t="s">
        <v>1237</v>
      </c>
      <c r="H279" t="s">
        <v>1229</v>
      </c>
    </row>
    <row r="280" spans="1:8" ht="15">
      <c r="A280" s="79" t="s">
        <v>855</v>
      </c>
      <c r="B280" s="79" t="s">
        <v>128</v>
      </c>
      <c r="C280" s="79"/>
      <c r="D280" s="79" t="s">
        <v>633</v>
      </c>
      <c r="E280">
        <v>3200</v>
      </c>
      <c r="F280" t="b">
        <v>0</v>
      </c>
      <c r="G280" t="s">
        <v>1237</v>
      </c>
      <c r="H280" t="s">
        <v>1229</v>
      </c>
    </row>
    <row r="281" spans="1:8" ht="15">
      <c r="A281" s="79" t="s">
        <v>856</v>
      </c>
      <c r="B281" s="79" t="s">
        <v>127</v>
      </c>
      <c r="C281" s="79"/>
      <c r="D281" s="79" t="s">
        <v>633</v>
      </c>
      <c r="E281">
        <v>3200</v>
      </c>
      <c r="F281" t="b">
        <v>0</v>
      </c>
      <c r="G281" t="s">
        <v>1237</v>
      </c>
      <c r="H281" t="s">
        <v>1229</v>
      </c>
    </row>
    <row r="282" spans="1:8" ht="15">
      <c r="A282" s="79" t="s">
        <v>857</v>
      </c>
      <c r="B282" s="79"/>
      <c r="C282" s="79"/>
      <c r="D282" s="79" t="s">
        <v>633</v>
      </c>
      <c r="E282">
        <v>3200</v>
      </c>
      <c r="F282" t="b">
        <v>0</v>
      </c>
      <c r="G282" t="s">
        <v>1237</v>
      </c>
      <c r="H282" t="s">
        <v>1229</v>
      </c>
    </row>
    <row r="283" spans="1:8" ht="15">
      <c r="A283" s="79" t="s">
        <v>687</v>
      </c>
      <c r="B283" s="79"/>
      <c r="C283" s="79"/>
      <c r="D283" s="79" t="s">
        <v>185</v>
      </c>
      <c r="E283">
        <v>2200</v>
      </c>
      <c r="F283" t="b">
        <v>0</v>
      </c>
      <c r="G283" t="s">
        <v>1232</v>
      </c>
      <c r="H283" t="s">
        <v>1233</v>
      </c>
    </row>
    <row r="284" spans="1:8" ht="15">
      <c r="A284" s="79" t="s">
        <v>688</v>
      </c>
      <c r="B284" s="79"/>
      <c r="C284" s="79"/>
      <c r="D284" s="79" t="s">
        <v>185</v>
      </c>
      <c r="E284">
        <v>2200</v>
      </c>
      <c r="F284" t="b">
        <v>0</v>
      </c>
      <c r="G284" t="s">
        <v>1232</v>
      </c>
      <c r="H284" t="s">
        <v>1233</v>
      </c>
    </row>
    <row r="285" spans="1:8" ht="15">
      <c r="A285" s="79" t="s">
        <v>689</v>
      </c>
      <c r="B285" s="79"/>
      <c r="C285" s="79"/>
      <c r="D285" s="79" t="s">
        <v>185</v>
      </c>
      <c r="E285">
        <v>2200</v>
      </c>
      <c r="F285" t="b">
        <v>0</v>
      </c>
      <c r="G285" t="s">
        <v>1232</v>
      </c>
      <c r="H285" t="s">
        <v>1233</v>
      </c>
    </row>
    <row r="286" spans="1:8" ht="15">
      <c r="A286" s="79" t="s">
        <v>690</v>
      </c>
      <c r="B286" s="79"/>
      <c r="C286" s="79"/>
      <c r="D286" s="79" t="s">
        <v>185</v>
      </c>
      <c r="E286">
        <v>2200</v>
      </c>
      <c r="F286" t="b">
        <v>0</v>
      </c>
      <c r="G286" t="s">
        <v>1232</v>
      </c>
      <c r="H286" t="s">
        <v>1233</v>
      </c>
    </row>
    <row r="287" spans="1:8" ht="15">
      <c r="A287" s="79" t="s">
        <v>691</v>
      </c>
      <c r="B287" s="79" t="s">
        <v>128</v>
      </c>
      <c r="C287" s="79" t="s">
        <v>692</v>
      </c>
      <c r="D287" s="79" t="s">
        <v>185</v>
      </c>
      <c r="E287">
        <v>2200</v>
      </c>
      <c r="F287" t="b">
        <v>0</v>
      </c>
      <c r="G287" t="s">
        <v>1232</v>
      </c>
      <c r="H287" t="s">
        <v>1233</v>
      </c>
    </row>
    <row r="288" spans="1:8" ht="15">
      <c r="A288" s="79" t="s">
        <v>693</v>
      </c>
      <c r="B288" s="79" t="s">
        <v>159</v>
      </c>
      <c r="C288" s="79"/>
      <c r="D288" s="79" t="s">
        <v>633</v>
      </c>
      <c r="E288">
        <v>2200</v>
      </c>
      <c r="F288" t="b">
        <v>0</v>
      </c>
      <c r="G288" t="s">
        <v>1232</v>
      </c>
      <c r="H288" t="s">
        <v>1233</v>
      </c>
    </row>
    <row r="289" spans="1:8" ht="15">
      <c r="A289" s="79" t="s">
        <v>694</v>
      </c>
      <c r="B289" s="79" t="s">
        <v>127</v>
      </c>
      <c r="C289" s="79"/>
      <c r="D289" s="79" t="s">
        <v>633</v>
      </c>
      <c r="E289">
        <v>2200</v>
      </c>
      <c r="F289" t="b">
        <v>0</v>
      </c>
      <c r="G289" t="s">
        <v>1232</v>
      </c>
      <c r="H289" t="s">
        <v>1233</v>
      </c>
    </row>
    <row r="290" spans="1:8" ht="15">
      <c r="A290" s="79" t="s">
        <v>695</v>
      </c>
      <c r="B290" s="79" t="s">
        <v>1076</v>
      </c>
      <c r="C290" s="79"/>
      <c r="D290" s="79" t="s">
        <v>633</v>
      </c>
      <c r="E290">
        <v>2200</v>
      </c>
      <c r="F290" t="b">
        <v>0</v>
      </c>
      <c r="G290" t="s">
        <v>1232</v>
      </c>
      <c r="H290" t="s">
        <v>1233</v>
      </c>
    </row>
    <row r="291" spans="1:8" ht="15">
      <c r="A291" s="79" t="s">
        <v>696</v>
      </c>
      <c r="B291" s="79"/>
      <c r="C291" s="79"/>
      <c r="D291" s="79" t="s">
        <v>633</v>
      </c>
      <c r="E291">
        <v>2200</v>
      </c>
      <c r="F291" t="b">
        <v>0</v>
      </c>
      <c r="G291" t="s">
        <v>1232</v>
      </c>
      <c r="H291" t="s">
        <v>1233</v>
      </c>
    </row>
    <row r="292" spans="1:8" ht="15">
      <c r="A292" s="79" t="s">
        <v>697</v>
      </c>
      <c r="B292" s="79"/>
      <c r="C292" s="79"/>
      <c r="D292" s="79" t="s">
        <v>633</v>
      </c>
      <c r="E292">
        <v>2200</v>
      </c>
      <c r="F292" t="b">
        <v>0</v>
      </c>
      <c r="G292" t="s">
        <v>1232</v>
      </c>
      <c r="H292" t="s">
        <v>1233</v>
      </c>
    </row>
    <row r="293" spans="1:8" ht="15">
      <c r="A293" s="79" t="s">
        <v>698</v>
      </c>
      <c r="B293" s="79"/>
      <c r="C293" s="79"/>
      <c r="D293" s="79" t="s">
        <v>633</v>
      </c>
      <c r="E293">
        <v>2200</v>
      </c>
      <c r="F293" t="b">
        <v>0</v>
      </c>
      <c r="G293" t="s">
        <v>1232</v>
      </c>
      <c r="H293" t="s">
        <v>1233</v>
      </c>
    </row>
    <row r="294" spans="1:8" ht="15">
      <c r="A294" s="79" t="s">
        <v>1220</v>
      </c>
      <c r="B294" s="79"/>
      <c r="C294" s="79"/>
      <c r="D294" s="79"/>
      <c r="E294">
        <v>2200</v>
      </c>
      <c r="F294" t="b">
        <v>0</v>
      </c>
      <c r="G294" t="s">
        <v>1232</v>
      </c>
      <c r="H294" t="s">
        <v>1233</v>
      </c>
    </row>
    <row r="295" spans="1:8" ht="15">
      <c r="A295" s="79" t="s">
        <v>699</v>
      </c>
      <c r="B295" s="79" t="s">
        <v>827</v>
      </c>
      <c r="C295" s="79"/>
      <c r="D295" s="79" t="s">
        <v>185</v>
      </c>
      <c r="E295">
        <v>2200</v>
      </c>
      <c r="F295" t="b">
        <v>0</v>
      </c>
      <c r="G295" t="s">
        <v>1232</v>
      </c>
      <c r="H295" t="s">
        <v>1233</v>
      </c>
    </row>
    <row r="296" spans="1:8" ht="15">
      <c r="A296" s="79" t="s">
        <v>700</v>
      </c>
      <c r="B296" s="79"/>
      <c r="C296" s="79"/>
      <c r="D296" s="79" t="s">
        <v>185</v>
      </c>
      <c r="E296">
        <v>2200</v>
      </c>
      <c r="F296" t="b">
        <v>0</v>
      </c>
      <c r="G296" t="s">
        <v>1232</v>
      </c>
      <c r="H296" t="s">
        <v>1233</v>
      </c>
    </row>
    <row r="297" spans="1:8" ht="15">
      <c r="A297" s="79" t="s">
        <v>701</v>
      </c>
      <c r="B297" s="79"/>
      <c r="C297" s="79"/>
      <c r="D297" s="79" t="s">
        <v>185</v>
      </c>
      <c r="E297">
        <v>2200</v>
      </c>
      <c r="F297" t="b">
        <v>0</v>
      </c>
      <c r="G297" t="s">
        <v>1232</v>
      </c>
      <c r="H297" t="s">
        <v>1233</v>
      </c>
    </row>
    <row r="298" spans="1:8" ht="15">
      <c r="A298" s="79" t="s">
        <v>702</v>
      </c>
      <c r="B298" s="79"/>
      <c r="C298" s="79"/>
      <c r="D298" s="79" t="s">
        <v>185</v>
      </c>
      <c r="E298">
        <v>2200</v>
      </c>
      <c r="F298" t="b">
        <v>0</v>
      </c>
      <c r="G298" t="s">
        <v>1232</v>
      </c>
      <c r="H298" t="s">
        <v>1233</v>
      </c>
    </row>
    <row r="299" spans="1:8" ht="15">
      <c r="A299" s="79" t="s">
        <v>703</v>
      </c>
      <c r="B299" s="79"/>
      <c r="C299" s="79"/>
      <c r="D299" s="79" t="s">
        <v>185</v>
      </c>
      <c r="E299">
        <v>2200</v>
      </c>
      <c r="F299" t="b">
        <v>0</v>
      </c>
      <c r="G299" t="s">
        <v>1232</v>
      </c>
      <c r="H299" t="s">
        <v>1233</v>
      </c>
    </row>
    <row r="300" spans="1:8" ht="15">
      <c r="A300" s="79" t="s">
        <v>704</v>
      </c>
      <c r="B300" s="79"/>
      <c r="C300" s="79"/>
      <c r="D300" s="79" t="s">
        <v>185</v>
      </c>
      <c r="E300">
        <v>2200</v>
      </c>
      <c r="F300" t="b">
        <v>0</v>
      </c>
      <c r="G300" t="s">
        <v>1232</v>
      </c>
      <c r="H300" t="s">
        <v>1233</v>
      </c>
    </row>
    <row r="301" spans="1:8" ht="15">
      <c r="A301" s="79" t="s">
        <v>705</v>
      </c>
      <c r="B301" s="79"/>
      <c r="C301" s="79"/>
      <c r="D301" s="79" t="s">
        <v>633</v>
      </c>
      <c r="E301">
        <v>2200</v>
      </c>
      <c r="F301" t="b">
        <v>0</v>
      </c>
      <c r="G301" t="s">
        <v>1232</v>
      </c>
      <c r="H301" t="s">
        <v>1233</v>
      </c>
    </row>
    <row r="302" spans="1:8" ht="15">
      <c r="A302" s="79" t="s">
        <v>706</v>
      </c>
      <c r="B302" s="79" t="s">
        <v>159</v>
      </c>
      <c r="C302" s="79" t="s">
        <v>707</v>
      </c>
      <c r="D302" s="79" t="s">
        <v>633</v>
      </c>
      <c r="E302">
        <v>2200</v>
      </c>
      <c r="F302" t="b">
        <v>0</v>
      </c>
      <c r="G302" t="s">
        <v>1232</v>
      </c>
      <c r="H302" t="s">
        <v>1233</v>
      </c>
    </row>
    <row r="303" spans="1:8" ht="15">
      <c r="A303" s="79" t="s">
        <v>708</v>
      </c>
      <c r="B303" s="79" t="s">
        <v>1077</v>
      </c>
      <c r="C303" s="79" t="s">
        <v>1077</v>
      </c>
      <c r="D303" s="79" t="s">
        <v>185</v>
      </c>
      <c r="E303">
        <v>2200</v>
      </c>
      <c r="F303" t="b">
        <v>0</v>
      </c>
      <c r="G303" t="s">
        <v>1232</v>
      </c>
      <c r="H303" t="s">
        <v>1233</v>
      </c>
    </row>
    <row r="304" spans="1:8" ht="15">
      <c r="A304" s="79" t="s">
        <v>709</v>
      </c>
      <c r="B304" s="79"/>
      <c r="C304" s="79"/>
      <c r="D304" s="79" t="s">
        <v>185</v>
      </c>
      <c r="E304">
        <v>2200</v>
      </c>
      <c r="F304" t="b">
        <v>0</v>
      </c>
      <c r="G304" t="s">
        <v>1232</v>
      </c>
      <c r="H304" t="s">
        <v>1233</v>
      </c>
    </row>
    <row r="305" spans="1:8" ht="15">
      <c r="A305" s="79" t="s">
        <v>710</v>
      </c>
      <c r="B305" s="79"/>
      <c r="C305" s="79"/>
      <c r="D305" s="79" t="s">
        <v>185</v>
      </c>
      <c r="E305">
        <v>2200</v>
      </c>
      <c r="F305" t="b">
        <v>0</v>
      </c>
      <c r="G305" t="s">
        <v>1232</v>
      </c>
      <c r="H305" t="s">
        <v>1233</v>
      </c>
    </row>
    <row r="306" spans="1:8" ht="15">
      <c r="A306" s="79" t="s">
        <v>711</v>
      </c>
      <c r="B306" s="79"/>
      <c r="C306" s="79" t="s">
        <v>707</v>
      </c>
      <c r="D306" s="79" t="s">
        <v>185</v>
      </c>
      <c r="E306">
        <v>2200</v>
      </c>
      <c r="F306" t="b">
        <v>0</v>
      </c>
      <c r="G306" t="s">
        <v>1232</v>
      </c>
      <c r="H306" t="s">
        <v>1233</v>
      </c>
    </row>
    <row r="307" spans="1:8" ht="15">
      <c r="A307" s="79" t="s">
        <v>712</v>
      </c>
      <c r="B307" s="79"/>
      <c r="C307" s="79"/>
      <c r="D307" s="79" t="s">
        <v>633</v>
      </c>
      <c r="E307">
        <v>2200</v>
      </c>
      <c r="F307" t="b">
        <v>0</v>
      </c>
      <c r="G307" t="s">
        <v>1232</v>
      </c>
      <c r="H307" t="s">
        <v>1233</v>
      </c>
    </row>
    <row r="308" spans="1:8" ht="15">
      <c r="A308" s="79" t="s">
        <v>713</v>
      </c>
      <c r="B308" s="79" t="s">
        <v>636</v>
      </c>
      <c r="C308" s="79"/>
      <c r="D308" s="79" t="s">
        <v>633</v>
      </c>
      <c r="E308">
        <v>2200</v>
      </c>
      <c r="F308" t="b">
        <v>0</v>
      </c>
      <c r="G308" t="s">
        <v>1232</v>
      </c>
      <c r="H308" t="s">
        <v>1233</v>
      </c>
    </row>
    <row r="309" spans="1:8" ht="15">
      <c r="A309" s="79" t="s">
        <v>714</v>
      </c>
      <c r="B309" s="79"/>
      <c r="C309" s="79"/>
      <c r="D309" s="79" t="s">
        <v>185</v>
      </c>
      <c r="E309">
        <v>2200</v>
      </c>
      <c r="F309" t="b">
        <v>0</v>
      </c>
      <c r="G309" t="s">
        <v>1232</v>
      </c>
      <c r="H309" t="s">
        <v>1233</v>
      </c>
    </row>
    <row r="310" spans="1:8" ht="15">
      <c r="A310" s="79" t="s">
        <v>715</v>
      </c>
      <c r="B310" s="79" t="s">
        <v>1056</v>
      </c>
      <c r="C310" s="79" t="s">
        <v>1056</v>
      </c>
      <c r="D310" s="79" t="s">
        <v>185</v>
      </c>
      <c r="E310">
        <v>2200</v>
      </c>
      <c r="F310" t="b">
        <v>0</v>
      </c>
      <c r="G310" t="s">
        <v>1232</v>
      </c>
      <c r="H310" t="s">
        <v>1233</v>
      </c>
    </row>
    <row r="311" spans="1:8" ht="15">
      <c r="A311" s="79" t="s">
        <v>716</v>
      </c>
      <c r="B311" s="79" t="s">
        <v>1078</v>
      </c>
      <c r="C311" s="79"/>
      <c r="D311" s="79" t="s">
        <v>185</v>
      </c>
      <c r="E311">
        <v>2200</v>
      </c>
      <c r="F311" t="b">
        <v>0</v>
      </c>
      <c r="G311" t="s">
        <v>1232</v>
      </c>
      <c r="H311" t="s">
        <v>1233</v>
      </c>
    </row>
    <row r="312" spans="1:8" ht="15">
      <c r="A312" s="79" t="s">
        <v>717</v>
      </c>
      <c r="B312" s="79"/>
      <c r="C312" s="79"/>
      <c r="D312" s="79" t="s">
        <v>185</v>
      </c>
      <c r="E312">
        <v>2200</v>
      </c>
      <c r="F312" t="b">
        <v>0</v>
      </c>
      <c r="G312" t="s">
        <v>1232</v>
      </c>
      <c r="H312" t="s">
        <v>1233</v>
      </c>
    </row>
    <row r="313" spans="1:8" ht="15">
      <c r="A313" s="79" t="s">
        <v>718</v>
      </c>
      <c r="B313" s="79"/>
      <c r="C313" s="79"/>
      <c r="D313" s="79" t="s">
        <v>185</v>
      </c>
      <c r="E313">
        <v>2200</v>
      </c>
      <c r="F313" t="b">
        <v>0</v>
      </c>
      <c r="G313" t="s">
        <v>1232</v>
      </c>
      <c r="H313" t="s">
        <v>1233</v>
      </c>
    </row>
    <row r="314" spans="1:8" ht="15">
      <c r="A314" s="79" t="s">
        <v>719</v>
      </c>
      <c r="B314" s="79"/>
      <c r="C314" s="79"/>
      <c r="D314" s="79" t="s">
        <v>185</v>
      </c>
      <c r="E314">
        <v>2200</v>
      </c>
      <c r="F314" t="b">
        <v>0</v>
      </c>
      <c r="G314" t="s">
        <v>1232</v>
      </c>
      <c r="H314" t="s">
        <v>1233</v>
      </c>
    </row>
    <row r="315" spans="1:8" ht="15">
      <c r="A315" s="79" t="s">
        <v>720</v>
      </c>
      <c r="B315" s="79"/>
      <c r="C315" s="79"/>
      <c r="D315" s="79" t="s">
        <v>633</v>
      </c>
      <c r="E315">
        <v>2200</v>
      </c>
      <c r="F315" t="b">
        <v>0</v>
      </c>
      <c r="G315" t="s">
        <v>1232</v>
      </c>
      <c r="H315" t="s">
        <v>1233</v>
      </c>
    </row>
    <row r="316" spans="1:8" ht="15">
      <c r="A316" s="79" t="s">
        <v>721</v>
      </c>
      <c r="B316" s="79"/>
      <c r="C316" s="79"/>
      <c r="D316" s="79" t="s">
        <v>633</v>
      </c>
      <c r="E316">
        <v>2200</v>
      </c>
      <c r="F316" t="b">
        <v>0</v>
      </c>
      <c r="G316" t="s">
        <v>1232</v>
      </c>
      <c r="H316" t="s">
        <v>1233</v>
      </c>
    </row>
    <row r="317" spans="1:8" ht="15">
      <c r="A317" s="79" t="s">
        <v>722</v>
      </c>
      <c r="B317" s="79"/>
      <c r="C317" s="79"/>
      <c r="D317" s="79" t="s">
        <v>633</v>
      </c>
      <c r="E317">
        <v>2200</v>
      </c>
      <c r="F317" t="b">
        <v>0</v>
      </c>
      <c r="G317" t="s">
        <v>1232</v>
      </c>
      <c r="H317" t="s">
        <v>1233</v>
      </c>
    </row>
    <row r="318" spans="1:8" ht="15">
      <c r="A318" s="79" t="s">
        <v>723</v>
      </c>
      <c r="B318" s="79"/>
      <c r="C318" s="79"/>
      <c r="D318" s="79" t="s">
        <v>633</v>
      </c>
      <c r="E318">
        <v>2200</v>
      </c>
      <c r="F318" t="b">
        <v>0</v>
      </c>
      <c r="G318" t="s">
        <v>1232</v>
      </c>
      <c r="H318" t="s">
        <v>1233</v>
      </c>
    </row>
    <row r="319" spans="1:8" ht="15">
      <c r="A319" s="79" t="s">
        <v>724</v>
      </c>
      <c r="B319" s="79"/>
      <c r="C319" s="79"/>
      <c r="D319" s="79" t="s">
        <v>185</v>
      </c>
      <c r="E319">
        <v>2200</v>
      </c>
      <c r="F319" t="b">
        <v>0</v>
      </c>
      <c r="G319" t="s">
        <v>1232</v>
      </c>
      <c r="H319" t="s">
        <v>1233</v>
      </c>
    </row>
    <row r="320" spans="1:8" ht="15">
      <c r="A320" s="79" t="s">
        <v>725</v>
      </c>
      <c r="B320" s="79"/>
      <c r="C320" s="79"/>
      <c r="D320" s="79" t="s">
        <v>185</v>
      </c>
      <c r="E320">
        <v>2200</v>
      </c>
      <c r="F320" t="b">
        <v>0</v>
      </c>
      <c r="G320" t="s">
        <v>1232</v>
      </c>
      <c r="H320" t="s">
        <v>1233</v>
      </c>
    </row>
    <row r="321" spans="1:8" ht="15">
      <c r="A321" s="79" t="s">
        <v>726</v>
      </c>
      <c r="B321" s="79"/>
      <c r="C321" s="79"/>
      <c r="D321" s="79" t="s">
        <v>185</v>
      </c>
      <c r="E321">
        <v>2200</v>
      </c>
      <c r="F321" t="b">
        <v>0</v>
      </c>
      <c r="G321" t="s">
        <v>1232</v>
      </c>
      <c r="H321" t="s">
        <v>1233</v>
      </c>
    </row>
    <row r="322" spans="1:8" ht="15">
      <c r="A322" s="79" t="s">
        <v>727</v>
      </c>
      <c r="B322" s="79"/>
      <c r="C322" s="79"/>
      <c r="D322" s="79" t="s">
        <v>185</v>
      </c>
      <c r="E322">
        <v>2200</v>
      </c>
      <c r="F322" t="b">
        <v>0</v>
      </c>
      <c r="G322" t="s">
        <v>1232</v>
      </c>
      <c r="H322" t="s">
        <v>1233</v>
      </c>
    </row>
    <row r="323" spans="1:8" ht="15">
      <c r="A323" s="79" t="s">
        <v>728</v>
      </c>
      <c r="B323" s="79"/>
      <c r="C323" s="79"/>
      <c r="D323" s="79" t="s">
        <v>185</v>
      </c>
      <c r="E323">
        <v>2200</v>
      </c>
      <c r="F323" t="b">
        <v>0</v>
      </c>
      <c r="G323" t="s">
        <v>1232</v>
      </c>
      <c r="H323" t="s">
        <v>1233</v>
      </c>
    </row>
    <row r="324" spans="1:8" ht="15">
      <c r="A324" s="79" t="s">
        <v>729</v>
      </c>
      <c r="B324" s="79"/>
      <c r="C324" s="79"/>
      <c r="D324" s="79" t="s">
        <v>185</v>
      </c>
      <c r="E324">
        <v>2200</v>
      </c>
      <c r="F324" t="b">
        <v>0</v>
      </c>
      <c r="G324" t="s">
        <v>1232</v>
      </c>
      <c r="H324" t="s">
        <v>1233</v>
      </c>
    </row>
    <row r="325" spans="1:8" ht="15">
      <c r="A325" s="79" t="s">
        <v>730</v>
      </c>
      <c r="B325" s="79"/>
      <c r="C325" s="79"/>
      <c r="D325" s="79" t="s">
        <v>633</v>
      </c>
      <c r="E325">
        <v>2200</v>
      </c>
      <c r="F325" t="b">
        <v>0</v>
      </c>
      <c r="G325" t="s">
        <v>1232</v>
      </c>
      <c r="H325" t="s">
        <v>1233</v>
      </c>
    </row>
    <row r="326" spans="1:8" ht="15">
      <c r="A326" s="79" t="s">
        <v>731</v>
      </c>
      <c r="B326" s="79"/>
      <c r="C326" s="79"/>
      <c r="D326" s="79" t="s">
        <v>185</v>
      </c>
      <c r="E326">
        <v>2200</v>
      </c>
      <c r="F326" t="b">
        <v>0</v>
      </c>
      <c r="G326" t="s">
        <v>1232</v>
      </c>
      <c r="H326" t="s">
        <v>1233</v>
      </c>
    </row>
    <row r="327" spans="1:8" ht="15">
      <c r="A327" s="79" t="s">
        <v>732</v>
      </c>
      <c r="B327" s="79"/>
      <c r="C327" s="79"/>
      <c r="D327" s="79" t="s">
        <v>185</v>
      </c>
      <c r="E327">
        <v>2200</v>
      </c>
      <c r="F327" t="b">
        <v>0</v>
      </c>
      <c r="G327" t="s">
        <v>1232</v>
      </c>
      <c r="H327" t="s">
        <v>1233</v>
      </c>
    </row>
    <row r="328" spans="1:8" ht="15">
      <c r="A328" s="79" t="s">
        <v>733</v>
      </c>
      <c r="B328" s="79" t="s">
        <v>827</v>
      </c>
      <c r="C328" s="79" t="s">
        <v>1079</v>
      </c>
      <c r="D328" s="79" t="s">
        <v>185</v>
      </c>
      <c r="E328">
        <v>2200</v>
      </c>
      <c r="F328" t="b">
        <v>0</v>
      </c>
      <c r="G328" t="s">
        <v>1232</v>
      </c>
      <c r="H328" t="s">
        <v>1233</v>
      </c>
    </row>
    <row r="329" spans="1:8" ht="15">
      <c r="A329" s="79" t="s">
        <v>734</v>
      </c>
      <c r="B329" s="79"/>
      <c r="C329" s="79"/>
      <c r="D329" s="79" t="s">
        <v>185</v>
      </c>
      <c r="E329">
        <v>2200</v>
      </c>
      <c r="F329" t="b">
        <v>0</v>
      </c>
      <c r="G329" t="s">
        <v>1232</v>
      </c>
      <c r="H329" t="s">
        <v>1233</v>
      </c>
    </row>
    <row r="330" spans="1:8" ht="15">
      <c r="A330" s="79" t="s">
        <v>735</v>
      </c>
      <c r="B330" s="79"/>
      <c r="C330" s="79"/>
      <c r="D330" s="79" t="s">
        <v>185</v>
      </c>
      <c r="E330">
        <v>2200</v>
      </c>
      <c r="F330" t="b">
        <v>0</v>
      </c>
      <c r="G330" t="s">
        <v>1232</v>
      </c>
      <c r="H330" t="s">
        <v>1233</v>
      </c>
    </row>
    <row r="331" spans="1:8" ht="15">
      <c r="A331" s="79" t="s">
        <v>736</v>
      </c>
      <c r="B331" s="79"/>
      <c r="C331" s="79"/>
      <c r="D331" s="79" t="s">
        <v>185</v>
      </c>
      <c r="E331">
        <v>2200</v>
      </c>
      <c r="F331" t="b">
        <v>0</v>
      </c>
      <c r="G331" t="s">
        <v>1232</v>
      </c>
      <c r="H331" t="s">
        <v>1233</v>
      </c>
    </row>
    <row r="332" spans="1:8" ht="15">
      <c r="A332" s="79" t="s">
        <v>737</v>
      </c>
      <c r="B332" s="79"/>
      <c r="C332" s="79"/>
      <c r="D332" s="79" t="s">
        <v>633</v>
      </c>
      <c r="E332">
        <v>2200</v>
      </c>
      <c r="F332" t="b">
        <v>0</v>
      </c>
      <c r="G332" t="s">
        <v>1232</v>
      </c>
      <c r="H332" t="s">
        <v>1233</v>
      </c>
    </row>
    <row r="333" spans="1:8" ht="15">
      <c r="A333" s="79" t="s">
        <v>738</v>
      </c>
      <c r="B333" s="79"/>
      <c r="C333" s="79"/>
      <c r="D333" s="79" t="s">
        <v>633</v>
      </c>
      <c r="E333">
        <v>2200</v>
      </c>
      <c r="F333" t="b">
        <v>0</v>
      </c>
      <c r="G333" t="s">
        <v>1232</v>
      </c>
      <c r="H333" t="s">
        <v>1233</v>
      </c>
    </row>
    <row r="334" spans="1:8" ht="15">
      <c r="A334" s="79" t="s">
        <v>739</v>
      </c>
      <c r="B334" s="79"/>
      <c r="C334" s="79"/>
      <c r="D334" s="79" t="s">
        <v>633</v>
      </c>
      <c r="E334">
        <v>2200</v>
      </c>
      <c r="F334" t="b">
        <v>0</v>
      </c>
      <c r="G334" t="s">
        <v>1232</v>
      </c>
      <c r="H334" t="s">
        <v>1233</v>
      </c>
    </row>
    <row r="335" spans="1:8" ht="15">
      <c r="A335" s="79" t="s">
        <v>740</v>
      </c>
      <c r="B335" s="79"/>
      <c r="C335" s="79"/>
      <c r="D335" s="79"/>
      <c r="E335">
        <v>2200</v>
      </c>
      <c r="F335" t="b">
        <v>0</v>
      </c>
      <c r="G335" t="s">
        <v>1238</v>
      </c>
      <c r="H335" t="s">
        <v>1233</v>
      </c>
    </row>
    <row r="336" spans="1:8" ht="15">
      <c r="A336" s="79" t="s">
        <v>741</v>
      </c>
      <c r="B336" s="79"/>
      <c r="C336" s="79"/>
      <c r="D336" s="79"/>
      <c r="E336">
        <v>2200</v>
      </c>
      <c r="F336" t="b">
        <v>0</v>
      </c>
      <c r="G336" t="s">
        <v>1238</v>
      </c>
      <c r="H336" t="s">
        <v>1233</v>
      </c>
    </row>
    <row r="337" spans="1:8" ht="15">
      <c r="A337" s="79" t="s">
        <v>742</v>
      </c>
      <c r="B337" s="79"/>
      <c r="C337" s="79"/>
      <c r="D337" s="79"/>
      <c r="E337">
        <v>2200</v>
      </c>
      <c r="F337" t="b">
        <v>0</v>
      </c>
      <c r="G337" t="s">
        <v>1238</v>
      </c>
      <c r="H337" t="s">
        <v>1233</v>
      </c>
    </row>
    <row r="338" spans="1:8" ht="15">
      <c r="A338" s="79" t="s">
        <v>743</v>
      </c>
      <c r="B338" s="79"/>
      <c r="C338" s="79"/>
      <c r="D338" s="79"/>
      <c r="E338">
        <v>2200</v>
      </c>
      <c r="F338" t="b">
        <v>0</v>
      </c>
      <c r="G338" t="s">
        <v>1238</v>
      </c>
      <c r="H338" t="s">
        <v>1233</v>
      </c>
    </row>
    <row r="339" spans="1:8" ht="15">
      <c r="A339" s="79" t="s">
        <v>744</v>
      </c>
      <c r="B339" s="79"/>
      <c r="C339" s="79"/>
      <c r="D339" s="79"/>
      <c r="E339">
        <v>2200</v>
      </c>
      <c r="F339" t="b">
        <v>0</v>
      </c>
      <c r="G339" t="s">
        <v>1238</v>
      </c>
      <c r="H339" t="s">
        <v>1233</v>
      </c>
    </row>
    <row r="340" spans="1:8" ht="15">
      <c r="A340" s="79" t="s">
        <v>745</v>
      </c>
      <c r="B340" s="79"/>
      <c r="C340" s="79"/>
      <c r="D340" s="79"/>
      <c r="E340">
        <v>2200</v>
      </c>
      <c r="F340" t="b">
        <v>0</v>
      </c>
      <c r="G340" t="s">
        <v>1238</v>
      </c>
      <c r="H340" t="s">
        <v>1233</v>
      </c>
    </row>
    <row r="341" spans="1:8" ht="15">
      <c r="A341" s="79" t="s">
        <v>746</v>
      </c>
      <c r="B341" s="79"/>
      <c r="C341" s="79"/>
      <c r="D341" s="79"/>
      <c r="E341">
        <v>2200</v>
      </c>
      <c r="F341" t="b">
        <v>0</v>
      </c>
      <c r="G341" t="s">
        <v>1238</v>
      </c>
      <c r="H341" t="s">
        <v>1233</v>
      </c>
    </row>
    <row r="342" spans="1:8" ht="15">
      <c r="A342" s="79" t="s">
        <v>747</v>
      </c>
      <c r="B342" s="79"/>
      <c r="C342" s="79"/>
      <c r="D342" s="79"/>
      <c r="E342">
        <v>2200</v>
      </c>
      <c r="F342" t="b">
        <v>0</v>
      </c>
      <c r="G342" t="s">
        <v>1238</v>
      </c>
      <c r="H342" t="s">
        <v>1233</v>
      </c>
    </row>
    <row r="343" spans="1:8" ht="15">
      <c r="A343" s="79" t="s">
        <v>748</v>
      </c>
      <c r="B343" s="79"/>
      <c r="C343" s="79"/>
      <c r="D343" s="79"/>
      <c r="E343">
        <v>2200</v>
      </c>
      <c r="F343" t="b">
        <v>0</v>
      </c>
      <c r="G343" t="s">
        <v>1238</v>
      </c>
      <c r="H343" t="s">
        <v>1233</v>
      </c>
    </row>
    <row r="344" spans="1:8" ht="15">
      <c r="A344" s="79" t="s">
        <v>749</v>
      </c>
      <c r="B344" s="79"/>
      <c r="C344" s="79"/>
      <c r="D344" s="79"/>
      <c r="E344">
        <v>2200</v>
      </c>
      <c r="F344" t="b">
        <v>0</v>
      </c>
      <c r="G344" t="s">
        <v>1238</v>
      </c>
      <c r="H344" t="s">
        <v>1233</v>
      </c>
    </row>
    <row r="345" spans="1:8" ht="15">
      <c r="A345" s="79" t="s">
        <v>750</v>
      </c>
      <c r="B345" s="79"/>
      <c r="C345" s="79"/>
      <c r="D345" s="79"/>
      <c r="E345">
        <v>2200</v>
      </c>
      <c r="F345" t="b">
        <v>0</v>
      </c>
      <c r="G345" t="s">
        <v>1238</v>
      </c>
      <c r="H345" t="s">
        <v>1233</v>
      </c>
    </row>
    <row r="346" spans="1:8" ht="15">
      <c r="A346" s="79" t="s">
        <v>751</v>
      </c>
      <c r="B346" s="79"/>
      <c r="C346" s="79"/>
      <c r="D346" s="79"/>
      <c r="E346">
        <v>2200</v>
      </c>
      <c r="F346" t="b">
        <v>0</v>
      </c>
      <c r="G346" t="s">
        <v>1238</v>
      </c>
      <c r="H346" t="s">
        <v>1233</v>
      </c>
    </row>
    <row r="347" spans="1:8" ht="15">
      <c r="A347" s="79" t="s">
        <v>752</v>
      </c>
      <c r="B347" s="79"/>
      <c r="C347" s="79"/>
      <c r="D347" s="79"/>
      <c r="E347">
        <v>2200</v>
      </c>
      <c r="F347" t="b">
        <v>0</v>
      </c>
      <c r="G347" t="s">
        <v>1238</v>
      </c>
      <c r="H347" t="s">
        <v>1233</v>
      </c>
    </row>
    <row r="348" spans="1:8" ht="15">
      <c r="A348" s="79" t="s">
        <v>753</v>
      </c>
      <c r="B348" s="79"/>
      <c r="C348" s="79"/>
      <c r="D348" s="79"/>
      <c r="E348">
        <v>2200</v>
      </c>
      <c r="F348" t="b">
        <v>0</v>
      </c>
      <c r="G348" t="s">
        <v>1238</v>
      </c>
      <c r="H348" t="s">
        <v>1233</v>
      </c>
    </row>
    <row r="349" spans="1:8" ht="15">
      <c r="A349" s="79" t="s">
        <v>754</v>
      </c>
      <c r="B349" s="79"/>
      <c r="C349" s="79"/>
      <c r="D349" s="79"/>
      <c r="E349">
        <v>2200</v>
      </c>
      <c r="F349" t="b">
        <v>0</v>
      </c>
      <c r="G349" t="s">
        <v>1238</v>
      </c>
      <c r="H349" t="s">
        <v>1233</v>
      </c>
    </row>
    <row r="350" spans="1:8" ht="15">
      <c r="A350" s="79" t="s">
        <v>755</v>
      </c>
      <c r="B350" s="79"/>
      <c r="C350" s="79"/>
      <c r="D350" s="79"/>
      <c r="E350">
        <v>2200</v>
      </c>
      <c r="F350" t="b">
        <v>0</v>
      </c>
      <c r="G350" t="s">
        <v>1238</v>
      </c>
      <c r="H350" t="s">
        <v>1233</v>
      </c>
    </row>
    <row r="351" spans="1:8" ht="15">
      <c r="A351" s="79" t="s">
        <v>756</v>
      </c>
      <c r="B351" s="79"/>
      <c r="C351" s="79"/>
      <c r="D351" s="79"/>
      <c r="E351">
        <v>2200</v>
      </c>
      <c r="F351" t="b">
        <v>0</v>
      </c>
      <c r="G351" t="s">
        <v>1238</v>
      </c>
      <c r="H351" t="s">
        <v>1233</v>
      </c>
    </row>
    <row r="352" spans="1:8" ht="15">
      <c r="A352" s="79" t="s">
        <v>757</v>
      </c>
      <c r="B352" s="79"/>
      <c r="C352" s="79"/>
      <c r="D352" s="79"/>
      <c r="E352">
        <v>2200</v>
      </c>
      <c r="F352" t="b">
        <v>0</v>
      </c>
      <c r="G352" t="s">
        <v>1238</v>
      </c>
      <c r="H352" t="s">
        <v>1233</v>
      </c>
    </row>
    <row r="353" spans="1:8" ht="15">
      <c r="A353" s="79" t="s">
        <v>758</v>
      </c>
      <c r="B353" s="79"/>
      <c r="C353" s="79"/>
      <c r="D353" s="79"/>
      <c r="E353">
        <v>2200</v>
      </c>
      <c r="F353" t="b">
        <v>0</v>
      </c>
      <c r="G353" t="s">
        <v>1238</v>
      </c>
      <c r="H353" t="s">
        <v>1233</v>
      </c>
    </row>
    <row r="354" spans="1:8" ht="15">
      <c r="A354" s="79" t="s">
        <v>759</v>
      </c>
      <c r="B354" s="79"/>
      <c r="C354" s="79"/>
      <c r="D354" s="79"/>
      <c r="E354">
        <v>2200</v>
      </c>
      <c r="F354" t="b">
        <v>0</v>
      </c>
      <c r="G354" t="s">
        <v>1238</v>
      </c>
      <c r="H354" t="s">
        <v>1233</v>
      </c>
    </row>
    <row r="355" spans="1:8" ht="15">
      <c r="A355" s="79" t="s">
        <v>760</v>
      </c>
      <c r="B355" s="79"/>
      <c r="C355" s="79"/>
      <c r="D355" s="79"/>
      <c r="E355">
        <v>2200</v>
      </c>
      <c r="F355" t="b">
        <v>0</v>
      </c>
      <c r="G355" t="s">
        <v>1238</v>
      </c>
      <c r="H355" t="s">
        <v>1233</v>
      </c>
    </row>
    <row r="356" spans="1:8" ht="15">
      <c r="A356" s="79" t="s">
        <v>761</v>
      </c>
      <c r="B356" s="79"/>
      <c r="C356" s="79"/>
      <c r="D356" s="79"/>
      <c r="E356">
        <v>2200</v>
      </c>
      <c r="F356" t="b">
        <v>0</v>
      </c>
      <c r="G356" t="s">
        <v>1238</v>
      </c>
      <c r="H356" t="s">
        <v>1233</v>
      </c>
    </row>
    <row r="357" spans="1:8" ht="15">
      <c r="A357" s="79" t="s">
        <v>762</v>
      </c>
      <c r="B357" s="79"/>
      <c r="C357" s="79"/>
      <c r="D357" s="79"/>
      <c r="E357">
        <v>2200</v>
      </c>
      <c r="F357" t="b">
        <v>0</v>
      </c>
      <c r="G357" t="s">
        <v>1238</v>
      </c>
      <c r="H357" t="s">
        <v>1233</v>
      </c>
    </row>
    <row r="358" spans="1:8" ht="15">
      <c r="A358" s="79" t="s">
        <v>763</v>
      </c>
      <c r="B358" s="79"/>
      <c r="C358" s="79"/>
      <c r="D358" s="79"/>
      <c r="E358">
        <v>2200</v>
      </c>
      <c r="F358" t="b">
        <v>0</v>
      </c>
      <c r="G358" t="s">
        <v>1238</v>
      </c>
      <c r="H358" t="s">
        <v>1233</v>
      </c>
    </row>
    <row r="359" spans="1:8" ht="15">
      <c r="A359" s="79" t="s">
        <v>764</v>
      </c>
      <c r="B359" s="79"/>
      <c r="C359" s="79"/>
      <c r="D359" s="79"/>
      <c r="E359">
        <v>2200</v>
      </c>
      <c r="F359" t="b">
        <v>0</v>
      </c>
      <c r="G359" t="s">
        <v>1238</v>
      </c>
      <c r="H359" t="s">
        <v>1233</v>
      </c>
    </row>
    <row r="360" spans="1:8" ht="15">
      <c r="A360" s="79" t="s">
        <v>765</v>
      </c>
      <c r="B360" s="79"/>
      <c r="C360" s="79"/>
      <c r="D360" s="79"/>
      <c r="E360">
        <v>2200</v>
      </c>
      <c r="F360" t="b">
        <v>0</v>
      </c>
      <c r="G360" t="s">
        <v>1238</v>
      </c>
      <c r="H360" t="s">
        <v>1233</v>
      </c>
    </row>
    <row r="361" spans="1:8" ht="15">
      <c r="A361" s="79" t="s">
        <v>766</v>
      </c>
      <c r="B361" s="79"/>
      <c r="C361" s="79"/>
      <c r="D361" s="79"/>
      <c r="E361">
        <v>2200</v>
      </c>
      <c r="F361" t="b">
        <v>0</v>
      </c>
      <c r="G361" t="s">
        <v>1238</v>
      </c>
      <c r="H361" t="s">
        <v>1233</v>
      </c>
    </row>
    <row r="362" spans="1:8" ht="15">
      <c r="A362" s="79" t="s">
        <v>767</v>
      </c>
      <c r="B362" s="79"/>
      <c r="C362" s="79"/>
      <c r="D362" s="79"/>
      <c r="E362">
        <v>2200</v>
      </c>
      <c r="F362" t="b">
        <v>0</v>
      </c>
      <c r="G362" t="s">
        <v>1238</v>
      </c>
      <c r="H362" t="s">
        <v>1233</v>
      </c>
    </row>
    <row r="363" spans="1:8" ht="15">
      <c r="A363" s="79" t="s">
        <v>768</v>
      </c>
      <c r="B363" s="79"/>
      <c r="C363" s="79"/>
      <c r="D363" s="79"/>
      <c r="E363">
        <v>2200</v>
      </c>
      <c r="F363" t="b">
        <v>0</v>
      </c>
      <c r="G363" t="s">
        <v>1238</v>
      </c>
      <c r="H363" t="s">
        <v>1233</v>
      </c>
    </row>
    <row r="364" spans="1:8" ht="15">
      <c r="A364" s="79" t="s">
        <v>769</v>
      </c>
      <c r="B364" s="79"/>
      <c r="C364" s="79"/>
      <c r="D364" s="79"/>
      <c r="E364">
        <v>2200</v>
      </c>
      <c r="F364" t="b">
        <v>0</v>
      </c>
      <c r="G364" t="s">
        <v>1238</v>
      </c>
      <c r="H364" t="s">
        <v>1233</v>
      </c>
    </row>
    <row r="365" spans="1:8" ht="15">
      <c r="A365" s="79" t="s">
        <v>770</v>
      </c>
      <c r="B365" s="79"/>
      <c r="C365" s="79"/>
      <c r="D365" s="79"/>
      <c r="E365">
        <v>2200</v>
      </c>
      <c r="F365" t="b">
        <v>0</v>
      </c>
      <c r="G365" t="s">
        <v>1238</v>
      </c>
      <c r="H365" t="s">
        <v>1233</v>
      </c>
    </row>
    <row r="366" spans="1:8" ht="15">
      <c r="A366" s="79" t="s">
        <v>771</v>
      </c>
      <c r="B366" s="79"/>
      <c r="C366" s="79"/>
      <c r="D366" s="79"/>
      <c r="E366">
        <v>2200</v>
      </c>
      <c r="F366" t="b">
        <v>0</v>
      </c>
      <c r="G366" t="s">
        <v>1238</v>
      </c>
      <c r="H366" t="s">
        <v>1233</v>
      </c>
    </row>
    <row r="367" spans="1:8" ht="15">
      <c r="A367" s="79" t="s">
        <v>772</v>
      </c>
      <c r="B367" s="79"/>
      <c r="C367" s="79"/>
      <c r="D367" s="79"/>
      <c r="E367">
        <v>2200</v>
      </c>
      <c r="F367" t="b">
        <v>0</v>
      </c>
      <c r="G367" t="s">
        <v>1238</v>
      </c>
      <c r="H367" t="s">
        <v>1233</v>
      </c>
    </row>
    <row r="368" spans="1:8" ht="15">
      <c r="A368" s="79" t="s">
        <v>773</v>
      </c>
      <c r="B368" s="79"/>
      <c r="C368" s="79"/>
      <c r="D368" s="79"/>
      <c r="E368">
        <v>2200</v>
      </c>
      <c r="F368" t="b">
        <v>0</v>
      </c>
      <c r="G368" t="s">
        <v>1238</v>
      </c>
      <c r="H368" t="s">
        <v>1233</v>
      </c>
    </row>
    <row r="369" spans="1:8" ht="15">
      <c r="A369" s="79" t="s">
        <v>774</v>
      </c>
      <c r="B369" s="79"/>
      <c r="C369" s="79"/>
      <c r="D369" s="79"/>
      <c r="E369">
        <v>2200</v>
      </c>
      <c r="F369" t="b">
        <v>0</v>
      </c>
      <c r="G369" t="s">
        <v>1238</v>
      </c>
      <c r="H369" t="s">
        <v>1233</v>
      </c>
    </row>
    <row r="370" spans="1:8" ht="15">
      <c r="A370" s="79" t="s">
        <v>775</v>
      </c>
      <c r="B370" s="79"/>
      <c r="C370" s="79"/>
      <c r="D370" s="79"/>
      <c r="E370">
        <v>2200</v>
      </c>
      <c r="F370" t="b">
        <v>0</v>
      </c>
      <c r="G370" t="s">
        <v>1238</v>
      </c>
      <c r="H370" t="s">
        <v>1233</v>
      </c>
    </row>
    <row r="371" spans="1:8" ht="15">
      <c r="A371" s="79" t="s">
        <v>776</v>
      </c>
      <c r="B371" s="79"/>
      <c r="C371" s="79"/>
      <c r="D371" s="79"/>
      <c r="E371">
        <v>2200</v>
      </c>
      <c r="F371" t="b">
        <v>0</v>
      </c>
      <c r="G371" t="s">
        <v>1238</v>
      </c>
      <c r="H371" t="s">
        <v>1233</v>
      </c>
    </row>
    <row r="372" spans="1:8" ht="15">
      <c r="A372" s="79" t="s">
        <v>777</v>
      </c>
      <c r="B372" s="79"/>
      <c r="C372" s="79"/>
      <c r="D372" s="79"/>
      <c r="E372">
        <v>2200</v>
      </c>
      <c r="F372" t="b">
        <v>0</v>
      </c>
      <c r="G372" t="s">
        <v>1238</v>
      </c>
      <c r="H372" t="s">
        <v>1233</v>
      </c>
    </row>
    <row r="373" spans="1:8" ht="15">
      <c r="A373" s="79" t="s">
        <v>778</v>
      </c>
      <c r="B373" s="79"/>
      <c r="C373" s="79"/>
      <c r="D373" s="79"/>
      <c r="E373">
        <v>2200</v>
      </c>
      <c r="F373" t="b">
        <v>0</v>
      </c>
      <c r="G373" t="s">
        <v>1238</v>
      </c>
      <c r="H373" t="s">
        <v>1233</v>
      </c>
    </row>
    <row r="374" spans="1:8" ht="15">
      <c r="A374" s="79" t="s">
        <v>779</v>
      </c>
      <c r="B374" s="79"/>
      <c r="C374" s="79"/>
      <c r="D374" s="79"/>
      <c r="E374">
        <v>2200</v>
      </c>
      <c r="F374" t="b">
        <v>0</v>
      </c>
      <c r="G374" t="s">
        <v>1238</v>
      </c>
      <c r="H374" t="s">
        <v>1233</v>
      </c>
    </row>
    <row r="375" spans="1:8" ht="15">
      <c r="A375" s="79" t="s">
        <v>780</v>
      </c>
      <c r="B375" s="79"/>
      <c r="C375" s="79"/>
      <c r="D375" s="79"/>
      <c r="E375">
        <v>2200</v>
      </c>
      <c r="F375" t="b">
        <v>0</v>
      </c>
      <c r="G375" t="s">
        <v>1238</v>
      </c>
      <c r="H375" t="s">
        <v>1233</v>
      </c>
    </row>
    <row r="376" spans="1:8" ht="15">
      <c r="A376" s="79" t="s">
        <v>781</v>
      </c>
      <c r="B376" s="79"/>
      <c r="C376" s="79"/>
      <c r="D376" s="79"/>
      <c r="E376">
        <v>2200</v>
      </c>
      <c r="F376" t="b">
        <v>0</v>
      </c>
      <c r="G376" t="s">
        <v>1238</v>
      </c>
      <c r="H376" t="s">
        <v>1233</v>
      </c>
    </row>
    <row r="377" spans="1:8" ht="15">
      <c r="A377" s="79" t="s">
        <v>782</v>
      </c>
      <c r="B377" s="79"/>
      <c r="C377" s="79"/>
      <c r="D377" s="79"/>
      <c r="E377">
        <v>2200</v>
      </c>
      <c r="F377" t="b">
        <v>0</v>
      </c>
      <c r="G377" t="s">
        <v>1238</v>
      </c>
      <c r="H377" t="s">
        <v>1233</v>
      </c>
    </row>
    <row r="378" spans="1:8" ht="15">
      <c r="A378" s="79" t="s">
        <v>783</v>
      </c>
      <c r="B378" s="79"/>
      <c r="C378" s="79"/>
      <c r="D378" s="79"/>
      <c r="E378">
        <v>2200</v>
      </c>
      <c r="F378" t="b">
        <v>0</v>
      </c>
      <c r="G378" t="s">
        <v>1238</v>
      </c>
      <c r="H378" t="s">
        <v>1233</v>
      </c>
    </row>
    <row r="379" spans="1:8" ht="15">
      <c r="A379" s="79" t="s">
        <v>784</v>
      </c>
      <c r="B379" s="79"/>
      <c r="C379" s="79"/>
      <c r="D379" s="79"/>
      <c r="E379">
        <v>2200</v>
      </c>
      <c r="F379" t="b">
        <v>0</v>
      </c>
      <c r="G379" t="s">
        <v>1238</v>
      </c>
      <c r="H379" t="s">
        <v>1233</v>
      </c>
    </row>
    <row r="380" spans="1:8" ht="15">
      <c r="A380" s="79" t="s">
        <v>785</v>
      </c>
      <c r="B380" s="79"/>
      <c r="C380" s="79"/>
      <c r="D380" s="79"/>
      <c r="E380">
        <v>2200</v>
      </c>
      <c r="F380" t="b">
        <v>0</v>
      </c>
      <c r="G380" t="s">
        <v>1238</v>
      </c>
      <c r="H380" t="s">
        <v>1233</v>
      </c>
    </row>
    <row r="381" spans="1:8" ht="15">
      <c r="A381" s="79" t="s">
        <v>786</v>
      </c>
      <c r="B381" s="79"/>
      <c r="C381" s="79"/>
      <c r="D381" s="79"/>
      <c r="E381">
        <v>2200</v>
      </c>
      <c r="F381" t="b">
        <v>0</v>
      </c>
      <c r="G381" t="s">
        <v>1238</v>
      </c>
      <c r="H381" t="s">
        <v>1233</v>
      </c>
    </row>
    <row r="382" spans="1:8" ht="15">
      <c r="A382" s="79" t="s">
        <v>787</v>
      </c>
      <c r="B382" s="79"/>
      <c r="C382" s="79"/>
      <c r="D382" s="79"/>
      <c r="E382">
        <v>2200</v>
      </c>
      <c r="F382" t="b">
        <v>0</v>
      </c>
      <c r="G382" t="s">
        <v>1238</v>
      </c>
      <c r="H382" t="s">
        <v>1233</v>
      </c>
    </row>
    <row r="383" spans="1:8" ht="15">
      <c r="A383" s="79" t="s">
        <v>788</v>
      </c>
      <c r="B383" s="79"/>
      <c r="C383" s="79"/>
      <c r="D383" s="79"/>
      <c r="E383">
        <v>2200</v>
      </c>
      <c r="F383" t="b">
        <v>0</v>
      </c>
      <c r="G383" t="s">
        <v>1238</v>
      </c>
      <c r="H383" t="s">
        <v>1233</v>
      </c>
    </row>
    <row r="384" spans="1:8" ht="15">
      <c r="A384" s="79" t="s">
        <v>789</v>
      </c>
      <c r="B384" s="79"/>
      <c r="C384" s="79"/>
      <c r="D384" s="79"/>
      <c r="E384">
        <v>2200</v>
      </c>
      <c r="F384" t="b">
        <v>0</v>
      </c>
      <c r="G384" t="s">
        <v>1238</v>
      </c>
      <c r="H384" t="s">
        <v>1233</v>
      </c>
    </row>
    <row r="385" spans="1:8" ht="15">
      <c r="A385" s="79" t="s">
        <v>790</v>
      </c>
      <c r="B385" s="79"/>
      <c r="C385" s="79"/>
      <c r="D385" s="79"/>
      <c r="E385">
        <v>2200</v>
      </c>
      <c r="F385" t="b">
        <v>0</v>
      </c>
      <c r="G385" t="s">
        <v>1238</v>
      </c>
      <c r="H385" t="s">
        <v>1233</v>
      </c>
    </row>
    <row r="386" spans="1:8" ht="15">
      <c r="A386" s="79" t="s">
        <v>791</v>
      </c>
      <c r="B386" s="79"/>
      <c r="C386" s="79"/>
      <c r="D386" s="79"/>
      <c r="E386">
        <v>2200</v>
      </c>
      <c r="F386" t="b">
        <v>0</v>
      </c>
      <c r="G386" t="s">
        <v>1238</v>
      </c>
      <c r="H386" t="s">
        <v>1233</v>
      </c>
    </row>
    <row r="387" spans="1:8" ht="15">
      <c r="A387" s="79" t="s">
        <v>792</v>
      </c>
      <c r="B387" s="79"/>
      <c r="C387" s="79"/>
      <c r="D387" s="79"/>
      <c r="E387">
        <v>2200</v>
      </c>
      <c r="F387" t="b">
        <v>0</v>
      </c>
      <c r="G387" t="s">
        <v>1228</v>
      </c>
      <c r="H387" t="s">
        <v>1233</v>
      </c>
    </row>
    <row r="388" spans="1:8" ht="15">
      <c r="A388" s="79" t="s">
        <v>793</v>
      </c>
      <c r="B388" s="79"/>
      <c r="C388" s="79"/>
      <c r="D388" s="79"/>
      <c r="E388">
        <v>2200</v>
      </c>
      <c r="F388" t="b">
        <v>0</v>
      </c>
      <c r="G388" t="s">
        <v>1228</v>
      </c>
      <c r="H388" t="s">
        <v>1233</v>
      </c>
    </row>
    <row r="389" spans="1:8" ht="15">
      <c r="A389" s="79" t="s">
        <v>794</v>
      </c>
      <c r="B389" s="79"/>
      <c r="C389" s="79"/>
      <c r="D389" s="79"/>
      <c r="E389">
        <v>2200</v>
      </c>
      <c r="F389" t="b">
        <v>0</v>
      </c>
      <c r="G389" t="s">
        <v>1228</v>
      </c>
      <c r="H389" t="s">
        <v>1233</v>
      </c>
    </row>
    <row r="390" spans="1:8" ht="15">
      <c r="A390" s="79" t="s">
        <v>795</v>
      </c>
      <c r="B390" s="79"/>
      <c r="C390" s="79"/>
      <c r="D390" s="79"/>
      <c r="E390">
        <v>2200</v>
      </c>
      <c r="F390" t="b">
        <v>0</v>
      </c>
      <c r="G390" t="s">
        <v>1228</v>
      </c>
      <c r="H390" t="s">
        <v>1233</v>
      </c>
    </row>
    <row r="391" spans="1:8" ht="15">
      <c r="A391" s="79" t="s">
        <v>796</v>
      </c>
      <c r="B391" s="79"/>
      <c r="C391" s="79"/>
      <c r="D391" s="79"/>
      <c r="E391">
        <v>2200</v>
      </c>
      <c r="F391" t="b">
        <v>0</v>
      </c>
      <c r="G391" t="s">
        <v>1228</v>
      </c>
      <c r="H391" t="s">
        <v>1233</v>
      </c>
    </row>
    <row r="392" spans="1:8" ht="15">
      <c r="A392" s="79" t="s">
        <v>797</v>
      </c>
      <c r="B392" s="79"/>
      <c r="C392" s="79"/>
      <c r="D392" s="79"/>
      <c r="E392">
        <v>2200</v>
      </c>
      <c r="F392" t="b">
        <v>0</v>
      </c>
      <c r="G392" t="s">
        <v>1228</v>
      </c>
      <c r="H392" t="s">
        <v>1233</v>
      </c>
    </row>
    <row r="393" spans="1:8" ht="15">
      <c r="A393" s="79" t="s">
        <v>798</v>
      </c>
      <c r="B393" s="79" t="s">
        <v>159</v>
      </c>
      <c r="C393" s="79" t="s">
        <v>692</v>
      </c>
      <c r="D393" s="79"/>
      <c r="E393">
        <v>2200</v>
      </c>
      <c r="F393" t="b">
        <v>0</v>
      </c>
      <c r="G393" t="s">
        <v>1228</v>
      </c>
      <c r="H393" t="s">
        <v>1233</v>
      </c>
    </row>
    <row r="394" spans="1:8" ht="15">
      <c r="A394" s="79" t="s">
        <v>799</v>
      </c>
      <c r="B394" s="79"/>
      <c r="C394" s="79"/>
      <c r="D394" s="79"/>
      <c r="E394">
        <v>2200</v>
      </c>
      <c r="F394" t="b">
        <v>0</v>
      </c>
      <c r="G394" t="s">
        <v>1228</v>
      </c>
      <c r="H394" t="s">
        <v>1233</v>
      </c>
    </row>
    <row r="395" spans="1:8" ht="15">
      <c r="A395" s="79" t="s">
        <v>800</v>
      </c>
      <c r="B395" s="79"/>
      <c r="C395" s="79"/>
      <c r="D395" s="79"/>
      <c r="E395">
        <v>2200</v>
      </c>
      <c r="F395" t="b">
        <v>0</v>
      </c>
      <c r="G395" t="s">
        <v>1228</v>
      </c>
      <c r="H395" t="s">
        <v>1233</v>
      </c>
    </row>
    <row r="396" spans="1:8" ht="15">
      <c r="A396" s="79" t="s">
        <v>801</v>
      </c>
      <c r="B396" s="79"/>
      <c r="C396" s="79"/>
      <c r="D396" s="79"/>
      <c r="E396">
        <v>2200</v>
      </c>
      <c r="F396" t="b">
        <v>0</v>
      </c>
      <c r="G396" t="s">
        <v>1228</v>
      </c>
      <c r="H396" t="s">
        <v>1233</v>
      </c>
    </row>
    <row r="397" spans="1:8" ht="15">
      <c r="A397" s="79" t="s">
        <v>802</v>
      </c>
      <c r="B397" s="79"/>
      <c r="C397" s="79"/>
      <c r="D397" s="79"/>
      <c r="E397">
        <v>2200</v>
      </c>
      <c r="F397" t="b">
        <v>0</v>
      </c>
      <c r="G397" t="s">
        <v>1228</v>
      </c>
      <c r="H397" t="s">
        <v>1233</v>
      </c>
    </row>
    <row r="398" spans="1:8" ht="15">
      <c r="A398" s="79" t="s">
        <v>803</v>
      </c>
      <c r="B398" s="79"/>
      <c r="C398" s="79"/>
      <c r="D398" s="79"/>
      <c r="E398">
        <v>2200</v>
      </c>
      <c r="F398" t="b">
        <v>0</v>
      </c>
      <c r="G398" t="s">
        <v>1228</v>
      </c>
      <c r="H398" t="s">
        <v>1233</v>
      </c>
    </row>
    <row r="399" spans="1:8" ht="15">
      <c r="A399" s="79" t="s">
        <v>804</v>
      </c>
      <c r="B399" s="79"/>
      <c r="C399" s="79"/>
      <c r="D399" s="79"/>
      <c r="E399">
        <v>2200</v>
      </c>
      <c r="F399" t="b">
        <v>0</v>
      </c>
      <c r="G399" t="s">
        <v>1228</v>
      </c>
      <c r="H399" t="s">
        <v>1233</v>
      </c>
    </row>
    <row r="400" spans="1:8" ht="15">
      <c r="A400" s="79" t="s">
        <v>805</v>
      </c>
      <c r="B400" s="79"/>
      <c r="C400" s="79"/>
      <c r="D400" s="79"/>
      <c r="E400">
        <v>2200</v>
      </c>
      <c r="F400" t="b">
        <v>0</v>
      </c>
      <c r="G400" t="s">
        <v>1228</v>
      </c>
      <c r="H400" t="s">
        <v>1233</v>
      </c>
    </row>
    <row r="401" spans="1:8" ht="15">
      <c r="A401" s="79" t="s">
        <v>806</v>
      </c>
      <c r="B401" s="79"/>
      <c r="C401" s="79"/>
      <c r="D401" s="79"/>
      <c r="E401">
        <v>2200</v>
      </c>
      <c r="F401" t="b">
        <v>0</v>
      </c>
      <c r="G401" t="s">
        <v>1228</v>
      </c>
      <c r="H401" t="s">
        <v>1233</v>
      </c>
    </row>
    <row r="402" spans="1:8" ht="15">
      <c r="A402" s="79" t="s">
        <v>807</v>
      </c>
      <c r="B402" s="79"/>
      <c r="C402" s="79"/>
      <c r="D402" s="79"/>
      <c r="E402">
        <v>2200</v>
      </c>
      <c r="F402" t="b">
        <v>0</v>
      </c>
      <c r="G402" t="s">
        <v>1228</v>
      </c>
      <c r="H402" t="s">
        <v>1233</v>
      </c>
    </row>
    <row r="403" spans="1:8" ht="15">
      <c r="A403" s="79" t="s">
        <v>808</v>
      </c>
      <c r="B403" s="79"/>
      <c r="C403" s="79"/>
      <c r="D403" s="79"/>
      <c r="E403">
        <v>2200</v>
      </c>
      <c r="F403" t="b">
        <v>0</v>
      </c>
      <c r="G403" t="s">
        <v>1228</v>
      </c>
      <c r="H403" t="s">
        <v>1233</v>
      </c>
    </row>
    <row r="404" spans="1:8" ht="15">
      <c r="A404" s="79" t="s">
        <v>809</v>
      </c>
      <c r="B404" s="79"/>
      <c r="C404" s="79"/>
      <c r="D404" s="79"/>
      <c r="E404">
        <v>2200</v>
      </c>
      <c r="F404" t="b">
        <v>0</v>
      </c>
      <c r="G404" t="s">
        <v>1228</v>
      </c>
      <c r="H404" t="s">
        <v>1233</v>
      </c>
    </row>
    <row r="405" spans="1:8" ht="15">
      <c r="A405" s="79" t="s">
        <v>810</v>
      </c>
      <c r="B405" s="79"/>
      <c r="C405" s="79"/>
      <c r="D405" s="79"/>
      <c r="E405">
        <v>2200</v>
      </c>
      <c r="F405" t="b">
        <v>0</v>
      </c>
      <c r="G405" t="s">
        <v>1228</v>
      </c>
      <c r="H405" t="s">
        <v>1233</v>
      </c>
    </row>
    <row r="406" spans="1:8" ht="15">
      <c r="A406" s="79" t="s">
        <v>811</v>
      </c>
      <c r="B406" s="79"/>
      <c r="C406" s="79"/>
      <c r="D406" s="79"/>
      <c r="E406">
        <v>2200</v>
      </c>
      <c r="F406" t="b">
        <v>0</v>
      </c>
      <c r="G406" t="s">
        <v>1228</v>
      </c>
      <c r="H406" t="s">
        <v>1233</v>
      </c>
    </row>
    <row r="407" spans="1:8" ht="15">
      <c r="A407" s="79" t="s">
        <v>812</v>
      </c>
      <c r="B407" s="79"/>
      <c r="C407" s="79"/>
      <c r="D407" s="79"/>
      <c r="E407">
        <v>2200</v>
      </c>
      <c r="F407" t="b">
        <v>0</v>
      </c>
      <c r="G407" t="s">
        <v>1228</v>
      </c>
      <c r="H407" t="s">
        <v>1233</v>
      </c>
    </row>
    <row r="408" spans="1:8" ht="15">
      <c r="A408" s="79" t="s">
        <v>813</v>
      </c>
      <c r="B408" s="79"/>
      <c r="C408" s="79"/>
      <c r="D408" s="79"/>
      <c r="E408">
        <v>2200</v>
      </c>
      <c r="F408" t="b">
        <v>0</v>
      </c>
      <c r="G408" t="s">
        <v>1228</v>
      </c>
      <c r="H408" t="s">
        <v>1233</v>
      </c>
    </row>
    <row r="409" spans="1:8" ht="15">
      <c r="A409" s="79" t="s">
        <v>814</v>
      </c>
      <c r="B409" s="79"/>
      <c r="C409" s="79"/>
      <c r="D409" s="79"/>
      <c r="E409">
        <v>2200</v>
      </c>
      <c r="F409" t="b">
        <v>0</v>
      </c>
      <c r="G409" t="s">
        <v>1228</v>
      </c>
      <c r="H409" t="s">
        <v>1233</v>
      </c>
    </row>
    <row r="410" spans="1:8" ht="15">
      <c r="A410" s="79" t="s">
        <v>815</v>
      </c>
      <c r="B410" s="79"/>
      <c r="C410" s="79"/>
      <c r="D410" s="79"/>
      <c r="E410">
        <v>2200</v>
      </c>
      <c r="F410" t="b">
        <v>0</v>
      </c>
      <c r="G410" t="s">
        <v>1228</v>
      </c>
      <c r="H410" t="s">
        <v>1233</v>
      </c>
    </row>
    <row r="411" spans="1:8" ht="15">
      <c r="A411" s="79" t="s">
        <v>816</v>
      </c>
      <c r="B411" s="79"/>
      <c r="C411" s="79"/>
      <c r="D411" s="79"/>
      <c r="E411">
        <v>2200</v>
      </c>
      <c r="F411" t="b">
        <v>0</v>
      </c>
      <c r="G411" t="s">
        <v>1228</v>
      </c>
      <c r="H411" t="s">
        <v>1233</v>
      </c>
    </row>
    <row r="412" spans="1:8" ht="15">
      <c r="A412" s="79" t="s">
        <v>817</v>
      </c>
      <c r="B412" s="79"/>
      <c r="C412" s="79"/>
      <c r="D412" s="79"/>
      <c r="E412">
        <v>2200</v>
      </c>
      <c r="F412" t="b">
        <v>0</v>
      </c>
      <c r="G412" t="s">
        <v>1228</v>
      </c>
      <c r="H412" t="s">
        <v>1233</v>
      </c>
    </row>
    <row r="413" spans="1:8" ht="15">
      <c r="A413" s="79" t="s">
        <v>818</v>
      </c>
      <c r="B413" s="79"/>
      <c r="C413" s="79"/>
      <c r="D413" s="79"/>
      <c r="E413">
        <v>2200</v>
      </c>
      <c r="F413" t="b">
        <v>0</v>
      </c>
      <c r="G413" t="s">
        <v>1228</v>
      </c>
      <c r="H413" t="s">
        <v>1233</v>
      </c>
    </row>
    <row r="414" spans="1:8" ht="15">
      <c r="A414" s="79" t="s">
        <v>819</v>
      </c>
      <c r="B414" s="79"/>
      <c r="C414" s="79"/>
      <c r="D414" s="79"/>
      <c r="E414">
        <v>2200</v>
      </c>
      <c r="F414" t="b">
        <v>0</v>
      </c>
      <c r="G414" t="s">
        <v>1228</v>
      </c>
      <c r="H414" t="s">
        <v>1233</v>
      </c>
    </row>
    <row r="415" spans="1:8" ht="15">
      <c r="A415" s="79" t="s">
        <v>820</v>
      </c>
      <c r="B415" s="79"/>
      <c r="C415" s="79"/>
      <c r="D415" s="79"/>
      <c r="E415">
        <v>2200</v>
      </c>
      <c r="F415" t="b">
        <v>0</v>
      </c>
      <c r="G415" t="s">
        <v>1228</v>
      </c>
      <c r="H415" t="s">
        <v>1233</v>
      </c>
    </row>
    <row r="416" spans="1:8" ht="15">
      <c r="A416" s="79" t="s">
        <v>821</v>
      </c>
      <c r="B416" s="79"/>
      <c r="C416" s="79"/>
      <c r="D416" s="79"/>
      <c r="E416">
        <v>2200</v>
      </c>
      <c r="F416" t="b">
        <v>0</v>
      </c>
      <c r="G416" t="s">
        <v>1228</v>
      </c>
      <c r="H416" t="s">
        <v>1233</v>
      </c>
    </row>
    <row r="417" spans="1:8" ht="15">
      <c r="A417" s="79" t="s">
        <v>822</v>
      </c>
      <c r="B417" s="79"/>
      <c r="C417" s="79"/>
      <c r="D417" s="79"/>
      <c r="E417">
        <v>2200</v>
      </c>
      <c r="F417" t="b">
        <v>0</v>
      </c>
      <c r="G417" t="s">
        <v>1228</v>
      </c>
      <c r="H417" t="s">
        <v>1233</v>
      </c>
    </row>
    <row r="418" spans="1:8" ht="15">
      <c r="A418" s="79" t="s">
        <v>823</v>
      </c>
      <c r="B418" s="79"/>
      <c r="C418" s="79"/>
      <c r="D418" s="79"/>
      <c r="E418">
        <v>2200</v>
      </c>
      <c r="F418" t="b">
        <v>0</v>
      </c>
      <c r="G418" t="s">
        <v>1228</v>
      </c>
      <c r="H418" t="s">
        <v>1233</v>
      </c>
    </row>
    <row r="419" spans="1:8" ht="15">
      <c r="A419" s="79" t="s">
        <v>824</v>
      </c>
      <c r="B419" s="79"/>
      <c r="C419" s="79"/>
      <c r="D419" s="79"/>
      <c r="E419">
        <v>2200</v>
      </c>
      <c r="F419" t="b">
        <v>0</v>
      </c>
      <c r="G419" t="s">
        <v>1228</v>
      </c>
      <c r="H419" t="s">
        <v>1233</v>
      </c>
    </row>
    <row r="420" spans="1:8" ht="15">
      <c r="A420" s="79" t="s">
        <v>825</v>
      </c>
      <c r="B420" s="79"/>
      <c r="C420" s="79"/>
      <c r="D420" s="79"/>
      <c r="E420">
        <v>2200</v>
      </c>
      <c r="F420" t="b">
        <v>0</v>
      </c>
      <c r="G420" t="s">
        <v>1228</v>
      </c>
      <c r="H420" t="s">
        <v>1233</v>
      </c>
    </row>
    <row r="421" spans="1:8" ht="15">
      <c r="A421" s="79" t="s">
        <v>826</v>
      </c>
      <c r="B421" s="79"/>
      <c r="C421" s="79"/>
      <c r="D421" s="79"/>
      <c r="E421">
        <v>2200</v>
      </c>
      <c r="F421" t="b">
        <v>0</v>
      </c>
      <c r="G421" t="s">
        <v>1228</v>
      </c>
      <c r="H421" t="s">
        <v>1233</v>
      </c>
    </row>
    <row r="422" spans="1:8" ht="15">
      <c r="A422" s="79" t="s">
        <v>875</v>
      </c>
      <c r="B422" s="79"/>
      <c r="C422" s="79"/>
      <c r="D422" s="79"/>
      <c r="E422">
        <v>1200</v>
      </c>
      <c r="F422" t="b">
        <v>0</v>
      </c>
      <c r="G422" t="s">
        <v>1234</v>
      </c>
      <c r="H422" t="s">
        <v>1233</v>
      </c>
    </row>
    <row r="423" spans="1:8" ht="15">
      <c r="A423" s="79" t="s">
        <v>876</v>
      </c>
      <c r="B423" s="79"/>
      <c r="C423" s="79"/>
      <c r="D423" s="79"/>
      <c r="E423">
        <v>1200</v>
      </c>
      <c r="F423" t="b">
        <v>0</v>
      </c>
      <c r="G423" t="s">
        <v>1234</v>
      </c>
      <c r="H423" t="s">
        <v>1233</v>
      </c>
    </row>
    <row r="424" spans="1:8" ht="15">
      <c r="A424" s="79" t="s">
        <v>877</v>
      </c>
      <c r="B424" s="79"/>
      <c r="C424" s="79"/>
      <c r="D424" s="79"/>
      <c r="E424">
        <v>1200</v>
      </c>
      <c r="F424" t="b">
        <v>0</v>
      </c>
      <c r="G424" t="s">
        <v>1234</v>
      </c>
      <c r="H424" t="s">
        <v>1233</v>
      </c>
    </row>
    <row r="425" spans="1:8" ht="15">
      <c r="A425" s="79" t="s">
        <v>878</v>
      </c>
      <c r="B425" s="79"/>
      <c r="C425" s="79"/>
      <c r="D425" s="79"/>
      <c r="E425">
        <v>1200</v>
      </c>
      <c r="F425" t="b">
        <v>0</v>
      </c>
      <c r="G425" t="s">
        <v>1234</v>
      </c>
      <c r="H425" t="s">
        <v>1233</v>
      </c>
    </row>
    <row r="426" spans="1:8" ht="15">
      <c r="A426" s="79" t="s">
        <v>879</v>
      </c>
      <c r="B426" s="79"/>
      <c r="C426" s="79"/>
      <c r="D426" s="79"/>
      <c r="E426">
        <v>1200</v>
      </c>
      <c r="F426" t="b">
        <v>0</v>
      </c>
      <c r="G426" t="s">
        <v>1234</v>
      </c>
      <c r="H426" t="s">
        <v>1233</v>
      </c>
    </row>
    <row r="427" spans="1:8" ht="15">
      <c r="A427" s="79" t="s">
        <v>880</v>
      </c>
      <c r="B427" s="79"/>
      <c r="C427" s="79"/>
      <c r="D427" s="79"/>
      <c r="E427">
        <v>1200</v>
      </c>
      <c r="F427" t="b">
        <v>0</v>
      </c>
      <c r="G427" t="s">
        <v>1234</v>
      </c>
      <c r="H427" t="s">
        <v>1233</v>
      </c>
    </row>
    <row r="428" spans="1:8" ht="15">
      <c r="A428" s="79" t="s">
        <v>881</v>
      </c>
      <c r="B428" s="79"/>
      <c r="C428" s="79"/>
      <c r="D428" s="79"/>
      <c r="E428">
        <v>1200</v>
      </c>
      <c r="F428" t="b">
        <v>0</v>
      </c>
      <c r="G428" t="s">
        <v>1234</v>
      </c>
      <c r="H428" t="s">
        <v>1233</v>
      </c>
    </row>
    <row r="429" spans="1:8" ht="15">
      <c r="A429" s="79" t="s">
        <v>882</v>
      </c>
      <c r="B429" s="79"/>
      <c r="C429" s="79"/>
      <c r="D429" s="79"/>
      <c r="E429">
        <v>1200</v>
      </c>
      <c r="F429" t="b">
        <v>0</v>
      </c>
      <c r="G429" t="s">
        <v>1234</v>
      </c>
      <c r="H429" t="s">
        <v>1233</v>
      </c>
    </row>
    <row r="430" spans="1:8" ht="15">
      <c r="A430" s="79" t="s">
        <v>883</v>
      </c>
      <c r="B430" s="79"/>
      <c r="C430" s="79"/>
      <c r="D430" s="79"/>
      <c r="E430">
        <v>1200</v>
      </c>
      <c r="F430" t="b">
        <v>0</v>
      </c>
      <c r="G430" t="s">
        <v>1234</v>
      </c>
      <c r="H430" t="s">
        <v>1233</v>
      </c>
    </row>
    <row r="431" spans="1:8" ht="15">
      <c r="A431" s="79" t="s">
        <v>884</v>
      </c>
      <c r="B431" s="79"/>
      <c r="C431" s="79"/>
      <c r="D431" s="79"/>
      <c r="E431">
        <v>1200</v>
      </c>
      <c r="F431" t="b">
        <v>0</v>
      </c>
      <c r="G431" t="s">
        <v>1234</v>
      </c>
      <c r="H431" t="s">
        <v>1233</v>
      </c>
    </row>
    <row r="432" spans="1:8" ht="15">
      <c r="A432" s="79" t="s">
        <v>885</v>
      </c>
      <c r="B432" s="79"/>
      <c r="C432" s="79"/>
      <c r="D432" s="79"/>
      <c r="E432">
        <v>1200</v>
      </c>
      <c r="F432" t="b">
        <v>0</v>
      </c>
      <c r="G432" t="s">
        <v>1234</v>
      </c>
      <c r="H432" t="s">
        <v>1233</v>
      </c>
    </row>
    <row r="433" spans="1:8" ht="15">
      <c r="A433" s="79" t="s">
        <v>886</v>
      </c>
      <c r="B433" s="79"/>
      <c r="C433" s="79"/>
      <c r="D433" s="79"/>
      <c r="E433">
        <v>1200</v>
      </c>
      <c r="F433" t="b">
        <v>0</v>
      </c>
      <c r="G433" t="s">
        <v>1234</v>
      </c>
      <c r="H433" t="s">
        <v>1233</v>
      </c>
    </row>
    <row r="434" spans="1:8" ht="15">
      <c r="A434" s="79" t="s">
        <v>887</v>
      </c>
      <c r="B434" s="79"/>
      <c r="C434" s="79"/>
      <c r="D434" s="79"/>
      <c r="E434">
        <v>1200</v>
      </c>
      <c r="F434" t="b">
        <v>0</v>
      </c>
      <c r="G434" t="s">
        <v>1234</v>
      </c>
      <c r="H434" t="s">
        <v>1233</v>
      </c>
    </row>
    <row r="435" spans="1:8" ht="15">
      <c r="A435" s="79" t="s">
        <v>888</v>
      </c>
      <c r="B435" s="79"/>
      <c r="C435" s="79"/>
      <c r="D435" s="79"/>
      <c r="E435">
        <v>1200</v>
      </c>
      <c r="F435" t="b">
        <v>0</v>
      </c>
      <c r="G435" t="s">
        <v>1234</v>
      </c>
      <c r="H435" t="s">
        <v>1233</v>
      </c>
    </row>
    <row r="436" spans="1:8" ht="15">
      <c r="A436" s="79" t="s">
        <v>889</v>
      </c>
      <c r="B436" s="79"/>
      <c r="C436" s="79"/>
      <c r="D436" s="79"/>
      <c r="E436">
        <v>1200</v>
      </c>
      <c r="F436" t="b">
        <v>0</v>
      </c>
      <c r="G436" t="s">
        <v>1234</v>
      </c>
      <c r="H436" t="s">
        <v>1233</v>
      </c>
    </row>
    <row r="437" spans="1:8" ht="15">
      <c r="A437" s="79" t="s">
        <v>890</v>
      </c>
      <c r="B437" s="79"/>
      <c r="C437" s="79"/>
      <c r="D437" s="79"/>
      <c r="E437">
        <v>1200</v>
      </c>
      <c r="F437" t="b">
        <v>0</v>
      </c>
      <c r="G437" t="s">
        <v>1234</v>
      </c>
      <c r="H437" t="s">
        <v>1233</v>
      </c>
    </row>
    <row r="438" spans="1:8" ht="15">
      <c r="A438" s="79" t="s">
        <v>891</v>
      </c>
      <c r="B438" s="79"/>
      <c r="C438" s="79"/>
      <c r="D438" s="79"/>
      <c r="E438">
        <v>1200</v>
      </c>
      <c r="F438" t="b">
        <v>0</v>
      </c>
      <c r="G438" t="s">
        <v>1234</v>
      </c>
      <c r="H438" t="s">
        <v>1233</v>
      </c>
    </row>
    <row r="439" spans="1:8" ht="15">
      <c r="A439" s="79" t="s">
        <v>892</v>
      </c>
      <c r="B439" s="79"/>
      <c r="C439" s="79"/>
      <c r="D439" s="79"/>
      <c r="E439">
        <v>1200</v>
      </c>
      <c r="F439" t="b">
        <v>0</v>
      </c>
      <c r="G439" t="s">
        <v>1234</v>
      </c>
      <c r="H439" t="s">
        <v>1233</v>
      </c>
    </row>
    <row r="440" spans="1:8" ht="15">
      <c r="A440" s="79" t="s">
        <v>893</v>
      </c>
      <c r="B440" s="79"/>
      <c r="C440" s="79"/>
      <c r="D440" s="79"/>
      <c r="E440">
        <v>1200</v>
      </c>
      <c r="F440" t="b">
        <v>0</v>
      </c>
      <c r="G440" t="s">
        <v>1234</v>
      </c>
      <c r="H440" t="s">
        <v>1233</v>
      </c>
    </row>
    <row r="441" spans="1:8" ht="15">
      <c r="A441" s="79" t="s">
        <v>894</v>
      </c>
      <c r="B441" s="79"/>
      <c r="C441" s="79"/>
      <c r="D441" s="79"/>
      <c r="E441">
        <v>1200</v>
      </c>
      <c r="F441" t="b">
        <v>0</v>
      </c>
      <c r="G441" t="s">
        <v>1234</v>
      </c>
      <c r="H441" t="s">
        <v>1233</v>
      </c>
    </row>
    <row r="442" spans="1:8" ht="15">
      <c r="A442" s="79" t="s">
        <v>895</v>
      </c>
      <c r="B442" s="79"/>
      <c r="C442" s="79"/>
      <c r="D442" s="79"/>
      <c r="E442">
        <v>1200</v>
      </c>
      <c r="F442" t="b">
        <v>0</v>
      </c>
      <c r="G442" t="s">
        <v>1234</v>
      </c>
      <c r="H442" t="s">
        <v>1233</v>
      </c>
    </row>
    <row r="443" spans="1:8" ht="15">
      <c r="A443" s="79" t="s">
        <v>896</v>
      </c>
      <c r="B443" s="79"/>
      <c r="C443" s="79"/>
      <c r="D443" s="79"/>
      <c r="E443">
        <v>1200</v>
      </c>
      <c r="F443" t="b">
        <v>0</v>
      </c>
      <c r="G443" t="s">
        <v>1234</v>
      </c>
      <c r="H443" t="s">
        <v>1233</v>
      </c>
    </row>
    <row r="444" spans="1:8" ht="15">
      <c r="A444" s="79" t="s">
        <v>897</v>
      </c>
      <c r="B444" s="79"/>
      <c r="C444" s="79"/>
      <c r="D444" s="79"/>
      <c r="E444">
        <v>1200</v>
      </c>
      <c r="F444" t="b">
        <v>0</v>
      </c>
      <c r="G444" t="s">
        <v>1234</v>
      </c>
      <c r="H444" t="s">
        <v>1233</v>
      </c>
    </row>
    <row r="445" spans="1:8" ht="15">
      <c r="A445" s="79" t="s">
        <v>898</v>
      </c>
      <c r="B445" s="79"/>
      <c r="C445" s="79"/>
      <c r="D445" s="79"/>
      <c r="E445">
        <v>1200</v>
      </c>
      <c r="F445" t="b">
        <v>0</v>
      </c>
      <c r="G445" t="s">
        <v>1234</v>
      </c>
      <c r="H445" t="s">
        <v>1233</v>
      </c>
    </row>
    <row r="446" spans="1:8" ht="15">
      <c r="A446" s="79" t="s">
        <v>899</v>
      </c>
      <c r="B446" s="79"/>
      <c r="C446" s="79"/>
      <c r="D446" s="79"/>
      <c r="E446">
        <v>1200</v>
      </c>
      <c r="F446" t="b">
        <v>0</v>
      </c>
      <c r="G446" t="s">
        <v>1234</v>
      </c>
      <c r="H446" t="s">
        <v>1233</v>
      </c>
    </row>
    <row r="447" spans="1:8" ht="15">
      <c r="A447" s="79" t="s">
        <v>900</v>
      </c>
      <c r="B447" s="79"/>
      <c r="C447" s="79"/>
      <c r="D447" s="79"/>
      <c r="E447">
        <v>1200</v>
      </c>
      <c r="F447" t="b">
        <v>0</v>
      </c>
      <c r="G447" t="s">
        <v>1234</v>
      </c>
      <c r="H447" t="s">
        <v>1233</v>
      </c>
    </row>
    <row r="448" spans="1:8" ht="15">
      <c r="A448" s="79" t="s">
        <v>901</v>
      </c>
      <c r="B448" s="79"/>
      <c r="C448" s="79"/>
      <c r="D448" s="79"/>
      <c r="E448">
        <v>1200</v>
      </c>
      <c r="F448" t="b">
        <v>0</v>
      </c>
      <c r="G448" t="s">
        <v>1234</v>
      </c>
      <c r="H448" t="s">
        <v>1233</v>
      </c>
    </row>
    <row r="449" spans="1:8" ht="15">
      <c r="A449" s="79" t="s">
        <v>902</v>
      </c>
      <c r="B449" s="79"/>
      <c r="C449" s="79"/>
      <c r="D449" s="79"/>
      <c r="E449">
        <v>1200</v>
      </c>
      <c r="F449" t="b">
        <v>0</v>
      </c>
      <c r="G449" t="s">
        <v>1234</v>
      </c>
      <c r="H449" t="s">
        <v>1233</v>
      </c>
    </row>
    <row r="450" spans="1:8" ht="15">
      <c r="A450" s="79" t="s">
        <v>903</v>
      </c>
      <c r="B450" s="79"/>
      <c r="C450" s="79"/>
      <c r="D450" s="79"/>
      <c r="E450">
        <v>1200</v>
      </c>
      <c r="F450" t="b">
        <v>0</v>
      </c>
      <c r="G450" t="s">
        <v>1234</v>
      </c>
      <c r="H450" t="s">
        <v>1233</v>
      </c>
    </row>
    <row r="451" spans="1:8" ht="15">
      <c r="A451" s="79" t="s">
        <v>904</v>
      </c>
      <c r="B451" s="79"/>
      <c r="C451" s="79"/>
      <c r="D451" s="79"/>
      <c r="E451">
        <v>1200</v>
      </c>
      <c r="F451" t="b">
        <v>0</v>
      </c>
      <c r="G451" t="s">
        <v>1234</v>
      </c>
      <c r="H451" t="s">
        <v>1233</v>
      </c>
    </row>
    <row r="452" spans="1:8" ht="15">
      <c r="A452" s="79" t="s">
        <v>905</v>
      </c>
      <c r="B452" s="79"/>
      <c r="C452" s="79"/>
      <c r="D452" s="79"/>
      <c r="E452">
        <v>1200</v>
      </c>
      <c r="F452" t="b">
        <v>0</v>
      </c>
      <c r="G452" t="s">
        <v>1234</v>
      </c>
      <c r="H452" t="s">
        <v>1233</v>
      </c>
    </row>
    <row r="453" spans="1:8" ht="15">
      <c r="A453" s="79" t="s">
        <v>906</v>
      </c>
      <c r="B453" s="79"/>
      <c r="C453" s="79"/>
      <c r="D453" s="79"/>
      <c r="E453">
        <v>1200</v>
      </c>
      <c r="F453" t="b">
        <v>0</v>
      </c>
      <c r="G453" t="s">
        <v>1234</v>
      </c>
      <c r="H453" t="s">
        <v>1233</v>
      </c>
    </row>
    <row r="454" spans="1:8" ht="15">
      <c r="A454" s="79" t="s">
        <v>907</v>
      </c>
      <c r="B454" s="79"/>
      <c r="C454" s="79"/>
      <c r="D454" s="79"/>
      <c r="E454">
        <v>1200</v>
      </c>
      <c r="F454" t="b">
        <v>0</v>
      </c>
      <c r="G454" t="s">
        <v>1234</v>
      </c>
      <c r="H454" t="s">
        <v>1233</v>
      </c>
    </row>
    <row r="455" spans="1:8" ht="15">
      <c r="A455" s="79" t="s">
        <v>908</v>
      </c>
      <c r="B455" s="79"/>
      <c r="C455" s="79"/>
      <c r="D455" s="79"/>
      <c r="E455">
        <v>1200</v>
      </c>
      <c r="F455" t="b">
        <v>0</v>
      </c>
      <c r="G455" t="s">
        <v>1234</v>
      </c>
      <c r="H455" t="s">
        <v>1233</v>
      </c>
    </row>
    <row r="456" spans="1:8" ht="15">
      <c r="A456" s="79" t="s">
        <v>909</v>
      </c>
      <c r="B456" s="79"/>
      <c r="C456" s="79"/>
      <c r="D456" s="79"/>
      <c r="E456">
        <v>1200</v>
      </c>
      <c r="F456" t="b">
        <v>0</v>
      </c>
      <c r="G456" t="s">
        <v>1234</v>
      </c>
      <c r="H456" t="s">
        <v>1233</v>
      </c>
    </row>
    <row r="457" spans="1:8" ht="15">
      <c r="A457" s="79" t="s">
        <v>910</v>
      </c>
      <c r="B457" s="79"/>
      <c r="C457" s="79"/>
      <c r="D457" s="79"/>
      <c r="E457">
        <v>1200</v>
      </c>
      <c r="F457" t="b">
        <v>0</v>
      </c>
      <c r="G457" t="s">
        <v>1234</v>
      </c>
      <c r="H457" t="s">
        <v>1233</v>
      </c>
    </row>
    <row r="458" spans="1:8" ht="15">
      <c r="A458" s="79" t="s">
        <v>911</v>
      </c>
      <c r="B458" s="79"/>
      <c r="C458" s="79"/>
      <c r="D458" s="79"/>
      <c r="E458">
        <v>1200</v>
      </c>
      <c r="F458" t="b">
        <v>0</v>
      </c>
      <c r="G458" t="s">
        <v>1234</v>
      </c>
      <c r="H458" t="s">
        <v>1233</v>
      </c>
    </row>
    <row r="459" spans="1:8" ht="15">
      <c r="A459" s="79" t="s">
        <v>912</v>
      </c>
      <c r="B459" s="79"/>
      <c r="C459" s="79"/>
      <c r="D459" s="79"/>
      <c r="E459">
        <v>1200</v>
      </c>
      <c r="F459" t="b">
        <v>0</v>
      </c>
      <c r="G459" t="s">
        <v>1234</v>
      </c>
      <c r="H459" t="s">
        <v>1233</v>
      </c>
    </row>
    <row r="460" spans="1:8" ht="15">
      <c r="A460" s="79" t="s">
        <v>913</v>
      </c>
      <c r="B460" s="79"/>
      <c r="C460" s="79"/>
      <c r="D460" s="79"/>
      <c r="E460">
        <v>1200</v>
      </c>
      <c r="F460" t="b">
        <v>0</v>
      </c>
      <c r="G460" t="s">
        <v>1234</v>
      </c>
      <c r="H460" t="s">
        <v>1233</v>
      </c>
    </row>
    <row r="461" spans="1:8" ht="15">
      <c r="A461" s="79" t="s">
        <v>914</v>
      </c>
      <c r="B461" s="79"/>
      <c r="C461" s="79"/>
      <c r="D461" s="79"/>
      <c r="E461">
        <v>1200</v>
      </c>
      <c r="F461" t="b">
        <v>0</v>
      </c>
      <c r="G461" t="s">
        <v>1234</v>
      </c>
      <c r="H461" t="s">
        <v>1233</v>
      </c>
    </row>
    <row r="462" spans="1:8" ht="15">
      <c r="A462" s="79" t="s">
        <v>915</v>
      </c>
      <c r="B462" s="79"/>
      <c r="C462" s="79"/>
      <c r="D462" s="79"/>
      <c r="E462">
        <v>1200</v>
      </c>
      <c r="F462" t="b">
        <v>0</v>
      </c>
      <c r="G462" t="s">
        <v>1234</v>
      </c>
      <c r="H462" t="s">
        <v>1233</v>
      </c>
    </row>
    <row r="463" spans="1:8" ht="15">
      <c r="A463" s="79" t="s">
        <v>916</v>
      </c>
      <c r="B463" s="79"/>
      <c r="C463" s="79"/>
      <c r="D463" s="79"/>
      <c r="E463">
        <v>1200</v>
      </c>
      <c r="F463" t="b">
        <v>0</v>
      </c>
      <c r="G463" t="s">
        <v>1234</v>
      </c>
      <c r="H463" t="s">
        <v>1233</v>
      </c>
    </row>
    <row r="464" spans="1:8" ht="15">
      <c r="A464" s="79" t="s">
        <v>917</v>
      </c>
      <c r="B464" s="79"/>
      <c r="C464" s="79"/>
      <c r="D464" s="79"/>
      <c r="E464">
        <v>1200</v>
      </c>
      <c r="F464" t="b">
        <v>0</v>
      </c>
      <c r="G464" t="s">
        <v>1234</v>
      </c>
      <c r="H464" t="s">
        <v>1233</v>
      </c>
    </row>
    <row r="465" spans="1:8" ht="15">
      <c r="A465" s="79" t="s">
        <v>918</v>
      </c>
      <c r="B465" s="79"/>
      <c r="C465" s="79"/>
      <c r="D465" s="79"/>
      <c r="E465">
        <v>1200</v>
      </c>
      <c r="F465" t="b">
        <v>0</v>
      </c>
      <c r="G465" t="s">
        <v>1234</v>
      </c>
      <c r="H465" t="s">
        <v>1233</v>
      </c>
    </row>
    <row r="466" spans="1:8" ht="15">
      <c r="A466" s="79" t="s">
        <v>919</v>
      </c>
      <c r="B466" s="79"/>
      <c r="C466" s="79"/>
      <c r="D466" s="79"/>
      <c r="E466">
        <v>1200</v>
      </c>
      <c r="F466" t="b">
        <v>0</v>
      </c>
      <c r="G466" t="s">
        <v>1234</v>
      </c>
      <c r="H466" t="s">
        <v>1233</v>
      </c>
    </row>
    <row r="467" spans="1:8" ht="15">
      <c r="A467" s="79" t="s">
        <v>920</v>
      </c>
      <c r="B467" s="79"/>
      <c r="C467" s="79"/>
      <c r="D467" s="79"/>
      <c r="E467">
        <v>1200</v>
      </c>
      <c r="F467" t="b">
        <v>0</v>
      </c>
      <c r="G467" t="s">
        <v>1234</v>
      </c>
      <c r="H467" t="s">
        <v>1233</v>
      </c>
    </row>
    <row r="468" spans="1:8" ht="15">
      <c r="A468" s="79" t="s">
        <v>921</v>
      </c>
      <c r="B468" s="79"/>
      <c r="C468" s="79"/>
      <c r="D468" s="79"/>
      <c r="E468">
        <v>1200</v>
      </c>
      <c r="F468" t="b">
        <v>0</v>
      </c>
      <c r="G468" t="s">
        <v>1234</v>
      </c>
      <c r="H468" t="s">
        <v>1233</v>
      </c>
    </row>
    <row r="469" spans="1:8" ht="15">
      <c r="A469" s="79" t="s">
        <v>922</v>
      </c>
      <c r="B469" s="79"/>
      <c r="C469" s="79"/>
      <c r="D469" s="79"/>
      <c r="E469">
        <v>1200</v>
      </c>
      <c r="F469" t="b">
        <v>0</v>
      </c>
      <c r="G469" t="s">
        <v>1234</v>
      </c>
      <c r="H469" t="s">
        <v>1233</v>
      </c>
    </row>
    <row r="470" spans="1:8" ht="15">
      <c r="A470" s="79" t="s">
        <v>923</v>
      </c>
      <c r="B470" s="79"/>
      <c r="C470" s="79"/>
      <c r="D470" s="79"/>
      <c r="E470">
        <v>1200</v>
      </c>
      <c r="F470" t="b">
        <v>0</v>
      </c>
      <c r="G470" t="s">
        <v>1234</v>
      </c>
      <c r="H470" t="s">
        <v>1233</v>
      </c>
    </row>
    <row r="471" spans="1:8" ht="15">
      <c r="A471" s="79" t="s">
        <v>924</v>
      </c>
      <c r="B471" s="79"/>
      <c r="C471" s="79"/>
      <c r="D471" s="79"/>
      <c r="E471">
        <v>1200</v>
      </c>
      <c r="F471" t="b">
        <v>0</v>
      </c>
      <c r="G471" t="s">
        <v>1234</v>
      </c>
      <c r="H471" t="s">
        <v>1233</v>
      </c>
    </row>
    <row r="472" spans="1:8" ht="15">
      <c r="A472" s="79" t="s">
        <v>925</v>
      </c>
      <c r="B472" s="79"/>
      <c r="C472" s="79"/>
      <c r="D472" s="79"/>
      <c r="E472">
        <v>1200</v>
      </c>
      <c r="F472" t="b">
        <v>0</v>
      </c>
      <c r="G472" t="s">
        <v>1234</v>
      </c>
      <c r="H472" t="s">
        <v>1233</v>
      </c>
    </row>
    <row r="473" spans="1:8" ht="15">
      <c r="A473" s="79" t="s">
        <v>926</v>
      </c>
      <c r="B473" s="79"/>
      <c r="C473" s="79"/>
      <c r="D473" s="79"/>
      <c r="E473">
        <v>1200</v>
      </c>
      <c r="F473" t="b">
        <v>0</v>
      </c>
      <c r="G473" t="s">
        <v>1234</v>
      </c>
      <c r="H473" t="s">
        <v>1233</v>
      </c>
    </row>
    <row r="474" spans="1:8" ht="15">
      <c r="A474" s="79" t="s">
        <v>927</v>
      </c>
      <c r="B474" s="79"/>
      <c r="C474" s="79"/>
      <c r="D474" s="79"/>
      <c r="E474">
        <v>1200</v>
      </c>
      <c r="F474" t="b">
        <v>0</v>
      </c>
      <c r="G474" t="s">
        <v>1234</v>
      </c>
      <c r="H474" t="s">
        <v>1233</v>
      </c>
    </row>
    <row r="475" spans="1:8" ht="15">
      <c r="A475" s="79" t="s">
        <v>928</v>
      </c>
      <c r="B475" s="79"/>
      <c r="C475" s="79"/>
      <c r="D475" s="79"/>
      <c r="E475">
        <v>1200</v>
      </c>
      <c r="F475" t="b">
        <v>0</v>
      </c>
      <c r="G475" t="s">
        <v>1234</v>
      </c>
      <c r="H475" t="s">
        <v>1233</v>
      </c>
    </row>
    <row r="476" spans="1:8" ht="15">
      <c r="A476" s="79" t="s">
        <v>929</v>
      </c>
      <c r="B476" s="79"/>
      <c r="C476" s="79"/>
      <c r="D476" s="79"/>
      <c r="E476">
        <v>1200</v>
      </c>
      <c r="F476" t="b">
        <v>0</v>
      </c>
      <c r="G476" t="s">
        <v>1234</v>
      </c>
      <c r="H476" t="s">
        <v>1233</v>
      </c>
    </row>
    <row r="477" spans="1:8" ht="15">
      <c r="A477" s="79" t="s">
        <v>930</v>
      </c>
      <c r="B477" s="79"/>
      <c r="C477" s="79"/>
      <c r="D477" s="79"/>
      <c r="E477">
        <v>1200</v>
      </c>
      <c r="F477" t="b">
        <v>0</v>
      </c>
      <c r="G477" t="s">
        <v>1234</v>
      </c>
      <c r="H477" t="s">
        <v>1233</v>
      </c>
    </row>
    <row r="478" spans="1:8" ht="15">
      <c r="A478" s="79" t="s">
        <v>931</v>
      </c>
      <c r="B478" s="79"/>
      <c r="C478" s="79"/>
      <c r="D478" s="79"/>
      <c r="E478">
        <v>1200</v>
      </c>
      <c r="F478" t="b">
        <v>0</v>
      </c>
      <c r="G478" t="s">
        <v>1234</v>
      </c>
      <c r="H478" t="s">
        <v>1233</v>
      </c>
    </row>
    <row r="479" spans="1:8" ht="15">
      <c r="A479" s="79" t="s">
        <v>932</v>
      </c>
      <c r="B479" s="79"/>
      <c r="C479" s="79"/>
      <c r="D479" s="79"/>
      <c r="E479">
        <v>1200</v>
      </c>
      <c r="F479" t="b">
        <v>0</v>
      </c>
      <c r="G479" t="s">
        <v>1234</v>
      </c>
      <c r="H479" t="s">
        <v>1233</v>
      </c>
    </row>
    <row r="480" spans="1:8" ht="15">
      <c r="A480" s="79" t="s">
        <v>933</v>
      </c>
      <c r="B480" s="79"/>
      <c r="C480" s="79"/>
      <c r="D480" s="79"/>
      <c r="E480">
        <v>1200</v>
      </c>
      <c r="F480" t="b">
        <v>0</v>
      </c>
      <c r="G480" t="s">
        <v>1234</v>
      </c>
      <c r="H480" t="s">
        <v>1233</v>
      </c>
    </row>
    <row r="481" spans="1:8" ht="15">
      <c r="A481" s="79" t="s">
        <v>934</v>
      </c>
      <c r="B481" s="79"/>
      <c r="C481" s="79"/>
      <c r="D481" s="79"/>
      <c r="E481">
        <v>1200</v>
      </c>
      <c r="F481" t="b">
        <v>0</v>
      </c>
      <c r="G481" t="s">
        <v>1234</v>
      </c>
      <c r="H481" t="s">
        <v>1233</v>
      </c>
    </row>
    <row r="482" spans="1:8" ht="15">
      <c r="A482" s="79" t="s">
        <v>935</v>
      </c>
      <c r="B482" s="79"/>
      <c r="C482" s="79"/>
      <c r="D482" s="79"/>
      <c r="E482">
        <v>1200</v>
      </c>
      <c r="F482" t="b">
        <v>0</v>
      </c>
      <c r="G482" t="s">
        <v>1234</v>
      </c>
      <c r="H482" t="s">
        <v>1233</v>
      </c>
    </row>
    <row r="483" spans="1:8" ht="15">
      <c r="A483" s="79" t="s">
        <v>936</v>
      </c>
      <c r="B483" s="79"/>
      <c r="C483" s="79"/>
      <c r="D483" s="79"/>
      <c r="E483">
        <v>1200</v>
      </c>
      <c r="F483" t="b">
        <v>0</v>
      </c>
      <c r="G483" t="s">
        <v>1232</v>
      </c>
      <c r="H483" t="s">
        <v>1233</v>
      </c>
    </row>
    <row r="484" spans="1:8" ht="15">
      <c r="A484" s="79" t="s">
        <v>937</v>
      </c>
      <c r="B484" s="79"/>
      <c r="C484" s="79"/>
      <c r="D484" s="79"/>
      <c r="E484">
        <v>1200</v>
      </c>
      <c r="F484" t="b">
        <v>0</v>
      </c>
      <c r="G484" t="s">
        <v>1232</v>
      </c>
      <c r="H484" t="s">
        <v>1233</v>
      </c>
    </row>
    <row r="485" spans="1:8" ht="15">
      <c r="A485" s="79" t="s">
        <v>938</v>
      </c>
      <c r="B485" s="79"/>
      <c r="C485" s="79" t="s">
        <v>827</v>
      </c>
      <c r="D485" s="79"/>
      <c r="E485">
        <v>1200</v>
      </c>
      <c r="F485" t="b">
        <v>0</v>
      </c>
      <c r="G485" t="s">
        <v>1232</v>
      </c>
      <c r="H485" t="s">
        <v>1233</v>
      </c>
    </row>
    <row r="486" spans="1:8" ht="15">
      <c r="A486" s="79" t="s">
        <v>939</v>
      </c>
      <c r="B486" s="79"/>
      <c r="C486" s="79"/>
      <c r="D486" s="79"/>
      <c r="E486">
        <v>1200</v>
      </c>
      <c r="F486" t="b">
        <v>0</v>
      </c>
      <c r="G486" t="s">
        <v>1232</v>
      </c>
      <c r="H486" t="s">
        <v>1233</v>
      </c>
    </row>
    <row r="487" spans="1:8" ht="15">
      <c r="A487" s="79" t="s">
        <v>940</v>
      </c>
      <c r="B487" s="79"/>
      <c r="C487" s="79"/>
      <c r="D487" s="79"/>
      <c r="E487">
        <v>1200</v>
      </c>
      <c r="F487" t="b">
        <v>0</v>
      </c>
      <c r="G487" t="s">
        <v>1232</v>
      </c>
      <c r="H487" t="s">
        <v>1233</v>
      </c>
    </row>
    <row r="488" spans="1:8" ht="15">
      <c r="A488" s="79" t="s">
        <v>941</v>
      </c>
      <c r="B488" s="79" t="s">
        <v>159</v>
      </c>
      <c r="C488" s="79"/>
      <c r="D488" s="79"/>
      <c r="E488">
        <v>1200</v>
      </c>
      <c r="F488" t="b">
        <v>0</v>
      </c>
      <c r="G488" t="s">
        <v>1232</v>
      </c>
      <c r="H488" t="s">
        <v>1233</v>
      </c>
    </row>
    <row r="489" spans="1:8" ht="15">
      <c r="A489" s="79" t="s">
        <v>942</v>
      </c>
      <c r="B489" s="79"/>
      <c r="C489" s="79"/>
      <c r="D489" s="79"/>
      <c r="E489">
        <v>1200</v>
      </c>
      <c r="F489" t="b">
        <v>0</v>
      </c>
      <c r="G489" t="s">
        <v>1232</v>
      </c>
      <c r="H489" t="s">
        <v>1233</v>
      </c>
    </row>
    <row r="490" spans="1:8" ht="15">
      <c r="A490" s="79" t="s">
        <v>943</v>
      </c>
      <c r="B490" s="79"/>
      <c r="C490" s="79"/>
      <c r="D490" s="79"/>
      <c r="E490">
        <v>1200</v>
      </c>
      <c r="F490" t="b">
        <v>0</v>
      </c>
      <c r="G490" t="s">
        <v>1232</v>
      </c>
      <c r="H490" t="s">
        <v>1233</v>
      </c>
    </row>
    <row r="491" spans="1:8" ht="15">
      <c r="A491" s="79" t="s">
        <v>944</v>
      </c>
      <c r="B491" s="79"/>
      <c r="C491" s="79"/>
      <c r="D491" s="79"/>
      <c r="E491">
        <v>1200</v>
      </c>
      <c r="F491" t="b">
        <v>0</v>
      </c>
      <c r="G491" t="s">
        <v>1232</v>
      </c>
      <c r="H491" t="s">
        <v>1233</v>
      </c>
    </row>
    <row r="492" spans="1:8" ht="15">
      <c r="A492" s="79" t="s">
        <v>945</v>
      </c>
      <c r="B492" s="79"/>
      <c r="C492" s="79"/>
      <c r="D492" s="79"/>
      <c r="E492">
        <v>1200</v>
      </c>
      <c r="F492" t="b">
        <v>0</v>
      </c>
      <c r="G492" t="s">
        <v>1232</v>
      </c>
      <c r="H492" t="s">
        <v>1233</v>
      </c>
    </row>
    <row r="493" spans="1:8" ht="15">
      <c r="A493" s="79" t="s">
        <v>946</v>
      </c>
      <c r="B493" s="79"/>
      <c r="C493" s="79"/>
      <c r="D493" s="79"/>
      <c r="E493">
        <v>1200</v>
      </c>
      <c r="F493" t="b">
        <v>0</v>
      </c>
      <c r="G493" t="s">
        <v>1232</v>
      </c>
      <c r="H493" t="s">
        <v>1233</v>
      </c>
    </row>
    <row r="494" spans="1:8" ht="15">
      <c r="A494" s="79" t="s">
        <v>947</v>
      </c>
      <c r="B494" s="79"/>
      <c r="C494" s="79"/>
      <c r="D494" s="79"/>
      <c r="E494">
        <v>1200</v>
      </c>
      <c r="F494" t="b">
        <v>0</v>
      </c>
      <c r="G494" t="s">
        <v>1232</v>
      </c>
      <c r="H494" t="s">
        <v>1233</v>
      </c>
    </row>
    <row r="495" spans="1:8" ht="15">
      <c r="A495" s="79" t="s">
        <v>948</v>
      </c>
      <c r="B495" s="79"/>
      <c r="C495" s="79"/>
      <c r="D495" s="79"/>
      <c r="E495">
        <v>1200</v>
      </c>
      <c r="F495" t="b">
        <v>0</v>
      </c>
      <c r="G495" t="s">
        <v>1232</v>
      </c>
      <c r="H495" t="s">
        <v>1233</v>
      </c>
    </row>
    <row r="496" spans="1:8" ht="15">
      <c r="A496" s="79" t="s">
        <v>949</v>
      </c>
      <c r="B496" s="79"/>
      <c r="C496" s="79"/>
      <c r="D496" s="79"/>
      <c r="E496">
        <v>1200</v>
      </c>
      <c r="F496" t="b">
        <v>0</v>
      </c>
      <c r="G496" t="s">
        <v>1232</v>
      </c>
      <c r="H496" t="s">
        <v>1233</v>
      </c>
    </row>
    <row r="497" spans="1:8" ht="15">
      <c r="A497" s="79" t="s">
        <v>950</v>
      </c>
      <c r="B497" s="79"/>
      <c r="C497" s="79"/>
      <c r="D497" s="79"/>
      <c r="E497">
        <v>1200</v>
      </c>
      <c r="F497" t="b">
        <v>0</v>
      </c>
      <c r="G497" t="s">
        <v>1232</v>
      </c>
      <c r="H497" t="s">
        <v>1233</v>
      </c>
    </row>
    <row r="498" spans="1:8" ht="15">
      <c r="A498" s="79" t="s">
        <v>951</v>
      </c>
      <c r="B498" s="79"/>
      <c r="C498" s="79"/>
      <c r="D498" s="79"/>
      <c r="E498">
        <v>1200</v>
      </c>
      <c r="F498" t="b">
        <v>0</v>
      </c>
      <c r="G498" t="s">
        <v>1232</v>
      </c>
      <c r="H498" t="s">
        <v>1233</v>
      </c>
    </row>
    <row r="499" spans="1:8" ht="15">
      <c r="A499" s="79" t="s">
        <v>952</v>
      </c>
      <c r="B499" s="79"/>
      <c r="C499" s="79"/>
      <c r="D499" s="79"/>
      <c r="E499">
        <v>1200</v>
      </c>
      <c r="F499" t="b">
        <v>0</v>
      </c>
      <c r="G499" t="s">
        <v>1232</v>
      </c>
      <c r="H499" t="s">
        <v>1233</v>
      </c>
    </row>
    <row r="500" spans="1:8" ht="15">
      <c r="A500" s="79" t="s">
        <v>953</v>
      </c>
      <c r="B500" s="79"/>
      <c r="C500" s="79"/>
      <c r="D500" s="79"/>
      <c r="E500">
        <v>1200</v>
      </c>
      <c r="F500" t="b">
        <v>0</v>
      </c>
      <c r="G500" t="s">
        <v>1232</v>
      </c>
      <c r="H500" t="s">
        <v>1233</v>
      </c>
    </row>
    <row r="501" spans="1:8" ht="15">
      <c r="A501" s="79" t="s">
        <v>954</v>
      </c>
      <c r="B501" s="79"/>
      <c r="C501" s="79"/>
      <c r="D501" s="79"/>
      <c r="E501">
        <v>1200</v>
      </c>
      <c r="F501" t="b">
        <v>0</v>
      </c>
      <c r="G501" t="s">
        <v>1232</v>
      </c>
      <c r="H501" t="s">
        <v>1233</v>
      </c>
    </row>
    <row r="502" spans="1:8" ht="15">
      <c r="A502" s="79" t="s">
        <v>955</v>
      </c>
      <c r="B502" s="79"/>
      <c r="C502" s="79"/>
      <c r="D502" s="79"/>
      <c r="E502">
        <v>1200</v>
      </c>
      <c r="F502" t="b">
        <v>0</v>
      </c>
      <c r="G502" t="s">
        <v>1232</v>
      </c>
      <c r="H502" t="s">
        <v>1233</v>
      </c>
    </row>
    <row r="503" spans="1:8" ht="15">
      <c r="A503" s="79" t="s">
        <v>956</v>
      </c>
      <c r="B503" s="79"/>
      <c r="C503" s="79"/>
      <c r="D503" s="79"/>
      <c r="E503">
        <v>1200</v>
      </c>
      <c r="F503" t="b">
        <v>0</v>
      </c>
      <c r="G503" t="s">
        <v>1232</v>
      </c>
      <c r="H503" t="s">
        <v>1233</v>
      </c>
    </row>
    <row r="504" spans="1:8" ht="15">
      <c r="A504" s="79" t="s">
        <v>957</v>
      </c>
      <c r="B504" s="79"/>
      <c r="C504" s="79"/>
      <c r="D504" s="79"/>
      <c r="E504">
        <v>1200</v>
      </c>
      <c r="F504" t="b">
        <v>0</v>
      </c>
      <c r="G504" t="s">
        <v>1232</v>
      </c>
      <c r="H504" t="s">
        <v>1233</v>
      </c>
    </row>
    <row r="505" spans="1:8" ht="15">
      <c r="A505" s="79" t="s">
        <v>958</v>
      </c>
      <c r="B505" s="79"/>
      <c r="C505" s="79"/>
      <c r="D505" s="79"/>
      <c r="E505">
        <v>1200</v>
      </c>
      <c r="F505" t="b">
        <v>0</v>
      </c>
      <c r="G505" t="s">
        <v>1232</v>
      </c>
      <c r="H505" t="s">
        <v>1233</v>
      </c>
    </row>
    <row r="506" spans="1:8" ht="15">
      <c r="A506" s="79" t="s">
        <v>959</v>
      </c>
      <c r="B506" s="79"/>
      <c r="C506" s="79"/>
      <c r="D506" s="79"/>
      <c r="E506">
        <v>1200</v>
      </c>
      <c r="F506" t="b">
        <v>0</v>
      </c>
      <c r="G506" t="s">
        <v>1232</v>
      </c>
      <c r="H506" t="s">
        <v>1233</v>
      </c>
    </row>
    <row r="507" spans="1:8" ht="15">
      <c r="A507" s="79" t="s">
        <v>960</v>
      </c>
      <c r="B507" s="79"/>
      <c r="C507" s="79"/>
      <c r="D507" s="79"/>
      <c r="E507">
        <v>1200</v>
      </c>
      <c r="F507" t="b">
        <v>0</v>
      </c>
      <c r="G507" t="s">
        <v>1232</v>
      </c>
      <c r="H507" t="s">
        <v>1233</v>
      </c>
    </row>
    <row r="508" spans="1:8" ht="15">
      <c r="A508" s="79" t="s">
        <v>961</v>
      </c>
      <c r="B508" s="79"/>
      <c r="C508" s="79"/>
      <c r="D508" s="79"/>
      <c r="E508">
        <v>1200</v>
      </c>
      <c r="F508" t="b">
        <v>0</v>
      </c>
      <c r="G508" t="s">
        <v>1232</v>
      </c>
      <c r="H508" t="s">
        <v>1233</v>
      </c>
    </row>
    <row r="509" spans="1:8" ht="15">
      <c r="A509" s="79" t="s">
        <v>1221</v>
      </c>
      <c r="B509" s="79"/>
      <c r="C509" s="79"/>
      <c r="D509" s="79"/>
      <c r="E509">
        <v>1200</v>
      </c>
      <c r="F509" t="b">
        <v>0</v>
      </c>
      <c r="G509" t="s">
        <v>1232</v>
      </c>
      <c r="H509" t="s">
        <v>1233</v>
      </c>
    </row>
    <row r="510" spans="1:8" ht="15">
      <c r="A510" s="79" t="s">
        <v>962</v>
      </c>
      <c r="B510" s="79"/>
      <c r="C510" s="79"/>
      <c r="D510" s="79"/>
      <c r="E510">
        <v>1200</v>
      </c>
      <c r="F510" t="b">
        <v>0</v>
      </c>
      <c r="G510" t="s">
        <v>1232</v>
      </c>
      <c r="H510" t="s">
        <v>1233</v>
      </c>
    </row>
    <row r="511" spans="1:8" ht="15">
      <c r="A511" s="79" t="s">
        <v>1222</v>
      </c>
      <c r="B511" s="79"/>
      <c r="C511" s="79"/>
      <c r="D511" s="79"/>
      <c r="E511">
        <v>1200</v>
      </c>
      <c r="F511" t="b">
        <v>0</v>
      </c>
      <c r="G511" t="s">
        <v>1232</v>
      </c>
      <c r="H511" t="s">
        <v>1233</v>
      </c>
    </row>
    <row r="512" spans="1:8" ht="15">
      <c r="A512" s="79" t="s">
        <v>1223</v>
      </c>
      <c r="B512" s="79"/>
      <c r="C512" s="79"/>
      <c r="D512" s="79"/>
      <c r="E512">
        <v>1200</v>
      </c>
      <c r="F512" t="b">
        <v>0</v>
      </c>
      <c r="G512" t="s">
        <v>1232</v>
      </c>
      <c r="H512" t="s">
        <v>1233</v>
      </c>
    </row>
    <row r="513" spans="1:8" ht="15">
      <c r="A513" s="79" t="s">
        <v>963</v>
      </c>
      <c r="B513" s="79" t="s">
        <v>159</v>
      </c>
      <c r="C513" s="79"/>
      <c r="D513" s="79"/>
      <c r="E513">
        <v>1200</v>
      </c>
      <c r="F513" t="b">
        <v>0</v>
      </c>
      <c r="G513" t="s">
        <v>1232</v>
      </c>
      <c r="H513" t="s">
        <v>1233</v>
      </c>
    </row>
    <row r="514" spans="1:8" ht="15">
      <c r="A514" s="79" t="s">
        <v>964</v>
      </c>
      <c r="B514" s="79"/>
      <c r="C514" s="79"/>
      <c r="D514" s="79"/>
      <c r="E514">
        <v>1200</v>
      </c>
      <c r="F514" t="b">
        <v>0</v>
      </c>
      <c r="G514" t="s">
        <v>1232</v>
      </c>
      <c r="H514" t="s">
        <v>1233</v>
      </c>
    </row>
    <row r="515" spans="1:8" ht="15">
      <c r="A515" s="79" t="s">
        <v>1224</v>
      </c>
      <c r="B515" s="79"/>
      <c r="C515" s="79"/>
      <c r="D515" s="79"/>
      <c r="E515">
        <v>1200</v>
      </c>
      <c r="F515" t="b">
        <v>0</v>
      </c>
      <c r="G515" t="s">
        <v>1232</v>
      </c>
      <c r="H515" t="s">
        <v>1233</v>
      </c>
    </row>
    <row r="516" spans="1:8" ht="15">
      <c r="A516" s="79" t="s">
        <v>965</v>
      </c>
      <c r="B516" s="79"/>
      <c r="C516" s="79"/>
      <c r="D516" s="79"/>
      <c r="E516">
        <v>1200</v>
      </c>
      <c r="F516" t="b">
        <v>0</v>
      </c>
      <c r="G516" t="s">
        <v>1232</v>
      </c>
      <c r="H516" t="s">
        <v>1233</v>
      </c>
    </row>
    <row r="517" spans="1:8" ht="15">
      <c r="A517" s="79" t="s">
        <v>966</v>
      </c>
      <c r="B517" s="79"/>
      <c r="C517" s="79"/>
      <c r="D517" s="79"/>
      <c r="E517">
        <v>1200</v>
      </c>
      <c r="F517" t="b">
        <v>0</v>
      </c>
      <c r="G517" t="s">
        <v>1232</v>
      </c>
      <c r="H517" t="s">
        <v>1233</v>
      </c>
    </row>
    <row r="518" spans="1:8" ht="15">
      <c r="A518" s="79" t="s">
        <v>967</v>
      </c>
      <c r="B518" s="79"/>
      <c r="C518" s="79"/>
      <c r="D518" s="79"/>
      <c r="E518">
        <v>1200</v>
      </c>
      <c r="F518" t="b">
        <v>0</v>
      </c>
      <c r="G518" t="s">
        <v>1232</v>
      </c>
      <c r="H518" t="s">
        <v>1233</v>
      </c>
    </row>
    <row r="519" spans="1:8" ht="15">
      <c r="A519" s="79" t="s">
        <v>968</v>
      </c>
      <c r="B519" s="79"/>
      <c r="C519" s="79"/>
      <c r="D519" s="79"/>
      <c r="E519">
        <v>1200</v>
      </c>
      <c r="F519" t="b">
        <v>0</v>
      </c>
      <c r="G519" t="s">
        <v>1232</v>
      </c>
      <c r="H519" t="s">
        <v>1233</v>
      </c>
    </row>
    <row r="520" spans="1:8" ht="15">
      <c r="A520" s="79" t="s">
        <v>1225</v>
      </c>
      <c r="B520" s="79"/>
      <c r="C520" s="79"/>
      <c r="D520" s="79"/>
      <c r="E520">
        <v>1200</v>
      </c>
      <c r="F520" t="b">
        <v>0</v>
      </c>
      <c r="G520" t="s">
        <v>1232</v>
      </c>
      <c r="H520" t="s">
        <v>1233</v>
      </c>
    </row>
    <row r="521" spans="1:8" ht="15">
      <c r="A521" s="79" t="s">
        <v>1226</v>
      </c>
      <c r="B521" s="79"/>
      <c r="C521" s="79"/>
      <c r="D521" s="79"/>
      <c r="E521">
        <v>1200</v>
      </c>
      <c r="F521" t="b">
        <v>0</v>
      </c>
      <c r="G521" t="s">
        <v>1232</v>
      </c>
      <c r="H521" t="s">
        <v>1233</v>
      </c>
    </row>
    <row r="522" spans="1:8" ht="15">
      <c r="A522" s="79" t="s">
        <v>969</v>
      </c>
      <c r="B522" s="79"/>
      <c r="C522" s="79"/>
      <c r="D522" s="79"/>
      <c r="E522">
        <v>1200</v>
      </c>
      <c r="F522" t="b">
        <v>0</v>
      </c>
      <c r="G522" t="s">
        <v>1232</v>
      </c>
      <c r="H522" t="s">
        <v>1233</v>
      </c>
    </row>
    <row r="523" spans="1:8" ht="15">
      <c r="A523" s="79" t="s">
        <v>1227</v>
      </c>
      <c r="B523" s="79"/>
      <c r="C523" s="79"/>
      <c r="D523" s="79"/>
      <c r="E523">
        <v>1200</v>
      </c>
      <c r="F523" t="b">
        <v>0</v>
      </c>
      <c r="G523" t="s">
        <v>1232</v>
      </c>
      <c r="H523" t="s">
        <v>1233</v>
      </c>
    </row>
    <row r="524" spans="1:8" ht="15">
      <c r="A524" s="79" t="s">
        <v>970</v>
      </c>
      <c r="B524" s="79"/>
      <c r="C524" s="79"/>
      <c r="D524" s="79"/>
      <c r="E524">
        <v>1200</v>
      </c>
      <c r="F524" t="b">
        <v>0</v>
      </c>
      <c r="G524" t="s">
        <v>1232</v>
      </c>
      <c r="H524" t="s">
        <v>1233</v>
      </c>
    </row>
    <row r="525" spans="1:8" ht="15">
      <c r="A525" s="79" t="s">
        <v>971</v>
      </c>
      <c r="B525" s="79"/>
      <c r="C525" s="79"/>
      <c r="D525" s="79"/>
      <c r="E525">
        <v>1200</v>
      </c>
      <c r="F525" t="b">
        <v>0</v>
      </c>
      <c r="G525" t="s">
        <v>1232</v>
      </c>
      <c r="H525" t="s">
        <v>1233</v>
      </c>
    </row>
    <row r="526" spans="1:8" ht="15">
      <c r="A526" s="79" t="s">
        <v>972</v>
      </c>
      <c r="B526" s="79"/>
      <c r="C526" s="79"/>
      <c r="D526" s="79"/>
      <c r="E526">
        <v>1200</v>
      </c>
      <c r="F526" t="b">
        <v>0</v>
      </c>
      <c r="G526" t="s">
        <v>1232</v>
      </c>
      <c r="H526" t="s">
        <v>1233</v>
      </c>
    </row>
    <row r="527" spans="1:8" ht="15">
      <c r="A527" s="79" t="s">
        <v>973</v>
      </c>
      <c r="B527" s="79"/>
      <c r="C527" s="79"/>
      <c r="D527" s="79"/>
      <c r="E527">
        <v>1200</v>
      </c>
      <c r="F527" t="b">
        <v>0</v>
      </c>
      <c r="G527" t="s">
        <v>1232</v>
      </c>
      <c r="H527" t="s">
        <v>1233</v>
      </c>
    </row>
    <row r="528" spans="1:8" ht="15">
      <c r="A528" s="79" t="s">
        <v>974</v>
      </c>
      <c r="B528" s="79"/>
      <c r="C528" s="79"/>
      <c r="D528" s="79"/>
      <c r="E528">
        <v>1200</v>
      </c>
      <c r="F528" t="b">
        <v>0</v>
      </c>
      <c r="G528" t="s">
        <v>1232</v>
      </c>
      <c r="H528" t="s">
        <v>1233</v>
      </c>
    </row>
    <row r="529" spans="1:8" ht="15">
      <c r="A529" s="79" t="s">
        <v>975</v>
      </c>
      <c r="B529" s="79"/>
      <c r="C529" s="79"/>
      <c r="D529" s="79"/>
      <c r="E529">
        <v>1200</v>
      </c>
      <c r="F529" t="b">
        <v>0</v>
      </c>
      <c r="G529" t="s">
        <v>1232</v>
      </c>
      <c r="H529" t="s">
        <v>1233</v>
      </c>
    </row>
    <row r="530" spans="1:8" ht="15">
      <c r="A530" s="79" t="s">
        <v>976</v>
      </c>
      <c r="B530" s="79" t="s">
        <v>159</v>
      </c>
      <c r="C530" s="79"/>
      <c r="D530" s="79"/>
      <c r="E530">
        <v>1200</v>
      </c>
      <c r="F530" t="b">
        <v>0</v>
      </c>
      <c r="G530" t="s">
        <v>1232</v>
      </c>
      <c r="H530" t="s">
        <v>1233</v>
      </c>
    </row>
    <row r="531" spans="1:8" ht="15">
      <c r="A531" s="79" t="s">
        <v>977</v>
      </c>
      <c r="B531" s="79"/>
      <c r="C531" s="79"/>
      <c r="D531" s="79"/>
      <c r="E531">
        <v>1200</v>
      </c>
      <c r="F531" t="b">
        <v>0</v>
      </c>
      <c r="G531" t="s">
        <v>1232</v>
      </c>
      <c r="H531" t="s">
        <v>1233</v>
      </c>
    </row>
    <row r="532" spans="1:8" ht="15">
      <c r="A532" s="79" t="s">
        <v>978</v>
      </c>
      <c r="B532" s="79"/>
      <c r="C532" s="79"/>
      <c r="D532" s="79"/>
      <c r="E532">
        <v>1200</v>
      </c>
      <c r="F532" t="b">
        <v>0</v>
      </c>
      <c r="G532" t="s">
        <v>1232</v>
      </c>
      <c r="H532" t="s">
        <v>1233</v>
      </c>
    </row>
    <row r="533" spans="1:8" ht="15">
      <c r="A533" s="79" t="s">
        <v>979</v>
      </c>
      <c r="B533" s="79"/>
      <c r="C533" s="79"/>
      <c r="D533" s="79"/>
      <c r="E533">
        <v>1200</v>
      </c>
      <c r="F533" t="b">
        <v>0</v>
      </c>
      <c r="G533" t="s">
        <v>1232</v>
      </c>
      <c r="H533" t="s">
        <v>1233</v>
      </c>
    </row>
    <row r="534" spans="1:8" ht="15">
      <c r="A534" s="79" t="s">
        <v>980</v>
      </c>
      <c r="B534" s="79"/>
      <c r="C534" s="79"/>
      <c r="D534" s="79"/>
      <c r="E534">
        <v>1200</v>
      </c>
      <c r="F534" t="b">
        <v>0</v>
      </c>
      <c r="G534" t="s">
        <v>1232</v>
      </c>
      <c r="H534" t="s">
        <v>1233</v>
      </c>
    </row>
    <row r="535" spans="1:8" ht="15">
      <c r="A535" s="79" t="s">
        <v>981</v>
      </c>
      <c r="B535" s="79"/>
      <c r="C535" s="79"/>
      <c r="D535" s="79"/>
      <c r="E535">
        <v>1200</v>
      </c>
      <c r="F535" t="b">
        <v>0</v>
      </c>
      <c r="G535" t="s">
        <v>1232</v>
      </c>
      <c r="H535" t="s">
        <v>1233</v>
      </c>
    </row>
    <row r="536" spans="1:8" ht="15">
      <c r="A536" s="79" t="s">
        <v>982</v>
      </c>
      <c r="B536" s="79"/>
      <c r="C536" s="79"/>
      <c r="D536" s="79"/>
      <c r="E536">
        <v>1200</v>
      </c>
      <c r="F536" t="b">
        <v>0</v>
      </c>
      <c r="G536" t="s">
        <v>1232</v>
      </c>
      <c r="H536" t="s">
        <v>1233</v>
      </c>
    </row>
    <row r="537" spans="1:8" ht="15">
      <c r="A537" s="79" t="s">
        <v>983</v>
      </c>
      <c r="B537" s="79"/>
      <c r="C537" s="79"/>
      <c r="D537" s="79"/>
      <c r="E537">
        <v>1200</v>
      </c>
      <c r="F537" t="b">
        <v>0</v>
      </c>
      <c r="G537" t="s">
        <v>1232</v>
      </c>
      <c r="H537" t="s">
        <v>1233</v>
      </c>
    </row>
    <row r="538" spans="1:8" ht="15">
      <c r="A538" s="79" t="s">
        <v>984</v>
      </c>
      <c r="B538" s="79"/>
      <c r="C538" s="79"/>
      <c r="D538" s="79"/>
      <c r="E538">
        <v>1200</v>
      </c>
      <c r="F538" t="b">
        <v>0</v>
      </c>
      <c r="G538" t="s">
        <v>1232</v>
      </c>
      <c r="H538" t="s">
        <v>1233</v>
      </c>
    </row>
    <row r="539" spans="1:8" ht="15">
      <c r="A539" s="79" t="s">
        <v>985</v>
      </c>
      <c r="B539" s="79"/>
      <c r="C539" s="79"/>
      <c r="D539" s="79"/>
      <c r="E539">
        <v>1200</v>
      </c>
      <c r="F539" t="b">
        <v>0</v>
      </c>
      <c r="G539" t="s">
        <v>1232</v>
      </c>
      <c r="H539" t="s">
        <v>1233</v>
      </c>
    </row>
    <row r="540" spans="1:8" ht="15">
      <c r="A540" s="79" t="s">
        <v>986</v>
      </c>
      <c r="B540" s="79"/>
      <c r="C540" s="79"/>
      <c r="D540" s="79"/>
      <c r="E540">
        <v>1200</v>
      </c>
      <c r="F540" t="b">
        <v>0</v>
      </c>
      <c r="G540" t="s">
        <v>1232</v>
      </c>
      <c r="H540" t="s">
        <v>1233</v>
      </c>
    </row>
    <row r="541" spans="1:8" ht="15">
      <c r="A541" s="79" t="s">
        <v>987</v>
      </c>
      <c r="B541" s="79"/>
      <c r="C541" s="79"/>
      <c r="D541" s="79"/>
      <c r="E541">
        <v>1200</v>
      </c>
      <c r="F541" t="b">
        <v>0</v>
      </c>
      <c r="G541" t="s">
        <v>1232</v>
      </c>
      <c r="H541" t="s">
        <v>1233</v>
      </c>
    </row>
    <row r="542" spans="1:8" ht="15">
      <c r="A542" s="79" t="s">
        <v>988</v>
      </c>
      <c r="B542" s="79"/>
      <c r="C542" s="79"/>
      <c r="D542" s="79"/>
      <c r="E542">
        <v>1200</v>
      </c>
      <c r="F542" t="b">
        <v>0</v>
      </c>
      <c r="G542" t="s">
        <v>1232</v>
      </c>
      <c r="H542" t="s">
        <v>1233</v>
      </c>
    </row>
    <row r="543" spans="1:8" ht="15">
      <c r="A543" s="79" t="s">
        <v>1239</v>
      </c>
      <c r="B543" s="79"/>
      <c r="C543" s="79"/>
      <c r="D543" s="79"/>
      <c r="E543">
        <v>1200</v>
      </c>
      <c r="F543" t="b">
        <v>0</v>
      </c>
      <c r="G543" t="s">
        <v>1232</v>
      </c>
      <c r="H543" t="s">
        <v>1233</v>
      </c>
    </row>
    <row r="544" spans="1:8" ht="15">
      <c r="A544" s="79" t="s">
        <v>989</v>
      </c>
      <c r="B544" s="79"/>
      <c r="C544" s="79"/>
      <c r="D544" s="79"/>
      <c r="E544">
        <v>1200</v>
      </c>
      <c r="F544" t="b">
        <v>0</v>
      </c>
      <c r="G544" t="s">
        <v>1232</v>
      </c>
      <c r="H544" t="s">
        <v>1233</v>
      </c>
    </row>
    <row r="545" spans="1:8" ht="15">
      <c r="A545" s="79" t="s">
        <v>990</v>
      </c>
      <c r="B545" s="79"/>
      <c r="C545" s="79"/>
      <c r="D545" s="79"/>
      <c r="E545">
        <v>1200</v>
      </c>
      <c r="F545" t="b">
        <v>0</v>
      </c>
      <c r="G545" t="s">
        <v>1232</v>
      </c>
      <c r="H545" t="s">
        <v>1233</v>
      </c>
    </row>
    <row r="546" spans="1:8" ht="15">
      <c r="A546" s="79" t="s">
        <v>991</v>
      </c>
      <c r="B546" s="79"/>
      <c r="C546" s="79"/>
      <c r="D546" s="79"/>
      <c r="E546">
        <v>1200</v>
      </c>
      <c r="F546" t="b">
        <v>0</v>
      </c>
      <c r="G546" t="s">
        <v>1232</v>
      </c>
      <c r="H546" t="s">
        <v>1233</v>
      </c>
    </row>
    <row r="547" spans="1:8" ht="15">
      <c r="A547" s="79" t="s">
        <v>992</v>
      </c>
      <c r="B547" s="79"/>
      <c r="C547" s="79"/>
      <c r="D547" s="79"/>
      <c r="E547">
        <v>1200</v>
      </c>
      <c r="F547" t="b">
        <v>0</v>
      </c>
      <c r="G547" t="s">
        <v>1232</v>
      </c>
      <c r="H547" t="s">
        <v>1233</v>
      </c>
    </row>
    <row r="548" spans="1:8" ht="15">
      <c r="A548" s="79" t="s">
        <v>993</v>
      </c>
      <c r="B548" s="79"/>
      <c r="C548" s="79"/>
      <c r="D548" s="79"/>
      <c r="E548">
        <v>1200</v>
      </c>
      <c r="F548" t="b">
        <v>0</v>
      </c>
      <c r="G548" t="s">
        <v>1232</v>
      </c>
      <c r="H548" t="s">
        <v>1233</v>
      </c>
    </row>
    <row r="549" spans="1:8" ht="15">
      <c r="A549" s="79" t="s">
        <v>994</v>
      </c>
      <c r="B549" s="79" t="s">
        <v>159</v>
      </c>
      <c r="C549" s="79"/>
      <c r="D549" s="79"/>
      <c r="E549">
        <v>1200</v>
      </c>
      <c r="F549" t="b">
        <v>0</v>
      </c>
      <c r="G549" t="s">
        <v>1232</v>
      </c>
      <c r="H549" t="s">
        <v>1233</v>
      </c>
    </row>
    <row r="550" spans="1:8" ht="15">
      <c r="A550" s="79" t="s">
        <v>995</v>
      </c>
      <c r="B550" s="79"/>
      <c r="C550" s="79"/>
      <c r="D550" s="79"/>
      <c r="E550">
        <v>1200</v>
      </c>
      <c r="F550" t="b">
        <v>0</v>
      </c>
      <c r="G550" t="s">
        <v>1232</v>
      </c>
      <c r="H550" t="s">
        <v>1233</v>
      </c>
    </row>
    <row r="551" spans="1:8" ht="15">
      <c r="A551" s="79" t="s">
        <v>996</v>
      </c>
      <c r="B551" s="79"/>
      <c r="C551" s="79"/>
      <c r="D551" s="79"/>
      <c r="E551">
        <v>1200</v>
      </c>
      <c r="F551" t="b">
        <v>0</v>
      </c>
      <c r="G551" t="s">
        <v>1232</v>
      </c>
      <c r="H551" t="s">
        <v>1233</v>
      </c>
    </row>
    <row r="552" spans="1:8" ht="15">
      <c r="A552" s="79" t="s">
        <v>1240</v>
      </c>
      <c r="B552" s="79"/>
      <c r="C552" s="79"/>
      <c r="D552" s="79"/>
      <c r="E552">
        <v>1200</v>
      </c>
      <c r="F552" t="b">
        <v>0</v>
      </c>
      <c r="G552" t="s">
        <v>1232</v>
      </c>
      <c r="H552" t="s">
        <v>1233</v>
      </c>
    </row>
    <row r="553" spans="1:8" ht="15">
      <c r="A553" s="79" t="s">
        <v>997</v>
      </c>
      <c r="B553" s="79"/>
      <c r="C553" s="79"/>
      <c r="D553" s="79"/>
      <c r="E553">
        <v>1200</v>
      </c>
      <c r="F553" t="b">
        <v>0</v>
      </c>
      <c r="G553" t="s">
        <v>1232</v>
      </c>
      <c r="H553" t="s">
        <v>1233</v>
      </c>
    </row>
    <row r="554" spans="1:8" ht="15">
      <c r="A554" s="79" t="s">
        <v>998</v>
      </c>
      <c r="B554" s="79"/>
      <c r="C554" s="79"/>
      <c r="D554" s="79"/>
      <c r="E554">
        <v>1200</v>
      </c>
      <c r="F554" t="b">
        <v>0</v>
      </c>
      <c r="G554" t="s">
        <v>1232</v>
      </c>
      <c r="H554" t="s">
        <v>1233</v>
      </c>
    </row>
    <row r="555" spans="1:8" ht="15">
      <c r="A555" s="79" t="s">
        <v>999</v>
      </c>
      <c r="B555" s="79"/>
      <c r="C555" s="79"/>
      <c r="D555" s="79"/>
      <c r="E555">
        <v>1200</v>
      </c>
      <c r="F555" t="b">
        <v>0</v>
      </c>
      <c r="G555" t="s">
        <v>1232</v>
      </c>
      <c r="H555" t="s">
        <v>1233</v>
      </c>
    </row>
    <row r="556" spans="1:8" ht="15">
      <c r="A556" s="79" t="s">
        <v>1000</v>
      </c>
      <c r="B556" s="79"/>
      <c r="C556" s="79"/>
      <c r="D556" s="79"/>
      <c r="E556">
        <v>1200</v>
      </c>
      <c r="F556" t="b">
        <v>0</v>
      </c>
      <c r="G556" t="s">
        <v>1232</v>
      </c>
      <c r="H556" t="s">
        <v>1233</v>
      </c>
    </row>
    <row r="557" spans="1:8" ht="15">
      <c r="A557" s="79" t="s">
        <v>1001</v>
      </c>
      <c r="B557" s="79"/>
      <c r="C557" s="79"/>
      <c r="D557" s="79"/>
      <c r="E557">
        <v>1200</v>
      </c>
      <c r="F557" t="b">
        <v>0</v>
      </c>
      <c r="G557" t="s">
        <v>1232</v>
      </c>
      <c r="H557" t="s">
        <v>1233</v>
      </c>
    </row>
    <row r="558" spans="1:8" ht="15">
      <c r="A558" s="79" t="s">
        <v>1002</v>
      </c>
      <c r="B558" s="79"/>
      <c r="C558" s="79"/>
      <c r="D558" s="79"/>
      <c r="E558">
        <v>1200</v>
      </c>
      <c r="F558" t="b">
        <v>0</v>
      </c>
      <c r="G558" t="s">
        <v>1232</v>
      </c>
      <c r="H558" t="s">
        <v>1233</v>
      </c>
    </row>
    <row r="559" spans="1:8" ht="15">
      <c r="A559" s="79" t="s">
        <v>1003</v>
      </c>
      <c r="B559" s="79"/>
      <c r="C559" s="79"/>
      <c r="D559" s="79"/>
      <c r="E559">
        <v>1200</v>
      </c>
      <c r="F559" t="b">
        <v>0</v>
      </c>
      <c r="G559" t="s">
        <v>1232</v>
      </c>
      <c r="H559" t="s">
        <v>1233</v>
      </c>
    </row>
    <row r="560" spans="1:8" ht="15">
      <c r="A560" s="79" t="s">
        <v>1016</v>
      </c>
      <c r="B560" s="79"/>
      <c r="C560" s="79"/>
      <c r="D560" s="79"/>
      <c r="E560">
        <v>1200</v>
      </c>
      <c r="F560" t="b">
        <v>0</v>
      </c>
      <c r="G560" t="s">
        <v>1232</v>
      </c>
      <c r="H560" t="s">
        <v>1233</v>
      </c>
    </row>
    <row r="561" spans="1:8" ht="15">
      <c r="A561" s="79" t="s">
        <v>1004</v>
      </c>
      <c r="B561" s="79"/>
      <c r="C561" s="79"/>
      <c r="D561" s="79"/>
      <c r="E561">
        <v>1200</v>
      </c>
      <c r="F561" t="b">
        <v>0</v>
      </c>
      <c r="G561" t="s">
        <v>1234</v>
      </c>
      <c r="H561" t="s">
        <v>1233</v>
      </c>
    </row>
    <row r="562" spans="1:8" ht="15">
      <c r="A562" s="79" t="s">
        <v>1005</v>
      </c>
      <c r="B562" s="79"/>
      <c r="C562" s="79"/>
      <c r="D562" s="79"/>
      <c r="E562">
        <v>1200</v>
      </c>
      <c r="F562" t="b">
        <v>0</v>
      </c>
      <c r="G562" t="s">
        <v>1234</v>
      </c>
      <c r="H562" t="s">
        <v>1233</v>
      </c>
    </row>
    <row r="563" spans="1:8" ht="15">
      <c r="A563" s="79" t="s">
        <v>1006</v>
      </c>
      <c r="B563" s="79"/>
      <c r="C563" s="79"/>
      <c r="D563" s="79"/>
      <c r="E563">
        <v>1200</v>
      </c>
      <c r="F563" t="b">
        <v>0</v>
      </c>
      <c r="G563" t="s">
        <v>1234</v>
      </c>
      <c r="H563" t="s">
        <v>1233</v>
      </c>
    </row>
    <row r="564" spans="1:8" ht="15">
      <c r="A564" s="79" t="s">
        <v>1007</v>
      </c>
      <c r="B564" s="79"/>
      <c r="C564" s="79"/>
      <c r="D564" s="79"/>
      <c r="E564">
        <v>1200</v>
      </c>
      <c r="F564" t="b">
        <v>0</v>
      </c>
      <c r="G564" t="s">
        <v>1234</v>
      </c>
      <c r="H564" t="s">
        <v>1233</v>
      </c>
    </row>
    <row r="565" spans="1:8" ht="15">
      <c r="A565" s="79" t="s">
        <v>1008</v>
      </c>
      <c r="B565" s="79"/>
      <c r="C565" s="79"/>
      <c r="D565" s="79"/>
      <c r="E565">
        <v>1200</v>
      </c>
      <c r="F565" t="b">
        <v>0</v>
      </c>
      <c r="G565" t="s">
        <v>1234</v>
      </c>
      <c r="H565" t="s">
        <v>1233</v>
      </c>
    </row>
    <row r="566" spans="1:8" ht="15">
      <c r="A566" s="79" t="s">
        <v>1009</v>
      </c>
      <c r="B566" s="79"/>
      <c r="C566" s="79"/>
      <c r="D566" s="79"/>
      <c r="E566">
        <v>1200</v>
      </c>
      <c r="F566" t="b">
        <v>0</v>
      </c>
      <c r="G566" t="s">
        <v>1234</v>
      </c>
      <c r="H566" t="s">
        <v>1233</v>
      </c>
    </row>
    <row r="567" spans="1:8" ht="15">
      <c r="A567" s="79" t="s">
        <v>1010</v>
      </c>
      <c r="B567" s="79"/>
      <c r="C567" s="79"/>
      <c r="D567" s="79"/>
      <c r="E567">
        <v>1200</v>
      </c>
      <c r="F567" t="b">
        <v>0</v>
      </c>
      <c r="G567" t="s">
        <v>1234</v>
      </c>
      <c r="H567" t="s">
        <v>1233</v>
      </c>
    </row>
    <row r="568" spans="1:8" ht="15">
      <c r="A568" s="79" t="s">
        <v>1011</v>
      </c>
      <c r="B568" s="79"/>
      <c r="C568" s="79"/>
      <c r="D568" s="79"/>
      <c r="E568">
        <v>1200</v>
      </c>
      <c r="F568" t="b">
        <v>0</v>
      </c>
      <c r="G568" t="s">
        <v>1234</v>
      </c>
      <c r="H568" t="s">
        <v>1233</v>
      </c>
    </row>
    <row r="569" spans="1:8" ht="15">
      <c r="A569" s="79" t="s">
        <v>1012</v>
      </c>
      <c r="B569" s="79"/>
      <c r="C569" s="79"/>
      <c r="D569" s="79"/>
      <c r="E569">
        <v>1200</v>
      </c>
      <c r="F569" t="b">
        <v>0</v>
      </c>
      <c r="G569" t="s">
        <v>1234</v>
      </c>
      <c r="H569" t="s">
        <v>1233</v>
      </c>
    </row>
    <row r="570" spans="1:8" ht="15">
      <c r="A570" s="79" t="s">
        <v>1013</v>
      </c>
      <c r="B570" s="79"/>
      <c r="C570" s="79"/>
      <c r="D570" s="79" t="s">
        <v>200</v>
      </c>
      <c r="E570">
        <v>1200</v>
      </c>
      <c r="F570" t="b">
        <v>0</v>
      </c>
      <c r="G570" t="s">
        <v>1234</v>
      </c>
      <c r="H570" t="s">
        <v>1233</v>
      </c>
    </row>
    <row r="571" spans="1:8" ht="12.75">
      <c r="A571" t="s">
        <v>1013</v>
      </c>
      <c r="E571">
        <v>1200</v>
      </c>
      <c r="F571" t="b">
        <v>0</v>
      </c>
      <c r="G571" t="s">
        <v>1234</v>
      </c>
      <c r="H571" t="s">
        <v>1233</v>
      </c>
    </row>
    <row r="572" spans="1:8" ht="12.75">
      <c r="A572" t="s">
        <v>1014</v>
      </c>
      <c r="E572">
        <v>1200</v>
      </c>
      <c r="F572" t="b">
        <v>0</v>
      </c>
      <c r="G572" t="s">
        <v>1234</v>
      </c>
      <c r="H572" t="s">
        <v>1233</v>
      </c>
    </row>
    <row r="573" spans="1:8" ht="12.75">
      <c r="A573" t="s">
        <v>1015</v>
      </c>
      <c r="E573">
        <v>1200</v>
      </c>
      <c r="F573" t="b">
        <v>0</v>
      </c>
      <c r="G573" t="s">
        <v>1234</v>
      </c>
      <c r="H573" t="s">
        <v>1233</v>
      </c>
    </row>
  </sheetData>
  <pageMargins left="1.03858267716541" right="1.03858267716541" top="0.75" bottom="0.75" header="0.3" footer="0.3"/>
  <pageSetup horizontalDpi="300" verticalDpi="300" orientation="portrait" scale="5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abels"/>
  <dimension ref="A1:K44"/>
  <sheetViews>
    <sheetView zoomScale="90" zoomScaleNormal="90" zoomScaleSheetLayoutView="100" workbookViewId="0" topLeftCell="A1">
      <selection pane="topLeft" activeCell="A21" sqref="A21"/>
    </sheetView>
  </sheetViews>
  <sheetFormatPr defaultColWidth="9.28515625" defaultRowHeight="12.75"/>
  <cols>
    <col min="1" max="1" width="30.7142857142857" bestFit="1" customWidth="1"/>
    <col min="2" max="2" width="64.2857142857143" bestFit="1" customWidth="1"/>
    <col min="3" max="3" width="41" bestFit="1" customWidth="1"/>
    <col min="4" max="4" width="45.5714285714286" bestFit="1" customWidth="1"/>
    <col min="5" max="5" width="42.7142857142857" bestFit="1" customWidth="1"/>
    <col min="6" max="6" width="34.5714285714286" bestFit="1" customWidth="1"/>
    <col min="7" max="7" width="34" bestFit="1" customWidth="1"/>
    <col min="8" max="8" width="33.5714285714286" bestFit="1" customWidth="1"/>
    <col min="9" max="9" width="41.5714285714286" bestFit="1" customWidth="1"/>
    <col min="10" max="10" width="10.4285714285714" bestFit="1" customWidth="1"/>
    <col min="11" max="11" width="11.2857142857143" bestFit="1" customWidth="1"/>
  </cols>
  <sheetData>
    <row r="1" spans="1:6" ht="12.75">
      <c r="A1">
        <v>1</v>
      </c>
      <c r="C1" s="11"/>
      <c r="D1" s="15"/>
      <c r="E1" s="11"/>
      <c r="F1" s="11"/>
    </row>
    <row r="2" spans="1:4" ht="12.75">
      <c r="A2">
        <v>2</v>
      </c>
      <c r="B2" s="16"/>
      <c r="C2" s="11"/>
      <c r="D2" s="15"/>
    </row>
    <row r="3" spans="1:4" ht="12.75">
      <c r="A3">
        <v>3</v>
      </c>
      <c r="C3" s="11"/>
      <c r="D3" s="11"/>
    </row>
    <row r="4" ht="12.75">
      <c r="A4">
        <v>4</v>
      </c>
    </row>
    <row r="5" ht="12.75">
      <c r="A5">
        <v>5</v>
      </c>
    </row>
    <row r="6" ht="12.75">
      <c r="A6">
        <v>6</v>
      </c>
    </row>
    <row r="7" ht="12.75">
      <c r="A7">
        <v>7</v>
      </c>
    </row>
    <row r="8" ht="12.75">
      <c r="A8">
        <v>8</v>
      </c>
    </row>
    <row r="9" ht="12.75">
      <c r="A9" t="s">
        <v>112</v>
      </c>
    </row>
    <row r="10" spans="1:11" ht="12.75">
      <c r="A10" t="s">
        <v>92</v>
      </c>
      <c r="B10" t="s">
        <v>93</v>
      </c>
      <c r="C10" t="s">
        <v>94</v>
      </c>
      <c r="D10" t="s">
        <v>95</v>
      </c>
      <c r="E10" t="s">
        <v>96</v>
      </c>
      <c r="F10" t="s">
        <v>113</v>
      </c>
      <c r="G10" t="s">
        <v>97</v>
      </c>
      <c r="H10" t="s">
        <v>98</v>
      </c>
      <c r="I10" t="s">
        <v>99</v>
      </c>
      <c r="J10" t="s">
        <v>100</v>
      </c>
      <c r="K10" t="s">
        <v>101</v>
      </c>
    </row>
    <row r="11" spans="1:11" ht="13.15" customHeight="1">
      <c r="A11" t="str">
        <f>IF(OR(Data!$AV11="",Data!$AW11&gt;999),"","^XA^LH0,0^PRB,D^MD20^JMA^FS")</f>
        <v>^XA^LH0,0^PRB,D^MD20^JMA^FS</v>
      </c>
      <c r="B11" t="str">
        <f t="array" ref="B11">IF(A11&lt;&gt;"","^BY2,2.7,13^FO506,20^B2N,132,Y,N,N^SN"&amp;BarcodeValue(Data!BC$5,Data!BD$5,Data!AW11,0)&amp;",N,Y^FS","")</f>
        <v>^BY2,2.7,13^FO506,20^B2N,132,Y,N,N^SN0012085650020009,N,Y^FS</v>
      </c>
      <c r="C11" t="str">
        <f>IF(A11&lt;&gt;"","^FO20,20^A0N,28,37^CI13^FD"&amp;TEXT(Data!AY$5,"d/m/yyyy")&amp;"^FS","")</f>
        <v>^FO20,20^A0N,28,37^CI13^FD6/8/2026^FS</v>
      </c>
      <c r="D11" t="str">
        <f>IF(A11&lt;&gt;"","^FO220,20^A0N,41,48^CI13^FD"&amp;Data!$BC$5&amp;Data!$BD$5&amp;"/"&amp;RIGHT("000"&amp;Data!AW11,3)&amp;"^FS","")</f>
        <v>^FO220,20^A0N,41,48^CI13^FD12085A/002^FS</v>
      </c>
      <c r="E11" t="str">
        <f>IF(A11&lt;&gt;"","^FO20,55^A0N,30,30^CI13^FD"&amp;Data!$BF$5&amp;"^FS","")</f>
        <v>^FO20,55^A0N,30,30^CI13^FDCampbell, Neil^FS</v>
      </c>
      <c r="F11" t="str">
        <f>IF(A11&lt;&gt;"","^FO20,95^A0N,30,30^CI13^FD"&amp;Data!AX$5&amp;"^FS","")</f>
        <v>^FO20,95^A0N,30,30^CI13^FDVerticali Patio Blinds &amp; Fixed Guide Awnings^FS</v>
      </c>
      <c r="G11" t="str">
        <f>IF(A11&lt;&gt;"","^FO20,135^A0N,30,30^CI13^FD"&amp;Data!BE11&amp;"^FS","")</f>
        <v>^FO20,135^A0N,30,30^CI13^FDFGSUN HVG Visiontex Glisse Sunscreen Naxos^FS</v>
      </c>
      <c r="H11" t="str">
        <f>IF(A11&lt;&gt;"","^FO20,175^A0N,30,30^CI13^FD"&amp;Data!AY11&amp;"^FS","")</f>
        <v>^FO20,175^A0N,30,30^CI13^FDDining^FS</v>
      </c>
      <c r="I11" t="str">
        <f>IF(A11&lt;&gt;"","^FO300,175^A0N,30,30^CI13^FD"&amp;"W:"&amp;Data!BA11&amp;" H:"&amp;Data!BB11,"")</f>
        <v>^FO300,175^A0N,30,30^CI13^FDW:4190 H:1650</v>
      </c>
      <c r="J11" t="str">
        <f>IF(A11&lt;&gt;"","^PQ"&amp;Data!$F$17&amp;",0,"&amp;Data!$F$17&amp;",Y","")</f>
        <v>^PQ0,0,0,Y</v>
      </c>
      <c r="K11" t="str">
        <f t="shared" si="0" ref="K11:K44">IF(A11&lt;&gt;"","^XZ","")</f>
        <v>^XZ</v>
      </c>
    </row>
    <row r="12" spans="1:11" ht="13.15" customHeight="1">
      <c r="A12" t="str">
        <f>IF(OR(Data!$AV12="",Data!$AW12&gt;999),"","^XA^LH0,0^PRB,D^MD20^JMA^FS")</f>
        <v>^XA^LH0,0^PRB,D^MD20^JMA^FS</v>
      </c>
      <c r="B12" t="str">
        <f t="array" ref="B12">IF(A12&lt;&gt;"","^BY2,2.7,13^FO506,20^B2N,132,Y,N,N^SN"&amp;BarcodeValue(Data!BC$5,Data!BD$5,Data!AW12,0)&amp;",N,Y^FS","")</f>
        <v>^BY2,2.7,13^FO506,20^B2N,132,Y,N,N^SN0012085650030008,N,Y^FS</v>
      </c>
      <c r="C12" t="str">
        <f>IF(A12&lt;&gt;"","^FO20,20^A0N,28,37^CI13^FD"&amp;TEXT(Data!AY$5,"d/m/yyyy")&amp;"^FS","")</f>
        <v>^FO20,20^A0N,28,37^CI13^FD6/8/2026^FS</v>
      </c>
      <c r="D12" t="str">
        <f>IF(A12&lt;&gt;"","^FO220,20^A0N,41,48^CI13^FD"&amp;Data!$BC$5&amp;Data!$BD$5&amp;"/"&amp;RIGHT("000"&amp;Data!AW12,3)&amp;"^FS","")</f>
        <v>^FO220,20^A0N,41,48^CI13^FD12085A/003^FS</v>
      </c>
      <c r="E12" t="str">
        <f>IF(A12&lt;&gt;"","^FO20,55^A0N,30,30^CI13^FD"&amp;Data!$BF$5&amp;"^FS","")</f>
        <v>^FO20,55^A0N,30,30^CI13^FDCampbell, Neil^FS</v>
      </c>
      <c r="F12" t="str">
        <f>IF(A12&lt;&gt;"","^FO20,95^A0N,30,30^CI13^FD"&amp;Data!AX$5&amp;"^FS","")</f>
        <v>^FO20,95^A0N,30,30^CI13^FDVerticali Patio Blinds &amp; Fixed Guide Awnings^FS</v>
      </c>
      <c r="G12" t="str">
        <f>IF(A12&lt;&gt;"","^FO20,135^A0N,30,30^CI13^FD"&amp;Data!BE12&amp;"^FS","")</f>
        <v>^FO20,135^A0N,30,30^CI13^FDFGSUN HVG Visiontex Glisse Sunscreen Naxos^FS</v>
      </c>
      <c r="H12" t="str">
        <f>IF(A12&lt;&gt;"","^FO20,175^A0N,30,30^CI13^FD"&amp;Data!AY12&amp;"^FS","")</f>
        <v>^FO20,175^A0N,30,30^CI13^FDMaster^FS</v>
      </c>
      <c r="I12" t="str">
        <f>IF(A12&lt;&gt;"","^FO300,175^A0N,30,30^CI13^FD"&amp;"W:"&amp;Data!BA12&amp;" H:"&amp;Data!BB12,"")</f>
        <v>^FO300,175^A0N,30,30^CI13^FDW:1816 H:1980</v>
      </c>
      <c r="J12" t="str">
        <f>IF(A12&lt;&gt;"","^PQ"&amp;Data!$F$17&amp;",0,"&amp;Data!$F$17&amp;",Y","")</f>
        <v>^PQ0,0,0,Y</v>
      </c>
      <c r="K12" t="str">
        <f t="shared" si="0"/>
        <v>^XZ</v>
      </c>
    </row>
    <row r="13" spans="1:11" ht="13.15" customHeight="1">
      <c r="A13" t="str">
        <f>IF(OR(Data!$AV13="",Data!$AW13&gt;999),"","^XA^LH0,0^PRB,D^MD20^JMA^FS")</f>
        <v>^XA^LH0,0^PRB,D^MD20^JMA^FS</v>
      </c>
      <c r="B13" t="str">
        <f t="array" ref="B13">IF(A13&lt;&gt;"","^BY2,2.7,13^FO506,20^B2N,132,Y,N,N^SN"&amp;BarcodeValue(Data!BC$5,Data!BD$5,Data!AW13,0)&amp;",N,Y^FS","")</f>
        <v>^BY2,2.7,13^FO506,20^B2N,132,Y,N,N^SN0012085650040007,N,Y^FS</v>
      </c>
      <c r="C13" t="str">
        <f>IF(A13&lt;&gt;"","^FO20,20^A0N,28,37^CI13^FD"&amp;TEXT(Data!AY$5,"d/m/yyyy")&amp;"^FS","")</f>
        <v>^FO20,20^A0N,28,37^CI13^FD6/8/2026^FS</v>
      </c>
      <c r="D13" t="str">
        <f>IF(A13&lt;&gt;"","^FO220,20^A0N,41,48^CI13^FD"&amp;Data!$BC$5&amp;Data!$BD$5&amp;"/"&amp;RIGHT("000"&amp;Data!AW13,3)&amp;"^FS","")</f>
        <v>^FO220,20^A0N,41,48^CI13^FD12085A/004^FS</v>
      </c>
      <c r="E13" t="str">
        <f>IF(A13&lt;&gt;"","^FO20,55^A0N,30,30^CI13^FD"&amp;Data!$BF$5&amp;"^FS","")</f>
        <v>^FO20,55^A0N,30,30^CI13^FDCampbell, Neil^FS</v>
      </c>
      <c r="F13" t="str">
        <f>IF(A13&lt;&gt;"","^FO20,95^A0N,30,30^CI13^FD"&amp;Data!AX$5&amp;"^FS","")</f>
        <v>^FO20,95^A0N,30,30^CI13^FDVerticali Patio Blinds &amp; Fixed Guide Awnings^FS</v>
      </c>
      <c r="G13" t="str">
        <f>IF(A13&lt;&gt;"","^FO20,135^A0N,30,30^CI13^FD"&amp;Data!BE13&amp;"^FS","")</f>
        <v>^FO20,135^A0N,30,30^CI13^FDFGSUN HVG Visiontex Glisse Sunscreen Naxos^FS</v>
      </c>
      <c r="H13" t="str">
        <f>IF(A13&lt;&gt;"","^FO20,175^A0N,30,30^CI13^FD"&amp;Data!AY13&amp;"^FS","")</f>
        <v>^FO20,175^A0N,30,30^CI13^FDMaster 2^FS</v>
      </c>
      <c r="I13" t="str">
        <f>IF(A13&lt;&gt;"","^FO300,175^A0N,30,30^CI13^FD"&amp;"W:"&amp;Data!BA13&amp;" H:"&amp;Data!BB13,"")</f>
        <v>^FO300,175^A0N,30,30^CI13^FDW:1815 H:1980</v>
      </c>
      <c r="J13" t="str">
        <f>IF(A13&lt;&gt;"","^PQ"&amp;Data!$F$17&amp;",0,"&amp;Data!$F$17&amp;",Y","")</f>
        <v>^PQ0,0,0,Y</v>
      </c>
      <c r="K13" t="str">
        <f t="shared" si="0"/>
        <v>^XZ</v>
      </c>
    </row>
    <row r="14" spans="1:11" ht="13.15" customHeight="1">
      <c r="A14" t="str">
        <f>IF(OR(Data!$AV14="",Data!$AW14&gt;999),"","^XA^LH0,0^PRB,D^MD20^JMA^FS")</f>
        <v>^XA^LH0,0^PRB,D^MD20^JMA^FS</v>
      </c>
      <c r="B14" t="str">
        <f t="array" ref="B14">IF(A14&lt;&gt;"","^BY2,2.7,13^FO506,20^B2N,132,Y,N,N^SN"&amp;BarcodeValue(Data!BC$5,Data!BD$5,Data!AW14,0)&amp;",N,Y^FS","")</f>
        <v>^BY2,2.7,13^FO506,20^B2N,132,Y,N,N^SN0012085650050006,N,Y^FS</v>
      </c>
      <c r="C14" t="str">
        <f>IF(A14&lt;&gt;"","^FO20,20^A0N,28,37^CI13^FD"&amp;TEXT(Data!AY$5,"d/m/yyyy")&amp;"^FS","")</f>
        <v>^FO20,20^A0N,28,37^CI13^FD6/8/2026^FS</v>
      </c>
      <c r="D14" t="str">
        <f>IF(A14&lt;&gt;"","^FO220,20^A0N,41,48^CI13^FD"&amp;Data!$BC$5&amp;Data!$BD$5&amp;"/"&amp;RIGHT("000"&amp;Data!AW14,3)&amp;"^FS","")</f>
        <v>^FO220,20^A0N,41,48^CI13^FD12085A/005^FS</v>
      </c>
      <c r="E14" t="str">
        <f>IF(A14&lt;&gt;"","^FO20,55^A0N,30,30^CI13^FD"&amp;Data!$BF$5&amp;"^FS","")</f>
        <v>^FO20,55^A0N,30,30^CI13^FDCampbell, Neil^FS</v>
      </c>
      <c r="F14" t="str">
        <f>IF(A14&lt;&gt;"","^FO20,95^A0N,30,30^CI13^FD"&amp;Data!AX$5&amp;"^FS","")</f>
        <v>^FO20,95^A0N,30,30^CI13^FDVerticali Patio Blinds &amp; Fixed Guide Awnings^FS</v>
      </c>
      <c r="G14" t="str">
        <f>IF(A14&lt;&gt;"","^FO20,135^A0N,30,30^CI13^FD"&amp;Data!BE14&amp;"^FS","")</f>
        <v>^FO20,135^A0N,30,30^CI13^FDFGSUN HVG Visiontex Glisse Sunscreen Naxos^FS</v>
      </c>
      <c r="H14" t="str">
        <f>IF(A14&lt;&gt;"","^FO20,175^A0N,30,30^CI13^FD"&amp;Data!AY14&amp;"^FS","")</f>
        <v>^FO20,175^A0N,30,30^CI13^FDLounge^FS</v>
      </c>
      <c r="I14" t="str">
        <f>IF(A14&lt;&gt;"","^FO300,175^A0N,30,30^CI13^FD"&amp;"W:"&amp;Data!BA14&amp;" H:"&amp;Data!BB14,"")</f>
        <v>^FO300,175^A0N,30,30^CI13^FDW:3015 H:2200</v>
      </c>
      <c r="J14" t="str">
        <f>IF(A14&lt;&gt;"","^PQ"&amp;Data!$F$17&amp;",0,"&amp;Data!$F$17&amp;",Y","")</f>
        <v>^PQ0,0,0,Y</v>
      </c>
      <c r="K14" t="str">
        <f t="shared" si="0"/>
        <v>^XZ</v>
      </c>
    </row>
    <row r="15" spans="1:11" ht="13.15" customHeight="1">
      <c r="A15" t="str">
        <f>IF(OR(Data!$AV15="",Data!$AW15&gt;999),"","^XA^LH0,0^PRB,D^MD20^JMA^FS")</f>
        <v>^XA^LH0,0^PRB,D^MD20^JMA^FS</v>
      </c>
      <c r="B15" t="str">
        <f t="array" ref="B15">IF(A15&lt;&gt;"","^BY2,2.7,13^FO506,20^B2N,132,Y,N,N^SN"&amp;BarcodeValue(Data!BC$5,Data!BD$5,Data!AW15,0)&amp;",N,Y^FS","")</f>
        <v>^BY2,2.7,13^FO506,20^B2N,132,Y,N,N^SN0012085650060005,N,Y^FS</v>
      </c>
      <c r="C15" t="str">
        <f>IF(A15&lt;&gt;"","^FO20,20^A0N,28,37^CI13^FD"&amp;TEXT(Data!AY$5,"d/m/yyyy")&amp;"^FS","")</f>
        <v>^FO20,20^A0N,28,37^CI13^FD6/8/2026^FS</v>
      </c>
      <c r="D15" t="str">
        <f>IF(A15&lt;&gt;"","^FO220,20^A0N,41,48^CI13^FD"&amp;Data!$BC$5&amp;Data!$BD$5&amp;"/"&amp;RIGHT("000"&amp;Data!AW15,3)&amp;"^FS","")</f>
        <v>^FO220,20^A0N,41,48^CI13^FD12085A/006^FS</v>
      </c>
      <c r="E15" t="str">
        <f>IF(A15&lt;&gt;"","^FO20,55^A0N,30,30^CI13^FD"&amp;Data!$BF$5&amp;"^FS","")</f>
        <v>^FO20,55^A0N,30,30^CI13^FDCampbell, Neil^FS</v>
      </c>
      <c r="F15" t="str">
        <f>IF(A15&lt;&gt;"","^FO20,95^A0N,30,30^CI13^FD"&amp;Data!AX$5&amp;"^FS","")</f>
        <v>^FO20,95^A0N,30,30^CI13^FDVerticali Patio Blinds &amp; Fixed Guide Awnings^FS</v>
      </c>
      <c r="G15" t="str">
        <f>IF(A15&lt;&gt;"","^FO20,135^A0N,30,30^CI13^FD"&amp;Data!BE15&amp;"^FS","")</f>
        <v>^FO20,135^A0N,30,30^CI13^FDFGSUN HVG Visiontex Glisse Sunscreen Naxos^FS</v>
      </c>
      <c r="H15" t="str">
        <f>IF(A15&lt;&gt;"","^FO20,175^A0N,30,30^CI13^FD"&amp;Data!AY15&amp;"^FS","")</f>
        <v>^FO20,175^A0N,30,30^CI13^FDBed 4^FS</v>
      </c>
      <c r="I15" t="str">
        <f>IF(A15&lt;&gt;"","^FO300,175^A0N,30,30^CI13^FD"&amp;"W:"&amp;Data!BA15&amp;" H:"&amp;Data!BB15,"")</f>
        <v>^FO300,175^A0N,30,30^CI13^FDW:2356 H:2200</v>
      </c>
      <c r="J15" t="str">
        <f>IF(A15&lt;&gt;"","^PQ"&amp;Data!$F$17&amp;",0,"&amp;Data!$F$17&amp;",Y","")</f>
        <v>^PQ0,0,0,Y</v>
      </c>
      <c r="K15" t="str">
        <f t="shared" si="0"/>
        <v>^XZ</v>
      </c>
    </row>
    <row r="16" spans="1:11" ht="13.15" customHeight="1">
      <c r="A16" t="str">
        <f>IF(OR(Data!$AV16="",Data!$AW16&gt;999),"","^XA^LH0,0^PRB,D^MD20^JMA^FS")</f>
        <v/>
      </c>
      <c r="B16" t="str">
        <f t="array" ref="B16">IF(A16&lt;&gt;"","^BY2,2.7,13^FO506,20^B2N,132,Y,N,N^SN"&amp;BarcodeValue(Data!BC$5,Data!BD$5,Data!AW16,0)&amp;",N,Y^FS","")</f>
        <v/>
      </c>
      <c r="C16" t="str">
        <f>IF(A16&lt;&gt;"","^FO20,20^A0N,28,37^CI13^FD"&amp;TEXT(Data!AY$5,"d/m/yyyy")&amp;"^FS","")</f>
        <v/>
      </c>
      <c r="D16" t="str">
        <f>IF(A16&lt;&gt;"","^FO220,20^A0N,41,48^CI13^FD"&amp;Data!$BC$5&amp;Data!$BD$5&amp;"/"&amp;RIGHT("000"&amp;Data!AW16,3)&amp;"^FS","")</f>
        <v/>
      </c>
      <c r="E16" t="str">
        <f>IF(A16&lt;&gt;"","^FO20,55^A0N,30,30^CI13^FD"&amp;Data!$BF$5&amp;"^FS","")</f>
        <v/>
      </c>
      <c r="F16" t="str">
        <f>IF(A16&lt;&gt;"","^FO20,95^A0N,30,30^CI13^FD"&amp;Data!AX$5&amp;"^FS","")</f>
        <v/>
      </c>
      <c r="G16" t="str">
        <f>IF(A16&lt;&gt;"","^FO20,135^A0N,30,30^CI13^FD"&amp;Data!BE16&amp;"^FS","")</f>
        <v/>
      </c>
      <c r="H16" t="str">
        <f>IF(A16&lt;&gt;"","^FO20,175^A0N,30,30^CI13^FD"&amp;Data!AY16&amp;"^FS","")</f>
        <v/>
      </c>
      <c r="I16" t="str">
        <f>IF(A16&lt;&gt;"","^FO300,175^A0N,30,30^CI13^FD"&amp;"W:"&amp;Data!BA16&amp;" H:"&amp;Data!BB16,"")</f>
        <v/>
      </c>
      <c r="J16" t="str">
        <f>IF(A16&lt;&gt;"","^PQ"&amp;Data!$F$17&amp;",0,"&amp;Data!$F$17&amp;",Y","")</f>
        <v/>
      </c>
      <c r="K16" t="str">
        <f t="shared" si="0"/>
        <v/>
      </c>
    </row>
    <row r="17" spans="1:11" ht="13.15" customHeight="1">
      <c r="A17" t="str">
        <f>IF(OR(Data!$AV17="",Data!$AW17&gt;999),"","^XA^LH0,0^PRB,D^MD20^JMA^FS")</f>
        <v/>
      </c>
      <c r="B17" t="str">
        <f t="array" ref="B17">IF(A17&lt;&gt;"","^BY2,2.7,13^FO506,20^B2N,132,Y,N,N^SN"&amp;BarcodeValue(Data!BC$5,Data!BD$5,Data!AW17,0)&amp;",N,Y^FS","")</f>
        <v/>
      </c>
      <c r="C17" t="str">
        <f>IF(A17&lt;&gt;"","^FO20,20^A0N,28,37^CI13^FD"&amp;TEXT(Data!AY$5,"d/m/yyyy")&amp;"^FS","")</f>
        <v/>
      </c>
      <c r="D17" t="str">
        <f>IF(A17&lt;&gt;"","^FO220,20^A0N,41,48^CI13^FD"&amp;Data!$BC$5&amp;Data!$BD$5&amp;"/"&amp;RIGHT("000"&amp;Data!AW17,3)&amp;"^FS","")</f>
        <v/>
      </c>
      <c r="E17" t="str">
        <f>IF(A17&lt;&gt;"","^FO20,55^A0N,30,30^CI13^FD"&amp;Data!$BF$5&amp;"^FS","")</f>
        <v/>
      </c>
      <c r="F17" t="str">
        <f>IF(A17&lt;&gt;"","^FO20,95^A0N,30,30^CI13^FD"&amp;Data!AX$5&amp;"^FS","")</f>
        <v/>
      </c>
      <c r="G17" t="str">
        <f>IF(A17&lt;&gt;"","^FO20,135^A0N,30,30^CI13^FD"&amp;Data!BE17&amp;"^FS","")</f>
        <v/>
      </c>
      <c r="H17" t="str">
        <f>IF(A17&lt;&gt;"","^FO20,175^A0N,30,30^CI13^FD"&amp;Data!AY17&amp;"^FS","")</f>
        <v/>
      </c>
      <c r="I17" t="str">
        <f>IF(A17&lt;&gt;"","^FO300,175^A0N,30,30^CI13^FD"&amp;"W:"&amp;Data!BA17&amp;" H:"&amp;Data!BB17,"")</f>
        <v/>
      </c>
      <c r="J17" t="str">
        <f>IF(A17&lt;&gt;"","^PQ"&amp;Data!$F$17&amp;",0,"&amp;Data!$F$17&amp;",Y","")</f>
        <v/>
      </c>
      <c r="K17" t="str">
        <f t="shared" si="0"/>
        <v/>
      </c>
    </row>
    <row r="18" spans="1:11" ht="13.15" customHeight="1">
      <c r="A18" t="str">
        <f>IF(OR(Data!$AV18="",Data!$AW18&gt;999),"","^XA^LH0,0^PRB,D^MD20^JMA^FS")</f>
        <v/>
      </c>
      <c r="B18" t="str">
        <f t="array" ref="B18">IF(A18&lt;&gt;"","^BY2,2.7,13^FO506,20^B2N,132,Y,N,N^SN"&amp;BarcodeValue(Data!BC$5,Data!BD$5,Data!AW18,0)&amp;",N,Y^FS","")</f>
        <v/>
      </c>
      <c r="C18" t="str">
        <f>IF(A18&lt;&gt;"","^FO20,20^A0N,28,37^CI13^FD"&amp;TEXT(Data!AY$5,"d/m/yyyy")&amp;"^FS","")</f>
        <v/>
      </c>
      <c r="D18" t="str">
        <f>IF(A18&lt;&gt;"","^FO220,20^A0N,41,48^CI13^FD"&amp;Data!$BC$5&amp;Data!$BD$5&amp;"/"&amp;RIGHT("000"&amp;Data!AW18,3)&amp;"^FS","")</f>
        <v/>
      </c>
      <c r="E18" t="str">
        <f>IF(A18&lt;&gt;"","^FO20,55^A0N,30,30^CI13^FD"&amp;Data!$BF$5&amp;"^FS","")</f>
        <v/>
      </c>
      <c r="F18" t="str">
        <f>IF(A18&lt;&gt;"","^FO20,95^A0N,30,30^CI13^FD"&amp;Data!AX$5&amp;"^FS","")</f>
        <v/>
      </c>
      <c r="G18" t="str">
        <f>IF(A18&lt;&gt;"","^FO20,135^A0N,30,30^CI13^FD"&amp;Data!BE18&amp;"^FS","")</f>
        <v/>
      </c>
      <c r="H18" t="str">
        <f>IF(A18&lt;&gt;"","^FO20,175^A0N,30,30^CI13^FD"&amp;Data!AY18&amp;"^FS","")</f>
        <v/>
      </c>
      <c r="I18" t="str">
        <f>IF(A18&lt;&gt;"","^FO300,175^A0N,30,30^CI13^FD"&amp;"W:"&amp;Data!BA18&amp;" H:"&amp;Data!BB18,"")</f>
        <v/>
      </c>
      <c r="J18" t="str">
        <f>IF(A18&lt;&gt;"","^PQ"&amp;Data!$F$17&amp;",0,"&amp;Data!$F$17&amp;",Y","")</f>
        <v/>
      </c>
      <c r="K18" t="str">
        <f t="shared" si="0"/>
        <v/>
      </c>
    </row>
    <row r="19" spans="1:11" ht="13.15" customHeight="1">
      <c r="A19" t="str">
        <f>IF(OR(Data!$AV19="",Data!$AW19&gt;999),"","^XA^LH0,0^PRB,D^MD20^JMA^FS")</f>
        <v/>
      </c>
      <c r="B19" t="str">
        <f t="array" ref="B19">IF(A19&lt;&gt;"","^BY2,2.7,13^FO506,20^B2N,132,Y,N,N^SN"&amp;BarcodeValue(Data!BC$5,Data!BD$5,Data!AW19,0)&amp;",N,Y^FS","")</f>
        <v/>
      </c>
      <c r="C19" t="str">
        <f>IF(A19&lt;&gt;"","^FO20,20^A0N,28,37^CI13^FD"&amp;TEXT(Data!AY$5,"d/m/yyyy")&amp;"^FS","")</f>
        <v/>
      </c>
      <c r="D19" t="str">
        <f>IF(A19&lt;&gt;"","^FO220,20^A0N,41,48^CI13^FD"&amp;Data!$BC$5&amp;Data!$BD$5&amp;"/"&amp;RIGHT("000"&amp;Data!AW19,3)&amp;"^FS","")</f>
        <v/>
      </c>
      <c r="E19" t="str">
        <f>IF(A19&lt;&gt;"","^FO20,55^A0N,30,30^CI13^FD"&amp;Data!$BF$5&amp;"^FS","")</f>
        <v/>
      </c>
      <c r="F19" t="str">
        <f>IF(A19&lt;&gt;"","^FO20,95^A0N,30,30^CI13^FD"&amp;Data!AX$5&amp;"^FS","")</f>
        <v/>
      </c>
      <c r="G19" t="str">
        <f>IF(A19&lt;&gt;"","^FO20,135^A0N,30,30^CI13^FD"&amp;Data!BE19&amp;"^FS","")</f>
        <v/>
      </c>
      <c r="H19" t="str">
        <f>IF(A19&lt;&gt;"","^FO20,175^A0N,30,30^CI13^FD"&amp;Data!AY19&amp;"^FS","")</f>
        <v/>
      </c>
      <c r="I19" t="str">
        <f>IF(A19&lt;&gt;"","^FO300,175^A0N,30,30^CI13^FD"&amp;"W:"&amp;Data!BA19&amp;" H:"&amp;Data!BB19,"")</f>
        <v/>
      </c>
      <c r="J19" t="str">
        <f>IF(A19&lt;&gt;"","^PQ"&amp;Data!$F$17&amp;",0,"&amp;Data!$F$17&amp;",Y","")</f>
        <v/>
      </c>
      <c r="K19" t="str">
        <f t="shared" si="0"/>
        <v/>
      </c>
    </row>
    <row r="20" spans="1:11" ht="13.15" customHeight="1">
      <c r="A20" t="str">
        <f>IF(OR(Data!$AV20="",Data!$AW20&gt;999),"","^XA^LH0,0^PRB,D^MD20^JMA^FS")</f>
        <v/>
      </c>
      <c r="B20" t="str">
        <f t="array" ref="B20">IF(A20&lt;&gt;"","^BY2,2.7,13^FO506,20^B2N,132,Y,N,N^SN"&amp;BarcodeValue(Data!BC$5,Data!BD$5,Data!AW20,0)&amp;",N,Y^FS","")</f>
        <v/>
      </c>
      <c r="C20" t="str">
        <f>IF(A20&lt;&gt;"","^FO20,20^A0N,28,37^CI13^FD"&amp;TEXT(Data!AY$5,"d/m/yyyy")&amp;"^FS","")</f>
        <v/>
      </c>
      <c r="D20" t="str">
        <f>IF(A20&lt;&gt;"","^FO220,20^A0N,41,48^CI13^FD"&amp;Data!$BC$5&amp;Data!$BD$5&amp;"/"&amp;RIGHT("000"&amp;Data!AW20,3)&amp;"^FS","")</f>
        <v/>
      </c>
      <c r="E20" t="str">
        <f>IF(A20&lt;&gt;"","^FO20,55^A0N,30,30^CI13^FD"&amp;Data!$BF$5&amp;"^FS","")</f>
        <v/>
      </c>
      <c r="F20" t="str">
        <f>IF(A20&lt;&gt;"","^FO20,95^A0N,30,30^CI13^FD"&amp;Data!AX$5&amp;"^FS","")</f>
        <v/>
      </c>
      <c r="G20" t="str">
        <f>IF(A20&lt;&gt;"","^FO20,135^A0N,30,30^CI13^FD"&amp;Data!BE20&amp;"^FS","")</f>
        <v/>
      </c>
      <c r="H20" t="str">
        <f>IF(A20&lt;&gt;"","^FO20,175^A0N,30,30^CI13^FD"&amp;Data!AY20&amp;"^FS","")</f>
        <v/>
      </c>
      <c r="I20" t="str">
        <f>IF(A20&lt;&gt;"","^FO300,175^A0N,30,30^CI13^FD"&amp;"W:"&amp;Data!BA20&amp;" H:"&amp;Data!BB20,"")</f>
        <v/>
      </c>
      <c r="J20" t="str">
        <f>IF(A20&lt;&gt;"","^PQ"&amp;Data!$F$17&amp;",0,"&amp;Data!$F$17&amp;",Y","")</f>
        <v/>
      </c>
      <c r="K20" t="str">
        <f t="shared" si="0"/>
        <v/>
      </c>
    </row>
    <row r="21" spans="1:11" ht="13.15" customHeight="1">
      <c r="A21" t="str">
        <f>IF(OR(Data!$AV21="",Data!$AW21&gt;999),"","^XA^LH0,0^PRB,D^MD20^JMA^FS")</f>
        <v/>
      </c>
      <c r="B21" t="str">
        <f t="array" ref="B21">IF(A21&lt;&gt;"","^BY2,2.7,13^FO506,20^B2N,132,Y,N,N^SN"&amp;BarcodeValue(Data!BC$5,Data!BD$5,Data!AW21,0)&amp;",N,Y^FS","")</f>
        <v/>
      </c>
      <c r="C21" t="str">
        <f>IF(A21&lt;&gt;"","^FO20,20^A0N,28,37^CI13^FD"&amp;TEXT(Data!AY$5,"d/m/yyyy")&amp;"^FS","")</f>
        <v/>
      </c>
      <c r="D21" t="str">
        <f>IF(A21&lt;&gt;"","^FO220,20^A0N,41,48^CI13^FD"&amp;Data!$BC$5&amp;Data!$BD$5&amp;"/"&amp;RIGHT("000"&amp;Data!AW21,3)&amp;"^FS","")</f>
        <v/>
      </c>
      <c r="E21" t="str">
        <f>IF(A21&lt;&gt;"","^FO20,55^A0N,30,30^CI13^FD"&amp;Data!$BF$5&amp;"^FS","")</f>
        <v/>
      </c>
      <c r="F21" t="str">
        <f>IF(A21&lt;&gt;"","^FO20,95^A0N,30,30^CI13^FD"&amp;Data!AX$5&amp;"^FS","")</f>
        <v/>
      </c>
      <c r="G21" t="str">
        <f>IF(A21&lt;&gt;"","^FO20,135^A0N,30,30^CI13^FD"&amp;Data!BE21&amp;"^FS","")</f>
        <v/>
      </c>
      <c r="H21" t="str">
        <f>IF(A21&lt;&gt;"","^FO20,175^A0N,30,30^CI13^FD"&amp;Data!AY21&amp;"^FS","")</f>
        <v/>
      </c>
      <c r="I21" t="str">
        <f>IF(A21&lt;&gt;"","^FO300,175^A0N,30,30^CI13^FD"&amp;"W:"&amp;Data!BA21&amp;" H:"&amp;Data!BB21,"")</f>
        <v/>
      </c>
      <c r="J21" t="str">
        <f>IF(A21&lt;&gt;"","^PQ"&amp;Data!$F$17&amp;",0,"&amp;Data!$F$17&amp;",Y","")</f>
        <v/>
      </c>
      <c r="K21" t="str">
        <f t="shared" si="0"/>
        <v/>
      </c>
    </row>
    <row r="22" spans="1:11" ht="13.15" customHeight="1">
      <c r="A22" t="str">
        <f>IF(OR(Data!$AV22="",Data!$AW22&gt;999),"","^XA^LH0,0^PRB,D^MD20^JMA^FS")</f>
        <v/>
      </c>
      <c r="B22" t="str">
        <f t="array" ref="B22">IF(A22&lt;&gt;"","^BY2,2.7,13^FO506,20^B2N,132,Y,N,N^SN"&amp;BarcodeValue(Data!BC$5,Data!BD$5,Data!AW22,0)&amp;",N,Y^FS","")</f>
        <v/>
      </c>
      <c r="C22" t="str">
        <f>IF(A22&lt;&gt;"","^FO20,20^A0N,28,37^CI13^FD"&amp;TEXT(Data!AY$5,"d/m/yyyy")&amp;"^FS","")</f>
        <v/>
      </c>
      <c r="D22" t="str">
        <f>IF(A22&lt;&gt;"","^FO220,20^A0N,41,48^CI13^FD"&amp;Data!$BC$5&amp;Data!$BD$5&amp;"/"&amp;RIGHT("000"&amp;Data!AW22,3)&amp;"^FS","")</f>
        <v/>
      </c>
      <c r="E22" t="str">
        <f>IF(A22&lt;&gt;"","^FO20,55^A0N,30,30^CI13^FD"&amp;Data!$BF$5&amp;"^FS","")</f>
        <v/>
      </c>
      <c r="F22" t="str">
        <f>IF(A22&lt;&gt;"","^FO20,95^A0N,30,30^CI13^FD"&amp;Data!AX$5&amp;"^FS","")</f>
        <v/>
      </c>
      <c r="G22" t="str">
        <f>IF(A22&lt;&gt;"","^FO20,135^A0N,30,30^CI13^FD"&amp;Data!BE22&amp;"^FS","")</f>
        <v/>
      </c>
      <c r="H22" t="str">
        <f>IF(A22&lt;&gt;"","^FO20,175^A0N,30,30^CI13^FD"&amp;Data!AY22&amp;"^FS","")</f>
        <v/>
      </c>
      <c r="I22" t="str">
        <f>IF(A22&lt;&gt;"","^FO300,175^A0N,30,30^CI13^FD"&amp;"W:"&amp;Data!BA22&amp;" H:"&amp;Data!BB22,"")</f>
        <v/>
      </c>
      <c r="J22" t="str">
        <f>IF(A22&lt;&gt;"","^PQ"&amp;Data!$F$17&amp;",0,"&amp;Data!$F$17&amp;",Y","")</f>
        <v/>
      </c>
      <c r="K22" t="str">
        <f t="shared" si="0"/>
        <v/>
      </c>
    </row>
    <row r="23" spans="1:11" ht="13.15" customHeight="1">
      <c r="A23" t="str">
        <f>IF(OR(Data!$AV23="",Data!$AW23&gt;999),"","^XA^LH0,0^PRB,D^MD20^JMA^FS")</f>
        <v/>
      </c>
      <c r="B23" t="str">
        <f t="array" ref="B23">IF(A23&lt;&gt;"","^BY2,2.7,13^FO506,20^B2N,132,Y,N,N^SN"&amp;BarcodeValue(Data!BC$5,Data!BD$5,Data!AW23,0)&amp;",N,Y^FS","")</f>
        <v/>
      </c>
      <c r="C23" t="str">
        <f>IF(A23&lt;&gt;"","^FO20,20^A0N,28,37^CI13^FD"&amp;TEXT(Data!AY$5,"d/m/yyyy")&amp;"^FS","")</f>
        <v/>
      </c>
      <c r="D23" t="str">
        <f>IF(A23&lt;&gt;"","^FO220,20^A0N,41,48^CI13^FD"&amp;Data!$BC$5&amp;Data!$BD$5&amp;"/"&amp;RIGHT("000"&amp;Data!AW23,3)&amp;"^FS","")</f>
        <v/>
      </c>
      <c r="E23" t="str">
        <f>IF(A23&lt;&gt;"","^FO20,55^A0N,30,30^CI13^FD"&amp;Data!$BF$5&amp;"^FS","")</f>
        <v/>
      </c>
      <c r="F23" t="str">
        <f>IF(A23&lt;&gt;"","^FO20,95^A0N,30,30^CI13^FD"&amp;Data!AX$5&amp;"^FS","")</f>
        <v/>
      </c>
      <c r="G23" t="str">
        <f>IF(A23&lt;&gt;"","^FO20,135^A0N,30,30^CI13^FD"&amp;Data!BE23&amp;"^FS","")</f>
        <v/>
      </c>
      <c r="H23" t="str">
        <f>IF(A23&lt;&gt;"","^FO20,175^A0N,30,30^CI13^FD"&amp;Data!AY23&amp;"^FS","")</f>
        <v/>
      </c>
      <c r="I23" t="str">
        <f>IF(A23&lt;&gt;"","^FO300,175^A0N,30,30^CI13^FD"&amp;"W:"&amp;Data!BA23&amp;" H:"&amp;Data!BB23,"")</f>
        <v/>
      </c>
      <c r="J23" t="str">
        <f>IF(A23&lt;&gt;"","^PQ"&amp;Data!$F$17&amp;",0,"&amp;Data!$F$17&amp;",Y","")</f>
        <v/>
      </c>
      <c r="K23" t="str">
        <f t="shared" si="0"/>
        <v/>
      </c>
    </row>
    <row r="24" spans="1:11" ht="13.15" customHeight="1">
      <c r="A24" t="str">
        <f>IF(OR(Data!$AV24="",Data!$AW24&gt;999),"","^XA^LH0,0^PRB,D^MD20^JMA^FS")</f>
        <v/>
      </c>
      <c r="B24" t="str">
        <f t="array" ref="B24">IF(A24&lt;&gt;"","^BY2,2.7,13^FO506,20^B2N,132,Y,N,N^SN"&amp;BarcodeValue(Data!BC$5,Data!BD$5,Data!AW24,0)&amp;",N,Y^FS","")</f>
        <v/>
      </c>
      <c r="C24" t="str">
        <f>IF(A24&lt;&gt;"","^FO20,20^A0N,28,37^CI13^FD"&amp;TEXT(Data!AY$5,"d/m/yyyy")&amp;"^FS","")</f>
        <v/>
      </c>
      <c r="D24" t="str">
        <f>IF(A24&lt;&gt;"","^FO220,20^A0N,41,48^CI13^FD"&amp;Data!$BC$5&amp;Data!$BD$5&amp;"/"&amp;RIGHT("000"&amp;Data!AW24,3)&amp;"^FS","")</f>
        <v/>
      </c>
      <c r="E24" t="str">
        <f>IF(A24&lt;&gt;"","^FO20,55^A0N,30,30^CI13^FD"&amp;Data!$BF$5&amp;"^FS","")</f>
        <v/>
      </c>
      <c r="F24" t="str">
        <f>IF(A24&lt;&gt;"","^FO20,95^A0N,30,30^CI13^FD"&amp;Data!AX$5&amp;"^FS","")</f>
        <v/>
      </c>
      <c r="G24" t="str">
        <f>IF(A24&lt;&gt;"","^FO20,135^A0N,30,30^CI13^FD"&amp;Data!BE24&amp;"^FS","")</f>
        <v/>
      </c>
      <c r="H24" t="str">
        <f>IF(A24&lt;&gt;"","^FO20,175^A0N,30,30^CI13^FD"&amp;Data!AY24&amp;"^FS","")</f>
        <v/>
      </c>
      <c r="I24" t="str">
        <f>IF(A24&lt;&gt;"","^FO300,175^A0N,30,30^CI13^FD"&amp;"W:"&amp;Data!BA24&amp;" H:"&amp;Data!BB24,"")</f>
        <v/>
      </c>
      <c r="J24" t="str">
        <f>IF(A24&lt;&gt;"","^PQ"&amp;Data!$F$17&amp;",0,"&amp;Data!$F$17&amp;",Y","")</f>
        <v/>
      </c>
      <c r="K24" t="str">
        <f t="shared" si="0"/>
        <v/>
      </c>
    </row>
    <row r="25" spans="1:11" ht="13.15" customHeight="1">
      <c r="A25" t="str">
        <f>IF(OR(Data!$AV25="",Data!$AW25&gt;999),"","^XA^LH0,0^PRB,D^MD20^JMA^FS")</f>
        <v/>
      </c>
      <c r="B25" t="str">
        <f t="array" ref="B25">IF(A25&lt;&gt;"","^BY2,2.7,13^FO506,20^B2N,132,Y,N,N^SN"&amp;BarcodeValue(Data!BC$5,Data!BD$5,Data!AW25,0)&amp;",N,Y^FS","")</f>
        <v/>
      </c>
      <c r="C25" t="str">
        <f>IF(A25&lt;&gt;"","^FO20,20^A0N,28,37^CI13^FD"&amp;TEXT(Data!AY$5,"d/m/yyyy")&amp;"^FS","")</f>
        <v/>
      </c>
      <c r="D25" t="str">
        <f>IF(A25&lt;&gt;"","^FO220,20^A0N,41,48^CI13^FD"&amp;Data!$BC$5&amp;Data!$BD$5&amp;"/"&amp;RIGHT("000"&amp;Data!AW25,3)&amp;"^FS","")</f>
        <v/>
      </c>
      <c r="E25" t="str">
        <f>IF(A25&lt;&gt;"","^FO20,55^A0N,30,30^CI13^FD"&amp;Data!$BF$5&amp;"^FS","")</f>
        <v/>
      </c>
      <c r="F25" t="str">
        <f>IF(A25&lt;&gt;"","^FO20,95^A0N,30,30^CI13^FD"&amp;Data!AX$5&amp;"^FS","")</f>
        <v/>
      </c>
      <c r="G25" t="str">
        <f>IF(A25&lt;&gt;"","^FO20,135^A0N,30,30^CI13^FD"&amp;Data!BE25&amp;"^FS","")</f>
        <v/>
      </c>
      <c r="H25" t="str">
        <f>IF(A25&lt;&gt;"","^FO20,175^A0N,30,30^CI13^FD"&amp;Data!AY25&amp;"^FS","")</f>
        <v/>
      </c>
      <c r="I25" t="str">
        <f>IF(A25&lt;&gt;"","^FO300,175^A0N,30,30^CI13^FD"&amp;"W:"&amp;Data!BA25&amp;" H:"&amp;Data!BB25,"")</f>
        <v/>
      </c>
      <c r="J25" t="str">
        <f>IF(A25&lt;&gt;"","^PQ"&amp;Data!$F$17&amp;",0,"&amp;Data!$F$17&amp;",Y","")</f>
        <v/>
      </c>
      <c r="K25" t="str">
        <f t="shared" si="0"/>
        <v/>
      </c>
    </row>
    <row r="26" spans="1:11" ht="13.15" customHeight="1">
      <c r="A26" t="str">
        <f>IF(OR(Data!$AV26="",Data!$AW26&gt;999),"","^XA^LH0,0^PRB,D^MD20^JMA^FS")</f>
        <v/>
      </c>
      <c r="B26" t="str">
        <f t="array" ref="B26">IF(A26&lt;&gt;"","^BY2,2.7,13^FO506,20^B2N,132,Y,N,N^SN"&amp;BarcodeValue(Data!BC$5,Data!BD$5,Data!AW26,0)&amp;",N,Y^FS","")</f>
        <v/>
      </c>
      <c r="C26" t="str">
        <f>IF(A26&lt;&gt;"","^FO20,20^A0N,28,37^CI13^FD"&amp;TEXT(Data!AY$5,"d/m/yyyy")&amp;"^FS","")</f>
        <v/>
      </c>
      <c r="D26" t="str">
        <f>IF(A26&lt;&gt;"","^FO220,20^A0N,41,48^CI13^FD"&amp;Data!$BC$5&amp;Data!$BD$5&amp;"/"&amp;RIGHT("000"&amp;Data!AW26,3)&amp;"^FS","")</f>
        <v/>
      </c>
      <c r="E26" t="str">
        <f>IF(A26&lt;&gt;"","^FO20,55^A0N,30,30^CI13^FD"&amp;Data!$BF$5&amp;"^FS","")</f>
        <v/>
      </c>
      <c r="F26" t="str">
        <f>IF(A26&lt;&gt;"","^FO20,95^A0N,30,30^CI13^FD"&amp;Data!AX$5&amp;"^FS","")</f>
        <v/>
      </c>
      <c r="G26" t="str">
        <f>IF(A26&lt;&gt;"","^FO20,135^A0N,30,30^CI13^FD"&amp;Data!BE26&amp;"^FS","")</f>
        <v/>
      </c>
      <c r="H26" t="str">
        <f>IF(A26&lt;&gt;"","^FO20,175^A0N,30,30^CI13^FD"&amp;Data!AY26&amp;"^FS","")</f>
        <v/>
      </c>
      <c r="I26" t="str">
        <f>IF(A26&lt;&gt;"","^FO300,175^A0N,30,30^CI13^FD"&amp;"W:"&amp;Data!BA26&amp;" H:"&amp;Data!BB26,"")</f>
        <v/>
      </c>
      <c r="J26" t="str">
        <f>IF(A26&lt;&gt;"","^PQ"&amp;Data!$F$17&amp;",0,"&amp;Data!$F$17&amp;",Y","")</f>
        <v/>
      </c>
      <c r="K26" t="str">
        <f t="shared" si="0"/>
        <v/>
      </c>
    </row>
    <row r="27" spans="1:11" ht="13.15" customHeight="1">
      <c r="A27" t="str">
        <f>IF(OR(Data!$AV27="",Data!$AW27&gt;999),"","^XA^LH0,0^PRB,D^MD20^JMA^FS")</f>
        <v/>
      </c>
      <c r="B27" t="str">
        <f t="array" ref="B27">IF(A27&lt;&gt;"","^BY2,2.7,13^FO506,20^B2N,132,Y,N,N^SN"&amp;BarcodeValue(Data!BC$5,Data!BD$5,Data!AW27,0)&amp;",N,Y^FS","")</f>
        <v/>
      </c>
      <c r="C27" t="str">
        <f>IF(A27&lt;&gt;"","^FO20,20^A0N,28,37^CI13^FD"&amp;TEXT(Data!AY$5,"d/m/yyyy")&amp;"^FS","")</f>
        <v/>
      </c>
      <c r="D27" t="str">
        <f>IF(A27&lt;&gt;"","^FO220,20^A0N,41,48^CI13^FD"&amp;Data!$BC$5&amp;Data!$BD$5&amp;"/"&amp;RIGHT("000"&amp;Data!AW27,3)&amp;"^FS","")</f>
        <v/>
      </c>
      <c r="E27" t="str">
        <f>IF(A27&lt;&gt;"","^FO20,55^A0N,30,30^CI13^FD"&amp;Data!$BF$5&amp;"^FS","")</f>
        <v/>
      </c>
      <c r="F27" t="str">
        <f>IF(A27&lt;&gt;"","^FO20,95^A0N,30,30^CI13^FD"&amp;Data!AX$5&amp;"^FS","")</f>
        <v/>
      </c>
      <c r="G27" t="str">
        <f>IF(A27&lt;&gt;"","^FO20,135^A0N,30,30^CI13^FD"&amp;Data!BE27&amp;"^FS","")</f>
        <v/>
      </c>
      <c r="H27" t="str">
        <f>IF(A27&lt;&gt;"","^FO20,175^A0N,30,30^CI13^FD"&amp;Data!AY27&amp;"^FS","")</f>
        <v/>
      </c>
      <c r="I27" t="str">
        <f>IF(A27&lt;&gt;"","^FO300,175^A0N,30,30^CI13^FD"&amp;"W:"&amp;Data!BA27&amp;" H:"&amp;Data!BB27,"")</f>
        <v/>
      </c>
      <c r="J27" t="str">
        <f>IF(A27&lt;&gt;"","^PQ"&amp;Data!$F$17&amp;",0,"&amp;Data!$F$17&amp;",Y","")</f>
        <v/>
      </c>
      <c r="K27" t="str">
        <f t="shared" si="0"/>
        <v/>
      </c>
    </row>
    <row r="28" spans="1:11" ht="13.15" customHeight="1">
      <c r="A28" t="str">
        <f>IF(OR(Data!$AV28="",Data!$AW28&gt;999),"","^XA^LH0,0^PRB,D^MD20^JMA^FS")</f>
        <v/>
      </c>
      <c r="B28" t="str">
        <f t="array" ref="B28">IF(A28&lt;&gt;"","^BY2,2.7,13^FO506,20^B2N,132,Y,N,N^SN"&amp;BarcodeValue(Data!BC$5,Data!BD$5,Data!AW28,0)&amp;",N,Y^FS","")</f>
        <v/>
      </c>
      <c r="C28" t="str">
        <f>IF(A28&lt;&gt;"","^FO20,20^A0N,28,37^CI13^FD"&amp;TEXT(Data!AY$5,"d/m/yyyy")&amp;"^FS","")</f>
        <v/>
      </c>
      <c r="D28" t="str">
        <f>IF(A28&lt;&gt;"","^FO220,20^A0N,41,48^CI13^FD"&amp;Data!$BC$5&amp;Data!$BD$5&amp;"/"&amp;RIGHT("000"&amp;Data!AW28,3)&amp;"^FS","")</f>
        <v/>
      </c>
      <c r="E28" t="str">
        <f>IF(A28&lt;&gt;"","^FO20,55^A0N,30,30^CI13^FD"&amp;Data!$BF$5&amp;"^FS","")</f>
        <v/>
      </c>
      <c r="F28" t="str">
        <f>IF(A28&lt;&gt;"","^FO20,95^A0N,30,30^CI13^FD"&amp;Data!AX$5&amp;"^FS","")</f>
        <v/>
      </c>
      <c r="G28" t="str">
        <f>IF(A28&lt;&gt;"","^FO20,135^A0N,30,30^CI13^FD"&amp;Data!BE28&amp;"^FS","")</f>
        <v/>
      </c>
      <c r="H28" t="str">
        <f>IF(A28&lt;&gt;"","^FO20,175^A0N,30,30^CI13^FD"&amp;Data!AY28&amp;"^FS","")</f>
        <v/>
      </c>
      <c r="I28" t="str">
        <f>IF(A28&lt;&gt;"","^FO300,175^A0N,30,30^CI13^FD"&amp;"W:"&amp;Data!BA28&amp;" H:"&amp;Data!BB28,"")</f>
        <v/>
      </c>
      <c r="J28" t="str">
        <f>IF(A28&lt;&gt;"","^PQ"&amp;Data!$F$17&amp;",0,"&amp;Data!$F$17&amp;",Y","")</f>
        <v/>
      </c>
      <c r="K28" t="str">
        <f t="shared" si="0"/>
        <v/>
      </c>
    </row>
    <row r="29" spans="1:11" ht="12.6" customHeight="1">
      <c r="A29" t="str">
        <f>IF(OR(Data!$AV21="",Data!$AW21&gt;999),"","^XA^LH0,0^PRB,D^MD20^JMA^FS")</f>
        <v/>
      </c>
      <c r="B29" t="str">
        <f t="array" ref="B29">IF(A29&lt;&gt;"","^BY2,2.7,13^FO506,20^B2N,132,Y,N,N^SN"&amp;BarcodeValue(Data!BC$5,Data!BD$5,Data!AW21,0)&amp;",N,Y^FS","")</f>
        <v/>
      </c>
      <c r="C29" t="str">
        <f>IF(A29&lt;&gt;"","^FO20,20^A0N,28,37^CI13^FD"&amp;TEXT(Data!AY$5,"d/m/yyyy")&amp;"^FS","")</f>
        <v/>
      </c>
      <c r="D29" t="str">
        <f>IF(A29&lt;&gt;"","^FO220,20^A0N,41,48^CI13^FD"&amp;Data!$BC$5&amp;Data!$BD$5&amp;"/"&amp;RIGHT("000"&amp;Data!AW21,3)&amp;"^FS","")</f>
        <v/>
      </c>
      <c r="E29" t="str">
        <f>IF(A29&lt;&gt;"","^FO20,55^A0N,30,30^CI13^FD"&amp;Data!$BF$5&amp;"^FS","")</f>
        <v/>
      </c>
      <c r="F29" t="str">
        <f>IF(A29&lt;&gt;"","^FO20,95^A0N,30,30^CI13^FD"&amp;Data!AX$5&amp;"^FS","")</f>
        <v/>
      </c>
      <c r="G29" t="str">
        <f>IF(A29&lt;&gt;"","^FO20,135^A0N,30,30^CI13^FD"&amp;Data!BE21&amp;"^FS","")</f>
        <v/>
      </c>
      <c r="H29" t="str">
        <f>IF(A29&lt;&gt;"","^FO20,175^A0N,30,30^CI13^FD"&amp;Data!AY21&amp;"^FS","")</f>
        <v/>
      </c>
      <c r="I29" t="str">
        <f>IF(A29&lt;&gt;"","^FO300,175^A0N,30,30^CI13^FD"&amp;"W:"&amp;Data!BA21&amp;" H:"&amp;Data!BB21,"")</f>
        <v/>
      </c>
      <c r="J29" t="str">
        <f>IF(A29&lt;&gt;"","^PQ"&amp;Data!$F$17&amp;",0,"&amp;Data!$F$17&amp;",Y","")</f>
        <v/>
      </c>
      <c r="K29" t="str">
        <f t="shared" si="0"/>
        <v/>
      </c>
    </row>
    <row r="30" spans="1:11" ht="12.6" customHeight="1">
      <c r="A30" t="str">
        <f>IF(OR(Data!$AV22="",Data!$AW22&gt;999),"","^XA^LH0,0^PRB,D^MD20^JMA^FS")</f>
        <v/>
      </c>
      <c r="B30" t="str">
        <f t="array" ref="B30">IF(A30&lt;&gt;"","^BY2,2.7,13^FO506,20^B2N,132,Y,N,N^SN"&amp;BarcodeValue(Data!BC$5,Data!BD$5,Data!AW22,0)&amp;",N,Y^FS","")</f>
        <v/>
      </c>
      <c r="C30" t="str">
        <f>IF(A30&lt;&gt;"","^FO20,20^A0N,28,37^CI13^FD"&amp;TEXT(Data!AY$5,"d/m/yyyy")&amp;"^FS","")</f>
        <v/>
      </c>
      <c r="D30" t="str">
        <f>IF(A30&lt;&gt;"","^FO220,20^A0N,41,48^CI13^FD"&amp;Data!$BC$5&amp;Data!$BD$5&amp;"/"&amp;RIGHT("000"&amp;Data!AW22,3)&amp;"^FS","")</f>
        <v/>
      </c>
      <c r="E30" t="str">
        <f>IF(A30&lt;&gt;"","^FO20,55^A0N,30,30^CI13^FD"&amp;Data!$BF$5&amp;"^FS","")</f>
        <v/>
      </c>
      <c r="F30" t="str">
        <f>IF(A30&lt;&gt;"","^FO20,95^A0N,30,30^CI13^FD"&amp;Data!AX$5&amp;"^FS","")</f>
        <v/>
      </c>
      <c r="G30" t="str">
        <f>IF(A30&lt;&gt;"","^FO20,135^A0N,30,30^CI13^FD"&amp;Data!BE22&amp;"^FS","")</f>
        <v/>
      </c>
      <c r="H30" t="str">
        <f>IF(A30&lt;&gt;"","^FO20,175^A0N,30,30^CI13^FD"&amp;Data!AY22&amp;"^FS","")</f>
        <v/>
      </c>
      <c r="I30" t="str">
        <f>IF(A30&lt;&gt;"","^FO300,175^A0N,30,30^CI13^FD"&amp;"W:"&amp;Data!BA22&amp;" H:"&amp;Data!BB22,"")</f>
        <v/>
      </c>
      <c r="J30" t="str">
        <f>IF(A30&lt;&gt;"","^PQ"&amp;Data!$F$17&amp;",0,"&amp;Data!$F$17&amp;",Y","")</f>
        <v/>
      </c>
      <c r="K30" t="str">
        <f t="shared" si="0"/>
        <v/>
      </c>
    </row>
    <row r="31" spans="1:11" ht="12.6" customHeight="1">
      <c r="A31" t="str">
        <f>IF(OR(Data!$AV23="",Data!$AW23&gt;999),"","^XA^LH0,0^PRB,D^MD20^JMA^FS")</f>
        <v/>
      </c>
      <c r="B31" t="str">
        <f t="array" ref="B31">IF(A31&lt;&gt;"","^BY2,2.7,13^FO506,20^B2N,132,Y,N,N^SN"&amp;BarcodeValue(Data!BC$5,Data!BD$5,Data!AW23,0)&amp;",N,Y^FS","")</f>
        <v/>
      </c>
      <c r="C31" t="str">
        <f>IF(A31&lt;&gt;"","^FO20,20^A0N,28,37^CI13^FD"&amp;TEXT(Data!AY$5,"d/m/yyyy")&amp;"^FS","")</f>
        <v/>
      </c>
      <c r="D31" t="str">
        <f>IF(A31&lt;&gt;"","^FO220,20^A0N,41,48^CI13^FD"&amp;Data!$BC$5&amp;Data!$BD$5&amp;"/"&amp;RIGHT("000"&amp;Data!AW23,3)&amp;"^FS","")</f>
        <v/>
      </c>
      <c r="E31" t="str">
        <f>IF(A31&lt;&gt;"","^FO20,55^A0N,30,30^CI13^FD"&amp;Data!$BF$5&amp;"^FS","")</f>
        <v/>
      </c>
      <c r="F31" t="str">
        <f>IF(A31&lt;&gt;"","^FO20,95^A0N,30,30^CI13^FD"&amp;Data!AX$5&amp;"^FS","")</f>
        <v/>
      </c>
      <c r="G31" t="str">
        <f>IF(A31&lt;&gt;"","^FO20,135^A0N,30,30^CI13^FD"&amp;Data!BE23&amp;"^FS","")</f>
        <v/>
      </c>
      <c r="H31" t="str">
        <f>IF(A31&lt;&gt;"","^FO20,175^A0N,30,30^CI13^FD"&amp;Data!AY23&amp;"^FS","")</f>
        <v/>
      </c>
      <c r="I31" t="str">
        <f>IF(A31&lt;&gt;"","^FO300,175^A0N,30,30^CI13^FD"&amp;"W:"&amp;Data!BA23&amp;" H:"&amp;Data!BB23,"")</f>
        <v/>
      </c>
      <c r="J31" t="str">
        <f>IF(A31&lt;&gt;"","^PQ"&amp;Data!$F$17&amp;",0,"&amp;Data!$F$17&amp;",Y","")</f>
        <v/>
      </c>
      <c r="K31" t="str">
        <f t="shared" si="0"/>
        <v/>
      </c>
    </row>
    <row r="32" spans="1:11" ht="12.6" customHeight="1">
      <c r="A32" t="str">
        <f>IF(OR(Data!$AV24="",Data!$AW24&gt;999),"","^XA^LH0,0^PRB,D^MD20^JMA^FS")</f>
        <v/>
      </c>
      <c r="B32" t="str">
        <f t="array" ref="B32">IF(A32&lt;&gt;"","^BY2,2.7,13^FO506,20^B2N,132,Y,N,N^SN"&amp;BarcodeValue(Data!BC$5,Data!BD$5,Data!AW24,0)&amp;",N,Y^FS","")</f>
        <v/>
      </c>
      <c r="C32" t="str">
        <f>IF(A32&lt;&gt;"","^FO20,20^A0N,28,37^CI13^FD"&amp;TEXT(Data!AY$5,"d/m/yyyy")&amp;"^FS","")</f>
        <v/>
      </c>
      <c r="D32" t="str">
        <f>IF(A32&lt;&gt;"","^FO220,20^A0N,41,48^CI13^FD"&amp;Data!$BC$5&amp;Data!$BD$5&amp;"/"&amp;RIGHT("000"&amp;Data!AW24,3)&amp;"^FS","")</f>
        <v/>
      </c>
      <c r="E32" t="str">
        <f>IF(A32&lt;&gt;"","^FO20,55^A0N,30,30^CI13^FD"&amp;Data!$BF$5&amp;"^FS","")</f>
        <v/>
      </c>
      <c r="F32" t="str">
        <f>IF(A32&lt;&gt;"","^FO20,95^A0N,30,30^CI13^FD"&amp;Data!AX$5&amp;"^FS","")</f>
        <v/>
      </c>
      <c r="G32" t="str">
        <f>IF(A32&lt;&gt;"","^FO20,135^A0N,30,30^CI13^FD"&amp;Data!BE24&amp;"^FS","")</f>
        <v/>
      </c>
      <c r="H32" t="str">
        <f>IF(A32&lt;&gt;"","^FO20,175^A0N,30,30^CI13^FD"&amp;Data!AY24&amp;"^FS","")</f>
        <v/>
      </c>
      <c r="I32" t="str">
        <f>IF(A32&lt;&gt;"","^FO300,175^A0N,30,30^CI13^FD"&amp;"W:"&amp;Data!BA24&amp;" H:"&amp;Data!BB24,"")</f>
        <v/>
      </c>
      <c r="J32" t="str">
        <f>IF(A32&lt;&gt;"","^PQ"&amp;Data!$F$17&amp;",0,"&amp;Data!$F$17&amp;",Y","")</f>
        <v/>
      </c>
      <c r="K32" t="str">
        <f t="shared" si="0"/>
        <v/>
      </c>
    </row>
    <row r="33" spans="1:11" ht="12.75">
      <c r="A33" t="str">
        <f>IF(OR(Data!$AV25="",Data!$AW25&gt;999),"","^XA^LH0,0^PRB,D^MD20^JMA^FS")</f>
        <v/>
      </c>
      <c r="B33" t="str">
        <f t="array" ref="B33">IF(A33&lt;&gt;"","^BY2,2.7,13^FO506,20^B2N,132,Y,N,N^SN"&amp;BarcodeValue(Data!BC$5,Data!BD$5,Data!AW25,0)&amp;",N,Y^FS","")</f>
        <v/>
      </c>
      <c r="C33" t="str">
        <f>IF(A33&lt;&gt;"","^FO20,20^A0N,28,37^CI13^FD"&amp;TEXT(Data!AY$5,"d/m/yyyy")&amp;"^FS","")</f>
        <v/>
      </c>
      <c r="D33" t="str">
        <f>IF(A33&lt;&gt;"","^FO220,20^A0N,41,48^CI13^FD"&amp;Data!$BC$5&amp;Data!$BD$5&amp;"/"&amp;RIGHT("000"&amp;Data!AW25,3)&amp;"^FS","")</f>
        <v/>
      </c>
      <c r="E33" t="str">
        <f>IF(A33&lt;&gt;"","^FO20,55^A0N,30,30^CI13^FD"&amp;Data!$BF$5&amp;"^FS","")</f>
        <v/>
      </c>
      <c r="F33" t="str">
        <f>IF(A33&lt;&gt;"","^FO20,95^A0N,30,30^CI13^FD"&amp;Data!AX$5&amp;"^FS","")</f>
        <v/>
      </c>
      <c r="G33" t="str">
        <f>IF(A33&lt;&gt;"","^FO20,135^A0N,30,30^CI13^FD"&amp;Data!BE25&amp;"^FS","")</f>
        <v/>
      </c>
      <c r="H33" t="str">
        <f>IF(A33&lt;&gt;"","^FO20,175^A0N,30,30^CI13^FD"&amp;Data!AY25&amp;"^FS","")</f>
        <v/>
      </c>
      <c r="I33" t="str">
        <f>IF(A33&lt;&gt;"","^FO300,175^A0N,30,30^CI13^FD"&amp;"W:"&amp;Data!BA25&amp;" H:"&amp;Data!BB25,"")</f>
        <v/>
      </c>
      <c r="J33" t="str">
        <f>IF(A33&lt;&gt;"","^PQ"&amp;Data!$F$17&amp;",0,"&amp;Data!$F$17&amp;",Y","")</f>
        <v/>
      </c>
      <c r="K33" t="str">
        <f t="shared" si="0"/>
        <v/>
      </c>
    </row>
    <row r="34" spans="1:11" ht="12.75">
      <c r="A34" t="str">
        <f>IF(OR(Data!$AV26="",Data!$AW26&gt;999),"","^XA^LH0,0^PRB,D^MD20^JMA^FS")</f>
        <v/>
      </c>
      <c r="B34" t="str">
        <f t="array" ref="B34">IF(A34&lt;&gt;"","^BY2,2.7,13^FO506,20^B2N,132,Y,N,N^SN"&amp;BarcodeValue(Data!BC$5,Data!BD$5,Data!AW26,0)&amp;",N,Y^FS","")</f>
        <v/>
      </c>
      <c r="C34" t="str">
        <f>IF(A34&lt;&gt;"","^FO20,20^A0N,28,37^CI13^FD"&amp;TEXT(Data!AY$5,"d/m/yyyy")&amp;"^FS","")</f>
        <v/>
      </c>
      <c r="D34" t="str">
        <f>IF(A34&lt;&gt;"","^FO220,20^A0N,41,48^CI13^FD"&amp;Data!$BC$5&amp;Data!$BD$5&amp;"/"&amp;RIGHT("000"&amp;Data!AW26,3)&amp;"^FS","")</f>
        <v/>
      </c>
      <c r="E34" t="str">
        <f>IF(A34&lt;&gt;"","^FO20,55^A0N,30,30^CI13^FD"&amp;Data!$BF$5&amp;"^FS","")</f>
        <v/>
      </c>
      <c r="F34" t="str">
        <f>IF(A34&lt;&gt;"","^FO20,95^A0N,30,30^CI13^FD"&amp;Data!AX$5&amp;"^FS","")</f>
        <v/>
      </c>
      <c r="G34" t="str">
        <f>IF(A34&lt;&gt;"","^FO20,135^A0N,30,30^CI13^FD"&amp;Data!BE26&amp;"^FS","")</f>
        <v/>
      </c>
      <c r="H34" t="str">
        <f>IF(A34&lt;&gt;"","^FO20,175^A0N,30,30^CI13^FD"&amp;Data!AY26&amp;"^FS","")</f>
        <v/>
      </c>
      <c r="I34" t="str">
        <f>IF(A34&lt;&gt;"","^FO300,175^A0N,30,30^CI13^FD"&amp;"W:"&amp;Data!BA26&amp;" H:"&amp;Data!BB26,"")</f>
        <v/>
      </c>
      <c r="J34" t="str">
        <f>IF(A34&lt;&gt;"","^PQ"&amp;Data!$F$17&amp;",0,"&amp;Data!$F$17&amp;",Y","")</f>
        <v/>
      </c>
      <c r="K34" t="str">
        <f t="shared" si="0"/>
        <v/>
      </c>
    </row>
    <row r="35" spans="1:11" ht="12.75">
      <c r="A35" t="str">
        <f>IF(OR(Data!$AV27="",Data!$AW27&gt;999),"","^XA^LH0,0^PRB,D^MD20^JMA^FS")</f>
        <v/>
      </c>
      <c r="B35" t="str">
        <f t="array" ref="B35">IF(A35&lt;&gt;"","^BY2,2.7,13^FO506,20^B2N,132,Y,N,N^SN"&amp;BarcodeValue(Data!BC$5,Data!BD$5,Data!AW27,0)&amp;",N,Y^FS","")</f>
        <v/>
      </c>
      <c r="C35" t="str">
        <f>IF(A35&lt;&gt;"","^FO20,20^A0N,28,37^CI13^FD"&amp;TEXT(Data!AY$5,"d/m/yyyy")&amp;"^FS","")</f>
        <v/>
      </c>
      <c r="D35" t="str">
        <f>IF(A35&lt;&gt;"","^FO220,20^A0N,41,48^CI13^FD"&amp;Data!$BC$5&amp;Data!$BD$5&amp;"/"&amp;RIGHT("000"&amp;Data!AW27,3)&amp;"^FS","")</f>
        <v/>
      </c>
      <c r="E35" t="str">
        <f>IF(A35&lt;&gt;"","^FO20,55^A0N,30,30^CI13^FD"&amp;Data!$BF$5&amp;"^FS","")</f>
        <v/>
      </c>
      <c r="F35" t="str">
        <f>IF(A35&lt;&gt;"","^FO20,95^A0N,30,30^CI13^FD"&amp;Data!AX$5&amp;"^FS","")</f>
        <v/>
      </c>
      <c r="G35" t="str">
        <f>IF(A35&lt;&gt;"","^FO20,135^A0N,30,30^CI13^FD"&amp;Data!BE27&amp;"^FS","")</f>
        <v/>
      </c>
      <c r="H35" t="str">
        <f>IF(A35&lt;&gt;"","^FO20,175^A0N,30,30^CI13^FD"&amp;Data!AY27&amp;"^FS","")</f>
        <v/>
      </c>
      <c r="I35" t="str">
        <f>IF(A35&lt;&gt;"","^FO300,175^A0N,30,30^CI13^FD"&amp;"W:"&amp;Data!BA27&amp;" H:"&amp;Data!BB27,"")</f>
        <v/>
      </c>
      <c r="J35" t="str">
        <f>IF(A35&lt;&gt;"","^PQ"&amp;Data!$F$17&amp;",0,"&amp;Data!$F$17&amp;",Y","")</f>
        <v/>
      </c>
      <c r="K35" t="str">
        <f t="shared" si="0"/>
        <v/>
      </c>
    </row>
    <row r="36" spans="1:11" ht="12.75">
      <c r="A36" t="str">
        <f>IF(OR(Data!$AV28="",Data!$AW28&gt;999),"","^XA^LH0,0^PRB,D^MD20^JMA^FS")</f>
        <v/>
      </c>
      <c r="B36" t="str">
        <f t="array" ref="B36">IF(A36&lt;&gt;"","^BY2,2.7,13^FO506,20^B2N,132,Y,N,N^SN"&amp;BarcodeValue(Data!BC$5,Data!BD$5,Data!AW28,0)&amp;",N,Y^FS","")</f>
        <v/>
      </c>
      <c r="C36" t="str">
        <f>IF(A36&lt;&gt;"","^FO20,20^A0N,28,37^CI13^FD"&amp;TEXT(Data!AY$5,"d/m/yyyy")&amp;"^FS","")</f>
        <v/>
      </c>
      <c r="D36" t="str">
        <f>IF(A36&lt;&gt;"","^FO220,20^A0N,41,48^CI13^FD"&amp;Data!$BC$5&amp;Data!$BD$5&amp;"/"&amp;RIGHT("000"&amp;Data!AW28,3)&amp;"^FS","")</f>
        <v/>
      </c>
      <c r="E36" t="str">
        <f>IF(A36&lt;&gt;"","^FO20,55^A0N,30,30^CI13^FD"&amp;Data!$BF$5&amp;"^FS","")</f>
        <v/>
      </c>
      <c r="F36" t="str">
        <f>IF(A36&lt;&gt;"","^FO20,95^A0N,30,30^CI13^FD"&amp;Data!AX$5&amp;"^FS","")</f>
        <v/>
      </c>
      <c r="G36" t="str">
        <f>IF(A36&lt;&gt;"","^FO20,135^A0N,30,30^CI13^FD"&amp;Data!BE28&amp;"^FS","")</f>
        <v/>
      </c>
      <c r="H36" t="str">
        <f>IF(A36&lt;&gt;"","^FO20,175^A0N,30,30^CI13^FD"&amp;Data!AY28&amp;"^FS","")</f>
        <v/>
      </c>
      <c r="I36" t="str">
        <f>IF(A36&lt;&gt;"","^FO300,175^A0N,30,30^CI13^FD"&amp;"W:"&amp;Data!BA28&amp;" H:"&amp;Data!BB28,"")</f>
        <v/>
      </c>
      <c r="J36" t="str">
        <f>IF(A36&lt;&gt;"","^PQ"&amp;Data!$F$17&amp;",0,"&amp;Data!$F$17&amp;",Y","")</f>
        <v/>
      </c>
      <c r="K36" t="str">
        <f t="shared" si="0"/>
        <v/>
      </c>
    </row>
    <row r="37" spans="1:11" ht="12.75">
      <c r="A37" t="str">
        <f>IF(OR(Data!$AV21="",Data!$AW21&gt;999),"","^XA^LH0,0^PRB,D^MD20^JMA^FS")</f>
        <v/>
      </c>
      <c r="B37" t="str">
        <f t="array" ref="B37">IF(A37&lt;&gt;"","^BY2,2.7,13^FO506,20^B2N,132,Y,N,N^SN"&amp;BarcodeValue(Data!BC$5,Data!BD$5,Data!AW21,0)&amp;",N,Y^FS","")</f>
        <v/>
      </c>
      <c r="C37" t="str">
        <f>IF(A37&lt;&gt;"","^FO20,20^A0N,28,37^CI13^FD"&amp;TEXT(Data!AY$5,"d/m/yyyy")&amp;"^FS","")</f>
        <v/>
      </c>
      <c r="D37" t="str">
        <f>IF(A37&lt;&gt;"","^FO220,20^A0N,41,48^CI13^FD"&amp;Data!$BC$5&amp;Data!$BD$5&amp;"/"&amp;RIGHT("000"&amp;Data!AW21,3)&amp;"^FS","")</f>
        <v/>
      </c>
      <c r="E37" t="str">
        <f>IF(A37&lt;&gt;"","^FO20,55^A0N,30,30^CI13^FD"&amp;Data!$BF$5&amp;"^FS","")</f>
        <v/>
      </c>
      <c r="F37" t="str">
        <f>IF(A37&lt;&gt;"","^FO20,95^A0N,30,30^CI13^FD"&amp;Data!AX$5&amp;"^FS","")</f>
        <v/>
      </c>
      <c r="G37" t="str">
        <f>IF(A37&lt;&gt;"","^FO20,135^A0N,30,30^CI13^FD"&amp;Data!BE21&amp;"^FS","")</f>
        <v/>
      </c>
      <c r="H37" t="str">
        <f>IF(A37&lt;&gt;"","^FO20,175^A0N,30,30^CI13^FD"&amp;Data!AY21&amp;"^FS","")</f>
        <v/>
      </c>
      <c r="I37" t="str">
        <f>IF(A37&lt;&gt;"","^FO300,175^A0N,30,30^CI13^FD"&amp;"W:"&amp;Data!BA21&amp;" H:"&amp;Data!BB21,"")</f>
        <v/>
      </c>
      <c r="J37" t="str">
        <f>IF(A37&lt;&gt;"","^PQ"&amp;Data!$F$17&amp;",0,"&amp;Data!$F$17&amp;",Y","")</f>
        <v/>
      </c>
      <c r="K37" t="str">
        <f t="shared" si="0"/>
        <v/>
      </c>
    </row>
    <row r="38" spans="1:11" ht="12.75">
      <c r="A38" t="str">
        <f>IF(OR(Data!$AV22="",Data!$AW22&gt;999),"","^XA^LH0,0^PRB,D^MD20^JMA^FS")</f>
        <v/>
      </c>
      <c r="B38" t="str">
        <f t="array" ref="B38">IF(A38&lt;&gt;"","^BY2,2.7,13^FO506,20^B2N,132,Y,N,N^SN"&amp;BarcodeValue(Data!BC$5,Data!BD$5,Data!AW22,0)&amp;",N,Y^FS","")</f>
        <v/>
      </c>
      <c r="C38" t="str">
        <f>IF(A38&lt;&gt;"","^FO20,20^A0N,28,37^CI13^FD"&amp;TEXT(Data!AY$5,"d/m/yyyy")&amp;"^FS","")</f>
        <v/>
      </c>
      <c r="D38" t="str">
        <f>IF(A38&lt;&gt;"","^FO220,20^A0N,41,48^CI13^FD"&amp;Data!$BC$5&amp;Data!$BD$5&amp;"/"&amp;RIGHT("000"&amp;Data!AW22,3)&amp;"^FS","")</f>
        <v/>
      </c>
      <c r="E38" t="str">
        <f>IF(A38&lt;&gt;"","^FO20,55^A0N,30,30^CI13^FD"&amp;Data!$BF$5&amp;"^FS","")</f>
        <v/>
      </c>
      <c r="F38" t="str">
        <f>IF(A38&lt;&gt;"","^FO20,95^A0N,30,30^CI13^FD"&amp;Data!AX$5&amp;"^FS","")</f>
        <v/>
      </c>
      <c r="G38" t="str">
        <f>IF(A38&lt;&gt;"","^FO20,135^A0N,30,30^CI13^FD"&amp;Data!BE22&amp;"^FS","")</f>
        <v/>
      </c>
      <c r="H38" t="str">
        <f>IF(A38&lt;&gt;"","^FO20,175^A0N,30,30^CI13^FD"&amp;Data!AY22&amp;"^FS","")</f>
        <v/>
      </c>
      <c r="I38" t="str">
        <f>IF(A38&lt;&gt;"","^FO300,175^A0N,30,30^CI13^FD"&amp;"W:"&amp;Data!BA22&amp;" H:"&amp;Data!BB22,"")</f>
        <v/>
      </c>
      <c r="J38" t="str">
        <f>IF(A38&lt;&gt;"","^PQ"&amp;Data!$F$17&amp;",0,"&amp;Data!$F$17&amp;",Y","")</f>
        <v/>
      </c>
      <c r="K38" t="str">
        <f t="shared" si="0"/>
        <v/>
      </c>
    </row>
    <row r="39" spans="1:11" ht="12.75">
      <c r="A39" t="str">
        <f>IF(OR(Data!$AV23="",Data!$AW23&gt;999),"","^XA^LH0,0^PRB,D^MD20^JMA^FS")</f>
        <v/>
      </c>
      <c r="B39" t="str">
        <f t="array" ref="B39">IF(A39&lt;&gt;"","^BY2,2.7,13^FO506,20^B2N,132,Y,N,N^SN"&amp;BarcodeValue(Data!BC$5,Data!BD$5,Data!AW23,0)&amp;",N,Y^FS","")</f>
        <v/>
      </c>
      <c r="C39" t="str">
        <f>IF(A39&lt;&gt;"","^FO20,20^A0N,28,37^CI13^FD"&amp;TEXT(Data!AY$5,"d/m/yyyy")&amp;"^FS","")</f>
        <v/>
      </c>
      <c r="D39" t="str">
        <f>IF(A39&lt;&gt;"","^FO220,20^A0N,41,48^CI13^FD"&amp;Data!$BC$5&amp;Data!$BD$5&amp;"/"&amp;RIGHT("000"&amp;Data!AW23,3)&amp;"^FS","")</f>
        <v/>
      </c>
      <c r="E39" t="str">
        <f>IF(A39&lt;&gt;"","^FO20,55^A0N,30,30^CI13^FD"&amp;Data!$BF$5&amp;"^FS","")</f>
        <v/>
      </c>
      <c r="F39" t="str">
        <f>IF(A39&lt;&gt;"","^FO20,95^A0N,30,30^CI13^FD"&amp;Data!AX$5&amp;"^FS","")</f>
        <v/>
      </c>
      <c r="G39" t="str">
        <f>IF(A39&lt;&gt;"","^FO20,135^A0N,30,30^CI13^FD"&amp;Data!BE23&amp;"^FS","")</f>
        <v/>
      </c>
      <c r="H39" t="str">
        <f>IF(A39&lt;&gt;"","^FO20,175^A0N,30,30^CI13^FD"&amp;Data!AY23&amp;"^FS","")</f>
        <v/>
      </c>
      <c r="I39" t="str">
        <f>IF(A39&lt;&gt;"","^FO300,175^A0N,30,30^CI13^FD"&amp;"W:"&amp;Data!BA23&amp;" H:"&amp;Data!BB23,"")</f>
        <v/>
      </c>
      <c r="J39" t="str">
        <f>IF(A39&lt;&gt;"","^PQ"&amp;Data!$F$17&amp;",0,"&amp;Data!$F$17&amp;",Y","")</f>
        <v/>
      </c>
      <c r="K39" t="str">
        <f t="shared" si="0"/>
        <v/>
      </c>
    </row>
    <row r="40" spans="1:11" ht="12.75">
      <c r="A40" t="str">
        <f>IF(OR(Data!$AV24="",Data!$AW24&gt;999),"","^XA^LH0,0^PRB,D^MD20^JMA^FS")</f>
        <v/>
      </c>
      <c r="B40" t="str">
        <f t="array" ref="B40">IF(A40&lt;&gt;"","^BY2,2.7,13^FO506,20^B2N,132,Y,N,N^SN"&amp;BarcodeValue(Data!BC$5,Data!BD$5,Data!AW24,0)&amp;",N,Y^FS","")</f>
        <v/>
      </c>
      <c r="C40" t="str">
        <f>IF(A40&lt;&gt;"","^FO20,20^A0N,28,37^CI13^FD"&amp;TEXT(Data!AY$5,"d/m/yyyy")&amp;"^FS","")</f>
        <v/>
      </c>
      <c r="D40" t="str">
        <f>IF(A40&lt;&gt;"","^FO220,20^A0N,41,48^CI13^FD"&amp;Data!$BC$5&amp;Data!$BD$5&amp;"/"&amp;RIGHT("000"&amp;Data!AW24,3)&amp;"^FS","")</f>
        <v/>
      </c>
      <c r="E40" t="str">
        <f>IF(A40&lt;&gt;"","^FO20,55^A0N,30,30^CI13^FD"&amp;Data!$BF$5&amp;"^FS","")</f>
        <v/>
      </c>
      <c r="F40" t="str">
        <f>IF(A40&lt;&gt;"","^FO20,95^A0N,30,30^CI13^FD"&amp;Data!AX$5&amp;"^FS","")</f>
        <v/>
      </c>
      <c r="G40" t="str">
        <f>IF(A40&lt;&gt;"","^FO20,135^A0N,30,30^CI13^FD"&amp;Data!BE24&amp;"^FS","")</f>
        <v/>
      </c>
      <c r="H40" t="str">
        <f>IF(A40&lt;&gt;"","^FO20,175^A0N,30,30^CI13^FD"&amp;Data!AY24&amp;"^FS","")</f>
        <v/>
      </c>
      <c r="I40" t="str">
        <f>IF(A40&lt;&gt;"","^FO300,175^A0N,30,30^CI13^FD"&amp;"W:"&amp;Data!BA24&amp;" H:"&amp;Data!BB24,"")</f>
        <v/>
      </c>
      <c r="J40" t="str">
        <f>IF(A40&lt;&gt;"","^PQ"&amp;Data!$F$17&amp;",0,"&amp;Data!$F$17&amp;",Y","")</f>
        <v/>
      </c>
      <c r="K40" t="str">
        <f t="shared" si="0"/>
        <v/>
      </c>
    </row>
    <row r="41" spans="1:11" ht="12.75">
      <c r="A41" t="str">
        <f>IF(OR(Data!$AV25="",Data!$AW25&gt;999),"","^XA^LH0,0^PRB,D^MD20^JMA^FS")</f>
        <v/>
      </c>
      <c r="B41" t="str">
        <f t="array" ref="B41">IF(A41&lt;&gt;"","^BY2,2.7,13^FO506,20^B2N,132,Y,N,N^SN"&amp;BarcodeValue(Data!BC$5,Data!BD$5,Data!AW25,0)&amp;",N,Y^FS","")</f>
        <v/>
      </c>
      <c r="C41" t="str">
        <f>IF(A41&lt;&gt;"","^FO20,20^A0N,28,37^CI13^FD"&amp;TEXT(Data!AY$5,"d/m/yyyy")&amp;"^FS","")</f>
        <v/>
      </c>
      <c r="D41" t="str">
        <f>IF(A41&lt;&gt;"","^FO220,20^A0N,41,48^CI13^FD"&amp;Data!$BC$5&amp;Data!$BD$5&amp;"/"&amp;RIGHT("000"&amp;Data!AW25,3)&amp;"^FS","")</f>
        <v/>
      </c>
      <c r="E41" t="str">
        <f>IF(A41&lt;&gt;"","^FO20,55^A0N,30,30^CI13^FD"&amp;Data!$BF$5&amp;"^FS","")</f>
        <v/>
      </c>
      <c r="F41" t="str">
        <f>IF(A41&lt;&gt;"","^FO20,95^A0N,30,30^CI13^FD"&amp;Data!AX$5&amp;"^FS","")</f>
        <v/>
      </c>
      <c r="G41" t="str">
        <f>IF(A41&lt;&gt;"","^FO20,135^A0N,30,30^CI13^FD"&amp;Data!BE25&amp;"^FS","")</f>
        <v/>
      </c>
      <c r="H41" t="str">
        <f>IF(A41&lt;&gt;"","^FO20,175^A0N,30,30^CI13^FD"&amp;Data!AY25&amp;"^FS","")</f>
        <v/>
      </c>
      <c r="I41" t="str">
        <f>IF(A41&lt;&gt;"","^FO300,175^A0N,30,30^CI13^FD"&amp;"W:"&amp;Data!BA25&amp;" H:"&amp;Data!BB25,"")</f>
        <v/>
      </c>
      <c r="J41" t="str">
        <f>IF(A41&lt;&gt;"","^PQ"&amp;Data!$F$17&amp;",0,"&amp;Data!$F$17&amp;",Y","")</f>
        <v/>
      </c>
      <c r="K41" t="str">
        <f t="shared" si="0"/>
        <v/>
      </c>
    </row>
    <row r="42" spans="1:11" ht="12.75">
      <c r="A42" t="str">
        <f>IF(OR(Data!$AV26="",Data!$AW26&gt;999),"","^XA^LH0,0^PRB,D^MD20^JMA^FS")</f>
        <v/>
      </c>
      <c r="B42" t="str">
        <f t="array" ref="B42">IF(A42&lt;&gt;"","^BY2,2.7,13^FO506,20^B2N,132,Y,N,N^SN"&amp;BarcodeValue(Data!BC$5,Data!BD$5,Data!AW26,0)&amp;",N,Y^FS","")</f>
        <v/>
      </c>
      <c r="C42" t="str">
        <f>IF(A42&lt;&gt;"","^FO20,20^A0N,28,37^CI13^FD"&amp;TEXT(Data!AY$5,"d/m/yyyy")&amp;"^FS","")</f>
        <v/>
      </c>
      <c r="D42" t="str">
        <f>IF(A42&lt;&gt;"","^FO220,20^A0N,41,48^CI13^FD"&amp;Data!$BC$5&amp;Data!$BD$5&amp;"/"&amp;RIGHT("000"&amp;Data!AW26,3)&amp;"^FS","")</f>
        <v/>
      </c>
      <c r="E42" t="str">
        <f>IF(A42&lt;&gt;"","^FO20,55^A0N,30,30^CI13^FD"&amp;Data!$BF$5&amp;"^FS","")</f>
        <v/>
      </c>
      <c r="F42" t="str">
        <f>IF(A42&lt;&gt;"","^FO20,95^A0N,30,30^CI13^FD"&amp;Data!AX$5&amp;"^FS","")</f>
        <v/>
      </c>
      <c r="G42" t="str">
        <f>IF(A42&lt;&gt;"","^FO20,135^A0N,30,30^CI13^FD"&amp;Data!BE26&amp;"^FS","")</f>
        <v/>
      </c>
      <c r="H42" t="str">
        <f>IF(A42&lt;&gt;"","^FO20,175^A0N,30,30^CI13^FD"&amp;Data!AY26&amp;"^FS","")</f>
        <v/>
      </c>
      <c r="I42" t="str">
        <f>IF(A42&lt;&gt;"","^FO300,175^A0N,30,30^CI13^FD"&amp;"W:"&amp;Data!BA26&amp;" H:"&amp;Data!BB26,"")</f>
        <v/>
      </c>
      <c r="J42" t="str">
        <f>IF(A42&lt;&gt;"","^PQ"&amp;Data!$F$17&amp;",0,"&amp;Data!$F$17&amp;",Y","")</f>
        <v/>
      </c>
      <c r="K42" t="str">
        <f t="shared" si="0"/>
        <v/>
      </c>
    </row>
    <row r="43" spans="1:11" ht="12.75">
      <c r="A43" t="str">
        <f>IF(OR(Data!$AV27="",Data!$AW27&gt;999),"","^XA^LH0,0^PRB,D^MD20^JMA^FS")</f>
        <v/>
      </c>
      <c r="B43" t="str">
        <f t="array" ref="B43">IF(A43&lt;&gt;"","^BY2,2.7,13^FO506,20^B2N,132,Y,N,N^SN"&amp;BarcodeValue(Data!BC$5,Data!BD$5,Data!AW27,0)&amp;",N,Y^FS","")</f>
        <v/>
      </c>
      <c r="C43" t="str">
        <f>IF(A43&lt;&gt;"","^FO20,20^A0N,28,37^CI13^FD"&amp;TEXT(Data!AY$5,"d/m/yyyy")&amp;"^FS","")</f>
        <v/>
      </c>
      <c r="D43" t="str">
        <f>IF(A43&lt;&gt;"","^FO220,20^A0N,41,48^CI13^FD"&amp;Data!$BC$5&amp;Data!$BD$5&amp;"/"&amp;RIGHT("000"&amp;Data!AW27,3)&amp;"^FS","")</f>
        <v/>
      </c>
      <c r="E43" t="str">
        <f>IF(A43&lt;&gt;"","^FO20,55^A0N,30,30^CI13^FD"&amp;Data!$BF$5&amp;"^FS","")</f>
        <v/>
      </c>
      <c r="F43" t="str">
        <f>IF(A43&lt;&gt;"","^FO20,95^A0N,30,30^CI13^FD"&amp;Data!AX$5&amp;"^FS","")</f>
        <v/>
      </c>
      <c r="G43" t="str">
        <f>IF(A43&lt;&gt;"","^FO20,135^A0N,30,30^CI13^FD"&amp;Data!BE27&amp;"^FS","")</f>
        <v/>
      </c>
      <c r="H43" t="str">
        <f>IF(A43&lt;&gt;"","^FO20,175^A0N,30,30^CI13^FD"&amp;Data!AY27&amp;"^FS","")</f>
        <v/>
      </c>
      <c r="I43" t="str">
        <f>IF(A43&lt;&gt;"","^FO300,175^A0N,30,30^CI13^FD"&amp;"W:"&amp;Data!BA27&amp;" H:"&amp;Data!BB27,"")</f>
        <v/>
      </c>
      <c r="J43" t="str">
        <f>IF(A43&lt;&gt;"","^PQ"&amp;Data!$F$17&amp;",0,"&amp;Data!$F$17&amp;",Y","")</f>
        <v/>
      </c>
      <c r="K43" t="str">
        <f t="shared" si="0"/>
        <v/>
      </c>
    </row>
    <row r="44" spans="1:11" ht="12.75">
      <c r="A44" t="str">
        <f>IF(OR(Data!$AV28="",Data!$AW28&gt;999),"","^XA^LH0,0^PRB,D^MD20^JMA^FS")</f>
        <v/>
      </c>
      <c r="B44" t="str">
        <f t="array" ref="B44">IF(A44&lt;&gt;"","^BY2,2.7,13^FO506,20^B2N,132,Y,N,N^SN"&amp;BarcodeValue(Data!BC$5,Data!BD$5,Data!AW28,0)&amp;",N,Y^FS","")</f>
        <v/>
      </c>
      <c r="C44" t="str">
        <f>IF(A44&lt;&gt;"","^FO20,20^A0N,28,37^CI13^FD"&amp;TEXT(Data!AY$5,"d/m/yyyy")&amp;"^FS","")</f>
        <v/>
      </c>
      <c r="D44" t="str">
        <f>IF(A44&lt;&gt;"","^FO220,20^A0N,41,48^CI13^FD"&amp;Data!$BC$5&amp;Data!$BD$5&amp;"/"&amp;RIGHT("000"&amp;Data!AW28,3)&amp;"^FS","")</f>
        <v/>
      </c>
      <c r="E44" t="str">
        <f>IF(A44&lt;&gt;"","^FO20,55^A0N,30,30^CI13^FD"&amp;Data!$BF$5&amp;"^FS","")</f>
        <v/>
      </c>
      <c r="F44" t="str">
        <f>IF(A44&lt;&gt;"","^FO20,95^A0N,30,30^CI13^FD"&amp;Data!AX$5&amp;"^FS","")</f>
        <v/>
      </c>
      <c r="G44" t="str">
        <f>IF(A44&lt;&gt;"","^FO20,135^A0N,30,30^CI13^FD"&amp;Data!BE28&amp;"^FS","")</f>
        <v/>
      </c>
      <c r="H44" t="str">
        <f>IF(A44&lt;&gt;"","^FO20,175^A0N,30,30^CI13^FD"&amp;Data!AY28&amp;"^FS","")</f>
        <v/>
      </c>
      <c r="I44" t="str">
        <f>IF(A44&lt;&gt;"","^FO300,175^A0N,30,30^CI13^FD"&amp;"W:"&amp;Data!BA28&amp;" H:"&amp;Data!BB28,"")</f>
        <v/>
      </c>
      <c r="J44" t="str">
        <f>IF(A44&lt;&gt;"","^PQ"&amp;Data!$F$17&amp;",0,"&amp;Data!$F$17&amp;",Y","")</f>
        <v/>
      </c>
      <c r="K44" t="str">
        <f t="shared" si="0"/>
        <v/>
      </c>
    </row>
  </sheetData>
  <pageMargins left="1.13307086614189" right="1.13307086614189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DPS Computer Services Pty Ltd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Job Sheet</dc:title>
  <dc:subject>Busineass Partner</dc:subject>
  <dc:creator>BUZ Software</dc:creator>
  <cp:keywords/>
  <dc:description>Perpared by DPS Computer Services T/As Software Partners as part of the Business Partner software suite</dc:description>
  <cp:lastModifiedBy>Travis Davidson - Davidsons Blinds &amp; Shutters</cp:lastModifiedBy>
  <cp:lastPrinted>2026-08-17T01:41:36Z</cp:lastPrinted>
  <dcterms:created xsi:type="dcterms:W3CDTF">2004-01-09T05:29:38Z</dcterms:created>
  <dcterms:modified xsi:type="dcterms:W3CDTF">2026-09-29T06:31:33Z</dcterms:modified>
  <cp:category/>
  <cp:contentType/>
  <cp:contentStatus/>
</cp:coreProperties>
</file>